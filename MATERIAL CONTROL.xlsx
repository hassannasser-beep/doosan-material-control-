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MATERIAL QUANTITY (MATERIAL &amp; GENERATORS)\"/>
    </mc:Choice>
  </mc:AlternateContent>
  <xr:revisionPtr revIDLastSave="0" documentId="8_{3A83129A-976F-4FAD-B140-2DB895C27A42}" xr6:coauthVersionLast="47" xr6:coauthVersionMax="47" xr10:uidLastSave="{00000000-0000-0000-0000-000000000000}"/>
  <bookViews>
    <workbookView xWindow="-120" yWindow="-120" windowWidth="29040" windowHeight="15720" xr2:uid="{59E6D53A-799F-4071-A324-F07ACDEA2E2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4" i="1" l="1"/>
  <c r="P50" i="1"/>
  <c r="M50" i="1"/>
  <c r="O50" i="1" s="1"/>
  <c r="S50" i="1" s="1"/>
  <c r="J50" i="1"/>
  <c r="N50" i="1" s="1"/>
  <c r="P49" i="1"/>
  <c r="M49" i="1"/>
  <c r="O49" i="1" s="1"/>
  <c r="S49" i="1" s="1"/>
  <c r="J49" i="1"/>
  <c r="K49" i="1" s="1"/>
  <c r="P48" i="1"/>
  <c r="M48" i="1"/>
  <c r="O48" i="1" s="1"/>
  <c r="S48" i="1" s="1"/>
  <c r="J48" i="1"/>
  <c r="N48" i="1" s="1"/>
  <c r="I48" i="1"/>
  <c r="R47" i="1"/>
  <c r="N47" i="1"/>
  <c r="M47" i="1"/>
  <c r="O47" i="1" s="1"/>
  <c r="S47" i="1" s="1"/>
  <c r="K47" i="1"/>
  <c r="J47" i="1"/>
  <c r="M46" i="1"/>
  <c r="J46" i="1"/>
  <c r="N46" i="1" s="1"/>
  <c r="P45" i="1"/>
  <c r="M45" i="1"/>
  <c r="O45" i="1" s="1"/>
  <c r="S45" i="1" s="1"/>
  <c r="K45" i="1"/>
  <c r="J45" i="1"/>
  <c r="N45" i="1" s="1"/>
  <c r="P44" i="1"/>
  <c r="M44" i="1"/>
  <c r="O44" i="1" s="1"/>
  <c r="J44" i="1"/>
  <c r="N44" i="1" s="1"/>
  <c r="P43" i="1"/>
  <c r="M43" i="1"/>
  <c r="O43" i="1" s="1"/>
  <c r="S43" i="1" s="1"/>
  <c r="J43" i="1"/>
  <c r="N43" i="1" s="1"/>
  <c r="P42" i="1"/>
  <c r="M42" i="1"/>
  <c r="O42" i="1" s="1"/>
  <c r="S42" i="1" s="1"/>
  <c r="K42" i="1"/>
  <c r="J42" i="1"/>
  <c r="N42" i="1" s="1"/>
  <c r="P41" i="1"/>
  <c r="N41" i="1"/>
  <c r="M41" i="1"/>
  <c r="O41" i="1" s="1"/>
  <c r="K41" i="1"/>
  <c r="J41" i="1"/>
  <c r="P40" i="1"/>
  <c r="N40" i="1"/>
  <c r="M40" i="1"/>
  <c r="O40" i="1" s="1"/>
  <c r="S40" i="1" s="1"/>
  <c r="J40" i="1"/>
  <c r="K40" i="1" s="1"/>
  <c r="R39" i="1"/>
  <c r="Q39" i="1"/>
  <c r="P39" i="1"/>
  <c r="M39" i="1"/>
  <c r="O39" i="1" s="1"/>
  <c r="S39" i="1" s="1"/>
  <c r="J39" i="1"/>
  <c r="N39" i="1" s="1"/>
  <c r="M38" i="1"/>
  <c r="O38" i="1" s="1"/>
  <c r="J38" i="1"/>
  <c r="K38" i="1" s="1"/>
  <c r="Q37" i="1"/>
  <c r="P37" i="1"/>
  <c r="O37" i="1"/>
  <c r="S37" i="1" s="1"/>
  <c r="M37" i="1"/>
  <c r="K37" i="1"/>
  <c r="J37" i="1"/>
  <c r="N37" i="1" s="1"/>
  <c r="P36" i="1"/>
  <c r="M36" i="1"/>
  <c r="O36" i="1" s="1"/>
  <c r="S36" i="1" s="1"/>
  <c r="K36" i="1"/>
  <c r="J36" i="1"/>
  <c r="N36" i="1" s="1"/>
  <c r="P35" i="1"/>
  <c r="M35" i="1"/>
  <c r="O35" i="1" s="1"/>
  <c r="K35" i="1"/>
  <c r="J35" i="1"/>
  <c r="N35" i="1" s="1"/>
  <c r="P34" i="1"/>
  <c r="N34" i="1"/>
  <c r="M34" i="1"/>
  <c r="O34" i="1" s="1"/>
  <c r="S34" i="1" s="1"/>
  <c r="T34" i="1" s="1"/>
  <c r="J34" i="1"/>
  <c r="K34" i="1" s="1"/>
  <c r="P33" i="1"/>
  <c r="M33" i="1"/>
  <c r="O33" i="1" s="1"/>
  <c r="S33" i="1" s="1"/>
  <c r="J33" i="1"/>
  <c r="N33" i="1" s="1"/>
  <c r="I33" i="1"/>
  <c r="K33" i="1" s="1"/>
  <c r="S32" i="1"/>
  <c r="P32" i="1"/>
  <c r="O32" i="1"/>
  <c r="M32" i="1"/>
  <c r="K32" i="1"/>
  <c r="J32" i="1"/>
  <c r="N32" i="1" s="1"/>
  <c r="P31" i="1"/>
  <c r="M31" i="1"/>
  <c r="O31" i="1" s="1"/>
  <c r="S31" i="1" s="1"/>
  <c r="T31" i="1" s="1"/>
  <c r="K31" i="1"/>
  <c r="J31" i="1"/>
  <c r="N31" i="1" s="1"/>
  <c r="P30" i="1"/>
  <c r="O30" i="1"/>
  <c r="S30" i="1" s="1"/>
  <c r="N30" i="1"/>
  <c r="M30" i="1"/>
  <c r="K30" i="1"/>
  <c r="J30" i="1"/>
  <c r="R29" i="1"/>
  <c r="P29" i="1"/>
  <c r="O29" i="1"/>
  <c r="S29" i="1" s="1"/>
  <c r="M29" i="1"/>
  <c r="J29" i="1"/>
  <c r="N29" i="1" s="1"/>
  <c r="I29" i="1"/>
  <c r="K29" i="1" s="1"/>
  <c r="P28" i="1"/>
  <c r="O28" i="1"/>
  <c r="M28" i="1"/>
  <c r="J28" i="1"/>
  <c r="N28" i="1" s="1"/>
  <c r="P27" i="1"/>
  <c r="M27" i="1"/>
  <c r="O27" i="1" s="1"/>
  <c r="S27" i="1" s="1"/>
  <c r="J27" i="1"/>
  <c r="N27" i="1" s="1"/>
  <c r="P26" i="1"/>
  <c r="M26" i="1"/>
  <c r="O26" i="1" s="1"/>
  <c r="S26" i="1" s="1"/>
  <c r="J26" i="1"/>
  <c r="N26" i="1" s="1"/>
  <c r="P25" i="1"/>
  <c r="O25" i="1"/>
  <c r="S25" i="1" s="1"/>
  <c r="M25" i="1"/>
  <c r="N25" i="1" s="1"/>
  <c r="K25" i="1"/>
  <c r="J25" i="1"/>
  <c r="P24" i="1"/>
  <c r="N24" i="1"/>
  <c r="M24" i="1"/>
  <c r="O24" i="1" s="1"/>
  <c r="K24" i="1"/>
  <c r="J24" i="1"/>
  <c r="Q23" i="1"/>
  <c r="P23" i="1"/>
  <c r="O23" i="1"/>
  <c r="N23" i="1"/>
  <c r="M23" i="1"/>
  <c r="K23" i="1"/>
  <c r="J23" i="1"/>
  <c r="Q22" i="1"/>
  <c r="P22" i="1"/>
  <c r="M22" i="1"/>
  <c r="N22" i="1" s="1"/>
  <c r="K22" i="1"/>
  <c r="J22" i="1"/>
  <c r="M21" i="1"/>
  <c r="J21" i="1"/>
  <c r="N21" i="1" s="1"/>
  <c r="P20" i="1"/>
  <c r="O20" i="1"/>
  <c r="S20" i="1" s="1"/>
  <c r="M20" i="1"/>
  <c r="J20" i="1"/>
  <c r="N20" i="1" s="1"/>
  <c r="P19" i="1"/>
  <c r="O19" i="1"/>
  <c r="M19" i="1"/>
  <c r="J19" i="1"/>
  <c r="N19" i="1" s="1"/>
  <c r="P18" i="1"/>
  <c r="S18" i="1" s="1"/>
  <c r="M18" i="1"/>
  <c r="K18" i="1"/>
  <c r="J18" i="1"/>
  <c r="N18" i="1" s="1"/>
  <c r="M17" i="1"/>
  <c r="O17" i="1" s="1"/>
  <c r="S17" i="1" s="1"/>
  <c r="J17" i="1"/>
  <c r="N17" i="1" s="1"/>
  <c r="I17" i="1"/>
  <c r="K17" i="1" s="1"/>
  <c r="P16" i="1"/>
  <c r="O16" i="1"/>
  <c r="S16" i="1" s="1"/>
  <c r="N16" i="1"/>
  <c r="M16" i="1"/>
  <c r="K16" i="1"/>
  <c r="J16" i="1"/>
  <c r="P15" i="1"/>
  <c r="N15" i="1"/>
  <c r="M15" i="1"/>
  <c r="O15" i="1" s="1"/>
  <c r="S15" i="1" s="1"/>
  <c r="J15" i="1"/>
  <c r="K15" i="1" s="1"/>
  <c r="P14" i="1"/>
  <c r="O14" i="1"/>
  <c r="N14" i="1"/>
  <c r="M14" i="1"/>
  <c r="J14" i="1"/>
  <c r="K14" i="1" s="1"/>
  <c r="P13" i="1"/>
  <c r="M13" i="1"/>
  <c r="O13" i="1" s="1"/>
  <c r="S13" i="1" s="1"/>
  <c r="J13" i="1"/>
  <c r="N13" i="1" s="1"/>
  <c r="P12" i="1"/>
  <c r="M12" i="1"/>
  <c r="O12" i="1" s="1"/>
  <c r="S12" i="1" s="1"/>
  <c r="J12" i="1"/>
  <c r="N12" i="1" s="1"/>
  <c r="M11" i="1"/>
  <c r="O11" i="1" s="1"/>
  <c r="S11" i="1" s="1"/>
  <c r="K11" i="1"/>
  <c r="J11" i="1"/>
  <c r="M10" i="1"/>
  <c r="O10" i="1" s="1"/>
  <c r="S10" i="1" s="1"/>
  <c r="J10" i="1"/>
  <c r="N10" i="1" s="1"/>
  <c r="P9" i="1"/>
  <c r="M9" i="1"/>
  <c r="O9" i="1" s="1"/>
  <c r="S9" i="1" s="1"/>
  <c r="J9" i="1"/>
  <c r="N9" i="1" s="1"/>
  <c r="O8" i="1"/>
  <c r="S8" i="1" s="1"/>
  <c r="N8" i="1"/>
  <c r="M8" i="1"/>
  <c r="K8" i="1"/>
  <c r="J8" i="1"/>
  <c r="P7" i="1"/>
  <c r="O7" i="1"/>
  <c r="S7" i="1" s="1"/>
  <c r="N7" i="1"/>
  <c r="M7" i="1"/>
  <c r="K7" i="1"/>
  <c r="J7" i="1"/>
  <c r="M6" i="1"/>
  <c r="O6" i="1" s="1"/>
  <c r="S6" i="1" s="1"/>
  <c r="J6" i="1"/>
  <c r="N6" i="1" s="1"/>
  <c r="T2" i="1"/>
  <c r="S14" i="1" l="1"/>
  <c r="S19" i="1"/>
  <c r="S23" i="1"/>
  <c r="N38" i="1"/>
  <c r="N49" i="1"/>
  <c r="K9" i="1"/>
  <c r="K27" i="1"/>
  <c r="K39" i="1"/>
  <c r="K44" i="1"/>
  <c r="K48" i="1"/>
  <c r="N11" i="1"/>
  <c r="O22" i="1"/>
  <c r="S22" i="1" s="1"/>
  <c r="K13" i="1"/>
  <c r="K20" i="1"/>
  <c r="K50" i="1"/>
  <c r="K6" i="1"/>
  <c r="K26" i="1"/>
  <c r="K10" i="1"/>
  <c r="K12" i="1"/>
  <c r="K19" i="1"/>
  <c r="K28" i="1"/>
  <c r="K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37" authorId="0" shapeId="0" xr:uid="{BF4B2E99-80E9-4EEF-9E95-8F463A80A82D}">
      <text>
        <r>
          <rPr>
            <b/>
            <sz val="9"/>
            <color indexed="81"/>
            <rFont val="Tahoma"/>
            <family val="2"/>
          </rPr>
          <t>128ea return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<sst xmlns="http://schemas.openxmlformats.org/spreadsheetml/2006/main" count="377" uniqueCount="213">
  <si>
    <t>■ 본공사 자재 입.출고 현황 (Status of main construction materials)</t>
  </si>
  <si>
    <t>Current status of Doosan</t>
    <phoneticPr fontId="1" type="noConversion"/>
  </si>
  <si>
    <t>※ Update every Sunday!!</t>
    <phoneticPr fontId="1" type="noConversion"/>
  </si>
  <si>
    <t xml:space="preserve"> </t>
  </si>
  <si>
    <t>【Project : El-Dabaa Nuclear Power Plant (ENPP) #1 to 4】</t>
    <phoneticPr fontId="1" type="noConversion"/>
  </si>
  <si>
    <t>Code</t>
    <phoneticPr fontId="1" type="noConversion"/>
  </si>
  <si>
    <t>No</t>
    <phoneticPr fontId="1" type="noConversion"/>
  </si>
  <si>
    <t>Sortation</t>
    <phoneticPr fontId="1" type="noConversion"/>
  </si>
  <si>
    <t>Material No.</t>
    <phoneticPr fontId="1" type="noConversion"/>
  </si>
  <si>
    <t>Items / Services</t>
    <phoneticPr fontId="1" type="noConversion"/>
  </si>
  <si>
    <t>Size</t>
    <phoneticPr fontId="1" type="noConversion"/>
  </si>
  <si>
    <t>Unit</t>
    <phoneticPr fontId="1" type="noConversion"/>
  </si>
  <si>
    <t>DOOSAN</t>
    <phoneticPr fontId="1" type="noConversion"/>
  </si>
  <si>
    <t>DAESUN</t>
    <phoneticPr fontId="1" type="noConversion"/>
  </si>
  <si>
    <t>Remarks</t>
    <phoneticPr fontId="1" type="noConversion"/>
  </si>
  <si>
    <t>BALANCE IN REALITY</t>
  </si>
  <si>
    <t>PCS</t>
  </si>
  <si>
    <t>DATE</t>
  </si>
  <si>
    <t>Purchase</t>
  </si>
  <si>
    <t>Incoming</t>
  </si>
  <si>
    <t>Not come</t>
  </si>
  <si>
    <t>Other company</t>
  </si>
  <si>
    <t>Handover</t>
  </si>
  <si>
    <t>Balance</t>
  </si>
  <si>
    <t>Install</t>
  </si>
  <si>
    <t>Fabrication</t>
    <phoneticPr fontId="1" type="noConversion"/>
  </si>
  <si>
    <t>Scrap/
Faulty</t>
  </si>
  <si>
    <t>Balance</t>
    <phoneticPr fontId="1" type="noConversion"/>
  </si>
  <si>
    <t>A</t>
    <phoneticPr fontId="1" type="noConversion"/>
  </si>
  <si>
    <t>Grounding</t>
    <phoneticPr fontId="1" type="noConversion"/>
  </si>
  <si>
    <t>GR001</t>
  </si>
  <si>
    <t>Ground</t>
  </si>
  <si>
    <t>Ground Cable  78SQ</t>
  </si>
  <si>
    <t xml:space="preserve">Ground Cable </t>
  </si>
  <si>
    <t>78SQ</t>
  </si>
  <si>
    <t>M</t>
  </si>
  <si>
    <t>UNCOUNTABLE</t>
  </si>
  <si>
    <t>16/5/2026</t>
  </si>
  <si>
    <t>GR002</t>
  </si>
  <si>
    <t>Ground Cable  70SQ</t>
    <phoneticPr fontId="1" type="noConversion"/>
  </si>
  <si>
    <t>70SQ</t>
    <phoneticPr fontId="1" type="noConversion"/>
  </si>
  <si>
    <t>GR003</t>
  </si>
  <si>
    <t>Ground Fitting</t>
    <phoneticPr fontId="1" type="noConversion"/>
  </si>
  <si>
    <t>Terminal Lug</t>
    <phoneticPr fontId="1" type="noConversion"/>
  </si>
  <si>
    <t>70mm2</t>
    <phoneticPr fontId="1" type="noConversion"/>
  </si>
  <si>
    <t>EA</t>
  </si>
  <si>
    <t>GR004</t>
  </si>
  <si>
    <t>Cadweld Powder #90</t>
    <phoneticPr fontId="1" type="noConversion"/>
  </si>
  <si>
    <t>Cadweld Powder</t>
  </si>
  <si>
    <t>#90</t>
    <phoneticPr fontId="1" type="noConversion"/>
  </si>
  <si>
    <t>GR005</t>
  </si>
  <si>
    <t>Cadweld Powder #115</t>
    <phoneticPr fontId="1" type="noConversion"/>
  </si>
  <si>
    <t>#115</t>
    <phoneticPr fontId="1" type="noConversion"/>
  </si>
  <si>
    <t>GR006</t>
  </si>
  <si>
    <t>Cadweld Powder #150</t>
    <phoneticPr fontId="1" type="noConversion"/>
  </si>
  <si>
    <t>#150</t>
    <phoneticPr fontId="1" type="noConversion"/>
  </si>
  <si>
    <t>GR007</t>
  </si>
  <si>
    <t>Cadweld Powder #200</t>
    <phoneticPr fontId="1" type="noConversion"/>
  </si>
  <si>
    <t>#200</t>
    <phoneticPr fontId="1" type="noConversion"/>
  </si>
  <si>
    <t>GR008</t>
  </si>
  <si>
    <t>Cadweld XBQ-Y4Y4</t>
    <phoneticPr fontId="1" type="noConversion"/>
  </si>
  <si>
    <t>Welding Mold</t>
    <phoneticPr fontId="1" type="noConversion"/>
  </si>
  <si>
    <t>Cross (+)</t>
    <phoneticPr fontId="1" type="noConversion"/>
  </si>
  <si>
    <t>GR009</t>
  </si>
  <si>
    <t>Cadweld PGC-Y4Y4</t>
    <phoneticPr fontId="1" type="noConversion"/>
  </si>
  <si>
    <t>Parallel (=)</t>
  </si>
  <si>
    <t>GR010</t>
  </si>
  <si>
    <t>Cadweld TAC-Y4Y4</t>
    <phoneticPr fontId="1" type="noConversion"/>
  </si>
  <si>
    <t>Cross (T)</t>
  </si>
  <si>
    <t>GR011</t>
  </si>
  <si>
    <t xml:space="preserve">Zinc Spray </t>
  </si>
  <si>
    <t>Zinc Spray</t>
  </si>
  <si>
    <t>GR012</t>
  </si>
  <si>
    <t>Miscellious</t>
  </si>
  <si>
    <t xml:space="preserve">Nicoband </t>
  </si>
  <si>
    <t>Nicoband</t>
  </si>
  <si>
    <t>10m x 15cm</t>
    <phoneticPr fontId="1" type="noConversion"/>
  </si>
  <si>
    <t>GR013</t>
  </si>
  <si>
    <t>Ground Conduit</t>
  </si>
  <si>
    <t>Flexible Conduit 2"</t>
    <phoneticPr fontId="1" type="noConversion"/>
  </si>
  <si>
    <t>2"</t>
  </si>
  <si>
    <t>_</t>
  </si>
  <si>
    <t>GR014</t>
  </si>
  <si>
    <t>PVC PIPE</t>
  </si>
  <si>
    <t>100 + SMALL PCS</t>
  </si>
  <si>
    <t>GR015</t>
  </si>
  <si>
    <t>nVent Exothemic Welding Control Unit</t>
    <phoneticPr fontId="1" type="noConversion"/>
  </si>
  <si>
    <t>CAD WELD GUN</t>
    <phoneticPr fontId="1" type="noConversion"/>
  </si>
  <si>
    <t>B</t>
    <phoneticPr fontId="1" type="noConversion"/>
  </si>
  <si>
    <t>Conduit</t>
    <phoneticPr fontId="1" type="noConversion"/>
  </si>
  <si>
    <t>CO001</t>
    <phoneticPr fontId="1" type="noConversion"/>
  </si>
  <si>
    <t>Conduit</t>
  </si>
  <si>
    <t>Conduit (Galvanized)  Ts-100x4.5</t>
    <phoneticPr fontId="1" type="noConversion"/>
  </si>
  <si>
    <t xml:space="preserve">Conduit (Galvanized) </t>
  </si>
  <si>
    <t>114x4.5</t>
    <phoneticPr fontId="1" type="noConversion"/>
  </si>
  <si>
    <t>13×12M</t>
  </si>
  <si>
    <t>CO002</t>
  </si>
  <si>
    <t>Conduit (Galvanized)  Ts-80x4</t>
    <phoneticPr fontId="1" type="noConversion"/>
  </si>
  <si>
    <t xml:space="preserve">Conduit (Galvanized) </t>
    <phoneticPr fontId="1" type="noConversion"/>
  </si>
  <si>
    <t>88x4</t>
    <phoneticPr fontId="1" type="noConversion"/>
  </si>
  <si>
    <t>ULD 및 UGD 필요수량 포함</t>
    <phoneticPr fontId="1" type="noConversion"/>
  </si>
  <si>
    <t>2964+ SMALL PCS</t>
  </si>
  <si>
    <t>60+60+34+67+26×12M</t>
  </si>
  <si>
    <t>XX-CO003</t>
    <phoneticPr fontId="1" type="noConversion"/>
  </si>
  <si>
    <t>Conduit 159x4.5</t>
    <phoneticPr fontId="1" type="noConversion"/>
  </si>
  <si>
    <t>159x6.0</t>
    <phoneticPr fontId="1" type="noConversion"/>
  </si>
  <si>
    <t>설계 변경 → 6.5"(168mm)</t>
    <phoneticPr fontId="1" type="noConversion"/>
  </si>
  <si>
    <t>CO003</t>
    <phoneticPr fontId="1" type="noConversion"/>
  </si>
  <si>
    <t>Conduit (Galvanized) 168x6</t>
    <phoneticPr fontId="1" type="noConversion"/>
  </si>
  <si>
    <t>168x6</t>
    <phoneticPr fontId="1" type="noConversion"/>
  </si>
  <si>
    <t>설계 추가</t>
    <phoneticPr fontId="1" type="noConversion"/>
  </si>
  <si>
    <t>156+ SMALL PCS</t>
  </si>
  <si>
    <t>13 PCS×12M</t>
  </si>
  <si>
    <t>CO004</t>
  </si>
  <si>
    <t>159x4.5</t>
    <phoneticPr fontId="1" type="noConversion"/>
  </si>
  <si>
    <t>CO005</t>
  </si>
  <si>
    <t>Conduit (Galvanized) 140x5</t>
    <phoneticPr fontId="1" type="noConversion"/>
  </si>
  <si>
    <t>140x5</t>
  </si>
  <si>
    <t>43×10M</t>
  </si>
  <si>
    <t>XX-CO006</t>
    <phoneticPr fontId="1" type="noConversion"/>
  </si>
  <si>
    <t>Conduit 108x5</t>
    <phoneticPr fontId="1" type="noConversion"/>
  </si>
  <si>
    <t>108x5</t>
    <phoneticPr fontId="1" type="noConversion"/>
  </si>
  <si>
    <t>설계 삭제(토건 역무)</t>
    <phoneticPr fontId="1" type="noConversion"/>
  </si>
  <si>
    <t>CO007</t>
  </si>
  <si>
    <t>Conduit 108x4.0</t>
    <phoneticPr fontId="1" type="noConversion"/>
  </si>
  <si>
    <t>108x4</t>
    <phoneticPr fontId="1" type="noConversion"/>
  </si>
  <si>
    <t>(Scrap 555.5)-(발전기 굴뚝 : 86M)</t>
    <phoneticPr fontId="1" type="noConversion"/>
  </si>
  <si>
    <t>150 + SMALL PCS</t>
  </si>
  <si>
    <t>15×10M</t>
  </si>
  <si>
    <t>CO008.1</t>
  </si>
  <si>
    <t>Conduit (Galvanized) 60.3x3.91</t>
    <phoneticPr fontId="1" type="noConversion"/>
  </si>
  <si>
    <t>60.3x3.91</t>
    <phoneticPr fontId="1" type="noConversion"/>
  </si>
  <si>
    <t>추가</t>
  </si>
  <si>
    <t>CO009</t>
  </si>
  <si>
    <t>Conduit Fitting</t>
  </si>
  <si>
    <t>Conduit Coupling 168x4</t>
    <phoneticPr fontId="1" type="noConversion"/>
  </si>
  <si>
    <t>Conduit Coupling</t>
  </si>
  <si>
    <t>168x4</t>
    <phoneticPr fontId="1" type="noConversion"/>
  </si>
  <si>
    <t>M</t>
    <phoneticPr fontId="1" type="noConversion"/>
  </si>
  <si>
    <t>336(160 RETURNED TO DOOSAN)</t>
  </si>
  <si>
    <t>241 IN WARHOUSE+95 INSTALLED</t>
  </si>
  <si>
    <t>CO010</t>
  </si>
  <si>
    <t>EA</t>
    <phoneticPr fontId="1" type="noConversion"/>
  </si>
  <si>
    <t>CO011</t>
    <phoneticPr fontId="1" type="noConversion"/>
  </si>
  <si>
    <t>Conduit Coupling 125-Ts</t>
    <phoneticPr fontId="1" type="noConversion"/>
  </si>
  <si>
    <t>Ts-152x5</t>
    <phoneticPr fontId="1" type="noConversion"/>
  </si>
  <si>
    <t>CO012</t>
  </si>
  <si>
    <t>Conduit Coupling 121x5</t>
    <phoneticPr fontId="1" type="noConversion"/>
  </si>
  <si>
    <t>121x5</t>
    <phoneticPr fontId="1" type="noConversion"/>
  </si>
  <si>
    <t>CO013</t>
  </si>
  <si>
    <t>CO014</t>
  </si>
  <si>
    <t>Conduit Coupling 100-Ts</t>
    <phoneticPr fontId="1" type="noConversion"/>
  </si>
  <si>
    <t>100-Ts</t>
    <phoneticPr fontId="1" type="noConversion"/>
  </si>
  <si>
    <t>CO015</t>
  </si>
  <si>
    <t>Conduit Coupling 80-Ts</t>
  </si>
  <si>
    <t>80-Ts</t>
    <phoneticPr fontId="1" type="noConversion"/>
  </si>
  <si>
    <t>CO015.1</t>
    <phoneticPr fontId="1" type="noConversion"/>
  </si>
  <si>
    <t xml:space="preserve">Conduit Coupling </t>
    <phoneticPr fontId="1" type="noConversion"/>
  </si>
  <si>
    <t>50-11 NPT</t>
    <phoneticPr fontId="1" type="noConversion"/>
  </si>
  <si>
    <t>CO016</t>
  </si>
  <si>
    <t>Sup't</t>
  </si>
  <si>
    <t>Angle 50x50x5</t>
    <phoneticPr fontId="1" type="noConversion"/>
  </si>
  <si>
    <t>Angle</t>
  </si>
  <si>
    <t>50*50*5</t>
  </si>
  <si>
    <t>8×12M</t>
  </si>
  <si>
    <t>CO017</t>
  </si>
  <si>
    <t>Angle 70x70x7</t>
  </si>
  <si>
    <t>70*70*7</t>
    <phoneticPr fontId="1" type="noConversion"/>
  </si>
  <si>
    <t>24×12M</t>
  </si>
  <si>
    <t>CO018</t>
  </si>
  <si>
    <t>Angle 75x75x5</t>
  </si>
  <si>
    <t>75x75x5</t>
  </si>
  <si>
    <t>CO019a</t>
    <phoneticPr fontId="1" type="noConversion"/>
  </si>
  <si>
    <t>Paint</t>
    <phoneticPr fontId="1" type="noConversion"/>
  </si>
  <si>
    <t>JOTUN Pipe Primer Paint (A)</t>
  </si>
  <si>
    <t>Paint</t>
  </si>
  <si>
    <t>16L</t>
  </si>
  <si>
    <t>CAN</t>
    <phoneticPr fontId="1" type="noConversion"/>
  </si>
  <si>
    <t>CO019b</t>
    <phoneticPr fontId="1" type="noConversion"/>
  </si>
  <si>
    <t>JOTUN Pipe Primer Paint (B)</t>
  </si>
  <si>
    <t>4L</t>
  </si>
  <si>
    <t>CO020</t>
  </si>
  <si>
    <t>JOTUN Pipe Top-coated Paint</t>
  </si>
  <si>
    <t>20L</t>
    <phoneticPr fontId="1" type="noConversion"/>
  </si>
  <si>
    <t>CO021</t>
  </si>
  <si>
    <t>JOTUN Thinner</t>
  </si>
  <si>
    <t>C</t>
    <phoneticPr fontId="1" type="noConversion"/>
  </si>
  <si>
    <t>CCGG</t>
    <phoneticPr fontId="1" type="noConversion"/>
  </si>
  <si>
    <t>CG001</t>
    <phoneticPr fontId="1" type="noConversion"/>
  </si>
  <si>
    <t>Steel round bar</t>
    <phoneticPr fontId="1" type="noConversion"/>
  </si>
  <si>
    <t>Steel round bar(rebar)</t>
    <phoneticPr fontId="1" type="noConversion"/>
  </si>
  <si>
    <t>1 ton=1620.7</t>
    <phoneticPr fontId="1" type="noConversion"/>
  </si>
  <si>
    <t>9720+SMALL PCS(TOOK FROM 1)</t>
  </si>
  <si>
    <t>3 BOXES(2 ton)=6 ton</t>
  </si>
  <si>
    <t>CG002</t>
  </si>
  <si>
    <t>Angle</t>
    <phoneticPr fontId="1" type="noConversion"/>
  </si>
  <si>
    <t>Angle 100x100x10</t>
    <phoneticPr fontId="1" type="noConversion"/>
  </si>
  <si>
    <t>100x100x10 (12m)</t>
    <phoneticPr fontId="1" type="noConversion"/>
  </si>
  <si>
    <t>22 PCS + SMALL PCS</t>
  </si>
  <si>
    <t>CG003</t>
    <phoneticPr fontId="1" type="noConversion"/>
  </si>
  <si>
    <t>Plate</t>
    <phoneticPr fontId="1" type="noConversion"/>
  </si>
  <si>
    <t>Carbon Plate 1000x6000x8</t>
    <phoneticPr fontId="1" type="noConversion"/>
  </si>
  <si>
    <t xml:space="preserve">1000x6000x8  </t>
    <phoneticPr fontId="1" type="noConversion"/>
  </si>
  <si>
    <t>PCS</t>
    <phoneticPr fontId="1" type="noConversion"/>
  </si>
  <si>
    <t>CG004</t>
  </si>
  <si>
    <t>Carbon Plate 1500x6000x10</t>
    <phoneticPr fontId="1" type="noConversion"/>
  </si>
  <si>
    <t xml:space="preserve">1500x6000x10 </t>
    <phoneticPr fontId="1" type="noConversion"/>
  </si>
  <si>
    <t>14/V48+W13+W6:W50</t>
  </si>
  <si>
    <t xml:space="preserve"> </t>
    <phoneticPr fontId="1" type="noConversion"/>
  </si>
  <si>
    <r>
      <t>Ground TERMINAL LUG 70mm</t>
    </r>
    <r>
      <rPr>
        <vertAlign val="superscript"/>
        <sz val="12"/>
        <rFont val="Times New Roman"/>
        <family val="1"/>
      </rPr>
      <t>2</t>
    </r>
  </si>
  <si>
    <t>PVC Flexible Pipe ф 20</t>
  </si>
  <si>
    <t>ф20</t>
  </si>
  <si>
    <t>ф10, 1ton=1,620.7m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</si>
</sst>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#,##0_ ;[Red]\-#,##0\ "/>
    <numFmt numFmtId="165" formatCode="#,##0.0_ ;[Red]\-#,##0.0\ "/>
    <numFmt numFmtId="167" formatCode="_-* #,##0.0_-;\-* #,##0.0_-;_-* &quot;-&quot;_-;_-@_-"/>
    <numFmt numFmtId="168" formatCode="#,##0\ &quot;EA&quot;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vertAlign val="superscript"/>
      <sz val="12"/>
      <name val="Times New Roman"/>
      <family val="1"/>
    </font>
    <font>
      <strike/>
      <sz val="12"/>
      <name val="Times New Roman"/>
      <family val="1"/>
    </font>
    <font>
      <strike/>
      <sz val="12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wrapText="1"/>
    </xf>
    <xf numFmtId="14" fontId="4" fillId="2" borderId="0" xfId="0" applyNumberFormat="1" applyFont="1" applyFill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Continuous" vertical="center" wrapText="1"/>
    </xf>
    <xf numFmtId="0" fontId="5" fillId="4" borderId="3" xfId="0" applyFont="1" applyFill="1" applyBorder="1" applyAlignment="1">
      <alignment horizontal="centerContinuous" vertical="center" wrapText="1"/>
    </xf>
    <xf numFmtId="0" fontId="5" fillId="3" borderId="4" xfId="0" applyFont="1" applyFill="1" applyBorder="1" applyAlignment="1">
      <alignment horizontal="centerContinuous" vertical="center" wrapText="1"/>
    </xf>
    <xf numFmtId="0" fontId="5" fillId="3" borderId="1" xfId="0" applyFont="1" applyFill="1" applyBorder="1" applyAlignment="1">
      <alignment horizontal="centerContinuous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right" vertical="center"/>
    </xf>
    <xf numFmtId="165" fontId="4" fillId="0" borderId="3" xfId="0" applyNumberFormat="1" applyFont="1" applyBorder="1" applyAlignment="1">
      <alignment horizontal="right" vertical="center"/>
    </xf>
    <xf numFmtId="165" fontId="4" fillId="0" borderId="4" xfId="0" applyNumberFormat="1" applyFont="1" applyBorder="1" applyAlignment="1">
      <alignment horizontal="right" vertical="center"/>
    </xf>
    <xf numFmtId="165" fontId="4" fillId="0" borderId="8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167" fontId="4" fillId="5" borderId="1" xfId="1" applyNumberFormat="1" applyFont="1" applyFill="1" applyBorder="1" applyAlignment="1">
      <alignment horizontal="right" vertical="center"/>
    </xf>
    <xf numFmtId="167" fontId="4" fillId="5" borderId="3" xfId="1" applyNumberFormat="1" applyFont="1" applyFill="1" applyBorder="1" applyAlignment="1">
      <alignment horizontal="right" vertical="center"/>
    </xf>
    <xf numFmtId="167" fontId="4" fillId="5" borderId="4" xfId="1" applyNumberFormat="1" applyFont="1" applyFill="1" applyBorder="1" applyAlignment="1">
      <alignment horizontal="right" vertical="center"/>
    </xf>
    <xf numFmtId="167" fontId="4" fillId="5" borderId="8" xfId="1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 wrapText="1"/>
    </xf>
    <xf numFmtId="167" fontId="4" fillId="6" borderId="1" xfId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167" fontId="4" fillId="7" borderId="1" xfId="1" applyNumberFormat="1" applyFont="1" applyFill="1" applyBorder="1" applyAlignment="1">
      <alignment horizontal="right" vertical="center"/>
    </xf>
    <xf numFmtId="167" fontId="4" fillId="7" borderId="3" xfId="1" applyNumberFormat="1" applyFont="1" applyFill="1" applyBorder="1" applyAlignment="1">
      <alignment horizontal="right" vertical="center"/>
    </xf>
    <xf numFmtId="167" fontId="4" fillId="7" borderId="4" xfId="1" applyNumberFormat="1" applyFont="1" applyFill="1" applyBorder="1" applyAlignment="1">
      <alignment horizontal="right" vertical="center"/>
    </xf>
    <xf numFmtId="167" fontId="4" fillId="7" borderId="8" xfId="1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167" fontId="8" fillId="8" borderId="1" xfId="1" applyNumberFormat="1" applyFont="1" applyFill="1" applyBorder="1" applyAlignment="1">
      <alignment horizontal="right" vertical="center"/>
    </xf>
    <xf numFmtId="167" fontId="8" fillId="8" borderId="3" xfId="1" applyNumberFormat="1" applyFont="1" applyFill="1" applyBorder="1" applyAlignment="1">
      <alignment horizontal="right" vertical="center"/>
    </xf>
    <xf numFmtId="167" fontId="8" fillId="8" borderId="4" xfId="1" applyNumberFormat="1" applyFont="1" applyFill="1" applyBorder="1" applyAlignment="1">
      <alignment horizontal="right" vertical="center"/>
    </xf>
    <xf numFmtId="167" fontId="8" fillId="8" borderId="8" xfId="1" applyNumberFormat="1" applyFont="1" applyFill="1" applyBorder="1" applyAlignment="1">
      <alignment horizontal="right" vertical="center"/>
    </xf>
    <xf numFmtId="167" fontId="8" fillId="8" borderId="1" xfId="1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8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8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167" fontId="4" fillId="8" borderId="1" xfId="1" applyNumberFormat="1" applyFont="1" applyFill="1" applyBorder="1" applyAlignment="1">
      <alignment horizontal="right" vertical="center"/>
    </xf>
    <xf numFmtId="167" fontId="4" fillId="8" borderId="3" xfId="1" applyNumberFormat="1" applyFont="1" applyFill="1" applyBorder="1" applyAlignment="1">
      <alignment horizontal="right" vertical="center"/>
    </xf>
    <xf numFmtId="167" fontId="4" fillId="8" borderId="4" xfId="1" applyNumberFormat="1" applyFont="1" applyFill="1" applyBorder="1" applyAlignment="1">
      <alignment horizontal="right" vertical="center"/>
    </xf>
    <xf numFmtId="167" fontId="4" fillId="8" borderId="8" xfId="1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168" fontId="4" fillId="5" borderId="4" xfId="0" applyNumberFormat="1" applyFont="1" applyFill="1" applyBorder="1" applyAlignment="1">
      <alignment horizontal="left" vertical="center" wrapText="1"/>
    </xf>
    <xf numFmtId="168" fontId="4" fillId="5" borderId="2" xfId="0" applyNumberFormat="1" applyFont="1" applyFill="1" applyBorder="1" applyAlignment="1">
      <alignment horizontal="center" vertical="center" wrapText="1"/>
    </xf>
    <xf numFmtId="168" fontId="4" fillId="5" borderId="9" xfId="0" applyNumberFormat="1" applyFont="1" applyFill="1" applyBorder="1" applyAlignment="1">
      <alignment horizontal="center" vertical="center" wrapText="1"/>
    </xf>
    <xf numFmtId="168" fontId="4" fillId="5" borderId="10" xfId="0" applyNumberFormat="1" applyFont="1" applyFill="1" applyBorder="1" applyAlignment="1">
      <alignment horizontal="center" vertical="center" wrapText="1"/>
    </xf>
    <xf numFmtId="168" fontId="4" fillId="5" borderId="6" xfId="0" applyNumberFormat="1" applyFont="1" applyFill="1" applyBorder="1" applyAlignment="1">
      <alignment horizontal="center" vertical="center" wrapText="1"/>
    </xf>
    <xf numFmtId="167" fontId="4" fillId="8" borderId="1" xfId="1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left" vertical="center"/>
    </xf>
    <xf numFmtId="168" fontId="4" fillId="5" borderId="7" xfId="0" applyNumberFormat="1" applyFont="1" applyFill="1" applyBorder="1" applyAlignment="1">
      <alignment horizontal="center" vertical="center" wrapText="1"/>
    </xf>
    <xf numFmtId="168" fontId="4" fillId="5" borderId="11" xfId="0" applyNumberFormat="1" applyFont="1" applyFill="1" applyBorder="1" applyAlignment="1">
      <alignment horizontal="center" vertical="center" wrapText="1"/>
    </xf>
    <xf numFmtId="167" fontId="4" fillId="7" borderId="1" xfId="1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right" vertical="center"/>
    </xf>
    <xf numFmtId="167" fontId="4" fillId="0" borderId="3" xfId="1" applyNumberFormat="1" applyFont="1" applyBorder="1" applyAlignment="1">
      <alignment horizontal="right" vertical="center"/>
    </xf>
    <xf numFmtId="167" fontId="4" fillId="0" borderId="4" xfId="1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7" fontId="4" fillId="0" borderId="8" xfId="1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0" fontId="4" fillId="0" borderId="0" xfId="2" applyNumberFormat="1" applyFont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165" fontId="4" fillId="0" borderId="1" xfId="0" applyNumberFormat="1" applyFont="1" applyBorder="1" applyAlignment="1">
      <alignment vertical="center"/>
    </xf>
    <xf numFmtId="165" fontId="4" fillId="0" borderId="0" xfId="0" applyNumberFormat="1" applyFont="1" applyAlignment="1">
      <alignment vertical="center" wrapText="1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MATERIAL%20QUANTITY%20(MATERIAL%20&amp;%20GENERATORS)\Copy%20of%20Material%20Master%20File_New_updated_14-5-2026.xlsx" TargetMode="External"/><Relationship Id="rId1" Type="http://schemas.openxmlformats.org/officeDocument/2006/relationships/externalLinkPath" Target="Copy%20of%20Material%20Master%20File_New_updated_14-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본공사입.출고현황"/>
      <sheetName val="POR Control Log-income"/>
      <sheetName val="POR Control Log-out"/>
      <sheetName val="케이블트레이입.출고현황"/>
      <sheetName val="Cable Tray-income  "/>
      <sheetName val="Cable Tray-Log-out"/>
      <sheetName val="임시동력입.출고현황"/>
      <sheetName val="T-Power-income"/>
      <sheetName val="T-Power-out"/>
      <sheetName val="Summary Table"/>
    </sheetNames>
    <sheetDataSet>
      <sheetData sheetId="0">
        <row r="6">
          <cell r="B6" t="str">
            <v>GR001</v>
          </cell>
        </row>
        <row r="7">
          <cell r="B7" t="str">
            <v>GR002</v>
          </cell>
        </row>
        <row r="8">
          <cell r="B8" t="str">
            <v>GR003</v>
          </cell>
        </row>
        <row r="9">
          <cell r="B9" t="str">
            <v>GR004</v>
          </cell>
        </row>
        <row r="10">
          <cell r="B10" t="str">
            <v>GR005</v>
          </cell>
        </row>
        <row r="11">
          <cell r="B11" t="str">
            <v>GR006</v>
          </cell>
        </row>
        <row r="12">
          <cell r="B12" t="str">
            <v>GR007</v>
          </cell>
        </row>
        <row r="13">
          <cell r="B13" t="str">
            <v>GR008</v>
          </cell>
        </row>
        <row r="14">
          <cell r="B14" t="str">
            <v>GR009</v>
          </cell>
        </row>
        <row r="15">
          <cell r="B15" t="str">
            <v>GR010</v>
          </cell>
        </row>
        <row r="16">
          <cell r="B16" t="str">
            <v>GR011</v>
          </cell>
        </row>
        <row r="17">
          <cell r="B17" t="str">
            <v>GR012</v>
          </cell>
        </row>
        <row r="18">
          <cell r="B18" t="str">
            <v>GR013</v>
          </cell>
        </row>
        <row r="19">
          <cell r="B19" t="str">
            <v>GR014</v>
          </cell>
        </row>
        <row r="20">
          <cell r="B20" t="str">
            <v>GR015</v>
          </cell>
        </row>
        <row r="22">
          <cell r="B22" t="str">
            <v>CO001</v>
          </cell>
        </row>
        <row r="23">
          <cell r="B23" t="str">
            <v>CO002</v>
          </cell>
        </row>
        <row r="24">
          <cell r="B24" t="str">
            <v>XX-CO003</v>
          </cell>
        </row>
        <row r="25">
          <cell r="B25" t="str">
            <v>CO003</v>
          </cell>
        </row>
        <row r="26">
          <cell r="B26" t="str">
            <v>CO004</v>
          </cell>
        </row>
        <row r="27">
          <cell r="B27" t="str">
            <v>CO005</v>
          </cell>
        </row>
        <row r="28">
          <cell r="B28" t="str">
            <v>XX-CO006</v>
          </cell>
        </row>
        <row r="29">
          <cell r="B29" t="str">
            <v>CO007</v>
          </cell>
        </row>
        <row r="30">
          <cell r="B30" t="str">
            <v>CO008.1</v>
          </cell>
        </row>
        <row r="31">
          <cell r="B31" t="str">
            <v>CO009</v>
          </cell>
        </row>
        <row r="32">
          <cell r="B32" t="str">
            <v>CO010</v>
          </cell>
        </row>
        <row r="33">
          <cell r="B33" t="str">
            <v>CO011</v>
          </cell>
        </row>
        <row r="34">
          <cell r="B34" t="str">
            <v>CO012</v>
          </cell>
        </row>
        <row r="35">
          <cell r="B35" t="str">
            <v>CO013</v>
          </cell>
        </row>
        <row r="36">
          <cell r="B36" t="str">
            <v>CO014</v>
          </cell>
        </row>
        <row r="37">
          <cell r="B37" t="str">
            <v>CO015</v>
          </cell>
        </row>
        <row r="38">
          <cell r="B38" t="str">
            <v>CO015.1</v>
          </cell>
        </row>
        <row r="39">
          <cell r="B39" t="str">
            <v>CO016</v>
          </cell>
        </row>
        <row r="40">
          <cell r="B40" t="str">
            <v>CO017</v>
          </cell>
        </row>
        <row r="41">
          <cell r="B41" t="str">
            <v>CO018</v>
          </cell>
        </row>
        <row r="42">
          <cell r="B42" t="str">
            <v>CO019a</v>
          </cell>
        </row>
        <row r="43">
          <cell r="B43" t="str">
            <v>CO019b</v>
          </cell>
        </row>
        <row r="44">
          <cell r="B44" t="str">
            <v>CO020</v>
          </cell>
        </row>
        <row r="45">
          <cell r="B45" t="str">
            <v>CO021</v>
          </cell>
        </row>
        <row r="47">
          <cell r="B47" t="str">
            <v>CG001</v>
          </cell>
        </row>
        <row r="48">
          <cell r="B48" t="str">
            <v>CG002</v>
          </cell>
        </row>
        <row r="49">
          <cell r="B49" t="str">
            <v>CG003</v>
          </cell>
        </row>
        <row r="50">
          <cell r="B50" t="str">
            <v>CG004</v>
          </cell>
        </row>
      </sheetData>
      <sheetData sheetId="1">
        <row r="3">
          <cell r="F3" t="str">
            <v>Material No.</v>
          </cell>
          <cell r="L3" t="str">
            <v>Q'TY</v>
          </cell>
        </row>
        <row r="5">
          <cell r="F5" t="str">
            <v>GR001</v>
          </cell>
          <cell r="L5">
            <v>6200</v>
          </cell>
        </row>
        <row r="6">
          <cell r="F6" t="str">
            <v>GR002</v>
          </cell>
          <cell r="L6">
            <v>0</v>
          </cell>
        </row>
        <row r="7">
          <cell r="F7" t="str">
            <v>GR003</v>
          </cell>
          <cell r="L7">
            <v>0</v>
          </cell>
        </row>
        <row r="8">
          <cell r="F8" t="str">
            <v>GR004</v>
          </cell>
          <cell r="L8">
            <v>0</v>
          </cell>
        </row>
        <row r="9">
          <cell r="F9" t="str">
            <v>GR005</v>
          </cell>
          <cell r="L9">
            <v>0</v>
          </cell>
        </row>
        <row r="10">
          <cell r="F10" t="str">
            <v>GR006</v>
          </cell>
          <cell r="L10">
            <v>0</v>
          </cell>
        </row>
        <row r="11">
          <cell r="F11" t="str">
            <v>GR007</v>
          </cell>
          <cell r="L11">
            <v>232</v>
          </cell>
        </row>
        <row r="12">
          <cell r="F12" t="str">
            <v>GR008</v>
          </cell>
          <cell r="L12">
            <v>0</v>
          </cell>
        </row>
        <row r="13">
          <cell r="F13" t="str">
            <v>GR009</v>
          </cell>
          <cell r="L13">
            <v>0</v>
          </cell>
        </row>
        <row r="14">
          <cell r="F14" t="str">
            <v>GR010</v>
          </cell>
          <cell r="L14">
            <v>0</v>
          </cell>
        </row>
        <row r="15">
          <cell r="F15" t="str">
            <v>GR011</v>
          </cell>
          <cell r="L15">
            <v>-30</v>
          </cell>
        </row>
        <row r="16">
          <cell r="F16" t="str">
            <v>GR012</v>
          </cell>
          <cell r="L16">
            <v>0</v>
          </cell>
        </row>
        <row r="17">
          <cell r="F17" t="str">
            <v>GR013</v>
          </cell>
          <cell r="L17">
            <v>2100</v>
          </cell>
        </row>
        <row r="18">
          <cell r="F18" t="str">
            <v>GR015</v>
          </cell>
          <cell r="L18">
            <v>0</v>
          </cell>
        </row>
        <row r="19">
          <cell r="F19" t="str">
            <v>CO001</v>
          </cell>
          <cell r="L19">
            <v>107</v>
          </cell>
        </row>
        <row r="20">
          <cell r="F20" t="str">
            <v>CO002</v>
          </cell>
          <cell r="L20">
            <v>-1732</v>
          </cell>
        </row>
        <row r="21">
          <cell r="F21" t="str">
            <v>XX-CO003</v>
          </cell>
          <cell r="L21">
            <v>0</v>
          </cell>
        </row>
        <row r="22">
          <cell r="F22" t="str">
            <v>CO003</v>
          </cell>
          <cell r="L22">
            <v>172</v>
          </cell>
        </row>
        <row r="23">
          <cell r="F23" t="str">
            <v>CO004</v>
          </cell>
          <cell r="L23">
            <v>80.319999999999936</v>
          </cell>
        </row>
        <row r="24">
          <cell r="F24" t="str">
            <v>CO005</v>
          </cell>
          <cell r="L24">
            <v>0</v>
          </cell>
        </row>
        <row r="25">
          <cell r="F25" t="str">
            <v>XX-CO006</v>
          </cell>
          <cell r="L25">
            <v>0</v>
          </cell>
        </row>
        <row r="26">
          <cell r="F26" t="str">
            <v>CO007</v>
          </cell>
          <cell r="L26">
            <v>-2469</v>
          </cell>
        </row>
        <row r="27">
          <cell r="F27" t="str">
            <v>XX-CO008</v>
          </cell>
          <cell r="L27">
            <v>0</v>
          </cell>
        </row>
        <row r="28">
          <cell r="F28" t="str">
            <v>CO009</v>
          </cell>
          <cell r="L28">
            <v>0</v>
          </cell>
        </row>
        <row r="29">
          <cell r="F29" t="str">
            <v>CO010</v>
          </cell>
          <cell r="L29">
            <v>10</v>
          </cell>
        </row>
        <row r="30">
          <cell r="F30" t="str">
            <v>CO011</v>
          </cell>
          <cell r="L30">
            <v>0</v>
          </cell>
        </row>
        <row r="31">
          <cell r="F31" t="str">
            <v>CO012</v>
          </cell>
          <cell r="L31">
            <v>0</v>
          </cell>
        </row>
        <row r="32">
          <cell r="F32" t="str">
            <v>CO013</v>
          </cell>
          <cell r="L32">
            <v>64</v>
          </cell>
        </row>
        <row r="33">
          <cell r="F33" t="str">
            <v>CO014</v>
          </cell>
          <cell r="L33">
            <v>0</v>
          </cell>
        </row>
        <row r="34">
          <cell r="F34" t="str">
            <v>CO015</v>
          </cell>
          <cell r="L34">
            <v>-18</v>
          </cell>
        </row>
        <row r="35">
          <cell r="F35" t="str">
            <v>CO016</v>
          </cell>
          <cell r="L35">
            <v>384</v>
          </cell>
        </row>
        <row r="36">
          <cell r="F36" t="str">
            <v>CO017</v>
          </cell>
          <cell r="L36">
            <v>-40</v>
          </cell>
        </row>
        <row r="37">
          <cell r="F37" t="str">
            <v>CO018</v>
          </cell>
          <cell r="L37">
            <v>-104</v>
          </cell>
        </row>
        <row r="38">
          <cell r="F38" t="str">
            <v>CO020</v>
          </cell>
          <cell r="L38">
            <v>0</v>
          </cell>
        </row>
        <row r="39">
          <cell r="F39" t="str">
            <v>CG001</v>
          </cell>
          <cell r="L39">
            <v>4755.5999999999985</v>
          </cell>
        </row>
        <row r="40">
          <cell r="F40" t="str">
            <v>CG002</v>
          </cell>
        </row>
        <row r="41">
          <cell r="F41" t="str">
            <v>CO007</v>
          </cell>
          <cell r="L41">
            <v>2635.22</v>
          </cell>
        </row>
        <row r="42">
          <cell r="F42" t="str">
            <v>CO004</v>
          </cell>
          <cell r="L42">
            <v>596.30999999999995</v>
          </cell>
        </row>
        <row r="43">
          <cell r="F43" t="str">
            <v>CO012</v>
          </cell>
          <cell r="L43">
            <v>17.12</v>
          </cell>
        </row>
        <row r="44">
          <cell r="F44" t="str">
            <v>CO009</v>
          </cell>
          <cell r="L44">
            <v>20</v>
          </cell>
        </row>
        <row r="45">
          <cell r="F45" t="str">
            <v>CO016</v>
          </cell>
          <cell r="L45">
            <v>200</v>
          </cell>
        </row>
        <row r="46">
          <cell r="F46" t="str">
            <v>CO017</v>
          </cell>
          <cell r="L46">
            <v>40</v>
          </cell>
        </row>
        <row r="47">
          <cell r="F47" t="str">
            <v>CO016</v>
          </cell>
          <cell r="L47">
            <v>384</v>
          </cell>
        </row>
        <row r="48">
          <cell r="F48" t="str">
            <v>CO013</v>
          </cell>
          <cell r="L48">
            <v>20</v>
          </cell>
        </row>
        <row r="49">
          <cell r="F49" t="str">
            <v>CO010</v>
          </cell>
          <cell r="L49">
            <v>20</v>
          </cell>
        </row>
        <row r="50">
          <cell r="F50" t="str">
            <v>CO013</v>
          </cell>
          <cell r="L50">
            <v>30</v>
          </cell>
        </row>
        <row r="51">
          <cell r="F51" t="str">
            <v>CO010</v>
          </cell>
          <cell r="L51">
            <v>20</v>
          </cell>
        </row>
        <row r="52">
          <cell r="F52" t="str">
            <v>GR005</v>
          </cell>
          <cell r="L52">
            <v>21</v>
          </cell>
        </row>
        <row r="53">
          <cell r="F53" t="str">
            <v>GR007</v>
          </cell>
          <cell r="L53">
            <v>200</v>
          </cell>
        </row>
        <row r="54">
          <cell r="F54" t="str">
            <v>GR011</v>
          </cell>
          <cell r="L54">
            <v>126</v>
          </cell>
        </row>
        <row r="55">
          <cell r="F55" t="str">
            <v>CO013</v>
          </cell>
          <cell r="L55">
            <v>228</v>
          </cell>
        </row>
        <row r="56">
          <cell r="F56" t="str">
            <v>CO010</v>
          </cell>
          <cell r="L56">
            <v>100</v>
          </cell>
        </row>
        <row r="57">
          <cell r="F57" t="str">
            <v>Co007</v>
          </cell>
          <cell r="L57">
            <v>4.78</v>
          </cell>
        </row>
        <row r="58">
          <cell r="F58" t="str">
            <v>CO004</v>
          </cell>
          <cell r="L58">
            <v>3.69</v>
          </cell>
        </row>
        <row r="59">
          <cell r="F59" t="str">
            <v>CO012</v>
          </cell>
          <cell r="L59">
            <v>2.88</v>
          </cell>
        </row>
        <row r="60">
          <cell r="F60" t="str">
            <v>CO016</v>
          </cell>
          <cell r="L60">
            <v>384</v>
          </cell>
        </row>
        <row r="61">
          <cell r="F61" t="str">
            <v>CO017</v>
          </cell>
          <cell r="L61">
            <v>156</v>
          </cell>
        </row>
        <row r="62">
          <cell r="F62" t="str">
            <v>CO013</v>
          </cell>
          <cell r="L62">
            <v>114</v>
          </cell>
        </row>
        <row r="63">
          <cell r="F63" t="str">
            <v>CO010</v>
          </cell>
          <cell r="L63">
            <v>50</v>
          </cell>
        </row>
        <row r="64">
          <cell r="F64" t="str">
            <v>CO016</v>
          </cell>
          <cell r="L64">
            <v>300</v>
          </cell>
        </row>
        <row r="65">
          <cell r="F65" t="str">
            <v>CO018</v>
          </cell>
          <cell r="L65">
            <v>144</v>
          </cell>
        </row>
        <row r="66">
          <cell r="F66" t="str">
            <v>CO016</v>
          </cell>
          <cell r="L66">
            <v>1200</v>
          </cell>
        </row>
        <row r="67">
          <cell r="F67" t="str">
            <v>CO017</v>
          </cell>
          <cell r="L67">
            <v>276</v>
          </cell>
        </row>
        <row r="68">
          <cell r="F68" t="str">
            <v>GR001</v>
          </cell>
          <cell r="L68">
            <v>6500</v>
          </cell>
        </row>
        <row r="69">
          <cell r="F69" t="str">
            <v>GR012</v>
          </cell>
          <cell r="L69">
            <v>20</v>
          </cell>
        </row>
        <row r="70">
          <cell r="F70" t="str">
            <v>CO001</v>
          </cell>
          <cell r="L70">
            <v>1500</v>
          </cell>
        </row>
        <row r="71">
          <cell r="F71" t="str">
            <v>CO002</v>
          </cell>
          <cell r="L71">
            <v>408</v>
          </cell>
        </row>
        <row r="72">
          <cell r="F72" t="str">
            <v>CO007</v>
          </cell>
          <cell r="L72">
            <v>2469</v>
          </cell>
        </row>
        <row r="73">
          <cell r="F73" t="str">
            <v>CO004</v>
          </cell>
          <cell r="L73">
            <v>720</v>
          </cell>
        </row>
        <row r="74">
          <cell r="F74" t="str">
            <v>CO009</v>
          </cell>
          <cell r="L74">
            <v>24</v>
          </cell>
        </row>
        <row r="75">
          <cell r="F75" t="str">
            <v>CO002</v>
          </cell>
          <cell r="L75">
            <v>252</v>
          </cell>
        </row>
        <row r="76">
          <cell r="F76" t="str">
            <v>GR014</v>
          </cell>
          <cell r="L76">
            <v>140</v>
          </cell>
        </row>
        <row r="77">
          <cell r="F77" t="str">
            <v>GR003</v>
          </cell>
          <cell r="L77">
            <v>200</v>
          </cell>
        </row>
        <row r="78">
          <cell r="F78" t="str">
            <v>CO015</v>
          </cell>
          <cell r="L78">
            <v>10</v>
          </cell>
        </row>
        <row r="79">
          <cell r="F79" t="str">
            <v>CO007</v>
          </cell>
          <cell r="L79">
            <v>847</v>
          </cell>
        </row>
        <row r="80">
          <cell r="F80" t="str">
            <v>CO012</v>
          </cell>
          <cell r="L80">
            <v>84</v>
          </cell>
        </row>
        <row r="81">
          <cell r="F81" t="str">
            <v>GR002</v>
          </cell>
          <cell r="L81">
            <v>3120</v>
          </cell>
        </row>
        <row r="82">
          <cell r="F82" t="str">
            <v>CO002</v>
          </cell>
          <cell r="L82">
            <v>864</v>
          </cell>
        </row>
        <row r="83">
          <cell r="F83" t="str">
            <v>GR007</v>
          </cell>
          <cell r="L83">
            <v>600</v>
          </cell>
        </row>
        <row r="84">
          <cell r="F84" t="str">
            <v>GR005</v>
          </cell>
          <cell r="L84">
            <v>150</v>
          </cell>
        </row>
        <row r="85">
          <cell r="F85" t="str">
            <v>GR008</v>
          </cell>
          <cell r="L85">
            <v>20</v>
          </cell>
        </row>
        <row r="86">
          <cell r="F86" t="str">
            <v>GR009</v>
          </cell>
          <cell r="L86">
            <v>5</v>
          </cell>
        </row>
        <row r="87">
          <cell r="F87" t="str">
            <v>GR010</v>
          </cell>
          <cell r="L87">
            <v>5</v>
          </cell>
        </row>
        <row r="88">
          <cell r="F88" t="str">
            <v>CO015</v>
          </cell>
          <cell r="L88">
            <v>120</v>
          </cell>
        </row>
        <row r="89">
          <cell r="F89" t="str">
            <v>GR004</v>
          </cell>
          <cell r="L89">
            <v>100</v>
          </cell>
        </row>
        <row r="90">
          <cell r="F90" t="str">
            <v>GR015</v>
          </cell>
          <cell r="L90">
            <v>2</v>
          </cell>
        </row>
        <row r="91">
          <cell r="F91" t="str">
            <v>CO016</v>
          </cell>
          <cell r="L91">
            <v>1008</v>
          </cell>
        </row>
        <row r="92">
          <cell r="F92" t="str">
            <v>CO017</v>
          </cell>
          <cell r="L92">
            <v>300</v>
          </cell>
        </row>
        <row r="93">
          <cell r="F93" t="str">
            <v>CO019</v>
          </cell>
          <cell r="L93">
            <v>20</v>
          </cell>
        </row>
        <row r="94">
          <cell r="F94" t="str">
            <v>CO020</v>
          </cell>
          <cell r="L94">
            <v>0</v>
          </cell>
        </row>
        <row r="95">
          <cell r="F95" t="str">
            <v>CO014</v>
          </cell>
          <cell r="L95">
            <v>120</v>
          </cell>
        </row>
        <row r="96">
          <cell r="F96" t="str">
            <v>CO002</v>
          </cell>
          <cell r="L96">
            <v>1732</v>
          </cell>
        </row>
        <row r="97">
          <cell r="F97" t="str">
            <v>CO015</v>
          </cell>
          <cell r="L97">
            <v>128</v>
          </cell>
        </row>
        <row r="98">
          <cell r="F98" t="str">
            <v>GR001</v>
          </cell>
          <cell r="L98">
            <v>4500</v>
          </cell>
        </row>
        <row r="99">
          <cell r="F99" t="str">
            <v>GR011</v>
          </cell>
          <cell r="L99">
            <v>70</v>
          </cell>
        </row>
        <row r="100">
          <cell r="F100" t="str">
            <v>GR013</v>
          </cell>
          <cell r="L100">
            <v>100</v>
          </cell>
        </row>
        <row r="101">
          <cell r="F101" t="str">
            <v>GR005</v>
          </cell>
          <cell r="L101">
            <v>150</v>
          </cell>
        </row>
        <row r="102">
          <cell r="F102" t="str">
            <v>GR006</v>
          </cell>
          <cell r="L102">
            <v>100</v>
          </cell>
        </row>
        <row r="103">
          <cell r="F103" t="str">
            <v>GR007</v>
          </cell>
          <cell r="L103">
            <v>300</v>
          </cell>
        </row>
        <row r="104">
          <cell r="F104" t="str">
            <v>GR015</v>
          </cell>
          <cell r="L104">
            <v>1</v>
          </cell>
        </row>
        <row r="105">
          <cell r="F105" t="str">
            <v>GR008</v>
          </cell>
          <cell r="L105">
            <v>4</v>
          </cell>
        </row>
        <row r="106">
          <cell r="F106" t="str">
            <v>GR011</v>
          </cell>
          <cell r="L106">
            <v>30</v>
          </cell>
        </row>
        <row r="107">
          <cell r="F107" t="str">
            <v>GR005</v>
          </cell>
          <cell r="L107">
            <v>219</v>
          </cell>
        </row>
        <row r="108">
          <cell r="F108" t="str">
            <v>GR008</v>
          </cell>
          <cell r="L108">
            <v>6</v>
          </cell>
        </row>
        <row r="109">
          <cell r="F109" t="str">
            <v>GR009</v>
          </cell>
          <cell r="L109">
            <v>7</v>
          </cell>
        </row>
        <row r="110">
          <cell r="F110" t="str">
            <v>CO007</v>
          </cell>
          <cell r="L110">
            <v>2223</v>
          </cell>
        </row>
        <row r="111">
          <cell r="F111" t="str">
            <v>CO016</v>
          </cell>
          <cell r="L111">
            <v>108</v>
          </cell>
        </row>
        <row r="112">
          <cell r="F112" t="str">
            <v>CO002</v>
          </cell>
          <cell r="L112">
            <v>866</v>
          </cell>
        </row>
        <row r="113">
          <cell r="F113" t="str">
            <v>CO015</v>
          </cell>
          <cell r="L113">
            <v>20</v>
          </cell>
        </row>
        <row r="114">
          <cell r="F114" t="str">
            <v>CO007</v>
          </cell>
          <cell r="L114">
            <v>246</v>
          </cell>
        </row>
        <row r="115">
          <cell r="F115" t="str">
            <v>CG002</v>
          </cell>
          <cell r="L115">
            <v>12</v>
          </cell>
        </row>
        <row r="116">
          <cell r="F116" t="str">
            <v>CO008</v>
          </cell>
          <cell r="L116">
            <v>53</v>
          </cell>
        </row>
        <row r="117">
          <cell r="F117" t="str">
            <v>CG001</v>
          </cell>
          <cell r="L117">
            <v>1620</v>
          </cell>
        </row>
        <row r="118">
          <cell r="F118" t="str">
            <v>CG002</v>
          </cell>
          <cell r="L118">
            <v>108</v>
          </cell>
        </row>
        <row r="119">
          <cell r="F119" t="str">
            <v>CO002</v>
          </cell>
          <cell r="L119">
            <v>3000</v>
          </cell>
        </row>
        <row r="120">
          <cell r="F120" t="str">
            <v>CO015</v>
          </cell>
          <cell r="L120">
            <v>128</v>
          </cell>
        </row>
        <row r="121">
          <cell r="F121" t="str">
            <v>CG002</v>
          </cell>
          <cell r="L121">
            <v>12</v>
          </cell>
        </row>
        <row r="122">
          <cell r="F122" t="str">
            <v>CG001</v>
          </cell>
          <cell r="L122">
            <v>3241.4</v>
          </cell>
        </row>
        <row r="123">
          <cell r="F123" t="str">
            <v>CG002</v>
          </cell>
          <cell r="L123">
            <v>360</v>
          </cell>
        </row>
        <row r="124">
          <cell r="F124" t="str">
            <v>CG001</v>
          </cell>
          <cell r="L124">
            <v>3241.4</v>
          </cell>
        </row>
        <row r="125">
          <cell r="F125" t="str">
            <v>CG001</v>
          </cell>
          <cell r="L125">
            <v>6482.8</v>
          </cell>
        </row>
        <row r="126">
          <cell r="F126" t="str">
            <v>CG002</v>
          </cell>
          <cell r="L126">
            <v>168</v>
          </cell>
        </row>
        <row r="127">
          <cell r="F127" t="str">
            <v>CO014</v>
          </cell>
        </row>
        <row r="128">
          <cell r="F128" t="str">
            <v>CO014</v>
          </cell>
          <cell r="L128">
            <v>35</v>
          </cell>
        </row>
        <row r="129">
          <cell r="F129" t="str">
            <v>CG001</v>
          </cell>
          <cell r="L129">
            <v>3241.4</v>
          </cell>
        </row>
        <row r="130">
          <cell r="F130" t="str">
            <v>CO019a</v>
          </cell>
          <cell r="L130">
            <v>1</v>
          </cell>
        </row>
        <row r="131">
          <cell r="F131" t="str">
            <v>CO019b</v>
          </cell>
          <cell r="L131">
            <v>1</v>
          </cell>
        </row>
        <row r="132">
          <cell r="F132" t="str">
            <v>CO021</v>
          </cell>
          <cell r="L132">
            <v>1</v>
          </cell>
        </row>
        <row r="133">
          <cell r="F133" t="str">
            <v>CO005</v>
          </cell>
          <cell r="L133">
            <v>451</v>
          </cell>
        </row>
        <row r="134">
          <cell r="F134" t="str">
            <v>CG001</v>
          </cell>
          <cell r="L134">
            <v>6482.8</v>
          </cell>
        </row>
        <row r="135">
          <cell r="F135" t="str">
            <v>CO019a</v>
          </cell>
          <cell r="L135">
            <v>1</v>
          </cell>
        </row>
        <row r="136">
          <cell r="F136" t="str">
            <v>CO019b</v>
          </cell>
          <cell r="L136">
            <v>1</v>
          </cell>
        </row>
        <row r="137">
          <cell r="F137" t="str">
            <v>CG001</v>
          </cell>
          <cell r="L137">
            <v>6482.8</v>
          </cell>
        </row>
        <row r="138">
          <cell r="F138" t="str">
            <v>CG001</v>
          </cell>
          <cell r="L138">
            <v>6482.8</v>
          </cell>
        </row>
        <row r="139">
          <cell r="F139" t="str">
            <v>CO005</v>
          </cell>
          <cell r="L139">
            <v>79</v>
          </cell>
        </row>
        <row r="140">
          <cell r="F140" t="str">
            <v>CO001</v>
          </cell>
          <cell r="L140">
            <v>830</v>
          </cell>
        </row>
        <row r="141">
          <cell r="F141" t="str">
            <v>CO011</v>
          </cell>
          <cell r="L141">
            <v>60</v>
          </cell>
        </row>
        <row r="142">
          <cell r="F142" t="str">
            <v>CO014</v>
          </cell>
          <cell r="L142">
            <v>125</v>
          </cell>
        </row>
        <row r="143">
          <cell r="F143" t="str">
            <v>CG002</v>
          </cell>
          <cell r="L143">
            <v>540</v>
          </cell>
        </row>
        <row r="144">
          <cell r="F144" t="str">
            <v>CO019a</v>
          </cell>
          <cell r="L144">
            <v>1</v>
          </cell>
        </row>
        <row r="145">
          <cell r="F145" t="str">
            <v>CO019b</v>
          </cell>
          <cell r="L145">
            <v>1</v>
          </cell>
        </row>
        <row r="146">
          <cell r="F146" t="str">
            <v>CG001</v>
          </cell>
          <cell r="L146">
            <v>6482.8</v>
          </cell>
        </row>
        <row r="147">
          <cell r="F147" t="str">
            <v>CO015</v>
          </cell>
          <cell r="L147">
            <v>52</v>
          </cell>
        </row>
        <row r="148">
          <cell r="F148" t="str">
            <v>CO019a</v>
          </cell>
          <cell r="L148">
            <v>1</v>
          </cell>
        </row>
        <row r="149">
          <cell r="F149" t="str">
            <v>CO019b</v>
          </cell>
          <cell r="L149">
            <v>1</v>
          </cell>
        </row>
        <row r="150">
          <cell r="F150" t="str">
            <v>CO021</v>
          </cell>
          <cell r="L150">
            <v>1</v>
          </cell>
        </row>
        <row r="151">
          <cell r="F151" t="str">
            <v>CG001</v>
          </cell>
          <cell r="L151">
            <v>6482.8</v>
          </cell>
        </row>
        <row r="152">
          <cell r="F152" t="str">
            <v>CG001</v>
          </cell>
          <cell r="L152">
            <v>6482.8</v>
          </cell>
        </row>
        <row r="153">
          <cell r="F153" t="str">
            <v>CO019a</v>
          </cell>
          <cell r="L153">
            <v>2</v>
          </cell>
        </row>
        <row r="154">
          <cell r="F154" t="str">
            <v>CO019b</v>
          </cell>
          <cell r="L154">
            <v>2</v>
          </cell>
        </row>
        <row r="155">
          <cell r="F155" t="str">
            <v>CG001</v>
          </cell>
          <cell r="L155">
            <v>6482.8</v>
          </cell>
        </row>
        <row r="156">
          <cell r="F156" t="str">
            <v>CG001</v>
          </cell>
          <cell r="L156">
            <v>6482.8</v>
          </cell>
        </row>
        <row r="157">
          <cell r="F157" t="str">
            <v>CG001</v>
          </cell>
          <cell r="L157">
            <v>3241.4</v>
          </cell>
        </row>
        <row r="158">
          <cell r="F158" t="str">
            <v>CG004</v>
          </cell>
          <cell r="L158">
            <v>1</v>
          </cell>
        </row>
        <row r="159">
          <cell r="F159" t="str">
            <v>CG003</v>
          </cell>
          <cell r="L159">
            <v>1</v>
          </cell>
        </row>
        <row r="160">
          <cell r="F160" t="str">
            <v>CG001</v>
          </cell>
          <cell r="L160">
            <v>6482.8</v>
          </cell>
        </row>
        <row r="161">
          <cell r="F161" t="str">
            <v>CG001</v>
          </cell>
          <cell r="L161">
            <v>5672.4500000000007</v>
          </cell>
        </row>
        <row r="162">
          <cell r="F162" t="str">
            <v>CG001</v>
          </cell>
          <cell r="L162">
            <v>8638</v>
          </cell>
        </row>
        <row r="163">
          <cell r="F163" t="str">
            <v>CO008.1</v>
          </cell>
          <cell r="L163">
            <v>18</v>
          </cell>
        </row>
        <row r="164">
          <cell r="F164" t="str">
            <v>CO015.1</v>
          </cell>
          <cell r="L164">
            <v>9</v>
          </cell>
        </row>
        <row r="165">
          <cell r="F165" t="str">
            <v>CG001</v>
          </cell>
          <cell r="L165">
            <v>12965.6</v>
          </cell>
        </row>
      </sheetData>
      <sheetData sheetId="2">
        <row r="3">
          <cell r="D3" t="str">
            <v>Material No.</v>
          </cell>
          <cell r="L3" t="str">
            <v>Q'TY</v>
          </cell>
        </row>
        <row r="5">
          <cell r="D5" t="str">
            <v>GR001</v>
          </cell>
          <cell r="L5">
            <v>12796.6</v>
          </cell>
        </row>
        <row r="6">
          <cell r="D6" t="str">
            <v>GR002</v>
          </cell>
          <cell r="L6">
            <v>18</v>
          </cell>
        </row>
        <row r="7">
          <cell r="D7" t="str">
            <v>GR003</v>
          </cell>
          <cell r="L7">
            <v>9</v>
          </cell>
        </row>
        <row r="8">
          <cell r="D8" t="str">
            <v>GR004</v>
          </cell>
          <cell r="L8">
            <v>5</v>
          </cell>
        </row>
        <row r="9">
          <cell r="D9" t="str">
            <v>GR005</v>
          </cell>
          <cell r="L9">
            <v>94</v>
          </cell>
        </row>
        <row r="10">
          <cell r="D10" t="str">
            <v>GR006</v>
          </cell>
          <cell r="L10">
            <v>2</v>
          </cell>
        </row>
        <row r="11">
          <cell r="D11" t="str">
            <v>GR007</v>
          </cell>
          <cell r="L11">
            <v>678</v>
          </cell>
        </row>
        <row r="12">
          <cell r="D12" t="str">
            <v>GR008</v>
          </cell>
          <cell r="L12">
            <v>12</v>
          </cell>
        </row>
        <row r="13">
          <cell r="D13" t="str">
            <v>GR009</v>
          </cell>
          <cell r="L13">
            <v>0</v>
          </cell>
        </row>
        <row r="14">
          <cell r="D14" t="str">
            <v>GR010</v>
          </cell>
          <cell r="L14">
            <v>1</v>
          </cell>
        </row>
        <row r="15">
          <cell r="D15" t="str">
            <v>GR011</v>
          </cell>
          <cell r="L15">
            <v>87</v>
          </cell>
        </row>
        <row r="16">
          <cell r="D16" t="str">
            <v>GR012</v>
          </cell>
          <cell r="L16">
            <v>0</v>
          </cell>
        </row>
        <row r="17">
          <cell r="D17" t="str">
            <v>GR013</v>
          </cell>
          <cell r="L17">
            <v>563</v>
          </cell>
        </row>
        <row r="18">
          <cell r="D18" t="str">
            <v>GR015</v>
          </cell>
          <cell r="L18">
            <v>2</v>
          </cell>
        </row>
        <row r="19">
          <cell r="D19" t="str">
            <v>CO001</v>
          </cell>
          <cell r="L19">
            <v>934</v>
          </cell>
        </row>
        <row r="20">
          <cell r="D20" t="str">
            <v>CO002</v>
          </cell>
          <cell r="L20">
            <v>1398</v>
          </cell>
        </row>
        <row r="21">
          <cell r="D21" t="str">
            <v>XX-CO003</v>
          </cell>
          <cell r="L21">
            <v>0</v>
          </cell>
        </row>
        <row r="22">
          <cell r="D22" t="str">
            <v>CO003</v>
          </cell>
          <cell r="L22">
            <v>-24</v>
          </cell>
        </row>
        <row r="23">
          <cell r="D23" t="str">
            <v>CO004</v>
          </cell>
          <cell r="L23">
            <v>1085.5</v>
          </cell>
        </row>
        <row r="24">
          <cell r="D24" t="str">
            <v>CO005</v>
          </cell>
          <cell r="L24">
            <v>0</v>
          </cell>
        </row>
        <row r="25">
          <cell r="D25" t="str">
            <v>XX-CO006</v>
          </cell>
          <cell r="L25">
            <v>0</v>
          </cell>
        </row>
        <row r="26">
          <cell r="D26" t="str">
            <v>CO007</v>
          </cell>
          <cell r="L26">
            <v>4447.3879999999999</v>
          </cell>
        </row>
        <row r="27">
          <cell r="D27" t="str">
            <v>XX-CO008</v>
          </cell>
          <cell r="L27">
            <v>0</v>
          </cell>
        </row>
        <row r="28">
          <cell r="D28" t="str">
            <v>CO009</v>
          </cell>
          <cell r="L28">
            <v>0</v>
          </cell>
        </row>
        <row r="29">
          <cell r="D29" t="str">
            <v>CO010</v>
          </cell>
          <cell r="L29">
            <v>180</v>
          </cell>
        </row>
        <row r="30">
          <cell r="D30" t="str">
            <v>CO011</v>
          </cell>
          <cell r="L30">
            <v>0</v>
          </cell>
        </row>
        <row r="31">
          <cell r="D31" t="str">
            <v>CO012</v>
          </cell>
          <cell r="L31">
            <v>30</v>
          </cell>
        </row>
        <row r="32">
          <cell r="D32" t="str">
            <v>CO013</v>
          </cell>
          <cell r="L32">
            <v>423</v>
          </cell>
        </row>
        <row r="33">
          <cell r="D33" t="str">
            <v>CO014</v>
          </cell>
          <cell r="L33">
            <v>78</v>
          </cell>
        </row>
        <row r="34">
          <cell r="D34" t="str">
            <v>CO015</v>
          </cell>
          <cell r="L34">
            <v>24</v>
          </cell>
        </row>
        <row r="35">
          <cell r="D35" t="str">
            <v>CO016</v>
          </cell>
          <cell r="L35">
            <v>1843</v>
          </cell>
        </row>
        <row r="36">
          <cell r="D36" t="str">
            <v>CO017</v>
          </cell>
          <cell r="L36">
            <v>361.9</v>
          </cell>
        </row>
        <row r="37">
          <cell r="D37" t="str">
            <v>CO018</v>
          </cell>
          <cell r="L37">
            <v>34</v>
          </cell>
        </row>
        <row r="38">
          <cell r="D38" t="str">
            <v>CO019a</v>
          </cell>
          <cell r="L38">
            <v>5</v>
          </cell>
        </row>
        <row r="39">
          <cell r="D39" t="str">
            <v>CO019b</v>
          </cell>
          <cell r="L39">
            <v>5</v>
          </cell>
        </row>
        <row r="40">
          <cell r="D40" t="str">
            <v>CO020</v>
          </cell>
          <cell r="L40">
            <v>0</v>
          </cell>
        </row>
        <row r="41">
          <cell r="D41" t="str">
            <v>CO021</v>
          </cell>
          <cell r="L41">
            <v>1</v>
          </cell>
        </row>
        <row r="42">
          <cell r="D42" t="str">
            <v>CG001</v>
          </cell>
          <cell r="L42">
            <v>4181.6000000000004</v>
          </cell>
        </row>
        <row r="43">
          <cell r="D43" t="str">
            <v>CG002</v>
          </cell>
          <cell r="L43">
            <v>385</v>
          </cell>
        </row>
        <row r="44">
          <cell r="D44" t="str">
            <v>CO018</v>
          </cell>
          <cell r="L44">
            <v>1</v>
          </cell>
        </row>
        <row r="45">
          <cell r="D45" t="str">
            <v>CO004</v>
          </cell>
          <cell r="L45">
            <v>4.5</v>
          </cell>
        </row>
        <row r="46">
          <cell r="D46" t="str">
            <v>CG001</v>
          </cell>
          <cell r="L46">
            <v>78</v>
          </cell>
        </row>
        <row r="47">
          <cell r="D47" t="str">
            <v>CG001</v>
          </cell>
          <cell r="L47">
            <v>72</v>
          </cell>
        </row>
        <row r="48">
          <cell r="D48" t="str">
            <v>CG001</v>
          </cell>
          <cell r="L48">
            <v>78</v>
          </cell>
        </row>
        <row r="49">
          <cell r="D49" t="str">
            <v>CG002</v>
          </cell>
          <cell r="L49">
            <v>50</v>
          </cell>
        </row>
        <row r="50">
          <cell r="D50" t="str">
            <v>CO016</v>
          </cell>
          <cell r="L50">
            <v>25</v>
          </cell>
        </row>
        <row r="51">
          <cell r="D51" t="str">
            <v>CO016</v>
          </cell>
          <cell r="L51">
            <v>6</v>
          </cell>
        </row>
        <row r="52">
          <cell r="D52" t="str">
            <v>CO007</v>
          </cell>
          <cell r="L52">
            <v>10</v>
          </cell>
        </row>
        <row r="53">
          <cell r="D53" t="str">
            <v>CG001</v>
          </cell>
          <cell r="L53">
            <v>30</v>
          </cell>
        </row>
        <row r="54">
          <cell r="D54" t="str">
            <v>CG001</v>
          </cell>
          <cell r="L54">
            <v>97</v>
          </cell>
        </row>
        <row r="55">
          <cell r="D55" t="str">
            <v>CG001</v>
          </cell>
          <cell r="L55">
            <v>105</v>
          </cell>
        </row>
        <row r="56">
          <cell r="D56" t="str">
            <v>CG001</v>
          </cell>
          <cell r="L56">
            <v>100</v>
          </cell>
        </row>
        <row r="57">
          <cell r="D57" t="str">
            <v>CG001</v>
          </cell>
          <cell r="L57">
            <v>480</v>
          </cell>
        </row>
        <row r="58">
          <cell r="D58" t="str">
            <v>CG001</v>
          </cell>
          <cell r="L58">
            <v>280</v>
          </cell>
        </row>
        <row r="59">
          <cell r="D59" t="str">
            <v>GR001</v>
          </cell>
          <cell r="L59">
            <v>505</v>
          </cell>
        </row>
        <row r="60">
          <cell r="D60" t="str">
            <v>GR005</v>
          </cell>
          <cell r="L60">
            <v>4</v>
          </cell>
        </row>
        <row r="61">
          <cell r="D61" t="str">
            <v>GR007</v>
          </cell>
          <cell r="L61">
            <v>32</v>
          </cell>
        </row>
        <row r="62">
          <cell r="D62" t="str">
            <v>GR011</v>
          </cell>
          <cell r="L62">
            <v>4</v>
          </cell>
        </row>
        <row r="63">
          <cell r="D63" t="str">
            <v>GR013</v>
          </cell>
          <cell r="L63">
            <v>14</v>
          </cell>
        </row>
        <row r="64">
          <cell r="D64" t="str">
            <v>CG001</v>
          </cell>
          <cell r="L64">
            <v>150</v>
          </cell>
        </row>
        <row r="65">
          <cell r="D65" t="str">
            <v>CG001</v>
          </cell>
          <cell r="L65">
            <v>300</v>
          </cell>
        </row>
        <row r="66">
          <cell r="D66" t="str">
            <v>CG001</v>
          </cell>
          <cell r="L66">
            <v>200</v>
          </cell>
        </row>
        <row r="67">
          <cell r="D67" t="str">
            <v>CG001</v>
          </cell>
          <cell r="L67">
            <v>360</v>
          </cell>
        </row>
        <row r="68">
          <cell r="D68" t="str">
            <v>CG001</v>
          </cell>
          <cell r="L68">
            <v>410</v>
          </cell>
        </row>
        <row r="69">
          <cell r="D69" t="str">
            <v>CG001</v>
          </cell>
          <cell r="L69">
            <v>60</v>
          </cell>
        </row>
        <row r="70">
          <cell r="D70" t="str">
            <v>CG001</v>
          </cell>
          <cell r="L70">
            <v>400</v>
          </cell>
        </row>
        <row r="71">
          <cell r="D71" t="str">
            <v>CO016</v>
          </cell>
        </row>
        <row r="72">
          <cell r="D72" t="str">
            <v>CG001</v>
          </cell>
          <cell r="L72">
            <v>300</v>
          </cell>
        </row>
        <row r="73">
          <cell r="D73" t="str">
            <v>CG001</v>
          </cell>
          <cell r="L73">
            <v>400</v>
          </cell>
        </row>
        <row r="74">
          <cell r="D74" t="str">
            <v>CG001</v>
          </cell>
          <cell r="L74">
            <v>140</v>
          </cell>
        </row>
        <row r="75">
          <cell r="D75" t="str">
            <v>CG001</v>
          </cell>
          <cell r="L75">
            <v>175</v>
          </cell>
        </row>
        <row r="76">
          <cell r="D76" t="str">
            <v>CG002</v>
          </cell>
          <cell r="L76">
            <v>5</v>
          </cell>
        </row>
        <row r="77">
          <cell r="D77" t="str">
            <v>CO016</v>
          </cell>
          <cell r="L77">
            <v>6</v>
          </cell>
        </row>
        <row r="78">
          <cell r="D78" t="str">
            <v>GR001</v>
          </cell>
          <cell r="L78">
            <v>100</v>
          </cell>
        </row>
        <row r="79">
          <cell r="D79" t="str">
            <v>GR007</v>
          </cell>
          <cell r="L79">
            <v>20</v>
          </cell>
        </row>
        <row r="80">
          <cell r="D80" t="str">
            <v>GR001</v>
          </cell>
          <cell r="L80">
            <v>60</v>
          </cell>
        </row>
        <row r="81">
          <cell r="D81" t="str">
            <v>GR001</v>
          </cell>
          <cell r="L81">
            <v>60</v>
          </cell>
        </row>
        <row r="82">
          <cell r="D82" t="str">
            <v>CG001</v>
          </cell>
          <cell r="L82">
            <v>670</v>
          </cell>
        </row>
        <row r="83">
          <cell r="D83" t="str">
            <v>CG001</v>
          </cell>
          <cell r="L83">
            <v>180</v>
          </cell>
        </row>
        <row r="84">
          <cell r="D84" t="str">
            <v>CG001</v>
          </cell>
          <cell r="L84">
            <v>280</v>
          </cell>
        </row>
        <row r="85">
          <cell r="D85" t="str">
            <v>GR007</v>
          </cell>
          <cell r="L85">
            <v>10</v>
          </cell>
        </row>
        <row r="86">
          <cell r="D86" t="str">
            <v>CO007</v>
          </cell>
          <cell r="L86">
            <v>40</v>
          </cell>
        </row>
        <row r="87">
          <cell r="D87" t="str">
            <v>CO004</v>
          </cell>
          <cell r="L87">
            <v>80</v>
          </cell>
        </row>
        <row r="88">
          <cell r="D88" t="str">
            <v>CO007</v>
          </cell>
          <cell r="L88">
            <v>84</v>
          </cell>
        </row>
        <row r="89">
          <cell r="D89" t="str">
            <v>CO003</v>
          </cell>
          <cell r="L89">
            <v>24</v>
          </cell>
        </row>
        <row r="90">
          <cell r="D90" t="str">
            <v>GR001</v>
          </cell>
          <cell r="L90">
            <v>60</v>
          </cell>
        </row>
        <row r="91">
          <cell r="D91" t="str">
            <v>CG001</v>
          </cell>
          <cell r="L91">
            <v>60</v>
          </cell>
        </row>
        <row r="92">
          <cell r="D92" t="str">
            <v>CG001</v>
          </cell>
          <cell r="L92">
            <v>375</v>
          </cell>
        </row>
        <row r="93">
          <cell r="D93" t="str">
            <v>CO016</v>
          </cell>
          <cell r="L93">
            <v>4</v>
          </cell>
        </row>
        <row r="94">
          <cell r="D94" t="str">
            <v>CG002</v>
          </cell>
          <cell r="L94">
            <v>12</v>
          </cell>
        </row>
        <row r="95">
          <cell r="D95" t="str">
            <v>CO017</v>
          </cell>
          <cell r="L95">
            <v>3</v>
          </cell>
        </row>
        <row r="96">
          <cell r="D96" t="str">
            <v>CG002</v>
          </cell>
          <cell r="L96">
            <v>12</v>
          </cell>
        </row>
        <row r="97">
          <cell r="D97" t="str">
            <v>CO016</v>
          </cell>
          <cell r="L97">
            <v>4</v>
          </cell>
        </row>
        <row r="98">
          <cell r="D98" t="str">
            <v>CO016</v>
          </cell>
          <cell r="L98">
            <v>10</v>
          </cell>
        </row>
        <row r="99">
          <cell r="D99" t="str">
            <v>CG002</v>
          </cell>
          <cell r="L99">
            <v>30</v>
          </cell>
        </row>
        <row r="100">
          <cell r="D100" t="str">
            <v>CO016</v>
          </cell>
          <cell r="L100">
            <v>24</v>
          </cell>
        </row>
        <row r="101">
          <cell r="D101" t="str">
            <v>CO016</v>
          </cell>
          <cell r="L101">
            <v>36</v>
          </cell>
        </row>
        <row r="102">
          <cell r="D102" t="str">
            <v>CG001</v>
          </cell>
          <cell r="L102">
            <v>600</v>
          </cell>
        </row>
        <row r="103">
          <cell r="D103" t="str">
            <v>CO010</v>
          </cell>
          <cell r="L103">
            <v>8</v>
          </cell>
        </row>
        <row r="104">
          <cell r="D104" t="str">
            <v>CO012</v>
          </cell>
          <cell r="L104">
            <v>1</v>
          </cell>
        </row>
        <row r="105">
          <cell r="D105" t="str">
            <v>CG001</v>
          </cell>
          <cell r="L105">
            <v>33</v>
          </cell>
        </row>
        <row r="106">
          <cell r="D106" t="str">
            <v>CG001</v>
          </cell>
          <cell r="L106">
            <v>120</v>
          </cell>
        </row>
        <row r="107">
          <cell r="D107" t="str">
            <v>CG001</v>
          </cell>
          <cell r="L107">
            <v>160</v>
          </cell>
        </row>
        <row r="108">
          <cell r="D108" t="str">
            <v>CO016</v>
          </cell>
          <cell r="L108">
            <v>60</v>
          </cell>
        </row>
        <row r="109">
          <cell r="D109" t="str">
            <v>CO016</v>
          </cell>
          <cell r="L109">
            <v>60</v>
          </cell>
        </row>
        <row r="110">
          <cell r="D110" t="str">
            <v>CG001</v>
          </cell>
          <cell r="L110">
            <v>260</v>
          </cell>
        </row>
        <row r="111">
          <cell r="D111" t="str">
            <v>CG001</v>
          </cell>
          <cell r="L111">
            <v>120</v>
          </cell>
        </row>
        <row r="112">
          <cell r="D112" t="str">
            <v>GR001</v>
          </cell>
          <cell r="L112">
            <v>35</v>
          </cell>
        </row>
        <row r="113">
          <cell r="D113" t="str">
            <v>CG001</v>
          </cell>
          <cell r="L113">
            <v>168</v>
          </cell>
        </row>
        <row r="114">
          <cell r="D114" t="str">
            <v>CG001</v>
          </cell>
          <cell r="L114">
            <v>600</v>
          </cell>
        </row>
        <row r="115">
          <cell r="D115" t="str">
            <v>CG002</v>
          </cell>
          <cell r="L115">
            <v>12</v>
          </cell>
        </row>
        <row r="116">
          <cell r="D116" t="str">
            <v>CO014</v>
          </cell>
          <cell r="L116">
            <v>42</v>
          </cell>
        </row>
        <row r="117">
          <cell r="D117" t="str">
            <v>CO016</v>
          </cell>
          <cell r="L117">
            <v>12</v>
          </cell>
        </row>
        <row r="118">
          <cell r="D118" t="str">
            <v>GR012</v>
          </cell>
          <cell r="L118">
            <v>1</v>
          </cell>
        </row>
        <row r="119">
          <cell r="D119" t="str">
            <v>CO016</v>
          </cell>
          <cell r="L119">
            <v>12</v>
          </cell>
        </row>
        <row r="120">
          <cell r="D120" t="str">
            <v>CG001</v>
          </cell>
          <cell r="L120">
            <v>360</v>
          </cell>
        </row>
        <row r="121">
          <cell r="D121" t="str">
            <v>CG002</v>
          </cell>
          <cell r="L121">
            <v>12</v>
          </cell>
        </row>
        <row r="122">
          <cell r="D122" t="str">
            <v>CG001</v>
          </cell>
          <cell r="L122">
            <v>200</v>
          </cell>
        </row>
        <row r="123">
          <cell r="D123" t="str">
            <v>CG002</v>
          </cell>
          <cell r="L123">
            <v>12</v>
          </cell>
        </row>
        <row r="124">
          <cell r="D124" t="str">
            <v>CG001</v>
          </cell>
          <cell r="L124">
            <v>200</v>
          </cell>
        </row>
        <row r="125">
          <cell r="D125" t="str">
            <v>CO007</v>
          </cell>
          <cell r="L125">
            <v>173</v>
          </cell>
        </row>
        <row r="126">
          <cell r="D126" t="str">
            <v>CG001</v>
          </cell>
          <cell r="L126">
            <v>422</v>
          </cell>
        </row>
        <row r="127">
          <cell r="D127" t="str">
            <v>CO016</v>
          </cell>
          <cell r="L127">
            <v>12</v>
          </cell>
        </row>
        <row r="128">
          <cell r="D128" t="str">
            <v>CO017</v>
          </cell>
          <cell r="L128">
            <v>13.5</v>
          </cell>
        </row>
        <row r="129">
          <cell r="D129" t="str">
            <v>CG001</v>
          </cell>
          <cell r="L129">
            <v>388</v>
          </cell>
        </row>
        <row r="130">
          <cell r="D130" t="str">
            <v>CG001</v>
          </cell>
          <cell r="L130">
            <v>250</v>
          </cell>
        </row>
        <row r="131">
          <cell r="D131" t="str">
            <v>GR009</v>
          </cell>
          <cell r="L131">
            <v>1</v>
          </cell>
        </row>
        <row r="132">
          <cell r="D132" t="str">
            <v>GR005</v>
          </cell>
          <cell r="L132">
            <v>10</v>
          </cell>
        </row>
        <row r="133">
          <cell r="D133" t="str">
            <v>GR002</v>
          </cell>
          <cell r="L133">
            <v>52</v>
          </cell>
        </row>
        <row r="134">
          <cell r="D134" t="str">
            <v>GR013</v>
          </cell>
          <cell r="L134">
            <v>50</v>
          </cell>
        </row>
        <row r="135">
          <cell r="D135" t="str">
            <v>CO016</v>
          </cell>
          <cell r="L135">
            <v>36</v>
          </cell>
        </row>
        <row r="136">
          <cell r="D136" t="str">
            <v>CO016</v>
          </cell>
          <cell r="L136">
            <v>12</v>
          </cell>
        </row>
        <row r="137">
          <cell r="D137" t="str">
            <v>co016</v>
          </cell>
          <cell r="L137">
            <v>36</v>
          </cell>
        </row>
        <row r="138">
          <cell r="D138" t="str">
            <v>CG001</v>
          </cell>
          <cell r="L138">
            <v>600</v>
          </cell>
        </row>
        <row r="139">
          <cell r="D139" t="str">
            <v>CG002</v>
          </cell>
          <cell r="L139">
            <v>12</v>
          </cell>
        </row>
        <row r="140">
          <cell r="D140" t="str">
            <v>co016</v>
          </cell>
          <cell r="L140">
            <v>12</v>
          </cell>
        </row>
        <row r="141">
          <cell r="D141" t="str">
            <v>GR005</v>
          </cell>
          <cell r="L141">
            <v>10</v>
          </cell>
        </row>
        <row r="142">
          <cell r="D142" t="str">
            <v>GR002</v>
          </cell>
          <cell r="L142">
            <v>126</v>
          </cell>
        </row>
        <row r="143">
          <cell r="D143" t="str">
            <v>GR013</v>
          </cell>
          <cell r="L143">
            <v>100</v>
          </cell>
        </row>
        <row r="144">
          <cell r="D144" t="str">
            <v>co016</v>
          </cell>
          <cell r="L144">
            <v>12</v>
          </cell>
        </row>
        <row r="145">
          <cell r="D145" t="str">
            <v>CG001</v>
          </cell>
          <cell r="L145">
            <v>60</v>
          </cell>
        </row>
        <row r="146">
          <cell r="D146" t="str">
            <v>GR013</v>
          </cell>
          <cell r="L146">
            <v>30</v>
          </cell>
        </row>
        <row r="147">
          <cell r="D147" t="str">
            <v>CG002</v>
          </cell>
          <cell r="L147">
            <v>6</v>
          </cell>
        </row>
        <row r="148">
          <cell r="D148" t="str">
            <v>CG002</v>
          </cell>
          <cell r="L148">
            <v>12</v>
          </cell>
        </row>
        <row r="149">
          <cell r="D149" t="str">
            <v>CG001</v>
          </cell>
          <cell r="L149">
            <v>350</v>
          </cell>
        </row>
        <row r="150">
          <cell r="D150" t="str">
            <v>CG001</v>
          </cell>
          <cell r="L150">
            <v>230</v>
          </cell>
        </row>
        <row r="151">
          <cell r="D151" t="str">
            <v>CG001</v>
          </cell>
          <cell r="L151">
            <v>240</v>
          </cell>
        </row>
        <row r="152">
          <cell r="D152" t="str">
            <v>CG002</v>
          </cell>
          <cell r="L152">
            <v>12</v>
          </cell>
        </row>
        <row r="153">
          <cell r="D153" t="str">
            <v>CG002</v>
          </cell>
          <cell r="L153">
            <v>60</v>
          </cell>
        </row>
        <row r="154">
          <cell r="D154" t="str">
            <v>CG001</v>
          </cell>
          <cell r="L154">
            <v>412</v>
          </cell>
        </row>
        <row r="155">
          <cell r="D155" t="str">
            <v>CG001</v>
          </cell>
          <cell r="L155">
            <v>80</v>
          </cell>
        </row>
        <row r="156">
          <cell r="D156" t="str">
            <v>co016</v>
          </cell>
          <cell r="L156">
            <v>48</v>
          </cell>
        </row>
        <row r="157">
          <cell r="D157" t="str">
            <v>CO012</v>
          </cell>
          <cell r="L157">
            <v>1.5</v>
          </cell>
        </row>
        <row r="158">
          <cell r="D158" t="str">
            <v>CO007</v>
          </cell>
          <cell r="L158">
            <v>20</v>
          </cell>
        </row>
        <row r="159">
          <cell r="D159" t="str">
            <v>cg001</v>
          </cell>
          <cell r="L159">
            <v>160</v>
          </cell>
        </row>
        <row r="160">
          <cell r="D160" t="str">
            <v>co016</v>
          </cell>
          <cell r="L160">
            <v>24</v>
          </cell>
        </row>
        <row r="161">
          <cell r="D161" t="str">
            <v>co016</v>
          </cell>
          <cell r="L161">
            <v>24</v>
          </cell>
        </row>
        <row r="162">
          <cell r="D162" t="str">
            <v>CO012</v>
          </cell>
          <cell r="L162">
            <v>1.5</v>
          </cell>
        </row>
        <row r="163">
          <cell r="D163" t="str">
            <v>co016</v>
          </cell>
          <cell r="L163">
            <v>12</v>
          </cell>
        </row>
        <row r="164">
          <cell r="D164" t="str">
            <v>co016</v>
          </cell>
          <cell r="L164">
            <v>12</v>
          </cell>
        </row>
        <row r="165">
          <cell r="D165" t="str">
            <v>cg001</v>
          </cell>
          <cell r="L165">
            <v>390</v>
          </cell>
        </row>
        <row r="166">
          <cell r="D166" t="str">
            <v>cg001</v>
          </cell>
          <cell r="L166">
            <v>350</v>
          </cell>
        </row>
        <row r="167">
          <cell r="D167" t="str">
            <v>CO007</v>
          </cell>
          <cell r="L167">
            <v>133</v>
          </cell>
        </row>
        <row r="168">
          <cell r="D168" t="str">
            <v>cg001</v>
          </cell>
          <cell r="L168">
            <v>340</v>
          </cell>
        </row>
        <row r="169">
          <cell r="D169" t="str">
            <v>cg001</v>
          </cell>
          <cell r="L169">
            <v>300</v>
          </cell>
        </row>
        <row r="170">
          <cell r="D170" t="str">
            <v>cg001</v>
          </cell>
          <cell r="L170">
            <v>250</v>
          </cell>
        </row>
        <row r="171">
          <cell r="D171" t="str">
            <v>Co016</v>
          </cell>
          <cell r="L171">
            <v>48</v>
          </cell>
        </row>
        <row r="172">
          <cell r="D172" t="str">
            <v>GR001</v>
          </cell>
          <cell r="L172">
            <v>112.5</v>
          </cell>
        </row>
        <row r="173">
          <cell r="D173" t="str">
            <v>GR005</v>
          </cell>
          <cell r="L173">
            <v>10</v>
          </cell>
        </row>
        <row r="174">
          <cell r="D174" t="str">
            <v>CG002</v>
          </cell>
          <cell r="L174">
            <v>6</v>
          </cell>
        </row>
        <row r="175">
          <cell r="D175" t="str">
            <v>cg001</v>
          </cell>
          <cell r="L175">
            <v>250</v>
          </cell>
        </row>
        <row r="176">
          <cell r="D176" t="str">
            <v>Co016</v>
          </cell>
          <cell r="L176">
            <v>36</v>
          </cell>
        </row>
        <row r="177">
          <cell r="D177" t="str">
            <v>CG002</v>
          </cell>
          <cell r="L177">
            <v>6</v>
          </cell>
        </row>
        <row r="178">
          <cell r="D178" t="str">
            <v>CG001</v>
          </cell>
          <cell r="L178">
            <v>110</v>
          </cell>
        </row>
        <row r="179">
          <cell r="D179" t="str">
            <v>Co016</v>
          </cell>
          <cell r="L179">
            <v>12</v>
          </cell>
        </row>
        <row r="180">
          <cell r="D180" t="str">
            <v>Co016</v>
          </cell>
          <cell r="L180">
            <v>24</v>
          </cell>
        </row>
        <row r="181">
          <cell r="D181" t="str">
            <v>CG001</v>
          </cell>
          <cell r="L181">
            <v>400</v>
          </cell>
        </row>
        <row r="182">
          <cell r="D182" t="str">
            <v>CO012</v>
          </cell>
          <cell r="L182">
            <v>12</v>
          </cell>
        </row>
        <row r="183">
          <cell r="D183" t="str">
            <v>cg001</v>
          </cell>
          <cell r="L183">
            <v>350</v>
          </cell>
        </row>
        <row r="184">
          <cell r="D184" t="str">
            <v>Co016</v>
          </cell>
          <cell r="L184">
            <v>12</v>
          </cell>
        </row>
        <row r="185">
          <cell r="D185" t="str">
            <v>CO007</v>
          </cell>
          <cell r="L185">
            <v>6.5</v>
          </cell>
        </row>
        <row r="186">
          <cell r="D186" t="str">
            <v>Co016</v>
          </cell>
          <cell r="L186">
            <v>48</v>
          </cell>
        </row>
        <row r="187">
          <cell r="D187" t="str">
            <v>cg001</v>
          </cell>
          <cell r="L187">
            <v>600</v>
          </cell>
        </row>
        <row r="188">
          <cell r="D188" t="str">
            <v>cg001</v>
          </cell>
          <cell r="L188">
            <v>250</v>
          </cell>
        </row>
        <row r="189">
          <cell r="D189" t="str">
            <v>Co016</v>
          </cell>
          <cell r="L189">
            <v>12</v>
          </cell>
        </row>
        <row r="190">
          <cell r="D190" t="str">
            <v>CG002</v>
          </cell>
          <cell r="L190">
            <v>6</v>
          </cell>
        </row>
        <row r="191">
          <cell r="D191" t="str">
            <v>CG002</v>
          </cell>
          <cell r="L191">
            <v>6</v>
          </cell>
        </row>
        <row r="192">
          <cell r="D192" t="str">
            <v>cg001</v>
          </cell>
          <cell r="L192">
            <v>500</v>
          </cell>
        </row>
        <row r="193">
          <cell r="D193" t="str">
            <v>CO007</v>
          </cell>
          <cell r="L193">
            <v>2</v>
          </cell>
        </row>
        <row r="194">
          <cell r="D194" t="str">
            <v>CO004</v>
          </cell>
          <cell r="L194">
            <v>6</v>
          </cell>
        </row>
        <row r="195">
          <cell r="D195" t="str">
            <v>CO012</v>
          </cell>
          <cell r="L195">
            <v>2</v>
          </cell>
        </row>
        <row r="196">
          <cell r="D196" t="str">
            <v>CO009</v>
          </cell>
          <cell r="L196">
            <v>1</v>
          </cell>
        </row>
        <row r="197">
          <cell r="D197" t="str">
            <v>CG002</v>
          </cell>
          <cell r="L197">
            <v>6</v>
          </cell>
        </row>
        <row r="198">
          <cell r="D198" t="str">
            <v>cg001</v>
          </cell>
          <cell r="L198">
            <v>300</v>
          </cell>
        </row>
        <row r="199">
          <cell r="D199" t="str">
            <v>cg001</v>
          </cell>
          <cell r="L199">
            <v>70</v>
          </cell>
        </row>
        <row r="200">
          <cell r="D200" t="str">
            <v>CG002</v>
          </cell>
          <cell r="L200">
            <v>6</v>
          </cell>
        </row>
        <row r="201">
          <cell r="D201" t="str">
            <v>Co016</v>
          </cell>
          <cell r="L201">
            <v>12</v>
          </cell>
        </row>
        <row r="202">
          <cell r="D202" t="str">
            <v>CG001</v>
          </cell>
          <cell r="L202">
            <v>500</v>
          </cell>
        </row>
        <row r="203">
          <cell r="D203" t="str">
            <v>CG002</v>
          </cell>
          <cell r="L203">
            <v>18</v>
          </cell>
        </row>
        <row r="204">
          <cell r="D204" t="str">
            <v>cg001</v>
          </cell>
          <cell r="L204">
            <v>670</v>
          </cell>
        </row>
        <row r="205">
          <cell r="D205" t="str">
            <v>cg002</v>
          </cell>
          <cell r="L205">
            <v>12</v>
          </cell>
        </row>
        <row r="206">
          <cell r="D206" t="str">
            <v>CG001</v>
          </cell>
          <cell r="L206">
            <v>150</v>
          </cell>
        </row>
        <row r="207">
          <cell r="D207" t="str">
            <v>CO009</v>
          </cell>
          <cell r="L207">
            <v>0.3</v>
          </cell>
        </row>
        <row r="208">
          <cell r="D208" t="str">
            <v>Co016</v>
          </cell>
          <cell r="L208">
            <v>48</v>
          </cell>
        </row>
        <row r="209">
          <cell r="D209" t="str">
            <v>CO007</v>
          </cell>
          <cell r="L209">
            <v>10</v>
          </cell>
        </row>
        <row r="210">
          <cell r="D210" t="str">
            <v>cg002</v>
          </cell>
          <cell r="L210">
            <v>12</v>
          </cell>
        </row>
        <row r="211">
          <cell r="D211" t="str">
            <v>CG001</v>
          </cell>
          <cell r="L211">
            <v>100</v>
          </cell>
        </row>
        <row r="212">
          <cell r="D212" t="str">
            <v>CG001</v>
          </cell>
          <cell r="L212">
            <v>750</v>
          </cell>
        </row>
        <row r="213">
          <cell r="D213" t="str">
            <v>GR001</v>
          </cell>
          <cell r="L213">
            <v>45</v>
          </cell>
        </row>
        <row r="214">
          <cell r="D214" t="str">
            <v>GR005</v>
          </cell>
          <cell r="L214">
            <v>10</v>
          </cell>
        </row>
        <row r="215">
          <cell r="D215" t="str">
            <v>GR013</v>
          </cell>
          <cell r="L215">
            <v>42</v>
          </cell>
        </row>
        <row r="216">
          <cell r="D216" t="str">
            <v>cg002</v>
          </cell>
          <cell r="L216">
            <v>12</v>
          </cell>
        </row>
        <row r="217">
          <cell r="D217" t="str">
            <v>CG001</v>
          </cell>
          <cell r="L217">
            <v>500</v>
          </cell>
        </row>
        <row r="218">
          <cell r="D218" t="str">
            <v>CG001</v>
          </cell>
          <cell r="L218">
            <v>450</v>
          </cell>
        </row>
        <row r="219">
          <cell r="D219" t="str">
            <v>CO017</v>
          </cell>
          <cell r="L219">
            <v>6</v>
          </cell>
        </row>
        <row r="220">
          <cell r="D220" t="str">
            <v>cg002</v>
          </cell>
          <cell r="L220">
            <v>18</v>
          </cell>
        </row>
        <row r="221">
          <cell r="D221" t="str">
            <v>cg001</v>
          </cell>
          <cell r="L221">
            <v>200</v>
          </cell>
        </row>
        <row r="222">
          <cell r="D222" t="str">
            <v>cg001</v>
          </cell>
          <cell r="L222">
            <v>75</v>
          </cell>
        </row>
        <row r="223">
          <cell r="D223" t="str">
            <v>cg001</v>
          </cell>
          <cell r="L223">
            <v>100</v>
          </cell>
        </row>
        <row r="224">
          <cell r="D224" t="str">
            <v>GR001</v>
          </cell>
          <cell r="L224">
            <v>88</v>
          </cell>
        </row>
        <row r="225">
          <cell r="D225" t="str">
            <v>cg001</v>
          </cell>
          <cell r="L225">
            <v>600</v>
          </cell>
        </row>
        <row r="226">
          <cell r="D226" t="str">
            <v>cg001</v>
          </cell>
          <cell r="L226">
            <v>200</v>
          </cell>
        </row>
        <row r="227">
          <cell r="D227" t="str">
            <v>CO007</v>
          </cell>
          <cell r="L227">
            <v>60.33</v>
          </cell>
        </row>
        <row r="228">
          <cell r="D228" t="str">
            <v>GR012</v>
          </cell>
          <cell r="L228">
            <v>2</v>
          </cell>
        </row>
        <row r="229">
          <cell r="D229" t="str">
            <v>GR001</v>
          </cell>
          <cell r="L229">
            <v>60</v>
          </cell>
        </row>
        <row r="230">
          <cell r="D230" t="str">
            <v>cg001</v>
          </cell>
          <cell r="L230">
            <v>600</v>
          </cell>
        </row>
        <row r="231">
          <cell r="D231" t="str">
            <v>CO002</v>
          </cell>
          <cell r="L231">
            <v>54</v>
          </cell>
        </row>
        <row r="232">
          <cell r="D232" t="str">
            <v>GR001</v>
          </cell>
          <cell r="L232">
            <v>65</v>
          </cell>
        </row>
        <row r="233">
          <cell r="D233" t="str">
            <v>cg001</v>
          </cell>
          <cell r="L233">
            <v>100</v>
          </cell>
        </row>
        <row r="234">
          <cell r="D234" t="str">
            <v>CO015</v>
          </cell>
          <cell r="L234">
            <v>20</v>
          </cell>
        </row>
        <row r="235">
          <cell r="D235" t="str">
            <v>cg001</v>
          </cell>
          <cell r="L235">
            <v>600</v>
          </cell>
        </row>
        <row r="236">
          <cell r="D236" t="str">
            <v>cg001</v>
          </cell>
          <cell r="L236">
            <v>650</v>
          </cell>
        </row>
        <row r="237">
          <cell r="D237" t="str">
            <v>GR005</v>
          </cell>
          <cell r="L237">
            <v>10</v>
          </cell>
        </row>
        <row r="238">
          <cell r="D238" t="str">
            <v>CO007</v>
          </cell>
          <cell r="L238">
            <v>112.27</v>
          </cell>
        </row>
        <row r="239">
          <cell r="D239" t="str">
            <v>cg001</v>
          </cell>
          <cell r="L239">
            <v>300</v>
          </cell>
        </row>
        <row r="240">
          <cell r="D240" t="str">
            <v>cg002</v>
          </cell>
          <cell r="L240">
            <v>12</v>
          </cell>
        </row>
        <row r="241">
          <cell r="D241" t="str">
            <v>cg001</v>
          </cell>
          <cell r="L241">
            <v>80</v>
          </cell>
        </row>
        <row r="242">
          <cell r="D242" t="str">
            <v>cg001</v>
          </cell>
          <cell r="L242">
            <v>200</v>
          </cell>
        </row>
        <row r="243">
          <cell r="D243" t="str">
            <v>CO007</v>
          </cell>
          <cell r="L243">
            <v>58</v>
          </cell>
        </row>
        <row r="244">
          <cell r="D244" t="str">
            <v>CO017</v>
          </cell>
          <cell r="L244">
            <v>30</v>
          </cell>
        </row>
        <row r="245">
          <cell r="D245" t="str">
            <v>GR012</v>
          </cell>
          <cell r="L245">
            <v>1</v>
          </cell>
        </row>
        <row r="246">
          <cell r="D246" t="str">
            <v>cg002</v>
          </cell>
          <cell r="L246">
            <v>24</v>
          </cell>
        </row>
        <row r="247">
          <cell r="D247" t="str">
            <v>cg001</v>
          </cell>
          <cell r="L247">
            <v>350</v>
          </cell>
        </row>
        <row r="248">
          <cell r="D248" t="str">
            <v>cg001</v>
          </cell>
          <cell r="L248">
            <v>150</v>
          </cell>
        </row>
        <row r="249">
          <cell r="D249" t="str">
            <v>cg001</v>
          </cell>
          <cell r="L249">
            <v>350</v>
          </cell>
        </row>
        <row r="250">
          <cell r="D250" t="str">
            <v>co016</v>
          </cell>
          <cell r="L250">
            <v>36</v>
          </cell>
        </row>
        <row r="251">
          <cell r="D251" t="str">
            <v>cg001</v>
          </cell>
          <cell r="L251">
            <v>600</v>
          </cell>
        </row>
        <row r="252">
          <cell r="D252" t="str">
            <v>cg001</v>
          </cell>
          <cell r="L252">
            <v>60</v>
          </cell>
        </row>
        <row r="253">
          <cell r="D253" t="str">
            <v>cg001</v>
          </cell>
          <cell r="L253">
            <v>100</v>
          </cell>
        </row>
        <row r="254">
          <cell r="D254" t="str">
            <v>cg002</v>
          </cell>
          <cell r="L254">
            <v>12</v>
          </cell>
        </row>
        <row r="255">
          <cell r="D255" t="str">
            <v>cg001</v>
          </cell>
          <cell r="L255">
            <v>550</v>
          </cell>
        </row>
        <row r="256">
          <cell r="D256" t="str">
            <v>cg002</v>
          </cell>
          <cell r="L256">
            <v>12</v>
          </cell>
        </row>
        <row r="257">
          <cell r="D257" t="str">
            <v>CG001</v>
          </cell>
          <cell r="L257">
            <v>1000</v>
          </cell>
        </row>
        <row r="258">
          <cell r="D258" t="str">
            <v>CO015</v>
          </cell>
          <cell r="L258">
            <v>15</v>
          </cell>
        </row>
        <row r="259">
          <cell r="D259" t="str">
            <v>CO015</v>
          </cell>
          <cell r="L259">
            <v>10</v>
          </cell>
        </row>
        <row r="260">
          <cell r="D260" t="str">
            <v>CG001</v>
          </cell>
          <cell r="L260">
            <v>550</v>
          </cell>
        </row>
        <row r="261">
          <cell r="D261" t="str">
            <v>co016</v>
          </cell>
          <cell r="L261">
            <v>36</v>
          </cell>
        </row>
        <row r="262">
          <cell r="D262" t="str">
            <v>CG001</v>
          </cell>
          <cell r="L262">
            <v>200</v>
          </cell>
        </row>
        <row r="263">
          <cell r="D263" t="str">
            <v>co016</v>
          </cell>
          <cell r="L263">
            <v>24</v>
          </cell>
        </row>
        <row r="264">
          <cell r="D264" t="str">
            <v>co016</v>
          </cell>
          <cell r="L264">
            <v>24</v>
          </cell>
        </row>
        <row r="265">
          <cell r="D265" t="str">
            <v>co016</v>
          </cell>
          <cell r="L265">
            <v>12</v>
          </cell>
        </row>
        <row r="266">
          <cell r="D266" t="str">
            <v>CG001</v>
          </cell>
          <cell r="L266">
            <v>90</v>
          </cell>
        </row>
        <row r="267">
          <cell r="D267" t="str">
            <v>cg001</v>
          </cell>
          <cell r="L267">
            <v>400</v>
          </cell>
        </row>
        <row r="268">
          <cell r="D268" t="str">
            <v>cg001</v>
          </cell>
          <cell r="L268">
            <v>500</v>
          </cell>
        </row>
        <row r="269">
          <cell r="D269" t="str">
            <v>CO015</v>
          </cell>
          <cell r="L269">
            <v>7</v>
          </cell>
        </row>
        <row r="270">
          <cell r="D270" t="str">
            <v>cg001</v>
          </cell>
          <cell r="L270">
            <v>250</v>
          </cell>
        </row>
        <row r="271">
          <cell r="D271" t="str">
            <v>cg001</v>
          </cell>
          <cell r="L271">
            <v>300</v>
          </cell>
        </row>
        <row r="272">
          <cell r="D272" t="str">
            <v>cg002</v>
          </cell>
          <cell r="L272">
            <v>6</v>
          </cell>
        </row>
        <row r="273">
          <cell r="D273" t="str">
            <v>cg001</v>
          </cell>
          <cell r="L273">
            <v>150</v>
          </cell>
        </row>
        <row r="274">
          <cell r="D274" t="str">
            <v>cg001</v>
          </cell>
          <cell r="L274">
            <v>250</v>
          </cell>
        </row>
        <row r="275">
          <cell r="D275" t="str">
            <v>cg002</v>
          </cell>
          <cell r="L275">
            <v>12</v>
          </cell>
        </row>
        <row r="276">
          <cell r="D276" t="str">
            <v>cg001</v>
          </cell>
          <cell r="L276">
            <v>150</v>
          </cell>
        </row>
        <row r="277">
          <cell r="D277" t="str">
            <v>cg002</v>
          </cell>
          <cell r="L277">
            <v>12</v>
          </cell>
        </row>
        <row r="278">
          <cell r="D278" t="str">
            <v>cg001</v>
          </cell>
          <cell r="L278">
            <v>300</v>
          </cell>
        </row>
        <row r="279">
          <cell r="D279" t="str">
            <v>cg001</v>
          </cell>
          <cell r="L279">
            <v>400</v>
          </cell>
        </row>
        <row r="280">
          <cell r="D280" t="str">
            <v>cg001</v>
          </cell>
          <cell r="L280">
            <v>500</v>
          </cell>
        </row>
        <row r="281">
          <cell r="D281" t="str">
            <v>cg002</v>
          </cell>
          <cell r="L281">
            <v>12</v>
          </cell>
        </row>
        <row r="282">
          <cell r="D282" t="str">
            <v>cg001</v>
          </cell>
          <cell r="L282">
            <v>300</v>
          </cell>
        </row>
        <row r="283">
          <cell r="D283" t="str">
            <v>cg001</v>
          </cell>
          <cell r="L283">
            <v>670</v>
          </cell>
        </row>
        <row r="284">
          <cell r="D284" t="str">
            <v>cg001</v>
          </cell>
          <cell r="L284">
            <v>750</v>
          </cell>
        </row>
        <row r="285">
          <cell r="D285" t="str">
            <v>cg002</v>
          </cell>
          <cell r="L285">
            <v>12</v>
          </cell>
        </row>
        <row r="286">
          <cell r="D286" t="str">
            <v>cg001</v>
          </cell>
          <cell r="L286">
            <v>175</v>
          </cell>
        </row>
        <row r="287">
          <cell r="D287" t="str">
            <v>CO015</v>
          </cell>
          <cell r="L287">
            <v>21</v>
          </cell>
        </row>
        <row r="288">
          <cell r="D288" t="str">
            <v>cg001</v>
          </cell>
          <cell r="L288">
            <v>25</v>
          </cell>
        </row>
        <row r="289">
          <cell r="D289" t="str">
            <v>cg001</v>
          </cell>
          <cell r="L289">
            <v>45</v>
          </cell>
        </row>
        <row r="290">
          <cell r="D290" t="str">
            <v>cg001</v>
          </cell>
          <cell r="L290">
            <v>45</v>
          </cell>
        </row>
        <row r="291">
          <cell r="D291" t="str">
            <v>cg001</v>
          </cell>
          <cell r="L291">
            <v>25</v>
          </cell>
        </row>
        <row r="292">
          <cell r="D292" t="str">
            <v>cg001</v>
          </cell>
          <cell r="L292">
            <v>45</v>
          </cell>
        </row>
        <row r="293">
          <cell r="D293" t="str">
            <v>cg001</v>
          </cell>
          <cell r="L293">
            <v>32.5</v>
          </cell>
        </row>
        <row r="294">
          <cell r="D294" t="str">
            <v>cg001</v>
          </cell>
          <cell r="L294">
            <v>62.5</v>
          </cell>
        </row>
        <row r="295">
          <cell r="D295" t="str">
            <v>cg001</v>
          </cell>
          <cell r="L295">
            <v>210</v>
          </cell>
        </row>
        <row r="296">
          <cell r="D296" t="str">
            <v>cg001</v>
          </cell>
          <cell r="L296">
            <v>50</v>
          </cell>
        </row>
        <row r="297">
          <cell r="D297" t="str">
            <v>cg001</v>
          </cell>
          <cell r="L297">
            <v>37.5</v>
          </cell>
        </row>
        <row r="298">
          <cell r="D298" t="str">
            <v>cg001</v>
          </cell>
          <cell r="L298">
            <v>25</v>
          </cell>
        </row>
        <row r="299">
          <cell r="D299" t="str">
            <v>cg001</v>
          </cell>
          <cell r="L299">
            <v>50</v>
          </cell>
        </row>
        <row r="300">
          <cell r="D300" t="str">
            <v>cg001</v>
          </cell>
          <cell r="L300">
            <v>175</v>
          </cell>
        </row>
        <row r="301">
          <cell r="D301" t="str">
            <v>cg001</v>
          </cell>
          <cell r="L301">
            <v>50</v>
          </cell>
        </row>
        <row r="302">
          <cell r="D302" t="str">
            <v>cg001</v>
          </cell>
          <cell r="L302">
            <v>10</v>
          </cell>
        </row>
        <row r="303">
          <cell r="D303" t="str">
            <v>cg001</v>
          </cell>
          <cell r="L303">
            <v>10</v>
          </cell>
        </row>
        <row r="304">
          <cell r="D304" t="str">
            <v>cg001</v>
          </cell>
          <cell r="L304">
            <v>75</v>
          </cell>
        </row>
        <row r="305">
          <cell r="D305" t="str">
            <v>cg001</v>
          </cell>
          <cell r="L305">
            <v>25</v>
          </cell>
        </row>
        <row r="306">
          <cell r="D306" t="str">
            <v>cg001</v>
          </cell>
          <cell r="L306">
            <v>30</v>
          </cell>
        </row>
        <row r="307">
          <cell r="D307" t="str">
            <v>cg001</v>
          </cell>
          <cell r="L307">
            <v>20</v>
          </cell>
        </row>
        <row r="308">
          <cell r="D308" t="str">
            <v>cg001</v>
          </cell>
          <cell r="L308">
            <v>205</v>
          </cell>
        </row>
        <row r="309">
          <cell r="D309" t="str">
            <v>cg001</v>
          </cell>
          <cell r="L309">
            <v>62.5</v>
          </cell>
        </row>
        <row r="310">
          <cell r="D310" t="str">
            <v>cg001</v>
          </cell>
          <cell r="L310">
            <v>55</v>
          </cell>
        </row>
        <row r="311">
          <cell r="D311" t="str">
            <v>cg001</v>
          </cell>
          <cell r="L311">
            <v>50</v>
          </cell>
        </row>
        <row r="312">
          <cell r="D312" t="str">
            <v>cg001</v>
          </cell>
          <cell r="L312">
            <v>37.5</v>
          </cell>
        </row>
        <row r="313">
          <cell r="D313" t="str">
            <v>cg001</v>
          </cell>
          <cell r="L313">
            <v>25</v>
          </cell>
        </row>
        <row r="314">
          <cell r="D314" t="str">
            <v>cg001</v>
          </cell>
          <cell r="L314">
            <v>50</v>
          </cell>
        </row>
        <row r="315">
          <cell r="D315" t="str">
            <v>cg001</v>
          </cell>
          <cell r="L315">
            <v>50</v>
          </cell>
        </row>
        <row r="316">
          <cell r="D316" t="str">
            <v>cg001</v>
          </cell>
          <cell r="L316">
            <v>25</v>
          </cell>
        </row>
        <row r="317">
          <cell r="D317" t="str">
            <v>cg001</v>
          </cell>
          <cell r="L317">
            <v>45</v>
          </cell>
        </row>
        <row r="318">
          <cell r="D318" t="str">
            <v>cg001</v>
          </cell>
          <cell r="L318">
            <v>45</v>
          </cell>
        </row>
        <row r="319">
          <cell r="D319" t="str">
            <v>cg001</v>
          </cell>
          <cell r="L319">
            <v>25</v>
          </cell>
        </row>
        <row r="320">
          <cell r="D320" t="str">
            <v>cg001</v>
          </cell>
          <cell r="L320">
            <v>45</v>
          </cell>
        </row>
        <row r="321">
          <cell r="D321" t="str">
            <v>cg001</v>
          </cell>
          <cell r="L321">
            <v>32.5</v>
          </cell>
        </row>
        <row r="322">
          <cell r="D322" t="str">
            <v>cg001</v>
          </cell>
          <cell r="L322">
            <v>25</v>
          </cell>
        </row>
        <row r="323">
          <cell r="D323" t="str">
            <v>cg001</v>
          </cell>
          <cell r="L323">
            <v>30</v>
          </cell>
        </row>
        <row r="324">
          <cell r="D324" t="str">
            <v>cg001</v>
          </cell>
          <cell r="L324">
            <v>20</v>
          </cell>
        </row>
        <row r="325">
          <cell r="D325" t="str">
            <v>cg001</v>
          </cell>
          <cell r="L325">
            <v>205</v>
          </cell>
        </row>
        <row r="326">
          <cell r="D326" t="str">
            <v>cg001</v>
          </cell>
          <cell r="L326">
            <v>62.5</v>
          </cell>
        </row>
        <row r="327">
          <cell r="D327" t="str">
            <v>cg001</v>
          </cell>
          <cell r="L327">
            <v>55</v>
          </cell>
        </row>
        <row r="328">
          <cell r="D328" t="str">
            <v>cg001</v>
          </cell>
          <cell r="L328">
            <v>50</v>
          </cell>
        </row>
        <row r="329">
          <cell r="D329" t="str">
            <v>cg001</v>
          </cell>
          <cell r="L329">
            <v>37.5</v>
          </cell>
        </row>
        <row r="330">
          <cell r="D330" t="str">
            <v>cg001</v>
          </cell>
          <cell r="L330">
            <v>25</v>
          </cell>
        </row>
        <row r="331">
          <cell r="D331" t="str">
            <v>cg001</v>
          </cell>
          <cell r="L331">
            <v>15</v>
          </cell>
        </row>
        <row r="332">
          <cell r="D332" t="str">
            <v>cg001</v>
          </cell>
          <cell r="L332">
            <v>10</v>
          </cell>
        </row>
        <row r="333">
          <cell r="D333" t="str">
            <v>cg002</v>
          </cell>
          <cell r="L333">
            <v>2</v>
          </cell>
        </row>
        <row r="334">
          <cell r="D334" t="str">
            <v>cg001</v>
          </cell>
          <cell r="L334">
            <v>25</v>
          </cell>
        </row>
        <row r="335">
          <cell r="D335" t="str">
            <v>cg001</v>
          </cell>
          <cell r="L335">
            <v>20</v>
          </cell>
        </row>
        <row r="336">
          <cell r="D336" t="str">
            <v>cg001</v>
          </cell>
          <cell r="L336">
            <v>125</v>
          </cell>
        </row>
        <row r="337">
          <cell r="D337" t="str">
            <v>cg001</v>
          </cell>
          <cell r="L337">
            <v>55</v>
          </cell>
        </row>
        <row r="338">
          <cell r="D338" t="str">
            <v>cg001</v>
          </cell>
          <cell r="L338">
            <v>15</v>
          </cell>
        </row>
        <row r="339">
          <cell r="D339" t="str">
            <v>cg001</v>
          </cell>
          <cell r="L339">
            <v>20</v>
          </cell>
        </row>
        <row r="340">
          <cell r="D340" t="str">
            <v>cg001</v>
          </cell>
          <cell r="L340">
            <v>5</v>
          </cell>
        </row>
        <row r="341">
          <cell r="D341" t="str">
            <v>cg001</v>
          </cell>
          <cell r="L341">
            <v>50</v>
          </cell>
        </row>
        <row r="342">
          <cell r="D342" t="str">
            <v>cg001</v>
          </cell>
          <cell r="L342">
            <v>15</v>
          </cell>
        </row>
        <row r="343">
          <cell r="D343" t="str">
            <v>cg001</v>
          </cell>
          <cell r="L343">
            <v>25</v>
          </cell>
        </row>
        <row r="344">
          <cell r="D344" t="str">
            <v>cg001</v>
          </cell>
          <cell r="L344">
            <v>30</v>
          </cell>
        </row>
        <row r="345">
          <cell r="D345" t="str">
            <v>cg001</v>
          </cell>
          <cell r="L345">
            <v>50</v>
          </cell>
        </row>
        <row r="346">
          <cell r="D346" t="str">
            <v>cg001</v>
          </cell>
          <cell r="L346">
            <v>45</v>
          </cell>
        </row>
        <row r="347">
          <cell r="D347" t="str">
            <v>cg001</v>
          </cell>
          <cell r="L347">
            <v>15</v>
          </cell>
        </row>
        <row r="348">
          <cell r="D348" t="str">
            <v>cg001</v>
          </cell>
          <cell r="L348">
            <v>20</v>
          </cell>
        </row>
        <row r="349">
          <cell r="D349" t="str">
            <v>cg002</v>
          </cell>
          <cell r="L349">
            <v>2</v>
          </cell>
        </row>
        <row r="350">
          <cell r="D350" t="str">
            <v>cg001</v>
          </cell>
          <cell r="L350">
            <v>45</v>
          </cell>
        </row>
        <row r="351">
          <cell r="D351" t="str">
            <v>cg001</v>
          </cell>
          <cell r="L351">
            <v>30</v>
          </cell>
        </row>
        <row r="352">
          <cell r="D352" t="str">
            <v>cg001</v>
          </cell>
          <cell r="L352">
            <v>25</v>
          </cell>
        </row>
        <row r="353">
          <cell r="D353" t="str">
            <v>cg001</v>
          </cell>
          <cell r="L353">
            <v>12</v>
          </cell>
        </row>
        <row r="354">
          <cell r="D354" t="str">
            <v>cg001</v>
          </cell>
          <cell r="L354">
            <v>10</v>
          </cell>
        </row>
        <row r="355">
          <cell r="D355" t="str">
            <v>cg001</v>
          </cell>
          <cell r="L355">
            <v>10</v>
          </cell>
        </row>
        <row r="356">
          <cell r="D356" t="str">
            <v>cg001</v>
          </cell>
          <cell r="L356">
            <v>75</v>
          </cell>
        </row>
        <row r="357">
          <cell r="D357" t="str">
            <v>cg001</v>
          </cell>
          <cell r="L357">
            <v>25</v>
          </cell>
        </row>
        <row r="358">
          <cell r="D358" t="str">
            <v>cg001</v>
          </cell>
          <cell r="L358">
            <v>30</v>
          </cell>
        </row>
        <row r="359">
          <cell r="D359" t="str">
            <v>cg001</v>
          </cell>
          <cell r="L359">
            <v>20</v>
          </cell>
        </row>
        <row r="360">
          <cell r="D360" t="str">
            <v>cg001</v>
          </cell>
          <cell r="L360">
            <v>55</v>
          </cell>
        </row>
        <row r="361">
          <cell r="D361" t="str">
            <v>cg001</v>
          </cell>
          <cell r="L361">
            <v>15</v>
          </cell>
        </row>
        <row r="362">
          <cell r="D362" t="str">
            <v>cg001</v>
          </cell>
          <cell r="L362">
            <v>20</v>
          </cell>
        </row>
        <row r="363">
          <cell r="D363" t="str">
            <v>cg001</v>
          </cell>
          <cell r="L363">
            <v>5</v>
          </cell>
        </row>
        <row r="364">
          <cell r="D364" t="str">
            <v>cg001</v>
          </cell>
          <cell r="L364">
            <v>25</v>
          </cell>
        </row>
        <row r="365">
          <cell r="D365" t="str">
            <v>cg001</v>
          </cell>
          <cell r="L365">
            <v>25</v>
          </cell>
        </row>
        <row r="366">
          <cell r="D366" t="str">
            <v>cg001</v>
          </cell>
          <cell r="L366">
            <v>40</v>
          </cell>
        </row>
        <row r="367">
          <cell r="D367" t="str">
            <v>cg001</v>
          </cell>
          <cell r="L367">
            <v>40</v>
          </cell>
        </row>
        <row r="368">
          <cell r="D368" t="str">
            <v>cg001</v>
          </cell>
          <cell r="L368">
            <v>25</v>
          </cell>
        </row>
        <row r="369">
          <cell r="D369" t="str">
            <v>cg001</v>
          </cell>
          <cell r="L369">
            <v>30</v>
          </cell>
        </row>
        <row r="370">
          <cell r="D370" t="str">
            <v>cg001</v>
          </cell>
          <cell r="L370">
            <v>50</v>
          </cell>
        </row>
        <row r="371">
          <cell r="D371" t="str">
            <v>cg001</v>
          </cell>
          <cell r="L371">
            <v>30</v>
          </cell>
        </row>
        <row r="372">
          <cell r="D372" t="str">
            <v>cg001</v>
          </cell>
          <cell r="L372">
            <v>25</v>
          </cell>
        </row>
        <row r="373">
          <cell r="D373" t="str">
            <v>cg001</v>
          </cell>
          <cell r="L373">
            <v>20</v>
          </cell>
        </row>
        <row r="374">
          <cell r="D374" t="str">
            <v>cg001</v>
          </cell>
          <cell r="L374">
            <v>20</v>
          </cell>
        </row>
        <row r="375">
          <cell r="D375" t="str">
            <v>cg001</v>
          </cell>
          <cell r="L375">
            <v>50</v>
          </cell>
        </row>
        <row r="376">
          <cell r="D376" t="str">
            <v>cg001</v>
          </cell>
          <cell r="L376">
            <v>30</v>
          </cell>
        </row>
        <row r="377">
          <cell r="D377" t="str">
            <v>cg001</v>
          </cell>
          <cell r="L377">
            <v>40</v>
          </cell>
        </row>
        <row r="378">
          <cell r="D378" t="str">
            <v>cg001</v>
          </cell>
          <cell r="L378">
            <v>25</v>
          </cell>
        </row>
        <row r="379">
          <cell r="D379" t="str">
            <v>cg001</v>
          </cell>
          <cell r="L379">
            <v>25</v>
          </cell>
        </row>
        <row r="380">
          <cell r="D380" t="str">
            <v>cg001</v>
          </cell>
          <cell r="L380">
            <v>10</v>
          </cell>
        </row>
        <row r="381">
          <cell r="D381" t="str">
            <v>cg001</v>
          </cell>
          <cell r="L381">
            <v>50</v>
          </cell>
        </row>
        <row r="382">
          <cell r="D382" t="str">
            <v>cg001</v>
          </cell>
          <cell r="L382">
            <v>40</v>
          </cell>
        </row>
        <row r="383">
          <cell r="D383" t="str">
            <v>cg001</v>
          </cell>
          <cell r="L383">
            <v>25</v>
          </cell>
        </row>
        <row r="384">
          <cell r="D384" t="str">
            <v>cg001</v>
          </cell>
          <cell r="L384">
            <v>210</v>
          </cell>
        </row>
        <row r="385">
          <cell r="D385" t="str">
            <v>cg001</v>
          </cell>
          <cell r="L385">
            <v>25</v>
          </cell>
        </row>
        <row r="386">
          <cell r="D386" t="str">
            <v>cg001</v>
          </cell>
          <cell r="L386">
            <v>45</v>
          </cell>
        </row>
        <row r="387">
          <cell r="D387" t="str">
            <v>cg001</v>
          </cell>
          <cell r="L387">
            <v>25</v>
          </cell>
        </row>
        <row r="388">
          <cell r="D388" t="str">
            <v>cg001</v>
          </cell>
          <cell r="L388">
            <v>55</v>
          </cell>
        </row>
        <row r="389">
          <cell r="D389" t="str">
            <v>cg001</v>
          </cell>
          <cell r="L389">
            <v>90</v>
          </cell>
        </row>
        <row r="390">
          <cell r="D390" t="str">
            <v>cg001</v>
          </cell>
          <cell r="L390">
            <v>20</v>
          </cell>
        </row>
        <row r="391">
          <cell r="D391" t="str">
            <v>cg001</v>
          </cell>
          <cell r="L391">
            <v>5</v>
          </cell>
        </row>
        <row r="392">
          <cell r="D392" t="str">
            <v>cg001</v>
          </cell>
          <cell r="L392">
            <v>25</v>
          </cell>
        </row>
        <row r="393">
          <cell r="D393" t="str">
            <v>cg001</v>
          </cell>
          <cell r="L393">
            <v>25</v>
          </cell>
        </row>
        <row r="394">
          <cell r="D394" t="str">
            <v>cg001</v>
          </cell>
          <cell r="L394">
            <v>20</v>
          </cell>
        </row>
        <row r="395">
          <cell r="D395" t="str">
            <v>cg001</v>
          </cell>
          <cell r="L395">
            <v>55</v>
          </cell>
        </row>
        <row r="396">
          <cell r="D396" t="str">
            <v>cg001</v>
          </cell>
          <cell r="L396">
            <v>30</v>
          </cell>
        </row>
        <row r="397">
          <cell r="D397" t="str">
            <v>cg001</v>
          </cell>
          <cell r="L397">
            <v>35</v>
          </cell>
        </row>
        <row r="398">
          <cell r="D398" t="str">
            <v>cg001</v>
          </cell>
          <cell r="L398">
            <v>25</v>
          </cell>
        </row>
        <row r="399">
          <cell r="D399" t="str">
            <v>cg001</v>
          </cell>
          <cell r="L399">
            <v>40</v>
          </cell>
        </row>
        <row r="400">
          <cell r="D400" t="str">
            <v>cg001</v>
          </cell>
          <cell r="L400">
            <v>100</v>
          </cell>
        </row>
        <row r="401">
          <cell r="D401" t="str">
            <v>cg001</v>
          </cell>
          <cell r="L401">
            <v>25</v>
          </cell>
        </row>
        <row r="402">
          <cell r="D402" t="str">
            <v>cg001</v>
          </cell>
          <cell r="L402">
            <v>20</v>
          </cell>
        </row>
        <row r="403">
          <cell r="D403" t="str">
            <v>cg001</v>
          </cell>
          <cell r="L403">
            <v>25</v>
          </cell>
        </row>
        <row r="404">
          <cell r="D404" t="str">
            <v>cg001</v>
          </cell>
          <cell r="L404">
            <v>40</v>
          </cell>
        </row>
        <row r="405">
          <cell r="D405" t="str">
            <v>cg001</v>
          </cell>
          <cell r="L405">
            <v>15</v>
          </cell>
        </row>
        <row r="406">
          <cell r="D406" t="str">
            <v>CG001</v>
          </cell>
          <cell r="L406">
            <v>5</v>
          </cell>
        </row>
        <row r="407">
          <cell r="D407" t="str">
            <v>CG001</v>
          </cell>
          <cell r="L407">
            <v>115</v>
          </cell>
        </row>
        <row r="408">
          <cell r="D408" t="str">
            <v>CG001</v>
          </cell>
          <cell r="L408">
            <v>40</v>
          </cell>
        </row>
        <row r="409">
          <cell r="D409" t="str">
            <v>CG001</v>
          </cell>
          <cell r="L409">
            <v>20</v>
          </cell>
        </row>
        <row r="410">
          <cell r="D410" t="str">
            <v>CG002</v>
          </cell>
          <cell r="L410">
            <v>1</v>
          </cell>
        </row>
        <row r="411">
          <cell r="D411" t="str">
            <v>CG001</v>
          </cell>
          <cell r="L411">
            <v>55</v>
          </cell>
        </row>
        <row r="412">
          <cell r="D412" t="str">
            <v>CG001</v>
          </cell>
          <cell r="L412">
            <v>195</v>
          </cell>
        </row>
        <row r="413">
          <cell r="D413" t="str">
            <v>CG001</v>
          </cell>
          <cell r="L413">
            <v>25</v>
          </cell>
        </row>
        <row r="414">
          <cell r="D414" t="str">
            <v>CG001</v>
          </cell>
          <cell r="L414">
            <v>30</v>
          </cell>
        </row>
        <row r="415">
          <cell r="D415" t="str">
            <v>CG001</v>
          </cell>
          <cell r="L415">
            <v>30</v>
          </cell>
        </row>
        <row r="416">
          <cell r="D416" t="str">
            <v>CG001</v>
          </cell>
          <cell r="L416">
            <v>15</v>
          </cell>
        </row>
        <row r="417">
          <cell r="D417" t="str">
            <v>CG001</v>
          </cell>
          <cell r="L417">
            <v>15</v>
          </cell>
        </row>
        <row r="418">
          <cell r="D418" t="str">
            <v>CG001</v>
          </cell>
          <cell r="L418">
            <v>125</v>
          </cell>
        </row>
        <row r="419">
          <cell r="D419" t="str">
            <v>CG001</v>
          </cell>
          <cell r="L419">
            <v>25</v>
          </cell>
        </row>
        <row r="420">
          <cell r="D420" t="str">
            <v>CG001</v>
          </cell>
          <cell r="L420">
            <v>55</v>
          </cell>
        </row>
        <row r="421">
          <cell r="D421" t="str">
            <v>CG001</v>
          </cell>
          <cell r="L421">
            <v>30</v>
          </cell>
        </row>
        <row r="422">
          <cell r="D422" t="str">
            <v>CG001</v>
          </cell>
          <cell r="L422">
            <v>25</v>
          </cell>
        </row>
        <row r="423">
          <cell r="D423" t="str">
            <v>CG001</v>
          </cell>
          <cell r="L423">
            <v>60</v>
          </cell>
        </row>
        <row r="424">
          <cell r="D424" t="str">
            <v>CG001</v>
          </cell>
          <cell r="L424">
            <v>50</v>
          </cell>
        </row>
        <row r="425">
          <cell r="D425" t="str">
            <v>CG001</v>
          </cell>
          <cell r="L425">
            <v>50</v>
          </cell>
        </row>
        <row r="426">
          <cell r="D426" t="str">
            <v>CG001</v>
          </cell>
          <cell r="L426">
            <v>100</v>
          </cell>
        </row>
        <row r="427">
          <cell r="D427" t="str">
            <v>CG001</v>
          </cell>
          <cell r="L427">
            <v>80</v>
          </cell>
        </row>
        <row r="428">
          <cell r="D428" t="str">
            <v>CG001</v>
          </cell>
          <cell r="L428">
            <v>35</v>
          </cell>
        </row>
        <row r="429">
          <cell r="D429" t="str">
            <v>CG001</v>
          </cell>
          <cell r="L429">
            <v>15</v>
          </cell>
        </row>
        <row r="430">
          <cell r="D430" t="str">
            <v>CG001</v>
          </cell>
          <cell r="L430">
            <v>20</v>
          </cell>
        </row>
        <row r="431">
          <cell r="D431" t="str">
            <v>CG001</v>
          </cell>
          <cell r="L431">
            <v>15</v>
          </cell>
        </row>
        <row r="432">
          <cell r="D432" t="str">
            <v>CG001</v>
          </cell>
          <cell r="L432">
            <v>210</v>
          </cell>
        </row>
        <row r="433">
          <cell r="D433" t="str">
            <v>CG001</v>
          </cell>
          <cell r="L433">
            <v>35</v>
          </cell>
        </row>
        <row r="434">
          <cell r="D434" t="str">
            <v>CG001</v>
          </cell>
          <cell r="L434">
            <v>15</v>
          </cell>
        </row>
        <row r="435">
          <cell r="D435" t="str">
            <v>CG001</v>
          </cell>
          <cell r="L435">
            <v>75</v>
          </cell>
        </row>
        <row r="436">
          <cell r="D436" t="str">
            <v>CG001</v>
          </cell>
          <cell r="L436">
            <v>125</v>
          </cell>
        </row>
        <row r="437">
          <cell r="D437" t="str">
            <v>CG001</v>
          </cell>
          <cell r="L437">
            <v>45</v>
          </cell>
        </row>
        <row r="438">
          <cell r="D438" t="str">
            <v>CG001</v>
          </cell>
          <cell r="L438">
            <v>20</v>
          </cell>
        </row>
        <row r="439">
          <cell r="D439" t="str">
            <v>CG001</v>
          </cell>
          <cell r="L439">
            <v>125</v>
          </cell>
        </row>
        <row r="440">
          <cell r="D440" t="str">
            <v>CG001</v>
          </cell>
          <cell r="L440">
            <v>125</v>
          </cell>
        </row>
        <row r="441">
          <cell r="D441" t="str">
            <v>CG001</v>
          </cell>
          <cell r="L441">
            <v>25</v>
          </cell>
        </row>
        <row r="442">
          <cell r="D442" t="str">
            <v>CG001</v>
          </cell>
          <cell r="L442">
            <v>15</v>
          </cell>
        </row>
        <row r="443">
          <cell r="D443" t="str">
            <v>CG001</v>
          </cell>
          <cell r="L443">
            <v>50</v>
          </cell>
        </row>
        <row r="444">
          <cell r="D444" t="str">
            <v>CG001</v>
          </cell>
          <cell r="L444">
            <v>30</v>
          </cell>
        </row>
        <row r="445">
          <cell r="D445" t="str">
            <v>CG001</v>
          </cell>
          <cell r="L445">
            <v>65</v>
          </cell>
        </row>
        <row r="446">
          <cell r="D446" t="str">
            <v>CG001</v>
          </cell>
          <cell r="L446">
            <v>20</v>
          </cell>
        </row>
        <row r="447">
          <cell r="D447" t="str">
            <v>CG001</v>
          </cell>
          <cell r="L447">
            <v>125</v>
          </cell>
        </row>
        <row r="448">
          <cell r="D448" t="str">
            <v>CG001</v>
          </cell>
          <cell r="L448">
            <v>125</v>
          </cell>
        </row>
        <row r="449">
          <cell r="D449" t="str">
            <v>CG001</v>
          </cell>
          <cell r="L449">
            <v>25</v>
          </cell>
        </row>
        <row r="450">
          <cell r="D450" t="str">
            <v>CG001</v>
          </cell>
          <cell r="L450">
            <v>15</v>
          </cell>
        </row>
        <row r="451">
          <cell r="D451" t="str">
            <v>CG001</v>
          </cell>
          <cell r="L451">
            <v>50</v>
          </cell>
        </row>
        <row r="452">
          <cell r="D452" t="str">
            <v>CG001</v>
          </cell>
          <cell r="L452">
            <v>30</v>
          </cell>
        </row>
        <row r="453">
          <cell r="D453" t="str">
            <v>CG001</v>
          </cell>
          <cell r="L453">
            <v>65</v>
          </cell>
        </row>
        <row r="454">
          <cell r="D454" t="str">
            <v>CG001</v>
          </cell>
          <cell r="L454">
            <v>20</v>
          </cell>
        </row>
        <row r="455">
          <cell r="D455" t="str">
            <v>CG001</v>
          </cell>
          <cell r="L455">
            <v>125</v>
          </cell>
        </row>
        <row r="456">
          <cell r="D456" t="str">
            <v>CG001</v>
          </cell>
          <cell r="L456">
            <v>40</v>
          </cell>
        </row>
        <row r="457">
          <cell r="D457" t="str">
            <v>CG002</v>
          </cell>
          <cell r="L457">
            <v>3</v>
          </cell>
        </row>
        <row r="458">
          <cell r="D458" t="str">
            <v>CG001</v>
          </cell>
          <cell r="L458">
            <v>15</v>
          </cell>
        </row>
        <row r="459">
          <cell r="D459" t="str">
            <v>CG001</v>
          </cell>
          <cell r="L459">
            <v>40</v>
          </cell>
        </row>
        <row r="460">
          <cell r="D460" t="str">
            <v>CG002</v>
          </cell>
          <cell r="L460">
            <v>3</v>
          </cell>
        </row>
        <row r="461">
          <cell r="D461" t="str">
            <v>CG001</v>
          </cell>
          <cell r="L461">
            <v>30</v>
          </cell>
        </row>
        <row r="462">
          <cell r="D462" t="str">
            <v>CG001</v>
          </cell>
          <cell r="L462">
            <v>40</v>
          </cell>
        </row>
        <row r="463">
          <cell r="D463" t="str">
            <v>CG001</v>
          </cell>
          <cell r="L463">
            <v>115</v>
          </cell>
        </row>
        <row r="464">
          <cell r="D464" t="str">
            <v>CG001</v>
          </cell>
          <cell r="L464">
            <v>40</v>
          </cell>
        </row>
        <row r="465">
          <cell r="D465" t="str">
            <v>CG001</v>
          </cell>
          <cell r="L465">
            <v>15</v>
          </cell>
        </row>
        <row r="466">
          <cell r="D466" t="str">
            <v>CG001</v>
          </cell>
          <cell r="L466">
            <v>40</v>
          </cell>
        </row>
        <row r="467">
          <cell r="D467" t="str">
            <v>CG001</v>
          </cell>
          <cell r="L467">
            <v>20</v>
          </cell>
        </row>
        <row r="468">
          <cell r="D468" t="str">
            <v>CG001</v>
          </cell>
          <cell r="L468">
            <v>20</v>
          </cell>
        </row>
        <row r="469">
          <cell r="D469" t="str">
            <v>CG001</v>
          </cell>
          <cell r="L469">
            <v>20</v>
          </cell>
        </row>
        <row r="470">
          <cell r="D470" t="str">
            <v>CG001</v>
          </cell>
          <cell r="L470">
            <v>25</v>
          </cell>
        </row>
        <row r="471">
          <cell r="D471" t="str">
            <v>CG001</v>
          </cell>
          <cell r="L471">
            <v>25</v>
          </cell>
        </row>
        <row r="472">
          <cell r="D472" t="str">
            <v>CG001</v>
          </cell>
          <cell r="L472">
            <v>5</v>
          </cell>
        </row>
        <row r="473">
          <cell r="D473" t="str">
            <v>CG001</v>
          </cell>
          <cell r="L473">
            <v>2</v>
          </cell>
        </row>
        <row r="474">
          <cell r="D474" t="str">
            <v>CG001</v>
          </cell>
          <cell r="L474">
            <v>25</v>
          </cell>
        </row>
        <row r="475">
          <cell r="D475" t="str">
            <v>CG001</v>
          </cell>
          <cell r="L475">
            <v>30</v>
          </cell>
        </row>
        <row r="476">
          <cell r="D476" t="str">
            <v>CG001</v>
          </cell>
          <cell r="L476">
            <v>80</v>
          </cell>
        </row>
        <row r="477">
          <cell r="D477" t="str">
            <v>CG001</v>
          </cell>
          <cell r="L477">
            <v>20</v>
          </cell>
        </row>
        <row r="478">
          <cell r="D478" t="str">
            <v>CG001</v>
          </cell>
          <cell r="L478">
            <v>40</v>
          </cell>
        </row>
        <row r="479">
          <cell r="D479" t="str">
            <v>CG001</v>
          </cell>
          <cell r="L479">
            <v>20</v>
          </cell>
        </row>
        <row r="480">
          <cell r="D480" t="str">
            <v>CG001</v>
          </cell>
          <cell r="L480">
            <v>60</v>
          </cell>
        </row>
        <row r="481">
          <cell r="D481" t="str">
            <v>CG001</v>
          </cell>
          <cell r="L481">
            <v>55</v>
          </cell>
        </row>
        <row r="482">
          <cell r="D482" t="str">
            <v>CG001</v>
          </cell>
          <cell r="L482">
            <v>25</v>
          </cell>
        </row>
        <row r="483">
          <cell r="D483" t="str">
            <v>CG001</v>
          </cell>
          <cell r="L483">
            <v>15</v>
          </cell>
        </row>
        <row r="484">
          <cell r="D484" t="str">
            <v>CG001</v>
          </cell>
          <cell r="L484">
            <v>70</v>
          </cell>
        </row>
        <row r="485">
          <cell r="D485" t="str">
            <v>CG001</v>
          </cell>
          <cell r="L485">
            <v>30</v>
          </cell>
        </row>
        <row r="486">
          <cell r="D486" t="str">
            <v>CG001</v>
          </cell>
          <cell r="L486">
            <v>25</v>
          </cell>
        </row>
        <row r="487">
          <cell r="D487" t="str">
            <v>CG001</v>
          </cell>
          <cell r="L487">
            <v>20</v>
          </cell>
        </row>
        <row r="488">
          <cell r="D488" t="str">
            <v>CG001</v>
          </cell>
          <cell r="L488">
            <v>20</v>
          </cell>
        </row>
        <row r="489">
          <cell r="D489" t="str">
            <v>CG001</v>
          </cell>
          <cell r="L489">
            <v>125</v>
          </cell>
        </row>
        <row r="490">
          <cell r="D490" t="str">
            <v>CG001</v>
          </cell>
          <cell r="L490">
            <v>125</v>
          </cell>
        </row>
        <row r="491">
          <cell r="D491" t="str">
            <v>CG001</v>
          </cell>
          <cell r="L491">
            <v>25</v>
          </cell>
        </row>
        <row r="492">
          <cell r="D492" t="str">
            <v>CG001</v>
          </cell>
          <cell r="L492">
            <v>15</v>
          </cell>
        </row>
        <row r="493">
          <cell r="D493" t="str">
            <v>CG001</v>
          </cell>
          <cell r="L493">
            <v>75</v>
          </cell>
        </row>
        <row r="494">
          <cell r="D494" t="str">
            <v>CG001</v>
          </cell>
          <cell r="L494">
            <v>20</v>
          </cell>
        </row>
        <row r="495">
          <cell r="D495" t="str">
            <v>CG001</v>
          </cell>
          <cell r="L495">
            <v>20</v>
          </cell>
        </row>
        <row r="496">
          <cell r="D496" t="str">
            <v>CG001</v>
          </cell>
          <cell r="L496">
            <v>20</v>
          </cell>
        </row>
        <row r="497">
          <cell r="D497" t="str">
            <v>CG001</v>
          </cell>
          <cell r="L497">
            <v>115</v>
          </cell>
        </row>
        <row r="498">
          <cell r="D498" t="str">
            <v>CG001</v>
          </cell>
          <cell r="L498">
            <v>30</v>
          </cell>
        </row>
        <row r="499">
          <cell r="D499" t="str">
            <v>CG001</v>
          </cell>
          <cell r="L499">
            <v>50</v>
          </cell>
        </row>
        <row r="500">
          <cell r="D500" t="str">
            <v>CG001</v>
          </cell>
          <cell r="L500">
            <v>20</v>
          </cell>
        </row>
        <row r="501">
          <cell r="D501" t="str">
            <v>CG001</v>
          </cell>
          <cell r="L501">
            <v>35</v>
          </cell>
        </row>
        <row r="502">
          <cell r="D502" t="str">
            <v>CG001</v>
          </cell>
          <cell r="L502">
            <v>115</v>
          </cell>
        </row>
        <row r="503">
          <cell r="D503" t="str">
            <v>CG001</v>
          </cell>
          <cell r="L503">
            <v>25</v>
          </cell>
        </row>
        <row r="504">
          <cell r="D504" t="str">
            <v>CG001</v>
          </cell>
          <cell r="L504">
            <v>20</v>
          </cell>
        </row>
        <row r="505">
          <cell r="D505" t="str">
            <v>CG001</v>
          </cell>
          <cell r="L505">
            <v>15</v>
          </cell>
        </row>
        <row r="506">
          <cell r="D506" t="str">
            <v>CG001</v>
          </cell>
          <cell r="L506">
            <v>40</v>
          </cell>
        </row>
        <row r="507">
          <cell r="D507" t="str">
            <v>CG002</v>
          </cell>
          <cell r="L507">
            <v>1</v>
          </cell>
        </row>
        <row r="508">
          <cell r="D508" t="str">
            <v>CG001</v>
          </cell>
          <cell r="L508">
            <v>75</v>
          </cell>
        </row>
        <row r="509">
          <cell r="D509" t="str">
            <v>CG001</v>
          </cell>
          <cell r="L509">
            <v>20</v>
          </cell>
        </row>
        <row r="510">
          <cell r="D510" t="str">
            <v>CG001</v>
          </cell>
          <cell r="L510">
            <v>30</v>
          </cell>
        </row>
        <row r="511">
          <cell r="D511" t="str">
            <v>CG001</v>
          </cell>
          <cell r="L511">
            <v>25</v>
          </cell>
        </row>
        <row r="512">
          <cell r="D512" t="str">
            <v>CG001</v>
          </cell>
          <cell r="L512">
            <v>105</v>
          </cell>
        </row>
        <row r="513">
          <cell r="D513" t="str">
            <v>CG001</v>
          </cell>
          <cell r="L513">
            <v>40</v>
          </cell>
        </row>
        <row r="514">
          <cell r="D514" t="str">
            <v>CG001</v>
          </cell>
          <cell r="L514">
            <v>50</v>
          </cell>
        </row>
        <row r="515">
          <cell r="D515" t="str">
            <v>CG001</v>
          </cell>
          <cell r="L515">
            <v>20</v>
          </cell>
        </row>
        <row r="516">
          <cell r="D516" t="str">
            <v>CG001</v>
          </cell>
          <cell r="L516">
            <v>125</v>
          </cell>
        </row>
        <row r="517">
          <cell r="D517" t="str">
            <v>CG001</v>
          </cell>
          <cell r="L517">
            <v>125</v>
          </cell>
        </row>
        <row r="518">
          <cell r="D518" t="str">
            <v>CG001</v>
          </cell>
          <cell r="L518">
            <v>25</v>
          </cell>
        </row>
        <row r="519">
          <cell r="D519" t="str">
            <v>CG001</v>
          </cell>
          <cell r="L519">
            <v>15</v>
          </cell>
        </row>
        <row r="520">
          <cell r="D520" t="str">
            <v>CG001</v>
          </cell>
          <cell r="L520">
            <v>75</v>
          </cell>
        </row>
        <row r="521">
          <cell r="D521" t="str">
            <v>CG001</v>
          </cell>
          <cell r="L521">
            <v>15</v>
          </cell>
        </row>
        <row r="522">
          <cell r="D522" t="str">
            <v>CG001</v>
          </cell>
          <cell r="L522">
            <v>100</v>
          </cell>
        </row>
        <row r="523">
          <cell r="D523" t="str">
            <v>CG001</v>
          </cell>
          <cell r="L523">
            <v>75</v>
          </cell>
        </row>
        <row r="524">
          <cell r="D524" t="str">
            <v>CG001</v>
          </cell>
          <cell r="L524">
            <v>50</v>
          </cell>
        </row>
        <row r="525">
          <cell r="D525" t="str">
            <v>CG001</v>
          </cell>
          <cell r="L525">
            <v>200</v>
          </cell>
        </row>
        <row r="526">
          <cell r="D526" t="str">
            <v>CG001</v>
          </cell>
          <cell r="L526">
            <v>75</v>
          </cell>
        </row>
        <row r="527">
          <cell r="D527" t="str">
            <v>CG001</v>
          </cell>
          <cell r="L527">
            <v>150</v>
          </cell>
        </row>
        <row r="528">
          <cell r="D528" t="str">
            <v>CG001</v>
          </cell>
          <cell r="L528">
            <v>100</v>
          </cell>
        </row>
        <row r="529">
          <cell r="D529" t="str">
            <v>CG002</v>
          </cell>
          <cell r="L529">
            <v>2</v>
          </cell>
        </row>
        <row r="530">
          <cell r="D530" t="str">
            <v>CG001</v>
          </cell>
          <cell r="L530">
            <v>50</v>
          </cell>
        </row>
        <row r="531">
          <cell r="D531" t="str">
            <v>CG001</v>
          </cell>
          <cell r="L531">
            <v>100</v>
          </cell>
        </row>
        <row r="532">
          <cell r="D532" t="str">
            <v>CG001</v>
          </cell>
          <cell r="L532">
            <v>85</v>
          </cell>
        </row>
        <row r="533">
          <cell r="D533" t="str">
            <v>CG002</v>
          </cell>
          <cell r="L533">
            <v>1</v>
          </cell>
        </row>
        <row r="534">
          <cell r="D534" t="str">
            <v>CG001</v>
          </cell>
          <cell r="L534">
            <v>50</v>
          </cell>
        </row>
        <row r="535">
          <cell r="D535" t="str">
            <v>CG001</v>
          </cell>
          <cell r="L535">
            <v>75</v>
          </cell>
        </row>
        <row r="536">
          <cell r="D536" t="str">
            <v>CG001</v>
          </cell>
          <cell r="L536">
            <v>125</v>
          </cell>
        </row>
        <row r="537">
          <cell r="D537" t="str">
            <v>CG001</v>
          </cell>
          <cell r="L537">
            <v>75</v>
          </cell>
        </row>
        <row r="538">
          <cell r="D538" t="str">
            <v>CG001</v>
          </cell>
          <cell r="L538">
            <v>100</v>
          </cell>
        </row>
        <row r="539">
          <cell r="D539" t="str">
            <v>CG002</v>
          </cell>
          <cell r="L539">
            <v>2.5</v>
          </cell>
        </row>
        <row r="540">
          <cell r="D540" t="str">
            <v>CG001</v>
          </cell>
          <cell r="L540">
            <v>125</v>
          </cell>
        </row>
        <row r="541">
          <cell r="D541" t="str">
            <v>CG001</v>
          </cell>
          <cell r="L541">
            <v>75</v>
          </cell>
        </row>
        <row r="542">
          <cell r="D542" t="str">
            <v>CG001</v>
          </cell>
          <cell r="L542">
            <v>75</v>
          </cell>
        </row>
        <row r="543">
          <cell r="D543" t="str">
            <v>CG001</v>
          </cell>
          <cell r="L543">
            <v>100</v>
          </cell>
        </row>
        <row r="544">
          <cell r="D544" t="str">
            <v>CG001</v>
          </cell>
          <cell r="L544">
            <v>75</v>
          </cell>
        </row>
        <row r="545">
          <cell r="D545" t="str">
            <v>CG001</v>
          </cell>
          <cell r="L545">
            <v>50</v>
          </cell>
        </row>
        <row r="546">
          <cell r="D546" t="str">
            <v>CG001</v>
          </cell>
          <cell r="L546">
            <v>30</v>
          </cell>
        </row>
        <row r="547">
          <cell r="D547" t="str">
            <v>CG001</v>
          </cell>
          <cell r="L547">
            <v>50</v>
          </cell>
        </row>
        <row r="548">
          <cell r="D548" t="str">
            <v>CG001</v>
          </cell>
          <cell r="L548">
            <v>105</v>
          </cell>
        </row>
        <row r="549">
          <cell r="D549" t="str">
            <v>CG001</v>
          </cell>
          <cell r="L549">
            <v>50</v>
          </cell>
        </row>
        <row r="550">
          <cell r="D550" t="str">
            <v>CG001</v>
          </cell>
          <cell r="L550">
            <v>50</v>
          </cell>
        </row>
        <row r="551">
          <cell r="D551" t="str">
            <v>CG001</v>
          </cell>
          <cell r="L551">
            <v>75</v>
          </cell>
        </row>
        <row r="552">
          <cell r="D552" t="str">
            <v>CG001</v>
          </cell>
          <cell r="L552">
            <v>125</v>
          </cell>
        </row>
        <row r="553">
          <cell r="D553" t="str">
            <v>CG001</v>
          </cell>
          <cell r="L553">
            <v>50</v>
          </cell>
        </row>
        <row r="554">
          <cell r="D554" t="str">
            <v>CG001</v>
          </cell>
          <cell r="L554">
            <v>75</v>
          </cell>
        </row>
        <row r="555">
          <cell r="D555" t="str">
            <v>CG001</v>
          </cell>
          <cell r="L555">
            <v>115</v>
          </cell>
        </row>
        <row r="556">
          <cell r="D556" t="str">
            <v>CG001</v>
          </cell>
          <cell r="L556">
            <v>50</v>
          </cell>
        </row>
        <row r="557">
          <cell r="D557" t="str">
            <v>CG001</v>
          </cell>
          <cell r="L557">
            <v>15</v>
          </cell>
        </row>
        <row r="558">
          <cell r="D558" t="str">
            <v>CG001</v>
          </cell>
          <cell r="L558">
            <v>40</v>
          </cell>
        </row>
        <row r="559">
          <cell r="D559" t="str">
            <v>CG001</v>
          </cell>
          <cell r="L559">
            <v>20</v>
          </cell>
        </row>
        <row r="560">
          <cell r="D560" t="str">
            <v>CG001</v>
          </cell>
          <cell r="L560">
            <v>20</v>
          </cell>
        </row>
        <row r="561">
          <cell r="D561" t="str">
            <v>CG001</v>
          </cell>
          <cell r="L561">
            <v>20</v>
          </cell>
        </row>
        <row r="562">
          <cell r="D562" t="str">
            <v>CG001</v>
          </cell>
          <cell r="L562">
            <v>25</v>
          </cell>
        </row>
        <row r="563">
          <cell r="D563" t="str">
            <v>CG001</v>
          </cell>
          <cell r="L563">
            <v>25</v>
          </cell>
        </row>
        <row r="564">
          <cell r="D564" t="str">
            <v>CG001</v>
          </cell>
          <cell r="L564">
            <v>25</v>
          </cell>
        </row>
        <row r="565">
          <cell r="D565" t="str">
            <v>CG001</v>
          </cell>
          <cell r="L565">
            <v>25</v>
          </cell>
        </row>
        <row r="566">
          <cell r="D566" t="str">
            <v>CG001</v>
          </cell>
          <cell r="L566">
            <v>25</v>
          </cell>
        </row>
        <row r="567">
          <cell r="D567" t="str">
            <v>CG001</v>
          </cell>
          <cell r="L567">
            <v>25</v>
          </cell>
        </row>
        <row r="568">
          <cell r="D568" t="str">
            <v>CG001</v>
          </cell>
          <cell r="L568">
            <v>105</v>
          </cell>
        </row>
        <row r="569">
          <cell r="D569" t="str">
            <v>CG001</v>
          </cell>
          <cell r="L569">
            <v>40</v>
          </cell>
        </row>
        <row r="570">
          <cell r="D570" t="str">
            <v>CG001</v>
          </cell>
          <cell r="L570">
            <v>50</v>
          </cell>
        </row>
        <row r="571">
          <cell r="D571" t="str">
            <v>CG001</v>
          </cell>
          <cell r="L571">
            <v>50</v>
          </cell>
        </row>
        <row r="572">
          <cell r="D572" t="str">
            <v>CG001</v>
          </cell>
          <cell r="L572">
            <v>75</v>
          </cell>
        </row>
        <row r="573">
          <cell r="D573" t="str">
            <v>CG001</v>
          </cell>
          <cell r="L573">
            <v>115</v>
          </cell>
        </row>
        <row r="574">
          <cell r="D574" t="str">
            <v>CG001</v>
          </cell>
          <cell r="L574">
            <v>50</v>
          </cell>
        </row>
        <row r="575">
          <cell r="D575" t="str">
            <v>CG001</v>
          </cell>
          <cell r="L575">
            <v>100</v>
          </cell>
        </row>
        <row r="576">
          <cell r="D576" t="str">
            <v>CG001</v>
          </cell>
          <cell r="L576">
            <v>70</v>
          </cell>
        </row>
        <row r="577">
          <cell r="D577" t="str">
            <v>CG001</v>
          </cell>
          <cell r="L577">
            <v>20</v>
          </cell>
        </row>
        <row r="578">
          <cell r="D578" t="str">
            <v>CG001</v>
          </cell>
          <cell r="L578">
            <v>25</v>
          </cell>
        </row>
        <row r="579">
          <cell r="D579" t="str">
            <v>CG001</v>
          </cell>
          <cell r="L579">
            <v>20</v>
          </cell>
        </row>
        <row r="580">
          <cell r="D580" t="str">
            <v>CG001</v>
          </cell>
          <cell r="L580">
            <v>5</v>
          </cell>
        </row>
        <row r="581">
          <cell r="D581" t="str">
            <v>CG002</v>
          </cell>
          <cell r="L581">
            <v>1</v>
          </cell>
        </row>
        <row r="582">
          <cell r="D582" t="str">
            <v>GR002</v>
          </cell>
          <cell r="L582">
            <v>18</v>
          </cell>
        </row>
        <row r="583">
          <cell r="D583" t="str">
            <v>GR005</v>
          </cell>
          <cell r="L583">
            <v>5</v>
          </cell>
        </row>
        <row r="584">
          <cell r="D584" t="str">
            <v>GR009</v>
          </cell>
          <cell r="L584">
            <v>1</v>
          </cell>
        </row>
        <row r="585">
          <cell r="D585" t="str">
            <v>GR013</v>
          </cell>
          <cell r="L585">
            <v>6</v>
          </cell>
        </row>
        <row r="586">
          <cell r="D586" t="str">
            <v>CG001</v>
          </cell>
          <cell r="L586">
            <v>60</v>
          </cell>
        </row>
        <row r="587">
          <cell r="D587" t="str">
            <v>CG002</v>
          </cell>
          <cell r="L587">
            <v>3.5</v>
          </cell>
        </row>
        <row r="588">
          <cell r="D588" t="str">
            <v>CG001</v>
          </cell>
          <cell r="L588">
            <v>30</v>
          </cell>
        </row>
        <row r="589">
          <cell r="D589" t="str">
            <v>CG001</v>
          </cell>
          <cell r="L589">
            <v>55</v>
          </cell>
        </row>
        <row r="590">
          <cell r="D590" t="str">
            <v>CG002</v>
          </cell>
          <cell r="L590">
            <v>1</v>
          </cell>
        </row>
        <row r="591">
          <cell r="D591" t="str">
            <v>CG001</v>
          </cell>
          <cell r="L591">
            <v>60</v>
          </cell>
        </row>
        <row r="592">
          <cell r="D592" t="str">
            <v>CG002</v>
          </cell>
          <cell r="L592">
            <v>3</v>
          </cell>
        </row>
        <row r="593">
          <cell r="D593" t="str">
            <v>CG001</v>
          </cell>
          <cell r="L593">
            <v>15</v>
          </cell>
        </row>
        <row r="594">
          <cell r="D594" t="str">
            <v>CG001</v>
          </cell>
          <cell r="L594">
            <v>15</v>
          </cell>
        </row>
        <row r="595">
          <cell r="D595" t="str">
            <v>CG001</v>
          </cell>
          <cell r="L595">
            <v>50</v>
          </cell>
        </row>
        <row r="596">
          <cell r="D596" t="str">
            <v>CG001</v>
          </cell>
          <cell r="L596">
            <v>25</v>
          </cell>
        </row>
        <row r="597">
          <cell r="D597" t="str">
            <v>CG001</v>
          </cell>
          <cell r="L597">
            <v>25</v>
          </cell>
        </row>
        <row r="598">
          <cell r="D598" t="str">
            <v>CG001</v>
          </cell>
          <cell r="L598">
            <v>50</v>
          </cell>
        </row>
        <row r="599">
          <cell r="D599" t="str">
            <v>CG001</v>
          </cell>
          <cell r="L599">
            <v>75</v>
          </cell>
        </row>
        <row r="600">
          <cell r="D600" t="str">
            <v>CG001</v>
          </cell>
          <cell r="L600">
            <v>115</v>
          </cell>
        </row>
        <row r="601">
          <cell r="D601" t="str">
            <v>CG001</v>
          </cell>
          <cell r="L601">
            <v>50</v>
          </cell>
        </row>
        <row r="602">
          <cell r="D602" t="str">
            <v>CG001</v>
          </cell>
          <cell r="L602">
            <v>15</v>
          </cell>
        </row>
        <row r="603">
          <cell r="D603" t="str">
            <v>CG001</v>
          </cell>
          <cell r="L603">
            <v>40</v>
          </cell>
        </row>
        <row r="604">
          <cell r="D604" t="str">
            <v>CG001</v>
          </cell>
          <cell r="L604">
            <v>125</v>
          </cell>
        </row>
        <row r="605">
          <cell r="D605" t="str">
            <v>CG001</v>
          </cell>
          <cell r="L605">
            <v>75</v>
          </cell>
        </row>
        <row r="606">
          <cell r="D606" t="str">
            <v>CG001</v>
          </cell>
          <cell r="L606">
            <v>75</v>
          </cell>
        </row>
        <row r="607">
          <cell r="D607" t="str">
            <v>CG001</v>
          </cell>
          <cell r="L607">
            <v>100</v>
          </cell>
        </row>
        <row r="608">
          <cell r="D608" t="str">
            <v>CG001</v>
          </cell>
          <cell r="L608">
            <v>75</v>
          </cell>
        </row>
        <row r="609">
          <cell r="D609" t="str">
            <v>CG001</v>
          </cell>
          <cell r="L609">
            <v>50</v>
          </cell>
        </row>
        <row r="610">
          <cell r="D610" t="str">
            <v>CG001</v>
          </cell>
          <cell r="L610">
            <v>30</v>
          </cell>
        </row>
        <row r="611">
          <cell r="D611" t="str">
            <v>CG001</v>
          </cell>
          <cell r="L611">
            <v>50</v>
          </cell>
        </row>
        <row r="612">
          <cell r="D612" t="str">
            <v>CG001</v>
          </cell>
          <cell r="L612">
            <v>105</v>
          </cell>
        </row>
        <row r="613">
          <cell r="D613" t="str">
            <v>CG001</v>
          </cell>
          <cell r="L613">
            <v>50</v>
          </cell>
        </row>
        <row r="614">
          <cell r="D614" t="str">
            <v>CG001</v>
          </cell>
          <cell r="L614">
            <v>50</v>
          </cell>
        </row>
        <row r="615">
          <cell r="D615" t="str">
            <v>CG001</v>
          </cell>
          <cell r="L615">
            <v>75</v>
          </cell>
        </row>
        <row r="616">
          <cell r="D616" t="str">
            <v>CG001</v>
          </cell>
          <cell r="L616">
            <v>125</v>
          </cell>
        </row>
        <row r="617">
          <cell r="D617" t="str">
            <v>CG001</v>
          </cell>
          <cell r="L617">
            <v>50</v>
          </cell>
        </row>
        <row r="618">
          <cell r="D618" t="str">
            <v>CG001</v>
          </cell>
          <cell r="L618">
            <v>75</v>
          </cell>
        </row>
        <row r="619">
          <cell r="D619" t="str">
            <v>CG001</v>
          </cell>
          <cell r="L619">
            <v>115</v>
          </cell>
        </row>
        <row r="620">
          <cell r="D620" t="str">
            <v>CG001</v>
          </cell>
          <cell r="L620">
            <v>50</v>
          </cell>
        </row>
        <row r="621">
          <cell r="D621" t="str">
            <v>CG001</v>
          </cell>
          <cell r="L621">
            <v>15</v>
          </cell>
        </row>
        <row r="622">
          <cell r="D622" t="str">
            <v>CG001</v>
          </cell>
          <cell r="L622">
            <v>40</v>
          </cell>
        </row>
        <row r="623">
          <cell r="D623" t="str">
            <v>CG001</v>
          </cell>
          <cell r="L623">
            <v>20</v>
          </cell>
        </row>
        <row r="624">
          <cell r="D624" t="str">
            <v>CG001</v>
          </cell>
          <cell r="L624">
            <v>20</v>
          </cell>
        </row>
        <row r="625">
          <cell r="D625" t="str">
            <v>CG001</v>
          </cell>
          <cell r="L625">
            <v>20</v>
          </cell>
        </row>
        <row r="626">
          <cell r="D626" t="str">
            <v>CG001</v>
          </cell>
          <cell r="L626">
            <v>25</v>
          </cell>
        </row>
        <row r="627">
          <cell r="D627" t="str">
            <v>CG001</v>
          </cell>
          <cell r="L627">
            <v>25</v>
          </cell>
        </row>
        <row r="628">
          <cell r="D628" t="str">
            <v>CG001</v>
          </cell>
          <cell r="L628">
            <v>25</v>
          </cell>
        </row>
        <row r="629">
          <cell r="D629" t="str">
            <v>CG001</v>
          </cell>
          <cell r="L629">
            <v>25</v>
          </cell>
        </row>
        <row r="630">
          <cell r="D630" t="str">
            <v>CG001</v>
          </cell>
          <cell r="L630">
            <v>125</v>
          </cell>
        </row>
        <row r="631">
          <cell r="D631" t="str">
            <v>CG001</v>
          </cell>
          <cell r="L631">
            <v>25</v>
          </cell>
        </row>
        <row r="632">
          <cell r="D632" t="str">
            <v>CG001</v>
          </cell>
          <cell r="L632">
            <v>15</v>
          </cell>
        </row>
        <row r="633">
          <cell r="D633" t="str">
            <v>CG001</v>
          </cell>
          <cell r="L633">
            <v>50</v>
          </cell>
        </row>
        <row r="634">
          <cell r="D634" t="str">
            <v>CG001</v>
          </cell>
          <cell r="L634">
            <v>30</v>
          </cell>
        </row>
        <row r="635">
          <cell r="D635" t="str">
            <v>CG001</v>
          </cell>
          <cell r="L635">
            <v>65</v>
          </cell>
        </row>
        <row r="636">
          <cell r="D636" t="str">
            <v>CG001</v>
          </cell>
          <cell r="L636">
            <v>20</v>
          </cell>
        </row>
        <row r="637">
          <cell r="D637" t="str">
            <v>CG001</v>
          </cell>
          <cell r="L637">
            <v>125</v>
          </cell>
        </row>
        <row r="638">
          <cell r="D638" t="str">
            <v>CG001</v>
          </cell>
          <cell r="L638">
            <v>125</v>
          </cell>
        </row>
        <row r="639">
          <cell r="D639" t="str">
            <v>CG001</v>
          </cell>
          <cell r="L639">
            <v>25</v>
          </cell>
        </row>
        <row r="640">
          <cell r="D640" t="str">
            <v>CG001</v>
          </cell>
          <cell r="L640">
            <v>15</v>
          </cell>
        </row>
        <row r="641">
          <cell r="D641" t="str">
            <v>CG001</v>
          </cell>
          <cell r="L641">
            <v>50</v>
          </cell>
        </row>
        <row r="642">
          <cell r="D642" t="str">
            <v>CG001</v>
          </cell>
          <cell r="L642">
            <v>30</v>
          </cell>
        </row>
        <row r="643">
          <cell r="D643" t="str">
            <v>CG001</v>
          </cell>
          <cell r="L643">
            <v>65</v>
          </cell>
        </row>
        <row r="644">
          <cell r="D644" t="str">
            <v>CG001</v>
          </cell>
          <cell r="L644">
            <v>20</v>
          </cell>
        </row>
        <row r="645">
          <cell r="D645" t="str">
            <v>CG001</v>
          </cell>
          <cell r="L645">
            <v>50</v>
          </cell>
        </row>
        <row r="646">
          <cell r="D646" t="str">
            <v>CG001</v>
          </cell>
          <cell r="L646">
            <v>50</v>
          </cell>
        </row>
        <row r="647">
          <cell r="D647" t="str">
            <v>CG001</v>
          </cell>
          <cell r="L647">
            <v>75</v>
          </cell>
        </row>
        <row r="648">
          <cell r="D648" t="str">
            <v>CG001</v>
          </cell>
          <cell r="L648">
            <v>115</v>
          </cell>
        </row>
        <row r="649">
          <cell r="D649" t="str">
            <v>CG001</v>
          </cell>
          <cell r="L649">
            <v>50</v>
          </cell>
        </row>
        <row r="650">
          <cell r="D650" t="str">
            <v>CG001</v>
          </cell>
          <cell r="L650">
            <v>100</v>
          </cell>
        </row>
        <row r="651">
          <cell r="D651" t="str">
            <v>CG001</v>
          </cell>
          <cell r="L651">
            <v>70</v>
          </cell>
        </row>
        <row r="652">
          <cell r="D652" t="str">
            <v>CG001</v>
          </cell>
          <cell r="L652">
            <v>20</v>
          </cell>
        </row>
        <row r="653">
          <cell r="D653" t="str">
            <v>CG001</v>
          </cell>
          <cell r="L653">
            <v>25</v>
          </cell>
        </row>
        <row r="654">
          <cell r="D654" t="str">
            <v>CG001</v>
          </cell>
          <cell r="L654">
            <v>20</v>
          </cell>
        </row>
        <row r="655">
          <cell r="D655" t="str">
            <v>CG001</v>
          </cell>
          <cell r="L655">
            <v>5</v>
          </cell>
        </row>
        <row r="656">
          <cell r="D656" t="str">
            <v>CG001</v>
          </cell>
          <cell r="L656">
            <v>15</v>
          </cell>
        </row>
        <row r="657">
          <cell r="D657" t="str">
            <v>CG001</v>
          </cell>
          <cell r="L657">
            <v>15</v>
          </cell>
        </row>
        <row r="658">
          <cell r="D658" t="str">
            <v>CG001</v>
          </cell>
          <cell r="L658">
            <v>50</v>
          </cell>
        </row>
        <row r="659">
          <cell r="D659" t="str">
            <v>CG001</v>
          </cell>
          <cell r="L659">
            <v>25</v>
          </cell>
        </row>
        <row r="660">
          <cell r="D660" t="str">
            <v>CG001</v>
          </cell>
          <cell r="L660">
            <v>25</v>
          </cell>
        </row>
        <row r="661">
          <cell r="D661" t="str">
            <v>CG001</v>
          </cell>
          <cell r="L661">
            <v>50</v>
          </cell>
        </row>
        <row r="662">
          <cell r="D662" t="str">
            <v>CG001</v>
          </cell>
          <cell r="L662">
            <v>75</v>
          </cell>
        </row>
        <row r="663">
          <cell r="D663" t="str">
            <v>CG001</v>
          </cell>
          <cell r="L663">
            <v>115</v>
          </cell>
        </row>
        <row r="664">
          <cell r="D664" t="str">
            <v>CG001</v>
          </cell>
          <cell r="L664">
            <v>50</v>
          </cell>
        </row>
        <row r="665">
          <cell r="D665" t="str">
            <v>CG001</v>
          </cell>
          <cell r="L665">
            <v>15</v>
          </cell>
        </row>
        <row r="666">
          <cell r="D666" t="str">
            <v>CG001</v>
          </cell>
          <cell r="L666">
            <v>40</v>
          </cell>
        </row>
        <row r="667">
          <cell r="D667" t="str">
            <v>CG001</v>
          </cell>
          <cell r="L667">
            <v>125</v>
          </cell>
        </row>
        <row r="668">
          <cell r="D668" t="str">
            <v>CG001</v>
          </cell>
          <cell r="L668">
            <v>75</v>
          </cell>
        </row>
        <row r="669">
          <cell r="D669" t="str">
            <v>CG001</v>
          </cell>
          <cell r="L669">
            <v>75</v>
          </cell>
        </row>
        <row r="670">
          <cell r="D670" t="str">
            <v>CG001</v>
          </cell>
          <cell r="L670">
            <v>100</v>
          </cell>
        </row>
        <row r="671">
          <cell r="D671" t="str">
            <v>CG001</v>
          </cell>
          <cell r="L671">
            <v>75</v>
          </cell>
        </row>
        <row r="672">
          <cell r="D672" t="str">
            <v>CG001</v>
          </cell>
          <cell r="L672">
            <v>50</v>
          </cell>
        </row>
        <row r="673">
          <cell r="D673" t="str">
            <v>CG001</v>
          </cell>
          <cell r="L673">
            <v>30</v>
          </cell>
        </row>
        <row r="674">
          <cell r="D674" t="str">
            <v>CG001</v>
          </cell>
          <cell r="L674">
            <v>50</v>
          </cell>
        </row>
        <row r="675">
          <cell r="D675" t="str">
            <v>CG001</v>
          </cell>
          <cell r="L675">
            <v>105</v>
          </cell>
        </row>
        <row r="676">
          <cell r="D676" t="str">
            <v>CG001</v>
          </cell>
          <cell r="L676">
            <v>50</v>
          </cell>
        </row>
        <row r="677">
          <cell r="D677" t="str">
            <v>CG001</v>
          </cell>
          <cell r="L677">
            <v>50</v>
          </cell>
        </row>
        <row r="678">
          <cell r="D678" t="str">
            <v>CG001</v>
          </cell>
          <cell r="L678">
            <v>75</v>
          </cell>
        </row>
        <row r="679">
          <cell r="D679" t="str">
            <v>CG001</v>
          </cell>
          <cell r="L679">
            <v>125</v>
          </cell>
        </row>
        <row r="680">
          <cell r="D680" t="str">
            <v>CG001</v>
          </cell>
          <cell r="L680">
            <v>50</v>
          </cell>
        </row>
        <row r="681">
          <cell r="D681" t="str">
            <v>CG001</v>
          </cell>
          <cell r="L681">
            <v>75</v>
          </cell>
        </row>
        <row r="682">
          <cell r="D682" t="str">
            <v>CG001</v>
          </cell>
          <cell r="L682">
            <v>115</v>
          </cell>
        </row>
        <row r="683">
          <cell r="D683" t="str">
            <v>CG001</v>
          </cell>
          <cell r="L683">
            <v>50</v>
          </cell>
        </row>
        <row r="684">
          <cell r="D684" t="str">
            <v>CG001</v>
          </cell>
          <cell r="L684">
            <v>15</v>
          </cell>
        </row>
        <row r="685">
          <cell r="D685" t="str">
            <v>CG001</v>
          </cell>
          <cell r="L685">
            <v>40</v>
          </cell>
        </row>
        <row r="686">
          <cell r="D686" t="str">
            <v>CG001</v>
          </cell>
          <cell r="L686">
            <v>20</v>
          </cell>
        </row>
        <row r="687">
          <cell r="D687" t="str">
            <v>CG001</v>
          </cell>
          <cell r="L687">
            <v>20</v>
          </cell>
        </row>
        <row r="688">
          <cell r="D688" t="str">
            <v>GR001</v>
          </cell>
          <cell r="L688">
            <v>2</v>
          </cell>
        </row>
        <row r="689">
          <cell r="D689" t="str">
            <v>GR005</v>
          </cell>
          <cell r="L689">
            <v>14</v>
          </cell>
        </row>
        <row r="690">
          <cell r="D690" t="str">
            <v>CG001</v>
          </cell>
          <cell r="L690">
            <v>25</v>
          </cell>
        </row>
        <row r="691">
          <cell r="D691" t="str">
            <v>CG001</v>
          </cell>
          <cell r="L691">
            <v>25</v>
          </cell>
        </row>
        <row r="692">
          <cell r="D692" t="str">
            <v>CG001</v>
          </cell>
          <cell r="L692">
            <v>25</v>
          </cell>
        </row>
        <row r="693">
          <cell r="D693" t="str">
            <v>CG001</v>
          </cell>
          <cell r="L693">
            <v>125</v>
          </cell>
        </row>
        <row r="694">
          <cell r="D694" t="str">
            <v>CG001</v>
          </cell>
          <cell r="L694">
            <v>25</v>
          </cell>
        </row>
        <row r="695">
          <cell r="D695" t="str">
            <v>CG001</v>
          </cell>
          <cell r="L695">
            <v>15</v>
          </cell>
        </row>
        <row r="696">
          <cell r="D696" t="str">
            <v>CG001</v>
          </cell>
          <cell r="L696">
            <v>50</v>
          </cell>
        </row>
        <row r="697">
          <cell r="D697" t="str">
            <v>CG001</v>
          </cell>
          <cell r="L697">
            <v>30</v>
          </cell>
        </row>
        <row r="698">
          <cell r="D698" t="str">
            <v>CG001</v>
          </cell>
          <cell r="L698">
            <v>65</v>
          </cell>
        </row>
        <row r="699">
          <cell r="D699" t="str">
            <v>CG001</v>
          </cell>
          <cell r="L699">
            <v>20</v>
          </cell>
        </row>
        <row r="700">
          <cell r="D700" t="str">
            <v>CG001</v>
          </cell>
          <cell r="L700">
            <v>125</v>
          </cell>
        </row>
        <row r="701">
          <cell r="D701" t="str">
            <v>CG001</v>
          </cell>
          <cell r="L701">
            <v>125</v>
          </cell>
        </row>
        <row r="702">
          <cell r="D702" t="str">
            <v>CG001</v>
          </cell>
          <cell r="L702">
            <v>25</v>
          </cell>
        </row>
        <row r="703">
          <cell r="D703" t="str">
            <v>CG001</v>
          </cell>
          <cell r="L703">
            <v>15</v>
          </cell>
        </row>
        <row r="704">
          <cell r="D704" t="str">
            <v>CG001</v>
          </cell>
          <cell r="L704">
            <v>50</v>
          </cell>
        </row>
        <row r="705">
          <cell r="D705" t="str">
            <v>CG001</v>
          </cell>
          <cell r="L705">
            <v>30</v>
          </cell>
        </row>
        <row r="706">
          <cell r="D706" t="str">
            <v>CG001</v>
          </cell>
          <cell r="L706">
            <v>65</v>
          </cell>
        </row>
        <row r="707">
          <cell r="D707" t="str">
            <v>CG001</v>
          </cell>
          <cell r="L707">
            <v>20</v>
          </cell>
        </row>
        <row r="708">
          <cell r="D708" t="str">
            <v>CG001</v>
          </cell>
          <cell r="L708">
            <v>125</v>
          </cell>
        </row>
        <row r="709">
          <cell r="D709" t="str">
            <v>CG001</v>
          </cell>
          <cell r="L709">
            <v>75</v>
          </cell>
        </row>
        <row r="710">
          <cell r="D710" t="str">
            <v>CG001</v>
          </cell>
          <cell r="L710">
            <v>75</v>
          </cell>
        </row>
        <row r="711">
          <cell r="D711" t="str">
            <v>CG001</v>
          </cell>
          <cell r="L711">
            <v>100</v>
          </cell>
        </row>
        <row r="712">
          <cell r="D712" t="str">
            <v>CG001</v>
          </cell>
          <cell r="L712">
            <v>75</v>
          </cell>
        </row>
        <row r="713">
          <cell r="D713" t="str">
            <v>CG001</v>
          </cell>
          <cell r="L713">
            <v>50</v>
          </cell>
        </row>
        <row r="714">
          <cell r="D714" t="str">
            <v>CG001</v>
          </cell>
          <cell r="L714">
            <v>30</v>
          </cell>
        </row>
        <row r="715">
          <cell r="D715" t="str">
            <v>CG001</v>
          </cell>
          <cell r="L715">
            <v>50</v>
          </cell>
        </row>
        <row r="716">
          <cell r="D716" t="str">
            <v>CG001</v>
          </cell>
          <cell r="L716">
            <v>105</v>
          </cell>
        </row>
        <row r="717">
          <cell r="D717" t="str">
            <v>CG001</v>
          </cell>
          <cell r="L717">
            <v>50</v>
          </cell>
        </row>
        <row r="718">
          <cell r="D718" t="str">
            <v>CG001</v>
          </cell>
          <cell r="L718">
            <v>50</v>
          </cell>
        </row>
        <row r="719">
          <cell r="D719" t="str">
            <v>CG001</v>
          </cell>
          <cell r="L719">
            <v>75</v>
          </cell>
        </row>
        <row r="720">
          <cell r="D720" t="str">
            <v>CG001</v>
          </cell>
          <cell r="L720">
            <v>125</v>
          </cell>
        </row>
        <row r="721">
          <cell r="D721" t="str">
            <v>CG001</v>
          </cell>
          <cell r="L721">
            <v>50</v>
          </cell>
        </row>
        <row r="722">
          <cell r="D722" t="str">
            <v>CG001</v>
          </cell>
          <cell r="L722">
            <v>75</v>
          </cell>
        </row>
        <row r="723">
          <cell r="D723" t="str">
            <v>CG001</v>
          </cell>
          <cell r="L723">
            <v>115</v>
          </cell>
        </row>
        <row r="724">
          <cell r="D724" t="str">
            <v>CG001</v>
          </cell>
          <cell r="L724">
            <v>50</v>
          </cell>
        </row>
        <row r="725">
          <cell r="D725" t="str">
            <v>CG001</v>
          </cell>
          <cell r="L725">
            <v>15</v>
          </cell>
        </row>
        <row r="726">
          <cell r="D726" t="str">
            <v>CG001</v>
          </cell>
          <cell r="L726">
            <v>40</v>
          </cell>
        </row>
        <row r="727">
          <cell r="D727" t="str">
            <v>CG001</v>
          </cell>
          <cell r="L727">
            <v>20</v>
          </cell>
        </row>
        <row r="728">
          <cell r="D728" t="str">
            <v>CG001</v>
          </cell>
          <cell r="L728">
            <v>20</v>
          </cell>
        </row>
        <row r="729">
          <cell r="D729" t="str">
            <v>CG001</v>
          </cell>
          <cell r="L729">
            <v>20</v>
          </cell>
        </row>
        <row r="730">
          <cell r="D730" t="str">
            <v>CG001</v>
          </cell>
          <cell r="L730">
            <v>25</v>
          </cell>
        </row>
        <row r="731">
          <cell r="D731" t="str">
            <v>GR001</v>
          </cell>
          <cell r="L731">
            <v>31.5</v>
          </cell>
        </row>
        <row r="732">
          <cell r="D732" t="str">
            <v>GR005</v>
          </cell>
          <cell r="L732">
            <v>10</v>
          </cell>
        </row>
        <row r="733">
          <cell r="D733" t="str">
            <v>GR007</v>
          </cell>
          <cell r="L733">
            <v>2</v>
          </cell>
        </row>
        <row r="734">
          <cell r="D734" t="str">
            <v>GR013</v>
          </cell>
          <cell r="L734">
            <v>29</v>
          </cell>
        </row>
        <row r="735">
          <cell r="D735" t="str">
            <v>CG001</v>
          </cell>
          <cell r="L735">
            <v>25</v>
          </cell>
        </row>
        <row r="736">
          <cell r="D736" t="str">
            <v>CG001</v>
          </cell>
          <cell r="L736">
            <v>15</v>
          </cell>
        </row>
        <row r="737">
          <cell r="D737" t="str">
            <v>CG001</v>
          </cell>
          <cell r="L737">
            <v>50</v>
          </cell>
        </row>
        <row r="738">
          <cell r="D738" t="str">
            <v>CG001</v>
          </cell>
          <cell r="L738">
            <v>30</v>
          </cell>
        </row>
        <row r="739">
          <cell r="D739" t="str">
            <v>CG001</v>
          </cell>
          <cell r="L739">
            <v>65</v>
          </cell>
        </row>
        <row r="740">
          <cell r="D740" t="str">
            <v>CG001</v>
          </cell>
          <cell r="L740">
            <v>20</v>
          </cell>
        </row>
        <row r="741">
          <cell r="D741" t="str">
            <v>CG001</v>
          </cell>
          <cell r="L741">
            <v>125</v>
          </cell>
        </row>
        <row r="742">
          <cell r="D742" t="str">
            <v>CG001</v>
          </cell>
          <cell r="L742">
            <v>125</v>
          </cell>
        </row>
        <row r="743">
          <cell r="D743" t="str">
            <v>CG001</v>
          </cell>
          <cell r="L743">
            <v>25</v>
          </cell>
        </row>
        <row r="744">
          <cell r="D744" t="str">
            <v>CG001</v>
          </cell>
          <cell r="L744">
            <v>15</v>
          </cell>
        </row>
        <row r="745">
          <cell r="D745" t="str">
            <v>CG001</v>
          </cell>
          <cell r="L745">
            <v>50</v>
          </cell>
        </row>
        <row r="746">
          <cell r="D746" t="str">
            <v>CG001</v>
          </cell>
          <cell r="L746">
            <v>30</v>
          </cell>
        </row>
        <row r="747">
          <cell r="D747" t="str">
            <v>CG001</v>
          </cell>
          <cell r="L747">
            <v>65</v>
          </cell>
        </row>
        <row r="748">
          <cell r="D748" t="str">
            <v>CG001</v>
          </cell>
          <cell r="L748">
            <v>20</v>
          </cell>
        </row>
        <row r="749">
          <cell r="D749" t="str">
            <v>CG001</v>
          </cell>
          <cell r="L749">
            <v>50</v>
          </cell>
        </row>
        <row r="750">
          <cell r="D750" t="str">
            <v>CG001</v>
          </cell>
          <cell r="L750">
            <v>50</v>
          </cell>
        </row>
        <row r="751">
          <cell r="D751" t="str">
            <v>CG001</v>
          </cell>
          <cell r="L751">
            <v>75</v>
          </cell>
        </row>
        <row r="752">
          <cell r="D752" t="str">
            <v>CG001</v>
          </cell>
          <cell r="L752">
            <v>115</v>
          </cell>
        </row>
        <row r="753">
          <cell r="D753" t="str">
            <v>CG001</v>
          </cell>
          <cell r="L753">
            <v>50</v>
          </cell>
        </row>
        <row r="754">
          <cell r="D754" t="str">
            <v>CG001</v>
          </cell>
          <cell r="L754">
            <v>100</v>
          </cell>
        </row>
        <row r="755">
          <cell r="D755" t="str">
            <v>CG001</v>
          </cell>
          <cell r="L755">
            <v>70</v>
          </cell>
        </row>
        <row r="756">
          <cell r="D756" t="str">
            <v>CG001</v>
          </cell>
          <cell r="L756">
            <v>20</v>
          </cell>
        </row>
        <row r="757">
          <cell r="D757" t="str">
            <v>CG001</v>
          </cell>
          <cell r="L757">
            <v>25</v>
          </cell>
        </row>
        <row r="758">
          <cell r="D758" t="str">
            <v>CG001</v>
          </cell>
          <cell r="L758">
            <v>50</v>
          </cell>
        </row>
        <row r="759">
          <cell r="D759" t="str">
            <v>CG001</v>
          </cell>
          <cell r="L759">
            <v>15</v>
          </cell>
        </row>
        <row r="760">
          <cell r="D760" t="str">
            <v>CG001</v>
          </cell>
          <cell r="L760">
            <v>40</v>
          </cell>
        </row>
        <row r="761">
          <cell r="D761" t="str">
            <v>CG001</v>
          </cell>
          <cell r="L761">
            <v>20</v>
          </cell>
        </row>
        <row r="762">
          <cell r="D762" t="str">
            <v>CG001</v>
          </cell>
          <cell r="L762">
            <v>20</v>
          </cell>
        </row>
        <row r="763">
          <cell r="D763" t="str">
            <v>CG001</v>
          </cell>
          <cell r="L763">
            <v>20</v>
          </cell>
        </row>
        <row r="764">
          <cell r="D764" t="str">
            <v>CG001</v>
          </cell>
          <cell r="L764">
            <v>25</v>
          </cell>
        </row>
        <row r="765">
          <cell r="D765" t="str">
            <v>CG001</v>
          </cell>
          <cell r="L765">
            <v>40</v>
          </cell>
        </row>
        <row r="766">
          <cell r="D766" t="str">
            <v>CG001</v>
          </cell>
          <cell r="L766">
            <v>15</v>
          </cell>
        </row>
        <row r="767">
          <cell r="D767" t="str">
            <v>CG001</v>
          </cell>
          <cell r="L767">
            <v>40</v>
          </cell>
        </row>
        <row r="768">
          <cell r="D768" t="str">
            <v>CG001</v>
          </cell>
          <cell r="L768">
            <v>20</v>
          </cell>
        </row>
        <row r="769">
          <cell r="D769" t="str">
            <v>CG001</v>
          </cell>
          <cell r="L769">
            <v>20</v>
          </cell>
        </row>
        <row r="770">
          <cell r="D770" t="str">
            <v>CG001</v>
          </cell>
          <cell r="L770">
            <v>20</v>
          </cell>
        </row>
        <row r="771">
          <cell r="D771" t="str">
            <v>CG001</v>
          </cell>
          <cell r="L771">
            <v>25</v>
          </cell>
        </row>
        <row r="772">
          <cell r="D772" t="str">
            <v>CG001</v>
          </cell>
          <cell r="L772">
            <v>25</v>
          </cell>
        </row>
        <row r="773">
          <cell r="D773" t="str">
            <v>CG001</v>
          </cell>
          <cell r="L773">
            <v>5</v>
          </cell>
        </row>
        <row r="774">
          <cell r="D774" t="str">
            <v>CG001</v>
          </cell>
          <cell r="L774">
            <v>2</v>
          </cell>
        </row>
        <row r="775">
          <cell r="D775" t="str">
            <v>CG001</v>
          </cell>
          <cell r="L775">
            <v>25</v>
          </cell>
        </row>
        <row r="776">
          <cell r="D776" t="str">
            <v>CG001</v>
          </cell>
          <cell r="L776">
            <v>30</v>
          </cell>
        </row>
        <row r="777">
          <cell r="D777" t="str">
            <v>CG001</v>
          </cell>
          <cell r="L777">
            <v>80</v>
          </cell>
        </row>
        <row r="778">
          <cell r="D778" t="str">
            <v>CG001</v>
          </cell>
          <cell r="L778">
            <v>20</v>
          </cell>
        </row>
        <row r="779">
          <cell r="D779" t="str">
            <v>CG001</v>
          </cell>
          <cell r="L779">
            <v>40</v>
          </cell>
        </row>
        <row r="780">
          <cell r="D780" t="str">
            <v>CG001</v>
          </cell>
          <cell r="L780">
            <v>20</v>
          </cell>
        </row>
        <row r="781">
          <cell r="D781" t="str">
            <v>CG001</v>
          </cell>
          <cell r="L781">
            <v>60</v>
          </cell>
        </row>
        <row r="782">
          <cell r="D782" t="str">
            <v>CG001</v>
          </cell>
          <cell r="L782">
            <v>55</v>
          </cell>
        </row>
        <row r="783">
          <cell r="D783" t="str">
            <v>CG001</v>
          </cell>
          <cell r="L783">
            <v>25</v>
          </cell>
        </row>
        <row r="784">
          <cell r="D784" t="str">
            <v>CG001</v>
          </cell>
          <cell r="L784">
            <v>15</v>
          </cell>
        </row>
        <row r="785">
          <cell r="D785" t="str">
            <v>CG001</v>
          </cell>
          <cell r="L785">
            <v>70</v>
          </cell>
        </row>
        <row r="786">
          <cell r="D786" t="str">
            <v>CG001</v>
          </cell>
          <cell r="L786">
            <v>30</v>
          </cell>
        </row>
        <row r="787">
          <cell r="D787" t="str">
            <v>CG001</v>
          </cell>
          <cell r="L787">
            <v>25</v>
          </cell>
        </row>
        <row r="788">
          <cell r="D788" t="str">
            <v>CG001</v>
          </cell>
          <cell r="L788">
            <v>20</v>
          </cell>
        </row>
        <row r="789">
          <cell r="D789" t="str">
            <v>CG001</v>
          </cell>
          <cell r="L789">
            <v>20</v>
          </cell>
        </row>
        <row r="790">
          <cell r="D790" t="str">
            <v>CG001</v>
          </cell>
          <cell r="L790">
            <v>125</v>
          </cell>
        </row>
        <row r="791">
          <cell r="D791" t="str">
            <v>CG001</v>
          </cell>
          <cell r="L791">
            <v>125</v>
          </cell>
        </row>
        <row r="792">
          <cell r="D792" t="str">
            <v>CG001</v>
          </cell>
          <cell r="L792">
            <v>25</v>
          </cell>
        </row>
        <row r="793">
          <cell r="D793" t="str">
            <v>CG001</v>
          </cell>
          <cell r="L793">
            <v>15</v>
          </cell>
        </row>
        <row r="794">
          <cell r="D794" t="str">
            <v>CG001</v>
          </cell>
          <cell r="L794">
            <v>75</v>
          </cell>
        </row>
        <row r="795">
          <cell r="D795" t="str">
            <v>CG001</v>
          </cell>
          <cell r="L795">
            <v>20</v>
          </cell>
        </row>
        <row r="796">
          <cell r="D796" t="str">
            <v>CG001</v>
          </cell>
          <cell r="L796">
            <v>20</v>
          </cell>
        </row>
        <row r="797">
          <cell r="D797" t="str">
            <v>CG001</v>
          </cell>
          <cell r="L797">
            <v>20</v>
          </cell>
        </row>
        <row r="798">
          <cell r="D798" t="str">
            <v>CG001</v>
          </cell>
          <cell r="L798">
            <v>115</v>
          </cell>
        </row>
        <row r="799">
          <cell r="D799" t="str">
            <v>CG001</v>
          </cell>
          <cell r="L799">
            <v>30</v>
          </cell>
        </row>
        <row r="800">
          <cell r="D800" t="str">
            <v>CG001</v>
          </cell>
          <cell r="L800">
            <v>50</v>
          </cell>
        </row>
        <row r="801">
          <cell r="D801" t="str">
            <v>CG001</v>
          </cell>
          <cell r="L801">
            <v>20</v>
          </cell>
        </row>
        <row r="802">
          <cell r="D802" t="str">
            <v>CG001</v>
          </cell>
          <cell r="L802">
            <v>35</v>
          </cell>
        </row>
        <row r="803">
          <cell r="D803" t="str">
            <v>CG001</v>
          </cell>
          <cell r="L803">
            <v>115</v>
          </cell>
        </row>
        <row r="804">
          <cell r="D804" t="str">
            <v>CG001</v>
          </cell>
          <cell r="L804">
            <v>25</v>
          </cell>
        </row>
        <row r="805">
          <cell r="D805" t="str">
            <v>CG001</v>
          </cell>
          <cell r="L805">
            <v>25</v>
          </cell>
        </row>
        <row r="806">
          <cell r="D806" t="str">
            <v>CG001</v>
          </cell>
          <cell r="L806">
            <v>15</v>
          </cell>
        </row>
        <row r="807">
          <cell r="D807" t="str">
            <v>CG001</v>
          </cell>
          <cell r="L807">
            <v>50</v>
          </cell>
        </row>
        <row r="808">
          <cell r="D808" t="str">
            <v>CG001</v>
          </cell>
          <cell r="L808">
            <v>30</v>
          </cell>
        </row>
        <row r="809">
          <cell r="D809" t="str">
            <v>CG001</v>
          </cell>
          <cell r="L809">
            <v>65</v>
          </cell>
        </row>
        <row r="810">
          <cell r="D810" t="str">
            <v>CG001</v>
          </cell>
          <cell r="L810">
            <v>20</v>
          </cell>
        </row>
        <row r="811">
          <cell r="D811" t="str">
            <v>CG001</v>
          </cell>
          <cell r="L811">
            <v>125</v>
          </cell>
        </row>
        <row r="812">
          <cell r="D812" t="str">
            <v>CG001</v>
          </cell>
          <cell r="L812">
            <v>125</v>
          </cell>
        </row>
        <row r="813">
          <cell r="D813" t="str">
            <v>CG001</v>
          </cell>
          <cell r="L813">
            <v>25</v>
          </cell>
        </row>
        <row r="814">
          <cell r="D814" t="str">
            <v>CG001</v>
          </cell>
          <cell r="L814">
            <v>15</v>
          </cell>
        </row>
        <row r="815">
          <cell r="D815" t="str">
            <v>CG001</v>
          </cell>
          <cell r="L815">
            <v>50</v>
          </cell>
        </row>
        <row r="816">
          <cell r="D816" t="str">
            <v>CG001</v>
          </cell>
          <cell r="L816">
            <v>30</v>
          </cell>
        </row>
        <row r="817">
          <cell r="D817" t="str">
            <v>CG001</v>
          </cell>
          <cell r="L817">
            <v>65</v>
          </cell>
        </row>
        <row r="818">
          <cell r="D818" t="str">
            <v>CG001</v>
          </cell>
          <cell r="L818">
            <v>20</v>
          </cell>
        </row>
        <row r="819">
          <cell r="D819" t="str">
            <v>CG001</v>
          </cell>
          <cell r="L819">
            <v>50</v>
          </cell>
        </row>
        <row r="820">
          <cell r="D820" t="str">
            <v>CG001</v>
          </cell>
          <cell r="L820">
            <v>50</v>
          </cell>
        </row>
        <row r="821">
          <cell r="D821" t="str">
            <v>CG001</v>
          </cell>
          <cell r="L821">
            <v>75</v>
          </cell>
        </row>
        <row r="822">
          <cell r="D822" t="str">
            <v>CG001</v>
          </cell>
          <cell r="L822">
            <v>115</v>
          </cell>
        </row>
        <row r="823">
          <cell r="D823" t="str">
            <v>CG001</v>
          </cell>
          <cell r="L823">
            <v>50</v>
          </cell>
        </row>
        <row r="824">
          <cell r="D824" t="str">
            <v>CG001</v>
          </cell>
          <cell r="L824">
            <v>100</v>
          </cell>
        </row>
        <row r="825">
          <cell r="D825" t="str">
            <v>CG001</v>
          </cell>
          <cell r="L825">
            <v>70</v>
          </cell>
        </row>
        <row r="826">
          <cell r="D826" t="str">
            <v>CG001</v>
          </cell>
          <cell r="L826">
            <v>20</v>
          </cell>
        </row>
        <row r="827">
          <cell r="D827" t="str">
            <v>CG001</v>
          </cell>
          <cell r="L827">
            <v>25</v>
          </cell>
        </row>
        <row r="828">
          <cell r="D828" t="str">
            <v>CG001</v>
          </cell>
          <cell r="L828">
            <v>50</v>
          </cell>
        </row>
        <row r="829">
          <cell r="D829" t="str">
            <v>CG001</v>
          </cell>
          <cell r="L829">
            <v>15</v>
          </cell>
        </row>
        <row r="830">
          <cell r="D830" t="str">
            <v>CG001</v>
          </cell>
          <cell r="L830">
            <v>40</v>
          </cell>
        </row>
        <row r="831">
          <cell r="D831" t="str">
            <v>CG001</v>
          </cell>
          <cell r="L831">
            <v>20</v>
          </cell>
        </row>
        <row r="832">
          <cell r="D832" t="str">
            <v>CG001</v>
          </cell>
          <cell r="L832">
            <v>20</v>
          </cell>
        </row>
        <row r="833">
          <cell r="D833" t="str">
            <v>CG001</v>
          </cell>
          <cell r="L833">
            <v>20</v>
          </cell>
        </row>
        <row r="834">
          <cell r="D834" t="str">
            <v>CG001</v>
          </cell>
          <cell r="L834">
            <v>25</v>
          </cell>
        </row>
        <row r="835">
          <cell r="D835" t="str">
            <v>CG001</v>
          </cell>
          <cell r="L835">
            <v>40</v>
          </cell>
        </row>
        <row r="836">
          <cell r="D836" t="str">
            <v>CG001</v>
          </cell>
          <cell r="L836">
            <v>25</v>
          </cell>
        </row>
        <row r="837">
          <cell r="D837" t="str">
            <v>CG001</v>
          </cell>
          <cell r="L837">
            <v>25</v>
          </cell>
        </row>
        <row r="838">
          <cell r="D838" t="str">
            <v>CG001</v>
          </cell>
          <cell r="L838">
            <v>125</v>
          </cell>
        </row>
        <row r="839">
          <cell r="D839" t="str">
            <v>CG001</v>
          </cell>
          <cell r="L839">
            <v>25</v>
          </cell>
        </row>
        <row r="840">
          <cell r="D840" t="str">
            <v>CG001</v>
          </cell>
          <cell r="L840">
            <v>15</v>
          </cell>
        </row>
        <row r="841">
          <cell r="D841" t="str">
            <v>CG001</v>
          </cell>
          <cell r="L841">
            <v>50</v>
          </cell>
        </row>
        <row r="842">
          <cell r="D842" t="str">
            <v>CG001</v>
          </cell>
          <cell r="L842">
            <v>30</v>
          </cell>
        </row>
        <row r="843">
          <cell r="D843" t="str">
            <v>CG001</v>
          </cell>
          <cell r="L843">
            <v>65</v>
          </cell>
        </row>
        <row r="844">
          <cell r="D844" t="str">
            <v>CG001</v>
          </cell>
          <cell r="L844">
            <v>20</v>
          </cell>
        </row>
        <row r="845">
          <cell r="D845" t="str">
            <v>CG001</v>
          </cell>
          <cell r="L845">
            <v>125</v>
          </cell>
        </row>
        <row r="846">
          <cell r="D846" t="str">
            <v>CG001</v>
          </cell>
          <cell r="L846">
            <v>125</v>
          </cell>
        </row>
        <row r="847">
          <cell r="D847" t="str">
            <v>CG001</v>
          </cell>
          <cell r="L847">
            <v>25</v>
          </cell>
        </row>
        <row r="848">
          <cell r="D848" t="str">
            <v>CG001</v>
          </cell>
          <cell r="L848">
            <v>15</v>
          </cell>
        </row>
        <row r="849">
          <cell r="D849" t="str">
            <v>CG001</v>
          </cell>
          <cell r="L849">
            <v>50</v>
          </cell>
        </row>
        <row r="850">
          <cell r="D850" t="str">
            <v>CG001</v>
          </cell>
          <cell r="L850">
            <v>30</v>
          </cell>
        </row>
        <row r="851">
          <cell r="D851" t="str">
            <v>CG001</v>
          </cell>
          <cell r="L851">
            <v>65</v>
          </cell>
        </row>
        <row r="852">
          <cell r="D852" t="str">
            <v>CG001</v>
          </cell>
          <cell r="L852">
            <v>20</v>
          </cell>
        </row>
        <row r="853">
          <cell r="D853" t="str">
            <v>CG001</v>
          </cell>
          <cell r="L853">
            <v>50</v>
          </cell>
        </row>
        <row r="854">
          <cell r="D854" t="str">
            <v>CG001</v>
          </cell>
          <cell r="L854">
            <v>50</v>
          </cell>
        </row>
        <row r="855">
          <cell r="D855" t="str">
            <v>CG001</v>
          </cell>
          <cell r="L855">
            <v>75</v>
          </cell>
        </row>
        <row r="856">
          <cell r="D856" t="str">
            <v>CG001</v>
          </cell>
          <cell r="L856">
            <v>115</v>
          </cell>
        </row>
        <row r="857">
          <cell r="D857" t="str">
            <v>CG001</v>
          </cell>
          <cell r="L857">
            <v>50</v>
          </cell>
        </row>
        <row r="858">
          <cell r="D858" t="str">
            <v>CG001</v>
          </cell>
          <cell r="L858">
            <v>100</v>
          </cell>
        </row>
        <row r="859">
          <cell r="D859" t="str">
            <v>CG001</v>
          </cell>
          <cell r="L859">
            <v>70</v>
          </cell>
        </row>
        <row r="860">
          <cell r="D860" t="str">
            <v>CG001</v>
          </cell>
          <cell r="L860">
            <v>20</v>
          </cell>
        </row>
        <row r="861">
          <cell r="D861" t="str">
            <v>CG001</v>
          </cell>
          <cell r="L861">
            <v>25</v>
          </cell>
        </row>
        <row r="862">
          <cell r="D862" t="str">
            <v>CG001</v>
          </cell>
          <cell r="L862">
            <v>20</v>
          </cell>
        </row>
        <row r="863">
          <cell r="D863" t="str">
            <v>CG001</v>
          </cell>
          <cell r="L863">
            <v>5</v>
          </cell>
        </row>
        <row r="864">
          <cell r="D864" t="str">
            <v>CG001</v>
          </cell>
          <cell r="L864">
            <v>15</v>
          </cell>
        </row>
        <row r="865">
          <cell r="D865" t="str">
            <v>CG001</v>
          </cell>
          <cell r="L865">
            <v>15</v>
          </cell>
        </row>
        <row r="866">
          <cell r="D866" t="str">
            <v>CG001</v>
          </cell>
          <cell r="L866">
            <v>50</v>
          </cell>
        </row>
        <row r="867">
          <cell r="D867" t="str">
            <v>CG001</v>
          </cell>
          <cell r="L867">
            <v>25</v>
          </cell>
        </row>
        <row r="868">
          <cell r="D868" t="str">
            <v>CG001</v>
          </cell>
          <cell r="L868">
            <v>25</v>
          </cell>
        </row>
        <row r="869">
          <cell r="D869" t="str">
            <v>CG001</v>
          </cell>
          <cell r="L869">
            <v>50</v>
          </cell>
        </row>
        <row r="870">
          <cell r="D870" t="str">
            <v>CG001</v>
          </cell>
          <cell r="L870">
            <v>75</v>
          </cell>
        </row>
        <row r="871">
          <cell r="D871" t="str">
            <v>CG001</v>
          </cell>
          <cell r="L871">
            <v>115</v>
          </cell>
        </row>
        <row r="872">
          <cell r="D872" t="str">
            <v>CG001</v>
          </cell>
          <cell r="L872">
            <v>50</v>
          </cell>
        </row>
        <row r="873">
          <cell r="D873" t="str">
            <v>CG001</v>
          </cell>
          <cell r="L873">
            <v>40</v>
          </cell>
        </row>
        <row r="874">
          <cell r="D874" t="str">
            <v>CG001</v>
          </cell>
          <cell r="L874">
            <v>20</v>
          </cell>
        </row>
        <row r="875">
          <cell r="D875" t="str">
            <v>CG001</v>
          </cell>
          <cell r="L875">
            <v>20</v>
          </cell>
        </row>
        <row r="876">
          <cell r="D876" t="str">
            <v>CG001</v>
          </cell>
          <cell r="L876">
            <v>20</v>
          </cell>
        </row>
        <row r="877">
          <cell r="D877" t="str">
            <v>CG001</v>
          </cell>
          <cell r="L877">
            <v>25</v>
          </cell>
        </row>
        <row r="878">
          <cell r="D878" t="str">
            <v>CG001</v>
          </cell>
          <cell r="L878">
            <v>40</v>
          </cell>
        </row>
        <row r="879">
          <cell r="D879" t="str">
            <v>CG001</v>
          </cell>
          <cell r="L879">
            <v>15</v>
          </cell>
        </row>
        <row r="880">
          <cell r="D880" t="str">
            <v>CG001</v>
          </cell>
          <cell r="L880">
            <v>40</v>
          </cell>
        </row>
        <row r="881">
          <cell r="D881" t="str">
            <v>CG001</v>
          </cell>
          <cell r="L881">
            <v>20</v>
          </cell>
        </row>
        <row r="882">
          <cell r="D882" t="str">
            <v>CG001</v>
          </cell>
          <cell r="L882">
            <v>20</v>
          </cell>
        </row>
        <row r="883">
          <cell r="D883" t="str">
            <v>CG001</v>
          </cell>
          <cell r="L883">
            <v>20</v>
          </cell>
        </row>
        <row r="884">
          <cell r="D884" t="str">
            <v>CG001</v>
          </cell>
          <cell r="L884">
            <v>25</v>
          </cell>
        </row>
        <row r="885">
          <cell r="D885" t="str">
            <v>CG001</v>
          </cell>
          <cell r="L885">
            <v>25</v>
          </cell>
        </row>
        <row r="886">
          <cell r="D886" t="str">
            <v>CG001</v>
          </cell>
          <cell r="L886">
            <v>5</v>
          </cell>
        </row>
        <row r="887">
          <cell r="D887" t="str">
            <v>CG001</v>
          </cell>
          <cell r="L887">
            <v>2</v>
          </cell>
        </row>
        <row r="888">
          <cell r="D888" t="str">
            <v>CG001</v>
          </cell>
          <cell r="L888">
            <v>25</v>
          </cell>
        </row>
        <row r="889">
          <cell r="D889" t="str">
            <v>CG001</v>
          </cell>
          <cell r="L889">
            <v>30</v>
          </cell>
        </row>
        <row r="890">
          <cell r="D890" t="str">
            <v>CG001</v>
          </cell>
          <cell r="L890">
            <v>80</v>
          </cell>
        </row>
        <row r="891">
          <cell r="D891" t="str">
            <v>CG001</v>
          </cell>
          <cell r="L891">
            <v>20</v>
          </cell>
        </row>
        <row r="892">
          <cell r="D892" t="str">
            <v>CG001</v>
          </cell>
          <cell r="L892">
            <v>40</v>
          </cell>
        </row>
        <row r="893">
          <cell r="D893" t="str">
            <v>CG001</v>
          </cell>
          <cell r="L893">
            <v>20</v>
          </cell>
        </row>
        <row r="894">
          <cell r="D894" t="str">
            <v>CG001</v>
          </cell>
          <cell r="L894">
            <v>60</v>
          </cell>
        </row>
        <row r="895">
          <cell r="D895" t="str">
            <v>CG001</v>
          </cell>
          <cell r="L895">
            <v>55</v>
          </cell>
        </row>
        <row r="896">
          <cell r="D896" t="str">
            <v>CG001</v>
          </cell>
          <cell r="L896">
            <v>25</v>
          </cell>
        </row>
        <row r="897">
          <cell r="D897" t="str">
            <v>CG001</v>
          </cell>
          <cell r="L897">
            <v>15</v>
          </cell>
        </row>
        <row r="898">
          <cell r="D898" t="str">
            <v>CG001</v>
          </cell>
          <cell r="L898">
            <v>50</v>
          </cell>
        </row>
        <row r="899">
          <cell r="D899" t="str">
            <v>CG001</v>
          </cell>
          <cell r="L899">
            <v>30</v>
          </cell>
        </row>
        <row r="900">
          <cell r="D900" t="str">
            <v>CG001</v>
          </cell>
          <cell r="L900">
            <v>65</v>
          </cell>
        </row>
        <row r="901">
          <cell r="D901" t="str">
            <v>CG001</v>
          </cell>
          <cell r="L901">
            <v>20</v>
          </cell>
        </row>
        <row r="902">
          <cell r="D902" t="str">
            <v>CG001</v>
          </cell>
          <cell r="L902">
            <v>125</v>
          </cell>
        </row>
        <row r="903">
          <cell r="D903" t="str">
            <v>CG001</v>
          </cell>
          <cell r="L903">
            <v>125</v>
          </cell>
        </row>
        <row r="904">
          <cell r="D904" t="str">
            <v>CG001</v>
          </cell>
          <cell r="L904">
            <v>25</v>
          </cell>
        </row>
        <row r="905">
          <cell r="D905" t="str">
            <v>CG001</v>
          </cell>
          <cell r="L905">
            <v>15</v>
          </cell>
        </row>
        <row r="906">
          <cell r="D906" t="str">
            <v>CG001</v>
          </cell>
          <cell r="L906">
            <v>50</v>
          </cell>
        </row>
        <row r="907">
          <cell r="D907" t="str">
            <v>CG001</v>
          </cell>
          <cell r="L907">
            <v>30</v>
          </cell>
        </row>
        <row r="908">
          <cell r="D908" t="str">
            <v>CG001</v>
          </cell>
          <cell r="L908">
            <v>65</v>
          </cell>
        </row>
        <row r="909">
          <cell r="D909" t="str">
            <v>CG001</v>
          </cell>
          <cell r="L909">
            <v>20</v>
          </cell>
        </row>
        <row r="910">
          <cell r="D910" t="str">
            <v>CG001</v>
          </cell>
          <cell r="L910">
            <v>50</v>
          </cell>
        </row>
        <row r="911">
          <cell r="D911" t="str">
            <v>CG001</v>
          </cell>
          <cell r="L911">
            <v>50</v>
          </cell>
        </row>
        <row r="912">
          <cell r="D912" t="str">
            <v>CG001</v>
          </cell>
          <cell r="L912">
            <v>75</v>
          </cell>
        </row>
        <row r="913">
          <cell r="D913" t="str">
            <v>CG001</v>
          </cell>
          <cell r="L913">
            <v>115</v>
          </cell>
        </row>
        <row r="914">
          <cell r="D914" t="str">
            <v>CG001</v>
          </cell>
          <cell r="L914">
            <v>50</v>
          </cell>
        </row>
        <row r="915">
          <cell r="D915" t="str">
            <v>CG001</v>
          </cell>
          <cell r="L915">
            <v>100</v>
          </cell>
        </row>
        <row r="916">
          <cell r="D916" t="str">
            <v>CG001</v>
          </cell>
          <cell r="L916">
            <v>70</v>
          </cell>
        </row>
        <row r="917">
          <cell r="D917" t="str">
            <v>CG001</v>
          </cell>
          <cell r="L917">
            <v>20</v>
          </cell>
        </row>
        <row r="918">
          <cell r="D918" t="str">
            <v>CG001</v>
          </cell>
          <cell r="L918">
            <v>25</v>
          </cell>
        </row>
        <row r="919">
          <cell r="D919" t="str">
            <v>CG001</v>
          </cell>
          <cell r="L919">
            <v>50</v>
          </cell>
        </row>
        <row r="920">
          <cell r="D920" t="str">
            <v>CG001</v>
          </cell>
          <cell r="L920">
            <v>15</v>
          </cell>
        </row>
        <row r="921">
          <cell r="D921" t="str">
            <v>CG001</v>
          </cell>
          <cell r="L921">
            <v>40</v>
          </cell>
        </row>
        <row r="922">
          <cell r="D922" t="str">
            <v>CG001</v>
          </cell>
          <cell r="L922">
            <v>20</v>
          </cell>
        </row>
        <row r="923">
          <cell r="D923" t="str">
            <v>CG001</v>
          </cell>
          <cell r="L923">
            <v>20</v>
          </cell>
        </row>
        <row r="924">
          <cell r="D924" t="str">
            <v>CG001</v>
          </cell>
          <cell r="L924">
            <v>20</v>
          </cell>
        </row>
        <row r="925">
          <cell r="D925" t="str">
            <v>CG001</v>
          </cell>
          <cell r="L925">
            <v>25</v>
          </cell>
        </row>
        <row r="926">
          <cell r="D926" t="str">
            <v>CG001</v>
          </cell>
          <cell r="L926">
            <v>40</v>
          </cell>
        </row>
        <row r="927">
          <cell r="D927" t="str">
            <v>CG001</v>
          </cell>
          <cell r="L927">
            <v>15</v>
          </cell>
        </row>
        <row r="928">
          <cell r="D928" t="str">
            <v>CG001</v>
          </cell>
          <cell r="L928">
            <v>40</v>
          </cell>
        </row>
        <row r="929">
          <cell r="D929" t="str">
            <v>CG001</v>
          </cell>
          <cell r="L929">
            <v>20</v>
          </cell>
        </row>
        <row r="930">
          <cell r="D930" t="str">
            <v>CG001</v>
          </cell>
          <cell r="L930">
            <v>20</v>
          </cell>
        </row>
        <row r="931">
          <cell r="D931" t="str">
            <v>CG001</v>
          </cell>
          <cell r="L931">
            <v>115</v>
          </cell>
        </row>
        <row r="932">
          <cell r="D932" t="str">
            <v>CG001</v>
          </cell>
          <cell r="L932">
            <v>30</v>
          </cell>
        </row>
        <row r="933">
          <cell r="D933" t="str">
            <v>CG001</v>
          </cell>
          <cell r="L933">
            <v>50</v>
          </cell>
        </row>
        <row r="934">
          <cell r="D934" t="str">
            <v>CG001</v>
          </cell>
          <cell r="L934">
            <v>20</v>
          </cell>
        </row>
        <row r="935">
          <cell r="D935" t="str">
            <v>CG001</v>
          </cell>
          <cell r="L935">
            <v>35</v>
          </cell>
        </row>
        <row r="936">
          <cell r="D936" t="str">
            <v>CG001</v>
          </cell>
          <cell r="L936">
            <v>115</v>
          </cell>
        </row>
        <row r="937">
          <cell r="D937" t="str">
            <v>CG001</v>
          </cell>
          <cell r="L937">
            <v>25</v>
          </cell>
        </row>
        <row r="938">
          <cell r="D938" t="str">
            <v>CG001</v>
          </cell>
          <cell r="L938">
            <v>20</v>
          </cell>
        </row>
        <row r="939">
          <cell r="D939" t="str">
            <v>CG001</v>
          </cell>
          <cell r="L939">
            <v>15</v>
          </cell>
        </row>
        <row r="940">
          <cell r="D940" t="str">
            <v>CG001</v>
          </cell>
          <cell r="L940">
            <v>40</v>
          </cell>
        </row>
        <row r="941">
          <cell r="D941" t="str">
            <v>CG002</v>
          </cell>
          <cell r="L941">
            <v>5</v>
          </cell>
        </row>
        <row r="942">
          <cell r="D942" t="str">
            <v>CG001</v>
          </cell>
          <cell r="L942">
            <v>75</v>
          </cell>
        </row>
        <row r="943">
          <cell r="D943" t="str">
            <v>CG001</v>
          </cell>
          <cell r="L943">
            <v>20</v>
          </cell>
        </row>
        <row r="944">
          <cell r="D944" t="str">
            <v>CG001</v>
          </cell>
          <cell r="L944">
            <v>30</v>
          </cell>
        </row>
        <row r="945">
          <cell r="D945" t="str">
            <v>CG001</v>
          </cell>
          <cell r="L945">
            <v>25</v>
          </cell>
        </row>
        <row r="946">
          <cell r="D946" t="str">
            <v>CG001</v>
          </cell>
          <cell r="L946">
            <v>105</v>
          </cell>
        </row>
        <row r="947">
          <cell r="D947" t="str">
            <v>CG001</v>
          </cell>
          <cell r="L947">
            <v>40</v>
          </cell>
        </row>
        <row r="948">
          <cell r="D948" t="str">
            <v>CG001</v>
          </cell>
          <cell r="L948">
            <v>50</v>
          </cell>
        </row>
        <row r="949">
          <cell r="D949" t="str">
            <v>CG001</v>
          </cell>
          <cell r="L949">
            <v>20</v>
          </cell>
        </row>
        <row r="950">
          <cell r="D950" t="str">
            <v>CG001</v>
          </cell>
          <cell r="L950">
            <v>125</v>
          </cell>
        </row>
        <row r="951">
          <cell r="D951" t="str">
            <v>CG001</v>
          </cell>
          <cell r="L951">
            <v>125</v>
          </cell>
        </row>
        <row r="952">
          <cell r="D952" t="str">
            <v>CG001</v>
          </cell>
          <cell r="L952">
            <v>25</v>
          </cell>
        </row>
        <row r="953">
          <cell r="D953" t="str">
            <v>CG001</v>
          </cell>
          <cell r="L953">
            <v>15</v>
          </cell>
        </row>
        <row r="954">
          <cell r="D954" t="str">
            <v>CG001</v>
          </cell>
          <cell r="L954">
            <v>75</v>
          </cell>
        </row>
        <row r="955">
          <cell r="D955" t="str">
            <v>CG001</v>
          </cell>
          <cell r="L955">
            <v>15</v>
          </cell>
        </row>
        <row r="956">
          <cell r="D956" t="str">
            <v>CG001</v>
          </cell>
          <cell r="L956">
            <v>100</v>
          </cell>
        </row>
        <row r="957">
          <cell r="D957" t="str">
            <v>CG001</v>
          </cell>
          <cell r="L957">
            <v>75</v>
          </cell>
        </row>
        <row r="958">
          <cell r="D958" t="str">
            <v>CG001</v>
          </cell>
          <cell r="L958">
            <v>50</v>
          </cell>
        </row>
        <row r="959">
          <cell r="D959" t="str">
            <v>CG001</v>
          </cell>
          <cell r="L959">
            <v>20</v>
          </cell>
        </row>
        <row r="960">
          <cell r="D960" t="str">
            <v>CG001</v>
          </cell>
          <cell r="L960">
            <v>75</v>
          </cell>
        </row>
        <row r="961">
          <cell r="D961" t="str">
            <v>CG001</v>
          </cell>
          <cell r="L961">
            <v>150</v>
          </cell>
        </row>
        <row r="962">
          <cell r="D962" t="str">
            <v>CG001</v>
          </cell>
          <cell r="L962">
            <v>100</v>
          </cell>
        </row>
        <row r="963">
          <cell r="D963" t="str">
            <v>CG002</v>
          </cell>
          <cell r="L963">
            <v>5</v>
          </cell>
        </row>
        <row r="964">
          <cell r="D964" t="str">
            <v>CG001</v>
          </cell>
          <cell r="L964">
            <v>50</v>
          </cell>
        </row>
        <row r="965">
          <cell r="D965" t="str">
            <v>CG001</v>
          </cell>
          <cell r="L965">
            <v>100</v>
          </cell>
        </row>
        <row r="966">
          <cell r="D966" t="str">
            <v>CG001</v>
          </cell>
          <cell r="L966">
            <v>85</v>
          </cell>
        </row>
        <row r="967">
          <cell r="D967" t="str">
            <v>CG002</v>
          </cell>
          <cell r="L967">
            <v>5</v>
          </cell>
        </row>
        <row r="968">
          <cell r="D968" t="str">
            <v>CG001</v>
          </cell>
          <cell r="L968">
            <v>50</v>
          </cell>
        </row>
        <row r="969">
          <cell r="D969" t="str">
            <v>CG001</v>
          </cell>
          <cell r="L969">
            <v>75</v>
          </cell>
        </row>
        <row r="970">
          <cell r="D970" t="str">
            <v>CG001</v>
          </cell>
          <cell r="L970">
            <v>25</v>
          </cell>
        </row>
        <row r="971">
          <cell r="D971" t="str">
            <v>CG001</v>
          </cell>
          <cell r="L971">
            <v>75</v>
          </cell>
        </row>
        <row r="972">
          <cell r="D972" t="str">
            <v>CG001</v>
          </cell>
          <cell r="L972">
            <v>20</v>
          </cell>
        </row>
        <row r="973">
          <cell r="D973" t="str">
            <v>CG002</v>
          </cell>
          <cell r="L973">
            <v>15</v>
          </cell>
        </row>
        <row r="974">
          <cell r="D974" t="str">
            <v>CG001</v>
          </cell>
          <cell r="L974">
            <v>15</v>
          </cell>
        </row>
        <row r="975">
          <cell r="D975" t="str">
            <v>CG001</v>
          </cell>
          <cell r="L975">
            <v>25</v>
          </cell>
        </row>
        <row r="976">
          <cell r="D976" t="str">
            <v>CG001</v>
          </cell>
          <cell r="L976">
            <v>15</v>
          </cell>
        </row>
        <row r="977">
          <cell r="D977" t="str">
            <v>CG001</v>
          </cell>
          <cell r="L977">
            <v>25</v>
          </cell>
        </row>
        <row r="978">
          <cell r="D978" t="str">
            <v>CG001</v>
          </cell>
          <cell r="L978">
            <v>75</v>
          </cell>
        </row>
        <row r="979">
          <cell r="D979" t="str">
            <v>CG001</v>
          </cell>
          <cell r="L979">
            <v>50</v>
          </cell>
        </row>
        <row r="980">
          <cell r="D980" t="str">
            <v>CG001</v>
          </cell>
          <cell r="L980">
            <v>25</v>
          </cell>
        </row>
        <row r="981">
          <cell r="D981" t="str">
            <v>CG001</v>
          </cell>
          <cell r="L981">
            <v>25</v>
          </cell>
        </row>
        <row r="982">
          <cell r="D982" t="str">
            <v>CG001</v>
          </cell>
          <cell r="L982">
            <v>25</v>
          </cell>
        </row>
        <row r="983">
          <cell r="D983" t="str">
            <v>CG001</v>
          </cell>
          <cell r="L983">
            <v>25</v>
          </cell>
        </row>
        <row r="984">
          <cell r="D984" t="str">
            <v>CG001</v>
          </cell>
          <cell r="L984">
            <v>25</v>
          </cell>
        </row>
        <row r="985">
          <cell r="D985" t="str">
            <v>CG001</v>
          </cell>
          <cell r="L985">
            <v>25</v>
          </cell>
        </row>
        <row r="986">
          <cell r="D986" t="str">
            <v>CG001</v>
          </cell>
          <cell r="L986">
            <v>20</v>
          </cell>
        </row>
        <row r="987">
          <cell r="D987" t="str">
            <v>CG001</v>
          </cell>
          <cell r="L987">
            <v>50</v>
          </cell>
        </row>
        <row r="988">
          <cell r="D988" t="str">
            <v>CG001</v>
          </cell>
          <cell r="L988">
            <v>25</v>
          </cell>
        </row>
        <row r="989">
          <cell r="D989" t="str">
            <v>CG001</v>
          </cell>
          <cell r="L989">
            <v>25</v>
          </cell>
        </row>
        <row r="990">
          <cell r="D990" t="str">
            <v>CG001</v>
          </cell>
          <cell r="L990">
            <v>50</v>
          </cell>
        </row>
        <row r="991">
          <cell r="D991" t="str">
            <v>CG001</v>
          </cell>
          <cell r="L991">
            <v>15</v>
          </cell>
        </row>
        <row r="992">
          <cell r="D992" t="str">
            <v>CG001</v>
          </cell>
          <cell r="L992">
            <v>40</v>
          </cell>
        </row>
        <row r="993">
          <cell r="D993" t="str">
            <v>CG001</v>
          </cell>
          <cell r="L993">
            <v>20</v>
          </cell>
        </row>
        <row r="994">
          <cell r="D994" t="str">
            <v>CG001</v>
          </cell>
          <cell r="L994">
            <v>20</v>
          </cell>
        </row>
        <row r="995">
          <cell r="D995" t="str">
            <v>CG001</v>
          </cell>
          <cell r="L995">
            <v>20</v>
          </cell>
        </row>
        <row r="996">
          <cell r="D996" t="str">
            <v>CG001</v>
          </cell>
          <cell r="L996">
            <v>25</v>
          </cell>
        </row>
        <row r="997">
          <cell r="D997" t="str">
            <v>CG001</v>
          </cell>
          <cell r="L997">
            <v>25</v>
          </cell>
        </row>
        <row r="998">
          <cell r="D998" t="str">
            <v>CG001</v>
          </cell>
          <cell r="L998">
            <v>25</v>
          </cell>
        </row>
        <row r="999">
          <cell r="D999" t="str">
            <v>CG001</v>
          </cell>
          <cell r="L999">
            <v>25</v>
          </cell>
        </row>
        <row r="1000">
          <cell r="D1000" t="str">
            <v>CG001</v>
          </cell>
          <cell r="L1000">
            <v>25</v>
          </cell>
        </row>
        <row r="1001">
          <cell r="D1001" t="str">
            <v>CG001</v>
          </cell>
          <cell r="L1001">
            <v>25</v>
          </cell>
        </row>
        <row r="1002">
          <cell r="D1002" t="str">
            <v>CG001</v>
          </cell>
          <cell r="L1002">
            <v>25</v>
          </cell>
        </row>
        <row r="1003">
          <cell r="D1003" t="str">
            <v>CG001</v>
          </cell>
          <cell r="L1003">
            <v>20</v>
          </cell>
        </row>
        <row r="1004">
          <cell r="D1004" t="str">
            <v>CG001</v>
          </cell>
          <cell r="L1004">
            <v>25</v>
          </cell>
        </row>
        <row r="1005">
          <cell r="D1005" t="str">
            <v>CG001</v>
          </cell>
          <cell r="L1005">
            <v>20</v>
          </cell>
        </row>
        <row r="1006">
          <cell r="D1006" t="str">
            <v>CG001</v>
          </cell>
          <cell r="L1006">
            <v>25</v>
          </cell>
        </row>
        <row r="1007">
          <cell r="D1007" t="str">
            <v>CG001</v>
          </cell>
          <cell r="L1007">
            <v>15</v>
          </cell>
        </row>
        <row r="1008">
          <cell r="D1008" t="str">
            <v>CG001</v>
          </cell>
          <cell r="L1008">
            <v>50</v>
          </cell>
        </row>
        <row r="1009">
          <cell r="D1009" t="str">
            <v>CG001</v>
          </cell>
          <cell r="L1009">
            <v>30</v>
          </cell>
        </row>
        <row r="1010">
          <cell r="D1010" t="str">
            <v>CG001</v>
          </cell>
          <cell r="L1010">
            <v>65</v>
          </cell>
        </row>
        <row r="1011">
          <cell r="D1011" t="str">
            <v>CG001</v>
          </cell>
          <cell r="L1011">
            <v>20</v>
          </cell>
        </row>
        <row r="1012">
          <cell r="D1012" t="str">
            <v>CG001</v>
          </cell>
          <cell r="L1012">
            <v>50</v>
          </cell>
        </row>
        <row r="1013">
          <cell r="D1013" t="str">
            <v>CG001</v>
          </cell>
          <cell r="L1013">
            <v>50</v>
          </cell>
        </row>
        <row r="1014">
          <cell r="D1014" t="str">
            <v>CG001</v>
          </cell>
          <cell r="L1014">
            <v>75</v>
          </cell>
        </row>
        <row r="1015">
          <cell r="D1015" t="str">
            <v>CG001</v>
          </cell>
          <cell r="L1015">
            <v>115</v>
          </cell>
        </row>
        <row r="1016">
          <cell r="D1016" t="str">
            <v>CG001</v>
          </cell>
          <cell r="L1016">
            <v>50</v>
          </cell>
        </row>
        <row r="1017">
          <cell r="D1017" t="str">
            <v>CG001</v>
          </cell>
          <cell r="L1017">
            <v>100</v>
          </cell>
        </row>
        <row r="1018">
          <cell r="D1018" t="str">
            <v>CG001</v>
          </cell>
          <cell r="L1018">
            <v>70</v>
          </cell>
        </row>
        <row r="1019">
          <cell r="D1019" t="str">
            <v>CG001</v>
          </cell>
          <cell r="L1019">
            <v>20</v>
          </cell>
        </row>
        <row r="1020">
          <cell r="D1020" t="str">
            <v>CG001</v>
          </cell>
          <cell r="L1020">
            <v>25</v>
          </cell>
        </row>
        <row r="1021">
          <cell r="D1021" t="str">
            <v>CG001</v>
          </cell>
          <cell r="L1021">
            <v>50</v>
          </cell>
        </row>
        <row r="1022">
          <cell r="D1022" t="str">
            <v>CG001</v>
          </cell>
          <cell r="L1022">
            <v>15</v>
          </cell>
        </row>
        <row r="1023">
          <cell r="D1023" t="str">
            <v>CG001</v>
          </cell>
          <cell r="L1023">
            <v>40</v>
          </cell>
        </row>
        <row r="1024">
          <cell r="D1024" t="str">
            <v>CG001</v>
          </cell>
          <cell r="L1024">
            <v>20</v>
          </cell>
        </row>
        <row r="1025">
          <cell r="D1025" t="str">
            <v>CG001</v>
          </cell>
          <cell r="L1025">
            <v>20</v>
          </cell>
        </row>
        <row r="1026">
          <cell r="D1026" t="str">
            <v>CG001</v>
          </cell>
          <cell r="L1026">
            <v>20</v>
          </cell>
        </row>
        <row r="1027">
          <cell r="D1027" t="str">
            <v>CG001</v>
          </cell>
          <cell r="L1027">
            <v>25</v>
          </cell>
        </row>
        <row r="1028">
          <cell r="D1028" t="str">
            <v>CG001</v>
          </cell>
          <cell r="L1028">
            <v>40</v>
          </cell>
        </row>
        <row r="1029">
          <cell r="D1029" t="str">
            <v>CG001</v>
          </cell>
          <cell r="L1029">
            <v>15</v>
          </cell>
        </row>
        <row r="1030">
          <cell r="D1030" t="str">
            <v>CG001</v>
          </cell>
          <cell r="L1030">
            <v>40</v>
          </cell>
        </row>
        <row r="1031">
          <cell r="D1031" t="str">
            <v>CG001</v>
          </cell>
          <cell r="L1031">
            <v>20</v>
          </cell>
        </row>
        <row r="1032">
          <cell r="D1032" t="str">
            <v>CG001</v>
          </cell>
          <cell r="L1032">
            <v>20</v>
          </cell>
        </row>
        <row r="1033">
          <cell r="D1033" t="str">
            <v>CG001</v>
          </cell>
          <cell r="L1033">
            <v>115</v>
          </cell>
        </row>
        <row r="1034">
          <cell r="D1034" t="str">
            <v>CG001</v>
          </cell>
          <cell r="L1034">
            <v>30</v>
          </cell>
        </row>
        <row r="1035">
          <cell r="D1035" t="str">
            <v>CG001</v>
          </cell>
          <cell r="L1035">
            <v>50</v>
          </cell>
        </row>
        <row r="1036">
          <cell r="D1036" t="str">
            <v>CG001</v>
          </cell>
          <cell r="L1036">
            <v>20</v>
          </cell>
        </row>
        <row r="1037">
          <cell r="D1037" t="str">
            <v>CG001</v>
          </cell>
          <cell r="L1037">
            <v>35</v>
          </cell>
        </row>
        <row r="1038">
          <cell r="D1038" t="str">
            <v>CG001</v>
          </cell>
          <cell r="L1038">
            <v>115</v>
          </cell>
        </row>
        <row r="1039">
          <cell r="D1039" t="str">
            <v>CG001</v>
          </cell>
          <cell r="L1039">
            <v>25</v>
          </cell>
        </row>
        <row r="1040">
          <cell r="D1040" t="str">
            <v>CG001</v>
          </cell>
          <cell r="L1040">
            <v>20</v>
          </cell>
        </row>
        <row r="1041">
          <cell r="D1041" t="str">
            <v>CG001</v>
          </cell>
          <cell r="L1041">
            <v>15</v>
          </cell>
        </row>
        <row r="1042">
          <cell r="D1042" t="str">
            <v>CG001</v>
          </cell>
          <cell r="L1042">
            <v>40</v>
          </cell>
        </row>
        <row r="1043">
          <cell r="D1043" t="str">
            <v>CG002</v>
          </cell>
          <cell r="L1043">
            <v>5</v>
          </cell>
        </row>
        <row r="1044">
          <cell r="D1044" t="str">
            <v>CG001</v>
          </cell>
          <cell r="L1044">
            <v>75</v>
          </cell>
        </row>
        <row r="1045">
          <cell r="D1045" t="str">
            <v>CG001</v>
          </cell>
          <cell r="L1045">
            <v>20</v>
          </cell>
        </row>
        <row r="1046">
          <cell r="D1046" t="str">
            <v>CG001</v>
          </cell>
          <cell r="L1046">
            <v>30</v>
          </cell>
        </row>
        <row r="1047">
          <cell r="D1047" t="str">
            <v>CG001</v>
          </cell>
          <cell r="L1047">
            <v>25</v>
          </cell>
        </row>
        <row r="1048">
          <cell r="D1048" t="str">
            <v>CG001</v>
          </cell>
          <cell r="L1048">
            <v>105</v>
          </cell>
        </row>
        <row r="1049">
          <cell r="D1049" t="str">
            <v>CG001</v>
          </cell>
          <cell r="L1049">
            <v>40</v>
          </cell>
        </row>
        <row r="1050">
          <cell r="D1050" t="str">
            <v>CG001</v>
          </cell>
          <cell r="L1050">
            <v>50</v>
          </cell>
        </row>
        <row r="1051">
          <cell r="D1051" t="str">
            <v>CG001</v>
          </cell>
          <cell r="L1051">
            <v>25</v>
          </cell>
        </row>
        <row r="1052">
          <cell r="D1052" t="str">
            <v>CG001</v>
          </cell>
          <cell r="L1052">
            <v>25</v>
          </cell>
        </row>
        <row r="1053">
          <cell r="D1053" t="str">
            <v>CG001</v>
          </cell>
          <cell r="L1053">
            <v>25</v>
          </cell>
        </row>
        <row r="1054">
          <cell r="D1054" t="str">
            <v>CG001</v>
          </cell>
          <cell r="L1054">
            <v>25</v>
          </cell>
        </row>
        <row r="1055">
          <cell r="D1055" t="str">
            <v>CG001</v>
          </cell>
          <cell r="L1055">
            <v>25</v>
          </cell>
        </row>
        <row r="1056">
          <cell r="D1056" t="str">
            <v>CG001</v>
          </cell>
          <cell r="L1056">
            <v>25</v>
          </cell>
        </row>
        <row r="1057">
          <cell r="D1057" t="str">
            <v>CG001</v>
          </cell>
          <cell r="L1057">
            <v>20</v>
          </cell>
        </row>
        <row r="1058">
          <cell r="D1058" t="str">
            <v>CG001</v>
          </cell>
          <cell r="L1058">
            <v>50</v>
          </cell>
        </row>
        <row r="1059">
          <cell r="D1059" t="str">
            <v>CG001</v>
          </cell>
          <cell r="L1059">
            <v>25</v>
          </cell>
        </row>
        <row r="1060">
          <cell r="D1060" t="str">
            <v>CG001</v>
          </cell>
          <cell r="L1060">
            <v>25</v>
          </cell>
        </row>
        <row r="1061">
          <cell r="D1061" t="str">
            <v>CG001</v>
          </cell>
          <cell r="L1061">
            <v>50</v>
          </cell>
        </row>
        <row r="1062">
          <cell r="D1062" t="str">
            <v>CG001</v>
          </cell>
          <cell r="L1062">
            <v>15</v>
          </cell>
        </row>
        <row r="1063">
          <cell r="D1063" t="str">
            <v>CG001</v>
          </cell>
          <cell r="L1063">
            <v>40</v>
          </cell>
        </row>
        <row r="1064">
          <cell r="D1064" t="str">
            <v>CG001</v>
          </cell>
          <cell r="L1064">
            <v>20</v>
          </cell>
        </row>
        <row r="1065">
          <cell r="D1065" t="str">
            <v>CG001</v>
          </cell>
          <cell r="L1065">
            <v>20</v>
          </cell>
        </row>
        <row r="1066">
          <cell r="D1066" t="str">
            <v>CG001</v>
          </cell>
          <cell r="L1066">
            <v>20</v>
          </cell>
        </row>
        <row r="1067">
          <cell r="D1067" t="str">
            <v>CG001</v>
          </cell>
          <cell r="L1067">
            <v>25</v>
          </cell>
        </row>
        <row r="1068">
          <cell r="D1068" t="str">
            <v>CG001</v>
          </cell>
          <cell r="L1068">
            <v>25</v>
          </cell>
        </row>
        <row r="1069">
          <cell r="D1069" t="str">
            <v>CG001</v>
          </cell>
          <cell r="L1069">
            <v>25</v>
          </cell>
        </row>
        <row r="1070">
          <cell r="D1070" t="str">
            <v>CG001</v>
          </cell>
          <cell r="L1070">
            <v>25</v>
          </cell>
        </row>
        <row r="1071">
          <cell r="D1071" t="str">
            <v>CG001</v>
          </cell>
          <cell r="L1071">
            <v>25</v>
          </cell>
        </row>
        <row r="1072">
          <cell r="D1072" t="str">
            <v>CG001</v>
          </cell>
          <cell r="L1072">
            <v>25</v>
          </cell>
        </row>
        <row r="1073">
          <cell r="D1073" t="str">
            <v>CG001</v>
          </cell>
          <cell r="L1073">
            <v>25</v>
          </cell>
        </row>
        <row r="1074">
          <cell r="D1074" t="str">
            <v>CG001</v>
          </cell>
          <cell r="L1074">
            <v>20</v>
          </cell>
        </row>
        <row r="1075">
          <cell r="D1075" t="str">
            <v>CG001</v>
          </cell>
          <cell r="L1075">
            <v>25</v>
          </cell>
        </row>
        <row r="1076">
          <cell r="D1076" t="str">
            <v>CG001</v>
          </cell>
          <cell r="L1076">
            <v>20</v>
          </cell>
        </row>
        <row r="1077">
          <cell r="D1077" t="str">
            <v>CG001</v>
          </cell>
          <cell r="L1077">
            <v>25</v>
          </cell>
        </row>
        <row r="1078">
          <cell r="D1078" t="str">
            <v>CG001</v>
          </cell>
          <cell r="L1078">
            <v>15</v>
          </cell>
        </row>
        <row r="1079">
          <cell r="D1079" t="str">
            <v>CG001</v>
          </cell>
          <cell r="L1079">
            <v>50</v>
          </cell>
        </row>
        <row r="1080">
          <cell r="D1080" t="str">
            <v>CG001</v>
          </cell>
          <cell r="L1080">
            <v>30</v>
          </cell>
        </row>
        <row r="1081">
          <cell r="D1081" t="str">
            <v>CG001</v>
          </cell>
          <cell r="L1081">
            <v>65</v>
          </cell>
        </row>
        <row r="1082">
          <cell r="D1082" t="str">
            <v>CG001</v>
          </cell>
          <cell r="L1082">
            <v>20</v>
          </cell>
        </row>
        <row r="1083">
          <cell r="D1083" t="str">
            <v>CG001</v>
          </cell>
          <cell r="L1083">
            <v>50</v>
          </cell>
        </row>
        <row r="1084">
          <cell r="D1084" t="str">
            <v>CG001</v>
          </cell>
          <cell r="L1084">
            <v>15</v>
          </cell>
        </row>
        <row r="1085">
          <cell r="D1085" t="str">
            <v>CG001</v>
          </cell>
          <cell r="L1085">
            <v>40</v>
          </cell>
        </row>
        <row r="1086">
          <cell r="D1086" t="str">
            <v>CG001</v>
          </cell>
          <cell r="L1086">
            <v>20</v>
          </cell>
        </row>
        <row r="1087">
          <cell r="D1087" t="str">
            <v>CG001</v>
          </cell>
          <cell r="L1087">
            <v>20</v>
          </cell>
        </row>
        <row r="1088">
          <cell r="D1088" t="str">
            <v>CG001</v>
          </cell>
          <cell r="L1088">
            <v>20</v>
          </cell>
        </row>
        <row r="1089">
          <cell r="D1089" t="str">
            <v>CG001</v>
          </cell>
          <cell r="L1089">
            <v>25</v>
          </cell>
        </row>
        <row r="1090">
          <cell r="D1090" t="str">
            <v>CG001</v>
          </cell>
          <cell r="L1090">
            <v>25</v>
          </cell>
        </row>
        <row r="1091">
          <cell r="D1091" t="str">
            <v>CG001</v>
          </cell>
          <cell r="L1091">
            <v>25</v>
          </cell>
        </row>
        <row r="1092">
          <cell r="D1092" t="str">
            <v>CG001</v>
          </cell>
          <cell r="L1092">
            <v>25</v>
          </cell>
        </row>
        <row r="1093">
          <cell r="D1093" t="str">
            <v>CG001</v>
          </cell>
          <cell r="L1093">
            <v>25</v>
          </cell>
        </row>
        <row r="1094">
          <cell r="D1094" t="str">
            <v>CG001</v>
          </cell>
          <cell r="L1094">
            <v>25</v>
          </cell>
        </row>
        <row r="1095">
          <cell r="D1095" t="str">
            <v>CG001</v>
          </cell>
          <cell r="L1095">
            <v>25</v>
          </cell>
        </row>
        <row r="1096">
          <cell r="D1096" t="str">
            <v>CG001</v>
          </cell>
          <cell r="L1096">
            <v>20</v>
          </cell>
        </row>
        <row r="1097">
          <cell r="D1097" t="str">
            <v>CG001</v>
          </cell>
          <cell r="L1097">
            <v>25</v>
          </cell>
        </row>
        <row r="1098">
          <cell r="D1098" t="str">
            <v>CG001</v>
          </cell>
          <cell r="L1098">
            <v>20</v>
          </cell>
        </row>
        <row r="1099">
          <cell r="D1099" t="str">
            <v>CG001</v>
          </cell>
          <cell r="L1099">
            <v>25</v>
          </cell>
        </row>
        <row r="1100">
          <cell r="D1100" t="str">
            <v>CG001</v>
          </cell>
          <cell r="L1100">
            <v>15</v>
          </cell>
        </row>
        <row r="1101">
          <cell r="D1101" t="str">
            <v>CG001</v>
          </cell>
          <cell r="L1101">
            <v>50</v>
          </cell>
        </row>
        <row r="1102">
          <cell r="D1102" t="str">
            <v>CG001</v>
          </cell>
          <cell r="L1102">
            <v>30</v>
          </cell>
        </row>
        <row r="1103">
          <cell r="D1103" t="str">
            <v>GR001</v>
          </cell>
          <cell r="L1103">
            <v>55</v>
          </cell>
        </row>
        <row r="1104">
          <cell r="D1104" t="str">
            <v>GR002</v>
          </cell>
          <cell r="L1104">
            <v>30</v>
          </cell>
        </row>
        <row r="1105">
          <cell r="D1105" t="str">
            <v>GR005</v>
          </cell>
          <cell r="L1105">
            <v>10</v>
          </cell>
        </row>
        <row r="1106">
          <cell r="D1106" t="str">
            <v>GR013</v>
          </cell>
          <cell r="L1106">
            <v>12</v>
          </cell>
        </row>
        <row r="1107">
          <cell r="D1107" t="str">
            <v>CG001</v>
          </cell>
          <cell r="L1107">
            <v>15</v>
          </cell>
        </row>
        <row r="1108">
          <cell r="D1108" t="str">
            <v>CG001</v>
          </cell>
          <cell r="L1108">
            <v>40</v>
          </cell>
        </row>
        <row r="1109">
          <cell r="D1109" t="str">
            <v>CG001</v>
          </cell>
          <cell r="L1109">
            <v>20</v>
          </cell>
        </row>
        <row r="1110">
          <cell r="D1110" t="str">
            <v>CG001</v>
          </cell>
          <cell r="L1110">
            <v>20</v>
          </cell>
        </row>
        <row r="1111">
          <cell r="D1111" t="str">
            <v>CG001</v>
          </cell>
          <cell r="L1111">
            <v>20</v>
          </cell>
        </row>
        <row r="1112">
          <cell r="D1112" t="str">
            <v>CG001</v>
          </cell>
          <cell r="L1112">
            <v>25</v>
          </cell>
        </row>
        <row r="1113">
          <cell r="D1113" t="str">
            <v>CG001</v>
          </cell>
          <cell r="L1113">
            <v>25</v>
          </cell>
        </row>
        <row r="1114">
          <cell r="D1114" t="str">
            <v>CG001</v>
          </cell>
          <cell r="L1114">
            <v>25</v>
          </cell>
        </row>
        <row r="1115">
          <cell r="D1115" t="str">
            <v>CG001</v>
          </cell>
          <cell r="L1115">
            <v>25</v>
          </cell>
        </row>
        <row r="1116">
          <cell r="D1116" t="str">
            <v>CG001</v>
          </cell>
          <cell r="L1116">
            <v>25</v>
          </cell>
        </row>
        <row r="1117">
          <cell r="D1117" t="str">
            <v>CG001</v>
          </cell>
          <cell r="L1117">
            <v>25</v>
          </cell>
        </row>
        <row r="1118">
          <cell r="D1118" t="str">
            <v>CG001</v>
          </cell>
          <cell r="L1118">
            <v>25</v>
          </cell>
        </row>
        <row r="1119">
          <cell r="D1119" t="str">
            <v>CG001</v>
          </cell>
          <cell r="L1119">
            <v>20</v>
          </cell>
        </row>
        <row r="1120">
          <cell r="D1120" t="str">
            <v>CG001</v>
          </cell>
          <cell r="L1120">
            <v>25</v>
          </cell>
        </row>
        <row r="1121">
          <cell r="D1121" t="str">
            <v>CG001</v>
          </cell>
          <cell r="L1121">
            <v>20</v>
          </cell>
        </row>
        <row r="1122">
          <cell r="D1122" t="str">
            <v>CG001</v>
          </cell>
          <cell r="L1122">
            <v>25</v>
          </cell>
        </row>
        <row r="1123">
          <cell r="D1123" t="str">
            <v>CG001</v>
          </cell>
          <cell r="L1123">
            <v>15</v>
          </cell>
        </row>
        <row r="1124">
          <cell r="D1124" t="str">
            <v>CG001</v>
          </cell>
          <cell r="L1124">
            <v>50</v>
          </cell>
        </row>
        <row r="1125">
          <cell r="D1125" t="str">
            <v>CG001</v>
          </cell>
          <cell r="L1125">
            <v>500</v>
          </cell>
        </row>
        <row r="1126">
          <cell r="D1126" t="str">
            <v>CG001</v>
          </cell>
          <cell r="L1126">
            <v>30</v>
          </cell>
        </row>
        <row r="1127">
          <cell r="D1127" t="str">
            <v>CG001</v>
          </cell>
          <cell r="L1127">
            <v>30</v>
          </cell>
        </row>
        <row r="1128">
          <cell r="D1128" t="str">
            <v>CG001</v>
          </cell>
          <cell r="L1128">
            <v>20</v>
          </cell>
        </row>
        <row r="1129">
          <cell r="D1129" t="str">
            <v>CG001</v>
          </cell>
          <cell r="L1129">
            <v>20</v>
          </cell>
        </row>
        <row r="1130">
          <cell r="D1130" t="str">
            <v>CG001</v>
          </cell>
          <cell r="L1130">
            <v>30</v>
          </cell>
        </row>
        <row r="1131">
          <cell r="D1131" t="str">
            <v>CG001</v>
          </cell>
          <cell r="L1131">
            <v>25</v>
          </cell>
        </row>
        <row r="1132">
          <cell r="D1132" t="str">
            <v>CG001</v>
          </cell>
          <cell r="L1132">
            <v>15</v>
          </cell>
        </row>
        <row r="1133">
          <cell r="D1133" t="str">
            <v>CG001</v>
          </cell>
          <cell r="L1133">
            <v>30</v>
          </cell>
        </row>
        <row r="1134">
          <cell r="D1134" t="str">
            <v>CG001</v>
          </cell>
          <cell r="L1134">
            <v>30</v>
          </cell>
        </row>
        <row r="1135">
          <cell r="D1135" t="str">
            <v>CG001</v>
          </cell>
          <cell r="L1135">
            <v>20</v>
          </cell>
        </row>
        <row r="1136">
          <cell r="D1136" t="str">
            <v>CG001</v>
          </cell>
          <cell r="L1136">
            <v>20</v>
          </cell>
        </row>
        <row r="1137">
          <cell r="D1137" t="str">
            <v>CG001</v>
          </cell>
          <cell r="L1137">
            <v>50</v>
          </cell>
        </row>
        <row r="1138">
          <cell r="D1138" t="str">
            <v>CG001</v>
          </cell>
          <cell r="L1138">
            <v>50</v>
          </cell>
        </row>
        <row r="1139">
          <cell r="D1139" t="str">
            <v>CG001</v>
          </cell>
          <cell r="L1139">
            <v>25</v>
          </cell>
        </row>
        <row r="1140">
          <cell r="D1140" t="str">
            <v>CG001</v>
          </cell>
          <cell r="L1140">
            <v>30</v>
          </cell>
        </row>
        <row r="1141">
          <cell r="D1141" t="str">
            <v>CG001</v>
          </cell>
          <cell r="L1141">
            <v>50</v>
          </cell>
        </row>
        <row r="1142">
          <cell r="D1142" t="str">
            <v>CG001</v>
          </cell>
          <cell r="L1142">
            <v>25</v>
          </cell>
        </row>
        <row r="1143">
          <cell r="D1143" t="str">
            <v>CG001</v>
          </cell>
          <cell r="L1143">
            <v>70</v>
          </cell>
        </row>
        <row r="1144">
          <cell r="D1144" t="str">
            <v>CG001</v>
          </cell>
          <cell r="L1144">
            <v>20</v>
          </cell>
        </row>
        <row r="1145">
          <cell r="D1145" t="str">
            <v>CG001</v>
          </cell>
          <cell r="L1145">
            <v>25</v>
          </cell>
        </row>
        <row r="1146">
          <cell r="D1146" t="str">
            <v>CG001</v>
          </cell>
          <cell r="L1146">
            <v>50</v>
          </cell>
        </row>
        <row r="1147">
          <cell r="D1147" t="str">
            <v>CG001</v>
          </cell>
          <cell r="L1147">
            <v>15</v>
          </cell>
        </row>
        <row r="1148">
          <cell r="D1148" t="str">
            <v>CG001</v>
          </cell>
          <cell r="L1148">
            <v>40</v>
          </cell>
        </row>
        <row r="1149">
          <cell r="D1149" t="str">
            <v>CG001</v>
          </cell>
          <cell r="L1149">
            <v>20</v>
          </cell>
        </row>
        <row r="1150">
          <cell r="D1150" t="str">
            <v>CG001</v>
          </cell>
          <cell r="L1150">
            <v>20</v>
          </cell>
        </row>
        <row r="1151">
          <cell r="D1151" t="str">
            <v>CG001</v>
          </cell>
          <cell r="L1151">
            <v>20</v>
          </cell>
        </row>
        <row r="1152">
          <cell r="D1152" t="str">
            <v>CG001</v>
          </cell>
          <cell r="L1152">
            <v>25</v>
          </cell>
        </row>
        <row r="1153">
          <cell r="D1153" t="str">
            <v>CG001</v>
          </cell>
          <cell r="L1153">
            <v>40</v>
          </cell>
        </row>
        <row r="1154">
          <cell r="D1154" t="str">
            <v>CG001</v>
          </cell>
          <cell r="L1154">
            <v>25</v>
          </cell>
        </row>
        <row r="1155">
          <cell r="D1155" t="str">
            <v>CG001</v>
          </cell>
          <cell r="L1155">
            <v>20</v>
          </cell>
        </row>
        <row r="1156">
          <cell r="D1156" t="str">
            <v>CG001</v>
          </cell>
          <cell r="L1156">
            <v>25</v>
          </cell>
        </row>
        <row r="1157">
          <cell r="D1157" t="str">
            <v>CG001</v>
          </cell>
          <cell r="L1157">
            <v>15</v>
          </cell>
        </row>
        <row r="1158">
          <cell r="D1158" t="str">
            <v>CG001</v>
          </cell>
          <cell r="L1158">
            <v>50</v>
          </cell>
        </row>
        <row r="1159">
          <cell r="D1159" t="str">
            <v>CG001</v>
          </cell>
          <cell r="L1159">
            <v>30</v>
          </cell>
        </row>
        <row r="1160">
          <cell r="D1160" t="str">
            <v>CG001</v>
          </cell>
          <cell r="L1160">
            <v>65</v>
          </cell>
        </row>
        <row r="1161">
          <cell r="D1161" t="str">
            <v>CG001</v>
          </cell>
          <cell r="L1161">
            <v>20</v>
          </cell>
        </row>
        <row r="1162">
          <cell r="D1162" t="str">
            <v>CG001</v>
          </cell>
          <cell r="L1162">
            <v>50</v>
          </cell>
        </row>
        <row r="1163">
          <cell r="D1163" t="str">
            <v>CG001</v>
          </cell>
          <cell r="L1163">
            <v>15</v>
          </cell>
        </row>
        <row r="1164">
          <cell r="D1164" t="str">
            <v>CG001</v>
          </cell>
          <cell r="L1164">
            <v>40</v>
          </cell>
        </row>
        <row r="1165">
          <cell r="D1165" t="str">
            <v>CG001</v>
          </cell>
          <cell r="L1165">
            <v>20</v>
          </cell>
        </row>
        <row r="1166">
          <cell r="D1166" t="str">
            <v>CG001</v>
          </cell>
          <cell r="L1166">
            <v>20</v>
          </cell>
        </row>
        <row r="1167">
          <cell r="D1167" t="str">
            <v>CG001</v>
          </cell>
          <cell r="L1167">
            <v>20</v>
          </cell>
        </row>
        <row r="1168">
          <cell r="D1168" t="str">
            <v>CG001</v>
          </cell>
          <cell r="L1168">
            <v>25</v>
          </cell>
        </row>
        <row r="1169">
          <cell r="D1169" t="str">
            <v>CG001</v>
          </cell>
          <cell r="L1169">
            <v>25</v>
          </cell>
        </row>
        <row r="1170">
          <cell r="D1170" t="str">
            <v>CG001</v>
          </cell>
          <cell r="L1170">
            <v>25</v>
          </cell>
        </row>
        <row r="1171">
          <cell r="D1171" t="str">
            <v>CG001</v>
          </cell>
          <cell r="L1171">
            <v>25</v>
          </cell>
        </row>
        <row r="1172">
          <cell r="D1172" t="str">
            <v>CG001</v>
          </cell>
          <cell r="L1172">
            <v>25</v>
          </cell>
        </row>
        <row r="1173">
          <cell r="D1173" t="str">
            <v>CG001</v>
          </cell>
          <cell r="L1173">
            <v>25</v>
          </cell>
        </row>
        <row r="1174">
          <cell r="D1174" t="str">
            <v>CG001</v>
          </cell>
          <cell r="L1174">
            <v>25</v>
          </cell>
        </row>
        <row r="1175">
          <cell r="D1175" t="str">
            <v>CG001</v>
          </cell>
          <cell r="L1175">
            <v>20</v>
          </cell>
        </row>
        <row r="1176">
          <cell r="D1176" t="str">
            <v>CG001</v>
          </cell>
          <cell r="L1176">
            <v>25</v>
          </cell>
        </row>
        <row r="1177">
          <cell r="D1177" t="str">
            <v>CG001</v>
          </cell>
          <cell r="L1177">
            <v>20</v>
          </cell>
        </row>
        <row r="1178">
          <cell r="D1178" t="str">
            <v>CG001</v>
          </cell>
          <cell r="L1178">
            <v>25</v>
          </cell>
        </row>
        <row r="1179">
          <cell r="D1179" t="str">
            <v>CG001</v>
          </cell>
          <cell r="L1179">
            <v>15</v>
          </cell>
        </row>
        <row r="1180">
          <cell r="D1180" t="str">
            <v>CG001</v>
          </cell>
          <cell r="L1180">
            <v>50</v>
          </cell>
        </row>
        <row r="1181">
          <cell r="D1181" t="str">
            <v>CG001</v>
          </cell>
          <cell r="L1181">
            <v>30</v>
          </cell>
        </row>
        <row r="1182">
          <cell r="D1182" t="str">
            <v>CG001</v>
          </cell>
          <cell r="L1182">
            <v>15</v>
          </cell>
        </row>
        <row r="1183">
          <cell r="D1183" t="str">
            <v>CG001</v>
          </cell>
          <cell r="L1183">
            <v>40</v>
          </cell>
        </row>
        <row r="1184">
          <cell r="D1184" t="str">
            <v>CG001</v>
          </cell>
          <cell r="L1184">
            <v>20</v>
          </cell>
        </row>
        <row r="1185">
          <cell r="D1185" t="str">
            <v>CG001</v>
          </cell>
          <cell r="L1185">
            <v>20</v>
          </cell>
        </row>
        <row r="1186">
          <cell r="D1186" t="str">
            <v>CG001</v>
          </cell>
          <cell r="L1186">
            <v>20</v>
          </cell>
        </row>
        <row r="1187">
          <cell r="D1187" t="str">
            <v>CG001</v>
          </cell>
          <cell r="L1187">
            <v>25</v>
          </cell>
        </row>
        <row r="1188">
          <cell r="D1188" t="str">
            <v>CG001</v>
          </cell>
          <cell r="L1188">
            <v>25</v>
          </cell>
        </row>
        <row r="1189">
          <cell r="D1189" t="str">
            <v>CG001</v>
          </cell>
          <cell r="L1189">
            <v>25</v>
          </cell>
        </row>
        <row r="1190">
          <cell r="D1190" t="str">
            <v>CG001</v>
          </cell>
          <cell r="L1190">
            <v>25</v>
          </cell>
        </row>
        <row r="1191">
          <cell r="D1191" t="str">
            <v>CG001</v>
          </cell>
          <cell r="L1191">
            <v>25</v>
          </cell>
        </row>
        <row r="1192">
          <cell r="D1192" t="str">
            <v>CG001</v>
          </cell>
          <cell r="L1192">
            <v>25</v>
          </cell>
        </row>
        <row r="1193">
          <cell r="D1193" t="str">
            <v>CG001</v>
          </cell>
          <cell r="L1193">
            <v>25</v>
          </cell>
        </row>
        <row r="1194">
          <cell r="D1194" t="str">
            <v>CG001</v>
          </cell>
          <cell r="L1194">
            <v>20</v>
          </cell>
        </row>
        <row r="1195">
          <cell r="D1195" t="str">
            <v>CG001</v>
          </cell>
          <cell r="L1195">
            <v>25</v>
          </cell>
        </row>
        <row r="1196">
          <cell r="D1196" t="str">
            <v>CG001</v>
          </cell>
          <cell r="L1196">
            <v>20</v>
          </cell>
        </row>
        <row r="1197">
          <cell r="D1197" t="str">
            <v>CG001</v>
          </cell>
          <cell r="L1197">
            <v>25</v>
          </cell>
        </row>
        <row r="1198">
          <cell r="D1198" t="str">
            <v>CG001</v>
          </cell>
          <cell r="L1198">
            <v>15</v>
          </cell>
        </row>
        <row r="1199">
          <cell r="D1199" t="str">
            <v>CG001</v>
          </cell>
          <cell r="L1199">
            <v>50</v>
          </cell>
        </row>
        <row r="1200">
          <cell r="D1200" t="str">
            <v>CG001</v>
          </cell>
          <cell r="L1200">
            <v>500</v>
          </cell>
        </row>
        <row r="1201">
          <cell r="D1201" t="str">
            <v>CG001</v>
          </cell>
          <cell r="L1201">
            <v>30</v>
          </cell>
        </row>
        <row r="1202">
          <cell r="D1202" t="str">
            <v>CG001</v>
          </cell>
          <cell r="L1202">
            <v>30</v>
          </cell>
        </row>
        <row r="1203">
          <cell r="D1203" t="str">
            <v>CG001</v>
          </cell>
          <cell r="L1203">
            <v>20</v>
          </cell>
        </row>
        <row r="1204">
          <cell r="D1204" t="str">
            <v>CG001</v>
          </cell>
          <cell r="L1204">
            <v>20</v>
          </cell>
        </row>
        <row r="1205">
          <cell r="D1205" t="str">
            <v>CG001</v>
          </cell>
          <cell r="L1205">
            <v>30</v>
          </cell>
        </row>
        <row r="1206">
          <cell r="D1206" t="str">
            <v>CG001</v>
          </cell>
          <cell r="L1206">
            <v>25</v>
          </cell>
        </row>
        <row r="1207">
          <cell r="D1207" t="str">
            <v>CG001</v>
          </cell>
          <cell r="L1207">
            <v>15</v>
          </cell>
        </row>
        <row r="1208">
          <cell r="D1208" t="str">
            <v>CG001</v>
          </cell>
          <cell r="L1208">
            <v>30</v>
          </cell>
        </row>
        <row r="1209">
          <cell r="D1209" t="str">
            <v>CG001</v>
          </cell>
          <cell r="L1209">
            <v>30</v>
          </cell>
        </row>
        <row r="1210">
          <cell r="D1210" t="str">
            <v>CG001</v>
          </cell>
          <cell r="L1210">
            <v>20</v>
          </cell>
        </row>
        <row r="1211">
          <cell r="D1211" t="str">
            <v>CG001</v>
          </cell>
          <cell r="L1211">
            <v>20</v>
          </cell>
        </row>
        <row r="1212">
          <cell r="D1212" t="str">
            <v>CG001</v>
          </cell>
          <cell r="L1212">
            <v>50</v>
          </cell>
        </row>
        <row r="1213">
          <cell r="D1213" t="str">
            <v>CG001</v>
          </cell>
          <cell r="L1213">
            <v>50</v>
          </cell>
        </row>
        <row r="1214">
          <cell r="D1214" t="str">
            <v>CG001</v>
          </cell>
          <cell r="L1214">
            <v>20</v>
          </cell>
        </row>
        <row r="1215">
          <cell r="D1215" t="str">
            <v>CG001</v>
          </cell>
          <cell r="L1215">
            <v>30</v>
          </cell>
        </row>
        <row r="1216">
          <cell r="D1216" t="str">
            <v>CG001</v>
          </cell>
          <cell r="L1216">
            <v>50</v>
          </cell>
        </row>
        <row r="1217">
          <cell r="D1217" t="str">
            <v>CG001</v>
          </cell>
          <cell r="L1217">
            <v>25</v>
          </cell>
        </row>
        <row r="1218">
          <cell r="D1218" t="str">
            <v>CG001</v>
          </cell>
          <cell r="L1218">
            <v>70</v>
          </cell>
        </row>
        <row r="1219">
          <cell r="D1219" t="str">
            <v>CG001</v>
          </cell>
          <cell r="L1219">
            <v>20</v>
          </cell>
        </row>
        <row r="1220">
          <cell r="D1220" t="str">
            <v>CG001</v>
          </cell>
          <cell r="L1220">
            <v>25</v>
          </cell>
        </row>
        <row r="1221">
          <cell r="D1221" t="str">
            <v>CG001</v>
          </cell>
          <cell r="L1221">
            <v>50</v>
          </cell>
        </row>
        <row r="1222">
          <cell r="D1222" t="str">
            <v>CG001</v>
          </cell>
          <cell r="L1222">
            <v>15</v>
          </cell>
        </row>
        <row r="1223">
          <cell r="D1223" t="str">
            <v>CG001</v>
          </cell>
          <cell r="L1223">
            <v>40</v>
          </cell>
        </row>
        <row r="1224">
          <cell r="D1224" t="str">
            <v>CG001</v>
          </cell>
          <cell r="L1224">
            <v>20</v>
          </cell>
        </row>
        <row r="1225">
          <cell r="D1225" t="str">
            <v>CG001</v>
          </cell>
          <cell r="L1225">
            <v>20</v>
          </cell>
        </row>
        <row r="1226">
          <cell r="D1226" t="str">
            <v>CG001</v>
          </cell>
          <cell r="L1226">
            <v>20</v>
          </cell>
        </row>
        <row r="1227">
          <cell r="D1227" t="str">
            <v>CG001</v>
          </cell>
          <cell r="L1227">
            <v>25</v>
          </cell>
        </row>
        <row r="1228">
          <cell r="D1228" t="str">
            <v>CG001</v>
          </cell>
          <cell r="L1228">
            <v>40</v>
          </cell>
        </row>
        <row r="1229">
          <cell r="D1229" t="str">
            <v>CG001</v>
          </cell>
          <cell r="L1229">
            <v>30</v>
          </cell>
        </row>
        <row r="1230">
          <cell r="D1230" t="str">
            <v>CG001</v>
          </cell>
          <cell r="L1230">
            <v>30</v>
          </cell>
        </row>
        <row r="1231">
          <cell r="D1231" t="str">
            <v>CG001</v>
          </cell>
          <cell r="L1231">
            <v>75</v>
          </cell>
        </row>
        <row r="1232">
          <cell r="D1232" t="str">
            <v>CG001</v>
          </cell>
          <cell r="L1232">
            <v>25</v>
          </cell>
        </row>
        <row r="1233">
          <cell r="D1233" t="str">
            <v>CG001</v>
          </cell>
          <cell r="L1233">
            <v>30</v>
          </cell>
        </row>
        <row r="1234">
          <cell r="D1234" t="str">
            <v>CG001</v>
          </cell>
          <cell r="L1234">
            <v>25</v>
          </cell>
        </row>
        <row r="1235">
          <cell r="D1235" t="str">
            <v>CG001</v>
          </cell>
          <cell r="L1235">
            <v>75</v>
          </cell>
        </row>
        <row r="1236">
          <cell r="D1236" t="str">
            <v>CG001</v>
          </cell>
          <cell r="L1236">
            <v>30</v>
          </cell>
        </row>
        <row r="1237">
          <cell r="D1237" t="str">
            <v>CG001</v>
          </cell>
          <cell r="L1237">
            <v>50</v>
          </cell>
        </row>
        <row r="1238">
          <cell r="D1238" t="str">
            <v>CG001</v>
          </cell>
          <cell r="L1238">
            <v>20</v>
          </cell>
        </row>
        <row r="1239">
          <cell r="D1239" t="str">
            <v>CG001</v>
          </cell>
          <cell r="L1239">
            <v>20</v>
          </cell>
        </row>
        <row r="1240">
          <cell r="D1240" t="str">
            <v>CG001</v>
          </cell>
          <cell r="L1240">
            <v>50</v>
          </cell>
        </row>
        <row r="1241">
          <cell r="D1241" t="str">
            <v>CG001</v>
          </cell>
          <cell r="L1241">
            <v>50</v>
          </cell>
        </row>
        <row r="1242">
          <cell r="D1242" t="str">
            <v>CG001</v>
          </cell>
          <cell r="L1242">
            <v>20</v>
          </cell>
        </row>
        <row r="1243">
          <cell r="D1243" t="str">
            <v>CG001</v>
          </cell>
          <cell r="L1243">
            <v>30</v>
          </cell>
        </row>
        <row r="1244">
          <cell r="D1244" t="str">
            <v>CG001</v>
          </cell>
          <cell r="L1244">
            <v>25</v>
          </cell>
        </row>
        <row r="1245">
          <cell r="D1245" t="str">
            <v>CG001</v>
          </cell>
          <cell r="L1245">
            <v>25</v>
          </cell>
        </row>
        <row r="1246">
          <cell r="D1246" t="str">
            <v>CG001</v>
          </cell>
          <cell r="L1246">
            <v>25</v>
          </cell>
        </row>
        <row r="1247">
          <cell r="D1247" t="str">
            <v>CG001</v>
          </cell>
          <cell r="L1247">
            <v>25</v>
          </cell>
        </row>
        <row r="1248">
          <cell r="D1248" t="str">
            <v>CG001</v>
          </cell>
          <cell r="L1248">
            <v>50</v>
          </cell>
        </row>
        <row r="1249">
          <cell r="D1249" t="str">
            <v>CG001</v>
          </cell>
          <cell r="L1249">
            <v>25</v>
          </cell>
        </row>
        <row r="1250">
          <cell r="D1250" t="str">
            <v>CG001</v>
          </cell>
          <cell r="L1250">
            <v>75</v>
          </cell>
        </row>
        <row r="1251">
          <cell r="D1251" t="str">
            <v>CG001</v>
          </cell>
          <cell r="L1251">
            <v>25</v>
          </cell>
        </row>
        <row r="1252">
          <cell r="D1252" t="str">
            <v>CG001</v>
          </cell>
          <cell r="L1252">
            <v>20</v>
          </cell>
        </row>
        <row r="1253">
          <cell r="D1253" t="str">
            <v>CG001</v>
          </cell>
          <cell r="L1253">
            <v>25</v>
          </cell>
        </row>
        <row r="1254">
          <cell r="D1254" t="str">
            <v>CG001</v>
          </cell>
          <cell r="L1254">
            <v>15</v>
          </cell>
        </row>
        <row r="1255">
          <cell r="D1255" t="str">
            <v>CG001</v>
          </cell>
          <cell r="L1255">
            <v>50</v>
          </cell>
        </row>
        <row r="1256">
          <cell r="D1256" t="str">
            <v>GR002</v>
          </cell>
          <cell r="L1256">
            <v>14</v>
          </cell>
        </row>
        <row r="1257">
          <cell r="D1257" t="str">
            <v>GR013</v>
          </cell>
          <cell r="L1257">
            <v>13</v>
          </cell>
        </row>
        <row r="1258">
          <cell r="D1258" t="str">
            <v>CG001</v>
          </cell>
          <cell r="L1258">
            <v>30</v>
          </cell>
        </row>
        <row r="1259">
          <cell r="D1259" t="str">
            <v>CG001</v>
          </cell>
          <cell r="L1259">
            <v>65</v>
          </cell>
        </row>
        <row r="1260">
          <cell r="D1260" t="str">
            <v>CG001</v>
          </cell>
          <cell r="L1260">
            <v>20</v>
          </cell>
        </row>
        <row r="1261">
          <cell r="D1261" t="str">
            <v>CG001</v>
          </cell>
          <cell r="L1261">
            <v>50</v>
          </cell>
        </row>
        <row r="1262">
          <cell r="D1262" t="str">
            <v>CG001</v>
          </cell>
          <cell r="L1262">
            <v>15</v>
          </cell>
        </row>
        <row r="1263">
          <cell r="D1263" t="str">
            <v>CG001</v>
          </cell>
          <cell r="L1263">
            <v>40</v>
          </cell>
        </row>
        <row r="1264">
          <cell r="D1264" t="str">
            <v>CG001</v>
          </cell>
          <cell r="L1264">
            <v>20</v>
          </cell>
        </row>
        <row r="1265">
          <cell r="D1265" t="str">
            <v>CG001</v>
          </cell>
          <cell r="L1265">
            <v>20</v>
          </cell>
        </row>
        <row r="1266">
          <cell r="D1266" t="str">
            <v>CG001</v>
          </cell>
          <cell r="L1266">
            <v>20</v>
          </cell>
        </row>
        <row r="1267">
          <cell r="D1267" t="str">
            <v>CG001</v>
          </cell>
          <cell r="L1267">
            <v>25</v>
          </cell>
        </row>
        <row r="1268">
          <cell r="D1268" t="str">
            <v>CG001</v>
          </cell>
          <cell r="L1268">
            <v>25</v>
          </cell>
        </row>
        <row r="1269">
          <cell r="D1269" t="str">
            <v>CG001</v>
          </cell>
          <cell r="L1269">
            <v>25</v>
          </cell>
        </row>
        <row r="1270">
          <cell r="D1270" t="str">
            <v>CG001</v>
          </cell>
          <cell r="L1270">
            <v>25</v>
          </cell>
        </row>
        <row r="1271">
          <cell r="D1271" t="str">
            <v>CG001</v>
          </cell>
          <cell r="L1271">
            <v>25</v>
          </cell>
        </row>
        <row r="1272">
          <cell r="D1272" t="str">
            <v>CG001</v>
          </cell>
          <cell r="L1272">
            <v>25</v>
          </cell>
        </row>
        <row r="1273">
          <cell r="D1273" t="str">
            <v>CG001</v>
          </cell>
          <cell r="L1273">
            <v>25</v>
          </cell>
        </row>
        <row r="1274">
          <cell r="D1274" t="str">
            <v>CG001</v>
          </cell>
          <cell r="L1274">
            <v>20</v>
          </cell>
        </row>
        <row r="1275">
          <cell r="D1275" t="str">
            <v>CG001</v>
          </cell>
          <cell r="L1275">
            <v>25</v>
          </cell>
        </row>
        <row r="1276">
          <cell r="D1276" t="str">
            <v>CG001</v>
          </cell>
          <cell r="L1276">
            <v>20</v>
          </cell>
        </row>
        <row r="1277">
          <cell r="D1277" t="str">
            <v>GR008</v>
          </cell>
          <cell r="L1277">
            <v>1</v>
          </cell>
        </row>
        <row r="1278">
          <cell r="D1278" t="str">
            <v>CG001</v>
          </cell>
          <cell r="L1278">
            <v>25</v>
          </cell>
        </row>
        <row r="1279">
          <cell r="D1279" t="str">
            <v>CG001</v>
          </cell>
          <cell r="L1279">
            <v>75</v>
          </cell>
        </row>
        <row r="1280">
          <cell r="D1280" t="str">
            <v>CG001</v>
          </cell>
          <cell r="L1280">
            <v>30</v>
          </cell>
        </row>
        <row r="1281">
          <cell r="D1281" t="str">
            <v>CG001</v>
          </cell>
          <cell r="L1281">
            <v>50</v>
          </cell>
        </row>
        <row r="1282">
          <cell r="D1282" t="str">
            <v>CG001</v>
          </cell>
          <cell r="L1282">
            <v>20</v>
          </cell>
        </row>
        <row r="1283">
          <cell r="D1283" t="str">
            <v>CG001</v>
          </cell>
          <cell r="L1283">
            <v>20</v>
          </cell>
        </row>
        <row r="1284">
          <cell r="D1284" t="str">
            <v>CG001</v>
          </cell>
          <cell r="L1284">
            <v>50</v>
          </cell>
        </row>
        <row r="1285">
          <cell r="D1285" t="str">
            <v>CG001</v>
          </cell>
          <cell r="L1285">
            <v>50</v>
          </cell>
        </row>
        <row r="1286">
          <cell r="D1286" t="str">
            <v>CG001</v>
          </cell>
          <cell r="L1286">
            <v>20</v>
          </cell>
        </row>
        <row r="1287">
          <cell r="D1287" t="str">
            <v>CG001</v>
          </cell>
          <cell r="L1287">
            <v>30</v>
          </cell>
        </row>
        <row r="1288">
          <cell r="D1288" t="str">
            <v>CG001</v>
          </cell>
          <cell r="L1288">
            <v>25</v>
          </cell>
        </row>
        <row r="1289">
          <cell r="D1289" t="str">
            <v>CG001</v>
          </cell>
          <cell r="L1289">
            <v>25</v>
          </cell>
        </row>
        <row r="1290">
          <cell r="D1290" t="str">
            <v>CG001</v>
          </cell>
          <cell r="L1290">
            <v>25</v>
          </cell>
        </row>
        <row r="1291">
          <cell r="D1291" t="str">
            <v>CG001</v>
          </cell>
          <cell r="L1291">
            <v>25</v>
          </cell>
        </row>
        <row r="1292">
          <cell r="D1292" t="str">
            <v>CG001</v>
          </cell>
          <cell r="L1292">
            <v>50</v>
          </cell>
        </row>
        <row r="1293">
          <cell r="D1293" t="str">
            <v>CG001</v>
          </cell>
          <cell r="L1293">
            <v>50</v>
          </cell>
        </row>
        <row r="1294">
          <cell r="D1294" t="str">
            <v>CG001</v>
          </cell>
          <cell r="L1294">
            <v>25</v>
          </cell>
        </row>
        <row r="1295">
          <cell r="D1295" t="str">
            <v>CG001</v>
          </cell>
          <cell r="L1295">
            <v>75</v>
          </cell>
        </row>
        <row r="1296">
          <cell r="D1296" t="str">
            <v>CG001</v>
          </cell>
          <cell r="L1296">
            <v>25</v>
          </cell>
        </row>
        <row r="1297">
          <cell r="D1297" t="str">
            <v>CG001</v>
          </cell>
          <cell r="L1297">
            <v>20</v>
          </cell>
        </row>
        <row r="1298">
          <cell r="D1298" t="str">
            <v>CG001</v>
          </cell>
          <cell r="L1298">
            <v>25</v>
          </cell>
        </row>
        <row r="1299">
          <cell r="D1299" t="str">
            <v>CG001</v>
          </cell>
          <cell r="L1299">
            <v>15</v>
          </cell>
        </row>
        <row r="1300">
          <cell r="D1300" t="str">
            <v>CG001</v>
          </cell>
          <cell r="L1300">
            <v>50</v>
          </cell>
        </row>
        <row r="1301">
          <cell r="D1301" t="str">
            <v>CG001</v>
          </cell>
          <cell r="L1301">
            <v>15</v>
          </cell>
        </row>
        <row r="1302">
          <cell r="D1302" t="str">
            <v>CG001</v>
          </cell>
          <cell r="L1302">
            <v>50</v>
          </cell>
        </row>
        <row r="1303">
          <cell r="D1303" t="str">
            <v>CG001</v>
          </cell>
          <cell r="L1303">
            <v>30</v>
          </cell>
        </row>
        <row r="1304">
          <cell r="D1304" t="str">
            <v>CG001</v>
          </cell>
          <cell r="L1304">
            <v>15</v>
          </cell>
        </row>
        <row r="1305">
          <cell r="D1305" t="str">
            <v>CG001</v>
          </cell>
          <cell r="L1305">
            <v>40</v>
          </cell>
        </row>
        <row r="1306">
          <cell r="D1306" t="str">
            <v>CG001</v>
          </cell>
          <cell r="L1306">
            <v>20</v>
          </cell>
        </row>
        <row r="1307">
          <cell r="D1307" t="str">
            <v>CG001</v>
          </cell>
          <cell r="L1307">
            <v>20</v>
          </cell>
        </row>
        <row r="1308">
          <cell r="D1308" t="str">
            <v>CG001</v>
          </cell>
          <cell r="L1308">
            <v>20</v>
          </cell>
        </row>
        <row r="1309">
          <cell r="D1309" t="str">
            <v>CG001</v>
          </cell>
          <cell r="L1309">
            <v>25</v>
          </cell>
        </row>
        <row r="1310">
          <cell r="D1310" t="str">
            <v>CG001</v>
          </cell>
          <cell r="L1310">
            <v>25</v>
          </cell>
        </row>
        <row r="1311">
          <cell r="D1311" t="str">
            <v>CG001</v>
          </cell>
          <cell r="L1311">
            <v>25</v>
          </cell>
        </row>
        <row r="1312">
          <cell r="D1312" t="str">
            <v>CG001</v>
          </cell>
          <cell r="L1312">
            <v>25</v>
          </cell>
        </row>
        <row r="1313">
          <cell r="D1313" t="str">
            <v>CG001</v>
          </cell>
          <cell r="L1313">
            <v>25</v>
          </cell>
        </row>
        <row r="1314">
          <cell r="D1314" t="str">
            <v>CG001</v>
          </cell>
          <cell r="L1314">
            <v>25</v>
          </cell>
        </row>
        <row r="1315">
          <cell r="D1315" t="str">
            <v>CG001</v>
          </cell>
          <cell r="L1315">
            <v>25</v>
          </cell>
        </row>
        <row r="1316">
          <cell r="D1316" t="str">
            <v>CG001</v>
          </cell>
          <cell r="L1316">
            <v>15</v>
          </cell>
        </row>
        <row r="1317">
          <cell r="D1317" t="str">
            <v>CG001</v>
          </cell>
          <cell r="L1317">
            <v>30</v>
          </cell>
        </row>
        <row r="1318">
          <cell r="D1318" t="str">
            <v>CG001</v>
          </cell>
          <cell r="L1318">
            <v>30</v>
          </cell>
        </row>
        <row r="1319">
          <cell r="D1319" t="str">
            <v>CG001</v>
          </cell>
          <cell r="L1319">
            <v>20</v>
          </cell>
        </row>
        <row r="1320">
          <cell r="D1320" t="str">
            <v>CG001</v>
          </cell>
          <cell r="L1320">
            <v>20</v>
          </cell>
        </row>
        <row r="1321">
          <cell r="D1321" t="str">
            <v>CG001</v>
          </cell>
          <cell r="L1321">
            <v>50</v>
          </cell>
        </row>
        <row r="1322">
          <cell r="D1322" t="str">
            <v>CG001</v>
          </cell>
          <cell r="L1322">
            <v>50</v>
          </cell>
        </row>
        <row r="1323">
          <cell r="D1323" t="str">
            <v>CG001</v>
          </cell>
          <cell r="L1323">
            <v>25</v>
          </cell>
        </row>
        <row r="1324">
          <cell r="D1324" t="str">
            <v>CG001</v>
          </cell>
          <cell r="L1324">
            <v>20</v>
          </cell>
        </row>
        <row r="1325">
          <cell r="D1325" t="str">
            <v>CG001</v>
          </cell>
          <cell r="L1325">
            <v>30</v>
          </cell>
        </row>
        <row r="1326">
          <cell r="D1326" t="str">
            <v>CG001</v>
          </cell>
          <cell r="L1326">
            <v>25</v>
          </cell>
        </row>
        <row r="1327">
          <cell r="D1327" t="str">
            <v>CG001</v>
          </cell>
          <cell r="L1327">
            <v>15</v>
          </cell>
        </row>
        <row r="1328">
          <cell r="D1328" t="str">
            <v>CG001</v>
          </cell>
          <cell r="L1328">
            <v>30</v>
          </cell>
        </row>
        <row r="1329">
          <cell r="D1329" t="str">
            <v>CG001</v>
          </cell>
          <cell r="L1329">
            <v>30</v>
          </cell>
        </row>
        <row r="1330">
          <cell r="D1330" t="str">
            <v>CG001</v>
          </cell>
          <cell r="L1330">
            <v>20</v>
          </cell>
        </row>
        <row r="1331">
          <cell r="D1331" t="str">
            <v>CG001</v>
          </cell>
          <cell r="L1331">
            <v>20</v>
          </cell>
        </row>
        <row r="1332">
          <cell r="D1332" t="str">
            <v>CG001</v>
          </cell>
          <cell r="L1332">
            <v>50</v>
          </cell>
        </row>
        <row r="1333">
          <cell r="D1333" t="str">
            <v>CG001</v>
          </cell>
          <cell r="L1333">
            <v>50</v>
          </cell>
        </row>
        <row r="1334">
          <cell r="D1334" t="str">
            <v>CG001</v>
          </cell>
          <cell r="L1334">
            <v>25</v>
          </cell>
        </row>
        <row r="1335">
          <cell r="D1335" t="str">
            <v>CG001</v>
          </cell>
          <cell r="L1335">
            <v>30</v>
          </cell>
        </row>
        <row r="1336">
          <cell r="D1336" t="str">
            <v>CG001</v>
          </cell>
          <cell r="L1336">
            <v>50</v>
          </cell>
        </row>
        <row r="1337">
          <cell r="D1337" t="str">
            <v>CG001</v>
          </cell>
          <cell r="L1337">
            <v>25</v>
          </cell>
        </row>
        <row r="1338">
          <cell r="D1338" t="str">
            <v>CG001</v>
          </cell>
          <cell r="L1338">
            <v>70</v>
          </cell>
        </row>
        <row r="1339">
          <cell r="D1339" t="str">
            <v>CG001</v>
          </cell>
          <cell r="L1339">
            <v>20</v>
          </cell>
        </row>
        <row r="1340">
          <cell r="D1340" t="str">
            <v>CG001</v>
          </cell>
          <cell r="L1340">
            <v>15</v>
          </cell>
        </row>
        <row r="1341">
          <cell r="D1341" t="str">
            <v>CG001</v>
          </cell>
          <cell r="L1341">
            <v>40</v>
          </cell>
        </row>
        <row r="1342">
          <cell r="D1342" t="str">
            <v>CG001</v>
          </cell>
          <cell r="L1342">
            <v>20</v>
          </cell>
        </row>
        <row r="1343">
          <cell r="D1343" t="str">
            <v>CG001</v>
          </cell>
          <cell r="L1343">
            <v>20</v>
          </cell>
        </row>
        <row r="1344">
          <cell r="D1344" t="str">
            <v>CG001</v>
          </cell>
          <cell r="L1344">
            <v>20</v>
          </cell>
        </row>
        <row r="1345">
          <cell r="D1345" t="str">
            <v>CG001</v>
          </cell>
          <cell r="L1345">
            <v>25</v>
          </cell>
        </row>
        <row r="1346">
          <cell r="D1346" t="str">
            <v>CG001</v>
          </cell>
          <cell r="L1346">
            <v>25</v>
          </cell>
        </row>
        <row r="1347">
          <cell r="D1347" t="str">
            <v>CG001</v>
          </cell>
          <cell r="L1347">
            <v>25</v>
          </cell>
        </row>
        <row r="1348">
          <cell r="D1348" t="str">
            <v>CG001</v>
          </cell>
          <cell r="L1348">
            <v>25</v>
          </cell>
        </row>
        <row r="1349">
          <cell r="D1349" t="str">
            <v>CG001</v>
          </cell>
          <cell r="L1349">
            <v>25</v>
          </cell>
        </row>
        <row r="1350">
          <cell r="D1350" t="str">
            <v>CG001</v>
          </cell>
          <cell r="L1350">
            <v>25</v>
          </cell>
        </row>
        <row r="1351">
          <cell r="D1351" t="str">
            <v>CG001</v>
          </cell>
          <cell r="L1351">
            <v>25</v>
          </cell>
        </row>
        <row r="1352">
          <cell r="D1352" t="str">
            <v>CG001</v>
          </cell>
          <cell r="L1352">
            <v>25</v>
          </cell>
        </row>
        <row r="1353">
          <cell r="D1353" t="str">
            <v>CG001</v>
          </cell>
          <cell r="L1353">
            <v>25</v>
          </cell>
        </row>
        <row r="1354">
          <cell r="D1354" t="str">
            <v>CG001</v>
          </cell>
          <cell r="L1354">
            <v>25</v>
          </cell>
        </row>
        <row r="1355">
          <cell r="D1355" t="str">
            <v>CG001</v>
          </cell>
          <cell r="L1355">
            <v>25</v>
          </cell>
        </row>
        <row r="1356">
          <cell r="D1356" t="str">
            <v>CG001</v>
          </cell>
          <cell r="L1356">
            <v>25</v>
          </cell>
        </row>
        <row r="1357">
          <cell r="D1357" t="str">
            <v>CG001</v>
          </cell>
          <cell r="L1357">
            <v>25</v>
          </cell>
        </row>
        <row r="1358">
          <cell r="D1358" t="str">
            <v>CG001</v>
          </cell>
          <cell r="L1358">
            <v>20</v>
          </cell>
        </row>
        <row r="1359">
          <cell r="D1359" t="str">
            <v>CG001</v>
          </cell>
          <cell r="L1359">
            <v>25</v>
          </cell>
        </row>
        <row r="1360">
          <cell r="D1360" t="str">
            <v>CG001</v>
          </cell>
          <cell r="L1360">
            <v>20</v>
          </cell>
        </row>
        <row r="1361">
          <cell r="D1361" t="str">
            <v>CG001</v>
          </cell>
          <cell r="L1361">
            <v>25</v>
          </cell>
        </row>
        <row r="1362">
          <cell r="D1362" t="str">
            <v>CG001</v>
          </cell>
          <cell r="L1362">
            <v>50</v>
          </cell>
        </row>
        <row r="1363">
          <cell r="D1363" t="str">
            <v>CG001</v>
          </cell>
          <cell r="L1363">
            <v>50</v>
          </cell>
        </row>
        <row r="1364">
          <cell r="D1364" t="str">
            <v>CG001</v>
          </cell>
          <cell r="L1364">
            <v>25</v>
          </cell>
        </row>
        <row r="1365">
          <cell r="D1365" t="str">
            <v>CG001</v>
          </cell>
          <cell r="L1365">
            <v>20</v>
          </cell>
        </row>
        <row r="1366">
          <cell r="D1366" t="str">
            <v>CG001</v>
          </cell>
          <cell r="L1366">
            <v>30</v>
          </cell>
        </row>
        <row r="1367">
          <cell r="D1367" t="str">
            <v>CG001</v>
          </cell>
          <cell r="L1367">
            <v>25</v>
          </cell>
        </row>
        <row r="1368">
          <cell r="D1368" t="str">
            <v>CG001</v>
          </cell>
          <cell r="L1368">
            <v>15</v>
          </cell>
        </row>
        <row r="1369">
          <cell r="D1369" t="str">
            <v>CG001</v>
          </cell>
          <cell r="L1369">
            <v>30</v>
          </cell>
        </row>
        <row r="1370">
          <cell r="D1370" t="str">
            <v>CG001</v>
          </cell>
          <cell r="L1370">
            <v>30</v>
          </cell>
        </row>
        <row r="1371">
          <cell r="D1371" t="str">
            <v>CG001</v>
          </cell>
          <cell r="L1371">
            <v>20</v>
          </cell>
        </row>
        <row r="1372">
          <cell r="D1372" t="str">
            <v>CG001</v>
          </cell>
          <cell r="L1372">
            <v>20</v>
          </cell>
        </row>
        <row r="1373">
          <cell r="D1373" t="str">
            <v>CG001</v>
          </cell>
          <cell r="L1373">
            <v>50</v>
          </cell>
        </row>
        <row r="1374">
          <cell r="D1374" t="str">
            <v>CG001</v>
          </cell>
          <cell r="L1374">
            <v>50</v>
          </cell>
        </row>
        <row r="1375">
          <cell r="D1375" t="str">
            <v>CG001</v>
          </cell>
          <cell r="L1375">
            <v>25</v>
          </cell>
        </row>
        <row r="1376">
          <cell r="D1376" t="str">
            <v>CG001</v>
          </cell>
          <cell r="L1376">
            <v>30</v>
          </cell>
        </row>
        <row r="1377">
          <cell r="D1377" t="str">
            <v>CG001</v>
          </cell>
          <cell r="L1377">
            <v>50</v>
          </cell>
        </row>
        <row r="1378">
          <cell r="D1378" t="str">
            <v>CG001</v>
          </cell>
          <cell r="L1378">
            <v>25</v>
          </cell>
        </row>
        <row r="1379">
          <cell r="D1379" t="str">
            <v>CG001</v>
          </cell>
          <cell r="L1379">
            <v>70</v>
          </cell>
        </row>
        <row r="1380">
          <cell r="D1380" t="str">
            <v>CG001</v>
          </cell>
          <cell r="L1380">
            <v>20</v>
          </cell>
        </row>
        <row r="1381">
          <cell r="D1381" t="str">
            <v>CG001</v>
          </cell>
          <cell r="L1381">
            <v>15</v>
          </cell>
        </row>
        <row r="1382">
          <cell r="D1382" t="str">
            <v>CG001</v>
          </cell>
          <cell r="L1382">
            <v>40</v>
          </cell>
        </row>
        <row r="1383">
          <cell r="D1383" t="str">
            <v>CG001</v>
          </cell>
          <cell r="L1383">
            <v>20</v>
          </cell>
        </row>
        <row r="1384">
          <cell r="D1384" t="str">
            <v>CG001</v>
          </cell>
          <cell r="L1384">
            <v>20</v>
          </cell>
        </row>
        <row r="1385">
          <cell r="D1385" t="str">
            <v>CG001</v>
          </cell>
          <cell r="L1385">
            <v>20</v>
          </cell>
        </row>
        <row r="1386">
          <cell r="D1386" t="str">
            <v>CG001</v>
          </cell>
          <cell r="L1386">
            <v>25</v>
          </cell>
        </row>
        <row r="1387">
          <cell r="D1387" t="str">
            <v>CG001</v>
          </cell>
          <cell r="L1387">
            <v>25</v>
          </cell>
        </row>
        <row r="1388">
          <cell r="D1388" t="str">
            <v>CG001</v>
          </cell>
          <cell r="L1388">
            <v>25</v>
          </cell>
        </row>
        <row r="1389">
          <cell r="D1389" t="str">
            <v>CG001</v>
          </cell>
          <cell r="L1389">
            <v>25</v>
          </cell>
        </row>
        <row r="1390">
          <cell r="D1390" t="str">
            <v>CG001</v>
          </cell>
          <cell r="L1390">
            <v>25</v>
          </cell>
        </row>
        <row r="1391">
          <cell r="D1391" t="str">
            <v>CG001</v>
          </cell>
          <cell r="L1391">
            <v>25</v>
          </cell>
        </row>
        <row r="1392">
          <cell r="D1392" t="str">
            <v>CG001</v>
          </cell>
          <cell r="L1392">
            <v>25</v>
          </cell>
        </row>
        <row r="1393">
          <cell r="D1393" t="str">
            <v>CG001</v>
          </cell>
          <cell r="L1393">
            <v>25</v>
          </cell>
        </row>
        <row r="1394">
          <cell r="D1394" t="str">
            <v>CG001</v>
          </cell>
          <cell r="L1394">
            <v>25</v>
          </cell>
        </row>
        <row r="1395">
          <cell r="D1395" t="str">
            <v>CG001</v>
          </cell>
          <cell r="L1395">
            <v>25</v>
          </cell>
        </row>
        <row r="1396">
          <cell r="D1396" t="str">
            <v>CG001</v>
          </cell>
          <cell r="L1396">
            <v>25</v>
          </cell>
        </row>
        <row r="1397">
          <cell r="D1397" t="str">
            <v>CG001</v>
          </cell>
          <cell r="L1397">
            <v>25</v>
          </cell>
        </row>
        <row r="1398">
          <cell r="D1398" t="str">
            <v>CG001</v>
          </cell>
          <cell r="L1398">
            <v>25</v>
          </cell>
        </row>
        <row r="1399">
          <cell r="D1399" t="str">
            <v>CG001</v>
          </cell>
          <cell r="L1399">
            <v>20</v>
          </cell>
        </row>
        <row r="1400">
          <cell r="D1400" t="str">
            <v>CG001</v>
          </cell>
          <cell r="L1400">
            <v>25</v>
          </cell>
        </row>
        <row r="1401">
          <cell r="D1401" t="str">
            <v>CG001</v>
          </cell>
          <cell r="L1401">
            <v>20</v>
          </cell>
        </row>
        <row r="1402">
          <cell r="D1402" t="str">
            <v>CG001</v>
          </cell>
          <cell r="L1402">
            <v>25</v>
          </cell>
        </row>
        <row r="1403">
          <cell r="D1403" t="str">
            <v>GR001</v>
          </cell>
          <cell r="L1403">
            <v>6</v>
          </cell>
        </row>
        <row r="1404">
          <cell r="D1404" t="str">
            <v>GR005</v>
          </cell>
          <cell r="L1404">
            <v>4</v>
          </cell>
        </row>
        <row r="1405">
          <cell r="D1405" t="str">
            <v>CG001</v>
          </cell>
          <cell r="L1405">
            <v>30</v>
          </cell>
        </row>
        <row r="1406">
          <cell r="D1406" t="str">
            <v>CG001</v>
          </cell>
          <cell r="L1406">
            <v>25</v>
          </cell>
        </row>
        <row r="1407">
          <cell r="D1407" t="str">
            <v>CG001</v>
          </cell>
          <cell r="L1407">
            <v>25</v>
          </cell>
        </row>
        <row r="1408">
          <cell r="D1408" t="str">
            <v>CG001</v>
          </cell>
          <cell r="L1408">
            <v>25</v>
          </cell>
        </row>
        <row r="1409">
          <cell r="D1409" t="str">
            <v>CG001</v>
          </cell>
          <cell r="L1409">
            <v>25</v>
          </cell>
        </row>
        <row r="1410">
          <cell r="D1410" t="str">
            <v>CG001</v>
          </cell>
          <cell r="L1410">
            <v>50</v>
          </cell>
        </row>
        <row r="1411">
          <cell r="D1411" t="str">
            <v>CG001</v>
          </cell>
          <cell r="L1411">
            <v>50</v>
          </cell>
        </row>
        <row r="1412">
          <cell r="D1412" t="str">
            <v>CG001</v>
          </cell>
          <cell r="L1412">
            <v>25</v>
          </cell>
        </row>
        <row r="1413">
          <cell r="D1413" t="str">
            <v>CG001</v>
          </cell>
          <cell r="L1413">
            <v>75</v>
          </cell>
        </row>
        <row r="1414">
          <cell r="D1414" t="str">
            <v>CG001</v>
          </cell>
          <cell r="L1414">
            <v>25</v>
          </cell>
        </row>
        <row r="1415">
          <cell r="D1415" t="str">
            <v>CG001</v>
          </cell>
          <cell r="L1415">
            <v>20</v>
          </cell>
        </row>
        <row r="1416">
          <cell r="D1416" t="str">
            <v>CG001</v>
          </cell>
          <cell r="L1416">
            <v>25</v>
          </cell>
        </row>
        <row r="1417">
          <cell r="D1417" t="str">
            <v>CG001</v>
          </cell>
          <cell r="L1417">
            <v>15</v>
          </cell>
        </row>
        <row r="1418">
          <cell r="D1418" t="str">
            <v>CG001</v>
          </cell>
          <cell r="L1418">
            <v>50</v>
          </cell>
        </row>
        <row r="1419">
          <cell r="D1419" t="str">
            <v>CG001</v>
          </cell>
          <cell r="L1419">
            <v>15</v>
          </cell>
        </row>
        <row r="1420">
          <cell r="D1420" t="str">
            <v>CG001</v>
          </cell>
          <cell r="L1420">
            <v>50</v>
          </cell>
        </row>
        <row r="1421">
          <cell r="D1421" t="str">
            <v>CG001</v>
          </cell>
          <cell r="L1421">
            <v>30</v>
          </cell>
        </row>
        <row r="1422">
          <cell r="D1422" t="str">
            <v>CG001</v>
          </cell>
          <cell r="L1422">
            <v>15</v>
          </cell>
        </row>
        <row r="1423">
          <cell r="D1423" t="str">
            <v>CG001</v>
          </cell>
          <cell r="L1423">
            <v>40</v>
          </cell>
        </row>
        <row r="1424">
          <cell r="D1424" t="str">
            <v>CG001</v>
          </cell>
          <cell r="L1424">
            <v>20</v>
          </cell>
        </row>
        <row r="1425">
          <cell r="D1425" t="str">
            <v>CG001</v>
          </cell>
          <cell r="L1425">
            <v>20</v>
          </cell>
        </row>
        <row r="1426">
          <cell r="D1426" t="str">
            <v>CG001</v>
          </cell>
          <cell r="L1426">
            <v>20</v>
          </cell>
        </row>
        <row r="1427">
          <cell r="D1427" t="str">
            <v>CG001</v>
          </cell>
          <cell r="L1427">
            <v>25</v>
          </cell>
        </row>
        <row r="1428">
          <cell r="D1428" t="str">
            <v>CG001</v>
          </cell>
          <cell r="L1428">
            <v>25</v>
          </cell>
        </row>
        <row r="1429">
          <cell r="D1429" t="str">
            <v>CG001</v>
          </cell>
          <cell r="L1429">
            <v>25</v>
          </cell>
        </row>
        <row r="1430">
          <cell r="D1430" t="str">
            <v>CG001</v>
          </cell>
          <cell r="L1430">
            <v>25</v>
          </cell>
        </row>
        <row r="1431">
          <cell r="D1431" t="str">
            <v>CG001</v>
          </cell>
          <cell r="L1431">
            <v>50</v>
          </cell>
        </row>
        <row r="1432">
          <cell r="D1432" t="str">
            <v>CG001</v>
          </cell>
          <cell r="L1432">
            <v>50</v>
          </cell>
        </row>
        <row r="1433">
          <cell r="D1433" t="str">
            <v>CG001</v>
          </cell>
          <cell r="L1433">
            <v>25</v>
          </cell>
        </row>
        <row r="1434">
          <cell r="D1434" t="str">
            <v>CG001</v>
          </cell>
          <cell r="L1434">
            <v>30</v>
          </cell>
        </row>
        <row r="1435">
          <cell r="D1435" t="str">
            <v>CG001</v>
          </cell>
          <cell r="L1435">
            <v>50</v>
          </cell>
        </row>
        <row r="1436">
          <cell r="D1436" t="str">
            <v>CG001</v>
          </cell>
          <cell r="L1436">
            <v>25</v>
          </cell>
        </row>
        <row r="1437">
          <cell r="D1437" t="str">
            <v>CG001</v>
          </cell>
          <cell r="L1437">
            <v>70</v>
          </cell>
        </row>
        <row r="1438">
          <cell r="D1438" t="str">
            <v>CG001</v>
          </cell>
          <cell r="L1438">
            <v>20</v>
          </cell>
        </row>
        <row r="1439">
          <cell r="D1439" t="str">
            <v>CG001</v>
          </cell>
          <cell r="L1439">
            <v>15</v>
          </cell>
        </row>
        <row r="1440">
          <cell r="D1440" t="str">
            <v>CG001</v>
          </cell>
          <cell r="L1440">
            <v>40</v>
          </cell>
        </row>
        <row r="1441">
          <cell r="D1441" t="str">
            <v>CG001</v>
          </cell>
          <cell r="L1441">
            <v>20</v>
          </cell>
        </row>
        <row r="1442">
          <cell r="D1442" t="str">
            <v>CG001</v>
          </cell>
          <cell r="L1442">
            <v>20</v>
          </cell>
        </row>
        <row r="1443">
          <cell r="D1443" t="str">
            <v>CG001</v>
          </cell>
          <cell r="L1443">
            <v>20</v>
          </cell>
        </row>
        <row r="1444">
          <cell r="D1444" t="str">
            <v>CG001</v>
          </cell>
          <cell r="L1444">
            <v>25</v>
          </cell>
        </row>
        <row r="1445">
          <cell r="D1445" t="str">
            <v>CG001</v>
          </cell>
          <cell r="L1445">
            <v>25</v>
          </cell>
        </row>
        <row r="1446">
          <cell r="D1446" t="str">
            <v>CG001</v>
          </cell>
          <cell r="L1446">
            <v>25</v>
          </cell>
        </row>
        <row r="1447">
          <cell r="D1447" t="str">
            <v>CG001</v>
          </cell>
          <cell r="L1447">
            <v>25</v>
          </cell>
        </row>
        <row r="1448">
          <cell r="D1448" t="str">
            <v>CG001</v>
          </cell>
          <cell r="L1448">
            <v>25</v>
          </cell>
        </row>
        <row r="1449">
          <cell r="D1449" t="str">
            <v>CG001</v>
          </cell>
          <cell r="L1449">
            <v>25</v>
          </cell>
        </row>
        <row r="1450">
          <cell r="D1450" t="str">
            <v>CG001</v>
          </cell>
          <cell r="L1450">
            <v>25</v>
          </cell>
        </row>
        <row r="1451">
          <cell r="D1451" t="str">
            <v>CG001</v>
          </cell>
          <cell r="L1451">
            <v>25</v>
          </cell>
        </row>
        <row r="1452">
          <cell r="D1452" t="str">
            <v>CG001</v>
          </cell>
          <cell r="L1452">
            <v>25</v>
          </cell>
        </row>
        <row r="1453">
          <cell r="D1453" t="str">
            <v>CG001</v>
          </cell>
          <cell r="L1453">
            <v>25</v>
          </cell>
        </row>
        <row r="1454">
          <cell r="D1454" t="str">
            <v>CG001</v>
          </cell>
          <cell r="L1454">
            <v>25</v>
          </cell>
        </row>
        <row r="1455">
          <cell r="D1455" t="str">
            <v>CG001</v>
          </cell>
          <cell r="L1455">
            <v>25</v>
          </cell>
        </row>
        <row r="1456">
          <cell r="D1456" t="str">
            <v>CG001</v>
          </cell>
          <cell r="L1456">
            <v>25</v>
          </cell>
        </row>
        <row r="1457">
          <cell r="D1457" t="str">
            <v>CG001</v>
          </cell>
          <cell r="L1457">
            <v>75</v>
          </cell>
        </row>
        <row r="1458">
          <cell r="D1458" t="str">
            <v>CG001</v>
          </cell>
          <cell r="L1458">
            <v>50</v>
          </cell>
        </row>
        <row r="1459">
          <cell r="D1459" t="str">
            <v>CG001</v>
          </cell>
          <cell r="L1459">
            <v>20</v>
          </cell>
        </row>
        <row r="1460">
          <cell r="D1460" t="str">
            <v>CG001</v>
          </cell>
          <cell r="L1460">
            <v>25</v>
          </cell>
        </row>
        <row r="1461">
          <cell r="D1461" t="str">
            <v>CG001</v>
          </cell>
          <cell r="L1461">
            <v>50</v>
          </cell>
        </row>
        <row r="1462">
          <cell r="D1462" t="str">
            <v>CG001</v>
          </cell>
          <cell r="L1462">
            <v>50</v>
          </cell>
        </row>
        <row r="1463">
          <cell r="D1463" t="str">
            <v>CG001</v>
          </cell>
          <cell r="L1463">
            <v>25</v>
          </cell>
        </row>
        <row r="1464">
          <cell r="D1464" t="str">
            <v>CG001</v>
          </cell>
          <cell r="L1464">
            <v>20</v>
          </cell>
        </row>
        <row r="1465">
          <cell r="D1465" t="str">
            <v>CG001</v>
          </cell>
          <cell r="L1465">
            <v>30</v>
          </cell>
        </row>
        <row r="1466">
          <cell r="D1466" t="str">
            <v>CG001</v>
          </cell>
          <cell r="L1466">
            <v>50</v>
          </cell>
        </row>
        <row r="1467">
          <cell r="D1467" t="str">
            <v>CG001</v>
          </cell>
          <cell r="L1467">
            <v>15</v>
          </cell>
        </row>
        <row r="1468">
          <cell r="D1468" t="str">
            <v>CG001</v>
          </cell>
          <cell r="L1468">
            <v>30</v>
          </cell>
        </row>
        <row r="1469">
          <cell r="D1469" t="str">
            <v>CG001</v>
          </cell>
          <cell r="L1469">
            <v>30</v>
          </cell>
        </row>
        <row r="1470">
          <cell r="D1470" t="str">
            <v>CG001</v>
          </cell>
          <cell r="L1470">
            <v>20</v>
          </cell>
        </row>
        <row r="1471">
          <cell r="D1471" t="str">
            <v>CG001</v>
          </cell>
          <cell r="L1471">
            <v>20</v>
          </cell>
        </row>
        <row r="1472">
          <cell r="D1472" t="str">
            <v>CG001</v>
          </cell>
          <cell r="L1472">
            <v>50</v>
          </cell>
        </row>
        <row r="1473">
          <cell r="D1473" t="str">
            <v>CG001</v>
          </cell>
          <cell r="L1473">
            <v>50</v>
          </cell>
        </row>
        <row r="1474">
          <cell r="D1474" t="str">
            <v>CG001</v>
          </cell>
          <cell r="L1474">
            <v>25</v>
          </cell>
        </row>
        <row r="1475">
          <cell r="D1475" t="str">
            <v>CG001</v>
          </cell>
          <cell r="L1475">
            <v>30</v>
          </cell>
        </row>
        <row r="1476">
          <cell r="D1476" t="str">
            <v>CG001</v>
          </cell>
          <cell r="L1476">
            <v>50</v>
          </cell>
        </row>
        <row r="1477">
          <cell r="D1477" t="str">
            <v>CG001</v>
          </cell>
          <cell r="L1477">
            <v>25</v>
          </cell>
        </row>
        <row r="1478">
          <cell r="D1478" t="str">
            <v>CG001</v>
          </cell>
          <cell r="L1478">
            <v>70</v>
          </cell>
        </row>
        <row r="1479">
          <cell r="D1479" t="str">
            <v>CG001</v>
          </cell>
          <cell r="L1479">
            <v>20</v>
          </cell>
        </row>
        <row r="1480">
          <cell r="D1480" t="str">
            <v>CG001</v>
          </cell>
          <cell r="L1480">
            <v>15</v>
          </cell>
        </row>
        <row r="1481">
          <cell r="D1481" t="str">
            <v>CG001</v>
          </cell>
          <cell r="L1481">
            <v>40</v>
          </cell>
        </row>
        <row r="1482">
          <cell r="D1482" t="str">
            <v>CG001</v>
          </cell>
          <cell r="L1482">
            <v>20</v>
          </cell>
        </row>
        <row r="1483">
          <cell r="D1483" t="str">
            <v>CG001</v>
          </cell>
          <cell r="L1483">
            <v>20</v>
          </cell>
        </row>
        <row r="1484">
          <cell r="D1484" t="str">
            <v>CG001</v>
          </cell>
          <cell r="L1484">
            <v>20</v>
          </cell>
        </row>
        <row r="1485">
          <cell r="D1485" t="str">
            <v>CG001</v>
          </cell>
          <cell r="L1485">
            <v>25</v>
          </cell>
        </row>
        <row r="1486">
          <cell r="D1486" t="str">
            <v>CG001</v>
          </cell>
          <cell r="L1486">
            <v>1140</v>
          </cell>
        </row>
        <row r="1487">
          <cell r="D1487" t="str">
            <v>CG001</v>
          </cell>
          <cell r="L1487">
            <v>30</v>
          </cell>
        </row>
        <row r="1488">
          <cell r="D1488" t="str">
            <v>CG001</v>
          </cell>
          <cell r="L1488">
            <v>25</v>
          </cell>
        </row>
        <row r="1489">
          <cell r="D1489" t="str">
            <v>CG001</v>
          </cell>
          <cell r="L1489">
            <v>25</v>
          </cell>
        </row>
        <row r="1490">
          <cell r="D1490" t="str">
            <v>CG001</v>
          </cell>
          <cell r="L1490">
            <v>25</v>
          </cell>
        </row>
        <row r="1491">
          <cell r="D1491" t="str">
            <v>CG001</v>
          </cell>
          <cell r="L1491">
            <v>25</v>
          </cell>
        </row>
        <row r="1492">
          <cell r="D1492" t="str">
            <v>CG001</v>
          </cell>
          <cell r="L1492">
            <v>50</v>
          </cell>
        </row>
        <row r="1493">
          <cell r="D1493" t="str">
            <v>CG001</v>
          </cell>
          <cell r="L1493">
            <v>50</v>
          </cell>
        </row>
        <row r="1494">
          <cell r="D1494" t="str">
            <v>CG001</v>
          </cell>
          <cell r="L1494">
            <v>25</v>
          </cell>
        </row>
        <row r="1495">
          <cell r="D1495" t="str">
            <v>CG001</v>
          </cell>
          <cell r="L1495">
            <v>75</v>
          </cell>
        </row>
        <row r="1496">
          <cell r="D1496" t="str">
            <v>CG001</v>
          </cell>
          <cell r="L1496">
            <v>25</v>
          </cell>
        </row>
        <row r="1497">
          <cell r="D1497" t="str">
            <v>CG001</v>
          </cell>
          <cell r="L1497">
            <v>20</v>
          </cell>
        </row>
        <row r="1498">
          <cell r="D1498" t="str">
            <v>CG001</v>
          </cell>
          <cell r="L1498">
            <v>25</v>
          </cell>
        </row>
        <row r="1499">
          <cell r="D1499" t="str">
            <v>CG001</v>
          </cell>
          <cell r="L1499">
            <v>15</v>
          </cell>
        </row>
        <row r="1500">
          <cell r="D1500" t="str">
            <v>CG001</v>
          </cell>
          <cell r="L1500">
            <v>50</v>
          </cell>
        </row>
        <row r="1501">
          <cell r="D1501" t="str">
            <v>CG001</v>
          </cell>
          <cell r="L1501">
            <v>15</v>
          </cell>
        </row>
        <row r="1502">
          <cell r="D1502" t="str">
            <v>CG001</v>
          </cell>
          <cell r="L1502">
            <v>50</v>
          </cell>
        </row>
        <row r="1503">
          <cell r="D1503" t="str">
            <v>CG001</v>
          </cell>
          <cell r="L1503">
            <v>30</v>
          </cell>
        </row>
        <row r="1504">
          <cell r="D1504" t="str">
            <v>CG001</v>
          </cell>
          <cell r="L1504">
            <v>15</v>
          </cell>
        </row>
        <row r="1505">
          <cell r="D1505" t="str">
            <v>CG001</v>
          </cell>
          <cell r="L1505">
            <v>40</v>
          </cell>
        </row>
        <row r="1506">
          <cell r="D1506" t="str">
            <v>CG001</v>
          </cell>
          <cell r="L1506">
            <v>20</v>
          </cell>
        </row>
        <row r="1507">
          <cell r="D1507" t="str">
            <v>CG001</v>
          </cell>
          <cell r="L1507">
            <v>20</v>
          </cell>
        </row>
        <row r="1508">
          <cell r="D1508" t="str">
            <v>CG001</v>
          </cell>
          <cell r="L1508">
            <v>20</v>
          </cell>
        </row>
        <row r="1509">
          <cell r="D1509" t="str">
            <v>CG001</v>
          </cell>
          <cell r="L1509">
            <v>25</v>
          </cell>
        </row>
        <row r="1510">
          <cell r="D1510" t="str">
            <v>CG001</v>
          </cell>
          <cell r="L1510">
            <v>25</v>
          </cell>
        </row>
        <row r="1511">
          <cell r="D1511" t="str">
            <v>CG001</v>
          </cell>
          <cell r="L1511">
            <v>25</v>
          </cell>
        </row>
        <row r="1512">
          <cell r="D1512" t="str">
            <v>CG001</v>
          </cell>
          <cell r="L1512">
            <v>25</v>
          </cell>
        </row>
        <row r="1513">
          <cell r="D1513" t="str">
            <v>CG001</v>
          </cell>
          <cell r="L1513">
            <v>25</v>
          </cell>
        </row>
        <row r="1514">
          <cell r="D1514" t="str">
            <v>CG001</v>
          </cell>
          <cell r="L1514">
            <v>70</v>
          </cell>
        </row>
        <row r="1515">
          <cell r="D1515" t="str">
            <v>CG001</v>
          </cell>
          <cell r="L1515">
            <v>20</v>
          </cell>
        </row>
        <row r="1516">
          <cell r="D1516" t="str">
            <v>CG001</v>
          </cell>
          <cell r="L1516">
            <v>15</v>
          </cell>
        </row>
        <row r="1517">
          <cell r="D1517" t="str">
            <v>CG001</v>
          </cell>
          <cell r="L1517">
            <v>40</v>
          </cell>
        </row>
        <row r="1518">
          <cell r="D1518" t="str">
            <v>CG001</v>
          </cell>
          <cell r="L1518">
            <v>20</v>
          </cell>
        </row>
        <row r="1519">
          <cell r="D1519" t="str">
            <v>CG001</v>
          </cell>
          <cell r="L1519">
            <v>20</v>
          </cell>
        </row>
        <row r="1520">
          <cell r="D1520" t="str">
            <v>CG001</v>
          </cell>
          <cell r="L1520">
            <v>20</v>
          </cell>
        </row>
        <row r="1521">
          <cell r="D1521" t="str">
            <v>CG001</v>
          </cell>
          <cell r="L1521">
            <v>25</v>
          </cell>
        </row>
        <row r="1522">
          <cell r="D1522" t="str">
            <v>CG001</v>
          </cell>
          <cell r="L1522">
            <v>25</v>
          </cell>
        </row>
        <row r="1523">
          <cell r="D1523" t="str">
            <v>CG001</v>
          </cell>
          <cell r="L1523">
            <v>25</v>
          </cell>
        </row>
        <row r="1524">
          <cell r="D1524" t="str">
            <v>CG001</v>
          </cell>
          <cell r="L1524">
            <v>25</v>
          </cell>
        </row>
        <row r="1525">
          <cell r="D1525" t="str">
            <v>CG001</v>
          </cell>
          <cell r="L1525">
            <v>25</v>
          </cell>
        </row>
        <row r="1526">
          <cell r="D1526" t="str">
            <v>CG001</v>
          </cell>
          <cell r="L1526">
            <v>25</v>
          </cell>
        </row>
        <row r="1527">
          <cell r="D1527" t="str">
            <v>CG001</v>
          </cell>
          <cell r="L1527">
            <v>25</v>
          </cell>
        </row>
        <row r="1528">
          <cell r="D1528" t="str">
            <v>CG001</v>
          </cell>
          <cell r="L1528">
            <v>25</v>
          </cell>
        </row>
        <row r="1529">
          <cell r="D1529" t="str">
            <v>CG002</v>
          </cell>
          <cell r="L1529">
            <v>6</v>
          </cell>
        </row>
        <row r="1530">
          <cell r="D1530" t="str">
            <v>CG001</v>
          </cell>
          <cell r="L1530">
            <v>25</v>
          </cell>
        </row>
        <row r="1531">
          <cell r="D1531" t="str">
            <v>CG001</v>
          </cell>
          <cell r="L1531">
            <v>25</v>
          </cell>
        </row>
        <row r="1532">
          <cell r="D1532" t="str">
            <v>CG001</v>
          </cell>
          <cell r="L1532">
            <v>25</v>
          </cell>
        </row>
        <row r="1533">
          <cell r="D1533" t="str">
            <v>CG001</v>
          </cell>
          <cell r="L1533">
            <v>50</v>
          </cell>
        </row>
        <row r="1534">
          <cell r="D1534" t="str">
            <v>CG001</v>
          </cell>
          <cell r="L1534">
            <v>20</v>
          </cell>
        </row>
        <row r="1535">
          <cell r="D1535" t="str">
            <v>CG001</v>
          </cell>
          <cell r="L1535">
            <v>25</v>
          </cell>
        </row>
        <row r="1536">
          <cell r="D1536" t="str">
            <v>CG001</v>
          </cell>
          <cell r="L1536">
            <v>50</v>
          </cell>
        </row>
        <row r="1537">
          <cell r="D1537" t="str">
            <v>CG001</v>
          </cell>
          <cell r="L1537">
            <v>50</v>
          </cell>
        </row>
        <row r="1538">
          <cell r="D1538" t="str">
            <v>CG001</v>
          </cell>
          <cell r="L1538">
            <v>25</v>
          </cell>
        </row>
        <row r="1539">
          <cell r="D1539" t="str">
            <v>CG001</v>
          </cell>
          <cell r="L1539">
            <v>20</v>
          </cell>
        </row>
        <row r="1540">
          <cell r="D1540" t="str">
            <v>CG001</v>
          </cell>
          <cell r="L1540">
            <v>30</v>
          </cell>
        </row>
        <row r="1541">
          <cell r="D1541" t="str">
            <v>CG001</v>
          </cell>
          <cell r="L1541">
            <v>50</v>
          </cell>
        </row>
        <row r="1542">
          <cell r="D1542" t="str">
            <v>CG001</v>
          </cell>
          <cell r="L1542">
            <v>15</v>
          </cell>
        </row>
        <row r="1543">
          <cell r="D1543" t="str">
            <v>CG001</v>
          </cell>
          <cell r="L1543">
            <v>30</v>
          </cell>
        </row>
        <row r="1544">
          <cell r="D1544" t="str">
            <v>CG001</v>
          </cell>
          <cell r="L1544">
            <v>30</v>
          </cell>
        </row>
        <row r="1545">
          <cell r="D1545" t="str">
            <v>GR001</v>
          </cell>
          <cell r="L1545">
            <v>4</v>
          </cell>
        </row>
        <row r="1546">
          <cell r="D1546" t="str">
            <v>GR005</v>
          </cell>
          <cell r="L1546">
            <v>2</v>
          </cell>
        </row>
        <row r="1547">
          <cell r="D1547" t="str">
            <v>CG001</v>
          </cell>
          <cell r="L1547">
            <v>20</v>
          </cell>
        </row>
        <row r="1548">
          <cell r="D1548" t="str">
            <v>CG001</v>
          </cell>
          <cell r="L1548">
            <v>20</v>
          </cell>
        </row>
        <row r="1549">
          <cell r="D1549" t="str">
            <v>CG001</v>
          </cell>
          <cell r="L1549">
            <v>20</v>
          </cell>
        </row>
        <row r="1550">
          <cell r="D1550" t="str">
            <v>CG001</v>
          </cell>
          <cell r="L1550">
            <v>25</v>
          </cell>
        </row>
        <row r="1551">
          <cell r="D1551" t="str">
            <v>CG002</v>
          </cell>
          <cell r="L1551">
            <v>6</v>
          </cell>
        </row>
        <row r="1552">
          <cell r="D1552" t="str">
            <v>CG001</v>
          </cell>
          <cell r="L1552">
            <v>30</v>
          </cell>
        </row>
        <row r="1553">
          <cell r="D1553" t="str">
            <v>CG001</v>
          </cell>
          <cell r="L1553">
            <v>25</v>
          </cell>
        </row>
        <row r="1554">
          <cell r="D1554" t="str">
            <v>CG001</v>
          </cell>
          <cell r="L1554">
            <v>25</v>
          </cell>
        </row>
        <row r="1555">
          <cell r="D1555" t="str">
            <v>CG001</v>
          </cell>
          <cell r="L1555">
            <v>25</v>
          </cell>
        </row>
        <row r="1556">
          <cell r="D1556" t="str">
            <v>CG001</v>
          </cell>
          <cell r="L1556">
            <v>25</v>
          </cell>
        </row>
        <row r="1557">
          <cell r="D1557" t="str">
            <v>CG001</v>
          </cell>
          <cell r="L1557">
            <v>25</v>
          </cell>
        </row>
        <row r="1558">
          <cell r="D1558" t="str">
            <v>CG001</v>
          </cell>
          <cell r="L1558">
            <v>30</v>
          </cell>
        </row>
        <row r="1559">
          <cell r="D1559" t="str">
            <v>CG001</v>
          </cell>
          <cell r="L1559">
            <v>25</v>
          </cell>
        </row>
        <row r="1560">
          <cell r="D1560" t="str">
            <v>CG001</v>
          </cell>
          <cell r="L1560">
            <v>25</v>
          </cell>
        </row>
        <row r="1561">
          <cell r="D1561" t="str">
            <v>CG001</v>
          </cell>
          <cell r="L1561">
            <v>25</v>
          </cell>
        </row>
        <row r="1562">
          <cell r="D1562" t="str">
            <v>CG001</v>
          </cell>
          <cell r="L1562">
            <v>20</v>
          </cell>
        </row>
        <row r="1563">
          <cell r="D1563" t="str">
            <v>CG001</v>
          </cell>
          <cell r="L1563">
            <v>25</v>
          </cell>
        </row>
        <row r="1564">
          <cell r="D1564" t="str">
            <v>CG001</v>
          </cell>
          <cell r="L1564">
            <v>15</v>
          </cell>
        </row>
        <row r="1565">
          <cell r="D1565" t="str">
            <v>CG001</v>
          </cell>
          <cell r="L1565">
            <v>25</v>
          </cell>
        </row>
        <row r="1566">
          <cell r="D1566" t="str">
            <v>CG001</v>
          </cell>
          <cell r="L1566">
            <v>15</v>
          </cell>
        </row>
        <row r="1567">
          <cell r="D1567" t="str">
            <v>CG001</v>
          </cell>
          <cell r="L1567">
            <v>25</v>
          </cell>
        </row>
        <row r="1568">
          <cell r="D1568" t="str">
            <v>CG001</v>
          </cell>
          <cell r="L1568">
            <v>30</v>
          </cell>
        </row>
        <row r="1569">
          <cell r="D1569" t="str">
            <v>CG001</v>
          </cell>
          <cell r="L1569">
            <v>15</v>
          </cell>
        </row>
        <row r="1570">
          <cell r="D1570" t="str">
            <v>CG001</v>
          </cell>
          <cell r="L1570">
            <v>15</v>
          </cell>
        </row>
        <row r="1571">
          <cell r="D1571" t="str">
            <v>CG001</v>
          </cell>
          <cell r="L1571">
            <v>20</v>
          </cell>
        </row>
        <row r="1572">
          <cell r="D1572" t="str">
            <v>CG001</v>
          </cell>
          <cell r="L1572">
            <v>20</v>
          </cell>
        </row>
        <row r="1573">
          <cell r="D1573" t="str">
            <v>CG001</v>
          </cell>
          <cell r="L1573">
            <v>20</v>
          </cell>
        </row>
        <row r="1574">
          <cell r="D1574" t="str">
            <v>CG001</v>
          </cell>
          <cell r="L1574">
            <v>25</v>
          </cell>
        </row>
        <row r="1575">
          <cell r="D1575" t="str">
            <v>CG001</v>
          </cell>
          <cell r="L1575">
            <v>25</v>
          </cell>
        </row>
        <row r="1576">
          <cell r="D1576" t="str">
            <v>CG001</v>
          </cell>
          <cell r="L1576">
            <v>25</v>
          </cell>
        </row>
        <row r="1577">
          <cell r="D1577" t="str">
            <v>CG001</v>
          </cell>
          <cell r="L1577">
            <v>25</v>
          </cell>
        </row>
        <row r="1578">
          <cell r="D1578" t="str">
            <v>CG001</v>
          </cell>
          <cell r="L1578">
            <v>25</v>
          </cell>
        </row>
        <row r="1579">
          <cell r="D1579" t="str">
            <v>CG001</v>
          </cell>
          <cell r="L1579">
            <v>25</v>
          </cell>
        </row>
        <row r="1580">
          <cell r="D1580" t="str">
            <v>CG001</v>
          </cell>
          <cell r="L1580">
            <v>25</v>
          </cell>
        </row>
        <row r="1581">
          <cell r="D1581" t="str">
            <v>CG001</v>
          </cell>
          <cell r="L1581">
            <v>30</v>
          </cell>
        </row>
        <row r="1582">
          <cell r="D1582" t="str">
            <v>CG001</v>
          </cell>
          <cell r="L1582">
            <v>25</v>
          </cell>
        </row>
        <row r="1583">
          <cell r="D1583" t="str">
            <v>CG001</v>
          </cell>
          <cell r="L1583">
            <v>25</v>
          </cell>
        </row>
        <row r="1584">
          <cell r="D1584" t="str">
            <v>CG001</v>
          </cell>
          <cell r="L1584">
            <v>25</v>
          </cell>
        </row>
        <row r="1585">
          <cell r="D1585" t="str">
            <v>CG001</v>
          </cell>
          <cell r="L1585">
            <v>25</v>
          </cell>
        </row>
        <row r="1586">
          <cell r="D1586" t="str">
            <v>CG001</v>
          </cell>
          <cell r="L1586">
            <v>20</v>
          </cell>
        </row>
        <row r="1587">
          <cell r="D1587" t="str">
            <v>CG001</v>
          </cell>
          <cell r="L1587">
            <v>20</v>
          </cell>
        </row>
        <row r="1588">
          <cell r="D1588" t="str">
            <v>CG001</v>
          </cell>
          <cell r="L1588">
            <v>20</v>
          </cell>
        </row>
        <row r="1589">
          <cell r="D1589" t="str">
            <v>CG001</v>
          </cell>
          <cell r="L1589">
            <v>25</v>
          </cell>
        </row>
        <row r="1590">
          <cell r="D1590" t="str">
            <v>CG001</v>
          </cell>
          <cell r="L1590">
            <v>25</v>
          </cell>
        </row>
        <row r="1591">
          <cell r="D1591" t="str">
            <v>CG001</v>
          </cell>
          <cell r="L1591">
            <v>25</v>
          </cell>
        </row>
        <row r="1592">
          <cell r="D1592" t="str">
            <v>CG001</v>
          </cell>
          <cell r="L1592">
            <v>25</v>
          </cell>
        </row>
        <row r="1593">
          <cell r="D1593" t="str">
            <v>CG001</v>
          </cell>
          <cell r="L1593">
            <v>25</v>
          </cell>
        </row>
        <row r="1594">
          <cell r="D1594" t="str">
            <v>CG001</v>
          </cell>
          <cell r="L1594">
            <v>25</v>
          </cell>
        </row>
        <row r="1595">
          <cell r="D1595" t="str">
            <v>CG001</v>
          </cell>
          <cell r="L1595">
            <v>25</v>
          </cell>
        </row>
        <row r="1596">
          <cell r="D1596" t="str">
            <v>CG001</v>
          </cell>
          <cell r="L1596">
            <v>25</v>
          </cell>
        </row>
        <row r="1597">
          <cell r="D1597" t="str">
            <v>CG001</v>
          </cell>
          <cell r="L1597">
            <v>20</v>
          </cell>
        </row>
        <row r="1598">
          <cell r="D1598" t="str">
            <v>CG001</v>
          </cell>
          <cell r="L1598">
            <v>25</v>
          </cell>
        </row>
        <row r="1599">
          <cell r="D1599" t="str">
            <v>CG001</v>
          </cell>
          <cell r="L1599">
            <v>25</v>
          </cell>
        </row>
        <row r="1600">
          <cell r="D1600" t="str">
            <v>CG001</v>
          </cell>
          <cell r="L1600">
            <v>25</v>
          </cell>
        </row>
        <row r="1601">
          <cell r="D1601" t="str">
            <v>CG001</v>
          </cell>
          <cell r="L1601">
            <v>25</v>
          </cell>
        </row>
        <row r="1602">
          <cell r="D1602" t="str">
            <v>CG001</v>
          </cell>
          <cell r="L1602">
            <v>20</v>
          </cell>
        </row>
        <row r="1603">
          <cell r="D1603" t="str">
            <v>CG001</v>
          </cell>
          <cell r="L1603">
            <v>30</v>
          </cell>
        </row>
        <row r="1604">
          <cell r="D1604" t="str">
            <v>CG001</v>
          </cell>
          <cell r="L1604">
            <v>25</v>
          </cell>
        </row>
        <row r="1605">
          <cell r="D1605" t="str">
            <v>CG001</v>
          </cell>
          <cell r="L1605">
            <v>15</v>
          </cell>
        </row>
        <row r="1606">
          <cell r="D1606" t="str">
            <v>CG001</v>
          </cell>
          <cell r="L1606">
            <v>30</v>
          </cell>
        </row>
        <row r="1607">
          <cell r="D1607" t="str">
            <v>CG001</v>
          </cell>
          <cell r="L1607">
            <v>30</v>
          </cell>
        </row>
        <row r="1608">
          <cell r="D1608" t="str">
            <v>CG001</v>
          </cell>
          <cell r="L1608">
            <v>20</v>
          </cell>
        </row>
        <row r="1609">
          <cell r="D1609" t="str">
            <v>CG001</v>
          </cell>
          <cell r="L1609">
            <v>20</v>
          </cell>
        </row>
        <row r="1610">
          <cell r="D1610" t="str">
            <v>CG001</v>
          </cell>
          <cell r="L1610">
            <v>25</v>
          </cell>
        </row>
        <row r="1611">
          <cell r="D1611" t="str">
            <v>CG001</v>
          </cell>
          <cell r="L1611">
            <v>20</v>
          </cell>
        </row>
        <row r="1612">
          <cell r="D1612" t="str">
            <v>CG001</v>
          </cell>
          <cell r="L1612">
            <v>25</v>
          </cell>
        </row>
        <row r="1613">
          <cell r="D1613" t="str">
            <v>CG001</v>
          </cell>
          <cell r="L1613">
            <v>30</v>
          </cell>
        </row>
        <row r="1614">
          <cell r="D1614" t="str">
            <v>CG001</v>
          </cell>
          <cell r="L1614">
            <v>25</v>
          </cell>
        </row>
        <row r="1615">
          <cell r="D1615" t="str">
            <v>CG001</v>
          </cell>
          <cell r="L1615">
            <v>25</v>
          </cell>
        </row>
        <row r="1616">
          <cell r="D1616" t="str">
            <v>CG001</v>
          </cell>
          <cell r="L1616">
            <v>25</v>
          </cell>
        </row>
        <row r="1617">
          <cell r="D1617" t="str">
            <v>CG001</v>
          </cell>
          <cell r="L1617">
            <v>20</v>
          </cell>
        </row>
        <row r="1618">
          <cell r="D1618" t="str">
            <v>CG001</v>
          </cell>
          <cell r="L1618">
            <v>15</v>
          </cell>
        </row>
        <row r="1619">
          <cell r="D1619" t="str">
            <v>CG001</v>
          </cell>
          <cell r="L1619">
            <v>15</v>
          </cell>
        </row>
        <row r="1620">
          <cell r="D1620" t="str">
            <v>CG001</v>
          </cell>
          <cell r="L1620">
            <v>20</v>
          </cell>
        </row>
        <row r="1621">
          <cell r="D1621" t="str">
            <v>CG001</v>
          </cell>
          <cell r="L1621">
            <v>20</v>
          </cell>
        </row>
        <row r="1622">
          <cell r="D1622" t="str">
            <v>CG001</v>
          </cell>
          <cell r="L1622">
            <v>20</v>
          </cell>
        </row>
        <row r="1623">
          <cell r="D1623" t="str">
            <v>CG001</v>
          </cell>
          <cell r="L1623">
            <v>25</v>
          </cell>
        </row>
        <row r="1624">
          <cell r="D1624" t="str">
            <v>CG001</v>
          </cell>
          <cell r="L1624">
            <v>500</v>
          </cell>
        </row>
        <row r="1625">
          <cell r="D1625" t="str">
            <v>CG001</v>
          </cell>
          <cell r="L1625">
            <v>30</v>
          </cell>
        </row>
        <row r="1626">
          <cell r="D1626" t="str">
            <v>CG001</v>
          </cell>
          <cell r="L1626">
            <v>25</v>
          </cell>
        </row>
        <row r="1627">
          <cell r="D1627" t="str">
            <v>CG001</v>
          </cell>
          <cell r="L1627">
            <v>25</v>
          </cell>
        </row>
        <row r="1628">
          <cell r="D1628" t="str">
            <v>CG001</v>
          </cell>
          <cell r="L1628">
            <v>25</v>
          </cell>
        </row>
        <row r="1629">
          <cell r="D1629" t="str">
            <v>CG001</v>
          </cell>
          <cell r="L1629">
            <v>25</v>
          </cell>
        </row>
        <row r="1630">
          <cell r="D1630" t="str">
            <v>CG001</v>
          </cell>
          <cell r="L1630">
            <v>15</v>
          </cell>
        </row>
        <row r="1631">
          <cell r="D1631" t="str">
            <v>CG001</v>
          </cell>
          <cell r="L1631">
            <v>15</v>
          </cell>
        </row>
        <row r="1632">
          <cell r="D1632" t="str">
            <v>CG001</v>
          </cell>
          <cell r="L1632">
            <v>25</v>
          </cell>
        </row>
        <row r="1633">
          <cell r="D1633" t="str">
            <v>CG001</v>
          </cell>
          <cell r="L1633">
            <v>25</v>
          </cell>
        </row>
        <row r="1634">
          <cell r="D1634" t="str">
            <v>CG001</v>
          </cell>
          <cell r="L1634">
            <v>25</v>
          </cell>
        </row>
        <row r="1635">
          <cell r="D1635" t="str">
            <v>CG001</v>
          </cell>
          <cell r="L1635">
            <v>20</v>
          </cell>
        </row>
        <row r="1636">
          <cell r="D1636" t="str">
            <v>CG001</v>
          </cell>
          <cell r="L1636">
            <v>25</v>
          </cell>
        </row>
        <row r="1637">
          <cell r="D1637" t="str">
            <v>CG001</v>
          </cell>
          <cell r="L1637">
            <v>15</v>
          </cell>
        </row>
        <row r="1638">
          <cell r="D1638" t="str">
            <v>CG001</v>
          </cell>
          <cell r="L1638">
            <v>50</v>
          </cell>
        </row>
        <row r="1639">
          <cell r="D1639" t="str">
            <v>CG001</v>
          </cell>
          <cell r="L1639">
            <v>15</v>
          </cell>
        </row>
        <row r="1640">
          <cell r="D1640" t="str">
            <v>CG001</v>
          </cell>
          <cell r="L1640">
            <v>50</v>
          </cell>
        </row>
        <row r="1641">
          <cell r="D1641" t="str">
            <v>CG001</v>
          </cell>
          <cell r="L1641">
            <v>30</v>
          </cell>
        </row>
        <row r="1642">
          <cell r="D1642" t="str">
            <v>CG001</v>
          </cell>
          <cell r="L1642">
            <v>15</v>
          </cell>
        </row>
        <row r="1643">
          <cell r="D1643" t="str">
            <v>CG001</v>
          </cell>
          <cell r="L1643">
            <v>25</v>
          </cell>
        </row>
        <row r="1644">
          <cell r="D1644" t="str">
            <v>CG001</v>
          </cell>
          <cell r="L1644">
            <v>25</v>
          </cell>
        </row>
        <row r="1645">
          <cell r="D1645" t="str">
            <v>CG001</v>
          </cell>
          <cell r="L1645">
            <v>25</v>
          </cell>
        </row>
        <row r="1646">
          <cell r="D1646" t="str">
            <v>CG001</v>
          </cell>
          <cell r="L1646">
            <v>25</v>
          </cell>
        </row>
        <row r="1647">
          <cell r="D1647" t="str">
            <v>CG001</v>
          </cell>
          <cell r="L1647">
            <v>25</v>
          </cell>
        </row>
        <row r="1648">
          <cell r="D1648" t="str">
            <v>CG001</v>
          </cell>
          <cell r="L1648">
            <v>25</v>
          </cell>
        </row>
        <row r="1649">
          <cell r="D1649" t="str">
            <v>CG001</v>
          </cell>
          <cell r="L1649">
            <v>20</v>
          </cell>
        </row>
        <row r="1650">
          <cell r="D1650" t="str">
            <v>CG001</v>
          </cell>
          <cell r="L1650">
            <v>25</v>
          </cell>
        </row>
        <row r="1651">
          <cell r="D1651" t="str">
            <v>CG001</v>
          </cell>
          <cell r="L1651">
            <v>25</v>
          </cell>
        </row>
        <row r="1652">
          <cell r="D1652" t="str">
            <v>CG001</v>
          </cell>
          <cell r="L1652">
            <v>25</v>
          </cell>
        </row>
        <row r="1653">
          <cell r="D1653" t="str">
            <v>CG001</v>
          </cell>
          <cell r="L1653">
            <v>25</v>
          </cell>
        </row>
        <row r="1654">
          <cell r="D1654" t="str">
            <v>CG001</v>
          </cell>
          <cell r="L1654">
            <v>20</v>
          </cell>
        </row>
        <row r="1655">
          <cell r="D1655" t="str">
            <v>CG001</v>
          </cell>
          <cell r="L1655">
            <v>30</v>
          </cell>
        </row>
        <row r="1656">
          <cell r="D1656" t="str">
            <v>CG001</v>
          </cell>
          <cell r="L1656">
            <v>25</v>
          </cell>
        </row>
        <row r="1657">
          <cell r="D1657" t="str">
            <v>CG001</v>
          </cell>
          <cell r="L1657">
            <v>15</v>
          </cell>
        </row>
        <row r="1658">
          <cell r="D1658" t="str">
            <v>CG001</v>
          </cell>
          <cell r="L1658">
            <v>30</v>
          </cell>
        </row>
        <row r="1659">
          <cell r="D1659" t="str">
            <v>CG001</v>
          </cell>
          <cell r="L1659">
            <v>30</v>
          </cell>
        </row>
        <row r="1660">
          <cell r="D1660" t="str">
            <v>CG001</v>
          </cell>
          <cell r="L1660">
            <v>20</v>
          </cell>
        </row>
        <row r="1661">
          <cell r="D1661" t="str">
            <v>CG001</v>
          </cell>
          <cell r="L1661">
            <v>20</v>
          </cell>
        </row>
        <row r="1662">
          <cell r="D1662" t="str">
            <v>CG001</v>
          </cell>
          <cell r="L1662">
            <v>25</v>
          </cell>
        </row>
        <row r="1663">
          <cell r="D1663" t="str">
            <v>CG001</v>
          </cell>
          <cell r="L1663">
            <v>20</v>
          </cell>
        </row>
        <row r="1664">
          <cell r="D1664" t="str">
            <v>CG001</v>
          </cell>
          <cell r="L1664">
            <v>25</v>
          </cell>
        </row>
        <row r="1665">
          <cell r="D1665" t="str">
            <v>CG001</v>
          </cell>
          <cell r="L1665">
            <v>30</v>
          </cell>
        </row>
        <row r="1666">
          <cell r="D1666" t="str">
            <v>CG001</v>
          </cell>
          <cell r="L1666">
            <v>25</v>
          </cell>
        </row>
        <row r="1667">
          <cell r="D1667" t="str">
            <v>CG001</v>
          </cell>
          <cell r="L1667">
            <v>25</v>
          </cell>
        </row>
        <row r="1668">
          <cell r="D1668" t="str">
            <v>CG001</v>
          </cell>
          <cell r="L1668">
            <v>25</v>
          </cell>
        </row>
        <row r="1669">
          <cell r="D1669" t="str">
            <v>CG001</v>
          </cell>
          <cell r="L1669">
            <v>20</v>
          </cell>
        </row>
        <row r="1670">
          <cell r="D1670" t="str">
            <v>CG001</v>
          </cell>
          <cell r="L1670">
            <v>15</v>
          </cell>
        </row>
        <row r="1671">
          <cell r="D1671" t="str">
            <v>CG001</v>
          </cell>
          <cell r="L1671">
            <v>15</v>
          </cell>
        </row>
        <row r="1672">
          <cell r="D1672" t="str">
            <v>CG001</v>
          </cell>
          <cell r="L1672">
            <v>20</v>
          </cell>
        </row>
        <row r="1673">
          <cell r="D1673" t="str">
            <v>CG001</v>
          </cell>
          <cell r="L1673">
            <v>20</v>
          </cell>
        </row>
        <row r="1674">
          <cell r="D1674" t="str">
            <v>CG001</v>
          </cell>
          <cell r="L1674">
            <v>20</v>
          </cell>
        </row>
        <row r="1675">
          <cell r="D1675" t="str">
            <v>CG001</v>
          </cell>
          <cell r="L1675">
            <v>25</v>
          </cell>
        </row>
        <row r="1676">
          <cell r="D1676" t="str">
            <v>CG001</v>
          </cell>
          <cell r="L1676">
            <v>15</v>
          </cell>
        </row>
        <row r="1677">
          <cell r="D1677" t="str">
            <v>CG001</v>
          </cell>
          <cell r="L1677">
            <v>30</v>
          </cell>
        </row>
        <row r="1678">
          <cell r="D1678" t="str">
            <v>CG001</v>
          </cell>
          <cell r="L1678">
            <v>25</v>
          </cell>
        </row>
        <row r="1679">
          <cell r="D1679" t="str">
            <v>CG001</v>
          </cell>
          <cell r="L1679">
            <v>25</v>
          </cell>
        </row>
        <row r="1680">
          <cell r="D1680" t="str">
            <v>CG001</v>
          </cell>
          <cell r="L1680">
            <v>25</v>
          </cell>
        </row>
        <row r="1681">
          <cell r="D1681" t="str">
            <v>CG001</v>
          </cell>
          <cell r="L1681">
            <v>25</v>
          </cell>
        </row>
        <row r="1682">
          <cell r="D1682" t="str">
            <v>CG001</v>
          </cell>
          <cell r="L1682">
            <v>25</v>
          </cell>
        </row>
        <row r="1683">
          <cell r="D1683" t="str">
            <v>CG001</v>
          </cell>
          <cell r="L1683">
            <v>50</v>
          </cell>
        </row>
        <row r="1684">
          <cell r="D1684" t="str">
            <v>CG001</v>
          </cell>
          <cell r="L1684">
            <v>15</v>
          </cell>
        </row>
        <row r="1685">
          <cell r="D1685" t="str">
            <v>CG001</v>
          </cell>
          <cell r="L1685">
            <v>25</v>
          </cell>
        </row>
        <row r="1686">
          <cell r="D1686" t="str">
            <v>CG001</v>
          </cell>
          <cell r="L1686">
            <v>15</v>
          </cell>
        </row>
        <row r="1687">
          <cell r="D1687" t="str">
            <v>CG001</v>
          </cell>
          <cell r="L1687">
            <v>25</v>
          </cell>
        </row>
        <row r="1688">
          <cell r="D1688" t="str">
            <v>CG001</v>
          </cell>
          <cell r="L1688">
            <v>20</v>
          </cell>
        </row>
        <row r="1689">
          <cell r="D1689" t="str">
            <v>CG001</v>
          </cell>
          <cell r="L1689">
            <v>25</v>
          </cell>
        </row>
        <row r="1690">
          <cell r="D1690" t="str">
            <v>CG001</v>
          </cell>
          <cell r="L1690">
            <v>15</v>
          </cell>
        </row>
        <row r="1691">
          <cell r="D1691" t="str">
            <v>CG001</v>
          </cell>
          <cell r="L1691">
            <v>15</v>
          </cell>
        </row>
        <row r="1692">
          <cell r="D1692" t="str">
            <v>CG001</v>
          </cell>
          <cell r="L1692">
            <v>15</v>
          </cell>
        </row>
        <row r="1693">
          <cell r="D1693" t="str">
            <v>CG001</v>
          </cell>
          <cell r="L1693">
            <v>15</v>
          </cell>
        </row>
        <row r="1694">
          <cell r="D1694" t="str">
            <v>CG001</v>
          </cell>
          <cell r="L1694">
            <v>30</v>
          </cell>
        </row>
        <row r="1695">
          <cell r="D1695" t="str">
            <v>CG001</v>
          </cell>
          <cell r="L1695">
            <v>15</v>
          </cell>
        </row>
        <row r="1696">
          <cell r="D1696" t="str">
            <v>CG001</v>
          </cell>
          <cell r="L1696">
            <v>15</v>
          </cell>
        </row>
        <row r="1697">
          <cell r="D1697" t="str">
            <v>CG001</v>
          </cell>
          <cell r="L1697">
            <v>20</v>
          </cell>
        </row>
        <row r="1698">
          <cell r="D1698" t="str">
            <v>CG001</v>
          </cell>
          <cell r="L1698">
            <v>20</v>
          </cell>
        </row>
        <row r="1699">
          <cell r="D1699" t="str">
            <v>CG001</v>
          </cell>
          <cell r="L1699">
            <v>20</v>
          </cell>
        </row>
        <row r="1700">
          <cell r="D1700" t="str">
            <v>CG001</v>
          </cell>
          <cell r="L1700">
            <v>25</v>
          </cell>
        </row>
        <row r="1701">
          <cell r="D1701" t="str">
            <v>CG001</v>
          </cell>
          <cell r="L1701">
            <v>25</v>
          </cell>
        </row>
        <row r="1702">
          <cell r="D1702" t="str">
            <v>CG001</v>
          </cell>
          <cell r="L1702">
            <v>25</v>
          </cell>
        </row>
        <row r="1703">
          <cell r="D1703" t="str">
            <v>CG001</v>
          </cell>
          <cell r="L1703">
            <v>25</v>
          </cell>
        </row>
        <row r="1704">
          <cell r="D1704" t="str">
            <v>CG001</v>
          </cell>
          <cell r="L1704">
            <v>15</v>
          </cell>
        </row>
        <row r="1705">
          <cell r="D1705" t="str">
            <v>CG001</v>
          </cell>
          <cell r="L1705">
            <v>15</v>
          </cell>
        </row>
        <row r="1706">
          <cell r="D1706" t="str">
            <v>CG001</v>
          </cell>
          <cell r="L1706">
            <v>25</v>
          </cell>
        </row>
        <row r="1707">
          <cell r="D1707" t="str">
            <v>CG001</v>
          </cell>
          <cell r="L1707">
            <v>15</v>
          </cell>
        </row>
        <row r="1708">
          <cell r="D1708" t="str">
            <v>CG001</v>
          </cell>
          <cell r="L1708">
            <v>15</v>
          </cell>
        </row>
        <row r="1709">
          <cell r="D1709" t="str">
            <v>CG001</v>
          </cell>
          <cell r="L1709">
            <v>25</v>
          </cell>
        </row>
        <row r="1710">
          <cell r="D1710" t="str">
            <v>CG001</v>
          </cell>
          <cell r="L1710">
            <v>15</v>
          </cell>
        </row>
        <row r="1711">
          <cell r="D1711" t="str">
            <v>CG003</v>
          </cell>
          <cell r="L1711">
            <v>0.8</v>
          </cell>
        </row>
        <row r="1712">
          <cell r="D1712" t="str">
            <v>CG001</v>
          </cell>
          <cell r="L1712">
            <v>50</v>
          </cell>
        </row>
        <row r="1713">
          <cell r="D1713" t="str">
            <v>CG001</v>
          </cell>
          <cell r="L1713">
            <v>25</v>
          </cell>
        </row>
        <row r="1714">
          <cell r="D1714" t="str">
            <v>CG001</v>
          </cell>
          <cell r="L1714">
            <v>75</v>
          </cell>
        </row>
        <row r="1715">
          <cell r="D1715" t="str">
            <v>CG001</v>
          </cell>
          <cell r="L1715">
            <v>25</v>
          </cell>
        </row>
        <row r="1716">
          <cell r="D1716" t="str">
            <v>CG001</v>
          </cell>
          <cell r="L1716">
            <v>20</v>
          </cell>
        </row>
        <row r="1717">
          <cell r="D1717" t="str">
            <v>CG001</v>
          </cell>
          <cell r="L1717">
            <v>25</v>
          </cell>
        </row>
        <row r="1718">
          <cell r="D1718" t="str">
            <v>CG001</v>
          </cell>
          <cell r="L1718">
            <v>15</v>
          </cell>
        </row>
        <row r="1719">
          <cell r="D1719" t="str">
            <v>CG001</v>
          </cell>
          <cell r="L1719">
            <v>50</v>
          </cell>
        </row>
        <row r="1720">
          <cell r="D1720" t="str">
            <v>CG001</v>
          </cell>
          <cell r="L1720">
            <v>15</v>
          </cell>
        </row>
        <row r="1721">
          <cell r="D1721" t="str">
            <v>CG001</v>
          </cell>
          <cell r="L1721">
            <v>50</v>
          </cell>
        </row>
        <row r="1722">
          <cell r="D1722" t="str">
            <v>CG001</v>
          </cell>
          <cell r="L1722">
            <v>30</v>
          </cell>
        </row>
        <row r="1723">
          <cell r="D1723" t="str">
            <v>CG001</v>
          </cell>
          <cell r="L1723">
            <v>15</v>
          </cell>
        </row>
        <row r="1724">
          <cell r="D1724" t="str">
            <v>CG001</v>
          </cell>
          <cell r="L1724">
            <v>40</v>
          </cell>
        </row>
        <row r="1725">
          <cell r="D1725" t="str">
            <v>CG001</v>
          </cell>
          <cell r="L1725">
            <v>20</v>
          </cell>
        </row>
        <row r="1726">
          <cell r="D1726" t="str">
            <v>CG001</v>
          </cell>
          <cell r="L1726">
            <v>20</v>
          </cell>
        </row>
        <row r="1727">
          <cell r="D1727" t="str">
            <v>CG001</v>
          </cell>
          <cell r="L1727">
            <v>20</v>
          </cell>
        </row>
        <row r="1728">
          <cell r="D1728" t="str">
            <v>CG001</v>
          </cell>
          <cell r="L1728">
            <v>25</v>
          </cell>
        </row>
        <row r="1729">
          <cell r="D1729" t="str">
            <v>CG001</v>
          </cell>
          <cell r="L1729">
            <v>25</v>
          </cell>
        </row>
        <row r="1730">
          <cell r="D1730" t="str">
            <v>CG001</v>
          </cell>
          <cell r="L1730">
            <v>25</v>
          </cell>
        </row>
        <row r="1731">
          <cell r="D1731" t="str">
            <v>CG001</v>
          </cell>
          <cell r="L1731">
            <v>25</v>
          </cell>
        </row>
        <row r="1732">
          <cell r="D1732" t="str">
            <v>CG001</v>
          </cell>
          <cell r="L1732">
            <v>25</v>
          </cell>
        </row>
        <row r="1733">
          <cell r="D1733" t="str">
            <v>CG001</v>
          </cell>
          <cell r="L1733">
            <v>25</v>
          </cell>
        </row>
        <row r="1734">
          <cell r="D1734" t="str">
            <v>CG001</v>
          </cell>
          <cell r="L1734">
            <v>25</v>
          </cell>
        </row>
        <row r="1735">
          <cell r="D1735" t="str">
            <v>CG001</v>
          </cell>
          <cell r="L1735">
            <v>25</v>
          </cell>
        </row>
        <row r="1736">
          <cell r="D1736" t="str">
            <v>CG001</v>
          </cell>
          <cell r="L1736">
            <v>25</v>
          </cell>
        </row>
        <row r="1737">
          <cell r="D1737" t="str">
            <v>CG001</v>
          </cell>
          <cell r="L1737">
            <v>20</v>
          </cell>
        </row>
        <row r="1738">
          <cell r="D1738" t="str">
            <v>CG001</v>
          </cell>
          <cell r="L1738">
            <v>15</v>
          </cell>
        </row>
        <row r="1739">
          <cell r="D1739" t="str">
            <v>CG001</v>
          </cell>
          <cell r="L1739">
            <v>15</v>
          </cell>
        </row>
        <row r="1740">
          <cell r="D1740" t="str">
            <v>CG001</v>
          </cell>
          <cell r="L1740">
            <v>20</v>
          </cell>
        </row>
        <row r="1741">
          <cell r="D1741" t="str">
            <v>CG001</v>
          </cell>
          <cell r="L1741">
            <v>20</v>
          </cell>
        </row>
        <row r="1742">
          <cell r="D1742" t="str">
            <v>CG001</v>
          </cell>
          <cell r="L1742">
            <v>25</v>
          </cell>
        </row>
        <row r="1743">
          <cell r="D1743" t="str">
            <v>CG001</v>
          </cell>
          <cell r="L1743">
            <v>25</v>
          </cell>
        </row>
        <row r="1744">
          <cell r="D1744" t="str">
            <v>CG001</v>
          </cell>
          <cell r="L1744">
            <v>25</v>
          </cell>
        </row>
        <row r="1745">
          <cell r="D1745" t="str">
            <v>CG001</v>
          </cell>
          <cell r="L1745">
            <v>25</v>
          </cell>
        </row>
        <row r="1746">
          <cell r="D1746" t="str">
            <v>CG001</v>
          </cell>
          <cell r="L1746">
            <v>25</v>
          </cell>
        </row>
        <row r="1747">
          <cell r="D1747" t="str">
            <v>CG001</v>
          </cell>
          <cell r="L1747">
            <v>25</v>
          </cell>
        </row>
        <row r="1748">
          <cell r="D1748" t="str">
            <v>CG001</v>
          </cell>
          <cell r="L1748">
            <v>20</v>
          </cell>
        </row>
        <row r="1749">
          <cell r="D1749" t="str">
            <v>GR001</v>
          </cell>
          <cell r="L1749">
            <v>20</v>
          </cell>
        </row>
        <row r="1750">
          <cell r="D1750" t="str">
            <v>GR005</v>
          </cell>
          <cell r="L1750">
            <v>4</v>
          </cell>
        </row>
        <row r="1751">
          <cell r="D1751" t="str">
            <v>CO001</v>
          </cell>
          <cell r="L1751">
            <v>504</v>
          </cell>
        </row>
        <row r="1752">
          <cell r="D1752" t="str">
            <v>CG001</v>
          </cell>
          <cell r="L1752">
            <v>50</v>
          </cell>
        </row>
        <row r="1753">
          <cell r="D1753" t="str">
            <v>CG001</v>
          </cell>
          <cell r="L1753">
            <v>25</v>
          </cell>
        </row>
        <row r="1754">
          <cell r="D1754" t="str">
            <v>CG001</v>
          </cell>
          <cell r="L1754">
            <v>75</v>
          </cell>
        </row>
        <row r="1755">
          <cell r="D1755" t="str">
            <v>CG001</v>
          </cell>
          <cell r="L1755">
            <v>25</v>
          </cell>
        </row>
        <row r="1756">
          <cell r="D1756" t="str">
            <v>CG001</v>
          </cell>
          <cell r="L1756">
            <v>20</v>
          </cell>
        </row>
        <row r="1757">
          <cell r="D1757" t="str">
            <v>CG001</v>
          </cell>
          <cell r="L1757">
            <v>25</v>
          </cell>
        </row>
        <row r="1758">
          <cell r="D1758" t="str">
            <v>CG001</v>
          </cell>
          <cell r="L1758">
            <v>15</v>
          </cell>
        </row>
        <row r="1759">
          <cell r="D1759" t="str">
            <v>CG001</v>
          </cell>
          <cell r="L1759">
            <v>50</v>
          </cell>
        </row>
        <row r="1760">
          <cell r="D1760" t="str">
            <v>CG001</v>
          </cell>
          <cell r="L1760">
            <v>15</v>
          </cell>
        </row>
        <row r="1761">
          <cell r="D1761" t="str">
            <v>CG001</v>
          </cell>
          <cell r="L1761">
            <v>50</v>
          </cell>
        </row>
        <row r="1762">
          <cell r="D1762" t="str">
            <v>CG001</v>
          </cell>
          <cell r="L1762">
            <v>30</v>
          </cell>
        </row>
        <row r="1763">
          <cell r="D1763" t="str">
            <v>CG001</v>
          </cell>
          <cell r="L1763">
            <v>15</v>
          </cell>
        </row>
        <row r="1764">
          <cell r="D1764" t="str">
            <v>CG001</v>
          </cell>
          <cell r="L1764">
            <v>40</v>
          </cell>
        </row>
        <row r="1765">
          <cell r="D1765" t="str">
            <v>CG001</v>
          </cell>
          <cell r="L1765">
            <v>20</v>
          </cell>
        </row>
        <row r="1766">
          <cell r="D1766" t="str">
            <v>CG001</v>
          </cell>
          <cell r="L1766">
            <v>20</v>
          </cell>
        </row>
        <row r="1767">
          <cell r="D1767" t="str">
            <v>CG001</v>
          </cell>
          <cell r="L1767">
            <v>20</v>
          </cell>
        </row>
        <row r="1768">
          <cell r="D1768" t="str">
            <v>CG001</v>
          </cell>
          <cell r="L1768">
            <v>25</v>
          </cell>
        </row>
        <row r="1769">
          <cell r="D1769" t="str">
            <v>CG001</v>
          </cell>
          <cell r="L1769">
            <v>25</v>
          </cell>
        </row>
        <row r="1770">
          <cell r="D1770" t="str">
            <v>CG001</v>
          </cell>
          <cell r="L1770">
            <v>25</v>
          </cell>
        </row>
        <row r="1771">
          <cell r="D1771" t="str">
            <v>CG001</v>
          </cell>
          <cell r="L1771">
            <v>25</v>
          </cell>
        </row>
        <row r="1772">
          <cell r="D1772" t="str">
            <v>CG001</v>
          </cell>
          <cell r="L1772">
            <v>25</v>
          </cell>
        </row>
        <row r="1773">
          <cell r="D1773" t="str">
            <v>CG001</v>
          </cell>
          <cell r="L1773">
            <v>25</v>
          </cell>
        </row>
        <row r="1774">
          <cell r="D1774" t="str">
            <v>CG001</v>
          </cell>
          <cell r="L1774">
            <v>25</v>
          </cell>
        </row>
        <row r="1775">
          <cell r="D1775" t="str">
            <v>CG001</v>
          </cell>
          <cell r="L1775">
            <v>25</v>
          </cell>
        </row>
        <row r="1776">
          <cell r="D1776" t="str">
            <v>CG001</v>
          </cell>
          <cell r="L1776">
            <v>25</v>
          </cell>
        </row>
        <row r="1777">
          <cell r="D1777" t="str">
            <v>CG001</v>
          </cell>
          <cell r="L1777">
            <v>20</v>
          </cell>
        </row>
        <row r="1778">
          <cell r="D1778" t="str">
            <v>CG001</v>
          </cell>
          <cell r="L1778">
            <v>15</v>
          </cell>
        </row>
        <row r="1779">
          <cell r="D1779" t="str">
            <v>CG001</v>
          </cell>
          <cell r="L1779">
            <v>15</v>
          </cell>
        </row>
        <row r="1780">
          <cell r="D1780" t="str">
            <v>CG001</v>
          </cell>
          <cell r="L1780">
            <v>20</v>
          </cell>
        </row>
        <row r="1781">
          <cell r="D1781" t="str">
            <v>CG001</v>
          </cell>
          <cell r="L1781">
            <v>20</v>
          </cell>
        </row>
        <row r="1782">
          <cell r="D1782" t="str">
            <v>CG001</v>
          </cell>
          <cell r="L1782">
            <v>25</v>
          </cell>
        </row>
        <row r="1783">
          <cell r="D1783" t="str">
            <v>CG001</v>
          </cell>
          <cell r="L1783">
            <v>25</v>
          </cell>
        </row>
        <row r="1784">
          <cell r="D1784" t="str">
            <v>CG001</v>
          </cell>
          <cell r="L1784">
            <v>25</v>
          </cell>
        </row>
        <row r="1785">
          <cell r="D1785" t="str">
            <v>CG001</v>
          </cell>
          <cell r="L1785">
            <v>25</v>
          </cell>
        </row>
        <row r="1786">
          <cell r="D1786" t="str">
            <v>CG001</v>
          </cell>
          <cell r="L1786">
            <v>25</v>
          </cell>
        </row>
        <row r="1787">
          <cell r="D1787" t="str">
            <v>CG001</v>
          </cell>
          <cell r="L1787">
            <v>25</v>
          </cell>
        </row>
        <row r="1788">
          <cell r="D1788" t="str">
            <v>CG001</v>
          </cell>
          <cell r="L1788">
            <v>20</v>
          </cell>
        </row>
        <row r="1789">
          <cell r="D1789" t="str">
            <v>GR001</v>
          </cell>
          <cell r="L1789">
            <v>10</v>
          </cell>
        </row>
        <row r="1790">
          <cell r="D1790" t="str">
            <v>GR005</v>
          </cell>
          <cell r="L1790">
            <v>2</v>
          </cell>
        </row>
        <row r="1791">
          <cell r="D1791" t="str">
            <v>GR009</v>
          </cell>
          <cell r="L1791">
            <v>1</v>
          </cell>
        </row>
        <row r="1792">
          <cell r="D1792" t="str">
            <v>CG001</v>
          </cell>
          <cell r="L1792">
            <v>50</v>
          </cell>
        </row>
        <row r="1793">
          <cell r="D1793" t="str">
            <v>CG001</v>
          </cell>
          <cell r="L1793">
            <v>25</v>
          </cell>
        </row>
        <row r="1794">
          <cell r="D1794" t="str">
            <v>CG001</v>
          </cell>
          <cell r="L1794">
            <v>75</v>
          </cell>
        </row>
        <row r="1795">
          <cell r="D1795" t="str">
            <v>CG001</v>
          </cell>
          <cell r="L1795">
            <v>25</v>
          </cell>
        </row>
        <row r="1796">
          <cell r="D1796" t="str">
            <v>CG001</v>
          </cell>
          <cell r="L1796">
            <v>20</v>
          </cell>
        </row>
        <row r="1797">
          <cell r="D1797" t="str">
            <v>CG001</v>
          </cell>
          <cell r="L1797">
            <v>25</v>
          </cell>
        </row>
        <row r="1798">
          <cell r="D1798" t="str">
            <v>CG001</v>
          </cell>
          <cell r="L1798">
            <v>15</v>
          </cell>
        </row>
        <row r="1799">
          <cell r="D1799" t="str">
            <v>CG001</v>
          </cell>
          <cell r="L1799">
            <v>50</v>
          </cell>
        </row>
        <row r="1800">
          <cell r="D1800" t="str">
            <v>CG001</v>
          </cell>
          <cell r="L1800">
            <v>15</v>
          </cell>
        </row>
        <row r="1801">
          <cell r="D1801" t="str">
            <v>CG001</v>
          </cell>
          <cell r="L1801">
            <v>50</v>
          </cell>
        </row>
        <row r="1802">
          <cell r="D1802" t="str">
            <v>CG001</v>
          </cell>
          <cell r="L1802">
            <v>30</v>
          </cell>
        </row>
        <row r="1803">
          <cell r="D1803" t="str">
            <v>CG001</v>
          </cell>
          <cell r="L1803">
            <v>15</v>
          </cell>
        </row>
        <row r="1804">
          <cell r="D1804" t="str">
            <v>CG001</v>
          </cell>
          <cell r="L1804">
            <v>40</v>
          </cell>
        </row>
        <row r="1805">
          <cell r="D1805" t="str">
            <v>CG001</v>
          </cell>
          <cell r="L1805">
            <v>20</v>
          </cell>
        </row>
        <row r="1806">
          <cell r="D1806" t="str">
            <v>CG001</v>
          </cell>
          <cell r="L1806">
            <v>20</v>
          </cell>
        </row>
        <row r="1807">
          <cell r="D1807" t="str">
            <v>CG001</v>
          </cell>
          <cell r="L1807">
            <v>20</v>
          </cell>
        </row>
        <row r="1808">
          <cell r="D1808" t="str">
            <v>CG001</v>
          </cell>
          <cell r="L1808">
            <v>25</v>
          </cell>
        </row>
        <row r="1809">
          <cell r="D1809" t="str">
            <v>CG001</v>
          </cell>
          <cell r="L1809">
            <v>25</v>
          </cell>
        </row>
        <row r="1810">
          <cell r="D1810" t="str">
            <v>CG001</v>
          </cell>
          <cell r="L1810">
            <v>25</v>
          </cell>
        </row>
        <row r="1811">
          <cell r="D1811" t="str">
            <v>CG001</v>
          </cell>
          <cell r="L1811">
            <v>25</v>
          </cell>
        </row>
        <row r="1812">
          <cell r="D1812" t="str">
            <v>CG001</v>
          </cell>
          <cell r="L1812">
            <v>25</v>
          </cell>
        </row>
        <row r="1813">
          <cell r="D1813" t="str">
            <v>CG001</v>
          </cell>
          <cell r="L1813">
            <v>25</v>
          </cell>
        </row>
        <row r="1814">
          <cell r="D1814" t="str">
            <v>CG001</v>
          </cell>
          <cell r="L1814">
            <v>25</v>
          </cell>
        </row>
        <row r="1815">
          <cell r="D1815" t="str">
            <v>CG001</v>
          </cell>
          <cell r="L1815">
            <v>25</v>
          </cell>
        </row>
        <row r="1816">
          <cell r="D1816" t="str">
            <v>CG001</v>
          </cell>
          <cell r="L1816">
            <v>25</v>
          </cell>
        </row>
        <row r="1817">
          <cell r="D1817" t="str">
            <v>CG001</v>
          </cell>
          <cell r="L1817">
            <v>20</v>
          </cell>
        </row>
        <row r="1818">
          <cell r="D1818" t="str">
            <v>CG001</v>
          </cell>
          <cell r="L1818">
            <v>15</v>
          </cell>
        </row>
        <row r="1819">
          <cell r="D1819" t="str">
            <v>CG001</v>
          </cell>
          <cell r="L1819">
            <v>15</v>
          </cell>
        </row>
        <row r="1820">
          <cell r="D1820" t="str">
            <v>CG001</v>
          </cell>
          <cell r="L1820">
            <v>20</v>
          </cell>
        </row>
        <row r="1821">
          <cell r="D1821" t="str">
            <v>CG001</v>
          </cell>
          <cell r="L1821">
            <v>20</v>
          </cell>
        </row>
        <row r="1822">
          <cell r="D1822" t="str">
            <v>CG001</v>
          </cell>
          <cell r="L1822">
            <v>25</v>
          </cell>
        </row>
        <row r="1823">
          <cell r="D1823" t="str">
            <v>CG001</v>
          </cell>
          <cell r="L1823">
            <v>25</v>
          </cell>
        </row>
        <row r="1824">
          <cell r="D1824" t="str">
            <v>CG001</v>
          </cell>
          <cell r="L1824">
            <v>25</v>
          </cell>
        </row>
        <row r="1825">
          <cell r="D1825" t="str">
            <v>CG001</v>
          </cell>
          <cell r="L1825">
            <v>25</v>
          </cell>
        </row>
        <row r="1826">
          <cell r="D1826" t="str">
            <v>CG001</v>
          </cell>
          <cell r="L1826">
            <v>25</v>
          </cell>
        </row>
        <row r="1827">
          <cell r="D1827" t="str">
            <v>CG001</v>
          </cell>
          <cell r="L1827">
            <v>25</v>
          </cell>
        </row>
        <row r="1828">
          <cell r="D1828" t="str">
            <v>CG001</v>
          </cell>
          <cell r="L1828">
            <v>20</v>
          </cell>
        </row>
        <row r="1829">
          <cell r="D1829" t="str">
            <v>CG001</v>
          </cell>
          <cell r="L1829">
            <v>50</v>
          </cell>
        </row>
        <row r="1830">
          <cell r="D1830" t="str">
            <v>CG001</v>
          </cell>
          <cell r="L1830">
            <v>25</v>
          </cell>
        </row>
        <row r="1831">
          <cell r="D1831" t="str">
            <v>CG001</v>
          </cell>
          <cell r="L1831">
            <v>75</v>
          </cell>
        </row>
        <row r="1832">
          <cell r="D1832" t="str">
            <v>CG001</v>
          </cell>
          <cell r="L1832">
            <v>25</v>
          </cell>
        </row>
        <row r="1833">
          <cell r="D1833" t="str">
            <v>CG001</v>
          </cell>
          <cell r="L1833">
            <v>20</v>
          </cell>
        </row>
        <row r="1834">
          <cell r="D1834" t="str">
            <v>CG001</v>
          </cell>
          <cell r="L1834">
            <v>25</v>
          </cell>
        </row>
        <row r="1835">
          <cell r="D1835" t="str">
            <v>CG001</v>
          </cell>
          <cell r="L1835">
            <v>15</v>
          </cell>
        </row>
        <row r="1836">
          <cell r="D1836" t="str">
            <v>CG001</v>
          </cell>
          <cell r="L1836">
            <v>50</v>
          </cell>
        </row>
        <row r="1837">
          <cell r="D1837" t="str">
            <v>CG001</v>
          </cell>
          <cell r="L1837">
            <v>15</v>
          </cell>
        </row>
        <row r="1838">
          <cell r="D1838" t="str">
            <v>CG001</v>
          </cell>
          <cell r="L1838">
            <v>50</v>
          </cell>
        </row>
        <row r="1839">
          <cell r="D1839" t="str">
            <v>CG001</v>
          </cell>
          <cell r="L1839">
            <v>30</v>
          </cell>
        </row>
        <row r="1840">
          <cell r="D1840" t="str">
            <v>CG001</v>
          </cell>
          <cell r="L1840">
            <v>15</v>
          </cell>
        </row>
        <row r="1841">
          <cell r="D1841" t="str">
            <v>CG001</v>
          </cell>
          <cell r="L1841">
            <v>40</v>
          </cell>
        </row>
        <row r="1842">
          <cell r="D1842" t="str">
            <v>CG001</v>
          </cell>
          <cell r="L1842">
            <v>20</v>
          </cell>
        </row>
        <row r="1843">
          <cell r="D1843" t="str">
            <v>CG001</v>
          </cell>
          <cell r="L1843">
            <v>20</v>
          </cell>
        </row>
        <row r="1844">
          <cell r="D1844" t="str">
            <v>CG001</v>
          </cell>
          <cell r="L1844">
            <v>20</v>
          </cell>
        </row>
        <row r="1845">
          <cell r="D1845" t="str">
            <v>CG001</v>
          </cell>
          <cell r="L1845">
            <v>25</v>
          </cell>
        </row>
        <row r="1846">
          <cell r="D1846" t="str">
            <v>CG001</v>
          </cell>
          <cell r="L1846">
            <v>25</v>
          </cell>
        </row>
        <row r="1847">
          <cell r="D1847" t="str">
            <v>CG001</v>
          </cell>
          <cell r="L1847">
            <v>25</v>
          </cell>
        </row>
        <row r="1848">
          <cell r="D1848" t="str">
            <v>CG001</v>
          </cell>
          <cell r="L1848">
            <v>25</v>
          </cell>
        </row>
        <row r="1849">
          <cell r="D1849" t="str">
            <v>CG001</v>
          </cell>
          <cell r="L1849">
            <v>25</v>
          </cell>
        </row>
        <row r="1850">
          <cell r="D1850" t="str">
            <v>CG001</v>
          </cell>
          <cell r="L1850">
            <v>25</v>
          </cell>
        </row>
        <row r="1851">
          <cell r="D1851" t="str">
            <v>CG001</v>
          </cell>
          <cell r="L1851">
            <v>25</v>
          </cell>
        </row>
        <row r="1852">
          <cell r="D1852" t="str">
            <v>CG001</v>
          </cell>
          <cell r="L1852">
            <v>25</v>
          </cell>
        </row>
        <row r="1853">
          <cell r="D1853" t="str">
            <v>CG001</v>
          </cell>
          <cell r="L1853">
            <v>25</v>
          </cell>
        </row>
        <row r="1854">
          <cell r="D1854" t="str">
            <v>CG001</v>
          </cell>
          <cell r="L1854">
            <v>20</v>
          </cell>
        </row>
        <row r="1855">
          <cell r="D1855" t="str">
            <v>CG001</v>
          </cell>
          <cell r="L1855">
            <v>25</v>
          </cell>
        </row>
        <row r="1856">
          <cell r="D1856" t="str">
            <v>CG001</v>
          </cell>
          <cell r="L1856">
            <v>20</v>
          </cell>
        </row>
        <row r="1857">
          <cell r="D1857" t="str">
            <v>CG001</v>
          </cell>
          <cell r="L1857">
            <v>25</v>
          </cell>
        </row>
        <row r="1858">
          <cell r="D1858" t="str">
            <v>CG001</v>
          </cell>
          <cell r="L1858">
            <v>15</v>
          </cell>
        </row>
        <row r="1859">
          <cell r="D1859" t="str">
            <v>CG001</v>
          </cell>
          <cell r="L1859">
            <v>50</v>
          </cell>
        </row>
        <row r="1860">
          <cell r="D1860" t="str">
            <v>CG001</v>
          </cell>
          <cell r="L1860">
            <v>15</v>
          </cell>
        </row>
        <row r="1861">
          <cell r="D1861" t="str">
            <v>CG001</v>
          </cell>
          <cell r="L1861">
            <v>50</v>
          </cell>
        </row>
        <row r="1862">
          <cell r="D1862" t="str">
            <v>CG001</v>
          </cell>
          <cell r="L1862">
            <v>30</v>
          </cell>
        </row>
        <row r="1863">
          <cell r="D1863" t="str">
            <v>CG001</v>
          </cell>
          <cell r="L1863">
            <v>15</v>
          </cell>
        </row>
        <row r="1864">
          <cell r="D1864" t="str">
            <v>CG001</v>
          </cell>
          <cell r="L1864">
            <v>40</v>
          </cell>
        </row>
        <row r="1865">
          <cell r="D1865" t="str">
            <v>CG001</v>
          </cell>
          <cell r="L1865">
            <v>20</v>
          </cell>
        </row>
        <row r="1866">
          <cell r="D1866" t="str">
            <v>CG001</v>
          </cell>
          <cell r="L1866">
            <v>20</v>
          </cell>
        </row>
        <row r="1867">
          <cell r="D1867" t="str">
            <v>CG001</v>
          </cell>
          <cell r="L1867">
            <v>20</v>
          </cell>
        </row>
        <row r="1868">
          <cell r="D1868" t="str">
            <v>CG001</v>
          </cell>
          <cell r="L1868">
            <v>25</v>
          </cell>
        </row>
        <row r="1869">
          <cell r="D1869" t="str">
            <v>CG001</v>
          </cell>
          <cell r="L1869">
            <v>25</v>
          </cell>
        </row>
        <row r="1870">
          <cell r="D1870" t="str">
            <v>CG001</v>
          </cell>
          <cell r="L1870">
            <v>25</v>
          </cell>
        </row>
        <row r="1871">
          <cell r="D1871" t="str">
            <v>GR011</v>
          </cell>
          <cell r="L1871">
            <v>8</v>
          </cell>
        </row>
        <row r="1872">
          <cell r="D1872" t="str">
            <v>CG001</v>
          </cell>
          <cell r="L1872">
            <v>25</v>
          </cell>
        </row>
        <row r="1873">
          <cell r="D1873" t="str">
            <v>CG001</v>
          </cell>
          <cell r="L1873">
            <v>25</v>
          </cell>
        </row>
        <row r="1874">
          <cell r="D1874" t="str">
            <v>CG001</v>
          </cell>
          <cell r="L1874">
            <v>25</v>
          </cell>
        </row>
        <row r="1875">
          <cell r="D1875" t="str">
            <v>CG001</v>
          </cell>
          <cell r="L1875">
            <v>25</v>
          </cell>
        </row>
        <row r="1876">
          <cell r="D1876" t="str">
            <v>CG001</v>
          </cell>
          <cell r="L1876">
            <v>25</v>
          </cell>
        </row>
        <row r="1877">
          <cell r="D1877" t="str">
            <v>CG001</v>
          </cell>
          <cell r="L1877">
            <v>20</v>
          </cell>
        </row>
        <row r="1878">
          <cell r="D1878" t="str">
            <v>CG001</v>
          </cell>
          <cell r="L1878">
            <v>15</v>
          </cell>
        </row>
        <row r="1879">
          <cell r="D1879" t="str">
            <v>CG001</v>
          </cell>
          <cell r="L1879">
            <v>15</v>
          </cell>
        </row>
        <row r="1880">
          <cell r="D1880" t="str">
            <v>CG001</v>
          </cell>
          <cell r="L1880">
            <v>20</v>
          </cell>
        </row>
        <row r="1881">
          <cell r="D1881" t="str">
            <v>CG001</v>
          </cell>
          <cell r="L1881">
            <v>20</v>
          </cell>
        </row>
        <row r="1882">
          <cell r="D1882" t="str">
            <v>CG001</v>
          </cell>
          <cell r="L1882">
            <v>25</v>
          </cell>
        </row>
        <row r="1883">
          <cell r="D1883" t="str">
            <v>CG001</v>
          </cell>
          <cell r="L1883">
            <v>25</v>
          </cell>
        </row>
        <row r="1884">
          <cell r="D1884" t="str">
            <v>CG001</v>
          </cell>
          <cell r="L1884">
            <v>25</v>
          </cell>
        </row>
        <row r="1885">
          <cell r="D1885" t="str">
            <v>CG001</v>
          </cell>
          <cell r="L1885">
            <v>25</v>
          </cell>
        </row>
        <row r="1886">
          <cell r="D1886" t="str">
            <v>CG001</v>
          </cell>
          <cell r="L1886">
            <v>25</v>
          </cell>
        </row>
        <row r="1887">
          <cell r="D1887" t="str">
            <v>CG001</v>
          </cell>
          <cell r="L1887">
            <v>25</v>
          </cell>
        </row>
        <row r="1888">
          <cell r="D1888" t="str">
            <v>CG001</v>
          </cell>
          <cell r="L1888">
            <v>20</v>
          </cell>
        </row>
        <row r="1889">
          <cell r="D1889" t="str">
            <v>CG001</v>
          </cell>
          <cell r="L1889">
            <v>15</v>
          </cell>
        </row>
        <row r="1890">
          <cell r="D1890" t="str">
            <v>CG001</v>
          </cell>
          <cell r="L1890">
            <v>15</v>
          </cell>
        </row>
        <row r="1891">
          <cell r="D1891" t="str">
            <v>CG001</v>
          </cell>
          <cell r="L1891">
            <v>20</v>
          </cell>
        </row>
        <row r="1892">
          <cell r="D1892" t="str">
            <v>CG001</v>
          </cell>
          <cell r="L1892">
            <v>20</v>
          </cell>
        </row>
        <row r="1893">
          <cell r="D1893" t="str">
            <v>CG001</v>
          </cell>
          <cell r="L1893">
            <v>25</v>
          </cell>
        </row>
        <row r="1894">
          <cell r="D1894" t="str">
            <v>CG001</v>
          </cell>
          <cell r="L1894">
            <v>25</v>
          </cell>
        </row>
        <row r="1895">
          <cell r="D1895" t="str">
            <v>CG001</v>
          </cell>
          <cell r="L1895">
            <v>25</v>
          </cell>
        </row>
        <row r="1896">
          <cell r="D1896" t="str">
            <v>CG001</v>
          </cell>
          <cell r="L1896">
            <v>25</v>
          </cell>
        </row>
        <row r="1897">
          <cell r="D1897" t="str">
            <v>CG001</v>
          </cell>
          <cell r="L1897">
            <v>25</v>
          </cell>
        </row>
        <row r="1898">
          <cell r="D1898" t="str">
            <v>CG001</v>
          </cell>
          <cell r="L1898">
            <v>25</v>
          </cell>
        </row>
        <row r="1899">
          <cell r="D1899" t="str">
            <v>CG001</v>
          </cell>
          <cell r="L1899">
            <v>20</v>
          </cell>
        </row>
        <row r="1900">
          <cell r="D1900" t="str">
            <v>CG001</v>
          </cell>
          <cell r="L1900">
            <v>50</v>
          </cell>
        </row>
        <row r="1901">
          <cell r="D1901" t="str">
            <v>CG001</v>
          </cell>
          <cell r="L1901">
            <v>25</v>
          </cell>
        </row>
        <row r="1902">
          <cell r="D1902" t="str">
            <v>CG001</v>
          </cell>
          <cell r="L1902">
            <v>75</v>
          </cell>
        </row>
        <row r="1903">
          <cell r="D1903" t="str">
            <v>CG001</v>
          </cell>
          <cell r="L1903">
            <v>25</v>
          </cell>
        </row>
        <row r="1904">
          <cell r="D1904" t="str">
            <v>CG001</v>
          </cell>
          <cell r="L1904">
            <v>20</v>
          </cell>
        </row>
        <row r="1905">
          <cell r="D1905" t="str">
            <v>CG001</v>
          </cell>
          <cell r="L1905">
            <v>25</v>
          </cell>
        </row>
        <row r="1906">
          <cell r="D1906" t="str">
            <v>CG001</v>
          </cell>
          <cell r="L1906">
            <v>15</v>
          </cell>
        </row>
        <row r="1907">
          <cell r="D1907" t="str">
            <v>CG001</v>
          </cell>
          <cell r="L1907">
            <v>50</v>
          </cell>
        </row>
        <row r="1908">
          <cell r="D1908" t="str">
            <v>CG001</v>
          </cell>
          <cell r="L1908">
            <v>15</v>
          </cell>
        </row>
        <row r="1909">
          <cell r="D1909" t="str">
            <v>CG001</v>
          </cell>
          <cell r="L1909">
            <v>50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0BEA9-F630-4A6A-92AC-295F3C64667A}">
  <dimension ref="A1:W59"/>
  <sheetViews>
    <sheetView tabSelected="1" topLeftCell="A28" workbookViewId="0">
      <selection activeCell="D17" sqref="D17"/>
    </sheetView>
  </sheetViews>
  <sheetFormatPr defaultRowHeight="15.75" outlineLevelCol="1" x14ac:dyDescent="0.25"/>
  <cols>
    <col min="1" max="1" width="4.28515625" style="17" customWidth="1"/>
    <col min="2" max="2" width="8.42578125" style="17" customWidth="1"/>
    <col min="3" max="3" width="6.85546875" style="122" customWidth="1"/>
    <col min="4" max="4" width="14.42578125" style="123" bestFit="1" customWidth="1"/>
    <col min="5" max="5" width="31" style="122" customWidth="1"/>
    <col min="6" max="6" width="18.5703125" style="123" bestFit="1" customWidth="1"/>
    <col min="7" max="7" width="16.140625" style="124" bestFit="1" customWidth="1"/>
    <col min="8" max="8" width="5.7109375" style="17" customWidth="1"/>
    <col min="9" max="14" width="8.85546875" style="125" customWidth="1" outlineLevel="1"/>
    <col min="15" max="19" width="8.85546875" style="125" customWidth="1"/>
    <col min="20" max="20" width="23.28515625" style="122" bestFit="1" customWidth="1"/>
    <col min="21" max="21" width="27.42578125" style="17" customWidth="1"/>
    <col min="22" max="22" width="28" style="110" customWidth="1"/>
    <col min="23" max="23" width="23" style="122" customWidth="1"/>
  </cols>
  <sheetData>
    <row r="1" spans="1:23" x14ac:dyDescent="0.25">
      <c r="A1" s="1"/>
      <c r="B1" s="1"/>
      <c r="C1" s="2" t="s">
        <v>0</v>
      </c>
      <c r="D1" s="3"/>
      <c r="E1" s="2"/>
      <c r="F1" s="3"/>
      <c r="G1" s="3"/>
      <c r="H1" s="4"/>
      <c r="I1" s="5" t="s">
        <v>1</v>
      </c>
      <c r="J1" s="5"/>
      <c r="K1" s="5"/>
      <c r="L1" s="5"/>
      <c r="M1" s="5"/>
      <c r="N1" s="5"/>
      <c r="O1" s="6" t="s">
        <v>2</v>
      </c>
      <c r="P1" s="5"/>
      <c r="Q1" s="5"/>
      <c r="R1" s="5"/>
      <c r="S1" s="5"/>
      <c r="T1" s="2" t="s">
        <v>3</v>
      </c>
      <c r="U1" s="4"/>
      <c r="V1" s="7"/>
      <c r="W1" s="2"/>
    </row>
    <row r="2" spans="1:23" x14ac:dyDescent="0.25">
      <c r="A2" s="8"/>
      <c r="B2" s="8"/>
      <c r="C2" s="9" t="s">
        <v>4</v>
      </c>
      <c r="D2" s="10"/>
      <c r="E2" s="9"/>
      <c r="F2" s="10"/>
      <c r="G2" s="11"/>
      <c r="H2" s="12"/>
      <c r="I2" s="13"/>
      <c r="J2" s="13"/>
      <c r="K2" s="13"/>
      <c r="L2" s="13"/>
      <c r="M2" s="13"/>
      <c r="N2" s="13"/>
      <c r="O2" s="13"/>
      <c r="P2" s="13"/>
      <c r="Q2" s="13"/>
      <c r="R2" s="14"/>
      <c r="S2" s="13"/>
      <c r="T2" s="15">
        <f ca="1">TODAY()</f>
        <v>46161</v>
      </c>
      <c r="U2" s="15"/>
      <c r="V2" s="16"/>
      <c r="W2" s="15"/>
    </row>
    <row r="3" spans="1:23" ht="15" customHeight="1" x14ac:dyDescent="0.25">
      <c r="A3" s="1"/>
      <c r="B3" s="17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8" t="s">
        <v>11</v>
      </c>
      <c r="I3" s="19" t="s">
        <v>12</v>
      </c>
      <c r="J3" s="19"/>
      <c r="K3" s="19"/>
      <c r="L3" s="19"/>
      <c r="M3" s="19"/>
      <c r="N3" s="20"/>
      <c r="O3" s="21" t="s">
        <v>13</v>
      </c>
      <c r="P3" s="22"/>
      <c r="Q3" s="22"/>
      <c r="R3" s="22"/>
      <c r="S3" s="22"/>
      <c r="T3" s="18" t="s">
        <v>14</v>
      </c>
      <c r="U3" s="23" t="s">
        <v>15</v>
      </c>
      <c r="V3" s="24" t="s">
        <v>16</v>
      </c>
      <c r="W3" s="25" t="s">
        <v>17</v>
      </c>
    </row>
    <row r="4" spans="1:23" ht="47.25" x14ac:dyDescent="0.25">
      <c r="A4" s="1"/>
      <c r="C4" s="26"/>
      <c r="D4" s="26"/>
      <c r="E4" s="26"/>
      <c r="F4" s="26"/>
      <c r="G4" s="26"/>
      <c r="H4" s="26"/>
      <c r="I4" s="27" t="s">
        <v>18</v>
      </c>
      <c r="J4" s="27" t="s">
        <v>19</v>
      </c>
      <c r="K4" s="27" t="s">
        <v>20</v>
      </c>
      <c r="L4" s="27" t="s">
        <v>21</v>
      </c>
      <c r="M4" s="27" t="s">
        <v>22</v>
      </c>
      <c r="N4" s="28" t="s">
        <v>23</v>
      </c>
      <c r="O4" s="29" t="s">
        <v>19</v>
      </c>
      <c r="P4" s="30" t="s">
        <v>24</v>
      </c>
      <c r="Q4" s="30" t="s">
        <v>25</v>
      </c>
      <c r="R4" s="30" t="s">
        <v>26</v>
      </c>
      <c r="S4" s="30" t="s">
        <v>27</v>
      </c>
      <c r="T4" s="26"/>
      <c r="U4" s="23"/>
      <c r="V4" s="24"/>
      <c r="W4" s="25"/>
    </row>
    <row r="5" spans="1:23" x14ac:dyDescent="0.25">
      <c r="A5" s="17">
        <v>1</v>
      </c>
      <c r="C5" s="31" t="s">
        <v>28</v>
      </c>
      <c r="D5" s="32"/>
      <c r="E5" s="33" t="s">
        <v>29</v>
      </c>
      <c r="F5" s="32"/>
      <c r="G5" s="34"/>
      <c r="H5" s="31"/>
      <c r="I5" s="35"/>
      <c r="J5" s="35"/>
      <c r="K5" s="35"/>
      <c r="L5" s="35"/>
      <c r="M5" s="35"/>
      <c r="N5" s="36"/>
      <c r="O5" s="37"/>
      <c r="P5" s="38"/>
      <c r="Q5" s="35"/>
      <c r="R5" s="35"/>
      <c r="S5" s="35"/>
      <c r="T5" s="7"/>
      <c r="U5" s="39"/>
      <c r="V5" s="31"/>
      <c r="W5" s="4"/>
    </row>
    <row r="6" spans="1:23" x14ac:dyDescent="0.25">
      <c r="A6" s="17">
        <v>9</v>
      </c>
      <c r="B6" s="40" t="s">
        <v>30</v>
      </c>
      <c r="C6" s="41">
        <v>1</v>
      </c>
      <c r="D6" s="42" t="s">
        <v>31</v>
      </c>
      <c r="E6" s="43" t="s">
        <v>32</v>
      </c>
      <c r="F6" s="42" t="s">
        <v>33</v>
      </c>
      <c r="G6" s="44" t="s">
        <v>34</v>
      </c>
      <c r="H6" s="41" t="s">
        <v>35</v>
      </c>
      <c r="I6" s="45">
        <v>17500</v>
      </c>
      <c r="J6" s="45">
        <f>SUMIFS('[1]POR Control Log-income'!L:L,'[1]POR Control Log-income'!F:F,[1]본공사입.출고현황!B6)</f>
        <v>17200</v>
      </c>
      <c r="K6" s="45">
        <f t="shared" ref="K6:K20" si="0">I6-J6</f>
        <v>300</v>
      </c>
      <c r="L6" s="45">
        <v>300</v>
      </c>
      <c r="M6" s="45">
        <f>SUMIFS('[1]POR Control Log-income'!L:L,'[1]POR Control Log-income'!F:F,[1]본공사입.출고현황!B6)</f>
        <v>17200</v>
      </c>
      <c r="N6" s="46">
        <f>J6-M6</f>
        <v>0</v>
      </c>
      <c r="O6" s="47">
        <f t="shared" ref="O6:O17" si="1">M6</f>
        <v>17200</v>
      </c>
      <c r="P6" s="48">
        <v>14128.1</v>
      </c>
      <c r="Q6" s="45"/>
      <c r="R6" s="45">
        <v>872.40000000000009</v>
      </c>
      <c r="S6" s="45">
        <f t="shared" ref="S6:S50" si="2">O6-Q6-R6-P6</f>
        <v>2199.5</v>
      </c>
      <c r="T6" s="49"/>
      <c r="U6" s="50" t="s">
        <v>36</v>
      </c>
      <c r="V6" s="41" t="s">
        <v>36</v>
      </c>
      <c r="W6" s="40" t="s">
        <v>37</v>
      </c>
    </row>
    <row r="7" spans="1:23" x14ac:dyDescent="0.25">
      <c r="A7" s="17">
        <v>3</v>
      </c>
      <c r="B7" s="40" t="s">
        <v>38</v>
      </c>
      <c r="C7" s="41">
        <v>2</v>
      </c>
      <c r="D7" s="42" t="s">
        <v>31</v>
      </c>
      <c r="E7" s="43" t="s">
        <v>39</v>
      </c>
      <c r="F7" s="42" t="s">
        <v>33</v>
      </c>
      <c r="G7" s="44" t="s">
        <v>40</v>
      </c>
      <c r="H7" s="41" t="s">
        <v>35</v>
      </c>
      <c r="I7" s="45">
        <v>3120</v>
      </c>
      <c r="J7" s="45">
        <f>SUMIFS('[1]POR Control Log-income'!L:L,'[1]POR Control Log-income'!F:F,[1]본공사입.출고현황!B7)</f>
        <v>3120</v>
      </c>
      <c r="K7" s="45">
        <f t="shared" si="0"/>
        <v>0</v>
      </c>
      <c r="L7" s="45"/>
      <c r="M7" s="45">
        <f>SUMIFS('[1]POR Control Log-income'!L:L,'[1]POR Control Log-income'!F:F,[1]본공사입.출고현황!B7)</f>
        <v>3120</v>
      </c>
      <c r="N7" s="46">
        <f t="shared" ref="N7:N50" si="3">J7-M7</f>
        <v>0</v>
      </c>
      <c r="O7" s="47">
        <f t="shared" si="1"/>
        <v>3120</v>
      </c>
      <c r="P7" s="48">
        <f>SUMIFS('[1]POR Control Log-out'!L:L,'[1]POR Control Log-out'!D:D,[1]본공사입.출고현황!B7)</f>
        <v>258</v>
      </c>
      <c r="Q7" s="45"/>
      <c r="R7" s="45">
        <v>0</v>
      </c>
      <c r="S7" s="45">
        <f t="shared" si="2"/>
        <v>2862</v>
      </c>
      <c r="T7" s="49"/>
      <c r="U7" s="50" t="s">
        <v>36</v>
      </c>
      <c r="V7" s="41" t="s">
        <v>36</v>
      </c>
      <c r="W7" s="40" t="s">
        <v>37</v>
      </c>
    </row>
    <row r="8" spans="1:23" ht="18.75" x14ac:dyDescent="0.25">
      <c r="A8" s="17">
        <v>4</v>
      </c>
      <c r="B8" s="40" t="s">
        <v>41</v>
      </c>
      <c r="C8" s="41">
        <v>3</v>
      </c>
      <c r="D8" s="42" t="s">
        <v>42</v>
      </c>
      <c r="E8" s="43" t="s">
        <v>209</v>
      </c>
      <c r="F8" s="42" t="s">
        <v>43</v>
      </c>
      <c r="G8" s="44" t="s">
        <v>44</v>
      </c>
      <c r="H8" s="41" t="s">
        <v>45</v>
      </c>
      <c r="I8" s="45">
        <v>200</v>
      </c>
      <c r="J8" s="45">
        <f>SUMIFS('[1]POR Control Log-income'!L:L,'[1]POR Control Log-income'!F:F,[1]본공사입.출고현황!B8)</f>
        <v>200</v>
      </c>
      <c r="K8" s="45">
        <f t="shared" si="0"/>
        <v>0</v>
      </c>
      <c r="L8" s="45"/>
      <c r="M8" s="45">
        <f>SUMIFS('[1]POR Control Log-income'!L:L,'[1]POR Control Log-income'!F:F,[1]본공사입.출고현황!B8)</f>
        <v>200</v>
      </c>
      <c r="N8" s="46">
        <f t="shared" si="3"/>
        <v>0</v>
      </c>
      <c r="O8" s="47">
        <f t="shared" si="1"/>
        <v>200</v>
      </c>
      <c r="P8" s="48"/>
      <c r="Q8" s="45"/>
      <c r="R8" s="45"/>
      <c r="S8" s="45">
        <f t="shared" si="2"/>
        <v>200</v>
      </c>
      <c r="T8" s="49"/>
      <c r="U8" s="50">
        <v>200</v>
      </c>
      <c r="V8" s="41">
        <v>200</v>
      </c>
      <c r="W8" s="40" t="s">
        <v>37</v>
      </c>
    </row>
    <row r="9" spans="1:23" x14ac:dyDescent="0.25">
      <c r="A9" s="17">
        <v>5</v>
      </c>
      <c r="B9" s="40" t="s">
        <v>46</v>
      </c>
      <c r="C9" s="41">
        <v>4</v>
      </c>
      <c r="D9" s="42" t="s">
        <v>31</v>
      </c>
      <c r="E9" s="43" t="s">
        <v>47</v>
      </c>
      <c r="F9" s="42" t="s">
        <v>48</v>
      </c>
      <c r="G9" s="44" t="s">
        <v>49</v>
      </c>
      <c r="H9" s="41" t="s">
        <v>45</v>
      </c>
      <c r="I9" s="45">
        <v>100</v>
      </c>
      <c r="J9" s="45">
        <f>SUMIFS('[1]POR Control Log-income'!L:L,'[1]POR Control Log-income'!F:F,[1]본공사입.출고현황!B9)</f>
        <v>100</v>
      </c>
      <c r="K9" s="45">
        <f t="shared" si="0"/>
        <v>0</v>
      </c>
      <c r="L9" s="45"/>
      <c r="M9" s="45">
        <f>SUMIFS('[1]POR Control Log-income'!L:L,'[1]POR Control Log-income'!F:F,[1]본공사입.출고현황!B9)</f>
        <v>100</v>
      </c>
      <c r="N9" s="46">
        <f t="shared" si="3"/>
        <v>0</v>
      </c>
      <c r="O9" s="47">
        <f t="shared" si="1"/>
        <v>100</v>
      </c>
      <c r="P9" s="48">
        <f>SUMIFS('[1]POR Control Log-out'!L:L,'[1]POR Control Log-out'!D:D,[1]본공사입.출고현황!B9)</f>
        <v>5</v>
      </c>
      <c r="Q9" s="45"/>
      <c r="R9" s="45">
        <v>2</v>
      </c>
      <c r="S9" s="45">
        <f t="shared" si="2"/>
        <v>93</v>
      </c>
      <c r="T9" s="49"/>
      <c r="U9" s="50">
        <v>100</v>
      </c>
      <c r="V9" s="41">
        <v>100</v>
      </c>
      <c r="W9" s="40" t="s">
        <v>37</v>
      </c>
    </row>
    <row r="10" spans="1:23" x14ac:dyDescent="0.25">
      <c r="A10" s="17">
        <v>6</v>
      </c>
      <c r="B10" s="40" t="s">
        <v>50</v>
      </c>
      <c r="C10" s="41">
        <v>5</v>
      </c>
      <c r="D10" s="42" t="s">
        <v>31</v>
      </c>
      <c r="E10" s="43" t="s">
        <v>51</v>
      </c>
      <c r="F10" s="42" t="s">
        <v>48</v>
      </c>
      <c r="G10" s="44" t="s">
        <v>52</v>
      </c>
      <c r="H10" s="41" t="s">
        <v>45</v>
      </c>
      <c r="I10" s="45">
        <v>540</v>
      </c>
      <c r="J10" s="45">
        <f>SUMIFS('[1]POR Control Log-income'!L:L,'[1]POR Control Log-income'!F:F,[1]본공사입.출고현황!B10)</f>
        <v>540</v>
      </c>
      <c r="K10" s="45">
        <f t="shared" si="0"/>
        <v>0</v>
      </c>
      <c r="L10" s="45"/>
      <c r="M10" s="45">
        <f>SUMIFS('[1]POR Control Log-income'!L:L,'[1]POR Control Log-income'!F:F,[1]본공사입.출고현황!B10)</f>
        <v>540</v>
      </c>
      <c r="N10" s="46">
        <f t="shared" si="3"/>
        <v>0</v>
      </c>
      <c r="O10" s="47">
        <f t="shared" si="1"/>
        <v>540</v>
      </c>
      <c r="P10" s="48">
        <v>201</v>
      </c>
      <c r="Q10" s="45"/>
      <c r="R10" s="45">
        <v>16</v>
      </c>
      <c r="S10" s="45">
        <f t="shared" si="2"/>
        <v>323</v>
      </c>
      <c r="T10" s="49"/>
      <c r="U10" s="50">
        <v>350</v>
      </c>
      <c r="V10" s="41">
        <v>350</v>
      </c>
      <c r="W10" s="40" t="s">
        <v>37</v>
      </c>
    </row>
    <row r="11" spans="1:23" x14ac:dyDescent="0.25">
      <c r="A11" s="17">
        <v>7</v>
      </c>
      <c r="B11" s="40" t="s">
        <v>53</v>
      </c>
      <c r="C11" s="41">
        <v>6</v>
      </c>
      <c r="D11" s="42" t="s">
        <v>31</v>
      </c>
      <c r="E11" s="43" t="s">
        <v>54</v>
      </c>
      <c r="F11" s="42" t="s">
        <v>48</v>
      </c>
      <c r="G11" s="44" t="s">
        <v>55</v>
      </c>
      <c r="H11" s="41" t="s">
        <v>45</v>
      </c>
      <c r="I11" s="45">
        <v>100</v>
      </c>
      <c r="J11" s="45">
        <f>SUMIFS('[1]POR Control Log-income'!L:L,'[1]POR Control Log-income'!F:F,[1]본공사입.출고현황!B11)</f>
        <v>100</v>
      </c>
      <c r="K11" s="45">
        <f t="shared" si="0"/>
        <v>0</v>
      </c>
      <c r="L11" s="45"/>
      <c r="M11" s="45">
        <f>SUMIFS('[1]POR Control Log-income'!L:L,'[1]POR Control Log-income'!F:F,[1]본공사입.출고현황!B11)</f>
        <v>100</v>
      </c>
      <c r="N11" s="46">
        <f t="shared" si="3"/>
        <v>0</v>
      </c>
      <c r="O11" s="47">
        <f t="shared" si="1"/>
        <v>100</v>
      </c>
      <c r="P11" s="48"/>
      <c r="Q11" s="45"/>
      <c r="R11" s="45"/>
      <c r="S11" s="45">
        <f t="shared" si="2"/>
        <v>100</v>
      </c>
      <c r="T11" s="49"/>
      <c r="U11" s="50">
        <v>100</v>
      </c>
      <c r="V11" s="41">
        <v>100</v>
      </c>
      <c r="W11" s="40" t="s">
        <v>37</v>
      </c>
    </row>
    <row r="12" spans="1:23" x14ac:dyDescent="0.25">
      <c r="A12" s="17">
        <v>8</v>
      </c>
      <c r="B12" s="40" t="s">
        <v>56</v>
      </c>
      <c r="C12" s="41">
        <v>7</v>
      </c>
      <c r="D12" s="42" t="s">
        <v>31</v>
      </c>
      <c r="E12" s="43" t="s">
        <v>57</v>
      </c>
      <c r="F12" s="42" t="s">
        <v>48</v>
      </c>
      <c r="G12" s="44" t="s">
        <v>58</v>
      </c>
      <c r="H12" s="41" t="s">
        <v>45</v>
      </c>
      <c r="I12" s="45">
        <v>1332</v>
      </c>
      <c r="J12" s="45">
        <f>SUMIFS('[1]POR Control Log-income'!L:L,'[1]POR Control Log-income'!F:F,[1]본공사입.출고현황!B12)</f>
        <v>1332</v>
      </c>
      <c r="K12" s="45">
        <f t="shared" si="0"/>
        <v>0</v>
      </c>
      <c r="L12" s="45"/>
      <c r="M12" s="45">
        <f>SUMIFS('[1]POR Control Log-income'!L:L,'[1]POR Control Log-income'!F:F,[1]본공사입.출고현황!B12)</f>
        <v>1332</v>
      </c>
      <c r="N12" s="46">
        <f t="shared" si="3"/>
        <v>0</v>
      </c>
      <c r="O12" s="47">
        <f t="shared" si="1"/>
        <v>1332</v>
      </c>
      <c r="P12" s="48">
        <f>SUMIFS('[1]POR Control Log-out'!L:L,'[1]POR Control Log-out'!D:D,[1]본공사입.출고현황!B12)</f>
        <v>742</v>
      </c>
      <c r="Q12" s="45"/>
      <c r="R12" s="45">
        <v>223</v>
      </c>
      <c r="S12" s="45">
        <f t="shared" si="2"/>
        <v>367</v>
      </c>
      <c r="T12" s="49"/>
      <c r="U12" s="50">
        <v>380</v>
      </c>
      <c r="V12" s="41">
        <v>380</v>
      </c>
      <c r="W12" s="40" t="s">
        <v>37</v>
      </c>
    </row>
    <row r="13" spans="1:23" x14ac:dyDescent="0.25">
      <c r="A13" s="17">
        <v>9</v>
      </c>
      <c r="B13" s="40" t="s">
        <v>59</v>
      </c>
      <c r="C13" s="41">
        <v>8</v>
      </c>
      <c r="D13" s="42" t="s">
        <v>31</v>
      </c>
      <c r="E13" s="43" t="s">
        <v>60</v>
      </c>
      <c r="F13" s="42" t="s">
        <v>61</v>
      </c>
      <c r="G13" s="44" t="s">
        <v>62</v>
      </c>
      <c r="H13" s="41" t="s">
        <v>45</v>
      </c>
      <c r="I13" s="45">
        <v>30</v>
      </c>
      <c r="J13" s="45">
        <f>SUMIFS('[1]POR Control Log-income'!L:L,'[1]POR Control Log-income'!F:F,[1]본공사입.출고현황!B13)</f>
        <v>30</v>
      </c>
      <c r="K13" s="45">
        <f t="shared" si="0"/>
        <v>0</v>
      </c>
      <c r="L13" s="45"/>
      <c r="M13" s="45">
        <f>SUMIFS('[1]POR Control Log-income'!L:L,'[1]POR Control Log-income'!F:F,[1]본공사입.출고현황!B13)</f>
        <v>30</v>
      </c>
      <c r="N13" s="46">
        <f t="shared" si="3"/>
        <v>0</v>
      </c>
      <c r="O13" s="47">
        <f t="shared" si="1"/>
        <v>30</v>
      </c>
      <c r="P13" s="48">
        <f>SUMIFS('[1]POR Control Log-out'!L:L,'[1]POR Control Log-out'!D:D,[1]본공사입.출고현황!B13)</f>
        <v>13</v>
      </c>
      <c r="Q13" s="45"/>
      <c r="R13" s="45"/>
      <c r="S13" s="45">
        <f t="shared" si="2"/>
        <v>17</v>
      </c>
      <c r="T13" s="49"/>
      <c r="U13" s="50">
        <v>17</v>
      </c>
      <c r="V13" s="41">
        <v>17</v>
      </c>
      <c r="W13" s="40" t="s">
        <v>37</v>
      </c>
    </row>
    <row r="14" spans="1:23" x14ac:dyDescent="0.25">
      <c r="A14" s="17">
        <v>10</v>
      </c>
      <c r="B14" s="40" t="s">
        <v>63</v>
      </c>
      <c r="C14" s="41">
        <v>9</v>
      </c>
      <c r="D14" s="42" t="s">
        <v>31</v>
      </c>
      <c r="E14" s="43" t="s">
        <v>64</v>
      </c>
      <c r="F14" s="42" t="s">
        <v>61</v>
      </c>
      <c r="G14" s="44" t="s">
        <v>65</v>
      </c>
      <c r="H14" s="41" t="s">
        <v>45</v>
      </c>
      <c r="I14" s="45">
        <v>12</v>
      </c>
      <c r="J14" s="45">
        <f>SUMIFS('[1]POR Control Log-income'!L:L,'[1]POR Control Log-income'!F:F,[1]본공사입.출고현황!B14)</f>
        <v>12</v>
      </c>
      <c r="K14" s="45">
        <f t="shared" si="0"/>
        <v>0</v>
      </c>
      <c r="L14" s="45"/>
      <c r="M14" s="45">
        <f>SUMIFS('[1]POR Control Log-income'!L:L,'[1]POR Control Log-income'!F:F,[1]본공사입.출고현황!B14)</f>
        <v>12</v>
      </c>
      <c r="N14" s="46">
        <f t="shared" si="3"/>
        <v>0</v>
      </c>
      <c r="O14" s="47">
        <f t="shared" si="1"/>
        <v>12</v>
      </c>
      <c r="P14" s="48">
        <f>SUMIFS('[1]POR Control Log-out'!L:L,'[1]POR Control Log-out'!D:D,[1]본공사입.출고현황!B14)</f>
        <v>3</v>
      </c>
      <c r="Q14" s="45"/>
      <c r="R14" s="45">
        <v>0</v>
      </c>
      <c r="S14" s="45">
        <f t="shared" si="2"/>
        <v>9</v>
      </c>
      <c r="T14" s="49"/>
      <c r="U14" s="50">
        <v>6</v>
      </c>
      <c r="V14" s="41">
        <v>6</v>
      </c>
      <c r="W14" s="40" t="s">
        <v>37</v>
      </c>
    </row>
    <row r="15" spans="1:23" x14ac:dyDescent="0.25">
      <c r="A15" s="17">
        <v>11</v>
      </c>
      <c r="B15" s="40" t="s">
        <v>66</v>
      </c>
      <c r="C15" s="41">
        <v>10</v>
      </c>
      <c r="D15" s="42" t="s">
        <v>31</v>
      </c>
      <c r="E15" s="43" t="s">
        <v>67</v>
      </c>
      <c r="F15" s="42" t="s">
        <v>61</v>
      </c>
      <c r="G15" s="44" t="s">
        <v>68</v>
      </c>
      <c r="H15" s="41" t="s">
        <v>45</v>
      </c>
      <c r="I15" s="45">
        <v>5</v>
      </c>
      <c r="J15" s="45">
        <f>SUMIFS('[1]POR Control Log-income'!L:L,'[1]POR Control Log-income'!F:F,[1]본공사입.출고현황!B15)</f>
        <v>5</v>
      </c>
      <c r="K15" s="45">
        <f t="shared" si="0"/>
        <v>0</v>
      </c>
      <c r="L15" s="45"/>
      <c r="M15" s="45">
        <f>SUMIFS('[1]POR Control Log-income'!L:L,'[1]POR Control Log-income'!F:F,[1]본공사입.출고현황!B15)</f>
        <v>5</v>
      </c>
      <c r="N15" s="46">
        <f t="shared" si="3"/>
        <v>0</v>
      </c>
      <c r="O15" s="47">
        <f t="shared" si="1"/>
        <v>5</v>
      </c>
      <c r="P15" s="48">
        <f>SUMIFS('[1]POR Control Log-out'!L:L,'[1]POR Control Log-out'!D:D,[1]본공사입.출고현황!B15)</f>
        <v>1</v>
      </c>
      <c r="Q15" s="45"/>
      <c r="R15" s="45">
        <v>0</v>
      </c>
      <c r="S15" s="45">
        <f t="shared" si="2"/>
        <v>4</v>
      </c>
      <c r="T15" s="49"/>
      <c r="U15" s="50">
        <v>4</v>
      </c>
      <c r="V15" s="41">
        <v>4</v>
      </c>
      <c r="W15" s="40" t="s">
        <v>37</v>
      </c>
    </row>
    <row r="16" spans="1:23" x14ac:dyDescent="0.25">
      <c r="A16" s="17">
        <v>12</v>
      </c>
      <c r="B16" s="40" t="s">
        <v>69</v>
      </c>
      <c r="C16" s="41">
        <v>11</v>
      </c>
      <c r="D16" s="42" t="s">
        <v>31</v>
      </c>
      <c r="E16" s="43" t="s">
        <v>70</v>
      </c>
      <c r="F16" s="42" t="s">
        <v>71</v>
      </c>
      <c r="G16" s="44"/>
      <c r="H16" s="41" t="s">
        <v>45</v>
      </c>
      <c r="I16" s="45">
        <v>196</v>
      </c>
      <c r="J16" s="45">
        <f>SUMIFS('[1]POR Control Log-income'!L:L,'[1]POR Control Log-income'!F:F,[1]본공사입.출고현황!B16)</f>
        <v>196</v>
      </c>
      <c r="K16" s="45">
        <f t="shared" si="0"/>
        <v>0</v>
      </c>
      <c r="L16" s="45"/>
      <c r="M16" s="45">
        <f>SUMIFS('[1]POR Control Log-income'!L:L,'[1]POR Control Log-income'!F:F,[1]본공사입.출고현황!B16)</f>
        <v>196</v>
      </c>
      <c r="N16" s="46">
        <f t="shared" si="3"/>
        <v>0</v>
      </c>
      <c r="O16" s="47">
        <f t="shared" si="1"/>
        <v>196</v>
      </c>
      <c r="P16" s="48">
        <f>SUMIFS('[1]POR Control Log-out'!L:L,'[1]POR Control Log-out'!D:D,[1]본공사입.출고현황!B16)</f>
        <v>99</v>
      </c>
      <c r="Q16" s="45"/>
      <c r="R16" s="45"/>
      <c r="S16" s="45">
        <f t="shared" si="2"/>
        <v>97</v>
      </c>
      <c r="T16" s="49"/>
      <c r="U16" s="50">
        <v>84</v>
      </c>
      <c r="V16" s="41">
        <v>84</v>
      </c>
      <c r="W16" s="40" t="s">
        <v>37</v>
      </c>
    </row>
    <row r="17" spans="1:23" x14ac:dyDescent="0.25">
      <c r="A17" s="17">
        <v>13</v>
      </c>
      <c r="B17" s="40" t="s">
        <v>72</v>
      </c>
      <c r="C17" s="41">
        <v>12</v>
      </c>
      <c r="D17" s="42" t="s">
        <v>73</v>
      </c>
      <c r="E17" s="43" t="s">
        <v>74</v>
      </c>
      <c r="F17" s="42" t="s">
        <v>75</v>
      </c>
      <c r="G17" s="44" t="s">
        <v>76</v>
      </c>
      <c r="H17" s="41" t="s">
        <v>45</v>
      </c>
      <c r="I17" s="45">
        <f>20+750</f>
        <v>770</v>
      </c>
      <c r="J17" s="45">
        <f>SUMIFS('[1]POR Control Log-income'!L:L,'[1]POR Control Log-income'!F:F,[1]본공사입.출고현황!B17)</f>
        <v>20</v>
      </c>
      <c r="K17" s="45">
        <f t="shared" si="0"/>
        <v>750</v>
      </c>
      <c r="L17" s="45"/>
      <c r="M17" s="45">
        <f>SUMIFS('[1]POR Control Log-income'!L:L,'[1]POR Control Log-income'!F:F,[1]본공사입.출고현황!B17)</f>
        <v>20</v>
      </c>
      <c r="N17" s="46">
        <f t="shared" si="3"/>
        <v>0</v>
      </c>
      <c r="O17" s="47">
        <f t="shared" si="1"/>
        <v>20</v>
      </c>
      <c r="P17" s="48">
        <v>6</v>
      </c>
      <c r="Q17" s="45"/>
      <c r="R17" s="45">
        <v>0</v>
      </c>
      <c r="S17" s="45">
        <f t="shared" si="2"/>
        <v>14</v>
      </c>
      <c r="T17" s="49"/>
      <c r="U17" s="50"/>
      <c r="V17" s="41"/>
      <c r="W17" s="40" t="s">
        <v>37</v>
      </c>
    </row>
    <row r="18" spans="1:23" ht="31.5" x14ac:dyDescent="0.25">
      <c r="A18" s="17">
        <v>14</v>
      </c>
      <c r="B18" s="40" t="s">
        <v>77</v>
      </c>
      <c r="C18" s="41">
        <v>13</v>
      </c>
      <c r="D18" s="42" t="s">
        <v>78</v>
      </c>
      <c r="E18" s="43" t="s">
        <v>79</v>
      </c>
      <c r="F18" s="42" t="s">
        <v>78</v>
      </c>
      <c r="G18" s="44" t="s">
        <v>80</v>
      </c>
      <c r="H18" s="41" t="s">
        <v>35</v>
      </c>
      <c r="I18" s="45">
        <v>2200</v>
      </c>
      <c r="J18" s="45">
        <f>SUMIFS('[1]POR Control Log-income'!L:L,'[1]POR Control Log-income'!F:F,[1]본공사입.출고현황!B18)</f>
        <v>2200</v>
      </c>
      <c r="K18" s="45">
        <f t="shared" si="0"/>
        <v>0</v>
      </c>
      <c r="L18" s="45"/>
      <c r="M18" s="45">
        <f>SUMIFS('[1]POR Control Log-income'!L:L,'[1]POR Control Log-income'!F:F,[1]본공사입.출고현황!B18)</f>
        <v>2200</v>
      </c>
      <c r="N18" s="46">
        <f t="shared" si="3"/>
        <v>0</v>
      </c>
      <c r="O18" s="47">
        <v>2200</v>
      </c>
      <c r="P18" s="48">
        <f>SUMIFS('[1]POR Control Log-out'!L:L,'[1]POR Control Log-out'!D:D,[1]본공사입.출고현황!B18)</f>
        <v>859</v>
      </c>
      <c r="Q18" s="45"/>
      <c r="R18" s="45">
        <v>121</v>
      </c>
      <c r="S18" s="45">
        <f t="shared" si="2"/>
        <v>1220</v>
      </c>
      <c r="T18" s="49"/>
      <c r="U18" s="50"/>
      <c r="V18" s="41" t="s">
        <v>81</v>
      </c>
      <c r="W18" s="40" t="s">
        <v>37</v>
      </c>
    </row>
    <row r="19" spans="1:23" x14ac:dyDescent="0.25">
      <c r="A19" s="17">
        <v>15</v>
      </c>
      <c r="B19" s="40" t="s">
        <v>82</v>
      </c>
      <c r="C19" s="41">
        <v>14</v>
      </c>
      <c r="D19" s="42" t="s">
        <v>83</v>
      </c>
      <c r="E19" s="43" t="s">
        <v>210</v>
      </c>
      <c r="F19" s="42" t="s">
        <v>83</v>
      </c>
      <c r="G19" s="44" t="s">
        <v>211</v>
      </c>
      <c r="H19" s="41" t="s">
        <v>35</v>
      </c>
      <c r="I19" s="45">
        <v>140</v>
      </c>
      <c r="J19" s="45">
        <f>SUMIFS('[1]POR Control Log-income'!L:L,'[1]POR Control Log-income'!F:F,[1]본공사입.출고현황!B19)</f>
        <v>140</v>
      </c>
      <c r="K19" s="45">
        <f t="shared" si="0"/>
        <v>0</v>
      </c>
      <c r="L19" s="45"/>
      <c r="M19" s="45">
        <f>SUMIFS('[1]POR Control Log-income'!L:L,'[1]POR Control Log-income'!F:F,[1]본공사입.출고현황!B19)</f>
        <v>140</v>
      </c>
      <c r="N19" s="46">
        <f t="shared" si="3"/>
        <v>0</v>
      </c>
      <c r="O19" s="47">
        <f>M19</f>
        <v>140</v>
      </c>
      <c r="P19" s="48">
        <f>SUMIFS('[1]POR Control Log-out'!L:L,'[1]POR Control Log-out'!D:D,[1]본공사입.출고현황!B19)</f>
        <v>0</v>
      </c>
      <c r="Q19" s="45"/>
      <c r="R19" s="45">
        <v>0</v>
      </c>
      <c r="S19" s="45">
        <f t="shared" si="2"/>
        <v>140</v>
      </c>
      <c r="T19" s="49"/>
      <c r="U19" s="50" t="s">
        <v>84</v>
      </c>
      <c r="V19" s="41" t="s">
        <v>81</v>
      </c>
      <c r="W19" s="40" t="s">
        <v>37</v>
      </c>
    </row>
    <row r="20" spans="1:23" x14ac:dyDescent="0.25">
      <c r="A20" s="17">
        <v>16</v>
      </c>
      <c r="B20" s="40" t="s">
        <v>85</v>
      </c>
      <c r="C20" s="41">
        <v>15</v>
      </c>
      <c r="D20" s="42" t="s">
        <v>31</v>
      </c>
      <c r="E20" s="43" t="s">
        <v>86</v>
      </c>
      <c r="F20" s="42" t="s">
        <v>87</v>
      </c>
      <c r="G20" s="44"/>
      <c r="H20" s="41" t="s">
        <v>45</v>
      </c>
      <c r="I20" s="45">
        <v>3</v>
      </c>
      <c r="J20" s="45">
        <f>SUMIFS('[1]POR Control Log-income'!L:L,'[1]POR Control Log-income'!F:F,[1]본공사입.출고현황!B20)</f>
        <v>3</v>
      </c>
      <c r="K20" s="45">
        <f t="shared" si="0"/>
        <v>0</v>
      </c>
      <c r="L20" s="45"/>
      <c r="M20" s="45">
        <f>SUMIFS('[1]POR Control Log-income'!L:L,'[1]POR Control Log-income'!F:F,[1]본공사입.출고현황!B20)</f>
        <v>3</v>
      </c>
      <c r="N20" s="46">
        <f t="shared" si="3"/>
        <v>0</v>
      </c>
      <c r="O20" s="47">
        <f>M20</f>
        <v>3</v>
      </c>
      <c r="P20" s="48">
        <f>SUMIFS('[1]POR Control Log-out'!L:L,'[1]POR Control Log-out'!D:D,[1]본공사입.출고현황!B20)</f>
        <v>2</v>
      </c>
      <c r="Q20" s="45"/>
      <c r="R20" s="45">
        <v>0</v>
      </c>
      <c r="S20" s="45">
        <f t="shared" si="2"/>
        <v>1</v>
      </c>
      <c r="T20" s="49"/>
      <c r="U20" s="50">
        <v>1</v>
      </c>
      <c r="V20" s="41">
        <v>1</v>
      </c>
      <c r="W20" s="40" t="s">
        <v>37</v>
      </c>
    </row>
    <row r="21" spans="1:23" x14ac:dyDescent="0.25">
      <c r="A21" s="17">
        <v>17</v>
      </c>
      <c r="B21" s="40"/>
      <c r="C21" s="51" t="s">
        <v>88</v>
      </c>
      <c r="D21" s="52"/>
      <c r="E21" s="53" t="s">
        <v>89</v>
      </c>
      <c r="F21" s="52"/>
      <c r="G21" s="54"/>
      <c r="H21" s="51"/>
      <c r="I21" s="45"/>
      <c r="J21" s="45">
        <f>SUMIFS('[1]POR Control Log-income'!L:L,'[1]POR Control Log-income'!F:F,[1]본공사입.출고현황!B21)</f>
        <v>0</v>
      </c>
      <c r="K21" s="45"/>
      <c r="L21" s="45"/>
      <c r="M21" s="45">
        <f>SUMIFS('[1]POR Control Log-income'!L:L,'[1]POR Control Log-income'!F:F,[1]본공사입.출고현황!B21)</f>
        <v>0</v>
      </c>
      <c r="N21" s="46">
        <f t="shared" si="3"/>
        <v>0</v>
      </c>
      <c r="O21" s="47"/>
      <c r="P21" s="48"/>
      <c r="Q21" s="45"/>
      <c r="R21" s="45"/>
      <c r="S21" s="55" t="s">
        <v>81</v>
      </c>
      <c r="T21" s="56"/>
      <c r="U21" s="57"/>
      <c r="V21" s="51"/>
      <c r="W21" s="40" t="s">
        <v>37</v>
      </c>
    </row>
    <row r="22" spans="1:23" ht="31.5" x14ac:dyDescent="0.25">
      <c r="A22" s="58">
        <v>18</v>
      </c>
      <c r="B22" s="58" t="s">
        <v>90</v>
      </c>
      <c r="C22" s="59">
        <v>1</v>
      </c>
      <c r="D22" s="60" t="s">
        <v>91</v>
      </c>
      <c r="E22" s="61" t="s">
        <v>92</v>
      </c>
      <c r="F22" s="60" t="s">
        <v>93</v>
      </c>
      <c r="G22" s="62" t="s">
        <v>94</v>
      </c>
      <c r="H22" s="63" t="s">
        <v>35</v>
      </c>
      <c r="I22" s="64">
        <v>2437</v>
      </c>
      <c r="J22" s="64">
        <f>SUMIFS('[1]POR Control Log-income'!L:L,'[1]POR Control Log-income'!F:F,[1]본공사입.출고현황!B22)</f>
        <v>2437</v>
      </c>
      <c r="K22" s="64">
        <f t="shared" ref="K22:K45" si="4">I22-J22</f>
        <v>0</v>
      </c>
      <c r="L22" s="64"/>
      <c r="M22" s="64">
        <f>SUMIFS('[1]POR Control Log-income'!L:L,'[1]POR Control Log-income'!F:F,[1]본공사입.출고현황!B22)</f>
        <v>2437</v>
      </c>
      <c r="N22" s="65">
        <f t="shared" si="3"/>
        <v>0</v>
      </c>
      <c r="O22" s="66">
        <f t="shared" ref="O22:O45" si="5">M22</f>
        <v>2437</v>
      </c>
      <c r="P22" s="67">
        <f>SUMIFS('[1]POR Control Log-out'!L:L,'[1]POR Control Log-out'!D:D,[1]본공사입.출고현황!B22)</f>
        <v>1438</v>
      </c>
      <c r="Q22" s="64">
        <f>311+97</f>
        <v>408</v>
      </c>
      <c r="R22" s="64">
        <v>255</v>
      </c>
      <c r="S22" s="64">
        <f t="shared" si="2"/>
        <v>336</v>
      </c>
      <c r="T22" s="68"/>
      <c r="U22" s="69">
        <v>130</v>
      </c>
      <c r="V22" s="59" t="s">
        <v>95</v>
      </c>
      <c r="W22" s="58" t="s">
        <v>37</v>
      </c>
    </row>
    <row r="23" spans="1:23" ht="31.5" x14ac:dyDescent="0.25">
      <c r="A23" s="40">
        <v>19</v>
      </c>
      <c r="B23" s="40" t="s">
        <v>96</v>
      </c>
      <c r="C23" s="41">
        <v>2</v>
      </c>
      <c r="D23" s="42" t="s">
        <v>91</v>
      </c>
      <c r="E23" s="43" t="s">
        <v>97</v>
      </c>
      <c r="F23" s="42" t="s">
        <v>98</v>
      </c>
      <c r="G23" s="44" t="s">
        <v>99</v>
      </c>
      <c r="H23" s="70" t="s">
        <v>35</v>
      </c>
      <c r="I23" s="45">
        <v>5390</v>
      </c>
      <c r="J23" s="45">
        <f>SUMIFS('[1]POR Control Log-income'!L:L,'[1]POR Control Log-income'!F:F,[1]본공사입.출고현황!B23)</f>
        <v>5390</v>
      </c>
      <c r="K23" s="45">
        <f t="shared" si="4"/>
        <v>0</v>
      </c>
      <c r="L23" s="45"/>
      <c r="M23" s="45">
        <f>SUMIFS('[1]POR Control Log-income'!L:L,'[1]POR Control Log-income'!F:F,[1]본공사입.출고현황!B23)</f>
        <v>5390</v>
      </c>
      <c r="N23" s="46">
        <f t="shared" si="3"/>
        <v>0</v>
      </c>
      <c r="O23" s="47">
        <f t="shared" si="5"/>
        <v>5390</v>
      </c>
      <c r="P23" s="48">
        <f>SUMIFS('[1]POR Control Log-out'!L:L,'[1]POR Control Log-out'!D:D,[1]본공사입.출고현황!B23)</f>
        <v>1452</v>
      </c>
      <c r="Q23" s="45">
        <f>198+58-120+240</f>
        <v>376</v>
      </c>
      <c r="R23" s="45">
        <v>238</v>
      </c>
      <c r="S23" s="45">
        <f t="shared" si="2"/>
        <v>3324</v>
      </c>
      <c r="T23" s="49" t="s">
        <v>100</v>
      </c>
      <c r="U23" s="50" t="s">
        <v>101</v>
      </c>
      <c r="V23" s="41" t="s">
        <v>102</v>
      </c>
      <c r="W23" s="40" t="s">
        <v>37</v>
      </c>
    </row>
    <row r="24" spans="1:23" x14ac:dyDescent="0.25">
      <c r="A24" s="71">
        <v>20</v>
      </c>
      <c r="B24" s="72" t="s">
        <v>103</v>
      </c>
      <c r="C24" s="73">
        <v>3</v>
      </c>
      <c r="D24" s="74" t="s">
        <v>91</v>
      </c>
      <c r="E24" s="75" t="s">
        <v>104</v>
      </c>
      <c r="F24" s="74" t="s">
        <v>91</v>
      </c>
      <c r="G24" s="76" t="s">
        <v>105</v>
      </c>
      <c r="H24" s="77" t="s">
        <v>35</v>
      </c>
      <c r="I24" s="78">
        <v>0</v>
      </c>
      <c r="J24" s="78">
        <f>SUMIFS('[1]POR Control Log-income'!L:L,'[1]POR Control Log-income'!F:F,[1]본공사입.출고현황!B24)</f>
        <v>0</v>
      </c>
      <c r="K24" s="78">
        <f t="shared" si="4"/>
        <v>0</v>
      </c>
      <c r="L24" s="78"/>
      <c r="M24" s="78">
        <f>SUMIFS('[1]POR Control Log-income'!L:L,'[1]POR Control Log-income'!F:F,[1]본공사입.출고현황!B24)</f>
        <v>0</v>
      </c>
      <c r="N24" s="79">
        <f t="shared" si="3"/>
        <v>0</v>
      </c>
      <c r="O24" s="80">
        <f t="shared" si="5"/>
        <v>0</v>
      </c>
      <c r="P24" s="81">
        <f>SUMIFS('[1]POR Control Log-out'!L:L,'[1]POR Control Log-out'!D:D,[1]본공사입.출고현황!B24)</f>
        <v>0</v>
      </c>
      <c r="Q24" s="78"/>
      <c r="R24" s="78"/>
      <c r="S24" s="82" t="s">
        <v>81</v>
      </c>
      <c r="T24" s="83" t="s">
        <v>106</v>
      </c>
      <c r="U24" s="84"/>
      <c r="V24" s="73"/>
      <c r="W24" s="40" t="s">
        <v>37</v>
      </c>
    </row>
    <row r="25" spans="1:23" ht="31.5" x14ac:dyDescent="0.25">
      <c r="A25" s="40">
        <v>25</v>
      </c>
      <c r="B25" s="40" t="s">
        <v>107</v>
      </c>
      <c r="C25" s="41">
        <v>4</v>
      </c>
      <c r="D25" s="42" t="s">
        <v>91</v>
      </c>
      <c r="E25" s="43" t="s">
        <v>108</v>
      </c>
      <c r="F25" s="42" t="s">
        <v>93</v>
      </c>
      <c r="G25" s="44" t="s">
        <v>109</v>
      </c>
      <c r="H25" s="70" t="s">
        <v>35</v>
      </c>
      <c r="I25" s="45">
        <v>172</v>
      </c>
      <c r="J25" s="45">
        <f>SUMIFS('[1]POR Control Log-income'!L:L,'[1]POR Control Log-income'!F:F,[1]본공사입.출고현황!B25)</f>
        <v>172</v>
      </c>
      <c r="K25" s="45">
        <f t="shared" si="4"/>
        <v>0</v>
      </c>
      <c r="L25" s="45"/>
      <c r="M25" s="45">
        <f>SUMIFS('[1]POR Control Log-income'!L:L,'[1]POR Control Log-income'!F:F,[1]본공사입.출고현황!B25)</f>
        <v>172</v>
      </c>
      <c r="N25" s="46">
        <f t="shared" si="3"/>
        <v>0</v>
      </c>
      <c r="O25" s="47">
        <f t="shared" si="5"/>
        <v>172</v>
      </c>
      <c r="P25" s="48">
        <f>SUMIFS('[1]POR Control Log-out'!L:L,'[1]POR Control Log-out'!D:D,[1]본공사입.출고현황!B25)</f>
        <v>0</v>
      </c>
      <c r="Q25" s="45"/>
      <c r="R25" s="45">
        <v>0</v>
      </c>
      <c r="S25" s="45">
        <f t="shared" si="2"/>
        <v>172</v>
      </c>
      <c r="T25" s="85" t="s">
        <v>110</v>
      </c>
      <c r="U25" s="50" t="s">
        <v>111</v>
      </c>
      <c r="V25" s="41" t="s">
        <v>112</v>
      </c>
      <c r="W25" s="40" t="s">
        <v>37</v>
      </c>
    </row>
    <row r="26" spans="1:23" x14ac:dyDescent="0.25">
      <c r="A26" s="86">
        <v>21</v>
      </c>
      <c r="B26" s="86" t="s">
        <v>113</v>
      </c>
      <c r="C26" s="87">
        <v>5</v>
      </c>
      <c r="D26" s="88" t="s">
        <v>91</v>
      </c>
      <c r="E26" s="89" t="s">
        <v>104</v>
      </c>
      <c r="F26" s="88" t="s">
        <v>91</v>
      </c>
      <c r="G26" s="90" t="s">
        <v>114</v>
      </c>
      <c r="H26" s="91" t="s">
        <v>35</v>
      </c>
      <c r="I26" s="92">
        <v>1400.32</v>
      </c>
      <c r="J26" s="92">
        <f>SUMIFS('[1]POR Control Log-income'!L:L,'[1]POR Control Log-income'!F:F,[1]본공사입.출고현황!B26)</f>
        <v>1400.32</v>
      </c>
      <c r="K26" s="92">
        <f t="shared" si="4"/>
        <v>0</v>
      </c>
      <c r="L26" s="92"/>
      <c r="M26" s="92">
        <f>SUMIFS('[1]POR Control Log-income'!L:L,'[1]POR Control Log-income'!F:F,[1]본공사입.출고현황!B26)</f>
        <v>1400.32</v>
      </c>
      <c r="N26" s="93">
        <f t="shared" si="3"/>
        <v>0</v>
      </c>
      <c r="O26" s="94">
        <f t="shared" si="5"/>
        <v>1400.32</v>
      </c>
      <c r="P26" s="95">
        <f>SUMIFS('[1]POR Control Log-out'!L:L,'[1]POR Control Log-out'!D:D,[1]본공사입.출고현황!B26)</f>
        <v>1176</v>
      </c>
      <c r="Q26" s="92"/>
      <c r="R26" s="92">
        <v>116.32</v>
      </c>
      <c r="S26" s="92">
        <f t="shared" si="2"/>
        <v>108</v>
      </c>
      <c r="T26" s="96"/>
      <c r="U26" s="97"/>
      <c r="V26" s="87"/>
      <c r="W26" s="40" t="s">
        <v>37</v>
      </c>
    </row>
    <row r="27" spans="1:23" ht="31.5" x14ac:dyDescent="0.25">
      <c r="A27" s="40">
        <v>22</v>
      </c>
      <c r="B27" s="40" t="s">
        <v>115</v>
      </c>
      <c r="C27" s="41">
        <v>6</v>
      </c>
      <c r="D27" s="42" t="s">
        <v>91</v>
      </c>
      <c r="E27" s="43" t="s">
        <v>116</v>
      </c>
      <c r="F27" s="42" t="s">
        <v>93</v>
      </c>
      <c r="G27" s="44" t="s">
        <v>117</v>
      </c>
      <c r="H27" s="70" t="s">
        <v>35</v>
      </c>
      <c r="I27" s="45">
        <v>530</v>
      </c>
      <c r="J27" s="45">
        <f>SUMIFS('[1]POR Control Log-income'!L:L,'[1]POR Control Log-income'!F:F,[1]본공사입.출고현황!B27)</f>
        <v>530</v>
      </c>
      <c r="K27" s="45">
        <f t="shared" si="4"/>
        <v>0</v>
      </c>
      <c r="L27" s="45"/>
      <c r="M27" s="45">
        <f>SUMIFS('[1]POR Control Log-income'!L:L,'[1]POR Control Log-income'!F:F,[1]본공사입.출고현황!B27)</f>
        <v>530</v>
      </c>
      <c r="N27" s="46">
        <f t="shared" si="3"/>
        <v>0</v>
      </c>
      <c r="O27" s="47">
        <f t="shared" si="5"/>
        <v>530</v>
      </c>
      <c r="P27" s="48">
        <f>SUMIFS('[1]POR Control Log-out'!L:L,'[1]POR Control Log-out'!D:D,[1]본공사입.출고현황!B27)</f>
        <v>0</v>
      </c>
      <c r="Q27" s="45">
        <v>189</v>
      </c>
      <c r="R27" s="45">
        <v>0</v>
      </c>
      <c r="S27" s="45">
        <f t="shared" si="2"/>
        <v>341</v>
      </c>
      <c r="T27" s="49"/>
      <c r="U27" s="50">
        <v>430</v>
      </c>
      <c r="V27" s="41" t="s">
        <v>118</v>
      </c>
      <c r="W27" s="40" t="s">
        <v>37</v>
      </c>
    </row>
    <row r="28" spans="1:23" ht="31.5" x14ac:dyDescent="0.25">
      <c r="A28" s="74">
        <v>23</v>
      </c>
      <c r="B28" s="74" t="s">
        <v>119</v>
      </c>
      <c r="C28" s="74">
        <v>7</v>
      </c>
      <c r="D28" s="74" t="s">
        <v>91</v>
      </c>
      <c r="E28" s="74" t="s">
        <v>120</v>
      </c>
      <c r="F28" s="74" t="s">
        <v>91</v>
      </c>
      <c r="G28" s="74" t="s">
        <v>121</v>
      </c>
      <c r="H28" s="74" t="s">
        <v>35</v>
      </c>
      <c r="I28" s="74">
        <v>0</v>
      </c>
      <c r="J28" s="74">
        <f>SUMIFS('[1]POR Control Log-income'!L:L,'[1]POR Control Log-income'!F:F,[1]본공사입.출고현황!B28)</f>
        <v>0</v>
      </c>
      <c r="K28" s="74">
        <f t="shared" si="4"/>
        <v>0</v>
      </c>
      <c r="L28" s="74"/>
      <c r="M28" s="74">
        <f>SUMIFS('[1]POR Control Log-income'!L:L,'[1]POR Control Log-income'!F:F,[1]본공사입.출고현황!B28)</f>
        <v>0</v>
      </c>
      <c r="N28" s="74">
        <f t="shared" si="3"/>
        <v>0</v>
      </c>
      <c r="O28" s="74">
        <f t="shared" si="5"/>
        <v>0</v>
      </c>
      <c r="P28" s="74">
        <f>SUMIFS('[1]POR Control Log-out'!L:L,'[1]POR Control Log-out'!D:D,[1]본공사입.출고현황!B28)</f>
        <v>0</v>
      </c>
      <c r="Q28" s="74"/>
      <c r="R28" s="74">
        <v>0</v>
      </c>
      <c r="S28" s="74" t="s">
        <v>81</v>
      </c>
      <c r="T28" s="74" t="s">
        <v>122</v>
      </c>
      <c r="U28" s="77"/>
      <c r="V28" s="74"/>
      <c r="W28" s="40" t="s">
        <v>37</v>
      </c>
    </row>
    <row r="29" spans="1:23" ht="31.5" x14ac:dyDescent="0.25">
      <c r="A29" s="40">
        <v>24</v>
      </c>
      <c r="B29" s="40" t="s">
        <v>123</v>
      </c>
      <c r="C29" s="41">
        <v>8</v>
      </c>
      <c r="D29" s="42" t="s">
        <v>91</v>
      </c>
      <c r="E29" s="43" t="s">
        <v>124</v>
      </c>
      <c r="F29" s="42" t="s">
        <v>91</v>
      </c>
      <c r="G29" s="44" t="s">
        <v>125</v>
      </c>
      <c r="H29" s="70" t="s">
        <v>35</v>
      </c>
      <c r="I29" s="45">
        <f>5956+84</f>
        <v>6040</v>
      </c>
      <c r="J29" s="45">
        <f>SUMIFS('[1]POR Control Log-income'!L:L,'[1]POR Control Log-income'!F:F,[1]본공사입.출고현황!B29)</f>
        <v>5956</v>
      </c>
      <c r="K29" s="45">
        <f t="shared" si="4"/>
        <v>84</v>
      </c>
      <c r="L29" s="45">
        <v>66</v>
      </c>
      <c r="M29" s="45">
        <f>SUMIFS('[1]POR Control Log-income'!L:L,'[1]POR Control Log-income'!F:F,[1]본공사입.출고현황!B29)</f>
        <v>5956</v>
      </c>
      <c r="N29" s="46">
        <f t="shared" si="3"/>
        <v>0</v>
      </c>
      <c r="O29" s="47">
        <f t="shared" si="5"/>
        <v>5956</v>
      </c>
      <c r="P29" s="48">
        <f>SUMIFS('[1]POR Control Log-out'!L:L,'[1]POR Control Log-out'!D:D,[1]본공사입.출고현황!B29)</f>
        <v>5156.4880000000003</v>
      </c>
      <c r="Q29" s="45">
        <v>113</v>
      </c>
      <c r="R29" s="45">
        <f>555.512</f>
        <v>555.51199999999994</v>
      </c>
      <c r="S29" s="45">
        <f t="shared" si="2"/>
        <v>131</v>
      </c>
      <c r="T29" s="44" t="s">
        <v>126</v>
      </c>
      <c r="U29" s="50" t="s">
        <v>127</v>
      </c>
      <c r="V29" s="41" t="s">
        <v>128</v>
      </c>
      <c r="W29" s="40" t="s">
        <v>37</v>
      </c>
    </row>
    <row r="30" spans="1:23" ht="31.5" x14ac:dyDescent="0.25">
      <c r="A30" s="74">
        <v>25</v>
      </c>
      <c r="B30" s="74" t="s">
        <v>129</v>
      </c>
      <c r="C30" s="74">
        <v>9</v>
      </c>
      <c r="D30" s="74" t="s">
        <v>91</v>
      </c>
      <c r="E30" s="74" t="s">
        <v>130</v>
      </c>
      <c r="F30" s="74" t="s">
        <v>93</v>
      </c>
      <c r="G30" s="74" t="s">
        <v>131</v>
      </c>
      <c r="H30" s="74" t="s">
        <v>35</v>
      </c>
      <c r="I30" s="74">
        <v>18</v>
      </c>
      <c r="J30" s="74">
        <f>SUMIFS('[1]POR Control Log-income'!L:L,'[1]POR Control Log-income'!F:F,[1]본공사입.출고현황!B30)</f>
        <v>18</v>
      </c>
      <c r="K30" s="74">
        <f t="shared" si="4"/>
        <v>0</v>
      </c>
      <c r="L30" s="74"/>
      <c r="M30" s="74">
        <f>SUMIFS('[1]POR Control Log-income'!L:L,'[1]POR Control Log-income'!F:F,[1]본공사입.출고현황!B30)</f>
        <v>18</v>
      </c>
      <c r="N30" s="74">
        <f t="shared" si="3"/>
        <v>0</v>
      </c>
      <c r="O30" s="74">
        <f t="shared" si="5"/>
        <v>18</v>
      </c>
      <c r="P30" s="74">
        <f>SUMIFS('[1]POR Control Log-out'!L:L,'[1]POR Control Log-out'!D:D,[1]본공사입.출고현황!B30)</f>
        <v>0</v>
      </c>
      <c r="Q30" s="74">
        <v>0</v>
      </c>
      <c r="R30" s="74">
        <v>0</v>
      </c>
      <c r="S30" s="74">
        <f t="shared" si="2"/>
        <v>18</v>
      </c>
      <c r="T30" s="74" t="s">
        <v>132</v>
      </c>
      <c r="U30" s="77"/>
      <c r="V30" s="74"/>
      <c r="W30" s="40" t="s">
        <v>37</v>
      </c>
    </row>
    <row r="31" spans="1:23" x14ac:dyDescent="0.25">
      <c r="A31" s="17">
        <v>26</v>
      </c>
      <c r="B31" s="40" t="s">
        <v>133</v>
      </c>
      <c r="C31" s="41">
        <v>10</v>
      </c>
      <c r="D31" s="42" t="s">
        <v>134</v>
      </c>
      <c r="E31" s="43" t="s">
        <v>135</v>
      </c>
      <c r="F31" s="42" t="s">
        <v>136</v>
      </c>
      <c r="G31" s="44" t="s">
        <v>137</v>
      </c>
      <c r="H31" s="70" t="s">
        <v>138</v>
      </c>
      <c r="I31" s="45">
        <v>44</v>
      </c>
      <c r="J31" s="45">
        <f>SUMIFS('[1]POR Control Log-income'!L:L,'[1]POR Control Log-income'!F:F,[1]본공사입.출고현황!B31)</f>
        <v>44</v>
      </c>
      <c r="K31" s="45">
        <f t="shared" si="4"/>
        <v>0</v>
      </c>
      <c r="L31" s="45"/>
      <c r="M31" s="45">
        <f>SUMIFS('[1]POR Control Log-income'!L:L,'[1]POR Control Log-income'!F:F,[1]본공사입.출고현황!B31)</f>
        <v>44</v>
      </c>
      <c r="N31" s="46">
        <f t="shared" si="3"/>
        <v>0</v>
      </c>
      <c r="O31" s="47">
        <f t="shared" si="5"/>
        <v>44</v>
      </c>
      <c r="P31" s="48">
        <f>SUMIFS('[1]POR Control Log-out'!L:L,'[1]POR Control Log-out'!D:D,[1]본공사입.출고현황!B31)</f>
        <v>1.3</v>
      </c>
      <c r="Q31" s="45"/>
      <c r="R31" s="45">
        <v>0</v>
      </c>
      <c r="S31" s="45">
        <f t="shared" si="2"/>
        <v>42.7</v>
      </c>
      <c r="T31" s="98">
        <f>S31/0.15</f>
        <v>284.66666666666669</v>
      </c>
      <c r="U31" s="99" t="s">
        <v>139</v>
      </c>
      <c r="V31" s="100" t="s">
        <v>140</v>
      </c>
      <c r="W31" s="40" t="s">
        <v>37</v>
      </c>
    </row>
    <row r="32" spans="1:23" x14ac:dyDescent="0.25">
      <c r="A32" s="17">
        <v>27</v>
      </c>
      <c r="B32" s="40" t="s">
        <v>141</v>
      </c>
      <c r="C32" s="41">
        <v>11</v>
      </c>
      <c r="D32" s="42" t="s">
        <v>134</v>
      </c>
      <c r="E32" s="43" t="s">
        <v>135</v>
      </c>
      <c r="F32" s="42" t="s">
        <v>136</v>
      </c>
      <c r="G32" s="44" t="s">
        <v>137</v>
      </c>
      <c r="H32" s="70" t="s">
        <v>142</v>
      </c>
      <c r="I32" s="45">
        <v>200</v>
      </c>
      <c r="J32" s="45">
        <f>SUMIFS('[1]POR Control Log-income'!L:L,'[1]POR Control Log-income'!F:F,[1]본공사입.출고현황!B32)</f>
        <v>200</v>
      </c>
      <c r="K32" s="45">
        <f t="shared" si="4"/>
        <v>0</v>
      </c>
      <c r="L32" s="45"/>
      <c r="M32" s="45">
        <f>SUMIFS('[1]POR Control Log-income'!L:L,'[1]POR Control Log-income'!F:F,[1]본공사입.출고현황!B32)</f>
        <v>200</v>
      </c>
      <c r="N32" s="46">
        <f t="shared" si="3"/>
        <v>0</v>
      </c>
      <c r="O32" s="47">
        <f t="shared" si="5"/>
        <v>200</v>
      </c>
      <c r="P32" s="48">
        <f>SUMIFS('[1]POR Control Log-out'!L:L,'[1]POR Control Log-out'!D:D,[1]본공사입.출고현황!B32)</f>
        <v>188</v>
      </c>
      <c r="Q32" s="45">
        <v>0</v>
      </c>
      <c r="R32" s="45">
        <v>0</v>
      </c>
      <c r="S32" s="45">
        <f t="shared" si="2"/>
        <v>12</v>
      </c>
      <c r="T32" s="85"/>
      <c r="U32" s="101"/>
      <c r="V32" s="102"/>
      <c r="W32" s="40" t="s">
        <v>37</v>
      </c>
    </row>
    <row r="33" spans="1:23" x14ac:dyDescent="0.25">
      <c r="A33" s="17">
        <v>28</v>
      </c>
      <c r="B33" s="40" t="s">
        <v>143</v>
      </c>
      <c r="C33" s="41">
        <v>12</v>
      </c>
      <c r="D33" s="42" t="s">
        <v>134</v>
      </c>
      <c r="E33" s="43" t="s">
        <v>144</v>
      </c>
      <c r="F33" s="42" t="s">
        <v>136</v>
      </c>
      <c r="G33" s="44" t="s">
        <v>145</v>
      </c>
      <c r="H33" s="70" t="s">
        <v>142</v>
      </c>
      <c r="I33" s="45">
        <f>60+60</f>
        <v>120</v>
      </c>
      <c r="J33" s="45">
        <f>SUMIFS('[1]POR Control Log-income'!L:L,'[1]POR Control Log-income'!F:F,[1]본공사입.출고현황!B33)</f>
        <v>60</v>
      </c>
      <c r="K33" s="45">
        <f t="shared" si="4"/>
        <v>60</v>
      </c>
      <c r="L33" s="45"/>
      <c r="M33" s="45">
        <f>SUMIFS('[1]POR Control Log-income'!L:L,'[1]POR Control Log-income'!F:F,[1]본공사입.출고현황!B33)</f>
        <v>60</v>
      </c>
      <c r="N33" s="46">
        <f t="shared" si="3"/>
        <v>0</v>
      </c>
      <c r="O33" s="47">
        <f t="shared" si="5"/>
        <v>60</v>
      </c>
      <c r="P33" s="48">
        <f>SUMIFS('[1]POR Control Log-out'!L:L,'[1]POR Control Log-out'!D:D,[1]본공사입.출고현황!B33)</f>
        <v>0</v>
      </c>
      <c r="Q33" s="45"/>
      <c r="R33" s="45">
        <v>0</v>
      </c>
      <c r="S33" s="45">
        <f t="shared" si="2"/>
        <v>60</v>
      </c>
      <c r="T33" s="85"/>
      <c r="U33" s="101"/>
      <c r="V33" s="102"/>
      <c r="W33" s="40" t="s">
        <v>37</v>
      </c>
    </row>
    <row r="34" spans="1:23" x14ac:dyDescent="0.25">
      <c r="A34" s="17">
        <v>29</v>
      </c>
      <c r="B34" s="40" t="s">
        <v>146</v>
      </c>
      <c r="C34" s="41">
        <v>13</v>
      </c>
      <c r="D34" s="42" t="s">
        <v>134</v>
      </c>
      <c r="E34" s="43" t="s">
        <v>147</v>
      </c>
      <c r="F34" s="42" t="s">
        <v>136</v>
      </c>
      <c r="G34" s="44" t="s">
        <v>148</v>
      </c>
      <c r="H34" s="70" t="s">
        <v>138</v>
      </c>
      <c r="I34" s="45">
        <v>104</v>
      </c>
      <c r="J34" s="45">
        <f>SUMIFS('[1]POR Control Log-income'!L:L,'[1]POR Control Log-income'!F:F,[1]본공사입.출고현황!B34)</f>
        <v>104</v>
      </c>
      <c r="K34" s="45">
        <f t="shared" si="4"/>
        <v>0</v>
      </c>
      <c r="L34" s="45"/>
      <c r="M34" s="45">
        <f>SUMIFS('[1]POR Control Log-income'!L:L,'[1]POR Control Log-income'!F:F,[1]본공사입.출고현황!B34)</f>
        <v>104</v>
      </c>
      <c r="N34" s="46">
        <f t="shared" si="3"/>
        <v>0</v>
      </c>
      <c r="O34" s="47">
        <f t="shared" si="5"/>
        <v>104</v>
      </c>
      <c r="P34" s="48">
        <f>SUMIFS('[1]POR Control Log-out'!L:L,'[1]POR Control Log-out'!D:D,[1]본공사입.출고현황!B34)</f>
        <v>48</v>
      </c>
      <c r="Q34" s="45">
        <v>1.5</v>
      </c>
      <c r="R34" s="45">
        <v>0</v>
      </c>
      <c r="S34" s="45">
        <f t="shared" si="2"/>
        <v>54.5</v>
      </c>
      <c r="T34" s="98">
        <f>S34/0.15</f>
        <v>363.33333333333337</v>
      </c>
      <c r="U34" s="101"/>
      <c r="V34" s="102"/>
      <c r="W34" s="40" t="s">
        <v>37</v>
      </c>
    </row>
    <row r="35" spans="1:23" x14ac:dyDescent="0.25">
      <c r="A35" s="86">
        <v>30</v>
      </c>
      <c r="B35" s="86" t="s">
        <v>149</v>
      </c>
      <c r="C35" s="87">
        <v>14</v>
      </c>
      <c r="D35" s="88" t="s">
        <v>134</v>
      </c>
      <c r="E35" s="89" t="s">
        <v>147</v>
      </c>
      <c r="F35" s="88" t="s">
        <v>136</v>
      </c>
      <c r="G35" s="90" t="s">
        <v>148</v>
      </c>
      <c r="H35" s="91" t="s">
        <v>142</v>
      </c>
      <c r="I35" s="92">
        <v>456</v>
      </c>
      <c r="J35" s="92">
        <f>SUMIFS('[1]POR Control Log-income'!L:L,'[1]POR Control Log-income'!F:F,[1]본공사입.출고현황!B35)</f>
        <v>456</v>
      </c>
      <c r="K35" s="92">
        <f t="shared" si="4"/>
        <v>0</v>
      </c>
      <c r="L35" s="92"/>
      <c r="M35" s="92">
        <f>SUMIFS('[1]POR Control Log-income'!L:L,'[1]POR Control Log-income'!F:F,[1]본공사입.출고현황!B35)</f>
        <v>456</v>
      </c>
      <c r="N35" s="93">
        <f t="shared" si="3"/>
        <v>0</v>
      </c>
      <c r="O35" s="94">
        <f t="shared" si="5"/>
        <v>456</v>
      </c>
      <c r="P35" s="95">
        <f>SUMIFS('[1]POR Control Log-out'!L:L,'[1]POR Control Log-out'!D:D,[1]본공사입.출고현황!B35)</f>
        <v>423</v>
      </c>
      <c r="Q35" s="92">
        <v>33</v>
      </c>
      <c r="R35" s="92">
        <v>0</v>
      </c>
      <c r="S35" s="103" t="s">
        <v>81</v>
      </c>
      <c r="T35" s="104"/>
      <c r="U35" s="101"/>
      <c r="V35" s="102"/>
      <c r="W35" s="86" t="s">
        <v>37</v>
      </c>
    </row>
    <row r="36" spans="1:23" x14ac:dyDescent="0.25">
      <c r="A36" s="17">
        <v>31</v>
      </c>
      <c r="B36" s="40" t="s">
        <v>150</v>
      </c>
      <c r="C36" s="41">
        <v>15</v>
      </c>
      <c r="D36" s="42" t="s">
        <v>134</v>
      </c>
      <c r="E36" s="43" t="s">
        <v>151</v>
      </c>
      <c r="F36" s="42" t="s">
        <v>136</v>
      </c>
      <c r="G36" s="44" t="s">
        <v>152</v>
      </c>
      <c r="H36" s="70" t="s">
        <v>142</v>
      </c>
      <c r="I36" s="45">
        <v>280</v>
      </c>
      <c r="J36" s="45">
        <f>SUMIFS('[1]POR Control Log-income'!L:L,'[1]POR Control Log-income'!F:F,[1]본공사입.출고현황!B36)</f>
        <v>280</v>
      </c>
      <c r="K36" s="45">
        <f t="shared" si="4"/>
        <v>0</v>
      </c>
      <c r="L36" s="45"/>
      <c r="M36" s="45">
        <f>SUMIFS('[1]POR Control Log-income'!L:L,'[1]POR Control Log-income'!F:F,[1]본공사입.출고현황!B36)</f>
        <v>280</v>
      </c>
      <c r="N36" s="46">
        <f t="shared" si="3"/>
        <v>0</v>
      </c>
      <c r="O36" s="47">
        <f t="shared" si="5"/>
        <v>280</v>
      </c>
      <c r="P36" s="48">
        <f>SUMIFS('[1]POR Control Log-out'!L:L,'[1]POR Control Log-out'!D:D,[1]본공사입.출고현황!B36)</f>
        <v>120</v>
      </c>
      <c r="Q36" s="45">
        <v>35</v>
      </c>
      <c r="R36" s="45">
        <v>0</v>
      </c>
      <c r="S36" s="45">
        <f t="shared" si="2"/>
        <v>125</v>
      </c>
      <c r="T36" s="85"/>
      <c r="U36" s="101"/>
      <c r="V36" s="102"/>
      <c r="W36" s="40" t="s">
        <v>37</v>
      </c>
    </row>
    <row r="37" spans="1:23" x14ac:dyDescent="0.25">
      <c r="A37" s="17">
        <v>32</v>
      </c>
      <c r="B37" s="40" t="s">
        <v>153</v>
      </c>
      <c r="C37" s="41">
        <v>16</v>
      </c>
      <c r="D37" s="42" t="s">
        <v>134</v>
      </c>
      <c r="E37" s="43" t="s">
        <v>154</v>
      </c>
      <c r="F37" s="42" t="s">
        <v>136</v>
      </c>
      <c r="G37" s="44" t="s">
        <v>155</v>
      </c>
      <c r="H37" s="70" t="s">
        <v>142</v>
      </c>
      <c r="I37" s="45">
        <v>440</v>
      </c>
      <c r="J37" s="45">
        <f>SUMIFS('[1]POR Control Log-income'!L:L,'[1]POR Control Log-income'!F:F,[1]본공사입.출고현황!B37)</f>
        <v>440</v>
      </c>
      <c r="K37" s="45">
        <f t="shared" si="4"/>
        <v>0</v>
      </c>
      <c r="L37" s="45"/>
      <c r="M37" s="45">
        <f>SUMIFS('[1]POR Control Log-income'!L:L,'[1]POR Control Log-income'!F:F,[1]본공사입.출고현황!B37)</f>
        <v>440</v>
      </c>
      <c r="N37" s="46">
        <f t="shared" si="3"/>
        <v>0</v>
      </c>
      <c r="O37" s="47">
        <f t="shared" si="5"/>
        <v>440</v>
      </c>
      <c r="P37" s="45">
        <f>SUMIFS('[1]POR Control Log-out'!L:L,'[1]POR Control Log-out'!D:D,[1]본공사입.출고현황!B37)</f>
        <v>97</v>
      </c>
      <c r="Q37" s="45">
        <f>23+21</f>
        <v>44</v>
      </c>
      <c r="R37" s="45">
        <v>0</v>
      </c>
      <c r="S37" s="45">
        <f t="shared" si="2"/>
        <v>299</v>
      </c>
      <c r="T37" s="85"/>
      <c r="U37" s="101"/>
      <c r="V37" s="102"/>
      <c r="W37" s="40" t="s">
        <v>37</v>
      </c>
    </row>
    <row r="38" spans="1:23" x14ac:dyDescent="0.25">
      <c r="A38" s="86"/>
      <c r="B38" s="86" t="s">
        <v>156</v>
      </c>
      <c r="C38" s="87">
        <v>17</v>
      </c>
      <c r="D38" s="88" t="s">
        <v>134</v>
      </c>
      <c r="E38" s="89" t="s">
        <v>157</v>
      </c>
      <c r="F38" s="88" t="s">
        <v>136</v>
      </c>
      <c r="G38" s="90" t="s">
        <v>158</v>
      </c>
      <c r="H38" s="91" t="s">
        <v>45</v>
      </c>
      <c r="I38" s="92">
        <v>9</v>
      </c>
      <c r="J38" s="92">
        <f>SUMIFS('[1]POR Control Log-income'!L:L,'[1]POR Control Log-income'!F:F,[1]본공사입.출고현황!B38)</f>
        <v>9</v>
      </c>
      <c r="K38" s="92">
        <f t="shared" si="4"/>
        <v>0</v>
      </c>
      <c r="L38" s="92"/>
      <c r="M38" s="92">
        <f>SUMIFS('[1]POR Control Log-income'!L:L,'[1]POR Control Log-income'!F:F,[1]본공사입.출고현황!B38)</f>
        <v>9</v>
      </c>
      <c r="N38" s="93">
        <f t="shared" si="3"/>
        <v>0</v>
      </c>
      <c r="O38" s="94">
        <f t="shared" si="5"/>
        <v>9</v>
      </c>
      <c r="P38" s="92">
        <v>9</v>
      </c>
      <c r="Q38" s="92">
        <v>0</v>
      </c>
      <c r="R38" s="92"/>
      <c r="S38" s="103" t="s">
        <v>81</v>
      </c>
      <c r="T38" s="104" t="s">
        <v>132</v>
      </c>
      <c r="U38" s="105"/>
      <c r="V38" s="106"/>
      <c r="W38" s="86" t="s">
        <v>37</v>
      </c>
    </row>
    <row r="39" spans="1:23" x14ac:dyDescent="0.25">
      <c r="A39" s="58">
        <v>33</v>
      </c>
      <c r="B39" s="58" t="s">
        <v>159</v>
      </c>
      <c r="C39" s="59">
        <v>18</v>
      </c>
      <c r="D39" s="60" t="s">
        <v>160</v>
      </c>
      <c r="E39" s="61" t="s">
        <v>161</v>
      </c>
      <c r="F39" s="60" t="s">
        <v>162</v>
      </c>
      <c r="G39" s="62" t="s">
        <v>163</v>
      </c>
      <c r="H39" s="63" t="s">
        <v>35</v>
      </c>
      <c r="I39" s="64">
        <v>3968</v>
      </c>
      <c r="J39" s="64">
        <f>SUMIFS('[1]POR Control Log-income'!L:L,'[1]POR Control Log-income'!F:F,[1]본공사입.출고현황!B39)</f>
        <v>3968</v>
      </c>
      <c r="K39" s="64">
        <f t="shared" si="4"/>
        <v>0</v>
      </c>
      <c r="L39" s="64"/>
      <c r="M39" s="64">
        <f>SUMIFS('[1]POR Control Log-income'!L:L,'[1]POR Control Log-income'!F:F,[1]본공사입.출고현황!B39)</f>
        <v>3968</v>
      </c>
      <c r="N39" s="65">
        <f t="shared" si="3"/>
        <v>0</v>
      </c>
      <c r="O39" s="66">
        <f t="shared" si="5"/>
        <v>3968</v>
      </c>
      <c r="P39" s="64">
        <f>SUMIFS('[1]POR Control Log-out'!L:L,'[1]POR Control Log-out'!D:D,[1]본공사입.출고현황!B39)</f>
        <v>2726</v>
      </c>
      <c r="Q39" s="64">
        <f>40.1+3</f>
        <v>43.1</v>
      </c>
      <c r="R39" s="64">
        <f>323.9+3</f>
        <v>326.89999999999998</v>
      </c>
      <c r="S39" s="107">
        <f t="shared" si="2"/>
        <v>872</v>
      </c>
      <c r="T39" s="108" t="s">
        <v>100</v>
      </c>
      <c r="U39" s="69">
        <v>466</v>
      </c>
      <c r="V39" s="59" t="s">
        <v>164</v>
      </c>
      <c r="W39" s="40" t="s">
        <v>37</v>
      </c>
    </row>
    <row r="40" spans="1:23" x14ac:dyDescent="0.25">
      <c r="A40" s="17">
        <v>34</v>
      </c>
      <c r="B40" s="17" t="s">
        <v>165</v>
      </c>
      <c r="C40" s="41">
        <v>19</v>
      </c>
      <c r="D40" s="109" t="s">
        <v>160</v>
      </c>
      <c r="E40" s="110" t="s">
        <v>166</v>
      </c>
      <c r="F40" s="109" t="s">
        <v>162</v>
      </c>
      <c r="G40" s="111" t="s">
        <v>167</v>
      </c>
      <c r="H40" s="112" t="s">
        <v>35</v>
      </c>
      <c r="I40" s="113">
        <v>732</v>
      </c>
      <c r="J40" s="45">
        <f>SUMIFS('[1]POR Control Log-income'!L:L,'[1]POR Control Log-income'!F:F,[1]본공사입.출고현황!B40)</f>
        <v>732</v>
      </c>
      <c r="K40" s="113">
        <f t="shared" si="4"/>
        <v>0</v>
      </c>
      <c r="L40" s="113"/>
      <c r="M40" s="113">
        <f>SUMIFS('[1]POR Control Log-income'!L:L,'[1]POR Control Log-income'!F:F,[1]본공사입.출고현황!B40)</f>
        <v>732</v>
      </c>
      <c r="N40" s="114">
        <f t="shared" si="3"/>
        <v>0</v>
      </c>
      <c r="O40" s="115">
        <f t="shared" si="5"/>
        <v>732</v>
      </c>
      <c r="P40" s="113">
        <f>SUMIFS('[1]POR Control Log-out'!L:L,'[1]POR Control Log-out'!D:D,[1]본공사입.출고현황!B40)</f>
        <v>414.4</v>
      </c>
      <c r="Q40" s="113"/>
      <c r="R40" s="113">
        <v>29.6</v>
      </c>
      <c r="S40" s="45">
        <f t="shared" si="2"/>
        <v>288</v>
      </c>
      <c r="T40" s="116"/>
      <c r="U40" s="117">
        <v>288</v>
      </c>
      <c r="V40" s="118" t="s">
        <v>168</v>
      </c>
      <c r="W40" s="40" t="s">
        <v>37</v>
      </c>
    </row>
    <row r="41" spans="1:23" x14ac:dyDescent="0.25">
      <c r="A41" s="86">
        <v>35</v>
      </c>
      <c r="B41" s="86" t="s">
        <v>169</v>
      </c>
      <c r="C41" s="87">
        <v>20</v>
      </c>
      <c r="D41" s="88" t="s">
        <v>160</v>
      </c>
      <c r="E41" s="89" t="s">
        <v>170</v>
      </c>
      <c r="F41" s="88" t="s">
        <v>162</v>
      </c>
      <c r="G41" s="90" t="s">
        <v>171</v>
      </c>
      <c r="H41" s="91" t="s">
        <v>35</v>
      </c>
      <c r="I41" s="92">
        <v>40</v>
      </c>
      <c r="J41" s="92">
        <f>SUMIFS('[1]POR Control Log-income'!L:L,'[1]POR Control Log-income'!F:F,[1]본공사입.출고현황!B41)</f>
        <v>40</v>
      </c>
      <c r="K41" s="92">
        <f t="shared" si="4"/>
        <v>0</v>
      </c>
      <c r="L41" s="92"/>
      <c r="M41" s="92">
        <f>SUMIFS('[1]POR Control Log-income'!L:L,'[1]POR Control Log-income'!F:F,[1]본공사입.출고현황!B41)</f>
        <v>40</v>
      </c>
      <c r="N41" s="93">
        <f t="shared" si="3"/>
        <v>0</v>
      </c>
      <c r="O41" s="94">
        <f t="shared" si="5"/>
        <v>40</v>
      </c>
      <c r="P41" s="92">
        <f>SUMIFS('[1]POR Control Log-out'!L:L,'[1]POR Control Log-out'!D:D,[1]본공사입.출고현황!B41)</f>
        <v>35</v>
      </c>
      <c r="Q41" s="92"/>
      <c r="R41" s="92">
        <v>5</v>
      </c>
      <c r="S41" s="103" t="s">
        <v>81</v>
      </c>
      <c r="T41" s="104"/>
      <c r="U41" s="97"/>
      <c r="V41" s="87" t="s">
        <v>81</v>
      </c>
      <c r="W41" s="40" t="s">
        <v>37</v>
      </c>
    </row>
    <row r="42" spans="1:23" ht="31.5" x14ac:dyDescent="0.25">
      <c r="A42" s="17">
        <v>36</v>
      </c>
      <c r="B42" s="17" t="s">
        <v>172</v>
      </c>
      <c r="C42" s="41">
        <v>21</v>
      </c>
      <c r="D42" s="109" t="s">
        <v>173</v>
      </c>
      <c r="E42" s="110" t="s">
        <v>174</v>
      </c>
      <c r="F42" s="109" t="s">
        <v>175</v>
      </c>
      <c r="G42" s="111" t="s">
        <v>176</v>
      </c>
      <c r="H42" s="112" t="s">
        <v>177</v>
      </c>
      <c r="I42" s="113">
        <v>23</v>
      </c>
      <c r="J42" s="45">
        <f>SUMIFS('[1]POR Control Log-income'!L:L,'[1]POR Control Log-income'!F:F,[1]본공사입.출고현황!B42)</f>
        <v>6</v>
      </c>
      <c r="K42" s="113">
        <f t="shared" si="4"/>
        <v>17</v>
      </c>
      <c r="L42" s="113">
        <v>1</v>
      </c>
      <c r="M42" s="113">
        <f>SUMIFS('[1]POR Control Log-income'!L:L,'[1]POR Control Log-income'!F:F,[1]본공사입.출고현황!B42)</f>
        <v>6</v>
      </c>
      <c r="N42" s="114">
        <f t="shared" si="3"/>
        <v>0</v>
      </c>
      <c r="O42" s="115">
        <f t="shared" si="5"/>
        <v>6</v>
      </c>
      <c r="P42" s="113">
        <f>SUMIFS('[1]POR Control Log-out'!L:L,'[1]POR Control Log-out'!D:D,[1]본공사입.출고현황!B42)</f>
        <v>5</v>
      </c>
      <c r="Q42" s="113"/>
      <c r="R42" s="113"/>
      <c r="S42" s="45">
        <f t="shared" si="2"/>
        <v>1</v>
      </c>
      <c r="T42" s="116"/>
      <c r="U42" s="117">
        <v>1</v>
      </c>
      <c r="V42" s="118">
        <v>1</v>
      </c>
      <c r="W42" s="40" t="s">
        <v>37</v>
      </c>
    </row>
    <row r="43" spans="1:23" ht="31.5" x14ac:dyDescent="0.25">
      <c r="A43" s="17">
        <v>36</v>
      </c>
      <c r="B43" s="17" t="s">
        <v>178</v>
      </c>
      <c r="C43" s="41">
        <v>22</v>
      </c>
      <c r="D43" s="109" t="s">
        <v>173</v>
      </c>
      <c r="E43" s="110" t="s">
        <v>179</v>
      </c>
      <c r="F43" s="109" t="s">
        <v>175</v>
      </c>
      <c r="G43" s="111" t="s">
        <v>180</v>
      </c>
      <c r="H43" s="112" t="s">
        <v>177</v>
      </c>
      <c r="I43" s="113">
        <v>23</v>
      </c>
      <c r="J43" s="45">
        <f>SUMIFS('[1]POR Control Log-income'!L:L,'[1]POR Control Log-income'!F:F,[1]본공사입.출고현황!B43)</f>
        <v>6</v>
      </c>
      <c r="K43" s="113">
        <f t="shared" si="4"/>
        <v>17</v>
      </c>
      <c r="L43" s="113">
        <v>1</v>
      </c>
      <c r="M43" s="113">
        <f>SUMIFS('[1]POR Control Log-income'!L:L,'[1]POR Control Log-income'!F:F,[1]본공사입.출고현황!B43)</f>
        <v>6</v>
      </c>
      <c r="N43" s="114">
        <f t="shared" si="3"/>
        <v>0</v>
      </c>
      <c r="O43" s="115">
        <f t="shared" si="5"/>
        <v>6</v>
      </c>
      <c r="P43" s="113">
        <f>SUMIFS('[1]POR Control Log-out'!L:L,'[1]POR Control Log-out'!D:D,[1]본공사입.출고현황!B43)</f>
        <v>5</v>
      </c>
      <c r="Q43" s="113"/>
      <c r="R43" s="113"/>
      <c r="S43" s="45">
        <f t="shared" si="2"/>
        <v>1</v>
      </c>
      <c r="T43" s="116"/>
      <c r="U43" s="117">
        <v>1</v>
      </c>
      <c r="V43" s="118">
        <v>1</v>
      </c>
      <c r="W43" s="40" t="s">
        <v>37</v>
      </c>
    </row>
    <row r="44" spans="1:23" ht="31.5" x14ac:dyDescent="0.25">
      <c r="A44" s="86">
        <v>37</v>
      </c>
      <c r="B44" s="86" t="s">
        <v>181</v>
      </c>
      <c r="C44" s="87">
        <v>23</v>
      </c>
      <c r="D44" s="88" t="s">
        <v>173</v>
      </c>
      <c r="E44" s="89" t="s">
        <v>182</v>
      </c>
      <c r="F44" s="88" t="s">
        <v>173</v>
      </c>
      <c r="G44" s="90" t="s">
        <v>183</v>
      </c>
      <c r="H44" s="91" t="s">
        <v>177</v>
      </c>
      <c r="I44" s="92">
        <v>21</v>
      </c>
      <c r="J44" s="92">
        <f>SUMIFS('[1]POR Control Log-income'!L:L,'[1]POR Control Log-income'!F:F,[1]본공사입.출고현황!B44)</f>
        <v>0</v>
      </c>
      <c r="K44" s="92">
        <f t="shared" si="4"/>
        <v>21</v>
      </c>
      <c r="L44" s="92">
        <v>1</v>
      </c>
      <c r="M44" s="92">
        <f>SUMIFS('[1]POR Control Log-income'!L:L,'[1]POR Control Log-income'!F:F,[1]본공사입.출고현황!B44)</f>
        <v>0</v>
      </c>
      <c r="N44" s="93">
        <f t="shared" si="3"/>
        <v>0</v>
      </c>
      <c r="O44" s="94">
        <f t="shared" si="5"/>
        <v>0</v>
      </c>
      <c r="P44" s="92">
        <f>SUMIFS('[1]POR Control Log-out'!L:L,'[1]POR Control Log-out'!D:D,[1]본공사입.출고현황!B44)</f>
        <v>0</v>
      </c>
      <c r="Q44" s="92"/>
      <c r="R44" s="92"/>
      <c r="S44" s="103" t="s">
        <v>81</v>
      </c>
      <c r="T44" s="104"/>
      <c r="U44" s="97"/>
      <c r="V44" s="87" t="s">
        <v>81</v>
      </c>
      <c r="W44" s="40" t="s">
        <v>37</v>
      </c>
    </row>
    <row r="45" spans="1:23" ht="31.5" x14ac:dyDescent="0.25">
      <c r="A45" s="17">
        <v>38</v>
      </c>
      <c r="B45" s="17" t="s">
        <v>184</v>
      </c>
      <c r="C45" s="41">
        <v>24</v>
      </c>
      <c r="D45" s="109" t="s">
        <v>173</v>
      </c>
      <c r="E45" s="110" t="s">
        <v>185</v>
      </c>
      <c r="F45" s="109" t="s">
        <v>173</v>
      </c>
      <c r="G45" s="111" t="s">
        <v>183</v>
      </c>
      <c r="H45" s="112" t="s">
        <v>177</v>
      </c>
      <c r="I45" s="113">
        <v>21</v>
      </c>
      <c r="J45" s="45">
        <f>SUMIFS('[1]POR Control Log-income'!L:L,'[1]POR Control Log-income'!F:F,[1]본공사입.출고현황!B45)</f>
        <v>2</v>
      </c>
      <c r="K45" s="113">
        <f t="shared" si="4"/>
        <v>19</v>
      </c>
      <c r="L45" s="113">
        <v>1</v>
      </c>
      <c r="M45" s="113">
        <f>SUMIFS('[1]POR Control Log-income'!L:L,'[1]POR Control Log-income'!F:F,[1]본공사입.출고현황!B45)</f>
        <v>2</v>
      </c>
      <c r="N45" s="114">
        <f t="shared" si="3"/>
        <v>0</v>
      </c>
      <c r="O45" s="115">
        <f t="shared" si="5"/>
        <v>2</v>
      </c>
      <c r="P45" s="113">
        <f>SUMIFS('[1]POR Control Log-out'!L:L,'[1]POR Control Log-out'!D:D,[1]본공사입.출고현황!B45)</f>
        <v>1</v>
      </c>
      <c r="Q45" s="113"/>
      <c r="R45" s="113"/>
      <c r="S45" s="45">
        <f t="shared" si="2"/>
        <v>1</v>
      </c>
      <c r="T45" s="116"/>
      <c r="U45" s="117">
        <v>1</v>
      </c>
      <c r="V45" s="118">
        <v>1</v>
      </c>
      <c r="W45" s="40" t="s">
        <v>37</v>
      </c>
    </row>
    <row r="46" spans="1:23" x14ac:dyDescent="0.25">
      <c r="A46" s="17">
        <v>39</v>
      </c>
      <c r="C46" s="31" t="s">
        <v>186</v>
      </c>
      <c r="D46" s="32"/>
      <c r="E46" s="33" t="s">
        <v>187</v>
      </c>
      <c r="F46" s="32"/>
      <c r="G46" s="34"/>
      <c r="H46" s="31"/>
      <c r="I46" s="45"/>
      <c r="J46" s="45">
        <f>SUMIFS('[1]POR Control Log-income'!L:L,'[1]POR Control Log-income'!F:F,[1]본공사입.출고현황!B46)</f>
        <v>0</v>
      </c>
      <c r="K46" s="45"/>
      <c r="L46" s="113"/>
      <c r="M46" s="113">
        <f>SUMIFS('[1]POR Control Log-income'!L:L,'[1]POR Control Log-income'!F:F,[1]본공사입.출고현황!B46)</f>
        <v>0</v>
      </c>
      <c r="N46" s="114">
        <f t="shared" si="3"/>
        <v>0</v>
      </c>
      <c r="O46" s="115"/>
      <c r="P46" s="119"/>
      <c r="Q46" s="113"/>
      <c r="R46" s="113"/>
      <c r="S46" s="45"/>
      <c r="T46" s="120"/>
      <c r="U46" s="39"/>
      <c r="V46" s="31"/>
      <c r="W46" s="40" t="s">
        <v>37</v>
      </c>
    </row>
    <row r="47" spans="1:23" ht="31.5" x14ac:dyDescent="0.25">
      <c r="A47" s="17">
        <v>40</v>
      </c>
      <c r="B47" s="17" t="s">
        <v>188</v>
      </c>
      <c r="C47" s="41">
        <v>1</v>
      </c>
      <c r="D47" s="42" t="s">
        <v>189</v>
      </c>
      <c r="E47" s="43" t="s">
        <v>190</v>
      </c>
      <c r="F47" s="42" t="s">
        <v>187</v>
      </c>
      <c r="G47" s="44" t="s">
        <v>212</v>
      </c>
      <c r="H47" s="41" t="s">
        <v>35</v>
      </c>
      <c r="I47" s="45">
        <v>156805.25</v>
      </c>
      <c r="J47" s="45">
        <f>SUMIFS('[1]POR Control Log-income'!L:L,'[1]POR Control Log-income'!F:F,[1]본공사입.출고현황!B47)</f>
        <v>111445.25000000001</v>
      </c>
      <c r="K47" s="45">
        <f>I47-J47</f>
        <v>45359.999999999985</v>
      </c>
      <c r="L47" s="113"/>
      <c r="M47" s="113">
        <f>SUMIFS('[1]POR Control Log-income'!L:L,'[1]POR Control Log-income'!F:F,[1]본공사입.출고현황!B47)</f>
        <v>111445.25000000001</v>
      </c>
      <c r="N47" s="114">
        <f t="shared" si="3"/>
        <v>0</v>
      </c>
      <c r="O47" s="47">
        <f>M47</f>
        <v>111445.25000000001</v>
      </c>
      <c r="P47" s="119">
        <v>98727.6</v>
      </c>
      <c r="Q47" s="113">
        <v>800</v>
      </c>
      <c r="R47" s="113">
        <f>1796.833</f>
        <v>1796.8330000000001</v>
      </c>
      <c r="S47" s="45">
        <f t="shared" si="2"/>
        <v>10120.81700000001</v>
      </c>
      <c r="T47" s="121" t="s">
        <v>191</v>
      </c>
      <c r="U47" s="117" t="s">
        <v>192</v>
      </c>
      <c r="V47" s="112" t="s">
        <v>193</v>
      </c>
      <c r="W47" s="40" t="s">
        <v>37</v>
      </c>
    </row>
    <row r="48" spans="1:23" ht="31.5" x14ac:dyDescent="0.25">
      <c r="A48" s="17">
        <v>41</v>
      </c>
      <c r="B48" s="17" t="s">
        <v>194</v>
      </c>
      <c r="C48" s="118">
        <v>2</v>
      </c>
      <c r="D48" s="109" t="s">
        <v>195</v>
      </c>
      <c r="E48" s="110" t="s">
        <v>196</v>
      </c>
      <c r="F48" s="109" t="s">
        <v>187</v>
      </c>
      <c r="G48" s="111" t="s">
        <v>197</v>
      </c>
      <c r="H48" s="118" t="s">
        <v>35</v>
      </c>
      <c r="I48" s="113">
        <f>1212+540+540+840</f>
        <v>3132</v>
      </c>
      <c r="J48" s="45">
        <f>SUMIFS('[1]POR Control Log-income'!L:L,'[1]POR Control Log-income'!F:F,[1]본공사입.출고현황!B48)</f>
        <v>1200</v>
      </c>
      <c r="K48" s="113">
        <f>I48-J48</f>
        <v>1932</v>
      </c>
      <c r="L48" s="113"/>
      <c r="M48" s="113">
        <f>SUMIFS('[1]POR Control Log-income'!L:L,'[1]POR Control Log-income'!F:F,[1]본공사입.출고현황!B48)</f>
        <v>1200</v>
      </c>
      <c r="N48" s="114">
        <f t="shared" si="3"/>
        <v>0</v>
      </c>
      <c r="O48" s="115">
        <f>M48</f>
        <v>1200</v>
      </c>
      <c r="P48" s="119">
        <f>SUMIFS('[1]POR Control Log-out'!L:L,'[1]POR Control Log-out'!D:D,[1]본공사입.출고현황!B48)</f>
        <v>927</v>
      </c>
      <c r="Q48" s="113">
        <v>3.5</v>
      </c>
      <c r="R48" s="113">
        <v>19.5</v>
      </c>
      <c r="S48" s="45">
        <f t="shared" si="2"/>
        <v>250</v>
      </c>
      <c r="T48" s="116"/>
      <c r="U48" s="117">
        <v>264</v>
      </c>
      <c r="V48" s="118" t="s">
        <v>198</v>
      </c>
      <c r="W48" s="40" t="s">
        <v>37</v>
      </c>
    </row>
    <row r="49" spans="1:23" x14ac:dyDescent="0.25">
      <c r="A49" s="17">
        <v>42</v>
      </c>
      <c r="B49" s="17" t="s">
        <v>199</v>
      </c>
      <c r="C49" s="118">
        <v>3</v>
      </c>
      <c r="D49" s="109" t="s">
        <v>200</v>
      </c>
      <c r="E49" s="110" t="s">
        <v>201</v>
      </c>
      <c r="F49" s="109" t="s">
        <v>187</v>
      </c>
      <c r="G49" s="111" t="s">
        <v>202</v>
      </c>
      <c r="H49" s="118" t="s">
        <v>203</v>
      </c>
      <c r="I49" s="113">
        <v>10</v>
      </c>
      <c r="J49" s="113">
        <f>SUMIFS('[1]POR Control Log-income'!L:L,'[1]POR Control Log-income'!F:F,[1]본공사입.출고현황!B49)</f>
        <v>1</v>
      </c>
      <c r="K49" s="113">
        <f>I49-J49</f>
        <v>9</v>
      </c>
      <c r="L49" s="113"/>
      <c r="M49" s="113">
        <f>SUMIFS('[1]POR Control Log-income'!L:L,'[1]POR Control Log-income'!F:F,[1]본공사입.출고현황!B49)</f>
        <v>1</v>
      </c>
      <c r="N49" s="114">
        <f t="shared" si="3"/>
        <v>0</v>
      </c>
      <c r="O49" s="115">
        <f>M49</f>
        <v>1</v>
      </c>
      <c r="P49" s="119">
        <f>SUMIFS('[1]POR Control Log-out'!L:L,'[1]POR Control Log-out'!D:D,[1]본공사입.출고현황!B49)</f>
        <v>0.8</v>
      </c>
      <c r="Q49" s="113">
        <v>0</v>
      </c>
      <c r="R49" s="113">
        <v>0</v>
      </c>
      <c r="S49" s="45">
        <f t="shared" si="2"/>
        <v>0.19999999999999996</v>
      </c>
      <c r="T49" s="116"/>
      <c r="U49" s="117"/>
      <c r="V49" s="118"/>
      <c r="W49" s="40" t="s">
        <v>37</v>
      </c>
    </row>
    <row r="50" spans="1:23" x14ac:dyDescent="0.25">
      <c r="A50" s="17">
        <v>42</v>
      </c>
      <c r="B50" s="17" t="s">
        <v>204</v>
      </c>
      <c r="C50" s="118">
        <v>4</v>
      </c>
      <c r="D50" s="109" t="s">
        <v>200</v>
      </c>
      <c r="E50" s="110" t="s">
        <v>205</v>
      </c>
      <c r="F50" s="109" t="s">
        <v>187</v>
      </c>
      <c r="G50" s="111" t="s">
        <v>206</v>
      </c>
      <c r="H50" s="118" t="s">
        <v>203</v>
      </c>
      <c r="I50" s="113">
        <v>1</v>
      </c>
      <c r="J50" s="113">
        <f>SUMIFS('[1]POR Control Log-income'!L:L,'[1]POR Control Log-income'!F:F,[1]본공사입.출고현황!B50)</f>
        <v>1</v>
      </c>
      <c r="K50" s="113">
        <f>I50-J50</f>
        <v>0</v>
      </c>
      <c r="L50" s="113"/>
      <c r="M50" s="113">
        <f>SUMIFS('[1]POR Control Log-income'!L:L,'[1]POR Control Log-income'!F:F,[1]본공사입.출고현황!B50)</f>
        <v>1</v>
      </c>
      <c r="N50" s="114">
        <f t="shared" si="3"/>
        <v>0</v>
      </c>
      <c r="O50" s="115">
        <f>M50</f>
        <v>1</v>
      </c>
      <c r="P50" s="119">
        <f>SUMIFS('[1]POR Control Log-out'!L:L,'[1]POR Control Log-out'!D:D,[1]본공사입.출고현황!B50)</f>
        <v>0</v>
      </c>
      <c r="Q50" s="113">
        <v>0</v>
      </c>
      <c r="R50" s="113">
        <v>0</v>
      </c>
      <c r="S50" s="45">
        <f t="shared" si="2"/>
        <v>1</v>
      </c>
      <c r="T50" s="116"/>
      <c r="U50" s="117"/>
      <c r="V50" s="118"/>
      <c r="W50" s="40" t="s">
        <v>207</v>
      </c>
    </row>
    <row r="51" spans="1:23" x14ac:dyDescent="0.25">
      <c r="P51" s="125" t="s">
        <v>208</v>
      </c>
    </row>
    <row r="52" spans="1:23" x14ac:dyDescent="0.25">
      <c r="B52" s="17">
        <v>1</v>
      </c>
      <c r="C52" s="17">
        <v>2</v>
      </c>
      <c r="D52" s="17">
        <v>3</v>
      </c>
      <c r="E52" s="17">
        <v>4</v>
      </c>
      <c r="F52" s="17">
        <v>5</v>
      </c>
      <c r="G52" s="17">
        <v>6</v>
      </c>
      <c r="H52" s="17">
        <v>7</v>
      </c>
      <c r="I52" s="17">
        <v>8</v>
      </c>
      <c r="J52" s="17">
        <v>9</v>
      </c>
      <c r="K52" s="17">
        <v>10</v>
      </c>
      <c r="L52" s="17">
        <v>11</v>
      </c>
      <c r="M52" s="17">
        <v>12</v>
      </c>
      <c r="N52" s="17">
        <v>13</v>
      </c>
      <c r="O52" s="17">
        <v>14</v>
      </c>
      <c r="P52" s="17">
        <v>15</v>
      </c>
      <c r="Q52" s="17">
        <v>16</v>
      </c>
      <c r="R52" s="17">
        <v>17</v>
      </c>
      <c r="S52" s="17">
        <v>18</v>
      </c>
      <c r="T52" s="17">
        <v>19</v>
      </c>
      <c r="V52" s="118"/>
      <c r="W52" s="17"/>
    </row>
    <row r="54" spans="1:23" x14ac:dyDescent="0.25">
      <c r="P54" s="125">
        <v>92837.6</v>
      </c>
      <c r="Q54" s="125">
        <f>P54-P47</f>
        <v>-5890</v>
      </c>
      <c r="T54" s="125"/>
      <c r="U54" s="125"/>
      <c r="V54" s="126"/>
      <c r="W54" s="125"/>
    </row>
    <row r="55" spans="1:23" x14ac:dyDescent="0.25">
      <c r="R55" s="127"/>
      <c r="T55" s="128"/>
      <c r="U55" s="129"/>
      <c r="V55" s="130"/>
      <c r="W55" s="128"/>
    </row>
    <row r="59" spans="1:23" x14ac:dyDescent="0.25">
      <c r="F59" s="131"/>
    </row>
  </sheetData>
  <mergeCells count="12">
    <mergeCell ref="T3:T4"/>
    <mergeCell ref="U3:U4"/>
    <mergeCell ref="V3:V4"/>
    <mergeCell ref="W3:W4"/>
    <mergeCell ref="U31:U38"/>
    <mergeCell ref="V31:V38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Nasser</dc:creator>
  <cp:lastModifiedBy>Hassan Nasser</cp:lastModifiedBy>
  <dcterms:created xsi:type="dcterms:W3CDTF">2026-05-19T08:03:39Z</dcterms:created>
  <dcterms:modified xsi:type="dcterms:W3CDTF">2026-05-19T08:04:58Z</dcterms:modified>
</cp:coreProperties>
</file>