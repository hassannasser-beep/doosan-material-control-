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terial\weekly Material Status\Meeting\Mr. Park\2026\May\20-5-2026\"/>
    </mc:Choice>
  </mc:AlternateContent>
  <xr:revisionPtr revIDLastSave="0" documentId="13_ncr:1_{A9BF4AE5-5149-43D5-B23A-CAF478F9C93D}" xr6:coauthVersionLast="47" xr6:coauthVersionMax="47" xr10:uidLastSave="{00000000-0000-0000-0000-000000000000}"/>
  <bookViews>
    <workbookView xWindow="28680" yWindow="-120" windowWidth="29040" windowHeight="15720" xr2:uid="{D5364511-FAED-48B5-9B48-02B7E5001854}"/>
  </bookViews>
  <sheets>
    <sheet name="본공사입.출고현황" sheetId="19" r:id="rId1"/>
    <sheet name="POR Control Log-income" sheetId="17" r:id="rId2"/>
    <sheet name="POR Control Log-out" sheetId="18" r:id="rId3"/>
    <sheet name="케이블트레이입.출고현황" sheetId="27" r:id="rId4"/>
    <sheet name="Cable Tray-income  " sheetId="28" r:id="rId5"/>
    <sheet name="Cable Tray-Log-out" sheetId="30" r:id="rId6"/>
    <sheet name="임시동력입.출고현황" sheetId="25" r:id="rId7"/>
    <sheet name="T-Power-income" sheetId="22" r:id="rId8"/>
    <sheet name="T-Power-out" sheetId="21" r:id="rId9"/>
    <sheet name="Summary Table" sheetId="23" r:id="rId10"/>
    <sheet name="Tray" sheetId="31" r:id="rId11"/>
  </sheets>
  <definedNames>
    <definedName name="_" localSheetId="9" hidden="1">#REF!</definedName>
    <definedName name="_" localSheetId="10" hidden="1">#REF!</definedName>
    <definedName name="_" hidden="1">#REF!</definedName>
    <definedName name="__" localSheetId="9" hidden="1">#REF!</definedName>
    <definedName name="__" localSheetId="10" hidden="1">#REF!</definedName>
    <definedName name="__" localSheetId="3" hidden="1">#REF!</definedName>
    <definedName name="__" hidden="1">#REF!</definedName>
    <definedName name="___" localSheetId="9" hidden="1">#REF!</definedName>
    <definedName name="___" localSheetId="10" hidden="1">#REF!</definedName>
    <definedName name="___" hidden="1">#REF!</definedName>
    <definedName name="_____________PK2" localSheetId="5" hidden="1">{"'장비'!$A$3:$M$12"}</definedName>
    <definedName name="_____________PK2" localSheetId="9" hidden="1">{"'장비'!$A$3:$M$12"}</definedName>
    <definedName name="_____________PK2" localSheetId="10" hidden="1">{"'장비'!$A$3:$M$12"}</definedName>
    <definedName name="_____________PK2" localSheetId="6" hidden="1">{"'장비'!$A$3:$M$12"}</definedName>
    <definedName name="_____________PK2" localSheetId="3" hidden="1">{"'장비'!$A$3:$M$12"}</definedName>
    <definedName name="_____________PK2" hidden="1">{"'장비'!$A$3:$M$12"}</definedName>
    <definedName name="_____________PK2_1" localSheetId="5" hidden="1">{"'장비'!$A$3:$M$12"}</definedName>
    <definedName name="_____________PK2_1" localSheetId="9" hidden="1">{"'장비'!$A$3:$M$12"}</definedName>
    <definedName name="_____________PK2_1" localSheetId="10" hidden="1">{"'장비'!$A$3:$M$12"}</definedName>
    <definedName name="_____________PK2_1" localSheetId="6" hidden="1">{"'장비'!$A$3:$M$12"}</definedName>
    <definedName name="_____________PK2_1" localSheetId="3" hidden="1">{"'장비'!$A$3:$M$12"}</definedName>
    <definedName name="_____________PK2_1" hidden="1">{"'장비'!$A$3:$M$12"}</definedName>
    <definedName name="_____________PKG3" localSheetId="5" hidden="1">{"'장비'!$A$3:$M$12"}</definedName>
    <definedName name="_____________PKG3" localSheetId="9" hidden="1">{"'장비'!$A$3:$M$12"}</definedName>
    <definedName name="_____________PKG3" localSheetId="10" hidden="1">{"'장비'!$A$3:$M$12"}</definedName>
    <definedName name="_____________PKG3" localSheetId="6" hidden="1">{"'장비'!$A$3:$M$12"}</definedName>
    <definedName name="_____________PKG3" localSheetId="3" hidden="1">{"'장비'!$A$3:$M$12"}</definedName>
    <definedName name="_____________PKG3" hidden="1">{"'장비'!$A$3:$M$12"}</definedName>
    <definedName name="_____________PKG3_1" localSheetId="5" hidden="1">{"'장비'!$A$3:$M$12"}</definedName>
    <definedName name="_____________PKG3_1" localSheetId="9" hidden="1">{"'장비'!$A$3:$M$12"}</definedName>
    <definedName name="_____________PKG3_1" localSheetId="10" hidden="1">{"'장비'!$A$3:$M$12"}</definedName>
    <definedName name="_____________PKG3_1" localSheetId="6" hidden="1">{"'장비'!$A$3:$M$12"}</definedName>
    <definedName name="_____________PKG3_1" localSheetId="3" hidden="1">{"'장비'!$A$3:$M$12"}</definedName>
    <definedName name="_____________PKG3_1" hidden="1">{"'장비'!$A$3:$M$12"}</definedName>
    <definedName name="_____________qqq222" localSheetId="5" hidden="1">{"'장비'!$A$3:$M$12"}</definedName>
    <definedName name="_____________qqq222" localSheetId="9" hidden="1">{"'장비'!$A$3:$M$12"}</definedName>
    <definedName name="_____________qqq222" localSheetId="10" hidden="1">{"'장비'!$A$3:$M$12"}</definedName>
    <definedName name="_____________qqq222" localSheetId="6" hidden="1">{"'장비'!$A$3:$M$12"}</definedName>
    <definedName name="_____________qqq222" localSheetId="3" hidden="1">{"'장비'!$A$3:$M$12"}</definedName>
    <definedName name="_____________qqq222" hidden="1">{"'장비'!$A$3:$M$12"}</definedName>
    <definedName name="_____________qqq222_1" localSheetId="5" hidden="1">{"'장비'!$A$3:$M$12"}</definedName>
    <definedName name="_____________qqq222_1" localSheetId="9" hidden="1">{"'장비'!$A$3:$M$12"}</definedName>
    <definedName name="_____________qqq222_1" localSheetId="10" hidden="1">{"'장비'!$A$3:$M$12"}</definedName>
    <definedName name="_____________qqq222_1" localSheetId="6" hidden="1">{"'장비'!$A$3:$M$12"}</definedName>
    <definedName name="_____________qqq222_1" localSheetId="3" hidden="1">{"'장비'!$A$3:$M$12"}</definedName>
    <definedName name="_____________qqq222_1" hidden="1">{"'장비'!$A$3:$M$12"}</definedName>
    <definedName name="____________PK2" localSheetId="5" hidden="1">{"'장비'!$A$3:$M$12"}</definedName>
    <definedName name="____________PK2" localSheetId="9" hidden="1">{"'장비'!$A$3:$M$12"}</definedName>
    <definedName name="____________PK2" localSheetId="10" hidden="1">{"'장비'!$A$3:$M$12"}</definedName>
    <definedName name="____________PK2" localSheetId="6" hidden="1">{"'장비'!$A$3:$M$12"}</definedName>
    <definedName name="____________PK2" localSheetId="3" hidden="1">{"'장비'!$A$3:$M$12"}</definedName>
    <definedName name="____________PK2" hidden="1">{"'장비'!$A$3:$M$12"}</definedName>
    <definedName name="____________PK2_1" localSheetId="5" hidden="1">{"'장비'!$A$3:$M$12"}</definedName>
    <definedName name="____________PK2_1" localSheetId="9" hidden="1">{"'장비'!$A$3:$M$12"}</definedName>
    <definedName name="____________PK2_1" localSheetId="10" hidden="1">{"'장비'!$A$3:$M$12"}</definedName>
    <definedName name="____________PK2_1" localSheetId="6" hidden="1">{"'장비'!$A$3:$M$12"}</definedName>
    <definedName name="____________PK2_1" localSheetId="3" hidden="1">{"'장비'!$A$3:$M$12"}</definedName>
    <definedName name="____________PK2_1" hidden="1">{"'장비'!$A$3:$M$12"}</definedName>
    <definedName name="____________PKG3" localSheetId="5" hidden="1">{"'장비'!$A$3:$M$12"}</definedName>
    <definedName name="____________PKG3" localSheetId="9" hidden="1">{"'장비'!$A$3:$M$12"}</definedName>
    <definedName name="____________PKG3" localSheetId="10" hidden="1">{"'장비'!$A$3:$M$12"}</definedName>
    <definedName name="____________PKG3" localSheetId="6" hidden="1">{"'장비'!$A$3:$M$12"}</definedName>
    <definedName name="____________PKG3" localSheetId="3" hidden="1">{"'장비'!$A$3:$M$12"}</definedName>
    <definedName name="____________PKG3" hidden="1">{"'장비'!$A$3:$M$12"}</definedName>
    <definedName name="____________PKG3_1" localSheetId="5" hidden="1">{"'장비'!$A$3:$M$12"}</definedName>
    <definedName name="____________PKG3_1" localSheetId="9" hidden="1">{"'장비'!$A$3:$M$12"}</definedName>
    <definedName name="____________PKG3_1" localSheetId="10" hidden="1">{"'장비'!$A$3:$M$12"}</definedName>
    <definedName name="____________PKG3_1" localSheetId="6" hidden="1">{"'장비'!$A$3:$M$12"}</definedName>
    <definedName name="____________PKG3_1" localSheetId="3" hidden="1">{"'장비'!$A$3:$M$12"}</definedName>
    <definedName name="____________PKG3_1" hidden="1">{"'장비'!$A$3:$M$12"}</definedName>
    <definedName name="____________qqq222" localSheetId="5" hidden="1">{"'장비'!$A$3:$M$12"}</definedName>
    <definedName name="____________qqq222" localSheetId="9" hidden="1">{"'장비'!$A$3:$M$12"}</definedName>
    <definedName name="____________qqq222" localSheetId="10" hidden="1">{"'장비'!$A$3:$M$12"}</definedName>
    <definedName name="____________qqq222" localSheetId="6" hidden="1">{"'장비'!$A$3:$M$12"}</definedName>
    <definedName name="____________qqq222" localSheetId="3" hidden="1">{"'장비'!$A$3:$M$12"}</definedName>
    <definedName name="____________qqq222" hidden="1">{"'장비'!$A$3:$M$12"}</definedName>
    <definedName name="____________qqq222_1" localSheetId="5" hidden="1">{"'장비'!$A$3:$M$12"}</definedName>
    <definedName name="____________qqq222_1" localSheetId="9" hidden="1">{"'장비'!$A$3:$M$12"}</definedName>
    <definedName name="____________qqq222_1" localSheetId="10" hidden="1">{"'장비'!$A$3:$M$12"}</definedName>
    <definedName name="____________qqq222_1" localSheetId="6" hidden="1">{"'장비'!$A$3:$M$12"}</definedName>
    <definedName name="____________qqq222_1" localSheetId="3" hidden="1">{"'장비'!$A$3:$M$12"}</definedName>
    <definedName name="____________qqq222_1" hidden="1">{"'장비'!$A$3:$M$12"}</definedName>
    <definedName name="___________PK2" localSheetId="5" hidden="1">{"'장비'!$A$3:$M$12"}</definedName>
    <definedName name="___________PK2" localSheetId="9" hidden="1">{"'장비'!$A$3:$M$12"}</definedName>
    <definedName name="___________PK2" localSheetId="10" hidden="1">{"'장비'!$A$3:$M$12"}</definedName>
    <definedName name="___________PK2" localSheetId="6" hidden="1">{"'장비'!$A$3:$M$12"}</definedName>
    <definedName name="___________PK2" localSheetId="3" hidden="1">{"'장비'!$A$3:$M$12"}</definedName>
    <definedName name="___________PK2" hidden="1">{"'장비'!$A$3:$M$12"}</definedName>
    <definedName name="___________PK2_1" localSheetId="5" hidden="1">{"'장비'!$A$3:$M$12"}</definedName>
    <definedName name="___________PK2_1" localSheetId="9" hidden="1">{"'장비'!$A$3:$M$12"}</definedName>
    <definedName name="___________PK2_1" localSheetId="10" hidden="1">{"'장비'!$A$3:$M$12"}</definedName>
    <definedName name="___________PK2_1" localSheetId="6" hidden="1">{"'장비'!$A$3:$M$12"}</definedName>
    <definedName name="___________PK2_1" localSheetId="3" hidden="1">{"'장비'!$A$3:$M$12"}</definedName>
    <definedName name="___________PK2_1" hidden="1">{"'장비'!$A$3:$M$12"}</definedName>
    <definedName name="___________PKG3" localSheetId="5" hidden="1">{"'장비'!$A$3:$M$12"}</definedName>
    <definedName name="___________PKG3" localSheetId="9" hidden="1">{"'장비'!$A$3:$M$12"}</definedName>
    <definedName name="___________PKG3" localSheetId="10" hidden="1">{"'장비'!$A$3:$M$12"}</definedName>
    <definedName name="___________PKG3" localSheetId="6" hidden="1">{"'장비'!$A$3:$M$12"}</definedName>
    <definedName name="___________PKG3" localSheetId="3" hidden="1">{"'장비'!$A$3:$M$12"}</definedName>
    <definedName name="___________PKG3" hidden="1">{"'장비'!$A$3:$M$12"}</definedName>
    <definedName name="___________PKG3_1" localSheetId="5" hidden="1">{"'장비'!$A$3:$M$12"}</definedName>
    <definedName name="___________PKG3_1" localSheetId="9" hidden="1">{"'장비'!$A$3:$M$12"}</definedName>
    <definedName name="___________PKG3_1" localSheetId="10" hidden="1">{"'장비'!$A$3:$M$12"}</definedName>
    <definedName name="___________PKG3_1" localSheetId="6" hidden="1">{"'장비'!$A$3:$M$12"}</definedName>
    <definedName name="___________PKG3_1" localSheetId="3" hidden="1">{"'장비'!$A$3:$M$12"}</definedName>
    <definedName name="___________PKG3_1" hidden="1">{"'장비'!$A$3:$M$12"}</definedName>
    <definedName name="___________qqq222" localSheetId="5" hidden="1">{"'장비'!$A$3:$M$12"}</definedName>
    <definedName name="___________qqq222" localSheetId="9" hidden="1">{"'장비'!$A$3:$M$12"}</definedName>
    <definedName name="___________qqq222" localSheetId="10" hidden="1">{"'장비'!$A$3:$M$12"}</definedName>
    <definedName name="___________qqq222" localSheetId="6" hidden="1">{"'장비'!$A$3:$M$12"}</definedName>
    <definedName name="___________qqq222" localSheetId="3" hidden="1">{"'장비'!$A$3:$M$12"}</definedName>
    <definedName name="___________qqq222" hidden="1">{"'장비'!$A$3:$M$12"}</definedName>
    <definedName name="___________qqq222_1" localSheetId="5" hidden="1">{"'장비'!$A$3:$M$12"}</definedName>
    <definedName name="___________qqq222_1" localSheetId="9" hidden="1">{"'장비'!$A$3:$M$12"}</definedName>
    <definedName name="___________qqq222_1" localSheetId="10" hidden="1">{"'장비'!$A$3:$M$12"}</definedName>
    <definedName name="___________qqq222_1" localSheetId="6" hidden="1">{"'장비'!$A$3:$M$12"}</definedName>
    <definedName name="___________qqq222_1" localSheetId="3" hidden="1">{"'장비'!$A$3:$M$12"}</definedName>
    <definedName name="___________qqq222_1" hidden="1">{"'장비'!$A$3:$M$12"}</definedName>
    <definedName name="__________PK2" localSheetId="5" hidden="1">{"'장비'!$A$3:$M$12"}</definedName>
    <definedName name="__________PK2" localSheetId="9" hidden="1">{"'장비'!$A$3:$M$12"}</definedName>
    <definedName name="__________PK2" localSheetId="10" hidden="1">{"'장비'!$A$3:$M$12"}</definedName>
    <definedName name="__________PK2" localSheetId="6" hidden="1">{"'장비'!$A$3:$M$12"}</definedName>
    <definedName name="__________PK2" localSheetId="3" hidden="1">{"'장비'!$A$3:$M$12"}</definedName>
    <definedName name="__________PK2" hidden="1">{"'장비'!$A$3:$M$12"}</definedName>
    <definedName name="__________PK2_1" localSheetId="5" hidden="1">{"'장비'!$A$3:$M$12"}</definedName>
    <definedName name="__________PK2_1" localSheetId="9" hidden="1">{"'장비'!$A$3:$M$12"}</definedName>
    <definedName name="__________PK2_1" localSheetId="10" hidden="1">{"'장비'!$A$3:$M$12"}</definedName>
    <definedName name="__________PK2_1" localSheetId="6" hidden="1">{"'장비'!$A$3:$M$12"}</definedName>
    <definedName name="__________PK2_1" localSheetId="3" hidden="1">{"'장비'!$A$3:$M$12"}</definedName>
    <definedName name="__________PK2_1" hidden="1">{"'장비'!$A$3:$M$12"}</definedName>
    <definedName name="__________PKG3" localSheetId="5" hidden="1">{"'장비'!$A$3:$M$12"}</definedName>
    <definedName name="__________PKG3" localSheetId="9" hidden="1">{"'장비'!$A$3:$M$12"}</definedName>
    <definedName name="__________PKG3" localSheetId="10" hidden="1">{"'장비'!$A$3:$M$12"}</definedName>
    <definedName name="__________PKG3" localSheetId="6" hidden="1">{"'장비'!$A$3:$M$12"}</definedName>
    <definedName name="__________PKG3" localSheetId="3" hidden="1">{"'장비'!$A$3:$M$12"}</definedName>
    <definedName name="__________PKG3" hidden="1">{"'장비'!$A$3:$M$12"}</definedName>
    <definedName name="__________PKG3_1" localSheetId="5" hidden="1">{"'장비'!$A$3:$M$12"}</definedName>
    <definedName name="__________PKG3_1" localSheetId="9" hidden="1">{"'장비'!$A$3:$M$12"}</definedName>
    <definedName name="__________PKG3_1" localSheetId="10" hidden="1">{"'장비'!$A$3:$M$12"}</definedName>
    <definedName name="__________PKG3_1" localSheetId="6" hidden="1">{"'장비'!$A$3:$M$12"}</definedName>
    <definedName name="__________PKG3_1" localSheetId="3" hidden="1">{"'장비'!$A$3:$M$12"}</definedName>
    <definedName name="__________PKG3_1" hidden="1">{"'장비'!$A$3:$M$12"}</definedName>
    <definedName name="__________qqq222" localSheetId="5" hidden="1">{"'장비'!$A$3:$M$12"}</definedName>
    <definedName name="__________qqq222" localSheetId="9" hidden="1">{"'장비'!$A$3:$M$12"}</definedName>
    <definedName name="__________qqq222" localSheetId="10" hidden="1">{"'장비'!$A$3:$M$12"}</definedName>
    <definedName name="__________qqq222" localSheetId="6" hidden="1">{"'장비'!$A$3:$M$12"}</definedName>
    <definedName name="__________qqq222" localSheetId="3" hidden="1">{"'장비'!$A$3:$M$12"}</definedName>
    <definedName name="__________qqq222" hidden="1">{"'장비'!$A$3:$M$12"}</definedName>
    <definedName name="__________qqq222_1" localSheetId="5" hidden="1">{"'장비'!$A$3:$M$12"}</definedName>
    <definedName name="__________qqq222_1" localSheetId="9" hidden="1">{"'장비'!$A$3:$M$12"}</definedName>
    <definedName name="__________qqq222_1" localSheetId="10" hidden="1">{"'장비'!$A$3:$M$12"}</definedName>
    <definedName name="__________qqq222_1" localSheetId="6" hidden="1">{"'장비'!$A$3:$M$12"}</definedName>
    <definedName name="__________qqq222_1" localSheetId="3" hidden="1">{"'장비'!$A$3:$M$12"}</definedName>
    <definedName name="__________qqq222_1" hidden="1">{"'장비'!$A$3:$M$12"}</definedName>
    <definedName name="_________PK2" localSheetId="5" hidden="1">{"'장비'!$A$3:$M$12"}</definedName>
    <definedName name="_________PK2" localSheetId="9" hidden="1">{"'장비'!$A$3:$M$12"}</definedName>
    <definedName name="_________PK2" localSheetId="10" hidden="1">{"'장비'!$A$3:$M$12"}</definedName>
    <definedName name="_________PK2" localSheetId="6" hidden="1">{"'장비'!$A$3:$M$12"}</definedName>
    <definedName name="_________PK2" localSheetId="3" hidden="1">{"'장비'!$A$3:$M$12"}</definedName>
    <definedName name="_________PK2" hidden="1">{"'장비'!$A$3:$M$12"}</definedName>
    <definedName name="_________PK2_1" localSheetId="5" hidden="1">{"'장비'!$A$3:$M$12"}</definedName>
    <definedName name="_________PK2_1" localSheetId="9" hidden="1">{"'장비'!$A$3:$M$12"}</definedName>
    <definedName name="_________PK2_1" localSheetId="10" hidden="1">{"'장비'!$A$3:$M$12"}</definedName>
    <definedName name="_________PK2_1" localSheetId="6" hidden="1">{"'장비'!$A$3:$M$12"}</definedName>
    <definedName name="_________PK2_1" localSheetId="3" hidden="1">{"'장비'!$A$3:$M$12"}</definedName>
    <definedName name="_________PK2_1" hidden="1">{"'장비'!$A$3:$M$12"}</definedName>
    <definedName name="_________PKG3" localSheetId="5" hidden="1">{"'장비'!$A$3:$M$12"}</definedName>
    <definedName name="_________PKG3" localSheetId="9" hidden="1">{"'장비'!$A$3:$M$12"}</definedName>
    <definedName name="_________PKG3" localSheetId="10" hidden="1">{"'장비'!$A$3:$M$12"}</definedName>
    <definedName name="_________PKG3" localSheetId="6" hidden="1">{"'장비'!$A$3:$M$12"}</definedName>
    <definedName name="_________PKG3" localSheetId="3" hidden="1">{"'장비'!$A$3:$M$12"}</definedName>
    <definedName name="_________PKG3" hidden="1">{"'장비'!$A$3:$M$12"}</definedName>
    <definedName name="_________PKG3_1" localSheetId="5" hidden="1">{"'장비'!$A$3:$M$12"}</definedName>
    <definedName name="_________PKG3_1" localSheetId="9" hidden="1">{"'장비'!$A$3:$M$12"}</definedName>
    <definedName name="_________PKG3_1" localSheetId="10" hidden="1">{"'장비'!$A$3:$M$12"}</definedName>
    <definedName name="_________PKG3_1" localSheetId="6" hidden="1">{"'장비'!$A$3:$M$12"}</definedName>
    <definedName name="_________PKG3_1" localSheetId="3" hidden="1">{"'장비'!$A$3:$M$12"}</definedName>
    <definedName name="_________PKG3_1" hidden="1">{"'장비'!$A$3:$M$12"}</definedName>
    <definedName name="_________qqq222" localSheetId="5" hidden="1">{"'장비'!$A$3:$M$12"}</definedName>
    <definedName name="_________qqq222" localSheetId="9" hidden="1">{"'장비'!$A$3:$M$12"}</definedName>
    <definedName name="_________qqq222" localSheetId="10" hidden="1">{"'장비'!$A$3:$M$12"}</definedName>
    <definedName name="_________qqq222" localSheetId="6" hidden="1">{"'장비'!$A$3:$M$12"}</definedName>
    <definedName name="_________qqq222" localSheetId="3" hidden="1">{"'장비'!$A$3:$M$12"}</definedName>
    <definedName name="_________qqq222" hidden="1">{"'장비'!$A$3:$M$12"}</definedName>
    <definedName name="_________qqq222_1" localSheetId="5" hidden="1">{"'장비'!$A$3:$M$12"}</definedName>
    <definedName name="_________qqq222_1" localSheetId="9" hidden="1">{"'장비'!$A$3:$M$12"}</definedName>
    <definedName name="_________qqq222_1" localSheetId="10" hidden="1">{"'장비'!$A$3:$M$12"}</definedName>
    <definedName name="_________qqq222_1" localSheetId="6" hidden="1">{"'장비'!$A$3:$M$12"}</definedName>
    <definedName name="_________qqq222_1" localSheetId="3" hidden="1">{"'장비'!$A$3:$M$12"}</definedName>
    <definedName name="_________qqq222_1" hidden="1">{"'장비'!$A$3:$M$12"}</definedName>
    <definedName name="________PK2" localSheetId="5" hidden="1">{"'장비'!$A$3:$M$12"}</definedName>
    <definedName name="________PK2" localSheetId="9" hidden="1">{"'장비'!$A$3:$M$12"}</definedName>
    <definedName name="________PK2" localSheetId="10" hidden="1">{"'장비'!$A$3:$M$12"}</definedName>
    <definedName name="________PK2" localSheetId="6" hidden="1">{"'장비'!$A$3:$M$12"}</definedName>
    <definedName name="________PK2" localSheetId="3" hidden="1">{"'장비'!$A$3:$M$12"}</definedName>
    <definedName name="________PK2" hidden="1">{"'장비'!$A$3:$M$12"}</definedName>
    <definedName name="________PK2_1" localSheetId="5" hidden="1">{"'장비'!$A$3:$M$12"}</definedName>
    <definedName name="________PK2_1" localSheetId="9" hidden="1">{"'장비'!$A$3:$M$12"}</definedName>
    <definedName name="________PK2_1" localSheetId="10" hidden="1">{"'장비'!$A$3:$M$12"}</definedName>
    <definedName name="________PK2_1" localSheetId="6" hidden="1">{"'장비'!$A$3:$M$12"}</definedName>
    <definedName name="________PK2_1" localSheetId="3" hidden="1">{"'장비'!$A$3:$M$12"}</definedName>
    <definedName name="________PK2_1" hidden="1">{"'장비'!$A$3:$M$12"}</definedName>
    <definedName name="________PKG3" localSheetId="5" hidden="1">{"'장비'!$A$3:$M$12"}</definedName>
    <definedName name="________PKG3" localSheetId="9" hidden="1">{"'장비'!$A$3:$M$12"}</definedName>
    <definedName name="________PKG3" localSheetId="10" hidden="1">{"'장비'!$A$3:$M$12"}</definedName>
    <definedName name="________PKG3" localSheetId="6" hidden="1">{"'장비'!$A$3:$M$12"}</definedName>
    <definedName name="________PKG3" localSheetId="3" hidden="1">{"'장비'!$A$3:$M$12"}</definedName>
    <definedName name="________PKG3" hidden="1">{"'장비'!$A$3:$M$12"}</definedName>
    <definedName name="________PKG3_1" localSheetId="5" hidden="1">{"'장비'!$A$3:$M$12"}</definedName>
    <definedName name="________PKG3_1" localSheetId="9" hidden="1">{"'장비'!$A$3:$M$12"}</definedName>
    <definedName name="________PKG3_1" localSheetId="10" hidden="1">{"'장비'!$A$3:$M$12"}</definedName>
    <definedName name="________PKG3_1" localSheetId="6" hidden="1">{"'장비'!$A$3:$M$12"}</definedName>
    <definedName name="________PKG3_1" localSheetId="3" hidden="1">{"'장비'!$A$3:$M$12"}</definedName>
    <definedName name="________PKG3_1" hidden="1">{"'장비'!$A$3:$M$12"}</definedName>
    <definedName name="________qqq222" localSheetId="5" hidden="1">{"'장비'!$A$3:$M$12"}</definedName>
    <definedName name="________qqq222" localSheetId="9" hidden="1">{"'장비'!$A$3:$M$12"}</definedName>
    <definedName name="________qqq222" localSheetId="10" hidden="1">{"'장비'!$A$3:$M$12"}</definedName>
    <definedName name="________qqq222" localSheetId="6" hidden="1">{"'장비'!$A$3:$M$12"}</definedName>
    <definedName name="________qqq222" localSheetId="3" hidden="1">{"'장비'!$A$3:$M$12"}</definedName>
    <definedName name="________qqq222" hidden="1">{"'장비'!$A$3:$M$12"}</definedName>
    <definedName name="________qqq222_1" localSheetId="5" hidden="1">{"'장비'!$A$3:$M$12"}</definedName>
    <definedName name="________qqq222_1" localSheetId="9" hidden="1">{"'장비'!$A$3:$M$12"}</definedName>
    <definedName name="________qqq222_1" localSheetId="10" hidden="1">{"'장비'!$A$3:$M$12"}</definedName>
    <definedName name="________qqq222_1" localSheetId="6" hidden="1">{"'장비'!$A$3:$M$12"}</definedName>
    <definedName name="________qqq222_1" localSheetId="3" hidden="1">{"'장비'!$A$3:$M$12"}</definedName>
    <definedName name="________qqq222_1" hidden="1">{"'장비'!$A$3:$M$12"}</definedName>
    <definedName name="_______PK2" localSheetId="5" hidden="1">{"'장비'!$A$3:$M$12"}</definedName>
    <definedName name="_______PK2" localSheetId="9" hidden="1">{"'장비'!$A$3:$M$12"}</definedName>
    <definedName name="_______PK2" localSheetId="10" hidden="1">{"'장비'!$A$3:$M$12"}</definedName>
    <definedName name="_______PK2" localSheetId="6" hidden="1">{"'장비'!$A$3:$M$12"}</definedName>
    <definedName name="_______PK2" localSheetId="3" hidden="1">{"'장비'!$A$3:$M$12"}</definedName>
    <definedName name="_______PK2" hidden="1">{"'장비'!$A$3:$M$12"}</definedName>
    <definedName name="_______PK2_1" localSheetId="5" hidden="1">{"'장비'!$A$3:$M$12"}</definedName>
    <definedName name="_______PK2_1" localSheetId="9" hidden="1">{"'장비'!$A$3:$M$12"}</definedName>
    <definedName name="_______PK2_1" localSheetId="10" hidden="1">{"'장비'!$A$3:$M$12"}</definedName>
    <definedName name="_______PK2_1" localSheetId="6" hidden="1">{"'장비'!$A$3:$M$12"}</definedName>
    <definedName name="_______PK2_1" localSheetId="3" hidden="1">{"'장비'!$A$3:$M$12"}</definedName>
    <definedName name="_______PK2_1" hidden="1">{"'장비'!$A$3:$M$12"}</definedName>
    <definedName name="_______PKG3" localSheetId="5" hidden="1">{"'장비'!$A$3:$M$12"}</definedName>
    <definedName name="_______PKG3" localSheetId="9" hidden="1">{"'장비'!$A$3:$M$12"}</definedName>
    <definedName name="_______PKG3" localSheetId="10" hidden="1">{"'장비'!$A$3:$M$12"}</definedName>
    <definedName name="_______PKG3" localSheetId="6" hidden="1">{"'장비'!$A$3:$M$12"}</definedName>
    <definedName name="_______PKG3" localSheetId="3" hidden="1">{"'장비'!$A$3:$M$12"}</definedName>
    <definedName name="_______PKG3" hidden="1">{"'장비'!$A$3:$M$12"}</definedName>
    <definedName name="_______PKG3_1" localSheetId="5" hidden="1">{"'장비'!$A$3:$M$12"}</definedName>
    <definedName name="_______PKG3_1" localSheetId="9" hidden="1">{"'장비'!$A$3:$M$12"}</definedName>
    <definedName name="_______PKG3_1" localSheetId="10" hidden="1">{"'장비'!$A$3:$M$12"}</definedName>
    <definedName name="_______PKG3_1" localSheetId="6" hidden="1">{"'장비'!$A$3:$M$12"}</definedName>
    <definedName name="_______PKG3_1" localSheetId="3" hidden="1">{"'장비'!$A$3:$M$12"}</definedName>
    <definedName name="_______PKG3_1" hidden="1">{"'장비'!$A$3:$M$12"}</definedName>
    <definedName name="_______qqq222" localSheetId="5" hidden="1">{"'장비'!$A$3:$M$12"}</definedName>
    <definedName name="_______qqq222" localSheetId="9" hidden="1">{"'장비'!$A$3:$M$12"}</definedName>
    <definedName name="_______qqq222" localSheetId="10" hidden="1">{"'장비'!$A$3:$M$12"}</definedName>
    <definedName name="_______qqq222" localSheetId="6" hidden="1">{"'장비'!$A$3:$M$12"}</definedName>
    <definedName name="_______qqq222" localSheetId="3" hidden="1">{"'장비'!$A$3:$M$12"}</definedName>
    <definedName name="_______qqq222" hidden="1">{"'장비'!$A$3:$M$12"}</definedName>
    <definedName name="_______qqq222_1" localSheetId="5" hidden="1">{"'장비'!$A$3:$M$12"}</definedName>
    <definedName name="_______qqq222_1" localSheetId="9" hidden="1">{"'장비'!$A$3:$M$12"}</definedName>
    <definedName name="_______qqq222_1" localSheetId="10" hidden="1">{"'장비'!$A$3:$M$12"}</definedName>
    <definedName name="_______qqq222_1" localSheetId="6" hidden="1">{"'장비'!$A$3:$M$12"}</definedName>
    <definedName name="_______qqq222_1" localSheetId="3" hidden="1">{"'장비'!$A$3:$M$12"}</definedName>
    <definedName name="_______qqq222_1" hidden="1">{"'장비'!$A$3:$M$12"}</definedName>
    <definedName name="______PK2" localSheetId="5" hidden="1">{"'장비'!$A$3:$M$12"}</definedName>
    <definedName name="______PK2" localSheetId="9" hidden="1">{"'장비'!$A$3:$M$12"}</definedName>
    <definedName name="______PK2" localSheetId="10" hidden="1">{"'장비'!$A$3:$M$12"}</definedName>
    <definedName name="______PK2" localSheetId="6" hidden="1">{"'장비'!$A$3:$M$12"}</definedName>
    <definedName name="______PK2" localSheetId="3" hidden="1">{"'장비'!$A$3:$M$12"}</definedName>
    <definedName name="______PK2" hidden="1">{"'장비'!$A$3:$M$12"}</definedName>
    <definedName name="______PK2_1" localSheetId="5" hidden="1">{"'장비'!$A$3:$M$12"}</definedName>
    <definedName name="______PK2_1" localSheetId="9" hidden="1">{"'장비'!$A$3:$M$12"}</definedName>
    <definedName name="______PK2_1" localSheetId="10" hidden="1">{"'장비'!$A$3:$M$12"}</definedName>
    <definedName name="______PK2_1" localSheetId="6" hidden="1">{"'장비'!$A$3:$M$12"}</definedName>
    <definedName name="______PK2_1" localSheetId="3" hidden="1">{"'장비'!$A$3:$M$12"}</definedName>
    <definedName name="______PK2_1" hidden="1">{"'장비'!$A$3:$M$12"}</definedName>
    <definedName name="______PKG3" localSheetId="5" hidden="1">{"'장비'!$A$3:$M$12"}</definedName>
    <definedName name="______PKG3" localSheetId="9" hidden="1">{"'장비'!$A$3:$M$12"}</definedName>
    <definedName name="______PKG3" localSheetId="10" hidden="1">{"'장비'!$A$3:$M$12"}</definedName>
    <definedName name="______PKG3" localSheetId="6" hidden="1">{"'장비'!$A$3:$M$12"}</definedName>
    <definedName name="______PKG3" localSheetId="3" hidden="1">{"'장비'!$A$3:$M$12"}</definedName>
    <definedName name="______PKG3" hidden="1">{"'장비'!$A$3:$M$12"}</definedName>
    <definedName name="______PKG3_1" localSheetId="5" hidden="1">{"'장비'!$A$3:$M$12"}</definedName>
    <definedName name="______PKG3_1" localSheetId="9" hidden="1">{"'장비'!$A$3:$M$12"}</definedName>
    <definedName name="______PKG3_1" localSheetId="10" hidden="1">{"'장비'!$A$3:$M$12"}</definedName>
    <definedName name="______PKG3_1" localSheetId="6" hidden="1">{"'장비'!$A$3:$M$12"}</definedName>
    <definedName name="______PKG3_1" localSheetId="3" hidden="1">{"'장비'!$A$3:$M$12"}</definedName>
    <definedName name="______PKG3_1" hidden="1">{"'장비'!$A$3:$M$12"}</definedName>
    <definedName name="______qqq222" localSheetId="5" hidden="1">{"'장비'!$A$3:$M$12"}</definedName>
    <definedName name="______qqq222" localSheetId="9" hidden="1">{"'장비'!$A$3:$M$12"}</definedName>
    <definedName name="______qqq222" localSheetId="10" hidden="1">{"'장비'!$A$3:$M$12"}</definedName>
    <definedName name="______qqq222" localSheetId="6" hidden="1">{"'장비'!$A$3:$M$12"}</definedName>
    <definedName name="______qqq222" localSheetId="3" hidden="1">{"'장비'!$A$3:$M$12"}</definedName>
    <definedName name="______qqq222" hidden="1">{"'장비'!$A$3:$M$12"}</definedName>
    <definedName name="______qqq222_1" localSheetId="5" hidden="1">{"'장비'!$A$3:$M$12"}</definedName>
    <definedName name="______qqq222_1" localSheetId="9" hidden="1">{"'장비'!$A$3:$M$12"}</definedName>
    <definedName name="______qqq222_1" localSheetId="10" hidden="1">{"'장비'!$A$3:$M$12"}</definedName>
    <definedName name="______qqq222_1" localSheetId="6" hidden="1">{"'장비'!$A$3:$M$12"}</definedName>
    <definedName name="______qqq222_1" localSheetId="3" hidden="1">{"'장비'!$A$3:$M$12"}</definedName>
    <definedName name="______qqq222_1" hidden="1">{"'장비'!$A$3:$M$12"}</definedName>
    <definedName name="_____a1" localSheetId="5" hidden="1">{"'Sheet1'!$L$16"}</definedName>
    <definedName name="_____a1" hidden="1">{"'Sheet1'!$L$16"}</definedName>
    <definedName name="_____a1_1" localSheetId="5" hidden="1">{"'Sheet1'!$L$16"}</definedName>
    <definedName name="_____a1_1" hidden="1">{"'Sheet1'!$L$16"}</definedName>
    <definedName name="_____a1_2" localSheetId="5" hidden="1">{"'Sheet1'!$L$16"}</definedName>
    <definedName name="_____a1_2" hidden="1">{"'Sheet1'!$L$16"}</definedName>
    <definedName name="_____a1_3" localSheetId="5" hidden="1">{"'Sheet1'!$L$16"}</definedName>
    <definedName name="_____a1_3" hidden="1">{"'Sheet1'!$L$16"}</definedName>
    <definedName name="_____a1_4" localSheetId="5" hidden="1">{"'Sheet1'!$L$16"}</definedName>
    <definedName name="_____a1_4" hidden="1">{"'Sheet1'!$L$16"}</definedName>
    <definedName name="_____a1_5" localSheetId="5" hidden="1">{"'Sheet1'!$L$16"}</definedName>
    <definedName name="_____a1_5" hidden="1">{"'Sheet1'!$L$16"}</definedName>
    <definedName name="____a1" localSheetId="5" hidden="1">{"'Sheet1'!$L$16"}</definedName>
    <definedName name="____a1" hidden="1">{"'Sheet1'!$L$16"}</definedName>
    <definedName name="____a1_1" localSheetId="5" hidden="1">{"'Sheet1'!$L$16"}</definedName>
    <definedName name="____a1_1" hidden="1">{"'Sheet1'!$L$16"}</definedName>
    <definedName name="____a1_2" localSheetId="5" hidden="1">{"'Sheet1'!$L$16"}</definedName>
    <definedName name="____a1_2" hidden="1">{"'Sheet1'!$L$16"}</definedName>
    <definedName name="____a1_3" localSheetId="5" hidden="1">{"'Sheet1'!$L$16"}</definedName>
    <definedName name="____a1_3" hidden="1">{"'Sheet1'!$L$16"}</definedName>
    <definedName name="____a1_4" localSheetId="5" hidden="1">{"'Sheet1'!$L$16"}</definedName>
    <definedName name="____a1_4" hidden="1">{"'Sheet1'!$L$16"}</definedName>
    <definedName name="____a1_5" localSheetId="5" hidden="1">{"'Sheet1'!$L$16"}</definedName>
    <definedName name="____a1_5" hidden="1">{"'Sheet1'!$L$16"}</definedName>
    <definedName name="____PK2" localSheetId="5" hidden="1">{"'장비'!$A$3:$M$12"}</definedName>
    <definedName name="____PK2" localSheetId="9" hidden="1">{"'장비'!$A$3:$M$12"}</definedName>
    <definedName name="____PK2" localSheetId="10" hidden="1">{"'장비'!$A$3:$M$12"}</definedName>
    <definedName name="____PK2" localSheetId="6" hidden="1">{"'장비'!$A$3:$M$12"}</definedName>
    <definedName name="____PK2" localSheetId="3" hidden="1">{"'장비'!$A$3:$M$12"}</definedName>
    <definedName name="____PK2" hidden="1">{"'장비'!$A$3:$M$12"}</definedName>
    <definedName name="____PK2_1" localSheetId="5" hidden="1">{"'장비'!$A$3:$M$12"}</definedName>
    <definedName name="____PK2_1" localSheetId="9" hidden="1">{"'장비'!$A$3:$M$12"}</definedName>
    <definedName name="____PK2_1" localSheetId="10" hidden="1">{"'장비'!$A$3:$M$12"}</definedName>
    <definedName name="____PK2_1" localSheetId="6" hidden="1">{"'장비'!$A$3:$M$12"}</definedName>
    <definedName name="____PK2_1" localSheetId="3" hidden="1">{"'장비'!$A$3:$M$12"}</definedName>
    <definedName name="____PK2_1" hidden="1">{"'장비'!$A$3:$M$12"}</definedName>
    <definedName name="____PKG3" localSheetId="5" hidden="1">{"'장비'!$A$3:$M$12"}</definedName>
    <definedName name="____PKG3" localSheetId="9" hidden="1">{"'장비'!$A$3:$M$12"}</definedName>
    <definedName name="____PKG3" localSheetId="10" hidden="1">{"'장비'!$A$3:$M$12"}</definedName>
    <definedName name="____PKG3" localSheetId="6" hidden="1">{"'장비'!$A$3:$M$12"}</definedName>
    <definedName name="____PKG3" localSheetId="3" hidden="1">{"'장비'!$A$3:$M$12"}</definedName>
    <definedName name="____PKG3" hidden="1">{"'장비'!$A$3:$M$12"}</definedName>
    <definedName name="____PKG3_1" localSheetId="5" hidden="1">{"'장비'!$A$3:$M$12"}</definedName>
    <definedName name="____PKG3_1" localSheetId="9" hidden="1">{"'장비'!$A$3:$M$12"}</definedName>
    <definedName name="____PKG3_1" localSheetId="10" hidden="1">{"'장비'!$A$3:$M$12"}</definedName>
    <definedName name="____PKG3_1" localSheetId="6" hidden="1">{"'장비'!$A$3:$M$12"}</definedName>
    <definedName name="____PKG3_1" localSheetId="3" hidden="1">{"'장비'!$A$3:$M$12"}</definedName>
    <definedName name="____PKG3_1" hidden="1">{"'장비'!$A$3:$M$12"}</definedName>
    <definedName name="____qqq222" localSheetId="5" hidden="1">{"'장비'!$A$3:$M$12"}</definedName>
    <definedName name="____qqq222" localSheetId="9" hidden="1">{"'장비'!$A$3:$M$12"}</definedName>
    <definedName name="____qqq222" localSheetId="10" hidden="1">{"'장비'!$A$3:$M$12"}</definedName>
    <definedName name="____qqq222" localSheetId="6" hidden="1">{"'장비'!$A$3:$M$12"}</definedName>
    <definedName name="____qqq222" localSheetId="3" hidden="1">{"'장비'!$A$3:$M$12"}</definedName>
    <definedName name="____qqq222" hidden="1">{"'장비'!$A$3:$M$12"}</definedName>
    <definedName name="____qqq222_1" localSheetId="5" hidden="1">{"'장비'!$A$3:$M$12"}</definedName>
    <definedName name="____qqq222_1" localSheetId="9" hidden="1">{"'장비'!$A$3:$M$12"}</definedName>
    <definedName name="____qqq222_1" localSheetId="10" hidden="1">{"'장비'!$A$3:$M$12"}</definedName>
    <definedName name="____qqq222_1" localSheetId="6" hidden="1">{"'장비'!$A$3:$M$12"}</definedName>
    <definedName name="____qqq222_1" localSheetId="3" hidden="1">{"'장비'!$A$3:$M$12"}</definedName>
    <definedName name="____qqq222_1" hidden="1">{"'장비'!$A$3:$M$12"}</definedName>
    <definedName name="___a1" localSheetId="5" hidden="1">{"'Sheet1'!$L$16"}</definedName>
    <definedName name="___a1" hidden="1">{"'Sheet1'!$L$16"}</definedName>
    <definedName name="___a1_1" localSheetId="5" hidden="1">{"'Sheet1'!$L$16"}</definedName>
    <definedName name="___a1_1" hidden="1">{"'Sheet1'!$L$16"}</definedName>
    <definedName name="___a1_2" localSheetId="5" hidden="1">{"'Sheet1'!$L$16"}</definedName>
    <definedName name="___a1_2" hidden="1">{"'Sheet1'!$L$16"}</definedName>
    <definedName name="___a1_3" localSheetId="5" hidden="1">{"'Sheet1'!$L$16"}</definedName>
    <definedName name="___a1_3" hidden="1">{"'Sheet1'!$L$16"}</definedName>
    <definedName name="___a1_4" localSheetId="5" hidden="1">{"'Sheet1'!$L$16"}</definedName>
    <definedName name="___a1_4" hidden="1">{"'Sheet1'!$L$16"}</definedName>
    <definedName name="___a1_5" localSheetId="5" hidden="1">{"'Sheet1'!$L$16"}</definedName>
    <definedName name="___a1_5" hidden="1">{"'Sheet1'!$L$16"}</definedName>
    <definedName name="___a122" localSheetId="5" hidden="1">{#N/A,#N/A,FALSE,"속도"}</definedName>
    <definedName name="___a122" localSheetId="9" hidden="1">{#N/A,#N/A,FALSE,"속도"}</definedName>
    <definedName name="___a122" localSheetId="10" hidden="1">{#N/A,#N/A,FALSE,"속도"}</definedName>
    <definedName name="___a122" localSheetId="6" hidden="1">{#N/A,#N/A,FALSE,"속도"}</definedName>
    <definedName name="___a122" localSheetId="3" hidden="1">{#N/A,#N/A,FALSE,"속도"}</definedName>
    <definedName name="___a122" hidden="1">{#N/A,#N/A,FALSE,"속도"}</definedName>
    <definedName name="___EE1" localSheetId="5" hidden="1">{#N/A,#N/A,FALSE,"단가표지"}</definedName>
    <definedName name="___EE1" localSheetId="9" hidden="1">{#N/A,#N/A,FALSE,"단가표지"}</definedName>
    <definedName name="___EE1" localSheetId="10" hidden="1">{#N/A,#N/A,FALSE,"단가표지"}</definedName>
    <definedName name="___EE1" localSheetId="6" hidden="1">{#N/A,#N/A,FALSE,"단가표지"}</definedName>
    <definedName name="___EE1" localSheetId="3" hidden="1">{#N/A,#N/A,FALSE,"단가표지"}</definedName>
    <definedName name="___EE1" hidden="1">{#N/A,#N/A,FALSE,"단가표지"}</definedName>
    <definedName name="___KEY2" hidden="1">#REF!</definedName>
    <definedName name="___MCC3" localSheetId="5" hidden="1">{#N/A,#N/A,FALSE,"CCTV"}</definedName>
    <definedName name="___MCC3" localSheetId="9" hidden="1">{#N/A,#N/A,FALSE,"CCTV"}</definedName>
    <definedName name="___MCC3" localSheetId="10" hidden="1">{#N/A,#N/A,FALSE,"CCTV"}</definedName>
    <definedName name="___MCC3" localSheetId="6" hidden="1">{#N/A,#N/A,FALSE,"CCTV"}</definedName>
    <definedName name="___MCC3" localSheetId="3" hidden="1">{#N/A,#N/A,FALSE,"CCTV"}</definedName>
    <definedName name="___MCC3" hidden="1">{#N/A,#N/A,FALSE,"CCTV"}</definedName>
    <definedName name="___MCC3_1" localSheetId="5" hidden="1">{#N/A,#N/A,FALSE,"CCTV"}</definedName>
    <definedName name="___MCC3_1" hidden="1">{#N/A,#N/A,FALSE,"CCTV"}</definedName>
    <definedName name="___MCC3_2" localSheetId="5" hidden="1">{#N/A,#N/A,FALSE,"CCTV"}</definedName>
    <definedName name="___MCC3_2" hidden="1">{#N/A,#N/A,FALSE,"CCTV"}</definedName>
    <definedName name="___MCC3_3" localSheetId="5" hidden="1">{#N/A,#N/A,FALSE,"CCTV"}</definedName>
    <definedName name="___MCC3_3" hidden="1">{#N/A,#N/A,FALSE,"CCTV"}</definedName>
    <definedName name="___MCC3_4" localSheetId="5" hidden="1">{#N/A,#N/A,FALSE,"CCTV"}</definedName>
    <definedName name="___MCC3_4" hidden="1">{#N/A,#N/A,FALSE,"CCTV"}</definedName>
    <definedName name="___MCC3_5" localSheetId="5" hidden="1">{#N/A,#N/A,FALSE,"CCTV"}</definedName>
    <definedName name="___MCC3_5" hidden="1">{#N/A,#N/A,FALSE,"CCTV"}</definedName>
    <definedName name="___PK2" localSheetId="5" hidden="1">{"'장비'!$A$3:$M$12"}</definedName>
    <definedName name="___PK2" localSheetId="9" hidden="1">{"'장비'!$A$3:$M$12"}</definedName>
    <definedName name="___PK2" localSheetId="10" hidden="1">{"'장비'!$A$3:$M$12"}</definedName>
    <definedName name="___PK2" localSheetId="6" hidden="1">{"'장비'!$A$3:$M$12"}</definedName>
    <definedName name="___PK2" localSheetId="3" hidden="1">{"'장비'!$A$3:$M$12"}</definedName>
    <definedName name="___PK2" hidden="1">{"'장비'!$A$3:$M$12"}</definedName>
    <definedName name="___PK2_1" localSheetId="5" hidden="1">{"'장비'!$A$3:$M$12"}</definedName>
    <definedName name="___PK2_1" localSheetId="9" hidden="1">{"'장비'!$A$3:$M$12"}</definedName>
    <definedName name="___PK2_1" localSheetId="10" hidden="1">{"'장비'!$A$3:$M$12"}</definedName>
    <definedName name="___PK2_1" localSheetId="6" hidden="1">{"'장비'!$A$3:$M$12"}</definedName>
    <definedName name="___PK2_1" localSheetId="3" hidden="1">{"'장비'!$A$3:$M$12"}</definedName>
    <definedName name="___PK2_1" hidden="1">{"'장비'!$A$3:$M$12"}</definedName>
    <definedName name="___PKG3" localSheetId="5" hidden="1">{"'장비'!$A$3:$M$12"}</definedName>
    <definedName name="___PKG3" localSheetId="9" hidden="1">{"'장비'!$A$3:$M$12"}</definedName>
    <definedName name="___PKG3" localSheetId="10" hidden="1">{"'장비'!$A$3:$M$12"}</definedName>
    <definedName name="___PKG3" localSheetId="6" hidden="1">{"'장비'!$A$3:$M$12"}</definedName>
    <definedName name="___PKG3" localSheetId="3" hidden="1">{"'장비'!$A$3:$M$12"}</definedName>
    <definedName name="___PKG3" hidden="1">{"'장비'!$A$3:$M$12"}</definedName>
    <definedName name="___PKG3_1" localSheetId="5" hidden="1">{"'장비'!$A$3:$M$12"}</definedName>
    <definedName name="___PKG3_1" localSheetId="9" hidden="1">{"'장비'!$A$3:$M$12"}</definedName>
    <definedName name="___PKG3_1" localSheetId="10" hidden="1">{"'장비'!$A$3:$M$12"}</definedName>
    <definedName name="___PKG3_1" localSheetId="6" hidden="1">{"'장비'!$A$3:$M$12"}</definedName>
    <definedName name="___PKG3_1" localSheetId="3" hidden="1">{"'장비'!$A$3:$M$12"}</definedName>
    <definedName name="___PKG3_1" hidden="1">{"'장비'!$A$3:$M$12"}</definedName>
    <definedName name="___QQ1" localSheetId="5" hidden="1">{#N/A,#N/A,FALSE,"단가표지"}</definedName>
    <definedName name="___QQ1" localSheetId="9" hidden="1">{#N/A,#N/A,FALSE,"단가표지"}</definedName>
    <definedName name="___QQ1" localSheetId="10" hidden="1">{#N/A,#N/A,FALSE,"단가표지"}</definedName>
    <definedName name="___QQ1" localSheetId="6" hidden="1">{#N/A,#N/A,FALSE,"단가표지"}</definedName>
    <definedName name="___QQ1" localSheetId="3" hidden="1">{#N/A,#N/A,FALSE,"단가표지"}</definedName>
    <definedName name="___QQ1" hidden="1">{#N/A,#N/A,FALSE,"단가표지"}</definedName>
    <definedName name="___qqq222" localSheetId="5" hidden="1">{"'장비'!$A$3:$M$12"}</definedName>
    <definedName name="___qqq222" localSheetId="9" hidden="1">{"'장비'!$A$3:$M$12"}</definedName>
    <definedName name="___qqq222" localSheetId="10" hidden="1">{"'장비'!$A$3:$M$12"}</definedName>
    <definedName name="___qqq222" localSheetId="6" hidden="1">{"'장비'!$A$3:$M$12"}</definedName>
    <definedName name="___qqq222" localSheetId="3" hidden="1">{"'장비'!$A$3:$M$12"}</definedName>
    <definedName name="___qqq222" hidden="1">{"'장비'!$A$3:$M$12"}</definedName>
    <definedName name="___qqq222_1" localSheetId="5" hidden="1">{"'장비'!$A$3:$M$12"}</definedName>
    <definedName name="___qqq222_1" localSheetId="9" hidden="1">{"'장비'!$A$3:$M$12"}</definedName>
    <definedName name="___qqq222_1" localSheetId="10" hidden="1">{"'장비'!$A$3:$M$12"}</definedName>
    <definedName name="___qqq222_1" localSheetId="6" hidden="1">{"'장비'!$A$3:$M$12"}</definedName>
    <definedName name="___qqq222_1" localSheetId="3" hidden="1">{"'장비'!$A$3:$M$12"}</definedName>
    <definedName name="___qqq222_1" hidden="1">{"'장비'!$A$3:$M$12"}</definedName>
    <definedName name="___QW1" localSheetId="5" hidden="1">{#N/A,#N/A,FALSE,"단가표지"}</definedName>
    <definedName name="___QW1" localSheetId="9" hidden="1">{#N/A,#N/A,FALSE,"단가표지"}</definedName>
    <definedName name="___QW1" localSheetId="10" hidden="1">{#N/A,#N/A,FALSE,"단가표지"}</definedName>
    <definedName name="___QW1" localSheetId="6" hidden="1">{#N/A,#N/A,FALSE,"단가표지"}</definedName>
    <definedName name="___QW1" localSheetId="3" hidden="1">{#N/A,#N/A,FALSE,"단가표지"}</definedName>
    <definedName name="___QW1" hidden="1">{#N/A,#N/A,FALSE,"단가표지"}</definedName>
    <definedName name="___SS1" localSheetId="5" hidden="1">{#N/A,#N/A,FALSE,"운반시간"}</definedName>
    <definedName name="___SS1" localSheetId="9" hidden="1">{#N/A,#N/A,FALSE,"운반시간"}</definedName>
    <definedName name="___SS1" localSheetId="10" hidden="1">{#N/A,#N/A,FALSE,"운반시간"}</definedName>
    <definedName name="___SS1" localSheetId="6" hidden="1">{#N/A,#N/A,FALSE,"운반시간"}</definedName>
    <definedName name="___SS1" localSheetId="3" hidden="1">{#N/A,#N/A,FALSE,"운반시간"}</definedName>
    <definedName name="___SS1" hidden="1">{#N/A,#N/A,FALSE,"운반시간"}</definedName>
    <definedName name="__123Graph_A" localSheetId="9" hidden="1">#REF!</definedName>
    <definedName name="__123Graph_A" localSheetId="10" hidden="1">#REF!</definedName>
    <definedName name="__123Graph_A" localSheetId="3" hidden="1">#REF!</definedName>
    <definedName name="__123Graph_A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ｶﾚﾝﾄ" hidden="1">#REF!</definedName>
    <definedName name="__123Graph_A자금수지" hidden="1">#REF!</definedName>
    <definedName name="__123Graph_A자금운용" hidden="1">#REF!</definedName>
    <definedName name="__123Graph_B" localSheetId="9" hidden="1">#REF!</definedName>
    <definedName name="__123Graph_B" localSheetId="10" hidden="1">#REF!</definedName>
    <definedName name="__123Graph_B" localSheetId="3" hidden="1">#REF!</definedName>
    <definedName name="__123Graph_B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ｶﾚﾝﾄ" hidden="1">#REF!</definedName>
    <definedName name="__123Graph_B자금수지" hidden="1">#REF!</definedName>
    <definedName name="__123Graph_B자금운용" hidden="1">#REF!</definedName>
    <definedName name="__123Graph_C" localSheetId="9" hidden="1">#REF!</definedName>
    <definedName name="__123Graph_C" localSheetId="10" hidden="1">#REF!</definedName>
    <definedName name="__123Graph_C" hidden="1">#REF!</definedName>
    <definedName name="__123Graph_CGraph1" hidden="1">#REF!</definedName>
    <definedName name="__123Graph_CGraph2" hidden="1">#REF!</definedName>
    <definedName name="__123Graph_Cｶﾚﾝﾄ" hidden="1">#REF!</definedName>
    <definedName name="__123Graph_C자금운용" hidden="1">#REF!</definedName>
    <definedName name="__123Graph_D" localSheetId="9" hidden="1">#REF!</definedName>
    <definedName name="__123Graph_D" localSheetId="10" hidden="1">#REF!</definedName>
    <definedName name="__123Graph_D" hidden="1">#REF!</definedName>
    <definedName name="__123Graph_DGraph1" hidden="1">#REF!</definedName>
    <definedName name="__123Graph_DGraph2" hidden="1">#REF!</definedName>
    <definedName name="__123Graph_Dｶﾚﾝﾄ" hidden="1">#REF!</definedName>
    <definedName name="__123Graph_E" localSheetId="9" hidden="1">#REF!</definedName>
    <definedName name="__123Graph_E" localSheetId="10" hidden="1">#REF!</definedName>
    <definedName name="__123Graph_E" localSheetId="3" hidden="1">#REF!</definedName>
    <definedName name="__123Graph_E" hidden="1">#REF!</definedName>
    <definedName name="__123Graph_EGraph1" hidden="1">#REF!</definedName>
    <definedName name="__123Graph_EGraph2" hidden="1">#REF!</definedName>
    <definedName name="__123Graph_Eｶﾚﾝﾄ" hidden="1">#REF!</definedName>
    <definedName name="__123Graph_F" localSheetId="9" hidden="1">#REF!</definedName>
    <definedName name="__123Graph_F" localSheetId="10" hidden="1">#REF!</definedName>
    <definedName name="__123Graph_F" hidden="1">#REF!</definedName>
    <definedName name="__123Graph_FGraph1" hidden="1">#REF!</definedName>
    <definedName name="__123Graph_FGraph2" hidden="1">#REF!</definedName>
    <definedName name="__123Graph_Fｶﾚﾝﾄ" hidden="1">#REF!</definedName>
    <definedName name="__123Graph_LBL_A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localSheetId="9" hidden="1">#REF!</definedName>
    <definedName name="__123Graph_X" localSheetId="10" hidden="1">#REF!</definedName>
    <definedName name="__123Graph_X" localSheetId="3" hidden="1">#REF!</definedName>
    <definedName name="__123Graph_X" hidden="1">#REF!</definedName>
    <definedName name="__123Graph_XCurrent" hidden="1">#REF!</definedName>
    <definedName name="__123Graph_X자금수지" hidden="1">#REF!</definedName>
    <definedName name="__123Graph_X자금운용" hidden="1">#REF!</definedName>
    <definedName name="__2_0__123Grap" hidden="1">#REF!</definedName>
    <definedName name="__2_0_0_F" hidden="1">#REF!</definedName>
    <definedName name="__2gc09_" localSheetId="5" hidden="1">{#N/A,#N/A,TRUE,"arnitower";#N/A,#N/A,TRUE,"arnigarage "}</definedName>
    <definedName name="__2gc09_" hidden="1">{#N/A,#N/A,TRUE,"arnitower";#N/A,#N/A,TRUE,"arnigarage "}</definedName>
    <definedName name="__2gc09__1" localSheetId="5" hidden="1">{#N/A,#N/A,TRUE,"arnitower";#N/A,#N/A,TRUE,"arnigarage "}</definedName>
    <definedName name="__2gc09__1" hidden="1">{#N/A,#N/A,TRUE,"arnitower";#N/A,#N/A,TRUE,"arnigarage "}</definedName>
    <definedName name="__2gc09__2" localSheetId="5" hidden="1">{#N/A,#N/A,TRUE,"arnitower";#N/A,#N/A,TRUE,"arnigarage "}</definedName>
    <definedName name="__2gc09__2" hidden="1">{#N/A,#N/A,TRUE,"arnitower";#N/A,#N/A,TRUE,"arnigarage "}</definedName>
    <definedName name="__2gc09__3" localSheetId="5" hidden="1">{#N/A,#N/A,TRUE,"arnitower";#N/A,#N/A,TRUE,"arnigarage "}</definedName>
    <definedName name="__2gc09__3" hidden="1">{#N/A,#N/A,TRUE,"arnitower";#N/A,#N/A,TRUE,"arnigarage "}</definedName>
    <definedName name="__2gc09__4" localSheetId="5" hidden="1">{#N/A,#N/A,TRUE,"arnitower";#N/A,#N/A,TRUE,"arnigarage "}</definedName>
    <definedName name="__2gc09__4" hidden="1">{#N/A,#N/A,TRUE,"arnitower";#N/A,#N/A,TRUE,"arnigarage "}</definedName>
    <definedName name="__2gc09__5" localSheetId="5" hidden="1">{#N/A,#N/A,TRUE,"arnitower";#N/A,#N/A,TRUE,"arnigarage "}</definedName>
    <definedName name="__2gc09__5" hidden="1">{#N/A,#N/A,TRUE,"arnitower";#N/A,#N/A,TRUE,"arnigarage "}</definedName>
    <definedName name="__4_0_Dist_" hidden="1">#REF!</definedName>
    <definedName name="__a1" localSheetId="5" hidden="1">{"'Sheet1'!$L$16"}</definedName>
    <definedName name="__a1" hidden="1">{"'Sheet1'!$L$16"}</definedName>
    <definedName name="__a1_1" localSheetId="5" hidden="1">{"'Sheet1'!$L$16"}</definedName>
    <definedName name="__a1_1" hidden="1">{"'Sheet1'!$L$16"}</definedName>
    <definedName name="__a1_2" localSheetId="5" hidden="1">{"'Sheet1'!$L$16"}</definedName>
    <definedName name="__a1_2" hidden="1">{"'Sheet1'!$L$16"}</definedName>
    <definedName name="__a1_3" localSheetId="5" hidden="1">{"'Sheet1'!$L$16"}</definedName>
    <definedName name="__a1_3" hidden="1">{"'Sheet1'!$L$16"}</definedName>
    <definedName name="__a1_4" localSheetId="5" hidden="1">{"'Sheet1'!$L$16"}</definedName>
    <definedName name="__a1_4" hidden="1">{"'Sheet1'!$L$16"}</definedName>
    <definedName name="__a1_5" localSheetId="5" hidden="1">{"'Sheet1'!$L$16"}</definedName>
    <definedName name="__a1_5" hidden="1">{"'Sheet1'!$L$16"}</definedName>
    <definedName name="__a122" localSheetId="5" hidden="1">{#N/A,#N/A,FALSE,"속도"}</definedName>
    <definedName name="__a122" localSheetId="9" hidden="1">{#N/A,#N/A,FALSE,"속도"}</definedName>
    <definedName name="__a122" localSheetId="10" hidden="1">{#N/A,#N/A,FALSE,"속도"}</definedName>
    <definedName name="__a122" localSheetId="6" hidden="1">{#N/A,#N/A,FALSE,"속도"}</definedName>
    <definedName name="__a122" localSheetId="3" hidden="1">{#N/A,#N/A,FALSE,"속도"}</definedName>
    <definedName name="__a122" hidden="1">{#N/A,#N/A,FALSE,"속도"}</definedName>
    <definedName name="__EE1" localSheetId="5" hidden="1">{#N/A,#N/A,FALSE,"단가표지"}</definedName>
    <definedName name="__EE1" localSheetId="9" hidden="1">{#N/A,#N/A,FALSE,"단가표지"}</definedName>
    <definedName name="__EE1" localSheetId="10" hidden="1">{#N/A,#N/A,FALSE,"단가표지"}</definedName>
    <definedName name="__EE1" localSheetId="6" hidden="1">{#N/A,#N/A,FALSE,"단가표지"}</definedName>
    <definedName name="__EE1" localSheetId="3" hidden="1">{#N/A,#N/A,FALSE,"단가표지"}</definedName>
    <definedName name="__EE1" hidden="1">{#N/A,#N/A,FALSE,"단가표지"}</definedName>
    <definedName name="__gc09" localSheetId="5" hidden="1">{#N/A,#N/A,TRUE,"arnitower";#N/A,#N/A,TRUE,"arnigarage "}</definedName>
    <definedName name="__gc09" hidden="1">{#N/A,#N/A,TRUE,"arnitower";#N/A,#N/A,TRUE,"arnigarage "}</definedName>
    <definedName name="__gc09_1" localSheetId="5" hidden="1">{#N/A,#N/A,TRUE,"arnitower";#N/A,#N/A,TRUE,"arnigarage "}</definedName>
    <definedName name="__gc09_1" hidden="1">{#N/A,#N/A,TRUE,"arnitower";#N/A,#N/A,TRUE,"arnigarage "}</definedName>
    <definedName name="__gc09_2" localSheetId="5" hidden="1">{#N/A,#N/A,TRUE,"arnitower";#N/A,#N/A,TRUE,"arnigarage "}</definedName>
    <definedName name="__gc09_2" hidden="1">{#N/A,#N/A,TRUE,"arnitower";#N/A,#N/A,TRUE,"arnigarage "}</definedName>
    <definedName name="__gc09_3" localSheetId="5" hidden="1">{#N/A,#N/A,TRUE,"arnitower";#N/A,#N/A,TRUE,"arnigarage "}</definedName>
    <definedName name="__gc09_3" hidden="1">{#N/A,#N/A,TRUE,"arnitower";#N/A,#N/A,TRUE,"arnigarage "}</definedName>
    <definedName name="__gc09_4" localSheetId="5" hidden="1">{#N/A,#N/A,TRUE,"arnitower";#N/A,#N/A,TRUE,"arnigarage "}</definedName>
    <definedName name="__gc09_4" hidden="1">{#N/A,#N/A,TRUE,"arnitower";#N/A,#N/A,TRUE,"arnigarage "}</definedName>
    <definedName name="__gc09_5" localSheetId="5" hidden="1">{#N/A,#N/A,TRUE,"arnitower";#N/A,#N/A,TRUE,"arnigarage "}</definedName>
    <definedName name="__gc09_5" hidden="1">{#N/A,#N/A,TRUE,"arnitower";#N/A,#N/A,TRUE,"arnigarage "}</definedName>
    <definedName name="__IntlFixup" hidden="1">TRUE</definedName>
    <definedName name="__key2" localSheetId="9" hidden="1">#REF!</definedName>
    <definedName name="__key2" localSheetId="10" hidden="1">#REF!</definedName>
    <definedName name="__key2" hidden="1">#REF!</definedName>
    <definedName name="__MCC3" localSheetId="5" hidden="1">{#N/A,#N/A,FALSE,"CCTV"}</definedName>
    <definedName name="__MCC3" localSheetId="9" hidden="1">{#N/A,#N/A,FALSE,"CCTV"}</definedName>
    <definedName name="__MCC3" localSheetId="10" hidden="1">{#N/A,#N/A,FALSE,"CCTV"}</definedName>
    <definedName name="__MCC3" localSheetId="6" hidden="1">{#N/A,#N/A,FALSE,"CCTV"}</definedName>
    <definedName name="__MCC3" localSheetId="3" hidden="1">{#N/A,#N/A,FALSE,"CCTV"}</definedName>
    <definedName name="__MCC3" hidden="1">{#N/A,#N/A,FALSE,"CCTV"}</definedName>
    <definedName name="__MCC3_1" localSheetId="5" hidden="1">{#N/A,#N/A,FALSE,"CCTV"}</definedName>
    <definedName name="__MCC3_1" hidden="1">{#N/A,#N/A,FALSE,"CCTV"}</definedName>
    <definedName name="__MCC3_2" localSheetId="5" hidden="1">{#N/A,#N/A,FALSE,"CCTV"}</definedName>
    <definedName name="__MCC3_2" hidden="1">{#N/A,#N/A,FALSE,"CCTV"}</definedName>
    <definedName name="__MCC3_3" localSheetId="5" hidden="1">{#N/A,#N/A,FALSE,"CCTV"}</definedName>
    <definedName name="__MCC3_3" hidden="1">{#N/A,#N/A,FALSE,"CCTV"}</definedName>
    <definedName name="__MCC3_4" localSheetId="5" hidden="1">{#N/A,#N/A,FALSE,"CCTV"}</definedName>
    <definedName name="__MCC3_4" hidden="1">{#N/A,#N/A,FALSE,"CCTV"}</definedName>
    <definedName name="__MCC3_5" localSheetId="5" hidden="1">{#N/A,#N/A,FALSE,"CCTV"}</definedName>
    <definedName name="__MCC3_5" hidden="1">{#N/A,#N/A,FALSE,"CCTV"}</definedName>
    <definedName name="__PK2" localSheetId="5" hidden="1">{"'장비'!$A$3:$M$12"}</definedName>
    <definedName name="__PK2" localSheetId="9" hidden="1">{"'장비'!$A$3:$M$12"}</definedName>
    <definedName name="__PK2" localSheetId="10" hidden="1">{"'장비'!$A$3:$M$12"}</definedName>
    <definedName name="__PK2" localSheetId="6" hidden="1">{"'장비'!$A$3:$M$12"}</definedName>
    <definedName name="__PK2" localSheetId="3" hidden="1">{"'장비'!$A$3:$M$12"}</definedName>
    <definedName name="__PK2" hidden="1">{"'장비'!$A$3:$M$12"}</definedName>
    <definedName name="__PK2_1" localSheetId="5" hidden="1">{"'장비'!$A$3:$M$12"}</definedName>
    <definedName name="__PK2_1" localSheetId="9" hidden="1">{"'장비'!$A$3:$M$12"}</definedName>
    <definedName name="__PK2_1" localSheetId="10" hidden="1">{"'장비'!$A$3:$M$12"}</definedName>
    <definedName name="__PK2_1" localSheetId="6" hidden="1">{"'장비'!$A$3:$M$12"}</definedName>
    <definedName name="__PK2_1" localSheetId="3" hidden="1">{"'장비'!$A$3:$M$12"}</definedName>
    <definedName name="__PK2_1" hidden="1">{"'장비'!$A$3:$M$12"}</definedName>
    <definedName name="__PKG3" localSheetId="5" hidden="1">{"'장비'!$A$3:$M$12"}</definedName>
    <definedName name="__PKG3" localSheetId="9" hidden="1">{"'장비'!$A$3:$M$12"}</definedName>
    <definedName name="__PKG3" localSheetId="10" hidden="1">{"'장비'!$A$3:$M$12"}</definedName>
    <definedName name="__PKG3" localSheetId="6" hidden="1">{"'장비'!$A$3:$M$12"}</definedName>
    <definedName name="__PKG3" localSheetId="3" hidden="1">{"'장비'!$A$3:$M$12"}</definedName>
    <definedName name="__PKG3" hidden="1">{"'장비'!$A$3:$M$12"}</definedName>
    <definedName name="__PKG3_1" localSheetId="5" hidden="1">{"'장비'!$A$3:$M$12"}</definedName>
    <definedName name="__PKG3_1" localSheetId="9" hidden="1">{"'장비'!$A$3:$M$12"}</definedName>
    <definedName name="__PKG3_1" localSheetId="10" hidden="1">{"'장비'!$A$3:$M$12"}</definedName>
    <definedName name="__PKG3_1" localSheetId="6" hidden="1">{"'장비'!$A$3:$M$12"}</definedName>
    <definedName name="__PKG3_1" localSheetId="3" hidden="1">{"'장비'!$A$3:$M$12"}</definedName>
    <definedName name="__PKG3_1" hidden="1">{"'장비'!$A$3:$M$12"}</definedName>
    <definedName name="__QQ1" localSheetId="5" hidden="1">{#N/A,#N/A,FALSE,"단가표지"}</definedName>
    <definedName name="__QQ1" localSheetId="9" hidden="1">{#N/A,#N/A,FALSE,"단가표지"}</definedName>
    <definedName name="__QQ1" localSheetId="10" hidden="1">{#N/A,#N/A,FALSE,"단가표지"}</definedName>
    <definedName name="__QQ1" localSheetId="6" hidden="1">{#N/A,#N/A,FALSE,"단가표지"}</definedName>
    <definedName name="__QQ1" localSheetId="3" hidden="1">{#N/A,#N/A,FALSE,"단가표지"}</definedName>
    <definedName name="__QQ1" hidden="1">{#N/A,#N/A,FALSE,"단가표지"}</definedName>
    <definedName name="__qqq222" localSheetId="5" hidden="1">{"'장비'!$A$3:$M$12"}</definedName>
    <definedName name="__qqq222" localSheetId="9" hidden="1">{"'장비'!$A$3:$M$12"}</definedName>
    <definedName name="__qqq222" localSheetId="10" hidden="1">{"'장비'!$A$3:$M$12"}</definedName>
    <definedName name="__qqq222" localSheetId="6" hidden="1">{"'장비'!$A$3:$M$12"}</definedName>
    <definedName name="__qqq222" localSheetId="3" hidden="1">{"'장비'!$A$3:$M$12"}</definedName>
    <definedName name="__qqq222" hidden="1">{"'장비'!$A$3:$M$12"}</definedName>
    <definedName name="__qqq222_1" localSheetId="5" hidden="1">{"'장비'!$A$3:$M$12"}</definedName>
    <definedName name="__qqq222_1" localSheetId="9" hidden="1">{"'장비'!$A$3:$M$12"}</definedName>
    <definedName name="__qqq222_1" localSheetId="10" hidden="1">{"'장비'!$A$3:$M$12"}</definedName>
    <definedName name="__qqq222_1" localSheetId="6" hidden="1">{"'장비'!$A$3:$M$12"}</definedName>
    <definedName name="__qqq222_1" localSheetId="3" hidden="1">{"'장비'!$A$3:$M$12"}</definedName>
    <definedName name="__qqq222_1" hidden="1">{"'장비'!$A$3:$M$12"}</definedName>
    <definedName name="__QW1" localSheetId="5" hidden="1">{#N/A,#N/A,FALSE,"단가표지"}</definedName>
    <definedName name="__QW1" localSheetId="9" hidden="1">{#N/A,#N/A,FALSE,"단가표지"}</definedName>
    <definedName name="__QW1" localSheetId="10" hidden="1">{#N/A,#N/A,FALSE,"단가표지"}</definedName>
    <definedName name="__QW1" localSheetId="6" hidden="1">{#N/A,#N/A,FALSE,"단가표지"}</definedName>
    <definedName name="__QW1" localSheetId="3" hidden="1">{#N/A,#N/A,FALSE,"단가표지"}</definedName>
    <definedName name="__QW1" hidden="1">{#N/A,#N/A,FALSE,"단가표지"}</definedName>
    <definedName name="__SS1" localSheetId="5" hidden="1">{#N/A,#N/A,FALSE,"운반시간"}</definedName>
    <definedName name="__SS1" localSheetId="9" hidden="1">{#N/A,#N/A,FALSE,"운반시간"}</definedName>
    <definedName name="__SS1" localSheetId="10" hidden="1">{#N/A,#N/A,FALSE,"운반시간"}</definedName>
    <definedName name="__SS1" localSheetId="6" hidden="1">{#N/A,#N/A,FALSE,"운반시간"}</definedName>
    <definedName name="__SS1" localSheetId="3" hidden="1">{#N/A,#N/A,FALSE,"운반시간"}</definedName>
    <definedName name="__SS1" hidden="1">{#N/A,#N/A,FALSE,"운반시간"}</definedName>
    <definedName name="_00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" hidden="1">#REF!</definedName>
    <definedName name="_1__123Graph_A자금운용" hidden="1">#REF!</definedName>
    <definedName name="_1__123Graph_DCHART_1" localSheetId="9" hidden="1">#REF!</definedName>
    <definedName name="_1__123Graph_DCHART_1" localSheetId="10" hidden="1">#REF!</definedName>
    <definedName name="_1__123Graph_DCHART_1" hidden="1">#REF!</definedName>
    <definedName name="_1_0__123Grap" hidden="1">#REF!</definedName>
    <definedName name="_1_0_0__123Grap" hidden="1">#REF!</definedName>
    <definedName name="_10_0_0__123Grap" hidden="1">#REF!</definedName>
    <definedName name="_10_0공통비" hidden="1">#REF!</definedName>
    <definedName name="_11_0현대코아공" hidden="1">#REF!</definedName>
    <definedName name="_12_0_0코아공" hidden="1">#REF!</definedName>
    <definedName name="_13_0_0코아공" hidden="1">#REF!</definedName>
    <definedName name="_13Graph_LBL_B" hidden="1">#REF!</definedName>
    <definedName name="_14_0공통비" hidden="1">#REF!</definedName>
    <definedName name="_15_0현대코아공" hidden="1">#REF!</definedName>
    <definedName name="_16_0현대코아공" hidden="1">#REF!</definedName>
    <definedName name="_1F" hidden="1">#REF!</definedName>
    <definedName name="_2__123Graph_ACHART_1" localSheetId="9" hidden="1">#REF!</definedName>
    <definedName name="_2__123Graph_ACHART_1" localSheetId="10" hidden="1">#REF!</definedName>
    <definedName name="_2__123Graph_ACHART_1" hidden="1">#REF!</definedName>
    <definedName name="_2__123Graph_AChart_1A" hidden="1">#REF!</definedName>
    <definedName name="_2_0" hidden="1">#REF!</definedName>
    <definedName name="_2_0__123Grap" hidden="1">#REF!</definedName>
    <definedName name="_2_0_0_F" hidden="1">#REF!</definedName>
    <definedName name="_2_0_Dist_" hidden="1">#REF!</definedName>
    <definedName name="_2_123Grap" hidden="1">#REF!</definedName>
    <definedName name="_23a1_" localSheetId="5" hidden="1">{"'Sheet1'!$L$16"}</definedName>
    <definedName name="_23a1_" hidden="1">{"'Sheet1'!$L$16"}</definedName>
    <definedName name="_23a1__1" localSheetId="5" hidden="1">{"'Sheet1'!$L$16"}</definedName>
    <definedName name="_23a1__1" hidden="1">{"'Sheet1'!$L$16"}</definedName>
    <definedName name="_23a1__2" localSheetId="5" hidden="1">{"'Sheet1'!$L$16"}</definedName>
    <definedName name="_23a1__2" hidden="1">{"'Sheet1'!$L$16"}</definedName>
    <definedName name="_23a1__3" localSheetId="5" hidden="1">{"'Sheet1'!$L$16"}</definedName>
    <definedName name="_23a1__3" hidden="1">{"'Sheet1'!$L$16"}</definedName>
    <definedName name="_23a1__4" localSheetId="5" hidden="1">{"'Sheet1'!$L$16"}</definedName>
    <definedName name="_23a1__4" hidden="1">{"'Sheet1'!$L$16"}</definedName>
    <definedName name="_23a1__5" localSheetId="5" hidden="1">{"'Sheet1'!$L$16"}</definedName>
    <definedName name="_23a1__5" hidden="1">{"'Sheet1'!$L$16"}</definedName>
    <definedName name="_2F" localSheetId="9" hidden="1">#REF!</definedName>
    <definedName name="_2F" localSheetId="10" hidden="1">#REF!</definedName>
    <definedName name="_2F" localSheetId="3" hidden="1">#REF!</definedName>
    <definedName name="_2F" hidden="1">#REF!</definedName>
    <definedName name="_2gc09_" localSheetId="5" hidden="1">{#N/A,#N/A,TRUE,"arnitower";#N/A,#N/A,TRUE,"arnigarage "}</definedName>
    <definedName name="_2gc09_" hidden="1">{#N/A,#N/A,TRUE,"arnitower";#N/A,#N/A,TRUE,"arnigarage "}</definedName>
    <definedName name="_2gc09__1" localSheetId="5" hidden="1">{#N/A,#N/A,TRUE,"arnitower";#N/A,#N/A,TRUE,"arnigarage "}</definedName>
    <definedName name="_2gc09__1" hidden="1">{#N/A,#N/A,TRUE,"arnitower";#N/A,#N/A,TRUE,"arnigarage "}</definedName>
    <definedName name="_2gc09__2" localSheetId="5" hidden="1">{#N/A,#N/A,TRUE,"arnitower";#N/A,#N/A,TRUE,"arnigarage "}</definedName>
    <definedName name="_2gc09__2" hidden="1">{#N/A,#N/A,TRUE,"arnitower";#N/A,#N/A,TRUE,"arnigarage "}</definedName>
    <definedName name="_2gc09__3" localSheetId="5" hidden="1">{#N/A,#N/A,TRUE,"arnitower";#N/A,#N/A,TRUE,"arnigarage "}</definedName>
    <definedName name="_2gc09__3" hidden="1">{#N/A,#N/A,TRUE,"arnitower";#N/A,#N/A,TRUE,"arnigarage "}</definedName>
    <definedName name="_2gc09__4" localSheetId="5" hidden="1">{#N/A,#N/A,TRUE,"arnitower";#N/A,#N/A,TRUE,"arnigarage "}</definedName>
    <definedName name="_2gc09__4" hidden="1">{#N/A,#N/A,TRUE,"arnitower";#N/A,#N/A,TRUE,"arnigarage "}</definedName>
    <definedName name="_2gc09__5" localSheetId="5" hidden="1">{#N/A,#N/A,TRUE,"arnitower";#N/A,#N/A,TRUE,"arnigarage "}</definedName>
    <definedName name="_2gc09__5" hidden="1">{#N/A,#N/A,TRUE,"arnitower";#N/A,#N/A,TRUE,"arnigarage "}</definedName>
    <definedName name="_3__123Graph_ACHART_2" localSheetId="9" hidden="1">#REF!</definedName>
    <definedName name="_3__123Graph_ACHART_2" localSheetId="10" hidden="1">#REF!</definedName>
    <definedName name="_3__123Graph_ACHART_2" hidden="1">#REF!</definedName>
    <definedName name="_3__123Graph_B자금운용" hidden="1">#REF!</definedName>
    <definedName name="_3_0" hidden="1">#REF!</definedName>
    <definedName name="_3_0_0__123Grap" hidden="1">#REF!</definedName>
    <definedName name="_3_0_0_F" hidden="1">#REF!</definedName>
    <definedName name="_30a1_" localSheetId="5" hidden="1">{"'Sheet1'!$L$16"}</definedName>
    <definedName name="_30a1_" hidden="1">{"'Sheet1'!$L$16"}</definedName>
    <definedName name="_30a1__1" localSheetId="5" hidden="1">{"'Sheet1'!$L$16"}</definedName>
    <definedName name="_30a1__1" hidden="1">{"'Sheet1'!$L$16"}</definedName>
    <definedName name="_30a1__2" localSheetId="5" hidden="1">{"'Sheet1'!$L$16"}</definedName>
    <definedName name="_30a1__2" hidden="1">{"'Sheet1'!$L$16"}</definedName>
    <definedName name="_30a1__3" localSheetId="5" hidden="1">{"'Sheet1'!$L$16"}</definedName>
    <definedName name="_30a1__3" hidden="1">{"'Sheet1'!$L$16"}</definedName>
    <definedName name="_30a1__4" localSheetId="5" hidden="1">{"'Sheet1'!$L$16"}</definedName>
    <definedName name="_30a1__4" hidden="1">{"'Sheet1'!$L$16"}</definedName>
    <definedName name="_30a1__5" localSheetId="5" hidden="1">{"'Sheet1'!$L$16"}</definedName>
    <definedName name="_30a1__5" hidden="1">{"'Sheet1'!$L$16"}</definedName>
    <definedName name="_3Dist_" hidden="1">#REF!</definedName>
    <definedName name="_3F" localSheetId="9" hidden="1">#REF!</definedName>
    <definedName name="_3F" localSheetId="10" hidden="1">#REF!</definedName>
    <definedName name="_3F" hidden="1">#REF!</definedName>
    <definedName name="_4__123Graph_BChart_1A" hidden="1">#REF!</definedName>
    <definedName name="_4__123Graph_BCHART_2" localSheetId="9" hidden="1">#REF!</definedName>
    <definedName name="_4__123Graph_BCHART_2" localSheetId="10" hidden="1">#REF!</definedName>
    <definedName name="_4__123Graph_BCHART_2" hidden="1">#REF!</definedName>
    <definedName name="_4_0_0_F" localSheetId="9" hidden="1">#REF!</definedName>
    <definedName name="_4_0_0_F" localSheetId="10" hidden="1">#REF!</definedName>
    <definedName name="_4_0_0_F" hidden="1">#REF!</definedName>
    <definedName name="_4_0_Dist_" hidden="1">#REF!</definedName>
    <definedName name="_4_0_F" hidden="1">#REF!</definedName>
    <definedName name="_4F" hidden="1">#REF!</definedName>
    <definedName name="_5__123Graph_CCHART_1" localSheetId="9" hidden="1">#REF!</definedName>
    <definedName name="_5__123Graph_CCHART_1" localSheetId="10" hidden="1">#REF!</definedName>
    <definedName name="_5__123Graph_CCHART_1" hidden="1">#REF!</definedName>
    <definedName name="_5__123Graph_C자금운용" hidden="1">#REF!</definedName>
    <definedName name="_5_0_0__123Grap" hidden="1">#REF!</definedName>
    <definedName name="_5_123Grap" hidden="1">#REF!</definedName>
    <definedName name="_5F" hidden="1">#REF!</definedName>
    <definedName name="_6__123Graph_DCHART_1" localSheetId="9" hidden="1">#REF!</definedName>
    <definedName name="_6__123Graph_DCHART_1" localSheetId="10" hidden="1">#REF!</definedName>
    <definedName name="_6__123Graph_DCHART_1" hidden="1">#REF!</definedName>
    <definedName name="_6__123Graph_X자금운용" hidden="1">#REF!</definedName>
    <definedName name="_6_0" hidden="1">#REF!</definedName>
    <definedName name="_6_0_0__123Grap" hidden="1">#REF!</definedName>
    <definedName name="_6_0_0_F" localSheetId="9" hidden="1">#REF!</definedName>
    <definedName name="_6_0_0_F" localSheetId="10" hidden="1">#REF!</definedName>
    <definedName name="_6_0_0_F" hidden="1">#REF!</definedName>
    <definedName name="_6_0_0코아공" hidden="1">#REF!</definedName>
    <definedName name="_6Dist_" hidden="1">#REF!</definedName>
    <definedName name="_7__123Graph_XChart_1A" hidden="1">#REF!</definedName>
    <definedName name="_7_0_0_F" hidden="1">#REF!</definedName>
    <definedName name="_7_0_F" hidden="1">#REF!</definedName>
    <definedName name="_7_0공통비" hidden="1">#REF!</definedName>
    <definedName name="_7F" localSheetId="9" hidden="1">#REF!</definedName>
    <definedName name="_7F" localSheetId="10" hidden="1">#REF!</definedName>
    <definedName name="_7F" localSheetId="3" hidden="1">#REF!</definedName>
    <definedName name="_7F" hidden="1">#REF!</definedName>
    <definedName name="_8__123Graph_DCHART_1" localSheetId="9" hidden="1">#REF!</definedName>
    <definedName name="_8__123Graph_DCHART_1" localSheetId="10" hidden="1">#REF!</definedName>
    <definedName name="_8__123Graph_DCHART_1" hidden="1">#REF!</definedName>
    <definedName name="_8_0_0__123Grap" hidden="1">#REF!</definedName>
    <definedName name="_8_0_0_F" localSheetId="9" hidden="1">#REF!</definedName>
    <definedName name="_8_0_0_F" localSheetId="10" hidden="1">#REF!</definedName>
    <definedName name="_8_0_0_F" hidden="1">#REF!</definedName>
    <definedName name="_8_0현대코아공" hidden="1">#REF!</definedName>
    <definedName name="_8BP01_" localSheetId="5" hidden="1">{#N/A,#N/A,FALSE,"TABLE"}</definedName>
    <definedName name="_8BP01_" hidden="1">{#N/A,#N/A,FALSE,"TABLE"}</definedName>
    <definedName name="_9_0_0코아공" hidden="1">#REF!</definedName>
    <definedName name="_9S01_" hidden="1">#REF!</definedName>
    <definedName name="_a1_1" localSheetId="5" hidden="1">{"'Sheet1'!$L$16"}</definedName>
    <definedName name="_a1_1" hidden="1">{"'Sheet1'!$L$16"}</definedName>
    <definedName name="_a1_2" localSheetId="5" hidden="1">{"'Sheet1'!$L$16"}</definedName>
    <definedName name="_a1_2" hidden="1">{"'Sheet1'!$L$16"}</definedName>
    <definedName name="_a1_3" localSheetId="5" hidden="1">{"'Sheet1'!$L$16"}</definedName>
    <definedName name="_a1_3" hidden="1">{"'Sheet1'!$L$16"}</definedName>
    <definedName name="_a1_4" localSheetId="5" hidden="1">{"'Sheet1'!$L$16"}</definedName>
    <definedName name="_a1_4" hidden="1">{"'Sheet1'!$L$16"}</definedName>
    <definedName name="_a1_5" localSheetId="5" hidden="1">{"'Sheet1'!$L$16"}</definedName>
    <definedName name="_a1_5" hidden="1">{"'Sheet1'!$L$16"}</definedName>
    <definedName name="_a122" localSheetId="5" hidden="1">{#N/A,#N/A,FALSE,"속도"}</definedName>
    <definedName name="_a122" localSheetId="9" hidden="1">{#N/A,#N/A,FALSE,"속도"}</definedName>
    <definedName name="_a122" localSheetId="10" hidden="1">{#N/A,#N/A,FALSE,"속도"}</definedName>
    <definedName name="_a122" localSheetId="6" hidden="1">{#N/A,#N/A,FALSE,"속도"}</definedName>
    <definedName name="_a122" localSheetId="3" hidden="1">{#N/A,#N/A,FALSE,"속도"}</definedName>
    <definedName name="_a122" hidden="1">{#N/A,#N/A,FALSE,"속도"}</definedName>
    <definedName name="_cey" hidden="1">#REF!</definedName>
    <definedName name="_cort" hidden="1">#REF!</definedName>
    <definedName name="_Dist_Bin" hidden="1">#REF!</definedName>
    <definedName name="_Dist_Values" hidden="1">#REF!</definedName>
    <definedName name="_EE1" localSheetId="5" hidden="1">{#N/A,#N/A,FALSE,"단가표지"}</definedName>
    <definedName name="_EE1" localSheetId="9" hidden="1">{#N/A,#N/A,FALSE,"단가표지"}</definedName>
    <definedName name="_EE1" localSheetId="10" hidden="1">{#N/A,#N/A,FALSE,"단가표지"}</definedName>
    <definedName name="_EE1" localSheetId="6" hidden="1">{#N/A,#N/A,FALSE,"단가표지"}</definedName>
    <definedName name="_ee1" localSheetId="3" hidden="1">{#N/A,#N/A,FALSE,"단가표지"}</definedName>
    <definedName name="_EE1" hidden="1">{#N/A,#N/A,FALSE,"단가표지"}</definedName>
    <definedName name="_Fil" hidden="1">#REF!</definedName>
    <definedName name="_Fill" localSheetId="9" hidden="1">#REF!</definedName>
    <definedName name="_Fill" localSheetId="10" hidden="1">#REF!</definedName>
    <definedName name="_Fill" hidden="1">#REF!</definedName>
    <definedName name="_xlnm._FilterDatabase" localSheetId="4" hidden="1">'Cable Tray-income  '!$A$4:$O$176</definedName>
    <definedName name="_xlnm._FilterDatabase" localSheetId="5" hidden="1">'Cable Tray-Log-out'!$A$4:$P$1399</definedName>
    <definedName name="_xlnm._FilterDatabase" localSheetId="1" hidden="1">'POR Control Log-income'!$A$4:$O$179</definedName>
    <definedName name="_xlnm._FilterDatabase" localSheetId="2" hidden="1">'POR Control Log-out'!$A$4:$P$2080</definedName>
    <definedName name="_xlnm._FilterDatabase" localSheetId="9" hidden="1">'Summary Table'!#REF!</definedName>
    <definedName name="_xlnm._FilterDatabase" localSheetId="7" hidden="1">'T-Power-income'!$A$4:$N$247</definedName>
    <definedName name="_xlnm._FilterDatabase" localSheetId="8" hidden="1">'T-Power-out'!$A$4:$Q$933</definedName>
    <definedName name="_xlnm._FilterDatabase" localSheetId="10" hidden="1">Tray!#REF!</definedName>
    <definedName name="_xlnm._FilterDatabase" localSheetId="0" hidden="1">본공사입.출고현황!$A$3:$AE$48</definedName>
    <definedName name="_xlnm._FilterDatabase" localSheetId="6" hidden="1">임시동력입.출고현황!$A$5:$T$88</definedName>
    <definedName name="_xlnm._FilterDatabase" localSheetId="3" hidden="1">케이블트레이입.출고현황!$D$2:$U$80</definedName>
    <definedName name="_xlnm._FilterDatabase" hidden="1">#REF!</definedName>
    <definedName name="_KD2" hidden="1">#REF!</definedName>
    <definedName name="_KD3" hidden="1">#REF!</definedName>
    <definedName name="_KE2" hidden="1">#REF!</definedName>
    <definedName name="_Key_1" hidden="1">#REF!</definedName>
    <definedName name="_Key_2" hidden="1">#REF!</definedName>
    <definedName name="_Key1" localSheetId="9" hidden="1">#REF!</definedName>
    <definedName name="_Key1" localSheetId="10" hidden="1">#REF!</definedName>
    <definedName name="_Key1" hidden="1">#REF!</definedName>
    <definedName name="_Key11" localSheetId="9" hidden="1">#REF!</definedName>
    <definedName name="_Key11" localSheetId="10" hidden="1">#REF!</definedName>
    <definedName name="_Key11" hidden="1">#REF!</definedName>
    <definedName name="_Key2" localSheetId="9" hidden="1">#REF!</definedName>
    <definedName name="_Key2" localSheetId="10" hidden="1">#REF!</definedName>
    <definedName name="_Key2" hidden="1">#REF!</definedName>
    <definedName name="_KEY3" hidden="1">#REF!</definedName>
    <definedName name="_key4" hidden="1">#REF!</definedName>
    <definedName name="_KK2" hidden="1">#REF!</definedName>
    <definedName name="_KK3" hidden="1">#REF!</definedName>
    <definedName name="_MatMult_A" localSheetId="9" hidden="1">#REF!</definedName>
    <definedName name="_MatMult_A" localSheetId="10" hidden="1">#REF!</definedName>
    <definedName name="_MatMult_A" hidden="1">#REF!</definedName>
    <definedName name="_MCC3" localSheetId="5" hidden="1">{#N/A,#N/A,FALSE,"CCTV"}</definedName>
    <definedName name="_MCC3" localSheetId="9" hidden="1">{#N/A,#N/A,FALSE,"CCTV"}</definedName>
    <definedName name="_MCC3" localSheetId="10" hidden="1">{#N/A,#N/A,FALSE,"CCTV"}</definedName>
    <definedName name="_MCC3" localSheetId="6" hidden="1">{#N/A,#N/A,FALSE,"CCTV"}</definedName>
    <definedName name="_MCC3" localSheetId="3" hidden="1">{#N/A,#N/A,FALSE,"CCTV"}</definedName>
    <definedName name="_MCC3" hidden="1">{#N/A,#N/A,FALSE,"CCTV"}</definedName>
    <definedName name="_MCC3_1" localSheetId="5" hidden="1">{#N/A,#N/A,FALSE,"CCTV"}</definedName>
    <definedName name="_MCC3_1" hidden="1">{#N/A,#N/A,FALSE,"CCTV"}</definedName>
    <definedName name="_MCC3_2" localSheetId="5" hidden="1">{#N/A,#N/A,FALSE,"CCTV"}</definedName>
    <definedName name="_MCC3_2" hidden="1">{#N/A,#N/A,FALSE,"CCTV"}</definedName>
    <definedName name="_MCC3_3" localSheetId="5" hidden="1">{#N/A,#N/A,FALSE,"CCTV"}</definedName>
    <definedName name="_MCC3_3" hidden="1">{#N/A,#N/A,FALSE,"CCTV"}</definedName>
    <definedName name="_MCC3_4" localSheetId="5" hidden="1">{#N/A,#N/A,FALSE,"CCTV"}</definedName>
    <definedName name="_MCC3_4" hidden="1">{#N/A,#N/A,FALSE,"CCTV"}</definedName>
    <definedName name="_MCC3_5" localSheetId="5" hidden="1">{#N/A,#N/A,FALSE,"CCTV"}</definedName>
    <definedName name="_MCC3_5" hidden="1">{#N/A,#N/A,FALSE,"CCTV"}</definedName>
    <definedName name="_MOB1" localSheetId="5" hidden="1">{#N/A,#N/A,TRUE,"Basic";#N/A,#N/A,TRUE,"EXT-TABLE";#N/A,#N/A,TRUE,"STEEL";#N/A,#N/A,TRUE,"INT-Table";#N/A,#N/A,TRUE,"STEEL";#N/A,#N/A,TRUE,"Door"}</definedName>
    <definedName name="_MOB1" hidden="1">{#N/A,#N/A,TRUE,"Basic";#N/A,#N/A,TRUE,"EXT-TABLE";#N/A,#N/A,TRUE,"STEEL";#N/A,#N/A,TRUE,"INT-Table";#N/A,#N/A,TRUE,"STEEL";#N/A,#N/A,TRUE,"Door"}</definedName>
    <definedName name="_MOB1_1" localSheetId="5" hidden="1">{#N/A,#N/A,TRUE,"Basic";#N/A,#N/A,TRUE,"EXT-TABLE";#N/A,#N/A,TRUE,"STEEL";#N/A,#N/A,TRUE,"INT-Table";#N/A,#N/A,TRUE,"STEEL";#N/A,#N/A,TRUE,"Door"}</definedName>
    <definedName name="_MOB1_1" hidden="1">{#N/A,#N/A,TRUE,"Basic";#N/A,#N/A,TRUE,"EXT-TABLE";#N/A,#N/A,TRUE,"STEEL";#N/A,#N/A,TRUE,"INT-Table";#N/A,#N/A,TRUE,"STEEL";#N/A,#N/A,TRUE,"Door"}</definedName>
    <definedName name="_MOB1_2" localSheetId="5" hidden="1">{#N/A,#N/A,TRUE,"Basic";#N/A,#N/A,TRUE,"EXT-TABLE";#N/A,#N/A,TRUE,"STEEL";#N/A,#N/A,TRUE,"INT-Table";#N/A,#N/A,TRUE,"STEEL";#N/A,#N/A,TRUE,"Door"}</definedName>
    <definedName name="_MOB1_2" hidden="1">{#N/A,#N/A,TRUE,"Basic";#N/A,#N/A,TRUE,"EXT-TABLE";#N/A,#N/A,TRUE,"STEEL";#N/A,#N/A,TRUE,"INT-Table";#N/A,#N/A,TRUE,"STEEL";#N/A,#N/A,TRUE,"Door"}</definedName>
    <definedName name="_MOB1_3" localSheetId="5" hidden="1">{#N/A,#N/A,TRUE,"Basic";#N/A,#N/A,TRUE,"EXT-TABLE";#N/A,#N/A,TRUE,"STEEL";#N/A,#N/A,TRUE,"INT-Table";#N/A,#N/A,TRUE,"STEEL";#N/A,#N/A,TRUE,"Door"}</definedName>
    <definedName name="_MOB1_3" hidden="1">{#N/A,#N/A,TRUE,"Basic";#N/A,#N/A,TRUE,"EXT-TABLE";#N/A,#N/A,TRUE,"STEEL";#N/A,#N/A,TRUE,"INT-Table";#N/A,#N/A,TRUE,"STEEL";#N/A,#N/A,TRUE,"Door"}</definedName>
    <definedName name="_MOB1_4" localSheetId="5" hidden="1">{#N/A,#N/A,TRUE,"Basic";#N/A,#N/A,TRUE,"EXT-TABLE";#N/A,#N/A,TRUE,"STEEL";#N/A,#N/A,TRUE,"INT-Table";#N/A,#N/A,TRUE,"STEEL";#N/A,#N/A,TRUE,"Door"}</definedName>
    <definedName name="_MOB1_4" hidden="1">{#N/A,#N/A,TRUE,"Basic";#N/A,#N/A,TRUE,"EXT-TABLE";#N/A,#N/A,TRUE,"STEEL";#N/A,#N/A,TRUE,"INT-Table";#N/A,#N/A,TRUE,"STEEL";#N/A,#N/A,TRUE,"Door"}</definedName>
    <definedName name="_MOB1_5" localSheetId="5" hidden="1">{#N/A,#N/A,TRUE,"Basic";#N/A,#N/A,TRUE,"EXT-TABLE";#N/A,#N/A,TRUE,"STEEL";#N/A,#N/A,TRUE,"INT-Table";#N/A,#N/A,TRUE,"STEEL";#N/A,#N/A,TRUE,"Door"}</definedName>
    <definedName name="_MOB1_5" hidden="1">{#N/A,#N/A,TRUE,"Basic";#N/A,#N/A,TRUE,"EXT-TABLE";#N/A,#N/A,TRUE,"STEEL";#N/A,#N/A,TRUE,"INT-Table";#N/A,#N/A,TRUE,"STEEL";#N/A,#N/A,TRUE,"Door"}</definedName>
    <definedName name="_MOB2" localSheetId="5" hidden="1">{#N/A,#N/A,TRUE,"Basic";#N/A,#N/A,TRUE,"EXT-TABLE";#N/A,#N/A,TRUE,"STEEL";#N/A,#N/A,TRUE,"INT-Table";#N/A,#N/A,TRUE,"STEEL";#N/A,#N/A,TRUE,"Door"}</definedName>
    <definedName name="_MOB2" hidden="1">{#N/A,#N/A,TRUE,"Basic";#N/A,#N/A,TRUE,"EXT-TABLE";#N/A,#N/A,TRUE,"STEEL";#N/A,#N/A,TRUE,"INT-Table";#N/A,#N/A,TRUE,"STEEL";#N/A,#N/A,TRUE,"Door"}</definedName>
    <definedName name="_MOB2_1" localSheetId="5" hidden="1">{#N/A,#N/A,TRUE,"Basic";#N/A,#N/A,TRUE,"EXT-TABLE";#N/A,#N/A,TRUE,"STEEL";#N/A,#N/A,TRUE,"INT-Table";#N/A,#N/A,TRUE,"STEEL";#N/A,#N/A,TRUE,"Door"}</definedName>
    <definedName name="_MOB2_1" hidden="1">{#N/A,#N/A,TRUE,"Basic";#N/A,#N/A,TRUE,"EXT-TABLE";#N/A,#N/A,TRUE,"STEEL";#N/A,#N/A,TRUE,"INT-Table";#N/A,#N/A,TRUE,"STEEL";#N/A,#N/A,TRUE,"Door"}</definedName>
    <definedName name="_MOB2_2" localSheetId="5" hidden="1">{#N/A,#N/A,TRUE,"Basic";#N/A,#N/A,TRUE,"EXT-TABLE";#N/A,#N/A,TRUE,"STEEL";#N/A,#N/A,TRUE,"INT-Table";#N/A,#N/A,TRUE,"STEEL";#N/A,#N/A,TRUE,"Door"}</definedName>
    <definedName name="_MOB2_2" hidden="1">{#N/A,#N/A,TRUE,"Basic";#N/A,#N/A,TRUE,"EXT-TABLE";#N/A,#N/A,TRUE,"STEEL";#N/A,#N/A,TRUE,"INT-Table";#N/A,#N/A,TRUE,"STEEL";#N/A,#N/A,TRUE,"Door"}</definedName>
    <definedName name="_MOB2_3" localSheetId="5" hidden="1">{#N/A,#N/A,TRUE,"Basic";#N/A,#N/A,TRUE,"EXT-TABLE";#N/A,#N/A,TRUE,"STEEL";#N/A,#N/A,TRUE,"INT-Table";#N/A,#N/A,TRUE,"STEEL";#N/A,#N/A,TRUE,"Door"}</definedName>
    <definedName name="_MOB2_3" hidden="1">{#N/A,#N/A,TRUE,"Basic";#N/A,#N/A,TRUE,"EXT-TABLE";#N/A,#N/A,TRUE,"STEEL";#N/A,#N/A,TRUE,"INT-Table";#N/A,#N/A,TRUE,"STEEL";#N/A,#N/A,TRUE,"Door"}</definedName>
    <definedName name="_MOB2_4" localSheetId="5" hidden="1">{#N/A,#N/A,TRUE,"Basic";#N/A,#N/A,TRUE,"EXT-TABLE";#N/A,#N/A,TRUE,"STEEL";#N/A,#N/A,TRUE,"INT-Table";#N/A,#N/A,TRUE,"STEEL";#N/A,#N/A,TRUE,"Door"}</definedName>
    <definedName name="_MOB2_4" hidden="1">{#N/A,#N/A,TRUE,"Basic";#N/A,#N/A,TRUE,"EXT-TABLE";#N/A,#N/A,TRUE,"STEEL";#N/A,#N/A,TRUE,"INT-Table";#N/A,#N/A,TRUE,"STEEL";#N/A,#N/A,TRUE,"Door"}</definedName>
    <definedName name="_MOB2_5" localSheetId="5" hidden="1">{#N/A,#N/A,TRUE,"Basic";#N/A,#N/A,TRUE,"EXT-TABLE";#N/A,#N/A,TRUE,"STEEL";#N/A,#N/A,TRUE,"INT-Table";#N/A,#N/A,TRUE,"STEEL";#N/A,#N/A,TRUE,"Door"}</definedName>
    <definedName name="_MOB2_5" hidden="1">{#N/A,#N/A,TRUE,"Basic";#N/A,#N/A,TRUE,"EXT-TABLE";#N/A,#N/A,TRUE,"STEEL";#N/A,#N/A,TRUE,"INT-Table";#N/A,#N/A,TRUE,"STEEL";#N/A,#N/A,TRUE,"Door"}</definedName>
    <definedName name="_MOB3" localSheetId="5" hidden="1">{#N/A,#N/A,TRUE,"Basic";#N/A,#N/A,TRUE,"EXT-TABLE";#N/A,#N/A,TRUE,"STEEL";#N/A,#N/A,TRUE,"INT-Table";#N/A,#N/A,TRUE,"STEEL";#N/A,#N/A,TRUE,"Door"}</definedName>
    <definedName name="_MOB3" hidden="1">{#N/A,#N/A,TRUE,"Basic";#N/A,#N/A,TRUE,"EXT-TABLE";#N/A,#N/A,TRUE,"STEEL";#N/A,#N/A,TRUE,"INT-Table";#N/A,#N/A,TRUE,"STEEL";#N/A,#N/A,TRUE,"Door"}</definedName>
    <definedName name="_MOB3_1" localSheetId="5" hidden="1">{#N/A,#N/A,TRUE,"Basic";#N/A,#N/A,TRUE,"EXT-TABLE";#N/A,#N/A,TRUE,"STEEL";#N/A,#N/A,TRUE,"INT-Table";#N/A,#N/A,TRUE,"STEEL";#N/A,#N/A,TRUE,"Door"}</definedName>
    <definedName name="_MOB3_1" hidden="1">{#N/A,#N/A,TRUE,"Basic";#N/A,#N/A,TRUE,"EXT-TABLE";#N/A,#N/A,TRUE,"STEEL";#N/A,#N/A,TRUE,"INT-Table";#N/A,#N/A,TRUE,"STEEL";#N/A,#N/A,TRUE,"Door"}</definedName>
    <definedName name="_MOB3_2" localSheetId="5" hidden="1">{#N/A,#N/A,TRUE,"Basic";#N/A,#N/A,TRUE,"EXT-TABLE";#N/A,#N/A,TRUE,"STEEL";#N/A,#N/A,TRUE,"INT-Table";#N/A,#N/A,TRUE,"STEEL";#N/A,#N/A,TRUE,"Door"}</definedName>
    <definedName name="_MOB3_2" hidden="1">{#N/A,#N/A,TRUE,"Basic";#N/A,#N/A,TRUE,"EXT-TABLE";#N/A,#N/A,TRUE,"STEEL";#N/A,#N/A,TRUE,"INT-Table";#N/A,#N/A,TRUE,"STEEL";#N/A,#N/A,TRUE,"Door"}</definedName>
    <definedName name="_MOB3_3" localSheetId="5" hidden="1">{#N/A,#N/A,TRUE,"Basic";#N/A,#N/A,TRUE,"EXT-TABLE";#N/A,#N/A,TRUE,"STEEL";#N/A,#N/A,TRUE,"INT-Table";#N/A,#N/A,TRUE,"STEEL";#N/A,#N/A,TRUE,"Door"}</definedName>
    <definedName name="_MOB3_3" hidden="1">{#N/A,#N/A,TRUE,"Basic";#N/A,#N/A,TRUE,"EXT-TABLE";#N/A,#N/A,TRUE,"STEEL";#N/A,#N/A,TRUE,"INT-Table";#N/A,#N/A,TRUE,"STEEL";#N/A,#N/A,TRUE,"Door"}</definedName>
    <definedName name="_MOB3_4" localSheetId="5" hidden="1">{#N/A,#N/A,TRUE,"Basic";#N/A,#N/A,TRUE,"EXT-TABLE";#N/A,#N/A,TRUE,"STEEL";#N/A,#N/A,TRUE,"INT-Table";#N/A,#N/A,TRUE,"STEEL";#N/A,#N/A,TRUE,"Door"}</definedName>
    <definedName name="_MOB3_4" hidden="1">{#N/A,#N/A,TRUE,"Basic";#N/A,#N/A,TRUE,"EXT-TABLE";#N/A,#N/A,TRUE,"STEEL";#N/A,#N/A,TRUE,"INT-Table";#N/A,#N/A,TRUE,"STEEL";#N/A,#N/A,TRUE,"Door"}</definedName>
    <definedName name="_MOB3_5" localSheetId="5" hidden="1">{#N/A,#N/A,TRUE,"Basic";#N/A,#N/A,TRUE,"EXT-TABLE";#N/A,#N/A,TRUE,"STEEL";#N/A,#N/A,TRUE,"INT-Table";#N/A,#N/A,TRUE,"STEEL";#N/A,#N/A,TRUE,"Door"}</definedName>
    <definedName name="_MOB3_5" hidden="1">{#N/A,#N/A,TRUE,"Basic";#N/A,#N/A,TRUE,"EXT-TABLE";#N/A,#N/A,TRUE,"STEEL";#N/A,#N/A,TRUE,"INT-Table";#N/A,#N/A,TRUE,"STEEL";#N/A,#N/A,TRUE,"Door"}</definedName>
    <definedName name="_MS275" localSheetId="5" hidden="1">{#N/A,#N/A,FALSE,"TABLE"}</definedName>
    <definedName name="_MS275" hidden="1">{#N/A,#N/A,FALSE,"TABLE"}</definedName>
    <definedName name="_Order1" hidden="1">255</definedName>
    <definedName name="_Order2" hidden="1">255</definedName>
    <definedName name="_Parse_In" localSheetId="9" hidden="1">#REF!</definedName>
    <definedName name="_Parse_In" localSheetId="10" hidden="1">#REF!</definedName>
    <definedName name="_Parse_In" hidden="1">#REF!</definedName>
    <definedName name="_Parse_Out" localSheetId="9" hidden="1">#REF!</definedName>
    <definedName name="_Parse_Out" localSheetId="10" hidden="1">#REF!</definedName>
    <definedName name="_Parse_Out" localSheetId="3" hidden="1">#REF!</definedName>
    <definedName name="_Parse_Out" hidden="1">#REF!</definedName>
    <definedName name="_pill" hidden="1">#REF!</definedName>
    <definedName name="_PK2" localSheetId="5" hidden="1">{"'장비'!$A$3:$M$12"}</definedName>
    <definedName name="_PK2" localSheetId="9" hidden="1">{"'장비'!$A$3:$M$12"}</definedName>
    <definedName name="_PK2" localSheetId="10" hidden="1">{"'장비'!$A$3:$M$12"}</definedName>
    <definedName name="_PK2" localSheetId="6" hidden="1">{"'장비'!$A$3:$M$12"}</definedName>
    <definedName name="_PK2" localSheetId="3" hidden="1">{"'장비'!$A$3:$M$12"}</definedName>
    <definedName name="_PK2" hidden="1">{"'장비'!$A$3:$M$12"}</definedName>
    <definedName name="_PK2_1" localSheetId="5" hidden="1">{"'장비'!$A$3:$M$12"}</definedName>
    <definedName name="_PK2_1" localSheetId="9" hidden="1">{"'장비'!$A$3:$M$12"}</definedName>
    <definedName name="_PK2_1" localSheetId="10" hidden="1">{"'장비'!$A$3:$M$12"}</definedName>
    <definedName name="_PK2_1" localSheetId="6" hidden="1">{"'장비'!$A$3:$M$12"}</definedName>
    <definedName name="_PK2_1" localSheetId="3" hidden="1">{"'장비'!$A$3:$M$12"}</definedName>
    <definedName name="_PK2_1" hidden="1">{"'장비'!$A$3:$M$12"}</definedName>
    <definedName name="_PK2_2" localSheetId="5" hidden="1">{"'장비'!$A$3:$M$12"}</definedName>
    <definedName name="_PK2_2" hidden="1">{"'장비'!$A$3:$M$12"}</definedName>
    <definedName name="_PK2_3" localSheetId="5" hidden="1">{"'장비'!$A$3:$M$12"}</definedName>
    <definedName name="_PK2_3" hidden="1">{"'장비'!$A$3:$M$12"}</definedName>
    <definedName name="_PK2_4" localSheetId="5" hidden="1">{"'장비'!$A$3:$M$12"}</definedName>
    <definedName name="_PK2_4" hidden="1">{"'장비'!$A$3:$M$12"}</definedName>
    <definedName name="_PK2_5" localSheetId="5" hidden="1">{"'장비'!$A$3:$M$12"}</definedName>
    <definedName name="_PK2_5" hidden="1">{"'장비'!$A$3:$M$12"}</definedName>
    <definedName name="_PKG3" localSheetId="5" hidden="1">{"'장비'!$A$3:$M$12"}</definedName>
    <definedName name="_PKG3" localSheetId="9" hidden="1">{"'장비'!$A$3:$M$12"}</definedName>
    <definedName name="_PKG3" localSheetId="10" hidden="1">{"'장비'!$A$3:$M$12"}</definedName>
    <definedName name="_PKG3" localSheetId="6" hidden="1">{"'장비'!$A$3:$M$12"}</definedName>
    <definedName name="_PKG3" localSheetId="3" hidden="1">{"'장비'!$A$3:$M$12"}</definedName>
    <definedName name="_PKG3" hidden="1">{"'장비'!$A$3:$M$12"}</definedName>
    <definedName name="_PKG3_1" localSheetId="5" hidden="1">{"'장비'!$A$3:$M$12"}</definedName>
    <definedName name="_PKG3_1" localSheetId="9" hidden="1">{"'장비'!$A$3:$M$12"}</definedName>
    <definedName name="_PKG3_1" localSheetId="10" hidden="1">{"'장비'!$A$3:$M$12"}</definedName>
    <definedName name="_PKG3_1" localSheetId="6" hidden="1">{"'장비'!$A$3:$M$12"}</definedName>
    <definedName name="_PKG3_1" localSheetId="3" hidden="1">{"'장비'!$A$3:$M$12"}</definedName>
    <definedName name="_PKG3_1" hidden="1">{"'장비'!$A$3:$M$12"}</definedName>
    <definedName name="_PKG3_2" localSheetId="5" hidden="1">{"'장비'!$A$3:$M$12"}</definedName>
    <definedName name="_PKG3_2" hidden="1">{"'장비'!$A$3:$M$12"}</definedName>
    <definedName name="_PKG3_3" localSheetId="5" hidden="1">{"'장비'!$A$3:$M$12"}</definedName>
    <definedName name="_PKG3_3" hidden="1">{"'장비'!$A$3:$M$12"}</definedName>
    <definedName name="_PKG3_4" localSheetId="5" hidden="1">{"'장비'!$A$3:$M$12"}</definedName>
    <definedName name="_PKG3_4" hidden="1">{"'장비'!$A$3:$M$12"}</definedName>
    <definedName name="_PKG3_5" localSheetId="5" hidden="1">{"'장비'!$A$3:$M$12"}</definedName>
    <definedName name="_PKG3_5" hidden="1">{"'장비'!$A$3:$M$12"}</definedName>
    <definedName name="_q45" localSheetId="5" hidden="1">{"'용역비'!$A$4:$C$8"}</definedName>
    <definedName name="_q45" hidden="1">{"'용역비'!$A$4:$C$8"}</definedName>
    <definedName name="_QQ1" localSheetId="5" hidden="1">{#N/A,#N/A,FALSE,"단가표지"}</definedName>
    <definedName name="_QQ1" localSheetId="9" hidden="1">{#N/A,#N/A,FALSE,"단가표지"}</definedName>
    <definedName name="_QQ1" localSheetId="10" hidden="1">{#N/A,#N/A,FALSE,"단가표지"}</definedName>
    <definedName name="_QQ1" localSheetId="6" hidden="1">{#N/A,#N/A,FALSE,"단가표지"}</definedName>
    <definedName name="_QQ1" localSheetId="3" hidden="1">{#N/A,#N/A,FALSE,"단가표지"}</definedName>
    <definedName name="_QQ1" hidden="1">{#N/A,#N/A,FALSE,"단가표지"}</definedName>
    <definedName name="_qqq222" localSheetId="5" hidden="1">{"'장비'!$A$3:$M$12"}</definedName>
    <definedName name="_qqq222" localSheetId="9" hidden="1">{"'장비'!$A$3:$M$12"}</definedName>
    <definedName name="_qqq222" localSheetId="10" hidden="1">{"'장비'!$A$3:$M$12"}</definedName>
    <definedName name="_qqq222" localSheetId="6" hidden="1">{"'장비'!$A$3:$M$12"}</definedName>
    <definedName name="_qqq222" localSheetId="3" hidden="1">{"'장비'!$A$3:$M$12"}</definedName>
    <definedName name="_qqq222" hidden="1">{"'장비'!$A$3:$M$12"}</definedName>
    <definedName name="_qqq222_1" localSheetId="5" hidden="1">{"'장비'!$A$3:$M$12"}</definedName>
    <definedName name="_qqq222_1" localSheetId="9" hidden="1">{"'장비'!$A$3:$M$12"}</definedName>
    <definedName name="_qqq222_1" localSheetId="10" hidden="1">{"'장비'!$A$3:$M$12"}</definedName>
    <definedName name="_qqq222_1" localSheetId="6" hidden="1">{"'장비'!$A$3:$M$12"}</definedName>
    <definedName name="_qqq222_1" localSheetId="3" hidden="1">{"'장비'!$A$3:$M$12"}</definedName>
    <definedName name="_qqq222_1" hidden="1">{"'장비'!$A$3:$M$12"}</definedName>
    <definedName name="_qqq222_2" localSheetId="5" hidden="1">{"'장비'!$A$3:$M$12"}</definedName>
    <definedName name="_qqq222_2" hidden="1">{"'장비'!$A$3:$M$12"}</definedName>
    <definedName name="_qqq222_3" localSheetId="5" hidden="1">{"'장비'!$A$3:$M$12"}</definedName>
    <definedName name="_qqq222_3" hidden="1">{"'장비'!$A$3:$M$12"}</definedName>
    <definedName name="_qqq222_4" localSheetId="5" hidden="1">{"'장비'!$A$3:$M$12"}</definedName>
    <definedName name="_qqq222_4" hidden="1">{"'장비'!$A$3:$M$12"}</definedName>
    <definedName name="_qqq222_5" localSheetId="5" hidden="1">{"'장비'!$A$3:$M$12"}</definedName>
    <definedName name="_qqq222_5" hidden="1">{"'장비'!$A$3:$M$12"}</definedName>
    <definedName name="_QW1" localSheetId="5" hidden="1">{#N/A,#N/A,FALSE,"단가표지"}</definedName>
    <definedName name="_QW1" localSheetId="9" hidden="1">{#N/A,#N/A,FALSE,"단가표지"}</definedName>
    <definedName name="_QW1" localSheetId="10" hidden="1">{#N/A,#N/A,FALSE,"단가표지"}</definedName>
    <definedName name="_QW1" localSheetId="6" hidden="1">{#N/A,#N/A,FALSE,"단가표지"}</definedName>
    <definedName name="_QW1" localSheetId="3" hidden="1">{#N/A,#N/A,FALSE,"단가표지"}</definedName>
    <definedName name="_QW1" hidden="1">{#N/A,#N/A,FALSE,"단가표지"}</definedName>
    <definedName name="_Regression_Int" hidden="1">1</definedName>
    <definedName name="_Regression_Out" localSheetId="9" hidden="1">#REF!</definedName>
    <definedName name="_Regression_Out" localSheetId="10" hidden="1">#REF!</definedName>
    <definedName name="_Regression_Out" hidden="1">#REF!</definedName>
    <definedName name="_Regression_X" localSheetId="9" hidden="1">#REF!</definedName>
    <definedName name="_Regression_X" localSheetId="10" hidden="1">#REF!</definedName>
    <definedName name="_Regression_X" hidden="1">#REF!</definedName>
    <definedName name="_Regression_Y" localSheetId="9" hidden="1">#REF!</definedName>
    <definedName name="_Regression_Y" localSheetId="10" hidden="1">#REF!</definedName>
    <definedName name="_Regression_Y" hidden="1">#REF!</definedName>
    <definedName name="_S01" hidden="1">#REF!</definedName>
    <definedName name="_Sort" localSheetId="9" hidden="1">#REF!</definedName>
    <definedName name="_Sort" localSheetId="10" hidden="1">#REF!</definedName>
    <definedName name="_Sort" hidden="1">#REF!</definedName>
    <definedName name="_SS1" localSheetId="5" hidden="1">{#N/A,#N/A,FALSE,"운반시간"}</definedName>
    <definedName name="_SS1" localSheetId="9" hidden="1">{#N/A,#N/A,FALSE,"운반시간"}</definedName>
    <definedName name="_SS1" localSheetId="10" hidden="1">{#N/A,#N/A,FALSE,"운반시간"}</definedName>
    <definedName name="_SS1" localSheetId="6" hidden="1">{#N/A,#N/A,FALSE,"운반시간"}</definedName>
    <definedName name="_SS1" localSheetId="3" hidden="1">{#N/A,#N/A,FALSE,"운반시간"}</definedName>
    <definedName name="_SS1" hidden="1">{#N/A,#N/A,FALSE,"운반시간"}</definedName>
    <definedName name="_Sum1111" localSheetId="5" hidden="1">{#N/A,#N/A,TRUE,"Basic";#N/A,#N/A,TRUE,"EXT-TABLE";#N/A,#N/A,TRUE,"STEEL";#N/A,#N/A,TRUE,"INT-Table";#N/A,#N/A,TRUE,"STEEL";#N/A,#N/A,TRUE,"Door"}</definedName>
    <definedName name="_Sum1111" hidden="1">{#N/A,#N/A,TRUE,"Basic";#N/A,#N/A,TRUE,"EXT-TABLE";#N/A,#N/A,TRUE,"STEEL";#N/A,#N/A,TRUE,"INT-Table";#N/A,#N/A,TRUE,"STEEL";#N/A,#N/A,TRUE,"Door"}</definedName>
    <definedName name="_Sum1111_1" localSheetId="5" hidden="1">{#N/A,#N/A,TRUE,"Basic";#N/A,#N/A,TRUE,"EXT-TABLE";#N/A,#N/A,TRUE,"STEEL";#N/A,#N/A,TRUE,"INT-Table";#N/A,#N/A,TRUE,"STEEL";#N/A,#N/A,TRUE,"Door"}</definedName>
    <definedName name="_Sum1111_1" hidden="1">{#N/A,#N/A,TRUE,"Basic";#N/A,#N/A,TRUE,"EXT-TABLE";#N/A,#N/A,TRUE,"STEEL";#N/A,#N/A,TRUE,"INT-Table";#N/A,#N/A,TRUE,"STEEL";#N/A,#N/A,TRUE,"Door"}</definedName>
    <definedName name="_Sum1111_2" localSheetId="5" hidden="1">{#N/A,#N/A,TRUE,"Basic";#N/A,#N/A,TRUE,"EXT-TABLE";#N/A,#N/A,TRUE,"STEEL";#N/A,#N/A,TRUE,"INT-Table";#N/A,#N/A,TRUE,"STEEL";#N/A,#N/A,TRUE,"Door"}</definedName>
    <definedName name="_Sum1111_2" hidden="1">{#N/A,#N/A,TRUE,"Basic";#N/A,#N/A,TRUE,"EXT-TABLE";#N/A,#N/A,TRUE,"STEEL";#N/A,#N/A,TRUE,"INT-Table";#N/A,#N/A,TRUE,"STEEL";#N/A,#N/A,TRUE,"Door"}</definedName>
    <definedName name="_Sum1111_3" localSheetId="5" hidden="1">{#N/A,#N/A,TRUE,"Basic";#N/A,#N/A,TRUE,"EXT-TABLE";#N/A,#N/A,TRUE,"STEEL";#N/A,#N/A,TRUE,"INT-Table";#N/A,#N/A,TRUE,"STEEL";#N/A,#N/A,TRUE,"Door"}</definedName>
    <definedName name="_Sum1111_3" hidden="1">{#N/A,#N/A,TRUE,"Basic";#N/A,#N/A,TRUE,"EXT-TABLE";#N/A,#N/A,TRUE,"STEEL";#N/A,#N/A,TRUE,"INT-Table";#N/A,#N/A,TRUE,"STEEL";#N/A,#N/A,TRUE,"Door"}</definedName>
    <definedName name="_Sum1111_4" localSheetId="5" hidden="1">{#N/A,#N/A,TRUE,"Basic";#N/A,#N/A,TRUE,"EXT-TABLE";#N/A,#N/A,TRUE,"STEEL";#N/A,#N/A,TRUE,"INT-Table";#N/A,#N/A,TRUE,"STEEL";#N/A,#N/A,TRUE,"Door"}</definedName>
    <definedName name="_Sum1111_4" hidden="1">{#N/A,#N/A,TRUE,"Basic";#N/A,#N/A,TRUE,"EXT-TABLE";#N/A,#N/A,TRUE,"STEEL";#N/A,#N/A,TRUE,"INT-Table";#N/A,#N/A,TRUE,"STEEL";#N/A,#N/A,TRUE,"Door"}</definedName>
    <definedName name="_Sum1111_5" localSheetId="5" hidden="1">{#N/A,#N/A,TRUE,"Basic";#N/A,#N/A,TRUE,"EXT-TABLE";#N/A,#N/A,TRUE,"STEEL";#N/A,#N/A,TRUE,"INT-Table";#N/A,#N/A,TRUE,"STEEL";#N/A,#N/A,TRUE,"Door"}</definedName>
    <definedName name="_Sum1111_5" hidden="1">{#N/A,#N/A,TRUE,"Basic";#N/A,#N/A,TRUE,"EXT-TABLE";#N/A,#N/A,TRUE,"STEEL";#N/A,#N/A,TRUE,"INT-Table";#N/A,#N/A,TRUE,"STEEL";#N/A,#N/A,TRUE,"Door"}</definedName>
    <definedName name="_t1" localSheetId="9" hidden="1">#REF!</definedName>
    <definedName name="_t1" localSheetId="10" hidden="1">#REF!</definedName>
    <definedName name="_t1" hidden="1">#REF!</definedName>
    <definedName name="_t2" localSheetId="9" hidden="1">#REF!</definedName>
    <definedName name="_t2" localSheetId="10" hidden="1">#REF!</definedName>
    <definedName name="_t2" hidden="1">#REF!</definedName>
    <definedName name="_Table1_In1" localSheetId="9" hidden="1">#REF!</definedName>
    <definedName name="_Table1_In1" localSheetId="10" hidden="1">#REF!</definedName>
    <definedName name="_Table1_In1" hidden="1">#REF!</definedName>
    <definedName name="_Table1_Out" localSheetId="9" hidden="1">#REF!</definedName>
    <definedName name="_Table1_Out" localSheetId="10" hidden="1">#REF!</definedName>
    <definedName name="_Table1_Out" hidden="1">#REF!</definedName>
    <definedName name="_Table2_In1" localSheetId="9" hidden="1">#REF!</definedName>
    <definedName name="_Table2_In1" localSheetId="10" hidden="1">#REF!</definedName>
    <definedName name="_Table2_In1" hidden="1">#REF!</definedName>
    <definedName name="_Table2_In2" localSheetId="9" hidden="1">#REF!</definedName>
    <definedName name="_Table2_In2" localSheetId="10" hidden="1">#REF!</definedName>
    <definedName name="_Table2_In2" hidden="1">#REF!</definedName>
    <definedName name="_Table2_Out" localSheetId="9" hidden="1">#REF!</definedName>
    <definedName name="_Table2_Out" localSheetId="10" hidden="1">#REF!</definedName>
    <definedName name="_Table2_Out" hidden="1">#REF!</definedName>
    <definedName name="´cAE°eE¹" localSheetId="9" hidden="1">#REF!</definedName>
    <definedName name="´cAE°eE¹" localSheetId="10" hidden="1">#REF!</definedName>
    <definedName name="´cAE°eE¹" hidden="1">#REF!</definedName>
    <definedName name="￠￥cAE¡ÆeEⓒo" localSheetId="9" hidden="1">#REF!</definedName>
    <definedName name="￠￥cAE¡ÆeEⓒo" localSheetId="10" hidden="1">#REF!</definedName>
    <definedName name="￠￥cAE¡ÆeEⓒo" hidden="1">#REF!</definedName>
    <definedName name="A" localSheetId="5" hidden="1">{#N/A,#N/A,FALSE,"이태원철근"}</definedName>
    <definedName name="A" hidden="1">{#N/A,#N/A,FALSE,"이태원철근"}</definedName>
    <definedName name="aa" localSheetId="9" hidden="1">#REF!</definedName>
    <definedName name="aa" localSheetId="10" hidden="1">#REF!</definedName>
    <definedName name="aa" localSheetId="3" hidden="1">{#N/A,#N/A,FALSE,"이태원철근"}</definedName>
    <definedName name="aa" hidden="1">#REF!</definedName>
    <definedName name="AAA" localSheetId="5" hidden="1">{#N/A,#N/A,FALSE,"CCTV"}</definedName>
    <definedName name="AAA" localSheetId="9" hidden="1">{#N/A,#N/A,FALSE,"CCTV"}</definedName>
    <definedName name="AAA" localSheetId="10" hidden="1">{#N/A,#N/A,FALSE,"CCTV"}</definedName>
    <definedName name="AAA" localSheetId="6" hidden="1">{#N/A,#N/A,FALSE,"CCTV"}</definedName>
    <definedName name="AAA" localSheetId="3" hidden="1">{#N/A,#N/A,FALSE,"CCTV"}</definedName>
    <definedName name="AAA" hidden="1">{#N/A,#N/A,FALSE,"CCTV"}</definedName>
    <definedName name="aaa_1" localSheetId="5" hidden="1">{"LKD",#N/A,FALSE,"표지"}</definedName>
    <definedName name="aaa_1" hidden="1">{"LKD",#N/A,FALSE,"표지"}</definedName>
    <definedName name="aaa_2" localSheetId="5" hidden="1">{"LKD",#N/A,FALSE,"표지"}</definedName>
    <definedName name="aaa_2" hidden="1">{"LKD",#N/A,FALSE,"표지"}</definedName>
    <definedName name="aaa_3" localSheetId="5" hidden="1">{"LKD",#N/A,FALSE,"표지"}</definedName>
    <definedName name="aaa_3" hidden="1">{"LKD",#N/A,FALSE,"표지"}</definedName>
    <definedName name="aaa_4" localSheetId="5" hidden="1">{"LKD",#N/A,FALSE,"표지"}</definedName>
    <definedName name="aaa_4" hidden="1">{"LKD",#N/A,FALSE,"표지"}</definedName>
    <definedName name="aaa_5" localSheetId="5" hidden="1">{"LKD",#N/A,FALSE,"표지"}</definedName>
    <definedName name="aaa_5" hidden="1">{"LKD",#N/A,FALSE,"표지"}</definedName>
    <definedName name="aaaa" localSheetId="5" hidden="1">{#N/A,#N/A,FALSE,"CCTV"}</definedName>
    <definedName name="aaaa" localSheetId="9" hidden="1">{#N/A,#N/A,FALSE,"CCTV"}</definedName>
    <definedName name="aaaa" localSheetId="10" hidden="1">{#N/A,#N/A,FALSE,"CCTV"}</definedName>
    <definedName name="aaaa" localSheetId="6" hidden="1">{#N/A,#N/A,FALSE,"CCTV"}</definedName>
    <definedName name="aaaa" localSheetId="3" hidden="1">{#N/A,#N/A,FALSE,"CCTV"}</definedName>
    <definedName name="aaaa" hidden="1">{#N/A,#N/A,FALSE,"CCTV"}</definedName>
    <definedName name="aaaa_1" localSheetId="5" hidden="1">{#N/A,#N/A,FALSE,"CCTV"}</definedName>
    <definedName name="aaaa_1" localSheetId="9" hidden="1">{#N/A,#N/A,FALSE,"CCTV"}</definedName>
    <definedName name="aaaa_1" localSheetId="10" hidden="1">{#N/A,#N/A,FALSE,"CCTV"}</definedName>
    <definedName name="aaaa_1" localSheetId="6" hidden="1">{#N/A,#N/A,FALSE,"CCTV"}</definedName>
    <definedName name="aaaa_1" localSheetId="3" hidden="1">{#N/A,#N/A,FALSE,"CCTV"}</definedName>
    <definedName name="aaaa_1" hidden="1">{#N/A,#N/A,FALSE,"CCTV"}</definedName>
    <definedName name="aaaa_2" localSheetId="5" hidden="1">{#N/A,#N/A,FALSE,"CCTV"}</definedName>
    <definedName name="aaaa_2" hidden="1">{#N/A,#N/A,FALSE,"CCTV"}</definedName>
    <definedName name="aaaa_3" localSheetId="5" hidden="1">{#N/A,#N/A,FALSE,"CCTV"}</definedName>
    <definedName name="aaaa_3" hidden="1">{#N/A,#N/A,FALSE,"CCTV"}</definedName>
    <definedName name="aaaa_4" localSheetId="5" hidden="1">{#N/A,#N/A,FALSE,"CCTV"}</definedName>
    <definedName name="aaaa_4" hidden="1">{#N/A,#N/A,FALSE,"CCTV"}</definedName>
    <definedName name="aaaa_5" localSheetId="5" hidden="1">{#N/A,#N/A,FALSE,"CCTV"}</definedName>
    <definedName name="aaaa_5" hidden="1">{#N/A,#N/A,FALSE,"CCTV"}</definedName>
    <definedName name="aaaa1" localSheetId="5" hidden="1">{#N/A,#N/A,TRUE,"Basic";#N/A,#N/A,TRUE,"EXT-TABLE";#N/A,#N/A,TRUE,"STEEL";#N/A,#N/A,TRUE,"INT-Table";#N/A,#N/A,TRUE,"STEEL";#N/A,#N/A,TRUE,"Door"}</definedName>
    <definedName name="aaaa1" hidden="1">{#N/A,#N/A,TRUE,"Basic";#N/A,#N/A,TRUE,"EXT-TABLE";#N/A,#N/A,TRUE,"STEEL";#N/A,#N/A,TRUE,"INT-Table";#N/A,#N/A,TRUE,"STEEL";#N/A,#N/A,TRUE,"Door"}</definedName>
    <definedName name="aaaa1_1" localSheetId="5" hidden="1">{#N/A,#N/A,TRUE,"Basic";#N/A,#N/A,TRUE,"EXT-TABLE";#N/A,#N/A,TRUE,"STEEL";#N/A,#N/A,TRUE,"INT-Table";#N/A,#N/A,TRUE,"STEEL";#N/A,#N/A,TRUE,"Door"}</definedName>
    <definedName name="aaaa1_1" hidden="1">{#N/A,#N/A,TRUE,"Basic";#N/A,#N/A,TRUE,"EXT-TABLE";#N/A,#N/A,TRUE,"STEEL";#N/A,#N/A,TRUE,"INT-Table";#N/A,#N/A,TRUE,"STEEL";#N/A,#N/A,TRUE,"Door"}</definedName>
    <definedName name="aaaa1_2" localSheetId="5" hidden="1">{#N/A,#N/A,TRUE,"Basic";#N/A,#N/A,TRUE,"EXT-TABLE";#N/A,#N/A,TRUE,"STEEL";#N/A,#N/A,TRUE,"INT-Table";#N/A,#N/A,TRUE,"STEEL";#N/A,#N/A,TRUE,"Door"}</definedName>
    <definedName name="aaaa1_2" hidden="1">{#N/A,#N/A,TRUE,"Basic";#N/A,#N/A,TRUE,"EXT-TABLE";#N/A,#N/A,TRUE,"STEEL";#N/A,#N/A,TRUE,"INT-Table";#N/A,#N/A,TRUE,"STEEL";#N/A,#N/A,TRUE,"Door"}</definedName>
    <definedName name="aaaa1_3" localSheetId="5" hidden="1">{#N/A,#N/A,TRUE,"Basic";#N/A,#N/A,TRUE,"EXT-TABLE";#N/A,#N/A,TRUE,"STEEL";#N/A,#N/A,TRUE,"INT-Table";#N/A,#N/A,TRUE,"STEEL";#N/A,#N/A,TRUE,"Door"}</definedName>
    <definedName name="aaaa1_3" hidden="1">{#N/A,#N/A,TRUE,"Basic";#N/A,#N/A,TRUE,"EXT-TABLE";#N/A,#N/A,TRUE,"STEEL";#N/A,#N/A,TRUE,"INT-Table";#N/A,#N/A,TRUE,"STEEL";#N/A,#N/A,TRUE,"Door"}</definedName>
    <definedName name="aaaa1_4" localSheetId="5" hidden="1">{#N/A,#N/A,TRUE,"Basic";#N/A,#N/A,TRUE,"EXT-TABLE";#N/A,#N/A,TRUE,"STEEL";#N/A,#N/A,TRUE,"INT-Table";#N/A,#N/A,TRUE,"STEEL";#N/A,#N/A,TRUE,"Door"}</definedName>
    <definedName name="aaaa1_4" hidden="1">{#N/A,#N/A,TRUE,"Basic";#N/A,#N/A,TRUE,"EXT-TABLE";#N/A,#N/A,TRUE,"STEEL";#N/A,#N/A,TRUE,"INT-Table";#N/A,#N/A,TRUE,"STEEL";#N/A,#N/A,TRUE,"Door"}</definedName>
    <definedName name="aaaa1_5" localSheetId="5" hidden="1">{#N/A,#N/A,TRUE,"Basic";#N/A,#N/A,TRUE,"EXT-TABLE";#N/A,#N/A,TRUE,"STEEL";#N/A,#N/A,TRUE,"INT-Table";#N/A,#N/A,TRUE,"STEEL";#N/A,#N/A,TRUE,"Door"}</definedName>
    <definedName name="aaaa1_5" hidden="1">{#N/A,#N/A,TRUE,"Basic";#N/A,#N/A,TRUE,"EXT-TABLE";#N/A,#N/A,TRUE,"STEEL";#N/A,#N/A,TRUE,"INT-Table";#N/A,#N/A,TRUE,"STEEL";#N/A,#N/A,TRUE,"Door"}</definedName>
    <definedName name="aaaaa" localSheetId="5" hidden="1">{#N/A,#N/A,TRUE,"Basic";#N/A,#N/A,TRUE,"EXT-TABLE";#N/A,#N/A,TRUE,"STEEL";#N/A,#N/A,TRUE,"INT-Table";#N/A,#N/A,TRUE,"STEEL";#N/A,#N/A,TRUE,"Door"}</definedName>
    <definedName name="aaaaa" localSheetId="9" hidden="1">{#N/A,#N/A,TRUE,"Basic";#N/A,#N/A,TRUE,"EXT-TABLE";#N/A,#N/A,TRUE,"STEEL";#N/A,#N/A,TRUE,"INT-Table";#N/A,#N/A,TRUE,"STEEL";#N/A,#N/A,TRUE,"Door"}</definedName>
    <definedName name="aaaaa" localSheetId="10" hidden="1">{#N/A,#N/A,TRUE,"Basic";#N/A,#N/A,TRUE,"EXT-TABLE";#N/A,#N/A,TRUE,"STEEL";#N/A,#N/A,TRUE,"INT-Table";#N/A,#N/A,TRUE,"STEEL";#N/A,#N/A,TRUE,"Door"}</definedName>
    <definedName name="aaaaa" localSheetId="6" hidden="1">{#N/A,#N/A,TRUE,"Basic";#N/A,#N/A,TRUE,"EXT-TABLE";#N/A,#N/A,TRUE,"STEEL";#N/A,#N/A,TRUE,"INT-Table";#N/A,#N/A,TRUE,"STEEL";#N/A,#N/A,TRUE,"Door"}</definedName>
    <definedName name="aaaaa" localSheetId="3" hidden="1">{#N/A,#N/A,TRUE,"Basic";#N/A,#N/A,TRUE,"EXT-TABLE";#N/A,#N/A,TRUE,"STEEL";#N/A,#N/A,TRUE,"INT-Table";#N/A,#N/A,TRUE,"STEEL";#N/A,#N/A,TRUE,"Door"}</definedName>
    <definedName name="aaaaa" hidden="1">{#N/A,#N/A,TRUE,"Basic";#N/A,#N/A,TRUE,"EXT-TABLE";#N/A,#N/A,TRUE,"STEEL";#N/A,#N/A,TRUE,"INT-Table";#N/A,#N/A,TRUE,"STEEL";#N/A,#N/A,TRUE,"Door"}</definedName>
    <definedName name="aaaaa_1" localSheetId="5" hidden="1">{#N/A,#N/A,TRUE,"Basic";#N/A,#N/A,TRUE,"EXT-TABLE";#N/A,#N/A,TRUE,"STEEL";#N/A,#N/A,TRUE,"INT-Table";#N/A,#N/A,TRUE,"STEEL";#N/A,#N/A,TRUE,"Door"}</definedName>
    <definedName name="aaaaa_1" hidden="1">{#N/A,#N/A,TRUE,"Basic";#N/A,#N/A,TRUE,"EXT-TABLE";#N/A,#N/A,TRUE,"STEEL";#N/A,#N/A,TRUE,"INT-Table";#N/A,#N/A,TRUE,"STEEL";#N/A,#N/A,TRUE,"Door"}</definedName>
    <definedName name="aaaaa_2" localSheetId="5" hidden="1">{#N/A,#N/A,TRUE,"Basic";#N/A,#N/A,TRUE,"EXT-TABLE";#N/A,#N/A,TRUE,"STEEL";#N/A,#N/A,TRUE,"INT-Table";#N/A,#N/A,TRUE,"STEEL";#N/A,#N/A,TRUE,"Door"}</definedName>
    <definedName name="aaaaa_2" hidden="1">{#N/A,#N/A,TRUE,"Basic";#N/A,#N/A,TRUE,"EXT-TABLE";#N/A,#N/A,TRUE,"STEEL";#N/A,#N/A,TRUE,"INT-Table";#N/A,#N/A,TRUE,"STEEL";#N/A,#N/A,TRUE,"Door"}</definedName>
    <definedName name="aaaaa_3" localSheetId="5" hidden="1">{#N/A,#N/A,TRUE,"Basic";#N/A,#N/A,TRUE,"EXT-TABLE";#N/A,#N/A,TRUE,"STEEL";#N/A,#N/A,TRUE,"INT-Table";#N/A,#N/A,TRUE,"STEEL";#N/A,#N/A,TRUE,"Door"}</definedName>
    <definedName name="aaaaa_3" hidden="1">{#N/A,#N/A,TRUE,"Basic";#N/A,#N/A,TRUE,"EXT-TABLE";#N/A,#N/A,TRUE,"STEEL";#N/A,#N/A,TRUE,"INT-Table";#N/A,#N/A,TRUE,"STEEL";#N/A,#N/A,TRUE,"Door"}</definedName>
    <definedName name="aaaaa_4" localSheetId="5" hidden="1">{#N/A,#N/A,TRUE,"Basic";#N/A,#N/A,TRUE,"EXT-TABLE";#N/A,#N/A,TRUE,"STEEL";#N/A,#N/A,TRUE,"INT-Table";#N/A,#N/A,TRUE,"STEEL";#N/A,#N/A,TRUE,"Door"}</definedName>
    <definedName name="aaaaa_4" hidden="1">{#N/A,#N/A,TRUE,"Basic";#N/A,#N/A,TRUE,"EXT-TABLE";#N/A,#N/A,TRUE,"STEEL";#N/A,#N/A,TRUE,"INT-Table";#N/A,#N/A,TRUE,"STEEL";#N/A,#N/A,TRUE,"Door"}</definedName>
    <definedName name="aaaaa_5" localSheetId="5" hidden="1">{#N/A,#N/A,TRUE,"Basic";#N/A,#N/A,TRUE,"EXT-TABLE";#N/A,#N/A,TRUE,"STEEL";#N/A,#N/A,TRUE,"INT-Table";#N/A,#N/A,TRUE,"STEEL";#N/A,#N/A,TRUE,"Door"}</definedName>
    <definedName name="aaaaa_5" hidden="1">{#N/A,#N/A,TRUE,"Basic";#N/A,#N/A,TRUE,"EXT-TABLE";#N/A,#N/A,TRUE,"STEEL";#N/A,#N/A,TRUE,"INT-Table";#N/A,#N/A,TRUE,"STEEL";#N/A,#N/A,TRUE,"Door"}</definedName>
    <definedName name="aaafff" localSheetId="5" hidden="1">{"'장비'!$A$3:$M$12"}</definedName>
    <definedName name="aaafff" hidden="1">{"'장비'!$A$3:$M$12"}</definedName>
    <definedName name="aaafff_1" localSheetId="5" hidden="1">{"'장비'!$A$3:$M$12"}</definedName>
    <definedName name="aaafff_1" hidden="1">{"'장비'!$A$3:$M$12"}</definedName>
    <definedName name="aaafff_2" localSheetId="5" hidden="1">{"'장비'!$A$3:$M$12"}</definedName>
    <definedName name="aaafff_2" hidden="1">{"'장비'!$A$3:$M$12"}</definedName>
    <definedName name="aaafff_3" localSheetId="5" hidden="1">{"'장비'!$A$3:$M$12"}</definedName>
    <definedName name="aaafff_3" hidden="1">{"'장비'!$A$3:$M$12"}</definedName>
    <definedName name="aaafff_4" localSheetId="5" hidden="1">{"'장비'!$A$3:$M$12"}</definedName>
    <definedName name="aaafff_4" hidden="1">{"'장비'!$A$3:$M$12"}</definedName>
    <definedName name="aaafff_5" localSheetId="5" hidden="1">{"'장비'!$A$3:$M$12"}</definedName>
    <definedName name="aaafff_5" hidden="1">{"'장비'!$A$3:$M$12"}</definedName>
    <definedName name="ab" localSheetId="9" hidden="1">#REF!</definedName>
    <definedName name="ab" localSheetId="10" hidden="1">#REF!</definedName>
    <definedName name="ab" localSheetId="3" hidden="1">{#N/A,#N/A,FALSE,"이태원철근"}</definedName>
    <definedName name="ab" hidden="1">#REF!</definedName>
    <definedName name="ab_5" localSheetId="5" hidden="1">{#N/A,#N/A,TRUE,"Basic";#N/A,#N/A,TRUE,"EXT-TABLE";#N/A,#N/A,TRUE,"STEEL";#N/A,#N/A,TRUE,"INT-Table";#N/A,#N/A,TRUE,"STEEL";#N/A,#N/A,TRUE,"Door"}</definedName>
    <definedName name="ab_5" hidden="1">{#N/A,#N/A,TRUE,"Basic";#N/A,#N/A,TRUE,"EXT-TABLE";#N/A,#N/A,TRUE,"STEEL";#N/A,#N/A,TRUE,"INT-Table";#N/A,#N/A,TRUE,"STEEL";#N/A,#N/A,TRUE,"Door"}</definedName>
    <definedName name="abc" localSheetId="5" hidden="1">{#N/A,#N/A,TRUE,"Basic";#N/A,#N/A,TRUE,"EXT-TABLE";#N/A,#N/A,TRUE,"STEEL";#N/A,#N/A,TRUE,"INT-Table";#N/A,#N/A,TRUE,"STEEL";#N/A,#N/A,TRUE,"Door"}</definedName>
    <definedName name="abc" localSheetId="9" hidden="1">{#N/A,#N/A,TRUE,"Basic";#N/A,#N/A,TRUE,"EXT-TABLE";#N/A,#N/A,TRUE,"STEEL";#N/A,#N/A,TRUE,"INT-Table";#N/A,#N/A,TRUE,"STEEL";#N/A,#N/A,TRUE,"Door"}</definedName>
    <definedName name="abc" localSheetId="10" hidden="1">{#N/A,#N/A,TRUE,"Basic";#N/A,#N/A,TRUE,"EXT-TABLE";#N/A,#N/A,TRUE,"STEEL";#N/A,#N/A,TRUE,"INT-Table";#N/A,#N/A,TRUE,"STEEL";#N/A,#N/A,TRUE,"Door"}</definedName>
    <definedName name="abc" localSheetId="6" hidden="1">{#N/A,#N/A,TRUE,"Basic";#N/A,#N/A,TRUE,"EXT-TABLE";#N/A,#N/A,TRUE,"STEEL";#N/A,#N/A,TRUE,"INT-Table";#N/A,#N/A,TRUE,"STEEL";#N/A,#N/A,TRUE,"Door"}</definedName>
    <definedName name="abc" localSheetId="3" hidden="1">{#N/A,#N/A,TRUE,"Basic";#N/A,#N/A,TRUE,"EXT-TABLE";#N/A,#N/A,TRUE,"STEEL";#N/A,#N/A,TRUE,"INT-Table";#N/A,#N/A,TRUE,"STEEL";#N/A,#N/A,TRUE,"Door"}</definedName>
    <definedName name="abc" hidden="1">{#N/A,#N/A,TRUE,"Basic";#N/A,#N/A,TRUE,"EXT-TABLE";#N/A,#N/A,TRUE,"STEEL";#N/A,#N/A,TRUE,"INT-Table";#N/A,#N/A,TRUE,"STEEL";#N/A,#N/A,TRUE,"Door"}</definedName>
    <definedName name="abc_1" localSheetId="5" hidden="1">{#N/A,#N/A,TRUE,"Basic";#N/A,#N/A,TRUE,"EXT-TABLE";#N/A,#N/A,TRUE,"STEEL";#N/A,#N/A,TRUE,"INT-Table";#N/A,#N/A,TRUE,"STEEL";#N/A,#N/A,TRUE,"Door"}</definedName>
    <definedName name="abc_1" hidden="1">{#N/A,#N/A,TRUE,"Basic";#N/A,#N/A,TRUE,"EXT-TABLE";#N/A,#N/A,TRUE,"STEEL";#N/A,#N/A,TRUE,"INT-Table";#N/A,#N/A,TRUE,"STEEL";#N/A,#N/A,TRUE,"Door"}</definedName>
    <definedName name="abc_2" localSheetId="5" hidden="1">{#N/A,#N/A,TRUE,"Basic";#N/A,#N/A,TRUE,"EXT-TABLE";#N/A,#N/A,TRUE,"STEEL";#N/A,#N/A,TRUE,"INT-Table";#N/A,#N/A,TRUE,"STEEL";#N/A,#N/A,TRUE,"Door"}</definedName>
    <definedName name="abc_2" hidden="1">{#N/A,#N/A,TRUE,"Basic";#N/A,#N/A,TRUE,"EXT-TABLE";#N/A,#N/A,TRUE,"STEEL";#N/A,#N/A,TRUE,"INT-Table";#N/A,#N/A,TRUE,"STEEL";#N/A,#N/A,TRUE,"Door"}</definedName>
    <definedName name="abc_3" localSheetId="5" hidden="1">{#N/A,#N/A,TRUE,"Basic";#N/A,#N/A,TRUE,"EXT-TABLE";#N/A,#N/A,TRUE,"STEEL";#N/A,#N/A,TRUE,"INT-Table";#N/A,#N/A,TRUE,"STEEL";#N/A,#N/A,TRUE,"Door"}</definedName>
    <definedName name="abc_3" hidden="1">{#N/A,#N/A,TRUE,"Basic";#N/A,#N/A,TRUE,"EXT-TABLE";#N/A,#N/A,TRUE,"STEEL";#N/A,#N/A,TRUE,"INT-Table";#N/A,#N/A,TRUE,"STEEL";#N/A,#N/A,TRUE,"Door"}</definedName>
    <definedName name="abc_4" localSheetId="5" hidden="1">{#N/A,#N/A,TRUE,"Basic";#N/A,#N/A,TRUE,"EXT-TABLE";#N/A,#N/A,TRUE,"STEEL";#N/A,#N/A,TRUE,"INT-Table";#N/A,#N/A,TRUE,"STEEL";#N/A,#N/A,TRUE,"Door"}</definedName>
    <definedName name="abc_4" hidden="1">{#N/A,#N/A,TRUE,"Basic";#N/A,#N/A,TRUE,"EXT-TABLE";#N/A,#N/A,TRUE,"STEEL";#N/A,#N/A,TRUE,"INT-Table";#N/A,#N/A,TRUE,"STEEL";#N/A,#N/A,TRUE,"Door"}</definedName>
    <definedName name="abc_5" localSheetId="5" hidden="1">{#N/A,#N/A,TRUE,"Basic";#N/A,#N/A,TRUE,"EXT-TABLE";#N/A,#N/A,TRUE,"STEEL";#N/A,#N/A,TRUE,"INT-Table";#N/A,#N/A,TRUE,"STEEL";#N/A,#N/A,TRUE,"Door"}</definedName>
    <definedName name="abc_5" hidden="1">{#N/A,#N/A,TRUE,"Basic";#N/A,#N/A,TRUE,"EXT-TABLE";#N/A,#N/A,TRUE,"STEEL";#N/A,#N/A,TRUE,"INT-Table";#N/A,#N/A,TRUE,"STEEL";#N/A,#N/A,TRUE,"Door"}</definedName>
    <definedName name="abcd" localSheetId="5" hidden="1">{#N/A,#N/A,FALSE,"CCTV"}</definedName>
    <definedName name="abcd" localSheetId="9" hidden="1">{#N/A,#N/A,FALSE,"CCTV"}</definedName>
    <definedName name="abcd" localSheetId="10" hidden="1">{#N/A,#N/A,FALSE,"CCTV"}</definedName>
    <definedName name="abcd" localSheetId="6" hidden="1">{#N/A,#N/A,FALSE,"CCTV"}</definedName>
    <definedName name="abcd" localSheetId="3" hidden="1">{#N/A,#N/A,FALSE,"CCTV"}</definedName>
    <definedName name="abcd" hidden="1">{#N/A,#N/A,FALSE,"CCTV"}</definedName>
    <definedName name="abcd_1" localSheetId="5" hidden="1">{#N/A,#N/A,FALSE,"CCTV"}</definedName>
    <definedName name="abcd_1" localSheetId="9" hidden="1">{#N/A,#N/A,FALSE,"CCTV"}</definedName>
    <definedName name="abcd_1" localSheetId="10" hidden="1">{#N/A,#N/A,FALSE,"CCTV"}</definedName>
    <definedName name="abcd_1" localSheetId="6" hidden="1">{#N/A,#N/A,FALSE,"CCTV"}</definedName>
    <definedName name="abcd_1" localSheetId="3" hidden="1">{#N/A,#N/A,FALSE,"CCTV"}</definedName>
    <definedName name="abcd_1" hidden="1">{#N/A,#N/A,FALSE,"CCTV"}</definedName>
    <definedName name="ABCDEFG" localSheetId="5" hidden="1">{#N/A,#N/A,FALSE,"회선임차현황"}</definedName>
    <definedName name="ABCDEFG" hidden="1">{#N/A,#N/A,FALSE,"회선임차현황"}</definedName>
    <definedName name="ac" localSheetId="9" hidden="1">#REF!</definedName>
    <definedName name="ac" localSheetId="10" hidden="1">#REF!</definedName>
    <definedName name="ac" localSheetId="3" hidden="1">{#N/A,#N/A,FALSE,"이태원철근"}</definedName>
    <definedName name="ac" hidden="1">#REF!</definedName>
    <definedName name="Access_Button" localSheetId="3" hidden="1">"PJTFINAL_F02F11_List"</definedName>
    <definedName name="Access_Button" hidden="1">"PAL_환차손익_List1"</definedName>
    <definedName name="AccessDatabase" localSheetId="3" hidden="1">"C:\posec\DATABASE\vlv_list\vlvlist1.mdb"</definedName>
    <definedName name="AccessDatabase" hidden="1">"C:\WIN95\Desktop\Ramesh\AIC\Aic.mdb"</definedName>
    <definedName name="ad" localSheetId="5" hidden="1">{#N/A,#N/A,FALSE,"이태원철근"}</definedName>
    <definedName name="ad" hidden="1">{#N/A,#N/A,FALSE,"이태원철근"}</definedName>
    <definedName name="ada" localSheetId="5" hidden="1">{#N/A,#N/A,FALSE,"이태원철근"}</definedName>
    <definedName name="ada" hidden="1">{#N/A,#N/A,FALSE,"이태원철근"}</definedName>
    <definedName name="ADITION" localSheetId="5" hidden="1">{"'장비'!$A$3:$M$12"}</definedName>
    <definedName name="ADITION" localSheetId="9" hidden="1">{"'장비'!$A$3:$M$12"}</definedName>
    <definedName name="ADITION" localSheetId="10" hidden="1">{"'장비'!$A$3:$M$12"}</definedName>
    <definedName name="ADITION" localSheetId="6" hidden="1">{"'장비'!$A$3:$M$12"}</definedName>
    <definedName name="ADITION" localSheetId="3" hidden="1">{"'장비'!$A$3:$M$12"}</definedName>
    <definedName name="ADITION" hidden="1">{"'장비'!$A$3:$M$12"}</definedName>
    <definedName name="ADITION_1" localSheetId="5" hidden="1">{"'장비'!$A$3:$M$12"}</definedName>
    <definedName name="ADITION_1" localSheetId="9" hidden="1">{"'장비'!$A$3:$M$12"}</definedName>
    <definedName name="ADITION_1" localSheetId="10" hidden="1">{"'장비'!$A$3:$M$12"}</definedName>
    <definedName name="ADITION_1" localSheetId="6" hidden="1">{"'장비'!$A$3:$M$12"}</definedName>
    <definedName name="ADITION_1" localSheetId="3" hidden="1">{"'장비'!$A$3:$M$12"}</definedName>
    <definedName name="ADITION_1" hidden="1">{"'장비'!$A$3:$M$12"}</definedName>
    <definedName name="ADITION_2" localSheetId="5" hidden="1">{"'장비'!$A$3:$M$12"}</definedName>
    <definedName name="ADITION_2" hidden="1">{"'장비'!$A$3:$M$12"}</definedName>
    <definedName name="ADITION_3" localSheetId="5" hidden="1">{"'장비'!$A$3:$M$12"}</definedName>
    <definedName name="ADITION_3" hidden="1">{"'장비'!$A$3:$M$12"}</definedName>
    <definedName name="ADITION_4" localSheetId="5" hidden="1">{"'장비'!$A$3:$M$12"}</definedName>
    <definedName name="ADITION_4" hidden="1">{"'장비'!$A$3:$M$12"}</definedName>
    <definedName name="ADITION_5" localSheetId="5" hidden="1">{"'장비'!$A$3:$M$12"}</definedName>
    <definedName name="ADITION_5" hidden="1">{"'장비'!$A$3:$M$12"}</definedName>
    <definedName name="ae" localSheetId="5" hidden="1">{#N/A,#N/A,FALSE,"이태원철근"}</definedName>
    <definedName name="ae" hidden="1">{#N/A,#N/A,FALSE,"이태원철근"}</definedName>
    <definedName name="AF" localSheetId="5" hidden="1">{"'장비'!$A$3:$M$12"}</definedName>
    <definedName name="AF" localSheetId="9" hidden="1">{"'장비'!$A$3:$M$12"}</definedName>
    <definedName name="AF" localSheetId="10" hidden="1">{"'장비'!$A$3:$M$12"}</definedName>
    <definedName name="AF" localSheetId="6" hidden="1">{"'장비'!$A$3:$M$12"}</definedName>
    <definedName name="af" localSheetId="3" hidden="1">{#N/A,#N/A,FALSE,"이태원철근"}</definedName>
    <definedName name="AF" hidden="1">{"'장비'!$A$3:$M$12"}</definedName>
    <definedName name="afasd" localSheetId="5" hidden="1">{#N/A,#N/A,FALSE,"단가표지"}</definedName>
    <definedName name="afasd" hidden="1">{#N/A,#N/A,FALSE,"단가표지"}</definedName>
    <definedName name="afasd_1" localSheetId="5" hidden="1">{#N/A,#N/A,FALSE,"단가표지"}</definedName>
    <definedName name="afasd_1" hidden="1">{#N/A,#N/A,FALSE,"단가표지"}</definedName>
    <definedName name="afasd_2" localSheetId="5" hidden="1">{#N/A,#N/A,FALSE,"단가표지"}</definedName>
    <definedName name="afasd_2" hidden="1">{#N/A,#N/A,FALSE,"단가표지"}</definedName>
    <definedName name="afasd_3" localSheetId="5" hidden="1">{#N/A,#N/A,FALSE,"단가표지"}</definedName>
    <definedName name="afasd_3" hidden="1">{#N/A,#N/A,FALSE,"단가표지"}</definedName>
    <definedName name="afasd_4" localSheetId="5" hidden="1">{#N/A,#N/A,FALSE,"단가표지"}</definedName>
    <definedName name="afasd_4" hidden="1">{#N/A,#N/A,FALSE,"단가표지"}</definedName>
    <definedName name="afasd_5" localSheetId="5" hidden="1">{#N/A,#N/A,FALSE,"단가표지"}</definedName>
    <definedName name="afasd_5" hidden="1">{#N/A,#N/A,FALSE,"단가표지"}</definedName>
    <definedName name="afd" localSheetId="5" hidden="1">{#N/A,#N/A,FALSE,"운반시간"}</definedName>
    <definedName name="afd" hidden="1">{#N/A,#N/A,FALSE,"운반시간"}</definedName>
    <definedName name="afd_1" localSheetId="5" hidden="1">{#N/A,#N/A,FALSE,"운반시간"}</definedName>
    <definedName name="afd_1" hidden="1">{#N/A,#N/A,FALSE,"운반시간"}</definedName>
    <definedName name="afd_2" localSheetId="5" hidden="1">{#N/A,#N/A,FALSE,"운반시간"}</definedName>
    <definedName name="afd_2" hidden="1">{#N/A,#N/A,FALSE,"운반시간"}</definedName>
    <definedName name="afd_3" localSheetId="5" hidden="1">{#N/A,#N/A,FALSE,"운반시간"}</definedName>
    <definedName name="afd_3" hidden="1">{#N/A,#N/A,FALSE,"운반시간"}</definedName>
    <definedName name="afd_4" localSheetId="5" hidden="1">{#N/A,#N/A,FALSE,"운반시간"}</definedName>
    <definedName name="afd_4" hidden="1">{#N/A,#N/A,FALSE,"운반시간"}</definedName>
    <definedName name="afd_5" localSheetId="5" hidden="1">{#N/A,#N/A,FALSE,"운반시간"}</definedName>
    <definedName name="afd_5" hidden="1">{#N/A,#N/A,FALSE,"운반시간"}</definedName>
    <definedName name="afdasgh" localSheetId="5" hidden="1">{#N/A,#N/A,FALSE,"CCTV"}</definedName>
    <definedName name="afdasgh" localSheetId="9" hidden="1">{#N/A,#N/A,FALSE,"CCTV"}</definedName>
    <definedName name="afdasgh" localSheetId="10" hidden="1">{#N/A,#N/A,FALSE,"CCTV"}</definedName>
    <definedName name="afdasgh" localSheetId="6" hidden="1">{#N/A,#N/A,FALSE,"CCTV"}</definedName>
    <definedName name="afdasgh" localSheetId="3" hidden="1">{#N/A,#N/A,FALSE,"CCTV"}</definedName>
    <definedName name="afdasgh" hidden="1">{#N/A,#N/A,FALSE,"CCTV"}</definedName>
    <definedName name="afdasgh_1" localSheetId="5" hidden="1">{#N/A,#N/A,FALSE,"CCTV"}</definedName>
    <definedName name="afdasgh_1" hidden="1">{#N/A,#N/A,FALSE,"CCTV"}</definedName>
    <definedName name="afdasgh_2" localSheetId="5" hidden="1">{#N/A,#N/A,FALSE,"CCTV"}</definedName>
    <definedName name="afdasgh_2" hidden="1">{#N/A,#N/A,FALSE,"CCTV"}</definedName>
    <definedName name="afdasgh_3" localSheetId="5" hidden="1">{#N/A,#N/A,FALSE,"CCTV"}</definedName>
    <definedName name="afdasgh_3" hidden="1">{#N/A,#N/A,FALSE,"CCTV"}</definedName>
    <definedName name="afdasgh_4" localSheetId="5" hidden="1">{#N/A,#N/A,FALSE,"CCTV"}</definedName>
    <definedName name="afdasgh_4" hidden="1">{#N/A,#N/A,FALSE,"CCTV"}</definedName>
    <definedName name="afdasgh_5" localSheetId="5" hidden="1">{#N/A,#N/A,FALSE,"CCTV"}</definedName>
    <definedName name="afdasgh_5" hidden="1">{#N/A,#N/A,FALSE,"CCTV"}</definedName>
    <definedName name="afdsfdg" localSheetId="5" hidden="1">{#N/A,#N/A,FALSE,"CCTV"}</definedName>
    <definedName name="afdsfdg" localSheetId="9" hidden="1">{#N/A,#N/A,FALSE,"CCTV"}</definedName>
    <definedName name="afdsfdg" localSheetId="10" hidden="1">{#N/A,#N/A,FALSE,"CCTV"}</definedName>
    <definedName name="afdsfdg" localSheetId="6" hidden="1">{#N/A,#N/A,FALSE,"CCTV"}</definedName>
    <definedName name="afdsfdg" localSheetId="3" hidden="1">{#N/A,#N/A,FALSE,"CCTV"}</definedName>
    <definedName name="afdsfdg" hidden="1">{#N/A,#N/A,FALSE,"CCTV"}</definedName>
    <definedName name="afdsfdg_1" localSheetId="5" hidden="1">{#N/A,#N/A,FALSE,"CCTV"}</definedName>
    <definedName name="afdsfdg_1" hidden="1">{#N/A,#N/A,FALSE,"CCTV"}</definedName>
    <definedName name="afdsfdg_2" localSheetId="5" hidden="1">{#N/A,#N/A,FALSE,"CCTV"}</definedName>
    <definedName name="afdsfdg_2" hidden="1">{#N/A,#N/A,FALSE,"CCTV"}</definedName>
    <definedName name="afdsfdg_3" localSheetId="5" hidden="1">{#N/A,#N/A,FALSE,"CCTV"}</definedName>
    <definedName name="afdsfdg_3" hidden="1">{#N/A,#N/A,FALSE,"CCTV"}</definedName>
    <definedName name="afdsfdg_4" localSheetId="5" hidden="1">{#N/A,#N/A,FALSE,"CCTV"}</definedName>
    <definedName name="afdsfdg_4" hidden="1">{#N/A,#N/A,FALSE,"CCTV"}</definedName>
    <definedName name="afdsfdg_5" localSheetId="5" hidden="1">{#N/A,#N/A,FALSE,"CCTV"}</definedName>
    <definedName name="afdsfdg_5" hidden="1">{#N/A,#N/A,FALSE,"CCTV"}</definedName>
    <definedName name="afffgff" localSheetId="5" hidden="1">{#N/A,#N/A,FALSE,"CCTV"}</definedName>
    <definedName name="afffgff" localSheetId="9" hidden="1">{#N/A,#N/A,FALSE,"CCTV"}</definedName>
    <definedName name="afffgff" localSheetId="10" hidden="1">{#N/A,#N/A,FALSE,"CCTV"}</definedName>
    <definedName name="afffgff" localSheetId="6" hidden="1">{#N/A,#N/A,FALSE,"CCTV"}</definedName>
    <definedName name="afffgff" localSheetId="3" hidden="1">{#N/A,#N/A,FALSE,"CCTV"}</definedName>
    <definedName name="afffgff" hidden="1">{#N/A,#N/A,FALSE,"CCTV"}</definedName>
    <definedName name="afffgff_1" localSheetId="5" hidden="1">{#N/A,#N/A,FALSE,"CCTV"}</definedName>
    <definedName name="afffgff_1" hidden="1">{#N/A,#N/A,FALSE,"CCTV"}</definedName>
    <definedName name="afffgff_2" localSheetId="5" hidden="1">{#N/A,#N/A,FALSE,"CCTV"}</definedName>
    <definedName name="afffgff_2" hidden="1">{#N/A,#N/A,FALSE,"CCTV"}</definedName>
    <definedName name="afffgff_3" localSheetId="5" hidden="1">{#N/A,#N/A,FALSE,"CCTV"}</definedName>
    <definedName name="afffgff_3" hidden="1">{#N/A,#N/A,FALSE,"CCTV"}</definedName>
    <definedName name="afffgff_4" localSheetId="5" hidden="1">{#N/A,#N/A,FALSE,"CCTV"}</definedName>
    <definedName name="afffgff_4" hidden="1">{#N/A,#N/A,FALSE,"CCTV"}</definedName>
    <definedName name="afffgff_5" localSheetId="5" hidden="1">{#N/A,#N/A,FALSE,"CCTV"}</definedName>
    <definedName name="afffgff_5" hidden="1">{#N/A,#N/A,FALSE,"CCTV"}</definedName>
    <definedName name="ag" localSheetId="5" hidden="1">{#N/A,#N/A,FALSE,"이태원철근"}</definedName>
    <definedName name="ag" hidden="1">{#N/A,#N/A,FALSE,"이태원철근"}</definedName>
    <definedName name="agfg" localSheetId="5" hidden="1">{"'장비'!$A$3:$M$12"}</definedName>
    <definedName name="agfg" hidden="1">{"'장비'!$A$3:$M$12"}</definedName>
    <definedName name="agfg_1" localSheetId="5" hidden="1">{"'장비'!$A$3:$M$12"}</definedName>
    <definedName name="agfg_1" hidden="1">{"'장비'!$A$3:$M$12"}</definedName>
    <definedName name="agfg_2" localSheetId="5" hidden="1">{"'장비'!$A$3:$M$12"}</definedName>
    <definedName name="agfg_2" hidden="1">{"'장비'!$A$3:$M$12"}</definedName>
    <definedName name="agfg_3" localSheetId="5" hidden="1">{"'장비'!$A$3:$M$12"}</definedName>
    <definedName name="agfg_3" hidden="1">{"'장비'!$A$3:$M$12"}</definedName>
    <definedName name="agfg_4" localSheetId="5" hidden="1">{"'장비'!$A$3:$M$12"}</definedName>
    <definedName name="agfg_4" hidden="1">{"'장비'!$A$3:$M$12"}</definedName>
    <definedName name="agfg_5" localSheetId="5" hidden="1">{"'장비'!$A$3:$M$12"}</definedName>
    <definedName name="agfg_5" hidden="1">{"'장비'!$A$3:$M$12"}</definedName>
    <definedName name="AH" localSheetId="5" hidden="1">{#N/A,#N/A,FALSE,"CCTV"}</definedName>
    <definedName name="AH" localSheetId="9" hidden="1">{#N/A,#N/A,FALSE,"CCTV"}</definedName>
    <definedName name="AH" localSheetId="10" hidden="1">{#N/A,#N/A,FALSE,"CCTV"}</definedName>
    <definedName name="AH" localSheetId="6" hidden="1">{#N/A,#N/A,FALSE,"CCTV"}</definedName>
    <definedName name="ah" localSheetId="3" hidden="1">{#N/A,#N/A,FALSE,"이태원철근"}</definedName>
    <definedName name="AH" hidden="1">{#N/A,#N/A,FALSE,"CCTV"}</definedName>
    <definedName name="AH_1" localSheetId="5" hidden="1">{#N/A,#N/A,FALSE,"CCTV"}</definedName>
    <definedName name="AH_1" localSheetId="9" hidden="1">{#N/A,#N/A,FALSE,"CCTV"}</definedName>
    <definedName name="AH_1" localSheetId="10" hidden="1">{#N/A,#N/A,FALSE,"CCTV"}</definedName>
    <definedName name="AH_1" localSheetId="6" hidden="1">{#N/A,#N/A,FALSE,"CCTV"}</definedName>
    <definedName name="AH_1" localSheetId="3" hidden="1">{#N/A,#N/A,FALSE,"CCTV"}</definedName>
    <definedName name="AH_1" hidden="1">{#N/A,#N/A,FALSE,"CCTV"}</definedName>
    <definedName name="AH_2" localSheetId="5" hidden="1">{#N/A,#N/A,FALSE,"CCTV"}</definedName>
    <definedName name="AH_2" hidden="1">{#N/A,#N/A,FALSE,"CCTV"}</definedName>
    <definedName name="AH_3" localSheetId="5" hidden="1">{#N/A,#N/A,FALSE,"CCTV"}</definedName>
    <definedName name="AH_3" hidden="1">{#N/A,#N/A,FALSE,"CCTV"}</definedName>
    <definedName name="AH_4" localSheetId="5" hidden="1">{#N/A,#N/A,FALSE,"CCTV"}</definedName>
    <definedName name="AH_4" hidden="1">{#N/A,#N/A,FALSE,"CCTV"}</definedName>
    <definedName name="AH_5" localSheetId="5" hidden="1">{#N/A,#N/A,FALSE,"CCTV"}</definedName>
    <definedName name="AH_5" hidden="1">{#N/A,#N/A,FALSE,"CCTV"}</definedName>
    <definedName name="aheh" localSheetId="5" hidden="1">{#N/A,#N/A,FALSE,"이태원철근"}</definedName>
    <definedName name="aheh" hidden="1">{#N/A,#N/A,FALSE,"이태원철근"}</definedName>
    <definedName name="ai" localSheetId="5" hidden="1">{#N/A,#N/A,FALSE,"이태원철근"}</definedName>
    <definedName name="ai" hidden="1">{#N/A,#N/A,FALSE,"이태원철근"}</definedName>
    <definedName name="aj" localSheetId="5" hidden="1">{#N/A,#N/A,FALSE,"이태원철근"}</definedName>
    <definedName name="aj" hidden="1">{#N/A,#N/A,FALSE,"이태원철근"}</definedName>
    <definedName name="ak" localSheetId="5" hidden="1">{#N/A,#N/A,FALSE,"이태원철근"}</definedName>
    <definedName name="ak" hidden="1">{#N/A,#N/A,FALSE,"이태원철근"}</definedName>
    <definedName name="al" localSheetId="5" hidden="1">{#N/A,#N/A,FALSE,"이태원철근"}</definedName>
    <definedName name="al" hidden="1">{#N/A,#N/A,FALSE,"이태원철근"}</definedName>
    <definedName name="am" localSheetId="5" hidden="1">{#N/A,#N/A,FALSE,"이태원철근"}</definedName>
    <definedName name="am" hidden="1">{#N/A,#N/A,FALSE,"이태원철근"}</definedName>
    <definedName name="an" localSheetId="5" hidden="1">{#N/A,#N/A,FALSE,"이태원철근"}</definedName>
    <definedName name="an" hidden="1">{#N/A,#N/A,FALSE,"이태원철근"}</definedName>
    <definedName name="anscount" hidden="1">1</definedName>
    <definedName name="ao" localSheetId="5" hidden="1">{#N/A,#N/A,FALSE,"이태원철근"}</definedName>
    <definedName name="ao" hidden="1">{#N/A,#N/A,FALSE,"이태원철근"}</definedName>
    <definedName name="ap" localSheetId="5" hidden="1">{#N/A,#N/A,FALSE,"이태원철근"}</definedName>
    <definedName name="ap" hidden="1">{#N/A,#N/A,FALSE,"이태원철근"}</definedName>
    <definedName name="aq" localSheetId="5" hidden="1">{#N/A,#N/A,FALSE,"이태원철근"}</definedName>
    <definedName name="aq" hidden="1">{#N/A,#N/A,FALSE,"이태원철근"}</definedName>
    <definedName name="AQE" localSheetId="5" hidden="1">{"'장비'!$A$3:$M$12"}</definedName>
    <definedName name="AQE" localSheetId="9" hidden="1">{"'장비'!$A$3:$M$12"}</definedName>
    <definedName name="AQE" localSheetId="10" hidden="1">{"'장비'!$A$3:$M$12"}</definedName>
    <definedName name="AQE" localSheetId="6" hidden="1">{"'장비'!$A$3:$M$12"}</definedName>
    <definedName name="AQE" localSheetId="3" hidden="1">{"'장비'!$A$3:$M$12"}</definedName>
    <definedName name="AQE" hidden="1">{"'장비'!$A$3:$M$12"}</definedName>
    <definedName name="AQE_1" localSheetId="5" hidden="1">{"'장비'!$A$3:$M$12"}</definedName>
    <definedName name="AQE_1" localSheetId="9" hidden="1">{"'장비'!$A$3:$M$12"}</definedName>
    <definedName name="AQE_1" localSheetId="10" hidden="1">{"'장비'!$A$3:$M$12"}</definedName>
    <definedName name="AQE_1" localSheetId="6" hidden="1">{"'장비'!$A$3:$M$12"}</definedName>
    <definedName name="AQE_1" localSheetId="3" hidden="1">{"'장비'!$A$3:$M$12"}</definedName>
    <definedName name="AQE_1" hidden="1">{"'장비'!$A$3:$M$12"}</definedName>
    <definedName name="AQE_2" localSheetId="5" hidden="1">{"'장비'!$A$3:$M$12"}</definedName>
    <definedName name="AQE_2" hidden="1">{"'장비'!$A$3:$M$12"}</definedName>
    <definedName name="AQE_3" localSheetId="5" hidden="1">{"'장비'!$A$3:$M$12"}</definedName>
    <definedName name="AQE_3" hidden="1">{"'장비'!$A$3:$M$12"}</definedName>
    <definedName name="AQE_4" localSheetId="5" hidden="1">{"'장비'!$A$3:$M$12"}</definedName>
    <definedName name="AQE_4" hidden="1">{"'장비'!$A$3:$M$12"}</definedName>
    <definedName name="AQE_5" localSheetId="5" hidden="1">{"'장비'!$A$3:$M$12"}</definedName>
    <definedName name="AQE_5" hidden="1">{"'장비'!$A$3:$M$12"}</definedName>
    <definedName name="AQWS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" localSheetId="5" hidden="1">{#N/A,#N/A,FALSE,"이태원철근"}</definedName>
    <definedName name="ar" hidden="1">{#N/A,#N/A,FALSE,"이태원철근"}</definedName>
    <definedName name="AS2DocOpenMode" hidden="1">"AS2DocumentEdit"</definedName>
    <definedName name="asas" localSheetId="5" hidden="1">{#N/A,#N/A,TRUE,"Basic";#N/A,#N/A,TRUE,"EXT-TABLE";#N/A,#N/A,TRUE,"STEEL";#N/A,#N/A,TRUE,"INT-Table";#N/A,#N/A,TRUE,"STEEL";#N/A,#N/A,TRUE,"Door"}</definedName>
    <definedName name="asas" localSheetId="9" hidden="1">{#N/A,#N/A,TRUE,"Basic";#N/A,#N/A,TRUE,"EXT-TABLE";#N/A,#N/A,TRUE,"STEEL";#N/A,#N/A,TRUE,"INT-Table";#N/A,#N/A,TRUE,"STEEL";#N/A,#N/A,TRUE,"Door"}</definedName>
    <definedName name="asas" localSheetId="10" hidden="1">{#N/A,#N/A,TRUE,"Basic";#N/A,#N/A,TRUE,"EXT-TABLE";#N/A,#N/A,TRUE,"STEEL";#N/A,#N/A,TRUE,"INT-Table";#N/A,#N/A,TRUE,"STEEL";#N/A,#N/A,TRUE,"Door"}</definedName>
    <definedName name="asas" localSheetId="6" hidden="1">{#N/A,#N/A,TRUE,"Basic";#N/A,#N/A,TRUE,"EXT-TABLE";#N/A,#N/A,TRUE,"STEEL";#N/A,#N/A,TRUE,"INT-Table";#N/A,#N/A,TRUE,"STEEL";#N/A,#N/A,TRUE,"Door"}</definedName>
    <definedName name="asas" localSheetId="3" hidden="1">{#N/A,#N/A,TRUE,"Basic";#N/A,#N/A,TRUE,"EXT-TABLE";#N/A,#N/A,TRUE,"STEEL";#N/A,#N/A,TRUE,"INT-Table";#N/A,#N/A,TRUE,"STEEL";#N/A,#N/A,TRUE,"Door"}</definedName>
    <definedName name="asas" hidden="1">{#N/A,#N/A,TRUE,"Basic";#N/A,#N/A,TRUE,"EXT-TABLE";#N/A,#N/A,TRUE,"STEEL";#N/A,#N/A,TRUE,"INT-Table";#N/A,#N/A,TRUE,"STEEL";#N/A,#N/A,TRUE,"Door"}</definedName>
    <definedName name="ASD" hidden="1">#REF!</definedName>
    <definedName name="asdfs" localSheetId="9" hidden="1">#REF!</definedName>
    <definedName name="asdfs" localSheetId="10" hidden="1">#REF!</definedName>
    <definedName name="asdfs" hidden="1">#REF!</definedName>
    <definedName name="asdga" localSheetId="5" hidden="1">{#N/A,#N/A,FALSE,"이태원철근"}</definedName>
    <definedName name="asdga" hidden="1">{#N/A,#N/A,FALSE,"이태원철근"}</definedName>
    <definedName name="asfas" localSheetId="5" hidden="1">{#N/A,#N/A,FALSE,"표지목차"}</definedName>
    <definedName name="asfas" hidden="1">{#N/A,#N/A,FALSE,"표지목차"}</definedName>
    <definedName name="asfas_1" localSheetId="5" hidden="1">{#N/A,#N/A,FALSE,"표지목차"}</definedName>
    <definedName name="asfas_1" hidden="1">{#N/A,#N/A,FALSE,"표지목차"}</definedName>
    <definedName name="asfas_2" localSheetId="5" hidden="1">{#N/A,#N/A,FALSE,"표지목차"}</definedName>
    <definedName name="asfas_2" hidden="1">{#N/A,#N/A,FALSE,"표지목차"}</definedName>
    <definedName name="asfas_3" localSheetId="5" hidden="1">{#N/A,#N/A,FALSE,"표지목차"}</definedName>
    <definedName name="asfas_3" hidden="1">{#N/A,#N/A,FALSE,"표지목차"}</definedName>
    <definedName name="asfas_4" localSheetId="5" hidden="1">{#N/A,#N/A,FALSE,"표지목차"}</definedName>
    <definedName name="asfas_4" hidden="1">{#N/A,#N/A,FALSE,"표지목차"}</definedName>
    <definedName name="asfas_5" localSheetId="5" hidden="1">{#N/A,#N/A,FALSE,"표지목차"}</definedName>
    <definedName name="asfas_5" hidden="1">{#N/A,#N/A,FALSE,"표지목차"}</definedName>
    <definedName name="ASFG" hidden="1">#REF!</definedName>
    <definedName name="ASG" hidden="1">#REF!</definedName>
    <definedName name="ASLL" localSheetId="5" hidden="1">{#N/A,#N/A,TRUE,"Basic";#N/A,#N/A,TRUE,"EXT-TABLE";#N/A,#N/A,TRUE,"STEEL";#N/A,#N/A,TRUE,"INT-Table";#N/A,#N/A,TRUE,"STEEL";#N/A,#N/A,TRUE,"Door"}</definedName>
    <definedName name="ASLL" hidden="1">{#N/A,#N/A,TRUE,"Basic";#N/A,#N/A,TRUE,"EXT-TABLE";#N/A,#N/A,TRUE,"STEEL";#N/A,#N/A,TRUE,"INT-Table";#N/A,#N/A,TRUE,"STEEL";#N/A,#N/A,TRUE,"Door"}</definedName>
    <definedName name="assdf" localSheetId="9" hidden="1">#REF!</definedName>
    <definedName name="assdf" localSheetId="10" hidden="1">#REF!</definedName>
    <definedName name="assdf" hidden="1">#REF!</definedName>
    <definedName name="B" localSheetId="5" hidden="1">{#N/A,#N/A,FALSE,"이태원철근"}</definedName>
    <definedName name="B" hidden="1">{#N/A,#N/A,FALSE,"이태원철근"}</definedName>
    <definedName name="BB" localSheetId="5" hidden="1">{#N/A,#N/A,FALSE,"이태원철근"}</definedName>
    <definedName name="BB" hidden="1">{#N/A,#N/A,FALSE,"이태원철근"}</definedName>
    <definedName name="BBB" localSheetId="5" hidden="1">{#N/A,#N/A,FALSE,"CCTV"}</definedName>
    <definedName name="BBB" localSheetId="9" hidden="1">{#N/A,#N/A,FALSE,"CCTV"}</definedName>
    <definedName name="BBB" localSheetId="10" hidden="1">{#N/A,#N/A,FALSE,"CCTV"}</definedName>
    <definedName name="BBB" localSheetId="6" hidden="1">{#N/A,#N/A,FALSE,"CCTV"}</definedName>
    <definedName name="BBB" localSheetId="3" hidden="1">{#N/A,#N/A,FALSE,"CCTV"}</definedName>
    <definedName name="BBB" hidden="1">{#N/A,#N/A,FALSE,"CCTV"}</definedName>
    <definedName name="BC" localSheetId="5" hidden="1">{#N/A,#N/A,FALSE,"이태원철근"}</definedName>
    <definedName name="BC" hidden="1">{#N/A,#N/A,FALSE,"이태원철근"}</definedName>
    <definedName name="bdf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df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BELL" localSheetId="5" hidden="1">{#N/A,#N/A,TRUE,"Basic";#N/A,#N/A,TRUE,"EXT-TABLE";#N/A,#N/A,TRUE,"STEEL";#N/A,#N/A,TRUE,"INT-Table";#N/A,#N/A,TRUE,"STEEL";#N/A,#N/A,TRUE,"Door"}</definedName>
    <definedName name="BELL" localSheetId="9" hidden="1">{#N/A,#N/A,TRUE,"Basic";#N/A,#N/A,TRUE,"EXT-TABLE";#N/A,#N/A,TRUE,"STEEL";#N/A,#N/A,TRUE,"INT-Table";#N/A,#N/A,TRUE,"STEEL";#N/A,#N/A,TRUE,"Door"}</definedName>
    <definedName name="BELL" localSheetId="10" hidden="1">{#N/A,#N/A,TRUE,"Basic";#N/A,#N/A,TRUE,"EXT-TABLE";#N/A,#N/A,TRUE,"STEEL";#N/A,#N/A,TRUE,"INT-Table";#N/A,#N/A,TRUE,"STEEL";#N/A,#N/A,TRUE,"Door"}</definedName>
    <definedName name="BELL" localSheetId="6" hidden="1">{#N/A,#N/A,TRUE,"Basic";#N/A,#N/A,TRUE,"EXT-TABLE";#N/A,#N/A,TRUE,"STEEL";#N/A,#N/A,TRUE,"INT-Table";#N/A,#N/A,TRUE,"STEEL";#N/A,#N/A,TRUE,"Door"}</definedName>
    <definedName name="BELL" localSheetId="3" hidden="1">{#N/A,#N/A,TRUE,"Basic";#N/A,#N/A,TRUE,"EXT-TABLE";#N/A,#N/A,TRUE,"STEEL";#N/A,#N/A,TRUE,"INT-Table";#N/A,#N/A,TRUE,"STEEL";#N/A,#N/A,TRUE,"Door"}</definedName>
    <definedName name="BELL" hidden="1">{#N/A,#N/A,TRUE,"Basic";#N/A,#N/A,TRUE,"EXT-TABLE";#N/A,#N/A,TRUE,"STEEL";#N/A,#N/A,TRUE,"INT-Table";#N/A,#N/A,TRUE,"STEEL";#N/A,#N/A,TRUE,"Door"}</definedName>
    <definedName name="BELL_1" localSheetId="5" hidden="1">{#N/A,#N/A,TRUE,"Basic";#N/A,#N/A,TRUE,"EXT-TABLE";#N/A,#N/A,TRUE,"STEEL";#N/A,#N/A,TRUE,"INT-Table";#N/A,#N/A,TRUE,"STEEL";#N/A,#N/A,TRUE,"Door"}</definedName>
    <definedName name="BELL_1" hidden="1">{#N/A,#N/A,TRUE,"Basic";#N/A,#N/A,TRUE,"EXT-TABLE";#N/A,#N/A,TRUE,"STEEL";#N/A,#N/A,TRUE,"INT-Table";#N/A,#N/A,TRUE,"STEEL";#N/A,#N/A,TRUE,"Door"}</definedName>
    <definedName name="BELL_2" localSheetId="5" hidden="1">{#N/A,#N/A,TRUE,"Basic";#N/A,#N/A,TRUE,"EXT-TABLE";#N/A,#N/A,TRUE,"STEEL";#N/A,#N/A,TRUE,"INT-Table";#N/A,#N/A,TRUE,"STEEL";#N/A,#N/A,TRUE,"Door"}</definedName>
    <definedName name="BELL_2" hidden="1">{#N/A,#N/A,TRUE,"Basic";#N/A,#N/A,TRUE,"EXT-TABLE";#N/A,#N/A,TRUE,"STEEL";#N/A,#N/A,TRUE,"INT-Table";#N/A,#N/A,TRUE,"STEEL";#N/A,#N/A,TRUE,"Door"}</definedName>
    <definedName name="BELL_3" localSheetId="5" hidden="1">{#N/A,#N/A,TRUE,"Basic";#N/A,#N/A,TRUE,"EXT-TABLE";#N/A,#N/A,TRUE,"STEEL";#N/A,#N/A,TRUE,"INT-Table";#N/A,#N/A,TRUE,"STEEL";#N/A,#N/A,TRUE,"Door"}</definedName>
    <definedName name="BELL_3" hidden="1">{#N/A,#N/A,TRUE,"Basic";#N/A,#N/A,TRUE,"EXT-TABLE";#N/A,#N/A,TRUE,"STEEL";#N/A,#N/A,TRUE,"INT-Table";#N/A,#N/A,TRUE,"STEEL";#N/A,#N/A,TRUE,"Door"}</definedName>
    <definedName name="BELL_4" localSheetId="5" hidden="1">{#N/A,#N/A,TRUE,"Basic";#N/A,#N/A,TRUE,"EXT-TABLE";#N/A,#N/A,TRUE,"STEEL";#N/A,#N/A,TRUE,"INT-Table";#N/A,#N/A,TRUE,"STEEL";#N/A,#N/A,TRUE,"Door"}</definedName>
    <definedName name="BELL_4" hidden="1">{#N/A,#N/A,TRUE,"Basic";#N/A,#N/A,TRUE,"EXT-TABLE";#N/A,#N/A,TRUE,"STEEL";#N/A,#N/A,TRUE,"INT-Table";#N/A,#N/A,TRUE,"STEEL";#N/A,#N/A,TRUE,"Door"}</definedName>
    <definedName name="BELL_5" localSheetId="5" hidden="1">{#N/A,#N/A,TRUE,"Basic";#N/A,#N/A,TRUE,"EXT-TABLE";#N/A,#N/A,TRUE,"STEEL";#N/A,#N/A,TRUE,"INT-Table";#N/A,#N/A,TRUE,"STEEL";#N/A,#N/A,TRUE,"Door"}</definedName>
    <definedName name="BELL_5" hidden="1">{#N/A,#N/A,TRUE,"Basic";#N/A,#N/A,TRUE,"EXT-TABLE";#N/A,#N/A,TRUE,"STEEL";#N/A,#N/A,TRUE,"INT-Table";#N/A,#N/A,TRUE,"STEEL";#N/A,#N/A,TRUE,"Door"}</definedName>
    <definedName name="bfbfdhfdhdfgh" localSheetId="5" hidden="1">{#N/A,#N/A,FALSE,"CCTV"}</definedName>
    <definedName name="bfbfdhfdhdfgh" localSheetId="9" hidden="1">{#N/A,#N/A,FALSE,"CCTV"}</definedName>
    <definedName name="bfbfdhfdhdfgh" localSheetId="10" hidden="1">{#N/A,#N/A,FALSE,"CCTV"}</definedName>
    <definedName name="bfbfdhfdhdfgh" localSheetId="6" hidden="1">{#N/A,#N/A,FALSE,"CCTV"}</definedName>
    <definedName name="bfbfdhfdhdfgh" localSheetId="3" hidden="1">{#N/A,#N/A,FALSE,"CCTV"}</definedName>
    <definedName name="bfbfdhfdhdfgh" hidden="1">{#N/A,#N/A,FALSE,"CCTV"}</definedName>
    <definedName name="bfbfdhfdhdfgh_1" localSheetId="5" hidden="1">{#N/A,#N/A,FALSE,"CCTV"}</definedName>
    <definedName name="bfbfdhfdhdfgh_1" hidden="1">{#N/A,#N/A,FALSE,"CCTV"}</definedName>
    <definedName name="bfbfdhfdhdfgh_2" localSheetId="5" hidden="1">{#N/A,#N/A,FALSE,"CCTV"}</definedName>
    <definedName name="bfbfdhfdhdfgh_2" hidden="1">{#N/A,#N/A,FALSE,"CCTV"}</definedName>
    <definedName name="bfbfdhfdhdfgh_3" localSheetId="5" hidden="1">{#N/A,#N/A,FALSE,"CCTV"}</definedName>
    <definedName name="bfbfdhfdhdfgh_3" hidden="1">{#N/A,#N/A,FALSE,"CCTV"}</definedName>
    <definedName name="bfbfdhfdhdfgh_4" localSheetId="5" hidden="1">{#N/A,#N/A,FALSE,"CCTV"}</definedName>
    <definedName name="bfbfdhfdhdfgh_4" hidden="1">{#N/A,#N/A,FALSE,"CCTV"}</definedName>
    <definedName name="bfbfdhfdhdfgh_5" localSheetId="5" hidden="1">{#N/A,#N/A,FALSE,"CCTV"}</definedName>
    <definedName name="bfbfdhfdhdfgh_5" hidden="1">{#N/A,#N/A,FALSE,"CCTV"}</definedName>
    <definedName name="BFDFB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I" localSheetId="5" hidden="1">{#N/A,#N/A,FALSE,"이태원철근"}</definedName>
    <definedName name="BI" hidden="1">{#N/A,#N/A,FALSE,"이태원철근"}</definedName>
    <definedName name="bkd" localSheetId="5" hidden="1">{"'Sheet1'!$L$16"}</definedName>
    <definedName name="bkd" localSheetId="9" hidden="1">{"'Sheet1'!$L$16"}</definedName>
    <definedName name="bkd" localSheetId="10" hidden="1">{"'Sheet1'!$L$16"}</definedName>
    <definedName name="bkd" localSheetId="6" hidden="1">{"'Sheet1'!$L$16"}</definedName>
    <definedName name="bkd" localSheetId="3" hidden="1">{"'Sheet1'!$L$16"}</definedName>
    <definedName name="bkd" hidden="1">{"'Sheet1'!$L$16"}</definedName>
    <definedName name="bm" localSheetId="5" hidden="1">{"'Sheet1'!$L$16"}</definedName>
    <definedName name="bm" localSheetId="9" hidden="1">{"'Sheet1'!$L$16"}</definedName>
    <definedName name="bm" localSheetId="10" hidden="1">{"'Sheet1'!$L$16"}</definedName>
    <definedName name="bm" localSheetId="6" hidden="1">{"'Sheet1'!$L$16"}</definedName>
    <definedName name="BM" localSheetId="3" hidden="1">{#N/A,#N/A,FALSE,"CCTV"}</definedName>
    <definedName name="bm" hidden="1">{"'Sheet1'!$L$16"}</definedName>
    <definedName name="bn" localSheetId="5" hidden="1">{"'Sheet1'!$L$16"}</definedName>
    <definedName name="bn" localSheetId="9" hidden="1">{"'Sheet1'!$L$16"}</definedName>
    <definedName name="bn" localSheetId="10" hidden="1">{"'Sheet1'!$L$16"}</definedName>
    <definedName name="bn" localSheetId="6" hidden="1">{"'Sheet1'!$L$16"}</definedName>
    <definedName name="BN" localSheetId="3" hidden="1">{#N/A,#N/A,TRUE,"arnitower";#N/A,#N/A,TRUE,"arnigarage "}</definedName>
    <definedName name="bn" hidden="1">{"'Sheet1'!$L$16"}</definedName>
    <definedName name="BOQ_SUMMARY" localSheetId="5" hidden="1">{#N/A,#N/A,TRUE,"Basic";#N/A,#N/A,TRUE,"EXT-TABLE";#N/A,#N/A,TRUE,"STEEL";#N/A,#N/A,TRUE,"INT-Table";#N/A,#N/A,TRUE,"STEEL";#N/A,#N/A,TRUE,"Door"}</definedName>
    <definedName name="BOQ_SUMMARY" hidden="1">{#N/A,#N/A,TRUE,"Basic";#N/A,#N/A,TRUE,"EXT-TABLE";#N/A,#N/A,TRUE,"STEEL";#N/A,#N/A,TRUE,"INT-Table";#N/A,#N/A,TRUE,"STEEL";#N/A,#N/A,TRUE,"Door"}</definedName>
    <definedName name="BOQ_SUMMARY_1" localSheetId="5" hidden="1">{#N/A,#N/A,TRUE,"Basic";#N/A,#N/A,TRUE,"EXT-TABLE";#N/A,#N/A,TRUE,"STEEL";#N/A,#N/A,TRUE,"INT-Table";#N/A,#N/A,TRUE,"STEEL";#N/A,#N/A,TRUE,"Door"}</definedName>
    <definedName name="BOQ_SUMMARY_1" hidden="1">{#N/A,#N/A,TRUE,"Basic";#N/A,#N/A,TRUE,"EXT-TABLE";#N/A,#N/A,TRUE,"STEEL";#N/A,#N/A,TRUE,"INT-Table";#N/A,#N/A,TRUE,"STEEL";#N/A,#N/A,TRUE,"Door"}</definedName>
    <definedName name="BOQ_SUMMARY_2" localSheetId="5" hidden="1">{#N/A,#N/A,TRUE,"Basic";#N/A,#N/A,TRUE,"EXT-TABLE";#N/A,#N/A,TRUE,"STEEL";#N/A,#N/A,TRUE,"INT-Table";#N/A,#N/A,TRUE,"STEEL";#N/A,#N/A,TRUE,"Door"}</definedName>
    <definedName name="BOQ_SUMMARY_2" hidden="1">{#N/A,#N/A,TRUE,"Basic";#N/A,#N/A,TRUE,"EXT-TABLE";#N/A,#N/A,TRUE,"STEEL";#N/A,#N/A,TRUE,"INT-Table";#N/A,#N/A,TRUE,"STEEL";#N/A,#N/A,TRUE,"Door"}</definedName>
    <definedName name="BOQ_SUMMARY_3" localSheetId="5" hidden="1">{#N/A,#N/A,TRUE,"Basic";#N/A,#N/A,TRUE,"EXT-TABLE";#N/A,#N/A,TRUE,"STEEL";#N/A,#N/A,TRUE,"INT-Table";#N/A,#N/A,TRUE,"STEEL";#N/A,#N/A,TRUE,"Door"}</definedName>
    <definedName name="BOQ_SUMMARY_3" hidden="1">{#N/A,#N/A,TRUE,"Basic";#N/A,#N/A,TRUE,"EXT-TABLE";#N/A,#N/A,TRUE,"STEEL";#N/A,#N/A,TRUE,"INT-Table";#N/A,#N/A,TRUE,"STEEL";#N/A,#N/A,TRUE,"Door"}</definedName>
    <definedName name="BOQ_SUMMARY_4" localSheetId="5" hidden="1">{#N/A,#N/A,TRUE,"Basic";#N/A,#N/A,TRUE,"EXT-TABLE";#N/A,#N/A,TRUE,"STEEL";#N/A,#N/A,TRUE,"INT-Table";#N/A,#N/A,TRUE,"STEEL";#N/A,#N/A,TRUE,"Door"}</definedName>
    <definedName name="BOQ_SUMMARY_4" hidden="1">{#N/A,#N/A,TRUE,"Basic";#N/A,#N/A,TRUE,"EXT-TABLE";#N/A,#N/A,TRUE,"STEEL";#N/A,#N/A,TRUE,"INT-Table";#N/A,#N/A,TRUE,"STEEL";#N/A,#N/A,TRUE,"Door"}</definedName>
    <definedName name="BOQ_SUMMARY_5" localSheetId="5" hidden="1">{#N/A,#N/A,TRUE,"Basic";#N/A,#N/A,TRUE,"EXT-TABLE";#N/A,#N/A,TRUE,"STEEL";#N/A,#N/A,TRUE,"INT-Table";#N/A,#N/A,TRUE,"STEEL";#N/A,#N/A,TRUE,"Door"}</definedName>
    <definedName name="BOQ_SUMMARY_5" hidden="1">{#N/A,#N/A,TRUE,"Basic";#N/A,#N/A,TRUE,"EXT-TABLE";#N/A,#N/A,TRUE,"STEEL";#N/A,#N/A,TRUE,"INT-Table";#N/A,#N/A,TRUE,"STEEL";#N/A,#N/A,TRUE,"Door"}</definedName>
    <definedName name="BV" hidden="1">#REF!</definedName>
    <definedName name="cable_bm" localSheetId="5" hidden="1">{"'rev8'!$B$3:$S$203"}</definedName>
    <definedName name="cable_bm" hidden="1">{"'rev8'!$B$3:$S$203"}</definedName>
    <definedName name="CARL" localSheetId="5" hidden="1">{#N/A,#N/A,FALSE,"CCTV"}</definedName>
    <definedName name="CARL" localSheetId="9" hidden="1">{#N/A,#N/A,FALSE,"CCTV"}</definedName>
    <definedName name="CARL" localSheetId="10" hidden="1">{#N/A,#N/A,FALSE,"CCTV"}</definedName>
    <definedName name="CARL" localSheetId="6" hidden="1">{#N/A,#N/A,FALSE,"CCTV"}</definedName>
    <definedName name="CARL" localSheetId="3" hidden="1">{#N/A,#N/A,FALSE,"CCTV"}</definedName>
    <definedName name="CARL" hidden="1">{#N/A,#N/A,FALSE,"CCTV"}</definedName>
    <definedName name="CARL_1" localSheetId="5" hidden="1">{#N/A,#N/A,FALSE,"CCTV"}</definedName>
    <definedName name="CARL_1" hidden="1">{#N/A,#N/A,FALSE,"CCTV"}</definedName>
    <definedName name="CARL_2" localSheetId="5" hidden="1">{#N/A,#N/A,FALSE,"CCTV"}</definedName>
    <definedName name="CARL_2" hidden="1">{#N/A,#N/A,FALSE,"CCTV"}</definedName>
    <definedName name="CARL_3" localSheetId="5" hidden="1">{#N/A,#N/A,FALSE,"CCTV"}</definedName>
    <definedName name="CARL_3" hidden="1">{#N/A,#N/A,FALSE,"CCTV"}</definedName>
    <definedName name="CARL_4" localSheetId="5" hidden="1">{#N/A,#N/A,FALSE,"CCTV"}</definedName>
    <definedName name="CARL_4" hidden="1">{#N/A,#N/A,FALSE,"CCTV"}</definedName>
    <definedName name="CARL_5" localSheetId="5" hidden="1">{#N/A,#N/A,FALSE,"CCTV"}</definedName>
    <definedName name="CARL_5" hidden="1">{#N/A,#N/A,FALSE,"CCTV"}</definedName>
    <definedName name="CARL1" localSheetId="5" hidden="1">{#N/A,#N/A,FALSE,"CCTV"}</definedName>
    <definedName name="CARL1" localSheetId="9" hidden="1">{#N/A,#N/A,FALSE,"CCTV"}</definedName>
    <definedName name="CARL1" localSheetId="10" hidden="1">{#N/A,#N/A,FALSE,"CCTV"}</definedName>
    <definedName name="CARL1" localSheetId="6" hidden="1">{#N/A,#N/A,FALSE,"CCTV"}</definedName>
    <definedName name="CARL1" localSheetId="3" hidden="1">{#N/A,#N/A,FALSE,"CCTV"}</definedName>
    <definedName name="CARL1" hidden="1">{#N/A,#N/A,FALSE,"CCTV"}</definedName>
    <definedName name="CARL1_1" localSheetId="5" hidden="1">{#N/A,#N/A,FALSE,"CCTV"}</definedName>
    <definedName name="CARL1_1" hidden="1">{#N/A,#N/A,FALSE,"CCTV"}</definedName>
    <definedName name="CARL1_2" localSheetId="5" hidden="1">{#N/A,#N/A,FALSE,"CCTV"}</definedName>
    <definedName name="CARL1_2" hidden="1">{#N/A,#N/A,FALSE,"CCTV"}</definedName>
    <definedName name="CARL1_3" localSheetId="5" hidden="1">{#N/A,#N/A,FALSE,"CCTV"}</definedName>
    <definedName name="CARL1_3" hidden="1">{#N/A,#N/A,FALSE,"CCTV"}</definedName>
    <definedName name="CARL1_4" localSheetId="5" hidden="1">{#N/A,#N/A,FALSE,"CCTV"}</definedName>
    <definedName name="CARL1_4" hidden="1">{#N/A,#N/A,FALSE,"CCTV"}</definedName>
    <definedName name="CARL1_5" localSheetId="5" hidden="1">{#N/A,#N/A,FALSE,"CCTV"}</definedName>
    <definedName name="CARL1_5" hidden="1">{#N/A,#N/A,FALSE,"CCTV"}</definedName>
    <definedName name="CARL2" localSheetId="5" hidden="1">{#N/A,#N/A,FALSE,"CCTV"}</definedName>
    <definedName name="CARL2" localSheetId="9" hidden="1">{#N/A,#N/A,FALSE,"CCTV"}</definedName>
    <definedName name="CARL2" localSheetId="10" hidden="1">{#N/A,#N/A,FALSE,"CCTV"}</definedName>
    <definedName name="CARL2" localSheetId="6" hidden="1">{#N/A,#N/A,FALSE,"CCTV"}</definedName>
    <definedName name="CARL2" localSheetId="3" hidden="1">{#N/A,#N/A,FALSE,"CCTV"}</definedName>
    <definedName name="CARL2" hidden="1">{#N/A,#N/A,FALSE,"CCTV"}</definedName>
    <definedName name="CARL2_1" localSheetId="5" hidden="1">{#N/A,#N/A,FALSE,"CCTV"}</definedName>
    <definedName name="CARL2_1" hidden="1">{#N/A,#N/A,FALSE,"CCTV"}</definedName>
    <definedName name="CARL2_2" localSheetId="5" hidden="1">{#N/A,#N/A,FALSE,"CCTV"}</definedName>
    <definedName name="CARL2_2" hidden="1">{#N/A,#N/A,FALSE,"CCTV"}</definedName>
    <definedName name="CARL2_3" localSheetId="5" hidden="1">{#N/A,#N/A,FALSE,"CCTV"}</definedName>
    <definedName name="CARL2_3" hidden="1">{#N/A,#N/A,FALSE,"CCTV"}</definedName>
    <definedName name="CARL2_4" localSheetId="5" hidden="1">{#N/A,#N/A,FALSE,"CCTV"}</definedName>
    <definedName name="CARL2_4" hidden="1">{#N/A,#N/A,FALSE,"CCTV"}</definedName>
    <definedName name="CARL2_5" localSheetId="5" hidden="1">{#N/A,#N/A,FALSE,"CCTV"}</definedName>
    <definedName name="CARL2_5" hidden="1">{#N/A,#N/A,FALSE,"CCTV"}</definedName>
    <definedName name="CATHODIC" localSheetId="5" hidden="1">{#N/A,#N/A,TRUE,"총괄"}</definedName>
    <definedName name="CATHODIC" hidden="1">{#N/A,#N/A,TRUE,"총괄"}</definedName>
    <definedName name="CATHODIC_1" localSheetId="5" hidden="1">{#N/A,#N/A,TRUE,"총괄"}</definedName>
    <definedName name="CATHODIC_1" hidden="1">{#N/A,#N/A,TRUE,"총괄"}</definedName>
    <definedName name="CATHODIC_2" localSheetId="5" hidden="1">{#N/A,#N/A,TRUE,"총괄"}</definedName>
    <definedName name="CATHODIC_2" hidden="1">{#N/A,#N/A,TRUE,"총괄"}</definedName>
    <definedName name="CATHODIC_3" localSheetId="5" hidden="1">{#N/A,#N/A,TRUE,"총괄"}</definedName>
    <definedName name="CATHODIC_3" hidden="1">{#N/A,#N/A,TRUE,"총괄"}</definedName>
    <definedName name="CATHODIC_4" localSheetId="5" hidden="1">{#N/A,#N/A,TRUE,"총괄"}</definedName>
    <definedName name="CATHODIC_4" hidden="1">{#N/A,#N/A,TRUE,"총괄"}</definedName>
    <definedName name="CATHODIC_5" localSheetId="5" hidden="1">{#N/A,#N/A,TRUE,"총괄"}</definedName>
    <definedName name="CATHODIC_5" hidden="1">{#N/A,#N/A,TRUE,"총괄"}</definedName>
    <definedName name="CCC" localSheetId="5" hidden="1">{#N/A,#N/A,FALSE,"CCTV"}</definedName>
    <definedName name="CCC" localSheetId="9" hidden="1">{#N/A,#N/A,FALSE,"CCTV"}</definedName>
    <definedName name="CCC" localSheetId="10" hidden="1">{#N/A,#N/A,FALSE,"CCTV"}</definedName>
    <definedName name="CCC" localSheetId="6" hidden="1">{#N/A,#N/A,FALSE,"CCTV"}</definedName>
    <definedName name="CCC" localSheetId="3" hidden="1">{#N/A,#N/A,FALSE,"CCTV"}</definedName>
    <definedName name="CCC" hidden="1">{#N/A,#N/A,FALSE,"CCTV"}</definedName>
    <definedName name="CCC_1" localSheetId="5" hidden="1">{#N/A,#N/A,FALSE,"CCTV"}</definedName>
    <definedName name="CCC_1" localSheetId="9" hidden="1">{#N/A,#N/A,FALSE,"CCTV"}</definedName>
    <definedName name="CCC_1" localSheetId="10" hidden="1">{#N/A,#N/A,FALSE,"CCTV"}</definedName>
    <definedName name="CCC_1" localSheetId="6" hidden="1">{#N/A,#N/A,FALSE,"CCTV"}</definedName>
    <definedName name="CCC_1" localSheetId="3" hidden="1">{#N/A,#N/A,FALSE,"CCTV"}</definedName>
    <definedName name="CCC_1" hidden="1">{#N/A,#N/A,FALSE,"CCTV"}</definedName>
    <definedName name="cdf" localSheetId="5" hidden="1">{#N/A,#N/A,TRUE,"arnitower";#N/A,#N/A,TRUE,"arnigarage "}</definedName>
    <definedName name="cdf" hidden="1">{#N/A,#N/A,TRUE,"arnitower";#N/A,#N/A,TRUE,"arnigarage "}</definedName>
    <definedName name="Cerfi20" hidden="1">#REF!</definedName>
    <definedName name="chemical" localSheetId="5" hidden="1">{#N/A,#N/A,FALSE,"CCTV"}</definedName>
    <definedName name="chemical" localSheetId="9" hidden="1">{#N/A,#N/A,FALSE,"CCTV"}</definedName>
    <definedName name="chemical" localSheetId="10" hidden="1">{#N/A,#N/A,FALSE,"CCTV"}</definedName>
    <definedName name="chemical" localSheetId="6" hidden="1">{#N/A,#N/A,FALSE,"CCTV"}</definedName>
    <definedName name="chemical" localSheetId="3" hidden="1">{#N/A,#N/A,FALSE,"CCTV"}</definedName>
    <definedName name="chemical" hidden="1">{#N/A,#N/A,FALSE,"CCTV"}</definedName>
    <definedName name="chemical_1" localSheetId="5" hidden="1">{#N/A,#N/A,FALSE,"CCTV"}</definedName>
    <definedName name="chemical_1" localSheetId="9" hidden="1">{#N/A,#N/A,FALSE,"CCTV"}</definedName>
    <definedName name="chemical_1" localSheetId="10" hidden="1">{#N/A,#N/A,FALSE,"CCTV"}</definedName>
    <definedName name="chemical_1" localSheetId="6" hidden="1">{#N/A,#N/A,FALSE,"CCTV"}</definedName>
    <definedName name="chemical_1" localSheetId="3" hidden="1">{#N/A,#N/A,FALSE,"CCTV"}</definedName>
    <definedName name="chemical_1" hidden="1">{#N/A,#N/A,FALSE,"CCTV"}</definedName>
    <definedName name="chemical_2" localSheetId="5" hidden="1">{#N/A,#N/A,FALSE,"CCTV"}</definedName>
    <definedName name="chemical_2" hidden="1">{#N/A,#N/A,FALSE,"CCTV"}</definedName>
    <definedName name="chemical_3" localSheetId="5" hidden="1">{#N/A,#N/A,FALSE,"CCTV"}</definedName>
    <definedName name="chemical_3" hidden="1">{#N/A,#N/A,FALSE,"CCTV"}</definedName>
    <definedName name="chemical_4" localSheetId="5" hidden="1">{#N/A,#N/A,FALSE,"CCTV"}</definedName>
    <definedName name="chemical_4" hidden="1">{#N/A,#N/A,FALSE,"CCTV"}</definedName>
    <definedName name="chemical_5" localSheetId="5" hidden="1">{#N/A,#N/A,FALSE,"CCTV"}</definedName>
    <definedName name="chemical_5" hidden="1">{#N/A,#N/A,FALSE,"CCTV"}</definedName>
    <definedName name="chl" localSheetId="5" hidden="1">{#N/A,#N/A,TRUE,"Basic";#N/A,#N/A,TRUE,"EXT-TABLE";#N/A,#N/A,TRUE,"STEEL";#N/A,#N/A,TRUE,"INT-Table";#N/A,#N/A,TRUE,"STEEL";#N/A,#N/A,TRUE,"Door"}</definedName>
    <definedName name="chl" localSheetId="9" hidden="1">{#N/A,#N/A,TRUE,"Basic";#N/A,#N/A,TRUE,"EXT-TABLE";#N/A,#N/A,TRUE,"STEEL";#N/A,#N/A,TRUE,"INT-Table";#N/A,#N/A,TRUE,"STEEL";#N/A,#N/A,TRUE,"Door"}</definedName>
    <definedName name="chl" localSheetId="10" hidden="1">{#N/A,#N/A,TRUE,"Basic";#N/A,#N/A,TRUE,"EXT-TABLE";#N/A,#N/A,TRUE,"STEEL";#N/A,#N/A,TRUE,"INT-Table";#N/A,#N/A,TRUE,"STEEL";#N/A,#N/A,TRUE,"Door"}</definedName>
    <definedName name="chl" localSheetId="6" hidden="1">{#N/A,#N/A,TRUE,"Basic";#N/A,#N/A,TRUE,"EXT-TABLE";#N/A,#N/A,TRUE,"STEEL";#N/A,#N/A,TRUE,"INT-Table";#N/A,#N/A,TRUE,"STEEL";#N/A,#N/A,TRUE,"Door"}</definedName>
    <definedName name="chl" localSheetId="3" hidden="1">{#N/A,#N/A,TRUE,"Basic";#N/A,#N/A,TRUE,"EXT-TABLE";#N/A,#N/A,TRUE,"STEEL";#N/A,#N/A,TRUE,"INT-Table";#N/A,#N/A,TRUE,"STEEL";#N/A,#N/A,TRUE,"Door"}</definedName>
    <definedName name="chl" hidden="1">{#N/A,#N/A,TRUE,"Basic";#N/A,#N/A,TRUE,"EXT-TABLE";#N/A,#N/A,TRUE,"STEEL";#N/A,#N/A,TRUE,"INT-Table";#N/A,#N/A,TRUE,"STEEL";#N/A,#N/A,TRUE,"Door"}</definedName>
    <definedName name="chl_1" localSheetId="5" hidden="1">{#N/A,#N/A,TRUE,"Basic";#N/A,#N/A,TRUE,"EXT-TABLE";#N/A,#N/A,TRUE,"STEEL";#N/A,#N/A,TRUE,"INT-Table";#N/A,#N/A,TRUE,"STEEL";#N/A,#N/A,TRUE,"Door"}</definedName>
    <definedName name="chl_1" hidden="1">{#N/A,#N/A,TRUE,"Basic";#N/A,#N/A,TRUE,"EXT-TABLE";#N/A,#N/A,TRUE,"STEEL";#N/A,#N/A,TRUE,"INT-Table";#N/A,#N/A,TRUE,"STEEL";#N/A,#N/A,TRUE,"Door"}</definedName>
    <definedName name="chl_2" localSheetId="5" hidden="1">{#N/A,#N/A,TRUE,"Basic";#N/A,#N/A,TRUE,"EXT-TABLE";#N/A,#N/A,TRUE,"STEEL";#N/A,#N/A,TRUE,"INT-Table";#N/A,#N/A,TRUE,"STEEL";#N/A,#N/A,TRUE,"Door"}</definedName>
    <definedName name="chl_2" hidden="1">{#N/A,#N/A,TRUE,"Basic";#N/A,#N/A,TRUE,"EXT-TABLE";#N/A,#N/A,TRUE,"STEEL";#N/A,#N/A,TRUE,"INT-Table";#N/A,#N/A,TRUE,"STEEL";#N/A,#N/A,TRUE,"Door"}</definedName>
    <definedName name="chl_3" localSheetId="5" hidden="1">{#N/A,#N/A,TRUE,"Basic";#N/A,#N/A,TRUE,"EXT-TABLE";#N/A,#N/A,TRUE,"STEEL";#N/A,#N/A,TRUE,"INT-Table";#N/A,#N/A,TRUE,"STEEL";#N/A,#N/A,TRUE,"Door"}</definedName>
    <definedName name="chl_3" hidden="1">{#N/A,#N/A,TRUE,"Basic";#N/A,#N/A,TRUE,"EXT-TABLE";#N/A,#N/A,TRUE,"STEEL";#N/A,#N/A,TRUE,"INT-Table";#N/A,#N/A,TRUE,"STEEL";#N/A,#N/A,TRUE,"Door"}</definedName>
    <definedName name="chl_4" localSheetId="5" hidden="1">{#N/A,#N/A,TRUE,"Basic";#N/A,#N/A,TRUE,"EXT-TABLE";#N/A,#N/A,TRUE,"STEEL";#N/A,#N/A,TRUE,"INT-Table";#N/A,#N/A,TRUE,"STEEL";#N/A,#N/A,TRUE,"Door"}</definedName>
    <definedName name="chl_4" hidden="1">{#N/A,#N/A,TRUE,"Basic";#N/A,#N/A,TRUE,"EXT-TABLE";#N/A,#N/A,TRUE,"STEEL";#N/A,#N/A,TRUE,"INT-Table";#N/A,#N/A,TRUE,"STEEL";#N/A,#N/A,TRUE,"Door"}</definedName>
    <definedName name="chl_5" localSheetId="5" hidden="1">{#N/A,#N/A,TRUE,"Basic";#N/A,#N/A,TRUE,"EXT-TABLE";#N/A,#N/A,TRUE,"STEEL";#N/A,#N/A,TRUE,"INT-Table";#N/A,#N/A,TRUE,"STEEL";#N/A,#N/A,TRUE,"Door"}</definedName>
    <definedName name="chl_5" hidden="1">{#N/A,#N/A,TRUE,"Basic";#N/A,#N/A,TRUE,"EXT-TABLE";#N/A,#N/A,TRUE,"STEEL";#N/A,#N/A,TRUE,"INT-Table";#N/A,#N/A,TRUE,"STEEL";#N/A,#N/A,TRUE,"Door"}</definedName>
    <definedName name="cn" localSheetId="5" hidden="1">{"'Sheet1'!$L$16"}</definedName>
    <definedName name="cn" localSheetId="9" hidden="1">{"'Sheet1'!$L$16"}</definedName>
    <definedName name="cn" localSheetId="10" hidden="1">{"'Sheet1'!$L$16"}</definedName>
    <definedName name="cn" localSheetId="6" hidden="1">{"'Sheet1'!$L$16"}</definedName>
    <definedName name="cn" localSheetId="3" hidden="1">{"'Sheet1'!$L$16"}</definedName>
    <definedName name="cn" hidden="1">{"'Sheet1'!$L$16"}</definedName>
    <definedName name="cnf" localSheetId="5" hidden="1">{#N/A,#N/A,FALSE,"이태원철근"}</definedName>
    <definedName name="cnf" hidden="1">{#N/A,#N/A,FALSE,"이태원철근"}</definedName>
    <definedName name="Cons_equip" localSheetId="5" hidden="1">{"'장비'!$A$3:$M$12"}</definedName>
    <definedName name="Cons_equip" hidden="1">{"'장비'!$A$3:$M$12"}</definedName>
    <definedName name="Cons_equip_1" localSheetId="5" hidden="1">{"'장비'!$A$3:$M$12"}</definedName>
    <definedName name="Cons_equip_1" hidden="1">{"'장비'!$A$3:$M$12"}</definedName>
    <definedName name="Cons_equip_2" localSheetId="5" hidden="1">{"'장비'!$A$3:$M$12"}</definedName>
    <definedName name="Cons_equip_2" hidden="1">{"'장비'!$A$3:$M$12"}</definedName>
    <definedName name="Cons_equip_3" localSheetId="5" hidden="1">{"'장비'!$A$3:$M$12"}</definedName>
    <definedName name="Cons_equip_3" hidden="1">{"'장비'!$A$3:$M$12"}</definedName>
    <definedName name="Cons_equip_4" localSheetId="5" hidden="1">{"'장비'!$A$3:$M$12"}</definedName>
    <definedName name="Cons_equip_4" hidden="1">{"'장비'!$A$3:$M$12"}</definedName>
    <definedName name="Cons_equip_5" localSheetId="5" hidden="1">{"'장비'!$A$3:$M$12"}</definedName>
    <definedName name="Cons_equip_5" hidden="1">{"'장비'!$A$3:$M$12"}</definedName>
    <definedName name="COPY" localSheetId="5" hidden="1">{#N/A,#N/A,FALSE,"CCTV"}</definedName>
    <definedName name="COPY" localSheetId="9" hidden="1">{#N/A,#N/A,FALSE,"CCTV"}</definedName>
    <definedName name="COPY" localSheetId="10" hidden="1">{#N/A,#N/A,FALSE,"CCTV"}</definedName>
    <definedName name="COPY" localSheetId="6" hidden="1">{#N/A,#N/A,FALSE,"CCTV"}</definedName>
    <definedName name="COPY" localSheetId="3" hidden="1">{#N/A,#N/A,FALSE,"CCTV"}</definedName>
    <definedName name="COPY" hidden="1">{#N/A,#N/A,FALSE,"CCTV"}</definedName>
    <definedName name="cost" localSheetId="5" hidden="1">{#N/A,#N/A,TRUE,"Basic";#N/A,#N/A,TRUE,"EXT-TABLE";#N/A,#N/A,TRUE,"STEEL";#N/A,#N/A,TRUE,"INT-Table";#N/A,#N/A,TRUE,"STEEL";#N/A,#N/A,TRUE,"Door"}</definedName>
    <definedName name="cost" localSheetId="9" hidden="1">{#N/A,#N/A,TRUE,"Basic";#N/A,#N/A,TRUE,"EXT-TABLE";#N/A,#N/A,TRUE,"STEEL";#N/A,#N/A,TRUE,"INT-Table";#N/A,#N/A,TRUE,"STEEL";#N/A,#N/A,TRUE,"Door"}</definedName>
    <definedName name="cost" localSheetId="10" hidden="1">{#N/A,#N/A,TRUE,"Basic";#N/A,#N/A,TRUE,"EXT-TABLE";#N/A,#N/A,TRUE,"STEEL";#N/A,#N/A,TRUE,"INT-Table";#N/A,#N/A,TRUE,"STEEL";#N/A,#N/A,TRUE,"Door"}</definedName>
    <definedName name="cost" localSheetId="6" hidden="1">{#N/A,#N/A,TRUE,"Basic";#N/A,#N/A,TRUE,"EXT-TABLE";#N/A,#N/A,TRUE,"STEEL";#N/A,#N/A,TRUE,"INT-Table";#N/A,#N/A,TRUE,"STEEL";#N/A,#N/A,TRUE,"Door"}</definedName>
    <definedName name="cost" localSheetId="3" hidden="1">{#N/A,#N/A,TRUE,"Basic";#N/A,#N/A,TRUE,"EXT-TABLE";#N/A,#N/A,TRUE,"STEEL";#N/A,#N/A,TRUE,"INT-Table";#N/A,#N/A,TRUE,"STEEL";#N/A,#N/A,TRUE,"Door"}</definedName>
    <definedName name="cost" hidden="1">{#N/A,#N/A,TRUE,"Basic";#N/A,#N/A,TRUE,"EXT-TABLE";#N/A,#N/A,TRUE,"STEEL";#N/A,#N/A,TRUE,"INT-Table";#N/A,#N/A,TRUE,"STEEL";#N/A,#N/A,TRUE,"Door"}</definedName>
    <definedName name="cost_1" localSheetId="5" hidden="1">{#N/A,#N/A,TRUE,"Basic";#N/A,#N/A,TRUE,"EXT-TABLE";#N/A,#N/A,TRUE,"STEEL";#N/A,#N/A,TRUE,"INT-Table";#N/A,#N/A,TRUE,"STEEL";#N/A,#N/A,TRUE,"Door"}</definedName>
    <definedName name="cost_1" hidden="1">{#N/A,#N/A,TRUE,"Basic";#N/A,#N/A,TRUE,"EXT-TABLE";#N/A,#N/A,TRUE,"STEEL";#N/A,#N/A,TRUE,"INT-Table";#N/A,#N/A,TRUE,"STEEL";#N/A,#N/A,TRUE,"Door"}</definedName>
    <definedName name="cost_2" localSheetId="5" hidden="1">{#N/A,#N/A,TRUE,"Basic";#N/A,#N/A,TRUE,"EXT-TABLE";#N/A,#N/A,TRUE,"STEEL";#N/A,#N/A,TRUE,"INT-Table";#N/A,#N/A,TRUE,"STEEL";#N/A,#N/A,TRUE,"Door"}</definedName>
    <definedName name="cost_2" hidden="1">{#N/A,#N/A,TRUE,"Basic";#N/A,#N/A,TRUE,"EXT-TABLE";#N/A,#N/A,TRUE,"STEEL";#N/A,#N/A,TRUE,"INT-Table";#N/A,#N/A,TRUE,"STEEL";#N/A,#N/A,TRUE,"Door"}</definedName>
    <definedName name="cost_3" localSheetId="5" hidden="1">{#N/A,#N/A,TRUE,"Basic";#N/A,#N/A,TRUE,"EXT-TABLE";#N/A,#N/A,TRUE,"STEEL";#N/A,#N/A,TRUE,"INT-Table";#N/A,#N/A,TRUE,"STEEL";#N/A,#N/A,TRUE,"Door"}</definedName>
    <definedName name="cost_3" hidden="1">{#N/A,#N/A,TRUE,"Basic";#N/A,#N/A,TRUE,"EXT-TABLE";#N/A,#N/A,TRUE,"STEEL";#N/A,#N/A,TRUE,"INT-Table";#N/A,#N/A,TRUE,"STEEL";#N/A,#N/A,TRUE,"Door"}</definedName>
    <definedName name="cost_4" localSheetId="5" hidden="1">{#N/A,#N/A,TRUE,"Basic";#N/A,#N/A,TRUE,"EXT-TABLE";#N/A,#N/A,TRUE,"STEEL";#N/A,#N/A,TRUE,"INT-Table";#N/A,#N/A,TRUE,"STEEL";#N/A,#N/A,TRUE,"Door"}</definedName>
    <definedName name="cost_4" hidden="1">{#N/A,#N/A,TRUE,"Basic";#N/A,#N/A,TRUE,"EXT-TABLE";#N/A,#N/A,TRUE,"STEEL";#N/A,#N/A,TRUE,"INT-Table";#N/A,#N/A,TRUE,"STEEL";#N/A,#N/A,TRUE,"Door"}</definedName>
    <definedName name="cost_5" localSheetId="5" hidden="1">{#N/A,#N/A,TRUE,"Basic";#N/A,#N/A,TRUE,"EXT-TABLE";#N/A,#N/A,TRUE,"STEEL";#N/A,#N/A,TRUE,"INT-Table";#N/A,#N/A,TRUE,"STEEL";#N/A,#N/A,TRUE,"Door"}</definedName>
    <definedName name="cost_5" hidden="1">{#N/A,#N/A,TRUE,"Basic";#N/A,#N/A,TRUE,"EXT-TABLE";#N/A,#N/A,TRUE,"STEEL";#N/A,#N/A,TRUE,"INT-Table";#N/A,#N/A,TRUE,"STEEL";#N/A,#N/A,TRUE,"Door"}</definedName>
    <definedName name="COST2" localSheetId="5" hidden="1">{#N/A,#N/A,TRUE,"Basic";#N/A,#N/A,TRUE,"EXT-TABLE";#N/A,#N/A,TRUE,"STEEL";#N/A,#N/A,TRUE,"INT-Table";#N/A,#N/A,TRUE,"STEEL";#N/A,#N/A,TRUE,"Door"}</definedName>
    <definedName name="COST2" localSheetId="9" hidden="1">{#N/A,#N/A,TRUE,"Basic";#N/A,#N/A,TRUE,"EXT-TABLE";#N/A,#N/A,TRUE,"STEEL";#N/A,#N/A,TRUE,"INT-Table";#N/A,#N/A,TRUE,"STEEL";#N/A,#N/A,TRUE,"Door"}</definedName>
    <definedName name="COST2" localSheetId="10" hidden="1">{#N/A,#N/A,TRUE,"Basic";#N/A,#N/A,TRUE,"EXT-TABLE";#N/A,#N/A,TRUE,"STEEL";#N/A,#N/A,TRUE,"INT-Table";#N/A,#N/A,TRUE,"STEEL";#N/A,#N/A,TRUE,"Door"}</definedName>
    <definedName name="COST2" localSheetId="6" hidden="1">{#N/A,#N/A,TRUE,"Basic";#N/A,#N/A,TRUE,"EXT-TABLE";#N/A,#N/A,TRUE,"STEEL";#N/A,#N/A,TRUE,"INT-Table";#N/A,#N/A,TRUE,"STEEL";#N/A,#N/A,TRUE,"Door"}</definedName>
    <definedName name="COST2" localSheetId="3" hidden="1">{#N/A,#N/A,TRUE,"Basic";#N/A,#N/A,TRUE,"EXT-TABLE";#N/A,#N/A,TRUE,"STEEL";#N/A,#N/A,TRUE,"INT-Table";#N/A,#N/A,TRUE,"STEEL";#N/A,#N/A,TRUE,"Door"}</definedName>
    <definedName name="COST2" hidden="1">{#N/A,#N/A,TRUE,"Basic";#N/A,#N/A,TRUE,"EXT-TABLE";#N/A,#N/A,TRUE,"STEEL";#N/A,#N/A,TRUE,"INT-Table";#N/A,#N/A,TRUE,"STEEL";#N/A,#N/A,TRUE,"Door"}</definedName>
    <definedName name="COST2_1" localSheetId="5" hidden="1">{#N/A,#N/A,TRUE,"Basic";#N/A,#N/A,TRUE,"EXT-TABLE";#N/A,#N/A,TRUE,"STEEL";#N/A,#N/A,TRUE,"INT-Table";#N/A,#N/A,TRUE,"STEEL";#N/A,#N/A,TRUE,"Door"}</definedName>
    <definedName name="COST2_1" hidden="1">{#N/A,#N/A,TRUE,"Basic";#N/A,#N/A,TRUE,"EXT-TABLE";#N/A,#N/A,TRUE,"STEEL";#N/A,#N/A,TRUE,"INT-Table";#N/A,#N/A,TRUE,"STEEL";#N/A,#N/A,TRUE,"Door"}</definedName>
    <definedName name="COST2_2" localSheetId="5" hidden="1">{#N/A,#N/A,TRUE,"Basic";#N/A,#N/A,TRUE,"EXT-TABLE";#N/A,#N/A,TRUE,"STEEL";#N/A,#N/A,TRUE,"INT-Table";#N/A,#N/A,TRUE,"STEEL";#N/A,#N/A,TRUE,"Door"}</definedName>
    <definedName name="COST2_2" hidden="1">{#N/A,#N/A,TRUE,"Basic";#N/A,#N/A,TRUE,"EXT-TABLE";#N/A,#N/A,TRUE,"STEEL";#N/A,#N/A,TRUE,"INT-Table";#N/A,#N/A,TRUE,"STEEL";#N/A,#N/A,TRUE,"Door"}</definedName>
    <definedName name="COST2_3" localSheetId="5" hidden="1">{#N/A,#N/A,TRUE,"Basic";#N/A,#N/A,TRUE,"EXT-TABLE";#N/A,#N/A,TRUE,"STEEL";#N/A,#N/A,TRUE,"INT-Table";#N/A,#N/A,TRUE,"STEEL";#N/A,#N/A,TRUE,"Door"}</definedName>
    <definedName name="COST2_3" hidden="1">{#N/A,#N/A,TRUE,"Basic";#N/A,#N/A,TRUE,"EXT-TABLE";#N/A,#N/A,TRUE,"STEEL";#N/A,#N/A,TRUE,"INT-Table";#N/A,#N/A,TRUE,"STEEL";#N/A,#N/A,TRUE,"Door"}</definedName>
    <definedName name="COST2_4" localSheetId="5" hidden="1">{#N/A,#N/A,TRUE,"Basic";#N/A,#N/A,TRUE,"EXT-TABLE";#N/A,#N/A,TRUE,"STEEL";#N/A,#N/A,TRUE,"INT-Table";#N/A,#N/A,TRUE,"STEEL";#N/A,#N/A,TRUE,"Door"}</definedName>
    <definedName name="COST2_4" hidden="1">{#N/A,#N/A,TRUE,"Basic";#N/A,#N/A,TRUE,"EXT-TABLE";#N/A,#N/A,TRUE,"STEEL";#N/A,#N/A,TRUE,"INT-Table";#N/A,#N/A,TRUE,"STEEL";#N/A,#N/A,TRUE,"Door"}</definedName>
    <definedName name="COST2_5" localSheetId="5" hidden="1">{#N/A,#N/A,TRUE,"Basic";#N/A,#N/A,TRUE,"EXT-TABLE";#N/A,#N/A,TRUE,"STEEL";#N/A,#N/A,TRUE,"INT-Table";#N/A,#N/A,TRUE,"STEEL";#N/A,#N/A,TRUE,"Door"}</definedName>
    <definedName name="COST2_5" hidden="1">{#N/A,#N/A,TRUE,"Basic";#N/A,#N/A,TRUE,"EXT-TABLE";#N/A,#N/A,TRUE,"STEEL";#N/A,#N/A,TRUE,"INT-Table";#N/A,#N/A,TRUE,"STEEL";#N/A,#N/A,TRUE,"Door"}</definedName>
    <definedName name="cover" localSheetId="9" hidden="1">#REF!</definedName>
    <definedName name="cover" localSheetId="10" hidden="1">#REF!</definedName>
    <definedName name="cover" hidden="1">#REF!</definedName>
    <definedName name="cpf" localSheetId="5" hidden="1">{#N/A,#N/A,TRUE,"Basic";#N/A,#N/A,TRUE,"EXT-TABLE";#N/A,#N/A,TRUE,"STEEL";#N/A,#N/A,TRUE,"INT-Table";#N/A,#N/A,TRUE,"STEEL";#N/A,#N/A,TRUE,"Door"}</definedName>
    <definedName name="cpf" localSheetId="9" hidden="1">{#N/A,#N/A,TRUE,"Basic";#N/A,#N/A,TRUE,"EXT-TABLE";#N/A,#N/A,TRUE,"STEEL";#N/A,#N/A,TRUE,"INT-Table";#N/A,#N/A,TRUE,"STEEL";#N/A,#N/A,TRUE,"Door"}</definedName>
    <definedName name="cpf" localSheetId="10" hidden="1">{#N/A,#N/A,TRUE,"Basic";#N/A,#N/A,TRUE,"EXT-TABLE";#N/A,#N/A,TRUE,"STEEL";#N/A,#N/A,TRUE,"INT-Table";#N/A,#N/A,TRUE,"STEEL";#N/A,#N/A,TRUE,"Door"}</definedName>
    <definedName name="cpf" localSheetId="6" hidden="1">{#N/A,#N/A,TRUE,"Basic";#N/A,#N/A,TRUE,"EXT-TABLE";#N/A,#N/A,TRUE,"STEEL";#N/A,#N/A,TRUE,"INT-Table";#N/A,#N/A,TRUE,"STEEL";#N/A,#N/A,TRUE,"Door"}</definedName>
    <definedName name="cpf" localSheetId="3" hidden="1">{#N/A,#N/A,TRUE,"Basic";#N/A,#N/A,TRUE,"EXT-TABLE";#N/A,#N/A,TRUE,"STEEL";#N/A,#N/A,TRUE,"INT-Table";#N/A,#N/A,TRUE,"STEEL";#N/A,#N/A,TRUE,"Door"}</definedName>
    <definedName name="cpf" hidden="1">{#N/A,#N/A,TRUE,"Basic";#N/A,#N/A,TRUE,"EXT-TABLE";#N/A,#N/A,TRUE,"STEEL";#N/A,#N/A,TRUE,"INT-Table";#N/A,#N/A,TRUE,"STEEL";#N/A,#N/A,TRUE,"Door"}</definedName>
    <definedName name="cpf_1" localSheetId="5" hidden="1">{#N/A,#N/A,TRUE,"Basic";#N/A,#N/A,TRUE,"EXT-TABLE";#N/A,#N/A,TRUE,"STEEL";#N/A,#N/A,TRUE,"INT-Table";#N/A,#N/A,TRUE,"STEEL";#N/A,#N/A,TRUE,"Door"}</definedName>
    <definedName name="cpf_1" hidden="1">{#N/A,#N/A,TRUE,"Basic";#N/A,#N/A,TRUE,"EXT-TABLE";#N/A,#N/A,TRUE,"STEEL";#N/A,#N/A,TRUE,"INT-Table";#N/A,#N/A,TRUE,"STEEL";#N/A,#N/A,TRUE,"Door"}</definedName>
    <definedName name="cpf_2" localSheetId="5" hidden="1">{#N/A,#N/A,TRUE,"Basic";#N/A,#N/A,TRUE,"EXT-TABLE";#N/A,#N/A,TRUE,"STEEL";#N/A,#N/A,TRUE,"INT-Table";#N/A,#N/A,TRUE,"STEEL";#N/A,#N/A,TRUE,"Door"}</definedName>
    <definedName name="cpf_2" hidden="1">{#N/A,#N/A,TRUE,"Basic";#N/A,#N/A,TRUE,"EXT-TABLE";#N/A,#N/A,TRUE,"STEEL";#N/A,#N/A,TRUE,"INT-Table";#N/A,#N/A,TRUE,"STEEL";#N/A,#N/A,TRUE,"Door"}</definedName>
    <definedName name="cpf_3" localSheetId="5" hidden="1">{#N/A,#N/A,TRUE,"Basic";#N/A,#N/A,TRUE,"EXT-TABLE";#N/A,#N/A,TRUE,"STEEL";#N/A,#N/A,TRUE,"INT-Table";#N/A,#N/A,TRUE,"STEEL";#N/A,#N/A,TRUE,"Door"}</definedName>
    <definedName name="cpf_3" hidden="1">{#N/A,#N/A,TRUE,"Basic";#N/A,#N/A,TRUE,"EXT-TABLE";#N/A,#N/A,TRUE,"STEEL";#N/A,#N/A,TRUE,"INT-Table";#N/A,#N/A,TRUE,"STEEL";#N/A,#N/A,TRUE,"Door"}</definedName>
    <definedName name="cpf_4" localSheetId="5" hidden="1">{#N/A,#N/A,TRUE,"Basic";#N/A,#N/A,TRUE,"EXT-TABLE";#N/A,#N/A,TRUE,"STEEL";#N/A,#N/A,TRUE,"INT-Table";#N/A,#N/A,TRUE,"STEEL";#N/A,#N/A,TRUE,"Door"}</definedName>
    <definedName name="cpf_4" hidden="1">{#N/A,#N/A,TRUE,"Basic";#N/A,#N/A,TRUE,"EXT-TABLE";#N/A,#N/A,TRUE,"STEEL";#N/A,#N/A,TRUE,"INT-Table";#N/A,#N/A,TRUE,"STEEL";#N/A,#N/A,TRUE,"Door"}</definedName>
    <definedName name="cpf_5" localSheetId="5" hidden="1">{#N/A,#N/A,TRUE,"Basic";#N/A,#N/A,TRUE,"EXT-TABLE";#N/A,#N/A,TRUE,"STEEL";#N/A,#N/A,TRUE,"INT-Table";#N/A,#N/A,TRUE,"STEEL";#N/A,#N/A,TRUE,"Door"}</definedName>
    <definedName name="cpf_5" hidden="1">{#N/A,#N/A,TRUE,"Basic";#N/A,#N/A,TRUE,"EXT-TABLE";#N/A,#N/A,TRUE,"STEEL";#N/A,#N/A,TRUE,"INT-Table";#N/A,#N/A,TRUE,"STEEL";#N/A,#N/A,TRUE,"Door"}</definedName>
    <definedName name="CQ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1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2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3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4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5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D" localSheetId="5" hidden="1">{#N/A,#N/A,FALSE,"이태원철근"}</definedName>
    <definedName name="D" hidden="1">{#N/A,#N/A,FALSE,"이태원철근"}</definedName>
    <definedName name="Data6.14" localSheetId="5" hidden="1">{#N/A,#N/A,FALSE,"ENG'G(보호계전기)"}</definedName>
    <definedName name="Data6.14" hidden="1">{#N/A,#N/A,FALSE,"ENG'G(보호계전기)"}</definedName>
    <definedName name="Data6.14_1" localSheetId="5" hidden="1">{#N/A,#N/A,FALSE,"ENG'G(보호계전기)"}</definedName>
    <definedName name="Data6.14_1" hidden="1">{#N/A,#N/A,FALSE,"ENG'G(보호계전기)"}</definedName>
    <definedName name="Data6.14_2" localSheetId="5" hidden="1">{#N/A,#N/A,FALSE,"ENG'G(보호계전기)"}</definedName>
    <definedName name="Data6.14_2" hidden="1">{#N/A,#N/A,FALSE,"ENG'G(보호계전기)"}</definedName>
    <definedName name="Data6.14_3" localSheetId="5" hidden="1">{#N/A,#N/A,FALSE,"ENG'G(보호계전기)"}</definedName>
    <definedName name="Data6.14_3" hidden="1">{#N/A,#N/A,FALSE,"ENG'G(보호계전기)"}</definedName>
    <definedName name="Data6.14_4" localSheetId="5" hidden="1">{#N/A,#N/A,FALSE,"ENG'G(보호계전기)"}</definedName>
    <definedName name="Data6.14_4" hidden="1">{#N/A,#N/A,FALSE,"ENG'G(보호계전기)"}</definedName>
    <definedName name="Data6.14_5" localSheetId="5" hidden="1">{#N/A,#N/A,FALSE,"ENG'G(보호계전기)"}</definedName>
    <definedName name="Data6.14_5" hidden="1">{#N/A,#N/A,FALSE,"ENG'G(보호계전기)"}</definedName>
    <definedName name="DDDD" localSheetId="5" hidden="1">{#N/A,#N/A,TRUE,"총괄"}</definedName>
    <definedName name="DDDD" hidden="1">{#N/A,#N/A,TRUE,"총괄"}</definedName>
    <definedName name="DDDD_1" localSheetId="5" hidden="1">{#N/A,#N/A,TRUE,"총괄"}</definedName>
    <definedName name="DDDD_1" hidden="1">{#N/A,#N/A,TRUE,"총괄"}</definedName>
    <definedName name="DDDD_2" localSheetId="5" hidden="1">{#N/A,#N/A,TRUE,"총괄"}</definedName>
    <definedName name="DDDD_2" hidden="1">{#N/A,#N/A,TRUE,"총괄"}</definedName>
    <definedName name="DDDD_3" localSheetId="5" hidden="1">{#N/A,#N/A,TRUE,"총괄"}</definedName>
    <definedName name="DDDD_3" hidden="1">{#N/A,#N/A,TRUE,"총괄"}</definedName>
    <definedName name="DDDD_4" localSheetId="5" hidden="1">{#N/A,#N/A,TRUE,"총괄"}</definedName>
    <definedName name="DDDD_4" hidden="1">{#N/A,#N/A,TRUE,"총괄"}</definedName>
    <definedName name="DDDD_5" localSheetId="5" hidden="1">{#N/A,#N/A,TRUE,"총괄"}</definedName>
    <definedName name="DDDD_5" hidden="1">{#N/A,#N/A,TRUE,"총괄"}</definedName>
    <definedName name="ddddd" localSheetId="5" hidden="1">{#N/A,#N/A,TRUE,"Basic";#N/A,#N/A,TRUE,"EXT-TABLE";#N/A,#N/A,TRUE,"STEEL";#N/A,#N/A,TRUE,"INT-Table";#N/A,#N/A,TRUE,"STEEL";#N/A,#N/A,TRUE,"Door"}</definedName>
    <definedName name="ddddd" localSheetId="9" hidden="1">{#N/A,#N/A,TRUE,"Basic";#N/A,#N/A,TRUE,"EXT-TABLE";#N/A,#N/A,TRUE,"STEEL";#N/A,#N/A,TRUE,"INT-Table";#N/A,#N/A,TRUE,"STEEL";#N/A,#N/A,TRUE,"Door"}</definedName>
    <definedName name="ddddd" localSheetId="10" hidden="1">{#N/A,#N/A,TRUE,"Basic";#N/A,#N/A,TRUE,"EXT-TABLE";#N/A,#N/A,TRUE,"STEEL";#N/A,#N/A,TRUE,"INT-Table";#N/A,#N/A,TRUE,"STEEL";#N/A,#N/A,TRUE,"Door"}</definedName>
    <definedName name="ddddd" localSheetId="6" hidden="1">{#N/A,#N/A,TRUE,"Basic";#N/A,#N/A,TRUE,"EXT-TABLE";#N/A,#N/A,TRUE,"STEEL";#N/A,#N/A,TRUE,"INT-Table";#N/A,#N/A,TRUE,"STEEL";#N/A,#N/A,TRUE,"Door"}</definedName>
    <definedName name="DDDDD" localSheetId="3" hidden="1">{#N/A,#N/A,FALSE,"CCTV"}</definedName>
    <definedName name="ddddd" hidden="1">{#N/A,#N/A,TRUE,"Basic";#N/A,#N/A,TRUE,"EXT-TABLE";#N/A,#N/A,TRUE,"STEEL";#N/A,#N/A,TRUE,"INT-Table";#N/A,#N/A,TRUE,"STEEL";#N/A,#N/A,TRUE,"Door"}</definedName>
    <definedName name="DDDDD_1" localSheetId="5" hidden="1">{#N/A,#N/A,FALSE,"CCTV"}</definedName>
    <definedName name="DDDDD_1" hidden="1">{#N/A,#N/A,FALSE,"CCTV"}</definedName>
    <definedName name="DDDDD_2" localSheetId="5" hidden="1">{#N/A,#N/A,FALSE,"CCTV"}</definedName>
    <definedName name="DDDDD_2" hidden="1">{#N/A,#N/A,FALSE,"CCTV"}</definedName>
    <definedName name="DDDDD_3" localSheetId="5" hidden="1">{#N/A,#N/A,FALSE,"CCTV"}</definedName>
    <definedName name="DDDDD_3" hidden="1">{#N/A,#N/A,FALSE,"CCTV"}</definedName>
    <definedName name="DDDDD_4" localSheetId="5" hidden="1">{#N/A,#N/A,FALSE,"CCTV"}</definedName>
    <definedName name="DDDDD_4" hidden="1">{#N/A,#N/A,FALSE,"CCTV"}</definedName>
    <definedName name="DDDDD_5" localSheetId="5" hidden="1">{#N/A,#N/A,FALSE,"CCTV"}</definedName>
    <definedName name="DDDDD_5" hidden="1">{#N/A,#N/A,FALSE,"CCTV"}</definedName>
    <definedName name="ddddddd" localSheetId="5" hidden="1">{#N/A,#N/A,FALSE,"TABLE"}</definedName>
    <definedName name="ddddddd" hidden="1">{#N/A,#N/A,FALSE,"TABLE"}</definedName>
    <definedName name="DDDDDDDDDDD" localSheetId="5" hidden="1">{#N/A,#N/A,TRUE,"총괄"}</definedName>
    <definedName name="DDDDDDDDDDD" hidden="1">{#N/A,#N/A,TRUE,"총괄"}</definedName>
    <definedName name="DDDDDDDDDDD_1" localSheetId="5" hidden="1">{#N/A,#N/A,TRUE,"총괄"}</definedName>
    <definedName name="DDDDDDDDDDD_1" hidden="1">{#N/A,#N/A,TRUE,"총괄"}</definedName>
    <definedName name="DDDDDDDDDDD_2" localSheetId="5" hidden="1">{#N/A,#N/A,TRUE,"총괄"}</definedName>
    <definedName name="DDDDDDDDDDD_2" hidden="1">{#N/A,#N/A,TRUE,"총괄"}</definedName>
    <definedName name="DDDDDDDDDDD_3" localSheetId="5" hidden="1">{#N/A,#N/A,TRUE,"총괄"}</definedName>
    <definedName name="DDDDDDDDDDD_3" hidden="1">{#N/A,#N/A,TRUE,"총괄"}</definedName>
    <definedName name="DDDDDDDDDDD_4" localSheetId="5" hidden="1">{#N/A,#N/A,TRUE,"총괄"}</definedName>
    <definedName name="DDDDDDDDDDD_4" hidden="1">{#N/A,#N/A,TRUE,"총괄"}</definedName>
    <definedName name="DDDDDDDDDDD_5" localSheetId="5" hidden="1">{#N/A,#N/A,TRUE,"총괄"}</definedName>
    <definedName name="DDDDDDDDDDD_5" hidden="1">{#N/A,#N/A,TRUE,"총괄"}</definedName>
    <definedName name="dddddddddddddd" localSheetId="5" hidden="1">{#N/A,#N/A,TRUE,"Basic";#N/A,#N/A,TRUE,"EXT-TABLE";#N/A,#N/A,TRUE,"STEEL";#N/A,#N/A,TRUE,"INT-Table";#N/A,#N/A,TRUE,"STEEL";#N/A,#N/A,TRUE,"Door"}</definedName>
    <definedName name="dddddddddddddd" localSheetId="9" hidden="1">{#N/A,#N/A,TRUE,"Basic";#N/A,#N/A,TRUE,"EXT-TABLE";#N/A,#N/A,TRUE,"STEEL";#N/A,#N/A,TRUE,"INT-Table";#N/A,#N/A,TRUE,"STEEL";#N/A,#N/A,TRUE,"Door"}</definedName>
    <definedName name="dddddddddddddd" localSheetId="10" hidden="1">{#N/A,#N/A,TRUE,"Basic";#N/A,#N/A,TRUE,"EXT-TABLE";#N/A,#N/A,TRUE,"STEEL";#N/A,#N/A,TRUE,"INT-Table";#N/A,#N/A,TRUE,"STEEL";#N/A,#N/A,TRUE,"Door"}</definedName>
    <definedName name="dddddddddddddd" localSheetId="6" hidden="1">{#N/A,#N/A,TRUE,"Basic";#N/A,#N/A,TRUE,"EXT-TABLE";#N/A,#N/A,TRUE,"STEEL";#N/A,#N/A,TRUE,"INT-Table";#N/A,#N/A,TRUE,"STEEL";#N/A,#N/A,TRUE,"Door"}</definedName>
    <definedName name="dddddddddddddd" localSheetId="3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_1" localSheetId="5" hidden="1">{#N/A,#N/A,TRUE,"Basic";#N/A,#N/A,TRUE,"EXT-TABLE";#N/A,#N/A,TRUE,"STEEL";#N/A,#N/A,TRUE,"INT-Table";#N/A,#N/A,TRUE,"STEEL";#N/A,#N/A,TRUE,"Door"}</definedName>
    <definedName name="dddddddddddddd_1" hidden="1">{#N/A,#N/A,TRUE,"Basic";#N/A,#N/A,TRUE,"EXT-TABLE";#N/A,#N/A,TRUE,"STEEL";#N/A,#N/A,TRUE,"INT-Table";#N/A,#N/A,TRUE,"STEEL";#N/A,#N/A,TRUE,"Door"}</definedName>
    <definedName name="dddddddddddddd_2" localSheetId="5" hidden="1">{#N/A,#N/A,TRUE,"Basic";#N/A,#N/A,TRUE,"EXT-TABLE";#N/A,#N/A,TRUE,"STEEL";#N/A,#N/A,TRUE,"INT-Table";#N/A,#N/A,TRUE,"STEEL";#N/A,#N/A,TRUE,"Door"}</definedName>
    <definedName name="dddddddddddddd_2" hidden="1">{#N/A,#N/A,TRUE,"Basic";#N/A,#N/A,TRUE,"EXT-TABLE";#N/A,#N/A,TRUE,"STEEL";#N/A,#N/A,TRUE,"INT-Table";#N/A,#N/A,TRUE,"STEEL";#N/A,#N/A,TRUE,"Door"}</definedName>
    <definedName name="dddddddddddddd_3" localSheetId="5" hidden="1">{#N/A,#N/A,TRUE,"Basic";#N/A,#N/A,TRUE,"EXT-TABLE";#N/A,#N/A,TRUE,"STEEL";#N/A,#N/A,TRUE,"INT-Table";#N/A,#N/A,TRUE,"STEEL";#N/A,#N/A,TRUE,"Door"}</definedName>
    <definedName name="dddddddddddddd_3" hidden="1">{#N/A,#N/A,TRUE,"Basic";#N/A,#N/A,TRUE,"EXT-TABLE";#N/A,#N/A,TRUE,"STEEL";#N/A,#N/A,TRUE,"INT-Table";#N/A,#N/A,TRUE,"STEEL";#N/A,#N/A,TRUE,"Door"}</definedName>
    <definedName name="dddddddddddddd_4" localSheetId="5" hidden="1">{#N/A,#N/A,TRUE,"Basic";#N/A,#N/A,TRUE,"EXT-TABLE";#N/A,#N/A,TRUE,"STEEL";#N/A,#N/A,TRUE,"INT-Table";#N/A,#N/A,TRUE,"STEEL";#N/A,#N/A,TRUE,"Door"}</definedName>
    <definedName name="dddddddddddddd_4" hidden="1">{#N/A,#N/A,TRUE,"Basic";#N/A,#N/A,TRUE,"EXT-TABLE";#N/A,#N/A,TRUE,"STEEL";#N/A,#N/A,TRUE,"INT-Table";#N/A,#N/A,TRUE,"STEEL";#N/A,#N/A,TRUE,"Door"}</definedName>
    <definedName name="dddddddddddddd_5" localSheetId="5" hidden="1">{#N/A,#N/A,TRUE,"Basic";#N/A,#N/A,TRUE,"EXT-TABLE";#N/A,#N/A,TRUE,"STEEL";#N/A,#N/A,TRUE,"INT-Table";#N/A,#N/A,TRUE,"STEEL";#N/A,#N/A,TRUE,"Door"}</definedName>
    <definedName name="dddddddddddddd_5" hidden="1">{#N/A,#N/A,TRUE,"Basic";#N/A,#N/A,TRUE,"EXT-TABLE";#N/A,#N/A,TRUE,"STEEL";#N/A,#N/A,TRUE,"INT-Table";#N/A,#N/A,TRUE,"STEEL";#N/A,#N/A,TRUE,"Door"}</definedName>
    <definedName name="dddf" localSheetId="5" hidden="1">{"'장비'!$A$3:$M$12"}</definedName>
    <definedName name="dddf" hidden="1">{"'장비'!$A$3:$M$12"}</definedName>
    <definedName name="dddf_1" localSheetId="5" hidden="1">{"'장비'!$A$3:$M$12"}</definedName>
    <definedName name="dddf_1" hidden="1">{"'장비'!$A$3:$M$12"}</definedName>
    <definedName name="dddf_2" localSheetId="5" hidden="1">{"'장비'!$A$3:$M$12"}</definedName>
    <definedName name="dddf_2" hidden="1">{"'장비'!$A$3:$M$12"}</definedName>
    <definedName name="dddf_3" localSheetId="5" hidden="1">{"'장비'!$A$3:$M$12"}</definedName>
    <definedName name="dddf_3" hidden="1">{"'장비'!$A$3:$M$12"}</definedName>
    <definedName name="dddf_4" localSheetId="5" hidden="1">{"'장비'!$A$3:$M$12"}</definedName>
    <definedName name="dddf_4" hidden="1">{"'장비'!$A$3:$M$12"}</definedName>
    <definedName name="dddf_5" localSheetId="5" hidden="1">{"'장비'!$A$3:$M$12"}</definedName>
    <definedName name="dddf_5" hidden="1">{"'장비'!$A$3:$M$12"}</definedName>
    <definedName name="ddf" hidden="1">#REF!</definedName>
    <definedName name="DDFD" localSheetId="5" hidden="1">{#N/A,#N/A,FALSE,"CCTV"}</definedName>
    <definedName name="DDFD" localSheetId="9" hidden="1">{#N/A,#N/A,FALSE,"CCTV"}</definedName>
    <definedName name="DDFD" localSheetId="10" hidden="1">{#N/A,#N/A,FALSE,"CCTV"}</definedName>
    <definedName name="DDFD" localSheetId="6" hidden="1">{#N/A,#N/A,FALSE,"CCTV"}</definedName>
    <definedName name="DDFD" localSheetId="3" hidden="1">{#N/A,#N/A,FALSE,"CCTV"}</definedName>
    <definedName name="DDFD" hidden="1">{#N/A,#N/A,FALSE,"CCTV"}</definedName>
    <definedName name="DDFD_1" localSheetId="5" hidden="1">{#N/A,#N/A,FALSE,"CCTV"}</definedName>
    <definedName name="DDFD_1" hidden="1">{#N/A,#N/A,FALSE,"CCTV"}</definedName>
    <definedName name="DDFD_2" localSheetId="5" hidden="1">{#N/A,#N/A,FALSE,"CCTV"}</definedName>
    <definedName name="DDFD_2" hidden="1">{#N/A,#N/A,FALSE,"CCTV"}</definedName>
    <definedName name="DDFD_3" localSheetId="5" hidden="1">{#N/A,#N/A,FALSE,"CCTV"}</definedName>
    <definedName name="DDFD_3" hidden="1">{#N/A,#N/A,FALSE,"CCTV"}</definedName>
    <definedName name="DDFD_4" localSheetId="5" hidden="1">{#N/A,#N/A,FALSE,"CCTV"}</definedName>
    <definedName name="DDFD_4" hidden="1">{#N/A,#N/A,FALSE,"CCTV"}</definedName>
    <definedName name="DDFD_5" localSheetId="5" hidden="1">{#N/A,#N/A,FALSE,"CCTV"}</definedName>
    <definedName name="DDFD_5" hidden="1">{#N/A,#N/A,FALSE,"CCTV"}</definedName>
    <definedName name="DEC_19" localSheetId="5" hidden="1">{#N/A,#N/A,TRUE,"arnitower";#N/A,#N/A,TRUE,"arnigarage "}</definedName>
    <definedName name="DEC_19" hidden="1">{#N/A,#N/A,TRUE,"arnitower";#N/A,#N/A,TRUE,"arnigarage "}</definedName>
    <definedName name="DEC_19_1" localSheetId="5" hidden="1">{#N/A,#N/A,TRUE,"arnitower";#N/A,#N/A,TRUE,"arnigarage "}</definedName>
    <definedName name="DEC_19_1" hidden="1">{#N/A,#N/A,TRUE,"arnitower";#N/A,#N/A,TRUE,"arnigarage "}</definedName>
    <definedName name="DEC_19_2" localSheetId="5" hidden="1">{#N/A,#N/A,TRUE,"arnitower";#N/A,#N/A,TRUE,"arnigarage "}</definedName>
    <definedName name="DEC_19_2" hidden="1">{#N/A,#N/A,TRUE,"arnitower";#N/A,#N/A,TRUE,"arnigarage "}</definedName>
    <definedName name="DEC_19_3" localSheetId="5" hidden="1">{#N/A,#N/A,TRUE,"arnitower";#N/A,#N/A,TRUE,"arnigarage "}</definedName>
    <definedName name="DEC_19_3" hidden="1">{#N/A,#N/A,TRUE,"arnitower";#N/A,#N/A,TRUE,"arnigarage "}</definedName>
    <definedName name="DEC_19_4" localSheetId="5" hidden="1">{#N/A,#N/A,TRUE,"arnitower";#N/A,#N/A,TRUE,"arnigarage "}</definedName>
    <definedName name="DEC_19_4" hidden="1">{#N/A,#N/A,TRUE,"arnitower";#N/A,#N/A,TRUE,"arnigarage "}</definedName>
    <definedName name="DEC_19_5" localSheetId="5" hidden="1">{#N/A,#N/A,TRUE,"arnitower";#N/A,#N/A,TRUE,"arnigarage "}</definedName>
    <definedName name="DEC_19_5" hidden="1">{#N/A,#N/A,TRUE,"arnitower";#N/A,#N/A,TRUE,"arnigarage "}</definedName>
    <definedName name="dec_25" localSheetId="5" hidden="1">{#N/A,#N/A,TRUE,"arnitower";#N/A,#N/A,TRUE,"arnigarage "}</definedName>
    <definedName name="dec_25" hidden="1">{#N/A,#N/A,TRUE,"arnitower";#N/A,#N/A,TRUE,"arnigarage "}</definedName>
    <definedName name="dec_25_1" localSheetId="5" hidden="1">{#N/A,#N/A,TRUE,"arnitower";#N/A,#N/A,TRUE,"arnigarage "}</definedName>
    <definedName name="dec_25_1" hidden="1">{#N/A,#N/A,TRUE,"arnitower";#N/A,#N/A,TRUE,"arnigarage "}</definedName>
    <definedName name="dec_25_2" localSheetId="5" hidden="1">{#N/A,#N/A,TRUE,"arnitower";#N/A,#N/A,TRUE,"arnigarage "}</definedName>
    <definedName name="dec_25_2" hidden="1">{#N/A,#N/A,TRUE,"arnitower";#N/A,#N/A,TRUE,"arnigarage "}</definedName>
    <definedName name="dec_25_3" localSheetId="5" hidden="1">{#N/A,#N/A,TRUE,"arnitower";#N/A,#N/A,TRUE,"arnigarage "}</definedName>
    <definedName name="dec_25_3" hidden="1">{#N/A,#N/A,TRUE,"arnitower";#N/A,#N/A,TRUE,"arnigarage "}</definedName>
    <definedName name="dec_25_4" localSheetId="5" hidden="1">{#N/A,#N/A,TRUE,"arnitower";#N/A,#N/A,TRUE,"arnigarage "}</definedName>
    <definedName name="dec_25_4" hidden="1">{#N/A,#N/A,TRUE,"arnitower";#N/A,#N/A,TRUE,"arnigarage "}</definedName>
    <definedName name="dec_25_5" localSheetId="5" hidden="1">{#N/A,#N/A,TRUE,"arnitower";#N/A,#N/A,TRUE,"arnigarage "}</definedName>
    <definedName name="dec_25_5" hidden="1">{#N/A,#N/A,TRUE,"arnitower";#N/A,#N/A,TRUE,"arnigarage "}</definedName>
    <definedName name="df_1" localSheetId="5" hidden="1">{#N/A,#N/A,FALSE,"지침";#N/A,#N/A,FALSE,"환경분석";#N/A,#N/A,FALSE,"Sheet16"}</definedName>
    <definedName name="df_1" hidden="1">{#N/A,#N/A,FALSE,"지침";#N/A,#N/A,FALSE,"환경분석";#N/A,#N/A,FALSE,"Sheet16"}</definedName>
    <definedName name="df_2" localSheetId="5" hidden="1">{#N/A,#N/A,FALSE,"지침";#N/A,#N/A,FALSE,"환경분석";#N/A,#N/A,FALSE,"Sheet16"}</definedName>
    <definedName name="df_2" hidden="1">{#N/A,#N/A,FALSE,"지침";#N/A,#N/A,FALSE,"환경분석";#N/A,#N/A,FALSE,"Sheet16"}</definedName>
    <definedName name="df_3" localSheetId="5" hidden="1">{#N/A,#N/A,FALSE,"지침";#N/A,#N/A,FALSE,"환경분석";#N/A,#N/A,FALSE,"Sheet16"}</definedName>
    <definedName name="df_3" hidden="1">{#N/A,#N/A,FALSE,"지침";#N/A,#N/A,FALSE,"환경분석";#N/A,#N/A,FALSE,"Sheet16"}</definedName>
    <definedName name="df_4" localSheetId="5" hidden="1">{#N/A,#N/A,FALSE,"지침";#N/A,#N/A,FALSE,"환경분석";#N/A,#N/A,FALSE,"Sheet16"}</definedName>
    <definedName name="df_4" hidden="1">{#N/A,#N/A,FALSE,"지침";#N/A,#N/A,FALSE,"환경분석";#N/A,#N/A,FALSE,"Sheet16"}</definedName>
    <definedName name="df_5" localSheetId="5" hidden="1">{#N/A,#N/A,FALSE,"지침";#N/A,#N/A,FALSE,"환경분석";#N/A,#N/A,FALSE,"Sheet16"}</definedName>
    <definedName name="df_5" hidden="1">{#N/A,#N/A,FALSE,"지침";#N/A,#N/A,FALSE,"환경분석";#N/A,#N/A,FALSE,"Sheet16"}</definedName>
    <definedName name="dfa" localSheetId="5" hidden="1">{#N/A,#N/A,FALSE,"CCTV"}</definedName>
    <definedName name="dfa" hidden="1">{#N/A,#N/A,FALSE,"CCTV"}</definedName>
    <definedName name="dfa_1" localSheetId="5" hidden="1">{#N/A,#N/A,FALSE,"CCTV"}</definedName>
    <definedName name="dfa_1" hidden="1">{#N/A,#N/A,FALSE,"CCTV"}</definedName>
    <definedName name="dfa_2" localSheetId="5" hidden="1">{#N/A,#N/A,FALSE,"CCTV"}</definedName>
    <definedName name="dfa_2" hidden="1">{#N/A,#N/A,FALSE,"CCTV"}</definedName>
    <definedName name="dfa_3" localSheetId="5" hidden="1">{#N/A,#N/A,FALSE,"CCTV"}</definedName>
    <definedName name="dfa_3" hidden="1">{#N/A,#N/A,FALSE,"CCTV"}</definedName>
    <definedName name="dfa_4" localSheetId="5" hidden="1">{#N/A,#N/A,FALSE,"CCTV"}</definedName>
    <definedName name="dfa_4" hidden="1">{#N/A,#N/A,FALSE,"CCTV"}</definedName>
    <definedName name="dfa_5" localSheetId="5" hidden="1">{#N/A,#N/A,FALSE,"CCTV"}</definedName>
    <definedName name="dfa_5" hidden="1">{#N/A,#N/A,FALSE,"CCTV"}</definedName>
    <definedName name="dfaf" localSheetId="5" hidden="1">{"'장비'!$A$3:$M$12"}</definedName>
    <definedName name="dfaf" localSheetId="9" hidden="1">{"'장비'!$A$3:$M$12"}</definedName>
    <definedName name="dfaf" localSheetId="10" hidden="1">{"'장비'!$A$3:$M$12"}</definedName>
    <definedName name="dfaf" localSheetId="6" hidden="1">{"'장비'!$A$3:$M$12"}</definedName>
    <definedName name="dfaf" localSheetId="3" hidden="1">{"'장비'!$A$3:$M$12"}</definedName>
    <definedName name="dfaf" hidden="1">{"'장비'!$A$3:$M$12"}</definedName>
    <definedName name="dfaf_1" localSheetId="5" hidden="1">{"'장비'!$A$3:$M$12"}</definedName>
    <definedName name="dfaf_1" localSheetId="9" hidden="1">{"'장비'!$A$3:$M$12"}</definedName>
    <definedName name="dfaf_1" localSheetId="10" hidden="1">{"'장비'!$A$3:$M$12"}</definedName>
    <definedName name="dfaf_1" localSheetId="6" hidden="1">{"'장비'!$A$3:$M$12"}</definedName>
    <definedName name="dfaf_1" localSheetId="3" hidden="1">{"'장비'!$A$3:$M$12"}</definedName>
    <definedName name="dfaf_1" hidden="1">{"'장비'!$A$3:$M$12"}</definedName>
    <definedName name="dfaf_2" localSheetId="5" hidden="1">{"'장비'!$A$3:$M$12"}</definedName>
    <definedName name="dfaf_2" hidden="1">{"'장비'!$A$3:$M$12"}</definedName>
    <definedName name="dfaf_3" localSheetId="5" hidden="1">{"'장비'!$A$3:$M$12"}</definedName>
    <definedName name="dfaf_3" hidden="1">{"'장비'!$A$3:$M$12"}</definedName>
    <definedName name="dfaf_4" localSheetId="5" hidden="1">{"'장비'!$A$3:$M$12"}</definedName>
    <definedName name="dfaf_4" hidden="1">{"'장비'!$A$3:$M$12"}</definedName>
    <definedName name="dfaf_5" localSheetId="5" hidden="1">{"'장비'!$A$3:$M$12"}</definedName>
    <definedName name="dfaf_5" hidden="1">{"'장비'!$A$3:$M$12"}</definedName>
    <definedName name="dfagfee" localSheetId="5" hidden="1">{#N/A,#N/A,FALSE,"CCTV"}</definedName>
    <definedName name="dfagfee" hidden="1">{#N/A,#N/A,FALSE,"CCTV"}</definedName>
    <definedName name="dfagfee_1" localSheetId="5" hidden="1">{#N/A,#N/A,FALSE,"CCTV"}</definedName>
    <definedName name="dfagfee_1" hidden="1">{#N/A,#N/A,FALSE,"CCTV"}</definedName>
    <definedName name="dfagfee_2" localSheetId="5" hidden="1">{#N/A,#N/A,FALSE,"CCTV"}</definedName>
    <definedName name="dfagfee_2" hidden="1">{#N/A,#N/A,FALSE,"CCTV"}</definedName>
    <definedName name="dfagfee_3" localSheetId="5" hidden="1">{#N/A,#N/A,FALSE,"CCTV"}</definedName>
    <definedName name="dfagfee_3" hidden="1">{#N/A,#N/A,FALSE,"CCTV"}</definedName>
    <definedName name="dfagfee_4" localSheetId="5" hidden="1">{#N/A,#N/A,FALSE,"CCTV"}</definedName>
    <definedName name="dfagfee_4" hidden="1">{#N/A,#N/A,FALSE,"CCTV"}</definedName>
    <definedName name="dfagfee_5" localSheetId="5" hidden="1">{#N/A,#N/A,FALSE,"CCTV"}</definedName>
    <definedName name="dfagfee_5" hidden="1">{#N/A,#N/A,FALSE,"CCTV"}</definedName>
    <definedName name="dfas" hidden="1">#REF!</definedName>
    <definedName name="dfd" localSheetId="5" hidden="1">{"LKD",#N/A,FALSE,"표지"}</definedName>
    <definedName name="dfd" hidden="1">{"LKD",#N/A,FALSE,"표지"}</definedName>
    <definedName name="dfd_1" localSheetId="5" hidden="1">{"LKD",#N/A,FALSE,"표지"}</definedName>
    <definedName name="dfd_1" hidden="1">{"LKD",#N/A,FALSE,"표지"}</definedName>
    <definedName name="dfd_2" localSheetId="5" hidden="1">{"LKD",#N/A,FALSE,"표지"}</definedName>
    <definedName name="dfd_2" hidden="1">{"LKD",#N/A,FALSE,"표지"}</definedName>
    <definedName name="dfd_3" localSheetId="5" hidden="1">{"LKD",#N/A,FALSE,"표지"}</definedName>
    <definedName name="dfd_3" hidden="1">{"LKD",#N/A,FALSE,"표지"}</definedName>
    <definedName name="dfd_4" localSheetId="5" hidden="1">{"LKD",#N/A,FALSE,"표지"}</definedName>
    <definedName name="dfd_4" hidden="1">{"LKD",#N/A,FALSE,"표지"}</definedName>
    <definedName name="dfd_5" localSheetId="5" hidden="1">{"LKD",#N/A,FALSE,"표지"}</definedName>
    <definedName name="dfd_5" hidden="1">{"LKD",#N/A,FALSE,"표지"}</definedName>
    <definedName name="dfdf_1" localSheetId="5" hidden="1">{"'장비'!$A$3:$M$12"}</definedName>
    <definedName name="dfdf_1" hidden="1">{"'장비'!$A$3:$M$12"}</definedName>
    <definedName name="dfdf_2" localSheetId="5" hidden="1">{"'장비'!$A$3:$M$12"}</definedName>
    <definedName name="dfdf_2" hidden="1">{"'장비'!$A$3:$M$12"}</definedName>
    <definedName name="dfdf_3" localSheetId="5" hidden="1">{"'장비'!$A$3:$M$12"}</definedName>
    <definedName name="dfdf_3" hidden="1">{"'장비'!$A$3:$M$12"}</definedName>
    <definedName name="dfdf_4" localSheetId="5" hidden="1">{"'장비'!$A$3:$M$12"}</definedName>
    <definedName name="dfdf_4" hidden="1">{"'장비'!$A$3:$M$12"}</definedName>
    <definedName name="dfdf_5" localSheetId="5" hidden="1">{"'장비'!$A$3:$M$12"}</definedName>
    <definedName name="dfdf_5" hidden="1">{"'장비'!$A$3:$M$12"}</definedName>
    <definedName name="dfs" localSheetId="5" hidden="1">{#N/A,#N/A,TRUE,"arnitower";#N/A,#N/A,TRUE,"arnigarage "}</definedName>
    <definedName name="dfs" hidden="1">{#N/A,#N/A,TRUE,"arnitower";#N/A,#N/A,TRUE,"arnigarage "}</definedName>
    <definedName name="dgagd" localSheetId="5" hidden="1">{#N/A,#N/A,TRUE,"Basic";#N/A,#N/A,TRUE,"EXT-TABLE";#N/A,#N/A,TRUE,"STEEL";#N/A,#N/A,TRUE,"INT-Table";#N/A,#N/A,TRUE,"STEEL";#N/A,#N/A,TRUE,"Door"}</definedName>
    <definedName name="dgagd" localSheetId="9" hidden="1">{#N/A,#N/A,TRUE,"Basic";#N/A,#N/A,TRUE,"EXT-TABLE";#N/A,#N/A,TRUE,"STEEL";#N/A,#N/A,TRUE,"INT-Table";#N/A,#N/A,TRUE,"STEEL";#N/A,#N/A,TRUE,"Door"}</definedName>
    <definedName name="dgagd" localSheetId="10" hidden="1">{#N/A,#N/A,TRUE,"Basic";#N/A,#N/A,TRUE,"EXT-TABLE";#N/A,#N/A,TRUE,"STEEL";#N/A,#N/A,TRUE,"INT-Table";#N/A,#N/A,TRUE,"STEEL";#N/A,#N/A,TRUE,"Door"}</definedName>
    <definedName name="dgagd" localSheetId="6" hidden="1">{#N/A,#N/A,TRUE,"Basic";#N/A,#N/A,TRUE,"EXT-TABLE";#N/A,#N/A,TRUE,"STEEL";#N/A,#N/A,TRUE,"INT-Table";#N/A,#N/A,TRUE,"STEEL";#N/A,#N/A,TRUE,"Door"}</definedName>
    <definedName name="dgagd" localSheetId="3" hidden="1">{#N/A,#N/A,TRUE,"Basic";#N/A,#N/A,TRUE,"EXT-TABLE";#N/A,#N/A,TRUE,"STEEL";#N/A,#N/A,TRUE,"INT-Table";#N/A,#N/A,TRUE,"STEEL";#N/A,#N/A,TRUE,"Door"}</definedName>
    <definedName name="dgagd" hidden="1">{#N/A,#N/A,TRUE,"Basic";#N/A,#N/A,TRUE,"EXT-TABLE";#N/A,#N/A,TRUE,"STEEL";#N/A,#N/A,TRUE,"INT-Table";#N/A,#N/A,TRUE,"STEEL";#N/A,#N/A,TRUE,"Door"}</definedName>
    <definedName name="dgagd_1" localSheetId="5" hidden="1">{#N/A,#N/A,TRUE,"Basic";#N/A,#N/A,TRUE,"EXT-TABLE";#N/A,#N/A,TRUE,"STEEL";#N/A,#N/A,TRUE,"INT-Table";#N/A,#N/A,TRUE,"STEEL";#N/A,#N/A,TRUE,"Door"}</definedName>
    <definedName name="dgagd_1" hidden="1">{#N/A,#N/A,TRUE,"Basic";#N/A,#N/A,TRUE,"EXT-TABLE";#N/A,#N/A,TRUE,"STEEL";#N/A,#N/A,TRUE,"INT-Table";#N/A,#N/A,TRUE,"STEEL";#N/A,#N/A,TRUE,"Door"}</definedName>
    <definedName name="dgagd_2" localSheetId="5" hidden="1">{#N/A,#N/A,TRUE,"Basic";#N/A,#N/A,TRUE,"EXT-TABLE";#N/A,#N/A,TRUE,"STEEL";#N/A,#N/A,TRUE,"INT-Table";#N/A,#N/A,TRUE,"STEEL";#N/A,#N/A,TRUE,"Door"}</definedName>
    <definedName name="dgagd_2" hidden="1">{#N/A,#N/A,TRUE,"Basic";#N/A,#N/A,TRUE,"EXT-TABLE";#N/A,#N/A,TRUE,"STEEL";#N/A,#N/A,TRUE,"INT-Table";#N/A,#N/A,TRUE,"STEEL";#N/A,#N/A,TRUE,"Door"}</definedName>
    <definedName name="dgagd_3" localSheetId="5" hidden="1">{#N/A,#N/A,TRUE,"Basic";#N/A,#N/A,TRUE,"EXT-TABLE";#N/A,#N/A,TRUE,"STEEL";#N/A,#N/A,TRUE,"INT-Table";#N/A,#N/A,TRUE,"STEEL";#N/A,#N/A,TRUE,"Door"}</definedName>
    <definedName name="dgagd_3" hidden="1">{#N/A,#N/A,TRUE,"Basic";#N/A,#N/A,TRUE,"EXT-TABLE";#N/A,#N/A,TRUE,"STEEL";#N/A,#N/A,TRUE,"INT-Table";#N/A,#N/A,TRUE,"STEEL";#N/A,#N/A,TRUE,"Door"}</definedName>
    <definedName name="dgagd_4" localSheetId="5" hidden="1">{#N/A,#N/A,TRUE,"Basic";#N/A,#N/A,TRUE,"EXT-TABLE";#N/A,#N/A,TRUE,"STEEL";#N/A,#N/A,TRUE,"INT-Table";#N/A,#N/A,TRUE,"STEEL";#N/A,#N/A,TRUE,"Door"}</definedName>
    <definedName name="dgagd_4" hidden="1">{#N/A,#N/A,TRUE,"Basic";#N/A,#N/A,TRUE,"EXT-TABLE";#N/A,#N/A,TRUE,"STEEL";#N/A,#N/A,TRUE,"INT-Table";#N/A,#N/A,TRUE,"STEEL";#N/A,#N/A,TRUE,"Door"}</definedName>
    <definedName name="dgagd_5" localSheetId="5" hidden="1">{#N/A,#N/A,TRUE,"Basic";#N/A,#N/A,TRUE,"EXT-TABLE";#N/A,#N/A,TRUE,"STEEL";#N/A,#N/A,TRUE,"INT-Table";#N/A,#N/A,TRUE,"STEEL";#N/A,#N/A,TRUE,"Door"}</definedName>
    <definedName name="dgagd_5" hidden="1">{#N/A,#N/A,TRUE,"Basic";#N/A,#N/A,TRUE,"EXT-TABLE";#N/A,#N/A,TRUE,"STEEL";#N/A,#N/A,TRUE,"INT-Table";#N/A,#N/A,TRUE,"STEEL";#N/A,#N/A,TRUE,"Door"}</definedName>
    <definedName name="DG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gjgj" localSheetId="5" hidden="1">{#N/A,#N/A,FALSE,"CCTV"}</definedName>
    <definedName name="dgfgjgj" localSheetId="9" hidden="1">{#N/A,#N/A,FALSE,"CCTV"}</definedName>
    <definedName name="dgfgjgj" localSheetId="10" hidden="1">{#N/A,#N/A,FALSE,"CCTV"}</definedName>
    <definedName name="dgfgjgj" localSheetId="6" hidden="1">{#N/A,#N/A,FALSE,"CCTV"}</definedName>
    <definedName name="dgfgjgj" localSheetId="3" hidden="1">{#N/A,#N/A,FALSE,"CCTV"}</definedName>
    <definedName name="dgfgjgj" hidden="1">{#N/A,#N/A,FALSE,"CCTV"}</definedName>
    <definedName name="dgfgjgj_1" localSheetId="5" hidden="1">{#N/A,#N/A,FALSE,"CCTV"}</definedName>
    <definedName name="dgfgjgj_1" hidden="1">{#N/A,#N/A,FALSE,"CCTV"}</definedName>
    <definedName name="dgfgjgj_2" localSheetId="5" hidden="1">{#N/A,#N/A,FALSE,"CCTV"}</definedName>
    <definedName name="dgfgjgj_2" hidden="1">{#N/A,#N/A,FALSE,"CCTV"}</definedName>
    <definedName name="dgfgjgj_3" localSheetId="5" hidden="1">{#N/A,#N/A,FALSE,"CCTV"}</definedName>
    <definedName name="dgfgjgj_3" hidden="1">{#N/A,#N/A,FALSE,"CCTV"}</definedName>
    <definedName name="dgfgjgj_4" localSheetId="5" hidden="1">{#N/A,#N/A,FALSE,"CCTV"}</definedName>
    <definedName name="dgfgjgj_4" hidden="1">{#N/A,#N/A,FALSE,"CCTV"}</definedName>
    <definedName name="dgfgjgj_5" localSheetId="5" hidden="1">{#N/A,#N/A,FALSE,"CCTV"}</definedName>
    <definedName name="dgfgjgj_5" hidden="1">{#N/A,#N/A,FALSE,"CCTV"}</definedName>
    <definedName name="DIGN" localSheetId="5" hidden="1">{#N/A,#N/A,TRUE,"Basic";#N/A,#N/A,TRUE,"EXT-TABLE";#N/A,#N/A,TRUE,"STEEL";#N/A,#N/A,TRUE,"INT-Table";#N/A,#N/A,TRUE,"STEEL";#N/A,#N/A,TRUE,"Door"}</definedName>
    <definedName name="DIGN" localSheetId="9" hidden="1">{#N/A,#N/A,TRUE,"Basic";#N/A,#N/A,TRUE,"EXT-TABLE";#N/A,#N/A,TRUE,"STEEL";#N/A,#N/A,TRUE,"INT-Table";#N/A,#N/A,TRUE,"STEEL";#N/A,#N/A,TRUE,"Door"}</definedName>
    <definedName name="DIGN" localSheetId="10" hidden="1">{#N/A,#N/A,TRUE,"Basic";#N/A,#N/A,TRUE,"EXT-TABLE";#N/A,#N/A,TRUE,"STEEL";#N/A,#N/A,TRUE,"INT-Table";#N/A,#N/A,TRUE,"STEEL";#N/A,#N/A,TRUE,"Door"}</definedName>
    <definedName name="DIGN" localSheetId="6" hidden="1">{#N/A,#N/A,TRUE,"Basic";#N/A,#N/A,TRUE,"EXT-TABLE";#N/A,#N/A,TRUE,"STEEL";#N/A,#N/A,TRUE,"INT-Table";#N/A,#N/A,TRUE,"STEEL";#N/A,#N/A,TRUE,"Door"}</definedName>
    <definedName name="DIGN" localSheetId="3" hidden="1">{#N/A,#N/A,TRUE,"Basic";#N/A,#N/A,TRUE,"EXT-TABLE";#N/A,#N/A,TRUE,"STEEL";#N/A,#N/A,TRUE,"INT-Table";#N/A,#N/A,TRUE,"STEEL";#N/A,#N/A,TRUE,"Door"}</definedName>
    <definedName name="DIGN" hidden="1">{#N/A,#N/A,TRUE,"Basic";#N/A,#N/A,TRUE,"EXT-TABLE";#N/A,#N/A,TRUE,"STEEL";#N/A,#N/A,TRUE,"INT-Table";#N/A,#N/A,TRUE,"STEEL";#N/A,#N/A,TRUE,"Door"}</definedName>
    <definedName name="DIGN_1" localSheetId="5" hidden="1">{#N/A,#N/A,TRUE,"Basic";#N/A,#N/A,TRUE,"EXT-TABLE";#N/A,#N/A,TRUE,"STEEL";#N/A,#N/A,TRUE,"INT-Table";#N/A,#N/A,TRUE,"STEEL";#N/A,#N/A,TRUE,"Door"}</definedName>
    <definedName name="DIGN_1" hidden="1">{#N/A,#N/A,TRUE,"Basic";#N/A,#N/A,TRUE,"EXT-TABLE";#N/A,#N/A,TRUE,"STEEL";#N/A,#N/A,TRUE,"INT-Table";#N/A,#N/A,TRUE,"STEEL";#N/A,#N/A,TRUE,"Door"}</definedName>
    <definedName name="DIGN_2" localSheetId="5" hidden="1">{#N/A,#N/A,TRUE,"Basic";#N/A,#N/A,TRUE,"EXT-TABLE";#N/A,#N/A,TRUE,"STEEL";#N/A,#N/A,TRUE,"INT-Table";#N/A,#N/A,TRUE,"STEEL";#N/A,#N/A,TRUE,"Door"}</definedName>
    <definedName name="DIGN_2" hidden="1">{#N/A,#N/A,TRUE,"Basic";#N/A,#N/A,TRUE,"EXT-TABLE";#N/A,#N/A,TRUE,"STEEL";#N/A,#N/A,TRUE,"INT-Table";#N/A,#N/A,TRUE,"STEEL";#N/A,#N/A,TRUE,"Door"}</definedName>
    <definedName name="DIGN_3" localSheetId="5" hidden="1">{#N/A,#N/A,TRUE,"Basic";#N/A,#N/A,TRUE,"EXT-TABLE";#N/A,#N/A,TRUE,"STEEL";#N/A,#N/A,TRUE,"INT-Table";#N/A,#N/A,TRUE,"STEEL";#N/A,#N/A,TRUE,"Door"}</definedName>
    <definedName name="DIGN_3" hidden="1">{#N/A,#N/A,TRUE,"Basic";#N/A,#N/A,TRUE,"EXT-TABLE";#N/A,#N/A,TRUE,"STEEL";#N/A,#N/A,TRUE,"INT-Table";#N/A,#N/A,TRUE,"STEEL";#N/A,#N/A,TRUE,"Door"}</definedName>
    <definedName name="DIGN_4" localSheetId="5" hidden="1">{#N/A,#N/A,TRUE,"Basic";#N/A,#N/A,TRUE,"EXT-TABLE";#N/A,#N/A,TRUE,"STEEL";#N/A,#N/A,TRUE,"INT-Table";#N/A,#N/A,TRUE,"STEEL";#N/A,#N/A,TRUE,"Door"}</definedName>
    <definedName name="DIGN_4" hidden="1">{#N/A,#N/A,TRUE,"Basic";#N/A,#N/A,TRUE,"EXT-TABLE";#N/A,#N/A,TRUE,"STEEL";#N/A,#N/A,TRUE,"INT-Table";#N/A,#N/A,TRUE,"STEEL";#N/A,#N/A,TRUE,"Door"}</definedName>
    <definedName name="DIGN_5" localSheetId="5" hidden="1">{#N/A,#N/A,TRUE,"Basic";#N/A,#N/A,TRUE,"EXT-TABLE";#N/A,#N/A,TRUE,"STEEL";#N/A,#N/A,TRUE,"INT-Table";#N/A,#N/A,TRUE,"STEEL";#N/A,#N/A,TRUE,"Door"}</definedName>
    <definedName name="DIGN_5" hidden="1">{#N/A,#N/A,TRUE,"Basic";#N/A,#N/A,TRUE,"EXT-TABLE";#N/A,#N/A,TRUE,"STEEL";#N/A,#N/A,TRUE,"INT-Table";#N/A,#N/A,TRUE,"STEEL";#N/A,#N/A,TRUE,"Door"}</definedName>
    <definedName name="DirectLabor" localSheetId="5" hidden="1">{#N/A,#N/A,FALSE,"CCTV"}</definedName>
    <definedName name="DirectLabor" hidden="1">{#N/A,#N/A,FALSE,"CCTV"}</definedName>
    <definedName name="DirectLabor_1" localSheetId="5" hidden="1">{#N/A,#N/A,FALSE,"CCTV"}</definedName>
    <definedName name="DirectLabor_1" hidden="1">{#N/A,#N/A,FALSE,"CCTV"}</definedName>
    <definedName name="DirectLabor_2" localSheetId="5" hidden="1">{#N/A,#N/A,FALSE,"CCTV"}</definedName>
    <definedName name="DirectLabor_2" hidden="1">{#N/A,#N/A,FALSE,"CCTV"}</definedName>
    <definedName name="DirectLabor_3" localSheetId="5" hidden="1">{#N/A,#N/A,FALSE,"CCTV"}</definedName>
    <definedName name="DirectLabor_3" hidden="1">{#N/A,#N/A,FALSE,"CCTV"}</definedName>
    <definedName name="DirectLabor_4" localSheetId="5" hidden="1">{#N/A,#N/A,FALSE,"CCTV"}</definedName>
    <definedName name="DirectLabor_4" hidden="1">{#N/A,#N/A,FALSE,"CCTV"}</definedName>
    <definedName name="DirectLabor_5" localSheetId="5" hidden="1">{#N/A,#N/A,FALSE,"CCTV"}</definedName>
    <definedName name="DirectLabor_5" hidden="1">{#N/A,#N/A,FALSE,"CCTV"}</definedName>
    <definedName name="DirectLobor" localSheetId="5" hidden="1">{#N/A,#N/A,FALSE,"CCTV"}</definedName>
    <definedName name="DirectLobor" hidden="1">{#N/A,#N/A,FALSE,"CCTV"}</definedName>
    <definedName name="DirectLobor_1" localSheetId="5" hidden="1">{#N/A,#N/A,FALSE,"CCTV"}</definedName>
    <definedName name="DirectLobor_1" hidden="1">{#N/A,#N/A,FALSE,"CCTV"}</definedName>
    <definedName name="DirectLobor_2" localSheetId="5" hidden="1">{#N/A,#N/A,FALSE,"CCTV"}</definedName>
    <definedName name="DirectLobor_2" hidden="1">{#N/A,#N/A,FALSE,"CCTV"}</definedName>
    <definedName name="DirectLobor_3" localSheetId="5" hidden="1">{#N/A,#N/A,FALSE,"CCTV"}</definedName>
    <definedName name="DirectLobor_3" hidden="1">{#N/A,#N/A,FALSE,"CCTV"}</definedName>
    <definedName name="DirectLobor_4" localSheetId="5" hidden="1">{#N/A,#N/A,FALSE,"CCTV"}</definedName>
    <definedName name="DirectLobor_4" hidden="1">{#N/A,#N/A,FALSE,"CCTV"}</definedName>
    <definedName name="DirectLobor_5" localSheetId="5" hidden="1">{#N/A,#N/A,FALSE,"CCTV"}</definedName>
    <definedName name="DirectLobor_5" hidden="1">{#N/A,#N/A,FALSE,"CCTV"}</definedName>
    <definedName name="DJIODJ" hidden="1">#REF!</definedName>
    <definedName name="DKDKKD" localSheetId="5" hidden="1">{#N/A,#N/A,TRUE,"Basic";#N/A,#N/A,TRUE,"EXT-TABLE";#N/A,#N/A,TRUE,"STEEL";#N/A,#N/A,TRUE,"INT-Table";#N/A,#N/A,TRUE,"STEEL";#N/A,#N/A,TRUE,"Door"}</definedName>
    <definedName name="DKDKKD" hidden="1">{#N/A,#N/A,TRUE,"Basic";#N/A,#N/A,TRUE,"EXT-TABLE";#N/A,#N/A,TRUE,"STEEL";#N/A,#N/A,TRUE,"INT-Table";#N/A,#N/A,TRUE,"STEEL";#N/A,#N/A,TRUE,"Door"}</definedName>
    <definedName name="DKDKKD_1" localSheetId="5" hidden="1">{#N/A,#N/A,TRUE,"Basic";#N/A,#N/A,TRUE,"EXT-TABLE";#N/A,#N/A,TRUE,"STEEL";#N/A,#N/A,TRUE,"INT-Table";#N/A,#N/A,TRUE,"STEEL";#N/A,#N/A,TRUE,"Door"}</definedName>
    <definedName name="DKDKKD_1" hidden="1">{#N/A,#N/A,TRUE,"Basic";#N/A,#N/A,TRUE,"EXT-TABLE";#N/A,#N/A,TRUE,"STEEL";#N/A,#N/A,TRUE,"INT-Table";#N/A,#N/A,TRUE,"STEEL";#N/A,#N/A,TRUE,"Door"}</definedName>
    <definedName name="DKDKKD_2" localSheetId="5" hidden="1">{#N/A,#N/A,TRUE,"Basic";#N/A,#N/A,TRUE,"EXT-TABLE";#N/A,#N/A,TRUE,"STEEL";#N/A,#N/A,TRUE,"INT-Table";#N/A,#N/A,TRUE,"STEEL";#N/A,#N/A,TRUE,"Door"}</definedName>
    <definedName name="DKDKKD_2" hidden="1">{#N/A,#N/A,TRUE,"Basic";#N/A,#N/A,TRUE,"EXT-TABLE";#N/A,#N/A,TRUE,"STEEL";#N/A,#N/A,TRUE,"INT-Table";#N/A,#N/A,TRUE,"STEEL";#N/A,#N/A,TRUE,"Door"}</definedName>
    <definedName name="DKDKKD_3" localSheetId="5" hidden="1">{#N/A,#N/A,TRUE,"Basic";#N/A,#N/A,TRUE,"EXT-TABLE";#N/A,#N/A,TRUE,"STEEL";#N/A,#N/A,TRUE,"INT-Table";#N/A,#N/A,TRUE,"STEEL";#N/A,#N/A,TRUE,"Door"}</definedName>
    <definedName name="DKDKKD_3" hidden="1">{#N/A,#N/A,TRUE,"Basic";#N/A,#N/A,TRUE,"EXT-TABLE";#N/A,#N/A,TRUE,"STEEL";#N/A,#N/A,TRUE,"INT-Table";#N/A,#N/A,TRUE,"STEEL";#N/A,#N/A,TRUE,"Door"}</definedName>
    <definedName name="DKDKKD_4" localSheetId="5" hidden="1">{#N/A,#N/A,TRUE,"Basic";#N/A,#N/A,TRUE,"EXT-TABLE";#N/A,#N/A,TRUE,"STEEL";#N/A,#N/A,TRUE,"INT-Table";#N/A,#N/A,TRUE,"STEEL";#N/A,#N/A,TRUE,"Door"}</definedName>
    <definedName name="DKDKKD_4" hidden="1">{#N/A,#N/A,TRUE,"Basic";#N/A,#N/A,TRUE,"EXT-TABLE";#N/A,#N/A,TRUE,"STEEL";#N/A,#N/A,TRUE,"INT-Table";#N/A,#N/A,TRUE,"STEEL";#N/A,#N/A,TRUE,"Door"}</definedName>
    <definedName name="DKDKKD_5" localSheetId="5" hidden="1">{#N/A,#N/A,TRUE,"Basic";#N/A,#N/A,TRUE,"EXT-TABLE";#N/A,#N/A,TRUE,"STEEL";#N/A,#N/A,TRUE,"INT-Table";#N/A,#N/A,TRUE,"STEEL";#N/A,#N/A,TRUE,"Door"}</definedName>
    <definedName name="DKDKKD_5" hidden="1">{#N/A,#N/A,TRUE,"Basic";#N/A,#N/A,TRUE,"EXT-TABLE";#N/A,#N/A,TRUE,"STEEL";#N/A,#N/A,TRUE,"INT-Table";#N/A,#N/A,TRUE,"STEEL";#N/A,#N/A,TRUE,"Door"}</definedName>
    <definedName name="DKDLFJKDS" localSheetId="5" hidden="1">{#N/A,#N/A,TRUE,"Basic";#N/A,#N/A,TRUE,"EXT-TABLE";#N/A,#N/A,TRUE,"STEEL";#N/A,#N/A,TRUE,"INT-Table";#N/A,#N/A,TRUE,"STEEL";#N/A,#N/A,TRUE,"Door"}</definedName>
    <definedName name="DKDLFJKDS" localSheetId="9" hidden="1">{#N/A,#N/A,TRUE,"Basic";#N/A,#N/A,TRUE,"EXT-TABLE";#N/A,#N/A,TRUE,"STEEL";#N/A,#N/A,TRUE,"INT-Table";#N/A,#N/A,TRUE,"STEEL";#N/A,#N/A,TRUE,"Door"}</definedName>
    <definedName name="DKDLFJKDS" localSheetId="10" hidden="1">{#N/A,#N/A,TRUE,"Basic";#N/A,#N/A,TRUE,"EXT-TABLE";#N/A,#N/A,TRUE,"STEEL";#N/A,#N/A,TRUE,"INT-Table";#N/A,#N/A,TRUE,"STEEL";#N/A,#N/A,TRUE,"Door"}</definedName>
    <definedName name="DKDLFJKDS" localSheetId="6" hidden="1">{#N/A,#N/A,TRUE,"Basic";#N/A,#N/A,TRUE,"EXT-TABLE";#N/A,#N/A,TRUE,"STEEL";#N/A,#N/A,TRUE,"INT-Table";#N/A,#N/A,TRUE,"STEEL";#N/A,#N/A,TRUE,"Door"}</definedName>
    <definedName name="DKDLFJKDS" localSheetId="3" hidden="1">{#N/A,#N/A,TRUE,"Basic";#N/A,#N/A,TRUE,"EXT-TABLE";#N/A,#N/A,TRUE,"STEEL";#N/A,#N/A,TRUE,"INT-Table";#N/A,#N/A,TRUE,"STEEL";#N/A,#N/A,TRUE,"Door"}</definedName>
    <definedName name="DKDLFJKDS" hidden="1">{#N/A,#N/A,TRUE,"Basic";#N/A,#N/A,TRUE,"EXT-TABLE";#N/A,#N/A,TRUE,"STEEL";#N/A,#N/A,TRUE,"INT-Table";#N/A,#N/A,TRUE,"STEEL";#N/A,#N/A,TRUE,"Door"}</definedName>
    <definedName name="DKDLFJKDS_1" localSheetId="5" hidden="1">{#N/A,#N/A,TRUE,"Basic";#N/A,#N/A,TRUE,"EXT-TABLE";#N/A,#N/A,TRUE,"STEEL";#N/A,#N/A,TRUE,"INT-Table";#N/A,#N/A,TRUE,"STEEL";#N/A,#N/A,TRUE,"Door"}</definedName>
    <definedName name="DKDLFJKDS_1" hidden="1">{#N/A,#N/A,TRUE,"Basic";#N/A,#N/A,TRUE,"EXT-TABLE";#N/A,#N/A,TRUE,"STEEL";#N/A,#N/A,TRUE,"INT-Table";#N/A,#N/A,TRUE,"STEEL";#N/A,#N/A,TRUE,"Door"}</definedName>
    <definedName name="DKDLFJKDS_2" localSheetId="5" hidden="1">{#N/A,#N/A,TRUE,"Basic";#N/A,#N/A,TRUE,"EXT-TABLE";#N/A,#N/A,TRUE,"STEEL";#N/A,#N/A,TRUE,"INT-Table";#N/A,#N/A,TRUE,"STEEL";#N/A,#N/A,TRUE,"Door"}</definedName>
    <definedName name="DKDLFJKDS_2" hidden="1">{#N/A,#N/A,TRUE,"Basic";#N/A,#N/A,TRUE,"EXT-TABLE";#N/A,#N/A,TRUE,"STEEL";#N/A,#N/A,TRUE,"INT-Table";#N/A,#N/A,TRUE,"STEEL";#N/A,#N/A,TRUE,"Door"}</definedName>
    <definedName name="DKDLFJKDS_3" localSheetId="5" hidden="1">{#N/A,#N/A,TRUE,"Basic";#N/A,#N/A,TRUE,"EXT-TABLE";#N/A,#N/A,TRUE,"STEEL";#N/A,#N/A,TRUE,"INT-Table";#N/A,#N/A,TRUE,"STEEL";#N/A,#N/A,TRUE,"Door"}</definedName>
    <definedName name="DKDLFJKDS_3" hidden="1">{#N/A,#N/A,TRUE,"Basic";#N/A,#N/A,TRUE,"EXT-TABLE";#N/A,#N/A,TRUE,"STEEL";#N/A,#N/A,TRUE,"INT-Table";#N/A,#N/A,TRUE,"STEEL";#N/A,#N/A,TRUE,"Door"}</definedName>
    <definedName name="DKDLFJKDS_4" localSheetId="5" hidden="1">{#N/A,#N/A,TRUE,"Basic";#N/A,#N/A,TRUE,"EXT-TABLE";#N/A,#N/A,TRUE,"STEEL";#N/A,#N/A,TRUE,"INT-Table";#N/A,#N/A,TRUE,"STEEL";#N/A,#N/A,TRUE,"Door"}</definedName>
    <definedName name="DKDLFJKDS_4" hidden="1">{#N/A,#N/A,TRUE,"Basic";#N/A,#N/A,TRUE,"EXT-TABLE";#N/A,#N/A,TRUE,"STEEL";#N/A,#N/A,TRUE,"INT-Table";#N/A,#N/A,TRUE,"STEEL";#N/A,#N/A,TRUE,"Door"}</definedName>
    <definedName name="DKDLFJKDS_5" localSheetId="5" hidden="1">{#N/A,#N/A,TRUE,"Basic";#N/A,#N/A,TRUE,"EXT-TABLE";#N/A,#N/A,TRUE,"STEEL";#N/A,#N/A,TRUE,"INT-Table";#N/A,#N/A,TRUE,"STEEL";#N/A,#N/A,TRUE,"Door"}</definedName>
    <definedName name="DKDLFJKDS_5" hidden="1">{#N/A,#N/A,TRUE,"Basic";#N/A,#N/A,TRUE,"EXT-TABLE";#N/A,#N/A,TRUE,"STEEL";#N/A,#N/A,TRUE,"INT-Table";#N/A,#N/A,TRUE,"STEEL";#N/A,#N/A,TRUE,"Door"}</definedName>
    <definedName name="DpFKDL" localSheetId="5" hidden="1">{#N/A,#N/A,FALSE,"이태원철근"}</definedName>
    <definedName name="DpFKDL" hidden="1">{#N/A,#N/A,FALSE,"이태원철근"}</definedName>
    <definedName name="ds" localSheetId="9" hidden="1">#REF!</definedName>
    <definedName name="ds" localSheetId="10" hidden="1">#REF!</definedName>
    <definedName name="ds" hidden="1">#REF!</definedName>
    <definedName name="DSD" localSheetId="5" hidden="1">{#N/A,#N/A,FALSE,"CCTV"}</definedName>
    <definedName name="DSD" localSheetId="9" hidden="1">{#N/A,#N/A,FALSE,"CCTV"}</definedName>
    <definedName name="DSD" localSheetId="10" hidden="1">{#N/A,#N/A,FALSE,"CCTV"}</definedName>
    <definedName name="DSD" localSheetId="6" hidden="1">{#N/A,#N/A,FALSE,"CCTV"}</definedName>
    <definedName name="DSD" localSheetId="3" hidden="1">{#N/A,#N/A,FALSE,"CCTV"}</definedName>
    <definedName name="DSD" hidden="1">{#N/A,#N/A,FALSE,"CCTV"}</definedName>
    <definedName name="DSD_1" localSheetId="5" hidden="1">{#N/A,#N/A,FALSE,"CCTV"}</definedName>
    <definedName name="DSD_1" hidden="1">{#N/A,#N/A,FALSE,"CCTV"}</definedName>
    <definedName name="DSD_2" localSheetId="5" hidden="1">{#N/A,#N/A,FALSE,"CCTV"}</definedName>
    <definedName name="DSD_2" hidden="1">{#N/A,#N/A,FALSE,"CCTV"}</definedName>
    <definedName name="DSD_3" localSheetId="5" hidden="1">{#N/A,#N/A,FALSE,"CCTV"}</definedName>
    <definedName name="DSD_3" hidden="1">{#N/A,#N/A,FALSE,"CCTV"}</definedName>
    <definedName name="DSD_4" localSheetId="5" hidden="1">{#N/A,#N/A,FALSE,"CCTV"}</definedName>
    <definedName name="DSD_4" hidden="1">{#N/A,#N/A,FALSE,"CCTV"}</definedName>
    <definedName name="DSD_5" localSheetId="5" hidden="1">{#N/A,#N/A,FALSE,"CCTV"}</definedName>
    <definedName name="DSD_5" hidden="1">{#N/A,#N/A,FALSE,"CCTV"}</definedName>
    <definedName name="DSFSF" hidden="1">#REF!</definedName>
    <definedName name="dsqw" localSheetId="5" hidden="1">{#N/A,#N/A,TRUE,"arnitower";#N/A,#N/A,TRUE,"arnigarage "}</definedName>
    <definedName name="dsqw" hidden="1">{#N/A,#N/A,TRUE,"arnitower";#N/A,#N/A,TRUE,"arnigarage "}</definedName>
    <definedName name="dw" localSheetId="5" hidden="1">{"'Sheet1'!$L$16"}</definedName>
    <definedName name="dw" localSheetId="9" hidden="1">{"'Sheet1'!$L$16"}</definedName>
    <definedName name="dw" localSheetId="10" hidden="1">{"'Sheet1'!$L$16"}</definedName>
    <definedName name="dw" localSheetId="6" hidden="1">{"'Sheet1'!$L$16"}</definedName>
    <definedName name="dw" localSheetId="3" hidden="1">{"'Sheet1'!$L$16"}</definedName>
    <definedName name="dw" hidden="1">{"'Sheet1'!$L$16"}</definedName>
    <definedName name="dwv" localSheetId="5" hidden="1">{#N/A,#N/A,TRUE,"Basic";#N/A,#N/A,TRUE,"EXT-TABLE";#N/A,#N/A,TRUE,"STEEL";#N/A,#N/A,TRUE,"INT-Table";#N/A,#N/A,TRUE,"STEEL";#N/A,#N/A,TRUE,"Door"}</definedName>
    <definedName name="dwv" localSheetId="9" hidden="1">{#N/A,#N/A,TRUE,"Basic";#N/A,#N/A,TRUE,"EXT-TABLE";#N/A,#N/A,TRUE,"STEEL";#N/A,#N/A,TRUE,"INT-Table";#N/A,#N/A,TRUE,"STEEL";#N/A,#N/A,TRUE,"Door"}</definedName>
    <definedName name="dwv" localSheetId="10" hidden="1">{#N/A,#N/A,TRUE,"Basic";#N/A,#N/A,TRUE,"EXT-TABLE";#N/A,#N/A,TRUE,"STEEL";#N/A,#N/A,TRUE,"INT-Table";#N/A,#N/A,TRUE,"STEEL";#N/A,#N/A,TRUE,"Door"}</definedName>
    <definedName name="dwv" localSheetId="6" hidden="1">{#N/A,#N/A,TRUE,"Basic";#N/A,#N/A,TRUE,"EXT-TABLE";#N/A,#N/A,TRUE,"STEEL";#N/A,#N/A,TRUE,"INT-Table";#N/A,#N/A,TRUE,"STEEL";#N/A,#N/A,TRUE,"Door"}</definedName>
    <definedName name="dwv" localSheetId="3" hidden="1">{#N/A,#N/A,TRUE,"Basic";#N/A,#N/A,TRUE,"EXT-TABLE";#N/A,#N/A,TRUE,"STEEL";#N/A,#N/A,TRUE,"INT-Table";#N/A,#N/A,TRUE,"STEEL";#N/A,#N/A,TRUE,"Door"}</definedName>
    <definedName name="dwv" hidden="1">{#N/A,#N/A,TRUE,"Basic";#N/A,#N/A,TRUE,"EXT-TABLE";#N/A,#N/A,TRUE,"STEEL";#N/A,#N/A,TRUE,"INT-Table";#N/A,#N/A,TRUE,"STEEL";#N/A,#N/A,TRUE,"Door"}</definedName>
    <definedName name="dwv_1" localSheetId="5" hidden="1">{#N/A,#N/A,TRUE,"Basic";#N/A,#N/A,TRUE,"EXT-TABLE";#N/A,#N/A,TRUE,"STEEL";#N/A,#N/A,TRUE,"INT-Table";#N/A,#N/A,TRUE,"STEEL";#N/A,#N/A,TRUE,"Door"}</definedName>
    <definedName name="dwv_1" hidden="1">{#N/A,#N/A,TRUE,"Basic";#N/A,#N/A,TRUE,"EXT-TABLE";#N/A,#N/A,TRUE,"STEEL";#N/A,#N/A,TRUE,"INT-Table";#N/A,#N/A,TRUE,"STEEL";#N/A,#N/A,TRUE,"Door"}</definedName>
    <definedName name="dwv_2" localSheetId="5" hidden="1">{#N/A,#N/A,TRUE,"Basic";#N/A,#N/A,TRUE,"EXT-TABLE";#N/A,#N/A,TRUE,"STEEL";#N/A,#N/A,TRUE,"INT-Table";#N/A,#N/A,TRUE,"STEEL";#N/A,#N/A,TRUE,"Door"}</definedName>
    <definedName name="dwv_2" hidden="1">{#N/A,#N/A,TRUE,"Basic";#N/A,#N/A,TRUE,"EXT-TABLE";#N/A,#N/A,TRUE,"STEEL";#N/A,#N/A,TRUE,"INT-Table";#N/A,#N/A,TRUE,"STEEL";#N/A,#N/A,TRUE,"Door"}</definedName>
    <definedName name="dwv_3" localSheetId="5" hidden="1">{#N/A,#N/A,TRUE,"Basic";#N/A,#N/A,TRUE,"EXT-TABLE";#N/A,#N/A,TRUE,"STEEL";#N/A,#N/A,TRUE,"INT-Table";#N/A,#N/A,TRUE,"STEEL";#N/A,#N/A,TRUE,"Door"}</definedName>
    <definedName name="dwv_3" hidden="1">{#N/A,#N/A,TRUE,"Basic";#N/A,#N/A,TRUE,"EXT-TABLE";#N/A,#N/A,TRUE,"STEEL";#N/A,#N/A,TRUE,"INT-Table";#N/A,#N/A,TRUE,"STEEL";#N/A,#N/A,TRUE,"Door"}</definedName>
    <definedName name="dwv_4" localSheetId="5" hidden="1">{#N/A,#N/A,TRUE,"Basic";#N/A,#N/A,TRUE,"EXT-TABLE";#N/A,#N/A,TRUE,"STEEL";#N/A,#N/A,TRUE,"INT-Table";#N/A,#N/A,TRUE,"STEEL";#N/A,#N/A,TRUE,"Door"}</definedName>
    <definedName name="dwv_4" hidden="1">{#N/A,#N/A,TRUE,"Basic";#N/A,#N/A,TRUE,"EXT-TABLE";#N/A,#N/A,TRUE,"STEEL";#N/A,#N/A,TRUE,"INT-Table";#N/A,#N/A,TRUE,"STEEL";#N/A,#N/A,TRUE,"Door"}</definedName>
    <definedName name="dwv_5" localSheetId="5" hidden="1">{#N/A,#N/A,TRUE,"Basic";#N/A,#N/A,TRUE,"EXT-TABLE";#N/A,#N/A,TRUE,"STEEL";#N/A,#N/A,TRUE,"INT-Table";#N/A,#N/A,TRUE,"STEEL";#N/A,#N/A,TRUE,"Door"}</definedName>
    <definedName name="dwv_5" hidden="1">{#N/A,#N/A,TRUE,"Basic";#N/A,#N/A,TRUE,"EXT-TABLE";#N/A,#N/A,TRUE,"STEEL";#N/A,#N/A,TRUE,"INT-Table";#N/A,#N/A,TRUE,"STEEL";#N/A,#N/A,TRUE,"Door"}</definedName>
    <definedName name="E" localSheetId="5" hidden="1">{#N/A,#N/A,FALSE,"이태원철근"}</definedName>
    <definedName name="E" hidden="1">{#N/A,#N/A,FALSE,"이태원철근"}</definedName>
    <definedName name="e_3" localSheetId="5" hidden="1">{#N/A,#N/A,FALSE,"Sheet4";#N/A,#N/A,FALSE,"Sheet5";#N/A,#N/A,FALSE,"Sheet6"}</definedName>
    <definedName name="e_3" hidden="1">{#N/A,#N/A,FALSE,"Sheet4";#N/A,#N/A,FALSE,"Sheet5";#N/A,#N/A,FALSE,"Sheet6"}</definedName>
    <definedName name="e_4" localSheetId="5" hidden="1">{#N/A,#N/A,FALSE,"Sheet4";#N/A,#N/A,FALSE,"Sheet5";#N/A,#N/A,FALSE,"Sheet6"}</definedName>
    <definedName name="e_4" hidden="1">{#N/A,#N/A,FALSE,"Sheet4";#N/A,#N/A,FALSE,"Sheet5";#N/A,#N/A,FALSE,"Sheet6"}</definedName>
    <definedName name="e_5" localSheetId="5" hidden="1">{#N/A,#N/A,FALSE,"Sheet4";#N/A,#N/A,FALSE,"Sheet5";#N/A,#N/A,FALSE,"Sheet6"}</definedName>
    <definedName name="e_5" hidden="1">{#N/A,#N/A,FALSE,"Sheet4";#N/A,#N/A,FALSE,"Sheet5";#N/A,#N/A,FALSE,"Sheet6"}</definedName>
    <definedName name="E3단가" localSheetId="5" hidden="1">{#N/A,#N/A,TRUE,"MATERIAL COST"}</definedName>
    <definedName name="E3단가" hidden="1">{#N/A,#N/A,TRUE,"MATERIAL COST"}</definedName>
    <definedName name="EBRS1" localSheetId="9" hidden="1">#REF!</definedName>
    <definedName name="EBRS1" localSheetId="10" hidden="1">#REF!</definedName>
    <definedName name="EBRS1" hidden="1">#REF!</definedName>
    <definedName name="ED" localSheetId="5" hidden="1">{#N/A,#N/A,FALSE,"CCTV"}</definedName>
    <definedName name="ED" hidden="1">{#N/A,#N/A,FALSE,"CCTV"}</definedName>
    <definedName name="ED_1" localSheetId="5" hidden="1">{#N/A,#N/A,FALSE,"CCTV"}</definedName>
    <definedName name="ED_1" hidden="1">{#N/A,#N/A,FALSE,"CCTV"}</definedName>
    <definedName name="ED_2" localSheetId="5" hidden="1">{#N/A,#N/A,FALSE,"CCTV"}</definedName>
    <definedName name="ED_2" hidden="1">{#N/A,#N/A,FALSE,"CCTV"}</definedName>
    <definedName name="ED_3" localSheetId="5" hidden="1">{#N/A,#N/A,FALSE,"CCTV"}</definedName>
    <definedName name="ED_3" hidden="1">{#N/A,#N/A,FALSE,"CCTV"}</definedName>
    <definedName name="ED_4" localSheetId="5" hidden="1">{#N/A,#N/A,FALSE,"CCTV"}</definedName>
    <definedName name="ED_4" hidden="1">{#N/A,#N/A,FALSE,"CCTV"}</definedName>
    <definedName name="ED_5" localSheetId="5" hidden="1">{#N/A,#N/A,FALSE,"CCTV"}</definedName>
    <definedName name="ED_5" hidden="1">{#N/A,#N/A,FALSE,"CCTV"}</definedName>
    <definedName name="EE" localSheetId="5" hidden="1">{"'장비'!$A$3:$M$12"}</definedName>
    <definedName name="EE" localSheetId="9" hidden="1">{"'장비'!$A$3:$M$12"}</definedName>
    <definedName name="EE" localSheetId="10" hidden="1">{"'장비'!$A$3:$M$12"}</definedName>
    <definedName name="EE" localSheetId="6" hidden="1">{"'장비'!$A$3:$M$12"}</definedName>
    <definedName name="EE" localSheetId="3" hidden="1">{"'장비'!$A$3:$M$12"}</definedName>
    <definedName name="EE" hidden="1">{"'장비'!$A$3:$M$12"}</definedName>
    <definedName name="EE_1" localSheetId="5" hidden="1">{"'장비'!$A$3:$M$12"}</definedName>
    <definedName name="EE_1" localSheetId="9" hidden="1">{"'장비'!$A$3:$M$12"}</definedName>
    <definedName name="EE_1" localSheetId="10" hidden="1">{"'장비'!$A$3:$M$12"}</definedName>
    <definedName name="EE_1" localSheetId="6" hidden="1">{"'장비'!$A$3:$M$12"}</definedName>
    <definedName name="EE_1" localSheetId="3" hidden="1">{"'장비'!$A$3:$M$12"}</definedName>
    <definedName name="EE_1" hidden="1">{"'장비'!$A$3:$M$12"}</definedName>
    <definedName name="EEE" localSheetId="5" hidden="1">{#N/A,#N/A,TRUE,"arnitower";#N/A,#N/A,TRUE,"arnigarage "}</definedName>
    <definedName name="EEE" hidden="1">{#N/A,#N/A,TRUE,"arnitower";#N/A,#N/A,TRUE,"arnigarage "}</definedName>
    <definedName name="EEEE" localSheetId="5" hidden="1">{#N/A,#N/A,TRUE,"Basic";#N/A,#N/A,TRUE,"EXT-TABLE";#N/A,#N/A,TRUE,"STEEL";#N/A,#N/A,TRUE,"INT-Table";#N/A,#N/A,TRUE,"STEEL";#N/A,#N/A,TRUE,"Door"}</definedName>
    <definedName name="EEEE" localSheetId="9" hidden="1">{#N/A,#N/A,TRUE,"Basic";#N/A,#N/A,TRUE,"EXT-TABLE";#N/A,#N/A,TRUE,"STEEL";#N/A,#N/A,TRUE,"INT-Table";#N/A,#N/A,TRUE,"STEEL";#N/A,#N/A,TRUE,"Door"}</definedName>
    <definedName name="EEEE" localSheetId="10" hidden="1">{#N/A,#N/A,TRUE,"Basic";#N/A,#N/A,TRUE,"EXT-TABLE";#N/A,#N/A,TRUE,"STEEL";#N/A,#N/A,TRUE,"INT-Table";#N/A,#N/A,TRUE,"STEEL";#N/A,#N/A,TRUE,"Door"}</definedName>
    <definedName name="EEEE" localSheetId="6" hidden="1">{#N/A,#N/A,TRUE,"Basic";#N/A,#N/A,TRUE,"EXT-TABLE";#N/A,#N/A,TRUE,"STEEL";#N/A,#N/A,TRUE,"INT-Table";#N/A,#N/A,TRUE,"STEEL";#N/A,#N/A,TRUE,"Door"}</definedName>
    <definedName name="eeee" localSheetId="3" hidden="1">{#N/A,#N/A,TRUE,"MATERIAL COST"}</definedName>
    <definedName name="EEEE" hidden="1">{#N/A,#N/A,TRUE,"Basic";#N/A,#N/A,TRUE,"EXT-TABLE";#N/A,#N/A,TRUE,"STEEL";#N/A,#N/A,TRUE,"INT-Table";#N/A,#N/A,TRUE,"STEEL";#N/A,#N/A,TRUE,"Door"}</definedName>
    <definedName name="EEEE_1" localSheetId="5" hidden="1">{#N/A,#N/A,TRUE,"Basic";#N/A,#N/A,TRUE,"EXT-TABLE";#N/A,#N/A,TRUE,"STEEL";#N/A,#N/A,TRUE,"INT-Table";#N/A,#N/A,TRUE,"STEEL";#N/A,#N/A,TRUE,"Door"}</definedName>
    <definedName name="EEEE_1" hidden="1">{#N/A,#N/A,TRUE,"Basic";#N/A,#N/A,TRUE,"EXT-TABLE";#N/A,#N/A,TRUE,"STEEL";#N/A,#N/A,TRUE,"INT-Table";#N/A,#N/A,TRUE,"STEEL";#N/A,#N/A,TRUE,"Door"}</definedName>
    <definedName name="EEEE_2" localSheetId="5" hidden="1">{#N/A,#N/A,TRUE,"Basic";#N/A,#N/A,TRUE,"EXT-TABLE";#N/A,#N/A,TRUE,"STEEL";#N/A,#N/A,TRUE,"INT-Table";#N/A,#N/A,TRUE,"STEEL";#N/A,#N/A,TRUE,"Door"}</definedName>
    <definedName name="EEEE_2" hidden="1">{#N/A,#N/A,TRUE,"Basic";#N/A,#N/A,TRUE,"EXT-TABLE";#N/A,#N/A,TRUE,"STEEL";#N/A,#N/A,TRUE,"INT-Table";#N/A,#N/A,TRUE,"STEEL";#N/A,#N/A,TRUE,"Door"}</definedName>
    <definedName name="EEEE_3" localSheetId="5" hidden="1">{#N/A,#N/A,TRUE,"Basic";#N/A,#N/A,TRUE,"EXT-TABLE";#N/A,#N/A,TRUE,"STEEL";#N/A,#N/A,TRUE,"INT-Table";#N/A,#N/A,TRUE,"STEEL";#N/A,#N/A,TRUE,"Door"}</definedName>
    <definedName name="EEEE_3" hidden="1">{#N/A,#N/A,TRUE,"Basic";#N/A,#N/A,TRUE,"EXT-TABLE";#N/A,#N/A,TRUE,"STEEL";#N/A,#N/A,TRUE,"INT-Table";#N/A,#N/A,TRUE,"STEEL";#N/A,#N/A,TRUE,"Door"}</definedName>
    <definedName name="EEEE_4" localSheetId="5" hidden="1">{#N/A,#N/A,TRUE,"Basic";#N/A,#N/A,TRUE,"EXT-TABLE";#N/A,#N/A,TRUE,"STEEL";#N/A,#N/A,TRUE,"INT-Table";#N/A,#N/A,TRUE,"STEEL";#N/A,#N/A,TRUE,"Door"}</definedName>
    <definedName name="EEEE_4" hidden="1">{#N/A,#N/A,TRUE,"Basic";#N/A,#N/A,TRUE,"EXT-TABLE";#N/A,#N/A,TRUE,"STEEL";#N/A,#N/A,TRUE,"INT-Table";#N/A,#N/A,TRUE,"STEEL";#N/A,#N/A,TRUE,"Door"}</definedName>
    <definedName name="EEEE_5" localSheetId="5" hidden="1">{#N/A,#N/A,TRUE,"Basic";#N/A,#N/A,TRUE,"EXT-TABLE";#N/A,#N/A,TRUE,"STEEL";#N/A,#N/A,TRUE,"INT-Table";#N/A,#N/A,TRUE,"STEEL";#N/A,#N/A,TRUE,"Door"}</definedName>
    <definedName name="EEEE_5" hidden="1">{#N/A,#N/A,TRUE,"Basic";#N/A,#N/A,TRUE,"EXT-TABLE";#N/A,#N/A,TRUE,"STEEL";#N/A,#N/A,TRUE,"INT-Table";#N/A,#N/A,TRUE,"STEEL";#N/A,#N/A,TRUE,"Door"}</definedName>
    <definedName name="ELLEN1" localSheetId="5" hidden="1">{#N/A,#N/A,FALSE,"CCTV"}</definedName>
    <definedName name="ELLEN1" localSheetId="9" hidden="1">{#N/A,#N/A,FALSE,"CCTV"}</definedName>
    <definedName name="ELLEN1" localSheetId="10" hidden="1">{#N/A,#N/A,FALSE,"CCTV"}</definedName>
    <definedName name="ELLEN1" localSheetId="6" hidden="1">{#N/A,#N/A,FALSE,"CCTV"}</definedName>
    <definedName name="ELLEN1" localSheetId="3" hidden="1">{#N/A,#N/A,FALSE,"CCTV"}</definedName>
    <definedName name="ELLEN1" hidden="1">{#N/A,#N/A,FALSE,"CCTV"}</definedName>
    <definedName name="ELLEN1_1" localSheetId="5" hidden="1">{#N/A,#N/A,FALSE,"CCTV"}</definedName>
    <definedName name="ELLEN1_1" hidden="1">{#N/A,#N/A,FALSE,"CCTV"}</definedName>
    <definedName name="ELLEN1_2" localSheetId="5" hidden="1">{#N/A,#N/A,FALSE,"CCTV"}</definedName>
    <definedName name="ELLEN1_2" hidden="1">{#N/A,#N/A,FALSE,"CCTV"}</definedName>
    <definedName name="ELLEN1_3" localSheetId="5" hidden="1">{#N/A,#N/A,FALSE,"CCTV"}</definedName>
    <definedName name="ELLEN1_3" hidden="1">{#N/A,#N/A,FALSE,"CCTV"}</definedName>
    <definedName name="ELLEN1_4" localSheetId="5" hidden="1">{#N/A,#N/A,FALSE,"CCTV"}</definedName>
    <definedName name="ELLEN1_4" hidden="1">{#N/A,#N/A,FALSE,"CCTV"}</definedName>
    <definedName name="ELLEN1_5" localSheetId="5" hidden="1">{#N/A,#N/A,FALSE,"CCTV"}</definedName>
    <definedName name="ELLEN1_5" hidden="1">{#N/A,#N/A,FALSE,"CCTV"}</definedName>
    <definedName name="ELLEN10" localSheetId="5" hidden="1">{#N/A,#N/A,FALSE,"CCTV"}</definedName>
    <definedName name="ELLEN10" localSheetId="9" hidden="1">{#N/A,#N/A,FALSE,"CCTV"}</definedName>
    <definedName name="ELLEN10" localSheetId="10" hidden="1">{#N/A,#N/A,FALSE,"CCTV"}</definedName>
    <definedName name="ELLEN10" localSheetId="6" hidden="1">{#N/A,#N/A,FALSE,"CCTV"}</definedName>
    <definedName name="ELLEN10" localSheetId="3" hidden="1">{#N/A,#N/A,FALSE,"CCTV"}</definedName>
    <definedName name="ELLEN10" hidden="1">{#N/A,#N/A,FALSE,"CCTV"}</definedName>
    <definedName name="ELLEN10_1" localSheetId="5" hidden="1">{#N/A,#N/A,FALSE,"CCTV"}</definedName>
    <definedName name="ELLEN10_1" hidden="1">{#N/A,#N/A,FALSE,"CCTV"}</definedName>
    <definedName name="ELLEN10_2" localSheetId="5" hidden="1">{#N/A,#N/A,FALSE,"CCTV"}</definedName>
    <definedName name="ELLEN10_2" hidden="1">{#N/A,#N/A,FALSE,"CCTV"}</definedName>
    <definedName name="ELLEN10_3" localSheetId="5" hidden="1">{#N/A,#N/A,FALSE,"CCTV"}</definedName>
    <definedName name="ELLEN10_3" hidden="1">{#N/A,#N/A,FALSE,"CCTV"}</definedName>
    <definedName name="ELLEN10_4" localSheetId="5" hidden="1">{#N/A,#N/A,FALSE,"CCTV"}</definedName>
    <definedName name="ELLEN10_4" hidden="1">{#N/A,#N/A,FALSE,"CCTV"}</definedName>
    <definedName name="ELLEN10_5" localSheetId="5" hidden="1">{#N/A,#N/A,FALSE,"CCTV"}</definedName>
    <definedName name="ELLEN10_5" hidden="1">{#N/A,#N/A,FALSE,"CCTV"}</definedName>
    <definedName name="ELLEN11" localSheetId="5" hidden="1">{#N/A,#N/A,FALSE,"CCTV"}</definedName>
    <definedName name="ELLEN11" localSheetId="9" hidden="1">{#N/A,#N/A,FALSE,"CCTV"}</definedName>
    <definedName name="ELLEN11" localSheetId="10" hidden="1">{#N/A,#N/A,FALSE,"CCTV"}</definedName>
    <definedName name="ELLEN11" localSheetId="6" hidden="1">{#N/A,#N/A,FALSE,"CCTV"}</definedName>
    <definedName name="ELLEN11" localSheetId="3" hidden="1">{#N/A,#N/A,FALSE,"CCTV"}</definedName>
    <definedName name="ELLEN11" hidden="1">{#N/A,#N/A,FALSE,"CCTV"}</definedName>
    <definedName name="ELLEN11_1" localSheetId="5" hidden="1">{#N/A,#N/A,FALSE,"CCTV"}</definedName>
    <definedName name="ELLEN11_1" hidden="1">{#N/A,#N/A,FALSE,"CCTV"}</definedName>
    <definedName name="ELLEN11_2" localSheetId="5" hidden="1">{#N/A,#N/A,FALSE,"CCTV"}</definedName>
    <definedName name="ELLEN11_2" hidden="1">{#N/A,#N/A,FALSE,"CCTV"}</definedName>
    <definedName name="ELLEN11_3" localSheetId="5" hidden="1">{#N/A,#N/A,FALSE,"CCTV"}</definedName>
    <definedName name="ELLEN11_3" hidden="1">{#N/A,#N/A,FALSE,"CCTV"}</definedName>
    <definedName name="ELLEN11_4" localSheetId="5" hidden="1">{#N/A,#N/A,FALSE,"CCTV"}</definedName>
    <definedName name="ELLEN11_4" hidden="1">{#N/A,#N/A,FALSE,"CCTV"}</definedName>
    <definedName name="ELLEN11_5" localSheetId="5" hidden="1">{#N/A,#N/A,FALSE,"CCTV"}</definedName>
    <definedName name="ELLEN11_5" hidden="1">{#N/A,#N/A,FALSE,"CCTV"}</definedName>
    <definedName name="ELLEN12" localSheetId="5" hidden="1">{#N/A,#N/A,FALSE,"CCTV"}</definedName>
    <definedName name="ELLEN12" localSheetId="9" hidden="1">{#N/A,#N/A,FALSE,"CCTV"}</definedName>
    <definedName name="ELLEN12" localSheetId="10" hidden="1">{#N/A,#N/A,FALSE,"CCTV"}</definedName>
    <definedName name="ELLEN12" localSheetId="6" hidden="1">{#N/A,#N/A,FALSE,"CCTV"}</definedName>
    <definedName name="ELLEN12" localSheetId="3" hidden="1">{#N/A,#N/A,FALSE,"CCTV"}</definedName>
    <definedName name="ELLEN12" hidden="1">{#N/A,#N/A,FALSE,"CCTV"}</definedName>
    <definedName name="ELLEN12_1" localSheetId="5" hidden="1">{#N/A,#N/A,FALSE,"CCTV"}</definedName>
    <definedName name="ELLEN12_1" hidden="1">{#N/A,#N/A,FALSE,"CCTV"}</definedName>
    <definedName name="ELLEN12_2" localSheetId="5" hidden="1">{#N/A,#N/A,FALSE,"CCTV"}</definedName>
    <definedName name="ELLEN12_2" hidden="1">{#N/A,#N/A,FALSE,"CCTV"}</definedName>
    <definedName name="ELLEN12_3" localSheetId="5" hidden="1">{#N/A,#N/A,FALSE,"CCTV"}</definedName>
    <definedName name="ELLEN12_3" hidden="1">{#N/A,#N/A,FALSE,"CCTV"}</definedName>
    <definedName name="ELLEN12_4" localSheetId="5" hidden="1">{#N/A,#N/A,FALSE,"CCTV"}</definedName>
    <definedName name="ELLEN12_4" hidden="1">{#N/A,#N/A,FALSE,"CCTV"}</definedName>
    <definedName name="ELLEN12_5" localSheetId="5" hidden="1">{#N/A,#N/A,FALSE,"CCTV"}</definedName>
    <definedName name="ELLEN12_5" hidden="1">{#N/A,#N/A,FALSE,"CCTV"}</definedName>
    <definedName name="ELLEN13" localSheetId="5" hidden="1">{#N/A,#N/A,FALSE,"CCTV"}</definedName>
    <definedName name="ELLEN13" localSheetId="9" hidden="1">{#N/A,#N/A,FALSE,"CCTV"}</definedName>
    <definedName name="ELLEN13" localSheetId="10" hidden="1">{#N/A,#N/A,FALSE,"CCTV"}</definedName>
    <definedName name="ELLEN13" localSheetId="6" hidden="1">{#N/A,#N/A,FALSE,"CCTV"}</definedName>
    <definedName name="ELLEN13" localSheetId="3" hidden="1">{#N/A,#N/A,FALSE,"CCTV"}</definedName>
    <definedName name="ELLEN13" hidden="1">{#N/A,#N/A,FALSE,"CCTV"}</definedName>
    <definedName name="ELLEN13_1" localSheetId="5" hidden="1">{#N/A,#N/A,FALSE,"CCTV"}</definedName>
    <definedName name="ELLEN13_1" hidden="1">{#N/A,#N/A,FALSE,"CCTV"}</definedName>
    <definedName name="ELLEN13_2" localSheetId="5" hidden="1">{#N/A,#N/A,FALSE,"CCTV"}</definedName>
    <definedName name="ELLEN13_2" hidden="1">{#N/A,#N/A,FALSE,"CCTV"}</definedName>
    <definedName name="ELLEN13_3" localSheetId="5" hidden="1">{#N/A,#N/A,FALSE,"CCTV"}</definedName>
    <definedName name="ELLEN13_3" hidden="1">{#N/A,#N/A,FALSE,"CCTV"}</definedName>
    <definedName name="ELLEN13_4" localSheetId="5" hidden="1">{#N/A,#N/A,FALSE,"CCTV"}</definedName>
    <definedName name="ELLEN13_4" hidden="1">{#N/A,#N/A,FALSE,"CCTV"}</definedName>
    <definedName name="ELLEN13_5" localSheetId="5" hidden="1">{#N/A,#N/A,FALSE,"CCTV"}</definedName>
    <definedName name="ELLEN13_5" hidden="1">{#N/A,#N/A,FALSE,"CCTV"}</definedName>
    <definedName name="ELLEN14" localSheetId="5" hidden="1">{#N/A,#N/A,FALSE,"CCTV"}</definedName>
    <definedName name="ELLEN14" localSheetId="9" hidden="1">{#N/A,#N/A,FALSE,"CCTV"}</definedName>
    <definedName name="ELLEN14" localSheetId="10" hidden="1">{#N/A,#N/A,FALSE,"CCTV"}</definedName>
    <definedName name="ELLEN14" localSheetId="6" hidden="1">{#N/A,#N/A,FALSE,"CCTV"}</definedName>
    <definedName name="ELLEN14" localSheetId="3" hidden="1">{#N/A,#N/A,FALSE,"CCTV"}</definedName>
    <definedName name="ELLEN14" hidden="1">{#N/A,#N/A,FALSE,"CCTV"}</definedName>
    <definedName name="ELLEN14_1" localSheetId="5" hidden="1">{#N/A,#N/A,FALSE,"CCTV"}</definedName>
    <definedName name="ELLEN14_1" hidden="1">{#N/A,#N/A,FALSE,"CCTV"}</definedName>
    <definedName name="ELLEN14_2" localSheetId="5" hidden="1">{#N/A,#N/A,FALSE,"CCTV"}</definedName>
    <definedName name="ELLEN14_2" hidden="1">{#N/A,#N/A,FALSE,"CCTV"}</definedName>
    <definedName name="ELLEN14_3" localSheetId="5" hidden="1">{#N/A,#N/A,FALSE,"CCTV"}</definedName>
    <definedName name="ELLEN14_3" hidden="1">{#N/A,#N/A,FALSE,"CCTV"}</definedName>
    <definedName name="ELLEN14_4" localSheetId="5" hidden="1">{#N/A,#N/A,FALSE,"CCTV"}</definedName>
    <definedName name="ELLEN14_4" hidden="1">{#N/A,#N/A,FALSE,"CCTV"}</definedName>
    <definedName name="ELLEN14_5" localSheetId="5" hidden="1">{#N/A,#N/A,FALSE,"CCTV"}</definedName>
    <definedName name="ELLEN14_5" hidden="1">{#N/A,#N/A,FALSE,"CCTV"}</definedName>
    <definedName name="ELLEN15" localSheetId="5" hidden="1">{#N/A,#N/A,FALSE,"CCTV"}</definedName>
    <definedName name="ELLEN15" localSheetId="9" hidden="1">{#N/A,#N/A,FALSE,"CCTV"}</definedName>
    <definedName name="ELLEN15" localSheetId="10" hidden="1">{#N/A,#N/A,FALSE,"CCTV"}</definedName>
    <definedName name="ELLEN15" localSheetId="6" hidden="1">{#N/A,#N/A,FALSE,"CCTV"}</definedName>
    <definedName name="ELLEN15" localSheetId="3" hidden="1">{#N/A,#N/A,FALSE,"CCTV"}</definedName>
    <definedName name="ELLEN15" hidden="1">{#N/A,#N/A,FALSE,"CCTV"}</definedName>
    <definedName name="ELLEN15_1" localSheetId="5" hidden="1">{#N/A,#N/A,FALSE,"CCTV"}</definedName>
    <definedName name="ELLEN15_1" hidden="1">{#N/A,#N/A,FALSE,"CCTV"}</definedName>
    <definedName name="ELLEN15_2" localSheetId="5" hidden="1">{#N/A,#N/A,FALSE,"CCTV"}</definedName>
    <definedName name="ELLEN15_2" hidden="1">{#N/A,#N/A,FALSE,"CCTV"}</definedName>
    <definedName name="ELLEN15_3" localSheetId="5" hidden="1">{#N/A,#N/A,FALSE,"CCTV"}</definedName>
    <definedName name="ELLEN15_3" hidden="1">{#N/A,#N/A,FALSE,"CCTV"}</definedName>
    <definedName name="ELLEN15_4" localSheetId="5" hidden="1">{#N/A,#N/A,FALSE,"CCTV"}</definedName>
    <definedName name="ELLEN15_4" hidden="1">{#N/A,#N/A,FALSE,"CCTV"}</definedName>
    <definedName name="ELLEN15_5" localSheetId="5" hidden="1">{#N/A,#N/A,FALSE,"CCTV"}</definedName>
    <definedName name="ELLEN15_5" hidden="1">{#N/A,#N/A,FALSE,"CCTV"}</definedName>
    <definedName name="ELLEN16" localSheetId="5" hidden="1">{#N/A,#N/A,FALSE,"CCTV"}</definedName>
    <definedName name="ELLEN16" localSheetId="9" hidden="1">{#N/A,#N/A,FALSE,"CCTV"}</definedName>
    <definedName name="ELLEN16" localSheetId="10" hidden="1">{#N/A,#N/A,FALSE,"CCTV"}</definedName>
    <definedName name="ELLEN16" localSheetId="6" hidden="1">{#N/A,#N/A,FALSE,"CCTV"}</definedName>
    <definedName name="ELLEN16" localSheetId="3" hidden="1">{#N/A,#N/A,FALSE,"CCTV"}</definedName>
    <definedName name="ELLEN16" hidden="1">{#N/A,#N/A,FALSE,"CCTV"}</definedName>
    <definedName name="ELLEN16_1" localSheetId="5" hidden="1">{#N/A,#N/A,FALSE,"CCTV"}</definedName>
    <definedName name="ELLEN16_1" hidden="1">{#N/A,#N/A,FALSE,"CCTV"}</definedName>
    <definedName name="ELLEN16_2" localSheetId="5" hidden="1">{#N/A,#N/A,FALSE,"CCTV"}</definedName>
    <definedName name="ELLEN16_2" hidden="1">{#N/A,#N/A,FALSE,"CCTV"}</definedName>
    <definedName name="ELLEN16_3" localSheetId="5" hidden="1">{#N/A,#N/A,FALSE,"CCTV"}</definedName>
    <definedName name="ELLEN16_3" hidden="1">{#N/A,#N/A,FALSE,"CCTV"}</definedName>
    <definedName name="ELLEN16_4" localSheetId="5" hidden="1">{#N/A,#N/A,FALSE,"CCTV"}</definedName>
    <definedName name="ELLEN16_4" hidden="1">{#N/A,#N/A,FALSE,"CCTV"}</definedName>
    <definedName name="ELLEN16_5" localSheetId="5" hidden="1">{#N/A,#N/A,FALSE,"CCTV"}</definedName>
    <definedName name="ELLEN16_5" hidden="1">{#N/A,#N/A,FALSE,"CCTV"}</definedName>
    <definedName name="ELLEN17" localSheetId="5" hidden="1">{#N/A,#N/A,FALSE,"CCTV"}</definedName>
    <definedName name="ELLEN17" localSheetId="9" hidden="1">{#N/A,#N/A,FALSE,"CCTV"}</definedName>
    <definedName name="ELLEN17" localSheetId="10" hidden="1">{#N/A,#N/A,FALSE,"CCTV"}</definedName>
    <definedName name="ELLEN17" localSheetId="6" hidden="1">{#N/A,#N/A,FALSE,"CCTV"}</definedName>
    <definedName name="ELLEN17" localSheetId="3" hidden="1">{#N/A,#N/A,FALSE,"CCTV"}</definedName>
    <definedName name="ELLEN17" hidden="1">{#N/A,#N/A,FALSE,"CCTV"}</definedName>
    <definedName name="ELLEN17_1" localSheetId="5" hidden="1">{#N/A,#N/A,FALSE,"CCTV"}</definedName>
    <definedName name="ELLEN17_1" hidden="1">{#N/A,#N/A,FALSE,"CCTV"}</definedName>
    <definedName name="ELLEN17_2" localSheetId="5" hidden="1">{#N/A,#N/A,FALSE,"CCTV"}</definedName>
    <definedName name="ELLEN17_2" hidden="1">{#N/A,#N/A,FALSE,"CCTV"}</definedName>
    <definedName name="ELLEN17_3" localSheetId="5" hidden="1">{#N/A,#N/A,FALSE,"CCTV"}</definedName>
    <definedName name="ELLEN17_3" hidden="1">{#N/A,#N/A,FALSE,"CCTV"}</definedName>
    <definedName name="ELLEN17_4" localSheetId="5" hidden="1">{#N/A,#N/A,FALSE,"CCTV"}</definedName>
    <definedName name="ELLEN17_4" hidden="1">{#N/A,#N/A,FALSE,"CCTV"}</definedName>
    <definedName name="ELLEN17_5" localSheetId="5" hidden="1">{#N/A,#N/A,FALSE,"CCTV"}</definedName>
    <definedName name="ELLEN17_5" hidden="1">{#N/A,#N/A,FALSE,"CCTV"}</definedName>
    <definedName name="ELLEN18" localSheetId="5" hidden="1">{#N/A,#N/A,FALSE,"CCTV"}</definedName>
    <definedName name="ELLEN18" localSheetId="9" hidden="1">{#N/A,#N/A,FALSE,"CCTV"}</definedName>
    <definedName name="ELLEN18" localSheetId="10" hidden="1">{#N/A,#N/A,FALSE,"CCTV"}</definedName>
    <definedName name="ELLEN18" localSheetId="6" hidden="1">{#N/A,#N/A,FALSE,"CCTV"}</definedName>
    <definedName name="ELLEN18" localSheetId="3" hidden="1">{#N/A,#N/A,FALSE,"CCTV"}</definedName>
    <definedName name="ELLEN18" hidden="1">{#N/A,#N/A,FALSE,"CCTV"}</definedName>
    <definedName name="ELLEN18_1" localSheetId="5" hidden="1">{#N/A,#N/A,FALSE,"CCTV"}</definedName>
    <definedName name="ELLEN18_1" hidden="1">{#N/A,#N/A,FALSE,"CCTV"}</definedName>
    <definedName name="ELLEN18_2" localSheetId="5" hidden="1">{#N/A,#N/A,FALSE,"CCTV"}</definedName>
    <definedName name="ELLEN18_2" hidden="1">{#N/A,#N/A,FALSE,"CCTV"}</definedName>
    <definedName name="ELLEN18_3" localSheetId="5" hidden="1">{#N/A,#N/A,FALSE,"CCTV"}</definedName>
    <definedName name="ELLEN18_3" hidden="1">{#N/A,#N/A,FALSE,"CCTV"}</definedName>
    <definedName name="ELLEN18_4" localSheetId="5" hidden="1">{#N/A,#N/A,FALSE,"CCTV"}</definedName>
    <definedName name="ELLEN18_4" hidden="1">{#N/A,#N/A,FALSE,"CCTV"}</definedName>
    <definedName name="ELLEN18_5" localSheetId="5" hidden="1">{#N/A,#N/A,FALSE,"CCTV"}</definedName>
    <definedName name="ELLEN18_5" hidden="1">{#N/A,#N/A,FALSE,"CCTV"}</definedName>
    <definedName name="ELLEN19" localSheetId="5" hidden="1">{#N/A,#N/A,FALSE,"CCTV"}</definedName>
    <definedName name="ELLEN19" localSheetId="9" hidden="1">{#N/A,#N/A,FALSE,"CCTV"}</definedName>
    <definedName name="ELLEN19" localSheetId="10" hidden="1">{#N/A,#N/A,FALSE,"CCTV"}</definedName>
    <definedName name="ELLEN19" localSheetId="6" hidden="1">{#N/A,#N/A,FALSE,"CCTV"}</definedName>
    <definedName name="ELLEN19" localSheetId="3" hidden="1">{#N/A,#N/A,FALSE,"CCTV"}</definedName>
    <definedName name="ELLEN19" hidden="1">{#N/A,#N/A,FALSE,"CCTV"}</definedName>
    <definedName name="ELLEN19_1" localSheetId="5" hidden="1">{#N/A,#N/A,FALSE,"CCTV"}</definedName>
    <definedName name="ELLEN19_1" hidden="1">{#N/A,#N/A,FALSE,"CCTV"}</definedName>
    <definedName name="ELLEN19_2" localSheetId="5" hidden="1">{#N/A,#N/A,FALSE,"CCTV"}</definedName>
    <definedName name="ELLEN19_2" hidden="1">{#N/A,#N/A,FALSE,"CCTV"}</definedName>
    <definedName name="ELLEN19_3" localSheetId="5" hidden="1">{#N/A,#N/A,FALSE,"CCTV"}</definedName>
    <definedName name="ELLEN19_3" hidden="1">{#N/A,#N/A,FALSE,"CCTV"}</definedName>
    <definedName name="ELLEN19_4" localSheetId="5" hidden="1">{#N/A,#N/A,FALSE,"CCTV"}</definedName>
    <definedName name="ELLEN19_4" hidden="1">{#N/A,#N/A,FALSE,"CCTV"}</definedName>
    <definedName name="ELLEN19_5" localSheetId="5" hidden="1">{#N/A,#N/A,FALSE,"CCTV"}</definedName>
    <definedName name="ELLEN19_5" hidden="1">{#N/A,#N/A,FALSE,"CCTV"}</definedName>
    <definedName name="ELLEN2" localSheetId="5" hidden="1">{#N/A,#N/A,FALSE,"CCTV"}</definedName>
    <definedName name="ELLEN2" localSheetId="9" hidden="1">{#N/A,#N/A,FALSE,"CCTV"}</definedName>
    <definedName name="ELLEN2" localSheetId="10" hidden="1">{#N/A,#N/A,FALSE,"CCTV"}</definedName>
    <definedName name="ELLEN2" localSheetId="6" hidden="1">{#N/A,#N/A,FALSE,"CCTV"}</definedName>
    <definedName name="ELLEN2" localSheetId="3" hidden="1">{#N/A,#N/A,FALSE,"CCTV"}</definedName>
    <definedName name="ELLEN2" hidden="1">{#N/A,#N/A,FALSE,"CCTV"}</definedName>
    <definedName name="ELLEN2_1" localSheetId="5" hidden="1">{#N/A,#N/A,FALSE,"CCTV"}</definedName>
    <definedName name="ELLEN2_1" hidden="1">{#N/A,#N/A,FALSE,"CCTV"}</definedName>
    <definedName name="ELLEN2_2" localSheetId="5" hidden="1">{#N/A,#N/A,FALSE,"CCTV"}</definedName>
    <definedName name="ELLEN2_2" hidden="1">{#N/A,#N/A,FALSE,"CCTV"}</definedName>
    <definedName name="ELLEN2_3" localSheetId="5" hidden="1">{#N/A,#N/A,FALSE,"CCTV"}</definedName>
    <definedName name="ELLEN2_3" hidden="1">{#N/A,#N/A,FALSE,"CCTV"}</definedName>
    <definedName name="ELLEN2_4" localSheetId="5" hidden="1">{#N/A,#N/A,FALSE,"CCTV"}</definedName>
    <definedName name="ELLEN2_4" hidden="1">{#N/A,#N/A,FALSE,"CCTV"}</definedName>
    <definedName name="ELLEN2_5" localSheetId="5" hidden="1">{#N/A,#N/A,FALSE,"CCTV"}</definedName>
    <definedName name="ELLEN2_5" hidden="1">{#N/A,#N/A,FALSE,"CCTV"}</definedName>
    <definedName name="ELLEN3" localSheetId="5" hidden="1">{#N/A,#N/A,FALSE,"CCTV"}</definedName>
    <definedName name="ELLEN3" localSheetId="9" hidden="1">{#N/A,#N/A,FALSE,"CCTV"}</definedName>
    <definedName name="ELLEN3" localSheetId="10" hidden="1">{#N/A,#N/A,FALSE,"CCTV"}</definedName>
    <definedName name="ELLEN3" localSheetId="6" hidden="1">{#N/A,#N/A,FALSE,"CCTV"}</definedName>
    <definedName name="ELLEN3" localSheetId="3" hidden="1">{#N/A,#N/A,FALSE,"CCTV"}</definedName>
    <definedName name="ELLEN3" hidden="1">{#N/A,#N/A,FALSE,"CCTV"}</definedName>
    <definedName name="ELLEN3_1" localSheetId="5" hidden="1">{#N/A,#N/A,FALSE,"CCTV"}</definedName>
    <definedName name="ELLEN3_1" hidden="1">{#N/A,#N/A,FALSE,"CCTV"}</definedName>
    <definedName name="ELLEN3_2" localSheetId="5" hidden="1">{#N/A,#N/A,FALSE,"CCTV"}</definedName>
    <definedName name="ELLEN3_2" hidden="1">{#N/A,#N/A,FALSE,"CCTV"}</definedName>
    <definedName name="ELLEN3_3" localSheetId="5" hidden="1">{#N/A,#N/A,FALSE,"CCTV"}</definedName>
    <definedName name="ELLEN3_3" hidden="1">{#N/A,#N/A,FALSE,"CCTV"}</definedName>
    <definedName name="ELLEN3_4" localSheetId="5" hidden="1">{#N/A,#N/A,FALSE,"CCTV"}</definedName>
    <definedName name="ELLEN3_4" hidden="1">{#N/A,#N/A,FALSE,"CCTV"}</definedName>
    <definedName name="ELLEN3_5" localSheetId="5" hidden="1">{#N/A,#N/A,FALSE,"CCTV"}</definedName>
    <definedName name="ELLEN3_5" hidden="1">{#N/A,#N/A,FALSE,"CCTV"}</definedName>
    <definedName name="ELLEN4" localSheetId="5" hidden="1">{#N/A,#N/A,FALSE,"CCTV"}</definedName>
    <definedName name="ELLEN4" localSheetId="9" hidden="1">{#N/A,#N/A,FALSE,"CCTV"}</definedName>
    <definedName name="ELLEN4" localSheetId="10" hidden="1">{#N/A,#N/A,FALSE,"CCTV"}</definedName>
    <definedName name="ELLEN4" localSheetId="6" hidden="1">{#N/A,#N/A,FALSE,"CCTV"}</definedName>
    <definedName name="ELLEN4" localSheetId="3" hidden="1">{#N/A,#N/A,FALSE,"CCTV"}</definedName>
    <definedName name="ELLEN4" hidden="1">{#N/A,#N/A,FALSE,"CCTV"}</definedName>
    <definedName name="ELLEN4_1" localSheetId="5" hidden="1">{#N/A,#N/A,FALSE,"CCTV"}</definedName>
    <definedName name="ELLEN4_1" hidden="1">{#N/A,#N/A,FALSE,"CCTV"}</definedName>
    <definedName name="ELLEN4_2" localSheetId="5" hidden="1">{#N/A,#N/A,FALSE,"CCTV"}</definedName>
    <definedName name="ELLEN4_2" hidden="1">{#N/A,#N/A,FALSE,"CCTV"}</definedName>
    <definedName name="ELLEN4_3" localSheetId="5" hidden="1">{#N/A,#N/A,FALSE,"CCTV"}</definedName>
    <definedName name="ELLEN4_3" hidden="1">{#N/A,#N/A,FALSE,"CCTV"}</definedName>
    <definedName name="ELLEN4_4" localSheetId="5" hidden="1">{#N/A,#N/A,FALSE,"CCTV"}</definedName>
    <definedName name="ELLEN4_4" hidden="1">{#N/A,#N/A,FALSE,"CCTV"}</definedName>
    <definedName name="ELLEN4_5" localSheetId="5" hidden="1">{#N/A,#N/A,FALSE,"CCTV"}</definedName>
    <definedName name="ELLEN4_5" hidden="1">{#N/A,#N/A,FALSE,"CCTV"}</definedName>
    <definedName name="ELLEN5" localSheetId="5" hidden="1">{#N/A,#N/A,FALSE,"CCTV"}</definedName>
    <definedName name="ELLEN5" localSheetId="9" hidden="1">{#N/A,#N/A,FALSE,"CCTV"}</definedName>
    <definedName name="ELLEN5" localSheetId="10" hidden="1">{#N/A,#N/A,FALSE,"CCTV"}</definedName>
    <definedName name="ELLEN5" localSheetId="6" hidden="1">{#N/A,#N/A,FALSE,"CCTV"}</definedName>
    <definedName name="ELLEN5" localSheetId="3" hidden="1">{#N/A,#N/A,FALSE,"CCTV"}</definedName>
    <definedName name="ELLEN5" hidden="1">{#N/A,#N/A,FALSE,"CCTV"}</definedName>
    <definedName name="ELLEN5_1" localSheetId="5" hidden="1">{#N/A,#N/A,FALSE,"CCTV"}</definedName>
    <definedName name="ELLEN5_1" hidden="1">{#N/A,#N/A,FALSE,"CCTV"}</definedName>
    <definedName name="ELLEN5_2" localSheetId="5" hidden="1">{#N/A,#N/A,FALSE,"CCTV"}</definedName>
    <definedName name="ELLEN5_2" hidden="1">{#N/A,#N/A,FALSE,"CCTV"}</definedName>
    <definedName name="ELLEN5_3" localSheetId="5" hidden="1">{#N/A,#N/A,FALSE,"CCTV"}</definedName>
    <definedName name="ELLEN5_3" hidden="1">{#N/A,#N/A,FALSE,"CCTV"}</definedName>
    <definedName name="ELLEN5_4" localSheetId="5" hidden="1">{#N/A,#N/A,FALSE,"CCTV"}</definedName>
    <definedName name="ELLEN5_4" hidden="1">{#N/A,#N/A,FALSE,"CCTV"}</definedName>
    <definedName name="ELLEN5_5" localSheetId="5" hidden="1">{#N/A,#N/A,FALSE,"CCTV"}</definedName>
    <definedName name="ELLEN5_5" hidden="1">{#N/A,#N/A,FALSE,"CCTV"}</definedName>
    <definedName name="ELLEN6" localSheetId="5" hidden="1">{#N/A,#N/A,FALSE,"CCTV"}</definedName>
    <definedName name="ELLEN6" localSheetId="9" hidden="1">{#N/A,#N/A,FALSE,"CCTV"}</definedName>
    <definedName name="ELLEN6" localSheetId="10" hidden="1">{#N/A,#N/A,FALSE,"CCTV"}</definedName>
    <definedName name="ELLEN6" localSheetId="6" hidden="1">{#N/A,#N/A,FALSE,"CCTV"}</definedName>
    <definedName name="ELLEN6" localSheetId="3" hidden="1">{#N/A,#N/A,FALSE,"CCTV"}</definedName>
    <definedName name="ELLEN6" hidden="1">{#N/A,#N/A,FALSE,"CCTV"}</definedName>
    <definedName name="ELLEN6_1" localSheetId="5" hidden="1">{#N/A,#N/A,FALSE,"CCTV"}</definedName>
    <definedName name="ELLEN6_1" hidden="1">{#N/A,#N/A,FALSE,"CCTV"}</definedName>
    <definedName name="ELLEN6_2" localSheetId="5" hidden="1">{#N/A,#N/A,FALSE,"CCTV"}</definedName>
    <definedName name="ELLEN6_2" hidden="1">{#N/A,#N/A,FALSE,"CCTV"}</definedName>
    <definedName name="ELLEN6_3" localSheetId="5" hidden="1">{#N/A,#N/A,FALSE,"CCTV"}</definedName>
    <definedName name="ELLEN6_3" hidden="1">{#N/A,#N/A,FALSE,"CCTV"}</definedName>
    <definedName name="ELLEN6_4" localSheetId="5" hidden="1">{#N/A,#N/A,FALSE,"CCTV"}</definedName>
    <definedName name="ELLEN6_4" hidden="1">{#N/A,#N/A,FALSE,"CCTV"}</definedName>
    <definedName name="ELLEN6_5" localSheetId="5" hidden="1">{#N/A,#N/A,FALSE,"CCTV"}</definedName>
    <definedName name="ELLEN6_5" hidden="1">{#N/A,#N/A,FALSE,"CCTV"}</definedName>
    <definedName name="ELLEN7" localSheetId="5" hidden="1">{#N/A,#N/A,FALSE,"CCTV"}</definedName>
    <definedName name="ELLEN7" localSheetId="9" hidden="1">{#N/A,#N/A,FALSE,"CCTV"}</definedName>
    <definedName name="ELLEN7" localSheetId="10" hidden="1">{#N/A,#N/A,FALSE,"CCTV"}</definedName>
    <definedName name="ELLEN7" localSheetId="6" hidden="1">{#N/A,#N/A,FALSE,"CCTV"}</definedName>
    <definedName name="ELLEN7" localSheetId="3" hidden="1">{#N/A,#N/A,FALSE,"CCTV"}</definedName>
    <definedName name="ELLEN7" hidden="1">{#N/A,#N/A,FALSE,"CCTV"}</definedName>
    <definedName name="ELLEN7_1" localSheetId="5" hidden="1">{#N/A,#N/A,FALSE,"CCTV"}</definedName>
    <definedName name="ELLEN7_1" hidden="1">{#N/A,#N/A,FALSE,"CCTV"}</definedName>
    <definedName name="ELLEN7_2" localSheetId="5" hidden="1">{#N/A,#N/A,FALSE,"CCTV"}</definedName>
    <definedName name="ELLEN7_2" hidden="1">{#N/A,#N/A,FALSE,"CCTV"}</definedName>
    <definedName name="ELLEN7_3" localSheetId="5" hidden="1">{#N/A,#N/A,FALSE,"CCTV"}</definedName>
    <definedName name="ELLEN7_3" hidden="1">{#N/A,#N/A,FALSE,"CCTV"}</definedName>
    <definedName name="ELLEN7_4" localSheetId="5" hidden="1">{#N/A,#N/A,FALSE,"CCTV"}</definedName>
    <definedName name="ELLEN7_4" hidden="1">{#N/A,#N/A,FALSE,"CCTV"}</definedName>
    <definedName name="ELLEN7_5" localSheetId="5" hidden="1">{#N/A,#N/A,FALSE,"CCTV"}</definedName>
    <definedName name="ELLEN7_5" hidden="1">{#N/A,#N/A,FALSE,"CCTV"}</definedName>
    <definedName name="ELLEN8" localSheetId="5" hidden="1">{#N/A,#N/A,FALSE,"CCTV"}</definedName>
    <definedName name="ELLEN8" localSheetId="9" hidden="1">{#N/A,#N/A,FALSE,"CCTV"}</definedName>
    <definedName name="ELLEN8" localSheetId="10" hidden="1">{#N/A,#N/A,FALSE,"CCTV"}</definedName>
    <definedName name="ELLEN8" localSheetId="6" hidden="1">{#N/A,#N/A,FALSE,"CCTV"}</definedName>
    <definedName name="ELLEN8" localSheetId="3" hidden="1">{#N/A,#N/A,FALSE,"CCTV"}</definedName>
    <definedName name="ELLEN8" hidden="1">{#N/A,#N/A,FALSE,"CCTV"}</definedName>
    <definedName name="ELLEN8_1" localSheetId="5" hidden="1">{#N/A,#N/A,FALSE,"CCTV"}</definedName>
    <definedName name="ELLEN8_1" hidden="1">{#N/A,#N/A,FALSE,"CCTV"}</definedName>
    <definedName name="ELLEN8_2" localSheetId="5" hidden="1">{#N/A,#N/A,FALSE,"CCTV"}</definedName>
    <definedName name="ELLEN8_2" hidden="1">{#N/A,#N/A,FALSE,"CCTV"}</definedName>
    <definedName name="ELLEN8_3" localSheetId="5" hidden="1">{#N/A,#N/A,FALSE,"CCTV"}</definedName>
    <definedName name="ELLEN8_3" hidden="1">{#N/A,#N/A,FALSE,"CCTV"}</definedName>
    <definedName name="ELLEN8_4" localSheetId="5" hidden="1">{#N/A,#N/A,FALSE,"CCTV"}</definedName>
    <definedName name="ELLEN8_4" hidden="1">{#N/A,#N/A,FALSE,"CCTV"}</definedName>
    <definedName name="ELLEN8_5" localSheetId="5" hidden="1">{#N/A,#N/A,FALSE,"CCTV"}</definedName>
    <definedName name="ELLEN8_5" hidden="1">{#N/A,#N/A,FALSE,"CCTV"}</definedName>
    <definedName name="ELLEN9" localSheetId="5" hidden="1">{#N/A,#N/A,FALSE,"CCTV"}</definedName>
    <definedName name="ELLEN9" localSheetId="9" hidden="1">{#N/A,#N/A,FALSE,"CCTV"}</definedName>
    <definedName name="ELLEN9" localSheetId="10" hidden="1">{#N/A,#N/A,FALSE,"CCTV"}</definedName>
    <definedName name="ELLEN9" localSheetId="6" hidden="1">{#N/A,#N/A,FALSE,"CCTV"}</definedName>
    <definedName name="ELLEN9" localSheetId="3" hidden="1">{#N/A,#N/A,FALSE,"CCTV"}</definedName>
    <definedName name="ELLEN9" hidden="1">{#N/A,#N/A,FALSE,"CCTV"}</definedName>
    <definedName name="ELLEN9_1" localSheetId="5" hidden="1">{#N/A,#N/A,FALSE,"CCTV"}</definedName>
    <definedName name="ELLEN9_1" hidden="1">{#N/A,#N/A,FALSE,"CCTV"}</definedName>
    <definedName name="ELLEN9_2" localSheetId="5" hidden="1">{#N/A,#N/A,FALSE,"CCTV"}</definedName>
    <definedName name="ELLEN9_2" hidden="1">{#N/A,#N/A,FALSE,"CCTV"}</definedName>
    <definedName name="ELLEN9_3" localSheetId="5" hidden="1">{#N/A,#N/A,FALSE,"CCTV"}</definedName>
    <definedName name="ELLEN9_3" hidden="1">{#N/A,#N/A,FALSE,"CCTV"}</definedName>
    <definedName name="ELLEN9_4" localSheetId="5" hidden="1">{#N/A,#N/A,FALSE,"CCTV"}</definedName>
    <definedName name="ELLEN9_4" hidden="1">{#N/A,#N/A,FALSE,"CCTV"}</definedName>
    <definedName name="ELLEN9_5" localSheetId="5" hidden="1">{#N/A,#N/A,FALSE,"CCTV"}</definedName>
    <definedName name="ELLEN9_5" hidden="1">{#N/A,#N/A,FALSE,"CCTV"}</definedName>
    <definedName name="EQUIP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QUIP" localSheetId="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QUIP" localSheetId="1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QUIP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QUIP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QUIP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EQUIPMENT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EQUIPMENT" localSheetId="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EQUIPMENT" localSheetId="1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EQUIPMENT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EQUIPMENT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EQUIP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ER" localSheetId="5" hidden="1">{#N/A,#N/A,FALSE,"CCTV"}</definedName>
    <definedName name="ER" localSheetId="9" hidden="1">{#N/A,#N/A,FALSE,"CCTV"}</definedName>
    <definedName name="ER" localSheetId="10" hidden="1">{#N/A,#N/A,FALSE,"CCTV"}</definedName>
    <definedName name="ER" localSheetId="6" hidden="1">{#N/A,#N/A,FALSE,"CCTV"}</definedName>
    <definedName name="ER" localSheetId="3" hidden="1">{#N/A,#N/A,FALSE,"CCTV"}</definedName>
    <definedName name="ER" hidden="1">{#N/A,#N/A,FALSE,"CCTV"}</definedName>
    <definedName name="ER_1" localSheetId="5" hidden="1">{#N/A,#N/A,FALSE,"CCTV"}</definedName>
    <definedName name="ER_1" localSheetId="9" hidden="1">{#N/A,#N/A,FALSE,"CCTV"}</definedName>
    <definedName name="ER_1" localSheetId="10" hidden="1">{#N/A,#N/A,FALSE,"CCTV"}</definedName>
    <definedName name="ER_1" localSheetId="6" hidden="1">{#N/A,#N/A,FALSE,"CCTV"}</definedName>
    <definedName name="ER_1" localSheetId="3" hidden="1">{#N/A,#N/A,FALSE,"CCTV"}</definedName>
    <definedName name="ER_1" hidden="1">{#N/A,#N/A,FALSE,"CCTV"}</definedName>
    <definedName name="ER_2" localSheetId="5" hidden="1">{#N/A,#N/A,FALSE,"CCTV"}</definedName>
    <definedName name="ER_2" hidden="1">{#N/A,#N/A,FALSE,"CCTV"}</definedName>
    <definedName name="ER_3" localSheetId="5" hidden="1">{#N/A,#N/A,FALSE,"CCTV"}</definedName>
    <definedName name="ER_3" hidden="1">{#N/A,#N/A,FALSE,"CCTV"}</definedName>
    <definedName name="ER_4" localSheetId="5" hidden="1">{#N/A,#N/A,FALSE,"CCTV"}</definedName>
    <definedName name="ER_4" hidden="1">{#N/A,#N/A,FALSE,"CCTV"}</definedName>
    <definedName name="ER_5" localSheetId="5" hidden="1">{#N/A,#N/A,FALSE,"CCTV"}</definedName>
    <definedName name="ER_5" hidden="1">{#N/A,#N/A,FALSE,"CCTV"}</definedName>
    <definedName name="ERD" localSheetId="5" hidden="1">{#N/A,#N/A,TRUE,"Basic";#N/A,#N/A,TRUE,"EXT-TABLE";#N/A,#N/A,TRUE,"STEEL";#N/A,#N/A,TRUE,"INT-Table";#N/A,#N/A,TRUE,"STEEL";#N/A,#N/A,TRUE,"Door"}</definedName>
    <definedName name="ERD" localSheetId="9" hidden="1">{#N/A,#N/A,TRUE,"Basic";#N/A,#N/A,TRUE,"EXT-TABLE";#N/A,#N/A,TRUE,"STEEL";#N/A,#N/A,TRUE,"INT-Table";#N/A,#N/A,TRUE,"STEEL";#N/A,#N/A,TRUE,"Door"}</definedName>
    <definedName name="ERD" localSheetId="10" hidden="1">{#N/A,#N/A,TRUE,"Basic";#N/A,#N/A,TRUE,"EXT-TABLE";#N/A,#N/A,TRUE,"STEEL";#N/A,#N/A,TRUE,"INT-Table";#N/A,#N/A,TRUE,"STEEL";#N/A,#N/A,TRUE,"Door"}</definedName>
    <definedName name="ERD" localSheetId="6" hidden="1">{#N/A,#N/A,TRUE,"Basic";#N/A,#N/A,TRUE,"EXT-TABLE";#N/A,#N/A,TRUE,"STEEL";#N/A,#N/A,TRUE,"INT-Table";#N/A,#N/A,TRUE,"STEEL";#N/A,#N/A,TRUE,"Door"}</definedName>
    <definedName name="ERD" localSheetId="3" hidden="1">{#N/A,#N/A,TRUE,"Basic";#N/A,#N/A,TRUE,"EXT-TABLE";#N/A,#N/A,TRUE,"STEEL";#N/A,#N/A,TRUE,"INT-Table";#N/A,#N/A,TRUE,"STEEL";#N/A,#N/A,TRUE,"Door"}</definedName>
    <definedName name="ERD" hidden="1">{#N/A,#N/A,TRUE,"Basic";#N/A,#N/A,TRUE,"EXT-TABLE";#N/A,#N/A,TRUE,"STEEL";#N/A,#N/A,TRUE,"INT-Table";#N/A,#N/A,TRUE,"STEEL";#N/A,#N/A,TRUE,"Door"}</definedName>
    <definedName name="ERD_1" localSheetId="5" hidden="1">{#N/A,#N/A,TRUE,"Basic";#N/A,#N/A,TRUE,"EXT-TABLE";#N/A,#N/A,TRUE,"STEEL";#N/A,#N/A,TRUE,"INT-Table";#N/A,#N/A,TRUE,"STEEL";#N/A,#N/A,TRUE,"Door"}</definedName>
    <definedName name="ERD_1" hidden="1">{#N/A,#N/A,TRUE,"Basic";#N/A,#N/A,TRUE,"EXT-TABLE";#N/A,#N/A,TRUE,"STEEL";#N/A,#N/A,TRUE,"INT-Table";#N/A,#N/A,TRUE,"STEEL";#N/A,#N/A,TRUE,"Door"}</definedName>
    <definedName name="ERD_2" localSheetId="5" hidden="1">{#N/A,#N/A,TRUE,"Basic";#N/A,#N/A,TRUE,"EXT-TABLE";#N/A,#N/A,TRUE,"STEEL";#N/A,#N/A,TRUE,"INT-Table";#N/A,#N/A,TRUE,"STEEL";#N/A,#N/A,TRUE,"Door"}</definedName>
    <definedName name="ERD_2" hidden="1">{#N/A,#N/A,TRUE,"Basic";#N/A,#N/A,TRUE,"EXT-TABLE";#N/A,#N/A,TRUE,"STEEL";#N/A,#N/A,TRUE,"INT-Table";#N/A,#N/A,TRUE,"STEEL";#N/A,#N/A,TRUE,"Door"}</definedName>
    <definedName name="ERD_3" localSheetId="5" hidden="1">{#N/A,#N/A,TRUE,"Basic";#N/A,#N/A,TRUE,"EXT-TABLE";#N/A,#N/A,TRUE,"STEEL";#N/A,#N/A,TRUE,"INT-Table";#N/A,#N/A,TRUE,"STEEL";#N/A,#N/A,TRUE,"Door"}</definedName>
    <definedName name="ERD_3" hidden="1">{#N/A,#N/A,TRUE,"Basic";#N/A,#N/A,TRUE,"EXT-TABLE";#N/A,#N/A,TRUE,"STEEL";#N/A,#N/A,TRUE,"INT-Table";#N/A,#N/A,TRUE,"STEEL";#N/A,#N/A,TRUE,"Door"}</definedName>
    <definedName name="ERD_4" localSheetId="5" hidden="1">{#N/A,#N/A,TRUE,"Basic";#N/A,#N/A,TRUE,"EXT-TABLE";#N/A,#N/A,TRUE,"STEEL";#N/A,#N/A,TRUE,"INT-Table";#N/A,#N/A,TRUE,"STEEL";#N/A,#N/A,TRUE,"Door"}</definedName>
    <definedName name="ERD_4" hidden="1">{#N/A,#N/A,TRUE,"Basic";#N/A,#N/A,TRUE,"EXT-TABLE";#N/A,#N/A,TRUE,"STEEL";#N/A,#N/A,TRUE,"INT-Table";#N/A,#N/A,TRUE,"STEEL";#N/A,#N/A,TRUE,"Door"}</definedName>
    <definedName name="ERD_5" localSheetId="5" hidden="1">{#N/A,#N/A,TRUE,"Basic";#N/A,#N/A,TRUE,"EXT-TABLE";#N/A,#N/A,TRUE,"STEEL";#N/A,#N/A,TRUE,"INT-Table";#N/A,#N/A,TRUE,"STEEL";#N/A,#N/A,TRUE,"Door"}</definedName>
    <definedName name="ERD_5" hidden="1">{#N/A,#N/A,TRUE,"Basic";#N/A,#N/A,TRUE,"EXT-TABLE";#N/A,#N/A,TRUE,"STEEL";#N/A,#N/A,TRUE,"INT-Table";#N/A,#N/A,TRUE,"STEEL";#N/A,#N/A,TRUE,"Door"}</definedName>
    <definedName name="ErrName162821590" localSheetId="9" hidden="1">#REF!</definedName>
    <definedName name="ErrName162821590" localSheetId="10" hidden="1">#REF!</definedName>
    <definedName name="ErrName162821590" hidden="1">#REF!</definedName>
    <definedName name="erterte" localSheetId="5" hidden="1">{#N/A,#N/A,TRUE,"arnitower";#N/A,#N/A,TRUE,"arnigarage "}</definedName>
    <definedName name="erterte" hidden="1">{#N/A,#N/A,TRUE,"arnitower";#N/A,#N/A,TRUE,"arnigarage "}</definedName>
    <definedName name="ertre" localSheetId="5" hidden="1">{#N/A,#N/A,TRUE,"arnitower";#N/A,#N/A,TRUE,"arnigarage "}</definedName>
    <definedName name="ertre" hidden="1">{#N/A,#N/A,TRUE,"arnitower";#N/A,#N/A,TRUE,"arnigarage "}</definedName>
    <definedName name="erty" localSheetId="5" hidden="1">{"'장비'!$A$3:$M$12"}</definedName>
    <definedName name="erty" hidden="1">{"'장비'!$A$3:$M$12"}</definedName>
    <definedName name="erty_1" localSheetId="5" hidden="1">{"'장비'!$A$3:$M$12"}</definedName>
    <definedName name="erty_1" hidden="1">{"'장비'!$A$3:$M$12"}</definedName>
    <definedName name="erty_2" localSheetId="5" hidden="1">{"'장비'!$A$3:$M$12"}</definedName>
    <definedName name="erty_2" hidden="1">{"'장비'!$A$3:$M$12"}</definedName>
    <definedName name="erty_3" localSheetId="5" hidden="1">{"'장비'!$A$3:$M$12"}</definedName>
    <definedName name="erty_3" hidden="1">{"'장비'!$A$3:$M$12"}</definedName>
    <definedName name="erty_4" localSheetId="5" hidden="1">{"'장비'!$A$3:$M$12"}</definedName>
    <definedName name="erty_4" hidden="1">{"'장비'!$A$3:$M$12"}</definedName>
    <definedName name="erty_5" localSheetId="5" hidden="1">{"'장비'!$A$3:$M$12"}</definedName>
    <definedName name="erty_5" hidden="1">{"'장비'!$A$3:$M$12"}</definedName>
    <definedName name="es" localSheetId="5" hidden="1">{"'Sheet1'!$L$16"}</definedName>
    <definedName name="es" localSheetId="9" hidden="1">{"'Sheet1'!$L$16"}</definedName>
    <definedName name="es" localSheetId="10" hidden="1">{"'Sheet1'!$L$16"}</definedName>
    <definedName name="es" localSheetId="6" hidden="1">{"'Sheet1'!$L$16"}</definedName>
    <definedName name="es" localSheetId="3" hidden="1">{"'Sheet1'!$L$16"}</definedName>
    <definedName name="es" hidden="1">{"'Sheet1'!$L$16"}</definedName>
    <definedName name="esp" localSheetId="5" hidden="1">{"'CATALO(8)'!$B$1:$G$49"}</definedName>
    <definedName name="esp" hidden="1">{"'CATALO(8)'!$B$1:$G$49"}</definedName>
    <definedName name="esp_1" localSheetId="5" hidden="1">{"'CATALO(8)'!$B$1:$G$49"}</definedName>
    <definedName name="esp_1" hidden="1">{"'CATALO(8)'!$B$1:$G$49"}</definedName>
    <definedName name="esp_2" localSheetId="5" hidden="1">{"'CATALO(8)'!$B$1:$G$49"}</definedName>
    <definedName name="esp_2" hidden="1">{"'CATALO(8)'!$B$1:$G$49"}</definedName>
    <definedName name="esp_3" localSheetId="5" hidden="1">{"'CATALO(8)'!$B$1:$G$49"}</definedName>
    <definedName name="esp_3" hidden="1">{"'CATALO(8)'!$B$1:$G$49"}</definedName>
    <definedName name="esp_4" localSheetId="5" hidden="1">{"'CATALO(8)'!$B$1:$G$49"}</definedName>
    <definedName name="esp_4" hidden="1">{"'CATALO(8)'!$B$1:$G$49"}</definedName>
    <definedName name="esp_5" localSheetId="5" hidden="1">{"'CATALO(8)'!$B$1:$G$49"}</definedName>
    <definedName name="esp_5" hidden="1">{"'CATALO(8)'!$B$1:$G$49"}</definedName>
    <definedName name="ET" localSheetId="5" hidden="1">{#N/A,#N/A,FALSE,"CCTV"}</definedName>
    <definedName name="ET" localSheetId="9" hidden="1">{#N/A,#N/A,FALSE,"CCTV"}</definedName>
    <definedName name="ET" localSheetId="10" hidden="1">{#N/A,#N/A,FALSE,"CCTV"}</definedName>
    <definedName name="ET" localSheetId="6" hidden="1">{#N/A,#N/A,FALSE,"CCTV"}</definedName>
    <definedName name="ET" localSheetId="3" hidden="1">{#N/A,#N/A,FALSE,"CCTV"}</definedName>
    <definedName name="ET" hidden="1">{#N/A,#N/A,FALSE,"CCTV"}</definedName>
    <definedName name="ET_1" localSheetId="5" hidden="1">{#N/A,#N/A,FALSE,"CCTV"}</definedName>
    <definedName name="ET_1" localSheetId="9" hidden="1">{#N/A,#N/A,FALSE,"CCTV"}</definedName>
    <definedName name="ET_1" localSheetId="10" hidden="1">{#N/A,#N/A,FALSE,"CCTV"}</definedName>
    <definedName name="ET_1" localSheetId="6" hidden="1">{#N/A,#N/A,FALSE,"CCTV"}</definedName>
    <definedName name="ET_1" localSheetId="3" hidden="1">{#N/A,#N/A,FALSE,"CCTV"}</definedName>
    <definedName name="ET_1" hidden="1">{#N/A,#N/A,FALSE,"CCTV"}</definedName>
    <definedName name="ET_2" localSheetId="5" hidden="1">{#N/A,#N/A,FALSE,"CCTV"}</definedName>
    <definedName name="ET_2" hidden="1">{#N/A,#N/A,FALSE,"CCTV"}</definedName>
    <definedName name="ET_3" localSheetId="5" hidden="1">{#N/A,#N/A,FALSE,"CCTV"}</definedName>
    <definedName name="ET_3" hidden="1">{#N/A,#N/A,FALSE,"CCTV"}</definedName>
    <definedName name="ET_4" localSheetId="5" hidden="1">{#N/A,#N/A,FALSE,"CCTV"}</definedName>
    <definedName name="ET_4" hidden="1">{#N/A,#N/A,FALSE,"CCTV"}</definedName>
    <definedName name="ET_5" localSheetId="5" hidden="1">{#N/A,#N/A,FALSE,"CCTV"}</definedName>
    <definedName name="ET_5" hidden="1">{#N/A,#N/A,FALSE,"CCTV"}</definedName>
    <definedName name="EWQEQ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WE" localSheetId="5" hidden="1">{"'장비'!$A$3:$M$12"}</definedName>
    <definedName name="EWRWE" localSheetId="9" hidden="1">{"'장비'!$A$3:$M$12"}</definedName>
    <definedName name="EWRWE" localSheetId="10" hidden="1">{"'장비'!$A$3:$M$12"}</definedName>
    <definedName name="EWRWE" localSheetId="6" hidden="1">{"'장비'!$A$3:$M$12"}</definedName>
    <definedName name="EWRWE" localSheetId="3" hidden="1">{"'장비'!$A$3:$M$12"}</definedName>
    <definedName name="EWRWE" hidden="1">{"'장비'!$A$3:$M$12"}</definedName>
    <definedName name="ewrweq" localSheetId="5" hidden="1">{"'장비'!$A$3:$M$12"}</definedName>
    <definedName name="ewrweq" localSheetId="9" hidden="1">{"'장비'!$A$3:$M$12"}</definedName>
    <definedName name="ewrweq" localSheetId="10" hidden="1">{"'장비'!$A$3:$M$12"}</definedName>
    <definedName name="ewrweq" localSheetId="6" hidden="1">{"'장비'!$A$3:$M$12"}</definedName>
    <definedName name="ewrweq" localSheetId="3" hidden="1">{"'장비'!$A$3:$M$12"}</definedName>
    <definedName name="ewrweq" hidden="1">{"'장비'!$A$3:$M$12"}</definedName>
    <definedName name="EX" localSheetId="5" hidden="1">{#N/A,#N/A,FALSE,"CCTV"}</definedName>
    <definedName name="EX" localSheetId="9" hidden="1">{#N/A,#N/A,FALSE,"CCTV"}</definedName>
    <definedName name="EX" localSheetId="10" hidden="1">{#N/A,#N/A,FALSE,"CCTV"}</definedName>
    <definedName name="EX" localSheetId="6" hidden="1">{#N/A,#N/A,FALSE,"CCTV"}</definedName>
    <definedName name="EX" localSheetId="3" hidden="1">{#N/A,#N/A,FALSE,"CCTV"}</definedName>
    <definedName name="EX" hidden="1">{#N/A,#N/A,FALSE,"CCTV"}</definedName>
    <definedName name="EX_1" localSheetId="5" hidden="1">{#N/A,#N/A,FALSE,"CCTV"}</definedName>
    <definedName name="EX_1" localSheetId="9" hidden="1">{#N/A,#N/A,FALSE,"CCTV"}</definedName>
    <definedName name="EX_1" localSheetId="10" hidden="1">{#N/A,#N/A,FALSE,"CCTV"}</definedName>
    <definedName name="EX_1" localSheetId="6" hidden="1">{#N/A,#N/A,FALSE,"CCTV"}</definedName>
    <definedName name="EX_1" localSheetId="3" hidden="1">{#N/A,#N/A,FALSE,"CCTV"}</definedName>
    <definedName name="EX_1" hidden="1">{#N/A,#N/A,FALSE,"CCTV"}</definedName>
    <definedName name="eyteyt" localSheetId="5" hidden="1">{#N/A,#N/A,FALSE,"CCTV"}</definedName>
    <definedName name="eyteyt" localSheetId="9" hidden="1">{#N/A,#N/A,FALSE,"CCTV"}</definedName>
    <definedName name="eyteyt" localSheetId="10" hidden="1">{#N/A,#N/A,FALSE,"CCTV"}</definedName>
    <definedName name="eyteyt" localSheetId="6" hidden="1">{#N/A,#N/A,FALSE,"CCTV"}</definedName>
    <definedName name="eyteyt" localSheetId="3" hidden="1">{#N/A,#N/A,FALSE,"CCTV"}</definedName>
    <definedName name="eyteyt" hidden="1">{#N/A,#N/A,FALSE,"CCTV"}</definedName>
    <definedName name="eyteyt_1" localSheetId="5" hidden="1">{#N/A,#N/A,FALSE,"CCTV"}</definedName>
    <definedName name="eyteyt_1" hidden="1">{#N/A,#N/A,FALSE,"CCTV"}</definedName>
    <definedName name="eyteyt_2" localSheetId="5" hidden="1">{#N/A,#N/A,FALSE,"CCTV"}</definedName>
    <definedName name="eyteyt_2" hidden="1">{#N/A,#N/A,FALSE,"CCTV"}</definedName>
    <definedName name="eyteyt_3" localSheetId="5" hidden="1">{#N/A,#N/A,FALSE,"CCTV"}</definedName>
    <definedName name="eyteyt_3" hidden="1">{#N/A,#N/A,FALSE,"CCTV"}</definedName>
    <definedName name="eyteyt_4" localSheetId="5" hidden="1">{#N/A,#N/A,FALSE,"CCTV"}</definedName>
    <definedName name="eyteyt_4" hidden="1">{#N/A,#N/A,FALSE,"CCTV"}</definedName>
    <definedName name="eyteyt_5" localSheetId="5" hidden="1">{#N/A,#N/A,FALSE,"CCTV"}</definedName>
    <definedName name="eyteyt_5" hidden="1">{#N/A,#N/A,FALSE,"CCTV"}</definedName>
    <definedName name="fasfsdfsdfasdfsdfsd" localSheetId="5" hidden="1">{#N/A,#N/A,TRUE,"Basic";#N/A,#N/A,TRUE,"EXT-TABLE";#N/A,#N/A,TRUE,"STEEL";#N/A,#N/A,TRUE,"INT-Table";#N/A,#N/A,TRUE,"STEEL";#N/A,#N/A,TRUE,"Door"}</definedName>
    <definedName name="fasfsdfsdfasdfsdfsd" localSheetId="9" hidden="1">{#N/A,#N/A,TRUE,"Basic";#N/A,#N/A,TRUE,"EXT-TABLE";#N/A,#N/A,TRUE,"STEEL";#N/A,#N/A,TRUE,"INT-Table";#N/A,#N/A,TRUE,"STEEL";#N/A,#N/A,TRUE,"Door"}</definedName>
    <definedName name="fasfsdfsdfasdfsdfsd" localSheetId="10" hidden="1">{#N/A,#N/A,TRUE,"Basic";#N/A,#N/A,TRUE,"EXT-TABLE";#N/A,#N/A,TRUE,"STEEL";#N/A,#N/A,TRUE,"INT-Table";#N/A,#N/A,TRUE,"STEEL";#N/A,#N/A,TRUE,"Door"}</definedName>
    <definedName name="fasfsdfsdfasdfsdfsd" localSheetId="6" hidden="1">{#N/A,#N/A,TRUE,"Basic";#N/A,#N/A,TRUE,"EXT-TABLE";#N/A,#N/A,TRUE,"STEEL";#N/A,#N/A,TRUE,"INT-Table";#N/A,#N/A,TRUE,"STEEL";#N/A,#N/A,TRUE,"Door"}</definedName>
    <definedName name="fasfsdfsdfasdfsdfsd" localSheetId="3" hidden="1">{#N/A,#N/A,TRUE,"Basic";#N/A,#N/A,TRUE,"EXT-TABLE";#N/A,#N/A,TRUE,"STEEL";#N/A,#N/A,TRUE,"INT-Table";#N/A,#N/A,TRUE,"STEEL";#N/A,#N/A,TRUE,"Door"}</definedName>
    <definedName name="fasfsdfsdfasdfsdfsd" hidden="1">{#N/A,#N/A,TRUE,"Basic";#N/A,#N/A,TRUE,"EXT-TABLE";#N/A,#N/A,TRUE,"STEEL";#N/A,#N/A,TRUE,"INT-Table";#N/A,#N/A,TRUE,"STEEL";#N/A,#N/A,TRUE,"Door"}</definedName>
    <definedName name="fasfsdfsdfasdfsdfsd_1" localSheetId="5" hidden="1">{#N/A,#N/A,TRUE,"Basic";#N/A,#N/A,TRUE,"EXT-TABLE";#N/A,#N/A,TRUE,"STEEL";#N/A,#N/A,TRUE,"INT-Table";#N/A,#N/A,TRUE,"STEEL";#N/A,#N/A,TRUE,"Door"}</definedName>
    <definedName name="fasfsdfsdfasdfsdfsd_1" hidden="1">{#N/A,#N/A,TRUE,"Basic";#N/A,#N/A,TRUE,"EXT-TABLE";#N/A,#N/A,TRUE,"STEEL";#N/A,#N/A,TRUE,"INT-Table";#N/A,#N/A,TRUE,"STEEL";#N/A,#N/A,TRUE,"Door"}</definedName>
    <definedName name="fasfsdfsdfasdfsdfsd_2" localSheetId="5" hidden="1">{#N/A,#N/A,TRUE,"Basic";#N/A,#N/A,TRUE,"EXT-TABLE";#N/A,#N/A,TRUE,"STEEL";#N/A,#N/A,TRUE,"INT-Table";#N/A,#N/A,TRUE,"STEEL";#N/A,#N/A,TRUE,"Door"}</definedName>
    <definedName name="fasfsdfsdfasdfsdfsd_2" hidden="1">{#N/A,#N/A,TRUE,"Basic";#N/A,#N/A,TRUE,"EXT-TABLE";#N/A,#N/A,TRUE,"STEEL";#N/A,#N/A,TRUE,"INT-Table";#N/A,#N/A,TRUE,"STEEL";#N/A,#N/A,TRUE,"Door"}</definedName>
    <definedName name="fasfsdfsdfasdfsdfsd_3" localSheetId="5" hidden="1">{#N/A,#N/A,TRUE,"Basic";#N/A,#N/A,TRUE,"EXT-TABLE";#N/A,#N/A,TRUE,"STEEL";#N/A,#N/A,TRUE,"INT-Table";#N/A,#N/A,TRUE,"STEEL";#N/A,#N/A,TRUE,"Door"}</definedName>
    <definedName name="fasfsdfsdfasdfsdfsd_3" hidden="1">{#N/A,#N/A,TRUE,"Basic";#N/A,#N/A,TRUE,"EXT-TABLE";#N/A,#N/A,TRUE,"STEEL";#N/A,#N/A,TRUE,"INT-Table";#N/A,#N/A,TRUE,"STEEL";#N/A,#N/A,TRUE,"Door"}</definedName>
    <definedName name="fasfsdfsdfasdfsdfsd_4" localSheetId="5" hidden="1">{#N/A,#N/A,TRUE,"Basic";#N/A,#N/A,TRUE,"EXT-TABLE";#N/A,#N/A,TRUE,"STEEL";#N/A,#N/A,TRUE,"INT-Table";#N/A,#N/A,TRUE,"STEEL";#N/A,#N/A,TRUE,"Door"}</definedName>
    <definedName name="fasfsdfsdfasdfsdfsd_4" hidden="1">{#N/A,#N/A,TRUE,"Basic";#N/A,#N/A,TRUE,"EXT-TABLE";#N/A,#N/A,TRUE,"STEEL";#N/A,#N/A,TRUE,"INT-Table";#N/A,#N/A,TRUE,"STEEL";#N/A,#N/A,TRUE,"Door"}</definedName>
    <definedName name="fasfsdfsdfasdfsdfsd_5" localSheetId="5" hidden="1">{#N/A,#N/A,TRUE,"Basic";#N/A,#N/A,TRUE,"EXT-TABLE";#N/A,#N/A,TRUE,"STEEL";#N/A,#N/A,TRUE,"INT-Table";#N/A,#N/A,TRUE,"STEEL";#N/A,#N/A,TRUE,"Door"}</definedName>
    <definedName name="fasfsdfsdfasdfsdfsd_5" hidden="1">{#N/A,#N/A,TRUE,"Basic";#N/A,#N/A,TRUE,"EXT-TABLE";#N/A,#N/A,TRUE,"STEEL";#N/A,#N/A,TRUE,"INT-Table";#N/A,#N/A,TRUE,"STEEL";#N/A,#N/A,TRUE,"Door"}</definedName>
    <definedName name="fd" localSheetId="5" hidden="1">{"'Sheet1'!$L$16"}</definedName>
    <definedName name="fd" localSheetId="9" hidden="1">{"'Sheet1'!$L$16"}</definedName>
    <definedName name="fd" localSheetId="10" hidden="1">{"'Sheet1'!$L$16"}</definedName>
    <definedName name="fd" localSheetId="6" hidden="1">{"'Sheet1'!$L$16"}</definedName>
    <definedName name="fd" localSheetId="3" hidden="1">{"'Sheet1'!$L$16"}</definedName>
    <definedName name="fd" hidden="1">{"'Sheet1'!$L$16"}</definedName>
    <definedName name="FDDDDDDDDDDDD" localSheetId="5" hidden="1">{#N/A,#N/A,TRUE,"총괄"}</definedName>
    <definedName name="FDDDDDDDDDDDD" hidden="1">{#N/A,#N/A,TRUE,"총괄"}</definedName>
    <definedName name="FDDDDDDDDDDDD_1" localSheetId="5" hidden="1">{#N/A,#N/A,TRUE,"총괄"}</definedName>
    <definedName name="FDDDDDDDDDDDD_1" hidden="1">{#N/A,#N/A,TRUE,"총괄"}</definedName>
    <definedName name="FDDDDDDDDDDDD_2" localSheetId="5" hidden="1">{#N/A,#N/A,TRUE,"총괄"}</definedName>
    <definedName name="FDDDDDDDDDDDD_2" hidden="1">{#N/A,#N/A,TRUE,"총괄"}</definedName>
    <definedName name="FDDDDDDDDDDDD_3" localSheetId="5" hidden="1">{#N/A,#N/A,TRUE,"총괄"}</definedName>
    <definedName name="FDDDDDDDDDDDD_3" hidden="1">{#N/A,#N/A,TRUE,"총괄"}</definedName>
    <definedName name="FDDDDDDDDDDDD_4" localSheetId="5" hidden="1">{#N/A,#N/A,TRUE,"총괄"}</definedName>
    <definedName name="FDDDDDDDDDDDD_4" hidden="1">{#N/A,#N/A,TRUE,"총괄"}</definedName>
    <definedName name="FDDDDDDDDDDDD_5" localSheetId="5" hidden="1">{#N/A,#N/A,TRUE,"총괄"}</definedName>
    <definedName name="FDDDDDDDDDDDD_5" hidden="1">{#N/A,#N/A,TRUE,"총괄"}</definedName>
    <definedName name="fddfhdfhdgh" localSheetId="5" hidden="1">{#N/A,#N/A,FALSE,"CCTV"}</definedName>
    <definedName name="fddfhdfhdgh" localSheetId="9" hidden="1">{#N/A,#N/A,FALSE,"CCTV"}</definedName>
    <definedName name="fddfhdfhdgh" localSheetId="10" hidden="1">{#N/A,#N/A,FALSE,"CCTV"}</definedName>
    <definedName name="fddfhdfhdgh" localSheetId="6" hidden="1">{#N/A,#N/A,FALSE,"CCTV"}</definedName>
    <definedName name="fddfhdfhdgh" localSheetId="3" hidden="1">{#N/A,#N/A,FALSE,"CCTV"}</definedName>
    <definedName name="fddfhdfhdgh" hidden="1">{#N/A,#N/A,FALSE,"CCTV"}</definedName>
    <definedName name="fddfhdfhdgh_1" localSheetId="5" hidden="1">{#N/A,#N/A,FALSE,"CCTV"}</definedName>
    <definedName name="fddfhdfhdgh_1" hidden="1">{#N/A,#N/A,FALSE,"CCTV"}</definedName>
    <definedName name="fddfhdfhdgh_2" localSheetId="5" hidden="1">{#N/A,#N/A,FALSE,"CCTV"}</definedName>
    <definedName name="fddfhdfhdgh_2" hidden="1">{#N/A,#N/A,FALSE,"CCTV"}</definedName>
    <definedName name="fddfhdfhdgh_3" localSheetId="5" hidden="1">{#N/A,#N/A,FALSE,"CCTV"}</definedName>
    <definedName name="fddfhdfhdgh_3" hidden="1">{#N/A,#N/A,FALSE,"CCTV"}</definedName>
    <definedName name="fddfhdfhdgh_4" localSheetId="5" hidden="1">{#N/A,#N/A,FALSE,"CCTV"}</definedName>
    <definedName name="fddfhdfhdgh_4" hidden="1">{#N/A,#N/A,FALSE,"CCTV"}</definedName>
    <definedName name="fddfhdfhdgh_5" localSheetId="5" hidden="1">{#N/A,#N/A,FALSE,"CCTV"}</definedName>
    <definedName name="fddfhdfhdgh_5" hidden="1">{#N/A,#N/A,FALSE,"CCTV"}</definedName>
    <definedName name="FDDS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f" localSheetId="5" hidden="1">{#N/A,#N/A,FALSE,"CCTV"}</definedName>
    <definedName name="fdf" localSheetId="9" hidden="1">{#N/A,#N/A,FALSE,"CCTV"}</definedName>
    <definedName name="fdf" localSheetId="10" hidden="1">{#N/A,#N/A,FALSE,"CCTV"}</definedName>
    <definedName name="fdf" localSheetId="6" hidden="1">{#N/A,#N/A,FALSE,"CCTV"}</definedName>
    <definedName name="fdf" localSheetId="3" hidden="1">{#N/A,#N/A,FALSE,"CCTV"}</definedName>
    <definedName name="fdf" hidden="1">{#N/A,#N/A,FALSE,"CCTV"}</definedName>
    <definedName name="fdf_1" localSheetId="5" hidden="1">{#N/A,#N/A,FALSE,"CCTV"}</definedName>
    <definedName name="fdf_1" hidden="1">{#N/A,#N/A,FALSE,"CCTV"}</definedName>
    <definedName name="fdf_2" localSheetId="5" hidden="1">{#N/A,#N/A,FALSE,"CCTV"}</definedName>
    <definedName name="fdf_2" hidden="1">{#N/A,#N/A,FALSE,"CCTV"}</definedName>
    <definedName name="fdf_3" localSheetId="5" hidden="1">{#N/A,#N/A,FALSE,"CCTV"}</definedName>
    <definedName name="fdf_3" hidden="1">{#N/A,#N/A,FALSE,"CCTV"}</definedName>
    <definedName name="fdf_4" localSheetId="5" hidden="1">{#N/A,#N/A,FALSE,"CCTV"}</definedName>
    <definedName name="fdf_4" hidden="1">{#N/A,#N/A,FALSE,"CCTV"}</definedName>
    <definedName name="fdf_5" localSheetId="5" hidden="1">{#N/A,#N/A,FALSE,"CCTV"}</definedName>
    <definedName name="fdf_5" hidden="1">{#N/A,#N/A,FALSE,"CCTV"}</definedName>
    <definedName name="FDFDF" localSheetId="5" hidden="1">{#N/A,#N/A,FALSE,"CCTV"}</definedName>
    <definedName name="FDFDF" localSheetId="9" hidden="1">{#N/A,#N/A,FALSE,"CCTV"}</definedName>
    <definedName name="FDFDF" localSheetId="10" hidden="1">{#N/A,#N/A,FALSE,"CCTV"}</definedName>
    <definedName name="FDFDF" localSheetId="6" hidden="1">{#N/A,#N/A,FALSE,"CCTV"}</definedName>
    <definedName name="FDFDF" localSheetId="3" hidden="1">{#N/A,#N/A,FALSE,"CCTV"}</definedName>
    <definedName name="FDFDF" hidden="1">{#N/A,#N/A,FALSE,"CCTV"}</definedName>
    <definedName name="FDFDF_1" localSheetId="5" hidden="1">{#N/A,#N/A,FALSE,"CCTV"}</definedName>
    <definedName name="FDFDF_1" hidden="1">{#N/A,#N/A,FALSE,"CCTV"}</definedName>
    <definedName name="FDFDF_2" localSheetId="5" hidden="1">{#N/A,#N/A,FALSE,"CCTV"}</definedName>
    <definedName name="FDFDF_2" hidden="1">{#N/A,#N/A,FALSE,"CCTV"}</definedName>
    <definedName name="FDFDF_3" localSheetId="5" hidden="1">{#N/A,#N/A,FALSE,"CCTV"}</definedName>
    <definedName name="FDFDF_3" hidden="1">{#N/A,#N/A,FALSE,"CCTV"}</definedName>
    <definedName name="FDFDF_4" localSheetId="5" hidden="1">{#N/A,#N/A,FALSE,"CCTV"}</definedName>
    <definedName name="FDFDF_4" hidden="1">{#N/A,#N/A,FALSE,"CCTV"}</definedName>
    <definedName name="FDFDF_5" localSheetId="5" hidden="1">{#N/A,#N/A,FALSE,"CCTV"}</definedName>
    <definedName name="FDFDF_5" hidden="1">{#N/A,#N/A,FALSE,"CCTV"}</definedName>
    <definedName name="fdgk" localSheetId="5" hidden="1">{"'Sheet1'!$L$16"}</definedName>
    <definedName name="fdgk" localSheetId="9" hidden="1">{"'Sheet1'!$L$16"}</definedName>
    <definedName name="fdgk" localSheetId="10" hidden="1">{"'Sheet1'!$L$16"}</definedName>
    <definedName name="fdgk" localSheetId="6" hidden="1">{"'Sheet1'!$L$16"}</definedName>
    <definedName name="fdgk" localSheetId="3" hidden="1">{"'Sheet1'!$L$16"}</definedName>
    <definedName name="fdgk" hidden="1">{"'Sheet1'!$L$16"}</definedName>
    <definedName name="fdhg" localSheetId="5" hidden="1">{#N/A,#N/A,FALSE,"이태원철근"}</definedName>
    <definedName name="fdhg" hidden="1">{#N/A,#N/A,FALSE,"이태원철근"}</definedName>
    <definedName name="FDSA" localSheetId="5" hidden="1">{#N/A,#N/A,FALSE,"CCTV"}</definedName>
    <definedName name="FDSA" localSheetId="9" hidden="1">{#N/A,#N/A,FALSE,"CCTV"}</definedName>
    <definedName name="FDSA" localSheetId="10" hidden="1">{#N/A,#N/A,FALSE,"CCTV"}</definedName>
    <definedName name="FDSA" localSheetId="6" hidden="1">{#N/A,#N/A,FALSE,"CCTV"}</definedName>
    <definedName name="FDSA" localSheetId="3" hidden="1">{#N/A,#N/A,FALSE,"CCTV"}</definedName>
    <definedName name="FDSA" hidden="1">{#N/A,#N/A,FALSE,"CCTV"}</definedName>
    <definedName name="FDSA_1" localSheetId="5" hidden="1">{#N/A,#N/A,FALSE,"CCTV"}</definedName>
    <definedName name="FDSA_1" localSheetId="9" hidden="1">{#N/A,#N/A,FALSE,"CCTV"}</definedName>
    <definedName name="FDSA_1" localSheetId="10" hidden="1">{#N/A,#N/A,FALSE,"CCTV"}</definedName>
    <definedName name="FDSA_1" localSheetId="6" hidden="1">{#N/A,#N/A,FALSE,"CCTV"}</definedName>
    <definedName name="FDSA_1" localSheetId="3" hidden="1">{#N/A,#N/A,FALSE,"CCTV"}</definedName>
    <definedName name="FDSA_1" hidden="1">{#N/A,#N/A,FALSE,"CCTV"}</definedName>
    <definedName name="FDSA_2" localSheetId="5" hidden="1">{#N/A,#N/A,FALSE,"CCTV"}</definedName>
    <definedName name="FDSA_2" hidden="1">{#N/A,#N/A,FALSE,"CCTV"}</definedName>
    <definedName name="FDSA_3" localSheetId="5" hidden="1">{#N/A,#N/A,FALSE,"CCTV"}</definedName>
    <definedName name="FDSA_3" hidden="1">{#N/A,#N/A,FALSE,"CCTV"}</definedName>
    <definedName name="FDSA_4" localSheetId="5" hidden="1">{#N/A,#N/A,FALSE,"CCTV"}</definedName>
    <definedName name="FDSA_4" hidden="1">{#N/A,#N/A,FALSE,"CCTV"}</definedName>
    <definedName name="FDSA_5" localSheetId="5" hidden="1">{#N/A,#N/A,FALSE,"CCTV"}</definedName>
    <definedName name="FDSA_5" hidden="1">{#N/A,#N/A,FALSE,"CCTV"}</definedName>
    <definedName name="fe" localSheetId="5" hidden="1">{"'Sheet1'!$L$16"}</definedName>
    <definedName name="fe" localSheetId="9" hidden="1">{"'Sheet1'!$L$16"}</definedName>
    <definedName name="fe" localSheetId="10" hidden="1">{"'Sheet1'!$L$16"}</definedName>
    <definedName name="fe" localSheetId="6" hidden="1">{"'Sheet1'!$L$16"}</definedName>
    <definedName name="fe" localSheetId="3" hidden="1">{"'Sheet1'!$L$16"}</definedName>
    <definedName name="fe" hidden="1">{"'Sheet1'!$L$16"}</definedName>
    <definedName name="FEE" localSheetId="9" hidden="1">#REF!</definedName>
    <definedName name="FEE" localSheetId="10" hidden="1">#REF!</definedName>
    <definedName name="FEE" hidden="1">#REF!</definedName>
    <definedName name="ffaaaaf" localSheetId="5" hidden="1">{"'장비'!$A$3:$M$12"}</definedName>
    <definedName name="ffaaaaf" hidden="1">{"'장비'!$A$3:$M$12"}</definedName>
    <definedName name="ffaaaaf_1" localSheetId="5" hidden="1">{"'장비'!$A$3:$M$12"}</definedName>
    <definedName name="ffaaaaf_1" hidden="1">{"'장비'!$A$3:$M$12"}</definedName>
    <definedName name="ffaaaaf_2" localSheetId="5" hidden="1">{"'장비'!$A$3:$M$12"}</definedName>
    <definedName name="ffaaaaf_2" hidden="1">{"'장비'!$A$3:$M$12"}</definedName>
    <definedName name="ffaaaaf_3" localSheetId="5" hidden="1">{"'장비'!$A$3:$M$12"}</definedName>
    <definedName name="ffaaaaf_3" hidden="1">{"'장비'!$A$3:$M$12"}</definedName>
    <definedName name="ffaaaaf_4" localSheetId="5" hidden="1">{"'장비'!$A$3:$M$12"}</definedName>
    <definedName name="ffaaaaf_4" hidden="1">{"'장비'!$A$3:$M$12"}</definedName>
    <definedName name="ffaaaaf_5" localSheetId="5" hidden="1">{"'장비'!$A$3:$M$12"}</definedName>
    <definedName name="ffaaaaf_5" hidden="1">{"'장비'!$A$3:$M$12"}</definedName>
    <definedName name="ffff" localSheetId="5" hidden="1">{"'장비'!$A$3:$M$12"}</definedName>
    <definedName name="ffff" hidden="1">{"'장비'!$A$3:$M$12"}</definedName>
    <definedName name="ffff_1" localSheetId="5" hidden="1">{"'장비'!$A$3:$M$12"}</definedName>
    <definedName name="ffff_1" hidden="1">{"'장비'!$A$3:$M$12"}</definedName>
    <definedName name="ffff_2" localSheetId="5" hidden="1">{"'장비'!$A$3:$M$12"}</definedName>
    <definedName name="ffff_2" hidden="1">{"'장비'!$A$3:$M$12"}</definedName>
    <definedName name="ffff_3" localSheetId="5" hidden="1">{"'장비'!$A$3:$M$12"}</definedName>
    <definedName name="ffff_3" hidden="1">{"'장비'!$A$3:$M$12"}</definedName>
    <definedName name="ffff_4" localSheetId="5" hidden="1">{"'장비'!$A$3:$M$12"}</definedName>
    <definedName name="ffff_4" hidden="1">{"'장비'!$A$3:$M$12"}</definedName>
    <definedName name="ffff_5" localSheetId="5" hidden="1">{"'장비'!$A$3:$M$12"}</definedName>
    <definedName name="ffff_5" hidden="1">{"'장비'!$A$3:$M$12"}</definedName>
    <definedName name="FFFFF" localSheetId="5" hidden="1">{#N/A,#N/A,FALSE,"CCTV"}</definedName>
    <definedName name="FFFFF" localSheetId="9" hidden="1">{#N/A,#N/A,FALSE,"CCTV"}</definedName>
    <definedName name="FFFFF" localSheetId="10" hidden="1">{#N/A,#N/A,FALSE,"CCTV"}</definedName>
    <definedName name="FFFFF" localSheetId="6" hidden="1">{#N/A,#N/A,FALSE,"CCTV"}</definedName>
    <definedName name="fffff" localSheetId="3" hidden="1">{#N/A,#N/A,TRUE,"Basic";#N/A,#N/A,TRUE,"EXT-TABLE";#N/A,#N/A,TRUE,"STEEL";#N/A,#N/A,TRUE,"INT-Table";#N/A,#N/A,TRUE,"STEEL";#N/A,#N/A,TRUE,"Door"}</definedName>
    <definedName name="FFFFF" hidden="1">{#N/A,#N/A,FALSE,"CCTV"}</definedName>
    <definedName name="FFFFF_1" localSheetId="5" hidden="1">{#N/A,#N/A,FALSE,"CCTV"}</definedName>
    <definedName name="FFFFF_1" localSheetId="9" hidden="1">{#N/A,#N/A,FALSE,"CCTV"}</definedName>
    <definedName name="FFFFF_1" localSheetId="10" hidden="1">{#N/A,#N/A,FALSE,"CCTV"}</definedName>
    <definedName name="FFFFF_1" localSheetId="6" hidden="1">{#N/A,#N/A,FALSE,"CCTV"}</definedName>
    <definedName name="fffff_1" localSheetId="3" hidden="1">{#N/A,#N/A,TRUE,"Basic";#N/A,#N/A,TRUE,"EXT-TABLE";#N/A,#N/A,TRUE,"STEEL";#N/A,#N/A,TRUE,"INT-Table";#N/A,#N/A,TRUE,"STEEL";#N/A,#N/A,TRUE,"Door"}</definedName>
    <definedName name="FFFFF_1" hidden="1">{#N/A,#N/A,FALSE,"CCTV"}</definedName>
    <definedName name="fffff_2" localSheetId="5" hidden="1">{#N/A,#N/A,TRUE,"Basic";#N/A,#N/A,TRUE,"EXT-TABLE";#N/A,#N/A,TRUE,"STEEL";#N/A,#N/A,TRUE,"INT-Table";#N/A,#N/A,TRUE,"STEEL";#N/A,#N/A,TRUE,"Door"}</definedName>
    <definedName name="fffff_2" hidden="1">{#N/A,#N/A,TRUE,"Basic";#N/A,#N/A,TRUE,"EXT-TABLE";#N/A,#N/A,TRUE,"STEEL";#N/A,#N/A,TRUE,"INT-Table";#N/A,#N/A,TRUE,"STEEL";#N/A,#N/A,TRUE,"Door"}</definedName>
    <definedName name="fffff_3" localSheetId="5" hidden="1">{#N/A,#N/A,TRUE,"Basic";#N/A,#N/A,TRUE,"EXT-TABLE";#N/A,#N/A,TRUE,"STEEL";#N/A,#N/A,TRUE,"INT-Table";#N/A,#N/A,TRUE,"STEEL";#N/A,#N/A,TRUE,"Door"}</definedName>
    <definedName name="fffff_3" hidden="1">{#N/A,#N/A,TRUE,"Basic";#N/A,#N/A,TRUE,"EXT-TABLE";#N/A,#N/A,TRUE,"STEEL";#N/A,#N/A,TRUE,"INT-Table";#N/A,#N/A,TRUE,"STEEL";#N/A,#N/A,TRUE,"Door"}</definedName>
    <definedName name="fffff_4" localSheetId="5" hidden="1">{#N/A,#N/A,TRUE,"Basic";#N/A,#N/A,TRUE,"EXT-TABLE";#N/A,#N/A,TRUE,"STEEL";#N/A,#N/A,TRUE,"INT-Table";#N/A,#N/A,TRUE,"STEEL";#N/A,#N/A,TRUE,"Door"}</definedName>
    <definedName name="fffff_4" hidden="1">{#N/A,#N/A,TRUE,"Basic";#N/A,#N/A,TRUE,"EXT-TABLE";#N/A,#N/A,TRUE,"STEEL";#N/A,#N/A,TRUE,"INT-Table";#N/A,#N/A,TRUE,"STEEL";#N/A,#N/A,TRUE,"Door"}</definedName>
    <definedName name="fffff_5" localSheetId="5" hidden="1">{#N/A,#N/A,TRUE,"Basic";#N/A,#N/A,TRUE,"EXT-TABLE";#N/A,#N/A,TRUE,"STEEL";#N/A,#N/A,TRUE,"INT-Table";#N/A,#N/A,TRUE,"STEEL";#N/A,#N/A,TRUE,"Door"}</definedName>
    <definedName name="fffff_5" hidden="1">{#N/A,#N/A,TRUE,"Basic";#N/A,#N/A,TRUE,"EXT-TABLE";#N/A,#N/A,TRUE,"STEEL";#N/A,#N/A,TRUE,"INT-Table";#N/A,#N/A,TRUE,"STEEL";#N/A,#N/A,TRUE,"Door"}</definedName>
    <definedName name="ffffff" localSheetId="5" hidden="1">{#N/A,#N/A,FALSE,"CCTV"}</definedName>
    <definedName name="ffffff" localSheetId="9" hidden="1">{#N/A,#N/A,FALSE,"CCTV"}</definedName>
    <definedName name="ffffff" localSheetId="10" hidden="1">{#N/A,#N/A,FALSE,"CCTV"}</definedName>
    <definedName name="ffffff" localSheetId="6" hidden="1">{#N/A,#N/A,FALSE,"CCTV"}</definedName>
    <definedName name="ffffff" localSheetId="3" hidden="1">{#N/A,#N/A,FALSE,"CCTV"}</definedName>
    <definedName name="ffffff" hidden="1">{#N/A,#N/A,FALSE,"CCTV"}</definedName>
    <definedName name="ffffff_1" localSheetId="5" hidden="1">{#N/A,#N/A,FALSE,"CCTV"}</definedName>
    <definedName name="ffffff_1" hidden="1">{#N/A,#N/A,FALSE,"CCTV"}</definedName>
    <definedName name="ffffff_2" localSheetId="5" hidden="1">{#N/A,#N/A,FALSE,"CCTV"}</definedName>
    <definedName name="ffffff_2" hidden="1">{#N/A,#N/A,FALSE,"CCTV"}</definedName>
    <definedName name="ffffff_3" localSheetId="5" hidden="1">{#N/A,#N/A,FALSE,"CCTV"}</definedName>
    <definedName name="ffffff_3" hidden="1">{#N/A,#N/A,FALSE,"CCTV"}</definedName>
    <definedName name="ffffff_4" localSheetId="5" hidden="1">{#N/A,#N/A,FALSE,"CCTV"}</definedName>
    <definedName name="ffffff_4" hidden="1">{#N/A,#N/A,FALSE,"CCTV"}</definedName>
    <definedName name="ffffff_5" localSheetId="5" hidden="1">{#N/A,#N/A,FALSE,"CCTV"}</definedName>
    <definedName name="ffffff_5" hidden="1">{#N/A,#N/A,FALSE,"CCTV"}</definedName>
    <definedName name="fffffffg" localSheetId="5" hidden="1">{"'장비'!$A$3:$M$12"}</definedName>
    <definedName name="fffffffg" hidden="1">{"'장비'!$A$3:$M$12"}</definedName>
    <definedName name="fffffffg_1" localSheetId="5" hidden="1">{"'장비'!$A$3:$M$12"}</definedName>
    <definedName name="fffffffg_1" hidden="1">{"'장비'!$A$3:$M$12"}</definedName>
    <definedName name="fffffffg_2" localSheetId="5" hidden="1">{"'장비'!$A$3:$M$12"}</definedName>
    <definedName name="fffffffg_2" hidden="1">{"'장비'!$A$3:$M$12"}</definedName>
    <definedName name="fffffffg_3" localSheetId="5" hidden="1">{"'장비'!$A$3:$M$12"}</definedName>
    <definedName name="fffffffg_3" hidden="1">{"'장비'!$A$3:$M$12"}</definedName>
    <definedName name="fffffffg_4" localSheetId="5" hidden="1">{"'장비'!$A$3:$M$12"}</definedName>
    <definedName name="fffffffg_4" hidden="1">{"'장비'!$A$3:$M$12"}</definedName>
    <definedName name="fffffffg_5" localSheetId="5" hidden="1">{"'장비'!$A$3:$M$12"}</definedName>
    <definedName name="fffffffg_5" hidden="1">{"'장비'!$A$3:$M$12"}</definedName>
    <definedName name="ffgfg" localSheetId="5" hidden="1">{"'장비'!$A$3:$M$12"}</definedName>
    <definedName name="ffgfg" hidden="1">{"'장비'!$A$3:$M$12"}</definedName>
    <definedName name="ffgfg_1" localSheetId="5" hidden="1">{"'장비'!$A$3:$M$12"}</definedName>
    <definedName name="ffgfg_1" hidden="1">{"'장비'!$A$3:$M$12"}</definedName>
    <definedName name="ffgfg_2" localSheetId="5" hidden="1">{"'장비'!$A$3:$M$12"}</definedName>
    <definedName name="ffgfg_2" hidden="1">{"'장비'!$A$3:$M$12"}</definedName>
    <definedName name="ffgfg_3" localSheetId="5" hidden="1">{"'장비'!$A$3:$M$12"}</definedName>
    <definedName name="ffgfg_3" hidden="1">{"'장비'!$A$3:$M$12"}</definedName>
    <definedName name="ffgfg_4" localSheetId="5" hidden="1">{"'장비'!$A$3:$M$12"}</definedName>
    <definedName name="ffgfg_4" hidden="1">{"'장비'!$A$3:$M$12"}</definedName>
    <definedName name="ffgfg_5" localSheetId="5" hidden="1">{"'장비'!$A$3:$M$12"}</definedName>
    <definedName name="ffgfg_5" hidden="1">{"'장비'!$A$3:$M$12"}</definedName>
    <definedName name="FG" localSheetId="5" hidden="1">{"'장비'!$A$3:$M$12"}</definedName>
    <definedName name="FG" localSheetId="9" hidden="1">{"'장비'!$A$3:$M$12"}</definedName>
    <definedName name="FG" localSheetId="10" hidden="1">{"'장비'!$A$3:$M$12"}</definedName>
    <definedName name="FG" localSheetId="6" hidden="1">{"'장비'!$A$3:$M$12"}</definedName>
    <definedName name="FG" localSheetId="3" hidden="1">{"'장비'!$A$3:$M$12"}</definedName>
    <definedName name="FG" hidden="1">{"'장비'!$A$3:$M$12"}</definedName>
    <definedName name="FG_1" localSheetId="5" hidden="1">{"'장비'!$A$3:$M$12"}</definedName>
    <definedName name="FG_1" localSheetId="9" hidden="1">{"'장비'!$A$3:$M$12"}</definedName>
    <definedName name="FG_1" localSheetId="10" hidden="1">{"'장비'!$A$3:$M$12"}</definedName>
    <definedName name="FG_1" localSheetId="6" hidden="1">{"'장비'!$A$3:$M$12"}</definedName>
    <definedName name="FG_1" localSheetId="3" hidden="1">{"'장비'!$A$3:$M$12"}</definedName>
    <definedName name="FG_1" hidden="1">{"'장비'!$A$3:$M$12"}</definedName>
    <definedName name="fgdfgs" localSheetId="5" hidden="1">{#N/A,#N/A,TRUE,"arnitower";#N/A,#N/A,TRUE,"arnigarage "}</definedName>
    <definedName name="fgdfgs" hidden="1">{#N/A,#N/A,TRUE,"arnitower";#N/A,#N/A,TRUE,"arnigarage "}</definedName>
    <definedName name="FGF" localSheetId="5" hidden="1">{#N/A,#N/A,FALSE,"CCTV"}</definedName>
    <definedName name="FGF" localSheetId="9" hidden="1">{#N/A,#N/A,FALSE,"CCTV"}</definedName>
    <definedName name="FGF" localSheetId="10" hidden="1">{#N/A,#N/A,FALSE,"CCTV"}</definedName>
    <definedName name="FGF" localSheetId="6" hidden="1">{#N/A,#N/A,FALSE,"CCTV"}</definedName>
    <definedName name="FGF" localSheetId="3" hidden="1">{#N/A,#N/A,FALSE,"CCTV"}</definedName>
    <definedName name="FGF" hidden="1">{#N/A,#N/A,FALSE,"CCTV"}</definedName>
    <definedName name="FGF_1" localSheetId="5" hidden="1">{#N/A,#N/A,FALSE,"CCTV"}</definedName>
    <definedName name="FGF_1" hidden="1">{#N/A,#N/A,FALSE,"CCTV"}</definedName>
    <definedName name="FGF_2" localSheetId="5" hidden="1">{#N/A,#N/A,FALSE,"CCTV"}</definedName>
    <definedName name="FGF_2" hidden="1">{#N/A,#N/A,FALSE,"CCTV"}</definedName>
    <definedName name="FGF_3" localSheetId="5" hidden="1">{#N/A,#N/A,FALSE,"CCTV"}</definedName>
    <definedName name="FGF_3" hidden="1">{#N/A,#N/A,FALSE,"CCTV"}</definedName>
    <definedName name="FGF_4" localSheetId="5" hidden="1">{#N/A,#N/A,FALSE,"CCTV"}</definedName>
    <definedName name="FGF_4" hidden="1">{#N/A,#N/A,FALSE,"CCTV"}</definedName>
    <definedName name="FGF_5" localSheetId="5" hidden="1">{#N/A,#N/A,FALSE,"CCTV"}</definedName>
    <definedName name="FGF_5" hidden="1">{#N/A,#N/A,FALSE,"CCTV"}</definedName>
    <definedName name="fgg" localSheetId="5" hidden="1">{"'장비'!$A$3:$M$12"}</definedName>
    <definedName name="fgg" localSheetId="9" hidden="1">{"'장비'!$A$3:$M$12"}</definedName>
    <definedName name="fgg" localSheetId="10" hidden="1">{"'장비'!$A$3:$M$12"}</definedName>
    <definedName name="fgg" localSheetId="6" hidden="1">{"'장비'!$A$3:$M$12"}</definedName>
    <definedName name="fgg" localSheetId="3" hidden="1">{"'장비'!$A$3:$M$12"}</definedName>
    <definedName name="fgg" hidden="1">{"'장비'!$A$3:$M$12"}</definedName>
    <definedName name="fgg_1" localSheetId="5" hidden="1">{"'장비'!$A$3:$M$12"}</definedName>
    <definedName name="fgg_1" localSheetId="9" hidden="1">{"'장비'!$A$3:$M$12"}</definedName>
    <definedName name="fgg_1" localSheetId="10" hidden="1">{"'장비'!$A$3:$M$12"}</definedName>
    <definedName name="fgg_1" localSheetId="6" hidden="1">{"'장비'!$A$3:$M$12"}</definedName>
    <definedName name="fgg_1" localSheetId="3" hidden="1">{"'장비'!$A$3:$M$12"}</definedName>
    <definedName name="fgg_1" hidden="1">{"'장비'!$A$3:$M$12"}</definedName>
    <definedName name="fgsdfgse" localSheetId="5" hidden="1">{#N/A,#N/A,TRUE,"arnitower";#N/A,#N/A,TRUE,"arnigarage "}</definedName>
    <definedName name="fgsdfgse" hidden="1">{#N/A,#N/A,TRUE,"arnitower";#N/A,#N/A,TRUE,"arnigarage "}</definedName>
    <definedName name="fhgjfghfghgf" localSheetId="5" hidden="1">{#N/A,#N/A,FALSE,"CCTV"}</definedName>
    <definedName name="fhgjfghfghgf" localSheetId="9" hidden="1">{#N/A,#N/A,FALSE,"CCTV"}</definedName>
    <definedName name="fhgjfghfghgf" localSheetId="10" hidden="1">{#N/A,#N/A,FALSE,"CCTV"}</definedName>
    <definedName name="fhgjfghfghgf" localSheetId="6" hidden="1">{#N/A,#N/A,FALSE,"CCTV"}</definedName>
    <definedName name="fhgjfghfghgf" localSheetId="3" hidden="1">{#N/A,#N/A,FALSE,"CCTV"}</definedName>
    <definedName name="fhgjfghfghgf" hidden="1">{#N/A,#N/A,FALSE,"CCTV"}</definedName>
    <definedName name="fhgjfghfghgf_1" localSheetId="5" hidden="1">{#N/A,#N/A,FALSE,"CCTV"}</definedName>
    <definedName name="fhgjfghfghgf_1" hidden="1">{#N/A,#N/A,FALSE,"CCTV"}</definedName>
    <definedName name="fhgjfghfghgf_2" localSheetId="5" hidden="1">{#N/A,#N/A,FALSE,"CCTV"}</definedName>
    <definedName name="fhgjfghfghgf_2" hidden="1">{#N/A,#N/A,FALSE,"CCTV"}</definedName>
    <definedName name="fhgjfghfghgf_3" localSheetId="5" hidden="1">{#N/A,#N/A,FALSE,"CCTV"}</definedName>
    <definedName name="fhgjfghfghgf_3" hidden="1">{#N/A,#N/A,FALSE,"CCTV"}</definedName>
    <definedName name="fhgjfghfghgf_4" localSheetId="5" hidden="1">{#N/A,#N/A,FALSE,"CCTV"}</definedName>
    <definedName name="fhgjfghfghgf_4" hidden="1">{#N/A,#N/A,FALSE,"CCTV"}</definedName>
    <definedName name="fhgjfghfghgf_5" localSheetId="5" hidden="1">{#N/A,#N/A,FALSE,"CCTV"}</definedName>
    <definedName name="fhgjfghfghgf_5" hidden="1">{#N/A,#N/A,FALSE,"CCTV"}</definedName>
    <definedName name="FILLED" localSheetId="9" hidden="1">#REF!</definedName>
    <definedName name="FILLED" localSheetId="10" hidden="1">#REF!</definedName>
    <definedName name="FILLED" hidden="1">#REF!</definedName>
    <definedName name="FITTING" localSheetId="5" hidden="1">{#N/A,#N/A,FALSE,"CCTV"}</definedName>
    <definedName name="FITTING" localSheetId="9" hidden="1">{#N/A,#N/A,FALSE,"CCTV"}</definedName>
    <definedName name="FITTING" localSheetId="10" hidden="1">{#N/A,#N/A,FALSE,"CCTV"}</definedName>
    <definedName name="FITTING" localSheetId="6" hidden="1">{#N/A,#N/A,FALSE,"CCTV"}</definedName>
    <definedName name="FITTING" localSheetId="3" hidden="1">{#N/A,#N/A,FALSE,"CCTV"}</definedName>
    <definedName name="FITTING" hidden="1">{#N/A,#N/A,FALSE,"CCTV"}</definedName>
    <definedName name="FITTING_1" localSheetId="5" hidden="1">{#N/A,#N/A,FALSE,"CCTV"}</definedName>
    <definedName name="FITTING_1" localSheetId="9" hidden="1">{#N/A,#N/A,FALSE,"CCTV"}</definedName>
    <definedName name="FITTING_1" localSheetId="10" hidden="1">{#N/A,#N/A,FALSE,"CCTV"}</definedName>
    <definedName name="FITTING_1" localSheetId="6" hidden="1">{#N/A,#N/A,FALSE,"CCTV"}</definedName>
    <definedName name="FITTING_1" localSheetId="3" hidden="1">{#N/A,#N/A,FALSE,"CCTV"}</definedName>
    <definedName name="FITTING_1" hidden="1">{#N/A,#N/A,FALSE,"CCTV"}</definedName>
    <definedName name="FOR" localSheetId="5" hidden="1">{#N/A,#N/A,FALSE,"CCTV"}</definedName>
    <definedName name="FOR" localSheetId="9" hidden="1">{#N/A,#N/A,FALSE,"CCTV"}</definedName>
    <definedName name="FOR" localSheetId="10" hidden="1">{#N/A,#N/A,FALSE,"CCTV"}</definedName>
    <definedName name="FOR" localSheetId="6" hidden="1">{#N/A,#N/A,FALSE,"CCTV"}</definedName>
    <definedName name="FOR" localSheetId="3" hidden="1">{#N/A,#N/A,FALSE,"CCTV"}</definedName>
    <definedName name="FOR" hidden="1">{#N/A,#N/A,FALSE,"CCTV"}</definedName>
    <definedName name="FOR_1" localSheetId="5" hidden="1">{#N/A,#N/A,FALSE,"CCTV"}</definedName>
    <definedName name="FOR_1" hidden="1">{#N/A,#N/A,FALSE,"CCTV"}</definedName>
    <definedName name="FOR_2" localSheetId="5" hidden="1">{#N/A,#N/A,FALSE,"CCTV"}</definedName>
    <definedName name="FOR_2" hidden="1">{#N/A,#N/A,FALSE,"CCTV"}</definedName>
    <definedName name="FOR_3" localSheetId="5" hidden="1">{#N/A,#N/A,FALSE,"CCTV"}</definedName>
    <definedName name="FOR_3" hidden="1">{#N/A,#N/A,FALSE,"CCTV"}</definedName>
    <definedName name="FOR_4" localSheetId="5" hidden="1">{#N/A,#N/A,FALSE,"CCTV"}</definedName>
    <definedName name="FOR_4" hidden="1">{#N/A,#N/A,FALSE,"CCTV"}</definedName>
    <definedName name="FOR_5" localSheetId="5" hidden="1">{#N/A,#N/A,FALSE,"CCTV"}</definedName>
    <definedName name="FOR_5" hidden="1">{#N/A,#N/A,FALSE,"CCTV"}</definedName>
    <definedName name="FORMAT" localSheetId="5" hidden="1">{#N/A,#N/A,FALSE,"CCTV"}</definedName>
    <definedName name="FORMAT" localSheetId="9" hidden="1">{#N/A,#N/A,FALSE,"CCTV"}</definedName>
    <definedName name="FORMAT" localSheetId="10" hidden="1">{#N/A,#N/A,FALSE,"CCTV"}</definedName>
    <definedName name="FORMAT" localSheetId="6" hidden="1">{#N/A,#N/A,FALSE,"CCTV"}</definedName>
    <definedName name="FORMAT" localSheetId="3" hidden="1">{#N/A,#N/A,FALSE,"CCTV"}</definedName>
    <definedName name="FORMAT" hidden="1">{#N/A,#N/A,FALSE,"CCTV"}</definedName>
    <definedName name="FORMAT_1" localSheetId="5" hidden="1">{#N/A,#N/A,FALSE,"CCTV"}</definedName>
    <definedName name="FORMAT_1" hidden="1">{#N/A,#N/A,FALSE,"CCTV"}</definedName>
    <definedName name="FORMAT_2" localSheetId="5" hidden="1">{#N/A,#N/A,FALSE,"CCTV"}</definedName>
    <definedName name="FORMAT_2" hidden="1">{#N/A,#N/A,FALSE,"CCTV"}</definedName>
    <definedName name="FORMAT_3" localSheetId="5" hidden="1">{#N/A,#N/A,FALSE,"CCTV"}</definedName>
    <definedName name="FORMAT_3" hidden="1">{#N/A,#N/A,FALSE,"CCTV"}</definedName>
    <definedName name="FORMAT_4" localSheetId="5" hidden="1">{#N/A,#N/A,FALSE,"CCTV"}</definedName>
    <definedName name="FORMAT_4" hidden="1">{#N/A,#N/A,FALSE,"CCTV"}</definedName>
    <definedName name="FORMAT_5" localSheetId="5" hidden="1">{#N/A,#N/A,FALSE,"CCTV"}</definedName>
    <definedName name="FORMAT_5" hidden="1">{#N/A,#N/A,FALSE,"CCTV"}</definedName>
    <definedName name="fs" localSheetId="5" hidden="1">{"'Sheet1'!$L$16"}</definedName>
    <definedName name="fs" localSheetId="9" hidden="1">{"'Sheet1'!$L$16"}</definedName>
    <definedName name="fs" localSheetId="10" hidden="1">{"'Sheet1'!$L$16"}</definedName>
    <definedName name="fs" localSheetId="6" hidden="1">{"'Sheet1'!$L$16"}</definedName>
    <definedName name="fs" localSheetId="3" hidden="1">{"'Sheet1'!$L$16"}</definedName>
    <definedName name="fs" hidden="1">{"'Sheet1'!$L$16"}</definedName>
    <definedName name="fsda" localSheetId="5" hidden="1">{#N/A,#N/A,TRUE,"Basic";#N/A,#N/A,TRUE,"EXT-TABLE";#N/A,#N/A,TRUE,"STEEL";#N/A,#N/A,TRUE,"INT-Table";#N/A,#N/A,TRUE,"STEEL";#N/A,#N/A,TRUE,"Door"}</definedName>
    <definedName name="fsda" localSheetId="9" hidden="1">{#N/A,#N/A,TRUE,"Basic";#N/A,#N/A,TRUE,"EXT-TABLE";#N/A,#N/A,TRUE,"STEEL";#N/A,#N/A,TRUE,"INT-Table";#N/A,#N/A,TRUE,"STEEL";#N/A,#N/A,TRUE,"Door"}</definedName>
    <definedName name="fsda" localSheetId="10" hidden="1">{#N/A,#N/A,TRUE,"Basic";#N/A,#N/A,TRUE,"EXT-TABLE";#N/A,#N/A,TRUE,"STEEL";#N/A,#N/A,TRUE,"INT-Table";#N/A,#N/A,TRUE,"STEEL";#N/A,#N/A,TRUE,"Door"}</definedName>
    <definedName name="fsda" localSheetId="6" hidden="1">{#N/A,#N/A,TRUE,"Basic";#N/A,#N/A,TRUE,"EXT-TABLE";#N/A,#N/A,TRUE,"STEEL";#N/A,#N/A,TRUE,"INT-Table";#N/A,#N/A,TRUE,"STEEL";#N/A,#N/A,TRUE,"Door"}</definedName>
    <definedName name="fsda" localSheetId="3" hidden="1">{#N/A,#N/A,TRUE,"Basic";#N/A,#N/A,TRUE,"EXT-TABLE";#N/A,#N/A,TRUE,"STEEL";#N/A,#N/A,TRUE,"INT-Table";#N/A,#N/A,TRUE,"STEEL";#N/A,#N/A,TRUE,"Door"}</definedName>
    <definedName name="fsda" hidden="1">{#N/A,#N/A,TRUE,"Basic";#N/A,#N/A,TRUE,"EXT-TABLE";#N/A,#N/A,TRUE,"STEEL";#N/A,#N/A,TRUE,"INT-Table";#N/A,#N/A,TRUE,"STEEL";#N/A,#N/A,TRUE,"Door"}</definedName>
    <definedName name="fsda_1" localSheetId="5" hidden="1">{#N/A,#N/A,TRUE,"Basic";#N/A,#N/A,TRUE,"EXT-TABLE";#N/A,#N/A,TRUE,"STEEL";#N/A,#N/A,TRUE,"INT-Table";#N/A,#N/A,TRUE,"STEEL";#N/A,#N/A,TRUE,"Door"}</definedName>
    <definedName name="fsda_1" hidden="1">{#N/A,#N/A,TRUE,"Basic";#N/A,#N/A,TRUE,"EXT-TABLE";#N/A,#N/A,TRUE,"STEEL";#N/A,#N/A,TRUE,"INT-Table";#N/A,#N/A,TRUE,"STEEL";#N/A,#N/A,TRUE,"Door"}</definedName>
    <definedName name="fsda_2" localSheetId="5" hidden="1">{#N/A,#N/A,TRUE,"Basic";#N/A,#N/A,TRUE,"EXT-TABLE";#N/A,#N/A,TRUE,"STEEL";#N/A,#N/A,TRUE,"INT-Table";#N/A,#N/A,TRUE,"STEEL";#N/A,#N/A,TRUE,"Door"}</definedName>
    <definedName name="fsda_2" hidden="1">{#N/A,#N/A,TRUE,"Basic";#N/A,#N/A,TRUE,"EXT-TABLE";#N/A,#N/A,TRUE,"STEEL";#N/A,#N/A,TRUE,"INT-Table";#N/A,#N/A,TRUE,"STEEL";#N/A,#N/A,TRUE,"Door"}</definedName>
    <definedName name="fsda_3" localSheetId="5" hidden="1">{#N/A,#N/A,TRUE,"Basic";#N/A,#N/A,TRUE,"EXT-TABLE";#N/A,#N/A,TRUE,"STEEL";#N/A,#N/A,TRUE,"INT-Table";#N/A,#N/A,TRUE,"STEEL";#N/A,#N/A,TRUE,"Door"}</definedName>
    <definedName name="fsda_3" hidden="1">{#N/A,#N/A,TRUE,"Basic";#N/A,#N/A,TRUE,"EXT-TABLE";#N/A,#N/A,TRUE,"STEEL";#N/A,#N/A,TRUE,"INT-Table";#N/A,#N/A,TRUE,"STEEL";#N/A,#N/A,TRUE,"Door"}</definedName>
    <definedName name="fsda_4" localSheetId="5" hidden="1">{#N/A,#N/A,TRUE,"Basic";#N/A,#N/A,TRUE,"EXT-TABLE";#N/A,#N/A,TRUE,"STEEL";#N/A,#N/A,TRUE,"INT-Table";#N/A,#N/A,TRUE,"STEEL";#N/A,#N/A,TRUE,"Door"}</definedName>
    <definedName name="fsda_4" hidden="1">{#N/A,#N/A,TRUE,"Basic";#N/A,#N/A,TRUE,"EXT-TABLE";#N/A,#N/A,TRUE,"STEEL";#N/A,#N/A,TRUE,"INT-Table";#N/A,#N/A,TRUE,"STEEL";#N/A,#N/A,TRUE,"Door"}</definedName>
    <definedName name="fsda_5" localSheetId="5" hidden="1">{#N/A,#N/A,TRUE,"Basic";#N/A,#N/A,TRUE,"EXT-TABLE";#N/A,#N/A,TRUE,"STEEL";#N/A,#N/A,TRUE,"INT-Table";#N/A,#N/A,TRUE,"STEEL";#N/A,#N/A,TRUE,"Door"}</definedName>
    <definedName name="fsda_5" hidden="1">{#N/A,#N/A,TRUE,"Basic";#N/A,#N/A,TRUE,"EXT-TABLE";#N/A,#N/A,TRUE,"STEEL";#N/A,#N/A,TRUE,"INT-Table";#N/A,#N/A,TRUE,"STEEL";#N/A,#N/A,TRUE,"Door"}</definedName>
    <definedName name="FSDFFF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urniture" localSheetId="5" hidden="1">{#N/A,#N/A,TRUE,"Basic";#N/A,#N/A,TRUE,"EXT-TABLE";#N/A,#N/A,TRUE,"STEEL";#N/A,#N/A,TRUE,"INT-Table";#N/A,#N/A,TRUE,"STEEL";#N/A,#N/A,TRUE,"Door"}</definedName>
    <definedName name="Furniture" localSheetId="9" hidden="1">{#N/A,#N/A,TRUE,"Basic";#N/A,#N/A,TRUE,"EXT-TABLE";#N/A,#N/A,TRUE,"STEEL";#N/A,#N/A,TRUE,"INT-Table";#N/A,#N/A,TRUE,"STEEL";#N/A,#N/A,TRUE,"Door"}</definedName>
    <definedName name="Furniture" localSheetId="10" hidden="1">{#N/A,#N/A,TRUE,"Basic";#N/A,#N/A,TRUE,"EXT-TABLE";#N/A,#N/A,TRUE,"STEEL";#N/A,#N/A,TRUE,"INT-Table";#N/A,#N/A,TRUE,"STEEL";#N/A,#N/A,TRUE,"Door"}</definedName>
    <definedName name="Furniture" localSheetId="6" hidden="1">{#N/A,#N/A,TRUE,"Basic";#N/A,#N/A,TRUE,"EXT-TABLE";#N/A,#N/A,TRUE,"STEEL";#N/A,#N/A,TRUE,"INT-Table";#N/A,#N/A,TRUE,"STEEL";#N/A,#N/A,TRUE,"Door"}</definedName>
    <definedName name="Furniture" localSheetId="3" hidden="1">{#N/A,#N/A,TRUE,"Basic";#N/A,#N/A,TRUE,"EXT-TABLE";#N/A,#N/A,TRUE,"STEEL";#N/A,#N/A,TRUE,"INT-Table";#N/A,#N/A,TRUE,"STEEL";#N/A,#N/A,TRUE,"Door"}</definedName>
    <definedName name="Furniture" hidden="1">{#N/A,#N/A,TRUE,"Basic";#N/A,#N/A,TRUE,"EXT-TABLE";#N/A,#N/A,TRUE,"STEEL";#N/A,#N/A,TRUE,"INT-Table";#N/A,#N/A,TRUE,"STEEL";#N/A,#N/A,TRUE,"Door"}</definedName>
    <definedName name="Furniture_1" localSheetId="5" hidden="1">{#N/A,#N/A,TRUE,"Basic";#N/A,#N/A,TRUE,"EXT-TABLE";#N/A,#N/A,TRUE,"STEEL";#N/A,#N/A,TRUE,"INT-Table";#N/A,#N/A,TRUE,"STEEL";#N/A,#N/A,TRUE,"Door"}</definedName>
    <definedName name="Furniture_1" hidden="1">{#N/A,#N/A,TRUE,"Basic";#N/A,#N/A,TRUE,"EXT-TABLE";#N/A,#N/A,TRUE,"STEEL";#N/A,#N/A,TRUE,"INT-Table";#N/A,#N/A,TRUE,"STEEL";#N/A,#N/A,TRUE,"Door"}</definedName>
    <definedName name="Furniture_2" localSheetId="5" hidden="1">{#N/A,#N/A,TRUE,"Basic";#N/A,#N/A,TRUE,"EXT-TABLE";#N/A,#N/A,TRUE,"STEEL";#N/A,#N/A,TRUE,"INT-Table";#N/A,#N/A,TRUE,"STEEL";#N/A,#N/A,TRUE,"Door"}</definedName>
    <definedName name="Furniture_2" hidden="1">{#N/A,#N/A,TRUE,"Basic";#N/A,#N/A,TRUE,"EXT-TABLE";#N/A,#N/A,TRUE,"STEEL";#N/A,#N/A,TRUE,"INT-Table";#N/A,#N/A,TRUE,"STEEL";#N/A,#N/A,TRUE,"Door"}</definedName>
    <definedName name="Furniture_3" localSheetId="5" hidden="1">{#N/A,#N/A,TRUE,"Basic";#N/A,#N/A,TRUE,"EXT-TABLE";#N/A,#N/A,TRUE,"STEEL";#N/A,#N/A,TRUE,"INT-Table";#N/A,#N/A,TRUE,"STEEL";#N/A,#N/A,TRUE,"Door"}</definedName>
    <definedName name="Furniture_3" hidden="1">{#N/A,#N/A,TRUE,"Basic";#N/A,#N/A,TRUE,"EXT-TABLE";#N/A,#N/A,TRUE,"STEEL";#N/A,#N/A,TRUE,"INT-Table";#N/A,#N/A,TRUE,"STEEL";#N/A,#N/A,TRUE,"Door"}</definedName>
    <definedName name="Furniture_4" localSheetId="5" hidden="1">{#N/A,#N/A,TRUE,"Basic";#N/A,#N/A,TRUE,"EXT-TABLE";#N/A,#N/A,TRUE,"STEEL";#N/A,#N/A,TRUE,"INT-Table";#N/A,#N/A,TRUE,"STEEL";#N/A,#N/A,TRUE,"Door"}</definedName>
    <definedName name="Furniture_4" hidden="1">{#N/A,#N/A,TRUE,"Basic";#N/A,#N/A,TRUE,"EXT-TABLE";#N/A,#N/A,TRUE,"STEEL";#N/A,#N/A,TRUE,"INT-Table";#N/A,#N/A,TRUE,"STEEL";#N/A,#N/A,TRUE,"Door"}</definedName>
    <definedName name="Furniture_5" localSheetId="5" hidden="1">{#N/A,#N/A,TRUE,"Basic";#N/A,#N/A,TRUE,"EXT-TABLE";#N/A,#N/A,TRUE,"STEEL";#N/A,#N/A,TRUE,"INT-Table";#N/A,#N/A,TRUE,"STEEL";#N/A,#N/A,TRUE,"Door"}</definedName>
    <definedName name="Furniture_5" hidden="1">{#N/A,#N/A,TRUE,"Basic";#N/A,#N/A,TRUE,"EXT-TABLE";#N/A,#N/A,TRUE,"STEEL";#N/A,#N/A,TRUE,"INT-Table";#N/A,#N/A,TRUE,"STEEL";#N/A,#N/A,TRUE,"Door"}</definedName>
    <definedName name="GD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HS" localSheetId="9" hidden="1">#REF!</definedName>
    <definedName name="GDHS" localSheetId="10" hidden="1">#REF!</definedName>
    <definedName name="GDHS" hidden="1">#REF!</definedName>
    <definedName name="GF" localSheetId="9" hidden="1">#REF!</definedName>
    <definedName name="GF" localSheetId="10" hidden="1">#REF!</definedName>
    <definedName name="GF" hidden="1">#REF!</definedName>
    <definedName name="GFDGDF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S" localSheetId="5" hidden="1">{#N/A,#N/A,FALSE,"CCTV"}</definedName>
    <definedName name="GFDS" localSheetId="9" hidden="1">{#N/A,#N/A,FALSE,"CCTV"}</definedName>
    <definedName name="GFDS" localSheetId="10" hidden="1">{#N/A,#N/A,FALSE,"CCTV"}</definedName>
    <definedName name="GFDS" localSheetId="6" hidden="1">{#N/A,#N/A,FALSE,"CCTV"}</definedName>
    <definedName name="GFDS" localSheetId="3" hidden="1">{#N/A,#N/A,FALSE,"CCTV"}</definedName>
    <definedName name="GFDS" hidden="1">{#N/A,#N/A,FALSE,"CCTV"}</definedName>
    <definedName name="GFDS_1" localSheetId="5" hidden="1">{#N/A,#N/A,FALSE,"CCTV"}</definedName>
    <definedName name="GFDS_1" localSheetId="9" hidden="1">{#N/A,#N/A,FALSE,"CCTV"}</definedName>
    <definedName name="GFDS_1" localSheetId="10" hidden="1">{#N/A,#N/A,FALSE,"CCTV"}</definedName>
    <definedName name="GFDS_1" localSheetId="6" hidden="1">{#N/A,#N/A,FALSE,"CCTV"}</definedName>
    <definedName name="GFDS_1" localSheetId="3" hidden="1">{#N/A,#N/A,FALSE,"CCTV"}</definedName>
    <definedName name="GFDS_1" hidden="1">{#N/A,#N/A,FALSE,"CCTV"}</definedName>
    <definedName name="GFDS_2" localSheetId="5" hidden="1">{#N/A,#N/A,FALSE,"CCTV"}</definedName>
    <definedName name="GFDS_2" hidden="1">{#N/A,#N/A,FALSE,"CCTV"}</definedName>
    <definedName name="GFDS_3" localSheetId="5" hidden="1">{#N/A,#N/A,FALSE,"CCTV"}</definedName>
    <definedName name="GFDS_3" hidden="1">{#N/A,#N/A,FALSE,"CCTV"}</definedName>
    <definedName name="GFDS_4" localSheetId="5" hidden="1">{#N/A,#N/A,FALSE,"CCTV"}</definedName>
    <definedName name="GFDS_4" hidden="1">{#N/A,#N/A,FALSE,"CCTV"}</definedName>
    <definedName name="GFDS_5" localSheetId="5" hidden="1">{#N/A,#N/A,FALSE,"CCTV"}</definedName>
    <definedName name="GFDS_5" hidden="1">{#N/A,#N/A,FALSE,"CCTV"}</definedName>
    <definedName name="G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jgfh" localSheetId="5" hidden="1">{#N/A,#N/A,FALSE,"CCTV"}</definedName>
    <definedName name="gfjgfh" localSheetId="9" hidden="1">{#N/A,#N/A,FALSE,"CCTV"}</definedName>
    <definedName name="gfjgfh" localSheetId="10" hidden="1">{#N/A,#N/A,FALSE,"CCTV"}</definedName>
    <definedName name="gfjgfh" localSheetId="6" hidden="1">{#N/A,#N/A,FALSE,"CCTV"}</definedName>
    <definedName name="gfjgfh" localSheetId="3" hidden="1">{#N/A,#N/A,FALSE,"CCTV"}</definedName>
    <definedName name="gfjgfh" hidden="1">{#N/A,#N/A,FALSE,"CCTV"}</definedName>
    <definedName name="gfjgfh_1" localSheetId="5" hidden="1">{#N/A,#N/A,FALSE,"CCTV"}</definedName>
    <definedName name="gfjgfh_1" hidden="1">{#N/A,#N/A,FALSE,"CCTV"}</definedName>
    <definedName name="gfjgfh_2" localSheetId="5" hidden="1">{#N/A,#N/A,FALSE,"CCTV"}</definedName>
    <definedName name="gfjgfh_2" hidden="1">{#N/A,#N/A,FALSE,"CCTV"}</definedName>
    <definedName name="gfjgfh_3" localSheetId="5" hidden="1">{#N/A,#N/A,FALSE,"CCTV"}</definedName>
    <definedName name="gfjgfh_3" hidden="1">{#N/A,#N/A,FALSE,"CCTV"}</definedName>
    <definedName name="gfjgfh_4" localSheetId="5" hidden="1">{#N/A,#N/A,FALSE,"CCTV"}</definedName>
    <definedName name="gfjgfh_4" hidden="1">{#N/A,#N/A,FALSE,"CCTV"}</definedName>
    <definedName name="gfjgfh_5" localSheetId="5" hidden="1">{#N/A,#N/A,FALSE,"CCTV"}</definedName>
    <definedName name="gfjgfh_5" hidden="1">{#N/A,#N/A,FALSE,"CCTV"}</definedName>
    <definedName name="gfjgfhfg" localSheetId="5" hidden="1">{#N/A,#N/A,FALSE,"CCTV"}</definedName>
    <definedName name="gfjgfhfg" localSheetId="9" hidden="1">{#N/A,#N/A,FALSE,"CCTV"}</definedName>
    <definedName name="gfjgfhfg" localSheetId="10" hidden="1">{#N/A,#N/A,FALSE,"CCTV"}</definedName>
    <definedName name="gfjgfhfg" localSheetId="6" hidden="1">{#N/A,#N/A,FALSE,"CCTV"}</definedName>
    <definedName name="gfjgfhfg" localSheetId="3" hidden="1">{#N/A,#N/A,FALSE,"CCTV"}</definedName>
    <definedName name="gfjgfhfg" hidden="1">{#N/A,#N/A,FALSE,"CCTV"}</definedName>
    <definedName name="gfjgfhfg_1" localSheetId="5" hidden="1">{#N/A,#N/A,FALSE,"CCTV"}</definedName>
    <definedName name="gfjgfhfg_1" hidden="1">{#N/A,#N/A,FALSE,"CCTV"}</definedName>
    <definedName name="gfjgfhfg_2" localSheetId="5" hidden="1">{#N/A,#N/A,FALSE,"CCTV"}</definedName>
    <definedName name="gfjgfhfg_2" hidden="1">{#N/A,#N/A,FALSE,"CCTV"}</definedName>
    <definedName name="gfjgfhfg_3" localSheetId="5" hidden="1">{#N/A,#N/A,FALSE,"CCTV"}</definedName>
    <definedName name="gfjgfhfg_3" hidden="1">{#N/A,#N/A,FALSE,"CCTV"}</definedName>
    <definedName name="gfjgfhfg_4" localSheetId="5" hidden="1">{#N/A,#N/A,FALSE,"CCTV"}</definedName>
    <definedName name="gfjgfhfg_4" hidden="1">{#N/A,#N/A,FALSE,"CCTV"}</definedName>
    <definedName name="gfjgfhfg_5" localSheetId="5" hidden="1">{#N/A,#N/A,FALSE,"CCTV"}</definedName>
    <definedName name="gfjgfhfg_5" hidden="1">{#N/A,#N/A,FALSE,"CCTV"}</definedName>
    <definedName name="gfsfg" localSheetId="5" hidden="1">{#N/A,#N/A,FALSE,"이태원철근"}</definedName>
    <definedName name="gfsfg" hidden="1">{#N/A,#N/A,FALSE,"이태원철근"}</definedName>
    <definedName name="gg" localSheetId="5" hidden="1">{"'장비'!$A$3:$M$12"}</definedName>
    <definedName name="gg" localSheetId="9" hidden="1">{"'장비'!$A$3:$M$12"}</definedName>
    <definedName name="gg" localSheetId="10" hidden="1">{"'장비'!$A$3:$M$12"}</definedName>
    <definedName name="gg" localSheetId="6" hidden="1">{"'장비'!$A$3:$M$12"}</definedName>
    <definedName name="gg" localSheetId="3" hidden="1">{"'장비'!$A$3:$M$12"}</definedName>
    <definedName name="gg" hidden="1">{"'장비'!$A$3:$M$12"}</definedName>
    <definedName name="GGG" hidden="1">#REF!</definedName>
    <definedName name="gggg" localSheetId="5" hidden="1">{"'장비'!$A$3:$M$12"}</definedName>
    <definedName name="gggg" localSheetId="9" hidden="1">{"'장비'!$A$3:$M$12"}</definedName>
    <definedName name="gggg" localSheetId="10" hidden="1">{"'장비'!$A$3:$M$12"}</definedName>
    <definedName name="gggg" localSheetId="6" hidden="1">{"'장비'!$A$3:$M$12"}</definedName>
    <definedName name="gggg" localSheetId="3" hidden="1">{"'장비'!$A$3:$M$12"}</definedName>
    <definedName name="gggg" hidden="1">{"'장비'!$A$3:$M$12"}</definedName>
    <definedName name="ggggg" localSheetId="5" hidden="1">{"'장비'!$A$3:$M$12"}</definedName>
    <definedName name="ggggg" hidden="1">{"'장비'!$A$3:$M$12"}</definedName>
    <definedName name="ggggg_1" localSheetId="5" hidden="1">{"'장비'!$A$3:$M$12"}</definedName>
    <definedName name="ggggg_1" hidden="1">{"'장비'!$A$3:$M$12"}</definedName>
    <definedName name="ggggg_2" localSheetId="5" hidden="1">{"'장비'!$A$3:$M$12"}</definedName>
    <definedName name="ggggg_2" hidden="1">{"'장비'!$A$3:$M$12"}</definedName>
    <definedName name="ggggg_3" localSheetId="5" hidden="1">{"'장비'!$A$3:$M$12"}</definedName>
    <definedName name="ggggg_3" hidden="1">{"'장비'!$A$3:$M$12"}</definedName>
    <definedName name="ggggg_4" localSheetId="5" hidden="1">{"'장비'!$A$3:$M$12"}</definedName>
    <definedName name="ggggg_4" hidden="1">{"'장비'!$A$3:$M$12"}</definedName>
    <definedName name="ggggg_5" localSheetId="5" hidden="1">{"'장비'!$A$3:$M$12"}</definedName>
    <definedName name="ggggg_5" hidden="1">{"'장비'!$A$3:$M$12"}</definedName>
    <definedName name="gh" localSheetId="5" hidden="1">{"'장비'!$A$3:$M$12"}</definedName>
    <definedName name="gh" localSheetId="9" hidden="1">{"'장비'!$A$3:$M$12"}</definedName>
    <definedName name="gh" localSheetId="10" hidden="1">{"'장비'!$A$3:$M$12"}</definedName>
    <definedName name="gh" localSheetId="6" hidden="1">{"'장비'!$A$3:$M$12"}</definedName>
    <definedName name="gh" localSheetId="3" hidden="1">{#N/A,#N/A,FALSE,"이태원철근"}</definedName>
    <definedName name="gh" hidden="1">{"'장비'!$A$3:$M$12"}</definedName>
    <definedName name="gh_1" localSheetId="5" hidden="1">{"'장비'!$A$3:$M$12"}</definedName>
    <definedName name="gh_1" localSheetId="9" hidden="1">{"'장비'!$A$3:$M$12"}</definedName>
    <definedName name="gh_1" localSheetId="10" hidden="1">{"'장비'!$A$3:$M$12"}</definedName>
    <definedName name="gh_1" localSheetId="6" hidden="1">{"'장비'!$A$3:$M$12"}</definedName>
    <definedName name="gh_1" localSheetId="3" hidden="1">{"'장비'!$A$3:$M$12"}</definedName>
    <definedName name="gh_1" hidden="1">{"'장비'!$A$3:$M$12"}</definedName>
    <definedName name="ghdghdg" localSheetId="5" hidden="1">{#N/A,#N/A,FALSE,"이태원철근"}</definedName>
    <definedName name="ghdghdg" hidden="1">{#N/A,#N/A,FALSE,"이태원철근"}</definedName>
    <definedName name="gid" localSheetId="5" hidden="1">{"'Sheet1'!$L$16"}</definedName>
    <definedName name="gid" localSheetId="9" hidden="1">{"'Sheet1'!$L$16"}</definedName>
    <definedName name="gid" localSheetId="10" hidden="1">{"'Sheet1'!$L$16"}</definedName>
    <definedName name="gid" localSheetId="6" hidden="1">{"'Sheet1'!$L$16"}</definedName>
    <definedName name="gid" localSheetId="3" hidden="1">{"'Sheet1'!$L$16"}</definedName>
    <definedName name="gid" hidden="1">{"'Sheet1'!$L$16"}</definedName>
    <definedName name="gj" localSheetId="5" hidden="1">{"'Sheet1'!$L$16"}</definedName>
    <definedName name="gj" localSheetId="9" hidden="1">{"'Sheet1'!$L$16"}</definedName>
    <definedName name="gj" localSheetId="10" hidden="1">{"'Sheet1'!$L$16"}</definedName>
    <definedName name="gj" localSheetId="6" hidden="1">{"'Sheet1'!$L$16"}</definedName>
    <definedName name="gj" localSheetId="3" hidden="1">{"'Sheet1'!$L$16"}</definedName>
    <definedName name="gj" hidden="1">{"'Sheet1'!$L$16"}</definedName>
    <definedName name="gkd" localSheetId="5" hidden="1">{"'Sheet1'!$L$16"}</definedName>
    <definedName name="gkd" localSheetId="9" hidden="1">{"'Sheet1'!$L$16"}</definedName>
    <definedName name="gkd" localSheetId="10" hidden="1">{"'Sheet1'!$L$16"}</definedName>
    <definedName name="gkd" localSheetId="6" hidden="1">{"'Sheet1'!$L$16"}</definedName>
    <definedName name="gkd" localSheetId="3" hidden="1">{"'Sheet1'!$L$16"}</definedName>
    <definedName name="gkd" hidden="1">{"'Sheet1'!$L$16"}</definedName>
    <definedName name="GV" localSheetId="5" hidden="1">{#N/A,#N/A,FALSE,"CCTV"}</definedName>
    <definedName name="GV" localSheetId="9" hidden="1">{#N/A,#N/A,FALSE,"CCTV"}</definedName>
    <definedName name="GV" localSheetId="10" hidden="1">{#N/A,#N/A,FALSE,"CCTV"}</definedName>
    <definedName name="GV" localSheetId="6" hidden="1">{#N/A,#N/A,FALSE,"CCTV"}</definedName>
    <definedName name="GV" localSheetId="3" hidden="1">{#N/A,#N/A,FALSE,"CCTV"}</definedName>
    <definedName name="GV" hidden="1">{#N/A,#N/A,FALSE,"CCTV"}</definedName>
    <definedName name="GV_1" localSheetId="5" hidden="1">{#N/A,#N/A,FALSE,"CCTV"}</definedName>
    <definedName name="GV_1" localSheetId="9" hidden="1">{#N/A,#N/A,FALSE,"CCTV"}</definedName>
    <definedName name="GV_1" localSheetId="10" hidden="1">{#N/A,#N/A,FALSE,"CCTV"}</definedName>
    <definedName name="GV_1" localSheetId="6" hidden="1">{#N/A,#N/A,FALSE,"CCTV"}</definedName>
    <definedName name="GV_1" localSheetId="3" hidden="1">{#N/A,#N/A,FALSE,"CCTV"}</definedName>
    <definedName name="GV_1" hidden="1">{#N/A,#N/A,FALSE,"CCTV"}</definedName>
    <definedName name="GV_2" localSheetId="5" hidden="1">{#N/A,#N/A,FALSE,"CCTV"}</definedName>
    <definedName name="GV_2" hidden="1">{#N/A,#N/A,FALSE,"CCTV"}</definedName>
    <definedName name="GV_3" localSheetId="5" hidden="1">{#N/A,#N/A,FALSE,"CCTV"}</definedName>
    <definedName name="GV_3" hidden="1">{#N/A,#N/A,FALSE,"CCTV"}</definedName>
    <definedName name="GV_4" localSheetId="5" hidden="1">{#N/A,#N/A,FALSE,"CCTV"}</definedName>
    <definedName name="GV_4" hidden="1">{#N/A,#N/A,FALSE,"CCTV"}</definedName>
    <definedName name="GV_5" localSheetId="5" hidden="1">{#N/A,#N/A,FALSE,"CCTV"}</definedName>
    <definedName name="GV_5" hidden="1">{#N/A,#N/A,FALSE,"CCTV"}</definedName>
    <definedName name="ha" localSheetId="5" hidden="1">{#N/A,#N/A,FALSE,"지침";#N/A,#N/A,FALSE,"환경분석";#N/A,#N/A,FALSE,"Sheet16"}</definedName>
    <definedName name="ha" hidden="1">{#N/A,#N/A,FALSE,"지침";#N/A,#N/A,FALSE,"환경분석";#N/A,#N/A,FALSE,"Sheet16"}</definedName>
    <definedName name="ha_1" localSheetId="5" hidden="1">{#N/A,#N/A,FALSE,"지침";#N/A,#N/A,FALSE,"환경분석";#N/A,#N/A,FALSE,"Sheet16"}</definedName>
    <definedName name="ha_1" hidden="1">{#N/A,#N/A,FALSE,"지침";#N/A,#N/A,FALSE,"환경분석";#N/A,#N/A,FALSE,"Sheet16"}</definedName>
    <definedName name="ha_2" localSheetId="5" hidden="1">{#N/A,#N/A,FALSE,"지침";#N/A,#N/A,FALSE,"환경분석";#N/A,#N/A,FALSE,"Sheet16"}</definedName>
    <definedName name="ha_2" hidden="1">{#N/A,#N/A,FALSE,"지침";#N/A,#N/A,FALSE,"환경분석";#N/A,#N/A,FALSE,"Sheet16"}</definedName>
    <definedName name="ha_3" localSheetId="5" hidden="1">{#N/A,#N/A,FALSE,"지침";#N/A,#N/A,FALSE,"환경분석";#N/A,#N/A,FALSE,"Sheet16"}</definedName>
    <definedName name="ha_3" hidden="1">{#N/A,#N/A,FALSE,"지침";#N/A,#N/A,FALSE,"환경분석";#N/A,#N/A,FALSE,"Sheet16"}</definedName>
    <definedName name="ha_4" localSheetId="5" hidden="1">{#N/A,#N/A,FALSE,"지침";#N/A,#N/A,FALSE,"환경분석";#N/A,#N/A,FALSE,"Sheet16"}</definedName>
    <definedName name="ha_4" hidden="1">{#N/A,#N/A,FALSE,"지침";#N/A,#N/A,FALSE,"환경분석";#N/A,#N/A,FALSE,"Sheet16"}</definedName>
    <definedName name="ha_5" localSheetId="5" hidden="1">{#N/A,#N/A,FALSE,"지침";#N/A,#N/A,FALSE,"환경분석";#N/A,#N/A,FALSE,"Sheet16"}</definedName>
    <definedName name="ha_5" hidden="1">{#N/A,#N/A,FALSE,"지침";#N/A,#N/A,FALSE,"환경분석";#N/A,#N/A,FALSE,"Sheet16"}</definedName>
    <definedName name="HEDAL" localSheetId="5" hidden="1">{#N/A,#N/A,FALSE,"TABLE"}</definedName>
    <definedName name="HEDAL" hidden="1">{#N/A,#N/A,FALSE,"TABLE"}</definedName>
    <definedName name="hfdgfdg" localSheetId="5" hidden="1">{#N/A,#N/A,FALSE,"CCTV"}</definedName>
    <definedName name="hfdgfdg" localSheetId="9" hidden="1">{#N/A,#N/A,FALSE,"CCTV"}</definedName>
    <definedName name="hfdgfdg" localSheetId="10" hidden="1">{#N/A,#N/A,FALSE,"CCTV"}</definedName>
    <definedName name="hfdgfdg" localSheetId="6" hidden="1">{#N/A,#N/A,FALSE,"CCTV"}</definedName>
    <definedName name="hfdgfdg" localSheetId="3" hidden="1">{#N/A,#N/A,FALSE,"CCTV"}</definedName>
    <definedName name="hfdgfdg" hidden="1">{#N/A,#N/A,FALSE,"CCTV"}</definedName>
    <definedName name="hfdgfdg_1" localSheetId="5" hidden="1">{#N/A,#N/A,FALSE,"CCTV"}</definedName>
    <definedName name="hfdgfdg_1" hidden="1">{#N/A,#N/A,FALSE,"CCTV"}</definedName>
    <definedName name="hfdgfdg_2" localSheetId="5" hidden="1">{#N/A,#N/A,FALSE,"CCTV"}</definedName>
    <definedName name="hfdgfdg_2" hidden="1">{#N/A,#N/A,FALSE,"CCTV"}</definedName>
    <definedName name="hfdgfdg_3" localSheetId="5" hidden="1">{#N/A,#N/A,FALSE,"CCTV"}</definedName>
    <definedName name="hfdgfdg_3" hidden="1">{#N/A,#N/A,FALSE,"CCTV"}</definedName>
    <definedName name="hfdgfdg_4" localSheetId="5" hidden="1">{#N/A,#N/A,FALSE,"CCTV"}</definedName>
    <definedName name="hfdgfdg_4" hidden="1">{#N/A,#N/A,FALSE,"CCTV"}</definedName>
    <definedName name="hfdgfdg_5" localSheetId="5" hidden="1">{#N/A,#N/A,FALSE,"CCTV"}</definedName>
    <definedName name="hfdgfdg_5" hidden="1">{#N/A,#N/A,FALSE,"CCTV"}</definedName>
    <definedName name="hfjhhjj" localSheetId="5" hidden="1">{#N/A,#N/A,FALSE,"CCTV"}</definedName>
    <definedName name="hfjhhjj" localSheetId="9" hidden="1">{#N/A,#N/A,FALSE,"CCTV"}</definedName>
    <definedName name="hfjhhjj" localSheetId="10" hidden="1">{#N/A,#N/A,FALSE,"CCTV"}</definedName>
    <definedName name="hfjhhjj" localSheetId="6" hidden="1">{#N/A,#N/A,FALSE,"CCTV"}</definedName>
    <definedName name="hfjhhjj" localSheetId="3" hidden="1">{#N/A,#N/A,FALSE,"CCTV"}</definedName>
    <definedName name="hfjhhjj" hidden="1">{#N/A,#N/A,FALSE,"CCTV"}</definedName>
    <definedName name="hfjhhjj_1" localSheetId="5" hidden="1">{#N/A,#N/A,FALSE,"CCTV"}</definedName>
    <definedName name="hfjhhjj_1" hidden="1">{#N/A,#N/A,FALSE,"CCTV"}</definedName>
    <definedName name="hfjhhjj_2" localSheetId="5" hidden="1">{#N/A,#N/A,FALSE,"CCTV"}</definedName>
    <definedName name="hfjhhjj_2" hidden="1">{#N/A,#N/A,FALSE,"CCTV"}</definedName>
    <definedName name="hfjhhjj_3" localSheetId="5" hidden="1">{#N/A,#N/A,FALSE,"CCTV"}</definedName>
    <definedName name="hfjhhjj_3" hidden="1">{#N/A,#N/A,FALSE,"CCTV"}</definedName>
    <definedName name="hfjhhjj_4" localSheetId="5" hidden="1">{#N/A,#N/A,FALSE,"CCTV"}</definedName>
    <definedName name="hfjhhjj_4" hidden="1">{#N/A,#N/A,FALSE,"CCTV"}</definedName>
    <definedName name="hfjhhjj_5" localSheetId="5" hidden="1">{#N/A,#N/A,FALSE,"CCTV"}</definedName>
    <definedName name="hfjhhjj_5" hidden="1">{#N/A,#N/A,FALSE,"CCTV"}</definedName>
    <definedName name="hgjfgh" localSheetId="5" hidden="1">{#N/A,#N/A,FALSE,"CCTV"}</definedName>
    <definedName name="hgjfgh" localSheetId="9" hidden="1">{#N/A,#N/A,FALSE,"CCTV"}</definedName>
    <definedName name="hgjfgh" localSheetId="10" hidden="1">{#N/A,#N/A,FALSE,"CCTV"}</definedName>
    <definedName name="hgjfgh" localSheetId="6" hidden="1">{#N/A,#N/A,FALSE,"CCTV"}</definedName>
    <definedName name="hgjfgh" localSheetId="3" hidden="1">{#N/A,#N/A,FALSE,"CCTV"}</definedName>
    <definedName name="hgjfgh" hidden="1">{#N/A,#N/A,FALSE,"CCTV"}</definedName>
    <definedName name="hgjfgh_1" localSheetId="5" hidden="1">{#N/A,#N/A,FALSE,"CCTV"}</definedName>
    <definedName name="hgjfgh_1" hidden="1">{#N/A,#N/A,FALSE,"CCTV"}</definedName>
    <definedName name="hgjfgh_2" localSheetId="5" hidden="1">{#N/A,#N/A,FALSE,"CCTV"}</definedName>
    <definedName name="hgjfgh_2" hidden="1">{#N/A,#N/A,FALSE,"CCTV"}</definedName>
    <definedName name="hgjfgh_3" localSheetId="5" hidden="1">{#N/A,#N/A,FALSE,"CCTV"}</definedName>
    <definedName name="hgjfgh_3" hidden="1">{#N/A,#N/A,FALSE,"CCTV"}</definedName>
    <definedName name="hgjfgh_4" localSheetId="5" hidden="1">{#N/A,#N/A,FALSE,"CCTV"}</definedName>
    <definedName name="hgjfgh_4" hidden="1">{#N/A,#N/A,FALSE,"CCTV"}</definedName>
    <definedName name="hgjfgh_5" localSheetId="5" hidden="1">{#N/A,#N/A,FALSE,"CCTV"}</definedName>
    <definedName name="hgjfgh_5" hidden="1">{#N/A,#N/A,FALSE,"CCTV"}</definedName>
    <definedName name="hgjgfhgh" localSheetId="5" hidden="1">{#N/A,#N/A,FALSE,"CCTV"}</definedName>
    <definedName name="hgjgfhgh" localSheetId="9" hidden="1">{#N/A,#N/A,FALSE,"CCTV"}</definedName>
    <definedName name="hgjgfhgh" localSheetId="10" hidden="1">{#N/A,#N/A,FALSE,"CCTV"}</definedName>
    <definedName name="hgjgfhgh" localSheetId="6" hidden="1">{#N/A,#N/A,FALSE,"CCTV"}</definedName>
    <definedName name="hgjgfhgh" localSheetId="3" hidden="1">{#N/A,#N/A,FALSE,"CCTV"}</definedName>
    <definedName name="hgjgfhgh" hidden="1">{#N/A,#N/A,FALSE,"CCTV"}</definedName>
    <definedName name="hgjgfhgh_1" localSheetId="5" hidden="1">{#N/A,#N/A,FALSE,"CCTV"}</definedName>
    <definedName name="hgjgfhgh_1" hidden="1">{#N/A,#N/A,FALSE,"CCTV"}</definedName>
    <definedName name="hgjgfhgh_2" localSheetId="5" hidden="1">{#N/A,#N/A,FALSE,"CCTV"}</definedName>
    <definedName name="hgjgfhgh_2" hidden="1">{#N/A,#N/A,FALSE,"CCTV"}</definedName>
    <definedName name="hgjgfhgh_3" localSheetId="5" hidden="1">{#N/A,#N/A,FALSE,"CCTV"}</definedName>
    <definedName name="hgjgfhgh_3" hidden="1">{#N/A,#N/A,FALSE,"CCTV"}</definedName>
    <definedName name="hgjgfhgh_4" localSheetId="5" hidden="1">{#N/A,#N/A,FALSE,"CCTV"}</definedName>
    <definedName name="hgjgfhgh_4" hidden="1">{#N/A,#N/A,FALSE,"CCTV"}</definedName>
    <definedName name="hgjgfhgh_5" localSheetId="5" hidden="1">{#N/A,#N/A,FALSE,"CCTV"}</definedName>
    <definedName name="hgjgfhgh_5" hidden="1">{#N/A,#N/A,FALSE,"CCTV"}</definedName>
    <definedName name="hh" localSheetId="5" hidden="1">{"'장비'!$A$3:$M$12"}</definedName>
    <definedName name="hh" localSheetId="9" hidden="1">{"'장비'!$A$3:$M$12"}</definedName>
    <definedName name="hh" localSheetId="10" hidden="1">{"'장비'!$A$3:$M$12"}</definedName>
    <definedName name="hh" localSheetId="6" hidden="1">{"'장비'!$A$3:$M$12"}</definedName>
    <definedName name="hh" localSheetId="3" hidden="1">{#N/A,#N/A,FALSE,"CCTV"}</definedName>
    <definedName name="hh" hidden="1">{"'장비'!$A$3:$M$12"}</definedName>
    <definedName name="hh_1" localSheetId="5" hidden="1">{"'장비'!$A$3:$M$12"}</definedName>
    <definedName name="hh_1" localSheetId="9" hidden="1">{"'장비'!$A$3:$M$12"}</definedName>
    <definedName name="hh_1" localSheetId="10" hidden="1">{"'장비'!$A$3:$M$12"}</definedName>
    <definedName name="hh_1" localSheetId="6" hidden="1">{"'장비'!$A$3:$M$12"}</definedName>
    <definedName name="hh_1" localSheetId="3" hidden="1">{"'장비'!$A$3:$M$12"}</definedName>
    <definedName name="hh_1" hidden="1">{"'장비'!$A$3:$M$12"}</definedName>
    <definedName name="hh_2" localSheetId="5" hidden="1">{#N/A,#N/A,FALSE,"CCTV"}</definedName>
    <definedName name="hh_2" hidden="1">{#N/A,#N/A,FALSE,"CCTV"}</definedName>
    <definedName name="hh_3" localSheetId="5" hidden="1">{#N/A,#N/A,FALSE,"CCTV"}</definedName>
    <definedName name="hh_3" hidden="1">{#N/A,#N/A,FALSE,"CCTV"}</definedName>
    <definedName name="hh_4" localSheetId="5" hidden="1">{#N/A,#N/A,FALSE,"CCTV"}</definedName>
    <definedName name="hh_4" hidden="1">{#N/A,#N/A,FALSE,"CCTV"}</definedName>
    <definedName name="hh_5" localSheetId="5" hidden="1">{#N/A,#N/A,FALSE,"CCTV"}</definedName>
    <definedName name="hh_5" hidden="1">{#N/A,#N/A,FALSE,"CCTV"}</definedName>
    <definedName name="HHH" localSheetId="5" hidden="1">{#N/A,#N/A,TRUE,"Basic";#N/A,#N/A,TRUE,"EXT-TABLE";#N/A,#N/A,TRUE,"STEEL";#N/A,#N/A,TRUE,"INT-Table";#N/A,#N/A,TRUE,"STEEL";#N/A,#N/A,TRUE,"Door"}</definedName>
    <definedName name="HHH" localSheetId="9" hidden="1">{#N/A,#N/A,TRUE,"Basic";#N/A,#N/A,TRUE,"EXT-TABLE";#N/A,#N/A,TRUE,"STEEL";#N/A,#N/A,TRUE,"INT-Table";#N/A,#N/A,TRUE,"STEEL";#N/A,#N/A,TRUE,"Door"}</definedName>
    <definedName name="HHH" localSheetId="10" hidden="1">{#N/A,#N/A,TRUE,"Basic";#N/A,#N/A,TRUE,"EXT-TABLE";#N/A,#N/A,TRUE,"STEEL";#N/A,#N/A,TRUE,"INT-Table";#N/A,#N/A,TRUE,"STEEL";#N/A,#N/A,TRUE,"Door"}</definedName>
    <definedName name="HHH" localSheetId="6" hidden="1">{#N/A,#N/A,TRUE,"Basic";#N/A,#N/A,TRUE,"EXT-TABLE";#N/A,#N/A,TRUE,"STEEL";#N/A,#N/A,TRUE,"INT-Table";#N/A,#N/A,TRUE,"STEEL";#N/A,#N/A,TRUE,"Door"}</definedName>
    <definedName name="HHH" localSheetId="3" hidden="1">#REF!</definedName>
    <definedName name="HHH" hidden="1">{#N/A,#N/A,TRUE,"Basic";#N/A,#N/A,TRUE,"EXT-TABLE";#N/A,#N/A,TRUE,"STEEL";#N/A,#N/A,TRUE,"INT-Table";#N/A,#N/A,TRUE,"STEEL";#N/A,#N/A,TRUE,"Door"}</definedName>
    <definedName name="hik" localSheetId="5" hidden="1">{#N/A,#N/A,FALSE,"TABLE"}</definedName>
    <definedName name="hik" hidden="1">{#N/A,#N/A,FALSE,"TABLE"}</definedName>
    <definedName name="HIM" hidden="1">#REF!</definedName>
    <definedName name="hj" localSheetId="5" hidden="1">{"'Sheet1'!$L$16"}</definedName>
    <definedName name="hj" localSheetId="9" hidden="1">{"'Sheet1'!$L$16"}</definedName>
    <definedName name="hj" localSheetId="10" hidden="1">{"'Sheet1'!$L$16"}</definedName>
    <definedName name="hj" localSheetId="6" hidden="1">{"'Sheet1'!$L$16"}</definedName>
    <definedName name="hj" localSheetId="3" hidden="1">{"'Sheet1'!$L$16"}</definedName>
    <definedName name="hj" hidden="1">{"'Sheet1'!$L$16"}</definedName>
    <definedName name="hjhjh" localSheetId="5" hidden="1">{#N/A,#N/A,TRUE,"arnitower";#N/A,#N/A,TRUE,"arnigarage "}</definedName>
    <definedName name="hjhjh" hidden="1">{#N/A,#N/A,TRUE,"arnitower";#N/A,#N/A,TRUE,"arnigarage "}</definedName>
    <definedName name="HJK" localSheetId="5" hidden="1">{#N/A,#N/A,FALSE,"이태원철근"}</definedName>
    <definedName name="HJK" hidden="1">{#N/A,#N/A,FALSE,"이태원철근"}</definedName>
    <definedName name="ho" localSheetId="5" hidden="1">{#N/A,#N/A,FALSE,"TABLE"}</definedName>
    <definedName name="ho" hidden="1">{#N/A,#N/A,FALSE,"TABLE"}</definedName>
    <definedName name="HTML" localSheetId="5" hidden="1">{"'장비'!$A$3:$M$12"}</definedName>
    <definedName name="HTML" localSheetId="9" hidden="1">{"'장비'!$A$3:$M$12"}</definedName>
    <definedName name="HTML" localSheetId="10" hidden="1">{"'장비'!$A$3:$M$12"}</definedName>
    <definedName name="HTML" localSheetId="6" hidden="1">{"'장비'!$A$3:$M$12"}</definedName>
    <definedName name="HTML" localSheetId="3" hidden="1">{"'장비'!$A$3:$M$12"}</definedName>
    <definedName name="HTML" hidden="1">{"'장비'!$A$3:$M$12"}</definedName>
    <definedName name="HTML_1" localSheetId="5" hidden="1">{"'장비'!$A$3:$M$12"}</definedName>
    <definedName name="HTML_1" localSheetId="9" hidden="1">{"'장비'!$A$3:$M$12"}</definedName>
    <definedName name="HTML_1" localSheetId="10" hidden="1">{"'장비'!$A$3:$M$12"}</definedName>
    <definedName name="HTML_1" localSheetId="6" hidden="1">{"'장비'!$A$3:$M$12"}</definedName>
    <definedName name="HTML_1" localSheetId="3" hidden="1">{"'장비'!$A$3:$M$12"}</definedName>
    <definedName name="HTML_1" hidden="1">{"'장비'!$A$3:$M$12"}</definedName>
    <definedName name="HTML_2" localSheetId="5" hidden="1">{"'장비'!$A$3:$M$12"}</definedName>
    <definedName name="HTML_2" hidden="1">{"'장비'!$A$3:$M$12"}</definedName>
    <definedName name="HTML_3" localSheetId="5" hidden="1">{"'장비'!$A$3:$M$12"}</definedName>
    <definedName name="HTML_3" hidden="1">{"'장비'!$A$3:$M$12"}</definedName>
    <definedName name="HTML_4" localSheetId="5" hidden="1">{"'장비'!$A$3:$M$12"}</definedName>
    <definedName name="HTML_4" hidden="1">{"'장비'!$A$3:$M$12"}</definedName>
    <definedName name="HTML_5" localSheetId="5" hidden="1">{"'장비'!$A$3:$M$12"}</definedName>
    <definedName name="HTML_5" hidden="1">{"'장비'!$A$3:$M$12"}</definedName>
    <definedName name="HTML_CodePage" hidden="1">949</definedName>
    <definedName name="HTML_Control" localSheetId="5" hidden="1">{"'장비'!$A$3:$M$12"}</definedName>
    <definedName name="HTML_Control" localSheetId="9" hidden="1">{"'장비'!$A$3:$M$12"}</definedName>
    <definedName name="HTML_Control" localSheetId="10" hidden="1">{"'장비'!$A$3:$M$12"}</definedName>
    <definedName name="HTML_Control" localSheetId="6" hidden="1">{"'장비'!$A$3:$M$12"}</definedName>
    <definedName name="HTML_Control" localSheetId="3" hidden="1">{"'별표'!$N$220"}</definedName>
    <definedName name="HTML_Control" hidden="1">{"'장비'!$A$3:$M$12"}</definedName>
    <definedName name="HTML_Control_1" localSheetId="5" hidden="1">{"'장비'!$A$3:$M$12"}</definedName>
    <definedName name="HTML_Control_1" localSheetId="9" hidden="1">{"'장비'!$A$3:$M$12"}</definedName>
    <definedName name="HTML_Control_1" localSheetId="10" hidden="1">{"'장비'!$A$3:$M$12"}</definedName>
    <definedName name="HTML_Control_1" localSheetId="6" hidden="1">{"'장비'!$A$3:$M$12"}</definedName>
    <definedName name="HTML_Control_1" localSheetId="3" hidden="1">{"'장비'!$A$3:$M$12"}</definedName>
    <definedName name="HTML_Control_1" hidden="1">{"'장비'!$A$3:$M$12"}</definedName>
    <definedName name="HTML_Control_2" localSheetId="5" hidden="1">{"'장비'!$A$3:$M$12"}</definedName>
    <definedName name="HTML_Control_2" hidden="1">{"'장비'!$A$3:$M$12"}</definedName>
    <definedName name="HTML_Control_3" localSheetId="5" hidden="1">{"'장비'!$A$3:$M$12"}</definedName>
    <definedName name="HTML_Control_3" hidden="1">{"'장비'!$A$3:$M$12"}</definedName>
    <definedName name="HTML_Control_4" localSheetId="5" hidden="1">{"'장비'!$A$3:$M$12"}</definedName>
    <definedName name="HTML_Control_4" hidden="1">{"'장비'!$A$3:$M$12"}</definedName>
    <definedName name="HTML_Control_5" localSheetId="5" hidden="1">{"'장비'!$A$3:$M$12"}</definedName>
    <definedName name="HTML_Control_5" hidden="1">{"'장비'!$A$3:$M$12"}</definedName>
    <definedName name="HTML_Description" hidden="1">""</definedName>
    <definedName name="HTML_Email" hidden="1">""</definedName>
    <definedName name="HTML_Header" localSheetId="3" hidden="1">"별표"</definedName>
    <definedName name="HTML_Header" hidden="1">"장비"</definedName>
    <definedName name="HTML_LastUpdate" localSheetId="3" hidden="1">"98-03-12"</definedName>
    <definedName name="HTML_LastUpdate" hidden="1">"97-08-05"</definedName>
    <definedName name="HTML_LineAfter" hidden="1">FALSE</definedName>
    <definedName name="HTML_LineBefore" hidden="1">FALSE</definedName>
    <definedName name="HTML_Name" localSheetId="3" hidden="1">"나승온"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localSheetId="3" hidden="1">"C:\WINDOWS\Favorites\MyHTML.htm"</definedName>
    <definedName name="HTML_PathFile" hidden="1">"C:\My Documents\MyHTML.htm"</definedName>
    <definedName name="HTML_Title" localSheetId="3" hidden="1">"한전감포"</definedName>
    <definedName name="HTML_Title" hidden="1">"가산동미라보"</definedName>
    <definedName name="HTML1_1" hidden="1">"[mnsavg.xls]Sheet1!$A$1:$AD$11"</definedName>
    <definedName name="HTML2_1" hidden="1">"[mnsavg.xls]Sheet1!$A$4:$K$33"</definedName>
    <definedName name="HTML3_1" hidden="1">"[keb97avrg.xls]Sheet1!$A$4:$O$32"</definedName>
    <definedName name="HTR" localSheetId="5" hidden="1">{#N/A,#N/A,FALSE,"이태원철근"}</definedName>
    <definedName name="HTR" hidden="1">{#N/A,#N/A,FALSE,"이태원철근"}</definedName>
    <definedName name="huy" localSheetId="5" hidden="1">{"'Sheet1'!$L$16"}</definedName>
    <definedName name="huy" hidden="1">{"'Sheet1'!$L$16"}</definedName>
    <definedName name="huy_1" localSheetId="5" hidden="1">{"'Sheet1'!$L$16"}</definedName>
    <definedName name="huy_1" hidden="1">{"'Sheet1'!$L$16"}</definedName>
    <definedName name="huy_2" localSheetId="5" hidden="1">{"'Sheet1'!$L$16"}</definedName>
    <definedName name="huy_2" hidden="1">{"'Sheet1'!$L$16"}</definedName>
    <definedName name="huy_3" localSheetId="5" hidden="1">{"'Sheet1'!$L$16"}</definedName>
    <definedName name="huy_3" hidden="1">{"'Sheet1'!$L$16"}</definedName>
    <definedName name="huy_4" localSheetId="5" hidden="1">{"'Sheet1'!$L$16"}</definedName>
    <definedName name="huy_4" hidden="1">{"'Sheet1'!$L$16"}</definedName>
    <definedName name="huy_5" localSheetId="5" hidden="1">{"'Sheet1'!$L$16"}</definedName>
    <definedName name="huy_5" hidden="1">{"'Sheet1'!$L$16"}</definedName>
    <definedName name="IC" hidden="1">#REF!</definedName>
    <definedName name="ie" localSheetId="5" hidden="1">{"'Sheet1'!$L$16"}</definedName>
    <definedName name="ie" localSheetId="9" hidden="1">{"'Sheet1'!$L$16"}</definedName>
    <definedName name="ie" localSheetId="10" hidden="1">{"'Sheet1'!$L$16"}</definedName>
    <definedName name="ie" localSheetId="6" hidden="1">{"'Sheet1'!$L$16"}</definedName>
    <definedName name="ie" localSheetId="3" hidden="1">{"'Sheet1'!$L$16"}</definedName>
    <definedName name="ie" hidden="1">{"'Sheet1'!$L$16"}</definedName>
    <definedName name="IGLE" localSheetId="9" hidden="1">#REF!</definedName>
    <definedName name="IGLE" localSheetId="10" hidden="1">#REF!</definedName>
    <definedName name="IGLE" hidden="1">#REF!</definedName>
    <definedName name="ii" localSheetId="5" hidden="1">{#N/A,#N/A,FALSE,"CCTV"}</definedName>
    <definedName name="ii" localSheetId="9" hidden="1">{#N/A,#N/A,FALSE,"CCTV"}</definedName>
    <definedName name="ii" localSheetId="10" hidden="1">{#N/A,#N/A,FALSE,"CCTV"}</definedName>
    <definedName name="ii" localSheetId="6" hidden="1">{#N/A,#N/A,FALSE,"CCTV"}</definedName>
    <definedName name="ii" localSheetId="3" hidden="1">{#N/A,#N/A,FALSE,"CCTV"}</definedName>
    <definedName name="ii" hidden="1">{#N/A,#N/A,FALSE,"CCTV"}</definedName>
    <definedName name="ii_1" localSheetId="5" hidden="1">{#N/A,#N/A,FALSE,"CCTV"}</definedName>
    <definedName name="ii_1" localSheetId="9" hidden="1">{#N/A,#N/A,FALSE,"CCTV"}</definedName>
    <definedName name="ii_1" localSheetId="10" hidden="1">{#N/A,#N/A,FALSE,"CCTV"}</definedName>
    <definedName name="ii_1" localSheetId="6" hidden="1">{#N/A,#N/A,FALSE,"CCTV"}</definedName>
    <definedName name="ii_1" localSheetId="3" hidden="1">{#N/A,#N/A,FALSE,"CCTV"}</definedName>
    <definedName name="ii_1" hidden="1">{#N/A,#N/A,FALSE,"CCTV"}</definedName>
    <definedName name="III" hidden="1">#REF!</definedName>
    <definedName name="iiouolkll" localSheetId="5" hidden="1">{#N/A,#N/A,FALSE,"CCTV"}</definedName>
    <definedName name="iiouolkll" localSheetId="9" hidden="1">{#N/A,#N/A,FALSE,"CCTV"}</definedName>
    <definedName name="iiouolkll" localSheetId="10" hidden="1">{#N/A,#N/A,FALSE,"CCTV"}</definedName>
    <definedName name="iiouolkll" localSheetId="6" hidden="1">{#N/A,#N/A,FALSE,"CCTV"}</definedName>
    <definedName name="iiouolkll" localSheetId="3" hidden="1">{#N/A,#N/A,FALSE,"CCTV"}</definedName>
    <definedName name="iiouolkll" hidden="1">{#N/A,#N/A,FALSE,"CCTV"}</definedName>
    <definedName name="iiouolkll_1" localSheetId="5" hidden="1">{#N/A,#N/A,FALSE,"CCTV"}</definedName>
    <definedName name="iiouolkll_1" hidden="1">{#N/A,#N/A,FALSE,"CCTV"}</definedName>
    <definedName name="iiouolkll_2" localSheetId="5" hidden="1">{#N/A,#N/A,FALSE,"CCTV"}</definedName>
    <definedName name="iiouolkll_2" hidden="1">{#N/A,#N/A,FALSE,"CCTV"}</definedName>
    <definedName name="iiouolkll_3" localSheetId="5" hidden="1">{#N/A,#N/A,FALSE,"CCTV"}</definedName>
    <definedName name="iiouolkll_3" hidden="1">{#N/A,#N/A,FALSE,"CCTV"}</definedName>
    <definedName name="iiouolkll_4" localSheetId="5" hidden="1">{#N/A,#N/A,FALSE,"CCTV"}</definedName>
    <definedName name="iiouolkll_4" hidden="1">{#N/A,#N/A,FALSE,"CCTV"}</definedName>
    <definedName name="iiouolkll_5" localSheetId="5" hidden="1">{#N/A,#N/A,FALSE,"CCTV"}</definedName>
    <definedName name="iiouolkll_5" hidden="1">{#N/A,#N/A,FALSE,"CCTV"}</definedName>
    <definedName name="Index" hidden="1">#REF!</definedName>
    <definedName name="intel" localSheetId="5" hidden="1">{#N/A,#N/A,FALSE,"TABLE"}</definedName>
    <definedName name="intel" hidden="1">{#N/A,#N/A,FALSE,"TABLE"}</definedName>
    <definedName name="Intercon" localSheetId="5" hidden="1">{#N/A,#N/A,FALSE,"CCTV"}</definedName>
    <definedName name="Intercon" localSheetId="9" hidden="1">{#N/A,#N/A,FALSE,"CCTV"}</definedName>
    <definedName name="Intercon" localSheetId="10" hidden="1">{#N/A,#N/A,FALSE,"CCTV"}</definedName>
    <definedName name="Intercon" localSheetId="6" hidden="1">{#N/A,#N/A,FALSE,"CCTV"}</definedName>
    <definedName name="Intercon" localSheetId="3" hidden="1">{#N/A,#N/A,FALSE,"CCTV"}</definedName>
    <definedName name="Intercon" hidden="1">{#N/A,#N/A,FALSE,"CCTV"}</definedName>
    <definedName name="Intercon_1" localSheetId="5" hidden="1">{#N/A,#N/A,FALSE,"CCTV"}</definedName>
    <definedName name="Intercon_1" localSheetId="9" hidden="1">{#N/A,#N/A,FALSE,"CCTV"}</definedName>
    <definedName name="Intercon_1" localSheetId="10" hidden="1">{#N/A,#N/A,FALSE,"CCTV"}</definedName>
    <definedName name="Intercon_1" localSheetId="6" hidden="1">{#N/A,#N/A,FALSE,"CCTV"}</definedName>
    <definedName name="Intercon_1" localSheetId="3" hidden="1">{#N/A,#N/A,FALSE,"CCTV"}</definedName>
    <definedName name="Intercon_1" hidden="1">{#N/A,#N/A,FALSE,"CCTV"}</definedName>
    <definedName name="iop" localSheetId="5" hidden="1">{"'Sheet1'!$L$16"}</definedName>
    <definedName name="iop" localSheetId="9" hidden="1">{"'Sheet1'!$L$16"}</definedName>
    <definedName name="iop" localSheetId="10" hidden="1">{"'Sheet1'!$L$16"}</definedName>
    <definedName name="iop" localSheetId="6" hidden="1">{"'Sheet1'!$L$16"}</definedName>
    <definedName name="iop" localSheetId="3" hidden="1">{"'Sheet1'!$L$16"}</definedName>
    <definedName name="iop" hidden="1">{"'Sheet1'!$L$16"}</definedName>
    <definedName name="is" localSheetId="5" hidden="1">{"'Sheet1'!$L$16"}</definedName>
    <definedName name="is" localSheetId="9" hidden="1">{"'Sheet1'!$L$16"}</definedName>
    <definedName name="is" localSheetId="10" hidden="1">{"'Sheet1'!$L$16"}</definedName>
    <definedName name="is" localSheetId="6" hidden="1">{"'Sheet1'!$L$16"}</definedName>
    <definedName name="is" localSheetId="3" hidden="1">{"'Sheet1'!$L$16"}</definedName>
    <definedName name="is" hidden="1">{"'Sheet1'!$L$16"}</definedName>
    <definedName name="it" localSheetId="5" hidden="1">{"'Sheet1'!$L$16"}</definedName>
    <definedName name="it" localSheetId="9" hidden="1">{"'Sheet1'!$L$16"}</definedName>
    <definedName name="it" localSheetId="10" hidden="1">{"'Sheet1'!$L$16"}</definedName>
    <definedName name="it" localSheetId="6" hidden="1">{"'Sheet1'!$L$16"}</definedName>
    <definedName name="it" localSheetId="3" hidden="1">{"'Sheet1'!$L$16"}</definedName>
    <definedName name="it" hidden="1">{"'Sheet1'!$L$16"}</definedName>
    <definedName name="jacket" localSheetId="5" hidden="1">{#N/A,#N/A,FALSE,"CCTV"}</definedName>
    <definedName name="jacket" localSheetId="9" hidden="1">{#N/A,#N/A,FALSE,"CCTV"}</definedName>
    <definedName name="jacket" localSheetId="10" hidden="1">{#N/A,#N/A,FALSE,"CCTV"}</definedName>
    <definedName name="jacket" localSheetId="6" hidden="1">{#N/A,#N/A,FALSE,"CCTV"}</definedName>
    <definedName name="jacket" localSheetId="3" hidden="1">{#N/A,#N/A,FALSE,"CCTV"}</definedName>
    <definedName name="jacket" hidden="1">{#N/A,#N/A,FALSE,"CCTV"}</definedName>
    <definedName name="jacket_1" localSheetId="5" hidden="1">{#N/A,#N/A,FALSE,"CCTV"}</definedName>
    <definedName name="jacket_1" hidden="1">{#N/A,#N/A,FALSE,"CCTV"}</definedName>
    <definedName name="jacket_2" localSheetId="5" hidden="1">{#N/A,#N/A,FALSE,"CCTV"}</definedName>
    <definedName name="jacket_2" hidden="1">{#N/A,#N/A,FALSE,"CCTV"}</definedName>
    <definedName name="jacket_3" localSheetId="5" hidden="1">{#N/A,#N/A,FALSE,"CCTV"}</definedName>
    <definedName name="jacket_3" hidden="1">{#N/A,#N/A,FALSE,"CCTV"}</definedName>
    <definedName name="jacket_4" localSheetId="5" hidden="1">{#N/A,#N/A,FALSE,"CCTV"}</definedName>
    <definedName name="jacket_4" hidden="1">{#N/A,#N/A,FALSE,"CCTV"}</definedName>
    <definedName name="jacket_5" localSheetId="5" hidden="1">{#N/A,#N/A,FALSE,"CCTV"}</definedName>
    <definedName name="jacket_5" hidden="1">{#N/A,#N/A,FALSE,"CCTV"}</definedName>
    <definedName name="jhhhh" localSheetId="5" hidden="1">{#N/A,#N/A,FALSE,"CCTV"}</definedName>
    <definedName name="jhhhh" localSheetId="9" hidden="1">{#N/A,#N/A,FALSE,"CCTV"}</definedName>
    <definedName name="jhhhh" localSheetId="10" hidden="1">{#N/A,#N/A,FALSE,"CCTV"}</definedName>
    <definedName name="jhhhh" localSheetId="6" hidden="1">{#N/A,#N/A,FALSE,"CCTV"}</definedName>
    <definedName name="jhhhh" localSheetId="3" hidden="1">{#N/A,#N/A,FALSE,"CCTV"}</definedName>
    <definedName name="jhhhh" hidden="1">{#N/A,#N/A,FALSE,"CCTV"}</definedName>
    <definedName name="jhhhh_1" localSheetId="5" hidden="1">{#N/A,#N/A,FALSE,"CCTV"}</definedName>
    <definedName name="jhhhh_1" hidden="1">{#N/A,#N/A,FALSE,"CCTV"}</definedName>
    <definedName name="jhhhh_2" localSheetId="5" hidden="1">{#N/A,#N/A,FALSE,"CCTV"}</definedName>
    <definedName name="jhhhh_2" hidden="1">{#N/A,#N/A,FALSE,"CCTV"}</definedName>
    <definedName name="jhhhh_3" localSheetId="5" hidden="1">{#N/A,#N/A,FALSE,"CCTV"}</definedName>
    <definedName name="jhhhh_3" hidden="1">{#N/A,#N/A,FALSE,"CCTV"}</definedName>
    <definedName name="jhhhh_4" localSheetId="5" hidden="1">{#N/A,#N/A,FALSE,"CCTV"}</definedName>
    <definedName name="jhhhh_4" hidden="1">{#N/A,#N/A,FALSE,"CCTV"}</definedName>
    <definedName name="jhhhh_5" localSheetId="5" hidden="1">{#N/A,#N/A,FALSE,"CCTV"}</definedName>
    <definedName name="jhhhh_5" hidden="1">{#N/A,#N/A,FALSE,"CCTV"}</definedName>
    <definedName name="Jip" localSheetId="5" hidden="1">{"'CATALO(8)'!$B$1:$G$49"}</definedName>
    <definedName name="Jip" hidden="1">{"'CATALO(8)'!$B$1:$G$49"}</definedName>
    <definedName name="Jip_1" localSheetId="5" hidden="1">{"'CATALO(8)'!$B$1:$G$49"}</definedName>
    <definedName name="Jip_1" hidden="1">{"'CATALO(8)'!$B$1:$G$49"}</definedName>
    <definedName name="Jip_2" localSheetId="5" hidden="1">{"'CATALO(8)'!$B$1:$G$49"}</definedName>
    <definedName name="Jip_2" hidden="1">{"'CATALO(8)'!$B$1:$G$49"}</definedName>
    <definedName name="Jip_3" localSheetId="5" hidden="1">{"'CATALO(8)'!$B$1:$G$49"}</definedName>
    <definedName name="Jip_3" hidden="1">{"'CATALO(8)'!$B$1:$G$49"}</definedName>
    <definedName name="Jip_4" localSheetId="5" hidden="1">{"'CATALO(8)'!$B$1:$G$49"}</definedName>
    <definedName name="Jip_4" hidden="1">{"'CATALO(8)'!$B$1:$G$49"}</definedName>
    <definedName name="Jip_5" localSheetId="5" hidden="1">{"'CATALO(8)'!$B$1:$G$49"}</definedName>
    <definedName name="Jip_5" hidden="1">{"'CATALO(8)'!$B$1:$G$49"}</definedName>
    <definedName name="JJ" hidden="1">#REF!</definedName>
    <definedName name="jjj" localSheetId="5" hidden="1">{"'CATALO(8)'!$B$1:$G$49"}</definedName>
    <definedName name="jjj" hidden="1">{"'CATALO(8)'!$B$1:$G$49"}</definedName>
    <definedName name="jjj_1" localSheetId="5" hidden="1">{"'CATALO(8)'!$B$1:$G$49"}</definedName>
    <definedName name="jjj_1" hidden="1">{"'CATALO(8)'!$B$1:$G$49"}</definedName>
    <definedName name="jjj_2" localSheetId="5" hidden="1">{"'CATALO(8)'!$B$1:$G$49"}</definedName>
    <definedName name="jjj_2" hidden="1">{"'CATALO(8)'!$B$1:$G$49"}</definedName>
    <definedName name="jjj_3" localSheetId="5" hidden="1">{"'CATALO(8)'!$B$1:$G$49"}</definedName>
    <definedName name="jjj_3" hidden="1">{"'CATALO(8)'!$B$1:$G$49"}</definedName>
    <definedName name="jjj_4" localSheetId="5" hidden="1">{"'CATALO(8)'!$B$1:$G$49"}</definedName>
    <definedName name="jjj_4" hidden="1">{"'CATALO(8)'!$B$1:$G$49"}</definedName>
    <definedName name="jjj_5" localSheetId="5" hidden="1">{"'CATALO(8)'!$B$1:$G$49"}</definedName>
    <definedName name="jjj_5" hidden="1">{"'CATALO(8)'!$B$1:$G$49"}</definedName>
    <definedName name="JSJHSH" localSheetId="5" hidden="1">{#N/A,#N/A,TRUE,"Basic";#N/A,#N/A,TRUE,"EXT-TABLE";#N/A,#N/A,TRUE,"STEEL";#N/A,#N/A,TRUE,"INT-Table";#N/A,#N/A,TRUE,"STEEL";#N/A,#N/A,TRUE,"Door"}</definedName>
    <definedName name="JSJHSH" hidden="1">{#N/A,#N/A,TRUE,"Basic";#N/A,#N/A,TRUE,"EXT-TABLE";#N/A,#N/A,TRUE,"STEEL";#N/A,#N/A,TRUE,"INT-Table";#N/A,#N/A,TRUE,"STEEL";#N/A,#N/A,TRUE,"Door"}</definedName>
    <definedName name="JSJHSH_1" localSheetId="5" hidden="1">{#N/A,#N/A,TRUE,"Basic";#N/A,#N/A,TRUE,"EXT-TABLE";#N/A,#N/A,TRUE,"STEEL";#N/A,#N/A,TRUE,"INT-Table";#N/A,#N/A,TRUE,"STEEL";#N/A,#N/A,TRUE,"Door"}</definedName>
    <definedName name="JSJHSH_1" hidden="1">{#N/A,#N/A,TRUE,"Basic";#N/A,#N/A,TRUE,"EXT-TABLE";#N/A,#N/A,TRUE,"STEEL";#N/A,#N/A,TRUE,"INT-Table";#N/A,#N/A,TRUE,"STEEL";#N/A,#N/A,TRUE,"Door"}</definedName>
    <definedName name="JSJHSH_2" localSheetId="5" hidden="1">{#N/A,#N/A,TRUE,"Basic";#N/A,#N/A,TRUE,"EXT-TABLE";#N/A,#N/A,TRUE,"STEEL";#N/A,#N/A,TRUE,"INT-Table";#N/A,#N/A,TRUE,"STEEL";#N/A,#N/A,TRUE,"Door"}</definedName>
    <definedName name="JSJHSH_2" hidden="1">{#N/A,#N/A,TRUE,"Basic";#N/A,#N/A,TRUE,"EXT-TABLE";#N/A,#N/A,TRUE,"STEEL";#N/A,#N/A,TRUE,"INT-Table";#N/A,#N/A,TRUE,"STEEL";#N/A,#N/A,TRUE,"Door"}</definedName>
    <definedName name="JSJHSH_3" localSheetId="5" hidden="1">{#N/A,#N/A,TRUE,"Basic";#N/A,#N/A,TRUE,"EXT-TABLE";#N/A,#N/A,TRUE,"STEEL";#N/A,#N/A,TRUE,"INT-Table";#N/A,#N/A,TRUE,"STEEL";#N/A,#N/A,TRUE,"Door"}</definedName>
    <definedName name="JSJHSH_3" hidden="1">{#N/A,#N/A,TRUE,"Basic";#N/A,#N/A,TRUE,"EXT-TABLE";#N/A,#N/A,TRUE,"STEEL";#N/A,#N/A,TRUE,"INT-Table";#N/A,#N/A,TRUE,"STEEL";#N/A,#N/A,TRUE,"Door"}</definedName>
    <definedName name="JSJHSH_4" localSheetId="5" hidden="1">{#N/A,#N/A,TRUE,"Basic";#N/A,#N/A,TRUE,"EXT-TABLE";#N/A,#N/A,TRUE,"STEEL";#N/A,#N/A,TRUE,"INT-Table";#N/A,#N/A,TRUE,"STEEL";#N/A,#N/A,TRUE,"Door"}</definedName>
    <definedName name="JSJHSH_4" hidden="1">{#N/A,#N/A,TRUE,"Basic";#N/A,#N/A,TRUE,"EXT-TABLE";#N/A,#N/A,TRUE,"STEEL";#N/A,#N/A,TRUE,"INT-Table";#N/A,#N/A,TRUE,"STEEL";#N/A,#N/A,TRUE,"Door"}</definedName>
    <definedName name="JSJHSH_5" localSheetId="5" hidden="1">{#N/A,#N/A,TRUE,"Basic";#N/A,#N/A,TRUE,"EXT-TABLE";#N/A,#N/A,TRUE,"STEEL";#N/A,#N/A,TRUE,"INT-Table";#N/A,#N/A,TRUE,"STEEL";#N/A,#N/A,TRUE,"Door"}</definedName>
    <definedName name="JSJHSH_5" hidden="1">{#N/A,#N/A,TRUE,"Basic";#N/A,#N/A,TRUE,"EXT-TABLE";#N/A,#N/A,TRUE,"STEEL";#N/A,#N/A,TRUE,"INT-Table";#N/A,#N/A,TRUE,"STEEL";#N/A,#N/A,TRUE,"Door"}</definedName>
    <definedName name="KDJU" localSheetId="5" hidden="1">{"'장비'!$A$3:$M$12"}</definedName>
    <definedName name="KDJU" localSheetId="9" hidden="1">{"'장비'!$A$3:$M$12"}</definedName>
    <definedName name="KDJU" localSheetId="10" hidden="1">{"'장비'!$A$3:$M$12"}</definedName>
    <definedName name="KDJU" localSheetId="6" hidden="1">{"'장비'!$A$3:$M$12"}</definedName>
    <definedName name="KDJU" localSheetId="3" hidden="1">{"'장비'!$A$3:$M$12"}</definedName>
    <definedName name="KDJU" hidden="1">{"'장비'!$A$3:$M$12"}</definedName>
    <definedName name="KDJU_1" localSheetId="5" hidden="1">{"'장비'!$A$3:$M$12"}</definedName>
    <definedName name="KDJU_1" localSheetId="9" hidden="1">{"'장비'!$A$3:$M$12"}</definedName>
    <definedName name="KDJU_1" localSheetId="10" hidden="1">{"'장비'!$A$3:$M$12"}</definedName>
    <definedName name="KDJU_1" localSheetId="6" hidden="1">{"'장비'!$A$3:$M$12"}</definedName>
    <definedName name="KDJU_1" localSheetId="3" hidden="1">{"'장비'!$A$3:$M$12"}</definedName>
    <definedName name="KDJU_1" hidden="1">{"'장비'!$A$3:$M$12"}</definedName>
    <definedName name="KDJU_2" localSheetId="5" hidden="1">{"'장비'!$A$3:$M$12"}</definedName>
    <definedName name="KDJU_2" hidden="1">{"'장비'!$A$3:$M$12"}</definedName>
    <definedName name="KDJU_3" localSheetId="5" hidden="1">{"'장비'!$A$3:$M$12"}</definedName>
    <definedName name="KDJU_3" hidden="1">{"'장비'!$A$3:$M$12"}</definedName>
    <definedName name="KDJU_4" localSheetId="5" hidden="1">{"'장비'!$A$3:$M$12"}</definedName>
    <definedName name="KDJU_4" hidden="1">{"'장비'!$A$3:$M$12"}</definedName>
    <definedName name="KDJU_5" localSheetId="5" hidden="1">{"'장비'!$A$3:$M$12"}</definedName>
    <definedName name="KDJU_5" hidden="1">{"'장비'!$A$3:$M$12"}</definedName>
    <definedName name="KEY" hidden="1">#REF!</definedName>
    <definedName name="kghlgh" localSheetId="5" hidden="1">{#N/A,#N/A,FALSE,"CCTV"}</definedName>
    <definedName name="kghlgh" localSheetId="9" hidden="1">{#N/A,#N/A,FALSE,"CCTV"}</definedName>
    <definedName name="kghlgh" localSheetId="10" hidden="1">{#N/A,#N/A,FALSE,"CCTV"}</definedName>
    <definedName name="kghlgh" localSheetId="6" hidden="1">{#N/A,#N/A,FALSE,"CCTV"}</definedName>
    <definedName name="kghlgh" localSheetId="3" hidden="1">{#N/A,#N/A,FALSE,"CCTV"}</definedName>
    <definedName name="kghlgh" hidden="1">{#N/A,#N/A,FALSE,"CCTV"}</definedName>
    <definedName name="kghlgh_1" localSheetId="5" hidden="1">{#N/A,#N/A,FALSE,"CCTV"}</definedName>
    <definedName name="kghlgh_1" hidden="1">{#N/A,#N/A,FALSE,"CCTV"}</definedName>
    <definedName name="kghlgh_2" localSheetId="5" hidden="1">{#N/A,#N/A,FALSE,"CCTV"}</definedName>
    <definedName name="kghlgh_2" hidden="1">{#N/A,#N/A,FALSE,"CCTV"}</definedName>
    <definedName name="kghlgh_3" localSheetId="5" hidden="1">{#N/A,#N/A,FALSE,"CCTV"}</definedName>
    <definedName name="kghlgh_3" hidden="1">{#N/A,#N/A,FALSE,"CCTV"}</definedName>
    <definedName name="kghlgh_4" localSheetId="5" hidden="1">{#N/A,#N/A,FALSE,"CCTV"}</definedName>
    <definedName name="kghlgh_4" hidden="1">{#N/A,#N/A,FALSE,"CCTV"}</definedName>
    <definedName name="kghlgh_5" localSheetId="5" hidden="1">{#N/A,#N/A,FALSE,"CCTV"}</definedName>
    <definedName name="kghlgh_5" hidden="1">{#N/A,#N/A,FALSE,"CCTV"}</definedName>
    <definedName name="kiulil" localSheetId="5" hidden="1">{#N/A,#N/A,FALSE,"CCTV"}</definedName>
    <definedName name="kiulil" localSheetId="9" hidden="1">{#N/A,#N/A,FALSE,"CCTV"}</definedName>
    <definedName name="kiulil" localSheetId="10" hidden="1">{#N/A,#N/A,FALSE,"CCTV"}</definedName>
    <definedName name="kiulil" localSheetId="6" hidden="1">{#N/A,#N/A,FALSE,"CCTV"}</definedName>
    <definedName name="kiulil" localSheetId="3" hidden="1">{#N/A,#N/A,FALSE,"CCTV"}</definedName>
    <definedName name="kiulil" hidden="1">{#N/A,#N/A,FALSE,"CCTV"}</definedName>
    <definedName name="kiulil_1" localSheetId="5" hidden="1">{#N/A,#N/A,FALSE,"CCTV"}</definedName>
    <definedName name="kiulil_1" hidden="1">{#N/A,#N/A,FALSE,"CCTV"}</definedName>
    <definedName name="kiulil_2" localSheetId="5" hidden="1">{#N/A,#N/A,FALSE,"CCTV"}</definedName>
    <definedName name="kiulil_2" hidden="1">{#N/A,#N/A,FALSE,"CCTV"}</definedName>
    <definedName name="kiulil_3" localSheetId="5" hidden="1">{#N/A,#N/A,FALSE,"CCTV"}</definedName>
    <definedName name="kiulil_3" hidden="1">{#N/A,#N/A,FALSE,"CCTV"}</definedName>
    <definedName name="kiulil_4" localSheetId="5" hidden="1">{#N/A,#N/A,FALSE,"CCTV"}</definedName>
    <definedName name="kiulil_4" hidden="1">{#N/A,#N/A,FALSE,"CCTV"}</definedName>
    <definedName name="kiulil_5" localSheetId="5" hidden="1">{#N/A,#N/A,FALSE,"CCTV"}</definedName>
    <definedName name="kiulil_5" hidden="1">{#N/A,#N/A,FALSE,"CCTV"}</definedName>
    <definedName name="kjhlh" localSheetId="5" hidden="1">{#N/A,#N/A,FALSE,"CCTV"}</definedName>
    <definedName name="kjhlh" localSheetId="9" hidden="1">{#N/A,#N/A,FALSE,"CCTV"}</definedName>
    <definedName name="kjhlh" localSheetId="10" hidden="1">{#N/A,#N/A,FALSE,"CCTV"}</definedName>
    <definedName name="kjhlh" localSheetId="6" hidden="1">{#N/A,#N/A,FALSE,"CCTV"}</definedName>
    <definedName name="kjhlh" localSheetId="3" hidden="1">{#N/A,#N/A,FALSE,"CCTV"}</definedName>
    <definedName name="kjhlh" hidden="1">{#N/A,#N/A,FALSE,"CCTV"}</definedName>
    <definedName name="kjhlh_1" localSheetId="5" hidden="1">{#N/A,#N/A,FALSE,"CCTV"}</definedName>
    <definedName name="kjhlh_1" hidden="1">{#N/A,#N/A,FALSE,"CCTV"}</definedName>
    <definedName name="kjhlh_2" localSheetId="5" hidden="1">{#N/A,#N/A,FALSE,"CCTV"}</definedName>
    <definedName name="kjhlh_2" hidden="1">{#N/A,#N/A,FALSE,"CCTV"}</definedName>
    <definedName name="kjhlh_3" localSheetId="5" hidden="1">{#N/A,#N/A,FALSE,"CCTV"}</definedName>
    <definedName name="kjhlh_3" hidden="1">{#N/A,#N/A,FALSE,"CCTV"}</definedName>
    <definedName name="kjhlh_4" localSheetId="5" hidden="1">{#N/A,#N/A,FALSE,"CCTV"}</definedName>
    <definedName name="kjhlh_4" hidden="1">{#N/A,#N/A,FALSE,"CCTV"}</definedName>
    <definedName name="kjhlh_5" localSheetId="5" hidden="1">{#N/A,#N/A,FALSE,"CCTV"}</definedName>
    <definedName name="kjhlh_5" hidden="1">{#N/A,#N/A,FALSE,"CCTV"}</definedName>
    <definedName name="kjhljhk" localSheetId="5" hidden="1">{#N/A,#N/A,FALSE,"CCTV"}</definedName>
    <definedName name="kjhljhk" localSheetId="9" hidden="1">{#N/A,#N/A,FALSE,"CCTV"}</definedName>
    <definedName name="kjhljhk" localSheetId="10" hidden="1">{#N/A,#N/A,FALSE,"CCTV"}</definedName>
    <definedName name="kjhljhk" localSheetId="6" hidden="1">{#N/A,#N/A,FALSE,"CCTV"}</definedName>
    <definedName name="kjhljhk" localSheetId="3" hidden="1">{#N/A,#N/A,FALSE,"CCTV"}</definedName>
    <definedName name="kjhljhk" hidden="1">{#N/A,#N/A,FALSE,"CCTV"}</definedName>
    <definedName name="kjhljhk_1" localSheetId="5" hidden="1">{#N/A,#N/A,FALSE,"CCTV"}</definedName>
    <definedName name="kjhljhk_1" hidden="1">{#N/A,#N/A,FALSE,"CCTV"}</definedName>
    <definedName name="kjhljhk_2" localSheetId="5" hidden="1">{#N/A,#N/A,FALSE,"CCTV"}</definedName>
    <definedName name="kjhljhk_2" hidden="1">{#N/A,#N/A,FALSE,"CCTV"}</definedName>
    <definedName name="kjhljhk_3" localSheetId="5" hidden="1">{#N/A,#N/A,FALSE,"CCTV"}</definedName>
    <definedName name="kjhljhk_3" hidden="1">{#N/A,#N/A,FALSE,"CCTV"}</definedName>
    <definedName name="kjhljhk_4" localSheetId="5" hidden="1">{#N/A,#N/A,FALSE,"CCTV"}</definedName>
    <definedName name="kjhljhk_4" hidden="1">{#N/A,#N/A,FALSE,"CCTV"}</definedName>
    <definedName name="kjhljhk_5" localSheetId="5" hidden="1">{#N/A,#N/A,FALSE,"CCTV"}</definedName>
    <definedName name="kjhljhk_5" hidden="1">{#N/A,#N/A,FALSE,"CCTV"}</definedName>
    <definedName name="kjkgh" localSheetId="5" hidden="1">{"'장비'!$A$3:$M$12"}</definedName>
    <definedName name="kjkgh" hidden="1">{"'장비'!$A$3:$M$12"}</definedName>
    <definedName name="kjkgh_1" localSheetId="5" hidden="1">{"'장비'!$A$3:$M$12"}</definedName>
    <definedName name="kjkgh_1" hidden="1">{"'장비'!$A$3:$M$12"}</definedName>
    <definedName name="kjkgh_2" localSheetId="5" hidden="1">{"'장비'!$A$3:$M$12"}</definedName>
    <definedName name="kjkgh_2" hidden="1">{"'장비'!$A$3:$M$12"}</definedName>
    <definedName name="kjkgh_3" localSheetId="5" hidden="1">{"'장비'!$A$3:$M$12"}</definedName>
    <definedName name="kjkgh_3" hidden="1">{"'장비'!$A$3:$M$12"}</definedName>
    <definedName name="kjkgh_4" localSheetId="5" hidden="1">{"'장비'!$A$3:$M$12"}</definedName>
    <definedName name="kjkgh_4" hidden="1">{"'장비'!$A$3:$M$12"}</definedName>
    <definedName name="kjkgh_5" localSheetId="5" hidden="1">{"'장비'!$A$3:$M$12"}</definedName>
    <definedName name="kjkgh_5" hidden="1">{"'장비'!$A$3:$M$12"}</definedName>
    <definedName name="KK_1" localSheetId="5" hidden="1">{#N/A,#N/A,TRUE,"총괄"}</definedName>
    <definedName name="KK_1" hidden="1">{#N/A,#N/A,TRUE,"총괄"}</definedName>
    <definedName name="KK_2" localSheetId="5" hidden="1">{#N/A,#N/A,TRUE,"총괄"}</definedName>
    <definedName name="KK_2" hidden="1">{#N/A,#N/A,TRUE,"총괄"}</definedName>
    <definedName name="KK_3" localSheetId="5" hidden="1">{#N/A,#N/A,TRUE,"총괄"}</definedName>
    <definedName name="KK_3" hidden="1">{#N/A,#N/A,TRUE,"총괄"}</definedName>
    <definedName name="KK_4" localSheetId="5" hidden="1">{#N/A,#N/A,TRUE,"총괄"}</definedName>
    <definedName name="KK_4" hidden="1">{#N/A,#N/A,TRUE,"총괄"}</definedName>
    <definedName name="KK_5" localSheetId="5" hidden="1">{#N/A,#N/A,TRUE,"총괄"}</definedName>
    <definedName name="KK_5" hidden="1">{#N/A,#N/A,TRUE,"총괄"}</definedName>
    <definedName name="KKK" localSheetId="5" hidden="1">{#N/A,#N/A,FALSE,"CCTV"}</definedName>
    <definedName name="KKK" hidden="1">{#N/A,#N/A,FALSE,"CCTV"}</definedName>
    <definedName name="KKK_1" localSheetId="5" hidden="1">{#N/A,#N/A,FALSE,"CCTV"}</definedName>
    <definedName name="KKK_1" hidden="1">{#N/A,#N/A,FALSE,"CCTV"}</definedName>
    <definedName name="KKK_2" localSheetId="5" hidden="1">{#N/A,#N/A,FALSE,"CCTV"}</definedName>
    <definedName name="KKK_2" hidden="1">{#N/A,#N/A,FALSE,"CCTV"}</definedName>
    <definedName name="KKK_3" localSheetId="5" hidden="1">{#N/A,#N/A,FALSE,"CCTV"}</definedName>
    <definedName name="KKK_3" hidden="1">{#N/A,#N/A,FALSE,"CCTV"}</definedName>
    <definedName name="KKK_4" localSheetId="5" hidden="1">{#N/A,#N/A,FALSE,"CCTV"}</definedName>
    <definedName name="KKK_4" hidden="1">{#N/A,#N/A,FALSE,"CCTV"}</definedName>
    <definedName name="KKK_5" localSheetId="5" hidden="1">{#N/A,#N/A,FALSE,"CCTV"}</definedName>
    <definedName name="KKK_5" hidden="1">{#N/A,#N/A,FALSE,"CCTV"}</definedName>
    <definedName name="kkkk" hidden="1">#REF!</definedName>
    <definedName name="KS" localSheetId="5" hidden="1">{#N/A,#N/A,FALSE,"지침";#N/A,#N/A,FALSE,"환경분석";#N/A,#N/A,FALSE,"Sheet16"}</definedName>
    <definedName name="KS" hidden="1">{#N/A,#N/A,FALSE,"지침";#N/A,#N/A,FALSE,"환경분석";#N/A,#N/A,FALSE,"Sheet16"}</definedName>
    <definedName name="KS_1" localSheetId="5" hidden="1">{#N/A,#N/A,FALSE,"지침";#N/A,#N/A,FALSE,"환경분석";#N/A,#N/A,FALSE,"Sheet16"}</definedName>
    <definedName name="KS_1" hidden="1">{#N/A,#N/A,FALSE,"지침";#N/A,#N/A,FALSE,"환경분석";#N/A,#N/A,FALSE,"Sheet16"}</definedName>
    <definedName name="KS_2" localSheetId="5" hidden="1">{#N/A,#N/A,FALSE,"지침";#N/A,#N/A,FALSE,"환경분석";#N/A,#N/A,FALSE,"Sheet16"}</definedName>
    <definedName name="KS_2" hidden="1">{#N/A,#N/A,FALSE,"지침";#N/A,#N/A,FALSE,"환경분석";#N/A,#N/A,FALSE,"Sheet16"}</definedName>
    <definedName name="KS_3" localSheetId="5" hidden="1">{#N/A,#N/A,FALSE,"지침";#N/A,#N/A,FALSE,"환경분석";#N/A,#N/A,FALSE,"Sheet16"}</definedName>
    <definedName name="KS_3" hidden="1">{#N/A,#N/A,FALSE,"지침";#N/A,#N/A,FALSE,"환경분석";#N/A,#N/A,FALSE,"Sheet16"}</definedName>
    <definedName name="KS_4" localSheetId="5" hidden="1">{#N/A,#N/A,FALSE,"지침";#N/A,#N/A,FALSE,"환경분석";#N/A,#N/A,FALSE,"Sheet16"}</definedName>
    <definedName name="KS_4" hidden="1">{#N/A,#N/A,FALSE,"지침";#N/A,#N/A,FALSE,"환경분석";#N/A,#N/A,FALSE,"Sheet16"}</definedName>
    <definedName name="KS_5" localSheetId="5" hidden="1">{#N/A,#N/A,FALSE,"지침";#N/A,#N/A,FALSE,"환경분석";#N/A,#N/A,FALSE,"Sheet16"}</definedName>
    <definedName name="KS_5" hidden="1">{#N/A,#N/A,FALSE,"지침";#N/A,#N/A,FALSE,"환경분석";#N/A,#N/A,FALSE,"Sheet16"}</definedName>
    <definedName name="LEE" localSheetId="5" hidden="1">{#N/A,#N/A,TRUE,"Basic";#N/A,#N/A,TRUE,"EXT-TABLE";#N/A,#N/A,TRUE,"STEEL";#N/A,#N/A,TRUE,"INT-Table";#N/A,#N/A,TRUE,"STEEL";#N/A,#N/A,TRUE,"Door"}</definedName>
    <definedName name="LEE" localSheetId="9" hidden="1">{#N/A,#N/A,TRUE,"Basic";#N/A,#N/A,TRUE,"EXT-TABLE";#N/A,#N/A,TRUE,"STEEL";#N/A,#N/A,TRUE,"INT-Table";#N/A,#N/A,TRUE,"STEEL";#N/A,#N/A,TRUE,"Door"}</definedName>
    <definedName name="LEE" localSheetId="10" hidden="1">{#N/A,#N/A,TRUE,"Basic";#N/A,#N/A,TRUE,"EXT-TABLE";#N/A,#N/A,TRUE,"STEEL";#N/A,#N/A,TRUE,"INT-Table";#N/A,#N/A,TRUE,"STEEL";#N/A,#N/A,TRUE,"Door"}</definedName>
    <definedName name="LEE" localSheetId="6" hidden="1">{#N/A,#N/A,TRUE,"Basic";#N/A,#N/A,TRUE,"EXT-TABLE";#N/A,#N/A,TRUE,"STEEL";#N/A,#N/A,TRUE,"INT-Table";#N/A,#N/A,TRUE,"STEEL";#N/A,#N/A,TRUE,"Door"}</definedName>
    <definedName name="LEE" localSheetId="3" hidden="1">{#N/A,#N/A,TRUE,"Basic";#N/A,#N/A,TRUE,"EXT-TABLE";#N/A,#N/A,TRUE,"STEEL";#N/A,#N/A,TRUE,"INT-Table";#N/A,#N/A,TRUE,"STEEL";#N/A,#N/A,TRUE,"Door"}</definedName>
    <definedName name="LEE" hidden="1">{#N/A,#N/A,TRUE,"Basic";#N/A,#N/A,TRUE,"EXT-TABLE";#N/A,#N/A,TRUE,"STEEL";#N/A,#N/A,TRUE,"INT-Table";#N/A,#N/A,TRUE,"STEEL";#N/A,#N/A,TRUE,"Door"}</definedName>
    <definedName name="level1" localSheetId="5" hidden="1">{"'장비'!$A$3:$M$12"}</definedName>
    <definedName name="level1" hidden="1">{"'장비'!$A$3:$M$12"}</definedName>
    <definedName name="level1_1" localSheetId="5" hidden="1">{"'장비'!$A$3:$M$12"}</definedName>
    <definedName name="level1_1" hidden="1">{"'장비'!$A$3:$M$12"}</definedName>
    <definedName name="level1_2" localSheetId="5" hidden="1">{"'장비'!$A$3:$M$12"}</definedName>
    <definedName name="level1_2" hidden="1">{"'장비'!$A$3:$M$12"}</definedName>
    <definedName name="level1_3" localSheetId="5" hidden="1">{"'장비'!$A$3:$M$12"}</definedName>
    <definedName name="level1_3" hidden="1">{"'장비'!$A$3:$M$12"}</definedName>
    <definedName name="level1_4" localSheetId="5" hidden="1">{"'장비'!$A$3:$M$12"}</definedName>
    <definedName name="level1_4" hidden="1">{"'장비'!$A$3:$M$12"}</definedName>
    <definedName name="level1_5" localSheetId="5" hidden="1">{"'장비'!$A$3:$M$12"}</definedName>
    <definedName name="level1_5" hidden="1">{"'장비'!$A$3:$M$12"}</definedName>
    <definedName name="list" localSheetId="5" hidden="1">{#N/A,#N/A,TRUE,"Basic";#N/A,#N/A,TRUE,"EXT-TABLE";#N/A,#N/A,TRUE,"STEEL";#N/A,#N/A,TRUE,"INT-Table";#N/A,#N/A,TRUE,"STEEL";#N/A,#N/A,TRUE,"Door"}</definedName>
    <definedName name="list" localSheetId="9" hidden="1">{#N/A,#N/A,TRUE,"Basic";#N/A,#N/A,TRUE,"EXT-TABLE";#N/A,#N/A,TRUE,"STEEL";#N/A,#N/A,TRUE,"INT-Table";#N/A,#N/A,TRUE,"STEEL";#N/A,#N/A,TRUE,"Door"}</definedName>
    <definedName name="list" localSheetId="10" hidden="1">{#N/A,#N/A,TRUE,"Basic";#N/A,#N/A,TRUE,"EXT-TABLE";#N/A,#N/A,TRUE,"STEEL";#N/A,#N/A,TRUE,"INT-Table";#N/A,#N/A,TRUE,"STEEL";#N/A,#N/A,TRUE,"Door"}</definedName>
    <definedName name="list" localSheetId="6" hidden="1">{#N/A,#N/A,TRUE,"Basic";#N/A,#N/A,TRUE,"EXT-TABLE";#N/A,#N/A,TRUE,"STEEL";#N/A,#N/A,TRUE,"INT-Table";#N/A,#N/A,TRUE,"STEEL";#N/A,#N/A,TRUE,"Door"}</definedName>
    <definedName name="list" localSheetId="3" hidden="1">{#N/A,#N/A,TRUE,"Basic";#N/A,#N/A,TRUE,"EXT-TABLE";#N/A,#N/A,TRUE,"STEEL";#N/A,#N/A,TRUE,"INT-Table";#N/A,#N/A,TRUE,"STEEL";#N/A,#N/A,TRUE,"Door"}</definedName>
    <definedName name="list" hidden="1">{#N/A,#N/A,TRUE,"Basic";#N/A,#N/A,TRUE,"EXT-TABLE";#N/A,#N/A,TRUE,"STEEL";#N/A,#N/A,TRUE,"INT-Table";#N/A,#N/A,TRUE,"STEEL";#N/A,#N/A,TRUE,"Door"}</definedName>
    <definedName name="list_1" localSheetId="5" hidden="1">{#N/A,#N/A,TRUE,"Basic";#N/A,#N/A,TRUE,"EXT-TABLE";#N/A,#N/A,TRUE,"STEEL";#N/A,#N/A,TRUE,"INT-Table";#N/A,#N/A,TRUE,"STEEL";#N/A,#N/A,TRUE,"Door"}</definedName>
    <definedName name="list_1" hidden="1">{#N/A,#N/A,TRUE,"Basic";#N/A,#N/A,TRUE,"EXT-TABLE";#N/A,#N/A,TRUE,"STEEL";#N/A,#N/A,TRUE,"INT-Table";#N/A,#N/A,TRUE,"STEEL";#N/A,#N/A,TRUE,"Door"}</definedName>
    <definedName name="list_2" localSheetId="5" hidden="1">{#N/A,#N/A,TRUE,"Basic";#N/A,#N/A,TRUE,"EXT-TABLE";#N/A,#N/A,TRUE,"STEEL";#N/A,#N/A,TRUE,"INT-Table";#N/A,#N/A,TRUE,"STEEL";#N/A,#N/A,TRUE,"Door"}</definedName>
    <definedName name="list_2" hidden="1">{#N/A,#N/A,TRUE,"Basic";#N/A,#N/A,TRUE,"EXT-TABLE";#N/A,#N/A,TRUE,"STEEL";#N/A,#N/A,TRUE,"INT-Table";#N/A,#N/A,TRUE,"STEEL";#N/A,#N/A,TRUE,"Door"}</definedName>
    <definedName name="list_3" localSheetId="5" hidden="1">{#N/A,#N/A,TRUE,"Basic";#N/A,#N/A,TRUE,"EXT-TABLE";#N/A,#N/A,TRUE,"STEEL";#N/A,#N/A,TRUE,"INT-Table";#N/A,#N/A,TRUE,"STEEL";#N/A,#N/A,TRUE,"Door"}</definedName>
    <definedName name="list_3" hidden="1">{#N/A,#N/A,TRUE,"Basic";#N/A,#N/A,TRUE,"EXT-TABLE";#N/A,#N/A,TRUE,"STEEL";#N/A,#N/A,TRUE,"INT-Table";#N/A,#N/A,TRUE,"STEEL";#N/A,#N/A,TRUE,"Door"}</definedName>
    <definedName name="list_4" localSheetId="5" hidden="1">{#N/A,#N/A,TRUE,"Basic";#N/A,#N/A,TRUE,"EXT-TABLE";#N/A,#N/A,TRUE,"STEEL";#N/A,#N/A,TRUE,"INT-Table";#N/A,#N/A,TRUE,"STEEL";#N/A,#N/A,TRUE,"Door"}</definedName>
    <definedName name="list_4" hidden="1">{#N/A,#N/A,TRUE,"Basic";#N/A,#N/A,TRUE,"EXT-TABLE";#N/A,#N/A,TRUE,"STEEL";#N/A,#N/A,TRUE,"INT-Table";#N/A,#N/A,TRUE,"STEEL";#N/A,#N/A,TRUE,"Door"}</definedName>
    <definedName name="list_5" localSheetId="5" hidden="1">{#N/A,#N/A,TRUE,"Basic";#N/A,#N/A,TRUE,"EXT-TABLE";#N/A,#N/A,TRUE,"STEEL";#N/A,#N/A,TRUE,"INT-Table";#N/A,#N/A,TRUE,"STEEL";#N/A,#N/A,TRUE,"Door"}</definedName>
    <definedName name="list_5" hidden="1">{#N/A,#N/A,TRUE,"Basic";#N/A,#N/A,TRUE,"EXT-TABLE";#N/A,#N/A,TRUE,"STEEL";#N/A,#N/A,TRUE,"INT-Table";#N/A,#N/A,TRUE,"STEEL";#N/A,#N/A,TRUE,"Door"}</definedName>
    <definedName name="list01" localSheetId="5" hidden="1">{#N/A,#N/A,TRUE,"Basic";#N/A,#N/A,TRUE,"EXT-TABLE";#N/A,#N/A,TRUE,"STEEL";#N/A,#N/A,TRUE,"INT-Table";#N/A,#N/A,TRUE,"STEEL";#N/A,#N/A,TRUE,"Door"}</definedName>
    <definedName name="list01" localSheetId="9" hidden="1">{#N/A,#N/A,TRUE,"Basic";#N/A,#N/A,TRUE,"EXT-TABLE";#N/A,#N/A,TRUE,"STEEL";#N/A,#N/A,TRUE,"INT-Table";#N/A,#N/A,TRUE,"STEEL";#N/A,#N/A,TRUE,"Door"}</definedName>
    <definedName name="list01" localSheetId="10" hidden="1">{#N/A,#N/A,TRUE,"Basic";#N/A,#N/A,TRUE,"EXT-TABLE";#N/A,#N/A,TRUE,"STEEL";#N/A,#N/A,TRUE,"INT-Table";#N/A,#N/A,TRUE,"STEEL";#N/A,#N/A,TRUE,"Door"}</definedName>
    <definedName name="list01" localSheetId="6" hidden="1">{#N/A,#N/A,TRUE,"Basic";#N/A,#N/A,TRUE,"EXT-TABLE";#N/A,#N/A,TRUE,"STEEL";#N/A,#N/A,TRUE,"INT-Table";#N/A,#N/A,TRUE,"STEEL";#N/A,#N/A,TRUE,"Door"}</definedName>
    <definedName name="list01" localSheetId="3" hidden="1">{#N/A,#N/A,TRUE,"Basic";#N/A,#N/A,TRUE,"EXT-TABLE";#N/A,#N/A,TRUE,"STEEL";#N/A,#N/A,TRUE,"INT-Table";#N/A,#N/A,TRUE,"STEEL";#N/A,#N/A,TRUE,"Door"}</definedName>
    <definedName name="list01" hidden="1">{#N/A,#N/A,TRUE,"Basic";#N/A,#N/A,TRUE,"EXT-TABLE";#N/A,#N/A,TRUE,"STEEL";#N/A,#N/A,TRUE,"INT-Table";#N/A,#N/A,TRUE,"STEEL";#N/A,#N/A,TRUE,"Door"}</definedName>
    <definedName name="list01_1" localSheetId="5" hidden="1">{#N/A,#N/A,TRUE,"Basic";#N/A,#N/A,TRUE,"EXT-TABLE";#N/A,#N/A,TRUE,"STEEL";#N/A,#N/A,TRUE,"INT-Table";#N/A,#N/A,TRUE,"STEEL";#N/A,#N/A,TRUE,"Door"}</definedName>
    <definedName name="list01_1" hidden="1">{#N/A,#N/A,TRUE,"Basic";#N/A,#N/A,TRUE,"EXT-TABLE";#N/A,#N/A,TRUE,"STEEL";#N/A,#N/A,TRUE,"INT-Table";#N/A,#N/A,TRUE,"STEEL";#N/A,#N/A,TRUE,"Door"}</definedName>
    <definedName name="list01_2" localSheetId="5" hidden="1">{#N/A,#N/A,TRUE,"Basic";#N/A,#N/A,TRUE,"EXT-TABLE";#N/A,#N/A,TRUE,"STEEL";#N/A,#N/A,TRUE,"INT-Table";#N/A,#N/A,TRUE,"STEEL";#N/A,#N/A,TRUE,"Door"}</definedName>
    <definedName name="list01_2" hidden="1">{#N/A,#N/A,TRUE,"Basic";#N/A,#N/A,TRUE,"EXT-TABLE";#N/A,#N/A,TRUE,"STEEL";#N/A,#N/A,TRUE,"INT-Table";#N/A,#N/A,TRUE,"STEEL";#N/A,#N/A,TRUE,"Door"}</definedName>
    <definedName name="list01_3" localSheetId="5" hidden="1">{#N/A,#N/A,TRUE,"Basic";#N/A,#N/A,TRUE,"EXT-TABLE";#N/A,#N/A,TRUE,"STEEL";#N/A,#N/A,TRUE,"INT-Table";#N/A,#N/A,TRUE,"STEEL";#N/A,#N/A,TRUE,"Door"}</definedName>
    <definedName name="list01_3" hidden="1">{#N/A,#N/A,TRUE,"Basic";#N/A,#N/A,TRUE,"EXT-TABLE";#N/A,#N/A,TRUE,"STEEL";#N/A,#N/A,TRUE,"INT-Table";#N/A,#N/A,TRUE,"STEEL";#N/A,#N/A,TRUE,"Door"}</definedName>
    <definedName name="list01_4" localSheetId="5" hidden="1">{#N/A,#N/A,TRUE,"Basic";#N/A,#N/A,TRUE,"EXT-TABLE";#N/A,#N/A,TRUE,"STEEL";#N/A,#N/A,TRUE,"INT-Table";#N/A,#N/A,TRUE,"STEEL";#N/A,#N/A,TRUE,"Door"}</definedName>
    <definedName name="list01_4" hidden="1">{#N/A,#N/A,TRUE,"Basic";#N/A,#N/A,TRUE,"EXT-TABLE";#N/A,#N/A,TRUE,"STEEL";#N/A,#N/A,TRUE,"INT-Table";#N/A,#N/A,TRUE,"STEEL";#N/A,#N/A,TRUE,"Door"}</definedName>
    <definedName name="list01_5" localSheetId="5" hidden="1">{#N/A,#N/A,TRUE,"Basic";#N/A,#N/A,TRUE,"EXT-TABLE";#N/A,#N/A,TRUE,"STEEL";#N/A,#N/A,TRUE,"INT-Table";#N/A,#N/A,TRUE,"STEEL";#N/A,#N/A,TRUE,"Door"}</definedName>
    <definedName name="list01_5" hidden="1">{#N/A,#N/A,TRUE,"Basic";#N/A,#N/A,TRUE,"EXT-TABLE";#N/A,#N/A,TRUE,"STEEL";#N/A,#N/A,TRUE,"INT-Table";#N/A,#N/A,TRUE,"STEEL";#N/A,#N/A,TRUE,"Door"}</definedName>
    <definedName name="list02" localSheetId="5" hidden="1">{#N/A,#N/A,TRUE,"Basic";#N/A,#N/A,TRUE,"EXT-TABLE";#N/A,#N/A,TRUE,"STEEL";#N/A,#N/A,TRUE,"INT-Table";#N/A,#N/A,TRUE,"STEEL";#N/A,#N/A,TRUE,"Door"}</definedName>
    <definedName name="list02" localSheetId="9" hidden="1">{#N/A,#N/A,TRUE,"Basic";#N/A,#N/A,TRUE,"EXT-TABLE";#N/A,#N/A,TRUE,"STEEL";#N/A,#N/A,TRUE,"INT-Table";#N/A,#N/A,TRUE,"STEEL";#N/A,#N/A,TRUE,"Door"}</definedName>
    <definedName name="list02" localSheetId="10" hidden="1">{#N/A,#N/A,TRUE,"Basic";#N/A,#N/A,TRUE,"EXT-TABLE";#N/A,#N/A,TRUE,"STEEL";#N/A,#N/A,TRUE,"INT-Table";#N/A,#N/A,TRUE,"STEEL";#N/A,#N/A,TRUE,"Door"}</definedName>
    <definedName name="list02" localSheetId="6" hidden="1">{#N/A,#N/A,TRUE,"Basic";#N/A,#N/A,TRUE,"EXT-TABLE";#N/A,#N/A,TRUE,"STEEL";#N/A,#N/A,TRUE,"INT-Table";#N/A,#N/A,TRUE,"STEEL";#N/A,#N/A,TRUE,"Door"}</definedName>
    <definedName name="list02" localSheetId="3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02_1" localSheetId="5" hidden="1">{#N/A,#N/A,TRUE,"Basic";#N/A,#N/A,TRUE,"EXT-TABLE";#N/A,#N/A,TRUE,"STEEL";#N/A,#N/A,TRUE,"INT-Table";#N/A,#N/A,TRUE,"STEEL";#N/A,#N/A,TRUE,"Door"}</definedName>
    <definedName name="list02_1" hidden="1">{#N/A,#N/A,TRUE,"Basic";#N/A,#N/A,TRUE,"EXT-TABLE";#N/A,#N/A,TRUE,"STEEL";#N/A,#N/A,TRUE,"INT-Table";#N/A,#N/A,TRUE,"STEEL";#N/A,#N/A,TRUE,"Door"}</definedName>
    <definedName name="list02_2" localSheetId="5" hidden="1">{#N/A,#N/A,TRUE,"Basic";#N/A,#N/A,TRUE,"EXT-TABLE";#N/A,#N/A,TRUE,"STEEL";#N/A,#N/A,TRUE,"INT-Table";#N/A,#N/A,TRUE,"STEEL";#N/A,#N/A,TRUE,"Door"}</definedName>
    <definedName name="list02_2" hidden="1">{#N/A,#N/A,TRUE,"Basic";#N/A,#N/A,TRUE,"EXT-TABLE";#N/A,#N/A,TRUE,"STEEL";#N/A,#N/A,TRUE,"INT-Table";#N/A,#N/A,TRUE,"STEEL";#N/A,#N/A,TRUE,"Door"}</definedName>
    <definedName name="list02_3" localSheetId="5" hidden="1">{#N/A,#N/A,TRUE,"Basic";#N/A,#N/A,TRUE,"EXT-TABLE";#N/A,#N/A,TRUE,"STEEL";#N/A,#N/A,TRUE,"INT-Table";#N/A,#N/A,TRUE,"STEEL";#N/A,#N/A,TRUE,"Door"}</definedName>
    <definedName name="list02_3" hidden="1">{#N/A,#N/A,TRUE,"Basic";#N/A,#N/A,TRUE,"EXT-TABLE";#N/A,#N/A,TRUE,"STEEL";#N/A,#N/A,TRUE,"INT-Table";#N/A,#N/A,TRUE,"STEEL";#N/A,#N/A,TRUE,"Door"}</definedName>
    <definedName name="list02_4" localSheetId="5" hidden="1">{#N/A,#N/A,TRUE,"Basic";#N/A,#N/A,TRUE,"EXT-TABLE";#N/A,#N/A,TRUE,"STEEL";#N/A,#N/A,TRUE,"INT-Table";#N/A,#N/A,TRUE,"STEEL";#N/A,#N/A,TRUE,"Door"}</definedName>
    <definedName name="list02_4" hidden="1">{#N/A,#N/A,TRUE,"Basic";#N/A,#N/A,TRUE,"EXT-TABLE";#N/A,#N/A,TRUE,"STEEL";#N/A,#N/A,TRUE,"INT-Table";#N/A,#N/A,TRUE,"STEEL";#N/A,#N/A,TRUE,"Door"}</definedName>
    <definedName name="list02_5" localSheetId="5" hidden="1">{#N/A,#N/A,TRUE,"Basic";#N/A,#N/A,TRUE,"EXT-TABLE";#N/A,#N/A,TRUE,"STEEL";#N/A,#N/A,TRUE,"INT-Table";#N/A,#N/A,TRUE,"STEEL";#N/A,#N/A,TRUE,"Door"}</definedName>
    <definedName name="list02_5" hidden="1">{#N/A,#N/A,TRUE,"Basic";#N/A,#N/A,TRUE,"EXT-TABLE";#N/A,#N/A,TRUE,"STEEL";#N/A,#N/A,TRUE,"INT-Table";#N/A,#N/A,TRUE,"STEEL";#N/A,#N/A,TRUE,"Door"}</definedName>
    <definedName name="LIST2" localSheetId="5" hidden="1">{#N/A,#N/A,TRUE,"Basic";#N/A,#N/A,TRUE,"EXT-TABLE";#N/A,#N/A,TRUE,"STEEL";#N/A,#N/A,TRUE,"INT-Table";#N/A,#N/A,TRUE,"STEEL";#N/A,#N/A,TRUE,"Door"}</definedName>
    <definedName name="LIST2" hidden="1">{#N/A,#N/A,TRUE,"Basic";#N/A,#N/A,TRUE,"EXT-TABLE";#N/A,#N/A,TRUE,"STEEL";#N/A,#N/A,TRUE,"INT-Table";#N/A,#N/A,TRUE,"STEEL";#N/A,#N/A,TRUE,"Door"}</definedName>
    <definedName name="LIST2_1" localSheetId="5" hidden="1">{#N/A,#N/A,TRUE,"Basic";#N/A,#N/A,TRUE,"EXT-TABLE";#N/A,#N/A,TRUE,"STEEL";#N/A,#N/A,TRUE,"INT-Table";#N/A,#N/A,TRUE,"STEEL";#N/A,#N/A,TRUE,"Door"}</definedName>
    <definedName name="LIST2_1" hidden="1">{#N/A,#N/A,TRUE,"Basic";#N/A,#N/A,TRUE,"EXT-TABLE";#N/A,#N/A,TRUE,"STEEL";#N/A,#N/A,TRUE,"INT-Table";#N/A,#N/A,TRUE,"STEEL";#N/A,#N/A,TRUE,"Door"}</definedName>
    <definedName name="LIST2_2" localSheetId="5" hidden="1">{#N/A,#N/A,TRUE,"Basic";#N/A,#N/A,TRUE,"EXT-TABLE";#N/A,#N/A,TRUE,"STEEL";#N/A,#N/A,TRUE,"INT-Table";#N/A,#N/A,TRUE,"STEEL";#N/A,#N/A,TRUE,"Door"}</definedName>
    <definedName name="LIST2_2" hidden="1">{#N/A,#N/A,TRUE,"Basic";#N/A,#N/A,TRUE,"EXT-TABLE";#N/A,#N/A,TRUE,"STEEL";#N/A,#N/A,TRUE,"INT-Table";#N/A,#N/A,TRUE,"STEEL";#N/A,#N/A,TRUE,"Door"}</definedName>
    <definedName name="LIST2_3" localSheetId="5" hidden="1">{#N/A,#N/A,TRUE,"Basic";#N/A,#N/A,TRUE,"EXT-TABLE";#N/A,#N/A,TRUE,"STEEL";#N/A,#N/A,TRUE,"INT-Table";#N/A,#N/A,TRUE,"STEEL";#N/A,#N/A,TRUE,"Door"}</definedName>
    <definedName name="LIST2_3" hidden="1">{#N/A,#N/A,TRUE,"Basic";#N/A,#N/A,TRUE,"EXT-TABLE";#N/A,#N/A,TRUE,"STEEL";#N/A,#N/A,TRUE,"INT-Table";#N/A,#N/A,TRUE,"STEEL";#N/A,#N/A,TRUE,"Door"}</definedName>
    <definedName name="LIST2_4" localSheetId="5" hidden="1">{#N/A,#N/A,TRUE,"Basic";#N/A,#N/A,TRUE,"EXT-TABLE";#N/A,#N/A,TRUE,"STEEL";#N/A,#N/A,TRUE,"INT-Table";#N/A,#N/A,TRUE,"STEEL";#N/A,#N/A,TRUE,"Door"}</definedName>
    <definedName name="LIST2_4" hidden="1">{#N/A,#N/A,TRUE,"Basic";#N/A,#N/A,TRUE,"EXT-TABLE";#N/A,#N/A,TRUE,"STEEL";#N/A,#N/A,TRUE,"INT-Table";#N/A,#N/A,TRUE,"STEEL";#N/A,#N/A,TRUE,"Door"}</definedName>
    <definedName name="LIST2_5" localSheetId="5" hidden="1">{#N/A,#N/A,TRUE,"Basic";#N/A,#N/A,TRUE,"EXT-TABLE";#N/A,#N/A,TRUE,"STEEL";#N/A,#N/A,TRUE,"INT-Table";#N/A,#N/A,TRUE,"STEEL";#N/A,#N/A,TRUE,"Door"}</definedName>
    <definedName name="LIST2_5" hidden="1">{#N/A,#N/A,TRUE,"Basic";#N/A,#N/A,TRUE,"EXT-TABLE";#N/A,#N/A,TRUE,"STEEL";#N/A,#N/A,TRUE,"INT-Table";#N/A,#N/A,TRUE,"STEEL";#N/A,#N/A,TRUE,"Door"}</definedName>
    <definedName name="ljkㅏㅎ" localSheetId="5" hidden="1">{#N/A,#N/A,FALSE,"2~8번"}</definedName>
    <definedName name="ljkㅏㅎ" hidden="1">{#N/A,#N/A,FALSE,"2~8번"}</definedName>
    <definedName name="ljkㅏㅎ_1" localSheetId="5" hidden="1">{#N/A,#N/A,FALSE,"2~8번"}</definedName>
    <definedName name="ljkㅏㅎ_1" hidden="1">{#N/A,#N/A,FALSE,"2~8번"}</definedName>
    <definedName name="ljkㅏㅎ_2" localSheetId="5" hidden="1">{#N/A,#N/A,FALSE,"2~8번"}</definedName>
    <definedName name="ljkㅏㅎ_2" hidden="1">{#N/A,#N/A,FALSE,"2~8번"}</definedName>
    <definedName name="ljkㅏㅎ_3" localSheetId="5" hidden="1">{#N/A,#N/A,FALSE,"2~8번"}</definedName>
    <definedName name="ljkㅏㅎ_3" hidden="1">{#N/A,#N/A,FALSE,"2~8번"}</definedName>
    <definedName name="ljkㅏㅎ_4" localSheetId="5" hidden="1">{#N/A,#N/A,FALSE,"2~8번"}</definedName>
    <definedName name="ljkㅏㅎ_4" hidden="1">{#N/A,#N/A,FALSE,"2~8번"}</definedName>
    <definedName name="ljkㅏㅎ_5" localSheetId="5" hidden="1">{#N/A,#N/A,FALSE,"2~8번"}</definedName>
    <definedName name="ljkㅏㅎ_5" hidden="1">{#N/A,#N/A,FALSE,"2~8번"}</definedName>
    <definedName name="lk" localSheetId="5" hidden="1">{#N/A,#N/A,FALSE,"CCTV"}</definedName>
    <definedName name="lk" localSheetId="9" hidden="1">{#N/A,#N/A,FALSE,"CCTV"}</definedName>
    <definedName name="lk" localSheetId="10" hidden="1">{#N/A,#N/A,FALSE,"CCTV"}</definedName>
    <definedName name="lk" localSheetId="6" hidden="1">{#N/A,#N/A,FALSE,"CCTV"}</definedName>
    <definedName name="LK" localSheetId="3" hidden="1">{#N/A,#N/A,FALSE,"CCTV"}</definedName>
    <definedName name="lk" hidden="1">{#N/A,#N/A,FALSE,"CCTV"}</definedName>
    <definedName name="lk_1" localSheetId="5" hidden="1">{#N/A,#N/A,FALSE,"CCTV"}</definedName>
    <definedName name="lk_1" localSheetId="9" hidden="1">{#N/A,#N/A,FALSE,"CCTV"}</definedName>
    <definedName name="lk_1" localSheetId="10" hidden="1">{#N/A,#N/A,FALSE,"CCTV"}</definedName>
    <definedName name="lk_1" localSheetId="6" hidden="1">{#N/A,#N/A,FALSE,"CCTV"}</definedName>
    <definedName name="LK_1" localSheetId="3" hidden="1">{#N/A,#N/A,FALSE,"CCTV"}</definedName>
    <definedName name="lk_1" hidden="1">{#N/A,#N/A,FALSE,"CCTV"}</definedName>
    <definedName name="LK_2" localSheetId="5" hidden="1">{#N/A,#N/A,FALSE,"CCTV"}</definedName>
    <definedName name="LK_2" hidden="1">{#N/A,#N/A,FALSE,"CCTV"}</definedName>
    <definedName name="LK_3" localSheetId="5" hidden="1">{#N/A,#N/A,FALSE,"CCTV"}</definedName>
    <definedName name="LK_3" hidden="1">{#N/A,#N/A,FALSE,"CCTV"}</definedName>
    <definedName name="LK_4" localSheetId="5" hidden="1">{#N/A,#N/A,FALSE,"CCTV"}</definedName>
    <definedName name="LK_4" hidden="1">{#N/A,#N/A,FALSE,"CCTV"}</definedName>
    <definedName name="LK_5" localSheetId="5" hidden="1">{#N/A,#N/A,FALSE,"CCTV"}</definedName>
    <definedName name="LK_5" hidden="1">{#N/A,#N/A,FALSE,"CCTV"}</definedName>
    <definedName name="lklhlkjl" localSheetId="5" hidden="1">{#N/A,#N/A,FALSE,"CCTV"}</definedName>
    <definedName name="lklhlkjl" localSheetId="9" hidden="1">{#N/A,#N/A,FALSE,"CCTV"}</definedName>
    <definedName name="lklhlkjl" localSheetId="10" hidden="1">{#N/A,#N/A,FALSE,"CCTV"}</definedName>
    <definedName name="lklhlkjl" localSheetId="6" hidden="1">{#N/A,#N/A,FALSE,"CCTV"}</definedName>
    <definedName name="lklhlkjl" localSheetId="3" hidden="1">{#N/A,#N/A,FALSE,"CCTV"}</definedName>
    <definedName name="lklhlkjl" hidden="1">{#N/A,#N/A,FALSE,"CCTV"}</definedName>
    <definedName name="lklhlkjl_1" localSheetId="5" hidden="1">{#N/A,#N/A,FALSE,"CCTV"}</definedName>
    <definedName name="lklhlkjl_1" hidden="1">{#N/A,#N/A,FALSE,"CCTV"}</definedName>
    <definedName name="lklhlkjl_2" localSheetId="5" hidden="1">{#N/A,#N/A,FALSE,"CCTV"}</definedName>
    <definedName name="lklhlkjl_2" hidden="1">{#N/A,#N/A,FALSE,"CCTV"}</definedName>
    <definedName name="lklhlkjl_3" localSheetId="5" hidden="1">{#N/A,#N/A,FALSE,"CCTV"}</definedName>
    <definedName name="lklhlkjl_3" hidden="1">{#N/A,#N/A,FALSE,"CCTV"}</definedName>
    <definedName name="lklhlkjl_4" localSheetId="5" hidden="1">{#N/A,#N/A,FALSE,"CCTV"}</definedName>
    <definedName name="lklhlkjl_4" hidden="1">{#N/A,#N/A,FALSE,"CCTV"}</definedName>
    <definedName name="lklhlkjl_5" localSheetId="5" hidden="1">{#N/A,#N/A,FALSE,"CCTV"}</definedName>
    <definedName name="lklhlkjl_5" hidden="1">{#N/A,#N/A,FALSE,"CCTV"}</definedName>
    <definedName name="llk" hidden="1">#REF!</definedName>
    <definedName name="lll" localSheetId="5" hidden="1">{#N/A,#N/A,FALSE,"CCTV"}</definedName>
    <definedName name="lll" hidden="1">{#N/A,#N/A,FALSE,"CCTV"}</definedName>
    <definedName name="lll_1" localSheetId="5" hidden="1">{#N/A,#N/A,FALSE,"CCTV"}</definedName>
    <definedName name="lll_1" hidden="1">{#N/A,#N/A,FALSE,"CCTV"}</definedName>
    <definedName name="lll_2" localSheetId="5" hidden="1">{#N/A,#N/A,FALSE,"CCTV"}</definedName>
    <definedName name="lll_2" hidden="1">{#N/A,#N/A,FALSE,"CCTV"}</definedName>
    <definedName name="lll_3" localSheetId="5" hidden="1">{#N/A,#N/A,FALSE,"CCTV"}</definedName>
    <definedName name="lll_3" hidden="1">{#N/A,#N/A,FALSE,"CCTV"}</definedName>
    <definedName name="lll_4" localSheetId="5" hidden="1">{#N/A,#N/A,FALSE,"CCTV"}</definedName>
    <definedName name="lll_4" hidden="1">{#N/A,#N/A,FALSE,"CCTV"}</definedName>
    <definedName name="lll_5" localSheetId="5" hidden="1">{#N/A,#N/A,FALSE,"CCTV"}</definedName>
    <definedName name="lll_5" hidden="1">{#N/A,#N/A,FALSE,"CCTV"}</definedName>
    <definedName name="LLLL_1" localSheetId="5" hidden="1">{#N/A,#N/A,FALSE,"CCTV"}</definedName>
    <definedName name="LLLL_1" hidden="1">{#N/A,#N/A,FALSE,"CCTV"}</definedName>
    <definedName name="LLLL_2" localSheetId="5" hidden="1">{#N/A,#N/A,FALSE,"CCTV"}</definedName>
    <definedName name="LLLL_2" hidden="1">{#N/A,#N/A,FALSE,"CCTV"}</definedName>
    <definedName name="LLLL_3" localSheetId="5" hidden="1">{#N/A,#N/A,FALSE,"CCTV"}</definedName>
    <definedName name="LLLL_3" hidden="1">{#N/A,#N/A,FALSE,"CCTV"}</definedName>
    <definedName name="LLLL_4" localSheetId="5" hidden="1">{#N/A,#N/A,FALSE,"CCTV"}</definedName>
    <definedName name="LLLL_4" hidden="1">{#N/A,#N/A,FALSE,"CCTV"}</definedName>
    <definedName name="LLLL_5" localSheetId="5" hidden="1">{#N/A,#N/A,FALSE,"CCTV"}</definedName>
    <definedName name="LLLL_5" hidden="1">{#N/A,#N/A,FALSE,"CCTV"}</definedName>
    <definedName name="MASTER22" hidden="1">#REF!</definedName>
    <definedName name="MCCO" localSheetId="5" hidden="1">{#N/A,#N/A,FALSE,"CCTV"}</definedName>
    <definedName name="MCCO" localSheetId="9" hidden="1">{#N/A,#N/A,FALSE,"CCTV"}</definedName>
    <definedName name="MCCO" localSheetId="10" hidden="1">{#N/A,#N/A,FALSE,"CCTV"}</definedName>
    <definedName name="MCCO" localSheetId="6" hidden="1">{#N/A,#N/A,FALSE,"CCTV"}</definedName>
    <definedName name="MCCO" localSheetId="3" hidden="1">{#N/A,#N/A,FALSE,"CCTV"}</definedName>
    <definedName name="MCCO" hidden="1">{#N/A,#N/A,FALSE,"CCTV"}</definedName>
    <definedName name="MCCO_1" localSheetId="5" hidden="1">{#N/A,#N/A,FALSE,"CCTV"}</definedName>
    <definedName name="MCCO_1" hidden="1">{#N/A,#N/A,FALSE,"CCTV"}</definedName>
    <definedName name="MCCO_2" localSheetId="5" hidden="1">{#N/A,#N/A,FALSE,"CCTV"}</definedName>
    <definedName name="MCCO_2" hidden="1">{#N/A,#N/A,FALSE,"CCTV"}</definedName>
    <definedName name="MCCO_3" localSheetId="5" hidden="1">{#N/A,#N/A,FALSE,"CCTV"}</definedName>
    <definedName name="MCCO_3" hidden="1">{#N/A,#N/A,FALSE,"CCTV"}</definedName>
    <definedName name="MCCO_4" localSheetId="5" hidden="1">{#N/A,#N/A,FALSE,"CCTV"}</definedName>
    <definedName name="MCCO_4" hidden="1">{#N/A,#N/A,FALSE,"CCTV"}</definedName>
    <definedName name="MCCO_5" localSheetId="5" hidden="1">{#N/A,#N/A,FALSE,"CCTV"}</definedName>
    <definedName name="MCCO_5" hidden="1">{#N/A,#N/A,FALSE,"CCTV"}</definedName>
    <definedName name="MCCO10" localSheetId="5" hidden="1">{#N/A,#N/A,FALSE,"CCTV"}</definedName>
    <definedName name="MCCO10" localSheetId="9" hidden="1">{#N/A,#N/A,FALSE,"CCTV"}</definedName>
    <definedName name="MCCO10" localSheetId="10" hidden="1">{#N/A,#N/A,FALSE,"CCTV"}</definedName>
    <definedName name="MCCO10" localSheetId="6" hidden="1">{#N/A,#N/A,FALSE,"CCTV"}</definedName>
    <definedName name="MCCO10" localSheetId="3" hidden="1">{#N/A,#N/A,FALSE,"CCTV"}</definedName>
    <definedName name="MCCO10" hidden="1">{#N/A,#N/A,FALSE,"CCTV"}</definedName>
    <definedName name="MCCO10_1" localSheetId="5" hidden="1">{#N/A,#N/A,FALSE,"CCTV"}</definedName>
    <definedName name="MCCO10_1" hidden="1">{#N/A,#N/A,FALSE,"CCTV"}</definedName>
    <definedName name="MCCO10_2" localSheetId="5" hidden="1">{#N/A,#N/A,FALSE,"CCTV"}</definedName>
    <definedName name="MCCO10_2" hidden="1">{#N/A,#N/A,FALSE,"CCTV"}</definedName>
    <definedName name="MCCO10_3" localSheetId="5" hidden="1">{#N/A,#N/A,FALSE,"CCTV"}</definedName>
    <definedName name="MCCO10_3" hidden="1">{#N/A,#N/A,FALSE,"CCTV"}</definedName>
    <definedName name="MCCO10_4" localSheetId="5" hidden="1">{#N/A,#N/A,FALSE,"CCTV"}</definedName>
    <definedName name="MCCO10_4" hidden="1">{#N/A,#N/A,FALSE,"CCTV"}</definedName>
    <definedName name="MCCO10_5" localSheetId="5" hidden="1">{#N/A,#N/A,FALSE,"CCTV"}</definedName>
    <definedName name="MCCO10_5" hidden="1">{#N/A,#N/A,FALSE,"CCTV"}</definedName>
    <definedName name="MCCO11" localSheetId="5" hidden="1">{#N/A,#N/A,FALSE,"CCTV"}</definedName>
    <definedName name="MCCO11" localSheetId="9" hidden="1">{#N/A,#N/A,FALSE,"CCTV"}</definedName>
    <definedName name="MCCO11" localSheetId="10" hidden="1">{#N/A,#N/A,FALSE,"CCTV"}</definedName>
    <definedName name="MCCO11" localSheetId="6" hidden="1">{#N/A,#N/A,FALSE,"CCTV"}</definedName>
    <definedName name="MCCO11" localSheetId="3" hidden="1">{#N/A,#N/A,FALSE,"CCTV"}</definedName>
    <definedName name="MCCO11" hidden="1">{#N/A,#N/A,FALSE,"CCTV"}</definedName>
    <definedName name="MCCO11_1" localSheetId="5" hidden="1">{#N/A,#N/A,FALSE,"CCTV"}</definedName>
    <definedName name="MCCO11_1" hidden="1">{#N/A,#N/A,FALSE,"CCTV"}</definedName>
    <definedName name="MCCO11_2" localSheetId="5" hidden="1">{#N/A,#N/A,FALSE,"CCTV"}</definedName>
    <definedName name="MCCO11_2" hidden="1">{#N/A,#N/A,FALSE,"CCTV"}</definedName>
    <definedName name="MCCO11_3" localSheetId="5" hidden="1">{#N/A,#N/A,FALSE,"CCTV"}</definedName>
    <definedName name="MCCO11_3" hidden="1">{#N/A,#N/A,FALSE,"CCTV"}</definedName>
    <definedName name="MCCO11_4" localSheetId="5" hidden="1">{#N/A,#N/A,FALSE,"CCTV"}</definedName>
    <definedName name="MCCO11_4" hidden="1">{#N/A,#N/A,FALSE,"CCTV"}</definedName>
    <definedName name="MCCO11_5" localSheetId="5" hidden="1">{#N/A,#N/A,FALSE,"CCTV"}</definedName>
    <definedName name="MCCO11_5" hidden="1">{#N/A,#N/A,FALSE,"CCTV"}</definedName>
    <definedName name="MCCO12" localSheetId="5" hidden="1">{#N/A,#N/A,FALSE,"CCTV"}</definedName>
    <definedName name="MCCO12" localSheetId="9" hidden="1">{#N/A,#N/A,FALSE,"CCTV"}</definedName>
    <definedName name="MCCO12" localSheetId="10" hidden="1">{#N/A,#N/A,FALSE,"CCTV"}</definedName>
    <definedName name="MCCO12" localSheetId="6" hidden="1">{#N/A,#N/A,FALSE,"CCTV"}</definedName>
    <definedName name="MCCO12" localSheetId="3" hidden="1">{#N/A,#N/A,FALSE,"CCTV"}</definedName>
    <definedName name="MCCO12" hidden="1">{#N/A,#N/A,FALSE,"CCTV"}</definedName>
    <definedName name="MCCO12_1" localSheetId="5" hidden="1">{#N/A,#N/A,FALSE,"CCTV"}</definedName>
    <definedName name="MCCO12_1" hidden="1">{#N/A,#N/A,FALSE,"CCTV"}</definedName>
    <definedName name="MCCO12_2" localSheetId="5" hidden="1">{#N/A,#N/A,FALSE,"CCTV"}</definedName>
    <definedName name="MCCO12_2" hidden="1">{#N/A,#N/A,FALSE,"CCTV"}</definedName>
    <definedName name="MCCO12_3" localSheetId="5" hidden="1">{#N/A,#N/A,FALSE,"CCTV"}</definedName>
    <definedName name="MCCO12_3" hidden="1">{#N/A,#N/A,FALSE,"CCTV"}</definedName>
    <definedName name="MCCO12_4" localSheetId="5" hidden="1">{#N/A,#N/A,FALSE,"CCTV"}</definedName>
    <definedName name="MCCO12_4" hidden="1">{#N/A,#N/A,FALSE,"CCTV"}</definedName>
    <definedName name="MCCO12_5" localSheetId="5" hidden="1">{#N/A,#N/A,FALSE,"CCTV"}</definedName>
    <definedName name="MCCO12_5" hidden="1">{#N/A,#N/A,FALSE,"CCTV"}</definedName>
    <definedName name="MCCO13" localSheetId="5" hidden="1">{#N/A,#N/A,FALSE,"CCTV"}</definedName>
    <definedName name="MCCO13" localSheetId="9" hidden="1">{#N/A,#N/A,FALSE,"CCTV"}</definedName>
    <definedName name="MCCO13" localSheetId="10" hidden="1">{#N/A,#N/A,FALSE,"CCTV"}</definedName>
    <definedName name="MCCO13" localSheetId="6" hidden="1">{#N/A,#N/A,FALSE,"CCTV"}</definedName>
    <definedName name="MCCO13" localSheetId="3" hidden="1">{#N/A,#N/A,FALSE,"CCTV"}</definedName>
    <definedName name="MCCO13" hidden="1">{#N/A,#N/A,FALSE,"CCTV"}</definedName>
    <definedName name="MCCO13_1" localSheetId="5" hidden="1">{#N/A,#N/A,FALSE,"CCTV"}</definedName>
    <definedName name="MCCO13_1" hidden="1">{#N/A,#N/A,FALSE,"CCTV"}</definedName>
    <definedName name="MCCO13_2" localSheetId="5" hidden="1">{#N/A,#N/A,FALSE,"CCTV"}</definedName>
    <definedName name="MCCO13_2" hidden="1">{#N/A,#N/A,FALSE,"CCTV"}</definedName>
    <definedName name="MCCO13_3" localSheetId="5" hidden="1">{#N/A,#N/A,FALSE,"CCTV"}</definedName>
    <definedName name="MCCO13_3" hidden="1">{#N/A,#N/A,FALSE,"CCTV"}</definedName>
    <definedName name="MCCO13_4" localSheetId="5" hidden="1">{#N/A,#N/A,FALSE,"CCTV"}</definedName>
    <definedName name="MCCO13_4" hidden="1">{#N/A,#N/A,FALSE,"CCTV"}</definedName>
    <definedName name="MCCO13_5" localSheetId="5" hidden="1">{#N/A,#N/A,FALSE,"CCTV"}</definedName>
    <definedName name="MCCO13_5" hidden="1">{#N/A,#N/A,FALSE,"CCTV"}</definedName>
    <definedName name="MCCO3" localSheetId="5" hidden="1">{#N/A,#N/A,FALSE,"CCTV"}</definedName>
    <definedName name="MCCO3" localSheetId="9" hidden="1">{#N/A,#N/A,FALSE,"CCTV"}</definedName>
    <definedName name="MCCO3" localSheetId="10" hidden="1">{#N/A,#N/A,FALSE,"CCTV"}</definedName>
    <definedName name="MCCO3" localSheetId="6" hidden="1">{#N/A,#N/A,FALSE,"CCTV"}</definedName>
    <definedName name="MCCO3" localSheetId="3" hidden="1">{#N/A,#N/A,FALSE,"CCTV"}</definedName>
    <definedName name="MCCO3" hidden="1">{#N/A,#N/A,FALSE,"CCTV"}</definedName>
    <definedName name="MCCO3_1" localSheetId="5" hidden="1">{#N/A,#N/A,FALSE,"CCTV"}</definedName>
    <definedName name="MCCO3_1" hidden="1">{#N/A,#N/A,FALSE,"CCTV"}</definedName>
    <definedName name="MCCO3_2" localSheetId="5" hidden="1">{#N/A,#N/A,FALSE,"CCTV"}</definedName>
    <definedName name="MCCO3_2" hidden="1">{#N/A,#N/A,FALSE,"CCTV"}</definedName>
    <definedName name="MCCO3_3" localSheetId="5" hidden="1">{#N/A,#N/A,FALSE,"CCTV"}</definedName>
    <definedName name="MCCO3_3" hidden="1">{#N/A,#N/A,FALSE,"CCTV"}</definedName>
    <definedName name="MCCO3_4" localSheetId="5" hidden="1">{#N/A,#N/A,FALSE,"CCTV"}</definedName>
    <definedName name="MCCO3_4" hidden="1">{#N/A,#N/A,FALSE,"CCTV"}</definedName>
    <definedName name="MCCO3_5" localSheetId="5" hidden="1">{#N/A,#N/A,FALSE,"CCTV"}</definedName>
    <definedName name="MCCO3_5" hidden="1">{#N/A,#N/A,FALSE,"CCTV"}</definedName>
    <definedName name="MCCO4" localSheetId="5" hidden="1">{#N/A,#N/A,FALSE,"CCTV"}</definedName>
    <definedName name="MCCO4" localSheetId="9" hidden="1">{#N/A,#N/A,FALSE,"CCTV"}</definedName>
    <definedName name="MCCO4" localSheetId="10" hidden="1">{#N/A,#N/A,FALSE,"CCTV"}</definedName>
    <definedName name="MCCO4" localSheetId="6" hidden="1">{#N/A,#N/A,FALSE,"CCTV"}</definedName>
    <definedName name="MCCO4" localSheetId="3" hidden="1">{#N/A,#N/A,FALSE,"CCTV"}</definedName>
    <definedName name="MCCO4" hidden="1">{#N/A,#N/A,FALSE,"CCTV"}</definedName>
    <definedName name="MCCO4_1" localSheetId="5" hidden="1">{#N/A,#N/A,FALSE,"CCTV"}</definedName>
    <definedName name="MCCO4_1" hidden="1">{#N/A,#N/A,FALSE,"CCTV"}</definedName>
    <definedName name="MCCO4_2" localSheetId="5" hidden="1">{#N/A,#N/A,FALSE,"CCTV"}</definedName>
    <definedName name="MCCO4_2" hidden="1">{#N/A,#N/A,FALSE,"CCTV"}</definedName>
    <definedName name="MCCO4_3" localSheetId="5" hidden="1">{#N/A,#N/A,FALSE,"CCTV"}</definedName>
    <definedName name="MCCO4_3" hidden="1">{#N/A,#N/A,FALSE,"CCTV"}</definedName>
    <definedName name="MCCO4_4" localSheetId="5" hidden="1">{#N/A,#N/A,FALSE,"CCTV"}</definedName>
    <definedName name="MCCO4_4" hidden="1">{#N/A,#N/A,FALSE,"CCTV"}</definedName>
    <definedName name="MCCO4_5" localSheetId="5" hidden="1">{#N/A,#N/A,FALSE,"CCTV"}</definedName>
    <definedName name="MCCO4_5" hidden="1">{#N/A,#N/A,FALSE,"CCTV"}</definedName>
    <definedName name="MCCO5" localSheetId="5" hidden="1">{#N/A,#N/A,FALSE,"CCTV"}</definedName>
    <definedName name="MCCO5" localSheetId="9" hidden="1">{#N/A,#N/A,FALSE,"CCTV"}</definedName>
    <definedName name="MCCO5" localSheetId="10" hidden="1">{#N/A,#N/A,FALSE,"CCTV"}</definedName>
    <definedName name="MCCO5" localSheetId="6" hidden="1">{#N/A,#N/A,FALSE,"CCTV"}</definedName>
    <definedName name="MCCO5" localSheetId="3" hidden="1">{#N/A,#N/A,FALSE,"CCTV"}</definedName>
    <definedName name="MCCO5" hidden="1">{#N/A,#N/A,FALSE,"CCTV"}</definedName>
    <definedName name="MCCO5_1" localSheetId="5" hidden="1">{#N/A,#N/A,FALSE,"CCTV"}</definedName>
    <definedName name="MCCO5_1" hidden="1">{#N/A,#N/A,FALSE,"CCTV"}</definedName>
    <definedName name="MCCO5_2" localSheetId="5" hidden="1">{#N/A,#N/A,FALSE,"CCTV"}</definedName>
    <definedName name="MCCO5_2" hidden="1">{#N/A,#N/A,FALSE,"CCTV"}</definedName>
    <definedName name="MCCO5_3" localSheetId="5" hidden="1">{#N/A,#N/A,FALSE,"CCTV"}</definedName>
    <definedName name="MCCO5_3" hidden="1">{#N/A,#N/A,FALSE,"CCTV"}</definedName>
    <definedName name="MCCO5_4" localSheetId="5" hidden="1">{#N/A,#N/A,FALSE,"CCTV"}</definedName>
    <definedName name="MCCO5_4" hidden="1">{#N/A,#N/A,FALSE,"CCTV"}</definedName>
    <definedName name="MCCO5_5" localSheetId="5" hidden="1">{#N/A,#N/A,FALSE,"CCTV"}</definedName>
    <definedName name="MCCO5_5" hidden="1">{#N/A,#N/A,FALSE,"CCTV"}</definedName>
    <definedName name="MCCO6" localSheetId="5" hidden="1">{#N/A,#N/A,FALSE,"CCTV"}</definedName>
    <definedName name="MCCO6" localSheetId="9" hidden="1">{#N/A,#N/A,FALSE,"CCTV"}</definedName>
    <definedName name="MCCO6" localSheetId="10" hidden="1">{#N/A,#N/A,FALSE,"CCTV"}</definedName>
    <definedName name="MCCO6" localSheetId="6" hidden="1">{#N/A,#N/A,FALSE,"CCTV"}</definedName>
    <definedName name="MCCO6" localSheetId="3" hidden="1">{#N/A,#N/A,FALSE,"CCTV"}</definedName>
    <definedName name="MCCO6" hidden="1">{#N/A,#N/A,FALSE,"CCTV"}</definedName>
    <definedName name="MCCO6_1" localSheetId="5" hidden="1">{#N/A,#N/A,FALSE,"CCTV"}</definedName>
    <definedName name="MCCO6_1" hidden="1">{#N/A,#N/A,FALSE,"CCTV"}</definedName>
    <definedName name="MCCO6_2" localSheetId="5" hidden="1">{#N/A,#N/A,FALSE,"CCTV"}</definedName>
    <definedName name="MCCO6_2" hidden="1">{#N/A,#N/A,FALSE,"CCTV"}</definedName>
    <definedName name="MCCO6_3" localSheetId="5" hidden="1">{#N/A,#N/A,FALSE,"CCTV"}</definedName>
    <definedName name="MCCO6_3" hidden="1">{#N/A,#N/A,FALSE,"CCTV"}</definedName>
    <definedName name="MCCO6_4" localSheetId="5" hidden="1">{#N/A,#N/A,FALSE,"CCTV"}</definedName>
    <definedName name="MCCO6_4" hidden="1">{#N/A,#N/A,FALSE,"CCTV"}</definedName>
    <definedName name="MCCO6_5" localSheetId="5" hidden="1">{#N/A,#N/A,FALSE,"CCTV"}</definedName>
    <definedName name="MCCO6_5" hidden="1">{#N/A,#N/A,FALSE,"CCTV"}</definedName>
    <definedName name="MCCO7" localSheetId="5" hidden="1">{#N/A,#N/A,FALSE,"CCTV"}</definedName>
    <definedName name="MCCO7" localSheetId="9" hidden="1">{#N/A,#N/A,FALSE,"CCTV"}</definedName>
    <definedName name="MCCO7" localSheetId="10" hidden="1">{#N/A,#N/A,FALSE,"CCTV"}</definedName>
    <definedName name="MCCO7" localSheetId="6" hidden="1">{#N/A,#N/A,FALSE,"CCTV"}</definedName>
    <definedName name="MCCO7" localSheetId="3" hidden="1">{#N/A,#N/A,FALSE,"CCTV"}</definedName>
    <definedName name="MCCO7" hidden="1">{#N/A,#N/A,FALSE,"CCTV"}</definedName>
    <definedName name="MCCO7_1" localSheetId="5" hidden="1">{#N/A,#N/A,FALSE,"CCTV"}</definedName>
    <definedName name="MCCO7_1" hidden="1">{#N/A,#N/A,FALSE,"CCTV"}</definedName>
    <definedName name="MCCO7_2" localSheetId="5" hidden="1">{#N/A,#N/A,FALSE,"CCTV"}</definedName>
    <definedName name="MCCO7_2" hidden="1">{#N/A,#N/A,FALSE,"CCTV"}</definedName>
    <definedName name="MCCO7_3" localSheetId="5" hidden="1">{#N/A,#N/A,FALSE,"CCTV"}</definedName>
    <definedName name="MCCO7_3" hidden="1">{#N/A,#N/A,FALSE,"CCTV"}</definedName>
    <definedName name="MCCO7_4" localSheetId="5" hidden="1">{#N/A,#N/A,FALSE,"CCTV"}</definedName>
    <definedName name="MCCO7_4" hidden="1">{#N/A,#N/A,FALSE,"CCTV"}</definedName>
    <definedName name="MCCO7_5" localSheetId="5" hidden="1">{#N/A,#N/A,FALSE,"CCTV"}</definedName>
    <definedName name="MCCO7_5" hidden="1">{#N/A,#N/A,FALSE,"CCTV"}</definedName>
    <definedName name="MCCO8" localSheetId="5" hidden="1">{#N/A,#N/A,FALSE,"CCTV"}</definedName>
    <definedName name="MCCO8" localSheetId="9" hidden="1">{#N/A,#N/A,FALSE,"CCTV"}</definedName>
    <definedName name="MCCO8" localSheetId="10" hidden="1">{#N/A,#N/A,FALSE,"CCTV"}</definedName>
    <definedName name="MCCO8" localSheetId="6" hidden="1">{#N/A,#N/A,FALSE,"CCTV"}</definedName>
    <definedName name="MCCO8" localSheetId="3" hidden="1">{#N/A,#N/A,FALSE,"CCTV"}</definedName>
    <definedName name="MCCO8" hidden="1">{#N/A,#N/A,FALSE,"CCTV"}</definedName>
    <definedName name="MCCO8_1" localSheetId="5" hidden="1">{#N/A,#N/A,FALSE,"CCTV"}</definedName>
    <definedName name="MCCO8_1" hidden="1">{#N/A,#N/A,FALSE,"CCTV"}</definedName>
    <definedName name="MCCO8_2" localSheetId="5" hidden="1">{#N/A,#N/A,FALSE,"CCTV"}</definedName>
    <definedName name="MCCO8_2" hidden="1">{#N/A,#N/A,FALSE,"CCTV"}</definedName>
    <definedName name="MCCO8_3" localSheetId="5" hidden="1">{#N/A,#N/A,FALSE,"CCTV"}</definedName>
    <definedName name="MCCO8_3" hidden="1">{#N/A,#N/A,FALSE,"CCTV"}</definedName>
    <definedName name="MCCO8_4" localSheetId="5" hidden="1">{#N/A,#N/A,FALSE,"CCTV"}</definedName>
    <definedName name="MCCO8_4" hidden="1">{#N/A,#N/A,FALSE,"CCTV"}</definedName>
    <definedName name="MCCO8_5" localSheetId="5" hidden="1">{#N/A,#N/A,FALSE,"CCTV"}</definedName>
    <definedName name="MCCO8_5" hidden="1">{#N/A,#N/A,FALSE,"CCTV"}</definedName>
    <definedName name="MCCO9" localSheetId="5" hidden="1">{#N/A,#N/A,FALSE,"CCTV"}</definedName>
    <definedName name="MCCO9" localSheetId="9" hidden="1">{#N/A,#N/A,FALSE,"CCTV"}</definedName>
    <definedName name="MCCO9" localSheetId="10" hidden="1">{#N/A,#N/A,FALSE,"CCTV"}</definedName>
    <definedName name="MCCO9" localSheetId="6" hidden="1">{#N/A,#N/A,FALSE,"CCTV"}</definedName>
    <definedName name="MCCO9" localSheetId="3" hidden="1">{#N/A,#N/A,FALSE,"CCTV"}</definedName>
    <definedName name="MCCO9" hidden="1">{#N/A,#N/A,FALSE,"CCTV"}</definedName>
    <definedName name="MCCO9_1" localSheetId="5" hidden="1">{#N/A,#N/A,FALSE,"CCTV"}</definedName>
    <definedName name="MCCO9_1" hidden="1">{#N/A,#N/A,FALSE,"CCTV"}</definedName>
    <definedName name="MCCO9_2" localSheetId="5" hidden="1">{#N/A,#N/A,FALSE,"CCTV"}</definedName>
    <definedName name="MCCO9_2" hidden="1">{#N/A,#N/A,FALSE,"CCTV"}</definedName>
    <definedName name="MCCO9_3" localSheetId="5" hidden="1">{#N/A,#N/A,FALSE,"CCTV"}</definedName>
    <definedName name="MCCO9_3" hidden="1">{#N/A,#N/A,FALSE,"CCTV"}</definedName>
    <definedName name="MCCO9_4" localSheetId="5" hidden="1">{#N/A,#N/A,FALSE,"CCTV"}</definedName>
    <definedName name="MCCO9_4" hidden="1">{#N/A,#N/A,FALSE,"CCTV"}</definedName>
    <definedName name="MCCO9_5" localSheetId="5" hidden="1">{#N/A,#N/A,FALSE,"CCTV"}</definedName>
    <definedName name="MCCO9_5" hidden="1">{#N/A,#N/A,FALSE,"CCTV"}</definedName>
    <definedName name="MCCOÙ" localSheetId="5" hidden="1">{#N/A,#N/A,FALSE,"CCTV"}</definedName>
    <definedName name="MCCOÙ" localSheetId="9" hidden="1">{#N/A,#N/A,FALSE,"CCTV"}</definedName>
    <definedName name="MCCOÙ" localSheetId="10" hidden="1">{#N/A,#N/A,FALSE,"CCTV"}</definedName>
    <definedName name="MCCOÙ" localSheetId="6" hidden="1">{#N/A,#N/A,FALSE,"CCTV"}</definedName>
    <definedName name="MCCOÙ" localSheetId="3" hidden="1">{#N/A,#N/A,FALSE,"CCTV"}</definedName>
    <definedName name="MCCOÙ" hidden="1">{#N/A,#N/A,FALSE,"CCTV"}</definedName>
    <definedName name="MCCOÙ_1" localSheetId="5" hidden="1">{#N/A,#N/A,FALSE,"CCTV"}</definedName>
    <definedName name="MCCOÙ_1" hidden="1">{#N/A,#N/A,FALSE,"CCTV"}</definedName>
    <definedName name="MCCOÙ_2" localSheetId="5" hidden="1">{#N/A,#N/A,FALSE,"CCTV"}</definedName>
    <definedName name="MCCOÙ_2" hidden="1">{#N/A,#N/A,FALSE,"CCTV"}</definedName>
    <definedName name="MCCOÙ_3" localSheetId="5" hidden="1">{#N/A,#N/A,FALSE,"CCTV"}</definedName>
    <definedName name="MCCOÙ_3" hidden="1">{#N/A,#N/A,FALSE,"CCTV"}</definedName>
    <definedName name="MCCOÙ_4" localSheetId="5" hidden="1">{#N/A,#N/A,FALSE,"CCTV"}</definedName>
    <definedName name="MCCOÙ_4" hidden="1">{#N/A,#N/A,FALSE,"CCTV"}</definedName>
    <definedName name="MCCOÙ_5" localSheetId="5" hidden="1">{#N/A,#N/A,FALSE,"CCTV"}</definedName>
    <definedName name="MCCOÙ_5" hidden="1">{#N/A,#N/A,FALSE,"CCTV"}</definedName>
    <definedName name="metering" hidden="1">#REF!</definedName>
    <definedName name="MK" localSheetId="5" hidden="1">{#N/A,#N/A,TRUE,"총괄"}</definedName>
    <definedName name="MK" hidden="1">{#N/A,#N/A,TRUE,"총괄"}</definedName>
    <definedName name="MK_1" localSheetId="5" hidden="1">{#N/A,#N/A,TRUE,"총괄"}</definedName>
    <definedName name="MK_1" hidden="1">{#N/A,#N/A,TRUE,"총괄"}</definedName>
    <definedName name="MK_2" localSheetId="5" hidden="1">{#N/A,#N/A,TRUE,"총괄"}</definedName>
    <definedName name="MK_2" hidden="1">{#N/A,#N/A,TRUE,"총괄"}</definedName>
    <definedName name="MK_3" localSheetId="5" hidden="1">{#N/A,#N/A,TRUE,"총괄"}</definedName>
    <definedName name="MK_3" hidden="1">{#N/A,#N/A,TRUE,"총괄"}</definedName>
    <definedName name="MK_4" localSheetId="5" hidden="1">{#N/A,#N/A,TRUE,"총괄"}</definedName>
    <definedName name="MK_4" hidden="1">{#N/A,#N/A,TRUE,"총괄"}</definedName>
    <definedName name="MK_5" localSheetId="5" hidden="1">{#N/A,#N/A,TRUE,"총괄"}</definedName>
    <definedName name="MK_5" hidden="1">{#N/A,#N/A,TRUE,"총괄"}</definedName>
    <definedName name="mm" localSheetId="5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mmm" localSheetId="5" hidden="1">{"'장비'!$A$3:$M$12"}</definedName>
    <definedName name="mmm" hidden="1">{"'장비'!$A$3:$M$12"}</definedName>
    <definedName name="mmm_1" localSheetId="5" hidden="1">{"'장비'!$A$3:$M$12"}</definedName>
    <definedName name="mmm_1" hidden="1">{"'장비'!$A$3:$M$12"}</definedName>
    <definedName name="mmm_2" localSheetId="5" hidden="1">{"'장비'!$A$3:$M$12"}</definedName>
    <definedName name="mmm_2" hidden="1">{"'장비'!$A$3:$M$12"}</definedName>
    <definedName name="mmm_3" localSheetId="5" hidden="1">{"'장비'!$A$3:$M$12"}</definedName>
    <definedName name="mmm_3" hidden="1">{"'장비'!$A$3:$M$12"}</definedName>
    <definedName name="mmm_4" localSheetId="5" hidden="1">{"'장비'!$A$3:$M$12"}</definedName>
    <definedName name="mmm_4" hidden="1">{"'장비'!$A$3:$M$12"}</definedName>
    <definedName name="mmm_5" localSheetId="5" hidden="1">{"'장비'!$A$3:$M$12"}</definedName>
    <definedName name="mmm_5" hidden="1">{"'장비'!$A$3:$M$12"}</definedName>
    <definedName name="mmmm" localSheetId="5" hidden="1">{"'장비'!$A$3:$M$12"}</definedName>
    <definedName name="mmmm" hidden="1">{"'장비'!$A$3:$M$12"}</definedName>
    <definedName name="mmmm_1" localSheetId="5" hidden="1">{"'장비'!$A$3:$M$12"}</definedName>
    <definedName name="mmmm_1" hidden="1">{"'장비'!$A$3:$M$12"}</definedName>
    <definedName name="mmmm_2" localSheetId="5" hidden="1">{"'장비'!$A$3:$M$12"}</definedName>
    <definedName name="mmmm_2" hidden="1">{"'장비'!$A$3:$M$12"}</definedName>
    <definedName name="mmmm_3" localSheetId="5" hidden="1">{"'장비'!$A$3:$M$12"}</definedName>
    <definedName name="mmmm_3" hidden="1">{"'장비'!$A$3:$M$12"}</definedName>
    <definedName name="mmmm_4" localSheetId="5" hidden="1">{"'장비'!$A$3:$M$12"}</definedName>
    <definedName name="mmmm_4" hidden="1">{"'장비'!$A$3:$M$12"}</definedName>
    <definedName name="mmmm_5" localSheetId="5" hidden="1">{"'장비'!$A$3:$M$12"}</definedName>
    <definedName name="mmmm_5" hidden="1">{"'장비'!$A$3:$M$12"}</definedName>
    <definedName name="mmmmm" localSheetId="5" hidden="1">{#N/A,#N/A,FALSE,"CCTV"}</definedName>
    <definedName name="mmmmm" localSheetId="9" hidden="1">{#N/A,#N/A,FALSE,"CCTV"}</definedName>
    <definedName name="mmmmm" localSheetId="10" hidden="1">{#N/A,#N/A,FALSE,"CCTV"}</definedName>
    <definedName name="mmmmm" localSheetId="6" hidden="1">{#N/A,#N/A,FALSE,"CCTV"}</definedName>
    <definedName name="mmmmm" localSheetId="3" hidden="1">{#N/A,#N/A,FALSE,"CCTV"}</definedName>
    <definedName name="mmmmm" hidden="1">{#N/A,#N/A,FALSE,"CCTV"}</definedName>
    <definedName name="mmmmm_1" localSheetId="5" hidden="1">{#N/A,#N/A,FALSE,"CCTV"}</definedName>
    <definedName name="mmmmm_1" hidden="1">{#N/A,#N/A,FALSE,"CCTV"}</definedName>
    <definedName name="mmmmm_2" localSheetId="5" hidden="1">{#N/A,#N/A,FALSE,"CCTV"}</definedName>
    <definedName name="mmmmm_2" hidden="1">{#N/A,#N/A,FALSE,"CCTV"}</definedName>
    <definedName name="mmmmm_3" localSheetId="5" hidden="1">{#N/A,#N/A,FALSE,"CCTV"}</definedName>
    <definedName name="mmmmm_3" hidden="1">{#N/A,#N/A,FALSE,"CCTV"}</definedName>
    <definedName name="mmmmm_4" localSheetId="5" hidden="1">{#N/A,#N/A,FALSE,"CCTV"}</definedName>
    <definedName name="mmmmm_4" hidden="1">{#N/A,#N/A,FALSE,"CCTV"}</definedName>
    <definedName name="mmmmm_5" localSheetId="5" hidden="1">{#N/A,#N/A,FALSE,"CCTV"}</definedName>
    <definedName name="mmmmm_5" hidden="1">{#N/A,#N/A,FALSE,"CCTV"}</definedName>
    <definedName name="MN" localSheetId="5" hidden="1">{#N/A,#N/A,FALSE,"CCTV"}</definedName>
    <definedName name="MN" hidden="1">{#N/A,#N/A,FALSE,"CCTV"}</definedName>
    <definedName name="MN_1" localSheetId="5" hidden="1">{#N/A,#N/A,FALSE,"CCTV"}</definedName>
    <definedName name="MN_1" hidden="1">{#N/A,#N/A,FALSE,"CCTV"}</definedName>
    <definedName name="MN_2" localSheetId="5" hidden="1">{#N/A,#N/A,FALSE,"CCTV"}</definedName>
    <definedName name="MN_2" hidden="1">{#N/A,#N/A,FALSE,"CCTV"}</definedName>
    <definedName name="MN_3" localSheetId="5" hidden="1">{#N/A,#N/A,FALSE,"CCTV"}</definedName>
    <definedName name="MN_3" hidden="1">{#N/A,#N/A,FALSE,"CCTV"}</definedName>
    <definedName name="MN_4" localSheetId="5" hidden="1">{#N/A,#N/A,FALSE,"CCTV"}</definedName>
    <definedName name="MN_4" hidden="1">{#N/A,#N/A,FALSE,"CCTV"}</definedName>
    <definedName name="MN_5" localSheetId="5" hidden="1">{#N/A,#N/A,FALSE,"CCTV"}</definedName>
    <definedName name="MN_5" hidden="1">{#N/A,#N/A,FALSE,"CCTV"}</definedName>
    <definedName name="MOB" localSheetId="5" hidden="1">{#N/A,#N/A,TRUE,"Basic";#N/A,#N/A,TRUE,"EXT-TABLE";#N/A,#N/A,TRUE,"STEEL";#N/A,#N/A,TRUE,"INT-Table";#N/A,#N/A,TRUE,"STEEL";#N/A,#N/A,TRUE,"Door"}</definedName>
    <definedName name="MOB" hidden="1">{#N/A,#N/A,TRUE,"Basic";#N/A,#N/A,TRUE,"EXT-TABLE";#N/A,#N/A,TRUE,"STEEL";#N/A,#N/A,TRUE,"INT-Table";#N/A,#N/A,TRUE,"STEEL";#N/A,#N/A,TRUE,"Door"}</definedName>
    <definedName name="MOB_1" localSheetId="5" hidden="1">{#N/A,#N/A,TRUE,"Basic";#N/A,#N/A,TRUE,"EXT-TABLE";#N/A,#N/A,TRUE,"STEEL";#N/A,#N/A,TRUE,"INT-Table";#N/A,#N/A,TRUE,"STEEL";#N/A,#N/A,TRUE,"Door"}</definedName>
    <definedName name="MOB_1" hidden="1">{#N/A,#N/A,TRUE,"Basic";#N/A,#N/A,TRUE,"EXT-TABLE";#N/A,#N/A,TRUE,"STEEL";#N/A,#N/A,TRUE,"INT-Table";#N/A,#N/A,TRUE,"STEEL";#N/A,#N/A,TRUE,"Door"}</definedName>
    <definedName name="MOB_2" localSheetId="5" hidden="1">{#N/A,#N/A,TRUE,"Basic";#N/A,#N/A,TRUE,"EXT-TABLE";#N/A,#N/A,TRUE,"STEEL";#N/A,#N/A,TRUE,"INT-Table";#N/A,#N/A,TRUE,"STEEL";#N/A,#N/A,TRUE,"Door"}</definedName>
    <definedName name="MOB_2" hidden="1">{#N/A,#N/A,TRUE,"Basic";#N/A,#N/A,TRUE,"EXT-TABLE";#N/A,#N/A,TRUE,"STEEL";#N/A,#N/A,TRUE,"INT-Table";#N/A,#N/A,TRUE,"STEEL";#N/A,#N/A,TRUE,"Door"}</definedName>
    <definedName name="MOB_3" localSheetId="5" hidden="1">{#N/A,#N/A,TRUE,"Basic";#N/A,#N/A,TRUE,"EXT-TABLE";#N/A,#N/A,TRUE,"STEEL";#N/A,#N/A,TRUE,"INT-Table";#N/A,#N/A,TRUE,"STEEL";#N/A,#N/A,TRUE,"Door"}</definedName>
    <definedName name="MOB_3" hidden="1">{#N/A,#N/A,TRUE,"Basic";#N/A,#N/A,TRUE,"EXT-TABLE";#N/A,#N/A,TRUE,"STEEL";#N/A,#N/A,TRUE,"INT-Table";#N/A,#N/A,TRUE,"STEEL";#N/A,#N/A,TRUE,"Door"}</definedName>
    <definedName name="MOB_4" localSheetId="5" hidden="1">{#N/A,#N/A,TRUE,"Basic";#N/A,#N/A,TRUE,"EXT-TABLE";#N/A,#N/A,TRUE,"STEEL";#N/A,#N/A,TRUE,"INT-Table";#N/A,#N/A,TRUE,"STEEL";#N/A,#N/A,TRUE,"Door"}</definedName>
    <definedName name="MOB_4" hidden="1">{#N/A,#N/A,TRUE,"Basic";#N/A,#N/A,TRUE,"EXT-TABLE";#N/A,#N/A,TRUE,"STEEL";#N/A,#N/A,TRUE,"INT-Table";#N/A,#N/A,TRUE,"STEEL";#N/A,#N/A,TRUE,"Door"}</definedName>
    <definedName name="MOB_5" localSheetId="5" hidden="1">{#N/A,#N/A,TRUE,"Basic";#N/A,#N/A,TRUE,"EXT-TABLE";#N/A,#N/A,TRUE,"STEEL";#N/A,#N/A,TRUE,"INT-Table";#N/A,#N/A,TRUE,"STEEL";#N/A,#N/A,TRUE,"Door"}</definedName>
    <definedName name="MOB_5" hidden="1">{#N/A,#N/A,TRUE,"Basic";#N/A,#N/A,TRUE,"EXT-TABLE";#N/A,#N/A,TRUE,"STEEL";#N/A,#N/A,TRUE,"INT-Table";#N/A,#N/A,TRUE,"STEEL";#N/A,#N/A,TRUE,"Door"}</definedName>
    <definedName name="MP" localSheetId="5" hidden="1">{#N/A,#N/A,FALSE,"CCTV"}</definedName>
    <definedName name="MP" localSheetId="9" hidden="1">{#N/A,#N/A,FALSE,"CCTV"}</definedName>
    <definedName name="MP" localSheetId="10" hidden="1">{#N/A,#N/A,FALSE,"CCTV"}</definedName>
    <definedName name="MP" localSheetId="6" hidden="1">{#N/A,#N/A,FALSE,"CCTV"}</definedName>
    <definedName name="MP" localSheetId="3" hidden="1">{#N/A,#N/A,FALSE,"CCTV"}</definedName>
    <definedName name="MP" hidden="1">{#N/A,#N/A,FALSE,"CCTV"}</definedName>
    <definedName name="MP_1" localSheetId="5" hidden="1">{#N/A,#N/A,FALSE,"CCTV"}</definedName>
    <definedName name="MP_1" localSheetId="9" hidden="1">{#N/A,#N/A,FALSE,"CCTV"}</definedName>
    <definedName name="MP_1" localSheetId="10" hidden="1">{#N/A,#N/A,FALSE,"CCTV"}</definedName>
    <definedName name="MP_1" localSheetId="6" hidden="1">{#N/A,#N/A,FALSE,"CCTV"}</definedName>
    <definedName name="MP_1" localSheetId="3" hidden="1">{#N/A,#N/A,FALSE,"CCTV"}</definedName>
    <definedName name="MP_1" hidden="1">{#N/A,#N/A,FALSE,"CCTV"}</definedName>
    <definedName name="new" localSheetId="5" hidden="1">{"'CATALO(8)'!$B$1:$G$49"}</definedName>
    <definedName name="new" hidden="1">{"'CATALO(8)'!$B$1:$G$49"}</definedName>
    <definedName name="new_1" localSheetId="5" hidden="1">{"'CATALO(8)'!$B$1:$G$49"}</definedName>
    <definedName name="new_1" hidden="1">{"'CATALO(8)'!$B$1:$G$49"}</definedName>
    <definedName name="new_2" localSheetId="5" hidden="1">{"'CATALO(8)'!$B$1:$G$49"}</definedName>
    <definedName name="new_2" hidden="1">{"'CATALO(8)'!$B$1:$G$49"}</definedName>
    <definedName name="new_3" localSheetId="5" hidden="1">{"'CATALO(8)'!$B$1:$G$49"}</definedName>
    <definedName name="new_3" hidden="1">{"'CATALO(8)'!$B$1:$G$49"}</definedName>
    <definedName name="new_4" localSheetId="5" hidden="1">{"'CATALO(8)'!$B$1:$G$49"}</definedName>
    <definedName name="new_4" hidden="1">{"'CATALO(8)'!$B$1:$G$49"}</definedName>
    <definedName name="new_5" localSheetId="5" hidden="1">{"'CATALO(8)'!$B$1:$G$49"}</definedName>
    <definedName name="new_5" hidden="1">{"'CATALO(8)'!$B$1:$G$49"}</definedName>
    <definedName name="NEWNAME" localSheetId="5" hidden="1">{#N/A,#N/A,FALSE,"CCTV"}</definedName>
    <definedName name="NEWNAME" localSheetId="9" hidden="1">{#N/A,#N/A,FALSE,"CCTV"}</definedName>
    <definedName name="NEWNAME" localSheetId="10" hidden="1">{#N/A,#N/A,FALSE,"CCTV"}</definedName>
    <definedName name="NEWNAME" localSheetId="6" hidden="1">{#N/A,#N/A,FALSE,"CCTV"}</definedName>
    <definedName name="NEWNAME" localSheetId="3" hidden="1">{#N/A,#N/A,FALSE,"CCTV"}</definedName>
    <definedName name="NEWNAME" hidden="1">{#N/A,#N/A,FALSE,"CCTV"}</definedName>
    <definedName name="NEWNAME_1" localSheetId="5" hidden="1">{#N/A,#N/A,FALSE,"CCTV"}</definedName>
    <definedName name="NEWNAME_1" localSheetId="9" hidden="1">{#N/A,#N/A,FALSE,"CCTV"}</definedName>
    <definedName name="NEWNAME_1" localSheetId="10" hidden="1">{#N/A,#N/A,FALSE,"CCTV"}</definedName>
    <definedName name="NEWNAME_1" localSheetId="6" hidden="1">{#N/A,#N/A,FALSE,"CCTV"}</definedName>
    <definedName name="NEWNAME_1" localSheetId="3" hidden="1">{#N/A,#N/A,FALSE,"CCTV"}</definedName>
    <definedName name="NEWNAME_1" hidden="1">{#N/A,#N/A,FALSE,"CCTV"}</definedName>
    <definedName name="NEWNAME_2" localSheetId="5" hidden="1">{#N/A,#N/A,FALSE,"CCTV"}</definedName>
    <definedName name="NEWNAME_2" hidden="1">{#N/A,#N/A,FALSE,"CCTV"}</definedName>
    <definedName name="NEWNAME_3" localSheetId="5" hidden="1">{#N/A,#N/A,FALSE,"CCTV"}</definedName>
    <definedName name="NEWNAME_3" hidden="1">{#N/A,#N/A,FALSE,"CCTV"}</definedName>
    <definedName name="NEWNAME_4" localSheetId="5" hidden="1">{#N/A,#N/A,FALSE,"CCTV"}</definedName>
    <definedName name="NEWNAME_4" hidden="1">{#N/A,#N/A,FALSE,"CCTV"}</definedName>
    <definedName name="NEWNAME_5" localSheetId="5" hidden="1">{#N/A,#N/A,FALSE,"CCTV"}</definedName>
    <definedName name="NEWNAME_5" hidden="1">{#N/A,#N/A,FALSE,"CCTV"}</definedName>
    <definedName name="NG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G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kknk" localSheetId="5" hidden="1">{#N/A,#N/A,FALSE,"CCTV"}</definedName>
    <definedName name="nkknk" localSheetId="9" hidden="1">{#N/A,#N/A,FALSE,"CCTV"}</definedName>
    <definedName name="nkknk" localSheetId="10" hidden="1">{#N/A,#N/A,FALSE,"CCTV"}</definedName>
    <definedName name="nkknk" localSheetId="6" hidden="1">{#N/A,#N/A,FALSE,"CCTV"}</definedName>
    <definedName name="nkknk" localSheetId="3" hidden="1">{#N/A,#N/A,FALSE,"CCTV"}</definedName>
    <definedName name="nkknk" hidden="1">{#N/A,#N/A,FALSE,"CCTV"}</definedName>
    <definedName name="nkknk_1" localSheetId="5" hidden="1">{#N/A,#N/A,FALSE,"CCTV"}</definedName>
    <definedName name="nkknk_1" hidden="1">{#N/A,#N/A,FALSE,"CCTV"}</definedName>
    <definedName name="nkknk_2" localSheetId="5" hidden="1">{#N/A,#N/A,FALSE,"CCTV"}</definedName>
    <definedName name="nkknk_2" hidden="1">{#N/A,#N/A,FALSE,"CCTV"}</definedName>
    <definedName name="nkknk_3" localSheetId="5" hidden="1">{#N/A,#N/A,FALSE,"CCTV"}</definedName>
    <definedName name="nkknk_3" hidden="1">{#N/A,#N/A,FALSE,"CCTV"}</definedName>
    <definedName name="nkknk_4" localSheetId="5" hidden="1">{#N/A,#N/A,FALSE,"CCTV"}</definedName>
    <definedName name="nkknk_4" hidden="1">{#N/A,#N/A,FALSE,"CCTV"}</definedName>
    <definedName name="nkknk_5" localSheetId="5" hidden="1">{#N/A,#N/A,FALSE,"CCTV"}</definedName>
    <definedName name="nkknk_5" hidden="1">{#N/A,#N/A,FALSE,"CCTV"}</definedName>
    <definedName name="NNNN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NNNN" localSheetId="5" hidden="1">{#N/A,#N/A,FALSE,"지침";#N/A,#N/A,FALSE,"환경분석";#N/A,#N/A,FALSE,"Sheet16"}</definedName>
    <definedName name="NNNNN" hidden="1">{#N/A,#N/A,FALSE,"지침";#N/A,#N/A,FALSE,"환경분석";#N/A,#N/A,FALSE,"Sheet16"}</definedName>
    <definedName name="NNNNN_1" localSheetId="5" hidden="1">{#N/A,#N/A,FALSE,"지침";#N/A,#N/A,FALSE,"환경분석";#N/A,#N/A,FALSE,"Sheet16"}</definedName>
    <definedName name="NNNNN_1" hidden="1">{#N/A,#N/A,FALSE,"지침";#N/A,#N/A,FALSE,"환경분석";#N/A,#N/A,FALSE,"Sheet16"}</definedName>
    <definedName name="NNNNN_2" localSheetId="5" hidden="1">{#N/A,#N/A,FALSE,"지침";#N/A,#N/A,FALSE,"환경분석";#N/A,#N/A,FALSE,"Sheet16"}</definedName>
    <definedName name="NNNNN_2" hidden="1">{#N/A,#N/A,FALSE,"지침";#N/A,#N/A,FALSE,"환경분석";#N/A,#N/A,FALSE,"Sheet16"}</definedName>
    <definedName name="NNNNN_3" localSheetId="5" hidden="1">{#N/A,#N/A,FALSE,"지침";#N/A,#N/A,FALSE,"환경분석";#N/A,#N/A,FALSE,"Sheet16"}</definedName>
    <definedName name="NNNNN_3" hidden="1">{#N/A,#N/A,FALSE,"지침";#N/A,#N/A,FALSE,"환경분석";#N/A,#N/A,FALSE,"Sheet16"}</definedName>
    <definedName name="NNNNN_4" localSheetId="5" hidden="1">{#N/A,#N/A,FALSE,"지침";#N/A,#N/A,FALSE,"환경분석";#N/A,#N/A,FALSE,"Sheet16"}</definedName>
    <definedName name="NNNNN_4" hidden="1">{#N/A,#N/A,FALSE,"지침";#N/A,#N/A,FALSE,"환경분석";#N/A,#N/A,FALSE,"Sheet16"}</definedName>
    <definedName name="NNNNN_5" localSheetId="5" hidden="1">{#N/A,#N/A,FALSE,"지침";#N/A,#N/A,FALSE,"환경분석";#N/A,#N/A,FALSE,"Sheet16"}</definedName>
    <definedName name="NNNNN_5" hidden="1">{#N/A,#N/A,FALSE,"지침";#N/A,#N/A,FALSE,"환경분석";#N/A,#N/A,FALSE,"Sheet16"}</definedName>
    <definedName name="NOTE" localSheetId="5" hidden="1">{#N/A,#N/A,TRUE,"총괄"}</definedName>
    <definedName name="NOTE" localSheetId="9" hidden="1">{#N/A,#N/A,TRUE,"총괄"}</definedName>
    <definedName name="NOTE" localSheetId="10" hidden="1">{#N/A,#N/A,TRUE,"총괄"}</definedName>
    <definedName name="NOTE" localSheetId="6" hidden="1">{#N/A,#N/A,TRUE,"총괄"}</definedName>
    <definedName name="NOTE" localSheetId="3" hidden="1">{#N/A,#N/A,TRUE,"총괄"}</definedName>
    <definedName name="NOTE" hidden="1">{#N/A,#N/A,TRUE,"총괄"}</definedName>
    <definedName name="NOTE_1" localSheetId="5" hidden="1">{#N/A,#N/A,TRUE,"총괄"}</definedName>
    <definedName name="NOTE_1" localSheetId="9" hidden="1">{#N/A,#N/A,TRUE,"총괄"}</definedName>
    <definedName name="NOTE_1" localSheetId="10" hidden="1">{#N/A,#N/A,TRUE,"총괄"}</definedName>
    <definedName name="NOTE_1" localSheetId="6" hidden="1">{#N/A,#N/A,TRUE,"총괄"}</definedName>
    <definedName name="NOTE_1" localSheetId="3" hidden="1">{#N/A,#N/A,TRUE,"총괄"}</definedName>
    <definedName name="NOTE_1" hidden="1">{#N/A,#N/A,TRUE,"총괄"}</definedName>
    <definedName name="o" localSheetId="5" hidden="1">{"'designguide'!$B$2:$B$15"}</definedName>
    <definedName name="o" localSheetId="9" hidden="1">{"'designguide'!$B$2:$B$15"}</definedName>
    <definedName name="o" localSheetId="10" hidden="1">{"'designguide'!$B$2:$B$15"}</definedName>
    <definedName name="o" localSheetId="6" hidden="1">{"'designguide'!$B$2:$B$15"}</definedName>
    <definedName name="O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hidden="1">{"'designguide'!$B$2:$B$15"}</definedName>
    <definedName name="O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DH" localSheetId="9" hidden="1">#REF!</definedName>
    <definedName name="ODH" localSheetId="10" hidden="1">#REF!</definedName>
    <definedName name="ODH" hidden="1">#REF!</definedName>
    <definedName name="oililui" localSheetId="5" hidden="1">{#N/A,#N/A,FALSE,"CCTV"}</definedName>
    <definedName name="oililui" localSheetId="9" hidden="1">{#N/A,#N/A,FALSE,"CCTV"}</definedName>
    <definedName name="oililui" localSheetId="10" hidden="1">{#N/A,#N/A,FALSE,"CCTV"}</definedName>
    <definedName name="oililui" localSheetId="6" hidden="1">{#N/A,#N/A,FALSE,"CCTV"}</definedName>
    <definedName name="oililui" localSheetId="3" hidden="1">{#N/A,#N/A,FALSE,"CCTV"}</definedName>
    <definedName name="oililui" hidden="1">{#N/A,#N/A,FALSE,"CCTV"}</definedName>
    <definedName name="oililui_1" localSheetId="5" hidden="1">{#N/A,#N/A,FALSE,"CCTV"}</definedName>
    <definedName name="oililui_1" hidden="1">{#N/A,#N/A,FALSE,"CCTV"}</definedName>
    <definedName name="oililui_2" localSheetId="5" hidden="1">{#N/A,#N/A,FALSE,"CCTV"}</definedName>
    <definedName name="oililui_2" hidden="1">{#N/A,#N/A,FALSE,"CCTV"}</definedName>
    <definedName name="oililui_3" localSheetId="5" hidden="1">{#N/A,#N/A,FALSE,"CCTV"}</definedName>
    <definedName name="oililui_3" hidden="1">{#N/A,#N/A,FALSE,"CCTV"}</definedName>
    <definedName name="oililui_4" localSheetId="5" hidden="1">{#N/A,#N/A,FALSE,"CCTV"}</definedName>
    <definedName name="oililui_4" hidden="1">{#N/A,#N/A,FALSE,"CCTV"}</definedName>
    <definedName name="oililui_5" localSheetId="5" hidden="1">{#N/A,#N/A,FALSE,"CCTV"}</definedName>
    <definedName name="oililui_5" hidden="1">{#N/A,#N/A,FALSE,"CCTV"}</definedName>
    <definedName name="Org" localSheetId="5" hidden="1">{"'CATALO(8)'!$B$1:$G$49"}</definedName>
    <definedName name="Org" hidden="1">{"'CATALO(8)'!$B$1:$G$49"}</definedName>
    <definedName name="Org_1" localSheetId="5" hidden="1">{"'CATALO(8)'!$B$1:$G$49"}</definedName>
    <definedName name="Org_1" hidden="1">{"'CATALO(8)'!$B$1:$G$49"}</definedName>
    <definedName name="Org_2" localSheetId="5" hidden="1">{"'CATALO(8)'!$B$1:$G$49"}</definedName>
    <definedName name="Org_2" hidden="1">{"'CATALO(8)'!$B$1:$G$49"}</definedName>
    <definedName name="Org_3" localSheetId="5" hidden="1">{"'CATALO(8)'!$B$1:$G$49"}</definedName>
    <definedName name="Org_3" hidden="1">{"'CATALO(8)'!$B$1:$G$49"}</definedName>
    <definedName name="Org_4" localSheetId="5" hidden="1">{"'CATALO(8)'!$B$1:$G$49"}</definedName>
    <definedName name="Org_4" hidden="1">{"'CATALO(8)'!$B$1:$G$49"}</definedName>
    <definedName name="Org_5" localSheetId="5" hidden="1">{"'CATALO(8)'!$B$1:$G$49"}</definedName>
    <definedName name="Org_5" hidden="1">{"'CATALO(8)'!$B$1:$G$49"}</definedName>
    <definedName name="os" localSheetId="5" hidden="1">{#N/A,#N/A,FALSE,"TABLE"}</definedName>
    <definedName name="os" hidden="1">{#N/A,#N/A,FALSE,"TABLE"}</definedName>
    <definedName name="OSBL" localSheetId="5" hidden="1">{#N/A,#N/A,FALSE,"CCTV"}</definedName>
    <definedName name="OSBL" localSheetId="9" hidden="1">{#N/A,#N/A,FALSE,"CCTV"}</definedName>
    <definedName name="OSBL" localSheetId="10" hidden="1">{#N/A,#N/A,FALSE,"CCTV"}</definedName>
    <definedName name="OSBL" localSheetId="6" hidden="1">{#N/A,#N/A,FALSE,"CCTV"}</definedName>
    <definedName name="OSBL" localSheetId="3" hidden="1">{#N/A,#N/A,FALSE,"CCTV"}</definedName>
    <definedName name="OSBL" hidden="1">{#N/A,#N/A,FALSE,"CCTV"}</definedName>
    <definedName name="OSBL_1" localSheetId="5" hidden="1">{#N/A,#N/A,FALSE,"CCTV"}</definedName>
    <definedName name="OSBL_1" localSheetId="9" hidden="1">{#N/A,#N/A,FALSE,"CCTV"}</definedName>
    <definedName name="OSBL_1" localSheetId="10" hidden="1">{#N/A,#N/A,FALSE,"CCTV"}</definedName>
    <definedName name="OSBL_1" localSheetId="6" hidden="1">{#N/A,#N/A,FALSE,"CCTV"}</definedName>
    <definedName name="OSBL_1" localSheetId="3" hidden="1">{#N/A,#N/A,FALSE,"CCTV"}</definedName>
    <definedName name="OSBL_1" hidden="1">{#N/A,#N/A,FALSE,"CCTV"}</definedName>
    <definedName name="OSBL_2" localSheetId="5" hidden="1">{#N/A,#N/A,FALSE,"CCTV"}</definedName>
    <definedName name="OSBL_2" hidden="1">{#N/A,#N/A,FALSE,"CCTV"}</definedName>
    <definedName name="OSBL_3" localSheetId="5" hidden="1">{#N/A,#N/A,FALSE,"CCTV"}</definedName>
    <definedName name="OSBL_3" hidden="1">{#N/A,#N/A,FALSE,"CCTV"}</definedName>
    <definedName name="OSBL_4" localSheetId="5" hidden="1">{#N/A,#N/A,FALSE,"CCTV"}</definedName>
    <definedName name="OSBL_4" hidden="1">{#N/A,#N/A,FALSE,"CCTV"}</definedName>
    <definedName name="OSBL_5" localSheetId="5" hidden="1">{#N/A,#N/A,FALSE,"CCTV"}</definedName>
    <definedName name="OSBL_5" hidden="1">{#N/A,#N/A,FALSE,"CCTV"}</definedName>
    <definedName name="Panel" localSheetId="5" hidden="1">{#N/A,#N/A,TRUE,"Basic";#N/A,#N/A,TRUE,"EXT-TABLE";#N/A,#N/A,TRUE,"STEEL";#N/A,#N/A,TRUE,"INT-Table";#N/A,#N/A,TRUE,"STEEL";#N/A,#N/A,TRUE,"Door"}</definedName>
    <definedName name="Panel" localSheetId="9" hidden="1">{#N/A,#N/A,TRUE,"Basic";#N/A,#N/A,TRUE,"EXT-TABLE";#N/A,#N/A,TRUE,"STEEL";#N/A,#N/A,TRUE,"INT-Table";#N/A,#N/A,TRUE,"STEEL";#N/A,#N/A,TRUE,"Door"}</definedName>
    <definedName name="Panel" localSheetId="10" hidden="1">{#N/A,#N/A,TRUE,"Basic";#N/A,#N/A,TRUE,"EXT-TABLE";#N/A,#N/A,TRUE,"STEEL";#N/A,#N/A,TRUE,"INT-Table";#N/A,#N/A,TRUE,"STEEL";#N/A,#N/A,TRUE,"Door"}</definedName>
    <definedName name="Panel" localSheetId="6" hidden="1">{#N/A,#N/A,TRUE,"Basic";#N/A,#N/A,TRUE,"EXT-TABLE";#N/A,#N/A,TRUE,"STEEL";#N/A,#N/A,TRUE,"INT-Table";#N/A,#N/A,TRUE,"STEEL";#N/A,#N/A,TRUE,"Door"}</definedName>
    <definedName name="Panel" localSheetId="3" hidden="1">{#N/A,#N/A,TRUE,"Basic";#N/A,#N/A,TRUE,"EXT-TABLE";#N/A,#N/A,TRUE,"STEEL";#N/A,#N/A,TRUE,"INT-Table";#N/A,#N/A,TRUE,"STEEL";#N/A,#N/A,TRUE,"Door"}</definedName>
    <definedName name="Panel" hidden="1">{#N/A,#N/A,TRUE,"Basic";#N/A,#N/A,TRUE,"EXT-TABLE";#N/A,#N/A,TRUE,"STEEL";#N/A,#N/A,TRUE,"INT-Table";#N/A,#N/A,TRUE,"STEEL";#N/A,#N/A,TRUE,"Door"}</definedName>
    <definedName name="PaymentBreakdown" localSheetId="5" hidden="1">{#N/A,#N/A,FALSE,"CCTV"}</definedName>
    <definedName name="PaymentBreakdown" hidden="1">{#N/A,#N/A,FALSE,"CCTV"}</definedName>
    <definedName name="PaymentBreakdown_1" localSheetId="5" hidden="1">{#N/A,#N/A,FALSE,"CCTV"}</definedName>
    <definedName name="PaymentBreakdown_1" hidden="1">{#N/A,#N/A,FALSE,"CCTV"}</definedName>
    <definedName name="PaymentBreakdown_2" localSheetId="5" hidden="1">{#N/A,#N/A,FALSE,"CCTV"}</definedName>
    <definedName name="PaymentBreakdown_2" hidden="1">{#N/A,#N/A,FALSE,"CCTV"}</definedName>
    <definedName name="PaymentBreakdown_3" localSheetId="5" hidden="1">{#N/A,#N/A,FALSE,"CCTV"}</definedName>
    <definedName name="PaymentBreakdown_3" hidden="1">{#N/A,#N/A,FALSE,"CCTV"}</definedName>
    <definedName name="PaymentBreakdown_4" localSheetId="5" hidden="1">{#N/A,#N/A,FALSE,"CCTV"}</definedName>
    <definedName name="PaymentBreakdown_4" hidden="1">{#N/A,#N/A,FALSE,"CCTV"}</definedName>
    <definedName name="PaymentBreakdown_5" localSheetId="5" hidden="1">{#N/A,#N/A,FALSE,"CCTV"}</definedName>
    <definedName name="PaymentBreakdown_5" hidden="1">{#N/A,#N/A,FALSE,"CCTV"}</definedName>
    <definedName name="peroxide" localSheetId="5" hidden="1">{#N/A,#N/A,FALSE,"CCTV"}</definedName>
    <definedName name="peroxide" localSheetId="9" hidden="1">{#N/A,#N/A,FALSE,"CCTV"}</definedName>
    <definedName name="peroxide" localSheetId="10" hidden="1">{#N/A,#N/A,FALSE,"CCTV"}</definedName>
    <definedName name="peroxide" localSheetId="6" hidden="1">{#N/A,#N/A,FALSE,"CCTV"}</definedName>
    <definedName name="peroxide" localSheetId="3" hidden="1">{#N/A,#N/A,FALSE,"CCTV"}</definedName>
    <definedName name="peroxide" hidden="1">{#N/A,#N/A,FALSE,"CCTV"}</definedName>
    <definedName name="peroxide_1" localSheetId="5" hidden="1">{#N/A,#N/A,FALSE,"CCTV"}</definedName>
    <definedName name="peroxide_1" localSheetId="9" hidden="1">{#N/A,#N/A,FALSE,"CCTV"}</definedName>
    <definedName name="peroxide_1" localSheetId="10" hidden="1">{#N/A,#N/A,FALSE,"CCTV"}</definedName>
    <definedName name="peroxide_1" localSheetId="6" hidden="1">{#N/A,#N/A,FALSE,"CCTV"}</definedName>
    <definedName name="peroxide_1" localSheetId="3" hidden="1">{#N/A,#N/A,FALSE,"CCTV"}</definedName>
    <definedName name="peroxide_1" hidden="1">{#N/A,#N/A,FALSE,"CCTV"}</definedName>
    <definedName name="peroxide_2" localSheetId="5" hidden="1">{#N/A,#N/A,FALSE,"CCTV"}</definedName>
    <definedName name="peroxide_2" hidden="1">{#N/A,#N/A,FALSE,"CCTV"}</definedName>
    <definedName name="peroxide_3" localSheetId="5" hidden="1">{#N/A,#N/A,FALSE,"CCTV"}</definedName>
    <definedName name="peroxide_3" hidden="1">{#N/A,#N/A,FALSE,"CCTV"}</definedName>
    <definedName name="peroxide_4" localSheetId="5" hidden="1">{#N/A,#N/A,FALSE,"CCTV"}</definedName>
    <definedName name="peroxide_4" hidden="1">{#N/A,#N/A,FALSE,"CCTV"}</definedName>
    <definedName name="peroxide_5" localSheetId="5" hidden="1">{#N/A,#N/A,FALSE,"CCTV"}</definedName>
    <definedName name="peroxide_5" hidden="1">{#N/A,#N/A,FALSE,"CCTV"}</definedName>
    <definedName name="petro2" hidden="1">#REF!</definedName>
    <definedName name="PHASE" localSheetId="5" hidden="1">{#N/A,#N/A,TRUE,"Basic";#N/A,#N/A,TRUE,"EXT-TABLE";#N/A,#N/A,TRUE,"STEEL";#N/A,#N/A,TRUE,"INT-Table";#N/A,#N/A,TRUE,"STEEL";#N/A,#N/A,TRUE,"Door"}</definedName>
    <definedName name="PHASE" localSheetId="9" hidden="1">{#N/A,#N/A,TRUE,"Basic";#N/A,#N/A,TRUE,"EXT-TABLE";#N/A,#N/A,TRUE,"STEEL";#N/A,#N/A,TRUE,"INT-Table";#N/A,#N/A,TRUE,"STEEL";#N/A,#N/A,TRUE,"Door"}</definedName>
    <definedName name="PHASE" localSheetId="10" hidden="1">{#N/A,#N/A,TRUE,"Basic";#N/A,#N/A,TRUE,"EXT-TABLE";#N/A,#N/A,TRUE,"STEEL";#N/A,#N/A,TRUE,"INT-Table";#N/A,#N/A,TRUE,"STEEL";#N/A,#N/A,TRUE,"Door"}</definedName>
    <definedName name="PHASE" localSheetId="6" hidden="1">{#N/A,#N/A,TRUE,"Basic";#N/A,#N/A,TRUE,"EXT-TABLE";#N/A,#N/A,TRUE,"STEEL";#N/A,#N/A,TRUE,"INT-Table";#N/A,#N/A,TRUE,"STEEL";#N/A,#N/A,TRUE,"Door"}</definedName>
    <definedName name="PHASE" localSheetId="3" hidden="1">{#N/A,#N/A,TRUE,"Basic";#N/A,#N/A,TRUE,"EXT-TABLE";#N/A,#N/A,TRUE,"STEEL";#N/A,#N/A,TRUE,"INT-Table";#N/A,#N/A,TRUE,"STEEL";#N/A,#N/A,TRUE,"Door"}</definedName>
    <definedName name="PHASE" hidden="1">{#N/A,#N/A,TRUE,"Basic";#N/A,#N/A,TRUE,"EXT-TABLE";#N/A,#N/A,TRUE,"STEEL";#N/A,#N/A,TRUE,"INT-Table";#N/A,#N/A,TRUE,"STEEL";#N/A,#N/A,TRUE,"Door"}</definedName>
    <definedName name="PHASE_1" localSheetId="5" hidden="1">{#N/A,#N/A,TRUE,"Basic";#N/A,#N/A,TRUE,"EXT-TABLE";#N/A,#N/A,TRUE,"STEEL";#N/A,#N/A,TRUE,"INT-Table";#N/A,#N/A,TRUE,"STEEL";#N/A,#N/A,TRUE,"Door"}</definedName>
    <definedName name="PHASE_1" hidden="1">{#N/A,#N/A,TRUE,"Basic";#N/A,#N/A,TRUE,"EXT-TABLE";#N/A,#N/A,TRUE,"STEEL";#N/A,#N/A,TRUE,"INT-Table";#N/A,#N/A,TRUE,"STEEL";#N/A,#N/A,TRUE,"Door"}</definedName>
    <definedName name="PHASE_2" localSheetId="5" hidden="1">{#N/A,#N/A,TRUE,"Basic";#N/A,#N/A,TRUE,"EXT-TABLE";#N/A,#N/A,TRUE,"STEEL";#N/A,#N/A,TRUE,"INT-Table";#N/A,#N/A,TRUE,"STEEL";#N/A,#N/A,TRUE,"Door"}</definedName>
    <definedName name="PHASE_2" hidden="1">{#N/A,#N/A,TRUE,"Basic";#N/A,#N/A,TRUE,"EXT-TABLE";#N/A,#N/A,TRUE,"STEEL";#N/A,#N/A,TRUE,"INT-Table";#N/A,#N/A,TRUE,"STEEL";#N/A,#N/A,TRUE,"Door"}</definedName>
    <definedName name="PHASE_3" localSheetId="5" hidden="1">{#N/A,#N/A,TRUE,"Basic";#N/A,#N/A,TRUE,"EXT-TABLE";#N/A,#N/A,TRUE,"STEEL";#N/A,#N/A,TRUE,"INT-Table";#N/A,#N/A,TRUE,"STEEL";#N/A,#N/A,TRUE,"Door"}</definedName>
    <definedName name="PHASE_3" hidden="1">{#N/A,#N/A,TRUE,"Basic";#N/A,#N/A,TRUE,"EXT-TABLE";#N/A,#N/A,TRUE,"STEEL";#N/A,#N/A,TRUE,"INT-Table";#N/A,#N/A,TRUE,"STEEL";#N/A,#N/A,TRUE,"Door"}</definedName>
    <definedName name="PHASE_4" localSheetId="5" hidden="1">{#N/A,#N/A,TRUE,"Basic";#N/A,#N/A,TRUE,"EXT-TABLE";#N/A,#N/A,TRUE,"STEEL";#N/A,#N/A,TRUE,"INT-Table";#N/A,#N/A,TRUE,"STEEL";#N/A,#N/A,TRUE,"Door"}</definedName>
    <definedName name="PHASE_4" hidden="1">{#N/A,#N/A,TRUE,"Basic";#N/A,#N/A,TRUE,"EXT-TABLE";#N/A,#N/A,TRUE,"STEEL";#N/A,#N/A,TRUE,"INT-Table";#N/A,#N/A,TRUE,"STEEL";#N/A,#N/A,TRUE,"Door"}</definedName>
    <definedName name="PHASE_5" localSheetId="5" hidden="1">{#N/A,#N/A,TRUE,"Basic";#N/A,#N/A,TRUE,"EXT-TABLE";#N/A,#N/A,TRUE,"STEEL";#N/A,#N/A,TRUE,"INT-Table";#N/A,#N/A,TRUE,"STEEL";#N/A,#N/A,TRUE,"Door"}</definedName>
    <definedName name="PHASE_5" hidden="1">{#N/A,#N/A,TRUE,"Basic";#N/A,#N/A,TRUE,"EXT-TABLE";#N/A,#N/A,TRUE,"STEEL";#N/A,#N/A,TRUE,"INT-Table";#N/A,#N/A,TRUE,"STEEL";#N/A,#N/A,TRUE,"Door"}</definedName>
    <definedName name="phase2" localSheetId="5" hidden="1">{#N/A,#N/A,FALSE,"지침";#N/A,#N/A,FALSE,"환경분석";#N/A,#N/A,FALSE,"Sheet16"}</definedName>
    <definedName name="phase2" hidden="1">{#N/A,#N/A,FALSE,"지침";#N/A,#N/A,FALSE,"환경분석";#N/A,#N/A,FALSE,"Sheet16"}</definedName>
    <definedName name="Piping" localSheetId="5" hidden="1">{"'CATALO(8)'!$B$1:$G$49"}</definedName>
    <definedName name="Piping" hidden="1">{"'CATALO(8)'!$B$1:$G$49"}</definedName>
    <definedName name="Piping_1" localSheetId="5" hidden="1">{"'CATALO(8)'!$B$1:$G$49"}</definedName>
    <definedName name="Piping_1" hidden="1">{"'CATALO(8)'!$B$1:$G$49"}</definedName>
    <definedName name="Piping_2" localSheetId="5" hidden="1">{"'CATALO(8)'!$B$1:$G$49"}</definedName>
    <definedName name="Piping_2" hidden="1">{"'CATALO(8)'!$B$1:$G$49"}</definedName>
    <definedName name="Piping_3" localSheetId="5" hidden="1">{"'CATALO(8)'!$B$1:$G$49"}</definedName>
    <definedName name="Piping_3" hidden="1">{"'CATALO(8)'!$B$1:$G$49"}</definedName>
    <definedName name="Piping_4" localSheetId="5" hidden="1">{"'CATALO(8)'!$B$1:$G$49"}</definedName>
    <definedName name="Piping_4" hidden="1">{"'CATALO(8)'!$B$1:$G$49"}</definedName>
    <definedName name="Piping_5" localSheetId="5" hidden="1">{"'CATALO(8)'!$B$1:$G$49"}</definedName>
    <definedName name="Piping_5" hidden="1">{"'CATALO(8)'!$B$1:$G$49"}</definedName>
    <definedName name="PKAAA" hidden="1">#REF!</definedName>
    <definedName name="PKBB" hidden="1">#REF!</definedName>
    <definedName name="PKCC" hidden="1">#REF!</definedName>
    <definedName name="Plan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Plan" localSheetId="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Plan" localSheetId="1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Plan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Plan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Plan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plant2" localSheetId="9" hidden="1">#REF!</definedName>
    <definedName name="plant2" localSheetId="10" hidden="1">#REF!</definedName>
    <definedName name="plant2" hidden="1">#REF!</definedName>
    <definedName name="po" localSheetId="5" hidden="1">{#N/A,#N/A,FALSE,"CCTV"}</definedName>
    <definedName name="po" localSheetId="9" hidden="1">{#N/A,#N/A,FALSE,"CCTV"}</definedName>
    <definedName name="po" localSheetId="10" hidden="1">{#N/A,#N/A,FALSE,"CCTV"}</definedName>
    <definedName name="po" localSheetId="6" hidden="1">{#N/A,#N/A,FALSE,"CCTV"}</definedName>
    <definedName name="po" localSheetId="3" hidden="1">{#N/A,#N/A,FALSE,"CCTV"}</definedName>
    <definedName name="po" hidden="1">{#N/A,#N/A,FALSE,"CCTV"}</definedName>
    <definedName name="po_1" localSheetId="5" hidden="1">{#N/A,#N/A,FALSE,"CCTV"}</definedName>
    <definedName name="po_1" localSheetId="9" hidden="1">{#N/A,#N/A,FALSE,"CCTV"}</definedName>
    <definedName name="po_1" localSheetId="10" hidden="1">{#N/A,#N/A,FALSE,"CCTV"}</definedName>
    <definedName name="po_1" localSheetId="6" hidden="1">{#N/A,#N/A,FALSE,"CCTV"}</definedName>
    <definedName name="po_1" localSheetId="3" hidden="1">{#N/A,#N/A,FALSE,"CCTV"}</definedName>
    <definedName name="po_1" hidden="1">{#N/A,#N/A,FALSE,"CCTV"}</definedName>
    <definedName name="po_2" localSheetId="5" hidden="1">{#N/A,#N/A,FALSE,"CCTV"}</definedName>
    <definedName name="po_2" hidden="1">{#N/A,#N/A,FALSE,"CCTV"}</definedName>
    <definedName name="po_3" localSheetId="5" hidden="1">{#N/A,#N/A,FALSE,"CCTV"}</definedName>
    <definedName name="po_3" hidden="1">{#N/A,#N/A,FALSE,"CCTV"}</definedName>
    <definedName name="po_4" localSheetId="5" hidden="1">{#N/A,#N/A,FALSE,"CCTV"}</definedName>
    <definedName name="po_4" hidden="1">{#N/A,#N/A,FALSE,"CCTV"}</definedName>
    <definedName name="po_5" localSheetId="5" hidden="1">{#N/A,#N/A,FALSE,"CCTV"}</definedName>
    <definedName name="po_5" hidden="1">{#N/A,#N/A,FALSE,"CCTV"}</definedName>
    <definedName name="pp" localSheetId="5" hidden="1">{#N/A,#N/A,FALSE,"CCTV"}</definedName>
    <definedName name="pp" localSheetId="9" hidden="1">{#N/A,#N/A,FALSE,"CCTV"}</definedName>
    <definedName name="pp" localSheetId="10" hidden="1">{#N/A,#N/A,FALSE,"CCTV"}</definedName>
    <definedName name="pp" localSheetId="6" hidden="1">{#N/A,#N/A,FALSE,"CCTV"}</definedName>
    <definedName name="pp" localSheetId="3" hidden="1">{#N/A,#N/A,FALSE,"CCTV"}</definedName>
    <definedName name="pp" hidden="1">{#N/A,#N/A,FALSE,"CCTV"}</definedName>
    <definedName name="pp_1" localSheetId="5" hidden="1">{#N/A,#N/A,FALSE,"CCTV"}</definedName>
    <definedName name="pp_1" localSheetId="9" hidden="1">{#N/A,#N/A,FALSE,"CCTV"}</definedName>
    <definedName name="pp_1" localSheetId="10" hidden="1">{#N/A,#N/A,FALSE,"CCTV"}</definedName>
    <definedName name="pp_1" localSheetId="6" hidden="1">{#N/A,#N/A,FALSE,"CCTV"}</definedName>
    <definedName name="pp_1" localSheetId="3" hidden="1">{#N/A,#N/A,FALSE,"CCTV"}</definedName>
    <definedName name="pp_1" hidden="1">{#N/A,#N/A,FALSE,"CCTV"}</definedName>
    <definedName name="PPP_1" localSheetId="5" hidden="1">{#N/A,#N/A,FALSE,"CCTV"}</definedName>
    <definedName name="PPP_1" hidden="1">{#N/A,#N/A,FALSE,"CCTV"}</definedName>
    <definedName name="PPP_2" localSheetId="5" hidden="1">{#N/A,#N/A,FALSE,"CCTV"}</definedName>
    <definedName name="PPP_2" hidden="1">{#N/A,#N/A,FALSE,"CCTV"}</definedName>
    <definedName name="PPP_3" localSheetId="5" hidden="1">{#N/A,#N/A,FALSE,"CCTV"}</definedName>
    <definedName name="PPP_3" hidden="1">{#N/A,#N/A,FALSE,"CCTV"}</definedName>
    <definedName name="PPP_4" localSheetId="5" hidden="1">{#N/A,#N/A,FALSE,"CCTV"}</definedName>
    <definedName name="PPP_4" hidden="1">{#N/A,#N/A,FALSE,"CCTV"}</definedName>
    <definedName name="PPP_5" localSheetId="5" hidden="1">{#N/A,#N/A,FALSE,"CCTV"}</definedName>
    <definedName name="PPP_5" hidden="1">{#N/A,#N/A,FALSE,"CCTV"}</definedName>
    <definedName name="PRAYER" localSheetId="5" hidden="1">{#N/A,#N/A,FALSE,"CCTV"}</definedName>
    <definedName name="PRAYER" localSheetId="9" hidden="1">{#N/A,#N/A,FALSE,"CCTV"}</definedName>
    <definedName name="PRAYER" localSheetId="10" hidden="1">{#N/A,#N/A,FALSE,"CCTV"}</definedName>
    <definedName name="PRAYER" localSheetId="6" hidden="1">{#N/A,#N/A,FALSE,"CCTV"}</definedName>
    <definedName name="PRAYER" localSheetId="3" hidden="1">{#N/A,#N/A,FALSE,"CCTV"}</definedName>
    <definedName name="PRAYER" hidden="1">{#N/A,#N/A,FALSE,"CCTV"}</definedName>
    <definedName name="PRAYER_1" localSheetId="5" hidden="1">{#N/A,#N/A,FALSE,"CCTV"}</definedName>
    <definedName name="PRAYER_1" localSheetId="9" hidden="1">{#N/A,#N/A,FALSE,"CCTV"}</definedName>
    <definedName name="PRAYER_1" localSheetId="10" hidden="1">{#N/A,#N/A,FALSE,"CCTV"}</definedName>
    <definedName name="PRAYER_1" localSheetId="6" hidden="1">{#N/A,#N/A,FALSE,"CCTV"}</definedName>
    <definedName name="PRAYER_1" localSheetId="3" hidden="1">{#N/A,#N/A,FALSE,"CCTV"}</definedName>
    <definedName name="PRAYER_1" hidden="1">{#N/A,#N/A,FALSE,"CCTV"}</definedName>
    <definedName name="PRAYER_2" localSheetId="5" hidden="1">{#N/A,#N/A,FALSE,"CCTV"}</definedName>
    <definedName name="PRAYER_2" hidden="1">{#N/A,#N/A,FALSE,"CCTV"}</definedName>
    <definedName name="PRAYER_3" localSheetId="5" hidden="1">{#N/A,#N/A,FALSE,"CCTV"}</definedName>
    <definedName name="PRAYER_3" hidden="1">{#N/A,#N/A,FALSE,"CCTV"}</definedName>
    <definedName name="PRAYER_4" localSheetId="5" hidden="1">{#N/A,#N/A,FALSE,"CCTV"}</definedName>
    <definedName name="PRAYER_4" hidden="1">{#N/A,#N/A,FALSE,"CCTV"}</definedName>
    <definedName name="PRAYER_5" localSheetId="5" hidden="1">{#N/A,#N/A,FALSE,"CCTV"}</definedName>
    <definedName name="PRAYER_5" hidden="1">{#N/A,#N/A,FALSE,"CCTV"}</definedName>
    <definedName name="preecha" localSheetId="5" hidden="1">{"'CATALO(8)'!$B$1:$G$49"}</definedName>
    <definedName name="preecha" hidden="1">{"'CATALO(8)'!$B$1:$G$49"}</definedName>
    <definedName name="preecha_1" localSheetId="5" hidden="1">{"'CATALO(8)'!$B$1:$G$49"}</definedName>
    <definedName name="preecha_1" hidden="1">{"'CATALO(8)'!$B$1:$G$49"}</definedName>
    <definedName name="preecha_2" localSheetId="5" hidden="1">{"'CATALO(8)'!$B$1:$G$49"}</definedName>
    <definedName name="preecha_2" hidden="1">{"'CATALO(8)'!$B$1:$G$49"}</definedName>
    <definedName name="preecha_3" localSheetId="5" hidden="1">{"'CATALO(8)'!$B$1:$G$49"}</definedName>
    <definedName name="preecha_3" hidden="1">{"'CATALO(8)'!$B$1:$G$49"}</definedName>
    <definedName name="preecha_4" localSheetId="5" hidden="1">{"'CATALO(8)'!$B$1:$G$49"}</definedName>
    <definedName name="preecha_4" hidden="1">{"'CATALO(8)'!$B$1:$G$49"}</definedName>
    <definedName name="preecha_5" localSheetId="5" hidden="1">{"'CATALO(8)'!$B$1:$G$49"}</definedName>
    <definedName name="preecha_5" hidden="1">{"'CATALO(8)'!$B$1:$G$49"}</definedName>
    <definedName name="Preecha1" localSheetId="5" hidden="1">{"'CATALO(8)'!$B$1:$G$49"}</definedName>
    <definedName name="Preecha1" hidden="1">{"'CATALO(8)'!$B$1:$G$49"}</definedName>
    <definedName name="Preecha1_1" localSheetId="5" hidden="1">{"'CATALO(8)'!$B$1:$G$49"}</definedName>
    <definedName name="Preecha1_1" hidden="1">{"'CATALO(8)'!$B$1:$G$49"}</definedName>
    <definedName name="Preecha1_2" localSheetId="5" hidden="1">{"'CATALO(8)'!$B$1:$G$49"}</definedName>
    <definedName name="Preecha1_2" hidden="1">{"'CATALO(8)'!$B$1:$G$49"}</definedName>
    <definedName name="Preecha1_3" localSheetId="5" hidden="1">{"'CATALO(8)'!$B$1:$G$49"}</definedName>
    <definedName name="Preecha1_3" hidden="1">{"'CATALO(8)'!$B$1:$G$49"}</definedName>
    <definedName name="Preecha1_4" localSheetId="5" hidden="1">{"'CATALO(8)'!$B$1:$G$49"}</definedName>
    <definedName name="Preecha1_4" hidden="1">{"'CATALO(8)'!$B$1:$G$49"}</definedName>
    <definedName name="Preecha1_5" localSheetId="5" hidden="1">{"'CATALO(8)'!$B$1:$G$49"}</definedName>
    <definedName name="Preecha1_5" hidden="1">{"'CATALO(8)'!$B$1:$G$49"}</definedName>
    <definedName name="_xlnm.Print_Area" localSheetId="4">'Cable Tray-income  '!$B$1:$M$176</definedName>
    <definedName name="_xlnm.Print_Area" localSheetId="5">'Cable Tray-Log-out'!$B$1:$N$691</definedName>
    <definedName name="_xlnm.Print_Area" localSheetId="1">'POR Control Log-income'!$B$1:$M$179</definedName>
    <definedName name="_xlnm.Print_Area" localSheetId="2">'POR Control Log-out'!$B$1:$N$696</definedName>
    <definedName name="_xlnm.Print_Area" localSheetId="9">'Summary Table'!$B$3:$R$44</definedName>
    <definedName name="_xlnm.Print_Area" localSheetId="7">'T-Power-income'!$B$1:$L$194</definedName>
    <definedName name="_xlnm.Print_Area" localSheetId="8">'T-Power-out'!$B$1:$N$627</definedName>
    <definedName name="_xlnm.Print_Area" localSheetId="10">Tray!#REF!</definedName>
    <definedName name="_xlnm.Print_Area" localSheetId="0">본공사입.출고현황!$C$1:$T$48</definedName>
    <definedName name="_xlnm.Print_Area" localSheetId="6">임시동력입.출고현황!$B$1:$Q$88</definedName>
    <definedName name="_xlnm.Print_Area" localSheetId="3">케이블트레이입.출고현황!$D$1:$S$83</definedName>
    <definedName name="_xlnm.Print_Titles" localSheetId="4">'Cable Tray-income  '!$1:$4</definedName>
    <definedName name="_xlnm.Print_Titles" localSheetId="5">'Cable Tray-Log-out'!$1:$4</definedName>
    <definedName name="_xlnm.Print_Titles" localSheetId="1">'POR Control Log-income'!$1:$4</definedName>
    <definedName name="_xlnm.Print_Titles" localSheetId="2">'POR Control Log-out'!$1:$4</definedName>
    <definedName name="_xlnm.Print_Titles" localSheetId="7">'T-Power-income'!$1:$4</definedName>
    <definedName name="_xlnm.Print_Titles" localSheetId="8">'T-Power-out'!$1:$4</definedName>
    <definedName name="_xlnm.Print_Titles" localSheetId="0">본공사입.출고현황!$1:$3</definedName>
    <definedName name="_xlnm.Print_Titles" localSheetId="6">임시동력입.출고현황!$1:$5</definedName>
    <definedName name="q_1" localSheetId="5" hidden="1">{#N/A,#N/A,FALSE,"Sheet4";#N/A,#N/A,FALSE,"Sheet5";#N/A,#N/A,FALSE,"Sheet6"}</definedName>
    <definedName name="q_1" hidden="1">{#N/A,#N/A,FALSE,"Sheet4";#N/A,#N/A,FALSE,"Sheet5";#N/A,#N/A,FALSE,"Sheet6"}</definedName>
    <definedName name="q_2" localSheetId="5" hidden="1">{#N/A,#N/A,FALSE,"Sheet4";#N/A,#N/A,FALSE,"Sheet5";#N/A,#N/A,FALSE,"Sheet6"}</definedName>
    <definedName name="q_2" hidden="1">{#N/A,#N/A,FALSE,"Sheet4";#N/A,#N/A,FALSE,"Sheet5";#N/A,#N/A,FALSE,"Sheet6"}</definedName>
    <definedName name="q_3" localSheetId="5" hidden="1">{#N/A,#N/A,FALSE,"Sheet4";#N/A,#N/A,FALSE,"Sheet5";#N/A,#N/A,FALSE,"Sheet6"}</definedName>
    <definedName name="q_3" hidden="1">{#N/A,#N/A,FALSE,"Sheet4";#N/A,#N/A,FALSE,"Sheet5";#N/A,#N/A,FALSE,"Sheet6"}</definedName>
    <definedName name="q_4" localSheetId="5" hidden="1">{#N/A,#N/A,FALSE,"Sheet4";#N/A,#N/A,FALSE,"Sheet5";#N/A,#N/A,FALSE,"Sheet6"}</definedName>
    <definedName name="q_4" hidden="1">{#N/A,#N/A,FALSE,"Sheet4";#N/A,#N/A,FALSE,"Sheet5";#N/A,#N/A,FALSE,"Sheet6"}</definedName>
    <definedName name="q_5" localSheetId="5" hidden="1">{#N/A,#N/A,FALSE,"Sheet4";#N/A,#N/A,FALSE,"Sheet5";#N/A,#N/A,FALSE,"Sheet6"}</definedName>
    <definedName name="q_5" hidden="1">{#N/A,#N/A,FALSE,"Sheet4";#N/A,#N/A,FALSE,"Sheet5";#N/A,#N/A,FALSE,"Sheet6"}</definedName>
    <definedName name="qk" localSheetId="5" hidden="1">{"'자리배치도'!$AG$1:$CI$28"}</definedName>
    <definedName name="qk" hidden="1">{"'자리배치도'!$AG$1:$CI$28"}</definedName>
    <definedName name="QQ" localSheetId="5" hidden="1">{#N/A,#N/A,FALSE,"이태원철근"}</definedName>
    <definedName name="QQ" hidden="1">{#N/A,#N/A,FALSE,"이태원철근"}</definedName>
    <definedName name="qq_1" localSheetId="5" hidden="1">{#N/A,#N/A,TRUE,"arnitower";#N/A,#N/A,TRUE,"arnigarage "}</definedName>
    <definedName name="qq_1" hidden="1">{#N/A,#N/A,TRUE,"arnitower";#N/A,#N/A,TRUE,"arnigarage "}</definedName>
    <definedName name="qq_2" localSheetId="5" hidden="1">{#N/A,#N/A,TRUE,"arnitower";#N/A,#N/A,TRUE,"arnigarage "}</definedName>
    <definedName name="qq_2" hidden="1">{#N/A,#N/A,TRUE,"arnitower";#N/A,#N/A,TRUE,"arnigarage "}</definedName>
    <definedName name="qq_3" localSheetId="5" hidden="1">{#N/A,#N/A,TRUE,"arnitower";#N/A,#N/A,TRUE,"arnigarage "}</definedName>
    <definedName name="qq_3" hidden="1">{#N/A,#N/A,TRUE,"arnitower";#N/A,#N/A,TRUE,"arnigarage "}</definedName>
    <definedName name="qq_4" localSheetId="5" hidden="1">{#N/A,#N/A,TRUE,"arnitower";#N/A,#N/A,TRUE,"arnigarage "}</definedName>
    <definedName name="qq_4" hidden="1">{#N/A,#N/A,TRUE,"arnitower";#N/A,#N/A,TRUE,"arnigarage "}</definedName>
    <definedName name="qq_5" localSheetId="5" hidden="1">{#N/A,#N/A,TRUE,"arnitower";#N/A,#N/A,TRUE,"arnigarage "}</definedName>
    <definedName name="qq_5" hidden="1">{#N/A,#N/A,TRUE,"arnitower";#N/A,#N/A,TRUE,"arnigarage "}</definedName>
    <definedName name="qqqq" localSheetId="5" hidden="1">{"'장비'!$A$3:$M$12"}</definedName>
    <definedName name="qqqq" localSheetId="9" hidden="1">{"'장비'!$A$3:$M$12"}</definedName>
    <definedName name="qqqq" localSheetId="10" hidden="1">{"'장비'!$A$3:$M$12"}</definedName>
    <definedName name="qqqq" localSheetId="6" hidden="1">{"'장비'!$A$3:$M$12"}</definedName>
    <definedName name="qqqq" localSheetId="3" hidden="1">{"'장비'!$A$3:$M$12"}</definedName>
    <definedName name="qqqq" hidden="1">{"'장비'!$A$3:$M$12"}</definedName>
    <definedName name="qqqq_1" localSheetId="5" hidden="1">{"'장비'!$A$3:$M$12"}</definedName>
    <definedName name="qqqq_1" hidden="1">{"'장비'!$A$3:$M$12"}</definedName>
    <definedName name="qqqq_2" localSheetId="5" hidden="1">{"'장비'!$A$3:$M$12"}</definedName>
    <definedName name="qqqq_2" hidden="1">{"'장비'!$A$3:$M$12"}</definedName>
    <definedName name="qqqq_3" localSheetId="5" hidden="1">{"'장비'!$A$3:$M$12"}</definedName>
    <definedName name="qqqq_3" hidden="1">{"'장비'!$A$3:$M$12"}</definedName>
    <definedName name="qqqq_4" localSheetId="5" hidden="1">{"'장비'!$A$3:$M$12"}</definedName>
    <definedName name="qqqq_4" hidden="1">{"'장비'!$A$3:$M$12"}</definedName>
    <definedName name="qqqq_5" localSheetId="5" hidden="1">{"'장비'!$A$3:$M$12"}</definedName>
    <definedName name="qqqq_5" hidden="1">{"'장비'!$A$3:$M$12"}</definedName>
    <definedName name="qqqqq" localSheetId="5" hidden="1">{#N/A,#N/A,TRUE,"Basic";#N/A,#N/A,TRUE,"EXT-TABLE";#N/A,#N/A,TRUE,"STEEL";#N/A,#N/A,TRUE,"INT-Table";#N/A,#N/A,TRUE,"STEEL";#N/A,#N/A,TRUE,"Door"}</definedName>
    <definedName name="qqqqq" localSheetId="9" hidden="1">{#N/A,#N/A,TRUE,"Basic";#N/A,#N/A,TRUE,"EXT-TABLE";#N/A,#N/A,TRUE,"STEEL";#N/A,#N/A,TRUE,"INT-Table";#N/A,#N/A,TRUE,"STEEL";#N/A,#N/A,TRUE,"Door"}</definedName>
    <definedName name="qqqqq" localSheetId="10" hidden="1">{#N/A,#N/A,TRUE,"Basic";#N/A,#N/A,TRUE,"EXT-TABLE";#N/A,#N/A,TRUE,"STEEL";#N/A,#N/A,TRUE,"INT-Table";#N/A,#N/A,TRUE,"STEEL";#N/A,#N/A,TRUE,"Door"}</definedName>
    <definedName name="qqqqq" localSheetId="6" hidden="1">{#N/A,#N/A,TRUE,"Basic";#N/A,#N/A,TRUE,"EXT-TABLE";#N/A,#N/A,TRUE,"STEEL";#N/A,#N/A,TRUE,"INT-Table";#N/A,#N/A,TRUE,"STEEL";#N/A,#N/A,TRUE,"Door"}</definedName>
    <definedName name="qqqqq" localSheetId="3" hidden="1">{#N/A,#N/A,TRUE,"Basic";#N/A,#N/A,TRUE,"EXT-TABLE";#N/A,#N/A,TRUE,"STEEL";#N/A,#N/A,TRUE,"INT-Table";#N/A,#N/A,TRUE,"STEEL";#N/A,#N/A,TRUE,"Door"}</definedName>
    <definedName name="qqqqq" hidden="1">{#N/A,#N/A,TRUE,"Basic";#N/A,#N/A,TRUE,"EXT-TABLE";#N/A,#N/A,TRUE,"STEEL";#N/A,#N/A,TRUE,"INT-Table";#N/A,#N/A,TRUE,"STEEL";#N/A,#N/A,TRUE,"Door"}</definedName>
    <definedName name="qqqqq_1" localSheetId="5" hidden="1">{#N/A,#N/A,TRUE,"Basic";#N/A,#N/A,TRUE,"EXT-TABLE";#N/A,#N/A,TRUE,"STEEL";#N/A,#N/A,TRUE,"INT-Table";#N/A,#N/A,TRUE,"STEEL";#N/A,#N/A,TRUE,"Door"}</definedName>
    <definedName name="qqqqq_1" hidden="1">{#N/A,#N/A,TRUE,"Basic";#N/A,#N/A,TRUE,"EXT-TABLE";#N/A,#N/A,TRUE,"STEEL";#N/A,#N/A,TRUE,"INT-Table";#N/A,#N/A,TRUE,"STEEL";#N/A,#N/A,TRUE,"Door"}</definedName>
    <definedName name="qqqqq_2" localSheetId="5" hidden="1">{#N/A,#N/A,TRUE,"Basic";#N/A,#N/A,TRUE,"EXT-TABLE";#N/A,#N/A,TRUE,"STEEL";#N/A,#N/A,TRUE,"INT-Table";#N/A,#N/A,TRUE,"STEEL";#N/A,#N/A,TRUE,"Door"}</definedName>
    <definedName name="qqqqq_2" hidden="1">{#N/A,#N/A,TRUE,"Basic";#N/A,#N/A,TRUE,"EXT-TABLE";#N/A,#N/A,TRUE,"STEEL";#N/A,#N/A,TRUE,"INT-Table";#N/A,#N/A,TRUE,"STEEL";#N/A,#N/A,TRUE,"Door"}</definedName>
    <definedName name="qqqqq_3" localSheetId="5" hidden="1">{#N/A,#N/A,TRUE,"Basic";#N/A,#N/A,TRUE,"EXT-TABLE";#N/A,#N/A,TRUE,"STEEL";#N/A,#N/A,TRUE,"INT-Table";#N/A,#N/A,TRUE,"STEEL";#N/A,#N/A,TRUE,"Door"}</definedName>
    <definedName name="qqqqq_3" hidden="1">{#N/A,#N/A,TRUE,"Basic";#N/A,#N/A,TRUE,"EXT-TABLE";#N/A,#N/A,TRUE,"STEEL";#N/A,#N/A,TRUE,"INT-Table";#N/A,#N/A,TRUE,"STEEL";#N/A,#N/A,TRUE,"Door"}</definedName>
    <definedName name="qqqqq_4" localSheetId="5" hidden="1">{#N/A,#N/A,TRUE,"Basic";#N/A,#N/A,TRUE,"EXT-TABLE";#N/A,#N/A,TRUE,"STEEL";#N/A,#N/A,TRUE,"INT-Table";#N/A,#N/A,TRUE,"STEEL";#N/A,#N/A,TRUE,"Door"}</definedName>
    <definedName name="qqqqq_4" hidden="1">{#N/A,#N/A,TRUE,"Basic";#N/A,#N/A,TRUE,"EXT-TABLE";#N/A,#N/A,TRUE,"STEEL";#N/A,#N/A,TRUE,"INT-Table";#N/A,#N/A,TRUE,"STEEL";#N/A,#N/A,TRUE,"Door"}</definedName>
    <definedName name="qqqqq_5" localSheetId="5" hidden="1">{#N/A,#N/A,TRUE,"Basic";#N/A,#N/A,TRUE,"EXT-TABLE";#N/A,#N/A,TRUE,"STEEL";#N/A,#N/A,TRUE,"INT-Table";#N/A,#N/A,TRUE,"STEEL";#N/A,#N/A,TRUE,"Door"}</definedName>
    <definedName name="qqqqq_5" hidden="1">{#N/A,#N/A,TRUE,"Basic";#N/A,#N/A,TRUE,"EXT-TABLE";#N/A,#N/A,TRUE,"STEEL";#N/A,#N/A,TRUE,"INT-Table";#N/A,#N/A,TRUE,"STEEL";#N/A,#N/A,TRUE,"Door"}</definedName>
    <definedName name="QQQQQQQQ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" localSheetId="5" hidden="1">{#N/A,#N/A,TRUE,"Basic";#N/A,#N/A,TRUE,"EXT-TABLE";#N/A,#N/A,TRUE,"STEEL";#N/A,#N/A,TRUE,"INT-Table";#N/A,#N/A,TRUE,"STEEL";#N/A,#N/A,TRUE,"Door"}</definedName>
    <definedName name="qw" localSheetId="9" hidden="1">{#N/A,#N/A,TRUE,"Basic";#N/A,#N/A,TRUE,"EXT-TABLE";#N/A,#N/A,TRUE,"STEEL";#N/A,#N/A,TRUE,"INT-Table";#N/A,#N/A,TRUE,"STEEL";#N/A,#N/A,TRUE,"Door"}</definedName>
    <definedName name="qw" localSheetId="10" hidden="1">{#N/A,#N/A,TRUE,"Basic";#N/A,#N/A,TRUE,"EXT-TABLE";#N/A,#N/A,TRUE,"STEEL";#N/A,#N/A,TRUE,"INT-Table";#N/A,#N/A,TRUE,"STEEL";#N/A,#N/A,TRUE,"Door"}</definedName>
    <definedName name="qw" localSheetId="6" hidden="1">{#N/A,#N/A,TRUE,"Basic";#N/A,#N/A,TRUE,"EXT-TABLE";#N/A,#N/A,TRUE,"STEEL";#N/A,#N/A,TRUE,"INT-Table";#N/A,#N/A,TRUE,"STEEL";#N/A,#N/A,TRUE,"Door"}</definedName>
    <definedName name="QW" localSheetId="3" hidden="1">{#N/A,#N/A,FALSE,"이태원철근"}</definedName>
    <definedName name="qw" hidden="1">{#N/A,#N/A,TRUE,"Basic";#N/A,#N/A,TRUE,"EXT-TABLE";#N/A,#N/A,TRUE,"STEEL";#N/A,#N/A,TRUE,"INT-Table";#N/A,#N/A,TRUE,"STEEL";#N/A,#N/A,TRUE,"Door"}</definedName>
    <definedName name="QWE" localSheetId="5" hidden="1">{#N/A,#N/A,FALSE,"이태원철근"}</definedName>
    <definedName name="QWE" hidden="1">{#N/A,#N/A,FALSE,"이태원철근"}</definedName>
    <definedName name="QWER" localSheetId="5" hidden="1">{#N/A,#N/A,FALSE,"이태원철근"}</definedName>
    <definedName name="QWER" hidden="1">{#N/A,#N/A,FALSE,"이태원철근"}</definedName>
    <definedName name="rarewt" localSheetId="5" hidden="1">{#N/A,#N/A,FALSE,"CCTV"}</definedName>
    <definedName name="rarewt" localSheetId="9" hidden="1">{#N/A,#N/A,FALSE,"CCTV"}</definedName>
    <definedName name="rarewt" localSheetId="10" hidden="1">{#N/A,#N/A,FALSE,"CCTV"}</definedName>
    <definedName name="rarewt" localSheetId="6" hidden="1">{#N/A,#N/A,FALSE,"CCTV"}</definedName>
    <definedName name="rarewt" localSheetId="3" hidden="1">{#N/A,#N/A,FALSE,"CCTV"}</definedName>
    <definedName name="rarewt" hidden="1">{#N/A,#N/A,FALSE,"CCTV"}</definedName>
    <definedName name="rarewt_1" localSheetId="5" hidden="1">{#N/A,#N/A,FALSE,"CCTV"}</definedName>
    <definedName name="rarewt_1" hidden="1">{#N/A,#N/A,FALSE,"CCTV"}</definedName>
    <definedName name="rarewt_2" localSheetId="5" hidden="1">{#N/A,#N/A,FALSE,"CCTV"}</definedName>
    <definedName name="rarewt_2" hidden="1">{#N/A,#N/A,FALSE,"CCTV"}</definedName>
    <definedName name="rarewt_3" localSheetId="5" hidden="1">{#N/A,#N/A,FALSE,"CCTV"}</definedName>
    <definedName name="rarewt_3" hidden="1">{#N/A,#N/A,FALSE,"CCTV"}</definedName>
    <definedName name="rarewt_4" localSheetId="5" hidden="1">{#N/A,#N/A,FALSE,"CCTV"}</definedName>
    <definedName name="rarewt_4" hidden="1">{#N/A,#N/A,FALSE,"CCTV"}</definedName>
    <definedName name="rarewt_5" localSheetId="5" hidden="1">{#N/A,#N/A,FALSE,"CCTV"}</definedName>
    <definedName name="rarewt_5" hidden="1">{#N/A,#N/A,FALSE,"CCTV"}</definedName>
    <definedName name="RE_CF_bank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_CF_bank" localSheetId="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_CF_bank" localSheetId="1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_CF_bank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_CF_bank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_CF_bank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RER" localSheetId="5" hidden="1">{#N/A,#N/A,TRUE,"arnitower";#N/A,#N/A,TRUE,"arnigarage "}</definedName>
    <definedName name="RER" hidden="1">{#N/A,#N/A,TRUE,"arnitower";#N/A,#N/A,TRUE,"arnigarage "}</definedName>
    <definedName name="RF" localSheetId="5" hidden="1">{#N/A,#N/A,FALSE,"CCTV"}</definedName>
    <definedName name="RF" localSheetId="9" hidden="1">{#N/A,#N/A,FALSE,"CCTV"}</definedName>
    <definedName name="RF" localSheetId="10" hidden="1">{#N/A,#N/A,FALSE,"CCTV"}</definedName>
    <definedName name="RF" localSheetId="6" hidden="1">{#N/A,#N/A,FALSE,"CCTV"}</definedName>
    <definedName name="RF" localSheetId="3" hidden="1">{#N/A,#N/A,FALSE,"CCTV"}</definedName>
    <definedName name="RF" hidden="1">{#N/A,#N/A,FALSE,"CCTV"}</definedName>
    <definedName name="RF_1" localSheetId="5" hidden="1">{#N/A,#N/A,FALSE,"CCTV"}</definedName>
    <definedName name="RF_1" localSheetId="9" hidden="1">{#N/A,#N/A,FALSE,"CCTV"}</definedName>
    <definedName name="RF_1" localSheetId="10" hidden="1">{#N/A,#N/A,FALSE,"CCTV"}</definedName>
    <definedName name="RF_1" localSheetId="6" hidden="1">{#N/A,#N/A,FALSE,"CCTV"}</definedName>
    <definedName name="RF_1" localSheetId="3" hidden="1">{#N/A,#N/A,FALSE,"CCTV"}</definedName>
    <definedName name="RF_1" hidden="1">{#N/A,#N/A,FALSE,"CCTV"}</definedName>
    <definedName name="RF_2" localSheetId="5" hidden="1">{#N/A,#N/A,FALSE,"CCTV"}</definedName>
    <definedName name="RF_2" hidden="1">{#N/A,#N/A,FALSE,"CCTV"}</definedName>
    <definedName name="RF_3" localSheetId="5" hidden="1">{#N/A,#N/A,FALSE,"CCTV"}</definedName>
    <definedName name="RF_3" hidden="1">{#N/A,#N/A,FALSE,"CCTV"}</definedName>
    <definedName name="RF_4" localSheetId="5" hidden="1">{#N/A,#N/A,FALSE,"CCTV"}</definedName>
    <definedName name="RF_4" hidden="1">{#N/A,#N/A,FALSE,"CCTV"}</definedName>
    <definedName name="RF_5" localSheetId="5" hidden="1">{#N/A,#N/A,FALSE,"CCTV"}</definedName>
    <definedName name="RF_5" hidden="1">{#N/A,#N/A,FALSE,"CCTV"}</definedName>
    <definedName name="RFV" localSheetId="5" hidden="1">{#N/A,#N/A,FALSE,"CCTV"}</definedName>
    <definedName name="RFV" localSheetId="9" hidden="1">{#N/A,#N/A,FALSE,"CCTV"}</definedName>
    <definedName name="RFV" localSheetId="10" hidden="1">{#N/A,#N/A,FALSE,"CCTV"}</definedName>
    <definedName name="RFV" localSheetId="6" hidden="1">{#N/A,#N/A,FALSE,"CCTV"}</definedName>
    <definedName name="RFV" localSheetId="3" hidden="1">{#N/A,#N/A,FALSE,"CCTV"}</definedName>
    <definedName name="RFV" hidden="1">{#N/A,#N/A,FALSE,"CCTV"}</definedName>
    <definedName name="RFV_1" localSheetId="5" hidden="1">{#N/A,#N/A,FALSE,"CCTV"}</definedName>
    <definedName name="RFV_1" localSheetId="9" hidden="1">{#N/A,#N/A,FALSE,"CCTV"}</definedName>
    <definedName name="RFV_1" localSheetId="10" hidden="1">{#N/A,#N/A,FALSE,"CCTV"}</definedName>
    <definedName name="RFV_1" localSheetId="6" hidden="1">{#N/A,#N/A,FALSE,"CCTV"}</definedName>
    <definedName name="RFV_1" localSheetId="3" hidden="1">{#N/A,#N/A,FALSE,"CCTV"}</definedName>
    <definedName name="RFV_1" hidden="1">{#N/A,#N/A,FALSE,"CCTV"}</definedName>
    <definedName name="RFV_2" localSheetId="5" hidden="1">{#N/A,#N/A,FALSE,"CCTV"}</definedName>
    <definedName name="RFV_2" hidden="1">{#N/A,#N/A,FALSE,"CCTV"}</definedName>
    <definedName name="RFV_3" localSheetId="5" hidden="1">{#N/A,#N/A,FALSE,"CCTV"}</definedName>
    <definedName name="RFV_3" hidden="1">{#N/A,#N/A,FALSE,"CCTV"}</definedName>
    <definedName name="RFV_4" localSheetId="5" hidden="1">{#N/A,#N/A,FALSE,"CCTV"}</definedName>
    <definedName name="RFV_4" hidden="1">{#N/A,#N/A,FALSE,"CCTV"}</definedName>
    <definedName name="RFV_5" localSheetId="5" hidden="1">{#N/A,#N/A,FALSE,"CCTV"}</definedName>
    <definedName name="RFV_5" hidden="1">{#N/A,#N/A,FALSE,"CCTV"}</definedName>
    <definedName name="rh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hdhd" localSheetId="9" hidden="1">#REF!</definedName>
    <definedName name="rhdhd" localSheetId="10" hidden="1">#REF!</definedName>
    <definedName name="rhdhd" hidden="1">#REF!</definedName>
    <definedName name="RHDK" localSheetId="5" hidden="1">{#N/A,#N/A,FALSE,"이태원철근"}</definedName>
    <definedName name="RHDK" hidden="1">{#N/A,#N/A,FALSE,"이태원철근"}</definedName>
    <definedName name="rid" localSheetId="5" hidden="1">{"'Sheet1'!$L$16"}</definedName>
    <definedName name="rid" localSheetId="9" hidden="1">{"'Sheet1'!$L$16"}</definedName>
    <definedName name="rid" localSheetId="10" hidden="1">{"'Sheet1'!$L$16"}</definedName>
    <definedName name="rid" localSheetId="6" hidden="1">{"'Sheet1'!$L$16"}</definedName>
    <definedName name="rid" localSheetId="3" hidden="1">{"'Sheet1'!$L$16"}</definedName>
    <definedName name="rid" hidden="1">{"'Sheet1'!$L$16"}</definedName>
    <definedName name="RK" localSheetId="5" hidden="1">{#N/A,#N/A,FALSE,"이태원철근"}</definedName>
    <definedName name="RK" hidden="1">{#N/A,#N/A,FALSE,"이태원철근"}</definedName>
    <definedName name="rkd" localSheetId="5" hidden="1">{#N/A,#N/A,FALSE,"CCTV"}</definedName>
    <definedName name="rkd" localSheetId="9" hidden="1">{#N/A,#N/A,FALSE,"CCTV"}</definedName>
    <definedName name="rkd" localSheetId="10" hidden="1">{#N/A,#N/A,FALSE,"CCTV"}</definedName>
    <definedName name="rkd" localSheetId="6" hidden="1">{#N/A,#N/A,FALSE,"CCTV"}</definedName>
    <definedName name="rkd" localSheetId="3" hidden="1">{#N/A,#N/A,FALSE,"CCTV"}</definedName>
    <definedName name="rkd" hidden="1">{#N/A,#N/A,FALSE,"CCTV"}</definedName>
    <definedName name="rkd_1" localSheetId="5" hidden="1">{#N/A,#N/A,FALSE,"CCTV"}</definedName>
    <definedName name="rkd_1" hidden="1">{#N/A,#N/A,FALSE,"CCTV"}</definedName>
    <definedName name="rkd_2" localSheetId="5" hidden="1">{#N/A,#N/A,FALSE,"CCTV"}</definedName>
    <definedName name="rkd_2" hidden="1">{#N/A,#N/A,FALSE,"CCTV"}</definedName>
    <definedName name="rkd_3" localSheetId="5" hidden="1">{#N/A,#N/A,FALSE,"CCTV"}</definedName>
    <definedName name="rkd_3" hidden="1">{#N/A,#N/A,FALSE,"CCTV"}</definedName>
    <definedName name="rkd_4" localSheetId="5" hidden="1">{#N/A,#N/A,FALSE,"CCTV"}</definedName>
    <definedName name="rkd_4" hidden="1">{#N/A,#N/A,FALSE,"CCTV"}</definedName>
    <definedName name="rkd_5" localSheetId="5" hidden="1">{#N/A,#N/A,FALSE,"CCTV"}</definedName>
    <definedName name="rkd_5" hidden="1">{#N/A,#N/A,FALSE,"CCTV"}</definedName>
    <definedName name="RL_1" localSheetId="5" hidden="1">{#N/A,#N/A,TRUE,"총괄"}</definedName>
    <definedName name="RL_1" hidden="1">{#N/A,#N/A,TRUE,"총괄"}</definedName>
    <definedName name="RL_2" localSheetId="5" hidden="1">{#N/A,#N/A,TRUE,"총괄"}</definedName>
    <definedName name="RL_2" hidden="1">{#N/A,#N/A,TRUE,"총괄"}</definedName>
    <definedName name="RL_3" localSheetId="5" hidden="1">{#N/A,#N/A,TRUE,"총괄"}</definedName>
    <definedName name="RL_3" hidden="1">{#N/A,#N/A,TRUE,"총괄"}</definedName>
    <definedName name="RL_4" localSheetId="5" hidden="1">{#N/A,#N/A,TRUE,"총괄"}</definedName>
    <definedName name="RL_4" hidden="1">{#N/A,#N/A,TRUE,"총괄"}</definedName>
    <definedName name="RL_5" localSheetId="5" hidden="1">{#N/A,#N/A,TRUE,"총괄"}</definedName>
    <definedName name="RL_5" hidden="1">{#N/A,#N/A,TRUE,"총괄"}</definedName>
    <definedName name="RNAO" localSheetId="5" hidden="1">{"'장비'!$A$3:$M$12"}</definedName>
    <definedName name="RNAO" localSheetId="9" hidden="1">{"'장비'!$A$3:$M$12"}</definedName>
    <definedName name="RNAO" localSheetId="10" hidden="1">{"'장비'!$A$3:$M$12"}</definedName>
    <definedName name="RNAO" localSheetId="6" hidden="1">{"'장비'!$A$3:$M$12"}</definedName>
    <definedName name="RNAO" localSheetId="3" hidden="1">{"'장비'!$A$3:$M$12"}</definedName>
    <definedName name="RNAO" hidden="1">{"'장비'!$A$3:$M$12"}</definedName>
    <definedName name="RNAO_1" localSheetId="5" hidden="1">{"'장비'!$A$3:$M$12"}</definedName>
    <definedName name="RNAO_1" hidden="1">{"'장비'!$A$3:$M$12"}</definedName>
    <definedName name="RNAO_2" localSheetId="5" hidden="1">{"'장비'!$A$3:$M$12"}</definedName>
    <definedName name="RNAO_2" hidden="1">{"'장비'!$A$3:$M$12"}</definedName>
    <definedName name="RNAO_3" localSheetId="5" hidden="1">{"'장비'!$A$3:$M$12"}</definedName>
    <definedName name="RNAO_3" hidden="1">{"'장비'!$A$3:$M$12"}</definedName>
    <definedName name="RNAO_4" localSheetId="5" hidden="1">{"'장비'!$A$3:$M$12"}</definedName>
    <definedName name="RNAO_4" hidden="1">{"'장비'!$A$3:$M$12"}</definedName>
    <definedName name="RNAO_5" localSheetId="5" hidden="1">{"'장비'!$A$3:$M$12"}</definedName>
    <definedName name="RNAO_5" hidden="1">{"'장비'!$A$3:$M$12"}</definedName>
    <definedName name="RR" localSheetId="5" hidden="1">{#N/A,#N/A,FALSE,"CCTV"}</definedName>
    <definedName name="RR" localSheetId="9" hidden="1">{#N/A,#N/A,FALSE,"CCTV"}</definedName>
    <definedName name="RR" localSheetId="10" hidden="1">{#N/A,#N/A,FALSE,"CCTV"}</definedName>
    <definedName name="RR" localSheetId="6" hidden="1">{#N/A,#N/A,FALSE,"CCTV"}</definedName>
    <definedName name="RR" localSheetId="3" hidden="1">{#N/A,#N/A,FALSE,"CCTV"}</definedName>
    <definedName name="RR" hidden="1">{#N/A,#N/A,FALSE,"CCTV"}</definedName>
    <definedName name="RR_1" localSheetId="5" hidden="1">{#N/A,#N/A,FALSE,"CCTV"}</definedName>
    <definedName name="RR_1" localSheetId="9" hidden="1">{#N/A,#N/A,FALSE,"CCTV"}</definedName>
    <definedName name="RR_1" localSheetId="10" hidden="1">{#N/A,#N/A,FALSE,"CCTV"}</definedName>
    <definedName name="RR_1" localSheetId="6" hidden="1">{#N/A,#N/A,FALSE,"CCTV"}</definedName>
    <definedName name="RR_1" localSheetId="3" hidden="1">{#N/A,#N/A,FALSE,"CCTV"}</definedName>
    <definedName name="RR_1" hidden="1">{#N/A,#N/A,FALSE,"CCTV"}</definedName>
    <definedName name="RRE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localSheetId="5" hidden="1">{#N/A,#N/A,FALSE,"CCTV"}</definedName>
    <definedName name="RRERW" localSheetId="9" hidden="1">{#N/A,#N/A,FALSE,"CCTV"}</definedName>
    <definedName name="RRERW" localSheetId="10" hidden="1">{#N/A,#N/A,FALSE,"CCTV"}</definedName>
    <definedName name="RRERW" localSheetId="6" hidden="1">{#N/A,#N/A,FALSE,"CCTV"}</definedName>
    <definedName name="RRERW" localSheetId="3" hidden="1">{#N/A,#N/A,FALSE,"CCTV"}</definedName>
    <definedName name="RRERW" hidden="1">{#N/A,#N/A,FALSE,"CCTV"}</definedName>
    <definedName name="RRERW_1" localSheetId="5" hidden="1">{#N/A,#N/A,FALSE,"CCTV"}</definedName>
    <definedName name="RRERW_1" localSheetId="9" hidden="1">{#N/A,#N/A,FALSE,"CCTV"}</definedName>
    <definedName name="RRERW_1" localSheetId="10" hidden="1">{#N/A,#N/A,FALSE,"CCTV"}</definedName>
    <definedName name="RRERW_1" localSheetId="6" hidden="1">{#N/A,#N/A,FALSE,"CCTV"}</definedName>
    <definedName name="RRERW_1" localSheetId="3" hidden="1">{#N/A,#N/A,FALSE,"CCTV"}</definedName>
    <definedName name="RRERW_1" hidden="1">{#N/A,#N/A,FALSE,"CCTV"}</definedName>
    <definedName name="RRERW_2" localSheetId="5" hidden="1">{#N/A,#N/A,FALSE,"CCTV"}</definedName>
    <definedName name="RRERW_2" hidden="1">{#N/A,#N/A,FALSE,"CCTV"}</definedName>
    <definedName name="RRERW_3" localSheetId="5" hidden="1">{#N/A,#N/A,FALSE,"CCTV"}</definedName>
    <definedName name="RRERW_3" hidden="1">{#N/A,#N/A,FALSE,"CCTV"}</definedName>
    <definedName name="RRERW_4" localSheetId="5" hidden="1">{#N/A,#N/A,FALSE,"CCTV"}</definedName>
    <definedName name="RRERW_4" hidden="1">{#N/A,#N/A,FALSE,"CCTV"}</definedName>
    <definedName name="RRERW_5" localSheetId="5" hidden="1">{#N/A,#N/A,FALSE,"CCTV"}</definedName>
    <definedName name="RRERW_5" hidden="1">{#N/A,#N/A,FALSE,"CCTV"}</definedName>
    <definedName name="rrr_1" localSheetId="5" hidden="1">{"'장비'!$A$3:$M$12"}</definedName>
    <definedName name="rrr_1" hidden="1">{"'장비'!$A$3:$M$12"}</definedName>
    <definedName name="rrr_2" localSheetId="5" hidden="1">{"'장비'!$A$3:$M$12"}</definedName>
    <definedName name="rrr_2" hidden="1">{"'장비'!$A$3:$M$12"}</definedName>
    <definedName name="rrr_3" localSheetId="5" hidden="1">{"'장비'!$A$3:$M$12"}</definedName>
    <definedName name="rrr_3" hidden="1">{"'장비'!$A$3:$M$12"}</definedName>
    <definedName name="rrr_4" localSheetId="5" hidden="1">{"'장비'!$A$3:$M$12"}</definedName>
    <definedName name="rrr_4" hidden="1">{"'장비'!$A$3:$M$12"}</definedName>
    <definedName name="rrr_5" localSheetId="5" hidden="1">{"'장비'!$A$3:$M$12"}</definedName>
    <definedName name="rrr_5" hidden="1">{"'장비'!$A$3:$M$12"}</definedName>
    <definedName name="rrrrr" localSheetId="5" hidden="1">{"'장비'!$A$3:$M$12"}</definedName>
    <definedName name="rrrrr" localSheetId="9" hidden="1">{"'장비'!$A$3:$M$12"}</definedName>
    <definedName name="rrrrr" localSheetId="10" hidden="1">{"'장비'!$A$3:$M$12"}</definedName>
    <definedName name="rrrrr" localSheetId="6" hidden="1">{"'장비'!$A$3:$M$12"}</definedName>
    <definedName name="rrrrr" localSheetId="3" hidden="1">{"'장비'!$A$3:$M$12"}</definedName>
    <definedName name="rrrrr" hidden="1">{"'장비'!$A$3:$M$12"}</definedName>
    <definedName name="rrrrr_1" localSheetId="5" hidden="1">{"'장비'!$A$3:$M$12"}</definedName>
    <definedName name="rrrrr_1" localSheetId="9" hidden="1">{"'장비'!$A$3:$M$12"}</definedName>
    <definedName name="rrrrr_1" localSheetId="10" hidden="1">{"'장비'!$A$3:$M$12"}</definedName>
    <definedName name="rrrrr_1" localSheetId="6" hidden="1">{"'장비'!$A$3:$M$12"}</definedName>
    <definedName name="rrrrr_1" localSheetId="3" hidden="1">{"'장비'!$A$3:$M$12"}</definedName>
    <definedName name="rrrrr_1" hidden="1">{"'장비'!$A$3:$M$12"}</definedName>
    <definedName name="rrrrrrrr" localSheetId="5" hidden="1">{"'장비'!$A$3:$M$12"}</definedName>
    <definedName name="rrrrrrrr" localSheetId="9" hidden="1">{"'장비'!$A$3:$M$12"}</definedName>
    <definedName name="rrrrrrrr" localSheetId="10" hidden="1">{"'장비'!$A$3:$M$12"}</definedName>
    <definedName name="rrrrrrrr" localSheetId="6" hidden="1">{"'장비'!$A$3:$M$12"}</definedName>
    <definedName name="rrrrrrrr" localSheetId="3" hidden="1">{"'장비'!$A$3:$M$12"}</definedName>
    <definedName name="rrrrrrrr" hidden="1">{"'장비'!$A$3:$M$12"}</definedName>
    <definedName name="rrrrrrrr_1" localSheetId="5" hidden="1">{"'장비'!$A$3:$M$12"}</definedName>
    <definedName name="rrrrrrrr_1" localSheetId="9" hidden="1">{"'장비'!$A$3:$M$12"}</definedName>
    <definedName name="rrrrrrrr_1" localSheetId="10" hidden="1">{"'장비'!$A$3:$M$12"}</definedName>
    <definedName name="rrrrrrrr_1" localSheetId="6" hidden="1">{"'장비'!$A$3:$M$12"}</definedName>
    <definedName name="rrrrrrrr_1" localSheetId="3" hidden="1">{"'장비'!$A$3:$M$12"}</definedName>
    <definedName name="rrrrrrrr_1" hidden="1">{"'장비'!$A$3:$M$12"}</definedName>
    <definedName name="RSDF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" localSheetId="5" hidden="1">{#N/A,#N/A,FALSE,"이태원철근"}</definedName>
    <definedName name="RT" hidden="1">{#N/A,#N/A,FALSE,"이태원철근"}</definedName>
    <definedName name="RTYE" localSheetId="5" hidden="1">{"'장비'!$A$3:$M$12"}</definedName>
    <definedName name="RTYE" localSheetId="9" hidden="1">{"'장비'!$A$3:$M$12"}</definedName>
    <definedName name="RTYE" localSheetId="10" hidden="1">{"'장비'!$A$3:$M$12"}</definedName>
    <definedName name="RTYE" localSheetId="6" hidden="1">{"'장비'!$A$3:$M$12"}</definedName>
    <definedName name="RTYE" localSheetId="3" hidden="1">{"'장비'!$A$3:$M$12"}</definedName>
    <definedName name="RTYE" hidden="1">{"'장비'!$A$3:$M$12"}</definedName>
    <definedName name="RTYE_1" localSheetId="5" hidden="1">{"'장비'!$A$3:$M$12"}</definedName>
    <definedName name="RTYE_1" localSheetId="9" hidden="1">{"'장비'!$A$3:$M$12"}</definedName>
    <definedName name="RTYE_1" localSheetId="10" hidden="1">{"'장비'!$A$3:$M$12"}</definedName>
    <definedName name="RTYE_1" localSheetId="6" hidden="1">{"'장비'!$A$3:$M$12"}</definedName>
    <definedName name="RTYE_1" localSheetId="3" hidden="1">{"'장비'!$A$3:$M$12"}</definedName>
    <definedName name="RTYE_1" hidden="1">{"'장비'!$A$3:$M$12"}</definedName>
    <definedName name="RTYE_2" localSheetId="5" hidden="1">{"'장비'!$A$3:$M$12"}</definedName>
    <definedName name="RTYE_2" hidden="1">{"'장비'!$A$3:$M$12"}</definedName>
    <definedName name="RTYE_3" localSheetId="5" hidden="1">{"'장비'!$A$3:$M$12"}</definedName>
    <definedName name="RTYE_3" hidden="1">{"'장비'!$A$3:$M$12"}</definedName>
    <definedName name="RTYE_4" localSheetId="5" hidden="1">{"'장비'!$A$3:$M$12"}</definedName>
    <definedName name="RTYE_4" hidden="1">{"'장비'!$A$3:$M$12"}</definedName>
    <definedName name="RTYE_5" localSheetId="5" hidden="1">{"'장비'!$A$3:$M$12"}</definedName>
    <definedName name="RTYE_5" hidden="1">{"'장비'!$A$3:$M$12"}</definedName>
    <definedName name="rtytry" localSheetId="5" hidden="1">{"'장비'!$A$3:$M$12"}</definedName>
    <definedName name="rtytry" hidden="1">{"'장비'!$A$3:$M$12"}</definedName>
    <definedName name="rtytry_1" localSheetId="5" hidden="1">{"'장비'!$A$3:$M$12"}</definedName>
    <definedName name="rtytry_1" hidden="1">{"'장비'!$A$3:$M$12"}</definedName>
    <definedName name="rtytry_2" localSheetId="5" hidden="1">{"'장비'!$A$3:$M$12"}</definedName>
    <definedName name="rtytry_2" hidden="1">{"'장비'!$A$3:$M$12"}</definedName>
    <definedName name="rtytry_3" localSheetId="5" hidden="1">{"'장비'!$A$3:$M$12"}</definedName>
    <definedName name="rtytry_3" hidden="1">{"'장비'!$A$3:$M$12"}</definedName>
    <definedName name="rtytry_4" localSheetId="5" hidden="1">{"'장비'!$A$3:$M$12"}</definedName>
    <definedName name="rtytry_4" hidden="1">{"'장비'!$A$3:$M$12"}</definedName>
    <definedName name="rtytry_5" localSheetId="5" hidden="1">{"'장비'!$A$3:$M$12"}</definedName>
    <definedName name="rtytry_5" hidden="1">{"'장비'!$A$3:$M$12"}</definedName>
    <definedName name="sad" localSheetId="5" hidden="1">{#N/A,#N/A,FALSE,"이태원철근"}</definedName>
    <definedName name="sad" hidden="1">{#N/A,#N/A,FALSE,"이태원철근"}</definedName>
    <definedName name="SADA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LAH" hidden="1">#REF!</definedName>
    <definedName name="SAM" localSheetId="5" hidden="1">{#N/A,#N/A,TRUE,"Basic";#N/A,#N/A,TRUE,"EXT-TABLE";#N/A,#N/A,TRUE,"STEEL";#N/A,#N/A,TRUE,"INT-Table";#N/A,#N/A,TRUE,"STEEL";#N/A,#N/A,TRUE,"Door"}</definedName>
    <definedName name="SAM" localSheetId="9" hidden="1">{#N/A,#N/A,TRUE,"Basic";#N/A,#N/A,TRUE,"EXT-TABLE";#N/A,#N/A,TRUE,"STEEL";#N/A,#N/A,TRUE,"INT-Table";#N/A,#N/A,TRUE,"STEEL";#N/A,#N/A,TRUE,"Door"}</definedName>
    <definedName name="SAM" localSheetId="10" hidden="1">{#N/A,#N/A,TRUE,"Basic";#N/A,#N/A,TRUE,"EXT-TABLE";#N/A,#N/A,TRUE,"STEEL";#N/A,#N/A,TRUE,"INT-Table";#N/A,#N/A,TRUE,"STEEL";#N/A,#N/A,TRUE,"Door"}</definedName>
    <definedName name="SAM" localSheetId="6" hidden="1">{#N/A,#N/A,TRUE,"Basic";#N/A,#N/A,TRUE,"EXT-TABLE";#N/A,#N/A,TRUE,"STEEL";#N/A,#N/A,TRUE,"INT-Table";#N/A,#N/A,TRUE,"STEEL";#N/A,#N/A,TRUE,"Door"}</definedName>
    <definedName name="SAM" localSheetId="3" hidden="1">{#N/A,#N/A,TRUE,"Basic";#N/A,#N/A,TRUE,"EXT-TABLE";#N/A,#N/A,TRUE,"STEEL";#N/A,#N/A,TRUE,"INT-Table";#N/A,#N/A,TRUE,"STEEL";#N/A,#N/A,TRUE,"Door"}</definedName>
    <definedName name="SAM" hidden="1">{#N/A,#N/A,TRUE,"Basic";#N/A,#N/A,TRUE,"EXT-TABLE";#N/A,#N/A,TRUE,"STEEL";#N/A,#N/A,TRUE,"INT-Table";#N/A,#N/A,TRUE,"STEEL";#N/A,#N/A,TRUE,"Door"}</definedName>
    <definedName name="SAM_1" localSheetId="5" hidden="1">{#N/A,#N/A,TRUE,"Basic";#N/A,#N/A,TRUE,"EXT-TABLE";#N/A,#N/A,TRUE,"STEEL";#N/A,#N/A,TRUE,"INT-Table";#N/A,#N/A,TRUE,"STEEL";#N/A,#N/A,TRUE,"Door"}</definedName>
    <definedName name="SAM_1" hidden="1">{#N/A,#N/A,TRUE,"Basic";#N/A,#N/A,TRUE,"EXT-TABLE";#N/A,#N/A,TRUE,"STEEL";#N/A,#N/A,TRUE,"INT-Table";#N/A,#N/A,TRUE,"STEEL";#N/A,#N/A,TRUE,"Door"}</definedName>
    <definedName name="SAM_2" localSheetId="5" hidden="1">{#N/A,#N/A,TRUE,"Basic";#N/A,#N/A,TRUE,"EXT-TABLE";#N/A,#N/A,TRUE,"STEEL";#N/A,#N/A,TRUE,"INT-Table";#N/A,#N/A,TRUE,"STEEL";#N/A,#N/A,TRUE,"Door"}</definedName>
    <definedName name="SAM_2" hidden="1">{#N/A,#N/A,TRUE,"Basic";#N/A,#N/A,TRUE,"EXT-TABLE";#N/A,#N/A,TRUE,"STEEL";#N/A,#N/A,TRUE,"INT-Table";#N/A,#N/A,TRUE,"STEEL";#N/A,#N/A,TRUE,"Door"}</definedName>
    <definedName name="SAM_3" localSheetId="5" hidden="1">{#N/A,#N/A,TRUE,"Basic";#N/A,#N/A,TRUE,"EXT-TABLE";#N/A,#N/A,TRUE,"STEEL";#N/A,#N/A,TRUE,"INT-Table";#N/A,#N/A,TRUE,"STEEL";#N/A,#N/A,TRUE,"Door"}</definedName>
    <definedName name="SAM_3" hidden="1">{#N/A,#N/A,TRUE,"Basic";#N/A,#N/A,TRUE,"EXT-TABLE";#N/A,#N/A,TRUE,"STEEL";#N/A,#N/A,TRUE,"INT-Table";#N/A,#N/A,TRUE,"STEEL";#N/A,#N/A,TRUE,"Door"}</definedName>
    <definedName name="SAM_4" localSheetId="5" hidden="1">{#N/A,#N/A,TRUE,"Basic";#N/A,#N/A,TRUE,"EXT-TABLE";#N/A,#N/A,TRUE,"STEEL";#N/A,#N/A,TRUE,"INT-Table";#N/A,#N/A,TRUE,"STEEL";#N/A,#N/A,TRUE,"Door"}</definedName>
    <definedName name="SAM_4" hidden="1">{#N/A,#N/A,TRUE,"Basic";#N/A,#N/A,TRUE,"EXT-TABLE";#N/A,#N/A,TRUE,"STEEL";#N/A,#N/A,TRUE,"INT-Table";#N/A,#N/A,TRUE,"STEEL";#N/A,#N/A,TRUE,"Door"}</definedName>
    <definedName name="SAM_5" localSheetId="5" hidden="1">{#N/A,#N/A,TRUE,"Basic";#N/A,#N/A,TRUE,"EXT-TABLE";#N/A,#N/A,TRUE,"STEEL";#N/A,#N/A,TRUE,"INT-Table";#N/A,#N/A,TRUE,"STEEL";#N/A,#N/A,TRUE,"Door"}</definedName>
    <definedName name="SAM_5" hidden="1">{#N/A,#N/A,TRUE,"Basic";#N/A,#N/A,TRUE,"EXT-TABLE";#N/A,#N/A,TRUE,"STEEL";#N/A,#N/A,TRUE,"INT-Table";#N/A,#N/A,TRUE,"STEEL";#N/A,#N/A,TRUE,"Door"}</definedName>
    <definedName name="sasa" localSheetId="5" hidden="1">{#N/A,#N/A,FALSE,"CCTV"}</definedName>
    <definedName name="sasa" localSheetId="9" hidden="1">{#N/A,#N/A,FALSE,"CCTV"}</definedName>
    <definedName name="sasa" localSheetId="10" hidden="1">{#N/A,#N/A,FALSE,"CCTV"}</definedName>
    <definedName name="sasa" localSheetId="6" hidden="1">{#N/A,#N/A,FALSE,"CCTV"}</definedName>
    <definedName name="sasa" localSheetId="3" hidden="1">{#N/A,#N/A,FALSE,"CCTV"}</definedName>
    <definedName name="sasa" hidden="1">{#N/A,#N/A,FALSE,"CCTV"}</definedName>
    <definedName name="sasa_1" localSheetId="5" hidden="1">{#N/A,#N/A,FALSE,"CCTV"}</definedName>
    <definedName name="sasa_1" localSheetId="9" hidden="1">{#N/A,#N/A,FALSE,"CCTV"}</definedName>
    <definedName name="sasa_1" localSheetId="10" hidden="1">{#N/A,#N/A,FALSE,"CCTV"}</definedName>
    <definedName name="sasa_1" localSheetId="6" hidden="1">{#N/A,#N/A,FALSE,"CCTV"}</definedName>
    <definedName name="sasa_1" localSheetId="3" hidden="1">{#N/A,#N/A,FALSE,"CCTV"}</definedName>
    <definedName name="sasa_1" hidden="1">{#N/A,#N/A,FALSE,"CCTV"}</definedName>
    <definedName name="sasa_2" localSheetId="5" hidden="1">{#N/A,#N/A,FALSE,"CCTV"}</definedName>
    <definedName name="sasa_2" hidden="1">{#N/A,#N/A,FALSE,"CCTV"}</definedName>
    <definedName name="sasa_3" localSheetId="5" hidden="1">{#N/A,#N/A,FALSE,"CCTV"}</definedName>
    <definedName name="sasa_3" hidden="1">{#N/A,#N/A,FALSE,"CCTV"}</definedName>
    <definedName name="sasa_4" localSheetId="5" hidden="1">{#N/A,#N/A,FALSE,"CCTV"}</definedName>
    <definedName name="sasa_4" hidden="1">{#N/A,#N/A,FALSE,"CCTV"}</definedName>
    <definedName name="sasa_5" localSheetId="5" hidden="1">{#N/A,#N/A,FALSE,"CCTV"}</definedName>
    <definedName name="sasa_5" hidden="1">{#N/A,#N/A,FALSE,"CCTV"}</definedName>
    <definedName name="sd" localSheetId="5" hidden="1">{"'Sheet1'!$L$16"}</definedName>
    <definedName name="sd" localSheetId="9" hidden="1">{"'Sheet1'!$L$16"}</definedName>
    <definedName name="sd" localSheetId="10" hidden="1">{"'Sheet1'!$L$16"}</definedName>
    <definedName name="sd" localSheetId="6" hidden="1">{"'Sheet1'!$L$16"}</definedName>
    <definedName name="sd" localSheetId="3" hidden="1">{"'Sheet1'!$L$16"}</definedName>
    <definedName name="sd" hidden="1">{"'Sheet1'!$L$16"}</definedName>
    <definedName name="sda" localSheetId="5" hidden="1">{#N/A,#N/A,TRUE,"arnitower";#N/A,#N/A,TRUE,"arnigarage "}</definedName>
    <definedName name="sda" hidden="1">{#N/A,#N/A,TRUE,"arnitower";#N/A,#N/A,TRUE,"arnigarage "}</definedName>
    <definedName name="SDDF" localSheetId="5" hidden="1">{#N/A,#N/A,TRUE,"arnitower";#N/A,#N/A,TRUE,"arnigarage "}</definedName>
    <definedName name="SDDF" hidden="1">{#N/A,#N/A,TRUE,"arnitower";#N/A,#N/A,TRUE,"arnigarage "}</definedName>
    <definedName name="sdfdf" localSheetId="5" hidden="1">{"'장비'!$A$3:$M$12"}</definedName>
    <definedName name="sdfdf" hidden="1">{"'장비'!$A$3:$M$12"}</definedName>
    <definedName name="sdfdf_1" localSheetId="5" hidden="1">{"'장비'!$A$3:$M$12"}</definedName>
    <definedName name="sdfdf_1" hidden="1">{"'장비'!$A$3:$M$12"}</definedName>
    <definedName name="sdfdf_2" localSheetId="5" hidden="1">{"'장비'!$A$3:$M$12"}</definedName>
    <definedName name="sdfdf_2" hidden="1">{"'장비'!$A$3:$M$12"}</definedName>
    <definedName name="sdfdf_3" localSheetId="5" hidden="1">{"'장비'!$A$3:$M$12"}</definedName>
    <definedName name="sdfdf_3" hidden="1">{"'장비'!$A$3:$M$12"}</definedName>
    <definedName name="sdfdf_4" localSheetId="5" hidden="1">{"'장비'!$A$3:$M$12"}</definedName>
    <definedName name="sdfdf_4" hidden="1">{"'장비'!$A$3:$M$12"}</definedName>
    <definedName name="sdfdf_5" localSheetId="5" hidden="1">{"'장비'!$A$3:$M$12"}</definedName>
    <definedName name="sdfdf_5" hidden="1">{"'장비'!$A$3:$M$12"}</definedName>
    <definedName name="sdfg" localSheetId="9" hidden="1">#REF!</definedName>
    <definedName name="sdfg" localSheetId="10" hidden="1">#REF!</definedName>
    <definedName name="sdfg" localSheetId="3" hidden="1">{#N/A,#N/A,FALSE,"이태원철근"}</definedName>
    <definedName name="sdfg" hidden="1">#REF!</definedName>
    <definedName name="SDFSDFAF" hidden="1">#REF!</definedName>
    <definedName name="sdfsgd" localSheetId="5" hidden="1">{#N/A,#N/A,FALSE,"이태원철근"}</definedName>
    <definedName name="sdfsgd" hidden="1">{#N/A,#N/A,FALSE,"이태원철근"}</definedName>
    <definedName name="sds" localSheetId="5" hidden="1">{#N/A,#N/A,TRUE,"arnitower";#N/A,#N/A,TRUE,"arnigarage "}</definedName>
    <definedName name="sds" hidden="1">{#N/A,#N/A,TRUE,"arnitower";#N/A,#N/A,TRUE,"arnigarage "}</definedName>
    <definedName name="SERVICE" localSheetId="5" hidden="1">{#N/A,#N/A,FALSE,"이태원철근"}</definedName>
    <definedName name="SERVICE" hidden="1">{#N/A,#N/A,FALSE,"이태원철근"}</definedName>
    <definedName name="SF" localSheetId="5" hidden="1">{#N/A,#N/A,FALSE,"이태원철근"}</definedName>
    <definedName name="SF" hidden="1">{#N/A,#N/A,FALSE,"이태원철근"}</definedName>
    <definedName name="SFFF" hidden="1">#REF!</definedName>
    <definedName name="SFFFFF" hidden="1">#REF!</definedName>
    <definedName name="SHEET03" localSheetId="5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9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10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6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localSheetId="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03" hidden="1">{#N/A,#N/A,FALSE,"0XX_1";#N/A,#N/A,FALSE,"OXX_2";#N/A,#N/A,FALSE,"0XX_3";#N/A,#N/A,FALSE,"0XX_4";#N/A,#N/A,FALSE,"0XX_5";#N/A,#N/A,FALSE,"0XX_6";#N/A,#N/A,FALSE,"1XX_1";#N/A,#N/A,FALSE,"1XX_2";#N/A,#N/A,FALSE,"2XX_1";#N/A,#N/A,FALSE,"2XX_2";#N/A,#N/A,FALSE,"2XX_3";#N/A,#N/A,FALSE,"2XX_4";#N/A,#N/A,FALSE,"3XX_1";#N/A,#N/A,FALSE,"3XX_2";#N/A,#N/A,FALSE,"3XX_3";#N/A,#N/A,FALSE,"3XX_4";#N/A,#N/A,FALSE,"3XX_5";#N/A,#N/A,FALSE,"3XX_6";#N/A,#N/A,FALSE,"3XX_7";#N/A,#N/A,FALSE,"3XX_8";#N/A,#N/A,FALSE,"3XX_9";#N/A,#N/A,FALSE,"4XX_1";#N/A,#N/A,FALSE,"4XX_2";#N/A,#N/A,FALSE,"4XX_3";#N/A,#N/A,FALSE,"5XX_1";#N/A,#N/A,FALSE,"5XX_2";#N/A,#N/A,FALSE,"6XX_1";#N/A,#N/A,FALSE,"6XX_2";#N/A,#N/A,FALSE,"6XX_3";#N/A,#N/A,FALSE,"6XX_4";#N/A,#N/A,FALSE,"7XX_1";#N/A,#N/A,FALSE,"7XX_2";#N/A,#N/A,FALSE,"8XX_1";#N/A,#N/A,FALSE,"8XX_2"}</definedName>
    <definedName name="SHEET100" hidden="1">#REF!</definedName>
    <definedName name="SHELTER" localSheetId="5" hidden="1">{#N/A,#N/A,TRUE,"Basic";#N/A,#N/A,TRUE,"EXT-TABLE";#N/A,#N/A,TRUE,"STEEL";#N/A,#N/A,TRUE,"INT-Table";#N/A,#N/A,TRUE,"STEEL";#N/A,#N/A,TRUE,"Door"}</definedName>
    <definedName name="SHELTER" localSheetId="9" hidden="1">{#N/A,#N/A,TRUE,"Basic";#N/A,#N/A,TRUE,"EXT-TABLE";#N/A,#N/A,TRUE,"STEEL";#N/A,#N/A,TRUE,"INT-Table";#N/A,#N/A,TRUE,"STEEL";#N/A,#N/A,TRUE,"Door"}</definedName>
    <definedName name="SHELTER" localSheetId="10" hidden="1">{#N/A,#N/A,TRUE,"Basic";#N/A,#N/A,TRUE,"EXT-TABLE";#N/A,#N/A,TRUE,"STEEL";#N/A,#N/A,TRUE,"INT-Table";#N/A,#N/A,TRUE,"STEEL";#N/A,#N/A,TRUE,"Door"}</definedName>
    <definedName name="SHELTER" localSheetId="6" hidden="1">{#N/A,#N/A,TRUE,"Basic";#N/A,#N/A,TRUE,"EXT-TABLE";#N/A,#N/A,TRUE,"STEEL";#N/A,#N/A,TRUE,"INT-Table";#N/A,#N/A,TRUE,"STEEL";#N/A,#N/A,TRUE,"Door"}</definedName>
    <definedName name="SHELTER" localSheetId="3" hidden="1">{#N/A,#N/A,TRUE,"Basic";#N/A,#N/A,TRUE,"EXT-TABLE";#N/A,#N/A,TRUE,"STEEL";#N/A,#N/A,TRUE,"INT-Table";#N/A,#N/A,TRUE,"STEEL";#N/A,#N/A,TRUE,"Door"}</definedName>
    <definedName name="SHELTER" hidden="1">{#N/A,#N/A,TRUE,"Basic";#N/A,#N/A,TRUE,"EXT-TABLE";#N/A,#N/A,TRUE,"STEEL";#N/A,#N/A,TRUE,"INT-Table";#N/A,#N/A,TRUE,"STEEL";#N/A,#N/A,TRUE,"Door"}</definedName>
    <definedName name="SHELTER_1" localSheetId="5" hidden="1">{#N/A,#N/A,TRUE,"Basic";#N/A,#N/A,TRUE,"EXT-TABLE";#N/A,#N/A,TRUE,"STEEL";#N/A,#N/A,TRUE,"INT-Table";#N/A,#N/A,TRUE,"STEEL";#N/A,#N/A,TRUE,"Door"}</definedName>
    <definedName name="SHELTER_1" hidden="1">{#N/A,#N/A,TRUE,"Basic";#N/A,#N/A,TRUE,"EXT-TABLE";#N/A,#N/A,TRUE,"STEEL";#N/A,#N/A,TRUE,"INT-Table";#N/A,#N/A,TRUE,"STEEL";#N/A,#N/A,TRUE,"Door"}</definedName>
    <definedName name="SHELTER_2" localSheetId="5" hidden="1">{#N/A,#N/A,TRUE,"Basic";#N/A,#N/A,TRUE,"EXT-TABLE";#N/A,#N/A,TRUE,"STEEL";#N/A,#N/A,TRUE,"INT-Table";#N/A,#N/A,TRUE,"STEEL";#N/A,#N/A,TRUE,"Door"}</definedName>
    <definedName name="SHELTER_2" hidden="1">{#N/A,#N/A,TRUE,"Basic";#N/A,#N/A,TRUE,"EXT-TABLE";#N/A,#N/A,TRUE,"STEEL";#N/A,#N/A,TRUE,"INT-Table";#N/A,#N/A,TRUE,"STEEL";#N/A,#N/A,TRUE,"Door"}</definedName>
    <definedName name="SHELTER_3" localSheetId="5" hidden="1">{#N/A,#N/A,TRUE,"Basic";#N/A,#N/A,TRUE,"EXT-TABLE";#N/A,#N/A,TRUE,"STEEL";#N/A,#N/A,TRUE,"INT-Table";#N/A,#N/A,TRUE,"STEEL";#N/A,#N/A,TRUE,"Door"}</definedName>
    <definedName name="SHELTER_3" hidden="1">{#N/A,#N/A,TRUE,"Basic";#N/A,#N/A,TRUE,"EXT-TABLE";#N/A,#N/A,TRUE,"STEEL";#N/A,#N/A,TRUE,"INT-Table";#N/A,#N/A,TRUE,"STEEL";#N/A,#N/A,TRUE,"Door"}</definedName>
    <definedName name="SHELTER_4" localSheetId="5" hidden="1">{#N/A,#N/A,TRUE,"Basic";#N/A,#N/A,TRUE,"EXT-TABLE";#N/A,#N/A,TRUE,"STEEL";#N/A,#N/A,TRUE,"INT-Table";#N/A,#N/A,TRUE,"STEEL";#N/A,#N/A,TRUE,"Door"}</definedName>
    <definedName name="SHELTER_4" hidden="1">{#N/A,#N/A,TRUE,"Basic";#N/A,#N/A,TRUE,"EXT-TABLE";#N/A,#N/A,TRUE,"STEEL";#N/A,#N/A,TRUE,"INT-Table";#N/A,#N/A,TRUE,"STEEL";#N/A,#N/A,TRUE,"Door"}</definedName>
    <definedName name="SHELTER_5" localSheetId="5" hidden="1">{#N/A,#N/A,TRUE,"Basic";#N/A,#N/A,TRUE,"EXT-TABLE";#N/A,#N/A,TRUE,"STEEL";#N/A,#N/A,TRUE,"INT-Table";#N/A,#N/A,TRUE,"STEEL";#N/A,#N/A,TRUE,"Door"}</definedName>
    <definedName name="SHELTER_5" hidden="1">{#N/A,#N/A,TRUE,"Basic";#N/A,#N/A,TRUE,"EXT-TABLE";#N/A,#N/A,TRUE,"STEEL";#N/A,#N/A,TRUE,"INT-Table";#N/A,#N/A,TRUE,"STEEL";#N/A,#N/A,TRUE,"Door"}</definedName>
    <definedName name="shutt" localSheetId="9" hidden="1">#REF!</definedName>
    <definedName name="shutt" localSheetId="10" hidden="1">#REF!</definedName>
    <definedName name="shutt" hidden="1">#REF!</definedName>
    <definedName name="SKI" hidden="1">#REF!</definedName>
    <definedName name="SLH" hidden="1">#REF!</definedName>
    <definedName name="sort" localSheetId="9" hidden="1">#REF!</definedName>
    <definedName name="sort" localSheetId="10" hidden="1">#REF!</definedName>
    <definedName name="sort" hidden="1">#REF!</definedName>
    <definedName name="SORT1" hidden="1">#REF!</definedName>
    <definedName name="SSS" localSheetId="5" hidden="1">{#N/A,#N/A,FALSE,"CCTV"}</definedName>
    <definedName name="SSS" localSheetId="9" hidden="1">{#N/A,#N/A,FALSE,"CCTV"}</definedName>
    <definedName name="SSS" localSheetId="10" hidden="1">{#N/A,#N/A,FALSE,"CCTV"}</definedName>
    <definedName name="SSS" localSheetId="6" hidden="1">{#N/A,#N/A,FALSE,"CCTV"}</definedName>
    <definedName name="SSS" localSheetId="3" hidden="1">{#N/A,#N/A,FALSE,"CCTV"}</definedName>
    <definedName name="SSS" hidden="1">{#N/A,#N/A,FALSE,"CCTV"}</definedName>
    <definedName name="SSS_1" localSheetId="5" hidden="1">{#N/A,#N/A,FALSE,"CCTV"}</definedName>
    <definedName name="SSS_1" localSheetId="9" hidden="1">{#N/A,#N/A,FALSE,"CCTV"}</definedName>
    <definedName name="SSS_1" localSheetId="10" hidden="1">{#N/A,#N/A,FALSE,"CCTV"}</definedName>
    <definedName name="SSS_1" localSheetId="6" hidden="1">{#N/A,#N/A,FALSE,"CCTV"}</definedName>
    <definedName name="sss_1" localSheetId="3" hidden="1">{#N/A,#N/A,FALSE,"전력간선"}</definedName>
    <definedName name="SSS_1" hidden="1">{#N/A,#N/A,FALSE,"CCTV"}</definedName>
    <definedName name="sss_2" localSheetId="5" hidden="1">{#N/A,#N/A,FALSE,"전력간선"}</definedName>
    <definedName name="sss_2" hidden="1">{#N/A,#N/A,FALSE,"전력간선"}</definedName>
    <definedName name="sss_3" localSheetId="5" hidden="1">{#N/A,#N/A,FALSE,"전력간선"}</definedName>
    <definedName name="sss_3" hidden="1">{#N/A,#N/A,FALSE,"전력간선"}</definedName>
    <definedName name="sss_4" localSheetId="5" hidden="1">{#N/A,#N/A,FALSE,"전력간선"}</definedName>
    <definedName name="sss_4" hidden="1">{#N/A,#N/A,FALSE,"전력간선"}</definedName>
    <definedName name="sss_5" localSheetId="5" hidden="1">{#N/A,#N/A,FALSE,"전력간선"}</definedName>
    <definedName name="sss_5" hidden="1">{#N/A,#N/A,FALSE,"전력간선"}</definedName>
    <definedName name="ssss" localSheetId="5" hidden="1">{#N/A,#N/A,TRUE,"Basic";#N/A,#N/A,TRUE,"EXT-TABLE";#N/A,#N/A,TRUE,"STEEL";#N/A,#N/A,TRUE,"INT-Table";#N/A,#N/A,TRUE,"STEEL";#N/A,#N/A,TRUE,"Door"}</definedName>
    <definedName name="ssss" localSheetId="9" hidden="1">{#N/A,#N/A,TRUE,"Basic";#N/A,#N/A,TRUE,"EXT-TABLE";#N/A,#N/A,TRUE,"STEEL";#N/A,#N/A,TRUE,"INT-Table";#N/A,#N/A,TRUE,"STEEL";#N/A,#N/A,TRUE,"Door"}</definedName>
    <definedName name="ssss" localSheetId="10" hidden="1">{#N/A,#N/A,TRUE,"Basic";#N/A,#N/A,TRUE,"EXT-TABLE";#N/A,#N/A,TRUE,"STEEL";#N/A,#N/A,TRUE,"INT-Table";#N/A,#N/A,TRUE,"STEEL";#N/A,#N/A,TRUE,"Door"}</definedName>
    <definedName name="ssss" localSheetId="6" hidden="1">{#N/A,#N/A,TRUE,"Basic";#N/A,#N/A,TRUE,"EXT-TABLE";#N/A,#N/A,TRUE,"STEEL";#N/A,#N/A,TRUE,"INT-Table";#N/A,#N/A,TRUE,"STEEL";#N/A,#N/A,TRUE,"Door"}</definedName>
    <definedName name="ssss" localSheetId="3" hidden="1">{#N/A,#N/A,TRUE,"Basic";#N/A,#N/A,TRUE,"EXT-TABLE";#N/A,#N/A,TRUE,"STEEL";#N/A,#N/A,TRUE,"INT-Table";#N/A,#N/A,TRUE,"STEEL";#N/A,#N/A,TRUE,"Door"}</definedName>
    <definedName name="ssss" hidden="1">{#N/A,#N/A,TRUE,"Basic";#N/A,#N/A,TRUE,"EXT-TABLE";#N/A,#N/A,TRUE,"STEEL";#N/A,#N/A,TRUE,"INT-Table";#N/A,#N/A,TRUE,"STEEL";#N/A,#N/A,TRUE,"Door"}</definedName>
    <definedName name="sssss" localSheetId="5" hidden="1">{#N/A,#N/A,TRUE,"arnitower";#N/A,#N/A,TRUE,"arnigarage "}</definedName>
    <definedName name="sssss" hidden="1">{#N/A,#N/A,TRUE,"arnitower";#N/A,#N/A,TRUE,"arnigarage "}</definedName>
    <definedName name="sssss_1" localSheetId="5" hidden="1">{#N/A,#N/A,TRUE,"arnitower";#N/A,#N/A,TRUE,"arnigarage "}</definedName>
    <definedName name="sssss_1" hidden="1">{#N/A,#N/A,TRUE,"arnitower";#N/A,#N/A,TRUE,"arnigarage "}</definedName>
    <definedName name="sssss_2" localSheetId="5" hidden="1">{#N/A,#N/A,TRUE,"arnitower";#N/A,#N/A,TRUE,"arnigarage "}</definedName>
    <definedName name="sssss_2" hidden="1">{#N/A,#N/A,TRUE,"arnitower";#N/A,#N/A,TRUE,"arnigarage "}</definedName>
    <definedName name="sssss_3" localSheetId="5" hidden="1">{#N/A,#N/A,TRUE,"arnitower";#N/A,#N/A,TRUE,"arnigarage "}</definedName>
    <definedName name="sssss_3" hidden="1">{#N/A,#N/A,TRUE,"arnitower";#N/A,#N/A,TRUE,"arnigarage "}</definedName>
    <definedName name="sssss_4" localSheetId="5" hidden="1">{#N/A,#N/A,TRUE,"arnitower";#N/A,#N/A,TRUE,"arnigarage "}</definedName>
    <definedName name="sssss_4" hidden="1">{#N/A,#N/A,TRUE,"arnitower";#N/A,#N/A,TRUE,"arnigarage "}</definedName>
    <definedName name="sssss_5" localSheetId="5" hidden="1">{#N/A,#N/A,TRUE,"arnitower";#N/A,#N/A,TRUE,"arnigarage "}</definedName>
    <definedName name="sssss_5" hidden="1">{#N/A,#N/A,TRUE,"arnitower";#N/A,#N/A,TRUE,"arnigarage "}</definedName>
    <definedName name="SSSSSSSSSS" localSheetId="5" hidden="1">{#N/A,#N/A,TRUE,"총괄"}</definedName>
    <definedName name="SSSSSSSSSS" hidden="1">{#N/A,#N/A,TRUE,"총괄"}</definedName>
    <definedName name="SSSSSSSSSS_1" localSheetId="5" hidden="1">{#N/A,#N/A,TRUE,"총괄"}</definedName>
    <definedName name="SSSSSSSSSS_1" hidden="1">{#N/A,#N/A,TRUE,"총괄"}</definedName>
    <definedName name="SSSSSSSSSS_2" localSheetId="5" hidden="1">{#N/A,#N/A,TRUE,"총괄"}</definedName>
    <definedName name="SSSSSSSSSS_2" hidden="1">{#N/A,#N/A,TRUE,"총괄"}</definedName>
    <definedName name="SSSSSSSSSS_3" localSheetId="5" hidden="1">{#N/A,#N/A,TRUE,"총괄"}</definedName>
    <definedName name="SSSSSSSSSS_3" hidden="1">{#N/A,#N/A,TRUE,"총괄"}</definedName>
    <definedName name="SSSSSSSSSS_4" localSheetId="5" hidden="1">{#N/A,#N/A,TRUE,"총괄"}</definedName>
    <definedName name="SSSSSSSSSS_4" hidden="1">{#N/A,#N/A,TRUE,"총괄"}</definedName>
    <definedName name="SSSSSSSSSS_5" localSheetId="5" hidden="1">{#N/A,#N/A,TRUE,"총괄"}</definedName>
    <definedName name="SSSSSSSSSS_5" hidden="1">{#N/A,#N/A,TRUE,"총괄"}</definedName>
    <definedName name="sum" localSheetId="5" hidden="1">{#N/A,#N/A,TRUE,"Basic";#N/A,#N/A,TRUE,"EXT-TABLE";#N/A,#N/A,TRUE,"STEEL";#N/A,#N/A,TRUE,"INT-Table";#N/A,#N/A,TRUE,"STEEL";#N/A,#N/A,TRUE,"Door"}</definedName>
    <definedName name="sum" localSheetId="9" hidden="1">{#N/A,#N/A,TRUE,"Basic";#N/A,#N/A,TRUE,"EXT-TABLE";#N/A,#N/A,TRUE,"STEEL";#N/A,#N/A,TRUE,"INT-Table";#N/A,#N/A,TRUE,"STEEL";#N/A,#N/A,TRUE,"Door"}</definedName>
    <definedName name="sum" localSheetId="10" hidden="1">{#N/A,#N/A,TRUE,"Basic";#N/A,#N/A,TRUE,"EXT-TABLE";#N/A,#N/A,TRUE,"STEEL";#N/A,#N/A,TRUE,"INT-Table";#N/A,#N/A,TRUE,"STEEL";#N/A,#N/A,TRUE,"Door"}</definedName>
    <definedName name="sum" localSheetId="6" hidden="1">{#N/A,#N/A,TRUE,"Basic";#N/A,#N/A,TRUE,"EXT-TABLE";#N/A,#N/A,TRUE,"STEEL";#N/A,#N/A,TRUE,"INT-Table";#N/A,#N/A,TRUE,"STEEL";#N/A,#N/A,TRUE,"Door"}</definedName>
    <definedName name="sum" localSheetId="3" hidden="1">{#N/A,#N/A,TRUE,"Basic";#N/A,#N/A,TRUE,"EXT-TABLE";#N/A,#N/A,TRUE,"STEEL";#N/A,#N/A,TRUE,"INT-Table";#N/A,#N/A,TRUE,"STEEL";#N/A,#N/A,TRUE,"Door"}</definedName>
    <definedName name="sum" hidden="1">{#N/A,#N/A,TRUE,"Basic";#N/A,#N/A,TRUE,"EXT-TABLE";#N/A,#N/A,TRUE,"STEEL";#N/A,#N/A,TRUE,"INT-Table";#N/A,#N/A,TRUE,"STEEL";#N/A,#N/A,TRUE,"Door"}</definedName>
    <definedName name="Sum_Inst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A" localSheetId="5" hidden="1">{#N/A,#N/A,FALSE,"CCTV"}</definedName>
    <definedName name="TA" localSheetId="9" hidden="1">{#N/A,#N/A,FALSE,"CCTV"}</definedName>
    <definedName name="TA" localSheetId="10" hidden="1">{#N/A,#N/A,FALSE,"CCTV"}</definedName>
    <definedName name="TA" localSheetId="6" hidden="1">{#N/A,#N/A,FALSE,"CCTV"}</definedName>
    <definedName name="TA" localSheetId="3" hidden="1">{#N/A,#N/A,FALSE,"CCTV"}</definedName>
    <definedName name="TA" hidden="1">{#N/A,#N/A,FALSE,"CCTV"}</definedName>
    <definedName name="TA_1" localSheetId="5" hidden="1">{#N/A,#N/A,FALSE,"CCTV"}</definedName>
    <definedName name="TA_1" localSheetId="9" hidden="1">{#N/A,#N/A,FALSE,"CCTV"}</definedName>
    <definedName name="TA_1" localSheetId="10" hidden="1">{#N/A,#N/A,FALSE,"CCTV"}</definedName>
    <definedName name="TA_1" localSheetId="6" hidden="1">{#N/A,#N/A,FALSE,"CCTV"}</definedName>
    <definedName name="TA_1" localSheetId="3" hidden="1">{#N/A,#N/A,FALSE,"CCTV"}</definedName>
    <definedName name="TA_1" hidden="1">{#N/A,#N/A,FALSE,"CCTV"}</definedName>
    <definedName name="testing" localSheetId="9" hidden="1">#REF!</definedName>
    <definedName name="testing" localSheetId="10" hidden="1">#REF!</definedName>
    <definedName name="testing" hidden="1">#REF!</definedName>
    <definedName name="TEWRER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G" localSheetId="5" hidden="1">{#N/A,#N/A,FALSE,"CCTV"}</definedName>
    <definedName name="TG" localSheetId="9" hidden="1">{#N/A,#N/A,FALSE,"CCTV"}</definedName>
    <definedName name="TG" localSheetId="10" hidden="1">{#N/A,#N/A,FALSE,"CCTV"}</definedName>
    <definedName name="TG" localSheetId="6" hidden="1">{#N/A,#N/A,FALSE,"CCTV"}</definedName>
    <definedName name="TG" localSheetId="3" hidden="1">{#N/A,#N/A,FALSE,"CCTV"}</definedName>
    <definedName name="TG" hidden="1">{#N/A,#N/A,FALSE,"CCTV"}</definedName>
    <definedName name="TG_1" localSheetId="5" hidden="1">{#N/A,#N/A,FALSE,"CCTV"}</definedName>
    <definedName name="TG_1" hidden="1">{#N/A,#N/A,FALSE,"CCTV"}</definedName>
    <definedName name="TG_2" localSheetId="5" hidden="1">{#N/A,#N/A,FALSE,"CCTV"}</definedName>
    <definedName name="TG_2" hidden="1">{#N/A,#N/A,FALSE,"CCTV"}</definedName>
    <definedName name="TG_3" localSheetId="5" hidden="1">{#N/A,#N/A,FALSE,"CCTV"}</definedName>
    <definedName name="TG_3" hidden="1">{#N/A,#N/A,FALSE,"CCTV"}</definedName>
    <definedName name="TG_4" localSheetId="5" hidden="1">{#N/A,#N/A,FALSE,"CCTV"}</definedName>
    <definedName name="TG_4" hidden="1">{#N/A,#N/A,FALSE,"CCTV"}</definedName>
    <definedName name="TG_5" localSheetId="5" hidden="1">{#N/A,#N/A,FALSE,"CCTV"}</definedName>
    <definedName name="TG_5" hidden="1">{#N/A,#N/A,FALSE,"CCTV"}</definedName>
    <definedName name="TI_CLAD" localSheetId="5" hidden="1">{#N/A,#N/A,FALSE,"Sheet1"}</definedName>
    <definedName name="TI_CLAD" hidden="1">{#N/A,#N/A,FALSE,"Sheet1"}</definedName>
    <definedName name="tidf" localSheetId="5" hidden="1">{"'Sheet1'!$L$16"}</definedName>
    <definedName name="tidf" localSheetId="9" hidden="1">{"'Sheet1'!$L$16"}</definedName>
    <definedName name="tidf" localSheetId="10" hidden="1">{"'Sheet1'!$L$16"}</definedName>
    <definedName name="tidf" localSheetId="6" hidden="1">{"'Sheet1'!$L$16"}</definedName>
    <definedName name="tidf" localSheetId="3" hidden="1">{"'Sheet1'!$L$16"}</definedName>
    <definedName name="tidf" hidden="1">{"'Sheet1'!$L$16"}</definedName>
    <definedName name="TIEIN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5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_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meext" localSheetId="5" hidden="1">{#N/A,#N/A,FALSE,"TABLE"}</definedName>
    <definedName name="timeext" hidden="1">{#N/A,#N/A,FALSE,"TABLE"}</definedName>
    <definedName name="tj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jd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LS" localSheetId="5" hidden="1">{"LKD",#N/A,FALSE,"표지"}</definedName>
    <definedName name="TLS" hidden="1">{"LKD",#N/A,FALSE,"표지"}</definedName>
    <definedName name="TLS_1" localSheetId="5" hidden="1">{"LKD",#N/A,FALSE,"표지"}</definedName>
    <definedName name="TLS_1" hidden="1">{"LKD",#N/A,FALSE,"표지"}</definedName>
    <definedName name="TLS_2" localSheetId="5" hidden="1">{"LKD",#N/A,FALSE,"표지"}</definedName>
    <definedName name="TLS_2" hidden="1">{"LKD",#N/A,FALSE,"표지"}</definedName>
    <definedName name="TLS_3" localSheetId="5" hidden="1">{"LKD",#N/A,FALSE,"표지"}</definedName>
    <definedName name="TLS_3" hidden="1">{"LKD",#N/A,FALSE,"표지"}</definedName>
    <definedName name="TLS_4" localSheetId="5" hidden="1">{"LKD",#N/A,FALSE,"표지"}</definedName>
    <definedName name="TLS_4" hidden="1">{"LKD",#N/A,FALSE,"표지"}</definedName>
    <definedName name="TLS_5" localSheetId="5" hidden="1">{"LKD",#N/A,FALSE,"표지"}</definedName>
    <definedName name="TLS_5" hidden="1">{"LKD",#N/A,FALSE,"표지"}</definedName>
    <definedName name="tmp" localSheetId="5" hidden="1">{#N/A,#N/A,FALSE,"회선임차현황"}</definedName>
    <definedName name="tmp" hidden="1">{#N/A,#N/A,FALSE,"회선임차현황"}</definedName>
    <definedName name="TSUPPOT" localSheetId="5" hidden="1">{#N/A,#N/A,FALSE,"CCTV"}</definedName>
    <definedName name="TSUPPOT" localSheetId="9" hidden="1">{#N/A,#N/A,FALSE,"CCTV"}</definedName>
    <definedName name="TSUPPOT" localSheetId="10" hidden="1">{#N/A,#N/A,FALSE,"CCTV"}</definedName>
    <definedName name="TSUPPOT" localSheetId="6" hidden="1">{#N/A,#N/A,FALSE,"CCTV"}</definedName>
    <definedName name="TSUPPOT" localSheetId="3" hidden="1">{#N/A,#N/A,FALSE,"CCTV"}</definedName>
    <definedName name="TSUPPOT" hidden="1">{#N/A,#N/A,FALSE,"CCTV"}</definedName>
    <definedName name="TSUPPOT_1" localSheetId="5" hidden="1">{#N/A,#N/A,FALSE,"CCTV"}</definedName>
    <definedName name="TSUPPOT_1" localSheetId="9" hidden="1">{#N/A,#N/A,FALSE,"CCTV"}</definedName>
    <definedName name="TSUPPOT_1" localSheetId="10" hidden="1">{#N/A,#N/A,FALSE,"CCTV"}</definedName>
    <definedName name="TSUPPOT_1" localSheetId="6" hidden="1">{#N/A,#N/A,FALSE,"CCTV"}</definedName>
    <definedName name="TSUPPOT_1" localSheetId="3" hidden="1">{#N/A,#N/A,FALSE,"CCTV"}</definedName>
    <definedName name="TSUPPOT_1" hidden="1">{#N/A,#N/A,FALSE,"CCTV"}</definedName>
    <definedName name="TSUPPOT_2" localSheetId="5" hidden="1">{#N/A,#N/A,FALSE,"CCTV"}</definedName>
    <definedName name="TSUPPOT_2" hidden="1">{#N/A,#N/A,FALSE,"CCTV"}</definedName>
    <definedName name="TSUPPOT_3" localSheetId="5" hidden="1">{#N/A,#N/A,FALSE,"CCTV"}</definedName>
    <definedName name="TSUPPOT_3" hidden="1">{#N/A,#N/A,FALSE,"CCTV"}</definedName>
    <definedName name="TSUPPOT_4" localSheetId="5" hidden="1">{#N/A,#N/A,FALSE,"CCTV"}</definedName>
    <definedName name="TSUPPOT_4" hidden="1">{#N/A,#N/A,FALSE,"CCTV"}</definedName>
    <definedName name="TSUPPOT_5" localSheetId="5" hidden="1">{#N/A,#N/A,FALSE,"CCTV"}</definedName>
    <definedName name="TSUPPOT_5" hidden="1">{#N/A,#N/A,FALSE,"CCTV"}</definedName>
    <definedName name="TT" localSheetId="9" hidden="1">#REF!</definedName>
    <definedName name="TT" localSheetId="10" hidden="1">#REF!</definedName>
    <definedName name="TT" hidden="1">#REF!</definedName>
    <definedName name="TUBE" localSheetId="5" hidden="1">{#N/A,#N/A,FALSE,"CCTV"}</definedName>
    <definedName name="TUBE" localSheetId="9" hidden="1">{#N/A,#N/A,FALSE,"CCTV"}</definedName>
    <definedName name="TUBE" localSheetId="10" hidden="1">{#N/A,#N/A,FALSE,"CCTV"}</definedName>
    <definedName name="TUBE" localSheetId="6" hidden="1">{#N/A,#N/A,FALSE,"CCTV"}</definedName>
    <definedName name="TUBE" localSheetId="3" hidden="1">{#N/A,#N/A,FALSE,"CCTV"}</definedName>
    <definedName name="TUBE" hidden="1">{#N/A,#N/A,FALSE,"CCTV"}</definedName>
    <definedName name="TUBE_1" localSheetId="5" hidden="1">{#N/A,#N/A,FALSE,"CCTV"}</definedName>
    <definedName name="TUBE_1" localSheetId="9" hidden="1">{#N/A,#N/A,FALSE,"CCTV"}</definedName>
    <definedName name="TUBE_1" localSheetId="10" hidden="1">{#N/A,#N/A,FALSE,"CCTV"}</definedName>
    <definedName name="TUBE_1" localSheetId="6" hidden="1">{#N/A,#N/A,FALSE,"CCTV"}</definedName>
    <definedName name="TUBE_1" localSheetId="3" hidden="1">{#N/A,#N/A,FALSE,"CCTV"}</definedName>
    <definedName name="TUBE_1" hidden="1">{#N/A,#N/A,FALSE,"CCTV"}</definedName>
    <definedName name="TUBE_2" localSheetId="5" hidden="1">{#N/A,#N/A,FALSE,"CCTV"}</definedName>
    <definedName name="TUBE_2" hidden="1">{#N/A,#N/A,FALSE,"CCTV"}</definedName>
    <definedName name="TUBE_3" localSheetId="5" hidden="1">{#N/A,#N/A,FALSE,"CCTV"}</definedName>
    <definedName name="TUBE_3" hidden="1">{#N/A,#N/A,FALSE,"CCTV"}</definedName>
    <definedName name="TUBE_4" localSheetId="5" hidden="1">{#N/A,#N/A,FALSE,"CCTV"}</definedName>
    <definedName name="TUBE_4" hidden="1">{#N/A,#N/A,FALSE,"CCTV"}</definedName>
    <definedName name="TUBE_5" localSheetId="5" hidden="1">{#N/A,#N/A,FALSE,"CCTV"}</definedName>
    <definedName name="TUBE_5" hidden="1">{#N/A,#N/A,FALSE,"CCTV"}</definedName>
    <definedName name="TV" localSheetId="5" hidden="1">{#N/A,#N/A,FALSE,"CCTV"}</definedName>
    <definedName name="TV" hidden="1">{#N/A,#N/A,FALSE,"CCTV"}</definedName>
    <definedName name="TV_1" localSheetId="5" hidden="1">{#N/A,#N/A,FALSE,"CCTV"}</definedName>
    <definedName name="TV_1" hidden="1">{#N/A,#N/A,FALSE,"CCTV"}</definedName>
    <definedName name="TV_2" localSheetId="5" hidden="1">{#N/A,#N/A,FALSE,"CCTV"}</definedName>
    <definedName name="TV_2" hidden="1">{#N/A,#N/A,FALSE,"CCTV"}</definedName>
    <definedName name="TV_3" localSheetId="5" hidden="1">{#N/A,#N/A,FALSE,"CCTV"}</definedName>
    <definedName name="TV_3" hidden="1">{#N/A,#N/A,FALSE,"CCTV"}</definedName>
    <definedName name="TV_4" localSheetId="5" hidden="1">{#N/A,#N/A,FALSE,"CCTV"}</definedName>
    <definedName name="TV_4" hidden="1">{#N/A,#N/A,FALSE,"CCTV"}</definedName>
    <definedName name="TV_5" localSheetId="5" hidden="1">{#N/A,#N/A,FALSE,"CCTV"}</definedName>
    <definedName name="TV_5" hidden="1">{#N/A,#N/A,FALSE,"CCTV"}</definedName>
    <definedName name="TY" localSheetId="9" hidden="1">#REF!</definedName>
    <definedName name="TY" localSheetId="10" hidden="1">#REF!</definedName>
    <definedName name="TY" hidden="1">#REF!</definedName>
    <definedName name="tyt" localSheetId="5" hidden="1">{"'장비'!$A$3:$M$12"}</definedName>
    <definedName name="tyt" hidden="1">{"'장비'!$A$3:$M$12"}</definedName>
    <definedName name="tyt_1" localSheetId="5" hidden="1">{"'장비'!$A$3:$M$12"}</definedName>
    <definedName name="tyt_1" hidden="1">{"'장비'!$A$3:$M$12"}</definedName>
    <definedName name="tyt_2" localSheetId="5" hidden="1">{"'장비'!$A$3:$M$12"}</definedName>
    <definedName name="tyt_2" hidden="1">{"'장비'!$A$3:$M$12"}</definedName>
    <definedName name="tyt_3" localSheetId="5" hidden="1">{"'장비'!$A$3:$M$12"}</definedName>
    <definedName name="tyt_3" hidden="1">{"'장비'!$A$3:$M$12"}</definedName>
    <definedName name="tyt_4" localSheetId="5" hidden="1">{"'장비'!$A$3:$M$12"}</definedName>
    <definedName name="tyt_4" hidden="1">{"'장비'!$A$3:$M$12"}</definedName>
    <definedName name="tyt_5" localSheetId="5" hidden="1">{"'장비'!$A$3:$M$12"}</definedName>
    <definedName name="tyt_5" hidden="1">{"'장비'!$A$3:$M$12"}</definedName>
    <definedName name="tyyuy" localSheetId="5" hidden="1">{"'장비'!$A$3:$M$12"}</definedName>
    <definedName name="tyyuy" hidden="1">{"'장비'!$A$3:$M$12"}</definedName>
    <definedName name="tyyuy_1" localSheetId="5" hidden="1">{"'장비'!$A$3:$M$12"}</definedName>
    <definedName name="tyyuy_1" hidden="1">{"'장비'!$A$3:$M$12"}</definedName>
    <definedName name="tyyuy_2" localSheetId="5" hidden="1">{"'장비'!$A$3:$M$12"}</definedName>
    <definedName name="tyyuy_2" hidden="1">{"'장비'!$A$3:$M$12"}</definedName>
    <definedName name="tyyuy_3" localSheetId="5" hidden="1">{"'장비'!$A$3:$M$12"}</definedName>
    <definedName name="tyyuy_3" hidden="1">{"'장비'!$A$3:$M$12"}</definedName>
    <definedName name="tyyuy_4" localSheetId="5" hidden="1">{"'장비'!$A$3:$M$12"}</definedName>
    <definedName name="tyyuy_4" hidden="1">{"'장비'!$A$3:$M$12"}</definedName>
    <definedName name="tyyuy_5" localSheetId="5" hidden="1">{"'장비'!$A$3:$M$12"}</definedName>
    <definedName name="tyyuy_5" hidden="1">{"'장비'!$A$3:$M$12"}</definedName>
    <definedName name="UB" localSheetId="5" hidden="1">{#N/A,#N/A,FALSE,"CCTV"}</definedName>
    <definedName name="UB" hidden="1">{#N/A,#N/A,FALSE,"CCTV"}</definedName>
    <definedName name="UB_1" localSheetId="5" hidden="1">{#N/A,#N/A,FALSE,"CCTV"}</definedName>
    <definedName name="UB_1" hidden="1">{#N/A,#N/A,FALSE,"CCTV"}</definedName>
    <definedName name="UB_2" localSheetId="5" hidden="1">{#N/A,#N/A,FALSE,"CCTV"}</definedName>
    <definedName name="UB_2" hidden="1">{#N/A,#N/A,FALSE,"CCTV"}</definedName>
    <definedName name="UB_3" localSheetId="5" hidden="1">{#N/A,#N/A,FALSE,"CCTV"}</definedName>
    <definedName name="UB_3" hidden="1">{#N/A,#N/A,FALSE,"CCTV"}</definedName>
    <definedName name="UB_4" localSheetId="5" hidden="1">{#N/A,#N/A,FALSE,"CCTV"}</definedName>
    <definedName name="UB_4" hidden="1">{#N/A,#N/A,FALSE,"CCTV"}</definedName>
    <definedName name="UB_5" localSheetId="5" hidden="1">{#N/A,#N/A,FALSE,"CCTV"}</definedName>
    <definedName name="UB_5" hidden="1">{#N/A,#N/A,FALSE,"CCTV"}</definedName>
    <definedName name="UI" localSheetId="9" hidden="1">#REF!</definedName>
    <definedName name="UI" localSheetId="10" hidden="1">#REF!</definedName>
    <definedName name="UI" hidden="1">#REF!</definedName>
    <definedName name="UIU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j" hidden="1">#REF!</definedName>
    <definedName name="UKKY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t" localSheetId="5" hidden="1">{"'Sheet1'!$L$16"}</definedName>
    <definedName name="ut" localSheetId="9" hidden="1">{"'Sheet1'!$L$16"}</definedName>
    <definedName name="ut" localSheetId="10" hidden="1">{"'Sheet1'!$L$16"}</definedName>
    <definedName name="ut" localSheetId="6" hidden="1">{"'Sheet1'!$L$16"}</definedName>
    <definedName name="ut" localSheetId="3" hidden="1">{"'Sheet1'!$L$16"}</definedName>
    <definedName name="ut" hidden="1">{"'Sheet1'!$L$16"}</definedName>
    <definedName name="UUU" localSheetId="5" hidden="1">{#N/A,#N/A,FALSE,"CCTV"}</definedName>
    <definedName name="UUU" localSheetId="9" hidden="1">{#N/A,#N/A,FALSE,"CCTV"}</definedName>
    <definedName name="UUU" localSheetId="10" hidden="1">{#N/A,#N/A,FALSE,"CCTV"}</definedName>
    <definedName name="UUU" localSheetId="6" hidden="1">{#N/A,#N/A,FALSE,"CCTV"}</definedName>
    <definedName name="UUU" localSheetId="3" hidden="1">{#N/A,#N/A,FALSE,"CCTV"}</definedName>
    <definedName name="UUU" hidden="1">{#N/A,#N/A,FALSE,"CCTV"}</definedName>
    <definedName name="UUU_1" localSheetId="5" hidden="1">{#N/A,#N/A,FALSE,"CCTV"}</definedName>
    <definedName name="UUU_1" hidden="1">{#N/A,#N/A,FALSE,"CCTV"}</definedName>
    <definedName name="UUU_2" localSheetId="5" hidden="1">{#N/A,#N/A,FALSE,"CCTV"}</definedName>
    <definedName name="UUU_2" hidden="1">{#N/A,#N/A,FALSE,"CCTV"}</definedName>
    <definedName name="UUU_3" localSheetId="5" hidden="1">{#N/A,#N/A,FALSE,"CCTV"}</definedName>
    <definedName name="UUU_3" hidden="1">{#N/A,#N/A,FALSE,"CCTV"}</definedName>
    <definedName name="UUU_4" localSheetId="5" hidden="1">{#N/A,#N/A,FALSE,"CCTV"}</definedName>
    <definedName name="UUU_4" hidden="1">{#N/A,#N/A,FALSE,"CCTV"}</definedName>
    <definedName name="UUU_5" localSheetId="5" hidden="1">{#N/A,#N/A,FALSE,"CCTV"}</definedName>
    <definedName name="UUU_5" hidden="1">{#N/A,#N/A,FALSE,"CCTV"}</definedName>
    <definedName name="uuuuuu" localSheetId="5" hidden="1">{"'장비'!$A$3:$M$12"}</definedName>
    <definedName name="uuuuuu" hidden="1">{"'장비'!$A$3:$M$12"}</definedName>
    <definedName name="uuuuuu_1" localSheetId="5" hidden="1">{"'장비'!$A$3:$M$12"}</definedName>
    <definedName name="uuuuuu_1" hidden="1">{"'장비'!$A$3:$M$12"}</definedName>
    <definedName name="uuuuuu_2" localSheetId="5" hidden="1">{"'장비'!$A$3:$M$12"}</definedName>
    <definedName name="uuuuuu_2" hidden="1">{"'장비'!$A$3:$M$12"}</definedName>
    <definedName name="uuuuuu_3" localSheetId="5" hidden="1">{"'장비'!$A$3:$M$12"}</definedName>
    <definedName name="uuuuuu_3" hidden="1">{"'장비'!$A$3:$M$12"}</definedName>
    <definedName name="uuuuuu_4" localSheetId="5" hidden="1">{"'장비'!$A$3:$M$12"}</definedName>
    <definedName name="uuuuuu_4" hidden="1">{"'장비'!$A$3:$M$12"}</definedName>
    <definedName name="uuuuuu_5" localSheetId="5" hidden="1">{"'장비'!$A$3:$M$12"}</definedName>
    <definedName name="uuuuuu_5" hidden="1">{"'장비'!$A$3:$M$12"}</definedName>
    <definedName name="uy" localSheetId="5" hidden="1">{"'장비'!$A$3:$M$12"}</definedName>
    <definedName name="uy" hidden="1">{"'장비'!$A$3:$M$12"}</definedName>
    <definedName name="uy_1" localSheetId="5" hidden="1">{"'장비'!$A$3:$M$12"}</definedName>
    <definedName name="uy_1" hidden="1">{"'장비'!$A$3:$M$12"}</definedName>
    <definedName name="uy_2" localSheetId="5" hidden="1">{"'장비'!$A$3:$M$12"}</definedName>
    <definedName name="uy_2" hidden="1">{"'장비'!$A$3:$M$12"}</definedName>
    <definedName name="uy_3" localSheetId="5" hidden="1">{"'장비'!$A$3:$M$12"}</definedName>
    <definedName name="uy_3" hidden="1">{"'장비'!$A$3:$M$12"}</definedName>
    <definedName name="uy_4" localSheetId="5" hidden="1">{"'장비'!$A$3:$M$12"}</definedName>
    <definedName name="uy_4" hidden="1">{"'장비'!$A$3:$M$12"}</definedName>
    <definedName name="uy_5" localSheetId="5" hidden="1">{"'장비'!$A$3:$M$12"}</definedName>
    <definedName name="uy_5" hidden="1">{"'장비'!$A$3:$M$12"}</definedName>
    <definedName name="UYUY" localSheetId="5" hidden="1">{#N/A,#N/A,TRUE,"arnitower";#N/A,#N/A,TRUE,"arnigarage "}</definedName>
    <definedName name="UYUY" hidden="1">{#N/A,#N/A,TRUE,"arnitower";#N/A,#N/A,TRUE,"arnigarage "}</definedName>
    <definedName name="VB" localSheetId="5" hidden="1">{#N/A,#N/A,FALSE,"이태원철근"}</definedName>
    <definedName name="VB" hidden="1">{#N/A,#N/A,FALSE,"이태원철근"}</definedName>
    <definedName name="VBN" localSheetId="5" hidden="1">{#N/A,#N/A,FALSE,"이태원철근"}</definedName>
    <definedName name="VBN" hidden="1">{#N/A,#N/A,FALSE,"이태원철근"}</definedName>
    <definedName name="vf" localSheetId="5" hidden="1">{"'Sheet1'!$L$16"}</definedName>
    <definedName name="vf" localSheetId="9" hidden="1">{"'Sheet1'!$L$16"}</definedName>
    <definedName name="vf" localSheetId="10" hidden="1">{"'Sheet1'!$L$16"}</definedName>
    <definedName name="vf" localSheetId="6" hidden="1">{"'Sheet1'!$L$16"}</definedName>
    <definedName name="vf" localSheetId="3" hidden="1">{"'Sheet1'!$L$16"}</definedName>
    <definedName name="vf" hidden="1">{"'Sheet1'!$L$16"}</definedName>
    <definedName name="vffsfs" localSheetId="5" hidden="1">{#N/A,#N/A,TRUE,"Basic";#N/A,#N/A,TRUE,"EXT-TABLE";#N/A,#N/A,TRUE,"STEEL";#N/A,#N/A,TRUE,"INT-Table";#N/A,#N/A,TRUE,"STEEL";#N/A,#N/A,TRUE,"Door"}</definedName>
    <definedName name="vffsfs" localSheetId="9" hidden="1">{#N/A,#N/A,TRUE,"Basic";#N/A,#N/A,TRUE,"EXT-TABLE";#N/A,#N/A,TRUE,"STEEL";#N/A,#N/A,TRUE,"INT-Table";#N/A,#N/A,TRUE,"STEEL";#N/A,#N/A,TRUE,"Door"}</definedName>
    <definedName name="vffsfs" localSheetId="10" hidden="1">{#N/A,#N/A,TRUE,"Basic";#N/A,#N/A,TRUE,"EXT-TABLE";#N/A,#N/A,TRUE,"STEEL";#N/A,#N/A,TRUE,"INT-Table";#N/A,#N/A,TRUE,"STEEL";#N/A,#N/A,TRUE,"Door"}</definedName>
    <definedName name="vffsfs" localSheetId="6" hidden="1">{#N/A,#N/A,TRUE,"Basic";#N/A,#N/A,TRUE,"EXT-TABLE";#N/A,#N/A,TRUE,"STEEL";#N/A,#N/A,TRUE,"INT-Table";#N/A,#N/A,TRUE,"STEEL";#N/A,#N/A,TRUE,"Door"}</definedName>
    <definedName name="vffsfs" localSheetId="3" hidden="1">{#N/A,#N/A,TRUE,"Basic";#N/A,#N/A,TRUE,"EXT-TABLE";#N/A,#N/A,TRUE,"STEEL";#N/A,#N/A,TRUE,"INT-Table";#N/A,#N/A,TRUE,"STEEL";#N/A,#N/A,TRUE,"Door"}</definedName>
    <definedName name="vffsfs" hidden="1">{#N/A,#N/A,TRUE,"Basic";#N/A,#N/A,TRUE,"EXT-TABLE";#N/A,#N/A,TRUE,"STEEL";#N/A,#N/A,TRUE,"INT-Table";#N/A,#N/A,TRUE,"STEEL";#N/A,#N/A,TRUE,"Door"}</definedName>
    <definedName name="vffsfs_1" localSheetId="5" hidden="1">{#N/A,#N/A,TRUE,"Basic";#N/A,#N/A,TRUE,"EXT-TABLE";#N/A,#N/A,TRUE,"STEEL";#N/A,#N/A,TRUE,"INT-Table";#N/A,#N/A,TRUE,"STEEL";#N/A,#N/A,TRUE,"Door"}</definedName>
    <definedName name="vffsfs_1" hidden="1">{#N/A,#N/A,TRUE,"Basic";#N/A,#N/A,TRUE,"EXT-TABLE";#N/A,#N/A,TRUE,"STEEL";#N/A,#N/A,TRUE,"INT-Table";#N/A,#N/A,TRUE,"STEEL";#N/A,#N/A,TRUE,"Door"}</definedName>
    <definedName name="vffsfs_2" localSheetId="5" hidden="1">{#N/A,#N/A,TRUE,"Basic";#N/A,#N/A,TRUE,"EXT-TABLE";#N/A,#N/A,TRUE,"STEEL";#N/A,#N/A,TRUE,"INT-Table";#N/A,#N/A,TRUE,"STEEL";#N/A,#N/A,TRUE,"Door"}</definedName>
    <definedName name="vffsfs_2" hidden="1">{#N/A,#N/A,TRUE,"Basic";#N/A,#N/A,TRUE,"EXT-TABLE";#N/A,#N/A,TRUE,"STEEL";#N/A,#N/A,TRUE,"INT-Table";#N/A,#N/A,TRUE,"STEEL";#N/A,#N/A,TRUE,"Door"}</definedName>
    <definedName name="vffsfs_3" localSheetId="5" hidden="1">{#N/A,#N/A,TRUE,"Basic";#N/A,#N/A,TRUE,"EXT-TABLE";#N/A,#N/A,TRUE,"STEEL";#N/A,#N/A,TRUE,"INT-Table";#N/A,#N/A,TRUE,"STEEL";#N/A,#N/A,TRUE,"Door"}</definedName>
    <definedName name="vffsfs_3" hidden="1">{#N/A,#N/A,TRUE,"Basic";#N/A,#N/A,TRUE,"EXT-TABLE";#N/A,#N/A,TRUE,"STEEL";#N/A,#N/A,TRUE,"INT-Table";#N/A,#N/A,TRUE,"STEEL";#N/A,#N/A,TRUE,"Door"}</definedName>
    <definedName name="vffsfs_4" localSheetId="5" hidden="1">{#N/A,#N/A,TRUE,"Basic";#N/A,#N/A,TRUE,"EXT-TABLE";#N/A,#N/A,TRUE,"STEEL";#N/A,#N/A,TRUE,"INT-Table";#N/A,#N/A,TRUE,"STEEL";#N/A,#N/A,TRUE,"Door"}</definedName>
    <definedName name="vffsfs_4" hidden="1">{#N/A,#N/A,TRUE,"Basic";#N/A,#N/A,TRUE,"EXT-TABLE";#N/A,#N/A,TRUE,"STEEL";#N/A,#N/A,TRUE,"INT-Table";#N/A,#N/A,TRUE,"STEEL";#N/A,#N/A,TRUE,"Door"}</definedName>
    <definedName name="vffsfs_5" localSheetId="5" hidden="1">{#N/A,#N/A,TRUE,"Basic";#N/A,#N/A,TRUE,"EXT-TABLE";#N/A,#N/A,TRUE,"STEEL";#N/A,#N/A,TRUE,"INT-Table";#N/A,#N/A,TRUE,"STEEL";#N/A,#N/A,TRUE,"Door"}</definedName>
    <definedName name="vffsfs_5" hidden="1">{#N/A,#N/A,TRUE,"Basic";#N/A,#N/A,TRUE,"EXT-TABLE";#N/A,#N/A,TRUE,"STEEL";#N/A,#N/A,TRUE,"INT-Table";#N/A,#N/A,TRUE,"STEEL";#N/A,#N/A,TRUE,"Door"}</definedName>
    <definedName name="vn" localSheetId="5" hidden="1">{"'Sheet1'!$L$16"}</definedName>
    <definedName name="vn" localSheetId="9" hidden="1">{"'Sheet1'!$L$16"}</definedName>
    <definedName name="vn" localSheetId="10" hidden="1">{"'Sheet1'!$L$16"}</definedName>
    <definedName name="vn" localSheetId="6" hidden="1">{"'Sheet1'!$L$16"}</definedName>
    <definedName name="vn" localSheetId="3" hidden="1">{"'Sheet1'!$L$16"}</definedName>
    <definedName name="vn" hidden="1">{"'Sheet1'!$L$16"}</definedName>
    <definedName name="vv" localSheetId="5" hidden="1">{"'장비'!$A$3:$M$12"}</definedName>
    <definedName name="vv" hidden="1">{"'장비'!$A$3:$M$12"}</definedName>
    <definedName name="vv_1" localSheetId="5" hidden="1">{"'장비'!$A$3:$M$12"}</definedName>
    <definedName name="vv_1" hidden="1">{"'장비'!$A$3:$M$12"}</definedName>
    <definedName name="vv_2" localSheetId="5" hidden="1">{"'장비'!$A$3:$M$12"}</definedName>
    <definedName name="vv_2" hidden="1">{"'장비'!$A$3:$M$12"}</definedName>
    <definedName name="vv_3" localSheetId="5" hidden="1">{"'장비'!$A$3:$M$12"}</definedName>
    <definedName name="vv_3" hidden="1">{"'장비'!$A$3:$M$12"}</definedName>
    <definedName name="vv_4" localSheetId="5" hidden="1">{"'장비'!$A$3:$M$12"}</definedName>
    <definedName name="vv_4" hidden="1">{"'장비'!$A$3:$M$12"}</definedName>
    <definedName name="vv_5" localSheetId="5" hidden="1">{"'장비'!$A$3:$M$12"}</definedName>
    <definedName name="vv_5" hidden="1">{"'장비'!$A$3:$M$12"}</definedName>
    <definedName name="VX" hidden="1">#REF!</definedName>
    <definedName name="VXCVXVXCV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 localSheetId="5" hidden="1">{"'장비'!$A$3:$M$12"}</definedName>
    <definedName name="W" localSheetId="9" hidden="1">{"'장비'!$A$3:$M$12"}</definedName>
    <definedName name="W" localSheetId="10" hidden="1">{"'장비'!$A$3:$M$12"}</definedName>
    <definedName name="W" localSheetId="6" hidden="1">{"'장비'!$A$3:$M$12"}</definedName>
    <definedName name="W" localSheetId="3" hidden="1">{"'장비'!$A$3:$M$12"}</definedName>
    <definedName name="W" hidden="1">{"'장비'!$A$3:$M$12"}</definedName>
    <definedName name="W_1" localSheetId="5" hidden="1">{"'장비'!$A$3:$M$12"}</definedName>
    <definedName name="W_1" localSheetId="9" hidden="1">{"'장비'!$A$3:$M$12"}</definedName>
    <definedName name="W_1" localSheetId="10" hidden="1">{"'장비'!$A$3:$M$12"}</definedName>
    <definedName name="W_1" localSheetId="6" hidden="1">{"'장비'!$A$3:$M$12"}</definedName>
    <definedName name="W_1" localSheetId="3" hidden="1">{"'장비'!$A$3:$M$12"}</definedName>
    <definedName name="W_1" hidden="1">{"'장비'!$A$3:$M$12"}</definedName>
    <definedName name="Waste" localSheetId="5" hidden="1">{#N/A,#N/A,TRUE,"Basic";#N/A,#N/A,TRUE,"EXT-TABLE";#N/A,#N/A,TRUE,"STEEL";#N/A,#N/A,TRUE,"INT-Table";#N/A,#N/A,TRUE,"STEEL";#N/A,#N/A,TRUE,"Door"}</definedName>
    <definedName name="Waste" localSheetId="9" hidden="1">{#N/A,#N/A,TRUE,"Basic";#N/A,#N/A,TRUE,"EXT-TABLE";#N/A,#N/A,TRUE,"STEEL";#N/A,#N/A,TRUE,"INT-Table";#N/A,#N/A,TRUE,"STEEL";#N/A,#N/A,TRUE,"Door"}</definedName>
    <definedName name="Waste" localSheetId="10" hidden="1">{#N/A,#N/A,TRUE,"Basic";#N/A,#N/A,TRUE,"EXT-TABLE";#N/A,#N/A,TRUE,"STEEL";#N/A,#N/A,TRUE,"INT-Table";#N/A,#N/A,TRUE,"STEEL";#N/A,#N/A,TRUE,"Door"}</definedName>
    <definedName name="Waste" localSheetId="6" hidden="1">{#N/A,#N/A,TRUE,"Basic";#N/A,#N/A,TRUE,"EXT-TABLE";#N/A,#N/A,TRUE,"STEEL";#N/A,#N/A,TRUE,"INT-Table";#N/A,#N/A,TRUE,"STEEL";#N/A,#N/A,TRUE,"Door"}</definedName>
    <definedName name="Waste" localSheetId="3" hidden="1">{#N/A,#N/A,TRUE,"Basic";#N/A,#N/A,TRUE,"EXT-TABLE";#N/A,#N/A,TRUE,"STEEL";#N/A,#N/A,TRUE,"INT-Table";#N/A,#N/A,TRUE,"STEEL";#N/A,#N/A,TRUE,"Door"}</definedName>
    <definedName name="Waste" hidden="1">{#N/A,#N/A,TRUE,"Basic";#N/A,#N/A,TRUE,"EXT-TABLE";#N/A,#N/A,TRUE,"STEEL";#N/A,#N/A,TRUE,"INT-Table";#N/A,#N/A,TRUE,"STEEL";#N/A,#N/A,TRUE,"Door"}</definedName>
    <definedName name="WE" localSheetId="5" hidden="1">{#N/A,#N/A,FALSE,"CCTV"}</definedName>
    <definedName name="WE" localSheetId="9" hidden="1">{#N/A,#N/A,FALSE,"CCTV"}</definedName>
    <definedName name="WE" localSheetId="10" hidden="1">{#N/A,#N/A,FALSE,"CCTV"}</definedName>
    <definedName name="WE" localSheetId="6" hidden="1">{#N/A,#N/A,FALSE,"CCTV"}</definedName>
    <definedName name="WE" localSheetId="3" hidden="1">{#N/A,#N/A,FALSE,"CCTV"}</definedName>
    <definedName name="WE" hidden="1">{#N/A,#N/A,FALSE,"CCTV"}</definedName>
    <definedName name="WE_1" localSheetId="5" hidden="1">{#N/A,#N/A,FALSE,"CCTV"}</definedName>
    <definedName name="WE_1" localSheetId="9" hidden="1">{#N/A,#N/A,FALSE,"CCTV"}</definedName>
    <definedName name="WE_1" localSheetId="10" hidden="1">{#N/A,#N/A,FALSE,"CCTV"}</definedName>
    <definedName name="WE_1" localSheetId="6" hidden="1">{#N/A,#N/A,FALSE,"CCTV"}</definedName>
    <definedName name="WE_1" localSheetId="3" hidden="1">{#N/A,#N/A,FALSE,"CCTV"}</definedName>
    <definedName name="WE_1" hidden="1">{#N/A,#N/A,FALSE,"CCTV"}</definedName>
    <definedName name="WEEE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ight" localSheetId="5" hidden="1">{#N/A,#N/A,FALSE,"CCTV"}</definedName>
    <definedName name="weight" localSheetId="9" hidden="1">{#N/A,#N/A,FALSE,"CCTV"}</definedName>
    <definedName name="weight" localSheetId="10" hidden="1">{#N/A,#N/A,FALSE,"CCTV"}</definedName>
    <definedName name="weight" localSheetId="6" hidden="1">{#N/A,#N/A,FALSE,"CCTV"}</definedName>
    <definedName name="weight" localSheetId="3" hidden="1">{#N/A,#N/A,FALSE,"CCTV"}</definedName>
    <definedName name="weight" hidden="1">{#N/A,#N/A,FALSE,"CCTV"}</definedName>
    <definedName name="weight_1" localSheetId="5" hidden="1">{#N/A,#N/A,FALSE,"CCTV"}</definedName>
    <definedName name="weight_1" hidden="1">{#N/A,#N/A,FALSE,"CCTV"}</definedName>
    <definedName name="weight_2" localSheetId="5" hidden="1">{#N/A,#N/A,FALSE,"CCTV"}</definedName>
    <definedName name="weight_2" hidden="1">{#N/A,#N/A,FALSE,"CCTV"}</definedName>
    <definedName name="weight_3" localSheetId="5" hidden="1">{#N/A,#N/A,FALSE,"CCTV"}</definedName>
    <definedName name="weight_3" hidden="1">{#N/A,#N/A,FALSE,"CCTV"}</definedName>
    <definedName name="weight_4" localSheetId="5" hidden="1">{#N/A,#N/A,FALSE,"CCTV"}</definedName>
    <definedName name="weight_4" hidden="1">{#N/A,#N/A,FALSE,"CCTV"}</definedName>
    <definedName name="weight_5" localSheetId="5" hidden="1">{#N/A,#N/A,FALSE,"CCTV"}</definedName>
    <definedName name="weight_5" hidden="1">{#N/A,#N/A,FALSE,"CCTV"}</definedName>
    <definedName name="weki_9701.xls" hidden="1">#REF!</definedName>
    <definedName name="wekir9701.xls" hidden="1">#REF!</definedName>
    <definedName name="WEQWE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ERR" localSheetId="5" hidden="1">{#N/A,#N/A,TRUE,"arnitower";#N/A,#N/A,TRUE,"arnigarage "}</definedName>
    <definedName name="WERERR" hidden="1">{#N/A,#N/A,TRUE,"arnitower";#N/A,#N/A,TRUE,"arnigarage "}</definedName>
    <definedName name="wjs" localSheetId="5" hidden="1">{#N/A,#N/A,FALSE,"CCTV"}</definedName>
    <definedName name="wjs" localSheetId="9" hidden="1">{#N/A,#N/A,FALSE,"CCTV"}</definedName>
    <definedName name="wjs" localSheetId="10" hidden="1">{#N/A,#N/A,FALSE,"CCTV"}</definedName>
    <definedName name="wjs" localSheetId="6" hidden="1">{#N/A,#N/A,FALSE,"CCTV"}</definedName>
    <definedName name="wjs" localSheetId="3" hidden="1">{#N/A,#N/A,FALSE,"CCTV"}</definedName>
    <definedName name="wjs" hidden="1">{#N/A,#N/A,FALSE,"CCTV"}</definedName>
    <definedName name="wjs_1" localSheetId="5" hidden="1">{#N/A,#N/A,FALSE,"CCTV"}</definedName>
    <definedName name="wjs_1" hidden="1">{#N/A,#N/A,FALSE,"CCTV"}</definedName>
    <definedName name="wjs_2" localSheetId="5" hidden="1">{#N/A,#N/A,FALSE,"CCTV"}</definedName>
    <definedName name="wjs_2" hidden="1">{#N/A,#N/A,FALSE,"CCTV"}</definedName>
    <definedName name="wjs_3" localSheetId="5" hidden="1">{#N/A,#N/A,FALSE,"CCTV"}</definedName>
    <definedName name="wjs_3" hidden="1">{#N/A,#N/A,FALSE,"CCTV"}</definedName>
    <definedName name="wjs_4" localSheetId="5" hidden="1">{#N/A,#N/A,FALSE,"CCTV"}</definedName>
    <definedName name="wjs_4" hidden="1">{#N/A,#N/A,FALSE,"CCTV"}</definedName>
    <definedName name="wjs_5" localSheetId="5" hidden="1">{#N/A,#N/A,FALSE,"CCTV"}</definedName>
    <definedName name="wjs_5" hidden="1">{#N/A,#N/A,FALSE,"CCTV"}</definedName>
    <definedName name="wm.조골재1" localSheetId="5" hidden="1">{#N/A,#N/A,FALSE,"조골재"}</definedName>
    <definedName name="wm.조골재1" localSheetId="9" hidden="1">{#N/A,#N/A,FALSE,"조골재"}</definedName>
    <definedName name="wm.조골재1" localSheetId="10" hidden="1">{#N/A,#N/A,FALSE,"조골재"}</definedName>
    <definedName name="wm.조골재1" localSheetId="6" hidden="1">{#N/A,#N/A,FALSE,"조골재"}</definedName>
    <definedName name="wm.조골재1" localSheetId="3" hidden="1">{#N/A,#N/A,FALSE,"조골재"}</definedName>
    <definedName name="wm.조골재1" hidden="1">{#N/A,#N/A,FALSE,"조골재"}</definedName>
    <definedName name="wm.조골재1_1" localSheetId="5" hidden="1">{#N/A,#N/A,FALSE,"조골재"}</definedName>
    <definedName name="wm.조골재1_1" hidden="1">{#N/A,#N/A,FALSE,"조골재"}</definedName>
    <definedName name="wm.조골재1_2" localSheetId="5" hidden="1">{#N/A,#N/A,FALSE,"조골재"}</definedName>
    <definedName name="wm.조골재1_2" hidden="1">{#N/A,#N/A,FALSE,"조골재"}</definedName>
    <definedName name="wm.조골재1_3" localSheetId="5" hidden="1">{#N/A,#N/A,FALSE,"조골재"}</definedName>
    <definedName name="wm.조골재1_3" hidden="1">{#N/A,#N/A,FALSE,"조골재"}</definedName>
    <definedName name="wm.조골재1_4" localSheetId="5" hidden="1">{#N/A,#N/A,FALSE,"조골재"}</definedName>
    <definedName name="wm.조골재1_4" hidden="1">{#N/A,#N/A,FALSE,"조골재"}</definedName>
    <definedName name="wm.조골재1_5" localSheetId="5" hidden="1">{#N/A,#N/A,FALSE,"조골재"}</definedName>
    <definedName name="wm.조골재1_5" hidden="1">{#N/A,#N/A,FALSE,"조골재"}</definedName>
    <definedName name="workshop" localSheetId="5" hidden="1">{#N/A,#N/A,FALSE,"CCTV"}</definedName>
    <definedName name="workshop" localSheetId="9" hidden="1">{#N/A,#N/A,FALSE,"CCTV"}</definedName>
    <definedName name="workshop" localSheetId="10" hidden="1">{#N/A,#N/A,FALSE,"CCTV"}</definedName>
    <definedName name="workshop" localSheetId="6" hidden="1">{#N/A,#N/A,FALSE,"CCTV"}</definedName>
    <definedName name="WORKSHOP" localSheetId="3" hidden="1">{#N/A,#N/A,TRUE,"Basic";#N/A,#N/A,TRUE,"EXT-TABLE";#N/A,#N/A,TRUE,"STEEL";#N/A,#N/A,TRUE,"INT-Table";#N/A,#N/A,TRUE,"STEEL";#N/A,#N/A,TRUE,"Door"}</definedName>
    <definedName name="workshop" hidden="1">{#N/A,#N/A,FALSE,"CCTV"}</definedName>
    <definedName name="workshop_1" localSheetId="5" hidden="1">{#N/A,#N/A,FALSE,"CCTV"}</definedName>
    <definedName name="workshop_1" localSheetId="9" hidden="1">{#N/A,#N/A,FALSE,"CCTV"}</definedName>
    <definedName name="workshop_1" localSheetId="10" hidden="1">{#N/A,#N/A,FALSE,"CCTV"}</definedName>
    <definedName name="workshop_1" localSheetId="6" hidden="1">{#N/A,#N/A,FALSE,"CCTV"}</definedName>
    <definedName name="WORKSHOP_1" localSheetId="3" hidden="1">{#N/A,#N/A,TRUE,"Basic";#N/A,#N/A,TRUE,"EXT-TABLE";#N/A,#N/A,TRUE,"STEEL";#N/A,#N/A,TRUE,"INT-Table";#N/A,#N/A,TRUE,"STEEL";#N/A,#N/A,TRUE,"Door"}</definedName>
    <definedName name="workshop_1" hidden="1">{#N/A,#N/A,FALSE,"CCTV"}</definedName>
    <definedName name="WORKSHOP_2" localSheetId="5" hidden="1">{#N/A,#N/A,TRUE,"Basic";#N/A,#N/A,TRUE,"EXT-TABLE";#N/A,#N/A,TRUE,"STEEL";#N/A,#N/A,TRUE,"INT-Table";#N/A,#N/A,TRUE,"STEEL";#N/A,#N/A,TRUE,"Door"}</definedName>
    <definedName name="WORKSHOP_2" hidden="1">{#N/A,#N/A,TRUE,"Basic";#N/A,#N/A,TRUE,"EXT-TABLE";#N/A,#N/A,TRUE,"STEEL";#N/A,#N/A,TRUE,"INT-Table";#N/A,#N/A,TRUE,"STEEL";#N/A,#N/A,TRUE,"Door"}</definedName>
    <definedName name="WORKSHOP_3" localSheetId="5" hidden="1">{#N/A,#N/A,TRUE,"Basic";#N/A,#N/A,TRUE,"EXT-TABLE";#N/A,#N/A,TRUE,"STEEL";#N/A,#N/A,TRUE,"INT-Table";#N/A,#N/A,TRUE,"STEEL";#N/A,#N/A,TRUE,"Door"}</definedName>
    <definedName name="WORKSHOP_3" hidden="1">{#N/A,#N/A,TRUE,"Basic";#N/A,#N/A,TRUE,"EXT-TABLE";#N/A,#N/A,TRUE,"STEEL";#N/A,#N/A,TRUE,"INT-Table";#N/A,#N/A,TRUE,"STEEL";#N/A,#N/A,TRUE,"Door"}</definedName>
    <definedName name="WORKSHOP_4" localSheetId="5" hidden="1">{#N/A,#N/A,TRUE,"Basic";#N/A,#N/A,TRUE,"EXT-TABLE";#N/A,#N/A,TRUE,"STEEL";#N/A,#N/A,TRUE,"INT-Table";#N/A,#N/A,TRUE,"STEEL";#N/A,#N/A,TRUE,"Door"}</definedName>
    <definedName name="WORKSHOP_4" hidden="1">{#N/A,#N/A,TRUE,"Basic";#N/A,#N/A,TRUE,"EXT-TABLE";#N/A,#N/A,TRUE,"STEEL";#N/A,#N/A,TRUE,"INT-Table";#N/A,#N/A,TRUE,"STEEL";#N/A,#N/A,TRUE,"Door"}</definedName>
    <definedName name="WORKSHOP_5" localSheetId="5" hidden="1">{#N/A,#N/A,TRUE,"Basic";#N/A,#N/A,TRUE,"EXT-TABLE";#N/A,#N/A,TRUE,"STEEL";#N/A,#N/A,TRUE,"INT-Table";#N/A,#N/A,TRUE,"STEEL";#N/A,#N/A,TRUE,"Door"}</definedName>
    <definedName name="WORKSHOP_5" hidden="1">{#N/A,#N/A,TRUE,"Basic";#N/A,#N/A,TRUE,"EXT-TABLE";#N/A,#N/A,TRUE,"STEEL";#N/A,#N/A,TRUE,"INT-Table";#N/A,#N/A,TRUE,"STEEL";#N/A,#N/A,TRUE,"Door"}</definedName>
    <definedName name="WR" localSheetId="5" hidden="1">{#N/A,#N/A,FALSE,"CCTV"}</definedName>
    <definedName name="WR" localSheetId="9" hidden="1">{#N/A,#N/A,FALSE,"CCTV"}</definedName>
    <definedName name="WR" localSheetId="10" hidden="1">{#N/A,#N/A,FALSE,"CCTV"}</definedName>
    <definedName name="WR" localSheetId="6" hidden="1">{#N/A,#N/A,FALSE,"CCTV"}</definedName>
    <definedName name="WR" localSheetId="3" hidden="1">{#N/A,#N/A,FALSE,"CCTV"}</definedName>
    <definedName name="WR" hidden="1">{#N/A,#N/A,FALSE,"CCTV"}</definedName>
    <definedName name="WR_1" localSheetId="5" hidden="1">{#N/A,#N/A,FALSE,"CCTV"}</definedName>
    <definedName name="WR_1" localSheetId="9" hidden="1">{#N/A,#N/A,FALSE,"CCTV"}</definedName>
    <definedName name="WR_1" localSheetId="10" hidden="1">{#N/A,#N/A,FALSE,"CCTV"}</definedName>
    <definedName name="WR_1" localSheetId="6" hidden="1">{#N/A,#N/A,FALSE,"CCTV"}</definedName>
    <definedName name="WR_1" localSheetId="3" hidden="1">{#N/A,#N/A,FALSE,"CCTV"}</definedName>
    <definedName name="WR_1" hidden="1">{#N/A,#N/A,FALSE,"CCTV"}</definedName>
    <definedName name="WRITE" localSheetId="5" hidden="1">{#N/A,#N/A,FALSE,"CCTV"}</definedName>
    <definedName name="WRITE" localSheetId="9" hidden="1">{#N/A,#N/A,FALSE,"CCTV"}</definedName>
    <definedName name="WRITE" localSheetId="10" hidden="1">{#N/A,#N/A,FALSE,"CCTV"}</definedName>
    <definedName name="WRITE" localSheetId="6" hidden="1">{#N/A,#N/A,FALSE,"CCTV"}</definedName>
    <definedName name="WRITE" localSheetId="3" hidden="1">{#N/A,#N/A,FALSE,"CCTV"}</definedName>
    <definedName name="WRITE" hidden="1">{#N/A,#N/A,FALSE,"CCTV"}</definedName>
    <definedName name="WRITE_1" localSheetId="5" hidden="1">{#N/A,#N/A,FALSE,"CCTV"}</definedName>
    <definedName name="WRITE_1" localSheetId="9" hidden="1">{#N/A,#N/A,FALSE,"CCTV"}</definedName>
    <definedName name="WRITE_1" localSheetId="10" hidden="1">{#N/A,#N/A,FALSE,"CCTV"}</definedName>
    <definedName name="WRITE_1" localSheetId="6" hidden="1">{#N/A,#N/A,FALSE,"CCTV"}</definedName>
    <definedName name="WRITE_1" localSheetId="3" hidden="1">{#N/A,#N/A,FALSE,"CCTV"}</definedName>
    <definedName name="WRITE_1" hidden="1">{#N/A,#N/A,FALSE,"CCTV"}</definedName>
    <definedName name="WRITE_2" localSheetId="5" hidden="1">{#N/A,#N/A,FALSE,"CCTV"}</definedName>
    <definedName name="WRITE_2" hidden="1">{#N/A,#N/A,FALSE,"CCTV"}</definedName>
    <definedName name="WRITE_3" localSheetId="5" hidden="1">{#N/A,#N/A,FALSE,"CCTV"}</definedName>
    <definedName name="WRITE_3" hidden="1">{#N/A,#N/A,FALSE,"CCTV"}</definedName>
    <definedName name="WRITE_4" localSheetId="5" hidden="1">{#N/A,#N/A,FALSE,"CCTV"}</definedName>
    <definedName name="WRITE_4" hidden="1">{#N/A,#N/A,FALSE,"CCTV"}</definedName>
    <definedName name="WRITE_5" localSheetId="5" hidden="1">{#N/A,#N/A,FALSE,"CCTV"}</definedName>
    <definedName name="WRITE_5" hidden="1">{#N/A,#N/A,FALSE,"CCTV"}</definedName>
    <definedName name="WRN" localSheetId="5" hidden="1">{#N/A,#N/A,FALSE,"CCTV"}</definedName>
    <definedName name="WRN" localSheetId="9" hidden="1">{#N/A,#N/A,FALSE,"CCTV"}</definedName>
    <definedName name="WRN" localSheetId="10" hidden="1">{#N/A,#N/A,FALSE,"CCTV"}</definedName>
    <definedName name="WRN" localSheetId="6" hidden="1">{#N/A,#N/A,FALSE,"CCTV"}</definedName>
    <definedName name="WRN" localSheetId="3" hidden="1">{#N/A,#N/A,FALSE,"CCTV"}</definedName>
    <definedName name="WRN" hidden="1">{#N/A,#N/A,FALSE,"CCTV"}</definedName>
    <definedName name="wrn.2번." localSheetId="5" hidden="1">{#N/A,#N/A,FALSE,"2~8번"}</definedName>
    <definedName name="wrn.2번." localSheetId="9" hidden="1">{#N/A,#N/A,FALSE,"2~8번"}</definedName>
    <definedName name="wrn.2번." localSheetId="10" hidden="1">{#N/A,#N/A,FALSE,"2~8번"}</definedName>
    <definedName name="wrn.2번." localSheetId="6" hidden="1">{#N/A,#N/A,FALSE,"2~8번"}</definedName>
    <definedName name="wrn.2번." localSheetId="3" hidden="1">{#N/A,#N/A,FALSE,"2~8번"}</definedName>
    <definedName name="wrn.2번." hidden="1">{#N/A,#N/A,FALSE,"2~8번"}</definedName>
    <definedName name="wrn.2번._1" localSheetId="5" hidden="1">{#N/A,#N/A,FALSE,"2~8번"}</definedName>
    <definedName name="wrn.2번._1" hidden="1">{#N/A,#N/A,FALSE,"2~8번"}</definedName>
    <definedName name="wrn.2번._2" localSheetId="5" hidden="1">{#N/A,#N/A,FALSE,"2~8번"}</definedName>
    <definedName name="wrn.2번._2" hidden="1">{#N/A,#N/A,FALSE,"2~8번"}</definedName>
    <definedName name="wrn.2번._3" localSheetId="5" hidden="1">{#N/A,#N/A,FALSE,"2~8번"}</definedName>
    <definedName name="wrn.2번._3" hidden="1">{#N/A,#N/A,FALSE,"2~8번"}</definedName>
    <definedName name="wrn.2번._4" localSheetId="5" hidden="1">{#N/A,#N/A,FALSE,"2~8번"}</definedName>
    <definedName name="wrn.2번._4" hidden="1">{#N/A,#N/A,FALSE,"2~8번"}</definedName>
    <definedName name="wrn.2번._5" localSheetId="5" hidden="1">{#N/A,#N/A,FALSE,"2~8번"}</definedName>
    <definedName name="wrn.2번._5" hidden="1">{#N/A,#N/A,FALSE,"2~8번"}</definedName>
    <definedName name="wrn.97." localSheetId="5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._1" localSheetId="5" hidden="1">{#N/A,#N/A,FALSE,"지침";#N/A,#N/A,FALSE,"환경분석";#N/A,#N/A,FALSE,"Sheet16"}</definedName>
    <definedName name="wrn.97._1" hidden="1">{#N/A,#N/A,FALSE,"지침";#N/A,#N/A,FALSE,"환경분석";#N/A,#N/A,FALSE,"Sheet16"}</definedName>
    <definedName name="wrn.97._2" localSheetId="5" hidden="1">{#N/A,#N/A,FALSE,"지침";#N/A,#N/A,FALSE,"환경분석";#N/A,#N/A,FALSE,"Sheet16"}</definedName>
    <definedName name="wrn.97._2" hidden="1">{#N/A,#N/A,FALSE,"지침";#N/A,#N/A,FALSE,"환경분석";#N/A,#N/A,FALSE,"Sheet16"}</definedName>
    <definedName name="wrn.97._3" localSheetId="5" hidden="1">{#N/A,#N/A,FALSE,"지침";#N/A,#N/A,FALSE,"환경분석";#N/A,#N/A,FALSE,"Sheet16"}</definedName>
    <definedName name="wrn.97._3" hidden="1">{#N/A,#N/A,FALSE,"지침";#N/A,#N/A,FALSE,"환경분석";#N/A,#N/A,FALSE,"Sheet16"}</definedName>
    <definedName name="wrn.97._4" localSheetId="5" hidden="1">{#N/A,#N/A,FALSE,"지침";#N/A,#N/A,FALSE,"환경분석";#N/A,#N/A,FALSE,"Sheet16"}</definedName>
    <definedName name="wrn.97._4" hidden="1">{#N/A,#N/A,FALSE,"지침";#N/A,#N/A,FALSE,"환경분석";#N/A,#N/A,FALSE,"Sheet16"}</definedName>
    <definedName name="wrn.97._5" localSheetId="5" hidden="1">{#N/A,#N/A,FALSE,"지침";#N/A,#N/A,FALSE,"환경분석";#N/A,#N/A,FALSE,"Sheet16"}</definedName>
    <definedName name="wrn.97._5" hidden="1">{#N/A,#N/A,FALSE,"지침";#N/A,#N/A,FALSE,"환경분석";#N/A,#N/A,FALSE,"Sheet16"}</definedName>
    <definedName name="WRN.98." localSheetId="5" hidden="1">{#N/A,#N/A,FALSE,"지침";#N/A,#N/A,FALSE,"환경분석";#N/A,#N/A,FALSE,"Sheet16"}</definedName>
    <definedName name="WRN.98." hidden="1">{#N/A,#N/A,FALSE,"지침";#N/A,#N/A,FALSE,"환경분석";#N/A,#N/A,FALSE,"Sheet16"}</definedName>
    <definedName name="WRN.98._1" localSheetId="5" hidden="1">{#N/A,#N/A,FALSE,"지침";#N/A,#N/A,FALSE,"환경분석";#N/A,#N/A,FALSE,"Sheet16"}</definedName>
    <definedName name="WRN.98._1" hidden="1">{#N/A,#N/A,FALSE,"지침";#N/A,#N/A,FALSE,"환경분석";#N/A,#N/A,FALSE,"Sheet16"}</definedName>
    <definedName name="WRN.98._2" localSheetId="5" hidden="1">{#N/A,#N/A,FALSE,"지침";#N/A,#N/A,FALSE,"환경분석";#N/A,#N/A,FALSE,"Sheet16"}</definedName>
    <definedName name="WRN.98._2" hidden="1">{#N/A,#N/A,FALSE,"지침";#N/A,#N/A,FALSE,"환경분석";#N/A,#N/A,FALSE,"Sheet16"}</definedName>
    <definedName name="WRN.98._3" localSheetId="5" hidden="1">{#N/A,#N/A,FALSE,"지침";#N/A,#N/A,FALSE,"환경분석";#N/A,#N/A,FALSE,"Sheet16"}</definedName>
    <definedName name="WRN.98._3" hidden="1">{#N/A,#N/A,FALSE,"지침";#N/A,#N/A,FALSE,"환경분석";#N/A,#N/A,FALSE,"Sheet16"}</definedName>
    <definedName name="WRN.98._4" localSheetId="5" hidden="1">{#N/A,#N/A,FALSE,"지침";#N/A,#N/A,FALSE,"환경분석";#N/A,#N/A,FALSE,"Sheet16"}</definedName>
    <definedName name="WRN.98._4" hidden="1">{#N/A,#N/A,FALSE,"지침";#N/A,#N/A,FALSE,"환경분석";#N/A,#N/A,FALSE,"Sheet16"}</definedName>
    <definedName name="WRN.98._5" localSheetId="5" hidden="1">{#N/A,#N/A,FALSE,"지침";#N/A,#N/A,FALSE,"환경분석";#N/A,#N/A,FALSE,"Sheet16"}</definedName>
    <definedName name="WRN.98._5" hidden="1">{#N/A,#N/A,FALSE,"지침";#N/A,#N/A,FALSE,"환경분석";#N/A,#N/A,FALSE,"Sheet16"}</definedName>
    <definedName name="wrn.ac30prn." localSheetId="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1" localSheetId="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1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2" localSheetId="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2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3" localSheetId="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3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4" localSheetId="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4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5" localSheetId="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_5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5" hidden="1">{#N/A,#N/A,FALSE,"CCTV"}</definedName>
    <definedName name="wrn.BM." localSheetId="9" hidden="1">{#N/A,#N/A,FALSE,"CCTV"}</definedName>
    <definedName name="wrn.BM." localSheetId="10" hidden="1">{#N/A,#N/A,FALSE,"CCTV"}</definedName>
    <definedName name="wrn.BM." localSheetId="6" hidden="1">{#N/A,#N/A,FALSE,"CCTV"}</definedName>
    <definedName name="wrn.BM." localSheetId="3" hidden="1">{#N/A,#N/A,FALSE,"CCTV"}</definedName>
    <definedName name="wrn.BM." hidden="1">{#N/A,#N/A,FALSE,"CCTV"}</definedName>
    <definedName name="wrn.BM._1" localSheetId="5" hidden="1">{#N/A,#N/A,FALSE,"CCTV"}</definedName>
    <definedName name="wrn.BM._1" localSheetId="9" hidden="1">{#N/A,#N/A,FALSE,"CCTV"}</definedName>
    <definedName name="wrn.BM._1" localSheetId="10" hidden="1">{#N/A,#N/A,FALSE,"CCTV"}</definedName>
    <definedName name="wrn.BM._1" localSheetId="6" hidden="1">{#N/A,#N/A,FALSE,"CCTV"}</definedName>
    <definedName name="wrn.BM._1" localSheetId="3" hidden="1">{#N/A,#N/A,FALSE,"CCTV"}</definedName>
    <definedName name="wrn.BM._1" hidden="1">{#N/A,#N/A,FALSE,"CCTV"}</definedName>
    <definedName name="wrn.BM._2" localSheetId="5" hidden="1">{#N/A,#N/A,FALSE,"CCTV"}</definedName>
    <definedName name="wrn.BM._2" hidden="1">{#N/A,#N/A,FALSE,"CCTV"}</definedName>
    <definedName name="wrn.BM._3" localSheetId="5" hidden="1">{#N/A,#N/A,FALSE,"CCTV"}</definedName>
    <definedName name="wrn.BM._3" hidden="1">{#N/A,#N/A,FALSE,"CCTV"}</definedName>
    <definedName name="wrn.BM._4" localSheetId="5" hidden="1">{#N/A,#N/A,FALSE,"CCTV"}</definedName>
    <definedName name="wrn.BM._4" hidden="1">{#N/A,#N/A,FALSE,"CCTV"}</definedName>
    <definedName name="wrn.BM._5" localSheetId="5" hidden="1">{#N/A,#N/A,FALSE,"CCTV"}</definedName>
    <definedName name="wrn.BM._5" hidden="1">{#N/A,#N/A,FALSE,"CCTV"}</definedName>
    <definedName name="wrn.CBA.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9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1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3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1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1" localSheetId="9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1" localSheetId="10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1" localSheetId="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1" localSheetId="3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2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2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3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3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4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4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5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1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1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1" localSheetId="9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1" localSheetId="10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1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1" localSheetId="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2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3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4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5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1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5" hidden="1">{"Cost Summary",#N/A,FALSE,"B";"Cost Detail 1",#N/A,FALSE,"C";"Cost Detail 2",#N/A,FALSE,"C"}</definedName>
    <definedName name="wrn.Cost._.Summary." localSheetId="9" hidden="1">{"Cost Summary",#N/A,FALSE,"B";"Cost Detail 1",#N/A,FALSE,"C";"Cost Detail 2",#N/A,FALSE,"C"}</definedName>
    <definedName name="wrn.Cost._.Summary." localSheetId="10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3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1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Equipment._.List." localSheetId="5" hidden="1">{#N/A,#N/A,TRUE,"COVERSHEET";#N/A,#N/A,TRUE,"LEGEND";#N/A,#N/A,TRUE,"LIST"}</definedName>
    <definedName name="wrn.Equipment._.List." localSheetId="9" hidden="1">{#N/A,#N/A,TRUE,"COVERSHEET";#N/A,#N/A,TRUE,"LEGEND";#N/A,#N/A,TRUE,"LIST"}</definedName>
    <definedName name="wrn.Equipment._.List." localSheetId="10" hidden="1">{#N/A,#N/A,TRUE,"COVERSHEET";#N/A,#N/A,TRUE,"LEGEND";#N/A,#N/A,TRUE,"LIST"}</definedName>
    <definedName name="wrn.Equipment._.List." localSheetId="6" hidden="1">{#N/A,#N/A,TRUE,"COVERSHEET";#N/A,#N/A,TRUE,"LEGEND";#N/A,#N/A,TRUE,"LIST"}</definedName>
    <definedName name="wrn.Equipment._.List." localSheetId="3" hidden="1">{#N/A,#N/A,TRUE,"COVERSHEET";#N/A,#N/A,TRUE,"LEGEND";#N/A,#N/A,TRUE,"LIST"}</definedName>
    <definedName name="wrn.Equipment._.List." hidden="1">{#N/A,#N/A,TRUE,"COVERSHEET";#N/A,#N/A,TRUE,"LEGEND";#N/A,#N/A,TRUE,"LIST"}</definedName>
    <definedName name="wrn.Equipment._.List._1" localSheetId="5" hidden="1">{#N/A,#N/A,TRUE,"COVERSHEET";#N/A,#N/A,TRUE,"LEGEND";#N/A,#N/A,TRUE,"LIST"}</definedName>
    <definedName name="wrn.Equipment._.List._1" hidden="1">{#N/A,#N/A,TRUE,"COVERSHEET";#N/A,#N/A,TRUE,"LEGEND";#N/A,#N/A,TRUE,"LIST"}</definedName>
    <definedName name="wrn.Equipment._.List._2" localSheetId="5" hidden="1">{#N/A,#N/A,TRUE,"COVERSHEET";#N/A,#N/A,TRUE,"LEGEND";#N/A,#N/A,TRUE,"LIST"}</definedName>
    <definedName name="wrn.Equipment._.List._2" hidden="1">{#N/A,#N/A,TRUE,"COVERSHEET";#N/A,#N/A,TRUE,"LEGEND";#N/A,#N/A,TRUE,"LIST"}</definedName>
    <definedName name="wrn.Equipment._.List._3" localSheetId="5" hidden="1">{#N/A,#N/A,TRUE,"COVERSHEET";#N/A,#N/A,TRUE,"LEGEND";#N/A,#N/A,TRUE,"LIST"}</definedName>
    <definedName name="wrn.Equipment._.List._3" hidden="1">{#N/A,#N/A,TRUE,"COVERSHEET";#N/A,#N/A,TRUE,"LEGEND";#N/A,#N/A,TRUE,"LIST"}</definedName>
    <definedName name="wrn.Equipment._.List._4" localSheetId="5" hidden="1">{#N/A,#N/A,TRUE,"COVERSHEET";#N/A,#N/A,TRUE,"LEGEND";#N/A,#N/A,TRUE,"LIST"}</definedName>
    <definedName name="wrn.Equipment._.List._4" hidden="1">{#N/A,#N/A,TRUE,"COVERSHEET";#N/A,#N/A,TRUE,"LEGEND";#N/A,#N/A,TRUE,"LIST"}</definedName>
    <definedName name="wrn.Equipment._.List._5" localSheetId="5" hidden="1">{#N/A,#N/A,TRUE,"COVERSHEET";#N/A,#N/A,TRUE,"LEGEND";#N/A,#N/A,TRUE,"LIST"}</definedName>
    <definedName name="wrn.Equipment._.List._5" hidden="1">{#N/A,#N/A,TRUE,"COVERSHEET";#N/A,#N/A,TRUE,"LEGEND";#N/A,#N/A,TRUE,"LIST"}</definedName>
    <definedName name="wrn.FORM." localSheetId="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1" localSheetId="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1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2" localSheetId="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2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3" localSheetId="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3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4" localSheetId="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4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5" localSheetId="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ORM._5" hidden="1">{#N/A,#N/A,FALSE,"FORM A";#N/A,#N/A,FALSE,"FORM D";#N/A,#N/A,FALSE,"FORM E-1";#N/A,#N/A,FALSE,"FORM E-2";#N/A,#N/A,FALSE,"FORM F";#N/A,#N/A,FALSE,"FORM G";#N/A,#N/A,FALSE,"FORM H-1";#N/A,#N/A,FALSE,"FORM H-2";#N/A,#N/A,FALSE,"FORM H-3";#N/A,#N/A,FALSE,"FORM H-4";#N/A,#N/A,FALSE,"FORM H-5";#N/A,#N/A,FALSE,"FORM I";#N/A,#N/A,FALSE,"FORM J"}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1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1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GM機器リスト.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1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2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3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4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5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_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PrintAll.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1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2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3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4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5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_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5" hidden="1">{#N/A,#N/A,FALSE,"Sheet1";#N/A,#N/A,FALSE,"Sheet2";#N/A,#N/A,FALSE,"Sheet3"}</definedName>
    <definedName name="wrn.PrintCurr." hidden="1">{#N/A,#N/A,FALSE,"Sheet1";#N/A,#N/A,FALSE,"Sheet2";#N/A,#N/A,FALSE,"Sheet3"}</definedName>
    <definedName name="wrn.PrintCurr._1" localSheetId="5" hidden="1">{#N/A,#N/A,FALSE,"Sheet1";#N/A,#N/A,FALSE,"Sheet2";#N/A,#N/A,FALSE,"Sheet3"}</definedName>
    <definedName name="wrn.PrintCurr._1" hidden="1">{#N/A,#N/A,FALSE,"Sheet1";#N/A,#N/A,FALSE,"Sheet2";#N/A,#N/A,FALSE,"Sheet3"}</definedName>
    <definedName name="wrn.PrintCurr._2" localSheetId="5" hidden="1">{#N/A,#N/A,FALSE,"Sheet1";#N/A,#N/A,FALSE,"Sheet2";#N/A,#N/A,FALSE,"Sheet3"}</definedName>
    <definedName name="wrn.PrintCurr._2" hidden="1">{#N/A,#N/A,FALSE,"Sheet1";#N/A,#N/A,FALSE,"Sheet2";#N/A,#N/A,FALSE,"Sheet3"}</definedName>
    <definedName name="wrn.PrintCurr._3" localSheetId="5" hidden="1">{#N/A,#N/A,FALSE,"Sheet1";#N/A,#N/A,FALSE,"Sheet2";#N/A,#N/A,FALSE,"Sheet3"}</definedName>
    <definedName name="wrn.PrintCurr._3" hidden="1">{#N/A,#N/A,FALSE,"Sheet1";#N/A,#N/A,FALSE,"Sheet2";#N/A,#N/A,FALSE,"Sheet3"}</definedName>
    <definedName name="wrn.PrintCurr._4" localSheetId="5" hidden="1">{#N/A,#N/A,FALSE,"Sheet1";#N/A,#N/A,FALSE,"Sheet2";#N/A,#N/A,FALSE,"Sheet3"}</definedName>
    <definedName name="wrn.PrintCurr._4" hidden="1">{#N/A,#N/A,FALSE,"Sheet1";#N/A,#N/A,FALSE,"Sheet2";#N/A,#N/A,FALSE,"Sheet3"}</definedName>
    <definedName name="wrn.PrintCurr._5" localSheetId="5" hidden="1">{#N/A,#N/A,FALSE,"Sheet1";#N/A,#N/A,FALSE,"Sheet2";#N/A,#N/A,FALSE,"Sheet3"}</definedName>
    <definedName name="wrn.PrintCurr._5" hidden="1">{#N/A,#N/A,FALSE,"Sheet1";#N/A,#N/A,FALSE,"Sheet2";#N/A,#N/A,FALSE,"Sheet3"}</definedName>
    <definedName name="wrn.PrintPrev1." localSheetId="5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1._1" localSheetId="5" hidden="1">{#N/A,#N/A,FALSE,"Sheet4";#N/A,#N/A,FALSE,"Sheet5";#N/A,#N/A,FALSE,"Sheet6"}</definedName>
    <definedName name="wrn.PrintPrev1._1" hidden="1">{#N/A,#N/A,FALSE,"Sheet4";#N/A,#N/A,FALSE,"Sheet5";#N/A,#N/A,FALSE,"Sheet6"}</definedName>
    <definedName name="wrn.PrintPrev1._2" localSheetId="5" hidden="1">{#N/A,#N/A,FALSE,"Sheet4";#N/A,#N/A,FALSE,"Sheet5";#N/A,#N/A,FALSE,"Sheet6"}</definedName>
    <definedName name="wrn.PrintPrev1._2" hidden="1">{#N/A,#N/A,FALSE,"Sheet4";#N/A,#N/A,FALSE,"Sheet5";#N/A,#N/A,FALSE,"Sheet6"}</definedName>
    <definedName name="wrn.PrintPrev1._3" localSheetId="5" hidden="1">{#N/A,#N/A,FALSE,"Sheet4";#N/A,#N/A,FALSE,"Sheet5";#N/A,#N/A,FALSE,"Sheet6"}</definedName>
    <definedName name="wrn.PrintPrev1._3" hidden="1">{#N/A,#N/A,FALSE,"Sheet4";#N/A,#N/A,FALSE,"Sheet5";#N/A,#N/A,FALSE,"Sheet6"}</definedName>
    <definedName name="wrn.PrintPrev1._4" localSheetId="5" hidden="1">{#N/A,#N/A,FALSE,"Sheet4";#N/A,#N/A,FALSE,"Sheet5";#N/A,#N/A,FALSE,"Sheet6"}</definedName>
    <definedName name="wrn.PrintPrev1._4" hidden="1">{#N/A,#N/A,FALSE,"Sheet4";#N/A,#N/A,FALSE,"Sheet5";#N/A,#N/A,FALSE,"Sheet6"}</definedName>
    <definedName name="wrn.PrintPrev1._5" localSheetId="5" hidden="1">{#N/A,#N/A,FALSE,"Sheet4";#N/A,#N/A,FALSE,"Sheet5";#N/A,#N/A,FALSE,"Sheet6"}</definedName>
    <definedName name="wrn.PrintPrev1._5" hidden="1">{#N/A,#N/A,FALSE,"Sheet4";#N/A,#N/A,FALSE,"Sheet5";#N/A,#N/A,FALSE,"Sheet6"}</definedName>
    <definedName name="wrn.PrintPrev2." localSheetId="5" hidden="1">{#N/A,#N/A,FALSE,"Sheet7";#N/A,#N/A,FALSE,"Sheet8";#N/A,#N/A,FALSE,"Sheet9"}</definedName>
    <definedName name="wrn.PrintPrev2." hidden="1">{#N/A,#N/A,FALSE,"Sheet7";#N/A,#N/A,FALSE,"Sheet8";#N/A,#N/A,FALSE,"Sheet9"}</definedName>
    <definedName name="wrn.PrintPrev2._1" localSheetId="5" hidden="1">{#N/A,#N/A,FALSE,"Sheet7";#N/A,#N/A,FALSE,"Sheet8";#N/A,#N/A,FALSE,"Sheet9"}</definedName>
    <definedName name="wrn.PrintPrev2._1" hidden="1">{#N/A,#N/A,FALSE,"Sheet7";#N/A,#N/A,FALSE,"Sheet8";#N/A,#N/A,FALSE,"Sheet9"}</definedName>
    <definedName name="wrn.PrintPrev2._2" localSheetId="5" hidden="1">{#N/A,#N/A,FALSE,"Sheet7";#N/A,#N/A,FALSE,"Sheet8";#N/A,#N/A,FALSE,"Sheet9"}</definedName>
    <definedName name="wrn.PrintPrev2._2" hidden="1">{#N/A,#N/A,FALSE,"Sheet7";#N/A,#N/A,FALSE,"Sheet8";#N/A,#N/A,FALSE,"Sheet9"}</definedName>
    <definedName name="wrn.PrintPrev2._3" localSheetId="5" hidden="1">{#N/A,#N/A,FALSE,"Sheet7";#N/A,#N/A,FALSE,"Sheet8";#N/A,#N/A,FALSE,"Sheet9"}</definedName>
    <definedName name="wrn.PrintPrev2._3" hidden="1">{#N/A,#N/A,FALSE,"Sheet7";#N/A,#N/A,FALSE,"Sheet8";#N/A,#N/A,FALSE,"Sheet9"}</definedName>
    <definedName name="wrn.PrintPrev2._4" localSheetId="5" hidden="1">{#N/A,#N/A,FALSE,"Sheet7";#N/A,#N/A,FALSE,"Sheet8";#N/A,#N/A,FALSE,"Sheet9"}</definedName>
    <definedName name="wrn.PrintPrev2._4" hidden="1">{#N/A,#N/A,FALSE,"Sheet7";#N/A,#N/A,FALSE,"Sheet8";#N/A,#N/A,FALSE,"Sheet9"}</definedName>
    <definedName name="wrn.PrintPrev2._5" localSheetId="5" hidden="1">{#N/A,#N/A,FALSE,"Sheet7";#N/A,#N/A,FALSE,"Sheet8";#N/A,#N/A,FALSE,"Sheet9"}</definedName>
    <definedName name="wrn.PrintPrev2._5" hidden="1">{#N/A,#N/A,FALSE,"Sheet7";#N/A,#N/A,FALSE,"Sheet8";#N/A,#N/A,FALSE,"Sheet9"}</definedName>
    <definedName name="wrn.SECURITY._.SYSTEM._.MATERIAL._.COST." localSheetId="5" hidden="1">{#N/A,#N/A,TRUE,"MATERIAL COST"}</definedName>
    <definedName name="wrn.SECURITY._.SYSTEM._.MATERIAL._.COST." hidden="1">{#N/A,#N/A,TRUE,"MATERIAL COST"}</definedName>
    <definedName name="wrn.STAFFS." localSheetId="5" hidden="1">{#N/A,#N/A,FALSE,"TABLE"}</definedName>
    <definedName name="wrn.STAFFS." hidden="1">{#N/A,#N/A,FALSE,"TABLE"}</definedName>
    <definedName name="wrn.struckgi." localSheetId="5" hidden="1">{#N/A,#N/A,TRUE,"arnitower";#N/A,#N/A,TRUE,"arnigarage "}</definedName>
    <definedName name="wrn.struckgi." hidden="1">{#N/A,#N/A,TRUE,"arnitower";#N/A,#N/A,TRUE,"arnigarage "}</definedName>
    <definedName name="wrn.struckgi._1" localSheetId="5" hidden="1">{#N/A,#N/A,TRUE,"arnitower";#N/A,#N/A,TRUE,"arnigarage "}</definedName>
    <definedName name="wrn.struckgi._1" hidden="1">{#N/A,#N/A,TRUE,"arnitower";#N/A,#N/A,TRUE,"arnigarage "}</definedName>
    <definedName name="wrn.struckgi._2" localSheetId="5" hidden="1">{#N/A,#N/A,TRUE,"arnitower";#N/A,#N/A,TRUE,"arnigarage "}</definedName>
    <definedName name="wrn.struckgi._2" hidden="1">{#N/A,#N/A,TRUE,"arnitower";#N/A,#N/A,TRUE,"arnigarage "}</definedName>
    <definedName name="wrn.struckgi._3" localSheetId="5" hidden="1">{#N/A,#N/A,TRUE,"arnitower";#N/A,#N/A,TRUE,"arnigarage "}</definedName>
    <definedName name="wrn.struckgi._3" hidden="1">{#N/A,#N/A,TRUE,"arnitower";#N/A,#N/A,TRUE,"arnigarage "}</definedName>
    <definedName name="wrn.struckgi._4" localSheetId="5" hidden="1">{#N/A,#N/A,TRUE,"arnitower";#N/A,#N/A,TRUE,"arnigarage "}</definedName>
    <definedName name="wrn.struckgi._4" hidden="1">{#N/A,#N/A,TRUE,"arnitower";#N/A,#N/A,TRUE,"arnigarage "}</definedName>
    <definedName name="wrn.struckgi._5" localSheetId="5" hidden="1">{#N/A,#N/A,TRUE,"arnitower";#N/A,#N/A,TRUE,"arnigarage "}</definedName>
    <definedName name="wrn.struckgi._5" hidden="1">{#N/A,#N/A,TRUE,"arnitower";#N/A,#N/A,TRUE,"arnigarage "}</definedName>
    <definedName name="wrn.건물기초.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5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localSheetId="5" hidden="1">{#N/A,#N/A,FALSE,"골재소요량";#N/A,#N/A,FALSE,"골재소요량"}</definedName>
    <definedName name="wrn.골재소요량." localSheetId="9" hidden="1">{#N/A,#N/A,FALSE,"골재소요량";#N/A,#N/A,FALSE,"골재소요량"}</definedName>
    <definedName name="wrn.골재소요량." localSheetId="10" hidden="1">{#N/A,#N/A,FALSE,"골재소요량";#N/A,#N/A,FALSE,"골재소요량"}</definedName>
    <definedName name="wrn.골재소요량." localSheetId="6" hidden="1">{#N/A,#N/A,FALSE,"골재소요량";#N/A,#N/A,FALSE,"골재소요량"}</definedName>
    <definedName name="wrn.골재소요량." localSheetId="3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localSheetId="5" hidden="1">{#N/A,#N/A,FALSE,"골재소요량";#N/A,#N/A,FALSE,"골재소요량"}</definedName>
    <definedName name="wrn.골재소요량._1" hidden="1">{#N/A,#N/A,FALSE,"골재소요량";#N/A,#N/A,FALSE,"골재소요량"}</definedName>
    <definedName name="wrn.골재소요량._2" localSheetId="5" hidden="1">{#N/A,#N/A,FALSE,"골재소요량";#N/A,#N/A,FALSE,"골재소요량"}</definedName>
    <definedName name="wrn.골재소요량._2" hidden="1">{#N/A,#N/A,FALSE,"골재소요량";#N/A,#N/A,FALSE,"골재소요량"}</definedName>
    <definedName name="wrn.골재소요량._3" localSheetId="5" hidden="1">{#N/A,#N/A,FALSE,"골재소요량";#N/A,#N/A,FALSE,"골재소요량"}</definedName>
    <definedName name="wrn.골재소요량._3" hidden="1">{#N/A,#N/A,FALSE,"골재소요량";#N/A,#N/A,FALSE,"골재소요량"}</definedName>
    <definedName name="wrn.골재소요량._4" localSheetId="5" hidden="1">{#N/A,#N/A,FALSE,"골재소요량";#N/A,#N/A,FALSE,"골재소요량"}</definedName>
    <definedName name="wrn.골재소요량._4" hidden="1">{#N/A,#N/A,FALSE,"골재소요량";#N/A,#N/A,FALSE,"골재소요량"}</definedName>
    <definedName name="wrn.골재소요량._5" localSheetId="5" hidden="1">{#N/A,#N/A,FALSE,"골재소요량";#N/A,#N/A,FALSE,"골재소요량"}</definedName>
    <definedName name="wrn.골재소요량._5" hidden="1">{#N/A,#N/A,FALSE,"골재소요량";#N/A,#N/A,FALSE,"골재소요량"}</definedName>
    <definedName name="wrn.교육청." localSheetId="5" hidden="1">{#N/A,#N/A,FALSE,"전력간선"}</definedName>
    <definedName name="wrn.교육청." hidden="1">{#N/A,#N/A,FALSE,"전력간선"}</definedName>
    <definedName name="wrn.교육청._1" localSheetId="5" hidden="1">{#N/A,#N/A,FALSE,"전력간선"}</definedName>
    <definedName name="wrn.교육청._1" hidden="1">{#N/A,#N/A,FALSE,"전력간선"}</definedName>
    <definedName name="wrn.교육청._2" localSheetId="5" hidden="1">{#N/A,#N/A,FALSE,"전력간선"}</definedName>
    <definedName name="wrn.교육청._2" hidden="1">{#N/A,#N/A,FALSE,"전력간선"}</definedName>
    <definedName name="wrn.교육청._3" localSheetId="5" hidden="1">{#N/A,#N/A,FALSE,"전력간선"}</definedName>
    <definedName name="wrn.교육청._3" hidden="1">{#N/A,#N/A,FALSE,"전력간선"}</definedName>
    <definedName name="wrn.교육청._4" localSheetId="5" hidden="1">{#N/A,#N/A,FALSE,"전력간선"}</definedName>
    <definedName name="wrn.교육청._4" hidden="1">{#N/A,#N/A,FALSE,"전력간선"}</definedName>
    <definedName name="wrn.교육청._5" localSheetId="5" hidden="1">{#N/A,#N/A,FALSE,"전력간선"}</definedName>
    <definedName name="wrn.교육청._5" hidden="1">{#N/A,#N/A,FALSE,"전력간선"}</definedName>
    <definedName name="wrn.구조2." localSheetId="5" hidden="1">{#N/A,#N/A,FALSE,"구조2"}</definedName>
    <definedName name="wrn.구조2." localSheetId="9" hidden="1">{#N/A,#N/A,FALSE,"구조2"}</definedName>
    <definedName name="wrn.구조2." localSheetId="10" hidden="1">{#N/A,#N/A,FALSE,"구조2"}</definedName>
    <definedName name="wrn.구조2." localSheetId="6" hidden="1">{#N/A,#N/A,FALSE,"구조2"}</definedName>
    <definedName name="wrn.구조2." localSheetId="3" hidden="1">{#N/A,#N/A,FALSE,"구조2"}</definedName>
    <definedName name="wrn.구조2." hidden="1">{#N/A,#N/A,FALSE,"구조2"}</definedName>
    <definedName name="wrn.기성." localSheetId="5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성._1" localSheetId="5" hidden="1">{#N/A,#N/A,FALSE,"신청통보";#N/A,#N/A,FALSE,"기성확인서";#N/A,#N/A,FALSE,"기성내역서"}</definedName>
    <definedName name="wrn.기성._1" hidden="1">{#N/A,#N/A,FALSE,"신청통보";#N/A,#N/A,FALSE,"기성확인서";#N/A,#N/A,FALSE,"기성내역서"}</definedName>
    <definedName name="wrn.기성._2" localSheetId="5" hidden="1">{#N/A,#N/A,FALSE,"신청통보";#N/A,#N/A,FALSE,"기성확인서";#N/A,#N/A,FALSE,"기성내역서"}</definedName>
    <definedName name="wrn.기성._2" hidden="1">{#N/A,#N/A,FALSE,"신청통보";#N/A,#N/A,FALSE,"기성확인서";#N/A,#N/A,FALSE,"기성내역서"}</definedName>
    <definedName name="wrn.기성._3" localSheetId="5" hidden="1">{#N/A,#N/A,FALSE,"신청통보";#N/A,#N/A,FALSE,"기성확인서";#N/A,#N/A,FALSE,"기성내역서"}</definedName>
    <definedName name="wrn.기성._3" hidden="1">{#N/A,#N/A,FALSE,"신청통보";#N/A,#N/A,FALSE,"기성확인서";#N/A,#N/A,FALSE,"기성내역서"}</definedName>
    <definedName name="wrn.기성._4" localSheetId="5" hidden="1">{#N/A,#N/A,FALSE,"신청통보";#N/A,#N/A,FALSE,"기성확인서";#N/A,#N/A,FALSE,"기성내역서"}</definedName>
    <definedName name="wrn.기성._4" hidden="1">{#N/A,#N/A,FALSE,"신청통보";#N/A,#N/A,FALSE,"기성확인서";#N/A,#N/A,FALSE,"기성내역서"}</definedName>
    <definedName name="wrn.기성._5" localSheetId="5" hidden="1">{#N/A,#N/A,FALSE,"신청통보";#N/A,#N/A,FALSE,"기성확인서";#N/A,#N/A,FALSE,"기성내역서"}</definedName>
    <definedName name="wrn.기성._5" hidden="1">{#N/A,#N/A,FALSE,"신청통보";#N/A,#N/A,FALSE,"기성확인서";#N/A,#N/A,FALSE,"기성내역서"}</definedName>
    <definedName name="wrn.단가표지." localSheetId="5" hidden="1">{#N/A,#N/A,FALSE,"단가표지"}</definedName>
    <definedName name="wrn.단가표지." localSheetId="9" hidden="1">{#N/A,#N/A,FALSE,"단가표지"}</definedName>
    <definedName name="wrn.단가표지." localSheetId="10" hidden="1">{#N/A,#N/A,FALSE,"단가표지"}</definedName>
    <definedName name="wrn.단가표지." localSheetId="6" hidden="1">{#N/A,#N/A,FALSE,"단가표지"}</definedName>
    <definedName name="wrn.단가표지." localSheetId="3" hidden="1">{#N/A,#N/A,FALSE,"단가표지"}</definedName>
    <definedName name="wrn.단가표지." hidden="1">{#N/A,#N/A,FALSE,"단가표지"}</definedName>
    <definedName name="wrn.단가표지._1" localSheetId="5" hidden="1">{#N/A,#N/A,FALSE,"단가표지"}</definedName>
    <definedName name="wrn.단가표지._1" hidden="1">{#N/A,#N/A,FALSE,"단가표지"}</definedName>
    <definedName name="wrn.단가표지._2" localSheetId="5" hidden="1">{#N/A,#N/A,FALSE,"단가표지"}</definedName>
    <definedName name="wrn.단가표지._2" hidden="1">{#N/A,#N/A,FALSE,"단가표지"}</definedName>
    <definedName name="wrn.단가표지._3" localSheetId="5" hidden="1">{#N/A,#N/A,FALSE,"단가표지"}</definedName>
    <definedName name="wrn.단가표지._3" hidden="1">{#N/A,#N/A,FALSE,"단가표지"}</definedName>
    <definedName name="wrn.단가표지._4" localSheetId="5" hidden="1">{#N/A,#N/A,FALSE,"단가표지"}</definedName>
    <definedName name="wrn.단가표지._4" hidden="1">{#N/A,#N/A,FALSE,"단가표지"}</definedName>
    <definedName name="wrn.단가표지._5" localSheetId="5" hidden="1">{#N/A,#N/A,FALSE,"단가표지"}</definedName>
    <definedName name="wrn.단가표지._5" hidden="1">{#N/A,#N/A,FALSE,"단가표지"}</definedName>
    <definedName name="wrn.배수1." localSheetId="5" hidden="1">{#N/A,#N/A,FALSE,"배수1"}</definedName>
    <definedName name="wrn.배수1." localSheetId="9" hidden="1">{#N/A,#N/A,FALSE,"배수1"}</definedName>
    <definedName name="wrn.배수1." localSheetId="10" hidden="1">{#N/A,#N/A,FALSE,"배수1"}</definedName>
    <definedName name="wrn.배수1." localSheetId="6" hidden="1">{#N/A,#N/A,FALSE,"배수1"}</definedName>
    <definedName name="wrn.배수1." localSheetId="3" hidden="1">{#N/A,#N/A,FALSE,"배수1"}</definedName>
    <definedName name="wrn.배수1." hidden="1">{#N/A,#N/A,FALSE,"배수1"}</definedName>
    <definedName name="wrn.배수2." localSheetId="5" hidden="1">{#N/A,#N/A,FALSE,"배수2"}</definedName>
    <definedName name="wrn.배수2." localSheetId="9" hidden="1">{#N/A,#N/A,FALSE,"배수2"}</definedName>
    <definedName name="wrn.배수2." localSheetId="10" hidden="1">{#N/A,#N/A,FALSE,"배수2"}</definedName>
    <definedName name="wrn.배수2." localSheetId="6" hidden="1">{#N/A,#N/A,FALSE,"배수2"}</definedName>
    <definedName name="wrn.배수2." localSheetId="3" hidden="1">{#N/A,#N/A,FALSE,"배수2"}</definedName>
    <definedName name="wrn.배수2." hidden="1">{#N/A,#N/A,FALSE,"배수2"}</definedName>
    <definedName name="wrn.변경예산." localSheetId="5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호계전기." localSheetId="5" hidden="1">{#N/A,#N/A,FALSE,"ENG'G(보호계전기)"}</definedName>
    <definedName name="wrn.보호계전기." hidden="1">{#N/A,#N/A,FALSE,"ENG'G(보호계전기)"}</definedName>
    <definedName name="wrn.보호계전기._1" localSheetId="5" hidden="1">{#N/A,#N/A,FALSE,"ENG'G(보호계전기)"}</definedName>
    <definedName name="wrn.보호계전기._1" hidden="1">{#N/A,#N/A,FALSE,"ENG'G(보호계전기)"}</definedName>
    <definedName name="wrn.보호계전기._2" localSheetId="5" hidden="1">{#N/A,#N/A,FALSE,"ENG'G(보호계전기)"}</definedName>
    <definedName name="wrn.보호계전기._2" hidden="1">{#N/A,#N/A,FALSE,"ENG'G(보호계전기)"}</definedName>
    <definedName name="wrn.보호계전기._3" localSheetId="5" hidden="1">{#N/A,#N/A,FALSE,"ENG'G(보호계전기)"}</definedName>
    <definedName name="wrn.보호계전기._3" hidden="1">{#N/A,#N/A,FALSE,"ENG'G(보호계전기)"}</definedName>
    <definedName name="wrn.보호계전기._4" localSheetId="5" hidden="1">{#N/A,#N/A,FALSE,"ENG'G(보호계전기)"}</definedName>
    <definedName name="wrn.보호계전기._4" hidden="1">{#N/A,#N/A,FALSE,"ENG'G(보호계전기)"}</definedName>
    <definedName name="wrn.보호계전기._5" localSheetId="5" hidden="1">{#N/A,#N/A,FALSE,"ENG'G(보호계전기)"}</definedName>
    <definedName name="wrn.보호계전기._5" hidden="1">{#N/A,#N/A,FALSE,"ENG'G(보호계전기)"}</definedName>
    <definedName name="wrn.부대1." localSheetId="5" hidden="1">{#N/A,#N/A,FALSE,"부대1"}</definedName>
    <definedName name="wrn.부대1." localSheetId="9" hidden="1">{#N/A,#N/A,FALSE,"부대1"}</definedName>
    <definedName name="wrn.부대1." localSheetId="10" hidden="1">{#N/A,#N/A,FALSE,"부대1"}</definedName>
    <definedName name="wrn.부대1." localSheetId="6" hidden="1">{#N/A,#N/A,FALSE,"부대1"}</definedName>
    <definedName name="wrn.부대1." localSheetId="3" hidden="1">{#N/A,#N/A,FALSE,"부대1"}</definedName>
    <definedName name="wrn.부대1." hidden="1">{#N/A,#N/A,FALSE,"부대1"}</definedName>
    <definedName name="wrn.부대2." localSheetId="5" hidden="1">{#N/A,#N/A,FALSE,"부대2"}</definedName>
    <definedName name="wrn.부대2." localSheetId="9" hidden="1">{#N/A,#N/A,FALSE,"부대2"}</definedName>
    <definedName name="wrn.부대2." localSheetId="10" hidden="1">{#N/A,#N/A,FALSE,"부대2"}</definedName>
    <definedName name="wrn.부대2." localSheetId="6" hidden="1">{#N/A,#N/A,FALSE,"부대2"}</definedName>
    <definedName name="wrn.부대2." localSheetId="3" hidden="1">{#N/A,#N/A,FALSE,"부대2"}</definedName>
    <definedName name="wrn.부대2." hidden="1">{#N/A,#N/A,FALSE,"부대2"}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서회의." localSheetId="5" hidden="1">{"LKD",#N/A,FALSE,"표지"}</definedName>
    <definedName name="wrn.부서회의." hidden="1">{"LKD",#N/A,FALSE,"표지"}</definedName>
    <definedName name="wrn.부서회의._1" localSheetId="5" hidden="1">{"LKD",#N/A,FALSE,"표지"}</definedName>
    <definedName name="wrn.부서회의._1" hidden="1">{"LKD",#N/A,FALSE,"표지"}</definedName>
    <definedName name="wrn.부서회의._2" localSheetId="5" hidden="1">{"LKD",#N/A,FALSE,"표지"}</definedName>
    <definedName name="wrn.부서회의._2" hidden="1">{"LKD",#N/A,FALSE,"표지"}</definedName>
    <definedName name="wrn.부서회의._3" localSheetId="5" hidden="1">{"LKD",#N/A,FALSE,"표지"}</definedName>
    <definedName name="wrn.부서회의._3" hidden="1">{"LKD",#N/A,FALSE,"표지"}</definedName>
    <definedName name="wrn.부서회의._4" localSheetId="5" hidden="1">{"LKD",#N/A,FALSE,"표지"}</definedName>
    <definedName name="wrn.부서회의._4" hidden="1">{"LKD",#N/A,FALSE,"표지"}</definedName>
    <definedName name="wrn.부서회의._5" localSheetId="5" hidden="1">{"LKD",#N/A,FALSE,"표지"}</definedName>
    <definedName name="wrn.부서회의._5" hidden="1">{"LKD",#N/A,FALSE,"표지"}</definedName>
    <definedName name="wrn.사업현황." localSheetId="5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설계내역서." localSheetId="5" hidden="1">{#N/A,#N/A,FALSE,"설계내억서"}</definedName>
    <definedName name="wrn.설계내역서." hidden="1">{#N/A,#N/A,FALSE,"설계내억서"}</definedName>
    <definedName name="wrn.설계내역서._1" localSheetId="5" hidden="1">{#N/A,#N/A,FALSE,"설계내억서"}</definedName>
    <definedName name="wrn.설계내역서._1" hidden="1">{#N/A,#N/A,FALSE,"설계내억서"}</definedName>
    <definedName name="wrn.설계내역서._2" localSheetId="5" hidden="1">{#N/A,#N/A,FALSE,"설계내억서"}</definedName>
    <definedName name="wrn.설계내역서._2" hidden="1">{#N/A,#N/A,FALSE,"설계내억서"}</definedName>
    <definedName name="wrn.설계내역서._3" localSheetId="5" hidden="1">{#N/A,#N/A,FALSE,"설계내억서"}</definedName>
    <definedName name="wrn.설계내역서._3" hidden="1">{#N/A,#N/A,FALSE,"설계내억서"}</definedName>
    <definedName name="wrn.설계내역서._4" localSheetId="5" hidden="1">{#N/A,#N/A,FALSE,"설계내억서"}</definedName>
    <definedName name="wrn.설계내역서._4" hidden="1">{#N/A,#N/A,FALSE,"설계내억서"}</definedName>
    <definedName name="wrn.설계내역서._5" localSheetId="5" hidden="1">{#N/A,#N/A,FALSE,"설계내억서"}</definedName>
    <definedName name="wrn.설계내역서._5" hidden="1">{#N/A,#N/A,FALSE,"설계내억서"}</definedName>
    <definedName name="wrn.속도." localSheetId="5" hidden="1">{#N/A,#N/A,FALSE,"속도"}</definedName>
    <definedName name="wrn.속도." localSheetId="9" hidden="1">{#N/A,#N/A,FALSE,"속도"}</definedName>
    <definedName name="wrn.속도." localSheetId="10" hidden="1">{#N/A,#N/A,FALSE,"속도"}</definedName>
    <definedName name="wrn.속도." localSheetId="6" hidden="1">{#N/A,#N/A,FALSE,"속도"}</definedName>
    <definedName name="wrn.속도." localSheetId="3" hidden="1">{#N/A,#N/A,FALSE,"속도"}</definedName>
    <definedName name="wrn.속도." hidden="1">{#N/A,#N/A,FALSE,"속도"}</definedName>
    <definedName name="wrn.손익보고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5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_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5" hidden="1">{#N/A,#N/A,FALSE,"결의서";#N/A,#N/A,FALSE,"내역서";#N/A,#N/A,FALSE,"도급예상";#N/A,#N/A,FALSE,"시방서"}</definedName>
    <definedName name="wrn.시행결의." hidden="1">{#N/A,#N/A,FALSE,"결의서";#N/A,#N/A,FALSE,"내역서";#N/A,#N/A,FALSE,"도급예상";#N/A,#N/A,FALSE,"시방서"}</definedName>
    <definedName name="wrn.시행결의._1" localSheetId="5" hidden="1">{#N/A,#N/A,FALSE,"결의서";#N/A,#N/A,FALSE,"내역서";#N/A,#N/A,FALSE,"도급예상";#N/A,#N/A,FALSE,"시방서"}</definedName>
    <definedName name="wrn.시행결의._1" hidden="1">{#N/A,#N/A,FALSE,"결의서";#N/A,#N/A,FALSE,"내역서";#N/A,#N/A,FALSE,"도급예상";#N/A,#N/A,FALSE,"시방서"}</definedName>
    <definedName name="wrn.시행결의._2" localSheetId="5" hidden="1">{#N/A,#N/A,FALSE,"결의서";#N/A,#N/A,FALSE,"내역서";#N/A,#N/A,FALSE,"도급예상";#N/A,#N/A,FALSE,"시방서"}</definedName>
    <definedName name="wrn.시행결의._2" hidden="1">{#N/A,#N/A,FALSE,"결의서";#N/A,#N/A,FALSE,"내역서";#N/A,#N/A,FALSE,"도급예상";#N/A,#N/A,FALSE,"시방서"}</definedName>
    <definedName name="wrn.시행결의._3" localSheetId="5" hidden="1">{#N/A,#N/A,FALSE,"결의서";#N/A,#N/A,FALSE,"내역서";#N/A,#N/A,FALSE,"도급예상";#N/A,#N/A,FALSE,"시방서"}</definedName>
    <definedName name="wrn.시행결의._3" hidden="1">{#N/A,#N/A,FALSE,"결의서";#N/A,#N/A,FALSE,"내역서";#N/A,#N/A,FALSE,"도급예상";#N/A,#N/A,FALSE,"시방서"}</definedName>
    <definedName name="wrn.시행결의._4" localSheetId="5" hidden="1">{#N/A,#N/A,FALSE,"결의서";#N/A,#N/A,FALSE,"내역서";#N/A,#N/A,FALSE,"도급예상";#N/A,#N/A,FALSE,"시방서"}</definedName>
    <definedName name="wrn.시행결의._4" hidden="1">{#N/A,#N/A,FALSE,"결의서";#N/A,#N/A,FALSE,"내역서";#N/A,#N/A,FALSE,"도급예상";#N/A,#N/A,FALSE,"시방서"}</definedName>
    <definedName name="wrn.시행결의._5" localSheetId="5" hidden="1">{#N/A,#N/A,FALSE,"결의서";#N/A,#N/A,FALSE,"내역서";#N/A,#N/A,FALSE,"도급예상";#N/A,#N/A,FALSE,"시방서"}</definedName>
    <definedName name="wrn.시행결의._5" hidden="1">{#N/A,#N/A,FALSE,"결의서";#N/A,#N/A,FALSE,"내역서";#N/A,#N/A,FALSE,"도급예상";#N/A,#N/A,FALSE,"시방서"}</definedName>
    <definedName name="wrn.신용찬." localSheetId="5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업체별._.견적공사명." localSheetId="5" hidden="1">{"SJ - 기본 보기",#N/A,FALSE,"공사별 외주견적"}</definedName>
    <definedName name="wrn.업체별._.견적공사명." hidden="1">{"SJ - 기본 보기",#N/A,FALSE,"공사별 외주견적"}</definedName>
    <definedName name="wrn.업체별._.견적공사명._1" localSheetId="5" hidden="1">{"SJ - 기본 보기",#N/A,FALSE,"공사별 외주견적"}</definedName>
    <definedName name="wrn.업체별._.견적공사명._1" hidden="1">{"SJ - 기본 보기",#N/A,FALSE,"공사별 외주견적"}</definedName>
    <definedName name="wrn.업체별._.견적공사명._2" localSheetId="5" hidden="1">{"SJ - 기본 보기",#N/A,FALSE,"공사별 외주견적"}</definedName>
    <definedName name="wrn.업체별._.견적공사명._2" hidden="1">{"SJ - 기본 보기",#N/A,FALSE,"공사별 외주견적"}</definedName>
    <definedName name="wrn.업체별._.견적공사명._3" localSheetId="5" hidden="1">{"SJ - 기본 보기",#N/A,FALSE,"공사별 외주견적"}</definedName>
    <definedName name="wrn.업체별._.견적공사명._3" hidden="1">{"SJ - 기본 보기",#N/A,FALSE,"공사별 외주견적"}</definedName>
    <definedName name="wrn.업체별._.견적공사명._4" localSheetId="5" hidden="1">{"SJ - 기본 보기",#N/A,FALSE,"공사별 외주견적"}</definedName>
    <definedName name="wrn.업체별._.견적공사명._4" hidden="1">{"SJ - 기본 보기",#N/A,FALSE,"공사별 외주견적"}</definedName>
    <definedName name="wrn.업체별._.견적공사명._5" localSheetId="5" hidden="1">{"SJ - 기본 보기",#N/A,FALSE,"공사별 외주견적"}</definedName>
    <definedName name="wrn.업체별._.견적공사명._5" hidden="1">{"SJ - 기본 보기",#N/A,FALSE,"공사별 외주견적"}</definedName>
    <definedName name="wrn.연동제." localSheetId="5" hidden="1">{#N/A,#N/A,TRUE,"총괄"}</definedName>
    <definedName name="wrn.연동제." hidden="1">{#N/A,#N/A,TRUE,"총괄"}</definedName>
    <definedName name="wrn.연동제._1" localSheetId="5" hidden="1">{#N/A,#N/A,TRUE,"총괄"}</definedName>
    <definedName name="wrn.연동제._1" hidden="1">{#N/A,#N/A,TRUE,"총괄"}</definedName>
    <definedName name="wrn.연동제._2" localSheetId="5" hidden="1">{#N/A,#N/A,TRUE,"총괄"}</definedName>
    <definedName name="wrn.연동제._2" hidden="1">{#N/A,#N/A,TRUE,"총괄"}</definedName>
    <definedName name="wrn.연동제._3" localSheetId="5" hidden="1">{#N/A,#N/A,TRUE,"총괄"}</definedName>
    <definedName name="wrn.연동제._3" hidden="1">{#N/A,#N/A,TRUE,"총괄"}</definedName>
    <definedName name="wrn.연동제._4" localSheetId="5" hidden="1">{#N/A,#N/A,TRUE,"총괄"}</definedName>
    <definedName name="wrn.연동제._4" hidden="1">{#N/A,#N/A,TRUE,"총괄"}</definedName>
    <definedName name="wrn.연동제._5" localSheetId="5" hidden="1">{#N/A,#N/A,TRUE,"총괄"}</definedName>
    <definedName name="wrn.연동제._5" hidden="1">{#N/A,#N/A,TRUE,"총괄"}</definedName>
    <definedName name="wrn.예상손익." localSheetId="5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localSheetId="5" hidden="1">{#N/A,#N/A,FALSE,"운반시간"}</definedName>
    <definedName name="wrn.운반시간." localSheetId="9" hidden="1">{#N/A,#N/A,FALSE,"운반시간"}</definedName>
    <definedName name="wrn.운반시간." localSheetId="10" hidden="1">{#N/A,#N/A,FALSE,"운반시간"}</definedName>
    <definedName name="wrn.운반시간." localSheetId="6" hidden="1">{#N/A,#N/A,FALSE,"운반시간"}</definedName>
    <definedName name="wrn.운반시간." localSheetId="3" hidden="1">{#N/A,#N/A,FALSE,"운반시간"}</definedName>
    <definedName name="wrn.운반시간." hidden="1">{#N/A,#N/A,FALSE,"운반시간"}</definedName>
    <definedName name="wrn.운반시간._1" localSheetId="5" hidden="1">{#N/A,#N/A,FALSE,"운반시간"}</definedName>
    <definedName name="wrn.운반시간._1" hidden="1">{#N/A,#N/A,FALSE,"운반시간"}</definedName>
    <definedName name="wrn.운반시간._2" localSheetId="5" hidden="1">{#N/A,#N/A,FALSE,"운반시간"}</definedName>
    <definedName name="wrn.운반시간._2" hidden="1">{#N/A,#N/A,FALSE,"운반시간"}</definedName>
    <definedName name="wrn.운반시간._3" localSheetId="5" hidden="1">{#N/A,#N/A,FALSE,"운반시간"}</definedName>
    <definedName name="wrn.운반시간._3" hidden="1">{#N/A,#N/A,FALSE,"운반시간"}</definedName>
    <definedName name="wrn.운반시간._4" localSheetId="5" hidden="1">{#N/A,#N/A,FALSE,"운반시간"}</definedName>
    <definedName name="wrn.운반시간._4" hidden="1">{#N/A,#N/A,FALSE,"운반시간"}</definedName>
    <definedName name="wrn.운반시간._5" localSheetId="5" hidden="1">{#N/A,#N/A,FALSE,"운반시간"}</definedName>
    <definedName name="wrn.운반시간._5" hidden="1">{#N/A,#N/A,FALSE,"운반시간"}</definedName>
    <definedName name="wrn.이정표." localSheetId="5" hidden="1">{#N/A,#N/A,FALSE,"이정표"}</definedName>
    <definedName name="wrn.이정표." localSheetId="9" hidden="1">{#N/A,#N/A,FALSE,"이정표"}</definedName>
    <definedName name="wrn.이정표." localSheetId="10" hidden="1">{#N/A,#N/A,FALSE,"이정표"}</definedName>
    <definedName name="wrn.이정표." localSheetId="6" hidden="1">{#N/A,#N/A,FALSE,"이정표"}</definedName>
    <definedName name="wrn.이정표." localSheetId="3" hidden="1">{#N/A,#N/A,FALSE,"이정표"}</definedName>
    <definedName name="wrn.이정표." hidden="1">{#N/A,#N/A,FALSE,"이정표"}</definedName>
    <definedName name="wrn.이태원._.철근." localSheetId="5" hidden="1">{#N/A,#N/A,FALSE,"이태원철근"}</definedName>
    <definedName name="wrn.이태원._.철근." hidden="1">{#N/A,#N/A,FALSE,"이태원철근"}</definedName>
    <definedName name="wrn.조골재." localSheetId="5" hidden="1">{#N/A,#N/A,FALSE,"조골재"}</definedName>
    <definedName name="wrn.조골재." localSheetId="9" hidden="1">{#N/A,#N/A,FALSE,"조골재"}</definedName>
    <definedName name="wrn.조골재." localSheetId="10" hidden="1">{#N/A,#N/A,FALSE,"조골재"}</definedName>
    <definedName name="wrn.조골재." localSheetId="6" hidden="1">{#N/A,#N/A,FALSE,"조골재"}</definedName>
    <definedName name="wrn.조골재." localSheetId="3" hidden="1">{#N/A,#N/A,FALSE,"조골재"}</definedName>
    <definedName name="wrn.조골재." hidden="1">{#N/A,#N/A,FALSE,"조골재"}</definedName>
    <definedName name="wrn.조골재._1" localSheetId="5" hidden="1">{#N/A,#N/A,FALSE,"조골재"}</definedName>
    <definedName name="wrn.조골재._1" hidden="1">{#N/A,#N/A,FALSE,"조골재"}</definedName>
    <definedName name="wrn.조골재._2" localSheetId="5" hidden="1">{#N/A,#N/A,FALSE,"조골재"}</definedName>
    <definedName name="wrn.조골재._2" hidden="1">{#N/A,#N/A,FALSE,"조골재"}</definedName>
    <definedName name="wrn.조골재._3" localSheetId="5" hidden="1">{#N/A,#N/A,FALSE,"조골재"}</definedName>
    <definedName name="wrn.조골재._3" hidden="1">{#N/A,#N/A,FALSE,"조골재"}</definedName>
    <definedName name="wrn.조골재._4" localSheetId="5" hidden="1">{#N/A,#N/A,FALSE,"조골재"}</definedName>
    <definedName name="wrn.조골재._4" hidden="1">{#N/A,#N/A,FALSE,"조골재"}</definedName>
    <definedName name="wrn.조골재._5" localSheetId="5" hidden="1">{#N/A,#N/A,FALSE,"조골재"}</definedName>
    <definedName name="wrn.조골재._5" hidden="1">{#N/A,#N/A,FALSE,"조골재"}</definedName>
    <definedName name="wrn.철골집계표._.5칸." localSheetId="5" hidden="1">{#N/A,#N/A,FALSE,"Sheet1"}</definedName>
    <definedName name="wrn.철골집계표._.5칸." hidden="1">{#N/A,#N/A,FALSE,"Sheet1"}</definedName>
    <definedName name="wrn.철골집계표._.5칸._1" localSheetId="5" hidden="1">{#N/A,#N/A,FALSE,"Sheet1"}</definedName>
    <definedName name="wrn.철골집계표._.5칸._1" hidden="1">{#N/A,#N/A,FALSE,"Sheet1"}</definedName>
    <definedName name="wrn.철골집계표._.5칸._2" localSheetId="5" hidden="1">{#N/A,#N/A,FALSE,"Sheet1"}</definedName>
    <definedName name="wrn.철골집계표._.5칸._2" hidden="1">{#N/A,#N/A,FALSE,"Sheet1"}</definedName>
    <definedName name="wrn.철골집계표._.5칸._3" localSheetId="5" hidden="1">{#N/A,#N/A,FALSE,"Sheet1"}</definedName>
    <definedName name="wrn.철골집계표._.5칸._3" hidden="1">{#N/A,#N/A,FALSE,"Sheet1"}</definedName>
    <definedName name="wrn.철골집계표._.5칸._4" localSheetId="5" hidden="1">{#N/A,#N/A,FALSE,"Sheet1"}</definedName>
    <definedName name="wrn.철골집계표._.5칸._4" hidden="1">{#N/A,#N/A,FALSE,"Sheet1"}</definedName>
    <definedName name="wrn.철골집계표._.5칸._5" localSheetId="5" hidden="1">{#N/A,#N/A,FALSE,"Sheet1"}</definedName>
    <definedName name="wrn.철골집계표._.5칸._5" hidden="1">{#N/A,#N/A,FALSE,"Sheet1"}</definedName>
    <definedName name="wrn.토공1." localSheetId="5" hidden="1">{#N/A,#N/A,FALSE,"구조1"}</definedName>
    <definedName name="wrn.토공1." localSheetId="9" hidden="1">{#N/A,#N/A,FALSE,"구조1"}</definedName>
    <definedName name="wrn.토공1." localSheetId="10" hidden="1">{#N/A,#N/A,FALSE,"구조1"}</definedName>
    <definedName name="wrn.토공1." localSheetId="6" hidden="1">{#N/A,#N/A,FALSE,"구조1"}</definedName>
    <definedName name="wrn.토공1." localSheetId="3" hidden="1">{#N/A,#N/A,FALSE,"구조1"}</definedName>
    <definedName name="wrn.토공1." hidden="1">{#N/A,#N/A,FALSE,"구조1"}</definedName>
    <definedName name="wrn.토공2." localSheetId="5" hidden="1">{#N/A,#N/A,FALSE,"토공2"}</definedName>
    <definedName name="wrn.토공2." localSheetId="9" hidden="1">{#N/A,#N/A,FALSE,"토공2"}</definedName>
    <definedName name="wrn.토공2." localSheetId="10" hidden="1">{#N/A,#N/A,FALSE,"토공2"}</definedName>
    <definedName name="wrn.토공2." localSheetId="6" hidden="1">{#N/A,#N/A,FALSE,"토공2"}</definedName>
    <definedName name="wrn.토공2." localSheetId="3" hidden="1">{#N/A,#N/A,FALSE,"토공2"}</definedName>
    <definedName name="wrn.토공2." hidden="1">{#N/A,#N/A,FALSE,"토공2"}</definedName>
    <definedName name="wrn.포장1." localSheetId="5" hidden="1">{#N/A,#N/A,FALSE,"포장1";#N/A,#N/A,FALSE,"포장1"}</definedName>
    <definedName name="wrn.포장1." localSheetId="9" hidden="1">{#N/A,#N/A,FALSE,"포장1";#N/A,#N/A,FALSE,"포장1"}</definedName>
    <definedName name="wrn.포장1." localSheetId="10" hidden="1">{#N/A,#N/A,FALSE,"포장1";#N/A,#N/A,FALSE,"포장1"}</definedName>
    <definedName name="wrn.포장1." localSheetId="6" hidden="1">{#N/A,#N/A,FALSE,"포장1";#N/A,#N/A,FALSE,"포장1"}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5" hidden="1">{#N/A,#N/A,FALSE,"포장2"}</definedName>
    <definedName name="wrn.포장2." localSheetId="9" hidden="1">{#N/A,#N/A,FALSE,"포장2"}</definedName>
    <definedName name="wrn.포장2." localSheetId="10" hidden="1">{#N/A,#N/A,FALSE,"포장2"}</definedName>
    <definedName name="wrn.포장2." localSheetId="6" hidden="1">{#N/A,#N/A,FALSE,"포장2"}</definedName>
    <definedName name="wrn.포장2." localSheetId="3" hidden="1">{#N/A,#N/A,FALSE,"포장2"}</definedName>
    <definedName name="wrn.포장2." hidden="1">{#N/A,#N/A,FALSE,"포장2"}</definedName>
    <definedName name="wrn.표지목차." localSheetId="5" hidden="1">{#N/A,#N/A,FALSE,"표지목차"}</definedName>
    <definedName name="wrn.표지목차." localSheetId="9" hidden="1">{#N/A,#N/A,FALSE,"표지목차"}</definedName>
    <definedName name="wrn.표지목차." localSheetId="10" hidden="1">{#N/A,#N/A,FALSE,"표지목차"}</definedName>
    <definedName name="wrn.표지목차." localSheetId="6" hidden="1">{#N/A,#N/A,FALSE,"표지목차"}</definedName>
    <definedName name="wrn.표지목차." localSheetId="3" hidden="1">{#N/A,#N/A,FALSE,"표지목차"}</definedName>
    <definedName name="wrn.표지목차." hidden="1">{#N/A,#N/A,FALSE,"표지목차"}</definedName>
    <definedName name="wrn.표지목차._1" localSheetId="5" hidden="1">{#N/A,#N/A,FALSE,"표지목차"}</definedName>
    <definedName name="wrn.표지목차._1" hidden="1">{#N/A,#N/A,FALSE,"표지목차"}</definedName>
    <definedName name="wrn.표지목차._2" localSheetId="5" hidden="1">{#N/A,#N/A,FALSE,"표지목차"}</definedName>
    <definedName name="wrn.표지목차._2" hidden="1">{#N/A,#N/A,FALSE,"표지목차"}</definedName>
    <definedName name="wrn.표지목차._3" localSheetId="5" hidden="1">{#N/A,#N/A,FALSE,"표지목차"}</definedName>
    <definedName name="wrn.표지목차._3" hidden="1">{#N/A,#N/A,FALSE,"표지목차"}</definedName>
    <definedName name="wrn.표지목차._4" localSheetId="5" hidden="1">{#N/A,#N/A,FALSE,"표지목차"}</definedName>
    <definedName name="wrn.표지목차._4" hidden="1">{#N/A,#N/A,FALSE,"표지목차"}</definedName>
    <definedName name="wrn.표지목차._5" localSheetId="5" hidden="1">{#N/A,#N/A,FALSE,"표지목차"}</definedName>
    <definedName name="wrn.표지목차._5" hidden="1">{#N/A,#N/A,FALSE,"표지목차"}</definedName>
    <definedName name="wrn.혼합골재." localSheetId="5" hidden="1">{#N/A,#N/A,FALSE,"혼합골재"}</definedName>
    <definedName name="wrn.혼합골재." localSheetId="9" hidden="1">{#N/A,#N/A,FALSE,"혼합골재"}</definedName>
    <definedName name="wrn.혼합골재." localSheetId="10" hidden="1">{#N/A,#N/A,FALSE,"혼합골재"}</definedName>
    <definedName name="wrn.혼합골재." localSheetId="6" hidden="1">{#N/A,#N/A,FALSE,"혼합골재"}</definedName>
    <definedName name="wrn.혼합골재." localSheetId="3" hidden="1">{#N/A,#N/A,FALSE,"혼합골재"}</definedName>
    <definedName name="wrn.혼합골재." hidden="1">{#N/A,#N/A,FALSE,"혼합골재"}</definedName>
    <definedName name="wrn.혼합골재._1" localSheetId="5" hidden="1">{#N/A,#N/A,FALSE,"혼합골재"}</definedName>
    <definedName name="wrn.혼합골재._1" hidden="1">{#N/A,#N/A,FALSE,"혼합골재"}</definedName>
    <definedName name="wrn.혼합골재._2" localSheetId="5" hidden="1">{#N/A,#N/A,FALSE,"혼합골재"}</definedName>
    <definedName name="wrn.혼합골재._2" hidden="1">{#N/A,#N/A,FALSE,"혼합골재"}</definedName>
    <definedName name="wrn.혼합골재._3" localSheetId="5" hidden="1">{#N/A,#N/A,FALSE,"혼합골재"}</definedName>
    <definedName name="wrn.혼합골재._3" hidden="1">{#N/A,#N/A,FALSE,"혼합골재"}</definedName>
    <definedName name="wrn.혼합골재._4" localSheetId="5" hidden="1">{#N/A,#N/A,FALSE,"혼합골재"}</definedName>
    <definedName name="wrn.혼합골재._4" hidden="1">{#N/A,#N/A,FALSE,"혼합골재"}</definedName>
    <definedName name="wrn.혼합골재._5" localSheetId="5" hidden="1">{#N/A,#N/A,FALSE,"혼합골재"}</definedName>
    <definedName name="wrn.혼합골재._5" hidden="1">{#N/A,#N/A,FALSE,"혼합골재"}</definedName>
    <definedName name="wrn.회선임차현황." localSheetId="5" hidden="1">{#N/A,#N/A,FALSE,"회선임차현황"}</definedName>
    <definedName name="wrn.회선임차현황." hidden="1">{#N/A,#N/A,FALSE,"회선임차현황"}</definedName>
    <definedName name="WRN_1" localSheetId="5" hidden="1">{#N/A,#N/A,FALSE,"CCTV"}</definedName>
    <definedName name="WRN_1" hidden="1">{#N/A,#N/A,FALSE,"CCTV"}</definedName>
    <definedName name="WRN_2" localSheetId="5" hidden="1">{#N/A,#N/A,FALSE,"CCTV"}</definedName>
    <definedName name="WRN_2" hidden="1">{#N/A,#N/A,FALSE,"CCTV"}</definedName>
    <definedName name="WRN_3" localSheetId="5" hidden="1">{#N/A,#N/A,FALSE,"CCTV"}</definedName>
    <definedName name="WRN_3" hidden="1">{#N/A,#N/A,FALSE,"CCTV"}</definedName>
    <definedName name="WRN_4" localSheetId="5" hidden="1">{#N/A,#N/A,FALSE,"CCTV"}</definedName>
    <definedName name="WRN_4" hidden="1">{#N/A,#N/A,FALSE,"CCTV"}</definedName>
    <definedName name="WRN_5" localSheetId="5" hidden="1">{#N/A,#N/A,FALSE,"CCTV"}</definedName>
    <definedName name="WRN_5" hidden="1">{#N/A,#N/A,FALSE,"CCTV"}</definedName>
    <definedName name="WRS" localSheetId="5" hidden="1">{"'장비'!$A$3:$M$12"}</definedName>
    <definedName name="WRS" localSheetId="9" hidden="1">{"'장비'!$A$3:$M$12"}</definedName>
    <definedName name="WRS" localSheetId="10" hidden="1">{"'장비'!$A$3:$M$12"}</definedName>
    <definedName name="WRS" localSheetId="6" hidden="1">{"'장비'!$A$3:$M$12"}</definedName>
    <definedName name="WRS" localSheetId="3" hidden="1">{"'장비'!$A$3:$M$12"}</definedName>
    <definedName name="WRS" hidden="1">{"'장비'!$A$3:$M$12"}</definedName>
    <definedName name="WRS_1" localSheetId="5" hidden="1">{"'장비'!$A$3:$M$12"}</definedName>
    <definedName name="WRS_1" localSheetId="9" hidden="1">{"'장비'!$A$3:$M$12"}</definedName>
    <definedName name="WRS_1" localSheetId="10" hidden="1">{"'장비'!$A$3:$M$12"}</definedName>
    <definedName name="WRS_1" localSheetId="6" hidden="1">{"'장비'!$A$3:$M$12"}</definedName>
    <definedName name="WRS_1" localSheetId="3" hidden="1">{"'장비'!$A$3:$M$12"}</definedName>
    <definedName name="WRS_1" hidden="1">{"'장비'!$A$3:$M$12"}</definedName>
    <definedName name="WRS_2" localSheetId="5" hidden="1">{"'장비'!$A$3:$M$12"}</definedName>
    <definedName name="WRS_2" hidden="1">{"'장비'!$A$3:$M$12"}</definedName>
    <definedName name="WRS_3" localSheetId="5" hidden="1">{"'장비'!$A$3:$M$12"}</definedName>
    <definedName name="WRS_3" hidden="1">{"'장비'!$A$3:$M$12"}</definedName>
    <definedName name="WRS_4" localSheetId="5" hidden="1">{"'장비'!$A$3:$M$12"}</definedName>
    <definedName name="WRS_4" hidden="1">{"'장비'!$A$3:$M$12"}</definedName>
    <definedName name="WRS_5" localSheetId="5" hidden="1">{"'장비'!$A$3:$M$12"}</definedName>
    <definedName name="WRS_5" hidden="1">{"'장비'!$A$3:$M$12"}</definedName>
    <definedName name="ww" localSheetId="5" hidden="1">{#N/A,#N/A,FALSE,"CCTV"}</definedName>
    <definedName name="ww" localSheetId="9" hidden="1">{#N/A,#N/A,FALSE,"CCTV"}</definedName>
    <definedName name="ww" localSheetId="10" hidden="1">{#N/A,#N/A,FALSE,"CCTV"}</definedName>
    <definedName name="ww" localSheetId="6" hidden="1">{#N/A,#N/A,FALSE,"CCTV"}</definedName>
    <definedName name="ww" localSheetId="3" hidden="1">{#N/A,#N/A,FALSE,"CCTV"}</definedName>
    <definedName name="ww" hidden="1">{#N/A,#N/A,FALSE,"CCTV"}</definedName>
    <definedName name="ww_1" localSheetId="5" hidden="1">{#N/A,#N/A,FALSE,"CCTV"}</definedName>
    <definedName name="ww_1" localSheetId="9" hidden="1">{#N/A,#N/A,FALSE,"CCTV"}</definedName>
    <definedName name="ww_1" localSheetId="10" hidden="1">{#N/A,#N/A,FALSE,"CCTV"}</definedName>
    <definedName name="ww_1" localSheetId="6" hidden="1">{#N/A,#N/A,FALSE,"CCTV"}</definedName>
    <definedName name="ww_1" localSheetId="3" hidden="1">{#N/A,#N/A,FALSE,"CCTV"}</definedName>
    <definedName name="ww_1" hidden="1">{#N/A,#N/A,FALSE,"CCTV"}</definedName>
    <definedName name="WWW" hidden="1">#REF!</definedName>
    <definedName name="WZ" localSheetId="5" hidden="1">{#N/A,#N/A,FALSE,"CCTV"}</definedName>
    <definedName name="WZ" hidden="1">{#N/A,#N/A,FALSE,"CCTV"}</definedName>
    <definedName name="WZ_1" localSheetId="5" hidden="1">{#N/A,#N/A,FALSE,"CCTV"}</definedName>
    <definedName name="WZ_1" hidden="1">{#N/A,#N/A,FALSE,"CCTV"}</definedName>
    <definedName name="WZ_2" localSheetId="5" hidden="1">{#N/A,#N/A,FALSE,"CCTV"}</definedName>
    <definedName name="WZ_2" hidden="1">{#N/A,#N/A,FALSE,"CCTV"}</definedName>
    <definedName name="WZ_3" localSheetId="5" hidden="1">{#N/A,#N/A,FALSE,"CCTV"}</definedName>
    <definedName name="WZ_3" hidden="1">{#N/A,#N/A,FALSE,"CCTV"}</definedName>
    <definedName name="WZ_4" localSheetId="5" hidden="1">{#N/A,#N/A,FALSE,"CCTV"}</definedName>
    <definedName name="WZ_4" hidden="1">{#N/A,#N/A,FALSE,"CCTV"}</definedName>
    <definedName name="WZ_5" localSheetId="5" hidden="1">{#N/A,#N/A,FALSE,"CCTV"}</definedName>
    <definedName name="WZ_5" hidden="1">{#N/A,#N/A,FALSE,"CCTV"}</definedName>
    <definedName name="XC" localSheetId="5" hidden="1">{#N/A,#N/A,FALSE,"CCTV"}</definedName>
    <definedName name="XC" hidden="1">{#N/A,#N/A,FALSE,"CCTV"}</definedName>
    <definedName name="XC_1" localSheetId="5" hidden="1">{#N/A,#N/A,FALSE,"CCTV"}</definedName>
    <definedName name="XC_1" hidden="1">{#N/A,#N/A,FALSE,"CCTV"}</definedName>
    <definedName name="XC_2" localSheetId="5" hidden="1">{#N/A,#N/A,FALSE,"CCTV"}</definedName>
    <definedName name="XC_2" hidden="1">{#N/A,#N/A,FALSE,"CCTV"}</definedName>
    <definedName name="XC_3" localSheetId="5" hidden="1">{#N/A,#N/A,FALSE,"CCTV"}</definedName>
    <definedName name="XC_3" hidden="1">{#N/A,#N/A,FALSE,"CCTV"}</definedName>
    <definedName name="XC_4" localSheetId="5" hidden="1">{#N/A,#N/A,FALSE,"CCTV"}</definedName>
    <definedName name="XC_4" hidden="1">{#N/A,#N/A,FALSE,"CCTV"}</definedName>
    <definedName name="XC_5" localSheetId="5" hidden="1">{#N/A,#N/A,FALSE,"CCTV"}</definedName>
    <definedName name="XC_5" hidden="1">{#N/A,#N/A,FALSE,"CCTV"}</definedName>
    <definedName name="XCZCZ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h" localSheetId="5" hidden="1">{"'장비'!$A$3:$M$12"}</definedName>
    <definedName name="xh" localSheetId="9" hidden="1">{"'장비'!$A$3:$M$12"}</definedName>
    <definedName name="xh" localSheetId="10" hidden="1">{"'장비'!$A$3:$M$12"}</definedName>
    <definedName name="xh" localSheetId="6" hidden="1">{"'장비'!$A$3:$M$12"}</definedName>
    <definedName name="xh" localSheetId="3" hidden="1">{"'장비'!$A$3:$M$12"}</definedName>
    <definedName name="xh" hidden="1">{"'장비'!$A$3:$M$12"}</definedName>
    <definedName name="xhrhd" localSheetId="5" hidden="1">{#N/A,#N/A,FALSE,"토공2"}</definedName>
    <definedName name="xhrhd" localSheetId="9" hidden="1">{#N/A,#N/A,FALSE,"토공2"}</definedName>
    <definedName name="xhrhd" localSheetId="10" hidden="1">{#N/A,#N/A,FALSE,"토공2"}</definedName>
    <definedName name="xhrhd" localSheetId="6" hidden="1">{#N/A,#N/A,FALSE,"토공2"}</definedName>
    <definedName name="xhrhd" localSheetId="3" hidden="1">{#N/A,#N/A,FALSE,"토공2"}</definedName>
    <definedName name="xhrhd" hidden="1">{#N/A,#N/A,FALSE,"토공2"}</definedName>
    <definedName name="xx" hidden="1">#REF!</definedName>
    <definedName name="Y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i" localSheetId="5" hidden="1">{"'Sheet1'!$L$16"}</definedName>
    <definedName name="yi" localSheetId="9" hidden="1">{"'Sheet1'!$L$16"}</definedName>
    <definedName name="yi" localSheetId="10" hidden="1">{"'Sheet1'!$L$16"}</definedName>
    <definedName name="yi" localSheetId="6" hidden="1">{"'Sheet1'!$L$16"}</definedName>
    <definedName name="yi" localSheetId="3" hidden="1">{"'Sheet1'!$L$16"}</definedName>
    <definedName name="yi" hidden="1">{"'Sheet1'!$L$16"}</definedName>
    <definedName name="ynkim" localSheetId="5" hidden="1">{#N/A,#N/A,TRUE,"Basic";#N/A,#N/A,TRUE,"EXT-TABLE";#N/A,#N/A,TRUE,"STEEL";#N/A,#N/A,TRUE,"INT-Table";#N/A,#N/A,TRUE,"STEEL";#N/A,#N/A,TRUE,"Door"}</definedName>
    <definedName name="ynkim" localSheetId="9" hidden="1">{#N/A,#N/A,TRUE,"Basic";#N/A,#N/A,TRUE,"EXT-TABLE";#N/A,#N/A,TRUE,"STEEL";#N/A,#N/A,TRUE,"INT-Table";#N/A,#N/A,TRUE,"STEEL";#N/A,#N/A,TRUE,"Door"}</definedName>
    <definedName name="ynkim" localSheetId="10" hidden="1">{#N/A,#N/A,TRUE,"Basic";#N/A,#N/A,TRUE,"EXT-TABLE";#N/A,#N/A,TRUE,"STEEL";#N/A,#N/A,TRUE,"INT-Table";#N/A,#N/A,TRUE,"STEEL";#N/A,#N/A,TRUE,"Door"}</definedName>
    <definedName name="ynkim" localSheetId="6" hidden="1">{#N/A,#N/A,TRUE,"Basic";#N/A,#N/A,TRUE,"EXT-TABLE";#N/A,#N/A,TRUE,"STEEL";#N/A,#N/A,TRUE,"INT-Table";#N/A,#N/A,TRUE,"STEEL";#N/A,#N/A,TRUE,"Door"}</definedName>
    <definedName name="ynkim" localSheetId="3" hidden="1">{#N/A,#N/A,TRUE,"Basic";#N/A,#N/A,TRUE,"EXT-TABLE";#N/A,#N/A,TRUE,"STEEL";#N/A,#N/A,TRUE,"INT-Table";#N/A,#N/A,TRUE,"STEEL";#N/A,#N/A,TRUE,"Door"}</definedName>
    <definedName name="ynkim" hidden="1">{#N/A,#N/A,TRUE,"Basic";#N/A,#N/A,TRUE,"EXT-TABLE";#N/A,#N/A,TRUE,"STEEL";#N/A,#N/A,TRUE,"INT-Table";#N/A,#N/A,TRUE,"STEEL";#N/A,#N/A,TRUE,"Door"}</definedName>
    <definedName name="ynkim_1" localSheetId="5" hidden="1">{#N/A,#N/A,TRUE,"Basic";#N/A,#N/A,TRUE,"EXT-TABLE";#N/A,#N/A,TRUE,"STEEL";#N/A,#N/A,TRUE,"INT-Table";#N/A,#N/A,TRUE,"STEEL";#N/A,#N/A,TRUE,"Door"}</definedName>
    <definedName name="ynkim_1" hidden="1">{#N/A,#N/A,TRUE,"Basic";#N/A,#N/A,TRUE,"EXT-TABLE";#N/A,#N/A,TRUE,"STEEL";#N/A,#N/A,TRUE,"INT-Table";#N/A,#N/A,TRUE,"STEEL";#N/A,#N/A,TRUE,"Door"}</definedName>
    <definedName name="ynkim_2" localSheetId="5" hidden="1">{#N/A,#N/A,TRUE,"Basic";#N/A,#N/A,TRUE,"EXT-TABLE";#N/A,#N/A,TRUE,"STEEL";#N/A,#N/A,TRUE,"INT-Table";#N/A,#N/A,TRUE,"STEEL";#N/A,#N/A,TRUE,"Door"}</definedName>
    <definedName name="ynkim_2" hidden="1">{#N/A,#N/A,TRUE,"Basic";#N/A,#N/A,TRUE,"EXT-TABLE";#N/A,#N/A,TRUE,"STEEL";#N/A,#N/A,TRUE,"INT-Table";#N/A,#N/A,TRUE,"STEEL";#N/A,#N/A,TRUE,"Door"}</definedName>
    <definedName name="ynkim_3" localSheetId="5" hidden="1">{#N/A,#N/A,TRUE,"Basic";#N/A,#N/A,TRUE,"EXT-TABLE";#N/A,#N/A,TRUE,"STEEL";#N/A,#N/A,TRUE,"INT-Table";#N/A,#N/A,TRUE,"STEEL";#N/A,#N/A,TRUE,"Door"}</definedName>
    <definedName name="ynkim_3" hidden="1">{#N/A,#N/A,TRUE,"Basic";#N/A,#N/A,TRUE,"EXT-TABLE";#N/A,#N/A,TRUE,"STEEL";#N/A,#N/A,TRUE,"INT-Table";#N/A,#N/A,TRUE,"STEEL";#N/A,#N/A,TRUE,"Door"}</definedName>
    <definedName name="ynkim_4" localSheetId="5" hidden="1">{#N/A,#N/A,TRUE,"Basic";#N/A,#N/A,TRUE,"EXT-TABLE";#N/A,#N/A,TRUE,"STEEL";#N/A,#N/A,TRUE,"INT-Table";#N/A,#N/A,TRUE,"STEEL";#N/A,#N/A,TRUE,"Door"}</definedName>
    <definedName name="ynkim_4" hidden="1">{#N/A,#N/A,TRUE,"Basic";#N/A,#N/A,TRUE,"EXT-TABLE";#N/A,#N/A,TRUE,"STEEL";#N/A,#N/A,TRUE,"INT-Table";#N/A,#N/A,TRUE,"STEEL";#N/A,#N/A,TRUE,"Door"}</definedName>
    <definedName name="ynkim_5" localSheetId="5" hidden="1">{#N/A,#N/A,TRUE,"Basic";#N/A,#N/A,TRUE,"EXT-TABLE";#N/A,#N/A,TRUE,"STEEL";#N/A,#N/A,TRUE,"INT-Table";#N/A,#N/A,TRUE,"STEEL";#N/A,#N/A,TRUE,"Door"}</definedName>
    <definedName name="ynkim_5" hidden="1">{#N/A,#N/A,TRUE,"Basic";#N/A,#N/A,TRUE,"EXT-TABLE";#N/A,#N/A,TRUE,"STEEL";#N/A,#N/A,TRUE,"INT-Table";#N/A,#N/A,TRUE,"STEEL";#N/A,#N/A,TRUE,"Door"}</definedName>
    <definedName name="yrdtytyt" localSheetId="5" hidden="1">{#N/A,#N/A,FALSE,"CCTV"}</definedName>
    <definedName name="yrdtytyt" localSheetId="9" hidden="1">{#N/A,#N/A,FALSE,"CCTV"}</definedName>
    <definedName name="yrdtytyt" localSheetId="10" hidden="1">{#N/A,#N/A,FALSE,"CCTV"}</definedName>
    <definedName name="yrdtytyt" localSheetId="6" hidden="1">{#N/A,#N/A,FALSE,"CCTV"}</definedName>
    <definedName name="yrdtytyt" localSheetId="3" hidden="1">{#N/A,#N/A,FALSE,"CCTV"}</definedName>
    <definedName name="yrdtytyt" hidden="1">{#N/A,#N/A,FALSE,"CCTV"}</definedName>
    <definedName name="yrdtytyt_1" localSheetId="5" hidden="1">{#N/A,#N/A,FALSE,"CCTV"}</definedName>
    <definedName name="yrdtytyt_1" hidden="1">{#N/A,#N/A,FALSE,"CCTV"}</definedName>
    <definedName name="yrdtytyt_2" localSheetId="5" hidden="1">{#N/A,#N/A,FALSE,"CCTV"}</definedName>
    <definedName name="yrdtytyt_2" hidden="1">{#N/A,#N/A,FALSE,"CCTV"}</definedName>
    <definedName name="yrdtytyt_3" localSheetId="5" hidden="1">{#N/A,#N/A,FALSE,"CCTV"}</definedName>
    <definedName name="yrdtytyt_3" hidden="1">{#N/A,#N/A,FALSE,"CCTV"}</definedName>
    <definedName name="yrdtytyt_4" localSheetId="5" hidden="1">{#N/A,#N/A,FALSE,"CCTV"}</definedName>
    <definedName name="yrdtytyt_4" hidden="1">{#N/A,#N/A,FALSE,"CCTV"}</definedName>
    <definedName name="yrdtytyt_5" localSheetId="5" hidden="1">{#N/A,#N/A,FALSE,"CCTV"}</definedName>
    <definedName name="yrdtytyt_5" hidden="1">{#N/A,#N/A,FALSE,"CCTV"}</definedName>
    <definedName name="YU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1" localSheetId="9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1" localSheetId="10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1" localSheetId="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yu" localSheetId="5" hidden="1">{"'장비'!$A$3:$M$12"}</definedName>
    <definedName name="yuyu" localSheetId="9" hidden="1">{"'장비'!$A$3:$M$12"}</definedName>
    <definedName name="yuyu" localSheetId="10" hidden="1">{"'장비'!$A$3:$M$12"}</definedName>
    <definedName name="yuyu" localSheetId="6" hidden="1">{"'장비'!$A$3:$M$12"}</definedName>
    <definedName name="yuyu" localSheetId="3" hidden="1">{"'장비'!$A$3:$M$12"}</definedName>
    <definedName name="yuyu" hidden="1">{"'장비'!$A$3:$M$12"}</definedName>
    <definedName name="yuyu_1" localSheetId="5" hidden="1">{"'장비'!$A$3:$M$12"}</definedName>
    <definedName name="yuyu_1" hidden="1">{"'장비'!$A$3:$M$12"}</definedName>
    <definedName name="yuyu_2" localSheetId="5" hidden="1">{"'장비'!$A$3:$M$12"}</definedName>
    <definedName name="yuyu_2" hidden="1">{"'장비'!$A$3:$M$12"}</definedName>
    <definedName name="yuyu_3" localSheetId="5" hidden="1">{"'장비'!$A$3:$M$12"}</definedName>
    <definedName name="yuyu_3" hidden="1">{"'장비'!$A$3:$M$12"}</definedName>
    <definedName name="yuyu_4" localSheetId="5" hidden="1">{"'장비'!$A$3:$M$12"}</definedName>
    <definedName name="yuyu_4" hidden="1">{"'장비'!$A$3:$M$12"}</definedName>
    <definedName name="yuyu_5" localSheetId="5" hidden="1">{"'장비'!$A$3:$M$12"}</definedName>
    <definedName name="yuyu_5" hidden="1">{"'장비'!$A$3:$M$12"}</definedName>
    <definedName name="yuyuyu" localSheetId="5" hidden="1">{"'장비'!$A$3:$M$12"}</definedName>
    <definedName name="yuyuyu" localSheetId="9" hidden="1">{"'장비'!$A$3:$M$12"}</definedName>
    <definedName name="yuyuyu" localSheetId="10" hidden="1">{"'장비'!$A$3:$M$12"}</definedName>
    <definedName name="yuyuyu" localSheetId="6" hidden="1">{"'장비'!$A$3:$M$12"}</definedName>
    <definedName name="yuyuyu" localSheetId="3" hidden="1">{"'장비'!$A$3:$M$12"}</definedName>
    <definedName name="yuyuyu" hidden="1">{"'장비'!$A$3:$M$12"}</definedName>
    <definedName name="yuyuyu_1" localSheetId="5" hidden="1">{"'장비'!$A$3:$M$12"}</definedName>
    <definedName name="yuyuyu_1" hidden="1">{"'장비'!$A$3:$M$12"}</definedName>
    <definedName name="yuyuyu_2" localSheetId="5" hidden="1">{"'장비'!$A$3:$M$12"}</definedName>
    <definedName name="yuyuyu_2" hidden="1">{"'장비'!$A$3:$M$12"}</definedName>
    <definedName name="yuyuyu_3" localSheetId="5" hidden="1">{"'장비'!$A$3:$M$12"}</definedName>
    <definedName name="yuyuyu_3" hidden="1">{"'장비'!$A$3:$M$12"}</definedName>
    <definedName name="yuyuyu_4" localSheetId="5" hidden="1">{"'장비'!$A$3:$M$12"}</definedName>
    <definedName name="yuyuyu_4" hidden="1">{"'장비'!$A$3:$M$12"}</definedName>
    <definedName name="yuyuyu_5" localSheetId="5" hidden="1">{"'장비'!$A$3:$M$12"}</definedName>
    <definedName name="yuyuyu_5" hidden="1">{"'장비'!$A$3:$M$12"}</definedName>
    <definedName name="yy" localSheetId="5" hidden="1">{"'장비'!$A$3:$M$12"}</definedName>
    <definedName name="yy" localSheetId="9" hidden="1">{"'장비'!$A$3:$M$12"}</definedName>
    <definedName name="yy" localSheetId="10" hidden="1">{"'장비'!$A$3:$M$12"}</definedName>
    <definedName name="yy" localSheetId="6" hidden="1">{"'장비'!$A$3:$M$12"}</definedName>
    <definedName name="yy" localSheetId="3" hidden="1">{"'장비'!$A$3:$M$12"}</definedName>
    <definedName name="yy" hidden="1">{"'장비'!$A$3:$M$12"}</definedName>
    <definedName name="yy_1" localSheetId="5" hidden="1">{"'장비'!$A$3:$M$12"}</definedName>
    <definedName name="yy_1" localSheetId="9" hidden="1">{"'장비'!$A$3:$M$12"}</definedName>
    <definedName name="yy_1" localSheetId="10" hidden="1">{"'장비'!$A$3:$M$12"}</definedName>
    <definedName name="yy_1" localSheetId="6" hidden="1">{"'장비'!$A$3:$M$12"}</definedName>
    <definedName name="yy_1" localSheetId="3" hidden="1">{"'장비'!$A$3:$M$12"}</definedName>
    <definedName name="yy_1" hidden="1">{"'장비'!$A$3:$M$12"}</definedName>
    <definedName name="yyy" localSheetId="5" hidden="1">{"'장비'!$A$3:$M$12"}</definedName>
    <definedName name="yyy" localSheetId="9" hidden="1">{"'장비'!$A$3:$M$12"}</definedName>
    <definedName name="yyy" localSheetId="10" hidden="1">{"'장비'!$A$3:$M$12"}</definedName>
    <definedName name="yyy" localSheetId="6" hidden="1">{"'장비'!$A$3:$M$12"}</definedName>
    <definedName name="yyy" localSheetId="3" hidden="1">{"'CATALO(8)'!$B$1:$G$49"}</definedName>
    <definedName name="yyy" hidden="1">{"'장비'!$A$3:$M$12"}</definedName>
    <definedName name="yyy_1" localSheetId="5" hidden="1">{"'CATALO(8)'!$B$1:$G$49"}</definedName>
    <definedName name="yyy_1" hidden="1">{"'CATALO(8)'!$B$1:$G$49"}</definedName>
    <definedName name="yyy_2" localSheetId="5" hidden="1">{"'CATALO(8)'!$B$1:$G$49"}</definedName>
    <definedName name="yyy_2" hidden="1">{"'CATALO(8)'!$B$1:$G$49"}</definedName>
    <definedName name="yyy_3" localSheetId="5" hidden="1">{"'CATALO(8)'!$B$1:$G$49"}</definedName>
    <definedName name="yyy_3" hidden="1">{"'CATALO(8)'!$B$1:$G$49"}</definedName>
    <definedName name="yyy_4" localSheetId="5" hidden="1">{"'CATALO(8)'!$B$1:$G$49"}</definedName>
    <definedName name="yyy_4" hidden="1">{"'CATALO(8)'!$B$1:$G$49"}</definedName>
    <definedName name="yyy_5" localSheetId="5" hidden="1">{"'CATALO(8)'!$B$1:$G$49"}</definedName>
    <definedName name="yyy_5" hidden="1">{"'CATALO(8)'!$B$1:$G$49"}</definedName>
    <definedName name="yyyy" localSheetId="5" hidden="1">{#N/A,#N/A,TRUE,"arnitower";#N/A,#N/A,TRUE,"arnigarage "}</definedName>
    <definedName name="yyyy" hidden="1">{#N/A,#N/A,TRUE,"arnitower";#N/A,#N/A,TRUE,"arnigarage "}</definedName>
    <definedName name="yyyyui" localSheetId="5" hidden="1">{#N/A,#N/A,TRUE,"arnitower";#N/A,#N/A,TRUE,"arnigarage "}</definedName>
    <definedName name="yyyyui" hidden="1">{#N/A,#N/A,TRUE,"arnitower";#N/A,#N/A,TRUE,"arnigarage "}</definedName>
    <definedName name="yyyyy" localSheetId="5" hidden="1">{"'장비'!$A$3:$M$12"}</definedName>
    <definedName name="yyyyy" localSheetId="9" hidden="1">{"'장비'!$A$3:$M$12"}</definedName>
    <definedName name="yyyyy" localSheetId="10" hidden="1">{"'장비'!$A$3:$M$12"}</definedName>
    <definedName name="yyyyy" localSheetId="6" hidden="1">{"'장비'!$A$3:$M$12"}</definedName>
    <definedName name="yyyyy" localSheetId="3" hidden="1">{"'장비'!$A$3:$M$12"}</definedName>
    <definedName name="yyyyy" hidden="1">{"'장비'!$A$3:$M$12"}</definedName>
    <definedName name="yyyyy_1" localSheetId="5" hidden="1">{"'장비'!$A$3:$M$12"}</definedName>
    <definedName name="yyyyy_1" hidden="1">{"'장비'!$A$3:$M$12"}</definedName>
    <definedName name="yyyyy_2" localSheetId="5" hidden="1">{"'장비'!$A$3:$M$12"}</definedName>
    <definedName name="yyyyy_2" hidden="1">{"'장비'!$A$3:$M$12"}</definedName>
    <definedName name="yyyyy_3" localSheetId="5" hidden="1">{"'장비'!$A$3:$M$12"}</definedName>
    <definedName name="yyyyy_3" hidden="1">{"'장비'!$A$3:$M$12"}</definedName>
    <definedName name="yyyyy_4" localSheetId="5" hidden="1">{"'장비'!$A$3:$M$12"}</definedName>
    <definedName name="yyyyy_4" hidden="1">{"'장비'!$A$3:$M$12"}</definedName>
    <definedName name="yyyyy_5" localSheetId="5" hidden="1">{"'장비'!$A$3:$M$12"}</definedName>
    <definedName name="yyyyy_5" hidden="1">{"'장비'!$A$3:$M$12"}</definedName>
    <definedName name="Z_B3255642_8A6B_11D5_916F_005004920FCB_.wvu.PrintTitles" hidden="1">#REF!</definedName>
    <definedName name="Z_F8DF80C3_51C2_11D5_9F90_0000E85EDC18_.wvu.PrintArea" hidden="1">#REF!</definedName>
    <definedName name="zc" localSheetId="5" hidden="1">{#N/A,#N/A,TRUE,"arnitower";#N/A,#N/A,TRUE,"arnigarage "}</definedName>
    <definedName name="zc" hidden="1">{#N/A,#N/A,TRUE,"arnitower";#N/A,#N/A,TRUE,"arnigarage "}</definedName>
    <definedName name="zx" localSheetId="5" hidden="1">{"'장비'!$A$3:$M$12"}</definedName>
    <definedName name="zx" localSheetId="9" hidden="1">{"'장비'!$A$3:$M$12"}</definedName>
    <definedName name="zx" localSheetId="10" hidden="1">{"'장비'!$A$3:$M$12"}</definedName>
    <definedName name="zx" localSheetId="6" hidden="1">{"'장비'!$A$3:$M$12"}</definedName>
    <definedName name="zx" localSheetId="3" hidden="1">{"'장비'!$A$3:$M$12"}</definedName>
    <definedName name="zx" hidden="1">{"'장비'!$A$3:$M$12"}</definedName>
    <definedName name="ZXC" localSheetId="5" hidden="1">{#N/A,#N/A,FALSE,"이태원철근"}</definedName>
    <definedName name="ZXC" hidden="1">{#N/A,#N/A,FALSE,"이태원철근"}</definedName>
    <definedName name="ZZ_1" localSheetId="5" hidden="1">{#N/A,#N/A,TRUE,"총괄"}</definedName>
    <definedName name="ZZ_1" hidden="1">{#N/A,#N/A,TRUE,"총괄"}</definedName>
    <definedName name="ZZ_2" localSheetId="5" hidden="1">{#N/A,#N/A,TRUE,"총괄"}</definedName>
    <definedName name="ZZ_2" hidden="1">{#N/A,#N/A,TRUE,"총괄"}</definedName>
    <definedName name="ZZ_3" localSheetId="5" hidden="1">{#N/A,#N/A,TRUE,"총괄"}</definedName>
    <definedName name="ZZ_3" hidden="1">{#N/A,#N/A,TRUE,"총괄"}</definedName>
    <definedName name="ZZ_4" localSheetId="5" hidden="1">{#N/A,#N/A,TRUE,"총괄"}</definedName>
    <definedName name="ZZ_4" hidden="1">{#N/A,#N/A,TRUE,"총괄"}</definedName>
    <definedName name="ZZ_5" localSheetId="5" hidden="1">{#N/A,#N/A,TRUE,"총괄"}</definedName>
    <definedName name="ZZ_5" hidden="1">{#N/A,#N/A,TRUE,"총괄"}</definedName>
    <definedName name="zzz" localSheetId="5" hidden="1">{#N/A,#N/A,TRUE,"Basic";#N/A,#N/A,TRUE,"EXT-TABLE";#N/A,#N/A,TRUE,"STEEL";#N/A,#N/A,TRUE,"INT-Table";#N/A,#N/A,TRUE,"STEEL";#N/A,#N/A,TRUE,"Door"}</definedName>
    <definedName name="zzz" localSheetId="9" hidden="1">{#N/A,#N/A,TRUE,"Basic";#N/A,#N/A,TRUE,"EXT-TABLE";#N/A,#N/A,TRUE,"STEEL";#N/A,#N/A,TRUE,"INT-Table";#N/A,#N/A,TRUE,"STEEL";#N/A,#N/A,TRUE,"Door"}</definedName>
    <definedName name="zzz" localSheetId="10" hidden="1">{#N/A,#N/A,TRUE,"Basic";#N/A,#N/A,TRUE,"EXT-TABLE";#N/A,#N/A,TRUE,"STEEL";#N/A,#N/A,TRUE,"INT-Table";#N/A,#N/A,TRUE,"STEEL";#N/A,#N/A,TRUE,"Door"}</definedName>
    <definedName name="zzz" localSheetId="6" hidden="1">{#N/A,#N/A,TRUE,"Basic";#N/A,#N/A,TRUE,"EXT-TABLE";#N/A,#N/A,TRUE,"STEEL";#N/A,#N/A,TRUE,"INT-Table";#N/A,#N/A,TRUE,"STEEL";#N/A,#N/A,TRUE,"Door"}</definedName>
    <definedName name="zzz" localSheetId="3" hidden="1">{#N/A,#N/A,TRUE,"Basic";#N/A,#N/A,TRUE,"EXT-TABLE";#N/A,#N/A,TRUE,"STEEL";#N/A,#N/A,TRUE,"INT-Table";#N/A,#N/A,TRUE,"STEEL";#N/A,#N/A,TRUE,"Door"}</definedName>
    <definedName name="zzz" hidden="1">{#N/A,#N/A,TRUE,"Basic";#N/A,#N/A,TRUE,"EXT-TABLE";#N/A,#N/A,TRUE,"STEEL";#N/A,#N/A,TRUE,"INT-Table";#N/A,#N/A,TRUE,"STEEL";#N/A,#N/A,TRUE,"Door"}</definedName>
    <definedName name="ㄱ" localSheetId="5" hidden="1">{#N/A,#N/A,FALSE,"이태원철근"}</definedName>
    <definedName name="ㄱ" hidden="1">{#N/A,#N/A,FALSE,"이태원철근"}</definedName>
    <definedName name="ㄱㄱ" localSheetId="5" hidden="1">{#N/A,#N/A,FALSE,"이태원철근"}</definedName>
    <definedName name="ㄱㄱ" hidden="1">{#N/A,#N/A,FALSE,"이태원철근"}</definedName>
    <definedName name="ㄱㄱㄱ" localSheetId="5" hidden="1">{#N/A,#N/A,FALSE,"배수2"}</definedName>
    <definedName name="ㄱㄱㄱ" localSheetId="9" hidden="1">{#N/A,#N/A,FALSE,"배수2"}</definedName>
    <definedName name="ㄱㄱㄱ" localSheetId="10" hidden="1">{#N/A,#N/A,FALSE,"배수2"}</definedName>
    <definedName name="ㄱㄱㄱ" localSheetId="6" hidden="1">{#N/A,#N/A,FALSE,"배수2"}</definedName>
    <definedName name="ㄱㄱㄱ" localSheetId="3" hidden="1">{#N/A,#N/A,FALSE,"배수2"}</definedName>
    <definedName name="ㄱㄱㄱ" hidden="1">{#N/A,#N/A,FALSE,"배수2"}</definedName>
    <definedName name="ㄱㄱㄱㄱ" localSheetId="5" hidden="1">{#N/A,#N/A,FALSE,"이태원철근"}</definedName>
    <definedName name="ㄱㄱㄱㄱ" hidden="1">{#N/A,#N/A,FALSE,"이태원철근"}</definedName>
    <definedName name="ㄱㄷㄱㄷㄱㄱㅎㄺㄷ" localSheetId="5" hidden="1">{"'장비'!$A$3:$M$12"}</definedName>
    <definedName name="ㄱㄷㄱㄷㄱㄱㅎㄺㄷ" localSheetId="9" hidden="1">{"'장비'!$A$3:$M$12"}</definedName>
    <definedName name="ㄱㄷㄱㄷㄱㄱㅎㄺㄷ" localSheetId="10" hidden="1">{"'장비'!$A$3:$M$12"}</definedName>
    <definedName name="ㄱㄷㄱㄷㄱㄱㅎㄺㄷ" localSheetId="6" hidden="1">{"'장비'!$A$3:$M$12"}</definedName>
    <definedName name="ㄱㄷㄱㄷㄱㄱㅎㄺㄷ" localSheetId="3" hidden="1">{"'장비'!$A$3:$M$12"}</definedName>
    <definedName name="ㄱㄷㄱㄷㄱㄱㅎㄺㄷ" hidden="1">{"'장비'!$A$3:$M$12"}</definedName>
    <definedName name="ㄱㄷㄱㄷㄱㄱㅎㄺㄷ_1" localSheetId="5" hidden="1">{"'장비'!$A$3:$M$12"}</definedName>
    <definedName name="ㄱㄷㄱㄷㄱㄱㅎㄺㄷ_1" localSheetId="9" hidden="1">{"'장비'!$A$3:$M$12"}</definedName>
    <definedName name="ㄱㄷㄱㄷㄱㄱㅎㄺㄷ_1" localSheetId="10" hidden="1">{"'장비'!$A$3:$M$12"}</definedName>
    <definedName name="ㄱㄷㄱㄷㄱㄱㅎㄺㄷ_1" localSheetId="6" hidden="1">{"'장비'!$A$3:$M$12"}</definedName>
    <definedName name="ㄱㄷㄱㄷㄱㄱㅎㄺㄷ_1" localSheetId="3" hidden="1">{"'장비'!$A$3:$M$12"}</definedName>
    <definedName name="ㄱㄷㄱㄷㄱㄱㅎㄺㄷ_1" hidden="1">{"'장비'!$A$3:$M$12"}</definedName>
    <definedName name="ㄱㄷㄷㄱ" localSheetId="5" hidden="1">{#N/A,#N/A,FALSE,"구조2"}</definedName>
    <definedName name="ㄱㄷㄷㄱ" localSheetId="9" hidden="1">{#N/A,#N/A,FALSE,"구조2"}</definedName>
    <definedName name="ㄱㄷㄷㄱ" localSheetId="10" hidden="1">{#N/A,#N/A,FALSE,"구조2"}</definedName>
    <definedName name="ㄱㄷㄷㄱ" localSheetId="6" hidden="1">{#N/A,#N/A,FALSE,"구조2"}</definedName>
    <definedName name="ㄱㄷㄷㄱ" localSheetId="3" hidden="1">{#N/A,#N/A,FALSE,"구조2"}</definedName>
    <definedName name="ㄱㄷㄷㄱ" hidden="1">{#N/A,#N/A,FALSE,"구조2"}</definedName>
    <definedName name="ㄱㅁㄴ" localSheetId="5" hidden="1">{#N/A,#N/A,FALSE,"토공2"}</definedName>
    <definedName name="ㄱㅁㄴ" localSheetId="9" hidden="1">{#N/A,#N/A,FALSE,"토공2"}</definedName>
    <definedName name="ㄱㅁㄴ" localSheetId="10" hidden="1">{#N/A,#N/A,FALSE,"토공2"}</definedName>
    <definedName name="ㄱㅁㄴ" localSheetId="6" hidden="1">{#N/A,#N/A,FALSE,"토공2"}</definedName>
    <definedName name="ㄱㅁㄴ" localSheetId="3" hidden="1">{#N/A,#N/A,FALSE,"토공2"}</definedName>
    <definedName name="ㄱㅁㄴ" hidden="1">{#N/A,#N/A,FALSE,"토공2"}</definedName>
    <definedName name="ㄱ미" localSheetId="5" hidden="1">{#N/A,#N/A,TRUE,"Basic";#N/A,#N/A,TRUE,"EXT-TABLE";#N/A,#N/A,TRUE,"STEEL";#N/A,#N/A,TRUE,"INT-Table";#N/A,#N/A,TRUE,"STEEL";#N/A,#N/A,TRUE,"Door"}</definedName>
    <definedName name="ㄱ미" localSheetId="9" hidden="1">{#N/A,#N/A,TRUE,"Basic";#N/A,#N/A,TRUE,"EXT-TABLE";#N/A,#N/A,TRUE,"STEEL";#N/A,#N/A,TRUE,"INT-Table";#N/A,#N/A,TRUE,"STEEL";#N/A,#N/A,TRUE,"Door"}</definedName>
    <definedName name="ㄱ미" localSheetId="10" hidden="1">{#N/A,#N/A,TRUE,"Basic";#N/A,#N/A,TRUE,"EXT-TABLE";#N/A,#N/A,TRUE,"STEEL";#N/A,#N/A,TRUE,"INT-Table";#N/A,#N/A,TRUE,"STEEL";#N/A,#N/A,TRUE,"Door"}</definedName>
    <definedName name="ㄱ미" localSheetId="6" hidden="1">{#N/A,#N/A,TRUE,"Basic";#N/A,#N/A,TRUE,"EXT-TABLE";#N/A,#N/A,TRUE,"STEEL";#N/A,#N/A,TRUE,"INT-Table";#N/A,#N/A,TRUE,"STEEL";#N/A,#N/A,TRUE,"Door"}</definedName>
    <definedName name="ㄱ미" localSheetId="3" hidden="1">{#N/A,#N/A,TRUE,"Basic";#N/A,#N/A,TRUE,"EXT-TABLE";#N/A,#N/A,TRUE,"STEEL";#N/A,#N/A,TRUE,"INT-Table";#N/A,#N/A,TRUE,"STEEL";#N/A,#N/A,TRUE,"Door"}</definedName>
    <definedName name="ㄱ미" hidden="1">{#N/A,#N/A,TRUE,"Basic";#N/A,#N/A,TRUE,"EXT-TABLE";#N/A,#N/A,TRUE,"STEEL";#N/A,#N/A,TRUE,"INT-Table";#N/A,#N/A,TRUE,"STEEL";#N/A,#N/A,TRUE,"Door"}</definedName>
    <definedName name="ㄱ미_1" localSheetId="5" hidden="1">{#N/A,#N/A,TRUE,"Basic";#N/A,#N/A,TRUE,"EXT-TABLE";#N/A,#N/A,TRUE,"STEEL";#N/A,#N/A,TRUE,"INT-Table";#N/A,#N/A,TRUE,"STEEL";#N/A,#N/A,TRUE,"Door"}</definedName>
    <definedName name="ㄱ미_1" hidden="1">{#N/A,#N/A,TRUE,"Basic";#N/A,#N/A,TRUE,"EXT-TABLE";#N/A,#N/A,TRUE,"STEEL";#N/A,#N/A,TRUE,"INT-Table";#N/A,#N/A,TRUE,"STEEL";#N/A,#N/A,TRUE,"Door"}</definedName>
    <definedName name="ㄱ미_2" localSheetId="5" hidden="1">{#N/A,#N/A,TRUE,"Basic";#N/A,#N/A,TRUE,"EXT-TABLE";#N/A,#N/A,TRUE,"STEEL";#N/A,#N/A,TRUE,"INT-Table";#N/A,#N/A,TRUE,"STEEL";#N/A,#N/A,TRUE,"Door"}</definedName>
    <definedName name="ㄱ미_2" hidden="1">{#N/A,#N/A,TRUE,"Basic";#N/A,#N/A,TRUE,"EXT-TABLE";#N/A,#N/A,TRUE,"STEEL";#N/A,#N/A,TRUE,"INT-Table";#N/A,#N/A,TRUE,"STEEL";#N/A,#N/A,TRUE,"Door"}</definedName>
    <definedName name="ㄱ미_3" localSheetId="5" hidden="1">{#N/A,#N/A,TRUE,"Basic";#N/A,#N/A,TRUE,"EXT-TABLE";#N/A,#N/A,TRUE,"STEEL";#N/A,#N/A,TRUE,"INT-Table";#N/A,#N/A,TRUE,"STEEL";#N/A,#N/A,TRUE,"Door"}</definedName>
    <definedName name="ㄱ미_3" hidden="1">{#N/A,#N/A,TRUE,"Basic";#N/A,#N/A,TRUE,"EXT-TABLE";#N/A,#N/A,TRUE,"STEEL";#N/A,#N/A,TRUE,"INT-Table";#N/A,#N/A,TRUE,"STEEL";#N/A,#N/A,TRUE,"Door"}</definedName>
    <definedName name="ㄱ미_4" localSheetId="5" hidden="1">{#N/A,#N/A,TRUE,"Basic";#N/A,#N/A,TRUE,"EXT-TABLE";#N/A,#N/A,TRUE,"STEEL";#N/A,#N/A,TRUE,"INT-Table";#N/A,#N/A,TRUE,"STEEL";#N/A,#N/A,TRUE,"Door"}</definedName>
    <definedName name="ㄱ미_4" hidden="1">{#N/A,#N/A,TRUE,"Basic";#N/A,#N/A,TRUE,"EXT-TABLE";#N/A,#N/A,TRUE,"STEEL";#N/A,#N/A,TRUE,"INT-Table";#N/A,#N/A,TRUE,"STEEL";#N/A,#N/A,TRUE,"Door"}</definedName>
    <definedName name="ㄱ미_5" localSheetId="5" hidden="1">{#N/A,#N/A,TRUE,"Basic";#N/A,#N/A,TRUE,"EXT-TABLE";#N/A,#N/A,TRUE,"STEEL";#N/A,#N/A,TRUE,"INT-Table";#N/A,#N/A,TRUE,"STEEL";#N/A,#N/A,TRUE,"Door"}</definedName>
    <definedName name="ㄱ미_5" hidden="1">{#N/A,#N/A,TRUE,"Basic";#N/A,#N/A,TRUE,"EXT-TABLE";#N/A,#N/A,TRUE,"STEEL";#N/A,#N/A,TRUE,"INT-Table";#N/A,#N/A,TRUE,"STEEL";#N/A,#N/A,TRUE,"Door"}</definedName>
    <definedName name="가" hidden="1">#REF!</definedName>
    <definedName name="가실행_1" localSheetId="5" hidden="1">{#N/A,#N/A,FALSE,"지침";#N/A,#N/A,FALSE,"환경분석";#N/A,#N/A,FALSE,"Sheet16"}</definedName>
    <definedName name="가실행_1" hidden="1">{#N/A,#N/A,FALSE,"지침";#N/A,#N/A,FALSE,"환경분석";#N/A,#N/A,FALSE,"Sheet16"}</definedName>
    <definedName name="가실행_2" localSheetId="5" hidden="1">{#N/A,#N/A,FALSE,"지침";#N/A,#N/A,FALSE,"환경분석";#N/A,#N/A,FALSE,"Sheet16"}</definedName>
    <definedName name="가실행_2" hidden="1">{#N/A,#N/A,FALSE,"지침";#N/A,#N/A,FALSE,"환경분석";#N/A,#N/A,FALSE,"Sheet16"}</definedName>
    <definedName name="가실행_3" localSheetId="5" hidden="1">{#N/A,#N/A,FALSE,"지침";#N/A,#N/A,FALSE,"환경분석";#N/A,#N/A,FALSE,"Sheet16"}</definedName>
    <definedName name="가실행_3" hidden="1">{#N/A,#N/A,FALSE,"지침";#N/A,#N/A,FALSE,"환경분석";#N/A,#N/A,FALSE,"Sheet16"}</definedName>
    <definedName name="가실행_4" localSheetId="5" hidden="1">{#N/A,#N/A,FALSE,"지침";#N/A,#N/A,FALSE,"환경분석";#N/A,#N/A,FALSE,"Sheet16"}</definedName>
    <definedName name="가실행_4" hidden="1">{#N/A,#N/A,FALSE,"지침";#N/A,#N/A,FALSE,"환경분석";#N/A,#N/A,FALSE,"Sheet16"}</definedName>
    <definedName name="가실행_5" localSheetId="5" hidden="1">{#N/A,#N/A,FALSE,"지침";#N/A,#N/A,FALSE,"환경분석";#N/A,#N/A,FALSE,"Sheet16"}</definedName>
    <definedName name="가실행_5" hidden="1">{#N/A,#N/A,FALSE,"지침";#N/A,#N/A,FALSE,"환경분석";#N/A,#N/A,FALSE,"Sheet16"}</definedName>
    <definedName name="감" localSheetId="5" hidden="1">{#N/A,#N/A,TRUE,"Basic";#N/A,#N/A,TRUE,"EXT-TABLE";#N/A,#N/A,TRUE,"STEEL";#N/A,#N/A,TRUE,"INT-Table";#N/A,#N/A,TRUE,"STEEL";#N/A,#N/A,TRUE,"Door"}</definedName>
    <definedName name="감" localSheetId="9" hidden="1">{#N/A,#N/A,TRUE,"Basic";#N/A,#N/A,TRUE,"EXT-TABLE";#N/A,#N/A,TRUE,"STEEL";#N/A,#N/A,TRUE,"INT-Table";#N/A,#N/A,TRUE,"STEEL";#N/A,#N/A,TRUE,"Door"}</definedName>
    <definedName name="감" localSheetId="10" hidden="1">{#N/A,#N/A,TRUE,"Basic";#N/A,#N/A,TRUE,"EXT-TABLE";#N/A,#N/A,TRUE,"STEEL";#N/A,#N/A,TRUE,"INT-Table";#N/A,#N/A,TRUE,"STEEL";#N/A,#N/A,TRUE,"Door"}</definedName>
    <definedName name="감" localSheetId="6" hidden="1">{#N/A,#N/A,TRUE,"Basic";#N/A,#N/A,TRUE,"EXT-TABLE";#N/A,#N/A,TRUE,"STEEL";#N/A,#N/A,TRUE,"INT-Table";#N/A,#N/A,TRUE,"STEEL";#N/A,#N/A,TRUE,"Door"}</definedName>
    <definedName name="감" localSheetId="3" hidden="1">{#N/A,#N/A,FALSE,"지침";#N/A,#N/A,FALSE,"환경분석";#N/A,#N/A,FALSE,"Sheet16"}</definedName>
    <definedName name="감" hidden="1">{#N/A,#N/A,TRUE,"Basic";#N/A,#N/A,TRUE,"EXT-TABLE";#N/A,#N/A,TRUE,"STEEL";#N/A,#N/A,TRUE,"INT-Table";#N/A,#N/A,TRUE,"STEEL";#N/A,#N/A,TRUE,"Door"}</definedName>
    <definedName name="감_1" localSheetId="5" hidden="1">{#N/A,#N/A,FALSE,"지침";#N/A,#N/A,FALSE,"환경분석";#N/A,#N/A,FALSE,"Sheet16"}</definedName>
    <definedName name="감_1" hidden="1">{#N/A,#N/A,FALSE,"지침";#N/A,#N/A,FALSE,"환경분석";#N/A,#N/A,FALSE,"Sheet16"}</definedName>
    <definedName name="감_2" localSheetId="5" hidden="1">{#N/A,#N/A,FALSE,"지침";#N/A,#N/A,FALSE,"환경분석";#N/A,#N/A,FALSE,"Sheet16"}</definedName>
    <definedName name="감_2" hidden="1">{#N/A,#N/A,FALSE,"지침";#N/A,#N/A,FALSE,"환경분석";#N/A,#N/A,FALSE,"Sheet16"}</definedName>
    <definedName name="감_3" localSheetId="5" hidden="1">{#N/A,#N/A,FALSE,"지침";#N/A,#N/A,FALSE,"환경분석";#N/A,#N/A,FALSE,"Sheet16"}</definedName>
    <definedName name="감_3" hidden="1">{#N/A,#N/A,FALSE,"지침";#N/A,#N/A,FALSE,"환경분석";#N/A,#N/A,FALSE,"Sheet16"}</definedName>
    <definedName name="감_4" localSheetId="5" hidden="1">{#N/A,#N/A,FALSE,"지침";#N/A,#N/A,FALSE,"환경분석";#N/A,#N/A,FALSE,"Sheet16"}</definedName>
    <definedName name="감_4" hidden="1">{#N/A,#N/A,FALSE,"지침";#N/A,#N/A,FALSE,"환경분석";#N/A,#N/A,FALSE,"Sheet16"}</definedName>
    <definedName name="감_5" localSheetId="5" hidden="1">{#N/A,#N/A,FALSE,"지침";#N/A,#N/A,FALSE,"환경분석";#N/A,#N/A,FALSE,"Sheet16"}</definedName>
    <definedName name="감_5" hidden="1">{#N/A,#N/A,FALSE,"지침";#N/A,#N/A,FALSE,"환경분석";#N/A,#N/A,FALSE,"Sheet16"}</definedName>
    <definedName name="감리상주" localSheetId="5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리상주_1" localSheetId="5" hidden="1">{#N/A,#N/A,FALSE,"지침";#N/A,#N/A,FALSE,"환경분석";#N/A,#N/A,FALSE,"Sheet16"}</definedName>
    <definedName name="감리상주_1" hidden="1">{#N/A,#N/A,FALSE,"지침";#N/A,#N/A,FALSE,"환경분석";#N/A,#N/A,FALSE,"Sheet16"}</definedName>
    <definedName name="감리상주_2" localSheetId="5" hidden="1">{#N/A,#N/A,FALSE,"지침";#N/A,#N/A,FALSE,"환경분석";#N/A,#N/A,FALSE,"Sheet16"}</definedName>
    <definedName name="감리상주_2" hidden="1">{#N/A,#N/A,FALSE,"지침";#N/A,#N/A,FALSE,"환경분석";#N/A,#N/A,FALSE,"Sheet16"}</definedName>
    <definedName name="감리상주_3" localSheetId="5" hidden="1">{#N/A,#N/A,FALSE,"지침";#N/A,#N/A,FALSE,"환경분석";#N/A,#N/A,FALSE,"Sheet16"}</definedName>
    <definedName name="감리상주_3" hidden="1">{#N/A,#N/A,FALSE,"지침";#N/A,#N/A,FALSE,"환경분석";#N/A,#N/A,FALSE,"Sheet16"}</definedName>
    <definedName name="감리상주_4" localSheetId="5" hidden="1">{#N/A,#N/A,FALSE,"지침";#N/A,#N/A,FALSE,"환경분석";#N/A,#N/A,FALSE,"Sheet16"}</definedName>
    <definedName name="감리상주_4" hidden="1">{#N/A,#N/A,FALSE,"지침";#N/A,#N/A,FALSE,"환경분석";#N/A,#N/A,FALSE,"Sheet16"}</definedName>
    <definedName name="감리상주_5" localSheetId="5" hidden="1">{#N/A,#N/A,FALSE,"지침";#N/A,#N/A,FALSE,"환경분석";#N/A,#N/A,FALSE,"Sheet16"}</definedName>
    <definedName name="감리상주_5" hidden="1">{#N/A,#N/A,FALSE,"지침";#N/A,#N/A,FALSE,"환경분석";#N/A,#N/A,FALSE,"Sheet16"}</definedName>
    <definedName name="강릉교동" hidden="1">#REF!</definedName>
    <definedName name="강릉교동터파기" hidden="1">#REF!</definedName>
    <definedName name="강릉교동토목" hidden="1">#REF!</definedName>
    <definedName name="강릉교동흙막이" hidden="1">#REF!</definedName>
    <definedName name="강릉토공사" hidden="1">#REF!</definedName>
    <definedName name="강릉토목공사" hidden="1">#REF!</definedName>
    <definedName name="강릉토목임" hidden="1">#REF!</definedName>
    <definedName name="강병일" localSheetId="5" hidden="1">{"LKD",#N/A,FALSE,"표지"}</definedName>
    <definedName name="강병일" hidden="1">{"LKD",#N/A,FALSE,"표지"}</definedName>
    <definedName name="강병일_1" localSheetId="5" hidden="1">{"LKD",#N/A,FALSE,"표지"}</definedName>
    <definedName name="강병일_1" hidden="1">{"LKD",#N/A,FALSE,"표지"}</definedName>
    <definedName name="강병일_2" localSheetId="5" hidden="1">{"LKD",#N/A,FALSE,"표지"}</definedName>
    <definedName name="강병일_2" hidden="1">{"LKD",#N/A,FALSE,"표지"}</definedName>
    <definedName name="강병일_3" localSheetId="5" hidden="1">{"LKD",#N/A,FALSE,"표지"}</definedName>
    <definedName name="강병일_3" hidden="1">{"LKD",#N/A,FALSE,"표지"}</definedName>
    <definedName name="강병일_4" localSheetId="5" hidden="1">{"LKD",#N/A,FALSE,"표지"}</definedName>
    <definedName name="강병일_4" hidden="1">{"LKD",#N/A,FALSE,"표지"}</definedName>
    <definedName name="강병일_5" localSheetId="5" hidden="1">{"LKD",#N/A,FALSE,"표지"}</definedName>
    <definedName name="강병일_5" hidden="1">{"LKD",#N/A,FALSE,"표지"}</definedName>
    <definedName name="거제" localSheetId="5" hidden="1">{#N/A,#N/A,FALSE,"이태원철근"}</definedName>
    <definedName name="거제" hidden="1">{#N/A,#N/A,FALSE,"이태원철근"}</definedName>
    <definedName name="거제2" localSheetId="5" hidden="1">{#N/A,#N/A,FALSE,"이태원철근"}</definedName>
    <definedName name="거제2" hidden="1">{#N/A,#N/A,FALSE,"이태원철근"}</definedName>
    <definedName name="거제현장" localSheetId="5" hidden="1">{#N/A,#N/A,FALSE,"이태원철근"}</definedName>
    <definedName name="거제현장" hidden="1">{#N/A,#N/A,FALSE,"이태원철근"}</definedName>
    <definedName name="건축원가" hidden="1">#REF!</definedName>
    <definedName name="겉표지" localSheetId="5" hidden="1">{#N/A,#N/A,TRUE,"Basic";#N/A,#N/A,TRUE,"EXT-TABLE";#N/A,#N/A,TRUE,"STEEL";#N/A,#N/A,TRUE,"INT-Table";#N/A,#N/A,TRUE,"STEEL";#N/A,#N/A,TRUE,"Door"}</definedName>
    <definedName name="겉표지" localSheetId="9" hidden="1">{#N/A,#N/A,TRUE,"Basic";#N/A,#N/A,TRUE,"EXT-TABLE";#N/A,#N/A,TRUE,"STEEL";#N/A,#N/A,TRUE,"INT-Table";#N/A,#N/A,TRUE,"STEEL";#N/A,#N/A,TRUE,"Door"}</definedName>
    <definedName name="겉표지" localSheetId="10" hidden="1">{#N/A,#N/A,TRUE,"Basic";#N/A,#N/A,TRUE,"EXT-TABLE";#N/A,#N/A,TRUE,"STEEL";#N/A,#N/A,TRUE,"INT-Table";#N/A,#N/A,TRUE,"STEEL";#N/A,#N/A,TRUE,"Door"}</definedName>
    <definedName name="겉표지" localSheetId="6" hidden="1">{#N/A,#N/A,TRUE,"Basic";#N/A,#N/A,TRUE,"EXT-TABLE";#N/A,#N/A,TRUE,"STEEL";#N/A,#N/A,TRUE,"INT-Table";#N/A,#N/A,TRUE,"STEEL";#N/A,#N/A,TRUE,"Door"}</definedName>
    <definedName name="겉표지" localSheetId="3" hidden="1">{#N/A,#N/A,TRUE,"Basic";#N/A,#N/A,TRUE,"EXT-TABLE";#N/A,#N/A,TRUE,"STEEL";#N/A,#N/A,TRUE,"INT-Table";#N/A,#N/A,TRUE,"STEEL";#N/A,#N/A,TRUE,"Door"}</definedName>
    <definedName name="겉표지" hidden="1">{#N/A,#N/A,TRUE,"Basic";#N/A,#N/A,TRUE,"EXT-TABLE";#N/A,#N/A,TRUE,"STEEL";#N/A,#N/A,TRUE,"INT-Table";#N/A,#N/A,TRUE,"STEEL";#N/A,#N/A,TRUE,"Door"}</definedName>
    <definedName name="겉표지_1" localSheetId="5" hidden="1">{#N/A,#N/A,TRUE,"Basic";#N/A,#N/A,TRUE,"EXT-TABLE";#N/A,#N/A,TRUE,"STEEL";#N/A,#N/A,TRUE,"INT-Table";#N/A,#N/A,TRUE,"STEEL";#N/A,#N/A,TRUE,"Door"}</definedName>
    <definedName name="겉표지_1" hidden="1">{#N/A,#N/A,TRUE,"Basic";#N/A,#N/A,TRUE,"EXT-TABLE";#N/A,#N/A,TRUE,"STEEL";#N/A,#N/A,TRUE,"INT-Table";#N/A,#N/A,TRUE,"STEEL";#N/A,#N/A,TRUE,"Door"}</definedName>
    <definedName name="겉표지_2" localSheetId="5" hidden="1">{#N/A,#N/A,TRUE,"Basic";#N/A,#N/A,TRUE,"EXT-TABLE";#N/A,#N/A,TRUE,"STEEL";#N/A,#N/A,TRUE,"INT-Table";#N/A,#N/A,TRUE,"STEEL";#N/A,#N/A,TRUE,"Door"}</definedName>
    <definedName name="겉표지_2" hidden="1">{#N/A,#N/A,TRUE,"Basic";#N/A,#N/A,TRUE,"EXT-TABLE";#N/A,#N/A,TRUE,"STEEL";#N/A,#N/A,TRUE,"INT-Table";#N/A,#N/A,TRUE,"STEEL";#N/A,#N/A,TRUE,"Door"}</definedName>
    <definedName name="겉표지_3" localSheetId="5" hidden="1">{#N/A,#N/A,TRUE,"Basic";#N/A,#N/A,TRUE,"EXT-TABLE";#N/A,#N/A,TRUE,"STEEL";#N/A,#N/A,TRUE,"INT-Table";#N/A,#N/A,TRUE,"STEEL";#N/A,#N/A,TRUE,"Door"}</definedName>
    <definedName name="겉표지_3" hidden="1">{#N/A,#N/A,TRUE,"Basic";#N/A,#N/A,TRUE,"EXT-TABLE";#N/A,#N/A,TRUE,"STEEL";#N/A,#N/A,TRUE,"INT-Table";#N/A,#N/A,TRUE,"STEEL";#N/A,#N/A,TRUE,"Door"}</definedName>
    <definedName name="겉표지_4" localSheetId="5" hidden="1">{#N/A,#N/A,TRUE,"Basic";#N/A,#N/A,TRUE,"EXT-TABLE";#N/A,#N/A,TRUE,"STEEL";#N/A,#N/A,TRUE,"INT-Table";#N/A,#N/A,TRUE,"STEEL";#N/A,#N/A,TRUE,"Door"}</definedName>
    <definedName name="겉표지_4" hidden="1">{#N/A,#N/A,TRUE,"Basic";#N/A,#N/A,TRUE,"EXT-TABLE";#N/A,#N/A,TRUE,"STEEL";#N/A,#N/A,TRUE,"INT-Table";#N/A,#N/A,TRUE,"STEEL";#N/A,#N/A,TRUE,"Door"}</definedName>
    <definedName name="겉표지_5" localSheetId="5" hidden="1">{#N/A,#N/A,TRUE,"Basic";#N/A,#N/A,TRUE,"EXT-TABLE";#N/A,#N/A,TRUE,"STEEL";#N/A,#N/A,TRUE,"INT-Table";#N/A,#N/A,TRUE,"STEEL";#N/A,#N/A,TRUE,"Door"}</definedName>
    <definedName name="겉표지_5" hidden="1">{#N/A,#N/A,TRUE,"Basic";#N/A,#N/A,TRUE,"EXT-TABLE";#N/A,#N/A,TRUE,"STEEL";#N/A,#N/A,TRUE,"INT-Table";#N/A,#N/A,TRUE,"STEEL";#N/A,#N/A,TRUE,"Door"}</definedName>
    <definedName name="겡오" localSheetId="5" hidden="1">{#N/A,#N/A,FALSE,"CCTV"}</definedName>
    <definedName name="겡오" localSheetId="9" hidden="1">{#N/A,#N/A,FALSE,"CCTV"}</definedName>
    <definedName name="겡오" localSheetId="10" hidden="1">{#N/A,#N/A,FALSE,"CCTV"}</definedName>
    <definedName name="겡오" localSheetId="6" hidden="1">{#N/A,#N/A,FALSE,"CCTV"}</definedName>
    <definedName name="겡오" localSheetId="3" hidden="1">{#N/A,#N/A,FALSE,"CCTV"}</definedName>
    <definedName name="겡오" hidden="1">{#N/A,#N/A,FALSE,"CCTV"}</definedName>
    <definedName name="겡오_1" localSheetId="5" hidden="1">{#N/A,#N/A,FALSE,"CCTV"}</definedName>
    <definedName name="겡오_1" localSheetId="9" hidden="1">{#N/A,#N/A,FALSE,"CCTV"}</definedName>
    <definedName name="겡오_1" localSheetId="10" hidden="1">{#N/A,#N/A,FALSE,"CCTV"}</definedName>
    <definedName name="겡오_1" localSheetId="6" hidden="1">{#N/A,#N/A,FALSE,"CCTV"}</definedName>
    <definedName name="겡오_1" localSheetId="3" hidden="1">{#N/A,#N/A,FALSE,"CCTV"}</definedName>
    <definedName name="겡오_1" hidden="1">{#N/A,#N/A,FALSE,"CCTV"}</definedName>
    <definedName name="겡오_2" localSheetId="5" hidden="1">{#N/A,#N/A,FALSE,"CCTV"}</definedName>
    <definedName name="겡오_2" hidden="1">{#N/A,#N/A,FALSE,"CCTV"}</definedName>
    <definedName name="겡오_3" localSheetId="5" hidden="1">{#N/A,#N/A,FALSE,"CCTV"}</definedName>
    <definedName name="겡오_3" hidden="1">{#N/A,#N/A,FALSE,"CCTV"}</definedName>
    <definedName name="겡오_4" localSheetId="5" hidden="1">{#N/A,#N/A,FALSE,"CCTV"}</definedName>
    <definedName name="겡오_4" hidden="1">{#N/A,#N/A,FALSE,"CCTV"}</definedName>
    <definedName name="겡오_5" localSheetId="5" hidden="1">{#N/A,#N/A,FALSE,"CCTV"}</definedName>
    <definedName name="겡오_5" hidden="1">{#N/A,#N/A,FALSE,"CCTV"}</definedName>
    <definedName name="견적_1" localSheetId="5" hidden="1">{#N/A,#N/A,FALSE,"지침";#N/A,#N/A,FALSE,"환경분석";#N/A,#N/A,FALSE,"Sheet16"}</definedName>
    <definedName name="견적_1" hidden="1">{#N/A,#N/A,FALSE,"지침";#N/A,#N/A,FALSE,"환경분석";#N/A,#N/A,FALSE,"Sheet16"}</definedName>
    <definedName name="견적_2" localSheetId="5" hidden="1">{#N/A,#N/A,FALSE,"지침";#N/A,#N/A,FALSE,"환경분석";#N/A,#N/A,FALSE,"Sheet16"}</definedName>
    <definedName name="견적_2" hidden="1">{#N/A,#N/A,FALSE,"지침";#N/A,#N/A,FALSE,"환경분석";#N/A,#N/A,FALSE,"Sheet16"}</definedName>
    <definedName name="견적_3" localSheetId="5" hidden="1">{#N/A,#N/A,FALSE,"지침";#N/A,#N/A,FALSE,"환경분석";#N/A,#N/A,FALSE,"Sheet16"}</definedName>
    <definedName name="견적_3" hidden="1">{#N/A,#N/A,FALSE,"지침";#N/A,#N/A,FALSE,"환경분석";#N/A,#N/A,FALSE,"Sheet16"}</definedName>
    <definedName name="견적_4" localSheetId="5" hidden="1">{#N/A,#N/A,FALSE,"지침";#N/A,#N/A,FALSE,"환경분석";#N/A,#N/A,FALSE,"Sheet16"}</definedName>
    <definedName name="견적_4" hidden="1">{#N/A,#N/A,FALSE,"지침";#N/A,#N/A,FALSE,"환경분석";#N/A,#N/A,FALSE,"Sheet16"}</definedName>
    <definedName name="견적_5" localSheetId="5" hidden="1">{#N/A,#N/A,FALSE,"지침";#N/A,#N/A,FALSE,"환경분석";#N/A,#N/A,FALSE,"Sheet16"}</definedName>
    <definedName name="견적_5" hidden="1">{#N/A,#N/A,FALSE,"지침";#N/A,#N/A,FALSE,"환경분석";#N/A,#N/A,FALSE,"Sheet16"}</definedName>
    <definedName name="견적2" localSheetId="5" hidden="1">{#N/A,#N/A,FALSE,"CCTV"}</definedName>
    <definedName name="견적2" localSheetId="9" hidden="1">{#N/A,#N/A,FALSE,"CCTV"}</definedName>
    <definedName name="견적2" localSheetId="10" hidden="1">{#N/A,#N/A,FALSE,"CCTV"}</definedName>
    <definedName name="견적2" localSheetId="6" hidden="1">{#N/A,#N/A,FALSE,"CCTV"}</definedName>
    <definedName name="견적2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{#N/A,#N/A,FALSE,"CCTV"}</definedName>
    <definedName name="견적2_1" localSheetId="5" hidden="1">{#N/A,#N/A,FALSE,"CCTV"}</definedName>
    <definedName name="견적2_1" hidden="1">{#N/A,#N/A,FALSE,"CCTV"}</definedName>
    <definedName name="견적2_2" localSheetId="5" hidden="1">{#N/A,#N/A,FALSE,"CCTV"}</definedName>
    <definedName name="견적2_2" hidden="1">{#N/A,#N/A,FALSE,"CCTV"}</definedName>
    <definedName name="견적2_3" localSheetId="5" hidden="1">{#N/A,#N/A,FALSE,"CCTV"}</definedName>
    <definedName name="견적2_3" hidden="1">{#N/A,#N/A,FALSE,"CCTV"}</definedName>
    <definedName name="견적2_4" localSheetId="5" hidden="1">{#N/A,#N/A,FALSE,"CCTV"}</definedName>
    <definedName name="견적2_4" hidden="1">{#N/A,#N/A,FALSE,"CCTV"}</definedName>
    <definedName name="견적2_5" localSheetId="5" hidden="1">{#N/A,#N/A,FALSE,"CCTV"}</definedName>
    <definedName name="견적2_5" hidden="1">{#N/A,#N/A,FALSE,"CCTV"}</definedName>
    <definedName name="견적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5" hidden="1">{#N/A,#N/A,FALSE,"CCTV"}</definedName>
    <definedName name="견적SHEET" localSheetId="9" hidden="1">{#N/A,#N/A,FALSE,"CCTV"}</definedName>
    <definedName name="견적SHEET" localSheetId="10" hidden="1">{#N/A,#N/A,FALSE,"CCTV"}</definedName>
    <definedName name="견적SHEET" localSheetId="6" hidden="1">{#N/A,#N/A,FALSE,"CCTV"}</definedName>
    <definedName name="견적SHEET" localSheetId="3" hidden="1">{#N/A,#N/A,FALSE,"CCTV"}</definedName>
    <definedName name="견적SHEET" hidden="1">{#N/A,#N/A,FALSE,"CCTV"}</definedName>
    <definedName name="견적SHEET_1" localSheetId="5" hidden="1">{#N/A,#N/A,FALSE,"CCTV"}</definedName>
    <definedName name="견적SHEET_1" hidden="1">{#N/A,#N/A,FALSE,"CCTV"}</definedName>
    <definedName name="견적SHEET_2" localSheetId="5" hidden="1">{#N/A,#N/A,FALSE,"CCTV"}</definedName>
    <definedName name="견적SHEET_2" hidden="1">{#N/A,#N/A,FALSE,"CCTV"}</definedName>
    <definedName name="견적SHEET_3" localSheetId="5" hidden="1">{#N/A,#N/A,FALSE,"CCTV"}</definedName>
    <definedName name="견적SHEET_3" hidden="1">{#N/A,#N/A,FALSE,"CCTV"}</definedName>
    <definedName name="견적SHEET_4" localSheetId="5" hidden="1">{#N/A,#N/A,FALSE,"CCTV"}</definedName>
    <definedName name="견적SHEET_4" hidden="1">{#N/A,#N/A,FALSE,"CCTV"}</definedName>
    <definedName name="견적SHEET_5" localSheetId="5" hidden="1">{#N/A,#N/A,FALSE,"CCTV"}</definedName>
    <definedName name="견적SHEET_5" hidden="1">{#N/A,#N/A,FALSE,"CCTV"}</definedName>
    <definedName name="견적조건" hidden="1">#REF!</definedName>
    <definedName name="견적품의서" localSheetId="5" hidden="1">{"'장비'!$A$3:$M$12"}</definedName>
    <definedName name="견적품의서" localSheetId="9" hidden="1">{"'장비'!$A$3:$M$12"}</definedName>
    <definedName name="견적품의서" localSheetId="10" hidden="1">{"'장비'!$A$3:$M$12"}</definedName>
    <definedName name="견적품의서" localSheetId="6" hidden="1">{"'장비'!$A$3:$M$12"}</definedName>
    <definedName name="견적품의서" localSheetId="3" hidden="1">{"'장비'!$A$3:$M$12"}</definedName>
    <definedName name="견적품의서" hidden="1">{"'장비'!$A$3:$M$12"}</definedName>
    <definedName name="견적품의서_1" localSheetId="5" hidden="1">{"'장비'!$A$3:$M$12"}</definedName>
    <definedName name="견적품의서_1" hidden="1">{"'장비'!$A$3:$M$12"}</definedName>
    <definedName name="견적품의서_2" localSheetId="5" hidden="1">{"'장비'!$A$3:$M$12"}</definedName>
    <definedName name="견적품의서_2" hidden="1">{"'장비'!$A$3:$M$12"}</definedName>
    <definedName name="견적품의서_3" localSheetId="5" hidden="1">{"'장비'!$A$3:$M$12"}</definedName>
    <definedName name="견적품의서_3" hidden="1">{"'장비'!$A$3:$M$12"}</definedName>
    <definedName name="견적품의서_4" localSheetId="5" hidden="1">{"'장비'!$A$3:$M$12"}</definedName>
    <definedName name="견적품의서_4" hidden="1">{"'장비'!$A$3:$M$12"}</definedName>
    <definedName name="견적품의서_5" localSheetId="5" hidden="1">{"'장비'!$A$3:$M$12"}</definedName>
    <definedName name="견적품의서_5" hidden="1">{"'장비'!$A$3:$M$12"}</definedName>
    <definedName name="계" hidden="1">#REF!</definedName>
    <definedName name="계장공사" localSheetId="5" hidden="1">{#N/A,#N/A,FALSE,"CCTV"}</definedName>
    <definedName name="계장공사" localSheetId="9" hidden="1">{#N/A,#N/A,FALSE,"CCTV"}</definedName>
    <definedName name="계장공사" localSheetId="10" hidden="1">{#N/A,#N/A,FALSE,"CCTV"}</definedName>
    <definedName name="계장공사" localSheetId="6" hidden="1">{#N/A,#N/A,FALSE,"CCTV"}</definedName>
    <definedName name="계장공사" localSheetId="3" hidden="1">{#N/A,#N/A,FALSE,"CCTV"}</definedName>
    <definedName name="계장공사" hidden="1">{#N/A,#N/A,FALSE,"CCTV"}</definedName>
    <definedName name="계장공사_1" localSheetId="5" hidden="1">{#N/A,#N/A,FALSE,"CCTV"}</definedName>
    <definedName name="계장공사_1" localSheetId="9" hidden="1">{#N/A,#N/A,FALSE,"CCTV"}</definedName>
    <definedName name="계장공사_1" localSheetId="10" hidden="1">{#N/A,#N/A,FALSE,"CCTV"}</definedName>
    <definedName name="계장공사_1" localSheetId="6" hidden="1">{#N/A,#N/A,FALSE,"CCTV"}</definedName>
    <definedName name="계장공사_1" localSheetId="3" hidden="1">{#N/A,#N/A,FALSE,"CCTV"}</definedName>
    <definedName name="계장공사_1" hidden="1">{#N/A,#N/A,FALSE,"CCTV"}</definedName>
    <definedName name="계장공사_2" localSheetId="5" hidden="1">{#N/A,#N/A,FALSE,"CCTV"}</definedName>
    <definedName name="계장공사_2" hidden="1">{#N/A,#N/A,FALSE,"CCTV"}</definedName>
    <definedName name="계장공사_3" localSheetId="5" hidden="1">{#N/A,#N/A,FALSE,"CCTV"}</definedName>
    <definedName name="계장공사_3" hidden="1">{#N/A,#N/A,FALSE,"CCTV"}</definedName>
    <definedName name="계장공사_4" localSheetId="5" hidden="1">{#N/A,#N/A,FALSE,"CCTV"}</definedName>
    <definedName name="계장공사_4" hidden="1">{#N/A,#N/A,FALSE,"CCTV"}</definedName>
    <definedName name="계장공사_5" localSheetId="5" hidden="1">{#N/A,#N/A,FALSE,"CCTV"}</definedName>
    <definedName name="계장공사_5" hidden="1">{#N/A,#N/A,FALSE,"CCTV"}</definedName>
    <definedName name="계전2" localSheetId="9" hidden="1">#REF!</definedName>
    <definedName name="계전2" localSheetId="10" hidden="1">#REF!</definedName>
    <definedName name="계전2" hidden="1">#REF!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hidden="1">#REF!</definedName>
    <definedName name="공사" localSheetId="5" hidden="1">{#N/A,#N/A,FALSE,"이태원철근"}</definedName>
    <definedName name="공사" hidden="1">{#N/A,#N/A,FALSE,"이태원철근"}</definedName>
    <definedName name="공사내역서" hidden="1">#REF!</definedName>
    <definedName name="공사원가계산서" localSheetId="5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정계획" localSheetId="5" hidden="1">{#N/A,#N/A,FALSE,"이태원철근"}</definedName>
    <definedName name="공정계획" hidden="1">{#N/A,#N/A,FALSE,"이태원철근"}</definedName>
    <definedName name="공통비" hidden="1">#REF!</definedName>
    <definedName name="공통비코아" hidden="1">#REF!</definedName>
    <definedName name="교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hidden="1">#REF!</definedName>
    <definedName name="교동토목" localSheetId="5" hidden="1">{#N/A,#N/A,FALSE,"이태원철근"}</definedName>
    <definedName name="교동토목" hidden="1">{#N/A,#N/A,FALSE,"이태원철근"}</definedName>
    <definedName name="교동토목공사" localSheetId="5" hidden="1">{#N/A,#N/A,FALSE,"이태원철근"}</definedName>
    <definedName name="교동토목공사" hidden="1">{#N/A,#N/A,FALSE,"이태원철근"}</definedName>
    <definedName name="교ㅗ" localSheetId="5" hidden="1">{#N/A,#N/A,FALSE,"이태원철근"}</definedName>
    <definedName name="교ㅗ" hidden="1">{#N/A,#N/A,FALSE,"이태원철근"}</definedName>
    <definedName name="구조1" localSheetId="5" hidden="1">{#N/A,#N/A,FALSE,"부대1"}</definedName>
    <definedName name="구조1" localSheetId="9" hidden="1">{#N/A,#N/A,FALSE,"부대1"}</definedName>
    <definedName name="구조1" localSheetId="10" hidden="1">{#N/A,#N/A,FALSE,"부대1"}</definedName>
    <definedName name="구조1" localSheetId="6" hidden="1">{#N/A,#N/A,FALSE,"부대1"}</definedName>
    <definedName name="구조1" localSheetId="3" hidden="1">{#N/A,#N/A,FALSE,"부대1"}</definedName>
    <definedName name="구조1" hidden="1">{#N/A,#N/A,FALSE,"부대1"}</definedName>
    <definedName name="구조물" localSheetId="5" hidden="1">{#N/A,#N/A,FALSE,"속도"}</definedName>
    <definedName name="구조물" localSheetId="9" hidden="1">{#N/A,#N/A,FALSE,"속도"}</definedName>
    <definedName name="구조물" localSheetId="10" hidden="1">{#N/A,#N/A,FALSE,"속도"}</definedName>
    <definedName name="구조물" localSheetId="6" hidden="1">{#N/A,#N/A,FALSE,"속도"}</definedName>
    <definedName name="구조물" localSheetId="3" hidden="1">{#N/A,#N/A,FALSE,"속도"}</definedName>
    <definedName name="구조물" hidden="1">{#N/A,#N/A,FALSE,"속도"}</definedName>
    <definedName name="구조물공" localSheetId="5" hidden="1">{#N/A,#N/A,FALSE,"이정표"}</definedName>
    <definedName name="구조물공" localSheetId="9" hidden="1">{#N/A,#N/A,FALSE,"이정표"}</definedName>
    <definedName name="구조물공" localSheetId="10" hidden="1">{#N/A,#N/A,FALSE,"이정표"}</definedName>
    <definedName name="구조물공" localSheetId="6" hidden="1">{#N/A,#N/A,FALSE,"이정표"}</definedName>
    <definedName name="구조물공" localSheetId="3" hidden="1">{#N/A,#N/A,FALSE,"이정표"}</definedName>
    <definedName name="구조물공" hidden="1">{#N/A,#N/A,FALSE,"이정표"}</definedName>
    <definedName name="국내" hidden="1">#REF!</definedName>
    <definedName name="기공" hidden="1">#REF!</definedName>
    <definedName name="기안" localSheetId="5" hidden="1">{#N/A,#N/A,FALSE,"CCTV"}</definedName>
    <definedName name="기안" hidden="1">{#N/A,#N/A,FALSE,"CCTV"}</definedName>
    <definedName name="기안_1" localSheetId="5" hidden="1">{#N/A,#N/A,FALSE,"CCTV"}</definedName>
    <definedName name="기안_1" hidden="1">{#N/A,#N/A,FALSE,"CCTV"}</definedName>
    <definedName name="기안_2" localSheetId="5" hidden="1">{#N/A,#N/A,FALSE,"CCTV"}</definedName>
    <definedName name="기안_2" hidden="1">{#N/A,#N/A,FALSE,"CCTV"}</definedName>
    <definedName name="기안_3" localSheetId="5" hidden="1">{#N/A,#N/A,FALSE,"CCTV"}</definedName>
    <definedName name="기안_3" hidden="1">{#N/A,#N/A,FALSE,"CCTV"}</definedName>
    <definedName name="기안_4" localSheetId="5" hidden="1">{#N/A,#N/A,FALSE,"CCTV"}</definedName>
    <definedName name="기안_4" hidden="1">{#N/A,#N/A,FALSE,"CCTV"}</definedName>
    <definedName name="기안_5" localSheetId="5" hidden="1">{#N/A,#N/A,FALSE,"CCTV"}</definedName>
    <definedName name="기안_5" hidden="1">{#N/A,#N/A,FALSE,"CCTV"}</definedName>
    <definedName name="기안지" localSheetId="5" hidden="1">{#N/A,#N/A,FALSE,"CCTV"}</definedName>
    <definedName name="기안지" hidden="1">{#N/A,#N/A,FALSE,"CCTV"}</definedName>
    <definedName name="기안지_1" localSheetId="5" hidden="1">{#N/A,#N/A,FALSE,"CCTV"}</definedName>
    <definedName name="기안지_1" hidden="1">{#N/A,#N/A,FALSE,"CCTV"}</definedName>
    <definedName name="기안지_2" localSheetId="5" hidden="1">{#N/A,#N/A,FALSE,"CCTV"}</definedName>
    <definedName name="기안지_2" hidden="1">{#N/A,#N/A,FALSE,"CCTV"}</definedName>
    <definedName name="기안지_3" localSheetId="5" hidden="1">{#N/A,#N/A,FALSE,"CCTV"}</definedName>
    <definedName name="기안지_3" hidden="1">{#N/A,#N/A,FALSE,"CCTV"}</definedName>
    <definedName name="기안지_4" localSheetId="5" hidden="1">{#N/A,#N/A,FALSE,"CCTV"}</definedName>
    <definedName name="기안지_4" hidden="1">{#N/A,#N/A,FALSE,"CCTV"}</definedName>
    <definedName name="기안지_5" localSheetId="5" hidden="1">{#N/A,#N/A,FALSE,"CCTV"}</definedName>
    <definedName name="기안지_5" hidden="1">{#N/A,#N/A,FALSE,"CCTV"}</definedName>
    <definedName name="김" localSheetId="5" hidden="1">{#N/A,#N/A,TRUE,"Basic";#N/A,#N/A,TRUE,"EXT-TABLE";#N/A,#N/A,TRUE,"STEEL";#N/A,#N/A,TRUE,"INT-Table";#N/A,#N/A,TRUE,"STEEL";#N/A,#N/A,TRUE,"Door"}</definedName>
    <definedName name="김" localSheetId="9" hidden="1">{#N/A,#N/A,TRUE,"Basic";#N/A,#N/A,TRUE,"EXT-TABLE";#N/A,#N/A,TRUE,"STEEL";#N/A,#N/A,TRUE,"INT-Table";#N/A,#N/A,TRUE,"STEEL";#N/A,#N/A,TRUE,"Door"}</definedName>
    <definedName name="김" localSheetId="10" hidden="1">{#N/A,#N/A,TRUE,"Basic";#N/A,#N/A,TRUE,"EXT-TABLE";#N/A,#N/A,TRUE,"STEEL";#N/A,#N/A,TRUE,"INT-Table";#N/A,#N/A,TRUE,"STEEL";#N/A,#N/A,TRUE,"Door"}</definedName>
    <definedName name="김" localSheetId="6" hidden="1">{#N/A,#N/A,TRUE,"Basic";#N/A,#N/A,TRUE,"EXT-TABLE";#N/A,#N/A,TRUE,"STEEL";#N/A,#N/A,TRUE,"INT-Table";#N/A,#N/A,TRUE,"STEEL";#N/A,#N/A,TRUE,"Door"}</definedName>
    <definedName name="김" localSheetId="3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_1" localSheetId="5" hidden="1">{#N/A,#N/A,TRUE,"Basic";#N/A,#N/A,TRUE,"EXT-TABLE";#N/A,#N/A,TRUE,"STEEL";#N/A,#N/A,TRUE,"INT-Table";#N/A,#N/A,TRUE,"STEEL";#N/A,#N/A,TRUE,"Door"}</definedName>
    <definedName name="김_1" hidden="1">{#N/A,#N/A,TRUE,"Basic";#N/A,#N/A,TRUE,"EXT-TABLE";#N/A,#N/A,TRUE,"STEEL";#N/A,#N/A,TRUE,"INT-Table";#N/A,#N/A,TRUE,"STEEL";#N/A,#N/A,TRUE,"Door"}</definedName>
    <definedName name="김_2" localSheetId="5" hidden="1">{#N/A,#N/A,TRUE,"Basic";#N/A,#N/A,TRUE,"EXT-TABLE";#N/A,#N/A,TRUE,"STEEL";#N/A,#N/A,TRUE,"INT-Table";#N/A,#N/A,TRUE,"STEEL";#N/A,#N/A,TRUE,"Door"}</definedName>
    <definedName name="김_2" hidden="1">{#N/A,#N/A,TRUE,"Basic";#N/A,#N/A,TRUE,"EXT-TABLE";#N/A,#N/A,TRUE,"STEEL";#N/A,#N/A,TRUE,"INT-Table";#N/A,#N/A,TRUE,"STEEL";#N/A,#N/A,TRUE,"Door"}</definedName>
    <definedName name="김_3" localSheetId="5" hidden="1">{#N/A,#N/A,TRUE,"Basic";#N/A,#N/A,TRUE,"EXT-TABLE";#N/A,#N/A,TRUE,"STEEL";#N/A,#N/A,TRUE,"INT-Table";#N/A,#N/A,TRUE,"STEEL";#N/A,#N/A,TRUE,"Door"}</definedName>
    <definedName name="김_3" hidden="1">{#N/A,#N/A,TRUE,"Basic";#N/A,#N/A,TRUE,"EXT-TABLE";#N/A,#N/A,TRUE,"STEEL";#N/A,#N/A,TRUE,"INT-Table";#N/A,#N/A,TRUE,"STEEL";#N/A,#N/A,TRUE,"Door"}</definedName>
    <definedName name="김_4" localSheetId="5" hidden="1">{#N/A,#N/A,TRUE,"Basic";#N/A,#N/A,TRUE,"EXT-TABLE";#N/A,#N/A,TRUE,"STEEL";#N/A,#N/A,TRUE,"INT-Table";#N/A,#N/A,TRUE,"STEEL";#N/A,#N/A,TRUE,"Door"}</definedName>
    <definedName name="김_4" hidden="1">{#N/A,#N/A,TRUE,"Basic";#N/A,#N/A,TRUE,"EXT-TABLE";#N/A,#N/A,TRUE,"STEEL";#N/A,#N/A,TRUE,"INT-Table";#N/A,#N/A,TRUE,"STEEL";#N/A,#N/A,TRUE,"Door"}</definedName>
    <definedName name="김_5" localSheetId="5" hidden="1">{#N/A,#N/A,TRUE,"Basic";#N/A,#N/A,TRUE,"EXT-TABLE";#N/A,#N/A,TRUE,"STEEL";#N/A,#N/A,TRUE,"INT-Table";#N/A,#N/A,TRUE,"STEEL";#N/A,#N/A,TRUE,"Door"}</definedName>
    <definedName name="김_5" hidden="1">{#N/A,#N/A,TRUE,"Basic";#N/A,#N/A,TRUE,"EXT-TABLE";#N/A,#N/A,TRUE,"STEEL";#N/A,#N/A,TRUE,"INT-Table";#N/A,#N/A,TRUE,"STEEL";#N/A,#N/A,TRUE,"Door"}</definedName>
    <definedName name="김1" localSheetId="5" hidden="1">{#N/A,#N/A,TRUE,"Basic";#N/A,#N/A,TRUE,"EXT-TABLE";#N/A,#N/A,TRUE,"STEEL";#N/A,#N/A,TRUE,"INT-Table";#N/A,#N/A,TRUE,"STEEL";#N/A,#N/A,TRUE,"Door"}</definedName>
    <definedName name="김1" localSheetId="9" hidden="1">{#N/A,#N/A,TRUE,"Basic";#N/A,#N/A,TRUE,"EXT-TABLE";#N/A,#N/A,TRUE,"STEEL";#N/A,#N/A,TRUE,"INT-Table";#N/A,#N/A,TRUE,"STEEL";#N/A,#N/A,TRUE,"Door"}</definedName>
    <definedName name="김1" localSheetId="10" hidden="1">{#N/A,#N/A,TRUE,"Basic";#N/A,#N/A,TRUE,"EXT-TABLE";#N/A,#N/A,TRUE,"STEEL";#N/A,#N/A,TRUE,"INT-Table";#N/A,#N/A,TRUE,"STEEL";#N/A,#N/A,TRUE,"Door"}</definedName>
    <definedName name="김1" localSheetId="6" hidden="1">{#N/A,#N/A,TRUE,"Basic";#N/A,#N/A,TRUE,"EXT-TABLE";#N/A,#N/A,TRUE,"STEEL";#N/A,#N/A,TRUE,"INT-Table";#N/A,#N/A,TRUE,"STEEL";#N/A,#N/A,TRUE,"Door"}</definedName>
    <definedName name="김1" localSheetId="3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1_1" localSheetId="5" hidden="1">{#N/A,#N/A,TRUE,"Basic";#N/A,#N/A,TRUE,"EXT-TABLE";#N/A,#N/A,TRUE,"STEEL";#N/A,#N/A,TRUE,"INT-Table";#N/A,#N/A,TRUE,"STEEL";#N/A,#N/A,TRUE,"Door"}</definedName>
    <definedName name="김1_1" hidden="1">{#N/A,#N/A,TRUE,"Basic";#N/A,#N/A,TRUE,"EXT-TABLE";#N/A,#N/A,TRUE,"STEEL";#N/A,#N/A,TRUE,"INT-Table";#N/A,#N/A,TRUE,"STEEL";#N/A,#N/A,TRUE,"Door"}</definedName>
    <definedName name="김1_2" localSheetId="5" hidden="1">{#N/A,#N/A,TRUE,"Basic";#N/A,#N/A,TRUE,"EXT-TABLE";#N/A,#N/A,TRUE,"STEEL";#N/A,#N/A,TRUE,"INT-Table";#N/A,#N/A,TRUE,"STEEL";#N/A,#N/A,TRUE,"Door"}</definedName>
    <definedName name="김1_2" hidden="1">{#N/A,#N/A,TRUE,"Basic";#N/A,#N/A,TRUE,"EXT-TABLE";#N/A,#N/A,TRUE,"STEEL";#N/A,#N/A,TRUE,"INT-Table";#N/A,#N/A,TRUE,"STEEL";#N/A,#N/A,TRUE,"Door"}</definedName>
    <definedName name="김1_3" localSheetId="5" hidden="1">{#N/A,#N/A,TRUE,"Basic";#N/A,#N/A,TRUE,"EXT-TABLE";#N/A,#N/A,TRUE,"STEEL";#N/A,#N/A,TRUE,"INT-Table";#N/A,#N/A,TRUE,"STEEL";#N/A,#N/A,TRUE,"Door"}</definedName>
    <definedName name="김1_3" hidden="1">{#N/A,#N/A,TRUE,"Basic";#N/A,#N/A,TRUE,"EXT-TABLE";#N/A,#N/A,TRUE,"STEEL";#N/A,#N/A,TRUE,"INT-Table";#N/A,#N/A,TRUE,"STEEL";#N/A,#N/A,TRUE,"Door"}</definedName>
    <definedName name="김1_4" localSheetId="5" hidden="1">{#N/A,#N/A,TRUE,"Basic";#N/A,#N/A,TRUE,"EXT-TABLE";#N/A,#N/A,TRUE,"STEEL";#N/A,#N/A,TRUE,"INT-Table";#N/A,#N/A,TRUE,"STEEL";#N/A,#N/A,TRUE,"Door"}</definedName>
    <definedName name="김1_4" hidden="1">{#N/A,#N/A,TRUE,"Basic";#N/A,#N/A,TRUE,"EXT-TABLE";#N/A,#N/A,TRUE,"STEEL";#N/A,#N/A,TRUE,"INT-Table";#N/A,#N/A,TRUE,"STEEL";#N/A,#N/A,TRUE,"Door"}</definedName>
    <definedName name="김1_5" localSheetId="5" hidden="1">{#N/A,#N/A,TRUE,"Basic";#N/A,#N/A,TRUE,"EXT-TABLE";#N/A,#N/A,TRUE,"STEEL";#N/A,#N/A,TRUE,"INT-Table";#N/A,#N/A,TRUE,"STEEL";#N/A,#N/A,TRUE,"Door"}</definedName>
    <definedName name="김1_5" hidden="1">{#N/A,#N/A,TRUE,"Basic";#N/A,#N/A,TRUE,"EXT-TABLE";#N/A,#N/A,TRUE,"STEEL";#N/A,#N/A,TRUE,"INT-Table";#N/A,#N/A,TRUE,"STEEL";#N/A,#N/A,TRUE,"Door"}</definedName>
    <definedName name="김3" localSheetId="5" hidden="1">{#N/A,#N/A,TRUE,"Basic";#N/A,#N/A,TRUE,"EXT-TABLE";#N/A,#N/A,TRUE,"STEEL";#N/A,#N/A,TRUE,"INT-Table";#N/A,#N/A,TRUE,"STEEL";#N/A,#N/A,TRUE,"Door"}</definedName>
    <definedName name="김3" localSheetId="9" hidden="1">{#N/A,#N/A,TRUE,"Basic";#N/A,#N/A,TRUE,"EXT-TABLE";#N/A,#N/A,TRUE,"STEEL";#N/A,#N/A,TRUE,"INT-Table";#N/A,#N/A,TRUE,"STEEL";#N/A,#N/A,TRUE,"Door"}</definedName>
    <definedName name="김3" localSheetId="10" hidden="1">{#N/A,#N/A,TRUE,"Basic";#N/A,#N/A,TRUE,"EXT-TABLE";#N/A,#N/A,TRUE,"STEEL";#N/A,#N/A,TRUE,"INT-Table";#N/A,#N/A,TRUE,"STEEL";#N/A,#N/A,TRUE,"Door"}</definedName>
    <definedName name="김3" localSheetId="6" hidden="1">{#N/A,#N/A,TRUE,"Basic";#N/A,#N/A,TRUE,"EXT-TABLE";#N/A,#N/A,TRUE,"STEEL";#N/A,#N/A,TRUE,"INT-Table";#N/A,#N/A,TRUE,"STEEL";#N/A,#N/A,TRUE,"Door"}</definedName>
    <definedName name="김3" localSheetId="3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3_1" localSheetId="5" hidden="1">{#N/A,#N/A,TRUE,"Basic";#N/A,#N/A,TRUE,"EXT-TABLE";#N/A,#N/A,TRUE,"STEEL";#N/A,#N/A,TRUE,"INT-Table";#N/A,#N/A,TRUE,"STEEL";#N/A,#N/A,TRUE,"Door"}</definedName>
    <definedName name="김3_1" hidden="1">{#N/A,#N/A,TRUE,"Basic";#N/A,#N/A,TRUE,"EXT-TABLE";#N/A,#N/A,TRUE,"STEEL";#N/A,#N/A,TRUE,"INT-Table";#N/A,#N/A,TRUE,"STEEL";#N/A,#N/A,TRUE,"Door"}</definedName>
    <definedName name="김3_2" localSheetId="5" hidden="1">{#N/A,#N/A,TRUE,"Basic";#N/A,#N/A,TRUE,"EXT-TABLE";#N/A,#N/A,TRUE,"STEEL";#N/A,#N/A,TRUE,"INT-Table";#N/A,#N/A,TRUE,"STEEL";#N/A,#N/A,TRUE,"Door"}</definedName>
    <definedName name="김3_2" hidden="1">{#N/A,#N/A,TRUE,"Basic";#N/A,#N/A,TRUE,"EXT-TABLE";#N/A,#N/A,TRUE,"STEEL";#N/A,#N/A,TRUE,"INT-Table";#N/A,#N/A,TRUE,"STEEL";#N/A,#N/A,TRUE,"Door"}</definedName>
    <definedName name="김3_3" localSheetId="5" hidden="1">{#N/A,#N/A,TRUE,"Basic";#N/A,#N/A,TRUE,"EXT-TABLE";#N/A,#N/A,TRUE,"STEEL";#N/A,#N/A,TRUE,"INT-Table";#N/A,#N/A,TRUE,"STEEL";#N/A,#N/A,TRUE,"Door"}</definedName>
    <definedName name="김3_3" hidden="1">{#N/A,#N/A,TRUE,"Basic";#N/A,#N/A,TRUE,"EXT-TABLE";#N/A,#N/A,TRUE,"STEEL";#N/A,#N/A,TRUE,"INT-Table";#N/A,#N/A,TRUE,"STEEL";#N/A,#N/A,TRUE,"Door"}</definedName>
    <definedName name="김3_4" localSheetId="5" hidden="1">{#N/A,#N/A,TRUE,"Basic";#N/A,#N/A,TRUE,"EXT-TABLE";#N/A,#N/A,TRUE,"STEEL";#N/A,#N/A,TRUE,"INT-Table";#N/A,#N/A,TRUE,"STEEL";#N/A,#N/A,TRUE,"Door"}</definedName>
    <definedName name="김3_4" hidden="1">{#N/A,#N/A,TRUE,"Basic";#N/A,#N/A,TRUE,"EXT-TABLE";#N/A,#N/A,TRUE,"STEEL";#N/A,#N/A,TRUE,"INT-Table";#N/A,#N/A,TRUE,"STEEL";#N/A,#N/A,TRUE,"Door"}</definedName>
    <definedName name="김3_5" localSheetId="5" hidden="1">{#N/A,#N/A,TRUE,"Basic";#N/A,#N/A,TRUE,"EXT-TABLE";#N/A,#N/A,TRUE,"STEEL";#N/A,#N/A,TRUE,"INT-Table";#N/A,#N/A,TRUE,"STEEL";#N/A,#N/A,TRUE,"Door"}</definedName>
    <definedName name="김3_5" hidden="1">{#N/A,#N/A,TRUE,"Basic";#N/A,#N/A,TRUE,"EXT-TABLE";#N/A,#N/A,TRUE,"STEEL";#N/A,#N/A,TRUE,"INT-Table";#N/A,#N/A,TRUE,"STEEL";#N/A,#N/A,TRUE,"Door"}</definedName>
    <definedName name="김명준" localSheetId="5" hidden="1">{"LKD",#N/A,FALSE,"표지"}</definedName>
    <definedName name="김명준" hidden="1">{"LKD",#N/A,FALSE,"표지"}</definedName>
    <definedName name="김명준_1" localSheetId="5" hidden="1">{"LKD",#N/A,FALSE,"표지"}</definedName>
    <definedName name="김명준_1" hidden="1">{"LKD",#N/A,FALSE,"표지"}</definedName>
    <definedName name="김명준_2" localSheetId="5" hidden="1">{"LKD",#N/A,FALSE,"표지"}</definedName>
    <definedName name="김명준_2" hidden="1">{"LKD",#N/A,FALSE,"표지"}</definedName>
    <definedName name="김명준_3" localSheetId="5" hidden="1">{"LKD",#N/A,FALSE,"표지"}</definedName>
    <definedName name="김명준_3" hidden="1">{"LKD",#N/A,FALSE,"표지"}</definedName>
    <definedName name="김명준_4" localSheetId="5" hidden="1">{"LKD",#N/A,FALSE,"표지"}</definedName>
    <definedName name="김명준_4" hidden="1">{"LKD",#N/A,FALSE,"표지"}</definedName>
    <definedName name="김명준_5" localSheetId="5" hidden="1">{"LKD",#N/A,FALSE,"표지"}</definedName>
    <definedName name="김명준_5" hidden="1">{"LKD",#N/A,FALSE,"표지"}</definedName>
    <definedName name="김병철" localSheetId="5" hidden="1">{"LKD",#N/A,FALSE,"표지"}</definedName>
    <definedName name="김병철" hidden="1">{"LKD",#N/A,FALSE,"표지"}</definedName>
    <definedName name="김병철_1" localSheetId="5" hidden="1">{"LKD",#N/A,FALSE,"표지"}</definedName>
    <definedName name="김병철_1" hidden="1">{"LKD",#N/A,FALSE,"표지"}</definedName>
    <definedName name="김병철_2" localSheetId="5" hidden="1">{"LKD",#N/A,FALSE,"표지"}</definedName>
    <definedName name="김병철_2" hidden="1">{"LKD",#N/A,FALSE,"표지"}</definedName>
    <definedName name="김병철_3" localSheetId="5" hidden="1">{"LKD",#N/A,FALSE,"표지"}</definedName>
    <definedName name="김병철_3" hidden="1">{"LKD",#N/A,FALSE,"표지"}</definedName>
    <definedName name="김병철_4" localSheetId="5" hidden="1">{"LKD",#N/A,FALSE,"표지"}</definedName>
    <definedName name="김병철_4" hidden="1">{"LKD",#N/A,FALSE,"표지"}</definedName>
    <definedName name="김병철_5" localSheetId="5" hidden="1">{"LKD",#N/A,FALSE,"표지"}</definedName>
    <definedName name="김병철_5" hidden="1">{"LKD",#N/A,FALSE,"표지"}</definedName>
    <definedName name="김병철1" localSheetId="5" hidden="1">{"LKD",#N/A,FALSE,"표지"}</definedName>
    <definedName name="김병철1" hidden="1">{"LKD",#N/A,FALSE,"표지"}</definedName>
    <definedName name="김병철1_1" localSheetId="5" hidden="1">{"LKD",#N/A,FALSE,"표지"}</definedName>
    <definedName name="김병철1_1" hidden="1">{"LKD",#N/A,FALSE,"표지"}</definedName>
    <definedName name="김병철1_2" localSheetId="5" hidden="1">{"LKD",#N/A,FALSE,"표지"}</definedName>
    <definedName name="김병철1_2" hidden="1">{"LKD",#N/A,FALSE,"표지"}</definedName>
    <definedName name="김병철1_3" localSheetId="5" hidden="1">{"LKD",#N/A,FALSE,"표지"}</definedName>
    <definedName name="김병철1_3" hidden="1">{"LKD",#N/A,FALSE,"표지"}</definedName>
    <definedName name="김병철1_4" localSheetId="5" hidden="1">{"LKD",#N/A,FALSE,"표지"}</definedName>
    <definedName name="김병철1_4" hidden="1">{"LKD",#N/A,FALSE,"표지"}</definedName>
    <definedName name="김병철1_5" localSheetId="5" hidden="1">{"LKD",#N/A,FALSE,"표지"}</definedName>
    <definedName name="김병철1_5" hidden="1">{"LKD",#N/A,FALSE,"표지"}</definedName>
    <definedName name="김중규" localSheetId="5" hidden="1">{#N/A,#N/A,FALSE,"이태원철근"}</definedName>
    <definedName name="김중규" hidden="1">{#N/A,#N/A,FALSE,"이태원철근"}</definedName>
    <definedName name="김지호" localSheetId="5" hidden="1">{"LKD",#N/A,FALSE,"표지"}</definedName>
    <definedName name="김지호" hidden="1">{"LKD",#N/A,FALSE,"표지"}</definedName>
    <definedName name="김지호_1" localSheetId="5" hidden="1">{"LKD",#N/A,FALSE,"표지"}</definedName>
    <definedName name="김지호_1" hidden="1">{"LKD",#N/A,FALSE,"표지"}</definedName>
    <definedName name="김지호_2" localSheetId="5" hidden="1">{"LKD",#N/A,FALSE,"표지"}</definedName>
    <definedName name="김지호_2" hidden="1">{"LKD",#N/A,FALSE,"표지"}</definedName>
    <definedName name="김지호_3" localSheetId="5" hidden="1">{"LKD",#N/A,FALSE,"표지"}</definedName>
    <definedName name="김지호_3" hidden="1">{"LKD",#N/A,FALSE,"표지"}</definedName>
    <definedName name="김지호_4" localSheetId="5" hidden="1">{"LKD",#N/A,FALSE,"표지"}</definedName>
    <definedName name="김지호_4" hidden="1">{"LKD",#N/A,FALSE,"표지"}</definedName>
    <definedName name="김지호_5" localSheetId="5" hidden="1">{"LKD",#N/A,FALSE,"표지"}</definedName>
    <definedName name="김지호_5" hidden="1">{"LKD",#N/A,FALSE,"표지"}</definedName>
    <definedName name="끝에삽입" localSheetId="5" hidden="1">{#N/A,#N/A,FALSE,"이태원철근"}</definedName>
    <definedName name="끝에삽입" hidden="1">{#N/A,#N/A,FALSE,"이태원철근"}</definedName>
    <definedName name="ㄳ" localSheetId="5" hidden="1">{#N/A,#N/A,FALSE,"단가표지"}</definedName>
    <definedName name="ㄳ" hidden="1">{#N/A,#N/A,FALSE,"단가표지"}</definedName>
    <definedName name="ㄳ_1" localSheetId="5" hidden="1">{#N/A,#N/A,FALSE,"단가표지"}</definedName>
    <definedName name="ㄳ_1" hidden="1">{#N/A,#N/A,FALSE,"단가표지"}</definedName>
    <definedName name="ㄳ_2" localSheetId="5" hidden="1">{#N/A,#N/A,FALSE,"단가표지"}</definedName>
    <definedName name="ㄳ_2" hidden="1">{#N/A,#N/A,FALSE,"단가표지"}</definedName>
    <definedName name="ㄳ_3" localSheetId="5" hidden="1">{#N/A,#N/A,FALSE,"단가표지"}</definedName>
    <definedName name="ㄳ_3" hidden="1">{#N/A,#N/A,FALSE,"단가표지"}</definedName>
    <definedName name="ㄳ_4" localSheetId="5" hidden="1">{#N/A,#N/A,FALSE,"단가표지"}</definedName>
    <definedName name="ㄳ_4" hidden="1">{#N/A,#N/A,FALSE,"단가표지"}</definedName>
    <definedName name="ㄳ_5" localSheetId="5" hidden="1">{#N/A,#N/A,FALSE,"단가표지"}</definedName>
    <definedName name="ㄳ_5" hidden="1">{#N/A,#N/A,FALSE,"단가표지"}</definedName>
    <definedName name="ㄴ" localSheetId="5" hidden="1">{"'장비'!$A$3:$M$12"}</definedName>
    <definedName name="ㄴ" localSheetId="9" hidden="1">{"'장비'!$A$3:$M$12"}</definedName>
    <definedName name="ㄴ" localSheetId="10" hidden="1">{"'장비'!$A$3:$M$12"}</definedName>
    <definedName name="ㄴ" localSheetId="6" hidden="1">{"'장비'!$A$3:$M$12"}</definedName>
    <definedName name="ㄴ" localSheetId="3" hidden="1">{"'장비'!$A$3:$M$12"}</definedName>
    <definedName name="ㄴ" hidden="1">{"'장비'!$A$3:$M$12"}</definedName>
    <definedName name="ㄴ_1" localSheetId="5" hidden="1">{"'장비'!$A$3:$M$12"}</definedName>
    <definedName name="ㄴ_1" localSheetId="9" hidden="1">{"'장비'!$A$3:$M$12"}</definedName>
    <definedName name="ㄴ_1" localSheetId="10" hidden="1">{"'장비'!$A$3:$M$12"}</definedName>
    <definedName name="ㄴ_1" localSheetId="6" hidden="1">{"'장비'!$A$3:$M$12"}</definedName>
    <definedName name="ㄴ_1" localSheetId="3" hidden="1">{"'장비'!$A$3:$M$12"}</definedName>
    <definedName name="ㄴ_1" hidden="1">{"'장비'!$A$3:$M$12"}</definedName>
    <definedName name="ㄴㄴ" localSheetId="5" hidden="1">{#N/A,#N/A,FALSE,"이태원철근"}</definedName>
    <definedName name="ㄴㄴ" hidden="1">{#N/A,#N/A,FALSE,"이태원철근"}</definedName>
    <definedName name="ㄴㄴ_1" localSheetId="5" hidden="1">{"LKD",#N/A,FALSE,"표지"}</definedName>
    <definedName name="ㄴㄴ_1" hidden="1">{"LKD",#N/A,FALSE,"표지"}</definedName>
    <definedName name="ㄴㄴ_2" localSheetId="5" hidden="1">{"LKD",#N/A,FALSE,"표지"}</definedName>
    <definedName name="ㄴㄴ_2" hidden="1">{"LKD",#N/A,FALSE,"표지"}</definedName>
    <definedName name="ㄴㄴ_3" localSheetId="5" hidden="1">{"LKD",#N/A,FALSE,"표지"}</definedName>
    <definedName name="ㄴㄴ_3" hidden="1">{"LKD",#N/A,FALSE,"표지"}</definedName>
    <definedName name="ㄴㄴ_4" localSheetId="5" hidden="1">{"LKD",#N/A,FALSE,"표지"}</definedName>
    <definedName name="ㄴㄴ_4" hidden="1">{"LKD",#N/A,FALSE,"표지"}</definedName>
    <definedName name="ㄴㄴ_5" localSheetId="5" hidden="1">{"LKD",#N/A,FALSE,"표지"}</definedName>
    <definedName name="ㄴㄴ_5" hidden="1">{"LKD",#N/A,FALSE,"표지"}</definedName>
    <definedName name="ㄴㄴㄴㄴ" localSheetId="5" hidden="1">{#N/A,#N/A,FALSE,"배수1"}</definedName>
    <definedName name="ㄴㄴㄴㄴ" localSheetId="9" hidden="1">{#N/A,#N/A,FALSE,"배수1"}</definedName>
    <definedName name="ㄴㄴㄴㄴ" localSheetId="10" hidden="1">{#N/A,#N/A,FALSE,"배수1"}</definedName>
    <definedName name="ㄴㄴㄴㄴ" localSheetId="6" hidden="1">{#N/A,#N/A,FALSE,"배수1"}</definedName>
    <definedName name="ㄴㄴㄴㄴ" localSheetId="3" hidden="1">#REF!</definedName>
    <definedName name="ㄴㄴㄴㄴ" hidden="1">{#N/A,#N/A,FALSE,"배수1"}</definedName>
    <definedName name="ㄴㄴㄷ" localSheetId="5" hidden="1">{#N/A,#N/A,FALSE,"이태원철근"}</definedName>
    <definedName name="ㄴㄴㄷ" hidden="1">{#N/A,#N/A,FALSE,"이태원철근"}</definedName>
    <definedName name="ㄴㄻㄴㅇ" localSheetId="5" hidden="1">{#N/A,#N/A,FALSE,"조골재"}</definedName>
    <definedName name="ㄴㄻㄴㅇ" hidden="1">{#N/A,#N/A,FALSE,"조골재"}</definedName>
    <definedName name="ㄴㄻㄴㅇ_1" localSheetId="5" hidden="1">{#N/A,#N/A,FALSE,"조골재"}</definedName>
    <definedName name="ㄴㄻㄴㅇ_1" hidden="1">{#N/A,#N/A,FALSE,"조골재"}</definedName>
    <definedName name="ㄴㄻㄴㅇ_2" localSheetId="5" hidden="1">{#N/A,#N/A,FALSE,"조골재"}</definedName>
    <definedName name="ㄴㄻㄴㅇ_2" hidden="1">{#N/A,#N/A,FALSE,"조골재"}</definedName>
    <definedName name="ㄴㄻㄴㅇ_3" localSheetId="5" hidden="1">{#N/A,#N/A,FALSE,"조골재"}</definedName>
    <definedName name="ㄴㄻㄴㅇ_3" hidden="1">{#N/A,#N/A,FALSE,"조골재"}</definedName>
    <definedName name="ㄴㄻㄴㅇ_4" localSheetId="5" hidden="1">{#N/A,#N/A,FALSE,"조골재"}</definedName>
    <definedName name="ㄴㄻㄴㅇ_4" hidden="1">{#N/A,#N/A,FALSE,"조골재"}</definedName>
    <definedName name="ㄴㄻㄴㅇ_5" localSheetId="5" hidden="1">{#N/A,#N/A,FALSE,"조골재"}</definedName>
    <definedName name="ㄴㄻㄴㅇ_5" hidden="1">{#N/A,#N/A,FALSE,"조골재"}</definedName>
    <definedName name="ㄴㅁㄹㄴㅁㅇㄴㅇㅁㄹㄴ" localSheetId="5" hidden="1">{#N/A,#N/A,FALSE,"단가표지"}</definedName>
    <definedName name="ㄴㅁㄹㄴㅁㅇㄴㅇㅁㄹㄴ" hidden="1">{#N/A,#N/A,FALSE,"단가표지"}</definedName>
    <definedName name="ㄴㅁㄹㄴㅁㅇㄴㅇㅁㄹㄴ_1" localSheetId="5" hidden="1">{#N/A,#N/A,FALSE,"단가표지"}</definedName>
    <definedName name="ㄴㅁㄹㄴㅁㅇㄴㅇㅁㄹㄴ_1" hidden="1">{#N/A,#N/A,FALSE,"단가표지"}</definedName>
    <definedName name="ㄴㅁㄹㄴㅁㅇㄴㅇㅁㄹㄴ_2" localSheetId="5" hidden="1">{#N/A,#N/A,FALSE,"단가표지"}</definedName>
    <definedName name="ㄴㅁㄹㄴㅁㅇㄴㅇㅁㄹㄴ_2" hidden="1">{#N/A,#N/A,FALSE,"단가표지"}</definedName>
    <definedName name="ㄴㅁㄹㄴㅁㅇㄴㅇㅁㄹㄴ_3" localSheetId="5" hidden="1">{#N/A,#N/A,FALSE,"단가표지"}</definedName>
    <definedName name="ㄴㅁㄹㄴㅁㅇㄴㅇㅁㄹㄴ_3" hidden="1">{#N/A,#N/A,FALSE,"단가표지"}</definedName>
    <definedName name="ㄴㅁㄹㄴㅁㅇㄴㅇㅁㄹㄴ_4" localSheetId="5" hidden="1">{#N/A,#N/A,FALSE,"단가표지"}</definedName>
    <definedName name="ㄴㅁㄹㄴㅁㅇㄴㅇㅁㄹㄴ_4" hidden="1">{#N/A,#N/A,FALSE,"단가표지"}</definedName>
    <definedName name="ㄴㅁㄹㄴㅁㅇㄴㅇㅁㄹㄴ_5" localSheetId="5" hidden="1">{#N/A,#N/A,FALSE,"단가표지"}</definedName>
    <definedName name="ㄴㅁㄹㄴㅁㅇㄴㅇㅁㄹㄴ_5" hidden="1">{#N/A,#N/A,FALSE,"단가표지"}</definedName>
    <definedName name="ㄴㅇ" localSheetId="5" hidden="1">{#N/A,#N/A,FALSE,"이태원철근"}</definedName>
    <definedName name="ㄴㅇ" hidden="1">{#N/A,#N/A,FALSE,"이태원철근"}</definedName>
    <definedName name="ㄴㅇㄹ" localSheetId="5" hidden="1">{#N/A,#N/A,FALSE,"CCTV"}</definedName>
    <definedName name="ㄴㅇㄹ" localSheetId="9" hidden="1">{#N/A,#N/A,FALSE,"CCTV"}</definedName>
    <definedName name="ㄴㅇㄹ" localSheetId="10" hidden="1">{#N/A,#N/A,FALSE,"CCTV"}</definedName>
    <definedName name="ㄴㅇㄹ" localSheetId="6" hidden="1">{#N/A,#N/A,FALSE,"CCTV"}</definedName>
    <definedName name="ㄴㅇㄹ" localSheetId="3" hidden="1">{#N/A,#N/A,FALSE,"CCTV"}</definedName>
    <definedName name="ㄴㅇㄹ" hidden="1">{#N/A,#N/A,FALSE,"CCTV"}</definedName>
    <definedName name="ㄴㅇㄹ_1" localSheetId="5" hidden="1">{#N/A,#N/A,FALSE,"CCTV"}</definedName>
    <definedName name="ㄴㅇㄹ_1" hidden="1">{#N/A,#N/A,FALSE,"CCTV"}</definedName>
    <definedName name="ㄴㅇㄹ_2" localSheetId="5" hidden="1">{#N/A,#N/A,FALSE,"CCTV"}</definedName>
    <definedName name="ㄴㅇㄹ_2" hidden="1">{#N/A,#N/A,FALSE,"CCTV"}</definedName>
    <definedName name="ㄴㅇㄹ_3" localSheetId="5" hidden="1">{#N/A,#N/A,FALSE,"CCTV"}</definedName>
    <definedName name="ㄴㅇㄹ_3" hidden="1">{#N/A,#N/A,FALSE,"CCTV"}</definedName>
    <definedName name="ㄴㅇㄹ_4" localSheetId="5" hidden="1">{#N/A,#N/A,FALSE,"CCTV"}</definedName>
    <definedName name="ㄴㅇㄹ_4" hidden="1">{#N/A,#N/A,FALSE,"CCTV"}</definedName>
    <definedName name="ㄴㅇㄹ_5" localSheetId="5" hidden="1">{#N/A,#N/A,FALSE,"CCTV"}</definedName>
    <definedName name="ㄴㅇㄹ_5" hidden="1">{#N/A,#N/A,FALSE,"CCTV"}</definedName>
    <definedName name="ㄴㅇㅎ" localSheetId="5" hidden="1">{#N/A,#N/A,FALSE,"이태원철근"}</definedName>
    <definedName name="ㄴㅇㅎ" hidden="1">{#N/A,#N/A,FALSE,"이태원철근"}</definedName>
    <definedName name="ㄴㅌ" localSheetId="5" hidden="1">{"'Flow'!$A$1:$S$58"}</definedName>
    <definedName name="ㄴㅌ" localSheetId="9" hidden="1">{"'Flow'!$A$1:$S$58"}</definedName>
    <definedName name="ㄴㅌ" localSheetId="10" hidden="1">{"'Flow'!$A$1:$S$58"}</definedName>
    <definedName name="ㄴㅌ" localSheetId="6" hidden="1">{"'Flow'!$A$1:$S$58"}</definedName>
    <definedName name="ㄴㅌ" localSheetId="3" hidden="1">{"'Flow'!$A$1:$S$58"}</definedName>
    <definedName name="ㄴㅌ" hidden="1">{"'Flow'!$A$1:$S$58"}</definedName>
    <definedName name="나" hidden="1">#REF!</definedName>
    <definedName name="남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청사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부거래분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부거래분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내역" localSheetId="5" hidden="1">{#N/A,#N/A,FALSE,"CCTV"}</definedName>
    <definedName name="내역" localSheetId="9" hidden="1">{#N/A,#N/A,FALSE,"CCTV"}</definedName>
    <definedName name="내역" localSheetId="10" hidden="1">{#N/A,#N/A,FALSE,"CCTV"}</definedName>
    <definedName name="내역" localSheetId="6" hidden="1">{#N/A,#N/A,FALSE,"CCTV"}</definedName>
    <definedName name="내역" localSheetId="3" hidden="1">{#N/A,#N/A,FALSE,"CCTV"}</definedName>
    <definedName name="내역" hidden="1">{#N/A,#N/A,FALSE,"CCTV"}</definedName>
    <definedName name="내역_1" localSheetId="5" hidden="1">{#N/A,#N/A,FALSE,"CCTV"}</definedName>
    <definedName name="내역_1" hidden="1">{#N/A,#N/A,FALSE,"CCTV"}</definedName>
    <definedName name="내역_2" localSheetId="5" hidden="1">{#N/A,#N/A,FALSE,"CCTV"}</definedName>
    <definedName name="내역_2" hidden="1">{#N/A,#N/A,FALSE,"CCTV"}</definedName>
    <definedName name="내역_3" localSheetId="5" hidden="1">{#N/A,#N/A,FALSE,"CCTV"}</definedName>
    <definedName name="내역_3" hidden="1">{#N/A,#N/A,FALSE,"CCTV"}</definedName>
    <definedName name="내역_4" localSheetId="5" hidden="1">{#N/A,#N/A,FALSE,"CCTV"}</definedName>
    <definedName name="내역_4" hidden="1">{#N/A,#N/A,FALSE,"CCTV"}</definedName>
    <definedName name="내역_5" localSheetId="5" hidden="1">{#N/A,#N/A,FALSE,"CCTV"}</definedName>
    <definedName name="내역_5" hidden="1">{#N/A,#N/A,FALSE,"CCTV"}</definedName>
    <definedName name="내역서" localSheetId="5" hidden="1">{#N/A,#N/A,FALSE,"배수1"}</definedName>
    <definedName name="내역서" localSheetId="9" hidden="1">{#N/A,#N/A,FALSE,"배수1"}</definedName>
    <definedName name="내역서" localSheetId="10" hidden="1">{#N/A,#N/A,FALSE,"배수1"}</definedName>
    <definedName name="내역서" localSheetId="6" hidden="1">{#N/A,#N/A,FALSE,"배수1"}</definedName>
    <definedName name="내역서" localSheetId="3" hidden="1">{#N/A,#N/A,FALSE,"배수1"}</definedName>
    <definedName name="내역서" hidden="1">{#N/A,#N/A,FALSE,"배수1"}</definedName>
    <definedName name="넣러" localSheetId="5" hidden="1">{#N/A,#N/A,FALSE,"표지목차"}</definedName>
    <definedName name="넣러" hidden="1">{#N/A,#N/A,FALSE,"표지목차"}</definedName>
    <definedName name="넣러_1" localSheetId="5" hidden="1">{#N/A,#N/A,FALSE,"표지목차"}</definedName>
    <definedName name="넣러_1" hidden="1">{#N/A,#N/A,FALSE,"표지목차"}</definedName>
    <definedName name="넣러_2" localSheetId="5" hidden="1">{#N/A,#N/A,FALSE,"표지목차"}</definedName>
    <definedName name="넣러_2" hidden="1">{#N/A,#N/A,FALSE,"표지목차"}</definedName>
    <definedName name="넣러_3" localSheetId="5" hidden="1">{#N/A,#N/A,FALSE,"표지목차"}</definedName>
    <definedName name="넣러_3" hidden="1">{#N/A,#N/A,FALSE,"표지목차"}</definedName>
    <definedName name="넣러_4" localSheetId="5" hidden="1">{#N/A,#N/A,FALSE,"표지목차"}</definedName>
    <definedName name="넣러_4" hidden="1">{#N/A,#N/A,FALSE,"표지목차"}</definedName>
    <definedName name="넣러_5" localSheetId="5" hidden="1">{#N/A,#N/A,FALSE,"표지목차"}</definedName>
    <definedName name="넣러_5" hidden="1">{#N/A,#N/A,FALSE,"표지목차"}</definedName>
    <definedName name="노무비내역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무비내역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놓ㄹ노" localSheetId="5" hidden="1">{#N/A,#N/A,FALSE,"골재소요량";#N/A,#N/A,FALSE,"골재소요량"}</definedName>
    <definedName name="놓ㄹ노" hidden="1">{#N/A,#N/A,FALSE,"골재소요량";#N/A,#N/A,FALSE,"골재소요량"}</definedName>
    <definedName name="놓ㄹ노_1" localSheetId="5" hidden="1">{#N/A,#N/A,FALSE,"골재소요량";#N/A,#N/A,FALSE,"골재소요량"}</definedName>
    <definedName name="놓ㄹ노_1" hidden="1">{#N/A,#N/A,FALSE,"골재소요량";#N/A,#N/A,FALSE,"골재소요량"}</definedName>
    <definedName name="놓ㄹ노_2" localSheetId="5" hidden="1">{#N/A,#N/A,FALSE,"골재소요량";#N/A,#N/A,FALSE,"골재소요량"}</definedName>
    <definedName name="놓ㄹ노_2" hidden="1">{#N/A,#N/A,FALSE,"골재소요량";#N/A,#N/A,FALSE,"골재소요량"}</definedName>
    <definedName name="놓ㄹ노_3" localSheetId="5" hidden="1">{#N/A,#N/A,FALSE,"골재소요량";#N/A,#N/A,FALSE,"골재소요량"}</definedName>
    <definedName name="놓ㄹ노_3" hidden="1">{#N/A,#N/A,FALSE,"골재소요량";#N/A,#N/A,FALSE,"골재소요량"}</definedName>
    <definedName name="놓ㄹ노_4" localSheetId="5" hidden="1">{#N/A,#N/A,FALSE,"골재소요량";#N/A,#N/A,FALSE,"골재소요량"}</definedName>
    <definedName name="놓ㄹ노_4" hidden="1">{#N/A,#N/A,FALSE,"골재소요량";#N/A,#N/A,FALSE,"골재소요량"}</definedName>
    <definedName name="놓ㄹ노_5" localSheetId="5" hidden="1">{#N/A,#N/A,FALSE,"골재소요량";#N/A,#N/A,FALSE,"골재소요량"}</definedName>
    <definedName name="놓ㄹ노_5" hidden="1">{#N/A,#N/A,FALSE,"골재소요량";#N/A,#N/A,FALSE,"골재소요량"}</definedName>
    <definedName name="ㄶㅇㅀㄴㅇ" localSheetId="5" hidden="1">{#N/A,#N/A,FALSE,"표지목차"}</definedName>
    <definedName name="ㄶㅇㅀㄴㅇ" hidden="1">{#N/A,#N/A,FALSE,"표지목차"}</definedName>
    <definedName name="ㄶㅇㅀㄴㅇ_1" localSheetId="5" hidden="1">{#N/A,#N/A,FALSE,"표지목차"}</definedName>
    <definedName name="ㄶㅇㅀㄴㅇ_1" hidden="1">{#N/A,#N/A,FALSE,"표지목차"}</definedName>
    <definedName name="ㄶㅇㅀㄴㅇ_2" localSheetId="5" hidden="1">{#N/A,#N/A,FALSE,"표지목차"}</definedName>
    <definedName name="ㄶㅇㅀㄴㅇ_2" hidden="1">{#N/A,#N/A,FALSE,"표지목차"}</definedName>
    <definedName name="ㄶㅇㅀㄴㅇ_3" localSheetId="5" hidden="1">{#N/A,#N/A,FALSE,"표지목차"}</definedName>
    <definedName name="ㄶㅇㅀㄴㅇ_3" hidden="1">{#N/A,#N/A,FALSE,"표지목차"}</definedName>
    <definedName name="ㄶㅇㅀㄴㅇ_4" localSheetId="5" hidden="1">{#N/A,#N/A,FALSE,"표지목차"}</definedName>
    <definedName name="ㄶㅇㅀㄴㅇ_4" hidden="1">{#N/A,#N/A,FALSE,"표지목차"}</definedName>
    <definedName name="ㄶㅇㅀㄴㅇ_5" localSheetId="5" hidden="1">{#N/A,#N/A,FALSE,"표지목차"}</definedName>
    <definedName name="ㄶㅇㅀㄴㅇ_5" hidden="1">{#N/A,#N/A,FALSE,"표지목차"}</definedName>
    <definedName name="ㄷ" localSheetId="5" hidden="1">{#N/A,#N/A,FALSE,"이태원철근"}</definedName>
    <definedName name="ㄷ" hidden="1">{#N/A,#N/A,FALSE,"이태원철근"}</definedName>
    <definedName name="ㄷㄱ" localSheetId="5" hidden="1">{#N/A,#N/A,FALSE,"이태원철근"}</definedName>
    <definedName name="ㄷㄱ" hidden="1">{#N/A,#N/A,FALSE,"이태원철근"}</definedName>
    <definedName name="ㄷㄱ_1" localSheetId="5" hidden="1">{#N/A,#N/A,FALSE,"단가표지"}</definedName>
    <definedName name="ㄷㄱ_1" hidden="1">{#N/A,#N/A,FALSE,"단가표지"}</definedName>
    <definedName name="ㄷㄱ_2" localSheetId="5" hidden="1">{#N/A,#N/A,FALSE,"단가표지"}</definedName>
    <definedName name="ㄷㄱ_2" hidden="1">{#N/A,#N/A,FALSE,"단가표지"}</definedName>
    <definedName name="ㄷㄱ_3" localSheetId="5" hidden="1">{#N/A,#N/A,FALSE,"단가표지"}</definedName>
    <definedName name="ㄷㄱ_3" hidden="1">{#N/A,#N/A,FALSE,"단가표지"}</definedName>
    <definedName name="ㄷㄱ_4" localSheetId="5" hidden="1">{#N/A,#N/A,FALSE,"단가표지"}</definedName>
    <definedName name="ㄷㄱ_4" hidden="1">{#N/A,#N/A,FALSE,"단가표지"}</definedName>
    <definedName name="ㄷㄱ_5" localSheetId="5" hidden="1">{#N/A,#N/A,FALSE,"단가표지"}</definedName>
    <definedName name="ㄷㄱ_5" hidden="1">{#N/A,#N/A,FALSE,"단가표지"}</definedName>
    <definedName name="ㄷㄱㅈ" localSheetId="5" hidden="1">{#N/A,#N/A,FALSE,"이태원철근"}</definedName>
    <definedName name="ㄷㄱㅈ" hidden="1">{#N/A,#N/A,FALSE,"이태원철근"}</definedName>
    <definedName name="ㄷㄳ" localSheetId="5" hidden="1">{"'장비'!$A$3:$M$12"}</definedName>
    <definedName name="ㄷㄳ" localSheetId="9" hidden="1">{"'장비'!$A$3:$M$12"}</definedName>
    <definedName name="ㄷㄳ" localSheetId="10" hidden="1">{"'장비'!$A$3:$M$12"}</definedName>
    <definedName name="ㄷㄳ" localSheetId="6" hidden="1">{"'장비'!$A$3:$M$12"}</definedName>
    <definedName name="ㄷㄳ" localSheetId="3" hidden="1">{#N/A,#N/A,FALSE,"이태원철근"}</definedName>
    <definedName name="ㄷㄳ" hidden="1">{"'장비'!$A$3:$M$12"}</definedName>
    <definedName name="ㄷㄳ_1" localSheetId="5" hidden="1">{"'장비'!$A$3:$M$12"}</definedName>
    <definedName name="ㄷㄳ_1" localSheetId="9" hidden="1">{"'장비'!$A$3:$M$12"}</definedName>
    <definedName name="ㄷㄳ_1" localSheetId="10" hidden="1">{"'장비'!$A$3:$M$12"}</definedName>
    <definedName name="ㄷㄳ_1" localSheetId="6" hidden="1">{"'장비'!$A$3:$M$12"}</definedName>
    <definedName name="ㄷㄳ_1" localSheetId="3" hidden="1">{"'장비'!$A$3:$M$12"}</definedName>
    <definedName name="ㄷㄳ_1" hidden="1">{"'장비'!$A$3:$M$12"}</definedName>
    <definedName name="ㄷㄷ" localSheetId="5" hidden="1">{"LKD",#N/A,FALSE,"표지"}</definedName>
    <definedName name="ㄷㄷ" hidden="1">{"LKD",#N/A,FALSE,"표지"}</definedName>
    <definedName name="ㄷㄷ_1" localSheetId="5" hidden="1">{"LKD",#N/A,FALSE,"표지"}</definedName>
    <definedName name="ㄷㄷ_1" hidden="1">{"LKD",#N/A,FALSE,"표지"}</definedName>
    <definedName name="ㄷㄷ_2" localSheetId="5" hidden="1">{"LKD",#N/A,FALSE,"표지"}</definedName>
    <definedName name="ㄷㄷ_2" hidden="1">{"LKD",#N/A,FALSE,"표지"}</definedName>
    <definedName name="ㄷㄷ_3" localSheetId="5" hidden="1">{"LKD",#N/A,FALSE,"표지"}</definedName>
    <definedName name="ㄷㄷ_3" hidden="1">{"LKD",#N/A,FALSE,"표지"}</definedName>
    <definedName name="ㄷㄷ_4" localSheetId="5" hidden="1">{"LKD",#N/A,FALSE,"표지"}</definedName>
    <definedName name="ㄷㄷ_4" hidden="1">{"LKD",#N/A,FALSE,"표지"}</definedName>
    <definedName name="ㄷㄷ_5" localSheetId="5" hidden="1">{"LKD",#N/A,FALSE,"표지"}</definedName>
    <definedName name="ㄷㄷ_5" hidden="1">{"LKD",#N/A,FALSE,"표지"}</definedName>
    <definedName name="ㄷㄷㄷ" localSheetId="5" hidden="1">{#N/A,#N/A,FALSE,"이태원철근"}</definedName>
    <definedName name="ㄷㄷㄷ" hidden="1">{#N/A,#N/A,FALSE,"이태원철근"}</definedName>
    <definedName name="ㄷㄷㄷㄷ" localSheetId="5" hidden="1">{"'장비'!$A$3:$M$12"}</definedName>
    <definedName name="ㄷㄷㄷㄷ" localSheetId="9" hidden="1">{"'장비'!$A$3:$M$12"}</definedName>
    <definedName name="ㄷㄷㄷㄷ" localSheetId="10" hidden="1">{"'장비'!$A$3:$M$12"}</definedName>
    <definedName name="ㄷㄷㄷㄷ" localSheetId="6" hidden="1">{"'장비'!$A$3:$M$12"}</definedName>
    <definedName name="ㄷㄷㄷㄷ" localSheetId="3" hidden="1">{"'장비'!$A$3:$M$12"}</definedName>
    <definedName name="ㄷㄷㄷㄷ" hidden="1">{"'장비'!$A$3:$M$12"}</definedName>
    <definedName name="ㄷㄷㄷㄷ_1" localSheetId="5" hidden="1">{"'장비'!$A$3:$M$12"}</definedName>
    <definedName name="ㄷㄷㄷㄷ_1" localSheetId="9" hidden="1">{"'장비'!$A$3:$M$12"}</definedName>
    <definedName name="ㄷㄷㄷㄷ_1" localSheetId="10" hidden="1">{"'장비'!$A$3:$M$12"}</definedName>
    <definedName name="ㄷㄷㄷㄷ_1" localSheetId="6" hidden="1">{"'장비'!$A$3:$M$12"}</definedName>
    <definedName name="ㄷㄷㄷㄷ_1" localSheetId="3" hidden="1">{"'장비'!$A$3:$M$12"}</definedName>
    <definedName name="ㄷㄷㄷㄷ_1" hidden="1">{"'장비'!$A$3:$M$12"}</definedName>
    <definedName name="ㄷㄷㄷㄷㄷ" localSheetId="5" hidden="1">{#N/A,#N/A,FALSE,"이태원철근"}</definedName>
    <definedName name="ㄷㄷㄷㄷㄷ" hidden="1">{#N/A,#N/A,FALSE,"이태원철근"}</definedName>
    <definedName name="ㄷㄷㄷㄷㄷ_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2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3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3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4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4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5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ㄷㄷㄷㄷ_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ㄷㅈㅂㄷ" localSheetId="5" hidden="1">{"'장비'!$A$3:$M$12"}</definedName>
    <definedName name="ㄷㅈㅂㄷ" localSheetId="9" hidden="1">{"'장비'!$A$3:$M$12"}</definedName>
    <definedName name="ㄷㅈㅂㄷ" localSheetId="10" hidden="1">{"'장비'!$A$3:$M$12"}</definedName>
    <definedName name="ㄷㅈㅂㄷ" localSheetId="6" hidden="1">{"'장비'!$A$3:$M$12"}</definedName>
    <definedName name="ㄷㅈㅂㄷ" localSheetId="3" hidden="1">{"'장비'!$A$3:$M$12"}</definedName>
    <definedName name="ㄷㅈㅂㄷ" hidden="1">{"'장비'!$A$3:$M$12"}</definedName>
    <definedName name="ㄷㅈㅂㄷ_1" localSheetId="5" hidden="1">{"'장비'!$A$3:$M$12"}</definedName>
    <definedName name="ㄷㅈㅂㄷ_1" localSheetId="9" hidden="1">{"'장비'!$A$3:$M$12"}</definedName>
    <definedName name="ㄷㅈㅂㄷ_1" localSheetId="10" hidden="1">{"'장비'!$A$3:$M$12"}</definedName>
    <definedName name="ㄷㅈㅂㄷ_1" localSheetId="6" hidden="1">{"'장비'!$A$3:$M$12"}</definedName>
    <definedName name="ㄷㅈㅂㄷ_1" localSheetId="3" hidden="1">{"'장비'!$A$3:$M$12"}</definedName>
    <definedName name="ㄷㅈㅂㄷ_1" hidden="1">{"'장비'!$A$3:$M$12"}</definedName>
    <definedName name="ㄷㅈㅈㅈㅈㅂ" localSheetId="5" hidden="1">{#N/A,#N/A,FALSE,"이태원철근"}</definedName>
    <definedName name="ㄷㅈㅈㅈㅈㅂ" hidden="1">{#N/A,#N/A,FALSE,"이태원철근"}</definedName>
    <definedName name="다" hidden="1">#REF!</definedName>
    <definedName name="단가산출서총체" localSheetId="5" hidden="1">{#N/A,#N/A,TRUE,"총괄"}</definedName>
    <definedName name="단가산출서총체" hidden="1">{#N/A,#N/A,TRUE,"총괄"}</definedName>
    <definedName name="단가산출서총체_1" localSheetId="5" hidden="1">{#N/A,#N/A,TRUE,"총괄"}</definedName>
    <definedName name="단가산출서총체_1" hidden="1">{#N/A,#N/A,TRUE,"총괄"}</definedName>
    <definedName name="단가산출서총체_2" localSheetId="5" hidden="1">{#N/A,#N/A,TRUE,"총괄"}</definedName>
    <definedName name="단가산출서총체_2" hidden="1">{#N/A,#N/A,TRUE,"총괄"}</definedName>
    <definedName name="단가산출서총체_3" localSheetId="5" hidden="1">{#N/A,#N/A,TRUE,"총괄"}</definedName>
    <definedName name="단가산출서총체_3" hidden="1">{#N/A,#N/A,TRUE,"총괄"}</definedName>
    <definedName name="단가산출서총체_4" localSheetId="5" hidden="1">{#N/A,#N/A,TRUE,"총괄"}</definedName>
    <definedName name="단가산출서총체_4" hidden="1">{#N/A,#N/A,TRUE,"총괄"}</definedName>
    <definedName name="단가산출서총체_5" localSheetId="5" hidden="1">{#N/A,#N/A,TRUE,"총괄"}</definedName>
    <definedName name="단가산출서총체_5" hidden="1">{#N/A,#N/A,TRUE,"총괄"}</definedName>
    <definedName name="단가조사표" localSheetId="5" hidden="1">{#N/A,#N/A,TRUE,"MATERIAL COST"}</definedName>
    <definedName name="단가조사표" hidden="1">{#N/A,#N/A,TRUE,"MATERIAL COST"}</definedName>
    <definedName name="당초계획" localSheetId="9" hidden="1">#REF!</definedName>
    <definedName name="당초계획" localSheetId="10" hidden="1">#REF!</definedName>
    <definedName name="당초계획" hidden="1">#REF!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신당동" localSheetId="5" hidden="1">{"'별표'!$N$220"}</definedName>
    <definedName name="대구신당동" hidden="1">{"'별표'!$N$220"}</definedName>
    <definedName name="대여금" localSheetId="5" hidden="1">{#N/A,#N/A,FALSE,"이태원철근"}</definedName>
    <definedName name="대여금" hidden="1">{#N/A,#N/A,FALSE,"이태원철근"}</definedName>
    <definedName name="대책_산설" localSheetId="5" hidden="1">{"LKD",#N/A,FALSE,"표지"}</definedName>
    <definedName name="대책_산설" hidden="1">{"LKD",#N/A,FALSE,"표지"}</definedName>
    <definedName name="대책_산설_1" localSheetId="5" hidden="1">{"LKD",#N/A,FALSE,"표지"}</definedName>
    <definedName name="대책_산설_1" hidden="1">{"LKD",#N/A,FALSE,"표지"}</definedName>
    <definedName name="대책_산설_2" localSheetId="5" hidden="1">{"LKD",#N/A,FALSE,"표지"}</definedName>
    <definedName name="대책_산설_2" hidden="1">{"LKD",#N/A,FALSE,"표지"}</definedName>
    <definedName name="대책_산설_3" localSheetId="5" hidden="1">{"LKD",#N/A,FALSE,"표지"}</definedName>
    <definedName name="대책_산설_3" hidden="1">{"LKD",#N/A,FALSE,"표지"}</definedName>
    <definedName name="대책_산설_4" localSheetId="5" hidden="1">{"LKD",#N/A,FALSE,"표지"}</definedName>
    <definedName name="대책_산설_4" hidden="1">{"LKD",#N/A,FALSE,"표지"}</definedName>
    <definedName name="대책_산설_5" localSheetId="5" hidden="1">{"LKD",#N/A,FALSE,"표지"}</definedName>
    <definedName name="대책_산설_5" hidden="1">{"LKD",#N/A,FALSE,"표지"}</definedName>
    <definedName name="덕" localSheetId="5" hidden="1">{#N/A,#N/A,FALSE,"지침";#N/A,#N/A,FALSE,"환경분석";#N/A,#N/A,FALSE,"Sheet16"}</definedName>
    <definedName name="덕" hidden="1">{#N/A,#N/A,FALSE,"지침";#N/A,#N/A,FALSE,"환경분석";#N/A,#N/A,FALSE,"Sheet16"}</definedName>
    <definedName name="덕_1" localSheetId="5" hidden="1">{#N/A,#N/A,FALSE,"지침";#N/A,#N/A,FALSE,"환경분석";#N/A,#N/A,FALSE,"Sheet16"}</definedName>
    <definedName name="덕_1" hidden="1">{#N/A,#N/A,FALSE,"지침";#N/A,#N/A,FALSE,"환경분석";#N/A,#N/A,FALSE,"Sheet16"}</definedName>
    <definedName name="덕_2" localSheetId="5" hidden="1">{#N/A,#N/A,FALSE,"지침";#N/A,#N/A,FALSE,"환경분석";#N/A,#N/A,FALSE,"Sheet16"}</definedName>
    <definedName name="덕_2" hidden="1">{#N/A,#N/A,FALSE,"지침";#N/A,#N/A,FALSE,"환경분석";#N/A,#N/A,FALSE,"Sheet16"}</definedName>
    <definedName name="덕_3" localSheetId="5" hidden="1">{#N/A,#N/A,FALSE,"지침";#N/A,#N/A,FALSE,"환경분석";#N/A,#N/A,FALSE,"Sheet16"}</definedName>
    <definedName name="덕_3" hidden="1">{#N/A,#N/A,FALSE,"지침";#N/A,#N/A,FALSE,"환경분석";#N/A,#N/A,FALSE,"Sheet16"}</definedName>
    <definedName name="덕_4" localSheetId="5" hidden="1">{#N/A,#N/A,FALSE,"지침";#N/A,#N/A,FALSE,"환경분석";#N/A,#N/A,FALSE,"Sheet16"}</definedName>
    <definedName name="덕_4" hidden="1">{#N/A,#N/A,FALSE,"지침";#N/A,#N/A,FALSE,"환경분석";#N/A,#N/A,FALSE,"Sheet16"}</definedName>
    <definedName name="덕_5" localSheetId="5" hidden="1">{#N/A,#N/A,FALSE,"지침";#N/A,#N/A,FALSE,"환경분석";#N/A,#N/A,FALSE,"Sheet16"}</definedName>
    <definedName name="덕_5" hidden="1">{#N/A,#N/A,FALSE,"지침";#N/A,#N/A,FALSE,"환경분석";#N/A,#N/A,FALSE,"Sheet16"}</definedName>
    <definedName name="도면외주" localSheetId="9" hidden="1">#REF!</definedName>
    <definedName name="도면외주" localSheetId="10" hidden="1">#REF!</definedName>
    <definedName name="도면외주" hidden="1">#REF!</definedName>
    <definedName name="도면용역비" localSheetId="9" hidden="1">#REF!</definedName>
    <definedName name="도면용역비" localSheetId="10" hidden="1">#REF!</definedName>
    <definedName name="도면용역비" hidden="1">#REF!</definedName>
    <definedName name="동구연숩" localSheetId="5" hidden="1">{#N/A,#N/A,FALSE,"전력간선"}</definedName>
    <definedName name="동구연숩" hidden="1">{#N/A,#N/A,FALSE,"전력간선"}</definedName>
    <definedName name="동구연숩_1" localSheetId="5" hidden="1">{#N/A,#N/A,FALSE,"전력간선"}</definedName>
    <definedName name="동구연숩_1" hidden="1">{#N/A,#N/A,FALSE,"전력간선"}</definedName>
    <definedName name="동구연숩_2" localSheetId="5" hidden="1">{#N/A,#N/A,FALSE,"전력간선"}</definedName>
    <definedName name="동구연숩_2" hidden="1">{#N/A,#N/A,FALSE,"전력간선"}</definedName>
    <definedName name="동구연숩_3" localSheetId="5" hidden="1">{#N/A,#N/A,FALSE,"전력간선"}</definedName>
    <definedName name="동구연숩_3" hidden="1">{#N/A,#N/A,FALSE,"전력간선"}</definedName>
    <definedName name="동구연숩_4" localSheetId="5" hidden="1">{#N/A,#N/A,FALSE,"전력간선"}</definedName>
    <definedName name="동구연숩_4" hidden="1">{#N/A,#N/A,FALSE,"전력간선"}</definedName>
    <definedName name="동구연숩_5" localSheetId="5" hidden="1">{#N/A,#N/A,FALSE,"전력간선"}</definedName>
    <definedName name="동구연숩_5" hidden="1">{#N/A,#N/A,FALSE,"전력간선"}</definedName>
    <definedName name="동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" localSheetId="5" hidden="1">{#N/A,#N/A,FALSE,"이태원철근"}</definedName>
    <definedName name="ㄹ" hidden="1">{#N/A,#N/A,FALSE,"이태원철근"}</definedName>
    <definedName name="ㄹㄴㄴㄴ" localSheetId="5" hidden="1">{#N/A,#N/A,FALSE,"이태원철근"}</definedName>
    <definedName name="ㄹㄴㄴㄴ" hidden="1">{#N/A,#N/A,FALSE,"이태원철근"}</definedName>
    <definedName name="ㄹㄴㅇㄹ" hidden="1">#REF!</definedName>
    <definedName name="ㄹㄴㅇㄻㄴ" localSheetId="5" hidden="1">{#N/A,#N/A,FALSE,"단가표지"}</definedName>
    <definedName name="ㄹㄴㅇㄻㄴ" hidden="1">{#N/A,#N/A,FALSE,"단가표지"}</definedName>
    <definedName name="ㄹㄴㅇㄻㄴ_1" localSheetId="5" hidden="1">{#N/A,#N/A,FALSE,"단가표지"}</definedName>
    <definedName name="ㄹㄴㅇㄻㄴ_1" hidden="1">{#N/A,#N/A,FALSE,"단가표지"}</definedName>
    <definedName name="ㄹㄴㅇㄻㄴ_2" localSheetId="5" hidden="1">{#N/A,#N/A,FALSE,"단가표지"}</definedName>
    <definedName name="ㄹㄴㅇㄻㄴ_2" hidden="1">{#N/A,#N/A,FALSE,"단가표지"}</definedName>
    <definedName name="ㄹㄴㅇㄻㄴ_3" localSheetId="5" hidden="1">{#N/A,#N/A,FALSE,"단가표지"}</definedName>
    <definedName name="ㄹㄴㅇㄻㄴ_3" hidden="1">{#N/A,#N/A,FALSE,"단가표지"}</definedName>
    <definedName name="ㄹㄴㅇㄻㄴ_4" localSheetId="5" hidden="1">{#N/A,#N/A,FALSE,"단가표지"}</definedName>
    <definedName name="ㄹㄴㅇㄻㄴ_4" hidden="1">{#N/A,#N/A,FALSE,"단가표지"}</definedName>
    <definedName name="ㄹㄴㅇㄻㄴ_5" localSheetId="5" hidden="1">{#N/A,#N/A,FALSE,"단가표지"}</definedName>
    <definedName name="ㄹㄴㅇㄻㄴ_5" hidden="1">{#N/A,#N/A,FALSE,"단가표지"}</definedName>
    <definedName name="ㄹㄴ웋" localSheetId="5" hidden="1">{#N/A,#N/A,FALSE,"운반시간"}</definedName>
    <definedName name="ㄹㄴ웋" hidden="1">{#N/A,#N/A,FALSE,"운반시간"}</definedName>
    <definedName name="ㄹㄴ웋_1" localSheetId="5" hidden="1">{#N/A,#N/A,FALSE,"운반시간"}</definedName>
    <definedName name="ㄹㄴ웋_1" hidden="1">{#N/A,#N/A,FALSE,"운반시간"}</definedName>
    <definedName name="ㄹㄴ웋_2" localSheetId="5" hidden="1">{#N/A,#N/A,FALSE,"운반시간"}</definedName>
    <definedName name="ㄹㄴ웋_2" hidden="1">{#N/A,#N/A,FALSE,"운반시간"}</definedName>
    <definedName name="ㄹㄴ웋_3" localSheetId="5" hidden="1">{#N/A,#N/A,FALSE,"운반시간"}</definedName>
    <definedName name="ㄹㄴ웋_3" hidden="1">{#N/A,#N/A,FALSE,"운반시간"}</definedName>
    <definedName name="ㄹㄴ웋_4" localSheetId="5" hidden="1">{#N/A,#N/A,FALSE,"운반시간"}</definedName>
    <definedName name="ㄹㄴ웋_4" hidden="1">{#N/A,#N/A,FALSE,"운반시간"}</definedName>
    <definedName name="ㄹㄴ웋_5" localSheetId="5" hidden="1">{#N/A,#N/A,FALSE,"운반시간"}</definedName>
    <definedName name="ㄹㄴ웋_5" hidden="1">{#N/A,#N/A,FALSE,"운반시간"}</definedName>
    <definedName name="ㄹㄷㅈ" localSheetId="5" hidden="1">{#N/A,#N/A,FALSE,"이태원철근"}</definedName>
    <definedName name="ㄹㄷㅈ" hidden="1">{#N/A,#N/A,FALSE,"이태원철근"}</definedName>
    <definedName name="ㄹㄹ" localSheetId="5" hidden="1">{"'장비'!$A$3:$M$12"}</definedName>
    <definedName name="ㄹㄹ" localSheetId="9" hidden="1">{"'장비'!$A$3:$M$12"}</definedName>
    <definedName name="ㄹㄹ" localSheetId="10" hidden="1">{"'장비'!$A$3:$M$12"}</definedName>
    <definedName name="ㄹㄹ" localSheetId="6" hidden="1">{"'장비'!$A$3:$M$12"}</definedName>
    <definedName name="ㄹㄹ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{"'장비'!$A$3:$M$12"}</definedName>
    <definedName name="ㄹㄹ_1" localSheetId="5" hidden="1">{"'장비'!$A$3:$M$12"}</definedName>
    <definedName name="ㄹㄹ_1" localSheetId="9" hidden="1">{"'장비'!$A$3:$M$12"}</definedName>
    <definedName name="ㄹㄹ_1" localSheetId="10" hidden="1">{"'장비'!$A$3:$M$12"}</definedName>
    <definedName name="ㄹㄹ_1" localSheetId="6" hidden="1">{"'장비'!$A$3:$M$12"}</definedName>
    <definedName name="ㄹㄹ_1" localSheetId="3" hidden="1">{"SJ - 기본 보기",#N/A,FALSE,"공사별 외주견적"}</definedName>
    <definedName name="ㄹㄹ_1" hidden="1">{"'장비'!$A$3:$M$12"}</definedName>
    <definedName name="ㄹㄹ_2" localSheetId="5" hidden="1">{"SJ - 기본 보기",#N/A,FALSE,"공사별 외주견적"}</definedName>
    <definedName name="ㄹㄹ_2" hidden="1">{"SJ - 기본 보기",#N/A,FALSE,"공사별 외주견적"}</definedName>
    <definedName name="ㄹㄹ_3" localSheetId="5" hidden="1">{"SJ - 기본 보기",#N/A,FALSE,"공사별 외주견적"}</definedName>
    <definedName name="ㄹㄹ_3" hidden="1">{"SJ - 기본 보기",#N/A,FALSE,"공사별 외주견적"}</definedName>
    <definedName name="ㄹㄹ_4" localSheetId="5" hidden="1">{"SJ - 기본 보기",#N/A,FALSE,"공사별 외주견적"}</definedName>
    <definedName name="ㄹㄹ_4" hidden="1">{"SJ - 기본 보기",#N/A,FALSE,"공사별 외주견적"}</definedName>
    <definedName name="ㄹㄹ_5" localSheetId="5" hidden="1">{"SJ - 기본 보기",#N/A,FALSE,"공사별 외주견적"}</definedName>
    <definedName name="ㄹㄹ_5" hidden="1">{"SJ - 기본 보기",#N/A,FALSE,"공사별 외주견적"}</definedName>
    <definedName name="ㄹㄹㄹ" localSheetId="5" hidden="1">{"'장비'!$A$3:$M$12"}</definedName>
    <definedName name="ㄹㄹㄹ" localSheetId="9" hidden="1">{"'장비'!$A$3:$M$12"}</definedName>
    <definedName name="ㄹㄹㄹ" localSheetId="10" hidden="1">{"'장비'!$A$3:$M$12"}</definedName>
    <definedName name="ㄹㄹㄹ" localSheetId="6" hidden="1">{"'장비'!$A$3:$M$12"}</definedName>
    <definedName name="ㄹㄹㄹ" localSheetId="3" hidden="1">{#N/A,#N/A,FALSE,"이태원철근"}</definedName>
    <definedName name="ㄹㄹㄹ" hidden="1">{"'장비'!$A$3:$M$12"}</definedName>
    <definedName name="ㄹㄹㄹ_1" localSheetId="5" hidden="1">{"'장비'!$A$3:$M$12"}</definedName>
    <definedName name="ㄹㄹㄹ_1" localSheetId="9" hidden="1">{"'장비'!$A$3:$M$12"}</definedName>
    <definedName name="ㄹㄹㄹ_1" localSheetId="10" hidden="1">{"'장비'!$A$3:$M$12"}</definedName>
    <definedName name="ㄹㄹㄹ_1" localSheetId="6" hidden="1">{"'장비'!$A$3:$M$12"}</definedName>
    <definedName name="ㄹㄹㄹ_1" localSheetId="3" hidden="1">{"'장비'!$A$3:$M$12"}</definedName>
    <definedName name="ㄹㄹㄹ_1" hidden="1">{"'장비'!$A$3:$M$12"}</definedName>
    <definedName name="ㄹㅇㄴ" localSheetId="5" hidden="1">{"'Sheet1'!$L$16"}</definedName>
    <definedName name="ㄹㅇㄴ" localSheetId="9" hidden="1">{"'Sheet1'!$L$16"}</definedName>
    <definedName name="ㄹㅇㄴ" localSheetId="10" hidden="1">{"'Sheet1'!$L$16"}</definedName>
    <definedName name="ㄹㅇㄴ" localSheetId="6" hidden="1">{"'Sheet1'!$L$16"}</definedName>
    <definedName name="ㄹㅇㄴ" localSheetId="3" hidden="1">{"'Sheet1'!$L$16"}</definedName>
    <definedName name="ㄹㅇㄴ" hidden="1">{"'Sheet1'!$L$16"}</definedName>
    <definedName name="ㄹㅇㄹ" localSheetId="5" hidden="1">{#N/A,#N/A,FALSE,"혼합골재"}</definedName>
    <definedName name="ㄹㅇㄹ" hidden="1">{#N/A,#N/A,FALSE,"혼합골재"}</definedName>
    <definedName name="ㄹㅇㄹ_1" localSheetId="5" hidden="1">{#N/A,#N/A,FALSE,"혼합골재"}</definedName>
    <definedName name="ㄹㅇㄹ_1" hidden="1">{#N/A,#N/A,FALSE,"혼합골재"}</definedName>
    <definedName name="ㄹㅇㄹ_2" localSheetId="5" hidden="1">{#N/A,#N/A,FALSE,"혼합골재"}</definedName>
    <definedName name="ㄹㅇㄹ_2" hidden="1">{#N/A,#N/A,FALSE,"혼합골재"}</definedName>
    <definedName name="ㄹㅇㄹ_3" localSheetId="5" hidden="1">{#N/A,#N/A,FALSE,"혼합골재"}</definedName>
    <definedName name="ㄹㅇㄹ_3" hidden="1">{#N/A,#N/A,FALSE,"혼합골재"}</definedName>
    <definedName name="ㄹㅇㄹ_4" localSheetId="5" hidden="1">{#N/A,#N/A,FALSE,"혼합골재"}</definedName>
    <definedName name="ㄹㅇㄹ_4" hidden="1">{#N/A,#N/A,FALSE,"혼합골재"}</definedName>
    <definedName name="ㄹㅇㄹ_5" localSheetId="5" hidden="1">{#N/A,#N/A,FALSE,"혼합골재"}</definedName>
    <definedName name="ㄹㅇㄹ_5" hidden="1">{#N/A,#N/A,FALSE,"혼합골재"}</definedName>
    <definedName name="ㄹㅇㅂ" localSheetId="5" hidden="1">{#N/A,#N/A,FALSE,"이태원철근"}</definedName>
    <definedName name="ㄹㅇㅂ" hidden="1">{#N/A,#N/A,FALSE,"이태원철근"}</definedName>
    <definedName name="ㄹㅇㅎㄴㅇ" localSheetId="5" hidden="1">{#N/A,#N/A,FALSE,"조골재"}</definedName>
    <definedName name="ㄹㅇㅎㄴㅇ" hidden="1">{#N/A,#N/A,FALSE,"조골재"}</definedName>
    <definedName name="ㄹㅇㅎㄴㅇ_1" localSheetId="5" hidden="1">{#N/A,#N/A,FALSE,"조골재"}</definedName>
    <definedName name="ㄹㅇㅎㄴㅇ_1" hidden="1">{#N/A,#N/A,FALSE,"조골재"}</definedName>
    <definedName name="ㄹㅇㅎㄴㅇ_2" localSheetId="5" hidden="1">{#N/A,#N/A,FALSE,"조골재"}</definedName>
    <definedName name="ㄹㅇㅎㄴㅇ_2" hidden="1">{#N/A,#N/A,FALSE,"조골재"}</definedName>
    <definedName name="ㄹㅇㅎㄴㅇ_3" localSheetId="5" hidden="1">{#N/A,#N/A,FALSE,"조골재"}</definedName>
    <definedName name="ㄹㅇㅎㄴㅇ_3" hidden="1">{#N/A,#N/A,FALSE,"조골재"}</definedName>
    <definedName name="ㄹㅇㅎㄴㅇ_4" localSheetId="5" hidden="1">{#N/A,#N/A,FALSE,"조골재"}</definedName>
    <definedName name="ㄹㅇㅎㄴㅇ_4" hidden="1">{#N/A,#N/A,FALSE,"조골재"}</definedName>
    <definedName name="ㄹㅇㅎㄴㅇ_5" localSheetId="5" hidden="1">{#N/A,#N/A,FALSE,"조골재"}</definedName>
    <definedName name="ㄹㅇㅎㄴㅇ_5" hidden="1">{#N/A,#N/A,FALSE,"조골재"}</definedName>
    <definedName name="라" hidden="1">#REF!</definedName>
    <definedName name="래그" localSheetId="5" hidden="1">{#N/A,#N/A,FALSE,"CCTV"}</definedName>
    <definedName name="래그" localSheetId="9" hidden="1">{#N/A,#N/A,FALSE,"CCTV"}</definedName>
    <definedName name="래그" localSheetId="10" hidden="1">{#N/A,#N/A,FALSE,"CCTV"}</definedName>
    <definedName name="래그" localSheetId="6" hidden="1">{#N/A,#N/A,FALSE,"CCTV"}</definedName>
    <definedName name="래그" localSheetId="3" hidden="1">{#N/A,#N/A,FALSE,"CCTV"}</definedName>
    <definedName name="래그" hidden="1">{#N/A,#N/A,FALSE,"CCTV"}</definedName>
    <definedName name="래그_1" localSheetId="5" hidden="1">{#N/A,#N/A,FALSE,"CCTV"}</definedName>
    <definedName name="래그_1" hidden="1">{#N/A,#N/A,FALSE,"CCTV"}</definedName>
    <definedName name="래그_2" localSheetId="5" hidden="1">{#N/A,#N/A,FALSE,"CCTV"}</definedName>
    <definedName name="래그_2" hidden="1">{#N/A,#N/A,FALSE,"CCTV"}</definedName>
    <definedName name="래그_3" localSheetId="5" hidden="1">{#N/A,#N/A,FALSE,"CCTV"}</definedName>
    <definedName name="래그_3" hidden="1">{#N/A,#N/A,FALSE,"CCTV"}</definedName>
    <definedName name="래그_4" localSheetId="5" hidden="1">{#N/A,#N/A,FALSE,"CCTV"}</definedName>
    <definedName name="래그_4" hidden="1">{#N/A,#N/A,FALSE,"CCTV"}</definedName>
    <definedName name="래그_5" localSheetId="5" hidden="1">{#N/A,#N/A,FALSE,"CCTV"}</definedName>
    <definedName name="래그_5" hidden="1">{#N/A,#N/A,FALSE,"CCTV"}</definedName>
    <definedName name="러ㅛ" localSheetId="5" hidden="1">{#N/A,#N/A,FALSE,"이태원철근"}</definedName>
    <definedName name="러ㅛ" hidden="1">{#N/A,#N/A,FALSE,"이태원철근"}</definedName>
    <definedName name="롱" localSheetId="5" hidden="1">{#N/A,#N/A,FALSE,"배수2"}</definedName>
    <definedName name="롱" localSheetId="9" hidden="1">{#N/A,#N/A,FALSE,"배수2"}</definedName>
    <definedName name="롱" localSheetId="10" hidden="1">{#N/A,#N/A,FALSE,"배수2"}</definedName>
    <definedName name="롱" localSheetId="6" hidden="1">{#N/A,#N/A,FALSE,"배수2"}</definedName>
    <definedName name="롱" localSheetId="3" hidden="1">{#N/A,#N/A,FALSE,"배수2"}</definedName>
    <definedName name="롱" hidden="1">{#N/A,#N/A,FALSE,"배수2"}</definedName>
    <definedName name="류" localSheetId="5" hidden="1">{#N/A,#N/A,FALSE,"부대2"}</definedName>
    <definedName name="류" localSheetId="9" hidden="1">{#N/A,#N/A,FALSE,"부대2"}</definedName>
    <definedName name="류" localSheetId="10" hidden="1">{#N/A,#N/A,FALSE,"부대2"}</definedName>
    <definedName name="류" localSheetId="6" hidden="1">{#N/A,#N/A,FALSE,"부대2"}</definedName>
    <definedName name="류" localSheetId="3" hidden="1">{#N/A,#N/A,FALSE,"부대2"}</definedName>
    <definedName name="류" hidden="1">{#N/A,#N/A,FALSE,"부대2"}</definedName>
    <definedName name="류기평" localSheetId="5" hidden="1">{"LKD",#N/A,FALSE,"표지"}</definedName>
    <definedName name="류기평" hidden="1">{"LKD",#N/A,FALSE,"표지"}</definedName>
    <definedName name="류기평_1" localSheetId="5" hidden="1">{"LKD",#N/A,FALSE,"표지"}</definedName>
    <definedName name="류기평_1" hidden="1">{"LKD",#N/A,FALSE,"표지"}</definedName>
    <definedName name="류기평_2" localSheetId="5" hidden="1">{"LKD",#N/A,FALSE,"표지"}</definedName>
    <definedName name="류기평_2" hidden="1">{"LKD",#N/A,FALSE,"표지"}</definedName>
    <definedName name="류기평_3" localSheetId="5" hidden="1">{"LKD",#N/A,FALSE,"표지"}</definedName>
    <definedName name="류기평_3" hidden="1">{"LKD",#N/A,FALSE,"표지"}</definedName>
    <definedName name="류기평_4" localSheetId="5" hidden="1">{"LKD",#N/A,FALSE,"표지"}</definedName>
    <definedName name="류기평_4" hidden="1">{"LKD",#N/A,FALSE,"표지"}</definedName>
    <definedName name="류기평_5" localSheetId="5" hidden="1">{"LKD",#N/A,FALSE,"표지"}</definedName>
    <definedName name="류기평_5" hidden="1">{"LKD",#N/A,FALSE,"표지"}</definedName>
    <definedName name="ㄻ" localSheetId="5" hidden="1">{#N/A,#N/A,FALSE,"포장2"}</definedName>
    <definedName name="ㄻ" localSheetId="9" hidden="1">{#N/A,#N/A,FALSE,"포장2"}</definedName>
    <definedName name="ㄻ" localSheetId="10" hidden="1">{#N/A,#N/A,FALSE,"포장2"}</definedName>
    <definedName name="ㄻ" localSheetId="6" hidden="1">{#N/A,#N/A,FALSE,"포장2"}</definedName>
    <definedName name="ㄻ" localSheetId="3" hidden="1">{#N/A,#N/A,FALSE,"포장2"}</definedName>
    <definedName name="ㄻ" hidden="1">{#N/A,#N/A,FALSE,"포장2"}</definedName>
    <definedName name="ㄻㄴㄹㅇㄴㅁ" localSheetId="5" hidden="1">{#N/A,#N/A,FALSE,"운반시간"}</definedName>
    <definedName name="ㄻㄴㄹㅇㄴㅁ" hidden="1">{#N/A,#N/A,FALSE,"운반시간"}</definedName>
    <definedName name="ㄻㄴㄹㅇㄴㅁ_1" localSheetId="5" hidden="1">{#N/A,#N/A,FALSE,"운반시간"}</definedName>
    <definedName name="ㄻㄴㄹㅇㄴㅁ_1" hidden="1">{#N/A,#N/A,FALSE,"운반시간"}</definedName>
    <definedName name="ㄻㄴㄹㅇㄴㅁ_2" localSheetId="5" hidden="1">{#N/A,#N/A,FALSE,"운반시간"}</definedName>
    <definedName name="ㄻㄴㄹㅇㄴㅁ_2" hidden="1">{#N/A,#N/A,FALSE,"운반시간"}</definedName>
    <definedName name="ㄻㄴㄹㅇㄴㅁ_3" localSheetId="5" hidden="1">{#N/A,#N/A,FALSE,"운반시간"}</definedName>
    <definedName name="ㄻㄴㄹㅇㄴㅁ_3" hidden="1">{#N/A,#N/A,FALSE,"운반시간"}</definedName>
    <definedName name="ㄻㄴㄹㅇㄴㅁ_4" localSheetId="5" hidden="1">{#N/A,#N/A,FALSE,"운반시간"}</definedName>
    <definedName name="ㄻㄴㄹㅇㄴㅁ_4" hidden="1">{#N/A,#N/A,FALSE,"운반시간"}</definedName>
    <definedName name="ㄻㄴㄹㅇㄴㅁ_5" localSheetId="5" hidden="1">{#N/A,#N/A,FALSE,"운반시간"}</definedName>
    <definedName name="ㄻㄴㄹㅇㄴㅁ_5" hidden="1">{#N/A,#N/A,FALSE,"운반시간"}</definedName>
    <definedName name="ㄻㄴㅇㄻㄴ" localSheetId="5" hidden="1">{#N/A,#N/A,FALSE,"단가표지"}</definedName>
    <definedName name="ㄻㄴㅇㄻㄴ" hidden="1">{#N/A,#N/A,FALSE,"단가표지"}</definedName>
    <definedName name="ㄻㄴㅇㄻㄴ_1" localSheetId="5" hidden="1">{#N/A,#N/A,FALSE,"단가표지"}</definedName>
    <definedName name="ㄻㄴㅇㄻㄴ_1" hidden="1">{#N/A,#N/A,FALSE,"단가표지"}</definedName>
    <definedName name="ㄻㄴㅇㄻㄴ_2" localSheetId="5" hidden="1">{#N/A,#N/A,FALSE,"단가표지"}</definedName>
    <definedName name="ㄻㄴㅇㄻㄴ_2" hidden="1">{#N/A,#N/A,FALSE,"단가표지"}</definedName>
    <definedName name="ㄻㄴㅇㄻㄴ_3" localSheetId="5" hidden="1">{#N/A,#N/A,FALSE,"단가표지"}</definedName>
    <definedName name="ㄻㄴㅇㄻㄴ_3" hidden="1">{#N/A,#N/A,FALSE,"단가표지"}</definedName>
    <definedName name="ㄻㄴㅇㄻㄴ_4" localSheetId="5" hidden="1">{#N/A,#N/A,FALSE,"단가표지"}</definedName>
    <definedName name="ㄻㄴㅇㄻㄴ_4" hidden="1">{#N/A,#N/A,FALSE,"단가표지"}</definedName>
    <definedName name="ㄻㄴㅇㄻㄴ_5" localSheetId="5" hidden="1">{#N/A,#N/A,FALSE,"단가표지"}</definedName>
    <definedName name="ㄻㄴㅇㄻㄴ_5" hidden="1">{#N/A,#N/A,FALSE,"단가표지"}</definedName>
    <definedName name="ㄻㄴㅇㄻㄴㄹ" localSheetId="5" hidden="1">{#N/A,#N/A,FALSE,"2~8번"}</definedName>
    <definedName name="ㄻㄴㅇㄻㄴㄹ" hidden="1">{#N/A,#N/A,FALSE,"2~8번"}</definedName>
    <definedName name="ㄻㄴㅇㄻㄴㄹ_1" localSheetId="5" hidden="1">{#N/A,#N/A,FALSE,"2~8번"}</definedName>
    <definedName name="ㄻㄴㅇㄻㄴㄹ_1" hidden="1">{#N/A,#N/A,FALSE,"2~8번"}</definedName>
    <definedName name="ㄻㄴㅇㄻㄴㄹ_2" localSheetId="5" hidden="1">{#N/A,#N/A,FALSE,"2~8번"}</definedName>
    <definedName name="ㄻㄴㅇㄻㄴㄹ_2" hidden="1">{#N/A,#N/A,FALSE,"2~8번"}</definedName>
    <definedName name="ㄻㄴㅇㄻㄴㄹ_3" localSheetId="5" hidden="1">{#N/A,#N/A,FALSE,"2~8번"}</definedName>
    <definedName name="ㄻㄴㅇㄻㄴㄹ_3" hidden="1">{#N/A,#N/A,FALSE,"2~8번"}</definedName>
    <definedName name="ㄻㄴㅇㄻㄴㄹ_4" localSheetId="5" hidden="1">{#N/A,#N/A,FALSE,"2~8번"}</definedName>
    <definedName name="ㄻㄴㅇㄻㄴㄹ_4" hidden="1">{#N/A,#N/A,FALSE,"2~8번"}</definedName>
    <definedName name="ㄻㄴㅇㄻㄴㄹ_5" localSheetId="5" hidden="1">{#N/A,#N/A,FALSE,"2~8번"}</definedName>
    <definedName name="ㄻㄴㅇㄻㄴㄹ_5" hidden="1">{#N/A,#N/A,FALSE,"2~8번"}</definedName>
    <definedName name="ㄻㄴㅇㄻㄴㄻㄴㅁㄴ" localSheetId="5" hidden="1">{#N/A,#N/A,FALSE,"단가표지"}</definedName>
    <definedName name="ㄻㄴㅇㄻㄴㄻㄴㅁㄴ" hidden="1">{#N/A,#N/A,FALSE,"단가표지"}</definedName>
    <definedName name="ㄻㄴㅇㄻㄴㄻㄴㅁㄴ_1" localSheetId="5" hidden="1">{#N/A,#N/A,FALSE,"단가표지"}</definedName>
    <definedName name="ㄻㄴㅇㄻㄴㄻㄴㅁㄴ_1" hidden="1">{#N/A,#N/A,FALSE,"단가표지"}</definedName>
    <definedName name="ㄻㄴㅇㄻㄴㄻㄴㅁㄴ_2" localSheetId="5" hidden="1">{#N/A,#N/A,FALSE,"단가표지"}</definedName>
    <definedName name="ㄻㄴㅇㄻㄴㄻㄴㅁㄴ_2" hidden="1">{#N/A,#N/A,FALSE,"단가표지"}</definedName>
    <definedName name="ㄻㄴㅇㄻㄴㄻㄴㅁㄴ_3" localSheetId="5" hidden="1">{#N/A,#N/A,FALSE,"단가표지"}</definedName>
    <definedName name="ㄻㄴㅇㄻㄴㄻㄴㅁㄴ_3" hidden="1">{#N/A,#N/A,FALSE,"단가표지"}</definedName>
    <definedName name="ㄻㄴㅇㄻㄴㄻㄴㅁㄴ_4" localSheetId="5" hidden="1">{#N/A,#N/A,FALSE,"단가표지"}</definedName>
    <definedName name="ㄻㄴㅇㄻㄴㄻㄴㅁㄴ_4" hidden="1">{#N/A,#N/A,FALSE,"단가표지"}</definedName>
    <definedName name="ㄻㄴㅇㄻㄴㄻㄴㅁㄴ_5" localSheetId="5" hidden="1">{#N/A,#N/A,FALSE,"단가표지"}</definedName>
    <definedName name="ㄻㄴㅇㄻㄴㄻㄴㅁㄴ_5" hidden="1">{#N/A,#N/A,FALSE,"단가표지"}</definedName>
    <definedName name="ㄻㄴㅇㄻㄴㅁ" localSheetId="5" hidden="1">{#N/A,#N/A,FALSE,"운반시간"}</definedName>
    <definedName name="ㄻㄴㅇㄻㄴㅁ" hidden="1">{#N/A,#N/A,FALSE,"운반시간"}</definedName>
    <definedName name="ㄻㄴㅇㄻㄴㅁ_1" localSheetId="5" hidden="1">{#N/A,#N/A,FALSE,"운반시간"}</definedName>
    <definedName name="ㄻㄴㅇㄻㄴㅁ_1" hidden="1">{#N/A,#N/A,FALSE,"운반시간"}</definedName>
    <definedName name="ㄻㄴㅇㄻㄴㅁ_2" localSheetId="5" hidden="1">{#N/A,#N/A,FALSE,"운반시간"}</definedName>
    <definedName name="ㄻㄴㅇㄻㄴㅁ_2" hidden="1">{#N/A,#N/A,FALSE,"운반시간"}</definedName>
    <definedName name="ㄻㄴㅇㄻㄴㅁ_3" localSheetId="5" hidden="1">{#N/A,#N/A,FALSE,"운반시간"}</definedName>
    <definedName name="ㄻㄴㅇㄻㄴㅁ_3" hidden="1">{#N/A,#N/A,FALSE,"운반시간"}</definedName>
    <definedName name="ㄻㄴㅇㄻㄴㅁ_4" localSheetId="5" hidden="1">{#N/A,#N/A,FALSE,"운반시간"}</definedName>
    <definedName name="ㄻㄴㅇㄻㄴㅁ_4" hidden="1">{#N/A,#N/A,FALSE,"운반시간"}</definedName>
    <definedName name="ㄻㄴㅇㄻㄴㅁ_5" localSheetId="5" hidden="1">{#N/A,#N/A,FALSE,"운반시간"}</definedName>
    <definedName name="ㄻㄴㅇㄻㄴㅁ_5" hidden="1">{#N/A,#N/A,FALSE,"운반시간"}</definedName>
    <definedName name="ㄻㄴㅇㄻㄴㅇ" localSheetId="5" hidden="1">{#N/A,#N/A,FALSE,"단가표지"}</definedName>
    <definedName name="ㄻㄴㅇㄻㄴㅇ" hidden="1">{#N/A,#N/A,FALSE,"단가표지"}</definedName>
    <definedName name="ㄻㄴㅇㄻㄴㅇ_1" localSheetId="5" hidden="1">{#N/A,#N/A,FALSE,"단가표지"}</definedName>
    <definedName name="ㄻㄴㅇㄻㄴㅇ_1" hidden="1">{#N/A,#N/A,FALSE,"단가표지"}</definedName>
    <definedName name="ㄻㄴㅇㄻㄴㅇ_2" localSheetId="5" hidden="1">{#N/A,#N/A,FALSE,"단가표지"}</definedName>
    <definedName name="ㄻㄴㅇㄻㄴㅇ_2" hidden="1">{#N/A,#N/A,FALSE,"단가표지"}</definedName>
    <definedName name="ㄻㄴㅇㄻㄴㅇ_3" localSheetId="5" hidden="1">{#N/A,#N/A,FALSE,"단가표지"}</definedName>
    <definedName name="ㄻㄴㅇㄻㄴㅇ_3" hidden="1">{#N/A,#N/A,FALSE,"단가표지"}</definedName>
    <definedName name="ㄻㄴㅇㄻㄴㅇ_4" localSheetId="5" hidden="1">{#N/A,#N/A,FALSE,"단가표지"}</definedName>
    <definedName name="ㄻㄴㅇㄻㄴㅇ_4" hidden="1">{#N/A,#N/A,FALSE,"단가표지"}</definedName>
    <definedName name="ㄻㄴㅇㄻㄴㅇ_5" localSheetId="5" hidden="1">{#N/A,#N/A,FALSE,"단가표지"}</definedName>
    <definedName name="ㄻㄴㅇㄻㄴㅇ_5" hidden="1">{#N/A,#N/A,FALSE,"단가표지"}</definedName>
    <definedName name="ㄻㄴㅇㄻㄴㅇㄻ" localSheetId="5" hidden="1">{#N/A,#N/A,FALSE,"표지목차"}</definedName>
    <definedName name="ㄻㄴㅇㄻㄴㅇㄻ" hidden="1">{#N/A,#N/A,FALSE,"표지목차"}</definedName>
    <definedName name="ㄻㄴㅇㄻㄴㅇㄻ_1" localSheetId="5" hidden="1">{#N/A,#N/A,FALSE,"표지목차"}</definedName>
    <definedName name="ㄻㄴㅇㄻㄴㅇㄻ_1" hidden="1">{#N/A,#N/A,FALSE,"표지목차"}</definedName>
    <definedName name="ㄻㄴㅇㄻㄴㅇㄻ_2" localSheetId="5" hidden="1">{#N/A,#N/A,FALSE,"표지목차"}</definedName>
    <definedName name="ㄻㄴㅇㄻㄴㅇㄻ_2" hidden="1">{#N/A,#N/A,FALSE,"표지목차"}</definedName>
    <definedName name="ㄻㄴㅇㄻㄴㅇㄻ_3" localSheetId="5" hidden="1">{#N/A,#N/A,FALSE,"표지목차"}</definedName>
    <definedName name="ㄻㄴㅇㄻㄴㅇㄻ_3" hidden="1">{#N/A,#N/A,FALSE,"표지목차"}</definedName>
    <definedName name="ㄻㄴㅇㄻㄴㅇㄻ_4" localSheetId="5" hidden="1">{#N/A,#N/A,FALSE,"표지목차"}</definedName>
    <definedName name="ㄻㄴㅇㄻㄴㅇㄻ_4" hidden="1">{#N/A,#N/A,FALSE,"표지목차"}</definedName>
    <definedName name="ㄻㄴㅇㄻㄴㅇㄻ_5" localSheetId="5" hidden="1">{#N/A,#N/A,FALSE,"표지목차"}</definedName>
    <definedName name="ㄻㄴㅇㄻㄴㅇㄻ_5" hidden="1">{#N/A,#N/A,FALSE,"표지목차"}</definedName>
    <definedName name="ㄻㄴㅇㅁㄴㅇ" localSheetId="5" hidden="1">{#N/A,#N/A,FALSE,"단가표지"}</definedName>
    <definedName name="ㄻㄴㅇㅁㄴㅇ" hidden="1">{#N/A,#N/A,FALSE,"단가표지"}</definedName>
    <definedName name="ㄻㄴㅇㅁㄴㅇ_1" localSheetId="5" hidden="1">{#N/A,#N/A,FALSE,"단가표지"}</definedName>
    <definedName name="ㄻㄴㅇㅁㄴㅇ_1" hidden="1">{#N/A,#N/A,FALSE,"단가표지"}</definedName>
    <definedName name="ㄻㄴㅇㅁㄴㅇ_2" localSheetId="5" hidden="1">{#N/A,#N/A,FALSE,"단가표지"}</definedName>
    <definedName name="ㄻㄴㅇㅁㄴㅇ_2" hidden="1">{#N/A,#N/A,FALSE,"단가표지"}</definedName>
    <definedName name="ㄻㄴㅇㅁㄴㅇ_3" localSheetId="5" hidden="1">{#N/A,#N/A,FALSE,"단가표지"}</definedName>
    <definedName name="ㄻㄴㅇㅁㄴㅇ_3" hidden="1">{#N/A,#N/A,FALSE,"단가표지"}</definedName>
    <definedName name="ㄻㄴㅇㅁㄴㅇ_4" localSheetId="5" hidden="1">{#N/A,#N/A,FALSE,"단가표지"}</definedName>
    <definedName name="ㄻㄴㅇㅁㄴㅇ_4" hidden="1">{#N/A,#N/A,FALSE,"단가표지"}</definedName>
    <definedName name="ㄻㄴㅇㅁㄴㅇ_5" localSheetId="5" hidden="1">{#N/A,#N/A,FALSE,"단가표지"}</definedName>
    <definedName name="ㄻㄴㅇㅁㄴㅇ_5" hidden="1">{#N/A,#N/A,FALSE,"단가표지"}</definedName>
    <definedName name="ㄻㅁ" localSheetId="5" hidden="1">{#N/A,#N/A,FALSE,"조골재"}</definedName>
    <definedName name="ㄻㅁ" hidden="1">{#N/A,#N/A,FALSE,"조골재"}</definedName>
    <definedName name="ㄻㅁ_1" localSheetId="5" hidden="1">{#N/A,#N/A,FALSE,"조골재"}</definedName>
    <definedName name="ㄻㅁ_1" hidden="1">{#N/A,#N/A,FALSE,"조골재"}</definedName>
    <definedName name="ㄻㅁ_2" localSheetId="5" hidden="1">{#N/A,#N/A,FALSE,"조골재"}</definedName>
    <definedName name="ㄻㅁ_2" hidden="1">{#N/A,#N/A,FALSE,"조골재"}</definedName>
    <definedName name="ㄻㅁ_3" localSheetId="5" hidden="1">{#N/A,#N/A,FALSE,"조골재"}</definedName>
    <definedName name="ㄻㅁ_3" hidden="1">{#N/A,#N/A,FALSE,"조골재"}</definedName>
    <definedName name="ㄻㅁ_4" localSheetId="5" hidden="1">{#N/A,#N/A,FALSE,"조골재"}</definedName>
    <definedName name="ㄻㅁ_4" hidden="1">{#N/A,#N/A,FALSE,"조골재"}</definedName>
    <definedName name="ㄻㅁ_5" localSheetId="5" hidden="1">{#N/A,#N/A,FALSE,"조골재"}</definedName>
    <definedName name="ㄻㅁ_5" hidden="1">{#N/A,#N/A,FALSE,"조골재"}</definedName>
    <definedName name="ㄼ" localSheetId="5" hidden="1">{#N/A,#N/A,FALSE,"이태원철근"}</definedName>
    <definedName name="ㄼ" hidden="1">{#N/A,#N/A,FALSE,"이태원철근"}</definedName>
    <definedName name="ㄼㅂ" localSheetId="5" hidden="1">{#N/A,#N/A,FALSE,"이태원철근"}</definedName>
    <definedName name="ㄼㅂ" hidden="1">{#N/A,#N/A,FALSE,"이태원철근"}</definedName>
    <definedName name="ㅀ" hidden="1">#REF!</definedName>
    <definedName name="ㅀㅇㅁ" localSheetId="5" hidden="1">{#N/A,#N/A,FALSE,"골재소요량";#N/A,#N/A,FALSE,"골재소요량"}</definedName>
    <definedName name="ㅀㅇㅁ" hidden="1">{#N/A,#N/A,FALSE,"골재소요량";#N/A,#N/A,FALSE,"골재소요량"}</definedName>
    <definedName name="ㅀㅇㅁ_1" localSheetId="5" hidden="1">{#N/A,#N/A,FALSE,"골재소요량";#N/A,#N/A,FALSE,"골재소요량"}</definedName>
    <definedName name="ㅀㅇㅁ_1" hidden="1">{#N/A,#N/A,FALSE,"골재소요량";#N/A,#N/A,FALSE,"골재소요량"}</definedName>
    <definedName name="ㅀㅇㅁ_2" localSheetId="5" hidden="1">{#N/A,#N/A,FALSE,"골재소요량";#N/A,#N/A,FALSE,"골재소요량"}</definedName>
    <definedName name="ㅀㅇㅁ_2" hidden="1">{#N/A,#N/A,FALSE,"골재소요량";#N/A,#N/A,FALSE,"골재소요량"}</definedName>
    <definedName name="ㅀㅇㅁ_3" localSheetId="5" hidden="1">{#N/A,#N/A,FALSE,"골재소요량";#N/A,#N/A,FALSE,"골재소요량"}</definedName>
    <definedName name="ㅀㅇㅁ_3" hidden="1">{#N/A,#N/A,FALSE,"골재소요량";#N/A,#N/A,FALSE,"골재소요량"}</definedName>
    <definedName name="ㅀㅇㅁ_4" localSheetId="5" hidden="1">{#N/A,#N/A,FALSE,"골재소요량";#N/A,#N/A,FALSE,"골재소요량"}</definedName>
    <definedName name="ㅀㅇㅁ_4" hidden="1">{#N/A,#N/A,FALSE,"골재소요량";#N/A,#N/A,FALSE,"골재소요량"}</definedName>
    <definedName name="ㅀㅇㅁ_5" localSheetId="5" hidden="1">{#N/A,#N/A,FALSE,"골재소요량";#N/A,#N/A,FALSE,"골재소요량"}</definedName>
    <definedName name="ㅀㅇㅁ_5" hidden="1">{#N/A,#N/A,FALSE,"골재소요량";#N/A,#N/A,FALSE,"골재소요량"}</definedName>
    <definedName name="ㅁ" localSheetId="5" hidden="1">{#N/A,#N/A,FALSE,"이태원철근"}</definedName>
    <definedName name="ㅁ" hidden="1">{#N/A,#N/A,FALSE,"이태원철근"}</definedName>
    <definedName name="ㅁㄴㄹㄴ" localSheetId="5" hidden="1">{#N/A,#N/A,FALSE,"운반시간"}</definedName>
    <definedName name="ㅁㄴㄹㄴ" hidden="1">{#N/A,#N/A,FALSE,"운반시간"}</definedName>
    <definedName name="ㅁㄴㄹㄴ_1" localSheetId="5" hidden="1">{#N/A,#N/A,FALSE,"운반시간"}</definedName>
    <definedName name="ㅁㄴㄹㄴ_1" hidden="1">{#N/A,#N/A,FALSE,"운반시간"}</definedName>
    <definedName name="ㅁㄴㄹㄴ_2" localSheetId="5" hidden="1">{#N/A,#N/A,FALSE,"운반시간"}</definedName>
    <definedName name="ㅁㄴㄹㄴ_2" hidden="1">{#N/A,#N/A,FALSE,"운반시간"}</definedName>
    <definedName name="ㅁㄴㄹㄴ_3" localSheetId="5" hidden="1">{#N/A,#N/A,FALSE,"운반시간"}</definedName>
    <definedName name="ㅁㄴㄹㄴ_3" hidden="1">{#N/A,#N/A,FALSE,"운반시간"}</definedName>
    <definedName name="ㅁㄴㄹㄴ_4" localSheetId="5" hidden="1">{#N/A,#N/A,FALSE,"운반시간"}</definedName>
    <definedName name="ㅁㄴㄹㄴ_4" hidden="1">{#N/A,#N/A,FALSE,"운반시간"}</definedName>
    <definedName name="ㅁㄴㄹㄴ_5" localSheetId="5" hidden="1">{#N/A,#N/A,FALSE,"운반시간"}</definedName>
    <definedName name="ㅁㄴㄹㄴ_5" hidden="1">{#N/A,#N/A,FALSE,"운반시간"}</definedName>
    <definedName name="ㅁㄴㄹㅇㅁ" localSheetId="5" hidden="1">{#N/A,#N/A,FALSE,"단가표지"}</definedName>
    <definedName name="ㅁㄴㄹㅇㅁ" hidden="1">{#N/A,#N/A,FALSE,"단가표지"}</definedName>
    <definedName name="ㅁㄴㄹㅇㅁ_1" localSheetId="5" hidden="1">{#N/A,#N/A,FALSE,"단가표지"}</definedName>
    <definedName name="ㅁㄴㄹㅇㅁ_1" hidden="1">{#N/A,#N/A,FALSE,"단가표지"}</definedName>
    <definedName name="ㅁㄴㄹㅇㅁ_2" localSheetId="5" hidden="1">{#N/A,#N/A,FALSE,"단가표지"}</definedName>
    <definedName name="ㅁㄴㄹㅇㅁ_2" hidden="1">{#N/A,#N/A,FALSE,"단가표지"}</definedName>
    <definedName name="ㅁㄴㄹㅇㅁ_3" localSheetId="5" hidden="1">{#N/A,#N/A,FALSE,"단가표지"}</definedName>
    <definedName name="ㅁㄴㄹㅇㅁ_3" hidden="1">{#N/A,#N/A,FALSE,"단가표지"}</definedName>
    <definedName name="ㅁㄴㄹㅇㅁ_4" localSheetId="5" hidden="1">{#N/A,#N/A,FALSE,"단가표지"}</definedName>
    <definedName name="ㅁㄴㄹㅇㅁ_4" hidden="1">{#N/A,#N/A,FALSE,"단가표지"}</definedName>
    <definedName name="ㅁㄴㄹㅇㅁ_5" localSheetId="5" hidden="1">{#N/A,#N/A,FALSE,"단가표지"}</definedName>
    <definedName name="ㅁㄴㄹㅇㅁ_5" hidden="1">{#N/A,#N/A,FALSE,"단가표지"}</definedName>
    <definedName name="ㅁㄴㄹㅇㅁㄴㅇ" hidden="1">#REF!</definedName>
    <definedName name="ㅁㄴㅁㅇ" hidden="1">#REF!</definedName>
    <definedName name="ㅁㄴㅇ" hidden="1">#REF!</definedName>
    <definedName name="ㅁㄴㅊ" localSheetId="5" hidden="1">{#N/A,#N/A,TRUE,"MATERIAL COST"}</definedName>
    <definedName name="ㅁㄴㅊ" hidden="1">{#N/A,#N/A,TRUE,"MATERIAL COST"}</definedName>
    <definedName name="ㅁㄴㅌㄴ" localSheetId="5" hidden="1">{"'자리배치도'!$AG$1:$CI$28"}</definedName>
    <definedName name="ㅁㄴㅌㄴ" hidden="1">{"'자리배치도'!$AG$1:$CI$28"}</definedName>
    <definedName name="ㅁㄹㄴㅇ" localSheetId="5" hidden="1">{#N/A,#N/A,FALSE,"단가표지"}</definedName>
    <definedName name="ㅁㄹㄴㅇ" hidden="1">{#N/A,#N/A,FALSE,"단가표지"}</definedName>
    <definedName name="ㅁㄹㄴㅇ_1" localSheetId="5" hidden="1">{#N/A,#N/A,FALSE,"단가표지"}</definedName>
    <definedName name="ㅁㄹㄴㅇ_1" hidden="1">{#N/A,#N/A,FALSE,"단가표지"}</definedName>
    <definedName name="ㅁㄹㄴㅇ_2" localSheetId="5" hidden="1">{#N/A,#N/A,FALSE,"단가표지"}</definedName>
    <definedName name="ㅁㄹㄴㅇ_2" hidden="1">{#N/A,#N/A,FALSE,"단가표지"}</definedName>
    <definedName name="ㅁㄹㄴㅇ_3" localSheetId="5" hidden="1">{#N/A,#N/A,FALSE,"단가표지"}</definedName>
    <definedName name="ㅁㄹㄴㅇ_3" hidden="1">{#N/A,#N/A,FALSE,"단가표지"}</definedName>
    <definedName name="ㅁㄹㄴㅇ_4" localSheetId="5" hidden="1">{#N/A,#N/A,FALSE,"단가표지"}</definedName>
    <definedName name="ㅁㄹㄴㅇ_4" hidden="1">{#N/A,#N/A,FALSE,"단가표지"}</definedName>
    <definedName name="ㅁㄹㄴㅇ_5" localSheetId="5" hidden="1">{#N/A,#N/A,FALSE,"단가표지"}</definedName>
    <definedName name="ㅁㄹㄴㅇ_5" hidden="1">{#N/A,#N/A,FALSE,"단가표지"}</definedName>
    <definedName name="ㅁㄹㄴㅇㄻㄴㄹ" localSheetId="5" hidden="1">{#N/A,#N/A,FALSE,"골재소요량";#N/A,#N/A,FALSE,"골재소요량"}</definedName>
    <definedName name="ㅁㄹㄴㅇㄻㄴㄹ" hidden="1">{#N/A,#N/A,FALSE,"골재소요량";#N/A,#N/A,FALSE,"골재소요량"}</definedName>
    <definedName name="ㅁㄹㄴㅇㄻㄴㄹ_1" localSheetId="5" hidden="1">{#N/A,#N/A,FALSE,"골재소요량";#N/A,#N/A,FALSE,"골재소요량"}</definedName>
    <definedName name="ㅁㄹㄴㅇㄻㄴㄹ_1" hidden="1">{#N/A,#N/A,FALSE,"골재소요량";#N/A,#N/A,FALSE,"골재소요량"}</definedName>
    <definedName name="ㅁㄹㄴㅇㄻㄴㄹ_2" localSheetId="5" hidden="1">{#N/A,#N/A,FALSE,"골재소요량";#N/A,#N/A,FALSE,"골재소요량"}</definedName>
    <definedName name="ㅁㄹㄴㅇㄻㄴㄹ_2" hidden="1">{#N/A,#N/A,FALSE,"골재소요량";#N/A,#N/A,FALSE,"골재소요량"}</definedName>
    <definedName name="ㅁㄹㄴㅇㄻㄴㄹ_3" localSheetId="5" hidden="1">{#N/A,#N/A,FALSE,"골재소요량";#N/A,#N/A,FALSE,"골재소요량"}</definedName>
    <definedName name="ㅁㄹㄴㅇㄻㄴㄹ_3" hidden="1">{#N/A,#N/A,FALSE,"골재소요량";#N/A,#N/A,FALSE,"골재소요량"}</definedName>
    <definedName name="ㅁㄹㄴㅇㄻㄴㄹ_4" localSheetId="5" hidden="1">{#N/A,#N/A,FALSE,"골재소요량";#N/A,#N/A,FALSE,"골재소요량"}</definedName>
    <definedName name="ㅁㄹㄴㅇㄻㄴㄹ_4" hidden="1">{#N/A,#N/A,FALSE,"골재소요량";#N/A,#N/A,FALSE,"골재소요량"}</definedName>
    <definedName name="ㅁㄹㄴㅇㄻㄴㄹ_5" localSheetId="5" hidden="1">{#N/A,#N/A,FALSE,"골재소요량";#N/A,#N/A,FALSE,"골재소요량"}</definedName>
    <definedName name="ㅁㄹㄴㅇㄻㄴㄹ_5" hidden="1">{#N/A,#N/A,FALSE,"골재소요량";#N/A,#N/A,FALSE,"골재소요량"}</definedName>
    <definedName name="ㅁㄹㄴㅇㅁ" localSheetId="5" hidden="1">{#N/A,#N/A,FALSE,"표지목차"}</definedName>
    <definedName name="ㅁㄹㄴㅇㅁ" hidden="1">{#N/A,#N/A,FALSE,"표지목차"}</definedName>
    <definedName name="ㅁㄹㄴㅇㅁ_1" localSheetId="5" hidden="1">{#N/A,#N/A,FALSE,"표지목차"}</definedName>
    <definedName name="ㅁㄹㄴㅇㅁ_1" hidden="1">{#N/A,#N/A,FALSE,"표지목차"}</definedName>
    <definedName name="ㅁㄹㄴㅇㅁ_2" localSheetId="5" hidden="1">{#N/A,#N/A,FALSE,"표지목차"}</definedName>
    <definedName name="ㅁㄹㄴㅇㅁ_2" hidden="1">{#N/A,#N/A,FALSE,"표지목차"}</definedName>
    <definedName name="ㅁㄹㄴㅇㅁ_3" localSheetId="5" hidden="1">{#N/A,#N/A,FALSE,"표지목차"}</definedName>
    <definedName name="ㅁㄹㄴㅇㅁ_3" hidden="1">{#N/A,#N/A,FALSE,"표지목차"}</definedName>
    <definedName name="ㅁㄹㄴㅇㅁ_4" localSheetId="5" hidden="1">{#N/A,#N/A,FALSE,"표지목차"}</definedName>
    <definedName name="ㅁㄹㄴㅇㅁ_4" hidden="1">{#N/A,#N/A,FALSE,"표지목차"}</definedName>
    <definedName name="ㅁㄹㄴㅇㅁ_5" localSheetId="5" hidden="1">{#N/A,#N/A,FALSE,"표지목차"}</definedName>
    <definedName name="ㅁㄹㄴㅇㅁ_5" hidden="1">{#N/A,#N/A,FALSE,"표지목차"}</definedName>
    <definedName name="ㅁㄹㅇㄴ" localSheetId="5" hidden="1">{#N/A,#N/A,FALSE,"단가표지"}</definedName>
    <definedName name="ㅁㄹㅇㄴ" hidden="1">{#N/A,#N/A,FALSE,"단가표지"}</definedName>
    <definedName name="ㅁㄹㅇㄴ_1" localSheetId="5" hidden="1">{#N/A,#N/A,FALSE,"단가표지"}</definedName>
    <definedName name="ㅁㄹㅇㄴ_1" hidden="1">{#N/A,#N/A,FALSE,"단가표지"}</definedName>
    <definedName name="ㅁㄹㅇㄴ_2" localSheetId="5" hidden="1">{#N/A,#N/A,FALSE,"단가표지"}</definedName>
    <definedName name="ㅁㄹㅇㄴ_2" hidden="1">{#N/A,#N/A,FALSE,"단가표지"}</definedName>
    <definedName name="ㅁㄹㅇㄴ_3" localSheetId="5" hidden="1">{#N/A,#N/A,FALSE,"단가표지"}</definedName>
    <definedName name="ㅁㄹㅇㄴ_3" hidden="1">{#N/A,#N/A,FALSE,"단가표지"}</definedName>
    <definedName name="ㅁㄹㅇㄴ_4" localSheetId="5" hidden="1">{#N/A,#N/A,FALSE,"단가표지"}</definedName>
    <definedName name="ㅁㄹㅇㄴ_4" hidden="1">{#N/A,#N/A,FALSE,"단가표지"}</definedName>
    <definedName name="ㅁㄹㅇㄴ_5" localSheetId="5" hidden="1">{#N/A,#N/A,FALSE,"단가표지"}</definedName>
    <definedName name="ㅁㄹㅇㄴ_5" hidden="1">{#N/A,#N/A,FALSE,"단가표지"}</definedName>
    <definedName name="ㅁㄹㅇㅁㄴ" localSheetId="5" hidden="1">{#N/A,#N/A,FALSE,"골재소요량";#N/A,#N/A,FALSE,"골재소요량"}</definedName>
    <definedName name="ㅁㄹㅇㅁㄴ" hidden="1">{#N/A,#N/A,FALSE,"골재소요량";#N/A,#N/A,FALSE,"골재소요량"}</definedName>
    <definedName name="ㅁㄹㅇㅁㄴ_1" localSheetId="5" hidden="1">{#N/A,#N/A,FALSE,"골재소요량";#N/A,#N/A,FALSE,"골재소요량"}</definedName>
    <definedName name="ㅁㄹㅇㅁㄴ_1" hidden="1">{#N/A,#N/A,FALSE,"골재소요량";#N/A,#N/A,FALSE,"골재소요량"}</definedName>
    <definedName name="ㅁㄹㅇㅁㄴ_2" localSheetId="5" hidden="1">{#N/A,#N/A,FALSE,"골재소요량";#N/A,#N/A,FALSE,"골재소요량"}</definedName>
    <definedName name="ㅁㄹㅇㅁㄴ_2" hidden="1">{#N/A,#N/A,FALSE,"골재소요량";#N/A,#N/A,FALSE,"골재소요량"}</definedName>
    <definedName name="ㅁㄹㅇㅁㄴ_3" localSheetId="5" hidden="1">{#N/A,#N/A,FALSE,"골재소요량";#N/A,#N/A,FALSE,"골재소요량"}</definedName>
    <definedName name="ㅁㄹㅇㅁㄴ_3" hidden="1">{#N/A,#N/A,FALSE,"골재소요량";#N/A,#N/A,FALSE,"골재소요량"}</definedName>
    <definedName name="ㅁㄹㅇㅁㄴ_4" localSheetId="5" hidden="1">{#N/A,#N/A,FALSE,"골재소요량";#N/A,#N/A,FALSE,"골재소요량"}</definedName>
    <definedName name="ㅁㄹㅇㅁㄴ_4" hidden="1">{#N/A,#N/A,FALSE,"골재소요량";#N/A,#N/A,FALSE,"골재소요량"}</definedName>
    <definedName name="ㅁㄹㅇㅁㄴ_5" localSheetId="5" hidden="1">{#N/A,#N/A,FALSE,"골재소요량";#N/A,#N/A,FALSE,"골재소요량"}</definedName>
    <definedName name="ㅁㄹㅇㅁㄴ_5" hidden="1">{#N/A,#N/A,FALSE,"골재소요량";#N/A,#N/A,FALSE,"골재소요량"}</definedName>
    <definedName name="ㅁㄻㄴㄹ" localSheetId="5" hidden="1">{#N/A,#N/A,FALSE,"골재소요량";#N/A,#N/A,FALSE,"골재소요량"}</definedName>
    <definedName name="ㅁㄻㄴㄹ" hidden="1">{#N/A,#N/A,FALSE,"골재소요량";#N/A,#N/A,FALSE,"골재소요량"}</definedName>
    <definedName name="ㅁㄻㄴㄹ_1" localSheetId="5" hidden="1">{#N/A,#N/A,FALSE,"골재소요량";#N/A,#N/A,FALSE,"골재소요량"}</definedName>
    <definedName name="ㅁㄻㄴㄹ_1" hidden="1">{#N/A,#N/A,FALSE,"골재소요량";#N/A,#N/A,FALSE,"골재소요량"}</definedName>
    <definedName name="ㅁㄻㄴㄹ_2" localSheetId="5" hidden="1">{#N/A,#N/A,FALSE,"골재소요량";#N/A,#N/A,FALSE,"골재소요량"}</definedName>
    <definedName name="ㅁㄻㄴㄹ_2" hidden="1">{#N/A,#N/A,FALSE,"골재소요량";#N/A,#N/A,FALSE,"골재소요량"}</definedName>
    <definedName name="ㅁㄻㄴㄹ_3" localSheetId="5" hidden="1">{#N/A,#N/A,FALSE,"골재소요량";#N/A,#N/A,FALSE,"골재소요량"}</definedName>
    <definedName name="ㅁㄻㄴㄹ_3" hidden="1">{#N/A,#N/A,FALSE,"골재소요량";#N/A,#N/A,FALSE,"골재소요량"}</definedName>
    <definedName name="ㅁㄻㄴㄹ_4" localSheetId="5" hidden="1">{#N/A,#N/A,FALSE,"골재소요량";#N/A,#N/A,FALSE,"골재소요량"}</definedName>
    <definedName name="ㅁㄻㄴㄹ_4" hidden="1">{#N/A,#N/A,FALSE,"골재소요량";#N/A,#N/A,FALSE,"골재소요량"}</definedName>
    <definedName name="ㅁㄻㄴㄹ_5" localSheetId="5" hidden="1">{#N/A,#N/A,FALSE,"골재소요량";#N/A,#N/A,FALSE,"골재소요량"}</definedName>
    <definedName name="ㅁㄻㄴㄹ_5" hidden="1">{#N/A,#N/A,FALSE,"골재소요량";#N/A,#N/A,FALSE,"골재소요량"}</definedName>
    <definedName name="ㅁㅁ" localSheetId="9" hidden="1">#REF!</definedName>
    <definedName name="ㅁㅁ" localSheetId="10" hidden="1">#REF!</definedName>
    <definedName name="ㅁㅁ" localSheetId="3" hidden="1">{#N/A,#N/A,FALSE,"이태원철근"}</definedName>
    <definedName name="ㅁㅁ" hidden="1">#REF!</definedName>
    <definedName name="ㅁㅁㅁ_1" localSheetId="5" hidden="1">{"LKD",#N/A,FALSE,"표지"}</definedName>
    <definedName name="ㅁㅁㅁ_1" hidden="1">{"LKD",#N/A,FALSE,"표지"}</definedName>
    <definedName name="ㅁㅁㅁ_2" localSheetId="5" hidden="1">{"LKD",#N/A,FALSE,"표지"}</definedName>
    <definedName name="ㅁㅁㅁ_2" hidden="1">{"LKD",#N/A,FALSE,"표지"}</definedName>
    <definedName name="ㅁㅁㅁ_3" localSheetId="5" hidden="1">{"LKD",#N/A,FALSE,"표지"}</definedName>
    <definedName name="ㅁㅁㅁ_3" hidden="1">{"LKD",#N/A,FALSE,"표지"}</definedName>
    <definedName name="ㅁㅁㅁ_4" localSheetId="5" hidden="1">{"LKD",#N/A,FALSE,"표지"}</definedName>
    <definedName name="ㅁㅁㅁ_4" hidden="1">{"LKD",#N/A,FALSE,"표지"}</definedName>
    <definedName name="ㅁㅁㅁ_5" localSheetId="5" hidden="1">{"LKD",#N/A,FALSE,"표지"}</definedName>
    <definedName name="ㅁㅁㅁ_5" hidden="1">{"LKD",#N/A,FALSE,"표지"}</definedName>
    <definedName name="ㅁㅁㅁㅁ" localSheetId="5" hidden="1">{#N/A,#N/A,FALSE,"혼합골재"}</definedName>
    <definedName name="ㅁㅁㅁㅁ" hidden="1">{#N/A,#N/A,FALSE,"혼합골재"}</definedName>
    <definedName name="ㅁㅁㅁㅁ_1" localSheetId="5" hidden="1">{#N/A,#N/A,FALSE,"혼합골재"}</definedName>
    <definedName name="ㅁㅁㅁㅁ_1" hidden="1">{#N/A,#N/A,FALSE,"혼합골재"}</definedName>
    <definedName name="ㅁㅁㅁㅁ_2" localSheetId="5" hidden="1">{#N/A,#N/A,FALSE,"혼합골재"}</definedName>
    <definedName name="ㅁㅁㅁㅁ_2" hidden="1">{#N/A,#N/A,FALSE,"혼합골재"}</definedName>
    <definedName name="ㅁㅁㅁㅁ_3" localSheetId="5" hidden="1">{#N/A,#N/A,FALSE,"혼합골재"}</definedName>
    <definedName name="ㅁㅁㅁㅁ_3" hidden="1">{#N/A,#N/A,FALSE,"혼합골재"}</definedName>
    <definedName name="ㅁㅁㅁㅁ_4" localSheetId="5" hidden="1">{#N/A,#N/A,FALSE,"혼합골재"}</definedName>
    <definedName name="ㅁㅁㅁㅁ_4" hidden="1">{#N/A,#N/A,FALSE,"혼합골재"}</definedName>
    <definedName name="ㅁㅁㅁㅁ_5" localSheetId="5" hidden="1">{#N/A,#N/A,FALSE,"혼합골재"}</definedName>
    <definedName name="ㅁㅁㅁㅁ_5" hidden="1">{#N/A,#N/A,FALSE,"혼합골재"}</definedName>
    <definedName name="ㅁㅁㅁㅁㅁ_1" localSheetId="5" hidden="1">{"LKD",#N/A,FALSE,"표지"}</definedName>
    <definedName name="ㅁㅁㅁㅁㅁ_1" hidden="1">{"LKD",#N/A,FALSE,"표지"}</definedName>
    <definedName name="ㅁㅁㅁㅁㅁ_2" localSheetId="5" hidden="1">{"LKD",#N/A,FALSE,"표지"}</definedName>
    <definedName name="ㅁㅁㅁㅁㅁ_2" hidden="1">{"LKD",#N/A,FALSE,"표지"}</definedName>
    <definedName name="ㅁㅁㅁㅁㅁ_3" localSheetId="5" hidden="1">{"LKD",#N/A,FALSE,"표지"}</definedName>
    <definedName name="ㅁㅁㅁㅁㅁ_3" hidden="1">{"LKD",#N/A,FALSE,"표지"}</definedName>
    <definedName name="ㅁㅁㅁㅁㅁ_4" localSheetId="5" hidden="1">{"LKD",#N/A,FALSE,"표지"}</definedName>
    <definedName name="ㅁㅁㅁㅁㅁ_4" hidden="1">{"LKD",#N/A,FALSE,"표지"}</definedName>
    <definedName name="ㅁㅁㅁㅁㅁ_5" localSheetId="5" hidden="1">{"LKD",#N/A,FALSE,"표지"}</definedName>
    <definedName name="ㅁㅁㅁㅁㅁ_5" hidden="1">{"LKD",#N/A,FALSE,"표지"}</definedName>
    <definedName name="ㅁㅇㄹㄴㅇㅁㄹ" localSheetId="5" hidden="1">{#N/A,#N/A,FALSE,"운반시간"}</definedName>
    <definedName name="ㅁㅇㄹㄴㅇㅁㄹ" hidden="1">{#N/A,#N/A,FALSE,"운반시간"}</definedName>
    <definedName name="ㅁㅇㄹㄴㅇㅁㄹ_1" localSheetId="5" hidden="1">{#N/A,#N/A,FALSE,"운반시간"}</definedName>
    <definedName name="ㅁㅇㄹㄴㅇㅁㄹ_1" hidden="1">{#N/A,#N/A,FALSE,"운반시간"}</definedName>
    <definedName name="ㅁㅇㄹㄴㅇㅁㄹ_2" localSheetId="5" hidden="1">{#N/A,#N/A,FALSE,"운반시간"}</definedName>
    <definedName name="ㅁㅇㄹㄴㅇㅁㄹ_2" hidden="1">{#N/A,#N/A,FALSE,"운반시간"}</definedName>
    <definedName name="ㅁㅇㄹㄴㅇㅁㄹ_3" localSheetId="5" hidden="1">{#N/A,#N/A,FALSE,"운반시간"}</definedName>
    <definedName name="ㅁㅇㄹㄴㅇㅁㄹ_3" hidden="1">{#N/A,#N/A,FALSE,"운반시간"}</definedName>
    <definedName name="ㅁㅇㄹㄴㅇㅁㄹ_4" localSheetId="5" hidden="1">{#N/A,#N/A,FALSE,"운반시간"}</definedName>
    <definedName name="ㅁㅇㄹㄴㅇㅁㄹ_4" hidden="1">{#N/A,#N/A,FALSE,"운반시간"}</definedName>
    <definedName name="ㅁㅇㄹㄴㅇㅁㄹ_5" localSheetId="5" hidden="1">{#N/A,#N/A,FALSE,"운반시간"}</definedName>
    <definedName name="ㅁㅇㄹㄴㅇㅁㄹ_5" hidden="1">{#N/A,#N/A,FALSE,"운반시간"}</definedName>
    <definedName name="ㅁㅇㄻ" localSheetId="5" hidden="1">{#N/A,#N/A,FALSE,"조골재"}</definedName>
    <definedName name="ㅁㅇㄻ" hidden="1">{#N/A,#N/A,FALSE,"조골재"}</definedName>
    <definedName name="ㅁㅇㄻ_1" localSheetId="5" hidden="1">{#N/A,#N/A,FALSE,"조골재"}</definedName>
    <definedName name="ㅁㅇㄻ_1" hidden="1">{#N/A,#N/A,FALSE,"조골재"}</definedName>
    <definedName name="ㅁㅇㄻ_2" localSheetId="5" hidden="1">{#N/A,#N/A,FALSE,"조골재"}</definedName>
    <definedName name="ㅁㅇㄻ_2" hidden="1">{#N/A,#N/A,FALSE,"조골재"}</definedName>
    <definedName name="ㅁㅇㄻ_3" localSheetId="5" hidden="1">{#N/A,#N/A,FALSE,"조골재"}</definedName>
    <definedName name="ㅁㅇㄻ_3" hidden="1">{#N/A,#N/A,FALSE,"조골재"}</definedName>
    <definedName name="ㅁㅇㄻ_4" localSheetId="5" hidden="1">{#N/A,#N/A,FALSE,"조골재"}</definedName>
    <definedName name="ㅁㅇㄻ_4" hidden="1">{#N/A,#N/A,FALSE,"조골재"}</definedName>
    <definedName name="ㅁㅇㄻ_5" localSheetId="5" hidden="1">{#N/A,#N/A,FALSE,"조골재"}</definedName>
    <definedName name="ㅁㅇㄻ_5" hidden="1">{#N/A,#N/A,FALSE,"조골재"}</definedName>
    <definedName name="ㅁㅇㄻㄴㄹ" localSheetId="5" hidden="1">{#N/A,#N/A,FALSE,"혼합골재"}</definedName>
    <definedName name="ㅁㅇㄻㄴㄹ" hidden="1">{#N/A,#N/A,FALSE,"혼합골재"}</definedName>
    <definedName name="ㅁㅇㄻㄴㄹ_1" localSheetId="5" hidden="1">{#N/A,#N/A,FALSE,"혼합골재"}</definedName>
    <definedName name="ㅁㅇㄻㄴㄹ_1" hidden="1">{#N/A,#N/A,FALSE,"혼합골재"}</definedName>
    <definedName name="ㅁㅇㄻㄴㄹ_2" localSheetId="5" hidden="1">{#N/A,#N/A,FALSE,"혼합골재"}</definedName>
    <definedName name="ㅁㅇㄻㄴㄹ_2" hidden="1">{#N/A,#N/A,FALSE,"혼합골재"}</definedName>
    <definedName name="ㅁㅇㄻㄴㄹ_3" localSheetId="5" hidden="1">{#N/A,#N/A,FALSE,"혼합골재"}</definedName>
    <definedName name="ㅁㅇㄻㄴㄹ_3" hidden="1">{#N/A,#N/A,FALSE,"혼합골재"}</definedName>
    <definedName name="ㅁㅇㄻㄴㄹ_4" localSheetId="5" hidden="1">{#N/A,#N/A,FALSE,"혼합골재"}</definedName>
    <definedName name="ㅁㅇㄻㄴㄹ_4" hidden="1">{#N/A,#N/A,FALSE,"혼합골재"}</definedName>
    <definedName name="ㅁㅇㄻㄴㄹ_5" localSheetId="5" hidden="1">{#N/A,#N/A,FALSE,"혼합골재"}</definedName>
    <definedName name="ㅁㅇㄻㄴㄹ_5" hidden="1">{#N/A,#N/A,FALSE,"혼합골재"}</definedName>
    <definedName name="ㅁㅇㄻㅇㅎ" localSheetId="5" hidden="1">{#N/A,#N/A,FALSE,"조골재"}</definedName>
    <definedName name="ㅁㅇㄻㅇㅎ" hidden="1">{#N/A,#N/A,FALSE,"조골재"}</definedName>
    <definedName name="ㅁㅇㄻㅇㅎ_1" localSheetId="5" hidden="1">{#N/A,#N/A,FALSE,"조골재"}</definedName>
    <definedName name="ㅁㅇㄻㅇㅎ_1" hidden="1">{#N/A,#N/A,FALSE,"조골재"}</definedName>
    <definedName name="ㅁㅇㄻㅇㅎ_2" localSheetId="5" hidden="1">{#N/A,#N/A,FALSE,"조골재"}</definedName>
    <definedName name="ㅁㅇㄻㅇㅎ_2" hidden="1">{#N/A,#N/A,FALSE,"조골재"}</definedName>
    <definedName name="ㅁㅇㄻㅇㅎ_3" localSheetId="5" hidden="1">{#N/A,#N/A,FALSE,"조골재"}</definedName>
    <definedName name="ㅁㅇㄻㅇㅎ_3" hidden="1">{#N/A,#N/A,FALSE,"조골재"}</definedName>
    <definedName name="ㅁㅇㄻㅇㅎ_4" localSheetId="5" hidden="1">{#N/A,#N/A,FALSE,"조골재"}</definedName>
    <definedName name="ㅁㅇㄻㅇㅎ_4" hidden="1">{#N/A,#N/A,FALSE,"조골재"}</definedName>
    <definedName name="ㅁㅇㄻㅇㅎ_5" localSheetId="5" hidden="1">{#N/A,#N/A,FALSE,"조골재"}</definedName>
    <definedName name="ㅁㅇㄻㅇㅎ_5" hidden="1">{#N/A,#N/A,FALSE,"조골재"}</definedName>
    <definedName name="ㅁㅇㅀㅁㅇ" localSheetId="5" hidden="1">{#N/A,#N/A,FALSE,"단가표지"}</definedName>
    <definedName name="ㅁㅇㅀㅁㅇ" hidden="1">{#N/A,#N/A,FALSE,"단가표지"}</definedName>
    <definedName name="ㅁㅇㅀㅁㅇ_1" localSheetId="5" hidden="1">{#N/A,#N/A,FALSE,"단가표지"}</definedName>
    <definedName name="ㅁㅇㅀㅁㅇ_1" hidden="1">{#N/A,#N/A,FALSE,"단가표지"}</definedName>
    <definedName name="ㅁㅇㅀㅁㅇ_2" localSheetId="5" hidden="1">{#N/A,#N/A,FALSE,"단가표지"}</definedName>
    <definedName name="ㅁㅇㅀㅁㅇ_2" hidden="1">{#N/A,#N/A,FALSE,"단가표지"}</definedName>
    <definedName name="ㅁㅇㅀㅁㅇ_3" localSheetId="5" hidden="1">{#N/A,#N/A,FALSE,"단가표지"}</definedName>
    <definedName name="ㅁㅇㅀㅁㅇ_3" hidden="1">{#N/A,#N/A,FALSE,"단가표지"}</definedName>
    <definedName name="ㅁㅇㅀㅁㅇ_4" localSheetId="5" hidden="1">{#N/A,#N/A,FALSE,"단가표지"}</definedName>
    <definedName name="ㅁㅇㅀㅁㅇ_4" hidden="1">{#N/A,#N/A,FALSE,"단가표지"}</definedName>
    <definedName name="ㅁㅇㅀㅁㅇ_5" localSheetId="5" hidden="1">{#N/A,#N/A,FALSE,"단가표지"}</definedName>
    <definedName name="ㅁㅇㅀㅁㅇ_5" hidden="1">{#N/A,#N/A,FALSE,"단가표지"}</definedName>
    <definedName name="ㅁㅎㄻㅇㄻ" localSheetId="5" hidden="1">{#N/A,#N/A,FALSE,"운반시간"}</definedName>
    <definedName name="ㅁㅎㄻㅇㄻ" hidden="1">{#N/A,#N/A,FALSE,"운반시간"}</definedName>
    <definedName name="ㅁㅎㄻㅇㄻ_1" localSheetId="5" hidden="1">{#N/A,#N/A,FALSE,"운반시간"}</definedName>
    <definedName name="ㅁㅎㄻㅇㄻ_1" hidden="1">{#N/A,#N/A,FALSE,"운반시간"}</definedName>
    <definedName name="ㅁㅎㄻㅇㄻ_2" localSheetId="5" hidden="1">{#N/A,#N/A,FALSE,"운반시간"}</definedName>
    <definedName name="ㅁㅎㄻㅇㄻ_2" hidden="1">{#N/A,#N/A,FALSE,"운반시간"}</definedName>
    <definedName name="ㅁㅎㄻㅇㄻ_3" localSheetId="5" hidden="1">{#N/A,#N/A,FALSE,"운반시간"}</definedName>
    <definedName name="ㅁㅎㄻㅇㄻ_3" hidden="1">{#N/A,#N/A,FALSE,"운반시간"}</definedName>
    <definedName name="ㅁㅎㄻㅇㄻ_4" localSheetId="5" hidden="1">{#N/A,#N/A,FALSE,"운반시간"}</definedName>
    <definedName name="ㅁㅎㄻㅇㄻ_4" hidden="1">{#N/A,#N/A,FALSE,"운반시간"}</definedName>
    <definedName name="ㅁㅎㄻㅇㄻ_5" localSheetId="5" hidden="1">{#N/A,#N/A,FALSE,"운반시간"}</definedName>
    <definedName name="ㅁㅎㄻㅇㄻ_5" hidden="1">{#N/A,#N/A,FALSE,"운반시간"}</definedName>
    <definedName name="ㅁㅎㅇㅀㅁㅇ" localSheetId="5" hidden="1">{#N/A,#N/A,FALSE,"2~8번"}</definedName>
    <definedName name="ㅁㅎㅇㅀㅁㅇ" hidden="1">{#N/A,#N/A,FALSE,"2~8번"}</definedName>
    <definedName name="ㅁㅎㅇㅀㅁㅇ_1" localSheetId="5" hidden="1">{#N/A,#N/A,FALSE,"2~8번"}</definedName>
    <definedName name="ㅁㅎㅇㅀㅁㅇ_1" hidden="1">{#N/A,#N/A,FALSE,"2~8번"}</definedName>
    <definedName name="ㅁㅎㅇㅀㅁㅇ_2" localSheetId="5" hidden="1">{#N/A,#N/A,FALSE,"2~8번"}</definedName>
    <definedName name="ㅁㅎㅇㅀㅁㅇ_2" hidden="1">{#N/A,#N/A,FALSE,"2~8번"}</definedName>
    <definedName name="ㅁㅎㅇㅀㅁㅇ_3" localSheetId="5" hidden="1">{#N/A,#N/A,FALSE,"2~8번"}</definedName>
    <definedName name="ㅁㅎㅇㅀㅁㅇ_3" hidden="1">{#N/A,#N/A,FALSE,"2~8번"}</definedName>
    <definedName name="ㅁㅎㅇㅀㅁㅇ_4" localSheetId="5" hidden="1">{#N/A,#N/A,FALSE,"2~8번"}</definedName>
    <definedName name="ㅁㅎㅇㅀㅁㅇ_4" hidden="1">{#N/A,#N/A,FALSE,"2~8번"}</definedName>
    <definedName name="ㅁㅎㅇㅀㅁㅇ_5" localSheetId="5" hidden="1">{#N/A,#N/A,FALSE,"2~8번"}</definedName>
    <definedName name="ㅁㅎㅇㅀㅁㅇ_5" hidden="1">{#N/A,#N/A,FALSE,"2~8번"}</definedName>
    <definedName name="ㅁㅎㅇㅀㅁㅎ" localSheetId="5" hidden="1">{#N/A,#N/A,FALSE,"단가표지"}</definedName>
    <definedName name="ㅁㅎㅇㅀㅁㅎ" hidden="1">{#N/A,#N/A,FALSE,"단가표지"}</definedName>
    <definedName name="ㅁㅎㅇㅀㅁㅎ_1" localSheetId="5" hidden="1">{#N/A,#N/A,FALSE,"단가표지"}</definedName>
    <definedName name="ㅁㅎㅇㅀㅁㅎ_1" hidden="1">{#N/A,#N/A,FALSE,"단가표지"}</definedName>
    <definedName name="ㅁㅎㅇㅀㅁㅎ_2" localSheetId="5" hidden="1">{#N/A,#N/A,FALSE,"단가표지"}</definedName>
    <definedName name="ㅁㅎㅇㅀㅁㅎ_2" hidden="1">{#N/A,#N/A,FALSE,"단가표지"}</definedName>
    <definedName name="ㅁㅎㅇㅀㅁㅎ_3" localSheetId="5" hidden="1">{#N/A,#N/A,FALSE,"단가표지"}</definedName>
    <definedName name="ㅁㅎㅇㅀㅁㅎ_3" hidden="1">{#N/A,#N/A,FALSE,"단가표지"}</definedName>
    <definedName name="ㅁㅎㅇㅀㅁㅎ_4" localSheetId="5" hidden="1">{#N/A,#N/A,FALSE,"단가표지"}</definedName>
    <definedName name="ㅁㅎㅇㅀㅁㅎ_4" hidden="1">{#N/A,#N/A,FALSE,"단가표지"}</definedName>
    <definedName name="ㅁㅎㅇㅀㅁㅎ_5" localSheetId="5" hidden="1">{#N/A,#N/A,FALSE,"단가표지"}</definedName>
    <definedName name="ㅁㅎㅇㅀㅁㅎ_5" hidden="1">{#N/A,#N/A,FALSE,"단가표지"}</definedName>
    <definedName name="마감공사비A3" hidden="1">#REF!</definedName>
    <definedName name="먁" localSheetId="9" hidden="1">#REF!</definedName>
    <definedName name="먁" localSheetId="10" hidden="1">#REF!</definedName>
    <definedName name="먁" hidden="1">#REF!</definedName>
    <definedName name="목차9" localSheetId="5" hidden="1">{#N/A,#N/A,FALSE,"이태원철근"}</definedName>
    <definedName name="목차9" hidden="1">{#N/A,#N/A,FALSE,"이태원철근"}</definedName>
    <definedName name="물" localSheetId="5" hidden="1">{#N/A,#N/A,FALSE,"이태원철근"}</definedName>
    <definedName name="물" hidden="1">{#N/A,#N/A,FALSE,"이태원철근"}</definedName>
    <definedName name="물가" localSheetId="5" hidden="1">{#N/A,#N/A,FALSE,"이태원철근"}</definedName>
    <definedName name="물가" hidden="1">{#N/A,#N/A,FALSE,"이태원철근"}</definedName>
    <definedName name="뭉" localSheetId="5" hidden="1">{"'장비'!$A$3:$M$12"}</definedName>
    <definedName name="뭉" localSheetId="9" hidden="1">{"'장비'!$A$3:$M$12"}</definedName>
    <definedName name="뭉" localSheetId="10" hidden="1">{"'장비'!$A$3:$M$12"}</definedName>
    <definedName name="뭉" localSheetId="6" hidden="1">{"'장비'!$A$3:$M$12"}</definedName>
    <definedName name="뭉" localSheetId="3" hidden="1">{"'장비'!$A$3:$M$12"}</definedName>
    <definedName name="뭉" hidden="1">{"'장비'!$A$3:$M$12"}</definedName>
    <definedName name="뭉_1" localSheetId="5" hidden="1">{"'장비'!$A$3:$M$12"}</definedName>
    <definedName name="뭉_1" hidden="1">{"'장비'!$A$3:$M$12"}</definedName>
    <definedName name="뭉_2" localSheetId="5" hidden="1">{"'장비'!$A$3:$M$12"}</definedName>
    <definedName name="뭉_2" hidden="1">{"'장비'!$A$3:$M$12"}</definedName>
    <definedName name="뭉_3" localSheetId="5" hidden="1">{"'장비'!$A$3:$M$12"}</definedName>
    <definedName name="뭉_3" hidden="1">{"'장비'!$A$3:$M$12"}</definedName>
    <definedName name="뭉_4" localSheetId="5" hidden="1">{"'장비'!$A$3:$M$12"}</definedName>
    <definedName name="뭉_4" hidden="1">{"'장비'!$A$3:$M$12"}</definedName>
    <definedName name="뭉_5" localSheetId="5" hidden="1">{"'장비'!$A$3:$M$12"}</definedName>
    <definedName name="뭉_5" hidden="1">{"'장비'!$A$3:$M$12"}</definedName>
    <definedName name="뭐가이태원이야" localSheetId="5" hidden="1">{#N/A,#N/A,FALSE,"이태원철근"}</definedName>
    <definedName name="뭐가이태원이야" hidden="1">{#N/A,#N/A,FALSE,"이태원철근"}</definedName>
    <definedName name="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상주" localSheetId="5" hidden="1">{#N/A,#N/A,FALSE,"지침";#N/A,#N/A,FALSE,"환경분석";#N/A,#N/A,FALSE,"Sheet16"}</definedName>
    <definedName name="미상주" hidden="1">{#N/A,#N/A,FALSE,"지침";#N/A,#N/A,FALSE,"환경분석";#N/A,#N/A,FALSE,"Sheet16"}</definedName>
    <definedName name="미상주_1" localSheetId="5" hidden="1">{#N/A,#N/A,FALSE,"지침";#N/A,#N/A,FALSE,"환경분석";#N/A,#N/A,FALSE,"Sheet16"}</definedName>
    <definedName name="미상주_1" hidden="1">{#N/A,#N/A,FALSE,"지침";#N/A,#N/A,FALSE,"환경분석";#N/A,#N/A,FALSE,"Sheet16"}</definedName>
    <definedName name="미상주_2" localSheetId="5" hidden="1">{#N/A,#N/A,FALSE,"지침";#N/A,#N/A,FALSE,"환경분석";#N/A,#N/A,FALSE,"Sheet16"}</definedName>
    <definedName name="미상주_2" hidden="1">{#N/A,#N/A,FALSE,"지침";#N/A,#N/A,FALSE,"환경분석";#N/A,#N/A,FALSE,"Sheet16"}</definedName>
    <definedName name="미상주_3" localSheetId="5" hidden="1">{#N/A,#N/A,FALSE,"지침";#N/A,#N/A,FALSE,"환경분석";#N/A,#N/A,FALSE,"Sheet16"}</definedName>
    <definedName name="미상주_3" hidden="1">{#N/A,#N/A,FALSE,"지침";#N/A,#N/A,FALSE,"환경분석";#N/A,#N/A,FALSE,"Sheet16"}</definedName>
    <definedName name="미상주_4" localSheetId="5" hidden="1">{#N/A,#N/A,FALSE,"지침";#N/A,#N/A,FALSE,"환경분석";#N/A,#N/A,FALSE,"Sheet16"}</definedName>
    <definedName name="미상주_4" hidden="1">{#N/A,#N/A,FALSE,"지침";#N/A,#N/A,FALSE,"환경분석";#N/A,#N/A,FALSE,"Sheet16"}</definedName>
    <definedName name="미상주_5" localSheetId="5" hidden="1">{#N/A,#N/A,FALSE,"지침";#N/A,#N/A,FALSE,"환경분석";#N/A,#N/A,FALSE,"Sheet16"}</definedName>
    <definedName name="미상주_5" hidden="1">{#N/A,#N/A,FALSE,"지침";#N/A,#N/A,FALSE,"환경분석";#N/A,#N/A,FALSE,"Sheet16"}</definedName>
    <definedName name="ㅂ" localSheetId="5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ㄷ" localSheetId="5" hidden="1">{#N/A,#N/A,FALSE,"이태원철근"}</definedName>
    <definedName name="ㅂㄷ" hidden="1">{#N/A,#N/A,FALSE,"이태원철근"}</definedName>
    <definedName name="ㅂㅂㅂ" localSheetId="5" hidden="1">{#N/A,#N/A,FALSE,"토공2"}</definedName>
    <definedName name="ㅂㅂㅂ" localSheetId="9" hidden="1">{#N/A,#N/A,FALSE,"토공2"}</definedName>
    <definedName name="ㅂㅂㅂ" localSheetId="10" hidden="1">{#N/A,#N/A,FALSE,"토공2"}</definedName>
    <definedName name="ㅂㅂㅂ" localSheetId="6" hidden="1">{#N/A,#N/A,FALSE,"토공2"}</definedName>
    <definedName name="ㅂㅂㅂ" localSheetId="3" hidden="1">{#N/A,#N/A,FALSE,"토공2"}</definedName>
    <definedName name="ㅂㅂㅂ" hidden="1">{#N/A,#N/A,FALSE,"토공2"}</definedName>
    <definedName name="ㅂㅂㅂㅂ" localSheetId="5" hidden="1">{#N/A,#N/A,FALSE,"조골재"}</definedName>
    <definedName name="ㅂㅂㅂㅂ" hidden="1">{#N/A,#N/A,FALSE,"조골재"}</definedName>
    <definedName name="ㅂㅂㅂㅂ_1" localSheetId="5" hidden="1">{#N/A,#N/A,FALSE,"조골재"}</definedName>
    <definedName name="ㅂㅂㅂㅂ_1" hidden="1">{#N/A,#N/A,FALSE,"조골재"}</definedName>
    <definedName name="ㅂㅂㅂㅂ_2" localSheetId="5" hidden="1">{#N/A,#N/A,FALSE,"조골재"}</definedName>
    <definedName name="ㅂㅂㅂㅂ_2" hidden="1">{#N/A,#N/A,FALSE,"조골재"}</definedName>
    <definedName name="ㅂㅂㅂㅂ_3" localSheetId="5" hidden="1">{#N/A,#N/A,FALSE,"조골재"}</definedName>
    <definedName name="ㅂㅂㅂㅂ_3" hidden="1">{#N/A,#N/A,FALSE,"조골재"}</definedName>
    <definedName name="ㅂㅂㅂㅂ_4" localSheetId="5" hidden="1">{#N/A,#N/A,FALSE,"조골재"}</definedName>
    <definedName name="ㅂㅂㅂㅂ_4" hidden="1">{#N/A,#N/A,FALSE,"조골재"}</definedName>
    <definedName name="ㅂㅂㅂㅂ_5" localSheetId="5" hidden="1">{#N/A,#N/A,FALSE,"조골재"}</definedName>
    <definedName name="ㅂㅂㅂㅂ_5" hidden="1">{#N/A,#N/A,FALSE,"조골재"}</definedName>
    <definedName name="ㅂㅈ" localSheetId="5" hidden="1">{#N/A,#N/A,FALSE,"이태원철근"}</definedName>
    <definedName name="ㅂㅈ" hidden="1">{#N/A,#N/A,FALSE,"이태원철근"}</definedName>
    <definedName name="ㅂㅈㄱㅂㅈㄷㄱ" localSheetId="5" hidden="1">{"'장비'!$A$3:$M$12"}</definedName>
    <definedName name="ㅂㅈㄱㅂㅈㄷㄱ" localSheetId="9" hidden="1">{"'장비'!$A$3:$M$12"}</definedName>
    <definedName name="ㅂㅈㄱㅂㅈㄷㄱ" localSheetId="10" hidden="1">{"'장비'!$A$3:$M$12"}</definedName>
    <definedName name="ㅂㅈㄱㅂㅈㄷㄱ" localSheetId="6" hidden="1">{"'장비'!$A$3:$M$12"}</definedName>
    <definedName name="ㅂㅈㄱㅂㅈㄷㄱ" localSheetId="3" hidden="1">{"'장비'!$A$3:$M$12"}</definedName>
    <definedName name="ㅂㅈㄱㅂㅈㄷㄱ" hidden="1">{"'장비'!$A$3:$M$12"}</definedName>
    <definedName name="ㅂㅈㄱㅂㅈㄷㄱ_1" localSheetId="5" hidden="1">{"'장비'!$A$3:$M$12"}</definedName>
    <definedName name="ㅂㅈㄱㅂㅈㄷㄱ_1" localSheetId="9" hidden="1">{"'장비'!$A$3:$M$12"}</definedName>
    <definedName name="ㅂㅈㄱㅂㅈㄷㄱ_1" localSheetId="10" hidden="1">{"'장비'!$A$3:$M$12"}</definedName>
    <definedName name="ㅂㅈㄱㅂㅈㄷㄱ_1" localSheetId="6" hidden="1">{"'장비'!$A$3:$M$12"}</definedName>
    <definedName name="ㅂㅈㄱㅂㅈㄷㄱ_1" localSheetId="3" hidden="1">{"'장비'!$A$3:$M$12"}</definedName>
    <definedName name="ㅂㅈㄱㅂㅈㄷㄱ_1" hidden="1">{"'장비'!$A$3:$M$12"}</definedName>
    <definedName name="ㅂㅈㄷ" localSheetId="5" hidden="1">{"'장비'!$A$3:$M$12"}</definedName>
    <definedName name="ㅂㅈㄷ" localSheetId="9" hidden="1">{"'장비'!$A$3:$M$12"}</definedName>
    <definedName name="ㅂㅈㄷ" localSheetId="10" hidden="1">{"'장비'!$A$3:$M$12"}</definedName>
    <definedName name="ㅂㅈㄷ" localSheetId="6" hidden="1">{"'장비'!$A$3:$M$12"}</definedName>
    <definedName name="ㅂㅈㄷ" localSheetId="3" hidden="1">{#N/A,#N/A,FALSE,"이태원철근"}</definedName>
    <definedName name="ㅂㅈㄷ" hidden="1">{"'장비'!$A$3:$M$12"}</definedName>
    <definedName name="ㅂㅈㄷ_1" localSheetId="5" hidden="1">{"'장비'!$A$3:$M$12"}</definedName>
    <definedName name="ㅂㅈㄷ_1" localSheetId="9" hidden="1">{"'장비'!$A$3:$M$12"}</definedName>
    <definedName name="ㅂㅈㄷ_1" localSheetId="10" hidden="1">{"'장비'!$A$3:$M$12"}</definedName>
    <definedName name="ㅂㅈㄷ_1" localSheetId="6" hidden="1">{"'장비'!$A$3:$M$12"}</definedName>
    <definedName name="ㅂㅈㄷ_1" localSheetId="3" hidden="1">{"'장비'!$A$3:$M$12"}</definedName>
    <definedName name="ㅂㅈㄷ_1" hidden="1">{"'장비'!$A$3:$M$12"}</definedName>
    <definedName name="ㅂㅈㄷㄷㅂㅈㅈㅂ" localSheetId="5" hidden="1">{"'장비'!$A$3:$M$12"}</definedName>
    <definedName name="ㅂㅈㄷㄷㅂㅈㅈㅂ" localSheetId="9" hidden="1">{"'장비'!$A$3:$M$12"}</definedName>
    <definedName name="ㅂㅈㄷㄷㅂㅈㅈㅂ" localSheetId="10" hidden="1">{"'장비'!$A$3:$M$12"}</definedName>
    <definedName name="ㅂㅈㄷㄷㅂㅈㅈㅂ" localSheetId="6" hidden="1">{"'장비'!$A$3:$M$12"}</definedName>
    <definedName name="ㅂㅈㄷㄷㅂㅈㅈㅂ" localSheetId="3" hidden="1">{"'장비'!$A$3:$M$12"}</definedName>
    <definedName name="ㅂㅈㄷㄷㅂㅈㅈㅂ" hidden="1">{"'장비'!$A$3:$M$12"}</definedName>
    <definedName name="ㅂㅈㄷㄷㅂㅈㅈㅂ_1" localSheetId="5" hidden="1">{"'장비'!$A$3:$M$12"}</definedName>
    <definedName name="ㅂㅈㄷㄷㅂㅈㅈㅂ_1" localSheetId="9" hidden="1">{"'장비'!$A$3:$M$12"}</definedName>
    <definedName name="ㅂㅈㄷㄷㅂㅈㅈㅂ_1" localSheetId="10" hidden="1">{"'장비'!$A$3:$M$12"}</definedName>
    <definedName name="ㅂㅈㄷㄷㅂㅈㅈㅂ_1" localSheetId="6" hidden="1">{"'장비'!$A$3:$M$12"}</definedName>
    <definedName name="ㅂㅈㄷㄷㅂㅈㅈㅂ_1" localSheetId="3" hidden="1">{"'장비'!$A$3:$M$12"}</definedName>
    <definedName name="ㅂㅈㄷㄷㅂㅈㅈㅂ_1" hidden="1">{"'장비'!$A$3:$M$12"}</definedName>
    <definedName name="ㅂㅈㄷㅂㅈ" localSheetId="5" hidden="1">{"'장비'!$A$3:$M$12"}</definedName>
    <definedName name="ㅂㅈㄷㅂㅈ" localSheetId="9" hidden="1">{"'장비'!$A$3:$M$12"}</definedName>
    <definedName name="ㅂㅈㄷㅂㅈ" localSheetId="10" hidden="1">{"'장비'!$A$3:$M$12"}</definedName>
    <definedName name="ㅂㅈㄷㅂㅈ" localSheetId="6" hidden="1">{"'장비'!$A$3:$M$12"}</definedName>
    <definedName name="ㅂㅈㄷㅂㅈ" localSheetId="3" hidden="1">{"'장비'!$A$3:$M$12"}</definedName>
    <definedName name="ㅂㅈㄷㅂㅈ" hidden="1">{"'장비'!$A$3:$M$12"}</definedName>
    <definedName name="ㅂㅈㄷㅂㅈ_1" localSheetId="5" hidden="1">{"'장비'!$A$3:$M$12"}</definedName>
    <definedName name="ㅂㅈㄷㅂㅈ_1" localSheetId="9" hidden="1">{"'장비'!$A$3:$M$12"}</definedName>
    <definedName name="ㅂㅈㄷㅂㅈ_1" localSheetId="10" hidden="1">{"'장비'!$A$3:$M$12"}</definedName>
    <definedName name="ㅂㅈㄷㅂㅈ_1" localSheetId="6" hidden="1">{"'장비'!$A$3:$M$12"}</definedName>
    <definedName name="ㅂㅈㄷㅂㅈ_1" localSheetId="3" hidden="1">{"'장비'!$A$3:$M$12"}</definedName>
    <definedName name="ㅂㅈㄷㅂㅈ_1" hidden="1">{"'장비'!$A$3:$M$12"}</definedName>
    <definedName name="ㅂㅈㄷㅂㅈㅈㅂㄷ" localSheetId="5" hidden="1">{"'장비'!$A$3:$M$12"}</definedName>
    <definedName name="ㅂㅈㄷㅂㅈㅈㅂㄷ" localSheetId="9" hidden="1">{"'장비'!$A$3:$M$12"}</definedName>
    <definedName name="ㅂㅈㄷㅂㅈㅈㅂㄷ" localSheetId="10" hidden="1">{"'장비'!$A$3:$M$12"}</definedName>
    <definedName name="ㅂㅈㄷㅂㅈㅈㅂㄷ" localSheetId="6" hidden="1">{"'장비'!$A$3:$M$12"}</definedName>
    <definedName name="ㅂㅈㄷㅂㅈㅈㅂㄷ" localSheetId="3" hidden="1">{"'장비'!$A$3:$M$12"}</definedName>
    <definedName name="ㅂㅈㄷㅂㅈㅈㅂㄷ" hidden="1">{"'장비'!$A$3:$M$12"}</definedName>
    <definedName name="ㅂㅈㄷㅂㅈㅈㅂㄷ_1" localSheetId="5" hidden="1">{"'장비'!$A$3:$M$12"}</definedName>
    <definedName name="ㅂㅈㄷㅂㅈㅈㅂㄷ_1" localSheetId="9" hidden="1">{"'장비'!$A$3:$M$12"}</definedName>
    <definedName name="ㅂㅈㄷㅂㅈㅈㅂㄷ_1" localSheetId="10" hidden="1">{"'장비'!$A$3:$M$12"}</definedName>
    <definedName name="ㅂㅈㄷㅂㅈㅈㅂㄷ_1" localSheetId="6" hidden="1">{"'장비'!$A$3:$M$12"}</definedName>
    <definedName name="ㅂㅈㄷㅂㅈㅈㅂㄷ_1" localSheetId="3" hidden="1">{"'장비'!$A$3:$M$12"}</definedName>
    <definedName name="ㅂㅈㄷㅂㅈㅈㅂㄷ_1" hidden="1">{"'장비'!$A$3:$M$12"}</definedName>
    <definedName name="ㅂㅈㄷㅈㅂㄷ" localSheetId="5" hidden="1">{"'장비'!$A$3:$M$12"}</definedName>
    <definedName name="ㅂㅈㄷㅈㅂㄷ" localSheetId="9" hidden="1">{"'장비'!$A$3:$M$12"}</definedName>
    <definedName name="ㅂㅈㄷㅈㅂㄷ" localSheetId="10" hidden="1">{"'장비'!$A$3:$M$12"}</definedName>
    <definedName name="ㅂㅈㄷㅈㅂㄷ" localSheetId="6" hidden="1">{"'장비'!$A$3:$M$12"}</definedName>
    <definedName name="ㅂㅈㄷㅈㅂㄷ" localSheetId="3" hidden="1">{"'장비'!$A$3:$M$12"}</definedName>
    <definedName name="ㅂㅈㄷㅈㅂㄷ" hidden="1">{"'장비'!$A$3:$M$12"}</definedName>
    <definedName name="ㅂㅈㄷㅈㅂㄷ_1" localSheetId="5" hidden="1">{"'장비'!$A$3:$M$12"}</definedName>
    <definedName name="ㅂㅈㄷㅈㅂㄷ_1" localSheetId="9" hidden="1">{"'장비'!$A$3:$M$12"}</definedName>
    <definedName name="ㅂㅈㄷㅈㅂㄷ_1" localSheetId="10" hidden="1">{"'장비'!$A$3:$M$12"}</definedName>
    <definedName name="ㅂㅈㄷㅈㅂㄷ_1" localSheetId="6" hidden="1">{"'장비'!$A$3:$M$12"}</definedName>
    <definedName name="ㅂㅈㄷㅈㅂㄷ_1" localSheetId="3" hidden="1">{"'장비'!$A$3:$M$12"}</definedName>
    <definedName name="ㅂㅈㄷㅈㅂㄷ_1" hidden="1">{"'장비'!$A$3:$M$12"}</definedName>
    <definedName name="배관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관3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배수공" localSheetId="5" hidden="1">{#N/A,#N/A,FALSE,"부대1"}</definedName>
    <definedName name="배수공" localSheetId="9" hidden="1">{#N/A,#N/A,FALSE,"부대1"}</definedName>
    <definedName name="배수공" localSheetId="10" hidden="1">{#N/A,#N/A,FALSE,"부대1"}</definedName>
    <definedName name="배수공" localSheetId="6" hidden="1">{#N/A,#N/A,FALSE,"부대1"}</definedName>
    <definedName name="배수공" localSheetId="3" hidden="1">{#N/A,#N/A,FALSE,"부대1"}</definedName>
    <definedName name="배수공" hidden="1">{#N/A,#N/A,FALSE,"부대1"}</definedName>
    <definedName name="변경수량집계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경수량집계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변동" localSheetId="5" hidden="1">{#N/A,#N/A,FALSE,"이태원철근"}</definedName>
    <definedName name="변동" hidden="1">{#N/A,#N/A,FALSE,"이태원철근"}</definedName>
    <definedName name="보오링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충" hidden="1">#REF!</definedName>
    <definedName name="보할" localSheetId="5" hidden="1">{#N/A,#N/A,FALSE,"이태원철근"}</definedName>
    <definedName name="보할" hidden="1">{#N/A,#N/A,FALSE,"이태원철근"}</definedName>
    <definedName name="보할푬_2000년" localSheetId="5" hidden="1">{#N/A,#N/A,FALSE,"이태원철근"}</definedName>
    <definedName name="보할푬_2000년" hidden="1">{#N/A,#N/A,FALSE,"이태원철근"}</definedName>
    <definedName name="보호" localSheetId="5" hidden="1">{#N/A,#N/A,FALSE,"ENG'G(보호계전기)"}</definedName>
    <definedName name="보호" hidden="1">{#N/A,#N/A,FALSE,"ENG'G(보호계전기)"}</definedName>
    <definedName name="보호_1" localSheetId="5" hidden="1">{#N/A,#N/A,FALSE,"ENG'G(보호계전기)"}</definedName>
    <definedName name="보호_1" hidden="1">{#N/A,#N/A,FALSE,"ENG'G(보호계전기)"}</definedName>
    <definedName name="보호_2" localSheetId="5" hidden="1">{#N/A,#N/A,FALSE,"ENG'G(보호계전기)"}</definedName>
    <definedName name="보호_2" hidden="1">{#N/A,#N/A,FALSE,"ENG'G(보호계전기)"}</definedName>
    <definedName name="보호_3" localSheetId="5" hidden="1">{#N/A,#N/A,FALSE,"ENG'G(보호계전기)"}</definedName>
    <definedName name="보호_3" hidden="1">{#N/A,#N/A,FALSE,"ENG'G(보호계전기)"}</definedName>
    <definedName name="보호_4" localSheetId="5" hidden="1">{#N/A,#N/A,FALSE,"ENG'G(보호계전기)"}</definedName>
    <definedName name="보호_4" hidden="1">{#N/A,#N/A,FALSE,"ENG'G(보호계전기)"}</definedName>
    <definedName name="보호_5" localSheetId="5" hidden="1">{#N/A,#N/A,FALSE,"ENG'G(보호계전기)"}</definedName>
    <definedName name="보호_5" hidden="1">{#N/A,#N/A,FALSE,"ENG'G(보호계전기)"}</definedName>
    <definedName name="보활공정" localSheetId="5" hidden="1">{#N/A,#N/A,FALSE,"이태원철근"}</definedName>
    <definedName name="보활공정" hidden="1">{#N/A,#N/A,FALSE,"이태원철근"}</definedName>
    <definedName name="부대" localSheetId="5" hidden="1">{#N/A,#N/A,FALSE,"골재소요량";#N/A,#N/A,FALSE,"골재소요량"}</definedName>
    <definedName name="부대" hidden="1">{#N/A,#N/A,FALSE,"골재소요량";#N/A,#N/A,FALSE,"골재소요량"}</definedName>
    <definedName name="부대_1" localSheetId="5" hidden="1">{#N/A,#N/A,FALSE,"골재소요량";#N/A,#N/A,FALSE,"골재소요량"}</definedName>
    <definedName name="부대_1" hidden="1">{#N/A,#N/A,FALSE,"골재소요량";#N/A,#N/A,FALSE,"골재소요량"}</definedName>
    <definedName name="부대_2" localSheetId="5" hidden="1">{#N/A,#N/A,FALSE,"골재소요량";#N/A,#N/A,FALSE,"골재소요량"}</definedName>
    <definedName name="부대_2" hidden="1">{#N/A,#N/A,FALSE,"골재소요량";#N/A,#N/A,FALSE,"골재소요량"}</definedName>
    <definedName name="부대_3" localSheetId="5" hidden="1">{#N/A,#N/A,FALSE,"골재소요량";#N/A,#N/A,FALSE,"골재소요량"}</definedName>
    <definedName name="부대_3" hidden="1">{#N/A,#N/A,FALSE,"골재소요량";#N/A,#N/A,FALSE,"골재소요량"}</definedName>
    <definedName name="부대_4" localSheetId="5" hidden="1">{#N/A,#N/A,FALSE,"골재소요량";#N/A,#N/A,FALSE,"골재소요량"}</definedName>
    <definedName name="부대_4" hidden="1">{#N/A,#N/A,FALSE,"골재소요량";#N/A,#N/A,FALSE,"골재소요량"}</definedName>
    <definedName name="부대_5" localSheetId="5" hidden="1">{#N/A,#N/A,FALSE,"골재소요량";#N/A,#N/A,FALSE,"골재소요량"}</definedName>
    <definedName name="부대_5" hidden="1">{#N/A,#N/A,FALSE,"골재소요량";#N/A,#N/A,FALSE,"골재소요량"}</definedName>
    <definedName name="부대1" localSheetId="5" hidden="1">{#N/A,#N/A,FALSE,"운반시간"}</definedName>
    <definedName name="부대1" hidden="1">{#N/A,#N/A,FALSE,"운반시간"}</definedName>
    <definedName name="부대1_1" localSheetId="5" hidden="1">{#N/A,#N/A,FALSE,"운반시간"}</definedName>
    <definedName name="부대1_1" hidden="1">{#N/A,#N/A,FALSE,"운반시간"}</definedName>
    <definedName name="부대1_2" localSheetId="5" hidden="1">{#N/A,#N/A,FALSE,"운반시간"}</definedName>
    <definedName name="부대1_2" hidden="1">{#N/A,#N/A,FALSE,"운반시간"}</definedName>
    <definedName name="부대1_3" localSheetId="5" hidden="1">{#N/A,#N/A,FALSE,"운반시간"}</definedName>
    <definedName name="부대1_3" hidden="1">{#N/A,#N/A,FALSE,"운반시간"}</definedName>
    <definedName name="부대1_4" localSheetId="5" hidden="1">{#N/A,#N/A,FALSE,"운반시간"}</definedName>
    <definedName name="부대1_4" hidden="1">{#N/A,#N/A,FALSE,"운반시간"}</definedName>
    <definedName name="부대1_5" localSheetId="5" hidden="1">{#N/A,#N/A,FALSE,"운반시간"}</definedName>
    <definedName name="부대1_5" hidden="1">{#N/A,#N/A,FALSE,"운반시간"}</definedName>
    <definedName name="부대건축2" hidden="1">#REF!</definedName>
    <definedName name="부대공사" localSheetId="9" hidden="1">#REF!</definedName>
    <definedName name="부대공사" localSheetId="10" hidden="1">#REF!</definedName>
    <definedName name="부대공사" hidden="1">#REF!</definedName>
    <definedName name="분" localSheetId="5" hidden="1">{#N/A,#N/A,FALSE,"이태원철근"}</definedName>
    <definedName name="분" hidden="1">{#N/A,#N/A,FALSE,"이태원철근"}</definedName>
    <definedName name="분당공" hidden="1">#REF!</definedName>
    <definedName name="분당물가" hidden="1">#REF!</definedName>
    <definedName name="분당코아" hidden="1">#REF!</definedName>
    <definedName name="분당협조" localSheetId="5" hidden="1">{#N/A,#N/A,FALSE,"이태원철근"}</definedName>
    <definedName name="분당협조" hidden="1">{#N/A,#N/A,FALSE,"이태원철근"}</definedName>
    <definedName name="분양" localSheetId="5" hidden="1">{#N/A,#N/A,FALSE,"이태원철근"}</definedName>
    <definedName name="분양" hidden="1">{#N/A,#N/A,FALSE,"이태원철근"}</definedName>
    <definedName name="뷰" localSheetId="5" hidden="1">{#N/A,#N/A,FALSE,"단가표지"}</definedName>
    <definedName name="뷰" hidden="1">{#N/A,#N/A,FALSE,"단가표지"}</definedName>
    <definedName name="뷰_1" localSheetId="5" hidden="1">{#N/A,#N/A,FALSE,"단가표지"}</definedName>
    <definedName name="뷰_1" hidden="1">{#N/A,#N/A,FALSE,"단가표지"}</definedName>
    <definedName name="뷰_2" localSheetId="5" hidden="1">{#N/A,#N/A,FALSE,"단가표지"}</definedName>
    <definedName name="뷰_2" hidden="1">{#N/A,#N/A,FALSE,"단가표지"}</definedName>
    <definedName name="뷰_3" localSheetId="5" hidden="1">{#N/A,#N/A,FALSE,"단가표지"}</definedName>
    <definedName name="뷰_3" hidden="1">{#N/A,#N/A,FALSE,"단가표지"}</definedName>
    <definedName name="뷰_4" localSheetId="5" hidden="1">{#N/A,#N/A,FALSE,"단가표지"}</definedName>
    <definedName name="뷰_4" hidden="1">{#N/A,#N/A,FALSE,"단가표지"}</definedName>
    <definedName name="뷰_5" localSheetId="5" hidden="1">{#N/A,#N/A,FALSE,"단가표지"}</definedName>
    <definedName name="뷰_5" hidden="1">{#N/A,#N/A,FALSE,"단가표지"}</definedName>
    <definedName name="비품임차1" hidden="1">#REF!</definedName>
    <definedName name="빌딩" localSheetId="5" hidden="1">{#N/A,#N/A,FALSE,"CCTV"}</definedName>
    <definedName name="빌딩" hidden="1">{#N/A,#N/A,FALSE,"CCTV"}</definedName>
    <definedName name="빌딩_1" localSheetId="5" hidden="1">{#N/A,#N/A,FALSE,"CCTV"}</definedName>
    <definedName name="빌딩_1" hidden="1">{#N/A,#N/A,FALSE,"CCTV"}</definedName>
    <definedName name="빌딩_2" localSheetId="5" hidden="1">{#N/A,#N/A,FALSE,"CCTV"}</definedName>
    <definedName name="빌딩_2" hidden="1">{#N/A,#N/A,FALSE,"CCTV"}</definedName>
    <definedName name="빌딩_3" localSheetId="5" hidden="1">{#N/A,#N/A,FALSE,"CCTV"}</definedName>
    <definedName name="빌딩_3" hidden="1">{#N/A,#N/A,FALSE,"CCTV"}</definedName>
    <definedName name="빌딩_4" localSheetId="5" hidden="1">{#N/A,#N/A,FALSE,"CCTV"}</definedName>
    <definedName name="빌딩_4" hidden="1">{#N/A,#N/A,FALSE,"CCTV"}</definedName>
    <definedName name="빌딩_5" localSheetId="5" hidden="1">{#N/A,#N/A,FALSE,"CCTV"}</definedName>
    <definedName name="빌딩_5" hidden="1">{#N/A,#N/A,FALSE,"CCTV"}</definedName>
    <definedName name="빔제작단가개정표준도적용" localSheetId="5" hidden="1">{"'자리배치도'!$AG$1:$CI$28"}</definedName>
    <definedName name="빔제작단가개정표준도적용" hidden="1">{"'자리배치도'!$AG$1:$CI$28"}</definedName>
    <definedName name="ㅅ" localSheetId="5" hidden="1">{#N/A,#N/A,FALSE,"이태원철근"}</definedName>
    <definedName name="ㅅ" hidden="1">{#N/A,#N/A,FALSE,"이태원철근"}</definedName>
    <definedName name="ㅅㄱㄱㄷ" localSheetId="5" hidden="1">{"'장비'!$A$3:$M$12"}</definedName>
    <definedName name="ㅅㄱㄱㄷ" localSheetId="9" hidden="1">{"'장비'!$A$3:$M$12"}</definedName>
    <definedName name="ㅅㄱㄱㄷ" localSheetId="10" hidden="1">{"'장비'!$A$3:$M$12"}</definedName>
    <definedName name="ㅅㄱㄱㄷ" localSheetId="6" hidden="1">{"'장비'!$A$3:$M$12"}</definedName>
    <definedName name="ㅅㄱㄱㄷ" localSheetId="3" hidden="1">{"'장비'!$A$3:$M$12"}</definedName>
    <definedName name="ㅅㄱㄱㄷ" hidden="1">{"'장비'!$A$3:$M$12"}</definedName>
    <definedName name="ㅅㄱㄱㄷ_1" localSheetId="5" hidden="1">{"'장비'!$A$3:$M$12"}</definedName>
    <definedName name="ㅅㄱㄱㄷ_1" localSheetId="9" hidden="1">{"'장비'!$A$3:$M$12"}</definedName>
    <definedName name="ㅅㄱㄱㄷ_1" localSheetId="10" hidden="1">{"'장비'!$A$3:$M$12"}</definedName>
    <definedName name="ㅅㄱㄱㄷ_1" localSheetId="6" hidden="1">{"'장비'!$A$3:$M$12"}</definedName>
    <definedName name="ㅅㄱㄱㄷ_1" localSheetId="3" hidden="1">{"'장비'!$A$3:$M$12"}</definedName>
    <definedName name="ㅅㄱㄱㄷ_1" hidden="1">{"'장비'!$A$3:$M$12"}</definedName>
    <definedName name="ㅅ굲유" localSheetId="5" hidden="1">{#N/A,#N/A,FALSE,"조골재"}</definedName>
    <definedName name="ㅅ굲유" hidden="1">{#N/A,#N/A,FALSE,"조골재"}</definedName>
    <definedName name="ㅅ굲유_1" localSheetId="5" hidden="1">{#N/A,#N/A,FALSE,"조골재"}</definedName>
    <definedName name="ㅅ굲유_1" hidden="1">{#N/A,#N/A,FALSE,"조골재"}</definedName>
    <definedName name="ㅅ굲유_2" localSheetId="5" hidden="1">{#N/A,#N/A,FALSE,"조골재"}</definedName>
    <definedName name="ㅅ굲유_2" hidden="1">{#N/A,#N/A,FALSE,"조골재"}</definedName>
    <definedName name="ㅅ굲유_3" localSheetId="5" hidden="1">{#N/A,#N/A,FALSE,"조골재"}</definedName>
    <definedName name="ㅅ굲유_3" hidden="1">{#N/A,#N/A,FALSE,"조골재"}</definedName>
    <definedName name="ㅅ굲유_4" localSheetId="5" hidden="1">{#N/A,#N/A,FALSE,"조골재"}</definedName>
    <definedName name="ㅅ굲유_4" hidden="1">{#N/A,#N/A,FALSE,"조골재"}</definedName>
    <definedName name="ㅅ굲유_5" localSheetId="5" hidden="1">{#N/A,#N/A,FALSE,"조골재"}</definedName>
    <definedName name="ㅅ굲유_5" hidden="1">{#N/A,#N/A,FALSE,"조골재"}</definedName>
    <definedName name="ㅅㄷ" localSheetId="5" hidden="1">{"'Sheet1'!$L$16"}</definedName>
    <definedName name="ㅅㄷ" localSheetId="9" hidden="1">{"'Sheet1'!$L$16"}</definedName>
    <definedName name="ㅅㄷ" localSheetId="10" hidden="1">{"'Sheet1'!$L$16"}</definedName>
    <definedName name="ㅅㄷ" localSheetId="6" hidden="1">{"'Sheet1'!$L$16"}</definedName>
    <definedName name="ㅅㄷ" localSheetId="3" hidden="1">{"'Sheet1'!$L$16"}</definedName>
    <definedName name="ㅅㄷ" hidden="1">{"'Sheet1'!$L$16"}</definedName>
    <definedName name="ㅅㅅ" localSheetId="5" hidden="1">{"LKD",#N/A,FALSE,"표지"}</definedName>
    <definedName name="ㅅㅅ" hidden="1">{"LKD",#N/A,FALSE,"표지"}</definedName>
    <definedName name="ㅅㅅ_1" localSheetId="5" hidden="1">{"LKD",#N/A,FALSE,"표지"}</definedName>
    <definedName name="ㅅㅅ_1" hidden="1">{"LKD",#N/A,FALSE,"표지"}</definedName>
    <definedName name="ㅅㅅ_2" localSheetId="5" hidden="1">{"LKD",#N/A,FALSE,"표지"}</definedName>
    <definedName name="ㅅㅅ_2" hidden="1">{"LKD",#N/A,FALSE,"표지"}</definedName>
    <definedName name="ㅅㅅ_3" localSheetId="5" hidden="1">{"LKD",#N/A,FALSE,"표지"}</definedName>
    <definedName name="ㅅㅅ_3" hidden="1">{"LKD",#N/A,FALSE,"표지"}</definedName>
    <definedName name="ㅅㅅ_4" localSheetId="5" hidden="1">{"LKD",#N/A,FALSE,"표지"}</definedName>
    <definedName name="ㅅㅅ_4" hidden="1">{"LKD",#N/A,FALSE,"표지"}</definedName>
    <definedName name="ㅅㅅ_5" localSheetId="5" hidden="1">{"LKD",#N/A,FALSE,"표지"}</definedName>
    <definedName name="ㅅㅅ_5" hidden="1">{"LKD",#N/A,FALSE,"표지"}</definedName>
    <definedName name="ㅅㅅㅅㅅㅅ" localSheetId="5" hidden="1">{"'장비'!$A$3:$M$12"}</definedName>
    <definedName name="ㅅㅅㅅㅅㅅ" localSheetId="9" hidden="1">{"'장비'!$A$3:$M$12"}</definedName>
    <definedName name="ㅅㅅㅅㅅㅅ" localSheetId="10" hidden="1">{"'장비'!$A$3:$M$12"}</definedName>
    <definedName name="ㅅㅅㅅㅅㅅ" localSheetId="6" hidden="1">{"'장비'!$A$3:$M$12"}</definedName>
    <definedName name="ㅅㅅㅅㅅㅅ" localSheetId="3" hidden="1">{"'장비'!$A$3:$M$12"}</definedName>
    <definedName name="ㅅㅅㅅㅅㅅ" hidden="1">{"'장비'!$A$3:$M$12"}</definedName>
    <definedName name="ㅅㅅㅅㅅㅅ_1" localSheetId="5" hidden="1">{"'장비'!$A$3:$M$12"}</definedName>
    <definedName name="ㅅㅅㅅㅅㅅ_1" localSheetId="9" hidden="1">{"'장비'!$A$3:$M$12"}</definedName>
    <definedName name="ㅅㅅㅅㅅㅅ_1" localSheetId="10" hidden="1">{"'장비'!$A$3:$M$12"}</definedName>
    <definedName name="ㅅㅅㅅㅅㅅ_1" localSheetId="6" hidden="1">{"'장비'!$A$3:$M$12"}</definedName>
    <definedName name="ㅅㅅㅅㅅㅅ_1" localSheetId="3" hidden="1">{"'장비'!$A$3:$M$12"}</definedName>
    <definedName name="ㅅㅅㅅㅅㅅ_1" hidden="1">{"'장비'!$A$3:$M$12"}</definedName>
    <definedName name="사무임차1" hidden="1">#REF!</definedName>
    <definedName name="사업" localSheetId="5" hidden="1">{#N/A,#N/A,FALSE,"이태원철근"}</definedName>
    <definedName name="사업" hidden="1">{#N/A,#N/A,FALSE,"이태원철근"}</definedName>
    <definedName name="사업계획" localSheetId="5" hidden="1">{#N/A,#N/A,FALSE,"이태원철근"}</definedName>
    <definedName name="사업계획" hidden="1">{#N/A,#N/A,FALSE,"이태원철근"}</definedName>
    <definedName name="사업계획수정" hidden="1">#REF!</definedName>
    <definedName name="사업부양식2" hidden="1">#REF!</definedName>
    <definedName name="사업비최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5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_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현황" localSheetId="5" hidden="1">{#N/A,#N/A,FALSE,"TABLE"}</definedName>
    <definedName name="사업현황" hidden="1">{#N/A,#N/A,FALSE,"TABLE"}</definedName>
    <definedName name="산출" localSheetId="9" hidden="1">#REF!</definedName>
    <definedName name="산출" localSheetId="10" hidden="1">#REF!</definedName>
    <definedName name="산출" hidden="1">#REF!</definedName>
    <definedName name="상" localSheetId="5" hidden="1">{#N/A,#N/A,FALSE,"지침";#N/A,#N/A,FALSE,"환경분석";#N/A,#N/A,FALSE,"Sheet16"}</definedName>
    <definedName name="상" hidden="1">{#N/A,#N/A,FALSE,"지침";#N/A,#N/A,FALSE,"환경분석";#N/A,#N/A,FALSE,"Sheet16"}</definedName>
    <definedName name="상_1" localSheetId="5" hidden="1">{#N/A,#N/A,FALSE,"지침";#N/A,#N/A,FALSE,"환경분석";#N/A,#N/A,FALSE,"Sheet16"}</definedName>
    <definedName name="상_1" hidden="1">{#N/A,#N/A,FALSE,"지침";#N/A,#N/A,FALSE,"환경분석";#N/A,#N/A,FALSE,"Sheet16"}</definedName>
    <definedName name="상_2" localSheetId="5" hidden="1">{#N/A,#N/A,FALSE,"지침";#N/A,#N/A,FALSE,"환경분석";#N/A,#N/A,FALSE,"Sheet16"}</definedName>
    <definedName name="상_2" hidden="1">{#N/A,#N/A,FALSE,"지침";#N/A,#N/A,FALSE,"환경분석";#N/A,#N/A,FALSE,"Sheet16"}</definedName>
    <definedName name="상_3" localSheetId="5" hidden="1">{#N/A,#N/A,FALSE,"지침";#N/A,#N/A,FALSE,"환경분석";#N/A,#N/A,FALSE,"Sheet16"}</definedName>
    <definedName name="상_3" hidden="1">{#N/A,#N/A,FALSE,"지침";#N/A,#N/A,FALSE,"환경분석";#N/A,#N/A,FALSE,"Sheet16"}</definedName>
    <definedName name="상_4" localSheetId="5" hidden="1">{#N/A,#N/A,FALSE,"지침";#N/A,#N/A,FALSE,"환경분석";#N/A,#N/A,FALSE,"Sheet16"}</definedName>
    <definedName name="상_4" hidden="1">{#N/A,#N/A,FALSE,"지침";#N/A,#N/A,FALSE,"환경분석";#N/A,#N/A,FALSE,"Sheet16"}</definedName>
    <definedName name="상_5" localSheetId="5" hidden="1">{#N/A,#N/A,FALSE,"지침";#N/A,#N/A,FALSE,"환경분석";#N/A,#N/A,FALSE,"Sheet16"}</definedName>
    <definedName name="상_5" hidden="1">{#N/A,#N/A,FALSE,"지침";#N/A,#N/A,FALSE,"환경분석";#N/A,#N/A,FALSE,"Sheet16"}</definedName>
    <definedName name="상각비2" localSheetId="9" hidden="1">#REF!</definedName>
    <definedName name="상각비2" localSheetId="10" hidden="1">#REF!</definedName>
    <definedName name="상각비2" hidden="1">#REF!</definedName>
    <definedName name="상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도사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상자" localSheetId="5" hidden="1">{#N/A,#N/A,FALSE,"이태원철근"}</definedName>
    <definedName name="상자" hidden="1">{#N/A,#N/A,FALSE,"이태원철근"}</definedName>
    <definedName name="상주" localSheetId="5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_1" localSheetId="5" hidden="1">{#N/A,#N/A,FALSE,"지침";#N/A,#N/A,FALSE,"환경분석";#N/A,#N/A,FALSE,"Sheet16"}</definedName>
    <definedName name="상주_1" hidden="1">{#N/A,#N/A,FALSE,"지침";#N/A,#N/A,FALSE,"환경분석";#N/A,#N/A,FALSE,"Sheet16"}</definedName>
    <definedName name="상주_2" localSheetId="5" hidden="1">{#N/A,#N/A,FALSE,"지침";#N/A,#N/A,FALSE,"환경분석";#N/A,#N/A,FALSE,"Sheet16"}</definedName>
    <definedName name="상주_2" hidden="1">{#N/A,#N/A,FALSE,"지침";#N/A,#N/A,FALSE,"환경분석";#N/A,#N/A,FALSE,"Sheet16"}</definedName>
    <definedName name="상주_3" localSheetId="5" hidden="1">{#N/A,#N/A,FALSE,"지침";#N/A,#N/A,FALSE,"환경분석";#N/A,#N/A,FALSE,"Sheet16"}</definedName>
    <definedName name="상주_3" hidden="1">{#N/A,#N/A,FALSE,"지침";#N/A,#N/A,FALSE,"환경분석";#N/A,#N/A,FALSE,"Sheet16"}</definedName>
    <definedName name="상주_4" localSheetId="5" hidden="1">{#N/A,#N/A,FALSE,"지침";#N/A,#N/A,FALSE,"환경분석";#N/A,#N/A,FALSE,"Sheet16"}</definedName>
    <definedName name="상주_4" hidden="1">{#N/A,#N/A,FALSE,"지침";#N/A,#N/A,FALSE,"환경분석";#N/A,#N/A,FALSE,"Sheet16"}</definedName>
    <definedName name="상주_5" localSheetId="5" hidden="1">{#N/A,#N/A,FALSE,"지침";#N/A,#N/A,FALSE,"환경분석";#N/A,#N/A,FALSE,"Sheet16"}</definedName>
    <definedName name="상주_5" hidden="1">{#N/A,#N/A,FALSE,"지침";#N/A,#N/A,FALSE,"환경분석";#N/A,#N/A,FALSE,"Sheet16"}</definedName>
    <definedName name="상주감독" localSheetId="5" hidden="1">{#N/A,#N/A,FALSE,"지침";#N/A,#N/A,FALSE,"환경분석";#N/A,#N/A,FALSE,"Sheet16"}</definedName>
    <definedName name="상주감독" hidden="1">{#N/A,#N/A,FALSE,"지침";#N/A,#N/A,FALSE,"환경분석";#N/A,#N/A,FALSE,"Sheet16"}</definedName>
    <definedName name="상주감독_1" localSheetId="5" hidden="1">{#N/A,#N/A,FALSE,"지침";#N/A,#N/A,FALSE,"환경분석";#N/A,#N/A,FALSE,"Sheet16"}</definedName>
    <definedName name="상주감독_1" hidden="1">{#N/A,#N/A,FALSE,"지침";#N/A,#N/A,FALSE,"환경분석";#N/A,#N/A,FALSE,"Sheet16"}</definedName>
    <definedName name="상주감독_2" localSheetId="5" hidden="1">{#N/A,#N/A,FALSE,"지침";#N/A,#N/A,FALSE,"환경분석";#N/A,#N/A,FALSE,"Sheet16"}</definedName>
    <definedName name="상주감독_2" hidden="1">{#N/A,#N/A,FALSE,"지침";#N/A,#N/A,FALSE,"환경분석";#N/A,#N/A,FALSE,"Sheet16"}</definedName>
    <definedName name="상주감독_3" localSheetId="5" hidden="1">{#N/A,#N/A,FALSE,"지침";#N/A,#N/A,FALSE,"환경분석";#N/A,#N/A,FALSE,"Sheet16"}</definedName>
    <definedName name="상주감독_3" hidden="1">{#N/A,#N/A,FALSE,"지침";#N/A,#N/A,FALSE,"환경분석";#N/A,#N/A,FALSE,"Sheet16"}</definedName>
    <definedName name="상주감독_4" localSheetId="5" hidden="1">{#N/A,#N/A,FALSE,"지침";#N/A,#N/A,FALSE,"환경분석";#N/A,#N/A,FALSE,"Sheet16"}</definedName>
    <definedName name="상주감독_4" hidden="1">{#N/A,#N/A,FALSE,"지침";#N/A,#N/A,FALSE,"환경분석";#N/A,#N/A,FALSE,"Sheet16"}</definedName>
    <definedName name="상주감독_5" localSheetId="5" hidden="1">{#N/A,#N/A,FALSE,"지침";#N/A,#N/A,FALSE,"환경분석";#N/A,#N/A,FALSE,"Sheet16"}</definedName>
    <definedName name="상주감독_5" hidden="1">{#N/A,#N/A,FALSE,"지침";#N/A,#N/A,FALSE,"환경분석";#N/A,#N/A,FALSE,"Sheet16"}</definedName>
    <definedName name="상주감리" localSheetId="5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주감리_1" localSheetId="5" hidden="1">{#N/A,#N/A,FALSE,"지침";#N/A,#N/A,FALSE,"환경분석";#N/A,#N/A,FALSE,"Sheet16"}</definedName>
    <definedName name="상주감리_1" hidden="1">{#N/A,#N/A,FALSE,"지침";#N/A,#N/A,FALSE,"환경분석";#N/A,#N/A,FALSE,"Sheet16"}</definedName>
    <definedName name="상주감리_2" localSheetId="5" hidden="1">{#N/A,#N/A,FALSE,"지침";#N/A,#N/A,FALSE,"환경분석";#N/A,#N/A,FALSE,"Sheet16"}</definedName>
    <definedName name="상주감리_2" hidden="1">{#N/A,#N/A,FALSE,"지침";#N/A,#N/A,FALSE,"환경분석";#N/A,#N/A,FALSE,"Sheet16"}</definedName>
    <definedName name="상주감리_3" localSheetId="5" hidden="1">{#N/A,#N/A,FALSE,"지침";#N/A,#N/A,FALSE,"환경분석";#N/A,#N/A,FALSE,"Sheet16"}</definedName>
    <definedName name="상주감리_3" hidden="1">{#N/A,#N/A,FALSE,"지침";#N/A,#N/A,FALSE,"환경분석";#N/A,#N/A,FALSE,"Sheet16"}</definedName>
    <definedName name="상주감리_4" localSheetId="5" hidden="1">{#N/A,#N/A,FALSE,"지침";#N/A,#N/A,FALSE,"환경분석";#N/A,#N/A,FALSE,"Sheet16"}</definedName>
    <definedName name="상주감리_4" hidden="1">{#N/A,#N/A,FALSE,"지침";#N/A,#N/A,FALSE,"환경분석";#N/A,#N/A,FALSE,"Sheet16"}</definedName>
    <definedName name="상주감리_5" localSheetId="5" hidden="1">{#N/A,#N/A,FALSE,"지침";#N/A,#N/A,FALSE,"환경분석";#N/A,#N/A,FALSE,"Sheet16"}</definedName>
    <definedName name="상주감리_5" hidden="1">{#N/A,#N/A,FALSE,"지침";#N/A,#N/A,FALSE,"환경분석";#N/A,#N/A,FALSE,"Sheet16"}</definedName>
    <definedName name="새공통" localSheetId="5" hidden="1">{#N/A,#N/A,FALSE,"이태원철근"}</definedName>
    <definedName name="새공통" hidden="1">{#N/A,#N/A,FALSE,"이태원철근"}</definedName>
    <definedName name="새로" hidden="1">#REF!</definedName>
    <definedName name="새안" localSheetId="5" hidden="1">{#N/A,#N/A,FALSE,"TABLE"}</definedName>
    <definedName name="새안" hidden="1">{#N/A,#N/A,FALSE,"TABLE"}</definedName>
    <definedName name="샘풀카피" localSheetId="5" hidden="1">{#N/A,#N/A,FALSE,"CCTV"}</definedName>
    <definedName name="샘풀카피" localSheetId="9" hidden="1">{#N/A,#N/A,FALSE,"CCTV"}</definedName>
    <definedName name="샘풀카피" localSheetId="10" hidden="1">{#N/A,#N/A,FALSE,"CCTV"}</definedName>
    <definedName name="샘풀카피" localSheetId="6" hidden="1">{#N/A,#N/A,FALSE,"CCTV"}</definedName>
    <definedName name="샘풀카피" localSheetId="3" hidden="1">{#N/A,#N/A,FALSE,"CCTV"}</definedName>
    <definedName name="샘풀카피" hidden="1">{#N/A,#N/A,FALSE,"CCTV"}</definedName>
    <definedName name="샘풀카피_1" localSheetId="5" hidden="1">{#N/A,#N/A,FALSE,"CCTV"}</definedName>
    <definedName name="샘풀카피_1" hidden="1">{#N/A,#N/A,FALSE,"CCTV"}</definedName>
    <definedName name="샘풀카피_2" localSheetId="5" hidden="1">{#N/A,#N/A,FALSE,"CCTV"}</definedName>
    <definedName name="샘풀카피_2" hidden="1">{#N/A,#N/A,FALSE,"CCTV"}</definedName>
    <definedName name="샘풀카피_3" localSheetId="5" hidden="1">{#N/A,#N/A,FALSE,"CCTV"}</definedName>
    <definedName name="샘풀카피_3" hidden="1">{#N/A,#N/A,FALSE,"CCTV"}</definedName>
    <definedName name="샘풀카피_4" localSheetId="5" hidden="1">{#N/A,#N/A,FALSE,"CCTV"}</definedName>
    <definedName name="샘풀카피_4" hidden="1">{#N/A,#N/A,FALSE,"CCTV"}</definedName>
    <definedName name="샘풀카피_5" localSheetId="5" hidden="1">{#N/A,#N/A,FALSE,"CCTV"}</definedName>
    <definedName name="샘풀카피_5" hidden="1">{#N/A,#N/A,FALSE,"CCTV"}</definedName>
    <definedName name="샘플카피2" localSheetId="5" hidden="1">{#N/A,#N/A,FALSE,"CCTV"}</definedName>
    <definedName name="샘플카피2" localSheetId="9" hidden="1">{#N/A,#N/A,FALSE,"CCTV"}</definedName>
    <definedName name="샘플카피2" localSheetId="10" hidden="1">{#N/A,#N/A,FALSE,"CCTV"}</definedName>
    <definedName name="샘플카피2" localSheetId="6" hidden="1">{#N/A,#N/A,FALSE,"CCTV"}</definedName>
    <definedName name="샘플카피2" localSheetId="3" hidden="1">{#N/A,#N/A,FALSE,"CCTV"}</definedName>
    <definedName name="샘플카피2" hidden="1">{#N/A,#N/A,FALSE,"CCTV"}</definedName>
    <definedName name="샘플카피2_1" localSheetId="5" hidden="1">{#N/A,#N/A,FALSE,"CCTV"}</definedName>
    <definedName name="샘플카피2_1" hidden="1">{#N/A,#N/A,FALSE,"CCTV"}</definedName>
    <definedName name="샘플카피2_2" localSheetId="5" hidden="1">{#N/A,#N/A,FALSE,"CCTV"}</definedName>
    <definedName name="샘플카피2_2" hidden="1">{#N/A,#N/A,FALSE,"CCTV"}</definedName>
    <definedName name="샘플카피2_3" localSheetId="5" hidden="1">{#N/A,#N/A,FALSE,"CCTV"}</definedName>
    <definedName name="샘플카피2_3" hidden="1">{#N/A,#N/A,FALSE,"CCTV"}</definedName>
    <definedName name="샘플카피2_4" localSheetId="5" hidden="1">{#N/A,#N/A,FALSE,"CCTV"}</definedName>
    <definedName name="샘플카피2_4" hidden="1">{#N/A,#N/A,FALSE,"CCTV"}</definedName>
    <definedName name="샘플카피2_5" localSheetId="5" hidden="1">{#N/A,#N/A,FALSE,"CCTV"}</definedName>
    <definedName name="샘플카피2_5" hidden="1">{#N/A,#N/A,FALSE,"CCTV"}</definedName>
    <definedName name="샘플카피3" localSheetId="5" hidden="1">{#N/A,#N/A,FALSE,"CCTV"}</definedName>
    <definedName name="샘플카피3" localSheetId="9" hidden="1">{#N/A,#N/A,FALSE,"CCTV"}</definedName>
    <definedName name="샘플카피3" localSheetId="10" hidden="1">{#N/A,#N/A,FALSE,"CCTV"}</definedName>
    <definedName name="샘플카피3" localSheetId="6" hidden="1">{#N/A,#N/A,FALSE,"CCTV"}</definedName>
    <definedName name="샘플카피3" localSheetId="3" hidden="1">{#N/A,#N/A,FALSE,"CCTV"}</definedName>
    <definedName name="샘플카피3" hidden="1">{#N/A,#N/A,FALSE,"CCTV"}</definedName>
    <definedName name="샘플카피3_1" localSheetId="5" hidden="1">{#N/A,#N/A,FALSE,"CCTV"}</definedName>
    <definedName name="샘플카피3_1" hidden="1">{#N/A,#N/A,FALSE,"CCTV"}</definedName>
    <definedName name="샘플카피3_2" localSheetId="5" hidden="1">{#N/A,#N/A,FALSE,"CCTV"}</definedName>
    <definedName name="샘플카피3_2" hidden="1">{#N/A,#N/A,FALSE,"CCTV"}</definedName>
    <definedName name="샘플카피3_3" localSheetId="5" hidden="1">{#N/A,#N/A,FALSE,"CCTV"}</definedName>
    <definedName name="샘플카피3_3" hidden="1">{#N/A,#N/A,FALSE,"CCTV"}</definedName>
    <definedName name="샘플카피3_4" localSheetId="5" hidden="1">{#N/A,#N/A,FALSE,"CCTV"}</definedName>
    <definedName name="샘플카피3_4" hidden="1">{#N/A,#N/A,FALSE,"CCTV"}</definedName>
    <definedName name="샘플카피3_5" localSheetId="5" hidden="1">{#N/A,#N/A,FALSE,"CCTV"}</definedName>
    <definedName name="샘플카피3_5" hidden="1">{#N/A,#N/A,FALSE,"CCTV"}</definedName>
    <definedName name="석" localSheetId="5" hidden="1">{#N/A,#N/A,FALSE,"지침";#N/A,#N/A,FALSE,"환경분석";#N/A,#N/A,FALSE,"Sheet16"}</definedName>
    <definedName name="석" hidden="1">{#N/A,#N/A,FALSE,"지침";#N/A,#N/A,FALSE,"환경분석";#N/A,#N/A,FALSE,"Sheet16"}</definedName>
    <definedName name="석_1" localSheetId="5" hidden="1">{#N/A,#N/A,FALSE,"지침";#N/A,#N/A,FALSE,"환경분석";#N/A,#N/A,FALSE,"Sheet16"}</definedName>
    <definedName name="석_1" hidden="1">{#N/A,#N/A,FALSE,"지침";#N/A,#N/A,FALSE,"환경분석";#N/A,#N/A,FALSE,"Sheet16"}</definedName>
    <definedName name="석_2" localSheetId="5" hidden="1">{#N/A,#N/A,FALSE,"지침";#N/A,#N/A,FALSE,"환경분석";#N/A,#N/A,FALSE,"Sheet16"}</definedName>
    <definedName name="석_2" hidden="1">{#N/A,#N/A,FALSE,"지침";#N/A,#N/A,FALSE,"환경분석";#N/A,#N/A,FALSE,"Sheet16"}</definedName>
    <definedName name="석_3" localSheetId="5" hidden="1">{#N/A,#N/A,FALSE,"지침";#N/A,#N/A,FALSE,"환경분석";#N/A,#N/A,FALSE,"Sheet16"}</definedName>
    <definedName name="석_3" hidden="1">{#N/A,#N/A,FALSE,"지침";#N/A,#N/A,FALSE,"환경분석";#N/A,#N/A,FALSE,"Sheet16"}</definedName>
    <definedName name="석_4" localSheetId="5" hidden="1">{#N/A,#N/A,FALSE,"지침";#N/A,#N/A,FALSE,"환경분석";#N/A,#N/A,FALSE,"Sheet16"}</definedName>
    <definedName name="석_4" hidden="1">{#N/A,#N/A,FALSE,"지침";#N/A,#N/A,FALSE,"환경분석";#N/A,#N/A,FALSE,"Sheet16"}</definedName>
    <definedName name="석_5" localSheetId="5" hidden="1">{#N/A,#N/A,FALSE,"지침";#N/A,#N/A,FALSE,"환경분석";#N/A,#N/A,FALSE,"Sheet16"}</definedName>
    <definedName name="석_5" hidden="1">{#N/A,#N/A,FALSE,"지침";#N/A,#N/A,FALSE,"환경분석";#N/A,#N/A,FALSE,"Sheet16"}</definedName>
    <definedName name="설계내역서" localSheetId="5" hidden="1">{"'별표'!$N$220"}</definedName>
    <definedName name="설계내역서" hidden="1">{"'별표'!$N$220"}</definedName>
    <definedName name="설계대예산대비표" hidden="1">#REF!</definedName>
    <definedName name="설비" localSheetId="5" hidden="1">{#N/A,#N/A,FALSE,"이태원철근"}</definedName>
    <definedName name="설비" hidden="1">{#N/A,#N/A,FALSE,"이태원철근"}</definedName>
    <definedName name="설서" localSheetId="5" hidden="1">{"'별표'!$N$220"}</definedName>
    <definedName name="설서" hidden="1">{"'별표'!$N$220"}</definedName>
    <definedName name="소모" localSheetId="5" hidden="1">{#N/A,#N/A,TRUE,"MATERIAL COST"}</definedName>
    <definedName name="소모" hidden="1">{#N/A,#N/A,TRUE,"MATERIAL COST"}</definedName>
    <definedName name="소방" localSheetId="5" hidden="1">{"SJ - 기본 보기",#N/A,FALSE,"공사별 외주견적"}</definedName>
    <definedName name="소방" hidden="1">{"SJ - 기본 보기",#N/A,FALSE,"공사별 외주견적"}</definedName>
    <definedName name="소연" localSheetId="5" hidden="1">{"LKD",#N/A,FALSE,"표지"}</definedName>
    <definedName name="소연" hidden="1">{"LKD",#N/A,FALSE,"표지"}</definedName>
    <definedName name="소연_1" localSheetId="5" hidden="1">{"LKD",#N/A,FALSE,"표지"}</definedName>
    <definedName name="소연_1" hidden="1">{"LKD",#N/A,FALSE,"표지"}</definedName>
    <definedName name="소연_2" localSheetId="5" hidden="1">{"LKD",#N/A,FALSE,"표지"}</definedName>
    <definedName name="소연_2" hidden="1">{"LKD",#N/A,FALSE,"표지"}</definedName>
    <definedName name="소연_3" localSheetId="5" hidden="1">{"LKD",#N/A,FALSE,"표지"}</definedName>
    <definedName name="소연_3" hidden="1">{"LKD",#N/A,FALSE,"표지"}</definedName>
    <definedName name="소연_4" localSheetId="5" hidden="1">{"LKD",#N/A,FALSE,"표지"}</definedName>
    <definedName name="소연_4" hidden="1">{"LKD",#N/A,FALSE,"표지"}</definedName>
    <definedName name="소연_5" localSheetId="5" hidden="1">{"LKD",#N/A,FALSE,"표지"}</definedName>
    <definedName name="소연_5" hidden="1">{"LKD",#N/A,FALSE,"표지"}</definedName>
    <definedName name="소요계획" localSheetId="5" hidden="1">{#N/A,#N/A,FALSE,"이태원철근"}</definedName>
    <definedName name="소요계획" hidden="1">{#N/A,#N/A,FALSE,"이태원철근"}</definedName>
    <definedName name="손익계산서" hidden="1">#REF!</definedName>
    <definedName name="쇼" localSheetId="5" hidden="1">{#N/A,#N/A,FALSE,"이태원철근"}</definedName>
    <definedName name="쇼" hidden="1">{#N/A,#N/A,FALSE,"이태원철근"}</definedName>
    <definedName name="쇼ㅗㅎ로" localSheetId="5" hidden="1">{"'장비'!$A$3:$M$12"}</definedName>
    <definedName name="쇼ㅗㅎ로" localSheetId="9" hidden="1">{"'장비'!$A$3:$M$12"}</definedName>
    <definedName name="쇼ㅗㅎ로" localSheetId="10" hidden="1">{"'장비'!$A$3:$M$12"}</definedName>
    <definedName name="쇼ㅗㅎ로" localSheetId="6" hidden="1">{"'장비'!$A$3:$M$12"}</definedName>
    <definedName name="쇼ㅗㅎ로" localSheetId="3" hidden="1">{"'장비'!$A$3:$M$12"}</definedName>
    <definedName name="쇼ㅗㅎ로" hidden="1">{"'장비'!$A$3:$M$12"}</definedName>
    <definedName name="쇼ㅗㅎ로_1" localSheetId="5" hidden="1">{"'장비'!$A$3:$M$12"}</definedName>
    <definedName name="쇼ㅗㅎ로_1" localSheetId="9" hidden="1">{"'장비'!$A$3:$M$12"}</definedName>
    <definedName name="쇼ㅗㅎ로_1" localSheetId="10" hidden="1">{"'장비'!$A$3:$M$12"}</definedName>
    <definedName name="쇼ㅗㅎ로_1" localSheetId="6" hidden="1">{"'장비'!$A$3:$M$12"}</definedName>
    <definedName name="쇼ㅗㅎ로_1" localSheetId="3" hidden="1">{"'장비'!$A$3:$M$12"}</definedName>
    <definedName name="쇼ㅗㅎ로_1" hidden="1">{"'장비'!$A$3:$M$12"}</definedName>
    <definedName name="수" localSheetId="5" hidden="1">{#N/A,#N/A,TRUE,"Basic";#N/A,#N/A,TRUE,"EXT-TABLE";#N/A,#N/A,TRUE,"STEEL";#N/A,#N/A,TRUE,"INT-Table";#N/A,#N/A,TRUE,"STEEL";#N/A,#N/A,TRUE,"Door"}</definedName>
    <definedName name="수" localSheetId="9" hidden="1">{#N/A,#N/A,TRUE,"Basic";#N/A,#N/A,TRUE,"EXT-TABLE";#N/A,#N/A,TRUE,"STEEL";#N/A,#N/A,TRUE,"INT-Table";#N/A,#N/A,TRUE,"STEEL";#N/A,#N/A,TRUE,"Door"}</definedName>
    <definedName name="수" localSheetId="10" hidden="1">{#N/A,#N/A,TRUE,"Basic";#N/A,#N/A,TRUE,"EXT-TABLE";#N/A,#N/A,TRUE,"STEEL";#N/A,#N/A,TRUE,"INT-Table";#N/A,#N/A,TRUE,"STEEL";#N/A,#N/A,TRUE,"Door"}</definedName>
    <definedName name="수" localSheetId="6" hidden="1">{#N/A,#N/A,TRUE,"Basic";#N/A,#N/A,TRUE,"EXT-TABLE";#N/A,#N/A,TRUE,"STEEL";#N/A,#N/A,TRUE,"INT-Table";#N/A,#N/A,TRUE,"STEEL";#N/A,#N/A,TRUE,"Door"}</definedName>
    <definedName name="수" localSheetId="3" hidden="1">{#N/A,#N/A,TRUE,"Basic";#N/A,#N/A,TRUE,"EXT-TABLE";#N/A,#N/A,TRUE,"STEEL";#N/A,#N/A,TRUE,"INT-Table";#N/A,#N/A,TRUE,"STEEL";#N/A,#N/A,TRUE,"Door"}</definedName>
    <definedName name="수" hidden="1">{#N/A,#N/A,TRUE,"Basic";#N/A,#N/A,TRUE,"EXT-TABLE";#N/A,#N/A,TRUE,"STEEL";#N/A,#N/A,TRUE,"INT-Table";#N/A,#N/A,TRUE,"STEEL";#N/A,#N/A,TRUE,"Door"}</definedName>
    <definedName name="수_1" localSheetId="5" hidden="1">{#N/A,#N/A,TRUE,"Basic";#N/A,#N/A,TRUE,"EXT-TABLE";#N/A,#N/A,TRUE,"STEEL";#N/A,#N/A,TRUE,"INT-Table";#N/A,#N/A,TRUE,"STEEL";#N/A,#N/A,TRUE,"Door"}</definedName>
    <definedName name="수_1" hidden="1">{#N/A,#N/A,TRUE,"Basic";#N/A,#N/A,TRUE,"EXT-TABLE";#N/A,#N/A,TRUE,"STEEL";#N/A,#N/A,TRUE,"INT-Table";#N/A,#N/A,TRUE,"STEEL";#N/A,#N/A,TRUE,"Door"}</definedName>
    <definedName name="수_2" localSheetId="5" hidden="1">{#N/A,#N/A,TRUE,"Basic";#N/A,#N/A,TRUE,"EXT-TABLE";#N/A,#N/A,TRUE,"STEEL";#N/A,#N/A,TRUE,"INT-Table";#N/A,#N/A,TRUE,"STEEL";#N/A,#N/A,TRUE,"Door"}</definedName>
    <definedName name="수_2" hidden="1">{#N/A,#N/A,TRUE,"Basic";#N/A,#N/A,TRUE,"EXT-TABLE";#N/A,#N/A,TRUE,"STEEL";#N/A,#N/A,TRUE,"INT-Table";#N/A,#N/A,TRUE,"STEEL";#N/A,#N/A,TRUE,"Door"}</definedName>
    <definedName name="수_3" localSheetId="5" hidden="1">{#N/A,#N/A,TRUE,"Basic";#N/A,#N/A,TRUE,"EXT-TABLE";#N/A,#N/A,TRUE,"STEEL";#N/A,#N/A,TRUE,"INT-Table";#N/A,#N/A,TRUE,"STEEL";#N/A,#N/A,TRUE,"Door"}</definedName>
    <definedName name="수_3" hidden="1">{#N/A,#N/A,TRUE,"Basic";#N/A,#N/A,TRUE,"EXT-TABLE";#N/A,#N/A,TRUE,"STEEL";#N/A,#N/A,TRUE,"INT-Table";#N/A,#N/A,TRUE,"STEEL";#N/A,#N/A,TRUE,"Door"}</definedName>
    <definedName name="수_4" localSheetId="5" hidden="1">{#N/A,#N/A,TRUE,"Basic";#N/A,#N/A,TRUE,"EXT-TABLE";#N/A,#N/A,TRUE,"STEEL";#N/A,#N/A,TRUE,"INT-Table";#N/A,#N/A,TRUE,"STEEL";#N/A,#N/A,TRUE,"Door"}</definedName>
    <definedName name="수_4" hidden="1">{#N/A,#N/A,TRUE,"Basic";#N/A,#N/A,TRUE,"EXT-TABLE";#N/A,#N/A,TRUE,"STEEL";#N/A,#N/A,TRUE,"INT-Table";#N/A,#N/A,TRUE,"STEEL";#N/A,#N/A,TRUE,"Door"}</definedName>
    <definedName name="수_5" localSheetId="5" hidden="1">{#N/A,#N/A,TRUE,"Basic";#N/A,#N/A,TRUE,"EXT-TABLE";#N/A,#N/A,TRUE,"STEEL";#N/A,#N/A,TRUE,"INT-Table";#N/A,#N/A,TRUE,"STEEL";#N/A,#N/A,TRUE,"Door"}</definedName>
    <definedName name="수_5" hidden="1">{#N/A,#N/A,TRUE,"Basic";#N/A,#N/A,TRUE,"EXT-TABLE";#N/A,#N/A,TRUE,"STEEL";#N/A,#N/A,TRUE,"INT-Table";#N/A,#N/A,TRUE,"STEEL";#N/A,#N/A,TRUE,"Door"}</definedName>
    <definedName name="수원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원지검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주_1" localSheetId="5" hidden="1">{"LKD",#N/A,FALSE,"표지"}</definedName>
    <definedName name="수주_1" hidden="1">{"LKD",#N/A,FALSE,"표지"}</definedName>
    <definedName name="수주_2" localSheetId="5" hidden="1">{"LKD",#N/A,FALSE,"표지"}</definedName>
    <definedName name="수주_2" hidden="1">{"LKD",#N/A,FALSE,"표지"}</definedName>
    <definedName name="수주_3" localSheetId="5" hidden="1">{"LKD",#N/A,FALSE,"표지"}</definedName>
    <definedName name="수주_3" hidden="1">{"LKD",#N/A,FALSE,"표지"}</definedName>
    <definedName name="수주_4" localSheetId="5" hidden="1">{"LKD",#N/A,FALSE,"표지"}</definedName>
    <definedName name="수주_4" hidden="1">{"LKD",#N/A,FALSE,"표지"}</definedName>
    <definedName name="수주_5" localSheetId="5" hidden="1">{"LKD",#N/A,FALSE,"표지"}</definedName>
    <definedName name="수주_5" hidden="1">{"LKD",#N/A,FALSE,"표지"}</definedName>
    <definedName name="순서" hidden="1">#REF!</definedName>
    <definedName name="스케줄보고_PM" localSheetId="5" hidden="1">{"'CATALO(8)'!$B$1:$G$49"}</definedName>
    <definedName name="스케줄보고_PM" hidden="1">{"'CATALO(8)'!$B$1:$G$49"}</definedName>
    <definedName name="스케줄보고_PM_1" localSheetId="5" hidden="1">{"'CATALO(8)'!$B$1:$G$49"}</definedName>
    <definedName name="스케줄보고_PM_1" hidden="1">{"'CATALO(8)'!$B$1:$G$49"}</definedName>
    <definedName name="스케줄보고_PM_2" localSheetId="5" hidden="1">{"'CATALO(8)'!$B$1:$G$49"}</definedName>
    <definedName name="스케줄보고_PM_2" hidden="1">{"'CATALO(8)'!$B$1:$G$49"}</definedName>
    <definedName name="스케줄보고_PM_3" localSheetId="5" hidden="1">{"'CATALO(8)'!$B$1:$G$49"}</definedName>
    <definedName name="스케줄보고_PM_3" hidden="1">{"'CATALO(8)'!$B$1:$G$49"}</definedName>
    <definedName name="스케줄보고_PM_4" localSheetId="5" hidden="1">{"'CATALO(8)'!$B$1:$G$49"}</definedName>
    <definedName name="스케줄보고_PM_4" hidden="1">{"'CATALO(8)'!$B$1:$G$49"}</definedName>
    <definedName name="스케줄보고_PM_5" localSheetId="5" hidden="1">{"'CATALO(8)'!$B$1:$G$49"}</definedName>
    <definedName name="스케줄보고_PM_5" hidden="1">{"'CATALO(8)'!$B$1:$G$49"}</definedName>
    <definedName name="승" localSheetId="5" hidden="1">{#N/A,#N/A,FALSE,"지침";#N/A,#N/A,FALSE,"환경분석";#N/A,#N/A,FALSE,"Sheet16"}</definedName>
    <definedName name="승" hidden="1">{#N/A,#N/A,FALSE,"지침";#N/A,#N/A,FALSE,"환경분석";#N/A,#N/A,FALSE,"Sheet16"}</definedName>
    <definedName name="승_1" localSheetId="5" hidden="1">{#N/A,#N/A,FALSE,"지침";#N/A,#N/A,FALSE,"환경분석";#N/A,#N/A,FALSE,"Sheet16"}</definedName>
    <definedName name="승_1" hidden="1">{#N/A,#N/A,FALSE,"지침";#N/A,#N/A,FALSE,"환경분석";#N/A,#N/A,FALSE,"Sheet16"}</definedName>
    <definedName name="승_2" localSheetId="5" hidden="1">{#N/A,#N/A,FALSE,"지침";#N/A,#N/A,FALSE,"환경분석";#N/A,#N/A,FALSE,"Sheet16"}</definedName>
    <definedName name="승_2" hidden="1">{#N/A,#N/A,FALSE,"지침";#N/A,#N/A,FALSE,"환경분석";#N/A,#N/A,FALSE,"Sheet16"}</definedName>
    <definedName name="승_3" localSheetId="5" hidden="1">{#N/A,#N/A,FALSE,"지침";#N/A,#N/A,FALSE,"환경분석";#N/A,#N/A,FALSE,"Sheet16"}</definedName>
    <definedName name="승_3" hidden="1">{#N/A,#N/A,FALSE,"지침";#N/A,#N/A,FALSE,"환경분석";#N/A,#N/A,FALSE,"Sheet16"}</definedName>
    <definedName name="승_4" localSheetId="5" hidden="1">{#N/A,#N/A,FALSE,"지침";#N/A,#N/A,FALSE,"환경분석";#N/A,#N/A,FALSE,"Sheet16"}</definedName>
    <definedName name="승_4" hidden="1">{#N/A,#N/A,FALSE,"지침";#N/A,#N/A,FALSE,"환경분석";#N/A,#N/A,FALSE,"Sheet16"}</definedName>
    <definedName name="승_5" localSheetId="5" hidden="1">{#N/A,#N/A,FALSE,"지침";#N/A,#N/A,FALSE,"환경분석";#N/A,#N/A,FALSE,"Sheet16"}</definedName>
    <definedName name="승_5" hidden="1">{#N/A,#N/A,FALSE,"지침";#N/A,#N/A,FALSE,"환경분석";#N/A,#N/A,FALSE,"Sheet16"}</definedName>
    <definedName name="시행" localSheetId="5" hidden="1">{#N/A,#N/A,FALSE,"이태원철근"}</definedName>
    <definedName name="시행" hidden="1">{#N/A,#N/A,FALSE,"이태원철근"}</definedName>
    <definedName name="신재점" localSheetId="5" hidden="1">{#N/A,#N/A,FALSE,"이태원철근"}</definedName>
    <definedName name="신재점" hidden="1">{#N/A,#N/A,FALSE,"이태원철근"}</definedName>
    <definedName name="실적총괄1" hidden="1">#REF!</definedName>
    <definedName name="실총" hidden="1">#REF!</definedName>
    <definedName name="실행2" localSheetId="5" hidden="1">{#N/A,#N/A,FALSE,"지침";#N/A,#N/A,FALSE,"환경분석";#N/A,#N/A,FALSE,"Sheet16"}</definedName>
    <definedName name="실행2" hidden="1">{#N/A,#N/A,FALSE,"지침";#N/A,#N/A,FALSE,"환경분석";#N/A,#N/A,FALSE,"Sheet16"}</definedName>
    <definedName name="실행2_1" localSheetId="5" hidden="1">{#N/A,#N/A,FALSE,"지침";#N/A,#N/A,FALSE,"환경분석";#N/A,#N/A,FALSE,"Sheet16"}</definedName>
    <definedName name="실행2_1" hidden="1">{#N/A,#N/A,FALSE,"지침";#N/A,#N/A,FALSE,"환경분석";#N/A,#N/A,FALSE,"Sheet16"}</definedName>
    <definedName name="실행2_2" localSheetId="5" hidden="1">{#N/A,#N/A,FALSE,"지침";#N/A,#N/A,FALSE,"환경분석";#N/A,#N/A,FALSE,"Sheet16"}</definedName>
    <definedName name="실행2_2" hidden="1">{#N/A,#N/A,FALSE,"지침";#N/A,#N/A,FALSE,"환경분석";#N/A,#N/A,FALSE,"Sheet16"}</definedName>
    <definedName name="실행2_3" localSheetId="5" hidden="1">{#N/A,#N/A,FALSE,"지침";#N/A,#N/A,FALSE,"환경분석";#N/A,#N/A,FALSE,"Sheet16"}</definedName>
    <definedName name="실행2_3" hidden="1">{#N/A,#N/A,FALSE,"지침";#N/A,#N/A,FALSE,"환경분석";#N/A,#N/A,FALSE,"Sheet16"}</definedName>
    <definedName name="실행2_4" localSheetId="5" hidden="1">{#N/A,#N/A,FALSE,"지침";#N/A,#N/A,FALSE,"환경분석";#N/A,#N/A,FALSE,"Sheet16"}</definedName>
    <definedName name="실행2_4" hidden="1">{#N/A,#N/A,FALSE,"지침";#N/A,#N/A,FALSE,"환경분석";#N/A,#N/A,FALSE,"Sheet16"}</definedName>
    <definedName name="실행2_5" localSheetId="5" hidden="1">{#N/A,#N/A,FALSE,"지침";#N/A,#N/A,FALSE,"환경분석";#N/A,#N/A,FALSE,"Sheet16"}</definedName>
    <definedName name="실행2_5" hidden="1">{#N/A,#N/A,FALSE,"지침";#N/A,#N/A,FALSE,"환경분석";#N/A,#N/A,FALSE,"Sheet16"}</definedName>
    <definedName name="실행내역" localSheetId="5" hidden="1">{#N/A,#N/A,FALSE,"부대1"}</definedName>
    <definedName name="실행내역" localSheetId="9" hidden="1">{#N/A,#N/A,FALSE,"부대1"}</definedName>
    <definedName name="실행내역" localSheetId="10" hidden="1">{#N/A,#N/A,FALSE,"부대1"}</definedName>
    <definedName name="실행내역" localSheetId="6" hidden="1">{#N/A,#N/A,FALSE,"부대1"}</definedName>
    <definedName name="실행내역" localSheetId="3" hidden="1">{#N/A,#N/A,FALSE,"부대1"}</definedName>
    <definedName name="실행내역" hidden="1">{#N/A,#N/A,FALSE,"부대1"}</definedName>
    <definedName name="실행추" localSheetId="5" hidden="1">{#N/A,#N/A,FALSE,"포장2"}</definedName>
    <definedName name="실행추" localSheetId="9" hidden="1">{#N/A,#N/A,FALSE,"포장2"}</definedName>
    <definedName name="실행추" localSheetId="10" hidden="1">{#N/A,#N/A,FALSE,"포장2"}</definedName>
    <definedName name="실행추" localSheetId="6" hidden="1">{#N/A,#N/A,FALSE,"포장2"}</definedName>
    <definedName name="실행추" localSheetId="3" hidden="1">{#N/A,#N/A,FALSE,"포장2"}</definedName>
    <definedName name="실행추" hidden="1">{#N/A,#N/A,FALSE,"포장2"}</definedName>
    <definedName name="ㅇㄴ" localSheetId="5" hidden="1">{#N/A,#N/A,FALSE,"구조2"}</definedName>
    <definedName name="ㅇㄴ" localSheetId="9" hidden="1">{#N/A,#N/A,FALSE,"구조2"}</definedName>
    <definedName name="ㅇㄴ" localSheetId="10" hidden="1">{#N/A,#N/A,FALSE,"구조2"}</definedName>
    <definedName name="ㅇㄴ" localSheetId="6" hidden="1">{#N/A,#N/A,FALSE,"구조2"}</definedName>
    <definedName name="ㅇㄴ" localSheetId="3" hidden="1">{#N/A,#N/A,FALSE,"구조2"}</definedName>
    <definedName name="ㅇㄴ" hidden="1">{#N/A,#N/A,FALSE,"구조2"}</definedName>
    <definedName name="ㅇㄴㄴㄹ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ㄴㄴ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ㄴㄴㅇㅇ" localSheetId="5" hidden="1">{#N/A,#N/A,FALSE,"이태원철근"}</definedName>
    <definedName name="ㅇㄴㄴㅇㅇ" hidden="1">{#N/A,#N/A,FALSE,"이태원철근"}</definedName>
    <definedName name="ㅇㄴㄻ" localSheetId="5" hidden="1">{#N/A,#N/A,FALSE,"표지목차"}</definedName>
    <definedName name="ㅇㄴㄻ" hidden="1">{#N/A,#N/A,FALSE,"표지목차"}</definedName>
    <definedName name="ㅇㄴㄻ_1" localSheetId="5" hidden="1">{#N/A,#N/A,FALSE,"표지목차"}</definedName>
    <definedName name="ㅇㄴㄻ_1" hidden="1">{#N/A,#N/A,FALSE,"표지목차"}</definedName>
    <definedName name="ㅇㄴㄻ_2" localSheetId="5" hidden="1">{#N/A,#N/A,FALSE,"표지목차"}</definedName>
    <definedName name="ㅇㄴㄻ_2" hidden="1">{#N/A,#N/A,FALSE,"표지목차"}</definedName>
    <definedName name="ㅇㄴㄻ_3" localSheetId="5" hidden="1">{#N/A,#N/A,FALSE,"표지목차"}</definedName>
    <definedName name="ㅇㄴㄻ_3" hidden="1">{#N/A,#N/A,FALSE,"표지목차"}</definedName>
    <definedName name="ㅇㄴㄻ_4" localSheetId="5" hidden="1">{#N/A,#N/A,FALSE,"표지목차"}</definedName>
    <definedName name="ㅇㄴㄻ_4" hidden="1">{#N/A,#N/A,FALSE,"표지목차"}</definedName>
    <definedName name="ㅇㄴㄻ_5" localSheetId="5" hidden="1">{#N/A,#N/A,FALSE,"표지목차"}</definedName>
    <definedName name="ㅇㄴㄻ_5" hidden="1">{#N/A,#N/A,FALSE,"표지목차"}</definedName>
    <definedName name="ㅇㄴㄻㄴㅇ" localSheetId="5" hidden="1">{#N/A,#N/A,FALSE,"표지목차"}</definedName>
    <definedName name="ㅇㄴㄻㄴㅇ" hidden="1">{#N/A,#N/A,FALSE,"표지목차"}</definedName>
    <definedName name="ㅇㄴㄻㄴㅇ_1" localSheetId="5" hidden="1">{#N/A,#N/A,FALSE,"표지목차"}</definedName>
    <definedName name="ㅇㄴㄻㄴㅇ_1" hidden="1">{#N/A,#N/A,FALSE,"표지목차"}</definedName>
    <definedName name="ㅇㄴㄻㄴㅇ_2" localSheetId="5" hidden="1">{#N/A,#N/A,FALSE,"표지목차"}</definedName>
    <definedName name="ㅇㄴㄻㄴㅇ_2" hidden="1">{#N/A,#N/A,FALSE,"표지목차"}</definedName>
    <definedName name="ㅇㄴㄻㄴㅇ_3" localSheetId="5" hidden="1">{#N/A,#N/A,FALSE,"표지목차"}</definedName>
    <definedName name="ㅇㄴㄻㄴㅇ_3" hidden="1">{#N/A,#N/A,FALSE,"표지목차"}</definedName>
    <definedName name="ㅇㄴㄻㄴㅇ_4" localSheetId="5" hidden="1">{#N/A,#N/A,FALSE,"표지목차"}</definedName>
    <definedName name="ㅇㄴㄻㄴㅇ_4" hidden="1">{#N/A,#N/A,FALSE,"표지목차"}</definedName>
    <definedName name="ㅇㄴㄻㄴㅇ_5" localSheetId="5" hidden="1">{#N/A,#N/A,FALSE,"표지목차"}</definedName>
    <definedName name="ㅇㄴㄻㄴㅇ_5" hidden="1">{#N/A,#N/A,FALSE,"표지목차"}</definedName>
    <definedName name="ㅇㄹㄹ" hidden="1">#REF!</definedName>
    <definedName name="ㅇㄹㅇ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ㄹㅇ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ㅇㄻㅇㄻㄴㄹ" localSheetId="5" hidden="1">{#N/A,#N/A,FALSE,"단가표지"}</definedName>
    <definedName name="ㅇㄻㅇㄻㄴㄹ" hidden="1">{#N/A,#N/A,FALSE,"단가표지"}</definedName>
    <definedName name="ㅇㄻㅇㄻㄴㄹ_1" localSheetId="5" hidden="1">{#N/A,#N/A,FALSE,"단가표지"}</definedName>
    <definedName name="ㅇㄻㅇㄻㄴㄹ_1" hidden="1">{#N/A,#N/A,FALSE,"단가표지"}</definedName>
    <definedName name="ㅇㄻㅇㄻㄴㄹ_2" localSheetId="5" hidden="1">{#N/A,#N/A,FALSE,"단가표지"}</definedName>
    <definedName name="ㅇㄻㅇㄻㄴㄹ_2" hidden="1">{#N/A,#N/A,FALSE,"단가표지"}</definedName>
    <definedName name="ㅇㄻㅇㄻㄴㄹ_3" localSheetId="5" hidden="1">{#N/A,#N/A,FALSE,"단가표지"}</definedName>
    <definedName name="ㅇㄻㅇㄻㄴㄹ_3" hidden="1">{#N/A,#N/A,FALSE,"단가표지"}</definedName>
    <definedName name="ㅇㄻㅇㄻㄴㄹ_4" localSheetId="5" hidden="1">{#N/A,#N/A,FALSE,"단가표지"}</definedName>
    <definedName name="ㅇㄻㅇㄻㄴㄹ_4" hidden="1">{#N/A,#N/A,FALSE,"단가표지"}</definedName>
    <definedName name="ㅇㄻㅇㄻㄴㄹ_5" localSheetId="5" hidden="1">{#N/A,#N/A,FALSE,"단가표지"}</definedName>
    <definedName name="ㅇㄻㅇㄻㄴㄹ_5" hidden="1">{#N/A,#N/A,FALSE,"단가표지"}</definedName>
    <definedName name="ㅇㅀㅁㅇㅁㅇ" localSheetId="5" hidden="1">{#N/A,#N/A,FALSE,"단가표지"}</definedName>
    <definedName name="ㅇㅀㅁㅇㅁㅇ" hidden="1">{#N/A,#N/A,FALSE,"단가표지"}</definedName>
    <definedName name="ㅇㅀㅁㅇㅁㅇ_1" localSheetId="5" hidden="1">{#N/A,#N/A,FALSE,"단가표지"}</definedName>
    <definedName name="ㅇㅀㅁㅇㅁㅇ_1" hidden="1">{#N/A,#N/A,FALSE,"단가표지"}</definedName>
    <definedName name="ㅇㅀㅁㅇㅁㅇ_2" localSheetId="5" hidden="1">{#N/A,#N/A,FALSE,"단가표지"}</definedName>
    <definedName name="ㅇㅀㅁㅇㅁㅇ_2" hidden="1">{#N/A,#N/A,FALSE,"단가표지"}</definedName>
    <definedName name="ㅇㅀㅁㅇㅁㅇ_3" localSheetId="5" hidden="1">{#N/A,#N/A,FALSE,"단가표지"}</definedName>
    <definedName name="ㅇㅀㅁㅇㅁㅇ_3" hidden="1">{#N/A,#N/A,FALSE,"단가표지"}</definedName>
    <definedName name="ㅇㅀㅁㅇㅁㅇ_4" localSheetId="5" hidden="1">{#N/A,#N/A,FALSE,"단가표지"}</definedName>
    <definedName name="ㅇㅀㅁㅇㅁㅇ_4" hidden="1">{#N/A,#N/A,FALSE,"단가표지"}</definedName>
    <definedName name="ㅇㅀㅁㅇㅁㅇ_5" localSheetId="5" hidden="1">{#N/A,#N/A,FALSE,"단가표지"}</definedName>
    <definedName name="ㅇㅀㅁㅇㅁㅇ_5" hidden="1">{#N/A,#N/A,FALSE,"단가표지"}</definedName>
    <definedName name="ㅇㅂㅁ" localSheetId="5" hidden="1">{#N/A,#N/A,FALSE,"이태원철근"}</definedName>
    <definedName name="ㅇㅂㅁ" hidden="1">{#N/A,#N/A,FALSE,"이태원철근"}</definedName>
    <definedName name="ㅇㅇ" localSheetId="5" hidden="1">{#N/A,#N/A,FALSE,"이태원철근"}</definedName>
    <definedName name="ㅇㅇ" hidden="1">{#N/A,#N/A,FALSE,"이태원철근"}</definedName>
    <definedName name="ㅇㅇ_1" localSheetId="5" hidden="1">{"LKD",#N/A,FALSE,"표지"}</definedName>
    <definedName name="ㅇㅇ_1" hidden="1">{"LKD",#N/A,FALSE,"표지"}</definedName>
    <definedName name="ㅇㅇ_2" localSheetId="5" hidden="1">{"LKD",#N/A,FALSE,"표지"}</definedName>
    <definedName name="ㅇㅇ_2" hidden="1">{"LKD",#N/A,FALSE,"표지"}</definedName>
    <definedName name="ㅇㅇ_3" localSheetId="5" hidden="1">{"LKD",#N/A,FALSE,"표지"}</definedName>
    <definedName name="ㅇㅇ_3" hidden="1">{"LKD",#N/A,FALSE,"표지"}</definedName>
    <definedName name="ㅇㅇ_4" localSheetId="5" hidden="1">{"LKD",#N/A,FALSE,"표지"}</definedName>
    <definedName name="ㅇㅇ_4" hidden="1">{"LKD",#N/A,FALSE,"표지"}</definedName>
    <definedName name="ㅇㅇ_5" localSheetId="5" hidden="1">{"LKD",#N/A,FALSE,"표지"}</definedName>
    <definedName name="ㅇㅇ_5" hidden="1">{"LKD",#N/A,FALSE,"표지"}</definedName>
    <definedName name="ㅇㅇㅇㅇㅇㅇㅇ" localSheetId="5" hidden="1">{#N/A,#N/A,FALSE,"이태원철근"}</definedName>
    <definedName name="ㅇㅇㅇㅇㅇㅇㅇ" hidden="1">{#N/A,#N/A,FALSE,"이태원철근"}</definedName>
    <definedName name="ㅇ호" localSheetId="5" hidden="1">{#N/A,#N/A,FALSE,"혼합골재"}</definedName>
    <definedName name="ㅇ호" hidden="1">{#N/A,#N/A,FALSE,"혼합골재"}</definedName>
    <definedName name="ㅇ호_1" localSheetId="5" hidden="1">{#N/A,#N/A,FALSE,"혼합골재"}</definedName>
    <definedName name="ㅇ호_1" hidden="1">{#N/A,#N/A,FALSE,"혼합골재"}</definedName>
    <definedName name="ㅇ호_2" localSheetId="5" hidden="1">{#N/A,#N/A,FALSE,"혼합골재"}</definedName>
    <definedName name="ㅇ호_2" hidden="1">{#N/A,#N/A,FALSE,"혼합골재"}</definedName>
    <definedName name="ㅇ호_3" localSheetId="5" hidden="1">{#N/A,#N/A,FALSE,"혼합골재"}</definedName>
    <definedName name="ㅇ호_3" hidden="1">{#N/A,#N/A,FALSE,"혼합골재"}</definedName>
    <definedName name="ㅇ호_4" localSheetId="5" hidden="1">{#N/A,#N/A,FALSE,"혼합골재"}</definedName>
    <definedName name="ㅇ호_4" hidden="1">{#N/A,#N/A,FALSE,"혼합골재"}</definedName>
    <definedName name="ㅇ호_5" localSheetId="5" hidden="1">{#N/A,#N/A,FALSE,"혼합골재"}</definedName>
    <definedName name="ㅇ호_5" hidden="1">{#N/A,#N/A,FALSE,"혼합골재"}</definedName>
    <definedName name="아니오" localSheetId="5" hidden="1">{"LKD",#N/A,FALSE,"표지"}</definedName>
    <definedName name="아니오" hidden="1">{"LKD",#N/A,FALSE,"표지"}</definedName>
    <definedName name="아니오_1" localSheetId="5" hidden="1">{"LKD",#N/A,FALSE,"표지"}</definedName>
    <definedName name="아니오_1" hidden="1">{"LKD",#N/A,FALSE,"표지"}</definedName>
    <definedName name="아니오_2" localSheetId="5" hidden="1">{"LKD",#N/A,FALSE,"표지"}</definedName>
    <definedName name="아니오_2" hidden="1">{"LKD",#N/A,FALSE,"표지"}</definedName>
    <definedName name="아니오_3" localSheetId="5" hidden="1">{"LKD",#N/A,FALSE,"표지"}</definedName>
    <definedName name="아니오_3" hidden="1">{"LKD",#N/A,FALSE,"표지"}</definedName>
    <definedName name="아니오_4" localSheetId="5" hidden="1">{"LKD",#N/A,FALSE,"표지"}</definedName>
    <definedName name="아니오_4" hidden="1">{"LKD",#N/A,FALSE,"표지"}</definedName>
    <definedName name="아니오_5" localSheetId="5" hidden="1">{"LKD",#N/A,FALSE,"표지"}</definedName>
    <definedName name="아니오_5" hidden="1">{"LKD",#N/A,FALSE,"표지"}</definedName>
    <definedName name="아안녕" localSheetId="5" hidden="1">{"'별표'!$N$220"}</definedName>
    <definedName name="아안녕" hidden="1">{"'별표'!$N$220"}</definedName>
    <definedName name="안녕" localSheetId="5" hidden="1">{"'별표'!$N$220"}</definedName>
    <definedName name="안녕" hidden="1">{"'별표'!$N$220"}</definedName>
    <definedName name="안양현대" localSheetId="5" hidden="1">{#N/A,#N/A,FALSE,"이태원철근"}</definedName>
    <definedName name="안양현대" hidden="1">{#N/A,#N/A,FALSE,"이태원철근"}</definedName>
    <definedName name="안전" localSheetId="5" hidden="1">{#N/A,#N/A,FALSE,"CCTV"}</definedName>
    <definedName name="안전" hidden="1">{#N/A,#N/A,FALSE,"CCTV"}</definedName>
    <definedName name="안전_1" localSheetId="5" hidden="1">{#N/A,#N/A,FALSE,"CCTV"}</definedName>
    <definedName name="안전_1" hidden="1">{#N/A,#N/A,FALSE,"CCTV"}</definedName>
    <definedName name="안전_2" localSheetId="5" hidden="1">{#N/A,#N/A,FALSE,"CCTV"}</definedName>
    <definedName name="안전_2" hidden="1">{#N/A,#N/A,FALSE,"CCTV"}</definedName>
    <definedName name="안전_3" localSheetId="5" hidden="1">{#N/A,#N/A,FALSE,"CCTV"}</definedName>
    <definedName name="안전_3" hidden="1">{#N/A,#N/A,FALSE,"CCTV"}</definedName>
    <definedName name="안전_4" localSheetId="5" hidden="1">{#N/A,#N/A,FALSE,"CCTV"}</definedName>
    <definedName name="안전_4" hidden="1">{#N/A,#N/A,FALSE,"CCTV"}</definedName>
    <definedName name="안전_5" localSheetId="5" hidden="1">{#N/A,#N/A,FALSE,"CCTV"}</definedName>
    <definedName name="안전_5" hidden="1">{#N/A,#N/A,FALSE,"CCTV"}</definedName>
    <definedName name="암" localSheetId="5" hidden="1">{#N/A,#N/A,FALSE,"지침";#N/A,#N/A,FALSE,"환경분석";#N/A,#N/A,FALSE,"Sheet16"}</definedName>
    <definedName name="암" hidden="1">{#N/A,#N/A,FALSE,"지침";#N/A,#N/A,FALSE,"환경분석";#N/A,#N/A,FALSE,"Sheet16"}</definedName>
    <definedName name="암_1" localSheetId="5" hidden="1">{#N/A,#N/A,FALSE,"지침";#N/A,#N/A,FALSE,"환경분석";#N/A,#N/A,FALSE,"Sheet16"}</definedName>
    <definedName name="암_1" hidden="1">{#N/A,#N/A,FALSE,"지침";#N/A,#N/A,FALSE,"환경분석";#N/A,#N/A,FALSE,"Sheet16"}</definedName>
    <definedName name="암_2" localSheetId="5" hidden="1">{#N/A,#N/A,FALSE,"지침";#N/A,#N/A,FALSE,"환경분석";#N/A,#N/A,FALSE,"Sheet16"}</definedName>
    <definedName name="암_2" hidden="1">{#N/A,#N/A,FALSE,"지침";#N/A,#N/A,FALSE,"환경분석";#N/A,#N/A,FALSE,"Sheet16"}</definedName>
    <definedName name="암_3" localSheetId="5" hidden="1">{#N/A,#N/A,FALSE,"지침";#N/A,#N/A,FALSE,"환경분석";#N/A,#N/A,FALSE,"Sheet16"}</definedName>
    <definedName name="암_3" hidden="1">{#N/A,#N/A,FALSE,"지침";#N/A,#N/A,FALSE,"환경분석";#N/A,#N/A,FALSE,"Sheet16"}</definedName>
    <definedName name="암_4" localSheetId="5" hidden="1">{#N/A,#N/A,FALSE,"지침";#N/A,#N/A,FALSE,"환경분석";#N/A,#N/A,FALSE,"Sheet16"}</definedName>
    <definedName name="암_4" hidden="1">{#N/A,#N/A,FALSE,"지침";#N/A,#N/A,FALSE,"환경분석";#N/A,#N/A,FALSE,"Sheet16"}</definedName>
    <definedName name="암_5" localSheetId="5" hidden="1">{#N/A,#N/A,FALSE,"지침";#N/A,#N/A,FALSE,"환경분석";#N/A,#N/A,FALSE,"Sheet16"}</definedName>
    <definedName name="암_5" hidden="1">{#N/A,#N/A,FALSE,"지침";#N/A,#N/A,FALSE,"환경분석";#N/A,#N/A,FALSE,"Sheet16"}</definedName>
    <definedName name="야간" localSheetId="5" hidden="1">{#N/A,#N/A,FALSE,"지침";#N/A,#N/A,FALSE,"환경분석";#N/A,#N/A,FALSE,"Sheet16"}</definedName>
    <definedName name="야간" hidden="1">{#N/A,#N/A,FALSE,"지침";#N/A,#N/A,FALSE,"환경분석";#N/A,#N/A,FALSE,"Sheet16"}</definedName>
    <definedName name="야간_1" localSheetId="5" hidden="1">{#N/A,#N/A,FALSE,"지침";#N/A,#N/A,FALSE,"환경분석";#N/A,#N/A,FALSE,"Sheet16"}</definedName>
    <definedName name="야간_1" hidden="1">{#N/A,#N/A,FALSE,"지침";#N/A,#N/A,FALSE,"환경분석";#N/A,#N/A,FALSE,"Sheet16"}</definedName>
    <definedName name="야간_2" localSheetId="5" hidden="1">{#N/A,#N/A,FALSE,"지침";#N/A,#N/A,FALSE,"환경분석";#N/A,#N/A,FALSE,"Sheet16"}</definedName>
    <definedName name="야간_2" hidden="1">{#N/A,#N/A,FALSE,"지침";#N/A,#N/A,FALSE,"환경분석";#N/A,#N/A,FALSE,"Sheet16"}</definedName>
    <definedName name="야간_3" localSheetId="5" hidden="1">{#N/A,#N/A,FALSE,"지침";#N/A,#N/A,FALSE,"환경분석";#N/A,#N/A,FALSE,"Sheet16"}</definedName>
    <definedName name="야간_3" hidden="1">{#N/A,#N/A,FALSE,"지침";#N/A,#N/A,FALSE,"환경분석";#N/A,#N/A,FALSE,"Sheet16"}</definedName>
    <definedName name="야간_4" localSheetId="5" hidden="1">{#N/A,#N/A,FALSE,"지침";#N/A,#N/A,FALSE,"환경분석";#N/A,#N/A,FALSE,"Sheet16"}</definedName>
    <definedName name="야간_4" hidden="1">{#N/A,#N/A,FALSE,"지침";#N/A,#N/A,FALSE,"환경분석";#N/A,#N/A,FALSE,"Sheet16"}</definedName>
    <definedName name="야간_5" localSheetId="5" hidden="1">{#N/A,#N/A,FALSE,"지침";#N/A,#N/A,FALSE,"환경분석";#N/A,#N/A,FALSE,"Sheet16"}</definedName>
    <definedName name="야간_5" hidden="1">{#N/A,#N/A,FALSE,"지침";#N/A,#N/A,FALSE,"환경분석";#N/A,#N/A,FALSE,"Sheet16"}</definedName>
    <definedName name="어ㅏㅣ" localSheetId="5" hidden="1">{#N/A,#N/A,FALSE,"이태원철근"}</definedName>
    <definedName name="어ㅏㅣ" hidden="1">{#N/A,#N/A,FALSE,"이태원철근"}</definedName>
    <definedName name="업무" localSheetId="5" hidden="1">{#N/A,#N/A,FALSE,"이태원철근"}</definedName>
    <definedName name="업무" hidden="1">{#N/A,#N/A,FALSE,"이태원철근"}</definedName>
    <definedName name="옥외공사" localSheetId="5" hidden="1">{#N/A,#N/A,FALSE,"이태원철근"}</definedName>
    <definedName name="옥외공사" hidden="1">{#N/A,#N/A,FALSE,"이태원철근"}</definedName>
    <definedName name="옥외대비" localSheetId="5" hidden="1">{#N/A,#N/A,FALSE,"이태원철근"}</definedName>
    <definedName name="옥외대비" hidden="1">{#N/A,#N/A,FALSE,"이태원철근"}</definedName>
    <definedName name="우원참고" localSheetId="5" hidden="1">{#N/A,#N/A,FALSE,"신청통보";#N/A,#N/A,FALSE,"기성확인서";#N/A,#N/A,FALSE,"기성내역서"}</definedName>
    <definedName name="우원참고" hidden="1">{#N/A,#N/A,FALSE,"신청통보";#N/A,#N/A,FALSE,"기성확인서";#N/A,#N/A,FALSE,"기성내역서"}</definedName>
    <definedName name="우원참고_1" localSheetId="5" hidden="1">{#N/A,#N/A,FALSE,"신청통보";#N/A,#N/A,FALSE,"기성확인서";#N/A,#N/A,FALSE,"기성내역서"}</definedName>
    <definedName name="우원참고_1" hidden="1">{#N/A,#N/A,FALSE,"신청통보";#N/A,#N/A,FALSE,"기성확인서";#N/A,#N/A,FALSE,"기성내역서"}</definedName>
    <definedName name="우원참고_2" localSheetId="5" hidden="1">{#N/A,#N/A,FALSE,"신청통보";#N/A,#N/A,FALSE,"기성확인서";#N/A,#N/A,FALSE,"기성내역서"}</definedName>
    <definedName name="우원참고_2" hidden="1">{#N/A,#N/A,FALSE,"신청통보";#N/A,#N/A,FALSE,"기성확인서";#N/A,#N/A,FALSE,"기성내역서"}</definedName>
    <definedName name="우원참고_3" localSheetId="5" hidden="1">{#N/A,#N/A,FALSE,"신청통보";#N/A,#N/A,FALSE,"기성확인서";#N/A,#N/A,FALSE,"기성내역서"}</definedName>
    <definedName name="우원참고_3" hidden="1">{#N/A,#N/A,FALSE,"신청통보";#N/A,#N/A,FALSE,"기성확인서";#N/A,#N/A,FALSE,"기성내역서"}</definedName>
    <definedName name="우원참고_4" localSheetId="5" hidden="1">{#N/A,#N/A,FALSE,"신청통보";#N/A,#N/A,FALSE,"기성확인서";#N/A,#N/A,FALSE,"기성내역서"}</definedName>
    <definedName name="우원참고_4" hidden="1">{#N/A,#N/A,FALSE,"신청통보";#N/A,#N/A,FALSE,"기성확인서";#N/A,#N/A,FALSE,"기성내역서"}</definedName>
    <definedName name="우원참고_5" localSheetId="5" hidden="1">{#N/A,#N/A,FALSE,"신청통보";#N/A,#N/A,FALSE,"기성확인서";#N/A,#N/A,FALSE,"기성내역서"}</definedName>
    <definedName name="우원참고_5" hidden="1">{#N/A,#N/A,FALSE,"신청통보";#N/A,#N/A,FALSE,"기성확인서";#N/A,#N/A,FALSE,"기성내역서"}</definedName>
    <definedName name="우ㅗ홓ㅇ" localSheetId="5" hidden="1">{#N/A,#N/A,FALSE,"조골재"}</definedName>
    <definedName name="우ㅗ홓ㅇ" hidden="1">{#N/A,#N/A,FALSE,"조골재"}</definedName>
    <definedName name="우ㅗ홓ㅇ_1" localSheetId="5" hidden="1">{#N/A,#N/A,FALSE,"조골재"}</definedName>
    <definedName name="우ㅗ홓ㅇ_1" hidden="1">{#N/A,#N/A,FALSE,"조골재"}</definedName>
    <definedName name="우ㅗ홓ㅇ_2" localSheetId="5" hidden="1">{#N/A,#N/A,FALSE,"조골재"}</definedName>
    <definedName name="우ㅗ홓ㅇ_2" hidden="1">{#N/A,#N/A,FALSE,"조골재"}</definedName>
    <definedName name="우ㅗ홓ㅇ_3" localSheetId="5" hidden="1">{#N/A,#N/A,FALSE,"조골재"}</definedName>
    <definedName name="우ㅗ홓ㅇ_3" hidden="1">{#N/A,#N/A,FALSE,"조골재"}</definedName>
    <definedName name="우ㅗ홓ㅇ_4" localSheetId="5" hidden="1">{#N/A,#N/A,FALSE,"조골재"}</definedName>
    <definedName name="우ㅗ홓ㅇ_4" hidden="1">{#N/A,#N/A,FALSE,"조골재"}</definedName>
    <definedName name="우ㅗ홓ㅇ_5" localSheetId="5" hidden="1">{#N/A,#N/A,FALSE,"조골재"}</definedName>
    <definedName name="우ㅗ홓ㅇ_5" hidden="1">{#N/A,#N/A,FALSE,"조골재"}</definedName>
    <definedName name="워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워크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서1" localSheetId="5" hidden="1">{#N/A,#N/A,TRUE,"총괄"}</definedName>
    <definedName name="원가계산서1" hidden="1">{#N/A,#N/A,TRUE,"총괄"}</definedName>
    <definedName name="원가계산서1_1" localSheetId="5" hidden="1">{#N/A,#N/A,TRUE,"총괄"}</definedName>
    <definedName name="원가계산서1_1" hidden="1">{#N/A,#N/A,TRUE,"총괄"}</definedName>
    <definedName name="원가계산서1_2" localSheetId="5" hidden="1">{#N/A,#N/A,TRUE,"총괄"}</definedName>
    <definedName name="원가계산서1_2" hidden="1">{#N/A,#N/A,TRUE,"총괄"}</definedName>
    <definedName name="원가계산서1_3" localSheetId="5" hidden="1">{#N/A,#N/A,TRUE,"총괄"}</definedName>
    <definedName name="원가계산서1_3" hidden="1">{#N/A,#N/A,TRUE,"총괄"}</definedName>
    <definedName name="원가계산서1_4" localSheetId="5" hidden="1">{#N/A,#N/A,TRUE,"총괄"}</definedName>
    <definedName name="원가계산서1_4" hidden="1">{#N/A,#N/A,TRUE,"총괄"}</definedName>
    <definedName name="원가계산서1_5" localSheetId="5" hidden="1">{#N/A,#N/A,TRUE,"총괄"}</definedName>
    <definedName name="원가계산서1_5" hidden="1">{#N/A,#N/A,TRUE,"총괄"}</definedName>
    <definedName name="월드건설" localSheetId="5" hidden="1">{#N/A,#N/A,FALSE,"이태원철근"}</definedName>
    <definedName name="월드건설" hidden="1">{#N/A,#N/A,FALSE,"이태원철근"}</definedName>
    <definedName name="월별투입" localSheetId="5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월별투입_1" localSheetId="5" hidden="1">{#N/A,#N/A,FALSE,"지침";#N/A,#N/A,FALSE,"환경분석";#N/A,#N/A,FALSE,"Sheet16"}</definedName>
    <definedName name="월별투입_1" hidden="1">{#N/A,#N/A,FALSE,"지침";#N/A,#N/A,FALSE,"환경분석";#N/A,#N/A,FALSE,"Sheet16"}</definedName>
    <definedName name="월별투입_2" localSheetId="5" hidden="1">{#N/A,#N/A,FALSE,"지침";#N/A,#N/A,FALSE,"환경분석";#N/A,#N/A,FALSE,"Sheet16"}</definedName>
    <definedName name="월별투입_2" hidden="1">{#N/A,#N/A,FALSE,"지침";#N/A,#N/A,FALSE,"환경분석";#N/A,#N/A,FALSE,"Sheet16"}</definedName>
    <definedName name="월별투입_3" localSheetId="5" hidden="1">{#N/A,#N/A,FALSE,"지침";#N/A,#N/A,FALSE,"환경분석";#N/A,#N/A,FALSE,"Sheet16"}</definedName>
    <definedName name="월별투입_3" hidden="1">{#N/A,#N/A,FALSE,"지침";#N/A,#N/A,FALSE,"환경분석";#N/A,#N/A,FALSE,"Sheet16"}</definedName>
    <definedName name="월별투입_4" localSheetId="5" hidden="1">{#N/A,#N/A,FALSE,"지침";#N/A,#N/A,FALSE,"환경분석";#N/A,#N/A,FALSE,"Sheet16"}</definedName>
    <definedName name="월별투입_4" hidden="1">{#N/A,#N/A,FALSE,"지침";#N/A,#N/A,FALSE,"환경분석";#N/A,#N/A,FALSE,"Sheet16"}</definedName>
    <definedName name="월별투입_5" localSheetId="5" hidden="1">{#N/A,#N/A,FALSE,"지침";#N/A,#N/A,FALSE,"환경분석";#N/A,#N/A,FALSE,"Sheet16"}</definedName>
    <definedName name="월별투입_5" hidden="1">{#N/A,#N/A,FALSE,"지침";#N/A,#N/A,FALSE,"환경분석";#N/A,#N/A,FALSE,"Sheet16"}</definedName>
    <definedName name="유형자산" localSheetId="5" hidden="1">{"LKD",#N/A,FALSE,"표지"}</definedName>
    <definedName name="유형자산" hidden="1">{"LKD",#N/A,FALSE,"표지"}</definedName>
    <definedName name="유형자산_1" localSheetId="5" hidden="1">{"LKD",#N/A,FALSE,"표지"}</definedName>
    <definedName name="유형자산_1" hidden="1">{"LKD",#N/A,FALSE,"표지"}</definedName>
    <definedName name="유형자산_2" localSheetId="5" hidden="1">{"LKD",#N/A,FALSE,"표지"}</definedName>
    <definedName name="유형자산_2" hidden="1">{"LKD",#N/A,FALSE,"표지"}</definedName>
    <definedName name="유형자산_3" localSheetId="5" hidden="1">{"LKD",#N/A,FALSE,"표지"}</definedName>
    <definedName name="유형자산_3" hidden="1">{"LKD",#N/A,FALSE,"표지"}</definedName>
    <definedName name="유형자산_4" localSheetId="5" hidden="1">{"LKD",#N/A,FALSE,"표지"}</definedName>
    <definedName name="유형자산_4" hidden="1">{"LKD",#N/A,FALSE,"표지"}</definedName>
    <definedName name="유형자산_5" localSheetId="5" hidden="1">{"LKD",#N/A,FALSE,"표지"}</definedName>
    <definedName name="유형자산_5" hidden="1">{"LKD",#N/A,FALSE,"표지"}</definedName>
    <definedName name="이금모" localSheetId="5" hidden="1">{"LKD",#N/A,FALSE,"표지"}</definedName>
    <definedName name="이금모" hidden="1">{"LKD",#N/A,FALSE,"표지"}</definedName>
    <definedName name="이금모_1" localSheetId="5" hidden="1">{"LKD",#N/A,FALSE,"표지"}</definedName>
    <definedName name="이금모_1" hidden="1">{"LKD",#N/A,FALSE,"표지"}</definedName>
    <definedName name="이금모_2" localSheetId="5" hidden="1">{"LKD",#N/A,FALSE,"표지"}</definedName>
    <definedName name="이금모_2" hidden="1">{"LKD",#N/A,FALSE,"표지"}</definedName>
    <definedName name="이금모_3" localSheetId="5" hidden="1">{"LKD",#N/A,FALSE,"표지"}</definedName>
    <definedName name="이금모_3" hidden="1">{"LKD",#N/A,FALSE,"표지"}</definedName>
    <definedName name="이금모_4" localSheetId="5" hidden="1">{"LKD",#N/A,FALSE,"표지"}</definedName>
    <definedName name="이금모_4" hidden="1">{"LKD",#N/A,FALSE,"표지"}</definedName>
    <definedName name="이금모_5" localSheetId="5" hidden="1">{"LKD",#N/A,FALSE,"표지"}</definedName>
    <definedName name="이금모_5" hidden="1">{"LKD",#N/A,FALSE,"표지"}</definedName>
    <definedName name="이름" localSheetId="5" hidden="1">{#N/A,#N/A,FALSE,"이태원철근"}</definedName>
    <definedName name="이름" hidden="1">{#N/A,#N/A,FALSE,"이태원철근"}</definedName>
    <definedName name="이름모름" localSheetId="5" hidden="1">{"'별표'!$N$220"}</definedName>
    <definedName name="이름모름" hidden="1">{"'별표'!$N$220"}</definedName>
    <definedName name="이이" localSheetId="5" hidden="1">{#N/A,#N/A,FALSE,"이태원철근"}</definedName>
    <definedName name="이이" hidden="1">{#N/A,#N/A,FALSE,"이태원철근"}</definedName>
    <definedName name="이종훈" hidden="1">#REF!</definedName>
    <definedName name="이ㅏㅎ" localSheetId="5" hidden="1">{#N/A,#N/A,FALSE,"이태원철근"}</definedName>
    <definedName name="이ㅏㅎ" hidden="1">{#N/A,#N/A,FALSE,"이태원철근"}</definedName>
    <definedName name="인력2" localSheetId="5" hidden="1">{#N/A,#N/A,FALSE,"CCTV"}</definedName>
    <definedName name="인력2" hidden="1">{#N/A,#N/A,FALSE,"CCTV"}</definedName>
    <definedName name="인력2_1" localSheetId="5" hidden="1">{#N/A,#N/A,FALSE,"CCTV"}</definedName>
    <definedName name="인력2_1" hidden="1">{#N/A,#N/A,FALSE,"CCTV"}</definedName>
    <definedName name="인력2_2" localSheetId="5" hidden="1">{#N/A,#N/A,FALSE,"CCTV"}</definedName>
    <definedName name="인력2_2" hidden="1">{#N/A,#N/A,FALSE,"CCTV"}</definedName>
    <definedName name="인력2_3" localSheetId="5" hidden="1">{#N/A,#N/A,FALSE,"CCTV"}</definedName>
    <definedName name="인력2_3" hidden="1">{#N/A,#N/A,FALSE,"CCTV"}</definedName>
    <definedName name="인력2_4" localSheetId="5" hidden="1">{#N/A,#N/A,FALSE,"CCTV"}</definedName>
    <definedName name="인력2_4" hidden="1">{#N/A,#N/A,FALSE,"CCTV"}</definedName>
    <definedName name="인력2_5" localSheetId="5" hidden="1">{#N/A,#N/A,FALSE,"CCTV"}</definedName>
    <definedName name="인력2_5" hidden="1">{#N/A,#N/A,FALSE,"CCTV"}</definedName>
    <definedName name="인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공항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도착대비잔량" localSheetId="9" hidden="1">#REF!</definedName>
    <definedName name="일도착대비잔량" localSheetId="10" hidden="1">#REF!</definedName>
    <definedName name="일도착대비잔량" hidden="1">#REF!</definedName>
    <definedName name="일정표" localSheetId="5" hidden="1">{#N/A,#N/A,FALSE,"이태원철근"}</definedName>
    <definedName name="일정표" hidden="1">{#N/A,#N/A,FALSE,"이태원철근"}</definedName>
    <definedName name="일정표0124" localSheetId="5" hidden="1">{#N/A,#N/A,FALSE,"이태원철근"}</definedName>
    <definedName name="일정표0124" hidden="1">{#N/A,#N/A,FALSE,"이태원철근"}</definedName>
    <definedName name="일투입" localSheetId="5" hidden="1">{#N/A,#N/A,FALSE,"지침";#N/A,#N/A,FALSE,"환경분석";#N/A,#N/A,FALSE,"Sheet16"}</definedName>
    <definedName name="일투입" hidden="1">{#N/A,#N/A,FALSE,"지침";#N/A,#N/A,FALSE,"환경분석";#N/A,#N/A,FALSE,"Sheet16"}</definedName>
    <definedName name="일투입_1" localSheetId="5" hidden="1">{#N/A,#N/A,FALSE,"지침";#N/A,#N/A,FALSE,"환경분석";#N/A,#N/A,FALSE,"Sheet16"}</definedName>
    <definedName name="일투입_1" hidden="1">{#N/A,#N/A,FALSE,"지침";#N/A,#N/A,FALSE,"환경분석";#N/A,#N/A,FALSE,"Sheet16"}</definedName>
    <definedName name="일투입_2" localSheetId="5" hidden="1">{#N/A,#N/A,FALSE,"지침";#N/A,#N/A,FALSE,"환경분석";#N/A,#N/A,FALSE,"Sheet16"}</definedName>
    <definedName name="일투입_2" hidden="1">{#N/A,#N/A,FALSE,"지침";#N/A,#N/A,FALSE,"환경분석";#N/A,#N/A,FALSE,"Sheet16"}</definedName>
    <definedName name="일투입_3" localSheetId="5" hidden="1">{#N/A,#N/A,FALSE,"지침";#N/A,#N/A,FALSE,"환경분석";#N/A,#N/A,FALSE,"Sheet16"}</definedName>
    <definedName name="일투입_3" hidden="1">{#N/A,#N/A,FALSE,"지침";#N/A,#N/A,FALSE,"환경분석";#N/A,#N/A,FALSE,"Sheet16"}</definedName>
    <definedName name="일투입_4" localSheetId="5" hidden="1">{#N/A,#N/A,FALSE,"지침";#N/A,#N/A,FALSE,"환경분석";#N/A,#N/A,FALSE,"Sheet16"}</definedName>
    <definedName name="일투입_4" hidden="1">{#N/A,#N/A,FALSE,"지침";#N/A,#N/A,FALSE,"환경분석";#N/A,#N/A,FALSE,"Sheet16"}</definedName>
    <definedName name="일투입_5" localSheetId="5" hidden="1">{#N/A,#N/A,FALSE,"지침";#N/A,#N/A,FALSE,"환경분석";#N/A,#N/A,FALSE,"Sheet16"}</definedName>
    <definedName name="일투입_5" hidden="1">{#N/A,#N/A,FALSE,"지침";#N/A,#N/A,FALSE,"환경분석";#N/A,#N/A,FALSE,"Sheet16"}</definedName>
    <definedName name="ㅈ" localSheetId="5" hidden="1">{#N/A,#N/A,FALSE,"이태원철근"}</definedName>
    <definedName name="ㅈ" hidden="1">{#N/A,#N/A,FALSE,"이태원철근"}</definedName>
    <definedName name="ㅈㄷㄱ" localSheetId="5" hidden="1">{#N/A,#N/A,FALSE,"이태원철근"}</definedName>
    <definedName name="ㅈㄷㄱ" hidden="1">{#N/A,#N/A,FALSE,"이태원철근"}</definedName>
    <definedName name="ㅈㄷㄳ" localSheetId="5" hidden="1">{#N/A,#N/A,FALSE,"이태원철근"}</definedName>
    <definedName name="ㅈㄷㄳ" hidden="1">{#N/A,#N/A,FALSE,"이태원철근"}</definedName>
    <definedName name="ㅈㅈ" localSheetId="5" hidden="1">{"'장비'!$A$3:$M$12"}</definedName>
    <definedName name="ㅈㅈ" hidden="1">{"'장비'!$A$3:$M$12"}</definedName>
    <definedName name="ㅈㅈ_1" localSheetId="5" hidden="1">{"'장비'!$A$3:$M$12"}</definedName>
    <definedName name="ㅈㅈ_1" hidden="1">{"'장비'!$A$3:$M$12"}</definedName>
    <definedName name="ㅈㅈ_2" localSheetId="5" hidden="1">{"'장비'!$A$3:$M$12"}</definedName>
    <definedName name="ㅈㅈ_2" hidden="1">{"'장비'!$A$3:$M$12"}</definedName>
    <definedName name="ㅈㅈ_3" localSheetId="5" hidden="1">{"'장비'!$A$3:$M$12"}</definedName>
    <definedName name="ㅈㅈ_3" hidden="1">{"'장비'!$A$3:$M$12"}</definedName>
    <definedName name="ㅈㅈ_4" localSheetId="5" hidden="1">{"'장비'!$A$3:$M$12"}</definedName>
    <definedName name="ㅈㅈ_4" hidden="1">{"'장비'!$A$3:$M$12"}</definedName>
    <definedName name="ㅈㅈ_5" localSheetId="5" hidden="1">{"'장비'!$A$3:$M$12"}</definedName>
    <definedName name="ㅈㅈ_5" hidden="1">{"'장비'!$A$3:$M$12"}</definedName>
    <definedName name="ㅈㅈㅈㅈㅈ" localSheetId="5" hidden="1">{"'장비'!$A$3:$M$12"}</definedName>
    <definedName name="ㅈㅈㅈㅈㅈ" hidden="1">{"'장비'!$A$3:$M$12"}</definedName>
    <definedName name="ㅈㅈㅈㅈㅈ_1" localSheetId="5" hidden="1">{"'장비'!$A$3:$M$12"}</definedName>
    <definedName name="ㅈㅈㅈㅈㅈ_1" hidden="1">{"'장비'!$A$3:$M$12"}</definedName>
    <definedName name="ㅈㅈㅈㅈㅈ_2" localSheetId="5" hidden="1">{"'장비'!$A$3:$M$12"}</definedName>
    <definedName name="ㅈㅈㅈㅈㅈ_2" hidden="1">{"'장비'!$A$3:$M$12"}</definedName>
    <definedName name="ㅈㅈㅈㅈㅈ_3" localSheetId="5" hidden="1">{"'장비'!$A$3:$M$12"}</definedName>
    <definedName name="ㅈㅈㅈㅈㅈ_3" hidden="1">{"'장비'!$A$3:$M$12"}</definedName>
    <definedName name="ㅈㅈㅈㅈㅈ_4" localSheetId="5" hidden="1">{"'장비'!$A$3:$M$12"}</definedName>
    <definedName name="ㅈㅈㅈㅈㅈ_4" hidden="1">{"'장비'!$A$3:$M$12"}</definedName>
    <definedName name="ㅈㅈㅈㅈㅈ_5" localSheetId="5" hidden="1">{"'장비'!$A$3:$M$12"}</definedName>
    <definedName name="ㅈㅈㅈㅈㅈ_5" hidden="1">{"'장비'!$A$3:$M$12"}</definedName>
    <definedName name="자양" localSheetId="5" hidden="1">{#N/A,#N/A,FALSE,"이태원철근"}</definedName>
    <definedName name="자양" hidden="1">{#N/A,#N/A,FALSE,"이태원철근"}</definedName>
    <definedName name="자양공사개요" localSheetId="5" hidden="1">{#N/A,#N/A,FALSE,"이태원철근"}</definedName>
    <definedName name="자양공사개요" hidden="1">{#N/A,#N/A,FALSE,"이태원철근"}</definedName>
    <definedName name="자운" hidden="1">#REF!</definedName>
    <definedName name="작업반" localSheetId="5" hidden="1">{#N/A,#N/A,FALSE,"부대2"}</definedName>
    <definedName name="작업반" localSheetId="9" hidden="1">{#N/A,#N/A,FALSE,"부대2"}</definedName>
    <definedName name="작업반" localSheetId="10" hidden="1">{#N/A,#N/A,FALSE,"부대2"}</definedName>
    <definedName name="작업반" localSheetId="6" hidden="1">{#N/A,#N/A,FALSE,"부대2"}</definedName>
    <definedName name="작업반" localSheetId="3" hidden="1">{#N/A,#N/A,FALSE,"부대2"}</definedName>
    <definedName name="작업반" hidden="1">{#N/A,#N/A,FALSE,"부대2"}</definedName>
    <definedName name="잘라" hidden="1">#REF!</definedName>
    <definedName name="장비" localSheetId="5" hidden="1">{#N/A,#N/A,FALSE,"CCTV"}</definedName>
    <definedName name="장비" hidden="1">{#N/A,#N/A,FALSE,"CCTV"}</definedName>
    <definedName name="장비_1" localSheetId="5" hidden="1">{#N/A,#N/A,FALSE,"CCTV"}</definedName>
    <definedName name="장비_1" hidden="1">{#N/A,#N/A,FALSE,"CCTV"}</definedName>
    <definedName name="장비_2" localSheetId="5" hidden="1">{#N/A,#N/A,FALSE,"CCTV"}</definedName>
    <definedName name="장비_2" hidden="1">{#N/A,#N/A,FALSE,"CCTV"}</definedName>
    <definedName name="장비_3" localSheetId="5" hidden="1">{#N/A,#N/A,FALSE,"CCTV"}</definedName>
    <definedName name="장비_3" hidden="1">{#N/A,#N/A,FALSE,"CCTV"}</definedName>
    <definedName name="장비_4" localSheetId="5" hidden="1">{#N/A,#N/A,FALSE,"CCTV"}</definedName>
    <definedName name="장비_4" hidden="1">{#N/A,#N/A,FALSE,"CCTV"}</definedName>
    <definedName name="장비_5" localSheetId="5" hidden="1">{#N/A,#N/A,FALSE,"CCTV"}</definedName>
    <definedName name="장비_5" hidden="1">{#N/A,#N/A,FALSE,"CCTV"}</definedName>
    <definedName name="장비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5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_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계장금액" localSheetId="9" hidden="1">#REF!</definedName>
    <definedName name="전계장금액" localSheetId="10" hidden="1">#REF!</definedName>
    <definedName name="전계장금액" hidden="1">#REF!</definedName>
    <definedName name="전기_1" localSheetId="5" hidden="1">{#N/A,#N/A,FALSE,"CCTV"}</definedName>
    <definedName name="전기_1" hidden="1">{#N/A,#N/A,FALSE,"CCTV"}</definedName>
    <definedName name="전기_2" localSheetId="5" hidden="1">{#N/A,#N/A,FALSE,"CCTV"}</definedName>
    <definedName name="전기_2" hidden="1">{#N/A,#N/A,FALSE,"CCTV"}</definedName>
    <definedName name="전기_3" localSheetId="5" hidden="1">{#N/A,#N/A,FALSE,"CCTV"}</definedName>
    <definedName name="전기_3" hidden="1">{#N/A,#N/A,FALSE,"CCTV"}</definedName>
    <definedName name="전기_4" localSheetId="5" hidden="1">{#N/A,#N/A,FALSE,"CCTV"}</definedName>
    <definedName name="전기_4" hidden="1">{#N/A,#N/A,FALSE,"CCTV"}</definedName>
    <definedName name="전기_5" localSheetId="5" hidden="1">{#N/A,#N/A,FALSE,"CCTV"}</definedName>
    <definedName name="전기_5" hidden="1">{#N/A,#N/A,FALSE,"CCTV"}</definedName>
    <definedName name="전기공사비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1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6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4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5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_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구" localSheetId="5" hidden="1">{"'장비'!$A$3:$M$12"}</definedName>
    <definedName name="전기구" hidden="1">{"'장비'!$A$3:$M$12"}</definedName>
    <definedName name="전기구_1" localSheetId="5" hidden="1">{"'장비'!$A$3:$M$12"}</definedName>
    <definedName name="전기구_1" hidden="1">{"'장비'!$A$3:$M$12"}</definedName>
    <definedName name="전기구_2" localSheetId="5" hidden="1">{"'장비'!$A$3:$M$12"}</definedName>
    <definedName name="전기구_2" hidden="1">{"'장비'!$A$3:$M$12"}</definedName>
    <definedName name="전기구_3" localSheetId="5" hidden="1">{"'장비'!$A$3:$M$12"}</definedName>
    <definedName name="전기구_3" hidden="1">{"'장비'!$A$3:$M$12"}</definedName>
    <definedName name="전기구_4" localSheetId="5" hidden="1">{"'장비'!$A$3:$M$12"}</definedName>
    <definedName name="전기구_4" hidden="1">{"'장비'!$A$3:$M$12"}</definedName>
    <definedName name="전기구_5" localSheetId="5" hidden="1">{"'장비'!$A$3:$M$12"}</definedName>
    <definedName name="전기구_5" hidden="1">{"'장비'!$A$3:$M$12"}</definedName>
    <definedName name="전선관및접지내역서" hidden="1">#REF!</definedName>
    <definedName name="절" hidden="1">#REF!</definedName>
    <definedName name="정명영" localSheetId="5" hidden="1">{#N/A,#N/A,FALSE,"이태원철근"}</definedName>
    <definedName name="정명영" hidden="1">{#N/A,#N/A,FALSE,"이태원철근"}</definedName>
    <definedName name="제출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B_집계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B_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간" localSheetId="5" hidden="1">{#N/A,#N/A,FALSE,"지침";#N/A,#N/A,FALSE,"환경분석";#N/A,#N/A,FALSE,"Sheet16"}</definedName>
    <definedName name="주간" hidden="1">{#N/A,#N/A,FALSE,"지침";#N/A,#N/A,FALSE,"환경분석";#N/A,#N/A,FALSE,"Sheet16"}</definedName>
    <definedName name="주간_1" localSheetId="5" hidden="1">{#N/A,#N/A,FALSE,"지침";#N/A,#N/A,FALSE,"환경분석";#N/A,#N/A,FALSE,"Sheet16"}</definedName>
    <definedName name="주간_1" hidden="1">{#N/A,#N/A,FALSE,"지침";#N/A,#N/A,FALSE,"환경분석";#N/A,#N/A,FALSE,"Sheet16"}</definedName>
    <definedName name="주간_2" localSheetId="5" hidden="1">{#N/A,#N/A,FALSE,"지침";#N/A,#N/A,FALSE,"환경분석";#N/A,#N/A,FALSE,"Sheet16"}</definedName>
    <definedName name="주간_2" hidden="1">{#N/A,#N/A,FALSE,"지침";#N/A,#N/A,FALSE,"환경분석";#N/A,#N/A,FALSE,"Sheet16"}</definedName>
    <definedName name="주간_3" localSheetId="5" hidden="1">{#N/A,#N/A,FALSE,"지침";#N/A,#N/A,FALSE,"환경분석";#N/A,#N/A,FALSE,"Sheet16"}</definedName>
    <definedName name="주간_3" hidden="1">{#N/A,#N/A,FALSE,"지침";#N/A,#N/A,FALSE,"환경분석";#N/A,#N/A,FALSE,"Sheet16"}</definedName>
    <definedName name="주간_4" localSheetId="5" hidden="1">{#N/A,#N/A,FALSE,"지침";#N/A,#N/A,FALSE,"환경분석";#N/A,#N/A,FALSE,"Sheet16"}</definedName>
    <definedName name="주간_4" hidden="1">{#N/A,#N/A,FALSE,"지침";#N/A,#N/A,FALSE,"환경분석";#N/A,#N/A,FALSE,"Sheet16"}</definedName>
    <definedName name="주간_5" localSheetId="5" hidden="1">{#N/A,#N/A,FALSE,"지침";#N/A,#N/A,FALSE,"환경분석";#N/A,#N/A,FALSE,"Sheet16"}</definedName>
    <definedName name="주간_5" hidden="1">{#N/A,#N/A,FALSE,"지침";#N/A,#N/A,FALSE,"환경분석";#N/A,#N/A,FALSE,"Sheet16"}</definedName>
    <definedName name="주요" localSheetId="5" hidden="1">{#N/A,#N/A,FALSE,"TABLE"}</definedName>
    <definedName name="주요" hidden="1">{#N/A,#N/A,FALSE,"TABLE"}</definedName>
    <definedName name="죽전5차" localSheetId="5" hidden="1">{#N/A,#N/A,FALSE,"이태원철근"}</definedName>
    <definedName name="죽전5차" hidden="1">{#N/A,#N/A,FALSE,"이태원철근"}</definedName>
    <definedName name="중기부품구입" hidden="1">#REF!</definedName>
    <definedName name="중량산출" localSheetId="5" hidden="1">{#N/A,#N/A,FALSE,"Sheet1"}</definedName>
    <definedName name="중량산출" hidden="1">{#N/A,#N/A,FALSE,"Sheet1"}</definedName>
    <definedName name="중량산출1" localSheetId="5" hidden="1">{#N/A,#N/A,FALSE,"Sheet1"}</definedName>
    <definedName name="중량산출1" hidden="1">{#N/A,#N/A,FALSE,"Sheet1"}</definedName>
    <definedName name="중점0601" localSheetId="5" hidden="1">{#N/A,#N/A,FALSE,"이태원철근"}</definedName>
    <definedName name="중점0601" hidden="1">{#N/A,#N/A,FALSE,"이태원철근"}</definedName>
    <definedName name="중점관리" localSheetId="5" hidden="1">{#N/A,#N/A,FALSE,"이태원철근"}</definedName>
    <definedName name="중점관리" hidden="1">{#N/A,#N/A,FALSE,"이태원철근"}</definedName>
    <definedName name="지입자재내역" localSheetId="9" hidden="1">#REF!</definedName>
    <definedName name="지입자재내역" localSheetId="10" hidden="1">#REF!</definedName>
    <definedName name="지입자재내역" hidden="1">#REF!</definedName>
    <definedName name="직매54P" localSheetId="5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원소요철수계획" localSheetId="5" hidden="1">{#N/A,#N/A,FALSE,"이태원철근"}</definedName>
    <definedName name="직원소요철수계획" hidden="1">{#N/A,#N/A,FALSE,"이태원철근"}</definedName>
    <definedName name="직원조직" localSheetId="5" hidden="1">{#N/A,#N/A,FALSE,"이태원철근"}</definedName>
    <definedName name="직원조직" hidden="1">{#N/A,#N/A,FALSE,"이태원철근"}</definedName>
    <definedName name="직원조직도" hidden="1">#REF!</definedName>
    <definedName name="직원조직표" localSheetId="5" hidden="1">{#N/A,#N/A,FALSE,"이태원철근"}</definedName>
    <definedName name="직원조직표" hidden="1">{#N/A,#N/A,FALSE,"이태원철근"}</definedName>
    <definedName name="집계표" localSheetId="5" hidden="1">{#N/A,#N/A,FALSE,"Sheet1"}</definedName>
    <definedName name="집계표" hidden="1">{#N/A,#N/A,FALSE,"Sheet1"}</definedName>
    <definedName name="ㅊ" localSheetId="5" hidden="1">{#N/A,#N/A,TRUE,"총괄"}</definedName>
    <definedName name="ㅊ" hidden="1">{#N/A,#N/A,TRUE,"총괄"}</definedName>
    <definedName name="ㅊ_1" localSheetId="5" hidden="1">{#N/A,#N/A,TRUE,"총괄"}</definedName>
    <definedName name="ㅊ_1" hidden="1">{#N/A,#N/A,TRUE,"총괄"}</definedName>
    <definedName name="ㅊ_2" localSheetId="5" hidden="1">{#N/A,#N/A,TRUE,"총괄"}</definedName>
    <definedName name="ㅊ_2" hidden="1">{#N/A,#N/A,TRUE,"총괄"}</definedName>
    <definedName name="ㅊ_3" localSheetId="5" hidden="1">{#N/A,#N/A,TRUE,"총괄"}</definedName>
    <definedName name="ㅊ_3" hidden="1">{#N/A,#N/A,TRUE,"총괄"}</definedName>
    <definedName name="ㅊ_4" localSheetId="5" hidden="1">{#N/A,#N/A,TRUE,"총괄"}</definedName>
    <definedName name="ㅊ_4" hidden="1">{#N/A,#N/A,TRUE,"총괄"}</definedName>
    <definedName name="ㅊ_5" localSheetId="5" hidden="1">{#N/A,#N/A,TRUE,"총괄"}</definedName>
    <definedName name="ㅊ_5" hidden="1">{#N/A,#N/A,TRUE,"총괄"}</definedName>
    <definedName name="ㅊㅍㅋㅌㅊㅋ" localSheetId="5" hidden="1">{#N/A,#N/A,FALSE,"운반시간"}</definedName>
    <definedName name="ㅊㅍㅋㅌㅊㅋ" hidden="1">{#N/A,#N/A,FALSE,"운반시간"}</definedName>
    <definedName name="ㅊㅍㅋㅌㅊㅋ_1" localSheetId="5" hidden="1">{#N/A,#N/A,FALSE,"운반시간"}</definedName>
    <definedName name="ㅊㅍㅋㅌㅊㅋ_1" hidden="1">{#N/A,#N/A,FALSE,"운반시간"}</definedName>
    <definedName name="ㅊㅍㅋㅌㅊㅋ_2" localSheetId="5" hidden="1">{#N/A,#N/A,FALSE,"운반시간"}</definedName>
    <definedName name="ㅊㅍㅋㅌㅊㅋ_2" hidden="1">{#N/A,#N/A,FALSE,"운반시간"}</definedName>
    <definedName name="ㅊㅍㅋㅌㅊㅋ_3" localSheetId="5" hidden="1">{#N/A,#N/A,FALSE,"운반시간"}</definedName>
    <definedName name="ㅊㅍㅋㅌㅊㅋ_3" hidden="1">{#N/A,#N/A,FALSE,"운반시간"}</definedName>
    <definedName name="ㅊㅍㅋㅌㅊㅋ_4" localSheetId="5" hidden="1">{#N/A,#N/A,FALSE,"운반시간"}</definedName>
    <definedName name="ㅊㅍㅋㅌㅊㅋ_4" hidden="1">{#N/A,#N/A,FALSE,"운반시간"}</definedName>
    <definedName name="ㅊㅍㅋㅌㅊㅋ_5" localSheetId="5" hidden="1">{#N/A,#N/A,FALSE,"운반시간"}</definedName>
    <definedName name="ㅊㅍㅋㅌㅊㅋ_5" hidden="1">{#N/A,#N/A,FALSE,"운반시간"}</definedName>
    <definedName name="ㅊㅍㅋㅌㅍㅌ" localSheetId="5" hidden="1">{#N/A,#N/A,FALSE,"혼합골재"}</definedName>
    <definedName name="ㅊㅍㅋㅌㅍㅌ" hidden="1">{#N/A,#N/A,FALSE,"혼합골재"}</definedName>
    <definedName name="ㅊㅍㅋㅌㅍㅌ_1" localSheetId="5" hidden="1">{#N/A,#N/A,FALSE,"혼합골재"}</definedName>
    <definedName name="ㅊㅍㅋㅌㅍㅌ_1" hidden="1">{#N/A,#N/A,FALSE,"혼합골재"}</definedName>
    <definedName name="ㅊㅍㅋㅌㅍㅌ_2" localSheetId="5" hidden="1">{#N/A,#N/A,FALSE,"혼합골재"}</definedName>
    <definedName name="ㅊㅍㅋㅌㅍㅌ_2" hidden="1">{#N/A,#N/A,FALSE,"혼합골재"}</definedName>
    <definedName name="ㅊㅍㅋㅌㅍㅌ_3" localSheetId="5" hidden="1">{#N/A,#N/A,FALSE,"혼합골재"}</definedName>
    <definedName name="ㅊㅍㅋㅌㅍㅌ_3" hidden="1">{#N/A,#N/A,FALSE,"혼합골재"}</definedName>
    <definedName name="ㅊㅍㅋㅌㅍㅌ_4" localSheetId="5" hidden="1">{#N/A,#N/A,FALSE,"혼합골재"}</definedName>
    <definedName name="ㅊㅍㅋㅌㅍㅌ_4" hidden="1">{#N/A,#N/A,FALSE,"혼합골재"}</definedName>
    <definedName name="ㅊㅍㅋㅌㅍㅌ_5" localSheetId="5" hidden="1">{#N/A,#N/A,FALSE,"혼합골재"}</definedName>
    <definedName name="ㅊㅍㅋㅌㅍㅌ_5" hidden="1">{#N/A,#N/A,FALSE,"혼합골재"}</definedName>
    <definedName name="차량" hidden="1">#REF!</definedName>
    <definedName name="차량현황1" hidden="1">#REF!</definedName>
    <definedName name="철골_상유" localSheetId="5" hidden="1">{"'장비'!$A$3:$M$12"}</definedName>
    <definedName name="철골_상유" hidden="1">{"'장비'!$A$3:$M$12"}</definedName>
    <definedName name="철골_상유_1" localSheetId="5" hidden="1">{"'장비'!$A$3:$M$12"}</definedName>
    <definedName name="철골_상유_1" hidden="1">{"'장비'!$A$3:$M$12"}</definedName>
    <definedName name="철골_상유_2" localSheetId="5" hidden="1">{"'장비'!$A$3:$M$12"}</definedName>
    <definedName name="철골_상유_2" hidden="1">{"'장비'!$A$3:$M$12"}</definedName>
    <definedName name="철골_상유_3" localSheetId="5" hidden="1">{"'장비'!$A$3:$M$12"}</definedName>
    <definedName name="철골_상유_3" hidden="1">{"'장비'!$A$3:$M$12"}</definedName>
    <definedName name="철골_상유_4" localSheetId="5" hidden="1">{"'장비'!$A$3:$M$12"}</definedName>
    <definedName name="철골_상유_4" hidden="1">{"'장비'!$A$3:$M$12"}</definedName>
    <definedName name="철골_상유_5" localSheetId="5" hidden="1">{"'장비'!$A$3:$M$12"}</definedName>
    <definedName name="철골_상유_5" hidden="1">{"'장비'!$A$3:$M$12"}</definedName>
    <definedName name="초기예산서보고" localSheetId="5" hidden="1">{#N/A,#N/A,FALSE,"이태원철근"}</definedName>
    <definedName name="초기예산서보고" hidden="1">{#N/A,#N/A,FALSE,"이태원철근"}</definedName>
    <definedName name="총괄" localSheetId="5" hidden="1">{#N/A,#N/A,TRUE,"총괄"}</definedName>
    <definedName name="총괄" hidden="1">{#N/A,#N/A,TRUE,"총괄"}</definedName>
    <definedName name="총괄_1" localSheetId="5" hidden="1">{#N/A,#N/A,TRUE,"총괄"}</definedName>
    <definedName name="총괄_1" hidden="1">{#N/A,#N/A,TRUE,"총괄"}</definedName>
    <definedName name="총괄_2" localSheetId="5" hidden="1">{#N/A,#N/A,TRUE,"총괄"}</definedName>
    <definedName name="총괄_2" hidden="1">{#N/A,#N/A,TRUE,"총괄"}</definedName>
    <definedName name="총괄_3" localSheetId="5" hidden="1">{#N/A,#N/A,TRUE,"총괄"}</definedName>
    <definedName name="총괄_3" hidden="1">{#N/A,#N/A,TRUE,"총괄"}</definedName>
    <definedName name="총괄_4" localSheetId="5" hidden="1">{#N/A,#N/A,TRUE,"총괄"}</definedName>
    <definedName name="총괄_4" hidden="1">{#N/A,#N/A,TRUE,"총괄"}</definedName>
    <definedName name="총괄_5" localSheetId="5" hidden="1">{#N/A,#N/A,TRUE,"총괄"}</definedName>
    <definedName name="총괄_5" hidden="1">{#N/A,#N/A,TRUE,"총괄"}</definedName>
    <definedName name="총괄1_1" localSheetId="5" hidden="1">{#N/A,#N/A,TRUE,"총괄"}</definedName>
    <definedName name="총괄1_1" hidden="1">{#N/A,#N/A,TRUE,"총괄"}</definedName>
    <definedName name="총괄1_2" localSheetId="5" hidden="1">{#N/A,#N/A,TRUE,"총괄"}</definedName>
    <definedName name="총괄1_2" hidden="1">{#N/A,#N/A,TRUE,"총괄"}</definedName>
    <definedName name="총괄1_3" localSheetId="5" hidden="1">{#N/A,#N/A,TRUE,"총괄"}</definedName>
    <definedName name="총괄1_3" hidden="1">{#N/A,#N/A,TRUE,"총괄"}</definedName>
    <definedName name="총괄1_4" localSheetId="5" hidden="1">{#N/A,#N/A,TRUE,"총괄"}</definedName>
    <definedName name="총괄1_4" hidden="1">{#N/A,#N/A,TRUE,"총괄"}</definedName>
    <definedName name="총괄1_5" localSheetId="5" hidden="1">{#N/A,#N/A,TRUE,"총괄"}</definedName>
    <definedName name="총괄1_5" hidden="1">{#N/A,#N/A,TRUE,"총괄"}</definedName>
    <definedName name="총괄표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총괄표3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최" localSheetId="5" hidden="1">{"LKD",#N/A,FALSE,"표지"}</definedName>
    <definedName name="최" hidden="1">{"LKD",#N/A,FALSE,"표지"}</definedName>
    <definedName name="최_1" localSheetId="5" hidden="1">{"LKD",#N/A,FALSE,"표지"}</definedName>
    <definedName name="최_1" hidden="1">{"LKD",#N/A,FALSE,"표지"}</definedName>
    <definedName name="최_2" localSheetId="5" hidden="1">{"LKD",#N/A,FALSE,"표지"}</definedName>
    <definedName name="최_2" hidden="1">{"LKD",#N/A,FALSE,"표지"}</definedName>
    <definedName name="최_3" localSheetId="5" hidden="1">{"LKD",#N/A,FALSE,"표지"}</definedName>
    <definedName name="최_3" hidden="1">{"LKD",#N/A,FALSE,"표지"}</definedName>
    <definedName name="최_4" localSheetId="5" hidden="1">{"LKD",#N/A,FALSE,"표지"}</definedName>
    <definedName name="최_4" hidden="1">{"LKD",#N/A,FALSE,"표지"}</definedName>
    <definedName name="최_5" localSheetId="5" hidden="1">{"LKD",#N/A,FALSE,"표지"}</definedName>
    <definedName name="최_5" hidden="1">{"LKD",#N/A,FALSE,"표지"}</definedName>
    <definedName name="최대현" localSheetId="5" hidden="1">{"LKD",#N/A,FALSE,"표지"}</definedName>
    <definedName name="최대현" hidden="1">{"LKD",#N/A,FALSE,"표지"}</definedName>
    <definedName name="최대현_1" localSheetId="5" hidden="1">{"LKD",#N/A,FALSE,"표지"}</definedName>
    <definedName name="최대현_1" hidden="1">{"LKD",#N/A,FALSE,"표지"}</definedName>
    <definedName name="최대현_2" localSheetId="5" hidden="1">{"LKD",#N/A,FALSE,"표지"}</definedName>
    <definedName name="최대현_2" hidden="1">{"LKD",#N/A,FALSE,"표지"}</definedName>
    <definedName name="최대현_3" localSheetId="5" hidden="1">{"LKD",#N/A,FALSE,"표지"}</definedName>
    <definedName name="최대현_3" hidden="1">{"LKD",#N/A,FALSE,"표지"}</definedName>
    <definedName name="최대현_4" localSheetId="5" hidden="1">{"LKD",#N/A,FALSE,"표지"}</definedName>
    <definedName name="최대현_4" hidden="1">{"LKD",#N/A,FALSE,"표지"}</definedName>
    <definedName name="최대현_5" localSheetId="5" hidden="1">{"LKD",#N/A,FALSE,"표지"}</definedName>
    <definedName name="최대현_5" hidden="1">{"LKD",#N/A,FALSE,"표지"}</definedName>
    <definedName name="최대현1" localSheetId="5" hidden="1">{"LKD",#N/A,FALSE,"표지"}</definedName>
    <definedName name="최대현1" hidden="1">{"LKD",#N/A,FALSE,"표지"}</definedName>
    <definedName name="최대현1_1" localSheetId="5" hidden="1">{"LKD",#N/A,FALSE,"표지"}</definedName>
    <definedName name="최대현1_1" hidden="1">{"LKD",#N/A,FALSE,"표지"}</definedName>
    <definedName name="최대현1_2" localSheetId="5" hidden="1">{"LKD",#N/A,FALSE,"표지"}</definedName>
    <definedName name="최대현1_2" hidden="1">{"LKD",#N/A,FALSE,"표지"}</definedName>
    <definedName name="최대현1_3" localSheetId="5" hidden="1">{"LKD",#N/A,FALSE,"표지"}</definedName>
    <definedName name="최대현1_3" hidden="1">{"LKD",#N/A,FALSE,"표지"}</definedName>
    <definedName name="최대현1_4" localSheetId="5" hidden="1">{"LKD",#N/A,FALSE,"표지"}</definedName>
    <definedName name="최대현1_4" hidden="1">{"LKD",#N/A,FALSE,"표지"}</definedName>
    <definedName name="최대현1_5" localSheetId="5" hidden="1">{"LKD",#N/A,FALSE,"표지"}</definedName>
    <definedName name="최대현1_5" hidden="1">{"LKD",#N/A,FALSE,"표지"}</definedName>
    <definedName name="최종실행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" localSheetId="5" hidden="1">{"'Sheet1'!$L$16"}</definedName>
    <definedName name="추" localSheetId="9" hidden="1">{"'Sheet1'!$L$16"}</definedName>
    <definedName name="추" localSheetId="10" hidden="1">{"'Sheet1'!$L$16"}</definedName>
    <definedName name="추" localSheetId="6" hidden="1">{"'Sheet1'!$L$16"}</definedName>
    <definedName name="추" localSheetId="3" hidden="1">{"'Sheet1'!$L$16"}</definedName>
    <definedName name="추" hidden="1">{"'Sheet1'!$L$16"}</definedName>
    <definedName name="추가분" localSheetId="5" hidden="1">{"'장비'!$A$3:$M$12"}</definedName>
    <definedName name="추가분" localSheetId="9" hidden="1">{"'장비'!$A$3:$M$12"}</definedName>
    <definedName name="추가분" localSheetId="10" hidden="1">{"'장비'!$A$3:$M$12"}</definedName>
    <definedName name="추가분" localSheetId="6" hidden="1">{"'장비'!$A$3:$M$12"}</definedName>
    <definedName name="추가분" localSheetId="3" hidden="1">{"'장비'!$A$3:$M$12"}</definedName>
    <definedName name="추가분" hidden="1">{"'장비'!$A$3:$M$12"}</definedName>
    <definedName name="추가분_1" localSheetId="5" hidden="1">{"'장비'!$A$3:$M$12"}</definedName>
    <definedName name="추가분_1" localSheetId="9" hidden="1">{"'장비'!$A$3:$M$12"}</definedName>
    <definedName name="추가분_1" localSheetId="10" hidden="1">{"'장비'!$A$3:$M$12"}</definedName>
    <definedName name="추가분_1" localSheetId="6" hidden="1">{"'장비'!$A$3:$M$12"}</definedName>
    <definedName name="추가분_1" localSheetId="3" hidden="1">{"'장비'!$A$3:$M$12"}</definedName>
    <definedName name="추가분_1" hidden="1">{"'장비'!$A$3:$M$12"}</definedName>
    <definedName name="추가분_2" localSheetId="5" hidden="1">{"'장비'!$A$3:$M$12"}</definedName>
    <definedName name="추가분_2" hidden="1">{"'장비'!$A$3:$M$12"}</definedName>
    <definedName name="추가분_3" localSheetId="5" hidden="1">{"'장비'!$A$3:$M$12"}</definedName>
    <definedName name="추가분_3" hidden="1">{"'장비'!$A$3:$M$12"}</definedName>
    <definedName name="추가분_4" localSheetId="5" hidden="1">{"'장비'!$A$3:$M$12"}</definedName>
    <definedName name="추가분_4" hidden="1">{"'장비'!$A$3:$M$12"}</definedName>
    <definedName name="추가분_5" localSheetId="5" hidden="1">{"'장비'!$A$3:$M$12"}</definedName>
    <definedName name="추가분_5" hidden="1">{"'장비'!$A$3:$M$12"}</definedName>
    <definedName name="취하" localSheetId="5" hidden="1">{#N/A,#N/A,FALSE,"이태원철근"}</definedName>
    <definedName name="취하" hidden="1">{#N/A,#N/A,FALSE,"이태원철근"}</definedName>
    <definedName name="취하실적1." localSheetId="5" hidden="1">{#N/A,#N/A,FALSE,"이태원철근"}</definedName>
    <definedName name="취하실적1." hidden="1">{#N/A,#N/A,FALSE,"이태원철근"}</definedName>
    <definedName name="ㅋ츄" localSheetId="5" hidden="1">{#N/A,#N/A,FALSE,"이태원철근"}</definedName>
    <definedName name="ㅋ츄" hidden="1">{#N/A,#N/A,FALSE,"이태원철근"}</definedName>
    <definedName name="ㅋㅋㅋㅋㅋㅋ" localSheetId="5" hidden="1">{#N/A,#N/A,FALSE,"이태원철근"}</definedName>
    <definedName name="ㅋㅋㅋㅋㅋㅋ" hidden="1">{#N/A,#N/A,FALSE,"이태원철근"}</definedName>
    <definedName name="카메라" localSheetId="5" hidden="1">{#N/A,#N/A,FALSE,"지침";#N/A,#N/A,FALSE,"환경분석";#N/A,#N/A,FALSE,"Sheet16"}</definedName>
    <definedName name="카메라" hidden="1">{#N/A,#N/A,FALSE,"지침";#N/A,#N/A,FALSE,"환경분석";#N/A,#N/A,FALSE,"Sheet16"}</definedName>
    <definedName name="카메라_1" localSheetId="5" hidden="1">{#N/A,#N/A,FALSE,"지침";#N/A,#N/A,FALSE,"환경분석";#N/A,#N/A,FALSE,"Sheet16"}</definedName>
    <definedName name="카메라_1" hidden="1">{#N/A,#N/A,FALSE,"지침";#N/A,#N/A,FALSE,"환경분석";#N/A,#N/A,FALSE,"Sheet16"}</definedName>
    <definedName name="카메라_2" localSheetId="5" hidden="1">{#N/A,#N/A,FALSE,"지침";#N/A,#N/A,FALSE,"환경분석";#N/A,#N/A,FALSE,"Sheet16"}</definedName>
    <definedName name="카메라_2" hidden="1">{#N/A,#N/A,FALSE,"지침";#N/A,#N/A,FALSE,"환경분석";#N/A,#N/A,FALSE,"Sheet16"}</definedName>
    <definedName name="카메라_3" localSheetId="5" hidden="1">{#N/A,#N/A,FALSE,"지침";#N/A,#N/A,FALSE,"환경분석";#N/A,#N/A,FALSE,"Sheet16"}</definedName>
    <definedName name="카메라_3" hidden="1">{#N/A,#N/A,FALSE,"지침";#N/A,#N/A,FALSE,"환경분석";#N/A,#N/A,FALSE,"Sheet16"}</definedName>
    <definedName name="카메라_4" localSheetId="5" hidden="1">{#N/A,#N/A,FALSE,"지침";#N/A,#N/A,FALSE,"환경분석";#N/A,#N/A,FALSE,"Sheet16"}</definedName>
    <definedName name="카메라_4" hidden="1">{#N/A,#N/A,FALSE,"지침";#N/A,#N/A,FALSE,"환경분석";#N/A,#N/A,FALSE,"Sheet16"}</definedName>
    <definedName name="카메라_5" localSheetId="5" hidden="1">{#N/A,#N/A,FALSE,"지침";#N/A,#N/A,FALSE,"환경분석";#N/A,#N/A,FALSE,"Sheet16"}</definedName>
    <definedName name="카메라_5" hidden="1">{#N/A,#N/A,FALSE,"지침";#N/A,#N/A,FALSE,"환경분석";#N/A,#N/A,FALSE,"Sheet16"}</definedName>
    <definedName name="카메라11" localSheetId="5" hidden="1">{#N/A,#N/A,FALSE,"지침";#N/A,#N/A,FALSE,"환경분석";#N/A,#N/A,FALSE,"Sheet16"}</definedName>
    <definedName name="카메라11" hidden="1">{#N/A,#N/A,FALSE,"지침";#N/A,#N/A,FALSE,"환경분석";#N/A,#N/A,FALSE,"Sheet16"}</definedName>
    <definedName name="카메라11_1" localSheetId="5" hidden="1">{#N/A,#N/A,FALSE,"지침";#N/A,#N/A,FALSE,"환경분석";#N/A,#N/A,FALSE,"Sheet16"}</definedName>
    <definedName name="카메라11_1" hidden="1">{#N/A,#N/A,FALSE,"지침";#N/A,#N/A,FALSE,"환경분석";#N/A,#N/A,FALSE,"Sheet16"}</definedName>
    <definedName name="카메라11_2" localSheetId="5" hidden="1">{#N/A,#N/A,FALSE,"지침";#N/A,#N/A,FALSE,"환경분석";#N/A,#N/A,FALSE,"Sheet16"}</definedName>
    <definedName name="카메라11_2" hidden="1">{#N/A,#N/A,FALSE,"지침";#N/A,#N/A,FALSE,"환경분석";#N/A,#N/A,FALSE,"Sheet16"}</definedName>
    <definedName name="카메라11_3" localSheetId="5" hidden="1">{#N/A,#N/A,FALSE,"지침";#N/A,#N/A,FALSE,"환경분석";#N/A,#N/A,FALSE,"Sheet16"}</definedName>
    <definedName name="카메라11_3" hidden="1">{#N/A,#N/A,FALSE,"지침";#N/A,#N/A,FALSE,"환경분석";#N/A,#N/A,FALSE,"Sheet16"}</definedName>
    <definedName name="카메라11_4" localSheetId="5" hidden="1">{#N/A,#N/A,FALSE,"지침";#N/A,#N/A,FALSE,"환경분석";#N/A,#N/A,FALSE,"Sheet16"}</definedName>
    <definedName name="카메라11_4" hidden="1">{#N/A,#N/A,FALSE,"지침";#N/A,#N/A,FALSE,"환경분석";#N/A,#N/A,FALSE,"Sheet16"}</definedName>
    <definedName name="카메라11_5" localSheetId="5" hidden="1">{#N/A,#N/A,FALSE,"지침";#N/A,#N/A,FALSE,"환경분석";#N/A,#N/A,FALSE,"Sheet16"}</definedName>
    <definedName name="카메라11_5" hidden="1">{#N/A,#N/A,FALSE,"지침";#N/A,#N/A,FALSE,"환경분석";#N/A,#N/A,FALSE,"Sheet16"}</definedName>
    <definedName name="카메라1212" localSheetId="5" hidden="1">{#N/A,#N/A,FALSE,"지침";#N/A,#N/A,FALSE,"환경분석";#N/A,#N/A,FALSE,"Sheet16"}</definedName>
    <definedName name="카메라1212" hidden="1">{#N/A,#N/A,FALSE,"지침";#N/A,#N/A,FALSE,"환경분석";#N/A,#N/A,FALSE,"Sheet16"}</definedName>
    <definedName name="카메라1212_1" localSheetId="5" hidden="1">{#N/A,#N/A,FALSE,"지침";#N/A,#N/A,FALSE,"환경분석";#N/A,#N/A,FALSE,"Sheet16"}</definedName>
    <definedName name="카메라1212_1" hidden="1">{#N/A,#N/A,FALSE,"지침";#N/A,#N/A,FALSE,"환경분석";#N/A,#N/A,FALSE,"Sheet16"}</definedName>
    <definedName name="카메라1212_2" localSheetId="5" hidden="1">{#N/A,#N/A,FALSE,"지침";#N/A,#N/A,FALSE,"환경분석";#N/A,#N/A,FALSE,"Sheet16"}</definedName>
    <definedName name="카메라1212_2" hidden="1">{#N/A,#N/A,FALSE,"지침";#N/A,#N/A,FALSE,"환경분석";#N/A,#N/A,FALSE,"Sheet16"}</definedName>
    <definedName name="카메라1212_3" localSheetId="5" hidden="1">{#N/A,#N/A,FALSE,"지침";#N/A,#N/A,FALSE,"환경분석";#N/A,#N/A,FALSE,"Sheet16"}</definedName>
    <definedName name="카메라1212_3" hidden="1">{#N/A,#N/A,FALSE,"지침";#N/A,#N/A,FALSE,"환경분석";#N/A,#N/A,FALSE,"Sheet16"}</definedName>
    <definedName name="카메라1212_4" localSheetId="5" hidden="1">{#N/A,#N/A,FALSE,"지침";#N/A,#N/A,FALSE,"환경분석";#N/A,#N/A,FALSE,"Sheet16"}</definedName>
    <definedName name="카메라1212_4" hidden="1">{#N/A,#N/A,FALSE,"지침";#N/A,#N/A,FALSE,"환경분석";#N/A,#N/A,FALSE,"Sheet16"}</definedName>
    <definedName name="카메라1212_5" localSheetId="5" hidden="1">{#N/A,#N/A,FALSE,"지침";#N/A,#N/A,FALSE,"환경분석";#N/A,#N/A,FALSE,"Sheet16"}</definedName>
    <definedName name="카메라1212_5" hidden="1">{#N/A,#N/A,FALSE,"지침";#N/A,#N/A,FALSE,"환경분석";#N/A,#N/A,FALSE,"Sheet16"}</definedName>
    <definedName name="케이블간지" localSheetId="5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콜라" localSheetId="5" hidden="1">{#N/A,#N/A,FALSE,"이태원철근"}</definedName>
    <definedName name="콜라" hidden="1">{#N/A,#N/A,FALSE,"이태원철근"}</definedName>
    <definedName name="ㅌㄵㅅ" localSheetId="5" hidden="1">{#N/A,#N/A,FALSE,"이태원철근"}</definedName>
    <definedName name="ㅌㄵㅅ" hidden="1">{#N/A,#N/A,FALSE,"이태원철근"}</definedName>
    <definedName name="ㅌㅇ" localSheetId="5" hidden="1">{#N/A,#N/A,FALSE,"이태원철근"}</definedName>
    <definedName name="ㅌㅇ" hidden="1">{#N/A,#N/A,FALSE,"이태원철근"}</definedName>
    <definedName name="ㅌㅊ" localSheetId="5" hidden="1">{#N/A,#N/A,FALSE,"이태원철근"}</definedName>
    <definedName name="ㅌㅊ" hidden="1">{#N/A,#N/A,FALSE,"이태원철근"}</definedName>
    <definedName name="ㅌㅍ츛ㅌ" localSheetId="5" hidden="1">{#N/A,#N/A,FALSE,"운반시간"}</definedName>
    <definedName name="ㅌㅍ츛ㅌ" hidden="1">{#N/A,#N/A,FALSE,"운반시간"}</definedName>
    <definedName name="ㅌㅍ츛ㅌ_1" localSheetId="5" hidden="1">{#N/A,#N/A,FALSE,"운반시간"}</definedName>
    <definedName name="ㅌㅍ츛ㅌ_1" hidden="1">{#N/A,#N/A,FALSE,"운반시간"}</definedName>
    <definedName name="ㅌㅍ츛ㅌ_2" localSheetId="5" hidden="1">{#N/A,#N/A,FALSE,"운반시간"}</definedName>
    <definedName name="ㅌㅍ츛ㅌ_2" hidden="1">{#N/A,#N/A,FALSE,"운반시간"}</definedName>
    <definedName name="ㅌㅍ츛ㅌ_3" localSheetId="5" hidden="1">{#N/A,#N/A,FALSE,"운반시간"}</definedName>
    <definedName name="ㅌㅍ츛ㅌ_3" hidden="1">{#N/A,#N/A,FALSE,"운반시간"}</definedName>
    <definedName name="ㅌㅍ츛ㅌ_4" localSheetId="5" hidden="1">{#N/A,#N/A,FALSE,"운반시간"}</definedName>
    <definedName name="ㅌㅍ츛ㅌ_4" hidden="1">{#N/A,#N/A,FALSE,"운반시간"}</definedName>
    <definedName name="ㅌㅍ츛ㅌ_5" localSheetId="5" hidden="1">{#N/A,#N/A,FALSE,"운반시간"}</definedName>
    <definedName name="ㅌㅍ츛ㅌ_5" hidden="1">{#N/A,#N/A,FALSE,"운반시간"}</definedName>
    <definedName name="터널" localSheetId="5" hidden="1">{#N/A,#N/A,FALSE,"부대1"}</definedName>
    <definedName name="터널" localSheetId="9" hidden="1">{#N/A,#N/A,FALSE,"부대1"}</definedName>
    <definedName name="터널" localSheetId="10" hidden="1">{#N/A,#N/A,FALSE,"부대1"}</definedName>
    <definedName name="터널" localSheetId="6" hidden="1">{#N/A,#N/A,FALSE,"부대1"}</definedName>
    <definedName name="터널" localSheetId="3" hidden="1">{#N/A,#N/A,FALSE,"부대1"}</definedName>
    <definedName name="터널" hidden="1">{#N/A,#N/A,FALSE,"부대1"}</definedName>
    <definedName name="테스크" localSheetId="5" hidden="1">{#N/A,#N/A,FALSE,"단가표지"}</definedName>
    <definedName name="테스크" hidden="1">{#N/A,#N/A,FALSE,"단가표지"}</definedName>
    <definedName name="테스크_1" localSheetId="5" hidden="1">{#N/A,#N/A,FALSE,"단가표지"}</definedName>
    <definedName name="테스크_1" hidden="1">{#N/A,#N/A,FALSE,"단가표지"}</definedName>
    <definedName name="테스크_2" localSheetId="5" hidden="1">{#N/A,#N/A,FALSE,"단가표지"}</definedName>
    <definedName name="테스크_2" hidden="1">{#N/A,#N/A,FALSE,"단가표지"}</definedName>
    <definedName name="테스크_3" localSheetId="5" hidden="1">{#N/A,#N/A,FALSE,"단가표지"}</definedName>
    <definedName name="테스크_3" hidden="1">{#N/A,#N/A,FALSE,"단가표지"}</definedName>
    <definedName name="테스크_4" localSheetId="5" hidden="1">{#N/A,#N/A,FALSE,"단가표지"}</definedName>
    <definedName name="테스크_4" hidden="1">{#N/A,#N/A,FALSE,"단가표지"}</definedName>
    <definedName name="테스크_5" localSheetId="5" hidden="1">{#N/A,#N/A,FALSE,"단가표지"}</definedName>
    <definedName name="테스크_5" hidden="1">{#N/A,#N/A,FALSE,"단가표지"}</definedName>
    <definedName name="토건" localSheetId="5" hidden="1">{"'장비'!$A$3:$M$12"}</definedName>
    <definedName name="토건" localSheetId="9" hidden="1">{"'장비'!$A$3:$M$12"}</definedName>
    <definedName name="토건" localSheetId="10" hidden="1">{"'장비'!$A$3:$M$12"}</definedName>
    <definedName name="토건" localSheetId="6" hidden="1">{"'장비'!$A$3:$M$12"}</definedName>
    <definedName name="토건" localSheetId="3" hidden="1">{"'장비'!$A$3:$M$12"}</definedName>
    <definedName name="토건" hidden="1">{"'장비'!$A$3:$M$12"}</definedName>
    <definedName name="토건_1" localSheetId="5" hidden="1">{"'장비'!$A$3:$M$12"}</definedName>
    <definedName name="토건_1" hidden="1">{"'장비'!$A$3:$M$12"}</definedName>
    <definedName name="토건_2" localSheetId="5" hidden="1">{"'장비'!$A$3:$M$12"}</definedName>
    <definedName name="토건_2" hidden="1">{"'장비'!$A$3:$M$12"}</definedName>
    <definedName name="토건_3" localSheetId="5" hidden="1">{"'장비'!$A$3:$M$12"}</definedName>
    <definedName name="토건_3" hidden="1">{"'장비'!$A$3:$M$12"}</definedName>
    <definedName name="토건_4" localSheetId="5" hidden="1">{"'장비'!$A$3:$M$12"}</definedName>
    <definedName name="토건_4" hidden="1">{"'장비'!$A$3:$M$12"}</definedName>
    <definedName name="토건_5" localSheetId="5" hidden="1">{"'장비'!$A$3:$M$12"}</definedName>
    <definedName name="토건_5" hidden="1">{"'장비'!$A$3:$M$12"}</definedName>
    <definedName name="토건공사비대비r" localSheetId="5" hidden="1">{"'장비'!$A$3:$M$12"}</definedName>
    <definedName name="토건공사비대비r" hidden="1">{"'장비'!$A$3:$M$12"}</definedName>
    <definedName name="토건공사비대비r_1" localSheetId="5" hidden="1">{"'장비'!$A$3:$M$12"}</definedName>
    <definedName name="토건공사비대비r_1" hidden="1">{"'장비'!$A$3:$M$12"}</definedName>
    <definedName name="토건공사비대비r_2" localSheetId="5" hidden="1">{"'장비'!$A$3:$M$12"}</definedName>
    <definedName name="토건공사비대비r_2" hidden="1">{"'장비'!$A$3:$M$12"}</definedName>
    <definedName name="토건공사비대비r_3" localSheetId="5" hidden="1">{"'장비'!$A$3:$M$12"}</definedName>
    <definedName name="토건공사비대비r_3" hidden="1">{"'장비'!$A$3:$M$12"}</definedName>
    <definedName name="토건공사비대비r_4" localSheetId="5" hidden="1">{"'장비'!$A$3:$M$12"}</definedName>
    <definedName name="토건공사비대비r_4" hidden="1">{"'장비'!$A$3:$M$12"}</definedName>
    <definedName name="토건공사비대비r_5" localSheetId="5" hidden="1">{"'장비'!$A$3:$M$12"}</definedName>
    <definedName name="토건공사비대비r_5" hidden="1">{"'장비'!$A$3:$M$12"}</definedName>
    <definedName name="토건업체" localSheetId="5" hidden="1">{"'장비'!$A$3:$M$12"}</definedName>
    <definedName name="토건업체" localSheetId="9" hidden="1">{"'장비'!$A$3:$M$12"}</definedName>
    <definedName name="토건업체" localSheetId="10" hidden="1">{"'장비'!$A$3:$M$12"}</definedName>
    <definedName name="토건업체" localSheetId="6" hidden="1">{"'장비'!$A$3:$M$12"}</definedName>
    <definedName name="토건업체" localSheetId="3" hidden="1">{"'장비'!$A$3:$M$12"}</definedName>
    <definedName name="토건업체" hidden="1">{"'장비'!$A$3:$M$12"}</definedName>
    <definedName name="토건업체_1" localSheetId="5" hidden="1">{"'장비'!$A$3:$M$12"}</definedName>
    <definedName name="토건업체_1" hidden="1">{"'장비'!$A$3:$M$12"}</definedName>
    <definedName name="토건업체_2" localSheetId="5" hidden="1">{"'장비'!$A$3:$M$12"}</definedName>
    <definedName name="토건업체_2" hidden="1">{"'장비'!$A$3:$M$12"}</definedName>
    <definedName name="토건업체_3" localSheetId="5" hidden="1">{"'장비'!$A$3:$M$12"}</definedName>
    <definedName name="토건업체_3" hidden="1">{"'장비'!$A$3:$M$12"}</definedName>
    <definedName name="토건업체_4" localSheetId="5" hidden="1">{"'장비'!$A$3:$M$12"}</definedName>
    <definedName name="토건업체_4" hidden="1">{"'장비'!$A$3:$M$12"}</definedName>
    <definedName name="토건업체_5" localSheetId="5" hidden="1">{"'장비'!$A$3:$M$12"}</definedName>
    <definedName name="토건업체_5" hidden="1">{"'장비'!$A$3:$M$12"}</definedName>
    <definedName name="토건집계표r" localSheetId="5" hidden="1">{"'장비'!$A$3:$M$12"}</definedName>
    <definedName name="토건집계표r" hidden="1">{"'장비'!$A$3:$M$12"}</definedName>
    <definedName name="토건집계표r_1" localSheetId="5" hidden="1">{"'장비'!$A$3:$M$12"}</definedName>
    <definedName name="토건집계표r_1" hidden="1">{"'장비'!$A$3:$M$12"}</definedName>
    <definedName name="토건집계표r_2" localSheetId="5" hidden="1">{"'장비'!$A$3:$M$12"}</definedName>
    <definedName name="토건집계표r_2" hidden="1">{"'장비'!$A$3:$M$12"}</definedName>
    <definedName name="토건집계표r_3" localSheetId="5" hidden="1">{"'장비'!$A$3:$M$12"}</definedName>
    <definedName name="토건집계표r_3" hidden="1">{"'장비'!$A$3:$M$12"}</definedName>
    <definedName name="토건집계표r_4" localSheetId="5" hidden="1">{"'장비'!$A$3:$M$12"}</definedName>
    <definedName name="토건집계표r_4" hidden="1">{"'장비'!$A$3:$M$12"}</definedName>
    <definedName name="토건집계표r_5" localSheetId="5" hidden="1">{"'장비'!$A$3:$M$12"}</definedName>
    <definedName name="토건집계표r_5" hidden="1">{"'장비'!$A$3:$M$12"}</definedName>
    <definedName name="토공" localSheetId="5" hidden="1">{#N/A,#N/A,FALSE,"포장2"}</definedName>
    <definedName name="토공" localSheetId="9" hidden="1">{#N/A,#N/A,FALSE,"포장2"}</definedName>
    <definedName name="토공" localSheetId="10" hidden="1">{#N/A,#N/A,FALSE,"포장2"}</definedName>
    <definedName name="토공" localSheetId="6" hidden="1">{#N/A,#N/A,FALSE,"포장2"}</definedName>
    <definedName name="토공" localSheetId="3" hidden="1">{#N/A,#N/A,FALSE,"포장2"}</definedName>
    <definedName name="토공" hidden="1">{#N/A,#N/A,FALSE,"포장2"}</definedName>
    <definedName name="토공222" localSheetId="5" hidden="1">{#N/A,#N/A,FALSE,"토공2"}</definedName>
    <definedName name="토공222" localSheetId="9" hidden="1">{#N/A,#N/A,FALSE,"토공2"}</definedName>
    <definedName name="토공222" localSheetId="10" hidden="1">{#N/A,#N/A,FALSE,"토공2"}</definedName>
    <definedName name="토공222" localSheetId="6" hidden="1">{#N/A,#N/A,FALSE,"토공2"}</definedName>
    <definedName name="토공222" localSheetId="3" hidden="1">{#N/A,#N/A,FALSE,"토공2"}</definedName>
    <definedName name="토공222" hidden="1">{#N/A,#N/A,FALSE,"토공2"}</definedName>
    <definedName name="토목견적" localSheetId="5" hidden="1">{#N/A,#N/A,FALSE,"골재소요량";#N/A,#N/A,FALSE,"골재소요량"}</definedName>
    <definedName name="토목견적" localSheetId="9" hidden="1">{#N/A,#N/A,FALSE,"골재소요량";#N/A,#N/A,FALSE,"골재소요량"}</definedName>
    <definedName name="토목견적" localSheetId="10" hidden="1">{#N/A,#N/A,FALSE,"골재소요량";#N/A,#N/A,FALSE,"골재소요량"}</definedName>
    <definedName name="토목견적" localSheetId="6" hidden="1">{#N/A,#N/A,FALSE,"골재소요량";#N/A,#N/A,FALSE,"골재소요량"}</definedName>
    <definedName name="토목견적" localSheetId="3" hidden="1">{#N/A,#N/A,FALSE,"골재소요량";#N/A,#N/A,FALSE,"골재소요량"}</definedName>
    <definedName name="토목견적" hidden="1">{#N/A,#N/A,FALSE,"골재소요량";#N/A,#N/A,FALSE,"골재소요량"}</definedName>
    <definedName name="토목공사" localSheetId="5" hidden="1">{#N/A,#N/A,FALSE,"이태원철근"}</definedName>
    <definedName name="토목공사" hidden="1">{#N/A,#N/A,FALSE,"이태원철근"}</definedName>
    <definedName name="토목공사강릉" hidden="1">#REF!</definedName>
    <definedName name="토목내역" localSheetId="5" hidden="1">{#N/A,#N/A,FALSE,"부대2"}</definedName>
    <definedName name="토목내역" localSheetId="9" hidden="1">{#N/A,#N/A,FALSE,"부대2"}</definedName>
    <definedName name="토목내역" localSheetId="10" hidden="1">{#N/A,#N/A,FALSE,"부대2"}</definedName>
    <definedName name="토목내역" localSheetId="6" hidden="1">{#N/A,#N/A,FALSE,"부대2"}</definedName>
    <definedName name="토목내역" localSheetId="3" hidden="1">{#N/A,#N/A,FALSE,"부대2"}</definedName>
    <definedName name="토목내역" hidden="1">{#N/A,#N/A,FALSE,"부대2"}</definedName>
    <definedName name="토목내역서" localSheetId="5" hidden="1">{#N/A,#N/A,FALSE,"배수2"}</definedName>
    <definedName name="토목내역서" localSheetId="9" hidden="1">{#N/A,#N/A,FALSE,"배수2"}</definedName>
    <definedName name="토목내역서" localSheetId="10" hidden="1">{#N/A,#N/A,FALSE,"배수2"}</definedName>
    <definedName name="토목내역서" localSheetId="6" hidden="1">{#N/A,#N/A,FALSE,"배수2"}</definedName>
    <definedName name="토목내역서" localSheetId="3" hidden="1">{#N/A,#N/A,FALSE,"배수2"}</definedName>
    <definedName name="토목내역서" hidden="1">{#N/A,#N/A,FALSE,"배수2"}</definedName>
    <definedName name="토목변경" localSheetId="5" hidden="1">{"'장비'!$A$3:$M$12"}</definedName>
    <definedName name="토목변경" localSheetId="9" hidden="1">{"'장비'!$A$3:$M$12"}</definedName>
    <definedName name="토목변경" localSheetId="10" hidden="1">{"'장비'!$A$3:$M$12"}</definedName>
    <definedName name="토목변경" localSheetId="6" hidden="1">{"'장비'!$A$3:$M$12"}</definedName>
    <definedName name="토목변경" localSheetId="3" hidden="1">{"'장비'!$A$3:$M$12"}</definedName>
    <definedName name="토목변경" hidden="1">{"'장비'!$A$3:$M$12"}</definedName>
    <definedName name="토목변경_1" localSheetId="5" hidden="1">{"'장비'!$A$3:$M$12"}</definedName>
    <definedName name="토목변경_1" localSheetId="9" hidden="1">{"'장비'!$A$3:$M$12"}</definedName>
    <definedName name="토목변경_1" localSheetId="10" hidden="1">{"'장비'!$A$3:$M$12"}</definedName>
    <definedName name="토목변경_1" localSheetId="6" hidden="1">{"'장비'!$A$3:$M$12"}</definedName>
    <definedName name="토목변경_1" localSheetId="3" hidden="1">{"'장비'!$A$3:$M$12"}</definedName>
    <definedName name="토목변경_1" hidden="1">{"'장비'!$A$3:$M$12"}</definedName>
    <definedName name="토목변경_2" localSheetId="5" hidden="1">{"'장비'!$A$3:$M$12"}</definedName>
    <definedName name="토목변경_2" hidden="1">{"'장비'!$A$3:$M$12"}</definedName>
    <definedName name="토목변경_3" localSheetId="5" hidden="1">{"'장비'!$A$3:$M$12"}</definedName>
    <definedName name="토목변경_3" hidden="1">{"'장비'!$A$3:$M$12"}</definedName>
    <definedName name="토목변경_4" localSheetId="5" hidden="1">{"'장비'!$A$3:$M$12"}</definedName>
    <definedName name="토목변경_4" hidden="1">{"'장비'!$A$3:$M$12"}</definedName>
    <definedName name="토목변경_5" localSheetId="5" hidden="1">{"'장비'!$A$3:$M$12"}</definedName>
    <definedName name="토목변경_5" hidden="1">{"'장비'!$A$3:$M$12"}</definedName>
    <definedName name="토목설계" localSheetId="5" hidden="1">{#N/A,#N/A,FALSE,"골재소요량";#N/A,#N/A,FALSE,"골재소요량"}</definedName>
    <definedName name="토목설계" localSheetId="9" hidden="1">{#N/A,#N/A,FALSE,"골재소요량";#N/A,#N/A,FALSE,"골재소요량"}</definedName>
    <definedName name="토목설계" localSheetId="10" hidden="1">{#N/A,#N/A,FALSE,"골재소요량";#N/A,#N/A,FALSE,"골재소요량"}</definedName>
    <definedName name="토목설계" localSheetId="6" hidden="1">{#N/A,#N/A,FALSE,"골재소요량";#N/A,#N/A,FALSE,"골재소요량"}</definedName>
    <definedName name="토목설계" localSheetId="3" hidden="1">{#N/A,#N/A,FALSE,"골재소요량";#N/A,#N/A,FALSE,"골재소요량"}</definedName>
    <definedName name="토목설계" hidden="1">{#N/A,#N/A,FALSE,"골재소요량";#N/A,#N/A,FALSE,"골재소요량"}</definedName>
    <definedName name="토목설계_1" localSheetId="5" hidden="1">{#N/A,#N/A,FALSE,"골재소요량";#N/A,#N/A,FALSE,"골재소요량"}</definedName>
    <definedName name="토목설계_1" hidden="1">{#N/A,#N/A,FALSE,"골재소요량";#N/A,#N/A,FALSE,"골재소요량"}</definedName>
    <definedName name="토목설계_2" localSheetId="5" hidden="1">{#N/A,#N/A,FALSE,"골재소요량";#N/A,#N/A,FALSE,"골재소요량"}</definedName>
    <definedName name="토목설계_2" hidden="1">{#N/A,#N/A,FALSE,"골재소요량";#N/A,#N/A,FALSE,"골재소요량"}</definedName>
    <definedName name="토목설계_3" localSheetId="5" hidden="1">{#N/A,#N/A,FALSE,"골재소요량";#N/A,#N/A,FALSE,"골재소요량"}</definedName>
    <definedName name="토목설계_3" hidden="1">{#N/A,#N/A,FALSE,"골재소요량";#N/A,#N/A,FALSE,"골재소요량"}</definedName>
    <definedName name="토목설계_4" localSheetId="5" hidden="1">{#N/A,#N/A,FALSE,"골재소요량";#N/A,#N/A,FALSE,"골재소요량"}</definedName>
    <definedName name="토목설계_4" hidden="1">{#N/A,#N/A,FALSE,"골재소요량";#N/A,#N/A,FALSE,"골재소요량"}</definedName>
    <definedName name="토목설계_5" localSheetId="5" hidden="1">{#N/A,#N/A,FALSE,"골재소요량";#N/A,#N/A,FALSE,"골재소요량"}</definedName>
    <definedName name="토목설계_5" hidden="1">{#N/A,#N/A,FALSE,"골재소요량";#N/A,#N/A,FALSE,"골재소요량"}</definedName>
    <definedName name="토목실견적" localSheetId="5" hidden="1">{#N/A,#N/A,FALSE,"이태원철근"}</definedName>
    <definedName name="토목실견적" hidden="1">{#N/A,#N/A,FALSE,"이태원철근"}</definedName>
    <definedName name="토목실행" localSheetId="5" hidden="1">{#N/A,#N/A,FALSE,"골재소요량";#N/A,#N/A,FALSE,"골재소요량"}</definedName>
    <definedName name="토목실행" localSheetId="9" hidden="1">{#N/A,#N/A,FALSE,"골재소요량";#N/A,#N/A,FALSE,"골재소요량"}</definedName>
    <definedName name="토목실행" localSheetId="10" hidden="1">{#N/A,#N/A,FALSE,"골재소요량";#N/A,#N/A,FALSE,"골재소요량"}</definedName>
    <definedName name="토목실행" localSheetId="6" hidden="1">{#N/A,#N/A,FALSE,"골재소요량";#N/A,#N/A,FALSE,"골재소요량"}</definedName>
    <definedName name="토목실행" localSheetId="3" hidden="1">{#N/A,#N/A,FALSE,"골재소요량";#N/A,#N/A,FALSE,"골재소요량"}</definedName>
    <definedName name="토목실행" hidden="1">{#N/A,#N/A,FALSE,"골재소요량";#N/A,#N/A,FALSE,"골재소요량"}</definedName>
    <definedName name="토목실행예산" localSheetId="5" hidden="1">{"'장비'!$A$3:$M$12"}</definedName>
    <definedName name="토목실행예산" localSheetId="9" hidden="1">{"'장비'!$A$3:$M$12"}</definedName>
    <definedName name="토목실행예산" localSheetId="10" hidden="1">{"'장비'!$A$3:$M$12"}</definedName>
    <definedName name="토목실행예산" localSheetId="6" hidden="1">{"'장비'!$A$3:$M$12"}</definedName>
    <definedName name="토목실행예산" localSheetId="3" hidden="1">{"'장비'!$A$3:$M$12"}</definedName>
    <definedName name="토목실행예산" hidden="1">{"'장비'!$A$3:$M$12"}</definedName>
    <definedName name="토목실행예산_1" localSheetId="5" hidden="1">{"'장비'!$A$3:$M$12"}</definedName>
    <definedName name="토목실행예산_1" localSheetId="9" hidden="1">{"'장비'!$A$3:$M$12"}</definedName>
    <definedName name="토목실행예산_1" localSheetId="10" hidden="1">{"'장비'!$A$3:$M$12"}</definedName>
    <definedName name="토목실행예산_1" localSheetId="6" hidden="1">{"'장비'!$A$3:$M$12"}</definedName>
    <definedName name="토목실행예산_1" localSheetId="3" hidden="1">{"'장비'!$A$3:$M$12"}</definedName>
    <definedName name="토목실행예산_1" hidden="1">{"'장비'!$A$3:$M$12"}</definedName>
    <definedName name="토목실행예산_2" localSheetId="5" hidden="1">{"'장비'!$A$3:$M$12"}</definedName>
    <definedName name="토목실행예산_2" hidden="1">{"'장비'!$A$3:$M$12"}</definedName>
    <definedName name="토목실행예산_3" localSheetId="5" hidden="1">{"'장비'!$A$3:$M$12"}</definedName>
    <definedName name="토목실행예산_3" hidden="1">{"'장비'!$A$3:$M$12"}</definedName>
    <definedName name="토목실행예산_4" localSheetId="5" hidden="1">{"'장비'!$A$3:$M$12"}</definedName>
    <definedName name="토목실행예산_4" hidden="1">{"'장비'!$A$3:$M$12"}</definedName>
    <definedName name="토목실행예산_5" localSheetId="5" hidden="1">{"'장비'!$A$3:$M$12"}</definedName>
    <definedName name="토목실행예산_5" hidden="1">{"'장비'!$A$3:$M$12"}</definedName>
    <definedName name="토목조정분" localSheetId="5" hidden="1">{"'장비'!$A$3:$M$12"}</definedName>
    <definedName name="토목조정분" localSheetId="9" hidden="1">{"'장비'!$A$3:$M$12"}</definedName>
    <definedName name="토목조정분" localSheetId="10" hidden="1">{"'장비'!$A$3:$M$12"}</definedName>
    <definedName name="토목조정분" localSheetId="6" hidden="1">{"'장비'!$A$3:$M$12"}</definedName>
    <definedName name="토목조정분" localSheetId="3" hidden="1">{"'장비'!$A$3:$M$12"}</definedName>
    <definedName name="토목조정분" hidden="1">{"'장비'!$A$3:$M$12"}</definedName>
    <definedName name="토목조정분_1" localSheetId="5" hidden="1">{"'장비'!$A$3:$M$12"}</definedName>
    <definedName name="토목조정분_1" localSheetId="9" hidden="1">{"'장비'!$A$3:$M$12"}</definedName>
    <definedName name="토목조정분_1" localSheetId="10" hidden="1">{"'장비'!$A$3:$M$12"}</definedName>
    <definedName name="토목조정분_1" localSheetId="6" hidden="1">{"'장비'!$A$3:$M$12"}</definedName>
    <definedName name="토목조정분_1" localSheetId="3" hidden="1">{"'장비'!$A$3:$M$12"}</definedName>
    <definedName name="토목조정분_1" hidden="1">{"'장비'!$A$3:$M$12"}</definedName>
    <definedName name="토목조정분_2" localSheetId="5" hidden="1">{"'장비'!$A$3:$M$12"}</definedName>
    <definedName name="토목조정분_2" hidden="1">{"'장비'!$A$3:$M$12"}</definedName>
    <definedName name="토목조정분_3" localSheetId="5" hidden="1">{"'장비'!$A$3:$M$12"}</definedName>
    <definedName name="토목조정분_3" hidden="1">{"'장비'!$A$3:$M$12"}</definedName>
    <definedName name="토목조정분_4" localSheetId="5" hidden="1">{"'장비'!$A$3:$M$12"}</definedName>
    <definedName name="토목조정분_4" hidden="1">{"'장비'!$A$3:$M$12"}</definedName>
    <definedName name="토목조정분_5" localSheetId="5" hidden="1">{"'장비'!$A$3:$M$12"}</definedName>
    <definedName name="토목조정분_5" hidden="1">{"'장비'!$A$3:$M$12"}</definedName>
    <definedName name="투찰예정가50" localSheetId="5" hidden="1">{"'장비'!$A$3:$M$12"}</definedName>
    <definedName name="투찰예정가50" localSheetId="9" hidden="1">{"'장비'!$A$3:$M$12"}</definedName>
    <definedName name="투찰예정가50" localSheetId="10" hidden="1">{"'장비'!$A$3:$M$12"}</definedName>
    <definedName name="투찰예정가50" localSheetId="6" hidden="1">{"'장비'!$A$3:$M$12"}</definedName>
    <definedName name="투찰예정가50" localSheetId="3" hidden="1">{"'장비'!$A$3:$M$12"}</definedName>
    <definedName name="투찰예정가50" hidden="1">{"'장비'!$A$3:$M$12"}</definedName>
    <definedName name="투찰예정가50_1" localSheetId="5" hidden="1">{"'장비'!$A$3:$M$12"}</definedName>
    <definedName name="투찰예정가50_1" hidden="1">{"'장비'!$A$3:$M$12"}</definedName>
    <definedName name="투찰예정가50_2" localSheetId="5" hidden="1">{"'장비'!$A$3:$M$12"}</definedName>
    <definedName name="투찰예정가50_2" hidden="1">{"'장비'!$A$3:$M$12"}</definedName>
    <definedName name="투찰예정가50_3" localSheetId="5" hidden="1">{"'장비'!$A$3:$M$12"}</definedName>
    <definedName name="투찰예정가50_3" hidden="1">{"'장비'!$A$3:$M$12"}</definedName>
    <definedName name="투찰예정가50_4" localSheetId="5" hidden="1">{"'장비'!$A$3:$M$12"}</definedName>
    <definedName name="투찰예정가50_4" hidden="1">{"'장비'!$A$3:$M$12"}</definedName>
    <definedName name="투찰예정가50_5" localSheetId="5" hidden="1">{"'장비'!$A$3:$M$12"}</definedName>
    <definedName name="투찰예정가50_5" hidden="1">{"'장비'!$A$3:$M$12"}</definedName>
    <definedName name="투찰예정본부장" localSheetId="5" hidden="1">{"'장비'!$A$3:$M$12"}</definedName>
    <definedName name="투찰예정본부장" localSheetId="9" hidden="1">{"'장비'!$A$3:$M$12"}</definedName>
    <definedName name="투찰예정본부장" localSheetId="10" hidden="1">{"'장비'!$A$3:$M$12"}</definedName>
    <definedName name="투찰예정본부장" localSheetId="6" hidden="1">{"'장비'!$A$3:$M$12"}</definedName>
    <definedName name="투찰예정본부장" localSheetId="3" hidden="1">{"'장비'!$A$3:$M$12"}</definedName>
    <definedName name="투찰예정본부장" hidden="1">{"'장비'!$A$3:$M$12"}</definedName>
    <definedName name="투찰예정본부장_1" localSheetId="5" hidden="1">{"'장비'!$A$3:$M$12"}</definedName>
    <definedName name="투찰예정본부장_1" hidden="1">{"'장비'!$A$3:$M$12"}</definedName>
    <definedName name="투찰예정본부장_2" localSheetId="5" hidden="1">{"'장비'!$A$3:$M$12"}</definedName>
    <definedName name="투찰예정본부장_2" hidden="1">{"'장비'!$A$3:$M$12"}</definedName>
    <definedName name="투찰예정본부장_3" localSheetId="5" hidden="1">{"'장비'!$A$3:$M$12"}</definedName>
    <definedName name="투찰예정본부장_3" hidden="1">{"'장비'!$A$3:$M$12"}</definedName>
    <definedName name="투찰예정본부장_4" localSheetId="5" hidden="1">{"'장비'!$A$3:$M$12"}</definedName>
    <definedName name="투찰예정본부장_4" hidden="1">{"'장비'!$A$3:$M$12"}</definedName>
    <definedName name="투찰예정본부장_5" localSheetId="5" hidden="1">{"'장비'!$A$3:$M$12"}</definedName>
    <definedName name="투찰예정본부장_5" hidden="1">{"'장비'!$A$3:$M$12"}</definedName>
    <definedName name="ㅍ" localSheetId="5" hidden="1">{#N/A,#N/A,FALSE,"이태원철근"}</definedName>
    <definedName name="ㅍ" hidden="1">{#N/A,#N/A,FALSE,"이태원철근"}</definedName>
    <definedName name="ㅍㅇㄴ" localSheetId="5" hidden="1">{#N/A,#N/A,FALSE,"이태원철근"}</definedName>
    <definedName name="ㅍㅇㄴ" hidden="1">{#N/A,#N/A,FALSE,"이태원철근"}</definedName>
    <definedName name="ㅍㅇㅁㅂ" localSheetId="5" hidden="1">{#N/A,#N/A,FALSE,"이태원철근"}</definedName>
    <definedName name="ㅍㅇㅁㅂ" hidden="1">{#N/A,#N/A,FALSE,"이태원철근"}</definedName>
    <definedName name="ㅍㅈ" localSheetId="5" hidden="1">{#N/A,#N/A,FALSE,"이태원철근"}</definedName>
    <definedName name="ㅍㅈ" hidden="1">{#N/A,#N/A,FALSE,"이태원철근"}</definedName>
    <definedName name="ㅍ춫" localSheetId="5" hidden="1">{#N/A,#N/A,FALSE,"골재소요량";#N/A,#N/A,FALSE,"골재소요량"}</definedName>
    <definedName name="ㅍ춫" hidden="1">{#N/A,#N/A,FALSE,"골재소요량";#N/A,#N/A,FALSE,"골재소요량"}</definedName>
    <definedName name="ㅍ춫_1" localSheetId="5" hidden="1">{#N/A,#N/A,FALSE,"골재소요량";#N/A,#N/A,FALSE,"골재소요량"}</definedName>
    <definedName name="ㅍ춫_1" hidden="1">{#N/A,#N/A,FALSE,"골재소요량";#N/A,#N/A,FALSE,"골재소요량"}</definedName>
    <definedName name="ㅍ춫_2" localSheetId="5" hidden="1">{#N/A,#N/A,FALSE,"골재소요량";#N/A,#N/A,FALSE,"골재소요량"}</definedName>
    <definedName name="ㅍ춫_2" hidden="1">{#N/A,#N/A,FALSE,"골재소요량";#N/A,#N/A,FALSE,"골재소요량"}</definedName>
    <definedName name="ㅍ춫_3" localSheetId="5" hidden="1">{#N/A,#N/A,FALSE,"골재소요량";#N/A,#N/A,FALSE,"골재소요량"}</definedName>
    <definedName name="ㅍ춫_3" hidden="1">{#N/A,#N/A,FALSE,"골재소요량";#N/A,#N/A,FALSE,"골재소요량"}</definedName>
    <definedName name="ㅍ춫_4" localSheetId="5" hidden="1">{#N/A,#N/A,FALSE,"골재소요량";#N/A,#N/A,FALSE,"골재소요량"}</definedName>
    <definedName name="ㅍ춫_4" hidden="1">{#N/A,#N/A,FALSE,"골재소요량";#N/A,#N/A,FALSE,"골재소요량"}</definedName>
    <definedName name="ㅍ춫_5" localSheetId="5" hidden="1">{#N/A,#N/A,FALSE,"골재소요량";#N/A,#N/A,FALSE,"골재소요량"}</definedName>
    <definedName name="ㅍ춫_5" hidden="1">{#N/A,#N/A,FALSE,"골재소요량";#N/A,#N/A,FALSE,"골재소요량"}</definedName>
    <definedName name="ㅍ츝" localSheetId="5" hidden="1">{#N/A,#N/A,FALSE,"표지목차"}</definedName>
    <definedName name="ㅍ츝" hidden="1">{#N/A,#N/A,FALSE,"표지목차"}</definedName>
    <definedName name="ㅍ츝_1" localSheetId="5" hidden="1">{#N/A,#N/A,FALSE,"표지목차"}</definedName>
    <definedName name="ㅍ츝_1" hidden="1">{#N/A,#N/A,FALSE,"표지목차"}</definedName>
    <definedName name="ㅍ츝_2" localSheetId="5" hidden="1">{#N/A,#N/A,FALSE,"표지목차"}</definedName>
    <definedName name="ㅍ츝_2" hidden="1">{#N/A,#N/A,FALSE,"표지목차"}</definedName>
    <definedName name="ㅍ츝_3" localSheetId="5" hidden="1">{#N/A,#N/A,FALSE,"표지목차"}</definedName>
    <definedName name="ㅍ츝_3" hidden="1">{#N/A,#N/A,FALSE,"표지목차"}</definedName>
    <definedName name="ㅍ츝_4" localSheetId="5" hidden="1">{#N/A,#N/A,FALSE,"표지목차"}</definedName>
    <definedName name="ㅍ츝_4" hidden="1">{#N/A,#N/A,FALSE,"표지목차"}</definedName>
    <definedName name="ㅍ츝_5" localSheetId="5" hidden="1">{#N/A,#N/A,FALSE,"표지목차"}</definedName>
    <definedName name="ㅍ츝_5" hidden="1">{#N/A,#N/A,FALSE,"표지목차"}</definedName>
    <definedName name="ㅍㅍ" localSheetId="5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ㅍㅍㅍㅍㅍㅍ" localSheetId="5" hidden="1">{#N/A,#N/A,FALSE,"이태원철근"}</definedName>
    <definedName name="ㅍㅍㅍㅍㅍㅍㅍ" hidden="1">{#N/A,#N/A,FALSE,"이태원철근"}</definedName>
    <definedName name="ㅍㅎㄷ" localSheetId="5" hidden="1">{#N/A,#N/A,FALSE,"이태원철근"}</definedName>
    <definedName name="ㅍㅎㄷ" hidden="1">{#N/A,#N/A,FALSE,"이태원철근"}</definedName>
    <definedName name="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9" hidden="1">#REF!</definedName>
    <definedName name="표지" localSheetId="10" hidden="1">#REF!</definedName>
    <definedName name="표지" hidden="1">#REF!</definedName>
    <definedName name="표지2" localSheetId="9" hidden="1">#REF!</definedName>
    <definedName name="표지2" localSheetId="10" hidden="1">#REF!</definedName>
    <definedName name="표지2" hidden="1">#REF!</definedName>
    <definedName name="풍납동" hidden="1">#REF!</definedName>
    <definedName name="풍납동아파트" hidden="1">#REF!</definedName>
    <definedName name="피로티" localSheetId="5" hidden="1">{#N/A,#N/A,FALSE,"이태원철근"}</definedName>
    <definedName name="피로티" hidden="1">{#N/A,#N/A,FALSE,"이태원철근"}</definedName>
    <definedName name="피로티1" localSheetId="5" hidden="1">{#N/A,#N/A,FALSE,"이태원철근"}</definedName>
    <definedName name="피로티1" hidden="1">{#N/A,#N/A,FALSE,"이태원철근"}</definedName>
    <definedName name="피터팬" localSheetId="5" hidden="1">{#N/A,#N/A,FALSE,"이태원철근"}</definedName>
    <definedName name="피터팬" hidden="1">{#N/A,#N/A,FALSE,"이태원철근"}</definedName>
    <definedName name="ㅎ" localSheetId="5" hidden="1">{#N/A,#N/A,FALSE,"이태원철근"}</definedName>
    <definedName name="ㅎ" hidden="1">{#N/A,#N/A,FALSE,"이태원철근"}</definedName>
    <definedName name="ㅎ4ㄷㅈ" localSheetId="5" hidden="1">{#N/A,#N/A,FALSE,"이태원철근"}</definedName>
    <definedName name="ㅎ4ㄷㅈ" hidden="1">{#N/A,#N/A,FALSE,"이태원철근"}</definedName>
    <definedName name="ㅎㄱㄷㅂㅈ" localSheetId="5" hidden="1">{#N/A,#N/A,FALSE,"이태원철근"}</definedName>
    <definedName name="ㅎㄱㄷㅂㅈ" hidden="1">{#N/A,#N/A,FALSE,"이태원철근"}</definedName>
    <definedName name="ㅎㄱㄷㅈ" localSheetId="5" hidden="1">{#N/A,#N/A,FALSE,"이태원철근"}</definedName>
    <definedName name="ㅎㄱㄷㅈ" hidden="1">{#N/A,#N/A,FALSE,"이태원철근"}</definedName>
    <definedName name="ㅎㄱㅈ" localSheetId="5" hidden="1">{#N/A,#N/A,FALSE,"이태원철근"}</definedName>
    <definedName name="ㅎㄱㅈ" hidden="1">{#N/A,#N/A,FALSE,"이태원철근"}</definedName>
    <definedName name="ㅎㄴ" localSheetId="5" hidden="1">{#N/A,#N/A,FALSE,"단가표지"}</definedName>
    <definedName name="ㅎㄴ" hidden="1">{#N/A,#N/A,FALSE,"단가표지"}</definedName>
    <definedName name="ㅎㄴ_1" localSheetId="5" hidden="1">{#N/A,#N/A,FALSE,"단가표지"}</definedName>
    <definedName name="ㅎㄴ_1" hidden="1">{#N/A,#N/A,FALSE,"단가표지"}</definedName>
    <definedName name="ㅎㄴ_2" localSheetId="5" hidden="1">{#N/A,#N/A,FALSE,"단가표지"}</definedName>
    <definedName name="ㅎㄴ_2" hidden="1">{#N/A,#N/A,FALSE,"단가표지"}</definedName>
    <definedName name="ㅎㄴ_3" localSheetId="5" hidden="1">{#N/A,#N/A,FALSE,"단가표지"}</definedName>
    <definedName name="ㅎㄴ_3" hidden="1">{#N/A,#N/A,FALSE,"단가표지"}</definedName>
    <definedName name="ㅎㄴ_4" localSheetId="5" hidden="1">{#N/A,#N/A,FALSE,"단가표지"}</definedName>
    <definedName name="ㅎㄴ_4" hidden="1">{#N/A,#N/A,FALSE,"단가표지"}</definedName>
    <definedName name="ㅎㄴ_5" localSheetId="5" hidden="1">{#N/A,#N/A,FALSE,"단가표지"}</definedName>
    <definedName name="ㅎㄴ_5" hidden="1">{#N/A,#N/A,FALSE,"단가표지"}</definedName>
    <definedName name="ㅎㄷ" localSheetId="5" hidden="1">{#N/A,#N/A,FALSE,"이태원철근"}</definedName>
    <definedName name="ㅎㄷ" hidden="1">{#N/A,#N/A,FALSE,"이태원철근"}</definedName>
    <definedName name="ㅎㄷㅈㅈ" localSheetId="5" hidden="1">{#N/A,#N/A,FALSE,"이태원철근"}</definedName>
    <definedName name="ㅎㄷㅈㅈ" hidden="1">{#N/A,#N/A,FALSE,"이태원철근"}</definedName>
    <definedName name="ㅎㄹㄴㅇ" localSheetId="5" hidden="1">{#N/A,#N/A,FALSE,"단가표지"}</definedName>
    <definedName name="ㅎㄹㄴㅇ" hidden="1">{#N/A,#N/A,FALSE,"단가표지"}</definedName>
    <definedName name="ㅎㄹㄴㅇ_1" localSheetId="5" hidden="1">{#N/A,#N/A,FALSE,"단가표지"}</definedName>
    <definedName name="ㅎㄹㄴㅇ_1" hidden="1">{#N/A,#N/A,FALSE,"단가표지"}</definedName>
    <definedName name="ㅎㄹㄴㅇ_2" localSheetId="5" hidden="1">{#N/A,#N/A,FALSE,"단가표지"}</definedName>
    <definedName name="ㅎㄹㄴㅇ_2" hidden="1">{#N/A,#N/A,FALSE,"단가표지"}</definedName>
    <definedName name="ㅎㄹㄴㅇ_3" localSheetId="5" hidden="1">{#N/A,#N/A,FALSE,"단가표지"}</definedName>
    <definedName name="ㅎㄹㄴㅇ_3" hidden="1">{#N/A,#N/A,FALSE,"단가표지"}</definedName>
    <definedName name="ㅎㄹㄴㅇ_4" localSheetId="5" hidden="1">{#N/A,#N/A,FALSE,"단가표지"}</definedName>
    <definedName name="ㅎㄹㄴㅇ_4" hidden="1">{#N/A,#N/A,FALSE,"단가표지"}</definedName>
    <definedName name="ㅎㄹㄴㅇ_5" localSheetId="5" hidden="1">{#N/A,#N/A,FALSE,"단가표지"}</definedName>
    <definedName name="ㅎㄹㄴㅇ_5" hidden="1">{#N/A,#N/A,FALSE,"단가표지"}</definedName>
    <definedName name="ㅎㄹㅇㄴ" localSheetId="5" hidden="1">{#N/A,#N/A,FALSE,"골재소요량";#N/A,#N/A,FALSE,"골재소요량"}</definedName>
    <definedName name="ㅎㄹㅇㄴ" hidden="1">{#N/A,#N/A,FALSE,"골재소요량";#N/A,#N/A,FALSE,"골재소요량"}</definedName>
    <definedName name="ㅎㄹㅇㄴ_1" localSheetId="5" hidden="1">{#N/A,#N/A,FALSE,"골재소요량";#N/A,#N/A,FALSE,"골재소요량"}</definedName>
    <definedName name="ㅎㄹㅇㄴ_1" hidden="1">{#N/A,#N/A,FALSE,"골재소요량";#N/A,#N/A,FALSE,"골재소요량"}</definedName>
    <definedName name="ㅎㄹㅇㄴ_2" localSheetId="5" hidden="1">{#N/A,#N/A,FALSE,"골재소요량";#N/A,#N/A,FALSE,"골재소요량"}</definedName>
    <definedName name="ㅎㄹㅇㄴ_2" hidden="1">{#N/A,#N/A,FALSE,"골재소요량";#N/A,#N/A,FALSE,"골재소요량"}</definedName>
    <definedName name="ㅎㄹㅇㄴ_3" localSheetId="5" hidden="1">{#N/A,#N/A,FALSE,"골재소요량";#N/A,#N/A,FALSE,"골재소요량"}</definedName>
    <definedName name="ㅎㄹㅇㄴ_3" hidden="1">{#N/A,#N/A,FALSE,"골재소요량";#N/A,#N/A,FALSE,"골재소요량"}</definedName>
    <definedName name="ㅎㄹㅇㄴ_4" localSheetId="5" hidden="1">{#N/A,#N/A,FALSE,"골재소요량";#N/A,#N/A,FALSE,"골재소요량"}</definedName>
    <definedName name="ㅎㄹㅇㄴ_4" hidden="1">{#N/A,#N/A,FALSE,"골재소요량";#N/A,#N/A,FALSE,"골재소요량"}</definedName>
    <definedName name="ㅎㄹㅇㄴ_5" localSheetId="5" hidden="1">{#N/A,#N/A,FALSE,"골재소요량";#N/A,#N/A,FALSE,"골재소요량"}</definedName>
    <definedName name="ㅎㄹㅇㄴ_5" hidden="1">{#N/A,#N/A,FALSE,"골재소요량";#N/A,#N/A,FALSE,"골재소요량"}</definedName>
    <definedName name="ㅎㄹㅇㅁㅁㅎ" localSheetId="5" hidden="1">{#N/A,#N/A,FALSE,"조골재"}</definedName>
    <definedName name="ㅎㄹㅇㅁㅁㅎ" hidden="1">{#N/A,#N/A,FALSE,"조골재"}</definedName>
    <definedName name="ㅎㄹㅇㅁㅁㅎ_1" localSheetId="5" hidden="1">{#N/A,#N/A,FALSE,"조골재"}</definedName>
    <definedName name="ㅎㄹㅇㅁㅁㅎ_1" hidden="1">{#N/A,#N/A,FALSE,"조골재"}</definedName>
    <definedName name="ㅎㄹㅇㅁㅁㅎ_2" localSheetId="5" hidden="1">{#N/A,#N/A,FALSE,"조골재"}</definedName>
    <definedName name="ㅎㄹㅇㅁㅁㅎ_2" hidden="1">{#N/A,#N/A,FALSE,"조골재"}</definedName>
    <definedName name="ㅎㄹㅇㅁㅁㅎ_3" localSheetId="5" hidden="1">{#N/A,#N/A,FALSE,"조골재"}</definedName>
    <definedName name="ㅎㄹㅇㅁㅁㅎ_3" hidden="1">{#N/A,#N/A,FALSE,"조골재"}</definedName>
    <definedName name="ㅎㄹㅇㅁㅁㅎ_4" localSheetId="5" hidden="1">{#N/A,#N/A,FALSE,"조골재"}</definedName>
    <definedName name="ㅎㄹㅇㅁㅁㅎ_4" hidden="1">{#N/A,#N/A,FALSE,"조골재"}</definedName>
    <definedName name="ㅎㄹㅇㅁㅁㅎ_5" localSheetId="5" hidden="1">{#N/A,#N/A,FALSE,"조골재"}</definedName>
    <definedName name="ㅎㄹㅇㅁㅁㅎ_5" hidden="1">{#N/A,#N/A,FALSE,"조골재"}</definedName>
    <definedName name="ㅎㄹㅇㅁㅎㅁ" localSheetId="5" hidden="1">{#N/A,#N/A,FALSE,"표지목차"}</definedName>
    <definedName name="ㅎㄹㅇㅁㅎㅁ" hidden="1">{#N/A,#N/A,FALSE,"표지목차"}</definedName>
    <definedName name="ㅎㄹㅇㅁㅎㅁ_1" localSheetId="5" hidden="1">{#N/A,#N/A,FALSE,"표지목차"}</definedName>
    <definedName name="ㅎㄹㅇㅁㅎㅁ_1" hidden="1">{#N/A,#N/A,FALSE,"표지목차"}</definedName>
    <definedName name="ㅎㄹㅇㅁㅎㅁ_2" localSheetId="5" hidden="1">{#N/A,#N/A,FALSE,"표지목차"}</definedName>
    <definedName name="ㅎㄹㅇㅁㅎㅁ_2" hidden="1">{#N/A,#N/A,FALSE,"표지목차"}</definedName>
    <definedName name="ㅎㄹㅇㅁㅎㅁ_3" localSheetId="5" hidden="1">{#N/A,#N/A,FALSE,"표지목차"}</definedName>
    <definedName name="ㅎㄹㅇㅁㅎㅁ_3" hidden="1">{#N/A,#N/A,FALSE,"표지목차"}</definedName>
    <definedName name="ㅎㄹㅇㅁㅎㅁ_4" localSheetId="5" hidden="1">{#N/A,#N/A,FALSE,"표지목차"}</definedName>
    <definedName name="ㅎㄹㅇㅁㅎㅁ_4" hidden="1">{#N/A,#N/A,FALSE,"표지목차"}</definedName>
    <definedName name="ㅎㄹㅇㅁㅎㅁ_5" localSheetId="5" hidden="1">{#N/A,#N/A,FALSE,"표지목차"}</definedName>
    <definedName name="ㅎㄹㅇㅁㅎㅁ_5" hidden="1">{#N/A,#N/A,FALSE,"표지목차"}</definedName>
    <definedName name="ㅎㄹㅇㅎ" localSheetId="5" hidden="1">{#N/A,#N/A,FALSE,"단가표지"}</definedName>
    <definedName name="ㅎㄹㅇㅎ" hidden="1">{#N/A,#N/A,FALSE,"단가표지"}</definedName>
    <definedName name="ㅎㄹㅇㅎ_1" localSheetId="5" hidden="1">{#N/A,#N/A,FALSE,"단가표지"}</definedName>
    <definedName name="ㅎㄹㅇㅎ_1" hidden="1">{#N/A,#N/A,FALSE,"단가표지"}</definedName>
    <definedName name="ㅎㄹㅇㅎ_2" localSheetId="5" hidden="1">{#N/A,#N/A,FALSE,"단가표지"}</definedName>
    <definedName name="ㅎㄹㅇㅎ_2" hidden="1">{#N/A,#N/A,FALSE,"단가표지"}</definedName>
    <definedName name="ㅎㄹㅇㅎ_3" localSheetId="5" hidden="1">{#N/A,#N/A,FALSE,"단가표지"}</definedName>
    <definedName name="ㅎㄹㅇㅎ_3" hidden="1">{#N/A,#N/A,FALSE,"단가표지"}</definedName>
    <definedName name="ㅎㄹㅇㅎ_4" localSheetId="5" hidden="1">{#N/A,#N/A,FALSE,"단가표지"}</definedName>
    <definedName name="ㅎㄹㅇㅎ_4" hidden="1">{#N/A,#N/A,FALSE,"단가표지"}</definedName>
    <definedName name="ㅎㄹㅇㅎ_5" localSheetId="5" hidden="1">{#N/A,#N/A,FALSE,"단가표지"}</definedName>
    <definedName name="ㅎㄹㅇㅎ_5" hidden="1">{#N/A,#N/A,FALSE,"단가표지"}</definedName>
    <definedName name="ㅎㄹㅇㅎㅇㅁㅎ" localSheetId="5" hidden="1">{#N/A,#N/A,FALSE,"운반시간"}</definedName>
    <definedName name="ㅎㄹㅇㅎㅇㅁㅎ" hidden="1">{#N/A,#N/A,FALSE,"운반시간"}</definedName>
    <definedName name="ㅎㄹㅇㅎㅇㅁㅎ_1" localSheetId="5" hidden="1">{#N/A,#N/A,FALSE,"운반시간"}</definedName>
    <definedName name="ㅎㄹㅇㅎㅇㅁㅎ_1" hidden="1">{#N/A,#N/A,FALSE,"운반시간"}</definedName>
    <definedName name="ㅎㄹㅇㅎㅇㅁㅎ_2" localSheetId="5" hidden="1">{#N/A,#N/A,FALSE,"운반시간"}</definedName>
    <definedName name="ㅎㄹㅇㅎㅇㅁㅎ_2" hidden="1">{#N/A,#N/A,FALSE,"운반시간"}</definedName>
    <definedName name="ㅎㄹㅇㅎㅇㅁㅎ_3" localSheetId="5" hidden="1">{#N/A,#N/A,FALSE,"운반시간"}</definedName>
    <definedName name="ㅎㄹㅇㅎㅇㅁㅎ_3" hidden="1">{#N/A,#N/A,FALSE,"운반시간"}</definedName>
    <definedName name="ㅎㄹㅇㅎㅇㅁㅎ_4" localSheetId="5" hidden="1">{#N/A,#N/A,FALSE,"운반시간"}</definedName>
    <definedName name="ㅎㄹㅇㅎㅇㅁㅎ_4" hidden="1">{#N/A,#N/A,FALSE,"운반시간"}</definedName>
    <definedName name="ㅎㄹㅇㅎㅇㅁㅎ_5" localSheetId="5" hidden="1">{#N/A,#N/A,FALSE,"운반시간"}</definedName>
    <definedName name="ㅎㄹㅇㅎㅇㅁㅎ_5" hidden="1">{#N/A,#N/A,FALSE,"운반시간"}</definedName>
    <definedName name="ㅎ륜ㅇㄹ" localSheetId="5" hidden="1">{#N/A,#N/A,FALSE,"2~8번"}</definedName>
    <definedName name="ㅎ륜ㅇㄹ" hidden="1">{#N/A,#N/A,FALSE,"2~8번"}</definedName>
    <definedName name="ㅎ륜ㅇㄹ_1" localSheetId="5" hidden="1">{#N/A,#N/A,FALSE,"2~8번"}</definedName>
    <definedName name="ㅎ륜ㅇㄹ_1" hidden="1">{#N/A,#N/A,FALSE,"2~8번"}</definedName>
    <definedName name="ㅎ륜ㅇㄹ_2" localSheetId="5" hidden="1">{#N/A,#N/A,FALSE,"2~8번"}</definedName>
    <definedName name="ㅎ륜ㅇㄹ_2" hidden="1">{#N/A,#N/A,FALSE,"2~8번"}</definedName>
    <definedName name="ㅎ륜ㅇㄹ_3" localSheetId="5" hidden="1">{#N/A,#N/A,FALSE,"2~8번"}</definedName>
    <definedName name="ㅎ륜ㅇㄹ_3" hidden="1">{#N/A,#N/A,FALSE,"2~8번"}</definedName>
    <definedName name="ㅎ륜ㅇㄹ_4" localSheetId="5" hidden="1">{#N/A,#N/A,FALSE,"2~8번"}</definedName>
    <definedName name="ㅎ륜ㅇㄹ_4" hidden="1">{#N/A,#N/A,FALSE,"2~8번"}</definedName>
    <definedName name="ㅎ륜ㅇㄹ_5" localSheetId="5" hidden="1">{#N/A,#N/A,FALSE,"2~8번"}</definedName>
    <definedName name="ㅎ륜ㅇㄹ_5" hidden="1">{#N/A,#N/A,FALSE,"2~8번"}</definedName>
    <definedName name="ㅎ르ㅓㅗㅓ" localSheetId="5" hidden="1">{#N/A,#N/A,FALSE,"골재소요량";#N/A,#N/A,FALSE,"골재소요량"}</definedName>
    <definedName name="ㅎ르ㅓㅗㅓ" hidden="1">{#N/A,#N/A,FALSE,"골재소요량";#N/A,#N/A,FALSE,"골재소요량"}</definedName>
    <definedName name="ㅎ르ㅓㅗㅓ_1" localSheetId="5" hidden="1">{#N/A,#N/A,FALSE,"골재소요량";#N/A,#N/A,FALSE,"골재소요량"}</definedName>
    <definedName name="ㅎ르ㅓㅗㅓ_1" hidden="1">{#N/A,#N/A,FALSE,"골재소요량";#N/A,#N/A,FALSE,"골재소요량"}</definedName>
    <definedName name="ㅎ르ㅓㅗㅓ_2" localSheetId="5" hidden="1">{#N/A,#N/A,FALSE,"골재소요량";#N/A,#N/A,FALSE,"골재소요량"}</definedName>
    <definedName name="ㅎ르ㅓㅗㅓ_2" hidden="1">{#N/A,#N/A,FALSE,"골재소요량";#N/A,#N/A,FALSE,"골재소요량"}</definedName>
    <definedName name="ㅎ르ㅓㅗㅓ_3" localSheetId="5" hidden="1">{#N/A,#N/A,FALSE,"골재소요량";#N/A,#N/A,FALSE,"골재소요량"}</definedName>
    <definedName name="ㅎ르ㅓㅗㅓ_3" hidden="1">{#N/A,#N/A,FALSE,"골재소요량";#N/A,#N/A,FALSE,"골재소요량"}</definedName>
    <definedName name="ㅎ르ㅓㅗㅓ_4" localSheetId="5" hidden="1">{#N/A,#N/A,FALSE,"골재소요량";#N/A,#N/A,FALSE,"골재소요량"}</definedName>
    <definedName name="ㅎ르ㅓㅗㅓ_4" hidden="1">{#N/A,#N/A,FALSE,"골재소요량";#N/A,#N/A,FALSE,"골재소요량"}</definedName>
    <definedName name="ㅎ르ㅓㅗㅓ_5" localSheetId="5" hidden="1">{#N/A,#N/A,FALSE,"골재소요량";#N/A,#N/A,FALSE,"골재소요량"}</definedName>
    <definedName name="ㅎ르ㅓㅗㅓ_5" hidden="1">{#N/A,#N/A,FALSE,"골재소요량";#N/A,#N/A,FALSE,"골재소요량"}</definedName>
    <definedName name="ㅎㄻㄹㅇㅎㅇㅁ" localSheetId="5" hidden="1">{#N/A,#N/A,FALSE,"혼합골재"}</definedName>
    <definedName name="ㅎㄻㄹㅇㅎㅇㅁ" hidden="1">{#N/A,#N/A,FALSE,"혼합골재"}</definedName>
    <definedName name="ㅎㄻㄹㅇㅎㅇㅁ_1" localSheetId="5" hidden="1">{#N/A,#N/A,FALSE,"혼합골재"}</definedName>
    <definedName name="ㅎㄻㄹㅇㅎㅇㅁ_1" hidden="1">{#N/A,#N/A,FALSE,"혼합골재"}</definedName>
    <definedName name="ㅎㄻㄹㅇㅎㅇㅁ_2" localSheetId="5" hidden="1">{#N/A,#N/A,FALSE,"혼합골재"}</definedName>
    <definedName name="ㅎㄻㄹㅇㅎㅇㅁ_2" hidden="1">{#N/A,#N/A,FALSE,"혼합골재"}</definedName>
    <definedName name="ㅎㄻㄹㅇㅎㅇㅁ_3" localSheetId="5" hidden="1">{#N/A,#N/A,FALSE,"혼합골재"}</definedName>
    <definedName name="ㅎㄻㄹㅇㅎㅇㅁ_3" hidden="1">{#N/A,#N/A,FALSE,"혼합골재"}</definedName>
    <definedName name="ㅎㄻㄹㅇㅎㅇㅁ_4" localSheetId="5" hidden="1">{#N/A,#N/A,FALSE,"혼합골재"}</definedName>
    <definedName name="ㅎㄻㄹㅇㅎㅇㅁ_4" hidden="1">{#N/A,#N/A,FALSE,"혼합골재"}</definedName>
    <definedName name="ㅎㄻㄹㅇㅎㅇㅁ_5" localSheetId="5" hidden="1">{#N/A,#N/A,FALSE,"혼합골재"}</definedName>
    <definedName name="ㅎㄻㄹㅇㅎㅇㅁ_5" hidden="1">{#N/A,#N/A,FALSE,"혼합골재"}</definedName>
    <definedName name="ㅎㄻㅇㅎㅁㅇㅎㅁㅇㅎ" localSheetId="5" hidden="1">{#N/A,#N/A,FALSE,"골재소요량";#N/A,#N/A,FALSE,"골재소요량"}</definedName>
    <definedName name="ㅎㄻㅇㅎㅁㅇㅎㅁㅇㅎ" hidden="1">{#N/A,#N/A,FALSE,"골재소요량";#N/A,#N/A,FALSE,"골재소요량"}</definedName>
    <definedName name="ㅎㄻㅇㅎㅁㅇㅎㅁㅇㅎ_1" localSheetId="5" hidden="1">{#N/A,#N/A,FALSE,"골재소요량";#N/A,#N/A,FALSE,"골재소요량"}</definedName>
    <definedName name="ㅎㄻㅇㅎㅁㅇㅎㅁㅇㅎ_1" hidden="1">{#N/A,#N/A,FALSE,"골재소요량";#N/A,#N/A,FALSE,"골재소요량"}</definedName>
    <definedName name="ㅎㄻㅇㅎㅁㅇㅎㅁㅇㅎ_2" localSheetId="5" hidden="1">{#N/A,#N/A,FALSE,"골재소요량";#N/A,#N/A,FALSE,"골재소요량"}</definedName>
    <definedName name="ㅎㄻㅇㅎㅁㅇㅎㅁㅇㅎ_2" hidden="1">{#N/A,#N/A,FALSE,"골재소요량";#N/A,#N/A,FALSE,"골재소요량"}</definedName>
    <definedName name="ㅎㄻㅇㅎㅁㅇㅎㅁㅇㅎ_3" localSheetId="5" hidden="1">{#N/A,#N/A,FALSE,"골재소요량";#N/A,#N/A,FALSE,"골재소요량"}</definedName>
    <definedName name="ㅎㄻㅇㅎㅁㅇㅎㅁㅇㅎ_3" hidden="1">{#N/A,#N/A,FALSE,"골재소요량";#N/A,#N/A,FALSE,"골재소요량"}</definedName>
    <definedName name="ㅎㄻㅇㅎㅁㅇㅎㅁㅇㅎ_4" localSheetId="5" hidden="1">{#N/A,#N/A,FALSE,"골재소요량";#N/A,#N/A,FALSE,"골재소요량"}</definedName>
    <definedName name="ㅎㄻㅇㅎㅁㅇㅎㅁㅇㅎ_4" hidden="1">{#N/A,#N/A,FALSE,"골재소요량";#N/A,#N/A,FALSE,"골재소요량"}</definedName>
    <definedName name="ㅎㄻㅇㅎㅁㅇㅎㅁㅇㅎ_5" localSheetId="5" hidden="1">{#N/A,#N/A,FALSE,"골재소요량";#N/A,#N/A,FALSE,"골재소요량"}</definedName>
    <definedName name="ㅎㄻㅇㅎㅁㅇㅎㅁㅇㅎ_5" hidden="1">{#N/A,#N/A,FALSE,"골재소요량";#N/A,#N/A,FALSE,"골재소요량"}</definedName>
    <definedName name="ㅎㅁㅇㅀㅁㅇ" localSheetId="5" hidden="1">{#N/A,#N/A,FALSE,"단가표지"}</definedName>
    <definedName name="ㅎㅁㅇㅀㅁㅇ" hidden="1">{#N/A,#N/A,FALSE,"단가표지"}</definedName>
    <definedName name="ㅎㅁㅇㅀㅁㅇ_1" localSheetId="5" hidden="1">{#N/A,#N/A,FALSE,"단가표지"}</definedName>
    <definedName name="ㅎㅁㅇㅀㅁㅇ_1" hidden="1">{#N/A,#N/A,FALSE,"단가표지"}</definedName>
    <definedName name="ㅎㅁㅇㅀㅁㅇ_2" localSheetId="5" hidden="1">{#N/A,#N/A,FALSE,"단가표지"}</definedName>
    <definedName name="ㅎㅁㅇㅀㅁㅇ_2" hidden="1">{#N/A,#N/A,FALSE,"단가표지"}</definedName>
    <definedName name="ㅎㅁㅇㅀㅁㅇ_3" localSheetId="5" hidden="1">{#N/A,#N/A,FALSE,"단가표지"}</definedName>
    <definedName name="ㅎㅁㅇㅀㅁㅇ_3" hidden="1">{#N/A,#N/A,FALSE,"단가표지"}</definedName>
    <definedName name="ㅎㅁㅇㅀㅁㅇ_4" localSheetId="5" hidden="1">{#N/A,#N/A,FALSE,"단가표지"}</definedName>
    <definedName name="ㅎㅁㅇㅀㅁㅇ_4" hidden="1">{#N/A,#N/A,FALSE,"단가표지"}</definedName>
    <definedName name="ㅎㅁㅇㅀㅁㅇ_5" localSheetId="5" hidden="1">{#N/A,#N/A,FALSE,"단가표지"}</definedName>
    <definedName name="ㅎㅁㅇㅀㅁㅇ_5" hidden="1">{#N/A,#N/A,FALSE,"단가표지"}</definedName>
    <definedName name="ㅎㅁㅇㅀㅁㅇㅎㅁ" localSheetId="5" hidden="1">{#N/A,#N/A,FALSE,"단가표지"}</definedName>
    <definedName name="ㅎㅁㅇㅀㅁㅇㅎㅁ" hidden="1">{#N/A,#N/A,FALSE,"단가표지"}</definedName>
    <definedName name="ㅎㅁㅇㅀㅁㅇㅎㅁ_1" localSheetId="5" hidden="1">{#N/A,#N/A,FALSE,"단가표지"}</definedName>
    <definedName name="ㅎㅁㅇㅀㅁㅇㅎㅁ_1" hidden="1">{#N/A,#N/A,FALSE,"단가표지"}</definedName>
    <definedName name="ㅎㅁㅇㅀㅁㅇㅎㅁ_2" localSheetId="5" hidden="1">{#N/A,#N/A,FALSE,"단가표지"}</definedName>
    <definedName name="ㅎㅁㅇㅀㅁㅇㅎㅁ_2" hidden="1">{#N/A,#N/A,FALSE,"단가표지"}</definedName>
    <definedName name="ㅎㅁㅇㅀㅁㅇㅎㅁ_3" localSheetId="5" hidden="1">{#N/A,#N/A,FALSE,"단가표지"}</definedName>
    <definedName name="ㅎㅁㅇㅀㅁㅇㅎㅁ_3" hidden="1">{#N/A,#N/A,FALSE,"단가표지"}</definedName>
    <definedName name="ㅎㅁㅇㅀㅁㅇㅎㅁ_4" localSheetId="5" hidden="1">{#N/A,#N/A,FALSE,"단가표지"}</definedName>
    <definedName name="ㅎㅁㅇㅀㅁㅇㅎㅁ_4" hidden="1">{#N/A,#N/A,FALSE,"단가표지"}</definedName>
    <definedName name="ㅎㅁㅇㅀㅁㅇㅎㅁ_5" localSheetId="5" hidden="1">{#N/A,#N/A,FALSE,"단가표지"}</definedName>
    <definedName name="ㅎㅁㅇㅀㅁㅇㅎㅁ_5" hidden="1">{#N/A,#N/A,FALSE,"단가표지"}</definedName>
    <definedName name="ㅎㅇㄴ" localSheetId="5" hidden="1">{#N/A,#N/A,FALSE,"단가표지"}</definedName>
    <definedName name="ㅎㅇㄴ" hidden="1">{#N/A,#N/A,FALSE,"단가표지"}</definedName>
    <definedName name="ㅎㅇㄴ_1" localSheetId="5" hidden="1">{#N/A,#N/A,FALSE,"단가표지"}</definedName>
    <definedName name="ㅎㅇㄴ_1" hidden="1">{#N/A,#N/A,FALSE,"단가표지"}</definedName>
    <definedName name="ㅎㅇㄴ_2" localSheetId="5" hidden="1">{#N/A,#N/A,FALSE,"단가표지"}</definedName>
    <definedName name="ㅎㅇㄴ_2" hidden="1">{#N/A,#N/A,FALSE,"단가표지"}</definedName>
    <definedName name="ㅎㅇㄴ_3" localSheetId="5" hidden="1">{#N/A,#N/A,FALSE,"단가표지"}</definedName>
    <definedName name="ㅎㅇㄴ_3" hidden="1">{#N/A,#N/A,FALSE,"단가표지"}</definedName>
    <definedName name="ㅎㅇㄴ_4" localSheetId="5" hidden="1">{#N/A,#N/A,FALSE,"단가표지"}</definedName>
    <definedName name="ㅎㅇㄴ_4" hidden="1">{#N/A,#N/A,FALSE,"단가표지"}</definedName>
    <definedName name="ㅎㅇㄴ_5" localSheetId="5" hidden="1">{#N/A,#N/A,FALSE,"단가표지"}</definedName>
    <definedName name="ㅎㅇㄴ_5" hidden="1">{#N/A,#N/A,FALSE,"단가표지"}</definedName>
    <definedName name="ㅎㅇㄹ홍ㄴ로" localSheetId="5" hidden="1">{#N/A,#N/A,FALSE,"단가표지"}</definedName>
    <definedName name="ㅎㅇㄹ홍ㄴ로" hidden="1">{#N/A,#N/A,FALSE,"단가표지"}</definedName>
    <definedName name="ㅎㅇㄹ홍ㄴ로_1" localSheetId="5" hidden="1">{#N/A,#N/A,FALSE,"단가표지"}</definedName>
    <definedName name="ㅎㅇㄹ홍ㄴ로_1" hidden="1">{#N/A,#N/A,FALSE,"단가표지"}</definedName>
    <definedName name="ㅎㅇㄹ홍ㄴ로_2" localSheetId="5" hidden="1">{#N/A,#N/A,FALSE,"단가표지"}</definedName>
    <definedName name="ㅎㅇㄹ홍ㄴ로_2" hidden="1">{#N/A,#N/A,FALSE,"단가표지"}</definedName>
    <definedName name="ㅎㅇㄹ홍ㄴ로_3" localSheetId="5" hidden="1">{#N/A,#N/A,FALSE,"단가표지"}</definedName>
    <definedName name="ㅎㅇㄹ홍ㄴ로_3" hidden="1">{#N/A,#N/A,FALSE,"단가표지"}</definedName>
    <definedName name="ㅎㅇㄹ홍ㄴ로_4" localSheetId="5" hidden="1">{#N/A,#N/A,FALSE,"단가표지"}</definedName>
    <definedName name="ㅎㅇㄹ홍ㄴ로_4" hidden="1">{#N/A,#N/A,FALSE,"단가표지"}</definedName>
    <definedName name="ㅎㅇㄹ홍ㄴ로_5" localSheetId="5" hidden="1">{#N/A,#N/A,FALSE,"단가표지"}</definedName>
    <definedName name="ㅎㅇㄹ홍ㄴ로_5" hidden="1">{#N/A,#N/A,FALSE,"단가표지"}</definedName>
    <definedName name="ㅎㅇㄻㅎㅁㅇ" localSheetId="5" hidden="1">{#N/A,#N/A,FALSE,"혼합골재"}</definedName>
    <definedName name="ㅎㅇㄻㅎㅁㅇ" hidden="1">{#N/A,#N/A,FALSE,"혼합골재"}</definedName>
    <definedName name="ㅎㅇㄻㅎㅁㅇ_1" localSheetId="5" hidden="1">{#N/A,#N/A,FALSE,"혼합골재"}</definedName>
    <definedName name="ㅎㅇㄻㅎㅁㅇ_1" hidden="1">{#N/A,#N/A,FALSE,"혼합골재"}</definedName>
    <definedName name="ㅎㅇㄻㅎㅁㅇ_2" localSheetId="5" hidden="1">{#N/A,#N/A,FALSE,"혼합골재"}</definedName>
    <definedName name="ㅎㅇㄻㅎㅁㅇ_2" hidden="1">{#N/A,#N/A,FALSE,"혼합골재"}</definedName>
    <definedName name="ㅎㅇㄻㅎㅁㅇ_3" localSheetId="5" hidden="1">{#N/A,#N/A,FALSE,"혼합골재"}</definedName>
    <definedName name="ㅎㅇㄻㅎㅁㅇ_3" hidden="1">{#N/A,#N/A,FALSE,"혼합골재"}</definedName>
    <definedName name="ㅎㅇㄻㅎㅁㅇ_4" localSheetId="5" hidden="1">{#N/A,#N/A,FALSE,"혼합골재"}</definedName>
    <definedName name="ㅎㅇㄻㅎㅁㅇ_4" hidden="1">{#N/A,#N/A,FALSE,"혼합골재"}</definedName>
    <definedName name="ㅎㅇㄻㅎㅁㅇ_5" localSheetId="5" hidden="1">{#N/A,#N/A,FALSE,"혼합골재"}</definedName>
    <definedName name="ㅎㅇㄻㅎㅁㅇ_5" hidden="1">{#N/A,#N/A,FALSE,"혼합골재"}</definedName>
    <definedName name="ㅎㅇㄻㅎㅁㅎㅁㅇ" localSheetId="5" hidden="1">{#N/A,#N/A,FALSE,"운반시간"}</definedName>
    <definedName name="ㅎㅇㄻㅎㅁㅎㅁㅇ" hidden="1">{#N/A,#N/A,FALSE,"운반시간"}</definedName>
    <definedName name="ㅎㅇㄻㅎㅁㅎㅁㅇ_1" localSheetId="5" hidden="1">{#N/A,#N/A,FALSE,"운반시간"}</definedName>
    <definedName name="ㅎㅇㄻㅎㅁㅎㅁㅇ_1" hidden="1">{#N/A,#N/A,FALSE,"운반시간"}</definedName>
    <definedName name="ㅎㅇㄻㅎㅁㅎㅁㅇ_2" localSheetId="5" hidden="1">{#N/A,#N/A,FALSE,"운반시간"}</definedName>
    <definedName name="ㅎㅇㄻㅎㅁㅎㅁㅇ_2" hidden="1">{#N/A,#N/A,FALSE,"운반시간"}</definedName>
    <definedName name="ㅎㅇㄻㅎㅁㅎㅁㅇ_3" localSheetId="5" hidden="1">{#N/A,#N/A,FALSE,"운반시간"}</definedName>
    <definedName name="ㅎㅇㄻㅎㅁㅎㅁㅇ_3" hidden="1">{#N/A,#N/A,FALSE,"운반시간"}</definedName>
    <definedName name="ㅎㅇㄻㅎㅁㅎㅁㅇ_4" localSheetId="5" hidden="1">{#N/A,#N/A,FALSE,"운반시간"}</definedName>
    <definedName name="ㅎㅇㄻㅎㅁㅎㅁㅇ_4" hidden="1">{#N/A,#N/A,FALSE,"운반시간"}</definedName>
    <definedName name="ㅎㅇㄻㅎㅁㅎㅁㅇ_5" localSheetId="5" hidden="1">{#N/A,#N/A,FALSE,"운반시간"}</definedName>
    <definedName name="ㅎㅇㄻㅎㅁㅎㅁㅇ_5" hidden="1">{#N/A,#N/A,FALSE,"운반시간"}</definedName>
    <definedName name="ㅎㅇㅀ" localSheetId="5" hidden="1">{#N/A,#N/A,FALSE,"단가표지"}</definedName>
    <definedName name="ㅎㅇㅀ" hidden="1">{#N/A,#N/A,FALSE,"단가표지"}</definedName>
    <definedName name="ㅎㅇㅀ_1" localSheetId="5" hidden="1">{#N/A,#N/A,FALSE,"단가표지"}</definedName>
    <definedName name="ㅎㅇㅀ_1" hidden="1">{#N/A,#N/A,FALSE,"단가표지"}</definedName>
    <definedName name="ㅎㅇㅀ_2" localSheetId="5" hidden="1">{#N/A,#N/A,FALSE,"단가표지"}</definedName>
    <definedName name="ㅎㅇㅀ_2" hidden="1">{#N/A,#N/A,FALSE,"단가표지"}</definedName>
    <definedName name="ㅎㅇㅀ_3" localSheetId="5" hidden="1">{#N/A,#N/A,FALSE,"단가표지"}</definedName>
    <definedName name="ㅎㅇㅀ_3" hidden="1">{#N/A,#N/A,FALSE,"단가표지"}</definedName>
    <definedName name="ㅎㅇㅀ_4" localSheetId="5" hidden="1">{#N/A,#N/A,FALSE,"단가표지"}</definedName>
    <definedName name="ㅎㅇㅀ_4" hidden="1">{#N/A,#N/A,FALSE,"단가표지"}</definedName>
    <definedName name="ㅎㅇㅀ_5" localSheetId="5" hidden="1">{#N/A,#N/A,FALSE,"단가표지"}</definedName>
    <definedName name="ㅎㅇㅀ_5" hidden="1">{#N/A,#N/A,FALSE,"단가표지"}</definedName>
    <definedName name="ㅎㅇㅀㄴ" localSheetId="5" hidden="1">{#N/A,#N/A,FALSE,"골재소요량";#N/A,#N/A,FALSE,"골재소요량"}</definedName>
    <definedName name="ㅎㅇㅀㄴ" hidden="1">{#N/A,#N/A,FALSE,"골재소요량";#N/A,#N/A,FALSE,"골재소요량"}</definedName>
    <definedName name="ㅎㅇㅀㄴ_1" localSheetId="5" hidden="1">{#N/A,#N/A,FALSE,"골재소요량";#N/A,#N/A,FALSE,"골재소요량"}</definedName>
    <definedName name="ㅎㅇㅀㄴ_1" hidden="1">{#N/A,#N/A,FALSE,"골재소요량";#N/A,#N/A,FALSE,"골재소요량"}</definedName>
    <definedName name="ㅎㅇㅀㄴ_2" localSheetId="5" hidden="1">{#N/A,#N/A,FALSE,"골재소요량";#N/A,#N/A,FALSE,"골재소요량"}</definedName>
    <definedName name="ㅎㅇㅀㄴ_2" hidden="1">{#N/A,#N/A,FALSE,"골재소요량";#N/A,#N/A,FALSE,"골재소요량"}</definedName>
    <definedName name="ㅎㅇㅀㄴ_3" localSheetId="5" hidden="1">{#N/A,#N/A,FALSE,"골재소요량";#N/A,#N/A,FALSE,"골재소요량"}</definedName>
    <definedName name="ㅎㅇㅀㄴ_3" hidden="1">{#N/A,#N/A,FALSE,"골재소요량";#N/A,#N/A,FALSE,"골재소요량"}</definedName>
    <definedName name="ㅎㅇㅀㄴ_4" localSheetId="5" hidden="1">{#N/A,#N/A,FALSE,"골재소요량";#N/A,#N/A,FALSE,"골재소요량"}</definedName>
    <definedName name="ㅎㅇㅀㄴ_4" hidden="1">{#N/A,#N/A,FALSE,"골재소요량";#N/A,#N/A,FALSE,"골재소요량"}</definedName>
    <definedName name="ㅎㅇㅀㄴ_5" localSheetId="5" hidden="1">{#N/A,#N/A,FALSE,"골재소요량";#N/A,#N/A,FALSE,"골재소요량"}</definedName>
    <definedName name="ㅎㅇㅀㄴ_5" hidden="1">{#N/A,#N/A,FALSE,"골재소요량";#N/A,#N/A,FALSE,"골재소요량"}</definedName>
    <definedName name="ㅎㅇㅀㅁㅇㅎㅁㅇ" localSheetId="5" hidden="1">{#N/A,#N/A,FALSE,"단가표지"}</definedName>
    <definedName name="ㅎㅇㅀㅁㅇㅎㅁㅇ" hidden="1">{#N/A,#N/A,FALSE,"단가표지"}</definedName>
    <definedName name="ㅎㅇㅀㅁㅇㅎㅁㅇ_1" localSheetId="5" hidden="1">{#N/A,#N/A,FALSE,"단가표지"}</definedName>
    <definedName name="ㅎㅇㅀㅁㅇㅎㅁㅇ_1" hidden="1">{#N/A,#N/A,FALSE,"단가표지"}</definedName>
    <definedName name="ㅎㅇㅀㅁㅇㅎㅁㅇ_2" localSheetId="5" hidden="1">{#N/A,#N/A,FALSE,"단가표지"}</definedName>
    <definedName name="ㅎㅇㅀㅁㅇㅎㅁㅇ_2" hidden="1">{#N/A,#N/A,FALSE,"단가표지"}</definedName>
    <definedName name="ㅎㅇㅀㅁㅇㅎㅁㅇ_3" localSheetId="5" hidden="1">{#N/A,#N/A,FALSE,"단가표지"}</definedName>
    <definedName name="ㅎㅇㅀㅁㅇㅎㅁㅇ_3" hidden="1">{#N/A,#N/A,FALSE,"단가표지"}</definedName>
    <definedName name="ㅎㅇㅀㅁㅇㅎㅁㅇ_4" localSheetId="5" hidden="1">{#N/A,#N/A,FALSE,"단가표지"}</definedName>
    <definedName name="ㅎㅇㅀㅁㅇㅎㅁㅇ_4" hidden="1">{#N/A,#N/A,FALSE,"단가표지"}</definedName>
    <definedName name="ㅎㅇㅀㅁㅇㅎㅁㅇ_5" localSheetId="5" hidden="1">{#N/A,#N/A,FALSE,"단가표지"}</definedName>
    <definedName name="ㅎㅇㅀㅁㅇㅎㅁㅇ_5" hidden="1">{#N/A,#N/A,FALSE,"단가표지"}</definedName>
    <definedName name="ㅎㅇㅀㅇㅀ" localSheetId="5" hidden="1">{#N/A,#N/A,FALSE,"표지목차"}</definedName>
    <definedName name="ㅎㅇㅀㅇㅀ" hidden="1">{#N/A,#N/A,FALSE,"표지목차"}</definedName>
    <definedName name="ㅎㅇㅀㅇㅀ_1" localSheetId="5" hidden="1">{#N/A,#N/A,FALSE,"표지목차"}</definedName>
    <definedName name="ㅎㅇㅀㅇㅀ_1" hidden="1">{#N/A,#N/A,FALSE,"표지목차"}</definedName>
    <definedName name="ㅎㅇㅀㅇㅀ_2" localSheetId="5" hidden="1">{#N/A,#N/A,FALSE,"표지목차"}</definedName>
    <definedName name="ㅎㅇㅀㅇㅀ_2" hidden="1">{#N/A,#N/A,FALSE,"표지목차"}</definedName>
    <definedName name="ㅎㅇㅀㅇㅀ_3" localSheetId="5" hidden="1">{#N/A,#N/A,FALSE,"표지목차"}</definedName>
    <definedName name="ㅎㅇㅀㅇㅀ_3" hidden="1">{#N/A,#N/A,FALSE,"표지목차"}</definedName>
    <definedName name="ㅎㅇㅀㅇㅀ_4" localSheetId="5" hidden="1">{#N/A,#N/A,FALSE,"표지목차"}</definedName>
    <definedName name="ㅎㅇㅀㅇㅀ_4" hidden="1">{#N/A,#N/A,FALSE,"표지목차"}</definedName>
    <definedName name="ㅎㅇㅀㅇㅀ_5" localSheetId="5" hidden="1">{#N/A,#N/A,FALSE,"표지목차"}</definedName>
    <definedName name="ㅎㅇㅀㅇㅀ_5" hidden="1">{#N/A,#N/A,FALSE,"표지목차"}</definedName>
    <definedName name="ㅎㅇㅀㅇㅀㅇ" localSheetId="5" hidden="1">{#N/A,#N/A,FALSE,"표지목차"}</definedName>
    <definedName name="ㅎㅇㅀㅇㅀㅇ" hidden="1">{#N/A,#N/A,FALSE,"표지목차"}</definedName>
    <definedName name="ㅎㅇㅀㅇㅀㅇ_1" localSheetId="5" hidden="1">{#N/A,#N/A,FALSE,"표지목차"}</definedName>
    <definedName name="ㅎㅇㅀㅇㅀㅇ_1" hidden="1">{#N/A,#N/A,FALSE,"표지목차"}</definedName>
    <definedName name="ㅎㅇㅀㅇㅀㅇ_2" localSheetId="5" hidden="1">{#N/A,#N/A,FALSE,"표지목차"}</definedName>
    <definedName name="ㅎㅇㅀㅇㅀㅇ_2" hidden="1">{#N/A,#N/A,FALSE,"표지목차"}</definedName>
    <definedName name="ㅎㅇㅀㅇㅀㅇ_3" localSheetId="5" hidden="1">{#N/A,#N/A,FALSE,"표지목차"}</definedName>
    <definedName name="ㅎㅇㅀㅇㅀㅇ_3" hidden="1">{#N/A,#N/A,FALSE,"표지목차"}</definedName>
    <definedName name="ㅎㅇㅀㅇㅀㅇ_4" localSheetId="5" hidden="1">{#N/A,#N/A,FALSE,"표지목차"}</definedName>
    <definedName name="ㅎㅇㅀㅇㅀㅇ_4" hidden="1">{#N/A,#N/A,FALSE,"표지목차"}</definedName>
    <definedName name="ㅎㅇㅀㅇㅀㅇ_5" localSheetId="5" hidden="1">{#N/A,#N/A,FALSE,"표지목차"}</definedName>
    <definedName name="ㅎㅇㅀㅇㅀㅇ_5" hidden="1">{#N/A,#N/A,FALSE,"표지목차"}</definedName>
    <definedName name="ㅎㅇㅁㄴㄹ" localSheetId="5" hidden="1">{#N/A,#N/A,FALSE,"운반시간"}</definedName>
    <definedName name="ㅎㅇㅁㄴㄹ" hidden="1">{#N/A,#N/A,FALSE,"운반시간"}</definedName>
    <definedName name="ㅎㅇㅁㄴㄹ_1" localSheetId="5" hidden="1">{#N/A,#N/A,FALSE,"운반시간"}</definedName>
    <definedName name="ㅎㅇㅁㄴㄹ_1" hidden="1">{#N/A,#N/A,FALSE,"운반시간"}</definedName>
    <definedName name="ㅎㅇㅁㄴㄹ_2" localSheetId="5" hidden="1">{#N/A,#N/A,FALSE,"운반시간"}</definedName>
    <definedName name="ㅎㅇㅁㄴㄹ_2" hidden="1">{#N/A,#N/A,FALSE,"운반시간"}</definedName>
    <definedName name="ㅎㅇㅁㄴㄹ_3" localSheetId="5" hidden="1">{#N/A,#N/A,FALSE,"운반시간"}</definedName>
    <definedName name="ㅎㅇㅁㄴㄹ_3" hidden="1">{#N/A,#N/A,FALSE,"운반시간"}</definedName>
    <definedName name="ㅎㅇㅁㄴㄹ_4" localSheetId="5" hidden="1">{#N/A,#N/A,FALSE,"운반시간"}</definedName>
    <definedName name="ㅎㅇㅁㄴㄹ_4" hidden="1">{#N/A,#N/A,FALSE,"운반시간"}</definedName>
    <definedName name="ㅎㅇㅁㄴㄹ_5" localSheetId="5" hidden="1">{#N/A,#N/A,FALSE,"운반시간"}</definedName>
    <definedName name="ㅎㅇㅁㄴㄹ_5" hidden="1">{#N/A,#N/A,FALSE,"운반시간"}</definedName>
    <definedName name="ㅎㅇㅁㅀㅁㅇ" localSheetId="5" hidden="1">{#N/A,#N/A,FALSE,"단가표지"}</definedName>
    <definedName name="ㅎㅇㅁㅀㅁㅇ" hidden="1">{#N/A,#N/A,FALSE,"단가표지"}</definedName>
    <definedName name="ㅎㅇㅁㅀㅁㅇ_1" localSheetId="5" hidden="1">{#N/A,#N/A,FALSE,"단가표지"}</definedName>
    <definedName name="ㅎㅇㅁㅀㅁㅇ_1" hidden="1">{#N/A,#N/A,FALSE,"단가표지"}</definedName>
    <definedName name="ㅎㅇㅁㅀㅁㅇ_2" localSheetId="5" hidden="1">{#N/A,#N/A,FALSE,"단가표지"}</definedName>
    <definedName name="ㅎㅇㅁㅀㅁㅇ_2" hidden="1">{#N/A,#N/A,FALSE,"단가표지"}</definedName>
    <definedName name="ㅎㅇㅁㅀㅁㅇ_3" localSheetId="5" hidden="1">{#N/A,#N/A,FALSE,"단가표지"}</definedName>
    <definedName name="ㅎㅇㅁㅀㅁㅇ_3" hidden="1">{#N/A,#N/A,FALSE,"단가표지"}</definedName>
    <definedName name="ㅎㅇㅁㅀㅁㅇ_4" localSheetId="5" hidden="1">{#N/A,#N/A,FALSE,"단가표지"}</definedName>
    <definedName name="ㅎㅇㅁㅀㅁㅇ_4" hidden="1">{#N/A,#N/A,FALSE,"단가표지"}</definedName>
    <definedName name="ㅎㅇㅁㅀㅁㅇ_5" localSheetId="5" hidden="1">{#N/A,#N/A,FALSE,"단가표지"}</definedName>
    <definedName name="ㅎㅇㅁㅀㅁㅇ_5" hidden="1">{#N/A,#N/A,FALSE,"단가표지"}</definedName>
    <definedName name="ㅎㅎ" localSheetId="5" hidden="1">{"'별표'!$N$220"}</definedName>
    <definedName name="ㅎㅎ" hidden="1">{"'별표'!$N$220"}</definedName>
    <definedName name="ㅎㅎㅎㅎ" localSheetId="5" hidden="1">{"'장비'!$A$3:$M$12"}</definedName>
    <definedName name="ㅎㅎㅎㅎ" localSheetId="9" hidden="1">{"'장비'!$A$3:$M$12"}</definedName>
    <definedName name="ㅎㅎㅎㅎ" localSheetId="10" hidden="1">{"'장비'!$A$3:$M$12"}</definedName>
    <definedName name="ㅎㅎㅎㅎ" localSheetId="6" hidden="1">{"'장비'!$A$3:$M$12"}</definedName>
    <definedName name="ㅎㅎㅎㅎ" localSheetId="3" hidden="1">{"'장비'!$A$3:$M$12"}</definedName>
    <definedName name="ㅎㅎㅎㅎ" hidden="1">{"'장비'!$A$3:$M$12"}</definedName>
    <definedName name="ㅎㅎㅎㅎ_1" localSheetId="5" hidden="1">{"'장비'!$A$3:$M$12"}</definedName>
    <definedName name="ㅎㅎㅎㅎ_1" localSheetId="9" hidden="1">{"'장비'!$A$3:$M$12"}</definedName>
    <definedName name="ㅎㅎㅎㅎ_1" localSheetId="10" hidden="1">{"'장비'!$A$3:$M$12"}</definedName>
    <definedName name="ㅎㅎㅎㅎ_1" localSheetId="6" hidden="1">{"'장비'!$A$3:$M$12"}</definedName>
    <definedName name="ㅎㅎㅎㅎ_1" localSheetId="3" hidden="1">{"'장비'!$A$3:$M$12"}</definedName>
    <definedName name="ㅎㅎㅎㅎ_1" hidden="1">{"'장비'!$A$3:$M$12"}</definedName>
    <definedName name="하" localSheetId="5" hidden="1">{#N/A,#N/A,FALSE,"지침";#N/A,#N/A,FALSE,"환경분석";#N/A,#N/A,FALSE,"Sheet16"}</definedName>
    <definedName name="하" hidden="1">{#N/A,#N/A,FALSE,"지침";#N/A,#N/A,FALSE,"환경분석";#N/A,#N/A,FALSE,"Sheet16"}</definedName>
    <definedName name="하_1" localSheetId="5" hidden="1">{#N/A,#N/A,FALSE,"지침";#N/A,#N/A,FALSE,"환경분석";#N/A,#N/A,FALSE,"Sheet16"}</definedName>
    <definedName name="하_1" hidden="1">{#N/A,#N/A,FALSE,"지침";#N/A,#N/A,FALSE,"환경분석";#N/A,#N/A,FALSE,"Sheet16"}</definedName>
    <definedName name="하_2" localSheetId="5" hidden="1">{#N/A,#N/A,FALSE,"지침";#N/A,#N/A,FALSE,"환경분석";#N/A,#N/A,FALSE,"Sheet16"}</definedName>
    <definedName name="하_2" hidden="1">{#N/A,#N/A,FALSE,"지침";#N/A,#N/A,FALSE,"환경분석";#N/A,#N/A,FALSE,"Sheet16"}</definedName>
    <definedName name="하_3" localSheetId="5" hidden="1">{#N/A,#N/A,FALSE,"지침";#N/A,#N/A,FALSE,"환경분석";#N/A,#N/A,FALSE,"Sheet16"}</definedName>
    <definedName name="하_3" hidden="1">{#N/A,#N/A,FALSE,"지침";#N/A,#N/A,FALSE,"환경분석";#N/A,#N/A,FALSE,"Sheet16"}</definedName>
    <definedName name="하_4" localSheetId="5" hidden="1">{#N/A,#N/A,FALSE,"지침";#N/A,#N/A,FALSE,"환경분석";#N/A,#N/A,FALSE,"Sheet16"}</definedName>
    <definedName name="하_4" hidden="1">{#N/A,#N/A,FALSE,"지침";#N/A,#N/A,FALSE,"환경분석";#N/A,#N/A,FALSE,"Sheet16"}</definedName>
    <definedName name="하_5" localSheetId="5" hidden="1">{#N/A,#N/A,FALSE,"지침";#N/A,#N/A,FALSE,"환경분석";#N/A,#N/A,FALSE,"Sheet16"}</definedName>
    <definedName name="하_5" hidden="1">{#N/A,#N/A,FALSE,"지침";#N/A,#N/A,FALSE,"환경분석";#N/A,#N/A,FALSE,"Sheet16"}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5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_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이얀" localSheetId="5" hidden="1">{#N/A,#N/A,FALSE,"이태원철근"}</definedName>
    <definedName name="하이얀" hidden="1">{#N/A,#N/A,FALSE,"이태원철근"}</definedName>
    <definedName name="하하" localSheetId="5" hidden="1">{"LKD",#N/A,FALSE,"표지"}</definedName>
    <definedName name="하하" hidden="1">{"LKD",#N/A,FALSE,"표지"}</definedName>
    <definedName name="하하_1" localSheetId="5" hidden="1">{"LKD",#N/A,FALSE,"표지"}</definedName>
    <definedName name="하하_1" hidden="1">{"LKD",#N/A,FALSE,"표지"}</definedName>
    <definedName name="하하_2" localSheetId="5" hidden="1">{"LKD",#N/A,FALSE,"표지"}</definedName>
    <definedName name="하하_2" hidden="1">{"LKD",#N/A,FALSE,"표지"}</definedName>
    <definedName name="하하_3" localSheetId="5" hidden="1">{"LKD",#N/A,FALSE,"표지"}</definedName>
    <definedName name="하하_3" hidden="1">{"LKD",#N/A,FALSE,"표지"}</definedName>
    <definedName name="하하_4" localSheetId="5" hidden="1">{"LKD",#N/A,FALSE,"표지"}</definedName>
    <definedName name="하하_4" hidden="1">{"LKD",#N/A,FALSE,"표지"}</definedName>
    <definedName name="하하_5" localSheetId="5" hidden="1">{"LKD",#N/A,FALSE,"표지"}</definedName>
    <definedName name="하하_5" hidden="1">{"LKD",#N/A,FALSE,"표지"}</definedName>
    <definedName name="할" localSheetId="5" hidden="1">{"'Sheet1'!$L$16"}</definedName>
    <definedName name="할" localSheetId="9" hidden="1">{"'Sheet1'!$L$16"}</definedName>
    <definedName name="할" localSheetId="10" hidden="1">{"'Sheet1'!$L$16"}</definedName>
    <definedName name="할" localSheetId="6" hidden="1">{"'Sheet1'!$L$16"}</definedName>
    <definedName name="할" localSheetId="3" hidden="1">{"LKD",#N/A,FALSE,"표지"}</definedName>
    <definedName name="할" hidden="1">{"'Sheet1'!$L$16"}</definedName>
    <definedName name="할_1" localSheetId="5" hidden="1">{"LKD",#N/A,FALSE,"표지"}</definedName>
    <definedName name="할_1" hidden="1">{"LKD",#N/A,FALSE,"표지"}</definedName>
    <definedName name="할_2" localSheetId="5" hidden="1">{"LKD",#N/A,FALSE,"표지"}</definedName>
    <definedName name="할_2" hidden="1">{"LKD",#N/A,FALSE,"표지"}</definedName>
    <definedName name="할_3" localSheetId="5" hidden="1">{"LKD",#N/A,FALSE,"표지"}</definedName>
    <definedName name="할_3" hidden="1">{"LKD",#N/A,FALSE,"표지"}</definedName>
    <definedName name="할_4" localSheetId="5" hidden="1">{"LKD",#N/A,FALSE,"표지"}</definedName>
    <definedName name="할_4" hidden="1">{"LKD",#N/A,FALSE,"표지"}</definedName>
    <definedName name="할_5" localSheetId="5" hidden="1">{"LKD",#N/A,FALSE,"표지"}</definedName>
    <definedName name="할_5" hidden="1">{"LKD",#N/A,FALSE,"표지"}</definedName>
    <definedName name="합계표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1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2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2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3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3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4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5" localSheetId="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합계표_5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항" localSheetId="5" hidden="1">{"'Sheet1'!$L$16"}</definedName>
    <definedName name="항" localSheetId="9" hidden="1">{"'Sheet1'!$L$16"}</definedName>
    <definedName name="항" localSheetId="10" hidden="1">{"'Sheet1'!$L$16"}</definedName>
    <definedName name="항" localSheetId="6" hidden="1">{"'Sheet1'!$L$16"}</definedName>
    <definedName name="항" localSheetId="3" hidden="1">{"'Sheet1'!$L$16"}</definedName>
    <definedName name="항" hidden="1">{"'Sheet1'!$L$16"}</definedName>
    <definedName name="현대코아공통비" hidden="1">#REF!</definedName>
    <definedName name="현장" hidden="1">#REF!</definedName>
    <definedName name="현장주변사진" localSheetId="5" hidden="1">{#N/A,#N/A,FALSE,"이태원철근"}</definedName>
    <definedName name="현장주변사진" hidden="1">{#N/A,#N/A,FALSE,"이태원철근"}</definedName>
    <definedName name="현황" localSheetId="5" hidden="1">{#N/A,#N/A,FALSE,"이태원철근"}</definedName>
    <definedName name="현황" hidden="1">{#N/A,#N/A,FALSE,"이태원철근"}</definedName>
    <definedName name="협력업체사무실" localSheetId="5" hidden="1">{"'용역비'!$A$4:$C$8"}</definedName>
    <definedName name="협력업체사무실" hidden="1">{"'용역비'!$A$4:$C$8"}</definedName>
    <definedName name="협조전" hidden="1">#REF!</definedName>
    <definedName name="호가" localSheetId="5" hidden="1">{"LKD",#N/A,FALSE,"표지"}</definedName>
    <definedName name="호가" hidden="1">{"LKD",#N/A,FALSE,"표지"}</definedName>
    <definedName name="호가_1" localSheetId="5" hidden="1">{"LKD",#N/A,FALSE,"표지"}</definedName>
    <definedName name="호가_1" hidden="1">{"LKD",#N/A,FALSE,"표지"}</definedName>
    <definedName name="호가_2" localSheetId="5" hidden="1">{"LKD",#N/A,FALSE,"표지"}</definedName>
    <definedName name="호가_2" hidden="1">{"LKD",#N/A,FALSE,"표지"}</definedName>
    <definedName name="호가_3" localSheetId="5" hidden="1">{"LKD",#N/A,FALSE,"표지"}</definedName>
    <definedName name="호가_3" hidden="1">{"LKD",#N/A,FALSE,"표지"}</definedName>
    <definedName name="호가_4" localSheetId="5" hidden="1">{"LKD",#N/A,FALSE,"표지"}</definedName>
    <definedName name="호가_4" hidden="1">{"LKD",#N/A,FALSE,"표지"}</definedName>
    <definedName name="호가_5" localSheetId="5" hidden="1">{"LKD",#N/A,FALSE,"표지"}</definedName>
    <definedName name="호가_5" hidden="1">{"LKD",#N/A,FALSE,"표지"}</definedName>
    <definedName name="호우" localSheetId="5" hidden="1">{#N/A,#N/A,FALSE,"표지목차"}</definedName>
    <definedName name="호우" hidden="1">{#N/A,#N/A,FALSE,"표지목차"}</definedName>
    <definedName name="호우_1" localSheetId="5" hidden="1">{#N/A,#N/A,FALSE,"표지목차"}</definedName>
    <definedName name="호우_1" hidden="1">{#N/A,#N/A,FALSE,"표지목차"}</definedName>
    <definedName name="호우_2" localSheetId="5" hidden="1">{#N/A,#N/A,FALSE,"표지목차"}</definedName>
    <definedName name="호우_2" hidden="1">{#N/A,#N/A,FALSE,"표지목차"}</definedName>
    <definedName name="호우_3" localSheetId="5" hidden="1">{#N/A,#N/A,FALSE,"표지목차"}</definedName>
    <definedName name="호우_3" hidden="1">{#N/A,#N/A,FALSE,"표지목차"}</definedName>
    <definedName name="호우_4" localSheetId="5" hidden="1">{#N/A,#N/A,FALSE,"표지목차"}</definedName>
    <definedName name="호우_4" hidden="1">{#N/A,#N/A,FALSE,"표지목차"}</definedName>
    <definedName name="호우_5" localSheetId="5" hidden="1">{#N/A,#N/A,FALSE,"표지목차"}</definedName>
    <definedName name="호우_5" hidden="1">{#N/A,#N/A,FALSE,"표지목차"}</definedName>
    <definedName name="호우ㅗ" localSheetId="5" hidden="1">{#N/A,#N/A,FALSE,"단가표지"}</definedName>
    <definedName name="호우ㅗ" hidden="1">{#N/A,#N/A,FALSE,"단가표지"}</definedName>
    <definedName name="호우ㅗ_1" localSheetId="5" hidden="1">{#N/A,#N/A,FALSE,"단가표지"}</definedName>
    <definedName name="호우ㅗ_1" hidden="1">{#N/A,#N/A,FALSE,"단가표지"}</definedName>
    <definedName name="호우ㅗ_2" localSheetId="5" hidden="1">{#N/A,#N/A,FALSE,"단가표지"}</definedName>
    <definedName name="호우ㅗ_2" hidden="1">{#N/A,#N/A,FALSE,"단가표지"}</definedName>
    <definedName name="호우ㅗ_3" localSheetId="5" hidden="1">{#N/A,#N/A,FALSE,"단가표지"}</definedName>
    <definedName name="호우ㅗ_3" hidden="1">{#N/A,#N/A,FALSE,"단가표지"}</definedName>
    <definedName name="호우ㅗ_4" localSheetId="5" hidden="1">{#N/A,#N/A,FALSE,"단가표지"}</definedName>
    <definedName name="호우ㅗ_4" hidden="1">{#N/A,#N/A,FALSE,"단가표지"}</definedName>
    <definedName name="호우ㅗ_5" localSheetId="5" hidden="1">{#N/A,#N/A,FALSE,"단가표지"}</definedName>
    <definedName name="호우ㅗ_5" hidden="1">{#N/A,#N/A,FALSE,"단가표지"}</definedName>
    <definedName name="호ㅓ" hidden="1">#REF!</definedName>
    <definedName name="호ㅓㅎ" localSheetId="5" hidden="1">{#N/A,#N/A,FALSE,"표지목차"}</definedName>
    <definedName name="호ㅓㅎ" hidden="1">{#N/A,#N/A,FALSE,"표지목차"}</definedName>
    <definedName name="호ㅓㅎ_1" localSheetId="5" hidden="1">{#N/A,#N/A,FALSE,"표지목차"}</definedName>
    <definedName name="호ㅓㅎ_1" hidden="1">{#N/A,#N/A,FALSE,"표지목차"}</definedName>
    <definedName name="호ㅓㅎ_2" localSheetId="5" hidden="1">{#N/A,#N/A,FALSE,"표지목차"}</definedName>
    <definedName name="호ㅓㅎ_2" hidden="1">{#N/A,#N/A,FALSE,"표지목차"}</definedName>
    <definedName name="호ㅓㅎ_3" localSheetId="5" hidden="1">{#N/A,#N/A,FALSE,"표지목차"}</definedName>
    <definedName name="호ㅓㅎ_3" hidden="1">{#N/A,#N/A,FALSE,"표지목차"}</definedName>
    <definedName name="호ㅓㅎ_4" localSheetId="5" hidden="1">{#N/A,#N/A,FALSE,"표지목차"}</definedName>
    <definedName name="호ㅓㅎ_4" hidden="1">{#N/A,#N/A,FALSE,"표지목차"}</definedName>
    <definedName name="호ㅓㅎ_5" localSheetId="5" hidden="1">{#N/A,#N/A,FALSE,"표지목차"}</definedName>
    <definedName name="호ㅓㅎ_5" hidden="1">{#N/A,#N/A,FALSE,"표지목차"}</definedName>
    <definedName name="혼ㄹ" localSheetId="5" hidden="1">{#N/A,#N/A,FALSE,"운반시간"}</definedName>
    <definedName name="혼ㄹ" hidden="1">{#N/A,#N/A,FALSE,"운반시간"}</definedName>
    <definedName name="혼ㄹ_1" localSheetId="5" hidden="1">{#N/A,#N/A,FALSE,"운반시간"}</definedName>
    <definedName name="혼ㄹ_1" hidden="1">{#N/A,#N/A,FALSE,"운반시간"}</definedName>
    <definedName name="혼ㄹ_2" localSheetId="5" hidden="1">{#N/A,#N/A,FALSE,"운반시간"}</definedName>
    <definedName name="혼ㄹ_2" hidden="1">{#N/A,#N/A,FALSE,"운반시간"}</definedName>
    <definedName name="혼ㄹ_3" localSheetId="5" hidden="1">{#N/A,#N/A,FALSE,"운반시간"}</definedName>
    <definedName name="혼ㄹ_3" hidden="1">{#N/A,#N/A,FALSE,"운반시간"}</definedName>
    <definedName name="혼ㄹ_4" localSheetId="5" hidden="1">{#N/A,#N/A,FALSE,"운반시간"}</definedName>
    <definedName name="혼ㄹ_4" hidden="1">{#N/A,#N/A,FALSE,"운반시간"}</definedName>
    <definedName name="혼ㄹ_5" localSheetId="5" hidden="1">{#N/A,#N/A,FALSE,"운반시간"}</definedName>
    <definedName name="혼ㄹ_5" hidden="1">{#N/A,#N/A,FALSE,"운반시간"}</definedName>
    <definedName name="홀ㄴㄺㅅ" localSheetId="5" hidden="1">{#N/A,#N/A,FALSE,"단가표지"}</definedName>
    <definedName name="홀ㄴㄺㅅ" hidden="1">{#N/A,#N/A,FALSE,"단가표지"}</definedName>
    <definedName name="홀ㄴㄺㅅ_1" localSheetId="5" hidden="1">{#N/A,#N/A,FALSE,"단가표지"}</definedName>
    <definedName name="홀ㄴㄺㅅ_1" hidden="1">{#N/A,#N/A,FALSE,"단가표지"}</definedName>
    <definedName name="홀ㄴㄺㅅ_2" localSheetId="5" hidden="1">{#N/A,#N/A,FALSE,"단가표지"}</definedName>
    <definedName name="홀ㄴㄺㅅ_2" hidden="1">{#N/A,#N/A,FALSE,"단가표지"}</definedName>
    <definedName name="홀ㄴㄺㅅ_3" localSheetId="5" hidden="1">{#N/A,#N/A,FALSE,"단가표지"}</definedName>
    <definedName name="홀ㄴㄺㅅ_3" hidden="1">{#N/A,#N/A,FALSE,"단가표지"}</definedName>
    <definedName name="홀ㄴㄺㅅ_4" localSheetId="5" hidden="1">{#N/A,#N/A,FALSE,"단가표지"}</definedName>
    <definedName name="홀ㄴㄺㅅ_4" hidden="1">{#N/A,#N/A,FALSE,"단가표지"}</definedName>
    <definedName name="홀ㄴㄺㅅ_5" localSheetId="5" hidden="1">{#N/A,#N/A,FALSE,"단가표지"}</definedName>
    <definedName name="홀ㄴㄺㅅ_5" hidden="1">{#N/A,#N/A,FALSE,"단가표지"}</definedName>
    <definedName name="홍범표" localSheetId="5" hidden="1">{#N/A,#N/A,FALSE,"이태원철근"}</definedName>
    <definedName name="홍범표" hidden="1">{#N/A,#N/A,FALSE,"이태원철근"}</definedName>
    <definedName name="홓렁호ㅓ호" localSheetId="5" hidden="1">{#N/A,#N/A,FALSE,"단가표지"}</definedName>
    <definedName name="홓렁호ㅓ호" hidden="1">{#N/A,#N/A,FALSE,"단가표지"}</definedName>
    <definedName name="홓렁호ㅓ호_1" localSheetId="5" hidden="1">{#N/A,#N/A,FALSE,"단가표지"}</definedName>
    <definedName name="홓렁호ㅓ호_1" hidden="1">{#N/A,#N/A,FALSE,"단가표지"}</definedName>
    <definedName name="홓렁호ㅓ호_2" localSheetId="5" hidden="1">{#N/A,#N/A,FALSE,"단가표지"}</definedName>
    <definedName name="홓렁호ㅓ호_2" hidden="1">{#N/A,#N/A,FALSE,"단가표지"}</definedName>
    <definedName name="홓렁호ㅓ호_3" localSheetId="5" hidden="1">{#N/A,#N/A,FALSE,"단가표지"}</definedName>
    <definedName name="홓렁호ㅓ호_3" hidden="1">{#N/A,#N/A,FALSE,"단가표지"}</definedName>
    <definedName name="홓렁호ㅓ호_4" localSheetId="5" hidden="1">{#N/A,#N/A,FALSE,"단가표지"}</definedName>
    <definedName name="홓렁호ㅓ호_4" hidden="1">{#N/A,#N/A,FALSE,"단가표지"}</definedName>
    <definedName name="홓렁호ㅓ호_5" localSheetId="5" hidden="1">{#N/A,#N/A,FALSE,"단가표지"}</definedName>
    <definedName name="홓렁호ㅓ호_5" hidden="1">{#N/A,#N/A,FALSE,"단가표지"}</definedName>
    <definedName name="홓로" localSheetId="5" hidden="1">{#N/A,#N/A,FALSE,"단가표지"}</definedName>
    <definedName name="홓로" hidden="1">{#N/A,#N/A,FALSE,"단가표지"}</definedName>
    <definedName name="홓로_1" localSheetId="5" hidden="1">{#N/A,#N/A,FALSE,"단가표지"}</definedName>
    <definedName name="홓로_1" hidden="1">{#N/A,#N/A,FALSE,"단가표지"}</definedName>
    <definedName name="홓로_2" localSheetId="5" hidden="1">{#N/A,#N/A,FALSE,"단가표지"}</definedName>
    <definedName name="홓로_2" hidden="1">{#N/A,#N/A,FALSE,"단가표지"}</definedName>
    <definedName name="홓로_3" localSheetId="5" hidden="1">{#N/A,#N/A,FALSE,"단가표지"}</definedName>
    <definedName name="홓로_3" hidden="1">{#N/A,#N/A,FALSE,"단가표지"}</definedName>
    <definedName name="홓로_4" localSheetId="5" hidden="1">{#N/A,#N/A,FALSE,"단가표지"}</definedName>
    <definedName name="홓로_4" hidden="1">{#N/A,#N/A,FALSE,"단가표지"}</definedName>
    <definedName name="홓로_5" localSheetId="5" hidden="1">{#N/A,#N/A,FALSE,"단가표지"}</definedName>
    <definedName name="홓로_5" hidden="1">{#N/A,#N/A,FALSE,"단가표지"}</definedName>
    <definedName name="화허호ㅓ" localSheetId="5" hidden="1">{#N/A,#N/A,FALSE,"조골재"}</definedName>
    <definedName name="화허호ㅓ" hidden="1">{#N/A,#N/A,FALSE,"조골재"}</definedName>
    <definedName name="화허호ㅓ_1" localSheetId="5" hidden="1">{#N/A,#N/A,FALSE,"조골재"}</definedName>
    <definedName name="화허호ㅓ_1" hidden="1">{#N/A,#N/A,FALSE,"조골재"}</definedName>
    <definedName name="화허호ㅓ_2" localSheetId="5" hidden="1">{#N/A,#N/A,FALSE,"조골재"}</definedName>
    <definedName name="화허호ㅓ_2" hidden="1">{#N/A,#N/A,FALSE,"조골재"}</definedName>
    <definedName name="화허호ㅓ_3" localSheetId="5" hidden="1">{#N/A,#N/A,FALSE,"조골재"}</definedName>
    <definedName name="화허호ㅓ_3" hidden="1">{#N/A,#N/A,FALSE,"조골재"}</definedName>
    <definedName name="화허호ㅓ_4" localSheetId="5" hidden="1">{#N/A,#N/A,FALSE,"조골재"}</definedName>
    <definedName name="화허호ㅓ_4" hidden="1">{#N/A,#N/A,FALSE,"조골재"}</definedName>
    <definedName name="화허호ㅓ_5" localSheetId="5" hidden="1">{#N/A,#N/A,FALSE,"조골재"}</definedName>
    <definedName name="화허호ㅓ_5" hidden="1">{#N/A,#N/A,FALSE,"조골재"}</definedName>
    <definedName name="휻" localSheetId="5" hidden="1">{#N/A,#N/A,FALSE,"이태원철근"}</definedName>
    <definedName name="휻" hidden="1">{#N/A,#N/A,FALSE,"이태원철근"}</definedName>
    <definedName name="ㅏ" localSheetId="5" hidden="1">{#N/A,#N/A,FALSE,"이태원철근"}</definedName>
    <definedName name="ㅏ" hidden="1">{#N/A,#N/A,FALSE,"이태원철근"}</definedName>
    <definedName name="ㅏ1" hidden="1">#REF!</definedName>
    <definedName name="ㅏ허화" localSheetId="5" hidden="1">{#N/A,#N/A,FALSE,"골재소요량";#N/A,#N/A,FALSE,"골재소요량"}</definedName>
    <definedName name="ㅏ허화" hidden="1">{#N/A,#N/A,FALSE,"골재소요량";#N/A,#N/A,FALSE,"골재소요량"}</definedName>
    <definedName name="ㅏ허화_1" localSheetId="5" hidden="1">{#N/A,#N/A,FALSE,"골재소요량";#N/A,#N/A,FALSE,"골재소요량"}</definedName>
    <definedName name="ㅏ허화_1" hidden="1">{#N/A,#N/A,FALSE,"골재소요량";#N/A,#N/A,FALSE,"골재소요량"}</definedName>
    <definedName name="ㅏ허화_2" localSheetId="5" hidden="1">{#N/A,#N/A,FALSE,"골재소요량";#N/A,#N/A,FALSE,"골재소요량"}</definedName>
    <definedName name="ㅏ허화_2" hidden="1">{#N/A,#N/A,FALSE,"골재소요량";#N/A,#N/A,FALSE,"골재소요량"}</definedName>
    <definedName name="ㅏ허화_3" localSheetId="5" hidden="1">{#N/A,#N/A,FALSE,"골재소요량";#N/A,#N/A,FALSE,"골재소요량"}</definedName>
    <definedName name="ㅏ허화_3" hidden="1">{#N/A,#N/A,FALSE,"골재소요량";#N/A,#N/A,FALSE,"골재소요량"}</definedName>
    <definedName name="ㅏ허화_4" localSheetId="5" hidden="1">{#N/A,#N/A,FALSE,"골재소요량";#N/A,#N/A,FALSE,"골재소요량"}</definedName>
    <definedName name="ㅏ허화_4" hidden="1">{#N/A,#N/A,FALSE,"골재소요량";#N/A,#N/A,FALSE,"골재소요량"}</definedName>
    <definedName name="ㅏ허화_5" localSheetId="5" hidden="1">{#N/A,#N/A,FALSE,"골재소요량";#N/A,#N/A,FALSE,"골재소요량"}</definedName>
    <definedName name="ㅏ허화_5" hidden="1">{#N/A,#N/A,FALSE,"골재소요량";#N/A,#N/A,FALSE,"골재소요량"}</definedName>
    <definedName name="ㅏㅏ_1" localSheetId="5" hidden="1">{#N/A,#N/A,TRUE,"총괄"}</definedName>
    <definedName name="ㅏㅏ_1" hidden="1">{#N/A,#N/A,TRUE,"총괄"}</definedName>
    <definedName name="ㅏㅏ_2" localSheetId="5" hidden="1">{#N/A,#N/A,TRUE,"총괄"}</definedName>
    <definedName name="ㅏㅏ_2" hidden="1">{#N/A,#N/A,TRUE,"총괄"}</definedName>
    <definedName name="ㅏㅏ_3" localSheetId="5" hidden="1">{#N/A,#N/A,TRUE,"총괄"}</definedName>
    <definedName name="ㅏㅏ_3" hidden="1">{#N/A,#N/A,TRUE,"총괄"}</definedName>
    <definedName name="ㅏㅏ_4" localSheetId="5" hidden="1">{#N/A,#N/A,TRUE,"총괄"}</definedName>
    <definedName name="ㅏㅏ_4" hidden="1">{#N/A,#N/A,TRUE,"총괄"}</definedName>
    <definedName name="ㅏㅏ_5" localSheetId="5" hidden="1">{#N/A,#N/A,TRUE,"총괄"}</definedName>
    <definedName name="ㅏㅏ_5" hidden="1">{#N/A,#N/A,TRUE,"총괄"}</definedName>
    <definedName name="ㅏㅓ화호" localSheetId="5" hidden="1">{#N/A,#N/A,FALSE,"단가표지"}</definedName>
    <definedName name="ㅏㅓ화호" hidden="1">{#N/A,#N/A,FALSE,"단가표지"}</definedName>
    <definedName name="ㅏㅓ화호_1" localSheetId="5" hidden="1">{#N/A,#N/A,FALSE,"단가표지"}</definedName>
    <definedName name="ㅏㅓ화호_1" hidden="1">{#N/A,#N/A,FALSE,"단가표지"}</definedName>
    <definedName name="ㅏㅓ화호_2" localSheetId="5" hidden="1">{#N/A,#N/A,FALSE,"단가표지"}</definedName>
    <definedName name="ㅏㅓ화호_2" hidden="1">{#N/A,#N/A,FALSE,"단가표지"}</definedName>
    <definedName name="ㅏㅓ화호_3" localSheetId="5" hidden="1">{#N/A,#N/A,FALSE,"단가표지"}</definedName>
    <definedName name="ㅏㅓ화호_3" hidden="1">{#N/A,#N/A,FALSE,"단가표지"}</definedName>
    <definedName name="ㅏㅓ화호_4" localSheetId="5" hidden="1">{#N/A,#N/A,FALSE,"단가표지"}</definedName>
    <definedName name="ㅏㅓ화호_4" hidden="1">{#N/A,#N/A,FALSE,"단가표지"}</definedName>
    <definedName name="ㅏㅓ화호_5" localSheetId="5" hidden="1">{#N/A,#N/A,FALSE,"단가표지"}</definedName>
    <definedName name="ㅏㅓ화호_5" hidden="1">{#N/A,#N/A,FALSE,"단가표지"}</definedName>
    <definedName name="ㅏㅓㅗ라" localSheetId="5" hidden="1">{#N/A,#N/A,FALSE,"골재소요량";#N/A,#N/A,FALSE,"골재소요량"}</definedName>
    <definedName name="ㅏㅓㅗ라" hidden="1">{#N/A,#N/A,FALSE,"골재소요량";#N/A,#N/A,FALSE,"골재소요량"}</definedName>
    <definedName name="ㅏㅓㅗ라_1" localSheetId="5" hidden="1">{#N/A,#N/A,FALSE,"골재소요량";#N/A,#N/A,FALSE,"골재소요량"}</definedName>
    <definedName name="ㅏㅓㅗ라_1" hidden="1">{#N/A,#N/A,FALSE,"골재소요량";#N/A,#N/A,FALSE,"골재소요량"}</definedName>
    <definedName name="ㅏㅓㅗ라_2" localSheetId="5" hidden="1">{#N/A,#N/A,FALSE,"골재소요량";#N/A,#N/A,FALSE,"골재소요량"}</definedName>
    <definedName name="ㅏㅓㅗ라_2" hidden="1">{#N/A,#N/A,FALSE,"골재소요량";#N/A,#N/A,FALSE,"골재소요량"}</definedName>
    <definedName name="ㅏㅓㅗ라_3" localSheetId="5" hidden="1">{#N/A,#N/A,FALSE,"골재소요량";#N/A,#N/A,FALSE,"골재소요량"}</definedName>
    <definedName name="ㅏㅓㅗ라_3" hidden="1">{#N/A,#N/A,FALSE,"골재소요량";#N/A,#N/A,FALSE,"골재소요량"}</definedName>
    <definedName name="ㅏㅓㅗ라_4" localSheetId="5" hidden="1">{#N/A,#N/A,FALSE,"골재소요량";#N/A,#N/A,FALSE,"골재소요량"}</definedName>
    <definedName name="ㅏㅓㅗ라_4" hidden="1">{#N/A,#N/A,FALSE,"골재소요량";#N/A,#N/A,FALSE,"골재소요량"}</definedName>
    <definedName name="ㅏㅓㅗ라_5" localSheetId="5" hidden="1">{#N/A,#N/A,FALSE,"골재소요량";#N/A,#N/A,FALSE,"골재소요량"}</definedName>
    <definedName name="ㅏㅓㅗ라_5" hidden="1">{#N/A,#N/A,FALSE,"골재소요량";#N/A,#N/A,FALSE,"골재소요량"}</definedName>
    <definedName name="ㅏㅓㅗㅎ" localSheetId="5" hidden="1">{#N/A,#N/A,FALSE,"운반시간"}</definedName>
    <definedName name="ㅏㅓㅗㅎ" hidden="1">{#N/A,#N/A,FALSE,"운반시간"}</definedName>
    <definedName name="ㅏㅓㅗㅎ_1" localSheetId="5" hidden="1">{#N/A,#N/A,FALSE,"운반시간"}</definedName>
    <definedName name="ㅏㅓㅗㅎ_1" hidden="1">{#N/A,#N/A,FALSE,"운반시간"}</definedName>
    <definedName name="ㅏㅓㅗㅎ_2" localSheetId="5" hidden="1">{#N/A,#N/A,FALSE,"운반시간"}</definedName>
    <definedName name="ㅏㅓㅗㅎ_2" hidden="1">{#N/A,#N/A,FALSE,"운반시간"}</definedName>
    <definedName name="ㅏㅓㅗㅎ_3" localSheetId="5" hidden="1">{#N/A,#N/A,FALSE,"운반시간"}</definedName>
    <definedName name="ㅏㅓㅗㅎ_3" hidden="1">{#N/A,#N/A,FALSE,"운반시간"}</definedName>
    <definedName name="ㅏㅓㅗㅎ_4" localSheetId="5" hidden="1">{#N/A,#N/A,FALSE,"운반시간"}</definedName>
    <definedName name="ㅏㅓㅗㅎ_4" hidden="1">{#N/A,#N/A,FALSE,"운반시간"}</definedName>
    <definedName name="ㅏㅓㅗㅎ_5" localSheetId="5" hidden="1">{#N/A,#N/A,FALSE,"운반시간"}</definedName>
    <definedName name="ㅏㅓㅗㅎ_5" hidden="1">{#N/A,#N/A,FALSE,"운반시간"}</definedName>
    <definedName name="ㅏㅓㅗㅓ" localSheetId="5" hidden="1">{#N/A,#N/A,FALSE,"운반시간"}</definedName>
    <definedName name="ㅏㅓㅗㅓ" hidden="1">{#N/A,#N/A,FALSE,"운반시간"}</definedName>
    <definedName name="ㅏㅓㅗㅓ_1" localSheetId="5" hidden="1">{#N/A,#N/A,FALSE,"운반시간"}</definedName>
    <definedName name="ㅏㅓㅗㅓ_1" hidden="1">{#N/A,#N/A,FALSE,"운반시간"}</definedName>
    <definedName name="ㅏㅓㅗㅓ_2" localSheetId="5" hidden="1">{#N/A,#N/A,FALSE,"운반시간"}</definedName>
    <definedName name="ㅏㅓㅗㅓ_2" hidden="1">{#N/A,#N/A,FALSE,"운반시간"}</definedName>
    <definedName name="ㅏㅓㅗㅓ_3" localSheetId="5" hidden="1">{#N/A,#N/A,FALSE,"운반시간"}</definedName>
    <definedName name="ㅏㅓㅗㅓ_3" hidden="1">{#N/A,#N/A,FALSE,"운반시간"}</definedName>
    <definedName name="ㅏㅓㅗㅓ_4" localSheetId="5" hidden="1">{#N/A,#N/A,FALSE,"운반시간"}</definedName>
    <definedName name="ㅏㅓㅗㅓ_4" hidden="1">{#N/A,#N/A,FALSE,"운반시간"}</definedName>
    <definedName name="ㅏㅓㅗㅓ_5" localSheetId="5" hidden="1">{#N/A,#N/A,FALSE,"운반시간"}</definedName>
    <definedName name="ㅏㅓㅗㅓ_5" hidden="1">{#N/A,#N/A,FALSE,"운반시간"}</definedName>
    <definedName name="ㅏㅓㅘ허호" localSheetId="5" hidden="1">{#N/A,#N/A,FALSE,"단가표지"}</definedName>
    <definedName name="ㅏㅓㅘ허호" hidden="1">{#N/A,#N/A,FALSE,"단가표지"}</definedName>
    <definedName name="ㅏㅓㅘ허호_1" localSheetId="5" hidden="1">{#N/A,#N/A,FALSE,"단가표지"}</definedName>
    <definedName name="ㅏㅓㅘ허호_1" hidden="1">{#N/A,#N/A,FALSE,"단가표지"}</definedName>
    <definedName name="ㅏㅓㅘ허호_2" localSheetId="5" hidden="1">{#N/A,#N/A,FALSE,"단가표지"}</definedName>
    <definedName name="ㅏㅓㅘ허호_2" hidden="1">{#N/A,#N/A,FALSE,"단가표지"}</definedName>
    <definedName name="ㅏㅓㅘ허호_3" localSheetId="5" hidden="1">{#N/A,#N/A,FALSE,"단가표지"}</definedName>
    <definedName name="ㅏㅓㅘ허호_3" hidden="1">{#N/A,#N/A,FALSE,"단가표지"}</definedName>
    <definedName name="ㅏㅓㅘ허호_4" localSheetId="5" hidden="1">{#N/A,#N/A,FALSE,"단가표지"}</definedName>
    <definedName name="ㅏㅓㅘ허호_4" hidden="1">{#N/A,#N/A,FALSE,"단가표지"}</definedName>
    <definedName name="ㅏㅓㅘ허호_5" localSheetId="5" hidden="1">{#N/A,#N/A,FALSE,"단가표지"}</definedName>
    <definedName name="ㅏㅓㅘ허호_5" hidden="1">{#N/A,#N/A,FALSE,"단가표지"}</definedName>
    <definedName name="ㅏㅗㅓㅏ화호" localSheetId="5" hidden="1">{#N/A,#N/A,FALSE,"표지목차"}</definedName>
    <definedName name="ㅏㅗㅓㅏ화호" hidden="1">{#N/A,#N/A,FALSE,"표지목차"}</definedName>
    <definedName name="ㅏㅗㅓㅏ화호_1" localSheetId="5" hidden="1">{#N/A,#N/A,FALSE,"표지목차"}</definedName>
    <definedName name="ㅏㅗㅓㅏ화호_1" hidden="1">{#N/A,#N/A,FALSE,"표지목차"}</definedName>
    <definedName name="ㅏㅗㅓㅏ화호_2" localSheetId="5" hidden="1">{#N/A,#N/A,FALSE,"표지목차"}</definedName>
    <definedName name="ㅏㅗㅓㅏ화호_2" hidden="1">{#N/A,#N/A,FALSE,"표지목차"}</definedName>
    <definedName name="ㅏㅗㅓㅏ화호_3" localSheetId="5" hidden="1">{#N/A,#N/A,FALSE,"표지목차"}</definedName>
    <definedName name="ㅏㅗㅓㅏ화호_3" hidden="1">{#N/A,#N/A,FALSE,"표지목차"}</definedName>
    <definedName name="ㅏㅗㅓㅏ화호_4" localSheetId="5" hidden="1">{#N/A,#N/A,FALSE,"표지목차"}</definedName>
    <definedName name="ㅏㅗㅓㅏ화호_4" hidden="1">{#N/A,#N/A,FALSE,"표지목차"}</definedName>
    <definedName name="ㅏㅗㅓㅏ화호_5" localSheetId="5" hidden="1">{#N/A,#N/A,FALSE,"표지목차"}</definedName>
    <definedName name="ㅏㅗㅓㅏ화호_5" hidden="1">{#N/A,#N/A,FALSE,"표지목차"}</definedName>
    <definedName name="ㅏㅣ" localSheetId="5" hidden="1">{#N/A,#N/A,FALSE,"단가표지"}</definedName>
    <definedName name="ㅏㅣ" hidden="1">{#N/A,#N/A,FALSE,"단가표지"}</definedName>
    <definedName name="ㅏㅣ_1" localSheetId="5" hidden="1">{#N/A,#N/A,FALSE,"단가표지"}</definedName>
    <definedName name="ㅏㅣ_1" hidden="1">{#N/A,#N/A,FALSE,"단가표지"}</definedName>
    <definedName name="ㅏㅣ_2" localSheetId="5" hidden="1">{#N/A,#N/A,FALSE,"단가표지"}</definedName>
    <definedName name="ㅏㅣ_2" hidden="1">{#N/A,#N/A,FALSE,"단가표지"}</definedName>
    <definedName name="ㅏㅣ_3" localSheetId="5" hidden="1">{#N/A,#N/A,FALSE,"단가표지"}</definedName>
    <definedName name="ㅏㅣ_3" hidden="1">{#N/A,#N/A,FALSE,"단가표지"}</definedName>
    <definedName name="ㅏㅣ_4" localSheetId="5" hidden="1">{#N/A,#N/A,FALSE,"단가표지"}</definedName>
    <definedName name="ㅏㅣ_4" hidden="1">{#N/A,#N/A,FALSE,"단가표지"}</definedName>
    <definedName name="ㅏㅣ_5" localSheetId="5" hidden="1">{#N/A,#N/A,FALSE,"단가표지"}</definedName>
    <definedName name="ㅏㅣ_5" hidden="1">{#N/A,#N/A,FALSE,"단가표지"}</definedName>
    <definedName name="ㅐ" localSheetId="5" hidden="1">{#N/A,#N/A,FALSE,"이태원철근"}</definedName>
    <definedName name="ㅐ" hidden="1">{#N/A,#N/A,FALSE,"이태원철근"}</definedName>
    <definedName name="ㅐㅐㅐ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" localSheetId="5" hidden="1">{#N/A,#N/A,FALSE,"이태원철근"}</definedName>
    <definedName name="ㅑ" hidden="1">{#N/A,#N/A,FALSE,"이태원철근"}</definedName>
    <definedName name="ㅑㅅ" localSheetId="5" hidden="1">{"'Sheet1'!$L$16"}</definedName>
    <definedName name="ㅑㅅ" localSheetId="9" hidden="1">{"'Sheet1'!$L$16"}</definedName>
    <definedName name="ㅑㅅ" localSheetId="10" hidden="1">{"'Sheet1'!$L$16"}</definedName>
    <definedName name="ㅑㅅ" localSheetId="6" hidden="1">{"'Sheet1'!$L$16"}</definedName>
    <definedName name="ㅑㅅ" localSheetId="3" hidden="1">{"'Sheet1'!$L$16"}</definedName>
    <definedName name="ㅑㅅ" hidden="1">{"'Sheet1'!$L$16"}</definedName>
    <definedName name="ㅓ" localSheetId="5" hidden="1">{#N/A,#N/A,FALSE,"이태원철근"}</definedName>
    <definedName name="ㅓ" hidden="1">{#N/A,#N/A,FALSE,"이태원철근"}</definedName>
    <definedName name="ㅓ롤" localSheetId="5" hidden="1">{#N/A,#N/A,FALSE,"골재소요량";#N/A,#N/A,FALSE,"골재소요량"}</definedName>
    <definedName name="ㅓ롤" hidden="1">{#N/A,#N/A,FALSE,"골재소요량";#N/A,#N/A,FALSE,"골재소요량"}</definedName>
    <definedName name="ㅓ롤_1" localSheetId="5" hidden="1">{#N/A,#N/A,FALSE,"골재소요량";#N/A,#N/A,FALSE,"골재소요량"}</definedName>
    <definedName name="ㅓ롤_1" hidden="1">{#N/A,#N/A,FALSE,"골재소요량";#N/A,#N/A,FALSE,"골재소요량"}</definedName>
    <definedName name="ㅓ롤_2" localSheetId="5" hidden="1">{#N/A,#N/A,FALSE,"골재소요량";#N/A,#N/A,FALSE,"골재소요량"}</definedName>
    <definedName name="ㅓ롤_2" hidden="1">{#N/A,#N/A,FALSE,"골재소요량";#N/A,#N/A,FALSE,"골재소요량"}</definedName>
    <definedName name="ㅓ롤_3" localSheetId="5" hidden="1">{#N/A,#N/A,FALSE,"골재소요량";#N/A,#N/A,FALSE,"골재소요량"}</definedName>
    <definedName name="ㅓ롤_3" hidden="1">{#N/A,#N/A,FALSE,"골재소요량";#N/A,#N/A,FALSE,"골재소요량"}</definedName>
    <definedName name="ㅓ롤_4" localSheetId="5" hidden="1">{#N/A,#N/A,FALSE,"골재소요량";#N/A,#N/A,FALSE,"골재소요량"}</definedName>
    <definedName name="ㅓ롤_4" hidden="1">{#N/A,#N/A,FALSE,"골재소요량";#N/A,#N/A,FALSE,"골재소요량"}</definedName>
    <definedName name="ㅓ롤_5" localSheetId="5" hidden="1">{#N/A,#N/A,FALSE,"골재소요량";#N/A,#N/A,FALSE,"골재소요량"}</definedName>
    <definedName name="ㅓ롤_5" hidden="1">{#N/A,#N/A,FALSE,"골재소요량";#N/A,#N/A,FALSE,"골재소요량"}</definedName>
    <definedName name="ㅓㅇㄴ" localSheetId="5" hidden="1">{#N/A,#N/A,FALSE,"단가표지"}</definedName>
    <definedName name="ㅓㅇㄴ" hidden="1">{#N/A,#N/A,FALSE,"단가표지"}</definedName>
    <definedName name="ㅓㅇㄴ_1" localSheetId="5" hidden="1">{#N/A,#N/A,FALSE,"단가표지"}</definedName>
    <definedName name="ㅓㅇㄴ_1" hidden="1">{#N/A,#N/A,FALSE,"단가표지"}</definedName>
    <definedName name="ㅓㅇㄴ_2" localSheetId="5" hidden="1">{#N/A,#N/A,FALSE,"단가표지"}</definedName>
    <definedName name="ㅓㅇㄴ_2" hidden="1">{#N/A,#N/A,FALSE,"단가표지"}</definedName>
    <definedName name="ㅓㅇㄴ_3" localSheetId="5" hidden="1">{#N/A,#N/A,FALSE,"단가표지"}</definedName>
    <definedName name="ㅓㅇㄴ_3" hidden="1">{#N/A,#N/A,FALSE,"단가표지"}</definedName>
    <definedName name="ㅓㅇㄴ_4" localSheetId="5" hidden="1">{#N/A,#N/A,FALSE,"단가표지"}</definedName>
    <definedName name="ㅓㅇㄴ_4" hidden="1">{#N/A,#N/A,FALSE,"단가표지"}</definedName>
    <definedName name="ㅓㅇㄴ_5" localSheetId="5" hidden="1">{#N/A,#N/A,FALSE,"단가표지"}</definedName>
    <definedName name="ㅓㅇㄴ_5" hidden="1">{#N/A,#N/A,FALSE,"단가표지"}</definedName>
    <definedName name="ㅓㅇ호ㅓㅇ호ㅓㅇ허" localSheetId="5" hidden="1">{#N/A,#N/A,FALSE,"표지목차"}</definedName>
    <definedName name="ㅓㅇ호ㅓㅇ호ㅓㅇ허" hidden="1">{#N/A,#N/A,FALSE,"표지목차"}</definedName>
    <definedName name="ㅓㅇ호ㅓㅇ호ㅓㅇ허_1" localSheetId="5" hidden="1">{#N/A,#N/A,FALSE,"표지목차"}</definedName>
    <definedName name="ㅓㅇ호ㅓㅇ호ㅓㅇ허_1" hidden="1">{#N/A,#N/A,FALSE,"표지목차"}</definedName>
    <definedName name="ㅓㅇ호ㅓㅇ호ㅓㅇ허_2" localSheetId="5" hidden="1">{#N/A,#N/A,FALSE,"표지목차"}</definedName>
    <definedName name="ㅓㅇ호ㅓㅇ호ㅓㅇ허_2" hidden="1">{#N/A,#N/A,FALSE,"표지목차"}</definedName>
    <definedName name="ㅓㅇ호ㅓㅇ호ㅓㅇ허_3" localSheetId="5" hidden="1">{#N/A,#N/A,FALSE,"표지목차"}</definedName>
    <definedName name="ㅓㅇ호ㅓㅇ호ㅓㅇ허_3" hidden="1">{#N/A,#N/A,FALSE,"표지목차"}</definedName>
    <definedName name="ㅓㅇ호ㅓㅇ호ㅓㅇ허_4" localSheetId="5" hidden="1">{#N/A,#N/A,FALSE,"표지목차"}</definedName>
    <definedName name="ㅓㅇ호ㅓㅇ호ㅓㅇ허_4" hidden="1">{#N/A,#N/A,FALSE,"표지목차"}</definedName>
    <definedName name="ㅓㅇ호ㅓㅇ호ㅓㅇ허_5" localSheetId="5" hidden="1">{#N/A,#N/A,FALSE,"표지목차"}</definedName>
    <definedName name="ㅓㅇ호ㅓㅇ호ㅓㅇ허_5" hidden="1">{#N/A,#N/A,FALSE,"표지목차"}</definedName>
    <definedName name="ㅓㅎ렁홍" localSheetId="5" hidden="1">{#N/A,#N/A,FALSE,"혼합골재"}</definedName>
    <definedName name="ㅓㅎ렁홍" hidden="1">{#N/A,#N/A,FALSE,"혼합골재"}</definedName>
    <definedName name="ㅓㅎ렁홍_1" localSheetId="5" hidden="1">{#N/A,#N/A,FALSE,"혼합골재"}</definedName>
    <definedName name="ㅓㅎ렁홍_1" hidden="1">{#N/A,#N/A,FALSE,"혼합골재"}</definedName>
    <definedName name="ㅓㅎ렁홍_2" localSheetId="5" hidden="1">{#N/A,#N/A,FALSE,"혼합골재"}</definedName>
    <definedName name="ㅓㅎ렁홍_2" hidden="1">{#N/A,#N/A,FALSE,"혼합골재"}</definedName>
    <definedName name="ㅓㅎ렁홍_3" localSheetId="5" hidden="1">{#N/A,#N/A,FALSE,"혼합골재"}</definedName>
    <definedName name="ㅓㅎ렁홍_3" hidden="1">{#N/A,#N/A,FALSE,"혼합골재"}</definedName>
    <definedName name="ㅓㅎ렁홍_4" localSheetId="5" hidden="1">{#N/A,#N/A,FALSE,"혼합골재"}</definedName>
    <definedName name="ㅓㅎ렁홍_4" hidden="1">{#N/A,#N/A,FALSE,"혼합골재"}</definedName>
    <definedName name="ㅓㅎ렁홍_5" localSheetId="5" hidden="1">{#N/A,#N/A,FALSE,"혼합골재"}</definedName>
    <definedName name="ㅓㅎ렁홍_5" hidden="1">{#N/A,#N/A,FALSE,"혼합골재"}</definedName>
    <definedName name="ㅓㅎ로ㅗㄴ" localSheetId="5" hidden="1">{#N/A,#N/A,FALSE,"단가표지"}</definedName>
    <definedName name="ㅓㅎ로ㅗㄴ" hidden="1">{#N/A,#N/A,FALSE,"단가표지"}</definedName>
    <definedName name="ㅓㅎ로ㅗㄴ_1" localSheetId="5" hidden="1">{#N/A,#N/A,FALSE,"단가표지"}</definedName>
    <definedName name="ㅓㅎ로ㅗㄴ_1" hidden="1">{#N/A,#N/A,FALSE,"단가표지"}</definedName>
    <definedName name="ㅓㅎ로ㅗㄴ_2" localSheetId="5" hidden="1">{#N/A,#N/A,FALSE,"단가표지"}</definedName>
    <definedName name="ㅓㅎ로ㅗㄴ_2" hidden="1">{#N/A,#N/A,FALSE,"단가표지"}</definedName>
    <definedName name="ㅓㅎ로ㅗㄴ_3" localSheetId="5" hidden="1">{#N/A,#N/A,FALSE,"단가표지"}</definedName>
    <definedName name="ㅓㅎ로ㅗㄴ_3" hidden="1">{#N/A,#N/A,FALSE,"단가표지"}</definedName>
    <definedName name="ㅓㅎ로ㅗㄴ_4" localSheetId="5" hidden="1">{#N/A,#N/A,FALSE,"단가표지"}</definedName>
    <definedName name="ㅓㅎ로ㅗㄴ_4" hidden="1">{#N/A,#N/A,FALSE,"단가표지"}</definedName>
    <definedName name="ㅓㅎ로ㅗㄴ_5" localSheetId="5" hidden="1">{#N/A,#N/A,FALSE,"단가표지"}</definedName>
    <definedName name="ㅓㅎ로ㅗㄴ_5" hidden="1">{#N/A,#N/A,FALSE,"단가표지"}</definedName>
    <definedName name="ㅓㅎㅇㅎ" localSheetId="5" hidden="1">{#N/A,#N/A,FALSE,"운반시간"}</definedName>
    <definedName name="ㅓㅎㅇㅎ" hidden="1">{#N/A,#N/A,FALSE,"운반시간"}</definedName>
    <definedName name="ㅓㅎㅇㅎ_1" localSheetId="5" hidden="1">{#N/A,#N/A,FALSE,"운반시간"}</definedName>
    <definedName name="ㅓㅎㅇㅎ_1" hidden="1">{#N/A,#N/A,FALSE,"운반시간"}</definedName>
    <definedName name="ㅓㅎㅇㅎ_2" localSheetId="5" hidden="1">{#N/A,#N/A,FALSE,"운반시간"}</definedName>
    <definedName name="ㅓㅎㅇㅎ_2" hidden="1">{#N/A,#N/A,FALSE,"운반시간"}</definedName>
    <definedName name="ㅓㅎㅇㅎ_3" localSheetId="5" hidden="1">{#N/A,#N/A,FALSE,"운반시간"}</definedName>
    <definedName name="ㅓㅎㅇㅎ_3" hidden="1">{#N/A,#N/A,FALSE,"운반시간"}</definedName>
    <definedName name="ㅓㅎㅇㅎ_4" localSheetId="5" hidden="1">{#N/A,#N/A,FALSE,"운반시간"}</definedName>
    <definedName name="ㅓㅎㅇㅎ_4" hidden="1">{#N/A,#N/A,FALSE,"운반시간"}</definedName>
    <definedName name="ㅓㅎㅇㅎ_5" localSheetId="5" hidden="1">{#N/A,#N/A,FALSE,"운반시간"}</definedName>
    <definedName name="ㅓㅎㅇㅎ_5" hidden="1">{#N/A,#N/A,FALSE,"운반시간"}</definedName>
    <definedName name="ㅓ호ㅓ" localSheetId="5" hidden="1">{#N/A,#N/A,FALSE,"표지목차"}</definedName>
    <definedName name="ㅓ호ㅓ" hidden="1">{#N/A,#N/A,FALSE,"표지목차"}</definedName>
    <definedName name="ㅓ호ㅓ_1" localSheetId="5" hidden="1">{#N/A,#N/A,FALSE,"표지목차"}</definedName>
    <definedName name="ㅓ호ㅓ_1" hidden="1">{#N/A,#N/A,FALSE,"표지목차"}</definedName>
    <definedName name="ㅓ호ㅓ_2" localSheetId="5" hidden="1">{#N/A,#N/A,FALSE,"표지목차"}</definedName>
    <definedName name="ㅓ호ㅓ_2" hidden="1">{#N/A,#N/A,FALSE,"표지목차"}</definedName>
    <definedName name="ㅓ호ㅓ_3" localSheetId="5" hidden="1">{#N/A,#N/A,FALSE,"표지목차"}</definedName>
    <definedName name="ㅓ호ㅓ_3" hidden="1">{#N/A,#N/A,FALSE,"표지목차"}</definedName>
    <definedName name="ㅓ호ㅓ_4" localSheetId="5" hidden="1">{#N/A,#N/A,FALSE,"표지목차"}</definedName>
    <definedName name="ㅓ호ㅓ_4" hidden="1">{#N/A,#N/A,FALSE,"표지목차"}</definedName>
    <definedName name="ㅓ호ㅓ_5" localSheetId="5" hidden="1">{#N/A,#N/A,FALSE,"표지목차"}</definedName>
    <definedName name="ㅓ호ㅓ_5" hidden="1">{#N/A,#N/A,FALSE,"표지목차"}</definedName>
    <definedName name="ㅓ호ㅓㅗㄹ" localSheetId="5" hidden="1">{#N/A,#N/A,FALSE,"단가표지"}</definedName>
    <definedName name="ㅓ호ㅓㅗㄹ" hidden="1">{#N/A,#N/A,FALSE,"단가표지"}</definedName>
    <definedName name="ㅓ호ㅓㅗㄹ_1" localSheetId="5" hidden="1">{#N/A,#N/A,FALSE,"단가표지"}</definedName>
    <definedName name="ㅓ호ㅓㅗㄹ_1" hidden="1">{#N/A,#N/A,FALSE,"단가표지"}</definedName>
    <definedName name="ㅓ호ㅓㅗㄹ_2" localSheetId="5" hidden="1">{#N/A,#N/A,FALSE,"단가표지"}</definedName>
    <definedName name="ㅓ호ㅓㅗㄹ_2" hidden="1">{#N/A,#N/A,FALSE,"단가표지"}</definedName>
    <definedName name="ㅓ호ㅓㅗㄹ_3" localSheetId="5" hidden="1">{#N/A,#N/A,FALSE,"단가표지"}</definedName>
    <definedName name="ㅓ호ㅓㅗㄹ_3" hidden="1">{#N/A,#N/A,FALSE,"단가표지"}</definedName>
    <definedName name="ㅓ호ㅓㅗㄹ_4" localSheetId="5" hidden="1">{#N/A,#N/A,FALSE,"단가표지"}</definedName>
    <definedName name="ㅓ호ㅓㅗㄹ_4" hidden="1">{#N/A,#N/A,FALSE,"단가표지"}</definedName>
    <definedName name="ㅓ호ㅓㅗㄹ_5" localSheetId="5" hidden="1">{#N/A,#N/A,FALSE,"단가표지"}</definedName>
    <definedName name="ㅓ호ㅓㅗㄹ_5" hidden="1">{#N/A,#N/A,FALSE,"단가표지"}</definedName>
    <definedName name="ㅓㅏ호" localSheetId="5" hidden="1">{#N/A,#N/A,FALSE,"단가표지"}</definedName>
    <definedName name="ㅓㅏ호" hidden="1">{#N/A,#N/A,FALSE,"단가표지"}</definedName>
    <definedName name="ㅓㅏ호_1" localSheetId="5" hidden="1">{#N/A,#N/A,FALSE,"단가표지"}</definedName>
    <definedName name="ㅓㅏ호_1" hidden="1">{#N/A,#N/A,FALSE,"단가표지"}</definedName>
    <definedName name="ㅓㅏ호_2" localSheetId="5" hidden="1">{#N/A,#N/A,FALSE,"단가표지"}</definedName>
    <definedName name="ㅓㅏ호_2" hidden="1">{#N/A,#N/A,FALSE,"단가표지"}</definedName>
    <definedName name="ㅓㅏ호_3" localSheetId="5" hidden="1">{#N/A,#N/A,FALSE,"단가표지"}</definedName>
    <definedName name="ㅓㅏ호_3" hidden="1">{#N/A,#N/A,FALSE,"단가표지"}</definedName>
    <definedName name="ㅓㅏ호_4" localSheetId="5" hidden="1">{#N/A,#N/A,FALSE,"단가표지"}</definedName>
    <definedName name="ㅓㅏ호_4" hidden="1">{#N/A,#N/A,FALSE,"단가표지"}</definedName>
    <definedName name="ㅓㅏ호_5" localSheetId="5" hidden="1">{#N/A,#N/A,FALSE,"단가표지"}</definedName>
    <definedName name="ㅓㅏ호_5" hidden="1">{#N/A,#N/A,FALSE,"단가표지"}</definedName>
    <definedName name="ㅓㅏ호ㅓ" localSheetId="5" hidden="1">{#N/A,#N/A,FALSE,"단가표지"}</definedName>
    <definedName name="ㅓㅏ호ㅓ" hidden="1">{#N/A,#N/A,FALSE,"단가표지"}</definedName>
    <definedName name="ㅓㅏ호ㅓ_1" localSheetId="5" hidden="1">{#N/A,#N/A,FALSE,"단가표지"}</definedName>
    <definedName name="ㅓㅏ호ㅓ_1" hidden="1">{#N/A,#N/A,FALSE,"단가표지"}</definedName>
    <definedName name="ㅓㅏ호ㅓ_2" localSheetId="5" hidden="1">{#N/A,#N/A,FALSE,"단가표지"}</definedName>
    <definedName name="ㅓㅏ호ㅓ_2" hidden="1">{#N/A,#N/A,FALSE,"단가표지"}</definedName>
    <definedName name="ㅓㅏ호ㅓ_3" localSheetId="5" hidden="1">{#N/A,#N/A,FALSE,"단가표지"}</definedName>
    <definedName name="ㅓㅏ호ㅓ_3" hidden="1">{#N/A,#N/A,FALSE,"단가표지"}</definedName>
    <definedName name="ㅓㅏ호ㅓ_4" localSheetId="5" hidden="1">{#N/A,#N/A,FALSE,"단가표지"}</definedName>
    <definedName name="ㅓㅏ호ㅓ_4" hidden="1">{#N/A,#N/A,FALSE,"단가표지"}</definedName>
    <definedName name="ㅓㅏ호ㅓ_5" localSheetId="5" hidden="1">{#N/A,#N/A,FALSE,"단가표지"}</definedName>
    <definedName name="ㅓㅏ호ㅓ_5" hidden="1">{#N/A,#N/A,FALSE,"단가표지"}</definedName>
    <definedName name="ㅓㅏㅗ하ㅗㅓㅎ" localSheetId="5" hidden="1">{#N/A,#N/A,FALSE,"혼합골재"}</definedName>
    <definedName name="ㅓㅏㅗ하ㅗㅓㅎ" hidden="1">{#N/A,#N/A,FALSE,"혼합골재"}</definedName>
    <definedName name="ㅓㅏㅗ하ㅗㅓㅎ_1" localSheetId="5" hidden="1">{#N/A,#N/A,FALSE,"혼합골재"}</definedName>
    <definedName name="ㅓㅏㅗ하ㅗㅓㅎ_1" hidden="1">{#N/A,#N/A,FALSE,"혼합골재"}</definedName>
    <definedName name="ㅓㅏㅗ하ㅗㅓㅎ_2" localSheetId="5" hidden="1">{#N/A,#N/A,FALSE,"혼합골재"}</definedName>
    <definedName name="ㅓㅏㅗ하ㅗㅓㅎ_2" hidden="1">{#N/A,#N/A,FALSE,"혼합골재"}</definedName>
    <definedName name="ㅓㅏㅗ하ㅗㅓㅎ_3" localSheetId="5" hidden="1">{#N/A,#N/A,FALSE,"혼합골재"}</definedName>
    <definedName name="ㅓㅏㅗ하ㅗㅓㅎ_3" hidden="1">{#N/A,#N/A,FALSE,"혼합골재"}</definedName>
    <definedName name="ㅓㅏㅗ하ㅗㅓㅎ_4" localSheetId="5" hidden="1">{#N/A,#N/A,FALSE,"혼합골재"}</definedName>
    <definedName name="ㅓㅏㅗ하ㅗㅓㅎ_4" hidden="1">{#N/A,#N/A,FALSE,"혼합골재"}</definedName>
    <definedName name="ㅓㅏㅗ하ㅗㅓㅎ_5" localSheetId="5" hidden="1">{#N/A,#N/A,FALSE,"혼합골재"}</definedName>
    <definedName name="ㅓㅏㅗ하ㅗㅓㅎ_5" hidden="1">{#N/A,#N/A,FALSE,"혼합골재"}</definedName>
    <definedName name="ㅓㅓㅓ" localSheetId="5" hidden="1">{#N/A,#N/A,FALSE,"이태원철근"}</definedName>
    <definedName name="ㅓㅓㅓ" hidden="1">{#N/A,#N/A,FALSE,"이태원철근"}</definedName>
    <definedName name="ㅓㅗ" localSheetId="5" hidden="1">{#N/A,#N/A,FALSE,"포장1";#N/A,#N/A,FALSE,"포장1"}</definedName>
    <definedName name="ㅓㅗ" localSheetId="9" hidden="1">{#N/A,#N/A,FALSE,"포장1";#N/A,#N/A,FALSE,"포장1"}</definedName>
    <definedName name="ㅓㅗ" localSheetId="10" hidden="1">{#N/A,#N/A,FALSE,"포장1";#N/A,#N/A,FALSE,"포장1"}</definedName>
    <definedName name="ㅓㅗ" localSheetId="6" hidden="1">{#N/A,#N/A,FALSE,"포장1";#N/A,#N/A,FALSE,"포장1"}</definedName>
    <definedName name="ㅓㅗ" localSheetId="3" hidden="1">{#N/A,#N/A,FALSE,"운반시간"}</definedName>
    <definedName name="ㅓㅗ" hidden="1">{#N/A,#N/A,FALSE,"포장1";#N/A,#N/A,FALSE,"포장1"}</definedName>
    <definedName name="ㅓㅗ_1" localSheetId="5" hidden="1">{#N/A,#N/A,FALSE,"운반시간"}</definedName>
    <definedName name="ㅓㅗ_1" hidden="1">{#N/A,#N/A,FALSE,"운반시간"}</definedName>
    <definedName name="ㅓㅗ_2" localSheetId="5" hidden="1">{#N/A,#N/A,FALSE,"운반시간"}</definedName>
    <definedName name="ㅓㅗ_2" hidden="1">{#N/A,#N/A,FALSE,"운반시간"}</definedName>
    <definedName name="ㅓㅗ_3" localSheetId="5" hidden="1">{#N/A,#N/A,FALSE,"운반시간"}</definedName>
    <definedName name="ㅓㅗ_3" hidden="1">{#N/A,#N/A,FALSE,"운반시간"}</definedName>
    <definedName name="ㅓㅗ_4" localSheetId="5" hidden="1">{#N/A,#N/A,FALSE,"운반시간"}</definedName>
    <definedName name="ㅓㅗ_4" hidden="1">{#N/A,#N/A,FALSE,"운반시간"}</definedName>
    <definedName name="ㅓㅗ_5" localSheetId="5" hidden="1">{#N/A,#N/A,FALSE,"운반시간"}</definedName>
    <definedName name="ㅓㅗ_5" hidden="1">{#N/A,#N/A,FALSE,"운반시간"}</definedName>
    <definedName name="ㅓㅗㅎㄹ" localSheetId="5" hidden="1">{#N/A,#N/A,FALSE,"조골재"}</definedName>
    <definedName name="ㅓㅗㅎㄹ" hidden="1">{#N/A,#N/A,FALSE,"조골재"}</definedName>
    <definedName name="ㅓㅗㅎㄹ_1" localSheetId="5" hidden="1">{#N/A,#N/A,FALSE,"조골재"}</definedName>
    <definedName name="ㅓㅗㅎㄹ_1" hidden="1">{#N/A,#N/A,FALSE,"조골재"}</definedName>
    <definedName name="ㅓㅗㅎㄹ_2" localSheetId="5" hidden="1">{#N/A,#N/A,FALSE,"조골재"}</definedName>
    <definedName name="ㅓㅗㅎㄹ_2" hidden="1">{#N/A,#N/A,FALSE,"조골재"}</definedName>
    <definedName name="ㅓㅗㅎㄹ_3" localSheetId="5" hidden="1">{#N/A,#N/A,FALSE,"조골재"}</definedName>
    <definedName name="ㅓㅗㅎㄹ_3" hidden="1">{#N/A,#N/A,FALSE,"조골재"}</definedName>
    <definedName name="ㅓㅗㅎㄹ_4" localSheetId="5" hidden="1">{#N/A,#N/A,FALSE,"조골재"}</definedName>
    <definedName name="ㅓㅗㅎㄹ_4" hidden="1">{#N/A,#N/A,FALSE,"조골재"}</definedName>
    <definedName name="ㅓㅗㅎㄹ_5" localSheetId="5" hidden="1">{#N/A,#N/A,FALSE,"조골재"}</definedName>
    <definedName name="ㅓㅗㅎㄹ_5" hidden="1">{#N/A,#N/A,FALSE,"조골재"}</definedName>
    <definedName name="ㅓㅗㅎ러ㅗㅎ러" localSheetId="5" hidden="1">{#N/A,#N/A,FALSE,"혼합골재"}</definedName>
    <definedName name="ㅓㅗㅎ러ㅗㅎ러" hidden="1">{#N/A,#N/A,FALSE,"혼합골재"}</definedName>
    <definedName name="ㅓㅗㅎ러ㅗㅎ러_1" localSheetId="5" hidden="1">{#N/A,#N/A,FALSE,"혼합골재"}</definedName>
    <definedName name="ㅓㅗㅎ러ㅗㅎ러_1" hidden="1">{#N/A,#N/A,FALSE,"혼합골재"}</definedName>
    <definedName name="ㅓㅗㅎ러ㅗㅎ러_2" localSheetId="5" hidden="1">{#N/A,#N/A,FALSE,"혼합골재"}</definedName>
    <definedName name="ㅓㅗㅎ러ㅗㅎ러_2" hidden="1">{#N/A,#N/A,FALSE,"혼합골재"}</definedName>
    <definedName name="ㅓㅗㅎ러ㅗㅎ러_3" localSheetId="5" hidden="1">{#N/A,#N/A,FALSE,"혼합골재"}</definedName>
    <definedName name="ㅓㅗㅎ러ㅗㅎ러_3" hidden="1">{#N/A,#N/A,FALSE,"혼합골재"}</definedName>
    <definedName name="ㅓㅗㅎ러ㅗㅎ러_4" localSheetId="5" hidden="1">{#N/A,#N/A,FALSE,"혼합골재"}</definedName>
    <definedName name="ㅓㅗㅎ러ㅗㅎ러_4" hidden="1">{#N/A,#N/A,FALSE,"혼합골재"}</definedName>
    <definedName name="ㅓㅗㅎ러ㅗㅎ러_5" localSheetId="5" hidden="1">{#N/A,#N/A,FALSE,"혼합골재"}</definedName>
    <definedName name="ㅓㅗㅎ러ㅗㅎ러_5" hidden="1">{#N/A,#N/A,FALSE,"혼합골재"}</definedName>
    <definedName name="ㅓㅗㅎ러ㅗ호ㅓ" localSheetId="5" hidden="1">{#N/A,#N/A,FALSE,"단가표지"}</definedName>
    <definedName name="ㅓㅗㅎ러ㅗ호ㅓ" hidden="1">{#N/A,#N/A,FALSE,"단가표지"}</definedName>
    <definedName name="ㅓㅗㅎ러ㅗ호ㅓ_1" localSheetId="5" hidden="1">{#N/A,#N/A,FALSE,"단가표지"}</definedName>
    <definedName name="ㅓㅗㅎ러ㅗ호ㅓ_1" hidden="1">{#N/A,#N/A,FALSE,"단가표지"}</definedName>
    <definedName name="ㅓㅗㅎ러ㅗ호ㅓ_2" localSheetId="5" hidden="1">{#N/A,#N/A,FALSE,"단가표지"}</definedName>
    <definedName name="ㅓㅗㅎ러ㅗ호ㅓ_2" hidden="1">{#N/A,#N/A,FALSE,"단가표지"}</definedName>
    <definedName name="ㅓㅗㅎ러ㅗ호ㅓ_3" localSheetId="5" hidden="1">{#N/A,#N/A,FALSE,"단가표지"}</definedName>
    <definedName name="ㅓㅗㅎ러ㅗ호ㅓ_3" hidden="1">{#N/A,#N/A,FALSE,"단가표지"}</definedName>
    <definedName name="ㅓㅗㅎ러ㅗ호ㅓ_4" localSheetId="5" hidden="1">{#N/A,#N/A,FALSE,"단가표지"}</definedName>
    <definedName name="ㅓㅗㅎ러ㅗ호ㅓ_4" hidden="1">{#N/A,#N/A,FALSE,"단가표지"}</definedName>
    <definedName name="ㅓㅗㅎ러ㅗ호ㅓ_5" localSheetId="5" hidden="1">{#N/A,#N/A,FALSE,"단가표지"}</definedName>
    <definedName name="ㅓㅗㅎ러ㅗ호ㅓ_5" hidden="1">{#N/A,#N/A,FALSE,"단가표지"}</definedName>
    <definedName name="ㅓㅗ허" localSheetId="5" hidden="1">{#N/A,#N/A,FALSE,"조골재"}</definedName>
    <definedName name="ㅓㅗ허" hidden="1">{#N/A,#N/A,FALSE,"조골재"}</definedName>
    <definedName name="ㅓㅗ허_1" localSheetId="5" hidden="1">{#N/A,#N/A,FALSE,"조골재"}</definedName>
    <definedName name="ㅓㅗ허_1" hidden="1">{#N/A,#N/A,FALSE,"조골재"}</definedName>
    <definedName name="ㅓㅗ허_2" localSheetId="5" hidden="1">{#N/A,#N/A,FALSE,"조골재"}</definedName>
    <definedName name="ㅓㅗ허_2" hidden="1">{#N/A,#N/A,FALSE,"조골재"}</definedName>
    <definedName name="ㅓㅗ허_3" localSheetId="5" hidden="1">{#N/A,#N/A,FALSE,"조골재"}</definedName>
    <definedName name="ㅓㅗ허_3" hidden="1">{#N/A,#N/A,FALSE,"조골재"}</definedName>
    <definedName name="ㅓㅗ허_4" localSheetId="5" hidden="1">{#N/A,#N/A,FALSE,"조골재"}</definedName>
    <definedName name="ㅓㅗ허_4" hidden="1">{#N/A,#N/A,FALSE,"조골재"}</definedName>
    <definedName name="ㅓㅗ허_5" localSheetId="5" hidden="1">{#N/A,#N/A,FALSE,"조골재"}</definedName>
    <definedName name="ㅓㅗ허_5" hidden="1">{#N/A,#N/A,FALSE,"조골재"}</definedName>
    <definedName name="ㅓㅗ허ㅗㄹ" localSheetId="5" hidden="1">{#N/A,#N/A,FALSE,"운반시간"}</definedName>
    <definedName name="ㅓㅗ허ㅗㄹ" hidden="1">{#N/A,#N/A,FALSE,"운반시간"}</definedName>
    <definedName name="ㅓㅗ허ㅗㄹ_1" localSheetId="5" hidden="1">{#N/A,#N/A,FALSE,"운반시간"}</definedName>
    <definedName name="ㅓㅗ허ㅗㄹ_1" hidden="1">{#N/A,#N/A,FALSE,"운반시간"}</definedName>
    <definedName name="ㅓㅗ허ㅗㄹ_2" localSheetId="5" hidden="1">{#N/A,#N/A,FALSE,"운반시간"}</definedName>
    <definedName name="ㅓㅗ허ㅗㄹ_2" hidden="1">{#N/A,#N/A,FALSE,"운반시간"}</definedName>
    <definedName name="ㅓㅗ허ㅗㄹ_3" localSheetId="5" hidden="1">{#N/A,#N/A,FALSE,"운반시간"}</definedName>
    <definedName name="ㅓㅗ허ㅗㄹ_3" hidden="1">{#N/A,#N/A,FALSE,"운반시간"}</definedName>
    <definedName name="ㅓㅗ허ㅗㄹ_4" localSheetId="5" hidden="1">{#N/A,#N/A,FALSE,"운반시간"}</definedName>
    <definedName name="ㅓㅗ허ㅗㄹ_4" hidden="1">{#N/A,#N/A,FALSE,"운반시간"}</definedName>
    <definedName name="ㅓㅗ허ㅗㄹ_5" localSheetId="5" hidden="1">{#N/A,#N/A,FALSE,"운반시간"}</definedName>
    <definedName name="ㅓㅗ허ㅗㄹ_5" hidden="1">{#N/A,#N/A,FALSE,"운반시간"}</definedName>
    <definedName name="ㅓㅗ허ㅗㅎㄹ" localSheetId="5" hidden="1">{#N/A,#N/A,FALSE,"골재소요량";#N/A,#N/A,FALSE,"골재소요량"}</definedName>
    <definedName name="ㅓㅗ허ㅗㅎㄹ" hidden="1">{#N/A,#N/A,FALSE,"골재소요량";#N/A,#N/A,FALSE,"골재소요량"}</definedName>
    <definedName name="ㅓㅗ허ㅗㅎㄹ_1" localSheetId="5" hidden="1">{#N/A,#N/A,FALSE,"골재소요량";#N/A,#N/A,FALSE,"골재소요량"}</definedName>
    <definedName name="ㅓㅗ허ㅗㅎㄹ_1" hidden="1">{#N/A,#N/A,FALSE,"골재소요량";#N/A,#N/A,FALSE,"골재소요량"}</definedName>
    <definedName name="ㅓㅗ허ㅗㅎㄹ_2" localSheetId="5" hidden="1">{#N/A,#N/A,FALSE,"골재소요량";#N/A,#N/A,FALSE,"골재소요량"}</definedName>
    <definedName name="ㅓㅗ허ㅗㅎㄹ_2" hidden="1">{#N/A,#N/A,FALSE,"골재소요량";#N/A,#N/A,FALSE,"골재소요량"}</definedName>
    <definedName name="ㅓㅗ허ㅗㅎㄹ_3" localSheetId="5" hidden="1">{#N/A,#N/A,FALSE,"골재소요량";#N/A,#N/A,FALSE,"골재소요량"}</definedName>
    <definedName name="ㅓㅗ허ㅗㅎㄹ_3" hidden="1">{#N/A,#N/A,FALSE,"골재소요량";#N/A,#N/A,FALSE,"골재소요량"}</definedName>
    <definedName name="ㅓㅗ허ㅗㅎㄹ_4" localSheetId="5" hidden="1">{#N/A,#N/A,FALSE,"골재소요량";#N/A,#N/A,FALSE,"골재소요량"}</definedName>
    <definedName name="ㅓㅗ허ㅗㅎㄹ_4" hidden="1">{#N/A,#N/A,FALSE,"골재소요량";#N/A,#N/A,FALSE,"골재소요량"}</definedName>
    <definedName name="ㅓㅗ허ㅗㅎㄹ_5" localSheetId="5" hidden="1">{#N/A,#N/A,FALSE,"골재소요량";#N/A,#N/A,FALSE,"골재소요량"}</definedName>
    <definedName name="ㅓㅗ허ㅗㅎㄹ_5" hidden="1">{#N/A,#N/A,FALSE,"골재소요량";#N/A,#N/A,FALSE,"골재소요량"}</definedName>
    <definedName name="ㅓㅗ허ㅗㅎ러" localSheetId="5" hidden="1">{#N/A,#N/A,FALSE,"운반시간"}</definedName>
    <definedName name="ㅓㅗ허ㅗㅎ러" hidden="1">{#N/A,#N/A,FALSE,"운반시간"}</definedName>
    <definedName name="ㅓㅗ허ㅗㅎ러_1" localSheetId="5" hidden="1">{#N/A,#N/A,FALSE,"운반시간"}</definedName>
    <definedName name="ㅓㅗ허ㅗㅎ러_1" hidden="1">{#N/A,#N/A,FALSE,"운반시간"}</definedName>
    <definedName name="ㅓㅗ허ㅗㅎ러_2" localSheetId="5" hidden="1">{#N/A,#N/A,FALSE,"운반시간"}</definedName>
    <definedName name="ㅓㅗ허ㅗㅎ러_2" hidden="1">{#N/A,#N/A,FALSE,"운반시간"}</definedName>
    <definedName name="ㅓㅗ허ㅗㅎ러_3" localSheetId="5" hidden="1">{#N/A,#N/A,FALSE,"운반시간"}</definedName>
    <definedName name="ㅓㅗ허ㅗㅎ러_3" hidden="1">{#N/A,#N/A,FALSE,"운반시간"}</definedName>
    <definedName name="ㅓㅗ허ㅗㅎ러_4" localSheetId="5" hidden="1">{#N/A,#N/A,FALSE,"운반시간"}</definedName>
    <definedName name="ㅓㅗ허ㅗㅎ러_4" hidden="1">{#N/A,#N/A,FALSE,"운반시간"}</definedName>
    <definedName name="ㅓㅗ허ㅗㅎ러_5" localSheetId="5" hidden="1">{#N/A,#N/A,FALSE,"운반시간"}</definedName>
    <definedName name="ㅓㅗ허ㅗㅎ러_5" hidden="1">{#N/A,#N/A,FALSE,"운반시간"}</definedName>
    <definedName name="ㅓㅗ헝홍허" localSheetId="5" hidden="1">{#N/A,#N/A,FALSE,"골재소요량";#N/A,#N/A,FALSE,"골재소요량"}</definedName>
    <definedName name="ㅓㅗ헝홍허" hidden="1">{#N/A,#N/A,FALSE,"골재소요량";#N/A,#N/A,FALSE,"골재소요량"}</definedName>
    <definedName name="ㅓㅗ헝홍허_1" localSheetId="5" hidden="1">{#N/A,#N/A,FALSE,"골재소요량";#N/A,#N/A,FALSE,"골재소요량"}</definedName>
    <definedName name="ㅓㅗ헝홍허_1" hidden="1">{#N/A,#N/A,FALSE,"골재소요량";#N/A,#N/A,FALSE,"골재소요량"}</definedName>
    <definedName name="ㅓㅗ헝홍허_2" localSheetId="5" hidden="1">{#N/A,#N/A,FALSE,"골재소요량";#N/A,#N/A,FALSE,"골재소요량"}</definedName>
    <definedName name="ㅓㅗ헝홍허_2" hidden="1">{#N/A,#N/A,FALSE,"골재소요량";#N/A,#N/A,FALSE,"골재소요량"}</definedName>
    <definedName name="ㅓㅗ헝홍허_3" localSheetId="5" hidden="1">{#N/A,#N/A,FALSE,"골재소요량";#N/A,#N/A,FALSE,"골재소요량"}</definedName>
    <definedName name="ㅓㅗ헝홍허_3" hidden="1">{#N/A,#N/A,FALSE,"골재소요량";#N/A,#N/A,FALSE,"골재소요량"}</definedName>
    <definedName name="ㅓㅗ헝홍허_4" localSheetId="5" hidden="1">{#N/A,#N/A,FALSE,"골재소요량";#N/A,#N/A,FALSE,"골재소요량"}</definedName>
    <definedName name="ㅓㅗ헝홍허_4" hidden="1">{#N/A,#N/A,FALSE,"골재소요량";#N/A,#N/A,FALSE,"골재소요량"}</definedName>
    <definedName name="ㅓㅗ헝홍허_5" localSheetId="5" hidden="1">{#N/A,#N/A,FALSE,"골재소요량";#N/A,#N/A,FALSE,"골재소요량"}</definedName>
    <definedName name="ㅓㅗ헝홍허_5" hidden="1">{#N/A,#N/A,FALSE,"골재소요량";#N/A,#N/A,FALSE,"골재소요량"}</definedName>
    <definedName name="ㅓㅗ헣ㄹ" localSheetId="5" hidden="1">{#N/A,#N/A,FALSE,"단가표지"}</definedName>
    <definedName name="ㅓㅗ헣ㄹ" hidden="1">{#N/A,#N/A,FALSE,"단가표지"}</definedName>
    <definedName name="ㅓㅗ헣ㄹ_1" localSheetId="5" hidden="1">{#N/A,#N/A,FALSE,"단가표지"}</definedName>
    <definedName name="ㅓㅗ헣ㄹ_1" hidden="1">{#N/A,#N/A,FALSE,"단가표지"}</definedName>
    <definedName name="ㅓㅗ헣ㄹ_2" localSheetId="5" hidden="1">{#N/A,#N/A,FALSE,"단가표지"}</definedName>
    <definedName name="ㅓㅗ헣ㄹ_2" hidden="1">{#N/A,#N/A,FALSE,"단가표지"}</definedName>
    <definedName name="ㅓㅗ헣ㄹ_3" localSheetId="5" hidden="1">{#N/A,#N/A,FALSE,"단가표지"}</definedName>
    <definedName name="ㅓㅗ헣ㄹ_3" hidden="1">{#N/A,#N/A,FALSE,"단가표지"}</definedName>
    <definedName name="ㅓㅗ헣ㄹ_4" localSheetId="5" hidden="1">{#N/A,#N/A,FALSE,"단가표지"}</definedName>
    <definedName name="ㅓㅗ헣ㄹ_4" hidden="1">{#N/A,#N/A,FALSE,"단가표지"}</definedName>
    <definedName name="ㅓㅗ헣ㄹ_5" localSheetId="5" hidden="1">{#N/A,#N/A,FALSE,"단가표지"}</definedName>
    <definedName name="ㅓㅗ헣ㄹ_5" hidden="1">{#N/A,#N/A,FALSE,"단가표지"}</definedName>
    <definedName name="ㅓㅗ헣러" localSheetId="5" hidden="1">{#N/A,#N/A,FALSE,"단가표지"}</definedName>
    <definedName name="ㅓㅗ헣러" hidden="1">{#N/A,#N/A,FALSE,"단가표지"}</definedName>
    <definedName name="ㅓㅗ헣러_1" localSheetId="5" hidden="1">{#N/A,#N/A,FALSE,"단가표지"}</definedName>
    <definedName name="ㅓㅗ헣러_1" hidden="1">{#N/A,#N/A,FALSE,"단가표지"}</definedName>
    <definedName name="ㅓㅗ헣러_2" localSheetId="5" hidden="1">{#N/A,#N/A,FALSE,"단가표지"}</definedName>
    <definedName name="ㅓㅗ헣러_2" hidden="1">{#N/A,#N/A,FALSE,"단가표지"}</definedName>
    <definedName name="ㅓㅗ헣러_3" localSheetId="5" hidden="1">{#N/A,#N/A,FALSE,"단가표지"}</definedName>
    <definedName name="ㅓㅗ헣러_3" hidden="1">{#N/A,#N/A,FALSE,"단가표지"}</definedName>
    <definedName name="ㅓㅗ헣러_4" localSheetId="5" hidden="1">{#N/A,#N/A,FALSE,"단가표지"}</definedName>
    <definedName name="ㅓㅗ헣러_4" hidden="1">{#N/A,#N/A,FALSE,"단가표지"}</definedName>
    <definedName name="ㅓㅗ헣러_5" localSheetId="5" hidden="1">{#N/A,#N/A,FALSE,"단가표지"}</definedName>
    <definedName name="ㅓㅗ헣러_5" hidden="1">{#N/A,#N/A,FALSE,"단가표지"}</definedName>
    <definedName name="ㅓㅗ헣로ㅓ" localSheetId="5" hidden="1">{#N/A,#N/A,FALSE,"조골재"}</definedName>
    <definedName name="ㅓㅗ헣로ㅓ" hidden="1">{#N/A,#N/A,FALSE,"조골재"}</definedName>
    <definedName name="ㅓㅗ헣로ㅓ_1" localSheetId="5" hidden="1">{#N/A,#N/A,FALSE,"조골재"}</definedName>
    <definedName name="ㅓㅗ헣로ㅓ_1" hidden="1">{#N/A,#N/A,FALSE,"조골재"}</definedName>
    <definedName name="ㅓㅗ헣로ㅓ_2" localSheetId="5" hidden="1">{#N/A,#N/A,FALSE,"조골재"}</definedName>
    <definedName name="ㅓㅗ헣로ㅓ_2" hidden="1">{#N/A,#N/A,FALSE,"조골재"}</definedName>
    <definedName name="ㅓㅗ헣로ㅓ_3" localSheetId="5" hidden="1">{#N/A,#N/A,FALSE,"조골재"}</definedName>
    <definedName name="ㅓㅗ헣로ㅓ_3" hidden="1">{#N/A,#N/A,FALSE,"조골재"}</definedName>
    <definedName name="ㅓㅗ헣로ㅓ_4" localSheetId="5" hidden="1">{#N/A,#N/A,FALSE,"조골재"}</definedName>
    <definedName name="ㅓㅗ헣로ㅓ_4" hidden="1">{#N/A,#N/A,FALSE,"조골재"}</definedName>
    <definedName name="ㅓㅗ헣로ㅓ_5" localSheetId="5" hidden="1">{#N/A,#N/A,FALSE,"조골재"}</definedName>
    <definedName name="ㅓㅗ헣로ㅓ_5" hidden="1">{#N/A,#N/A,FALSE,"조골재"}</definedName>
    <definedName name="ㅓㅗ헣호ㅓ" localSheetId="5" hidden="1">{#N/A,#N/A,FALSE,"조골재"}</definedName>
    <definedName name="ㅓㅗ헣호ㅓ" hidden="1">{#N/A,#N/A,FALSE,"조골재"}</definedName>
    <definedName name="ㅓㅗ헣호ㅓ_1" localSheetId="5" hidden="1">{#N/A,#N/A,FALSE,"조골재"}</definedName>
    <definedName name="ㅓㅗ헣호ㅓ_1" hidden="1">{#N/A,#N/A,FALSE,"조골재"}</definedName>
    <definedName name="ㅓㅗ헣호ㅓ_2" localSheetId="5" hidden="1">{#N/A,#N/A,FALSE,"조골재"}</definedName>
    <definedName name="ㅓㅗ헣호ㅓ_2" hidden="1">{#N/A,#N/A,FALSE,"조골재"}</definedName>
    <definedName name="ㅓㅗ헣호ㅓ_3" localSheetId="5" hidden="1">{#N/A,#N/A,FALSE,"조골재"}</definedName>
    <definedName name="ㅓㅗ헣호ㅓ_3" hidden="1">{#N/A,#N/A,FALSE,"조골재"}</definedName>
    <definedName name="ㅓㅗ헣호ㅓ_4" localSheetId="5" hidden="1">{#N/A,#N/A,FALSE,"조골재"}</definedName>
    <definedName name="ㅓㅗ헣호ㅓ_4" hidden="1">{#N/A,#N/A,FALSE,"조골재"}</definedName>
    <definedName name="ㅓㅗ헣호ㅓ_5" localSheetId="5" hidden="1">{#N/A,#N/A,FALSE,"조골재"}</definedName>
    <definedName name="ㅓㅗ헣호ㅓ_5" hidden="1">{#N/A,#N/A,FALSE,"조골재"}</definedName>
    <definedName name="ㅓㅗ호ㅓㅗ" localSheetId="5" hidden="1">{#N/A,#N/A,FALSE,"2~8번"}</definedName>
    <definedName name="ㅓㅗ호ㅓㅗ" hidden="1">{#N/A,#N/A,FALSE,"2~8번"}</definedName>
    <definedName name="ㅓㅗ호ㅓㅗ_1" localSheetId="5" hidden="1">{#N/A,#N/A,FALSE,"2~8번"}</definedName>
    <definedName name="ㅓㅗ호ㅓㅗ_1" hidden="1">{#N/A,#N/A,FALSE,"2~8번"}</definedName>
    <definedName name="ㅓㅗ호ㅓㅗ_2" localSheetId="5" hidden="1">{#N/A,#N/A,FALSE,"2~8번"}</definedName>
    <definedName name="ㅓㅗ호ㅓㅗ_2" hidden="1">{#N/A,#N/A,FALSE,"2~8번"}</definedName>
    <definedName name="ㅓㅗ호ㅓㅗ_3" localSheetId="5" hidden="1">{#N/A,#N/A,FALSE,"2~8번"}</definedName>
    <definedName name="ㅓㅗ호ㅓㅗ_3" hidden="1">{#N/A,#N/A,FALSE,"2~8번"}</definedName>
    <definedName name="ㅓㅗ호ㅓㅗ_4" localSheetId="5" hidden="1">{#N/A,#N/A,FALSE,"2~8번"}</definedName>
    <definedName name="ㅓㅗ호ㅓㅗ_4" hidden="1">{#N/A,#N/A,FALSE,"2~8번"}</definedName>
    <definedName name="ㅓㅗ호ㅓㅗ_5" localSheetId="5" hidden="1">{#N/A,#N/A,FALSE,"2~8번"}</definedName>
    <definedName name="ㅓㅗ호ㅓㅗ_5" hidden="1">{#N/A,#N/A,FALSE,"2~8번"}</definedName>
    <definedName name="ㅓㅗㅗ" localSheetId="5" hidden="1">{#N/A,#N/A,FALSE,"단가표지"}</definedName>
    <definedName name="ㅓㅗㅗ" hidden="1">{#N/A,#N/A,FALSE,"단가표지"}</definedName>
    <definedName name="ㅓㅗㅗ_1" localSheetId="5" hidden="1">{#N/A,#N/A,FALSE,"단가표지"}</definedName>
    <definedName name="ㅓㅗㅗ_1" hidden="1">{#N/A,#N/A,FALSE,"단가표지"}</definedName>
    <definedName name="ㅓㅗㅗ_2" localSheetId="5" hidden="1">{#N/A,#N/A,FALSE,"단가표지"}</definedName>
    <definedName name="ㅓㅗㅗ_2" hidden="1">{#N/A,#N/A,FALSE,"단가표지"}</definedName>
    <definedName name="ㅓㅗㅗ_3" localSheetId="5" hidden="1">{#N/A,#N/A,FALSE,"단가표지"}</definedName>
    <definedName name="ㅓㅗㅗ_3" hidden="1">{#N/A,#N/A,FALSE,"단가표지"}</definedName>
    <definedName name="ㅓㅗㅗ_4" localSheetId="5" hidden="1">{#N/A,#N/A,FALSE,"단가표지"}</definedName>
    <definedName name="ㅓㅗㅗ_4" hidden="1">{#N/A,#N/A,FALSE,"단가표지"}</definedName>
    <definedName name="ㅓㅗㅗ_5" localSheetId="5" hidden="1">{#N/A,#N/A,FALSE,"단가표지"}</definedName>
    <definedName name="ㅓㅗㅗ_5" hidden="1">{#N/A,#N/A,FALSE,"단가표지"}</definedName>
    <definedName name="ㅓㅗㅗㅗ" localSheetId="5" hidden="1">{#N/A,#N/A,FALSE,"골재소요량";#N/A,#N/A,FALSE,"골재소요량"}</definedName>
    <definedName name="ㅓㅗㅗㅗ" hidden="1">{#N/A,#N/A,FALSE,"골재소요량";#N/A,#N/A,FALSE,"골재소요량"}</definedName>
    <definedName name="ㅓㅗㅗㅗ_1" localSheetId="5" hidden="1">{#N/A,#N/A,FALSE,"골재소요량";#N/A,#N/A,FALSE,"골재소요량"}</definedName>
    <definedName name="ㅓㅗㅗㅗ_1" hidden="1">{#N/A,#N/A,FALSE,"골재소요량";#N/A,#N/A,FALSE,"골재소요량"}</definedName>
    <definedName name="ㅓㅗㅗㅗ_2" localSheetId="5" hidden="1">{#N/A,#N/A,FALSE,"골재소요량";#N/A,#N/A,FALSE,"골재소요량"}</definedName>
    <definedName name="ㅓㅗㅗㅗ_2" hidden="1">{#N/A,#N/A,FALSE,"골재소요량";#N/A,#N/A,FALSE,"골재소요량"}</definedName>
    <definedName name="ㅓㅗㅗㅗ_3" localSheetId="5" hidden="1">{#N/A,#N/A,FALSE,"골재소요량";#N/A,#N/A,FALSE,"골재소요량"}</definedName>
    <definedName name="ㅓㅗㅗㅗ_3" hidden="1">{#N/A,#N/A,FALSE,"골재소요량";#N/A,#N/A,FALSE,"골재소요량"}</definedName>
    <definedName name="ㅓㅗㅗㅗ_4" localSheetId="5" hidden="1">{#N/A,#N/A,FALSE,"골재소요량";#N/A,#N/A,FALSE,"골재소요량"}</definedName>
    <definedName name="ㅓㅗㅗㅗ_4" hidden="1">{#N/A,#N/A,FALSE,"골재소요량";#N/A,#N/A,FALSE,"골재소요량"}</definedName>
    <definedName name="ㅓㅗㅗㅗ_5" localSheetId="5" hidden="1">{#N/A,#N/A,FALSE,"골재소요량";#N/A,#N/A,FALSE,"골재소요량"}</definedName>
    <definedName name="ㅓㅗㅗㅗ_5" hidden="1">{#N/A,#N/A,FALSE,"골재소요량";#N/A,#N/A,FALSE,"골재소요량"}</definedName>
    <definedName name="ㅓㅛ" localSheetId="5" hidden="1">{#N/A,#N/A,FALSE,"토공2"}</definedName>
    <definedName name="ㅓㅛ" localSheetId="9" hidden="1">{#N/A,#N/A,FALSE,"토공2"}</definedName>
    <definedName name="ㅓㅛ" localSheetId="10" hidden="1">{#N/A,#N/A,FALSE,"토공2"}</definedName>
    <definedName name="ㅓㅛ" localSheetId="6" hidden="1">{#N/A,#N/A,FALSE,"토공2"}</definedName>
    <definedName name="ㅓㅛ" localSheetId="3" hidden="1">{#N/A,#N/A,FALSE,"토공2"}</definedName>
    <definedName name="ㅓㅛ" hidden="1">{#N/A,#N/A,FALSE,"토공2"}</definedName>
    <definedName name="ㅓㅛㅅㄱ" localSheetId="5" hidden="1">{#N/A,#N/A,FALSE,"이태원철근"}</definedName>
    <definedName name="ㅓㅛㅅㄱ" hidden="1">{#N/A,#N/A,FALSE,"이태원철근"}</definedName>
    <definedName name="ㅔ" localSheetId="5" hidden="1">{#N/A,#N/A,FALSE,"이태원철근"}</definedName>
    <definedName name="ㅔ" hidden="1">{#N/A,#N/A,FALSE,"이태원철근"}</definedName>
    <definedName name="ㅔㅔㅔ" localSheetId="5" hidden="1">{#N/A,#N/A,TRUE,"총괄"}</definedName>
    <definedName name="ㅔㅔㅔ" hidden="1">{#N/A,#N/A,TRUE,"총괄"}</definedName>
    <definedName name="ㅔㅔㅔ_1" localSheetId="5" hidden="1">{#N/A,#N/A,TRUE,"총괄"}</definedName>
    <definedName name="ㅔㅔㅔ_1" hidden="1">{#N/A,#N/A,TRUE,"총괄"}</definedName>
    <definedName name="ㅔㅔㅔ_2" localSheetId="5" hidden="1">{#N/A,#N/A,TRUE,"총괄"}</definedName>
    <definedName name="ㅔㅔㅔ_2" hidden="1">{#N/A,#N/A,TRUE,"총괄"}</definedName>
    <definedName name="ㅔㅔㅔ_3" localSheetId="5" hidden="1">{#N/A,#N/A,TRUE,"총괄"}</definedName>
    <definedName name="ㅔㅔㅔ_3" hidden="1">{#N/A,#N/A,TRUE,"총괄"}</definedName>
    <definedName name="ㅔㅔㅔ_4" localSheetId="5" hidden="1">{#N/A,#N/A,TRUE,"총괄"}</definedName>
    <definedName name="ㅔㅔㅔ_4" hidden="1">{#N/A,#N/A,TRUE,"총괄"}</definedName>
    <definedName name="ㅔㅔㅔ_5" localSheetId="5" hidden="1">{#N/A,#N/A,TRUE,"총괄"}</definedName>
    <definedName name="ㅔㅔㅔ_5" hidden="1">{#N/A,#N/A,TRUE,"총괄"}</definedName>
    <definedName name="ㅕ" localSheetId="5" hidden="1">{#N/A,#N/A,FALSE,"이태원철근"}</definedName>
    <definedName name="ㅕ" hidden="1">{#N/A,#N/A,FALSE,"이태원철근"}</definedName>
    <definedName name="ㅕ겨겨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5" hidden="1">{#N/A,#N/A,FALSE,"이태원철근"}</definedName>
    <definedName name="ㅗ" hidden="1">{#N/A,#N/A,FALSE,"이태원철근"}</definedName>
    <definedName name="ㅗㄱ" localSheetId="5" hidden="1">{#N/A,#N/A,FALSE,"이태원철근"}</definedName>
    <definedName name="ㅗㄱ" hidden="1">{#N/A,#N/A,FALSE,"이태원철근"}</definedName>
    <definedName name="ㅗㄳ" localSheetId="5" hidden="1">{#N/A,#N/A,FALSE,"이태원철근"}</definedName>
    <definedName name="ㅗㄳ" hidden="1">{#N/A,#N/A,FALSE,"이태원철근"}</definedName>
    <definedName name="ㅗㄹㄶ" localSheetId="5" hidden="1">{#N/A,#N/A,FALSE,"조골재"}</definedName>
    <definedName name="ㅗㄹㄶ" hidden="1">{#N/A,#N/A,FALSE,"조골재"}</definedName>
    <definedName name="ㅗㄹㄶ_1" localSheetId="5" hidden="1">{#N/A,#N/A,FALSE,"조골재"}</definedName>
    <definedName name="ㅗㄹㄶ_1" hidden="1">{#N/A,#N/A,FALSE,"조골재"}</definedName>
    <definedName name="ㅗㄹㄶ_2" localSheetId="5" hidden="1">{#N/A,#N/A,FALSE,"조골재"}</definedName>
    <definedName name="ㅗㄹㄶ_2" hidden="1">{#N/A,#N/A,FALSE,"조골재"}</definedName>
    <definedName name="ㅗㄹㄶ_3" localSheetId="5" hidden="1">{#N/A,#N/A,FALSE,"조골재"}</definedName>
    <definedName name="ㅗㄹㄶ_3" hidden="1">{#N/A,#N/A,FALSE,"조골재"}</definedName>
    <definedName name="ㅗㄹㄶ_4" localSheetId="5" hidden="1">{#N/A,#N/A,FALSE,"조골재"}</definedName>
    <definedName name="ㅗㄹㄶ_4" hidden="1">{#N/A,#N/A,FALSE,"조골재"}</definedName>
    <definedName name="ㅗㄹㄶ_5" localSheetId="5" hidden="1">{#N/A,#N/A,FALSE,"조골재"}</definedName>
    <definedName name="ㅗㄹㄶ_5" hidden="1">{#N/A,#N/A,FALSE,"조골재"}</definedName>
    <definedName name="ㅗㅎ" localSheetId="5" hidden="1">{#N/A,#N/A,FALSE,"운반시간"}</definedName>
    <definedName name="ㅗㅎ" hidden="1">{#N/A,#N/A,FALSE,"운반시간"}</definedName>
    <definedName name="ㅗㅎ_1" localSheetId="5" hidden="1">{#N/A,#N/A,FALSE,"운반시간"}</definedName>
    <definedName name="ㅗㅎ_1" hidden="1">{#N/A,#N/A,FALSE,"운반시간"}</definedName>
    <definedName name="ㅗㅎ_2" localSheetId="5" hidden="1">{#N/A,#N/A,FALSE,"운반시간"}</definedName>
    <definedName name="ㅗㅎ_2" hidden="1">{#N/A,#N/A,FALSE,"운반시간"}</definedName>
    <definedName name="ㅗㅎ_3" localSheetId="5" hidden="1">{#N/A,#N/A,FALSE,"운반시간"}</definedName>
    <definedName name="ㅗㅎ_3" hidden="1">{#N/A,#N/A,FALSE,"운반시간"}</definedName>
    <definedName name="ㅗㅎ_4" localSheetId="5" hidden="1">{#N/A,#N/A,FALSE,"운반시간"}</definedName>
    <definedName name="ㅗㅎ_4" hidden="1">{#N/A,#N/A,FALSE,"운반시간"}</definedName>
    <definedName name="ㅗㅎ_5" localSheetId="5" hidden="1">{#N/A,#N/A,FALSE,"운반시간"}</definedName>
    <definedName name="ㅗㅎ_5" hidden="1">{#N/A,#N/A,FALSE,"운반시간"}</definedName>
    <definedName name="ㅗㅎㄴ" localSheetId="5" hidden="1">{#N/A,#N/A,FALSE,"골재소요량";#N/A,#N/A,FALSE,"골재소요량"}</definedName>
    <definedName name="ㅗㅎㄴ" hidden="1">{#N/A,#N/A,FALSE,"골재소요량";#N/A,#N/A,FALSE,"골재소요량"}</definedName>
    <definedName name="ㅗㅎㄴ_1" localSheetId="5" hidden="1">{#N/A,#N/A,FALSE,"골재소요량";#N/A,#N/A,FALSE,"골재소요량"}</definedName>
    <definedName name="ㅗㅎㄴ_1" hidden="1">{#N/A,#N/A,FALSE,"골재소요량";#N/A,#N/A,FALSE,"골재소요량"}</definedName>
    <definedName name="ㅗㅎㄴ_2" localSheetId="5" hidden="1">{#N/A,#N/A,FALSE,"골재소요량";#N/A,#N/A,FALSE,"골재소요량"}</definedName>
    <definedName name="ㅗㅎㄴ_2" hidden="1">{#N/A,#N/A,FALSE,"골재소요량";#N/A,#N/A,FALSE,"골재소요량"}</definedName>
    <definedName name="ㅗㅎㄴ_3" localSheetId="5" hidden="1">{#N/A,#N/A,FALSE,"골재소요량";#N/A,#N/A,FALSE,"골재소요량"}</definedName>
    <definedName name="ㅗㅎㄴ_3" hidden="1">{#N/A,#N/A,FALSE,"골재소요량";#N/A,#N/A,FALSE,"골재소요량"}</definedName>
    <definedName name="ㅗㅎㄴ_4" localSheetId="5" hidden="1">{#N/A,#N/A,FALSE,"골재소요량";#N/A,#N/A,FALSE,"골재소요량"}</definedName>
    <definedName name="ㅗㅎㄴ_4" hidden="1">{#N/A,#N/A,FALSE,"골재소요량";#N/A,#N/A,FALSE,"골재소요량"}</definedName>
    <definedName name="ㅗㅎㄴ_5" localSheetId="5" hidden="1">{#N/A,#N/A,FALSE,"골재소요량";#N/A,#N/A,FALSE,"골재소요량"}</definedName>
    <definedName name="ㅗㅎㄴ_5" hidden="1">{#N/A,#N/A,FALSE,"골재소요량";#N/A,#N/A,FALSE,"골재소요량"}</definedName>
    <definedName name="ㅗㅎㄴㄹ" localSheetId="5" hidden="1">{#N/A,#N/A,FALSE,"단가표지"}</definedName>
    <definedName name="ㅗㅎㄴㄹ" hidden="1">{#N/A,#N/A,FALSE,"단가표지"}</definedName>
    <definedName name="ㅗㅎㄴㄹ_1" localSheetId="5" hidden="1">{#N/A,#N/A,FALSE,"단가표지"}</definedName>
    <definedName name="ㅗㅎㄴㄹ_1" hidden="1">{#N/A,#N/A,FALSE,"단가표지"}</definedName>
    <definedName name="ㅗㅎㄴㄹ_2" localSheetId="5" hidden="1">{#N/A,#N/A,FALSE,"단가표지"}</definedName>
    <definedName name="ㅗㅎㄴㄹ_2" hidden="1">{#N/A,#N/A,FALSE,"단가표지"}</definedName>
    <definedName name="ㅗㅎㄴㄹ_3" localSheetId="5" hidden="1">{#N/A,#N/A,FALSE,"단가표지"}</definedName>
    <definedName name="ㅗㅎㄴㄹ_3" hidden="1">{#N/A,#N/A,FALSE,"단가표지"}</definedName>
    <definedName name="ㅗㅎㄴㄹ_4" localSheetId="5" hidden="1">{#N/A,#N/A,FALSE,"단가표지"}</definedName>
    <definedName name="ㅗㅎㄴㄹ_4" hidden="1">{#N/A,#N/A,FALSE,"단가표지"}</definedName>
    <definedName name="ㅗㅎㄴㄹ_5" localSheetId="5" hidden="1">{#N/A,#N/A,FALSE,"단가표지"}</definedName>
    <definedName name="ㅗㅎㄴㄹ_5" hidden="1">{#N/A,#N/A,FALSE,"단가표지"}</definedName>
    <definedName name="ㅗㅎ로ㅜ" localSheetId="5" hidden="1">{#N/A,#N/A,FALSE,"운반시간"}</definedName>
    <definedName name="ㅗㅎ로ㅜ" hidden="1">{#N/A,#N/A,FALSE,"운반시간"}</definedName>
    <definedName name="ㅗㅎ로ㅜ_1" localSheetId="5" hidden="1">{#N/A,#N/A,FALSE,"운반시간"}</definedName>
    <definedName name="ㅗㅎ로ㅜ_1" hidden="1">{#N/A,#N/A,FALSE,"운반시간"}</definedName>
    <definedName name="ㅗㅎ로ㅜ_2" localSheetId="5" hidden="1">{#N/A,#N/A,FALSE,"운반시간"}</definedName>
    <definedName name="ㅗㅎ로ㅜ_2" hidden="1">{#N/A,#N/A,FALSE,"운반시간"}</definedName>
    <definedName name="ㅗㅎ로ㅜ_3" localSheetId="5" hidden="1">{#N/A,#N/A,FALSE,"운반시간"}</definedName>
    <definedName name="ㅗㅎ로ㅜ_3" hidden="1">{#N/A,#N/A,FALSE,"운반시간"}</definedName>
    <definedName name="ㅗㅎ로ㅜ_4" localSheetId="5" hidden="1">{#N/A,#N/A,FALSE,"운반시간"}</definedName>
    <definedName name="ㅗㅎ로ㅜ_4" hidden="1">{#N/A,#N/A,FALSE,"운반시간"}</definedName>
    <definedName name="ㅗㅎ로ㅜ_5" localSheetId="5" hidden="1">{#N/A,#N/A,FALSE,"운반시간"}</definedName>
    <definedName name="ㅗㅎ로ㅜ_5" hidden="1">{#N/A,#N/A,FALSE,"운반시간"}</definedName>
    <definedName name="ㅗㅎ론ㄹ" localSheetId="5" hidden="1">{#N/A,#N/A,FALSE,"표지목차"}</definedName>
    <definedName name="ㅗㅎ론ㄹ" hidden="1">{#N/A,#N/A,FALSE,"표지목차"}</definedName>
    <definedName name="ㅗㅎ론ㄹ_1" localSheetId="5" hidden="1">{#N/A,#N/A,FALSE,"표지목차"}</definedName>
    <definedName name="ㅗㅎ론ㄹ_1" hidden="1">{#N/A,#N/A,FALSE,"표지목차"}</definedName>
    <definedName name="ㅗㅎ론ㄹ_2" localSheetId="5" hidden="1">{#N/A,#N/A,FALSE,"표지목차"}</definedName>
    <definedName name="ㅗㅎ론ㄹ_2" hidden="1">{#N/A,#N/A,FALSE,"표지목차"}</definedName>
    <definedName name="ㅗㅎ론ㄹ_3" localSheetId="5" hidden="1">{#N/A,#N/A,FALSE,"표지목차"}</definedName>
    <definedName name="ㅗㅎ론ㄹ_3" hidden="1">{#N/A,#N/A,FALSE,"표지목차"}</definedName>
    <definedName name="ㅗㅎ론ㄹ_4" localSheetId="5" hidden="1">{#N/A,#N/A,FALSE,"표지목차"}</definedName>
    <definedName name="ㅗㅎ론ㄹ_4" hidden="1">{#N/A,#N/A,FALSE,"표지목차"}</definedName>
    <definedName name="ㅗㅎ론ㄹ_5" localSheetId="5" hidden="1">{#N/A,#N/A,FALSE,"표지목차"}</definedName>
    <definedName name="ㅗㅎ론ㄹ_5" hidden="1">{#N/A,#N/A,FALSE,"표지목차"}</definedName>
    <definedName name="ㅗㅎ롯홋ㄱ" localSheetId="5" hidden="1">{#N/A,#N/A,FALSE,"혼합골재"}</definedName>
    <definedName name="ㅗㅎ롯홋ㄱ" hidden="1">{#N/A,#N/A,FALSE,"혼합골재"}</definedName>
    <definedName name="ㅗㅎ롯홋ㄱ_1" localSheetId="5" hidden="1">{#N/A,#N/A,FALSE,"혼합골재"}</definedName>
    <definedName name="ㅗㅎ롯홋ㄱ_1" hidden="1">{#N/A,#N/A,FALSE,"혼합골재"}</definedName>
    <definedName name="ㅗㅎ롯홋ㄱ_2" localSheetId="5" hidden="1">{#N/A,#N/A,FALSE,"혼합골재"}</definedName>
    <definedName name="ㅗㅎ롯홋ㄱ_2" hidden="1">{#N/A,#N/A,FALSE,"혼합골재"}</definedName>
    <definedName name="ㅗㅎ롯홋ㄱ_3" localSheetId="5" hidden="1">{#N/A,#N/A,FALSE,"혼합골재"}</definedName>
    <definedName name="ㅗㅎ롯홋ㄱ_3" hidden="1">{#N/A,#N/A,FALSE,"혼합골재"}</definedName>
    <definedName name="ㅗㅎ롯홋ㄱ_4" localSheetId="5" hidden="1">{#N/A,#N/A,FALSE,"혼합골재"}</definedName>
    <definedName name="ㅗㅎ롯홋ㄱ_4" hidden="1">{#N/A,#N/A,FALSE,"혼합골재"}</definedName>
    <definedName name="ㅗㅎ롯홋ㄱ_5" localSheetId="5" hidden="1">{#N/A,#N/A,FALSE,"혼합골재"}</definedName>
    <definedName name="ㅗㅎ롯홋ㄱ_5" hidden="1">{#N/A,#N/A,FALSE,"혼합골재"}</definedName>
    <definedName name="ㅗㅎㅈㅈㅈㅈㅈㅈㅈㅈ" localSheetId="5" hidden="1">{#N/A,#N/A,FALSE,"이태원철근"}</definedName>
    <definedName name="ㅗㅎㅈㅈㅈㅈㅈㅈㅈㅈ" hidden="1">{#N/A,#N/A,FALSE,"이태원철근"}</definedName>
    <definedName name="ㅗ허ㅗ" localSheetId="5" hidden="1">{#N/A,#N/A,FALSE,"단가표지"}</definedName>
    <definedName name="ㅗ허ㅗ" hidden="1">{#N/A,#N/A,FALSE,"단가표지"}</definedName>
    <definedName name="ㅗ허ㅗ_1" localSheetId="5" hidden="1">{#N/A,#N/A,FALSE,"단가표지"}</definedName>
    <definedName name="ㅗ허ㅗ_1" hidden="1">{#N/A,#N/A,FALSE,"단가표지"}</definedName>
    <definedName name="ㅗ허ㅗ_2" localSheetId="5" hidden="1">{#N/A,#N/A,FALSE,"단가표지"}</definedName>
    <definedName name="ㅗ허ㅗ_2" hidden="1">{#N/A,#N/A,FALSE,"단가표지"}</definedName>
    <definedName name="ㅗ허ㅗ_3" localSheetId="5" hidden="1">{#N/A,#N/A,FALSE,"단가표지"}</definedName>
    <definedName name="ㅗ허ㅗ_3" hidden="1">{#N/A,#N/A,FALSE,"단가표지"}</definedName>
    <definedName name="ㅗ허ㅗ_4" localSheetId="5" hidden="1">{#N/A,#N/A,FALSE,"단가표지"}</definedName>
    <definedName name="ㅗ허ㅗ_4" hidden="1">{#N/A,#N/A,FALSE,"단가표지"}</definedName>
    <definedName name="ㅗ허ㅗ_5" localSheetId="5" hidden="1">{#N/A,#N/A,FALSE,"단가표지"}</definedName>
    <definedName name="ㅗ허ㅗ_5" hidden="1">{#N/A,#N/A,FALSE,"단가표지"}</definedName>
    <definedName name="ㅗ호" localSheetId="5" hidden="1">{#N/A,#N/A,FALSE,"단가표지"}</definedName>
    <definedName name="ㅗ호" hidden="1">{#N/A,#N/A,FALSE,"단가표지"}</definedName>
    <definedName name="ㅗ호_1" localSheetId="5" hidden="1">{#N/A,#N/A,FALSE,"단가표지"}</definedName>
    <definedName name="ㅗ호_1" hidden="1">{#N/A,#N/A,FALSE,"단가표지"}</definedName>
    <definedName name="ㅗ호_2" localSheetId="5" hidden="1">{#N/A,#N/A,FALSE,"단가표지"}</definedName>
    <definedName name="ㅗ호_2" hidden="1">{#N/A,#N/A,FALSE,"단가표지"}</definedName>
    <definedName name="ㅗ호_3" localSheetId="5" hidden="1">{#N/A,#N/A,FALSE,"단가표지"}</definedName>
    <definedName name="ㅗ호_3" hidden="1">{#N/A,#N/A,FALSE,"단가표지"}</definedName>
    <definedName name="ㅗ호_4" localSheetId="5" hidden="1">{#N/A,#N/A,FALSE,"단가표지"}</definedName>
    <definedName name="ㅗ호_4" hidden="1">{#N/A,#N/A,FALSE,"단가표지"}</definedName>
    <definedName name="ㅗ호_5" localSheetId="5" hidden="1">{#N/A,#N/A,FALSE,"단가표지"}</definedName>
    <definedName name="ㅗ호_5" hidden="1">{#N/A,#N/A,FALSE,"단가표지"}</definedName>
    <definedName name="ㅗ홓ㅎ로" localSheetId="5" hidden="1">{"'장비'!$A$3:$M$12"}</definedName>
    <definedName name="ㅗ홓ㅎ로" localSheetId="9" hidden="1">{"'장비'!$A$3:$M$12"}</definedName>
    <definedName name="ㅗ홓ㅎ로" localSheetId="10" hidden="1">{"'장비'!$A$3:$M$12"}</definedName>
    <definedName name="ㅗ홓ㅎ로" localSheetId="6" hidden="1">{"'장비'!$A$3:$M$12"}</definedName>
    <definedName name="ㅗ홓ㅎ로" localSheetId="3" hidden="1">{"'장비'!$A$3:$M$12"}</definedName>
    <definedName name="ㅗ홓ㅎ로" hidden="1">{"'장비'!$A$3:$M$12"}</definedName>
    <definedName name="ㅗ홓ㅎ로_1" localSheetId="5" hidden="1">{"'장비'!$A$3:$M$12"}</definedName>
    <definedName name="ㅗ홓ㅎ로_1" localSheetId="9" hidden="1">{"'장비'!$A$3:$M$12"}</definedName>
    <definedName name="ㅗ홓ㅎ로_1" localSheetId="10" hidden="1">{"'장비'!$A$3:$M$12"}</definedName>
    <definedName name="ㅗ홓ㅎ로_1" localSheetId="6" hidden="1">{"'장비'!$A$3:$M$12"}</definedName>
    <definedName name="ㅗ홓ㅎ로_1" localSheetId="3" hidden="1">{"'장비'!$A$3:$M$12"}</definedName>
    <definedName name="ㅗ홓ㅎ로_1" hidden="1">{"'장비'!$A$3:$M$12"}</definedName>
    <definedName name="ㅗㅓ쇼ㅓㅕㄷ쇼ㅓㅕㄷㅅ" localSheetId="5" hidden="1">{#N/A,#N/A,FALSE,"단가표지"}</definedName>
    <definedName name="ㅗㅓ쇼ㅓㅕㄷ쇼ㅓㅕㄷㅅ" hidden="1">{#N/A,#N/A,FALSE,"단가표지"}</definedName>
    <definedName name="ㅗㅓ쇼ㅓㅕㄷ쇼ㅓㅕㄷㅅ_1" localSheetId="5" hidden="1">{#N/A,#N/A,FALSE,"단가표지"}</definedName>
    <definedName name="ㅗㅓ쇼ㅓㅕㄷ쇼ㅓㅕㄷㅅ_1" hidden="1">{#N/A,#N/A,FALSE,"단가표지"}</definedName>
    <definedName name="ㅗㅓ쇼ㅓㅕㄷ쇼ㅓㅕㄷㅅ_2" localSheetId="5" hidden="1">{#N/A,#N/A,FALSE,"단가표지"}</definedName>
    <definedName name="ㅗㅓ쇼ㅓㅕㄷ쇼ㅓㅕㄷㅅ_2" hidden="1">{#N/A,#N/A,FALSE,"단가표지"}</definedName>
    <definedName name="ㅗㅓ쇼ㅓㅕㄷ쇼ㅓㅕㄷㅅ_3" localSheetId="5" hidden="1">{#N/A,#N/A,FALSE,"단가표지"}</definedName>
    <definedName name="ㅗㅓ쇼ㅓㅕㄷ쇼ㅓㅕㄷㅅ_3" hidden="1">{#N/A,#N/A,FALSE,"단가표지"}</definedName>
    <definedName name="ㅗㅓ쇼ㅓㅕㄷ쇼ㅓㅕㄷㅅ_4" localSheetId="5" hidden="1">{#N/A,#N/A,FALSE,"단가표지"}</definedName>
    <definedName name="ㅗㅓ쇼ㅓㅕㄷ쇼ㅓㅕㄷㅅ_4" hidden="1">{#N/A,#N/A,FALSE,"단가표지"}</definedName>
    <definedName name="ㅗㅓ쇼ㅓㅕㄷ쇼ㅓㅕㄷㅅ_5" localSheetId="5" hidden="1">{#N/A,#N/A,FALSE,"단가표지"}</definedName>
    <definedName name="ㅗㅓ쇼ㅓㅕㄷ쇼ㅓㅕㄷㅅ_5" hidden="1">{#N/A,#N/A,FALSE,"단가표지"}</definedName>
    <definedName name="ㅗㅓㅎ로ㅓㅎㄹ" localSheetId="5" hidden="1">{#N/A,#N/A,FALSE,"표지목차"}</definedName>
    <definedName name="ㅗㅓㅎ로ㅓㅎㄹ" hidden="1">{#N/A,#N/A,FALSE,"표지목차"}</definedName>
    <definedName name="ㅗㅓㅎ로ㅓㅎㄹ_1" localSheetId="5" hidden="1">{#N/A,#N/A,FALSE,"표지목차"}</definedName>
    <definedName name="ㅗㅓㅎ로ㅓㅎㄹ_1" hidden="1">{#N/A,#N/A,FALSE,"표지목차"}</definedName>
    <definedName name="ㅗㅓㅎ로ㅓㅎㄹ_2" localSheetId="5" hidden="1">{#N/A,#N/A,FALSE,"표지목차"}</definedName>
    <definedName name="ㅗㅓㅎ로ㅓㅎㄹ_2" hidden="1">{#N/A,#N/A,FALSE,"표지목차"}</definedName>
    <definedName name="ㅗㅓㅎ로ㅓㅎㄹ_3" localSheetId="5" hidden="1">{#N/A,#N/A,FALSE,"표지목차"}</definedName>
    <definedName name="ㅗㅓㅎ로ㅓㅎㄹ_3" hidden="1">{#N/A,#N/A,FALSE,"표지목차"}</definedName>
    <definedName name="ㅗㅓㅎ로ㅓㅎㄹ_4" localSheetId="5" hidden="1">{#N/A,#N/A,FALSE,"표지목차"}</definedName>
    <definedName name="ㅗㅓㅎ로ㅓㅎㄹ_4" hidden="1">{#N/A,#N/A,FALSE,"표지목차"}</definedName>
    <definedName name="ㅗㅓㅎ로ㅓㅎㄹ_5" localSheetId="5" hidden="1">{#N/A,#N/A,FALSE,"표지목차"}</definedName>
    <definedName name="ㅗㅓㅎ로ㅓㅎㄹ_5" hidden="1">{#N/A,#N/A,FALSE,"표지목차"}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ㅗㅗ" localSheetId="5" hidden="1">{"'장비'!$A$3:$M$12"}</definedName>
    <definedName name="ㅗㅗㅗㅗㅗ" localSheetId="9" hidden="1">{"'장비'!$A$3:$M$12"}</definedName>
    <definedName name="ㅗㅗㅗㅗㅗ" localSheetId="10" hidden="1">{"'장비'!$A$3:$M$12"}</definedName>
    <definedName name="ㅗㅗㅗㅗㅗ" localSheetId="6" hidden="1">{"'장비'!$A$3:$M$12"}</definedName>
    <definedName name="ㅗㅗㅗㅗㅗ" localSheetId="3" hidden="1">{"'장비'!$A$3:$M$12"}</definedName>
    <definedName name="ㅗㅗㅗㅗㅗ" hidden="1">{"'장비'!$A$3:$M$12"}</definedName>
    <definedName name="ㅗㅗㅗㅗㅗ_1" localSheetId="5" hidden="1">{"'장비'!$A$3:$M$12"}</definedName>
    <definedName name="ㅗㅗㅗㅗㅗ_1" localSheetId="9" hidden="1">{"'장비'!$A$3:$M$12"}</definedName>
    <definedName name="ㅗㅗㅗㅗㅗ_1" localSheetId="10" hidden="1">{"'장비'!$A$3:$M$12"}</definedName>
    <definedName name="ㅗㅗㅗㅗㅗ_1" localSheetId="6" hidden="1">{"'장비'!$A$3:$M$12"}</definedName>
    <definedName name="ㅗㅗㅗㅗㅗ_1" localSheetId="3" hidden="1">{"'장비'!$A$3:$M$12"}</definedName>
    <definedName name="ㅗㅗㅗㅗㅗ_1" hidden="1">{"'장비'!$A$3:$M$12"}</definedName>
    <definedName name="ㅗㅗㅗㅗㅗㅗㅗㅗ" localSheetId="5" hidden="1">{#N/A,#N/A,FALSE,"이태원철근"}</definedName>
    <definedName name="ㅗㅗㅗㅗㅗㅗㅗㅗ" hidden="1">{#N/A,#N/A,FALSE,"이태원철근"}</definedName>
    <definedName name="ㅗㅠㄱㅈ" localSheetId="5" hidden="1">{#N/A,#N/A,FALSE,"이태원철근"}</definedName>
    <definedName name="ㅗㅠㄱㅈ" hidden="1">{#N/A,#N/A,FALSE,"이태원철근"}</definedName>
    <definedName name="ㅗㅠㅍ" localSheetId="5" hidden="1">{#N/A,#N/A,FALSE,"혼합골재"}</definedName>
    <definedName name="ㅗㅠㅍ" hidden="1">{#N/A,#N/A,FALSE,"혼합골재"}</definedName>
    <definedName name="ㅗㅠㅍ_1" localSheetId="5" hidden="1">{#N/A,#N/A,FALSE,"혼합골재"}</definedName>
    <definedName name="ㅗㅠㅍ_1" hidden="1">{#N/A,#N/A,FALSE,"혼합골재"}</definedName>
    <definedName name="ㅗㅠㅍ_2" localSheetId="5" hidden="1">{#N/A,#N/A,FALSE,"혼합골재"}</definedName>
    <definedName name="ㅗㅠㅍ_2" hidden="1">{#N/A,#N/A,FALSE,"혼합골재"}</definedName>
    <definedName name="ㅗㅠㅍ_3" localSheetId="5" hidden="1">{#N/A,#N/A,FALSE,"혼합골재"}</definedName>
    <definedName name="ㅗㅠㅍ_3" hidden="1">{#N/A,#N/A,FALSE,"혼합골재"}</definedName>
    <definedName name="ㅗㅠㅍ_4" localSheetId="5" hidden="1">{#N/A,#N/A,FALSE,"혼합골재"}</definedName>
    <definedName name="ㅗㅠㅍ_4" hidden="1">{#N/A,#N/A,FALSE,"혼합골재"}</definedName>
    <definedName name="ㅗㅠㅍ_5" localSheetId="5" hidden="1">{#N/A,#N/A,FALSE,"혼합골재"}</definedName>
    <definedName name="ㅗㅠㅍ_5" hidden="1">{#N/A,#N/A,FALSE,"혼합골재"}</definedName>
    <definedName name="ㅘ" localSheetId="5" hidden="1">{"'Sheet1'!$L$16"}</definedName>
    <definedName name="ㅘ" localSheetId="9" hidden="1">{"'Sheet1'!$L$16"}</definedName>
    <definedName name="ㅘ" localSheetId="10" hidden="1">{"'Sheet1'!$L$16"}</definedName>
    <definedName name="ㅘ" localSheetId="6" hidden="1">{"'Sheet1'!$L$16"}</definedName>
    <definedName name="ㅘ" localSheetId="3" hidden="1">{"'Sheet1'!$L$16"}</definedName>
    <definedName name="ㅘ" hidden="1">{"'Sheet1'!$L$16"}</definedName>
    <definedName name="ㅛ" localSheetId="5" hidden="1">{"'장비'!$A$3:$M$12"}</definedName>
    <definedName name="ㅛ" localSheetId="9" hidden="1">{"'장비'!$A$3:$M$12"}</definedName>
    <definedName name="ㅛ" localSheetId="10" hidden="1">{"'장비'!$A$3:$M$12"}</definedName>
    <definedName name="ㅛ" localSheetId="6" hidden="1">{"'장비'!$A$3:$M$12"}</definedName>
    <definedName name="ㅛ" localSheetId="3" hidden="1">{#N/A,#N/A,FALSE,"이태원철근"}</definedName>
    <definedName name="ㅛ" hidden="1">{"'장비'!$A$3:$M$12"}</definedName>
    <definedName name="ㅛ_1" localSheetId="5" hidden="1">{"'장비'!$A$3:$M$12"}</definedName>
    <definedName name="ㅛ_1" localSheetId="9" hidden="1">{"'장비'!$A$3:$M$12"}</definedName>
    <definedName name="ㅛ_1" localSheetId="10" hidden="1">{"'장비'!$A$3:$M$12"}</definedName>
    <definedName name="ㅛ_1" localSheetId="6" hidden="1">{"'장비'!$A$3:$M$12"}</definedName>
    <definedName name="ㅛ_1" localSheetId="3" hidden="1">{#N/A,#N/A,FALSE,"조골재"}</definedName>
    <definedName name="ㅛ_1" hidden="1">{"'장비'!$A$3:$M$12"}</definedName>
    <definedName name="ㅛ_2" localSheetId="5" hidden="1">{#N/A,#N/A,FALSE,"조골재"}</definedName>
    <definedName name="ㅛ_2" hidden="1">{#N/A,#N/A,FALSE,"조골재"}</definedName>
    <definedName name="ㅛ_3" localSheetId="5" hidden="1">{#N/A,#N/A,FALSE,"조골재"}</definedName>
    <definedName name="ㅛ_3" hidden="1">{#N/A,#N/A,FALSE,"조골재"}</definedName>
    <definedName name="ㅛ_4" localSheetId="5" hidden="1">{#N/A,#N/A,FALSE,"조골재"}</definedName>
    <definedName name="ㅛ_4" hidden="1">{#N/A,#N/A,FALSE,"조골재"}</definedName>
    <definedName name="ㅛ_5" localSheetId="5" hidden="1">{#N/A,#N/A,FALSE,"조골재"}</definedName>
    <definedName name="ㅛ_5" hidden="1">{#N/A,#N/A,FALSE,"조골재"}</definedName>
    <definedName name="ㅛㅕ하ㅓ" localSheetId="5" hidden="1">{#N/A,#N/A,FALSE,"포장2"}</definedName>
    <definedName name="ㅛㅕ하ㅓ" localSheetId="9" hidden="1">{#N/A,#N/A,FALSE,"포장2"}</definedName>
    <definedName name="ㅛㅕ하ㅓ" localSheetId="10" hidden="1">{#N/A,#N/A,FALSE,"포장2"}</definedName>
    <definedName name="ㅛㅕ하ㅓ" localSheetId="6" hidden="1">{#N/A,#N/A,FALSE,"포장2"}</definedName>
    <definedName name="ㅛㅕ하ㅓ" localSheetId="3" hidden="1">{#N/A,#N/A,FALSE,"포장2"}</definedName>
    <definedName name="ㅛㅕ하ㅓ" hidden="1">{#N/A,#N/A,FALSE,"포장2"}</definedName>
    <definedName name="ㅛㅛㅛ" localSheetId="5" hidden="1">{"'장비'!$A$3:$M$12"}</definedName>
    <definedName name="ㅛㅛㅛ" localSheetId="9" hidden="1">{"'장비'!$A$3:$M$12"}</definedName>
    <definedName name="ㅛㅛㅛ" localSheetId="10" hidden="1">{"'장비'!$A$3:$M$12"}</definedName>
    <definedName name="ㅛㅛㅛ" localSheetId="6" hidden="1">{"'장비'!$A$3:$M$12"}</definedName>
    <definedName name="ㅛㅛㅛ" localSheetId="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{"'장비'!$A$3:$M$12"}</definedName>
    <definedName name="ㅛㅛㅛ_1" localSheetId="5" hidden="1">{"'장비'!$A$3:$M$12"}</definedName>
    <definedName name="ㅛㅛㅛ_1" localSheetId="9" hidden="1">{"'장비'!$A$3:$M$12"}</definedName>
    <definedName name="ㅛㅛㅛ_1" localSheetId="10" hidden="1">{"'장비'!$A$3:$M$12"}</definedName>
    <definedName name="ㅛㅛㅛ_1" localSheetId="6" hidden="1">{"'장비'!$A$3:$M$12"}</definedName>
    <definedName name="ㅛㅛㅛ_1" localSheetId="3" hidden="1">{"'장비'!$A$3:$M$12"}</definedName>
    <definedName name="ㅛㅛㅛ_1" hidden="1">{"'장비'!$A$3:$M$12"}</definedName>
    <definedName name="ㅜ" localSheetId="5" hidden="1">{#N/A,#N/A,FALSE,"배수1"}</definedName>
    <definedName name="ㅜ" localSheetId="9" hidden="1">{#N/A,#N/A,FALSE,"배수1"}</definedName>
    <definedName name="ㅜ" localSheetId="10" hidden="1">{#N/A,#N/A,FALSE,"배수1"}</definedName>
    <definedName name="ㅜ" localSheetId="6" hidden="1">{#N/A,#N/A,FALSE,"배수1"}</definedName>
    <definedName name="ㅜ" localSheetId="3" hidden="1">{#N/A,#N/A,FALSE,"이태원철근"}</definedName>
    <definedName name="ㅜ" hidden="1">{#N/A,#N/A,FALSE,"배수1"}</definedName>
    <definedName name="ㅜㄴㄱ" localSheetId="5" hidden="1">{#N/A,#N/A,FALSE,"운반시간"}</definedName>
    <definedName name="ㅜㄴㄱ" hidden="1">{#N/A,#N/A,FALSE,"운반시간"}</definedName>
    <definedName name="ㅜㄴㄱ_1" localSheetId="5" hidden="1">{#N/A,#N/A,FALSE,"운반시간"}</definedName>
    <definedName name="ㅜㄴㄱ_1" hidden="1">{#N/A,#N/A,FALSE,"운반시간"}</definedName>
    <definedName name="ㅜㄴㄱ_2" localSheetId="5" hidden="1">{#N/A,#N/A,FALSE,"운반시간"}</definedName>
    <definedName name="ㅜㄴㄱ_2" hidden="1">{#N/A,#N/A,FALSE,"운반시간"}</definedName>
    <definedName name="ㅜㄴㄱ_3" localSheetId="5" hidden="1">{#N/A,#N/A,FALSE,"운반시간"}</definedName>
    <definedName name="ㅜㄴㄱ_3" hidden="1">{#N/A,#N/A,FALSE,"운반시간"}</definedName>
    <definedName name="ㅜㄴㄱ_4" localSheetId="5" hidden="1">{#N/A,#N/A,FALSE,"운반시간"}</definedName>
    <definedName name="ㅜㄴㄱ_4" hidden="1">{#N/A,#N/A,FALSE,"운반시간"}</definedName>
    <definedName name="ㅜㄴㄱ_5" localSheetId="5" hidden="1">{#N/A,#N/A,FALSE,"운반시간"}</definedName>
    <definedName name="ㅜㄴㄱ_5" hidden="1">{#N/A,#N/A,FALSE,"운반시간"}</definedName>
    <definedName name="ㅜㄹ윤" localSheetId="5" hidden="1">{#N/A,#N/A,FALSE,"단가표지"}</definedName>
    <definedName name="ㅜㄹ윤" hidden="1">{#N/A,#N/A,FALSE,"단가표지"}</definedName>
    <definedName name="ㅜㄹ윤_1" localSheetId="5" hidden="1">{#N/A,#N/A,FALSE,"단가표지"}</definedName>
    <definedName name="ㅜㄹ윤_1" hidden="1">{#N/A,#N/A,FALSE,"단가표지"}</definedName>
    <definedName name="ㅜㄹ윤_2" localSheetId="5" hidden="1">{#N/A,#N/A,FALSE,"단가표지"}</definedName>
    <definedName name="ㅜㄹ윤_2" hidden="1">{#N/A,#N/A,FALSE,"단가표지"}</definedName>
    <definedName name="ㅜㄹ윤_3" localSheetId="5" hidden="1">{#N/A,#N/A,FALSE,"단가표지"}</definedName>
    <definedName name="ㅜㄹ윤_3" hidden="1">{#N/A,#N/A,FALSE,"단가표지"}</definedName>
    <definedName name="ㅜㄹ윤_4" localSheetId="5" hidden="1">{#N/A,#N/A,FALSE,"단가표지"}</definedName>
    <definedName name="ㅜㄹ윤_4" hidden="1">{#N/A,#N/A,FALSE,"단가표지"}</definedName>
    <definedName name="ㅜㄹ윤_5" localSheetId="5" hidden="1">{#N/A,#N/A,FALSE,"단가표지"}</definedName>
    <definedName name="ㅜㄹ윤_5" hidden="1">{#N/A,#N/A,FALSE,"단가표지"}</definedName>
    <definedName name="ㅜㅀㄴㅇ" localSheetId="5" hidden="1">{#N/A,#N/A,FALSE,"이태원철근"}</definedName>
    <definedName name="ㅜㅀㄴㅇ" hidden="1">{#N/A,#N/A,FALSE,"이태원철근"}</definedName>
    <definedName name="ㅜㅅㅎㄹㅇ" localSheetId="5" hidden="1">{#N/A,#N/A,FALSE,"이태원철근"}</definedName>
    <definedName name="ㅜㅅㅎㄹㅇ" hidden="1">{#N/A,#N/A,FALSE,"이태원철근"}</definedName>
    <definedName name="ㅜㅊㅍ" localSheetId="5" hidden="1">{#N/A,#N/A,FALSE,"표지목차"}</definedName>
    <definedName name="ㅜㅊㅍ" hidden="1">{#N/A,#N/A,FALSE,"표지목차"}</definedName>
    <definedName name="ㅜㅊㅍ_1" localSheetId="5" hidden="1">{#N/A,#N/A,FALSE,"표지목차"}</definedName>
    <definedName name="ㅜㅊㅍ_1" hidden="1">{#N/A,#N/A,FALSE,"표지목차"}</definedName>
    <definedName name="ㅜㅊㅍ_2" localSheetId="5" hidden="1">{#N/A,#N/A,FALSE,"표지목차"}</definedName>
    <definedName name="ㅜㅊㅍ_2" hidden="1">{#N/A,#N/A,FALSE,"표지목차"}</definedName>
    <definedName name="ㅜㅊㅍ_3" localSheetId="5" hidden="1">{#N/A,#N/A,FALSE,"표지목차"}</definedName>
    <definedName name="ㅜㅊㅍ_3" hidden="1">{#N/A,#N/A,FALSE,"표지목차"}</definedName>
    <definedName name="ㅜㅊㅍ_4" localSheetId="5" hidden="1">{#N/A,#N/A,FALSE,"표지목차"}</definedName>
    <definedName name="ㅜㅊㅍ_4" hidden="1">{#N/A,#N/A,FALSE,"표지목차"}</definedName>
    <definedName name="ㅜㅊㅍ_5" localSheetId="5" hidden="1">{#N/A,#N/A,FALSE,"표지목차"}</definedName>
    <definedName name="ㅜㅊㅍ_5" hidden="1">{#N/A,#N/A,FALSE,"표지목차"}</definedName>
    <definedName name="ㅜㅋㅊㅍ" localSheetId="5" hidden="1">{#N/A,#N/A,FALSE,"조골재"}</definedName>
    <definedName name="ㅜㅋㅊㅍ" hidden="1">{#N/A,#N/A,FALSE,"조골재"}</definedName>
    <definedName name="ㅜㅋㅊㅍ_1" localSheetId="5" hidden="1">{#N/A,#N/A,FALSE,"조골재"}</definedName>
    <definedName name="ㅜㅋㅊㅍ_1" hidden="1">{#N/A,#N/A,FALSE,"조골재"}</definedName>
    <definedName name="ㅜㅋㅊㅍ_2" localSheetId="5" hidden="1">{#N/A,#N/A,FALSE,"조골재"}</definedName>
    <definedName name="ㅜㅋㅊㅍ_2" hidden="1">{#N/A,#N/A,FALSE,"조골재"}</definedName>
    <definedName name="ㅜㅋㅊㅍ_3" localSheetId="5" hidden="1">{#N/A,#N/A,FALSE,"조골재"}</definedName>
    <definedName name="ㅜㅋㅊㅍ_3" hidden="1">{#N/A,#N/A,FALSE,"조골재"}</definedName>
    <definedName name="ㅜㅋㅊㅍ_4" localSheetId="5" hidden="1">{#N/A,#N/A,FALSE,"조골재"}</definedName>
    <definedName name="ㅜㅋㅊㅍ_4" hidden="1">{#N/A,#N/A,FALSE,"조골재"}</definedName>
    <definedName name="ㅜㅋㅊㅍ_5" localSheetId="5" hidden="1">{#N/A,#N/A,FALSE,"조골재"}</definedName>
    <definedName name="ㅜㅋㅊㅍ_5" hidden="1">{#N/A,#N/A,FALSE,"조골재"}</definedName>
    <definedName name="ㅜㅍ추ㅠ" localSheetId="5" hidden="1">{#N/A,#N/A,FALSE,"혼합골재"}</definedName>
    <definedName name="ㅜㅍ추ㅠ" hidden="1">{#N/A,#N/A,FALSE,"혼합골재"}</definedName>
    <definedName name="ㅜㅍ추ㅠ_1" localSheetId="5" hidden="1">{#N/A,#N/A,FALSE,"혼합골재"}</definedName>
    <definedName name="ㅜㅍ추ㅠ_1" hidden="1">{#N/A,#N/A,FALSE,"혼합골재"}</definedName>
    <definedName name="ㅜㅍ추ㅠ_2" localSheetId="5" hidden="1">{#N/A,#N/A,FALSE,"혼합골재"}</definedName>
    <definedName name="ㅜㅍ추ㅠ_2" hidden="1">{#N/A,#N/A,FALSE,"혼합골재"}</definedName>
    <definedName name="ㅜㅍ추ㅠ_3" localSheetId="5" hidden="1">{#N/A,#N/A,FALSE,"혼합골재"}</definedName>
    <definedName name="ㅜㅍ추ㅠ_3" hidden="1">{#N/A,#N/A,FALSE,"혼합골재"}</definedName>
    <definedName name="ㅜㅍ추ㅠ_4" localSheetId="5" hidden="1">{#N/A,#N/A,FALSE,"혼합골재"}</definedName>
    <definedName name="ㅜㅍ추ㅠ_4" hidden="1">{#N/A,#N/A,FALSE,"혼합골재"}</definedName>
    <definedName name="ㅜㅍ추ㅠ_5" localSheetId="5" hidden="1">{#N/A,#N/A,FALSE,"혼합골재"}</definedName>
    <definedName name="ㅜㅍ추ㅠ_5" hidden="1">{#N/A,#N/A,FALSE,"혼합골재"}</definedName>
    <definedName name="ㅜㅎㄴ" localSheetId="5" hidden="1">{#N/A,#N/A,FALSE,"골재소요량";#N/A,#N/A,FALSE,"골재소요량"}</definedName>
    <definedName name="ㅜㅎㄴ" hidden="1">{#N/A,#N/A,FALSE,"골재소요량";#N/A,#N/A,FALSE,"골재소요량"}</definedName>
    <definedName name="ㅜㅎㄴ_1" localSheetId="5" hidden="1">{#N/A,#N/A,FALSE,"골재소요량";#N/A,#N/A,FALSE,"골재소요량"}</definedName>
    <definedName name="ㅜㅎㄴ_1" hidden="1">{#N/A,#N/A,FALSE,"골재소요량";#N/A,#N/A,FALSE,"골재소요량"}</definedName>
    <definedName name="ㅜㅎㄴ_2" localSheetId="5" hidden="1">{#N/A,#N/A,FALSE,"골재소요량";#N/A,#N/A,FALSE,"골재소요량"}</definedName>
    <definedName name="ㅜㅎㄴ_2" hidden="1">{#N/A,#N/A,FALSE,"골재소요량";#N/A,#N/A,FALSE,"골재소요량"}</definedName>
    <definedName name="ㅜㅎㄴ_3" localSheetId="5" hidden="1">{#N/A,#N/A,FALSE,"골재소요량";#N/A,#N/A,FALSE,"골재소요량"}</definedName>
    <definedName name="ㅜㅎㄴ_3" hidden="1">{#N/A,#N/A,FALSE,"골재소요량";#N/A,#N/A,FALSE,"골재소요량"}</definedName>
    <definedName name="ㅜㅎㄴ_4" localSheetId="5" hidden="1">{#N/A,#N/A,FALSE,"골재소요량";#N/A,#N/A,FALSE,"골재소요량"}</definedName>
    <definedName name="ㅜㅎㄴ_4" hidden="1">{#N/A,#N/A,FALSE,"골재소요량";#N/A,#N/A,FALSE,"골재소요량"}</definedName>
    <definedName name="ㅜㅎㄴ_5" localSheetId="5" hidden="1">{#N/A,#N/A,FALSE,"골재소요량";#N/A,#N/A,FALSE,"골재소요량"}</definedName>
    <definedName name="ㅜㅎㄴ_5" hidden="1">{#N/A,#N/A,FALSE,"골재소요량";#N/A,#N/A,FALSE,"골재소요량"}</definedName>
    <definedName name="ㅜㅎㅅㄱㄴ" localSheetId="5" hidden="1">{#N/A,#N/A,FALSE,"단가표지"}</definedName>
    <definedName name="ㅜㅎㅅㄱㄴ" hidden="1">{#N/A,#N/A,FALSE,"단가표지"}</definedName>
    <definedName name="ㅜㅎㅅㄱㄴ_1" localSheetId="5" hidden="1">{#N/A,#N/A,FALSE,"단가표지"}</definedName>
    <definedName name="ㅜㅎㅅㄱㄴ_1" hidden="1">{#N/A,#N/A,FALSE,"단가표지"}</definedName>
    <definedName name="ㅜㅎㅅㄱㄴ_2" localSheetId="5" hidden="1">{#N/A,#N/A,FALSE,"단가표지"}</definedName>
    <definedName name="ㅜㅎㅅㄱㄴ_2" hidden="1">{#N/A,#N/A,FALSE,"단가표지"}</definedName>
    <definedName name="ㅜㅎㅅㄱㄴ_3" localSheetId="5" hidden="1">{#N/A,#N/A,FALSE,"단가표지"}</definedName>
    <definedName name="ㅜㅎㅅㄱㄴ_3" hidden="1">{#N/A,#N/A,FALSE,"단가표지"}</definedName>
    <definedName name="ㅜㅎㅅㄱㄴ_4" localSheetId="5" hidden="1">{#N/A,#N/A,FALSE,"단가표지"}</definedName>
    <definedName name="ㅜㅎㅅㄱㄴ_4" hidden="1">{#N/A,#N/A,FALSE,"단가표지"}</definedName>
    <definedName name="ㅜㅎㅅㄱㄴ_5" localSheetId="5" hidden="1">{#N/A,#N/A,FALSE,"단가표지"}</definedName>
    <definedName name="ㅜㅎㅅㄱㄴ_5" hidden="1">{#N/A,#N/A,FALSE,"단가표지"}</definedName>
    <definedName name="ㅜㅏ" localSheetId="5" hidden="1">{#N/A,#N/A,TRUE,"총괄"}</definedName>
    <definedName name="ㅜㅏ" hidden="1">{#N/A,#N/A,TRUE,"총괄"}</definedName>
    <definedName name="ㅜㅏ_1" localSheetId="5" hidden="1">{#N/A,#N/A,TRUE,"총괄"}</definedName>
    <definedName name="ㅜㅏ_1" hidden="1">{#N/A,#N/A,TRUE,"총괄"}</definedName>
    <definedName name="ㅜㅏ_2" localSheetId="5" hidden="1">{#N/A,#N/A,TRUE,"총괄"}</definedName>
    <definedName name="ㅜㅏ_2" hidden="1">{#N/A,#N/A,TRUE,"총괄"}</definedName>
    <definedName name="ㅜㅏ_3" localSheetId="5" hidden="1">{#N/A,#N/A,TRUE,"총괄"}</definedName>
    <definedName name="ㅜㅏ_3" hidden="1">{#N/A,#N/A,TRUE,"총괄"}</definedName>
    <definedName name="ㅜㅏ_4" localSheetId="5" hidden="1">{#N/A,#N/A,TRUE,"총괄"}</definedName>
    <definedName name="ㅜㅏ_4" hidden="1">{#N/A,#N/A,TRUE,"총괄"}</definedName>
    <definedName name="ㅜㅏ_5" localSheetId="5" hidden="1">{#N/A,#N/A,TRUE,"총괄"}</definedName>
    <definedName name="ㅜㅏ_5" hidden="1">{#N/A,#N/A,TRUE,"총괄"}</definedName>
    <definedName name="ㅜㅗ" localSheetId="5" hidden="1">{#N/A,#N/A,FALSE,"이정표"}</definedName>
    <definedName name="ㅜㅗ" localSheetId="9" hidden="1">{#N/A,#N/A,FALSE,"이정표"}</definedName>
    <definedName name="ㅜㅗ" localSheetId="10" hidden="1">{#N/A,#N/A,FALSE,"이정표"}</definedName>
    <definedName name="ㅜㅗ" localSheetId="6" hidden="1">{#N/A,#N/A,FALSE,"이정표"}</definedName>
    <definedName name="ㅜㅗ" localSheetId="3" hidden="1">{#N/A,#N/A,FALSE,"이정표"}</definedName>
    <definedName name="ㅜㅗ" hidden="1">{#N/A,#N/A,FALSE,"이정표"}</definedName>
    <definedName name="ㅜㅗㅇㅎㅌ" localSheetId="5" hidden="1">{#N/A,#N/A,FALSE,"단가표지"}</definedName>
    <definedName name="ㅜㅗㅇㅎㅌ" hidden="1">{#N/A,#N/A,FALSE,"단가표지"}</definedName>
    <definedName name="ㅜㅗㅇㅎㅌ_1" localSheetId="5" hidden="1">{#N/A,#N/A,FALSE,"단가표지"}</definedName>
    <definedName name="ㅜㅗㅇㅎㅌ_1" hidden="1">{#N/A,#N/A,FALSE,"단가표지"}</definedName>
    <definedName name="ㅜㅗㅇㅎㅌ_2" localSheetId="5" hidden="1">{#N/A,#N/A,FALSE,"단가표지"}</definedName>
    <definedName name="ㅜㅗㅇㅎㅌ_2" hidden="1">{#N/A,#N/A,FALSE,"단가표지"}</definedName>
    <definedName name="ㅜㅗㅇㅎㅌ_3" localSheetId="5" hidden="1">{#N/A,#N/A,FALSE,"단가표지"}</definedName>
    <definedName name="ㅜㅗㅇㅎㅌ_3" hidden="1">{#N/A,#N/A,FALSE,"단가표지"}</definedName>
    <definedName name="ㅜㅗㅇㅎㅌ_4" localSheetId="5" hidden="1">{#N/A,#N/A,FALSE,"단가표지"}</definedName>
    <definedName name="ㅜㅗㅇㅎㅌ_4" hidden="1">{#N/A,#N/A,FALSE,"단가표지"}</definedName>
    <definedName name="ㅜㅗㅇㅎㅌ_5" localSheetId="5" hidden="1">{#N/A,#N/A,FALSE,"단가표지"}</definedName>
    <definedName name="ㅜㅗㅇㅎㅌ_5" hidden="1">{#N/A,#N/A,FALSE,"단가표지"}</definedName>
    <definedName name="ㅜㅗㅇ훟" localSheetId="5" hidden="1">{#N/A,#N/A,FALSE,"단가표지"}</definedName>
    <definedName name="ㅜㅗㅇ훟" hidden="1">{#N/A,#N/A,FALSE,"단가표지"}</definedName>
    <definedName name="ㅜㅗㅇ훟_1" localSheetId="5" hidden="1">{#N/A,#N/A,FALSE,"단가표지"}</definedName>
    <definedName name="ㅜㅗㅇ훟_1" hidden="1">{#N/A,#N/A,FALSE,"단가표지"}</definedName>
    <definedName name="ㅜㅗㅇ훟_2" localSheetId="5" hidden="1">{#N/A,#N/A,FALSE,"단가표지"}</definedName>
    <definedName name="ㅜㅗㅇ훟_2" hidden="1">{#N/A,#N/A,FALSE,"단가표지"}</definedName>
    <definedName name="ㅜㅗㅇ훟_3" localSheetId="5" hidden="1">{#N/A,#N/A,FALSE,"단가표지"}</definedName>
    <definedName name="ㅜㅗㅇ훟_3" hidden="1">{#N/A,#N/A,FALSE,"단가표지"}</definedName>
    <definedName name="ㅜㅗㅇ훟_4" localSheetId="5" hidden="1">{#N/A,#N/A,FALSE,"단가표지"}</definedName>
    <definedName name="ㅜㅗㅇ훟_4" hidden="1">{#N/A,#N/A,FALSE,"단가표지"}</definedName>
    <definedName name="ㅜㅗㅇ훟_5" localSheetId="5" hidden="1">{#N/A,#N/A,FALSE,"단가표지"}</definedName>
    <definedName name="ㅜㅗㅇ훟_5" hidden="1">{#N/A,#N/A,FALSE,"단가표지"}</definedName>
    <definedName name="ㅜㅗㅗㅗㅇㅎ" localSheetId="5" hidden="1">{#N/A,#N/A,FALSE,"운반시간"}</definedName>
    <definedName name="ㅜㅗㅗㅗㅇㅎ" hidden="1">{#N/A,#N/A,FALSE,"운반시간"}</definedName>
    <definedName name="ㅜㅗㅗㅗㅇㅎ_1" localSheetId="5" hidden="1">{#N/A,#N/A,FALSE,"운반시간"}</definedName>
    <definedName name="ㅜㅗㅗㅗㅇㅎ_1" hidden="1">{#N/A,#N/A,FALSE,"운반시간"}</definedName>
    <definedName name="ㅜㅗㅗㅗㅇㅎ_2" localSheetId="5" hidden="1">{#N/A,#N/A,FALSE,"운반시간"}</definedName>
    <definedName name="ㅜㅗㅗㅗㅇㅎ_2" hidden="1">{#N/A,#N/A,FALSE,"운반시간"}</definedName>
    <definedName name="ㅜㅗㅗㅗㅇㅎ_3" localSheetId="5" hidden="1">{#N/A,#N/A,FALSE,"운반시간"}</definedName>
    <definedName name="ㅜㅗㅗㅗㅇㅎ_3" hidden="1">{#N/A,#N/A,FALSE,"운반시간"}</definedName>
    <definedName name="ㅜㅗㅗㅗㅇㅎ_4" localSheetId="5" hidden="1">{#N/A,#N/A,FALSE,"운반시간"}</definedName>
    <definedName name="ㅜㅗㅗㅗㅇㅎ_4" hidden="1">{#N/A,#N/A,FALSE,"운반시간"}</definedName>
    <definedName name="ㅜㅗㅗㅗㅇㅎ_5" localSheetId="5" hidden="1">{#N/A,#N/A,FALSE,"운반시간"}</definedName>
    <definedName name="ㅜㅗㅗㅗㅇㅎ_5" hidden="1">{#N/A,#N/A,FALSE,"운반시간"}</definedName>
    <definedName name="ㅜㅠ푸" localSheetId="5" hidden="1">{#N/A,#N/A,FALSE,"운반시간"}</definedName>
    <definedName name="ㅜㅠ푸" hidden="1">{#N/A,#N/A,FALSE,"운반시간"}</definedName>
    <definedName name="ㅜㅠ푸_1" localSheetId="5" hidden="1">{#N/A,#N/A,FALSE,"운반시간"}</definedName>
    <definedName name="ㅜㅠ푸_1" hidden="1">{#N/A,#N/A,FALSE,"운반시간"}</definedName>
    <definedName name="ㅜㅠ푸_2" localSheetId="5" hidden="1">{#N/A,#N/A,FALSE,"운반시간"}</definedName>
    <definedName name="ㅜㅠ푸_2" hidden="1">{#N/A,#N/A,FALSE,"운반시간"}</definedName>
    <definedName name="ㅜㅠ푸_3" localSheetId="5" hidden="1">{#N/A,#N/A,FALSE,"운반시간"}</definedName>
    <definedName name="ㅜㅠ푸_3" hidden="1">{#N/A,#N/A,FALSE,"운반시간"}</definedName>
    <definedName name="ㅜㅠ푸_4" localSheetId="5" hidden="1">{#N/A,#N/A,FALSE,"운반시간"}</definedName>
    <definedName name="ㅜㅠ푸_4" hidden="1">{#N/A,#N/A,FALSE,"운반시간"}</definedName>
    <definedName name="ㅜㅠ푸_5" localSheetId="5" hidden="1">{#N/A,#N/A,FALSE,"운반시간"}</definedName>
    <definedName name="ㅜㅠ푸_5" hidden="1">{#N/A,#N/A,FALSE,"운반시간"}</definedName>
    <definedName name="ㅜㅠㅠ" localSheetId="5" hidden="1">{#N/A,#N/A,FALSE,"골재소요량";#N/A,#N/A,FALSE,"골재소요량"}</definedName>
    <definedName name="ㅜㅠㅠ" hidden="1">{#N/A,#N/A,FALSE,"골재소요량";#N/A,#N/A,FALSE,"골재소요량"}</definedName>
    <definedName name="ㅜㅠㅠ_1" localSheetId="5" hidden="1">{#N/A,#N/A,FALSE,"골재소요량";#N/A,#N/A,FALSE,"골재소요량"}</definedName>
    <definedName name="ㅜㅠㅠ_1" hidden="1">{#N/A,#N/A,FALSE,"골재소요량";#N/A,#N/A,FALSE,"골재소요량"}</definedName>
    <definedName name="ㅜㅠㅠ_2" localSheetId="5" hidden="1">{#N/A,#N/A,FALSE,"골재소요량";#N/A,#N/A,FALSE,"골재소요량"}</definedName>
    <definedName name="ㅜㅠㅠ_2" hidden="1">{#N/A,#N/A,FALSE,"골재소요량";#N/A,#N/A,FALSE,"골재소요량"}</definedName>
    <definedName name="ㅜㅠㅠ_3" localSheetId="5" hidden="1">{#N/A,#N/A,FALSE,"골재소요량";#N/A,#N/A,FALSE,"골재소요량"}</definedName>
    <definedName name="ㅜㅠㅠ_3" hidden="1">{#N/A,#N/A,FALSE,"골재소요량";#N/A,#N/A,FALSE,"골재소요량"}</definedName>
    <definedName name="ㅜㅠㅠ_4" localSheetId="5" hidden="1">{#N/A,#N/A,FALSE,"골재소요량";#N/A,#N/A,FALSE,"골재소요량"}</definedName>
    <definedName name="ㅜㅠㅠ_4" hidden="1">{#N/A,#N/A,FALSE,"골재소요량";#N/A,#N/A,FALSE,"골재소요량"}</definedName>
    <definedName name="ㅜㅠㅠ_5" localSheetId="5" hidden="1">{#N/A,#N/A,FALSE,"골재소요량";#N/A,#N/A,FALSE,"골재소요량"}</definedName>
    <definedName name="ㅜㅠㅠ_5" hidden="1">{#N/A,#N/A,FALSE,"골재소요량";#N/A,#N/A,FALSE,"골재소요량"}</definedName>
    <definedName name="ㅝㅎㄹ" localSheetId="5" hidden="1">{#N/A,#N/A,FALSE,"단가표지"}</definedName>
    <definedName name="ㅝㅎㄹ" hidden="1">{#N/A,#N/A,FALSE,"단가표지"}</definedName>
    <definedName name="ㅝㅎㄹ_1" localSheetId="5" hidden="1">{#N/A,#N/A,FALSE,"단가표지"}</definedName>
    <definedName name="ㅝㅎㄹ_1" hidden="1">{#N/A,#N/A,FALSE,"단가표지"}</definedName>
    <definedName name="ㅝㅎㄹ_2" localSheetId="5" hidden="1">{#N/A,#N/A,FALSE,"단가표지"}</definedName>
    <definedName name="ㅝㅎㄹ_2" hidden="1">{#N/A,#N/A,FALSE,"단가표지"}</definedName>
    <definedName name="ㅝㅎㄹ_3" localSheetId="5" hidden="1">{#N/A,#N/A,FALSE,"단가표지"}</definedName>
    <definedName name="ㅝㅎㄹ_3" hidden="1">{#N/A,#N/A,FALSE,"단가표지"}</definedName>
    <definedName name="ㅝㅎㄹ_4" localSheetId="5" hidden="1">{#N/A,#N/A,FALSE,"단가표지"}</definedName>
    <definedName name="ㅝㅎㄹ_4" hidden="1">{#N/A,#N/A,FALSE,"단가표지"}</definedName>
    <definedName name="ㅝㅎㄹ_5" localSheetId="5" hidden="1">{#N/A,#N/A,FALSE,"단가표지"}</definedName>
    <definedName name="ㅝㅎㄹ_5" hidden="1">{#N/A,#N/A,FALSE,"단가표지"}</definedName>
    <definedName name="ㅠ" localSheetId="5" hidden="1">{#N/A,#N/A,FALSE,"부대1"}</definedName>
    <definedName name="ㅠ" localSheetId="9" hidden="1">{#N/A,#N/A,FALSE,"부대1"}</definedName>
    <definedName name="ㅠ" localSheetId="10" hidden="1">{#N/A,#N/A,FALSE,"부대1"}</definedName>
    <definedName name="ㅠ" localSheetId="6" hidden="1">{#N/A,#N/A,FALSE,"부대1"}</definedName>
    <definedName name="ㅠ" localSheetId="3" hidden="1">{#N/A,#N/A,FALSE,"이태원철근"}</definedName>
    <definedName name="ㅠ" hidden="1">{#N/A,#N/A,FALSE,"부대1"}</definedName>
    <definedName name="ㅠㄴ" localSheetId="5" hidden="1">{#N/A,#N/A,FALSE,"조골재"}</definedName>
    <definedName name="ㅠㄴ" hidden="1">{#N/A,#N/A,FALSE,"조골재"}</definedName>
    <definedName name="ㅠㄴ_1" localSheetId="5" hidden="1">{#N/A,#N/A,FALSE,"조골재"}</definedName>
    <definedName name="ㅠㄴ_1" hidden="1">{#N/A,#N/A,FALSE,"조골재"}</definedName>
    <definedName name="ㅠㄴ_2" localSheetId="5" hidden="1">{#N/A,#N/A,FALSE,"조골재"}</definedName>
    <definedName name="ㅠㄴ_2" hidden="1">{#N/A,#N/A,FALSE,"조골재"}</definedName>
    <definedName name="ㅠㄴ_3" localSheetId="5" hidden="1">{#N/A,#N/A,FALSE,"조골재"}</definedName>
    <definedName name="ㅠㄴ_3" hidden="1">{#N/A,#N/A,FALSE,"조골재"}</definedName>
    <definedName name="ㅠㄴ_4" localSheetId="5" hidden="1">{#N/A,#N/A,FALSE,"조골재"}</definedName>
    <definedName name="ㅠㄴ_4" hidden="1">{#N/A,#N/A,FALSE,"조골재"}</definedName>
    <definedName name="ㅠㄴ_5" localSheetId="5" hidden="1">{#N/A,#N/A,FALSE,"조골재"}</definedName>
    <definedName name="ㅠㄴ_5" hidden="1">{#N/A,#N/A,FALSE,"조골재"}</definedName>
    <definedName name="ㅠㄷ" localSheetId="5" hidden="1">{#N/A,#N/A,FALSE,"이태원철근"}</definedName>
    <definedName name="ㅠㄷ" hidden="1">{#N/A,#N/A,FALSE,"이태원철근"}</definedName>
    <definedName name="ㅠㄹ" localSheetId="5" hidden="1">{#N/A,#N/A,FALSE,"속도"}</definedName>
    <definedName name="ㅠㄹ" localSheetId="9" hidden="1">{#N/A,#N/A,FALSE,"속도"}</definedName>
    <definedName name="ㅠㄹ" localSheetId="10" hidden="1">{#N/A,#N/A,FALSE,"속도"}</definedName>
    <definedName name="ㅠㄹ" localSheetId="6" hidden="1">{#N/A,#N/A,FALSE,"속도"}</definedName>
    <definedName name="ㅠㄹ" localSheetId="3" hidden="1">{#N/A,#N/A,FALSE,"속도"}</definedName>
    <definedName name="ㅠㄹ" hidden="1">{#N/A,#N/A,FALSE,"속도"}</definedName>
    <definedName name="ㅠㄹㄴ" localSheetId="5" hidden="1">{#N/A,#N/A,FALSE,"이태원철근"}</definedName>
    <definedName name="ㅠㄹㄴ" hidden="1">{#N/A,#N/A,FALSE,"이태원철근"}</definedName>
    <definedName name="ㅠㄹㅇㄴㄴㄹㅇ" localSheetId="5" hidden="1">{#N/A,#N/A,FALSE,"단가표지"}</definedName>
    <definedName name="ㅠㄹㅇㄴㄴㄹㅇ" hidden="1">{#N/A,#N/A,FALSE,"단가표지"}</definedName>
    <definedName name="ㅠㄹㅇㄴㄴㄹㅇ_1" localSheetId="5" hidden="1">{#N/A,#N/A,FALSE,"단가표지"}</definedName>
    <definedName name="ㅠㄹㅇㄴㄴㄹㅇ_1" hidden="1">{#N/A,#N/A,FALSE,"단가표지"}</definedName>
    <definedName name="ㅠㄹㅇㄴㄴㄹㅇ_2" localSheetId="5" hidden="1">{#N/A,#N/A,FALSE,"단가표지"}</definedName>
    <definedName name="ㅠㄹㅇㄴㄴㄹㅇ_2" hidden="1">{#N/A,#N/A,FALSE,"단가표지"}</definedName>
    <definedName name="ㅠㄹㅇㄴㄴㄹㅇ_3" localSheetId="5" hidden="1">{#N/A,#N/A,FALSE,"단가표지"}</definedName>
    <definedName name="ㅠㄹㅇㄴㄴㄹㅇ_3" hidden="1">{#N/A,#N/A,FALSE,"단가표지"}</definedName>
    <definedName name="ㅠㄹㅇㄴㄴㄹㅇ_4" localSheetId="5" hidden="1">{#N/A,#N/A,FALSE,"단가표지"}</definedName>
    <definedName name="ㅠㄹㅇㄴㄴㄹㅇ_4" hidden="1">{#N/A,#N/A,FALSE,"단가표지"}</definedName>
    <definedName name="ㅠㄹㅇㄴㄴㄹㅇ_5" localSheetId="5" hidden="1">{#N/A,#N/A,FALSE,"단가표지"}</definedName>
    <definedName name="ㅠㄹㅇㄴㄴㄹㅇ_5" hidden="1">{#N/A,#N/A,FALSE,"단가표지"}</definedName>
    <definedName name="ㅠㄹㅈㅈ" localSheetId="5" hidden="1">{#N/A,#N/A,FALSE,"이태원철근"}</definedName>
    <definedName name="ㅠㄹㅈㅈ" hidden="1">{#N/A,#N/A,FALSE,"이태원철근"}</definedName>
    <definedName name="ㅠㅂㄷ" localSheetId="5" hidden="1">{#N/A,#N/A,FALSE,"이태원철근"}</definedName>
    <definedName name="ㅠㅂㄷ" hidden="1">{#N/A,#N/A,FALSE,"이태원철근"}</definedName>
    <definedName name="ㅠㅇㄹㅈ" localSheetId="5" hidden="1">{#N/A,#N/A,FALSE,"이태원철근"}</definedName>
    <definedName name="ㅠㅇㄹㅈ" hidden="1">{#N/A,#N/A,FALSE,"이태원철근"}</definedName>
    <definedName name="ㅠㅊㅌ퓿ㅌ" localSheetId="5" hidden="1">{#N/A,#N/A,FALSE,"2~8번"}</definedName>
    <definedName name="ㅠㅊㅌ퓿ㅌ" hidden="1">{#N/A,#N/A,FALSE,"2~8번"}</definedName>
    <definedName name="ㅠㅊㅌ퓿ㅌ_1" localSheetId="5" hidden="1">{#N/A,#N/A,FALSE,"2~8번"}</definedName>
    <definedName name="ㅠㅊㅌ퓿ㅌ_1" hidden="1">{#N/A,#N/A,FALSE,"2~8번"}</definedName>
    <definedName name="ㅠㅊㅌ퓿ㅌ_2" localSheetId="5" hidden="1">{#N/A,#N/A,FALSE,"2~8번"}</definedName>
    <definedName name="ㅠㅊㅌ퓿ㅌ_2" hidden="1">{#N/A,#N/A,FALSE,"2~8번"}</definedName>
    <definedName name="ㅠㅊㅌ퓿ㅌ_3" localSheetId="5" hidden="1">{#N/A,#N/A,FALSE,"2~8번"}</definedName>
    <definedName name="ㅠㅊㅌ퓿ㅌ_3" hidden="1">{#N/A,#N/A,FALSE,"2~8번"}</definedName>
    <definedName name="ㅠㅊㅌ퓿ㅌ_4" localSheetId="5" hidden="1">{#N/A,#N/A,FALSE,"2~8번"}</definedName>
    <definedName name="ㅠㅊㅌ퓿ㅌ_4" hidden="1">{#N/A,#N/A,FALSE,"2~8번"}</definedName>
    <definedName name="ㅠㅊㅌ퓿ㅌ_5" localSheetId="5" hidden="1">{#N/A,#N/A,FALSE,"2~8번"}</definedName>
    <definedName name="ㅠㅊㅌ퓿ㅌ_5" hidden="1">{#N/A,#N/A,FALSE,"2~8번"}</definedName>
    <definedName name="ㅠㅊㅍㅌ" localSheetId="5" hidden="1">{#N/A,#N/A,FALSE,"단가표지"}</definedName>
    <definedName name="ㅠㅊㅍㅌ" hidden="1">{#N/A,#N/A,FALSE,"단가표지"}</definedName>
    <definedName name="ㅠㅊㅍㅌ_1" localSheetId="5" hidden="1">{#N/A,#N/A,FALSE,"단가표지"}</definedName>
    <definedName name="ㅠㅊㅍㅌ_1" hidden="1">{#N/A,#N/A,FALSE,"단가표지"}</definedName>
    <definedName name="ㅠㅊㅍㅌ_2" localSheetId="5" hidden="1">{#N/A,#N/A,FALSE,"단가표지"}</definedName>
    <definedName name="ㅠㅊㅍㅌ_2" hidden="1">{#N/A,#N/A,FALSE,"단가표지"}</definedName>
    <definedName name="ㅠㅊㅍㅌ_3" localSheetId="5" hidden="1">{#N/A,#N/A,FALSE,"단가표지"}</definedName>
    <definedName name="ㅠㅊㅍㅌ_3" hidden="1">{#N/A,#N/A,FALSE,"단가표지"}</definedName>
    <definedName name="ㅠㅊㅍㅌ_4" localSheetId="5" hidden="1">{#N/A,#N/A,FALSE,"단가표지"}</definedName>
    <definedName name="ㅠㅊㅍㅌ_4" hidden="1">{#N/A,#N/A,FALSE,"단가표지"}</definedName>
    <definedName name="ㅠㅊㅍㅌ_5" localSheetId="5" hidden="1">{#N/A,#N/A,FALSE,"단가표지"}</definedName>
    <definedName name="ㅠㅊㅍㅌ_5" hidden="1">{#N/A,#N/A,FALSE,"단가표지"}</definedName>
    <definedName name="ㅠㅊㅍ튜" localSheetId="5" hidden="1">{#N/A,#N/A,FALSE,"단가표지"}</definedName>
    <definedName name="ㅠㅊㅍ튜" hidden="1">{#N/A,#N/A,FALSE,"단가표지"}</definedName>
    <definedName name="ㅠㅊㅍ튜_1" localSheetId="5" hidden="1">{#N/A,#N/A,FALSE,"단가표지"}</definedName>
    <definedName name="ㅠㅊㅍ튜_1" hidden="1">{#N/A,#N/A,FALSE,"단가표지"}</definedName>
    <definedName name="ㅠㅊㅍ튜_2" localSheetId="5" hidden="1">{#N/A,#N/A,FALSE,"단가표지"}</definedName>
    <definedName name="ㅠㅊㅍ튜_2" hidden="1">{#N/A,#N/A,FALSE,"단가표지"}</definedName>
    <definedName name="ㅠㅊㅍ튜_3" localSheetId="5" hidden="1">{#N/A,#N/A,FALSE,"단가표지"}</definedName>
    <definedName name="ㅠㅊㅍ튜_3" hidden="1">{#N/A,#N/A,FALSE,"단가표지"}</definedName>
    <definedName name="ㅠㅊㅍ튜_4" localSheetId="5" hidden="1">{#N/A,#N/A,FALSE,"단가표지"}</definedName>
    <definedName name="ㅠㅊㅍ튜_4" hidden="1">{#N/A,#N/A,FALSE,"단가표지"}</definedName>
    <definedName name="ㅠㅊㅍ튜_5" localSheetId="5" hidden="1">{#N/A,#N/A,FALSE,"단가표지"}</definedName>
    <definedName name="ㅠㅊㅍ튜_5" hidden="1">{#N/A,#N/A,FALSE,"단가표지"}</definedName>
    <definedName name="ㅠㅊㅍ튵ㅊ" localSheetId="5" hidden="1">{#N/A,#N/A,FALSE,"운반시간"}</definedName>
    <definedName name="ㅠㅊㅍ튵ㅊ" hidden="1">{#N/A,#N/A,FALSE,"운반시간"}</definedName>
    <definedName name="ㅠㅊㅍ튵ㅊ_1" localSheetId="5" hidden="1">{#N/A,#N/A,FALSE,"운반시간"}</definedName>
    <definedName name="ㅠㅊㅍ튵ㅊ_1" hidden="1">{#N/A,#N/A,FALSE,"운반시간"}</definedName>
    <definedName name="ㅠㅊㅍ튵ㅊ_2" localSheetId="5" hidden="1">{#N/A,#N/A,FALSE,"운반시간"}</definedName>
    <definedName name="ㅠㅊㅍ튵ㅊ_2" hidden="1">{#N/A,#N/A,FALSE,"운반시간"}</definedName>
    <definedName name="ㅠㅊㅍ튵ㅊ_3" localSheetId="5" hidden="1">{#N/A,#N/A,FALSE,"운반시간"}</definedName>
    <definedName name="ㅠㅊㅍ튵ㅊ_3" hidden="1">{#N/A,#N/A,FALSE,"운반시간"}</definedName>
    <definedName name="ㅠㅊㅍ튵ㅊ_4" localSheetId="5" hidden="1">{#N/A,#N/A,FALSE,"운반시간"}</definedName>
    <definedName name="ㅠㅊㅍ튵ㅊ_4" hidden="1">{#N/A,#N/A,FALSE,"운반시간"}</definedName>
    <definedName name="ㅠㅊㅍ튵ㅊ_5" localSheetId="5" hidden="1">{#N/A,#N/A,FALSE,"운반시간"}</definedName>
    <definedName name="ㅠㅊㅍ튵ㅊ_5" hidden="1">{#N/A,#N/A,FALSE,"운반시간"}</definedName>
    <definedName name="ㅠㅊ픁츄" localSheetId="5" hidden="1">{#N/A,#N/A,FALSE,"단가표지"}</definedName>
    <definedName name="ㅠㅊ픁츄" hidden="1">{#N/A,#N/A,FALSE,"단가표지"}</definedName>
    <definedName name="ㅠㅊ픁츄_1" localSheetId="5" hidden="1">{#N/A,#N/A,FALSE,"단가표지"}</definedName>
    <definedName name="ㅠㅊ픁츄_1" hidden="1">{#N/A,#N/A,FALSE,"단가표지"}</definedName>
    <definedName name="ㅠㅊ픁츄_2" localSheetId="5" hidden="1">{#N/A,#N/A,FALSE,"단가표지"}</definedName>
    <definedName name="ㅠㅊ픁츄_2" hidden="1">{#N/A,#N/A,FALSE,"단가표지"}</definedName>
    <definedName name="ㅠㅊ픁츄_3" localSheetId="5" hidden="1">{#N/A,#N/A,FALSE,"단가표지"}</definedName>
    <definedName name="ㅠㅊ픁츄_3" hidden="1">{#N/A,#N/A,FALSE,"단가표지"}</definedName>
    <definedName name="ㅠㅊ픁츄_4" localSheetId="5" hidden="1">{#N/A,#N/A,FALSE,"단가표지"}</definedName>
    <definedName name="ㅠㅊ픁츄_4" hidden="1">{#N/A,#N/A,FALSE,"단가표지"}</definedName>
    <definedName name="ㅠㅊ픁츄_5" localSheetId="5" hidden="1">{#N/A,#N/A,FALSE,"단가표지"}</definedName>
    <definedName name="ㅠㅊ픁츄_5" hidden="1">{#N/A,#N/A,FALSE,"단가표지"}</definedName>
    <definedName name="ㅠㅍ" localSheetId="5" hidden="1">{#N/A,#N/A,FALSE,"조골재"}</definedName>
    <definedName name="ㅠㅍ" hidden="1">{#N/A,#N/A,FALSE,"조골재"}</definedName>
    <definedName name="ㅠㅍ_1" localSheetId="5" hidden="1">{#N/A,#N/A,FALSE,"조골재"}</definedName>
    <definedName name="ㅠㅍ_1" hidden="1">{#N/A,#N/A,FALSE,"조골재"}</definedName>
    <definedName name="ㅠㅍ_2" localSheetId="5" hidden="1">{#N/A,#N/A,FALSE,"조골재"}</definedName>
    <definedName name="ㅠㅍ_2" hidden="1">{#N/A,#N/A,FALSE,"조골재"}</definedName>
    <definedName name="ㅠㅍ_3" localSheetId="5" hidden="1">{#N/A,#N/A,FALSE,"조골재"}</definedName>
    <definedName name="ㅠㅍ_3" hidden="1">{#N/A,#N/A,FALSE,"조골재"}</definedName>
    <definedName name="ㅠㅍ_4" localSheetId="5" hidden="1">{#N/A,#N/A,FALSE,"조골재"}</definedName>
    <definedName name="ㅠㅍ_4" hidden="1">{#N/A,#N/A,FALSE,"조골재"}</definedName>
    <definedName name="ㅠㅍ_5" localSheetId="5" hidden="1">{#N/A,#N/A,FALSE,"조골재"}</definedName>
    <definedName name="ㅠㅍ_5" hidden="1">{#N/A,#N/A,FALSE,"조골재"}</definedName>
    <definedName name="ㅠㅍㅊ" localSheetId="5" hidden="1">{#N/A,#N/A,FALSE,"단가표지"}</definedName>
    <definedName name="ㅠㅍㅊ" hidden="1">{#N/A,#N/A,FALSE,"단가표지"}</definedName>
    <definedName name="ㅠㅍㅊ_1" localSheetId="5" hidden="1">{#N/A,#N/A,FALSE,"단가표지"}</definedName>
    <definedName name="ㅠㅍㅊ_1" hidden="1">{#N/A,#N/A,FALSE,"단가표지"}</definedName>
    <definedName name="ㅠㅍㅊ_2" localSheetId="5" hidden="1">{#N/A,#N/A,FALSE,"단가표지"}</definedName>
    <definedName name="ㅠㅍㅊ_2" hidden="1">{#N/A,#N/A,FALSE,"단가표지"}</definedName>
    <definedName name="ㅠㅍㅊ_3" localSheetId="5" hidden="1">{#N/A,#N/A,FALSE,"단가표지"}</definedName>
    <definedName name="ㅠㅍㅊ_3" hidden="1">{#N/A,#N/A,FALSE,"단가표지"}</definedName>
    <definedName name="ㅠㅍㅊ_4" localSheetId="5" hidden="1">{#N/A,#N/A,FALSE,"단가표지"}</definedName>
    <definedName name="ㅠㅍㅊ_4" hidden="1">{#N/A,#N/A,FALSE,"단가표지"}</definedName>
    <definedName name="ㅠㅍㅊ_5" localSheetId="5" hidden="1">{#N/A,#N/A,FALSE,"단가표지"}</definedName>
    <definedName name="ㅠㅍㅊ_5" hidden="1">{#N/A,#N/A,FALSE,"단가표지"}</definedName>
    <definedName name="ㅠㅍㅊ튳" localSheetId="5" hidden="1">{#N/A,#N/A,FALSE,"표지목차"}</definedName>
    <definedName name="ㅠㅍㅊ튳" hidden="1">{#N/A,#N/A,FALSE,"표지목차"}</definedName>
    <definedName name="ㅠㅍㅊ튳_1" localSheetId="5" hidden="1">{#N/A,#N/A,FALSE,"표지목차"}</definedName>
    <definedName name="ㅠㅍㅊ튳_1" hidden="1">{#N/A,#N/A,FALSE,"표지목차"}</definedName>
    <definedName name="ㅠㅍㅊ튳_2" localSheetId="5" hidden="1">{#N/A,#N/A,FALSE,"표지목차"}</definedName>
    <definedName name="ㅠㅍㅊ튳_2" hidden="1">{#N/A,#N/A,FALSE,"표지목차"}</definedName>
    <definedName name="ㅠㅍㅊ튳_3" localSheetId="5" hidden="1">{#N/A,#N/A,FALSE,"표지목차"}</definedName>
    <definedName name="ㅠㅍㅊ튳_3" hidden="1">{#N/A,#N/A,FALSE,"표지목차"}</definedName>
    <definedName name="ㅠㅍㅊ튳_4" localSheetId="5" hidden="1">{#N/A,#N/A,FALSE,"표지목차"}</definedName>
    <definedName name="ㅠㅍㅊ튳_4" hidden="1">{#N/A,#N/A,FALSE,"표지목차"}</definedName>
    <definedName name="ㅠㅍㅊ튳_5" localSheetId="5" hidden="1">{#N/A,#N/A,FALSE,"표지목차"}</definedName>
    <definedName name="ㅠㅍㅊ튳_5" hidden="1">{#N/A,#N/A,FALSE,"표지목차"}</definedName>
    <definedName name="ㅠㅍㅊ튳ㅌㅍ" localSheetId="5" hidden="1">{#N/A,#N/A,FALSE,"조골재"}</definedName>
    <definedName name="ㅠㅍㅊ튳ㅌㅍ" hidden="1">{#N/A,#N/A,FALSE,"조골재"}</definedName>
    <definedName name="ㅠㅍㅊ튳ㅌㅍ_1" localSheetId="5" hidden="1">{#N/A,#N/A,FALSE,"조골재"}</definedName>
    <definedName name="ㅠㅍㅊ튳ㅌㅍ_1" hidden="1">{#N/A,#N/A,FALSE,"조골재"}</definedName>
    <definedName name="ㅠㅍㅊ튳ㅌㅍ_2" localSheetId="5" hidden="1">{#N/A,#N/A,FALSE,"조골재"}</definedName>
    <definedName name="ㅠㅍㅊ튳ㅌㅍ_2" hidden="1">{#N/A,#N/A,FALSE,"조골재"}</definedName>
    <definedName name="ㅠㅍㅊ튳ㅌㅍ_3" localSheetId="5" hidden="1">{#N/A,#N/A,FALSE,"조골재"}</definedName>
    <definedName name="ㅠㅍㅊ튳ㅌㅍ_3" hidden="1">{#N/A,#N/A,FALSE,"조골재"}</definedName>
    <definedName name="ㅠㅍㅊ튳ㅌㅍ_4" localSheetId="5" hidden="1">{#N/A,#N/A,FALSE,"조골재"}</definedName>
    <definedName name="ㅠㅍㅊ튳ㅌㅍ_4" hidden="1">{#N/A,#N/A,FALSE,"조골재"}</definedName>
    <definedName name="ㅠㅍㅊ튳ㅌㅍ_5" localSheetId="5" hidden="1">{#N/A,#N/A,FALSE,"조골재"}</definedName>
    <definedName name="ㅠㅍㅊ튳ㅌㅍ_5" hidden="1">{#N/A,#N/A,FALSE,"조골재"}</definedName>
    <definedName name="ㅠㅍㅊ튵" localSheetId="5" hidden="1">{#N/A,#N/A,FALSE,"골재소요량";#N/A,#N/A,FALSE,"골재소요량"}</definedName>
    <definedName name="ㅠㅍㅊ튵" hidden="1">{#N/A,#N/A,FALSE,"골재소요량";#N/A,#N/A,FALSE,"골재소요량"}</definedName>
    <definedName name="ㅠㅍㅊ튵_1" localSheetId="5" hidden="1">{#N/A,#N/A,FALSE,"골재소요량";#N/A,#N/A,FALSE,"골재소요량"}</definedName>
    <definedName name="ㅠㅍㅊ튵_1" hidden="1">{#N/A,#N/A,FALSE,"골재소요량";#N/A,#N/A,FALSE,"골재소요량"}</definedName>
    <definedName name="ㅠㅍㅊ튵_2" localSheetId="5" hidden="1">{#N/A,#N/A,FALSE,"골재소요량";#N/A,#N/A,FALSE,"골재소요량"}</definedName>
    <definedName name="ㅠㅍㅊ튵_2" hidden="1">{#N/A,#N/A,FALSE,"골재소요량";#N/A,#N/A,FALSE,"골재소요량"}</definedName>
    <definedName name="ㅠㅍㅊ튵_3" localSheetId="5" hidden="1">{#N/A,#N/A,FALSE,"골재소요량";#N/A,#N/A,FALSE,"골재소요량"}</definedName>
    <definedName name="ㅠㅍㅊ튵_3" hidden="1">{#N/A,#N/A,FALSE,"골재소요량";#N/A,#N/A,FALSE,"골재소요량"}</definedName>
    <definedName name="ㅠㅍㅊ튵_4" localSheetId="5" hidden="1">{#N/A,#N/A,FALSE,"골재소요량";#N/A,#N/A,FALSE,"골재소요량"}</definedName>
    <definedName name="ㅠㅍㅊ튵_4" hidden="1">{#N/A,#N/A,FALSE,"골재소요량";#N/A,#N/A,FALSE,"골재소요량"}</definedName>
    <definedName name="ㅠㅍㅊ튵_5" localSheetId="5" hidden="1">{#N/A,#N/A,FALSE,"골재소요량";#N/A,#N/A,FALSE,"골재소요량"}</definedName>
    <definedName name="ㅠㅍㅊ튵_5" hidden="1">{#N/A,#N/A,FALSE,"골재소요량";#N/A,#N/A,FALSE,"골재소요량"}</definedName>
    <definedName name="ㅠㅍㅊ튵ㅊ" localSheetId="5" hidden="1">{#N/A,#N/A,FALSE,"단가표지"}</definedName>
    <definedName name="ㅠㅍㅊ튵ㅊ" hidden="1">{#N/A,#N/A,FALSE,"단가표지"}</definedName>
    <definedName name="ㅠㅍㅊ튵ㅊ_1" localSheetId="5" hidden="1">{#N/A,#N/A,FALSE,"단가표지"}</definedName>
    <definedName name="ㅠㅍㅊ튵ㅊ_1" hidden="1">{#N/A,#N/A,FALSE,"단가표지"}</definedName>
    <definedName name="ㅠㅍㅊ튵ㅊ_2" localSheetId="5" hidden="1">{#N/A,#N/A,FALSE,"단가표지"}</definedName>
    <definedName name="ㅠㅍㅊ튵ㅊ_2" hidden="1">{#N/A,#N/A,FALSE,"단가표지"}</definedName>
    <definedName name="ㅠㅍㅊ튵ㅊ_3" localSheetId="5" hidden="1">{#N/A,#N/A,FALSE,"단가표지"}</definedName>
    <definedName name="ㅠㅍㅊ튵ㅊ_3" hidden="1">{#N/A,#N/A,FALSE,"단가표지"}</definedName>
    <definedName name="ㅠㅍㅊ튵ㅊ_4" localSheetId="5" hidden="1">{#N/A,#N/A,FALSE,"단가표지"}</definedName>
    <definedName name="ㅠㅍㅊ튵ㅊ_4" hidden="1">{#N/A,#N/A,FALSE,"단가표지"}</definedName>
    <definedName name="ㅠㅍㅊ튵ㅊ_5" localSheetId="5" hidden="1">{#N/A,#N/A,FALSE,"단가표지"}</definedName>
    <definedName name="ㅠㅍㅊ튵ㅊ_5" hidden="1">{#N/A,#N/A,FALSE,"단가표지"}</definedName>
    <definedName name="ㅠㅍ츄ㅜ" localSheetId="5" hidden="1">{#N/A,#N/A,FALSE,"단가표지"}</definedName>
    <definedName name="ㅠㅍ츄ㅜ" hidden="1">{#N/A,#N/A,FALSE,"단가표지"}</definedName>
    <definedName name="ㅠㅍ츄ㅜ_1" localSheetId="5" hidden="1">{#N/A,#N/A,FALSE,"단가표지"}</definedName>
    <definedName name="ㅠㅍ츄ㅜ_1" hidden="1">{#N/A,#N/A,FALSE,"단가표지"}</definedName>
    <definedName name="ㅠㅍ츄ㅜ_2" localSheetId="5" hidden="1">{#N/A,#N/A,FALSE,"단가표지"}</definedName>
    <definedName name="ㅠㅍ츄ㅜ_2" hidden="1">{#N/A,#N/A,FALSE,"단가표지"}</definedName>
    <definedName name="ㅠㅍ츄ㅜ_3" localSheetId="5" hidden="1">{#N/A,#N/A,FALSE,"단가표지"}</definedName>
    <definedName name="ㅠㅍ츄ㅜ_3" hidden="1">{#N/A,#N/A,FALSE,"단가표지"}</definedName>
    <definedName name="ㅠㅍ츄ㅜ_4" localSheetId="5" hidden="1">{#N/A,#N/A,FALSE,"단가표지"}</definedName>
    <definedName name="ㅠㅍ츄ㅜ_4" hidden="1">{#N/A,#N/A,FALSE,"단가표지"}</definedName>
    <definedName name="ㅠㅍ츄ㅜ_5" localSheetId="5" hidden="1">{#N/A,#N/A,FALSE,"단가표지"}</definedName>
    <definedName name="ㅠㅍ츄ㅜ_5" hidden="1">{#N/A,#N/A,FALSE,"단가표지"}</definedName>
    <definedName name="ㅠㅍ츛ㅍ" localSheetId="5" hidden="1">{#N/A,#N/A,FALSE,"혼합골재"}</definedName>
    <definedName name="ㅠㅍ츛ㅍ" hidden="1">{#N/A,#N/A,FALSE,"혼합골재"}</definedName>
    <definedName name="ㅠㅍ츛ㅍ_1" localSheetId="5" hidden="1">{#N/A,#N/A,FALSE,"혼합골재"}</definedName>
    <definedName name="ㅠㅍ츛ㅍ_1" hidden="1">{#N/A,#N/A,FALSE,"혼합골재"}</definedName>
    <definedName name="ㅠㅍ츛ㅍ_2" localSheetId="5" hidden="1">{#N/A,#N/A,FALSE,"혼합골재"}</definedName>
    <definedName name="ㅠㅍ츛ㅍ_2" hidden="1">{#N/A,#N/A,FALSE,"혼합골재"}</definedName>
    <definedName name="ㅠㅍ츛ㅍ_3" localSheetId="5" hidden="1">{#N/A,#N/A,FALSE,"혼합골재"}</definedName>
    <definedName name="ㅠㅍ츛ㅍ_3" hidden="1">{#N/A,#N/A,FALSE,"혼합골재"}</definedName>
    <definedName name="ㅠㅍ츛ㅍ_4" localSheetId="5" hidden="1">{#N/A,#N/A,FALSE,"혼합골재"}</definedName>
    <definedName name="ㅠㅍ츛ㅍ_4" hidden="1">{#N/A,#N/A,FALSE,"혼합골재"}</definedName>
    <definedName name="ㅠㅍ츛ㅍ_5" localSheetId="5" hidden="1">{#N/A,#N/A,FALSE,"혼합골재"}</definedName>
    <definedName name="ㅠㅍ츛ㅍ_5" hidden="1">{#N/A,#N/A,FALSE,"혼합골재"}</definedName>
    <definedName name="ㅠㅍ츜ㅊ" localSheetId="5" hidden="1">{#N/A,#N/A,FALSE,"2~8번"}</definedName>
    <definedName name="ㅠㅍ츜ㅊ" hidden="1">{#N/A,#N/A,FALSE,"2~8번"}</definedName>
    <definedName name="ㅠㅍ츜ㅊ_1" localSheetId="5" hidden="1">{#N/A,#N/A,FALSE,"2~8번"}</definedName>
    <definedName name="ㅠㅍ츜ㅊ_1" hidden="1">{#N/A,#N/A,FALSE,"2~8번"}</definedName>
    <definedName name="ㅠㅍ츜ㅊ_2" localSheetId="5" hidden="1">{#N/A,#N/A,FALSE,"2~8번"}</definedName>
    <definedName name="ㅠㅍ츜ㅊ_2" hidden="1">{#N/A,#N/A,FALSE,"2~8번"}</definedName>
    <definedName name="ㅠㅍ츜ㅊ_3" localSheetId="5" hidden="1">{#N/A,#N/A,FALSE,"2~8번"}</definedName>
    <definedName name="ㅠㅍ츜ㅊ_3" hidden="1">{#N/A,#N/A,FALSE,"2~8번"}</definedName>
    <definedName name="ㅠㅍ츜ㅊ_4" localSheetId="5" hidden="1">{#N/A,#N/A,FALSE,"2~8번"}</definedName>
    <definedName name="ㅠㅍ츜ㅊ_4" hidden="1">{#N/A,#N/A,FALSE,"2~8번"}</definedName>
    <definedName name="ㅠㅍ츜ㅊ_5" localSheetId="5" hidden="1">{#N/A,#N/A,FALSE,"2~8번"}</definedName>
    <definedName name="ㅠㅍ츜ㅊ_5" hidden="1">{#N/A,#N/A,FALSE,"2~8번"}</definedName>
    <definedName name="ㅠㅍ츜ㅍ" localSheetId="5" hidden="1">{#N/A,#N/A,FALSE,"조골재"}</definedName>
    <definedName name="ㅠㅍ츜ㅍ" hidden="1">{#N/A,#N/A,FALSE,"조골재"}</definedName>
    <definedName name="ㅠㅍ츜ㅍ_1" localSheetId="5" hidden="1">{#N/A,#N/A,FALSE,"조골재"}</definedName>
    <definedName name="ㅠㅍ츜ㅍ_1" hidden="1">{#N/A,#N/A,FALSE,"조골재"}</definedName>
    <definedName name="ㅠㅍ츜ㅍ_2" localSheetId="5" hidden="1">{#N/A,#N/A,FALSE,"조골재"}</definedName>
    <definedName name="ㅠㅍ츜ㅍ_2" hidden="1">{#N/A,#N/A,FALSE,"조골재"}</definedName>
    <definedName name="ㅠㅍ츜ㅍ_3" localSheetId="5" hidden="1">{#N/A,#N/A,FALSE,"조골재"}</definedName>
    <definedName name="ㅠㅍ츜ㅍ_3" hidden="1">{#N/A,#N/A,FALSE,"조골재"}</definedName>
    <definedName name="ㅠㅍ츜ㅍ_4" localSheetId="5" hidden="1">{#N/A,#N/A,FALSE,"조골재"}</definedName>
    <definedName name="ㅠㅍ츜ㅍ_4" hidden="1">{#N/A,#N/A,FALSE,"조골재"}</definedName>
    <definedName name="ㅠㅍ츜ㅍ_5" localSheetId="5" hidden="1">{#N/A,#N/A,FALSE,"조골재"}</definedName>
    <definedName name="ㅠㅍ츜ㅍ_5" hidden="1">{#N/A,#N/A,FALSE,"조골재"}</definedName>
    <definedName name="ㅠㅍ츝" localSheetId="5" hidden="1">{#N/A,#N/A,FALSE,"운반시간"}</definedName>
    <definedName name="ㅠㅍ츝" hidden="1">{#N/A,#N/A,FALSE,"운반시간"}</definedName>
    <definedName name="ㅠㅍ츝_1" localSheetId="5" hidden="1">{#N/A,#N/A,FALSE,"운반시간"}</definedName>
    <definedName name="ㅠㅍ츝_1" hidden="1">{#N/A,#N/A,FALSE,"운반시간"}</definedName>
    <definedName name="ㅠㅍ츝_2" localSheetId="5" hidden="1">{#N/A,#N/A,FALSE,"운반시간"}</definedName>
    <definedName name="ㅠㅍ츝_2" hidden="1">{#N/A,#N/A,FALSE,"운반시간"}</definedName>
    <definedName name="ㅠㅍ츝_3" localSheetId="5" hidden="1">{#N/A,#N/A,FALSE,"운반시간"}</definedName>
    <definedName name="ㅠㅍ츝_3" hidden="1">{#N/A,#N/A,FALSE,"운반시간"}</definedName>
    <definedName name="ㅠㅍ츝_4" localSheetId="5" hidden="1">{#N/A,#N/A,FALSE,"운반시간"}</definedName>
    <definedName name="ㅠㅍ츝_4" hidden="1">{#N/A,#N/A,FALSE,"운반시간"}</definedName>
    <definedName name="ㅠㅍ츝_5" localSheetId="5" hidden="1">{#N/A,#N/A,FALSE,"운반시간"}</definedName>
    <definedName name="ㅠㅍ츝_5" hidden="1">{#N/A,#N/A,FALSE,"운반시간"}</definedName>
    <definedName name="ㅠㅍ츝ㅊ" localSheetId="5" hidden="1">{#N/A,#N/A,FALSE,"단가표지"}</definedName>
    <definedName name="ㅠㅍ츝ㅊ" hidden="1">{#N/A,#N/A,FALSE,"단가표지"}</definedName>
    <definedName name="ㅠㅍ츝ㅊ_1" localSheetId="5" hidden="1">{#N/A,#N/A,FALSE,"단가표지"}</definedName>
    <definedName name="ㅠㅍ츝ㅊ_1" hidden="1">{#N/A,#N/A,FALSE,"단가표지"}</definedName>
    <definedName name="ㅠㅍ츝ㅊ_2" localSheetId="5" hidden="1">{#N/A,#N/A,FALSE,"단가표지"}</definedName>
    <definedName name="ㅠㅍ츝ㅊ_2" hidden="1">{#N/A,#N/A,FALSE,"단가표지"}</definedName>
    <definedName name="ㅠㅍ츝ㅊ_3" localSheetId="5" hidden="1">{#N/A,#N/A,FALSE,"단가표지"}</definedName>
    <definedName name="ㅠㅍ츝ㅊ_3" hidden="1">{#N/A,#N/A,FALSE,"단가표지"}</definedName>
    <definedName name="ㅠㅍ츝ㅊ_4" localSheetId="5" hidden="1">{#N/A,#N/A,FALSE,"단가표지"}</definedName>
    <definedName name="ㅠㅍ츝ㅊ_4" hidden="1">{#N/A,#N/A,FALSE,"단가표지"}</definedName>
    <definedName name="ㅠㅍ츝ㅊ_5" localSheetId="5" hidden="1">{#N/A,#N/A,FALSE,"단가표지"}</definedName>
    <definedName name="ㅠㅍ츝ㅊ_5" hidden="1">{#N/A,#N/A,FALSE,"단가표지"}</definedName>
    <definedName name="ㅠㅍㅋㅊㅍㅍ" localSheetId="5" hidden="1">{#N/A,#N/A,FALSE,"단가표지"}</definedName>
    <definedName name="ㅠㅍㅋㅊㅍㅍ" hidden="1">{#N/A,#N/A,FALSE,"단가표지"}</definedName>
    <definedName name="ㅠㅍㅋㅊㅍㅍ_1" localSheetId="5" hidden="1">{#N/A,#N/A,FALSE,"단가표지"}</definedName>
    <definedName name="ㅠㅍㅋㅊㅍㅍ_1" hidden="1">{#N/A,#N/A,FALSE,"단가표지"}</definedName>
    <definedName name="ㅠㅍㅋㅊㅍㅍ_2" localSheetId="5" hidden="1">{#N/A,#N/A,FALSE,"단가표지"}</definedName>
    <definedName name="ㅠㅍㅋㅊㅍㅍ_2" hidden="1">{#N/A,#N/A,FALSE,"단가표지"}</definedName>
    <definedName name="ㅠㅍㅋㅊㅍㅍ_3" localSheetId="5" hidden="1">{#N/A,#N/A,FALSE,"단가표지"}</definedName>
    <definedName name="ㅠㅍㅋㅊㅍㅍ_3" hidden="1">{#N/A,#N/A,FALSE,"단가표지"}</definedName>
    <definedName name="ㅠㅍㅋㅊㅍㅍ_4" localSheetId="5" hidden="1">{#N/A,#N/A,FALSE,"단가표지"}</definedName>
    <definedName name="ㅠㅍㅋㅊㅍㅍ_4" hidden="1">{#N/A,#N/A,FALSE,"단가표지"}</definedName>
    <definedName name="ㅠㅍㅋㅊㅍㅍ_5" localSheetId="5" hidden="1">{#N/A,#N/A,FALSE,"단가표지"}</definedName>
    <definedName name="ㅠㅍㅋㅊㅍㅍ_5" hidden="1">{#N/A,#N/A,FALSE,"단가표지"}</definedName>
    <definedName name="ㅠ퓿큨ㅊ" localSheetId="5" hidden="1">{#N/A,#N/A,FALSE,"단가표지"}</definedName>
    <definedName name="ㅠ퓿큨ㅊ" hidden="1">{#N/A,#N/A,FALSE,"단가표지"}</definedName>
    <definedName name="ㅠ퓿큨ㅊ_1" localSheetId="5" hidden="1">{#N/A,#N/A,FALSE,"단가표지"}</definedName>
    <definedName name="ㅠ퓿큨ㅊ_1" hidden="1">{#N/A,#N/A,FALSE,"단가표지"}</definedName>
    <definedName name="ㅠ퓿큨ㅊ_2" localSheetId="5" hidden="1">{#N/A,#N/A,FALSE,"단가표지"}</definedName>
    <definedName name="ㅠ퓿큨ㅊ_2" hidden="1">{#N/A,#N/A,FALSE,"단가표지"}</definedName>
    <definedName name="ㅠ퓿큨ㅊ_3" localSheetId="5" hidden="1">{#N/A,#N/A,FALSE,"단가표지"}</definedName>
    <definedName name="ㅠ퓿큨ㅊ_3" hidden="1">{#N/A,#N/A,FALSE,"단가표지"}</definedName>
    <definedName name="ㅠ퓿큨ㅊ_4" localSheetId="5" hidden="1">{#N/A,#N/A,FALSE,"단가표지"}</definedName>
    <definedName name="ㅠ퓿큨ㅊ_4" hidden="1">{#N/A,#N/A,FALSE,"단가표지"}</definedName>
    <definedName name="ㅠ퓿큨ㅊ_5" localSheetId="5" hidden="1">{#N/A,#N/A,FALSE,"단가표지"}</definedName>
    <definedName name="ㅠ퓿큨ㅊ_5" hidden="1">{#N/A,#N/A,FALSE,"단가표지"}</definedName>
    <definedName name="ㅠ픀ㅊ" localSheetId="5" hidden="1">{#N/A,#N/A,FALSE,"단가표지"}</definedName>
    <definedName name="ㅠ픀ㅊ" hidden="1">{#N/A,#N/A,FALSE,"단가표지"}</definedName>
    <definedName name="ㅠ픀ㅊ_1" localSheetId="5" hidden="1">{#N/A,#N/A,FALSE,"단가표지"}</definedName>
    <definedName name="ㅠ픀ㅊ_1" hidden="1">{#N/A,#N/A,FALSE,"단가표지"}</definedName>
    <definedName name="ㅠ픀ㅊ_2" localSheetId="5" hidden="1">{#N/A,#N/A,FALSE,"단가표지"}</definedName>
    <definedName name="ㅠ픀ㅊ_2" hidden="1">{#N/A,#N/A,FALSE,"단가표지"}</definedName>
    <definedName name="ㅠ픀ㅊ_3" localSheetId="5" hidden="1">{#N/A,#N/A,FALSE,"단가표지"}</definedName>
    <definedName name="ㅠ픀ㅊ_3" hidden="1">{#N/A,#N/A,FALSE,"단가표지"}</definedName>
    <definedName name="ㅠ픀ㅊ_4" localSheetId="5" hidden="1">{#N/A,#N/A,FALSE,"단가표지"}</definedName>
    <definedName name="ㅠ픀ㅊ_4" hidden="1">{#N/A,#N/A,FALSE,"단가표지"}</definedName>
    <definedName name="ㅠ픀ㅊ_5" localSheetId="5" hidden="1">{#N/A,#N/A,FALSE,"단가표지"}</definedName>
    <definedName name="ㅠ픀ㅊ_5" hidden="1">{#N/A,#N/A,FALSE,"단가표지"}</definedName>
    <definedName name="ㅠ픀ㅊㅍ" localSheetId="5" hidden="1">{#N/A,#N/A,FALSE,"표지목차"}</definedName>
    <definedName name="ㅠ픀ㅊㅍ" hidden="1">{#N/A,#N/A,FALSE,"표지목차"}</definedName>
    <definedName name="ㅠ픀ㅊㅍ_1" localSheetId="5" hidden="1">{#N/A,#N/A,FALSE,"표지목차"}</definedName>
    <definedName name="ㅠ픀ㅊㅍ_1" hidden="1">{#N/A,#N/A,FALSE,"표지목차"}</definedName>
    <definedName name="ㅠ픀ㅊㅍ_2" localSheetId="5" hidden="1">{#N/A,#N/A,FALSE,"표지목차"}</definedName>
    <definedName name="ㅠ픀ㅊㅍ_2" hidden="1">{#N/A,#N/A,FALSE,"표지목차"}</definedName>
    <definedName name="ㅠ픀ㅊㅍ_3" localSheetId="5" hidden="1">{#N/A,#N/A,FALSE,"표지목차"}</definedName>
    <definedName name="ㅠ픀ㅊㅍ_3" hidden="1">{#N/A,#N/A,FALSE,"표지목차"}</definedName>
    <definedName name="ㅠ픀ㅊㅍ_4" localSheetId="5" hidden="1">{#N/A,#N/A,FALSE,"표지목차"}</definedName>
    <definedName name="ㅠ픀ㅊㅍ_4" hidden="1">{#N/A,#N/A,FALSE,"표지목차"}</definedName>
    <definedName name="ㅠ픀ㅊㅍ_5" localSheetId="5" hidden="1">{#N/A,#N/A,FALSE,"표지목차"}</definedName>
    <definedName name="ㅠ픀ㅊㅍ_5" hidden="1">{#N/A,#N/A,FALSE,"표지목차"}</definedName>
    <definedName name="ㅠ픀ㅋㅊㅍ" localSheetId="5" hidden="1">{#N/A,#N/A,FALSE,"운반시간"}</definedName>
    <definedName name="ㅠ픀ㅋㅊㅍ" hidden="1">{#N/A,#N/A,FALSE,"운반시간"}</definedName>
    <definedName name="ㅠ픀ㅋㅊㅍ_1" localSheetId="5" hidden="1">{#N/A,#N/A,FALSE,"운반시간"}</definedName>
    <definedName name="ㅠ픀ㅋㅊㅍ_1" hidden="1">{#N/A,#N/A,FALSE,"운반시간"}</definedName>
    <definedName name="ㅠ픀ㅋㅊㅍ_2" localSheetId="5" hidden="1">{#N/A,#N/A,FALSE,"운반시간"}</definedName>
    <definedName name="ㅠ픀ㅋㅊㅍ_2" hidden="1">{#N/A,#N/A,FALSE,"운반시간"}</definedName>
    <definedName name="ㅠ픀ㅋㅊㅍ_3" localSheetId="5" hidden="1">{#N/A,#N/A,FALSE,"운반시간"}</definedName>
    <definedName name="ㅠ픀ㅋㅊㅍ_3" hidden="1">{#N/A,#N/A,FALSE,"운반시간"}</definedName>
    <definedName name="ㅠ픀ㅋㅊㅍ_4" localSheetId="5" hidden="1">{#N/A,#N/A,FALSE,"운반시간"}</definedName>
    <definedName name="ㅠ픀ㅋㅊㅍ_4" hidden="1">{#N/A,#N/A,FALSE,"운반시간"}</definedName>
    <definedName name="ㅠ픀ㅋㅊㅍ_5" localSheetId="5" hidden="1">{#N/A,#N/A,FALSE,"운반시간"}</definedName>
    <definedName name="ㅠ픀ㅋㅊㅍ_5" hidden="1">{#N/A,#N/A,FALSE,"운반시간"}</definedName>
    <definedName name="ㅠㅗㄱㅈ" localSheetId="5" hidden="1">{#N/A,#N/A,FALSE,"이태원철근"}</definedName>
    <definedName name="ㅠㅗㄱㅈ" hidden="1">{#N/A,#N/A,FALSE,"이태원철근"}</definedName>
    <definedName name="ㅠㅗㄱㅈㅈㅈ" localSheetId="5" hidden="1">{#N/A,#N/A,FALSE,"이태원철근"}</definedName>
    <definedName name="ㅠㅗㄱㅈㅈㅈ" hidden="1">{#N/A,#N/A,FALSE,"이태원철근"}</definedName>
    <definedName name="ㅠㅗㅅㄱ" localSheetId="5" hidden="1">{#N/A,#N/A,FALSE,"이태원철근"}</definedName>
    <definedName name="ㅠㅗㅅㄱ" hidden="1">{#N/A,#N/A,FALSE,"이태원철근"}</definedName>
    <definedName name="ㅠㅠㅠ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1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2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2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3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3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4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4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5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ㅡ" localSheetId="5" hidden="1">{#N/A,#N/A,FALSE,"이태원철근"}</definedName>
    <definedName name="ㅡ" hidden="1">{#N/A,#N/A,FALSE,"이태원철근"}</definedName>
    <definedName name="ㅣ" localSheetId="5" hidden="1">{#N/A,#N/A,FALSE,"이태원철근"}</definedName>
    <definedName name="ㅣ" hidden="1">{#N/A,#N/A,FALSE,"이태원철근"}</definedName>
    <definedName name="ㅣ허ㅏㅣ하" localSheetId="5" hidden="1">{#N/A,#N/A,FALSE,"혼합골재"}</definedName>
    <definedName name="ㅣ허ㅏㅣ하" hidden="1">{#N/A,#N/A,FALSE,"혼합골재"}</definedName>
    <definedName name="ㅣ허ㅏㅣ하_1" localSheetId="5" hidden="1">{#N/A,#N/A,FALSE,"혼합골재"}</definedName>
    <definedName name="ㅣ허ㅏㅣ하_1" hidden="1">{#N/A,#N/A,FALSE,"혼합골재"}</definedName>
    <definedName name="ㅣ허ㅏㅣ하_2" localSheetId="5" hidden="1">{#N/A,#N/A,FALSE,"혼합골재"}</definedName>
    <definedName name="ㅣ허ㅏㅣ하_2" hidden="1">{#N/A,#N/A,FALSE,"혼합골재"}</definedName>
    <definedName name="ㅣ허ㅏㅣ하_3" localSheetId="5" hidden="1">{#N/A,#N/A,FALSE,"혼합골재"}</definedName>
    <definedName name="ㅣ허ㅏㅣ하_3" hidden="1">{#N/A,#N/A,FALSE,"혼합골재"}</definedName>
    <definedName name="ㅣ허ㅏㅣ하_4" localSheetId="5" hidden="1">{#N/A,#N/A,FALSE,"혼합골재"}</definedName>
    <definedName name="ㅣ허ㅏㅣ하_4" hidden="1">{#N/A,#N/A,FALSE,"혼합골재"}</definedName>
    <definedName name="ㅣ허ㅏㅣ하_5" localSheetId="5" hidden="1">{#N/A,#N/A,FALSE,"혼합골재"}</definedName>
    <definedName name="ㅣ허ㅏㅣ하_5" hidden="1">{#N/A,#N/A,FALSE,"혼합골재"}</definedName>
    <definedName name="ㅣ허ㅣ호ㅓㅏ" localSheetId="5" hidden="1">{#N/A,#N/A,FALSE,"조골재"}</definedName>
    <definedName name="ㅣ허ㅣ호ㅓㅏ" hidden="1">{#N/A,#N/A,FALSE,"조골재"}</definedName>
    <definedName name="ㅣ허ㅣ호ㅓㅏ_1" localSheetId="5" hidden="1">{#N/A,#N/A,FALSE,"조골재"}</definedName>
    <definedName name="ㅣ허ㅣ호ㅓㅏ_1" hidden="1">{#N/A,#N/A,FALSE,"조골재"}</definedName>
    <definedName name="ㅣ허ㅣ호ㅓㅏ_2" localSheetId="5" hidden="1">{#N/A,#N/A,FALSE,"조골재"}</definedName>
    <definedName name="ㅣ허ㅣ호ㅓㅏ_2" hidden="1">{#N/A,#N/A,FALSE,"조골재"}</definedName>
    <definedName name="ㅣ허ㅣ호ㅓㅏ_3" localSheetId="5" hidden="1">{#N/A,#N/A,FALSE,"조골재"}</definedName>
    <definedName name="ㅣ허ㅣ호ㅓㅏ_3" hidden="1">{#N/A,#N/A,FALSE,"조골재"}</definedName>
    <definedName name="ㅣ허ㅣ호ㅓㅏ_4" localSheetId="5" hidden="1">{#N/A,#N/A,FALSE,"조골재"}</definedName>
    <definedName name="ㅣ허ㅣ호ㅓㅏ_4" hidden="1">{#N/A,#N/A,FALSE,"조골재"}</definedName>
    <definedName name="ㅣ허ㅣ호ㅓㅏ_5" localSheetId="5" hidden="1">{#N/A,#N/A,FALSE,"조골재"}</definedName>
    <definedName name="ㅣ허ㅣ호ㅓㅏ_5" hidden="1">{#N/A,#N/A,FALSE,"조골재"}</definedName>
    <definedName name="ㅣㅏ허ㅏ허ㅏ허ㅏ" localSheetId="5" hidden="1">{#N/A,#N/A,FALSE,"단가표지"}</definedName>
    <definedName name="ㅣㅏ허ㅏ허ㅏ허ㅏ" hidden="1">{#N/A,#N/A,FALSE,"단가표지"}</definedName>
    <definedName name="ㅣㅏ허ㅏ허ㅏ허ㅏ_1" localSheetId="5" hidden="1">{#N/A,#N/A,FALSE,"단가표지"}</definedName>
    <definedName name="ㅣㅏ허ㅏ허ㅏ허ㅏ_1" hidden="1">{#N/A,#N/A,FALSE,"단가표지"}</definedName>
    <definedName name="ㅣㅏ허ㅏ허ㅏ허ㅏ_2" localSheetId="5" hidden="1">{#N/A,#N/A,FALSE,"단가표지"}</definedName>
    <definedName name="ㅣㅏ허ㅏ허ㅏ허ㅏ_2" hidden="1">{#N/A,#N/A,FALSE,"단가표지"}</definedName>
    <definedName name="ㅣㅏ허ㅏ허ㅏ허ㅏ_3" localSheetId="5" hidden="1">{#N/A,#N/A,FALSE,"단가표지"}</definedName>
    <definedName name="ㅣㅏ허ㅏ허ㅏ허ㅏ_3" hidden="1">{#N/A,#N/A,FALSE,"단가표지"}</definedName>
    <definedName name="ㅣㅏ허ㅏ허ㅏ허ㅏ_4" localSheetId="5" hidden="1">{#N/A,#N/A,FALSE,"단가표지"}</definedName>
    <definedName name="ㅣㅏ허ㅏ허ㅏ허ㅏ_4" hidden="1">{#N/A,#N/A,FALSE,"단가표지"}</definedName>
    <definedName name="ㅣㅏ허ㅏ허ㅏ허ㅏ_5" localSheetId="5" hidden="1">{#N/A,#N/A,FALSE,"단가표지"}</definedName>
    <definedName name="ㅣㅏ허ㅏ허ㅏ허ㅏ_5" hidden="1">{#N/A,#N/A,FALSE,"단가표지"}</definedName>
    <definedName name="ㅣㅏㅓㅎ" localSheetId="5" hidden="1">{#N/A,#N/A,FALSE,"단가표지"}</definedName>
    <definedName name="ㅣㅏㅓㅎ" hidden="1">{#N/A,#N/A,FALSE,"단가표지"}</definedName>
    <definedName name="ㅣㅏㅓㅎ_1" localSheetId="5" hidden="1">{#N/A,#N/A,FALSE,"단가표지"}</definedName>
    <definedName name="ㅣㅏㅓㅎ_1" hidden="1">{#N/A,#N/A,FALSE,"단가표지"}</definedName>
    <definedName name="ㅣㅏㅓㅎ_2" localSheetId="5" hidden="1">{#N/A,#N/A,FALSE,"단가표지"}</definedName>
    <definedName name="ㅣㅏㅓㅎ_2" hidden="1">{#N/A,#N/A,FALSE,"단가표지"}</definedName>
    <definedName name="ㅣㅏㅓㅎ_3" localSheetId="5" hidden="1">{#N/A,#N/A,FALSE,"단가표지"}</definedName>
    <definedName name="ㅣㅏㅓㅎ_3" hidden="1">{#N/A,#N/A,FALSE,"단가표지"}</definedName>
    <definedName name="ㅣㅏㅓㅎ_4" localSheetId="5" hidden="1">{#N/A,#N/A,FALSE,"단가표지"}</definedName>
    <definedName name="ㅣㅏㅓㅎ_4" hidden="1">{#N/A,#N/A,FALSE,"단가표지"}</definedName>
    <definedName name="ㅣㅏㅓㅎ_5" localSheetId="5" hidden="1">{#N/A,#N/A,FALSE,"단가표지"}</definedName>
    <definedName name="ㅣㅏㅓㅎ_5" hidden="1">{#N/A,#N/A,FALSE,"단가표지"}</definedName>
    <definedName name="ㅣㅏㅓ허ㅏㅓㅎ" localSheetId="5" hidden="1">{#N/A,#N/A,FALSE,"표지목차"}</definedName>
    <definedName name="ㅣㅏㅓ허ㅏㅓㅎ" hidden="1">{#N/A,#N/A,FALSE,"표지목차"}</definedName>
    <definedName name="ㅣㅏㅓ허ㅏㅓㅎ_1" localSheetId="5" hidden="1">{#N/A,#N/A,FALSE,"표지목차"}</definedName>
    <definedName name="ㅣㅏㅓ허ㅏㅓㅎ_1" hidden="1">{#N/A,#N/A,FALSE,"표지목차"}</definedName>
    <definedName name="ㅣㅏㅓ허ㅏㅓㅎ_2" localSheetId="5" hidden="1">{#N/A,#N/A,FALSE,"표지목차"}</definedName>
    <definedName name="ㅣㅏㅓ허ㅏㅓㅎ_2" hidden="1">{#N/A,#N/A,FALSE,"표지목차"}</definedName>
    <definedName name="ㅣㅏㅓ허ㅏㅓㅎ_3" localSheetId="5" hidden="1">{#N/A,#N/A,FALSE,"표지목차"}</definedName>
    <definedName name="ㅣㅏㅓ허ㅏㅓㅎ_3" hidden="1">{#N/A,#N/A,FALSE,"표지목차"}</definedName>
    <definedName name="ㅣㅏㅓ허ㅏㅓㅎ_4" localSheetId="5" hidden="1">{#N/A,#N/A,FALSE,"표지목차"}</definedName>
    <definedName name="ㅣㅏㅓ허ㅏㅓㅎ_4" hidden="1">{#N/A,#N/A,FALSE,"표지목차"}</definedName>
    <definedName name="ㅣㅏㅓ허ㅏㅓㅎ_5" localSheetId="5" hidden="1">{#N/A,#N/A,FALSE,"표지목차"}</definedName>
    <definedName name="ㅣㅏㅓ허ㅏㅓㅎ_5" hidden="1">{#N/A,#N/A,FALSE,"표지목차"}</definedName>
    <definedName name="ㅣㅏㅓㅣ허ㅏㅎ" localSheetId="5" hidden="1">{#N/A,#N/A,FALSE,"골재소요량";#N/A,#N/A,FALSE,"골재소요량"}</definedName>
    <definedName name="ㅣㅏㅓㅣ허ㅏㅎ" hidden="1">{#N/A,#N/A,FALSE,"골재소요량";#N/A,#N/A,FALSE,"골재소요량"}</definedName>
    <definedName name="ㅣㅏㅓㅣ허ㅏㅎ_1" localSheetId="5" hidden="1">{#N/A,#N/A,FALSE,"골재소요량";#N/A,#N/A,FALSE,"골재소요량"}</definedName>
    <definedName name="ㅣㅏㅓㅣ허ㅏㅎ_1" hidden="1">{#N/A,#N/A,FALSE,"골재소요량";#N/A,#N/A,FALSE,"골재소요량"}</definedName>
    <definedName name="ㅣㅏㅓㅣ허ㅏㅎ_2" localSheetId="5" hidden="1">{#N/A,#N/A,FALSE,"골재소요량";#N/A,#N/A,FALSE,"골재소요량"}</definedName>
    <definedName name="ㅣㅏㅓㅣ허ㅏㅎ_2" hidden="1">{#N/A,#N/A,FALSE,"골재소요량";#N/A,#N/A,FALSE,"골재소요량"}</definedName>
    <definedName name="ㅣㅏㅓㅣ허ㅏㅎ_3" localSheetId="5" hidden="1">{#N/A,#N/A,FALSE,"골재소요량";#N/A,#N/A,FALSE,"골재소요량"}</definedName>
    <definedName name="ㅣㅏㅓㅣ허ㅏㅎ_3" hidden="1">{#N/A,#N/A,FALSE,"골재소요량";#N/A,#N/A,FALSE,"골재소요량"}</definedName>
    <definedName name="ㅣㅏㅓㅣ허ㅏㅎ_4" localSheetId="5" hidden="1">{#N/A,#N/A,FALSE,"골재소요량";#N/A,#N/A,FALSE,"골재소요량"}</definedName>
    <definedName name="ㅣㅏㅓㅣ허ㅏㅎ_4" hidden="1">{#N/A,#N/A,FALSE,"골재소요량";#N/A,#N/A,FALSE,"골재소요량"}</definedName>
    <definedName name="ㅣㅏㅓㅣ허ㅏㅎ_5" localSheetId="5" hidden="1">{#N/A,#N/A,FALSE,"골재소요량";#N/A,#N/A,FALSE,"골재소요량"}</definedName>
    <definedName name="ㅣㅏㅓㅣ허ㅏㅎ_5" hidden="1">{#N/A,#N/A,FALSE,"골재소요량";#N/A,#N/A,FALSE,"골재소요량"}</definedName>
    <definedName name="ㅣㅏㅓㅣ허ㅏㅏ허" localSheetId="5" hidden="1">{#N/A,#N/A,FALSE,"조골재"}</definedName>
    <definedName name="ㅣㅏㅓㅣ허ㅏㅏ허" hidden="1">{#N/A,#N/A,FALSE,"조골재"}</definedName>
    <definedName name="ㅣㅏㅓㅣ허ㅏㅏ허_1" localSheetId="5" hidden="1">{#N/A,#N/A,FALSE,"조골재"}</definedName>
    <definedName name="ㅣㅏㅓㅣ허ㅏㅏ허_1" hidden="1">{#N/A,#N/A,FALSE,"조골재"}</definedName>
    <definedName name="ㅣㅏㅓㅣ허ㅏㅏ허_2" localSheetId="5" hidden="1">{#N/A,#N/A,FALSE,"조골재"}</definedName>
    <definedName name="ㅣㅏㅓㅣ허ㅏㅏ허_2" hidden="1">{#N/A,#N/A,FALSE,"조골재"}</definedName>
    <definedName name="ㅣㅏㅓㅣ허ㅏㅏ허_3" localSheetId="5" hidden="1">{#N/A,#N/A,FALSE,"조골재"}</definedName>
    <definedName name="ㅣㅏㅓㅣ허ㅏㅏ허_3" hidden="1">{#N/A,#N/A,FALSE,"조골재"}</definedName>
    <definedName name="ㅣㅏㅓㅣ허ㅏㅏ허_4" localSheetId="5" hidden="1">{#N/A,#N/A,FALSE,"조골재"}</definedName>
    <definedName name="ㅣㅏㅓㅣ허ㅏㅏ허_4" hidden="1">{#N/A,#N/A,FALSE,"조골재"}</definedName>
    <definedName name="ㅣㅏㅓㅣ허ㅏㅏ허_5" localSheetId="5" hidden="1">{#N/A,#N/A,FALSE,"조골재"}</definedName>
    <definedName name="ㅣㅏㅓㅣ허ㅏㅏ허_5" hidden="1">{#N/A,#N/A,FALSE,"조골재"}</definedName>
    <definedName name="ㅣㅑㅑ" localSheetId="5" hidden="1">{#N/A,#N/A,FALSE,"단가표지"}</definedName>
    <definedName name="ㅣㅑㅑ" localSheetId="9" hidden="1">{#N/A,#N/A,FALSE,"단가표지"}</definedName>
    <definedName name="ㅣㅑㅑ" localSheetId="10" hidden="1">{#N/A,#N/A,FALSE,"단가표지"}</definedName>
    <definedName name="ㅣㅑㅑ" localSheetId="6" hidden="1">{#N/A,#N/A,FALSE,"단가표지"}</definedName>
    <definedName name="ㅣㅑㅑ" localSheetId="3" hidden="1">{#N/A,#N/A,FALSE,"단가표지"}</definedName>
    <definedName name="ㅣㅑㅑ" hidden="1">{#N/A,#N/A,FALSE,"단가표지"}</definedName>
    <definedName name="ㅣㅓㅏ허" localSheetId="5" hidden="1">{#N/A,#N/A,FALSE,"운반시간"}</definedName>
    <definedName name="ㅣㅓㅏ허" hidden="1">{#N/A,#N/A,FALSE,"운반시간"}</definedName>
    <definedName name="ㅣㅓㅏ허_1" localSheetId="5" hidden="1">{#N/A,#N/A,FALSE,"운반시간"}</definedName>
    <definedName name="ㅣㅓㅏ허_1" hidden="1">{#N/A,#N/A,FALSE,"운반시간"}</definedName>
    <definedName name="ㅣㅓㅏ허_2" localSheetId="5" hidden="1">{#N/A,#N/A,FALSE,"운반시간"}</definedName>
    <definedName name="ㅣㅓㅏ허_2" hidden="1">{#N/A,#N/A,FALSE,"운반시간"}</definedName>
    <definedName name="ㅣㅓㅏ허_3" localSheetId="5" hidden="1">{#N/A,#N/A,FALSE,"운반시간"}</definedName>
    <definedName name="ㅣㅓㅏ허_3" hidden="1">{#N/A,#N/A,FALSE,"운반시간"}</definedName>
    <definedName name="ㅣㅓㅏ허_4" localSheetId="5" hidden="1">{#N/A,#N/A,FALSE,"운반시간"}</definedName>
    <definedName name="ㅣㅓㅏ허_4" hidden="1">{#N/A,#N/A,FALSE,"운반시간"}</definedName>
    <definedName name="ㅣㅓㅏ허_5" localSheetId="5" hidden="1">{#N/A,#N/A,FALSE,"운반시간"}</definedName>
    <definedName name="ㅣㅓㅏ허_5" hidden="1">{#N/A,#N/A,FALSE,"운반시간"}</definedName>
    <definedName name="ㅣㅓㅏ허ㅏㅣ허ㅏㅓ" localSheetId="5" hidden="1">{#N/A,#N/A,FALSE,"운반시간"}</definedName>
    <definedName name="ㅣㅓㅏ허ㅏㅣ허ㅏㅓ" hidden="1">{#N/A,#N/A,FALSE,"운반시간"}</definedName>
    <definedName name="ㅣㅓㅏ허ㅏㅣ허ㅏㅓ_1" localSheetId="5" hidden="1">{#N/A,#N/A,FALSE,"운반시간"}</definedName>
    <definedName name="ㅣㅓㅏ허ㅏㅣ허ㅏㅓ_1" hidden="1">{#N/A,#N/A,FALSE,"운반시간"}</definedName>
    <definedName name="ㅣㅓㅏ허ㅏㅣ허ㅏㅓ_2" localSheetId="5" hidden="1">{#N/A,#N/A,FALSE,"운반시간"}</definedName>
    <definedName name="ㅣㅓㅏ허ㅏㅣ허ㅏㅓ_2" hidden="1">{#N/A,#N/A,FALSE,"운반시간"}</definedName>
    <definedName name="ㅣㅓㅏ허ㅏㅣ허ㅏㅓ_3" localSheetId="5" hidden="1">{#N/A,#N/A,FALSE,"운반시간"}</definedName>
    <definedName name="ㅣㅓㅏ허ㅏㅣ허ㅏㅓ_3" hidden="1">{#N/A,#N/A,FALSE,"운반시간"}</definedName>
    <definedName name="ㅣㅓㅏ허ㅏㅣ허ㅏㅓ_4" localSheetId="5" hidden="1">{#N/A,#N/A,FALSE,"운반시간"}</definedName>
    <definedName name="ㅣㅓㅏ허ㅏㅣ허ㅏㅓ_4" hidden="1">{#N/A,#N/A,FALSE,"운반시간"}</definedName>
    <definedName name="ㅣㅓㅏ허ㅏㅣ허ㅏㅓ_5" localSheetId="5" hidden="1">{#N/A,#N/A,FALSE,"운반시간"}</definedName>
    <definedName name="ㅣㅓㅏ허ㅏㅣ허ㅏㅓ_5" hidden="1">{#N/A,#N/A,FALSE,"운반시간"}</definedName>
    <definedName name="ㅣㅚㅓㅏ" localSheetId="5" hidden="1">{#N/A,#N/A,FALSE,"단가표지"}</definedName>
    <definedName name="ㅣㅚㅓㅏ" hidden="1">{#N/A,#N/A,FALSE,"단가표지"}</definedName>
    <definedName name="ㅣㅚㅓㅏ_1" localSheetId="5" hidden="1">{#N/A,#N/A,FALSE,"단가표지"}</definedName>
    <definedName name="ㅣㅚㅓㅏ_1" hidden="1">{#N/A,#N/A,FALSE,"단가표지"}</definedName>
    <definedName name="ㅣㅚㅓㅏ_2" localSheetId="5" hidden="1">{#N/A,#N/A,FALSE,"단가표지"}</definedName>
    <definedName name="ㅣㅚㅓㅏ_2" hidden="1">{#N/A,#N/A,FALSE,"단가표지"}</definedName>
    <definedName name="ㅣㅚㅓㅏ_3" localSheetId="5" hidden="1">{#N/A,#N/A,FALSE,"단가표지"}</definedName>
    <definedName name="ㅣㅚㅓㅏ_3" hidden="1">{#N/A,#N/A,FALSE,"단가표지"}</definedName>
    <definedName name="ㅣㅚㅓㅏ_4" localSheetId="5" hidden="1">{#N/A,#N/A,FALSE,"단가표지"}</definedName>
    <definedName name="ㅣㅚㅓㅏ_4" hidden="1">{#N/A,#N/A,FALSE,"단가표지"}</definedName>
    <definedName name="ㅣㅚㅓㅏ_5" localSheetId="5" hidden="1">{#N/A,#N/A,FALSE,"단가표지"}</definedName>
    <definedName name="ㅣㅚㅓㅏ_5" hidden="1">{#N/A,#N/A,FALSE,"단가표지"}</definedName>
    <definedName name="ㅣㅣ_1" localSheetId="5" hidden="1">{"LKD",#N/A,FALSE,"표지"}</definedName>
    <definedName name="ㅣㅣ_1" hidden="1">{"LKD",#N/A,FALSE,"표지"}</definedName>
    <definedName name="ㅣㅣ_2" localSheetId="5" hidden="1">{"LKD",#N/A,FALSE,"표지"}</definedName>
    <definedName name="ㅣㅣ_2" hidden="1">{"LKD",#N/A,FALSE,"표지"}</definedName>
    <definedName name="ㅣㅣ_3" localSheetId="5" hidden="1">{"LKD",#N/A,FALSE,"표지"}</definedName>
    <definedName name="ㅣㅣ_3" hidden="1">{"LKD",#N/A,FALSE,"표지"}</definedName>
    <definedName name="ㅣㅣ_4" localSheetId="5" hidden="1">{"LKD",#N/A,FALSE,"표지"}</definedName>
    <definedName name="ㅣㅣ_4" hidden="1">{"LKD",#N/A,FALSE,"표지"}</definedName>
    <definedName name="ㅣㅣ_5" localSheetId="5" hidden="1">{"LKD",#N/A,FALSE,"표지"}</definedName>
    <definedName name="ㅣㅣ_5" hidden="1">{"LKD",#N/A,FALSE,"표지"}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47" i="18" l="1"/>
  <c r="H2047" i="18"/>
  <c r="G2047" i="18"/>
  <c r="F2047" i="18"/>
  <c r="E2047" i="18"/>
  <c r="I2046" i="18"/>
  <c r="H2046" i="18"/>
  <c r="G2046" i="18"/>
  <c r="F2046" i="18"/>
  <c r="E2046" i="18"/>
  <c r="I2045" i="18"/>
  <c r="H2045" i="18"/>
  <c r="G2045" i="18"/>
  <c r="F2045" i="18"/>
  <c r="E2045" i="18"/>
  <c r="I2044" i="18"/>
  <c r="H2044" i="18"/>
  <c r="G2044" i="18"/>
  <c r="F2044" i="18"/>
  <c r="E2044" i="18"/>
  <c r="I2043" i="18"/>
  <c r="H2043" i="18"/>
  <c r="G2043" i="18"/>
  <c r="F2043" i="18"/>
  <c r="E2043" i="18"/>
  <c r="I2042" i="18"/>
  <c r="H2042" i="18"/>
  <c r="G2042" i="18"/>
  <c r="F2042" i="18"/>
  <c r="E2042" i="18"/>
  <c r="I2041" i="18"/>
  <c r="H2041" i="18"/>
  <c r="G2041" i="18"/>
  <c r="F2041" i="18"/>
  <c r="E2041" i="18"/>
  <c r="I2040" i="18"/>
  <c r="H2040" i="18"/>
  <c r="G2040" i="18"/>
  <c r="F2040" i="18"/>
  <c r="E2040" i="18"/>
  <c r="I2039" i="18"/>
  <c r="H2039" i="18"/>
  <c r="G2039" i="18"/>
  <c r="F2039" i="18"/>
  <c r="E2039" i="18"/>
  <c r="I2038" i="18"/>
  <c r="H2038" i="18"/>
  <c r="G2038" i="18"/>
  <c r="F2038" i="18"/>
  <c r="E2038" i="18"/>
  <c r="I2037" i="18"/>
  <c r="H2037" i="18"/>
  <c r="G2037" i="18"/>
  <c r="F2037" i="18"/>
  <c r="E2037" i="18"/>
  <c r="I2036" i="18"/>
  <c r="H2036" i="18"/>
  <c r="G2036" i="18"/>
  <c r="F2036" i="18"/>
  <c r="E2036" i="18"/>
  <c r="I2035" i="18"/>
  <c r="H2035" i="18"/>
  <c r="G2035" i="18"/>
  <c r="F2035" i="18"/>
  <c r="E2035" i="18"/>
  <c r="I2034" i="18"/>
  <c r="H2034" i="18"/>
  <c r="G2034" i="18"/>
  <c r="F2034" i="18"/>
  <c r="E2034" i="18"/>
  <c r="I2033" i="18"/>
  <c r="H2033" i="18"/>
  <c r="G2033" i="18"/>
  <c r="F2033" i="18"/>
  <c r="E2033" i="18"/>
  <c r="E2048" i="18"/>
  <c r="F2048" i="18"/>
  <c r="G2048" i="18"/>
  <c r="H2048" i="18"/>
  <c r="I2048" i="18"/>
  <c r="E2049" i="18"/>
  <c r="F2049" i="18"/>
  <c r="G2049" i="18"/>
  <c r="H2049" i="18"/>
  <c r="I2049" i="18"/>
  <c r="E2050" i="18"/>
  <c r="F2050" i="18"/>
  <c r="G2050" i="18"/>
  <c r="H2050" i="18"/>
  <c r="I2050" i="18"/>
  <c r="E2051" i="18"/>
  <c r="F2051" i="18"/>
  <c r="G2051" i="18"/>
  <c r="H2051" i="18"/>
  <c r="I2051" i="18"/>
  <c r="E2052" i="18"/>
  <c r="F2052" i="18"/>
  <c r="G2052" i="18"/>
  <c r="H2052" i="18"/>
  <c r="I2052" i="18"/>
  <c r="E2053" i="18"/>
  <c r="F2053" i="18"/>
  <c r="G2053" i="18"/>
  <c r="H2053" i="18"/>
  <c r="I2053" i="18"/>
  <c r="E2054" i="18"/>
  <c r="F2054" i="18"/>
  <c r="G2054" i="18"/>
  <c r="H2054" i="18"/>
  <c r="I2054" i="18"/>
  <c r="E2055" i="18"/>
  <c r="F2055" i="18"/>
  <c r="G2055" i="18"/>
  <c r="H2055" i="18"/>
  <c r="I2055" i="18"/>
  <c r="E2056" i="18"/>
  <c r="F2056" i="18"/>
  <c r="G2056" i="18"/>
  <c r="H2056" i="18"/>
  <c r="I2056" i="18"/>
  <c r="E2057" i="18"/>
  <c r="F2057" i="18"/>
  <c r="G2057" i="18"/>
  <c r="H2057" i="18"/>
  <c r="I2057" i="18"/>
  <c r="E2058" i="18"/>
  <c r="F2058" i="18"/>
  <c r="G2058" i="18"/>
  <c r="H2058" i="18"/>
  <c r="I2058" i="18"/>
  <c r="E2059" i="18"/>
  <c r="F2059" i="18"/>
  <c r="G2059" i="18"/>
  <c r="H2059" i="18"/>
  <c r="I2059" i="18"/>
  <c r="E2060" i="18"/>
  <c r="F2060" i="18"/>
  <c r="G2060" i="18"/>
  <c r="H2060" i="18"/>
  <c r="I2060" i="18"/>
  <c r="E2061" i="18"/>
  <c r="F2061" i="18"/>
  <c r="G2061" i="18"/>
  <c r="H2061" i="18"/>
  <c r="I2061" i="18"/>
  <c r="E2062" i="18"/>
  <c r="F2062" i="18"/>
  <c r="G2062" i="18"/>
  <c r="H2062" i="18"/>
  <c r="I2062" i="18"/>
  <c r="E2063" i="18"/>
  <c r="F2063" i="18"/>
  <c r="G2063" i="18"/>
  <c r="H2063" i="18"/>
  <c r="I2063" i="18"/>
  <c r="E2064" i="18"/>
  <c r="F2064" i="18"/>
  <c r="G2064" i="18"/>
  <c r="H2064" i="18"/>
  <c r="I2064" i="18"/>
  <c r="E2065" i="18"/>
  <c r="F2065" i="18"/>
  <c r="G2065" i="18"/>
  <c r="H2065" i="18"/>
  <c r="I2065" i="18"/>
  <c r="E2066" i="18"/>
  <c r="F2066" i="18"/>
  <c r="G2066" i="18"/>
  <c r="H2066" i="18"/>
  <c r="I2066" i="18"/>
  <c r="E2067" i="18"/>
  <c r="F2067" i="18"/>
  <c r="G2067" i="18"/>
  <c r="H2067" i="18"/>
  <c r="I2067" i="18"/>
  <c r="E2068" i="18"/>
  <c r="F2068" i="18"/>
  <c r="G2068" i="18"/>
  <c r="H2068" i="18"/>
  <c r="I2068" i="18"/>
  <c r="E2069" i="18"/>
  <c r="F2069" i="18"/>
  <c r="G2069" i="18"/>
  <c r="H2069" i="18"/>
  <c r="I2069" i="18"/>
  <c r="E2070" i="18"/>
  <c r="F2070" i="18"/>
  <c r="G2070" i="18"/>
  <c r="H2070" i="18"/>
  <c r="I2070" i="18"/>
  <c r="E2071" i="18"/>
  <c r="F2071" i="18"/>
  <c r="G2071" i="18"/>
  <c r="H2071" i="18"/>
  <c r="I2071" i="18"/>
  <c r="E2072" i="18"/>
  <c r="F2072" i="18"/>
  <c r="G2072" i="18"/>
  <c r="H2072" i="18"/>
  <c r="I2072" i="18"/>
  <c r="E2073" i="18"/>
  <c r="F2073" i="18"/>
  <c r="G2073" i="18"/>
  <c r="H2073" i="18"/>
  <c r="I2073" i="18"/>
  <c r="E2074" i="18"/>
  <c r="F2074" i="18"/>
  <c r="G2074" i="18"/>
  <c r="H2074" i="18"/>
  <c r="I2074" i="18"/>
  <c r="E2075" i="18"/>
  <c r="F2075" i="18"/>
  <c r="G2075" i="18"/>
  <c r="H2075" i="18"/>
  <c r="I2075" i="18"/>
  <c r="E2076" i="18"/>
  <c r="F2076" i="18"/>
  <c r="G2076" i="18"/>
  <c r="H2076" i="18"/>
  <c r="I2076" i="18"/>
  <c r="E2077" i="18"/>
  <c r="F2077" i="18"/>
  <c r="G2077" i="18"/>
  <c r="H2077" i="18"/>
  <c r="I2077" i="18"/>
  <c r="E2078" i="18"/>
  <c r="F2078" i="18"/>
  <c r="G2078" i="18"/>
  <c r="H2078" i="18"/>
  <c r="I2078" i="18"/>
  <c r="E2079" i="18"/>
  <c r="F2079" i="18"/>
  <c r="G2079" i="18"/>
  <c r="H2079" i="18"/>
  <c r="I2079" i="18"/>
  <c r="I2031" i="18"/>
  <c r="H2031" i="18"/>
  <c r="G2031" i="18"/>
  <c r="F2031" i="18"/>
  <c r="E2031" i="18"/>
  <c r="I2030" i="18"/>
  <c r="H2030" i="18"/>
  <c r="G2030" i="18"/>
  <c r="F2030" i="18"/>
  <c r="E2030" i="18"/>
  <c r="I2029" i="18"/>
  <c r="H2029" i="18"/>
  <c r="G2029" i="18"/>
  <c r="F2029" i="18"/>
  <c r="E2029" i="18"/>
  <c r="I2028" i="18"/>
  <c r="H2028" i="18"/>
  <c r="G2028" i="18"/>
  <c r="F2028" i="18"/>
  <c r="E2028" i="18"/>
  <c r="I2027" i="18"/>
  <c r="H2027" i="18"/>
  <c r="G2027" i="18"/>
  <c r="F2027" i="18"/>
  <c r="E2027" i="18"/>
  <c r="I2026" i="18"/>
  <c r="H2026" i="18"/>
  <c r="G2026" i="18"/>
  <c r="F2026" i="18"/>
  <c r="E2026" i="18"/>
  <c r="I2025" i="18"/>
  <c r="H2025" i="18"/>
  <c r="G2025" i="18"/>
  <c r="F2025" i="18"/>
  <c r="E2025" i="18"/>
  <c r="I2024" i="18"/>
  <c r="H2024" i="18"/>
  <c r="G2024" i="18"/>
  <c r="F2024" i="18"/>
  <c r="E2024" i="18"/>
  <c r="I2023" i="18"/>
  <c r="H2023" i="18"/>
  <c r="G2023" i="18"/>
  <c r="F2023" i="18"/>
  <c r="E2023" i="18"/>
  <c r="I2022" i="18"/>
  <c r="H2022" i="18"/>
  <c r="G2022" i="18"/>
  <c r="F2022" i="18"/>
  <c r="E2022" i="18"/>
  <c r="I2021" i="18"/>
  <c r="H2021" i="18"/>
  <c r="G2021" i="18"/>
  <c r="F2021" i="18"/>
  <c r="E2021" i="18"/>
  <c r="I2020" i="18"/>
  <c r="H2020" i="18"/>
  <c r="G2020" i="18"/>
  <c r="F2020" i="18"/>
  <c r="E2020" i="18"/>
  <c r="I2019" i="18"/>
  <c r="H2019" i="18"/>
  <c r="G2019" i="18"/>
  <c r="F2019" i="18"/>
  <c r="E2019" i="18"/>
  <c r="I2018" i="18"/>
  <c r="H2018" i="18"/>
  <c r="G2018" i="18"/>
  <c r="F2018" i="18"/>
  <c r="E2018" i="18"/>
  <c r="I2017" i="18"/>
  <c r="H2017" i="18"/>
  <c r="G2017" i="18"/>
  <c r="F2017" i="18"/>
  <c r="E2017" i="18"/>
  <c r="I2016" i="18"/>
  <c r="H2016" i="18"/>
  <c r="G2016" i="18"/>
  <c r="F2016" i="18"/>
  <c r="E2016" i="18"/>
  <c r="I2015" i="18"/>
  <c r="H2015" i="18"/>
  <c r="G2015" i="18"/>
  <c r="F2015" i="18"/>
  <c r="E2015" i="18"/>
  <c r="I2014" i="18"/>
  <c r="H2014" i="18"/>
  <c r="G2014" i="18"/>
  <c r="F2014" i="18"/>
  <c r="E2014" i="18"/>
  <c r="I2013" i="18"/>
  <c r="H2013" i="18"/>
  <c r="G2013" i="18"/>
  <c r="F2013" i="18"/>
  <c r="E2013" i="18"/>
  <c r="I2012" i="18"/>
  <c r="H2012" i="18"/>
  <c r="G2012" i="18"/>
  <c r="F2012" i="18"/>
  <c r="E2012" i="18"/>
  <c r="I2011" i="18"/>
  <c r="H2011" i="18"/>
  <c r="G2011" i="18"/>
  <c r="F2011" i="18"/>
  <c r="E2011" i="18"/>
  <c r="I2010" i="18"/>
  <c r="H2010" i="18"/>
  <c r="G2010" i="18"/>
  <c r="F2010" i="18"/>
  <c r="E2010" i="18"/>
  <c r="I2009" i="18"/>
  <c r="H2009" i="18"/>
  <c r="G2009" i="18"/>
  <c r="F2009" i="18"/>
  <c r="E2009" i="18"/>
  <c r="I2008" i="18"/>
  <c r="H2008" i="18"/>
  <c r="G2008" i="18"/>
  <c r="F2008" i="18"/>
  <c r="E2008" i="18"/>
  <c r="I2007" i="18"/>
  <c r="H2007" i="18"/>
  <c r="G2007" i="18"/>
  <c r="F2007" i="18"/>
  <c r="E2007" i="18"/>
  <c r="I2006" i="18"/>
  <c r="H2006" i="18"/>
  <c r="G2006" i="18"/>
  <c r="F2006" i="18"/>
  <c r="E2006" i="18"/>
  <c r="I2005" i="18"/>
  <c r="H2005" i="18"/>
  <c r="G2005" i="18"/>
  <c r="F2005" i="18"/>
  <c r="E2005" i="18"/>
  <c r="I2004" i="18"/>
  <c r="H2004" i="18"/>
  <c r="G2004" i="18"/>
  <c r="F2004" i="18"/>
  <c r="E2004" i="18"/>
  <c r="I2003" i="18"/>
  <c r="H2003" i="18"/>
  <c r="G2003" i="18"/>
  <c r="F2003" i="18"/>
  <c r="E2003" i="18"/>
  <c r="I2002" i="18"/>
  <c r="H2002" i="18"/>
  <c r="G2002" i="18"/>
  <c r="F2002" i="18"/>
  <c r="E2002" i="18"/>
  <c r="I2001" i="18"/>
  <c r="H2001" i="18"/>
  <c r="G2001" i="18"/>
  <c r="F2001" i="18"/>
  <c r="E2001" i="18"/>
  <c r="I2000" i="18"/>
  <c r="H2000" i="18"/>
  <c r="G2000" i="18"/>
  <c r="F2000" i="18"/>
  <c r="E2000" i="18"/>
  <c r="I1999" i="18"/>
  <c r="H1999" i="18"/>
  <c r="G1999" i="18"/>
  <c r="F1999" i="18"/>
  <c r="E1999" i="18"/>
  <c r="I1998" i="18"/>
  <c r="H1998" i="18"/>
  <c r="G1998" i="18"/>
  <c r="F1998" i="18"/>
  <c r="E1998" i="18"/>
  <c r="I1997" i="18"/>
  <c r="H1997" i="18"/>
  <c r="G1997" i="18"/>
  <c r="F1997" i="18"/>
  <c r="E1997" i="18"/>
  <c r="R47" i="19"/>
  <c r="E2032" i="18"/>
  <c r="F2032" i="18"/>
  <c r="G2032" i="18"/>
  <c r="H2032" i="18"/>
  <c r="I2032" i="18"/>
  <c r="E174" i="18"/>
  <c r="F174" i="18"/>
  <c r="G174" i="18"/>
  <c r="H174" i="18"/>
  <c r="I174" i="18"/>
  <c r="E226" i="18"/>
  <c r="F226" i="18"/>
  <c r="G226" i="18"/>
  <c r="H226" i="18"/>
  <c r="I226" i="18"/>
  <c r="I1726" i="18"/>
  <c r="H1726" i="18"/>
  <c r="G1726" i="18"/>
  <c r="F1726" i="18"/>
  <c r="E1726" i="18"/>
  <c r="I1725" i="18"/>
  <c r="H1725" i="18"/>
  <c r="G1725" i="18"/>
  <c r="F1725" i="18"/>
  <c r="E1725" i="18"/>
  <c r="I1724" i="18"/>
  <c r="H1724" i="18"/>
  <c r="G1724" i="18"/>
  <c r="F1724" i="18"/>
  <c r="E1724" i="18"/>
  <c r="Q23" i="19"/>
  <c r="Q22" i="19"/>
  <c r="L289" i="18"/>
  <c r="L261" i="18"/>
  <c r="L260" i="18"/>
  <c r="L236" i="18"/>
  <c r="I932" i="21"/>
  <c r="H932" i="21"/>
  <c r="G932" i="21"/>
  <c r="F932" i="21"/>
  <c r="E932" i="21"/>
  <c r="I931" i="21"/>
  <c r="H931" i="21"/>
  <c r="G931" i="21"/>
  <c r="F931" i="21"/>
  <c r="E931" i="21"/>
  <c r="I930" i="21"/>
  <c r="H930" i="21"/>
  <c r="G930" i="21"/>
  <c r="F930" i="21"/>
  <c r="E930" i="21"/>
  <c r="I929" i="21"/>
  <c r="H929" i="21"/>
  <c r="G929" i="21"/>
  <c r="F929" i="21"/>
  <c r="E929" i="21"/>
  <c r="I928" i="21"/>
  <c r="H928" i="21"/>
  <c r="G928" i="21"/>
  <c r="F928" i="21"/>
  <c r="E928" i="21"/>
  <c r="I927" i="21"/>
  <c r="H927" i="21"/>
  <c r="G927" i="21"/>
  <c r="F927" i="21"/>
  <c r="E927" i="21"/>
  <c r="I926" i="21"/>
  <c r="H926" i="21"/>
  <c r="G926" i="21"/>
  <c r="F926" i="21"/>
  <c r="E926" i="21"/>
  <c r="I925" i="21"/>
  <c r="H925" i="21"/>
  <c r="G925" i="21"/>
  <c r="F925" i="21"/>
  <c r="E925" i="21"/>
  <c r="I924" i="21"/>
  <c r="H924" i="21"/>
  <c r="G924" i="21"/>
  <c r="F924" i="21"/>
  <c r="E924" i="21"/>
  <c r="I923" i="21"/>
  <c r="H923" i="21"/>
  <c r="G923" i="21"/>
  <c r="F923" i="21"/>
  <c r="E923" i="21"/>
  <c r="I922" i="21"/>
  <c r="H922" i="21"/>
  <c r="G922" i="21"/>
  <c r="F922" i="21"/>
  <c r="E922" i="21"/>
  <c r="I921" i="21"/>
  <c r="H921" i="21"/>
  <c r="G921" i="21"/>
  <c r="F921" i="21"/>
  <c r="E921" i="21"/>
  <c r="I920" i="21"/>
  <c r="H920" i="21"/>
  <c r="G920" i="21"/>
  <c r="F920" i="21"/>
  <c r="E920" i="21"/>
  <c r="I919" i="21"/>
  <c r="H919" i="21"/>
  <c r="G919" i="21"/>
  <c r="F919" i="21"/>
  <c r="E919" i="21"/>
  <c r="I918" i="21"/>
  <c r="H918" i="21"/>
  <c r="G918" i="21"/>
  <c r="F918" i="21"/>
  <c r="E918" i="21"/>
  <c r="E873" i="21"/>
  <c r="F873" i="21"/>
  <c r="G873" i="21"/>
  <c r="H873" i="21"/>
  <c r="I873" i="21"/>
  <c r="E874" i="21"/>
  <c r="F874" i="21"/>
  <c r="G874" i="21"/>
  <c r="H874" i="21"/>
  <c r="I874" i="21"/>
  <c r="E875" i="21"/>
  <c r="F875" i="21"/>
  <c r="G875" i="21"/>
  <c r="H875" i="21"/>
  <c r="I875" i="21"/>
  <c r="E876" i="21"/>
  <c r="F876" i="21"/>
  <c r="G876" i="21"/>
  <c r="H876" i="21"/>
  <c r="I876" i="21"/>
  <c r="E877" i="21"/>
  <c r="F877" i="21"/>
  <c r="G877" i="21"/>
  <c r="H877" i="21"/>
  <c r="I877" i="21"/>
  <c r="E878" i="21"/>
  <c r="F878" i="21"/>
  <c r="G878" i="21"/>
  <c r="H878" i="21"/>
  <c r="I878" i="21"/>
  <c r="E879" i="21"/>
  <c r="F879" i="21"/>
  <c r="G879" i="21"/>
  <c r="H879" i="21"/>
  <c r="I879" i="21"/>
  <c r="E880" i="21"/>
  <c r="F880" i="21"/>
  <c r="G880" i="21"/>
  <c r="H880" i="21"/>
  <c r="I880" i="21"/>
  <c r="E881" i="21"/>
  <c r="F881" i="21"/>
  <c r="G881" i="21"/>
  <c r="H881" i="21"/>
  <c r="I881" i="21"/>
  <c r="E882" i="21"/>
  <c r="F882" i="21"/>
  <c r="G882" i="21"/>
  <c r="H882" i="21"/>
  <c r="I882" i="21"/>
  <c r="E883" i="21"/>
  <c r="F883" i="21"/>
  <c r="G883" i="21"/>
  <c r="H883" i="21"/>
  <c r="I883" i="21"/>
  <c r="E884" i="21"/>
  <c r="F884" i="21"/>
  <c r="G884" i="21"/>
  <c r="H884" i="21"/>
  <c r="I884" i="21"/>
  <c r="E885" i="21"/>
  <c r="F885" i="21"/>
  <c r="G885" i="21"/>
  <c r="H885" i="21"/>
  <c r="I885" i="21"/>
  <c r="E886" i="21"/>
  <c r="F886" i="21"/>
  <c r="G886" i="21"/>
  <c r="H886" i="21"/>
  <c r="I886" i="21"/>
  <c r="E887" i="21"/>
  <c r="F887" i="21"/>
  <c r="G887" i="21"/>
  <c r="H887" i="21"/>
  <c r="I887" i="21"/>
  <c r="E888" i="21"/>
  <c r="F888" i="21"/>
  <c r="G888" i="21"/>
  <c r="H888" i="21"/>
  <c r="I888" i="21"/>
  <c r="E889" i="21"/>
  <c r="F889" i="21"/>
  <c r="G889" i="21"/>
  <c r="H889" i="21"/>
  <c r="I889" i="21"/>
  <c r="E890" i="21"/>
  <c r="F890" i="21"/>
  <c r="G890" i="21"/>
  <c r="H890" i="21"/>
  <c r="I890" i="21"/>
  <c r="E891" i="21"/>
  <c r="F891" i="21"/>
  <c r="G891" i="21"/>
  <c r="H891" i="21"/>
  <c r="I891" i="21"/>
  <c r="E892" i="21"/>
  <c r="F892" i="21"/>
  <c r="G892" i="21"/>
  <c r="H892" i="21"/>
  <c r="I892" i="21"/>
  <c r="N38" i="27" l="1"/>
  <c r="O38" i="27"/>
  <c r="N52" i="27"/>
  <c r="O52" i="27"/>
  <c r="N70" i="27"/>
  <c r="O70" i="27"/>
  <c r="N75" i="27"/>
  <c r="O75" i="27"/>
  <c r="K19" i="17"/>
  <c r="N4" i="31" l="1"/>
  <c r="N5" i="31"/>
  <c r="N7" i="31"/>
  <c r="N9" i="31"/>
  <c r="E1915" i="18"/>
  <c r="F1915" i="18"/>
  <c r="G1915" i="18"/>
  <c r="H1915" i="18"/>
  <c r="I1915" i="18"/>
  <c r="E1916" i="18"/>
  <c r="F1916" i="18"/>
  <c r="G1916" i="18"/>
  <c r="H1916" i="18"/>
  <c r="I1916" i="18"/>
  <c r="E1917" i="18"/>
  <c r="F1917" i="18"/>
  <c r="G1917" i="18"/>
  <c r="H1917" i="18"/>
  <c r="I1917" i="18"/>
  <c r="E1918" i="18"/>
  <c r="F1918" i="18"/>
  <c r="G1918" i="18"/>
  <c r="H1918" i="18"/>
  <c r="I1918" i="18"/>
  <c r="E1919" i="18"/>
  <c r="F1919" i="18"/>
  <c r="G1919" i="18"/>
  <c r="H1919" i="18"/>
  <c r="I1919" i="18"/>
  <c r="E1920" i="18"/>
  <c r="F1920" i="18"/>
  <c r="G1920" i="18"/>
  <c r="H1920" i="18"/>
  <c r="I1920" i="18"/>
  <c r="E1921" i="18"/>
  <c r="F1921" i="18"/>
  <c r="G1921" i="18"/>
  <c r="H1921" i="18"/>
  <c r="I1921" i="18"/>
  <c r="E1922" i="18"/>
  <c r="F1922" i="18"/>
  <c r="G1922" i="18"/>
  <c r="H1922" i="18"/>
  <c r="I1922" i="18"/>
  <c r="E1923" i="18"/>
  <c r="F1923" i="18"/>
  <c r="G1923" i="18"/>
  <c r="H1923" i="18"/>
  <c r="I1923" i="18"/>
  <c r="E1924" i="18"/>
  <c r="F1924" i="18"/>
  <c r="G1924" i="18"/>
  <c r="H1924" i="18"/>
  <c r="I1924" i="18"/>
  <c r="E1925" i="18"/>
  <c r="F1925" i="18"/>
  <c r="G1925" i="18"/>
  <c r="H1925" i="18"/>
  <c r="I1925" i="18"/>
  <c r="E1926" i="18"/>
  <c r="F1926" i="18"/>
  <c r="G1926" i="18"/>
  <c r="H1926" i="18"/>
  <c r="I1926" i="18"/>
  <c r="E1927" i="18"/>
  <c r="F1927" i="18"/>
  <c r="G1927" i="18"/>
  <c r="H1927" i="18"/>
  <c r="I1927" i="18"/>
  <c r="E1928" i="18"/>
  <c r="F1928" i="18"/>
  <c r="G1928" i="18"/>
  <c r="H1928" i="18"/>
  <c r="I1928" i="18"/>
  <c r="E1929" i="18"/>
  <c r="F1929" i="18"/>
  <c r="G1929" i="18"/>
  <c r="H1929" i="18"/>
  <c r="I1929" i="18"/>
  <c r="E1930" i="18"/>
  <c r="F1930" i="18"/>
  <c r="G1930" i="18"/>
  <c r="H1930" i="18"/>
  <c r="I1930" i="18"/>
  <c r="E1931" i="18"/>
  <c r="F1931" i="18"/>
  <c r="G1931" i="18"/>
  <c r="H1931" i="18"/>
  <c r="I1931" i="18"/>
  <c r="E1932" i="18"/>
  <c r="F1932" i="18"/>
  <c r="G1932" i="18"/>
  <c r="H1932" i="18"/>
  <c r="I1932" i="18"/>
  <c r="E1933" i="18"/>
  <c r="F1933" i="18"/>
  <c r="G1933" i="18"/>
  <c r="H1933" i="18"/>
  <c r="I1933" i="18"/>
  <c r="E1934" i="18"/>
  <c r="F1934" i="18"/>
  <c r="G1934" i="18"/>
  <c r="H1934" i="18"/>
  <c r="I1934" i="18"/>
  <c r="E1935" i="18"/>
  <c r="F1935" i="18"/>
  <c r="G1935" i="18"/>
  <c r="H1935" i="18"/>
  <c r="I1935" i="18"/>
  <c r="E1936" i="18"/>
  <c r="F1936" i="18"/>
  <c r="G1936" i="18"/>
  <c r="H1936" i="18"/>
  <c r="I1936" i="18"/>
  <c r="E1937" i="18"/>
  <c r="F1937" i="18"/>
  <c r="G1937" i="18"/>
  <c r="H1937" i="18"/>
  <c r="I1937" i="18"/>
  <c r="E1938" i="18"/>
  <c r="F1938" i="18"/>
  <c r="G1938" i="18"/>
  <c r="H1938" i="18"/>
  <c r="I1938" i="18"/>
  <c r="E1939" i="18"/>
  <c r="F1939" i="18"/>
  <c r="G1939" i="18"/>
  <c r="H1939" i="18"/>
  <c r="I1939" i="18"/>
  <c r="E1940" i="18"/>
  <c r="F1940" i="18"/>
  <c r="G1940" i="18"/>
  <c r="H1940" i="18"/>
  <c r="I1940" i="18"/>
  <c r="E1941" i="18"/>
  <c r="F1941" i="18"/>
  <c r="G1941" i="18"/>
  <c r="H1941" i="18"/>
  <c r="I1941" i="18"/>
  <c r="E1942" i="18"/>
  <c r="F1942" i="18"/>
  <c r="G1942" i="18"/>
  <c r="H1942" i="18"/>
  <c r="I1942" i="18"/>
  <c r="E1943" i="18"/>
  <c r="F1943" i="18"/>
  <c r="G1943" i="18"/>
  <c r="H1943" i="18"/>
  <c r="I1943" i="18"/>
  <c r="E1944" i="18"/>
  <c r="F1944" i="18"/>
  <c r="G1944" i="18"/>
  <c r="H1944" i="18"/>
  <c r="I1944" i="18"/>
  <c r="E1945" i="18"/>
  <c r="F1945" i="18"/>
  <c r="G1945" i="18"/>
  <c r="H1945" i="18"/>
  <c r="I1945" i="18"/>
  <c r="E1946" i="18"/>
  <c r="F1946" i="18"/>
  <c r="G1946" i="18"/>
  <c r="H1946" i="18"/>
  <c r="I1946" i="18"/>
  <c r="E1947" i="18"/>
  <c r="F1947" i="18"/>
  <c r="G1947" i="18"/>
  <c r="H1947" i="18"/>
  <c r="I1947" i="18"/>
  <c r="E1948" i="18"/>
  <c r="F1948" i="18"/>
  <c r="G1948" i="18"/>
  <c r="H1948" i="18"/>
  <c r="I1948" i="18"/>
  <c r="E1949" i="18"/>
  <c r="F1949" i="18"/>
  <c r="G1949" i="18"/>
  <c r="H1949" i="18"/>
  <c r="I1949" i="18"/>
  <c r="E1950" i="18"/>
  <c r="F1950" i="18"/>
  <c r="G1950" i="18"/>
  <c r="H1950" i="18"/>
  <c r="I1950" i="18"/>
  <c r="E1951" i="18"/>
  <c r="F1951" i="18"/>
  <c r="G1951" i="18"/>
  <c r="H1951" i="18"/>
  <c r="I1951" i="18"/>
  <c r="E1952" i="18"/>
  <c r="F1952" i="18"/>
  <c r="G1952" i="18"/>
  <c r="H1952" i="18"/>
  <c r="I1952" i="18"/>
  <c r="E1953" i="18"/>
  <c r="F1953" i="18"/>
  <c r="G1953" i="18"/>
  <c r="H1953" i="18"/>
  <c r="I1953" i="18"/>
  <c r="E1954" i="18"/>
  <c r="F1954" i="18"/>
  <c r="G1954" i="18"/>
  <c r="H1954" i="18"/>
  <c r="I1954" i="18"/>
  <c r="E1955" i="18"/>
  <c r="F1955" i="18"/>
  <c r="G1955" i="18"/>
  <c r="H1955" i="18"/>
  <c r="I1955" i="18"/>
  <c r="E1956" i="18"/>
  <c r="F1956" i="18"/>
  <c r="G1956" i="18"/>
  <c r="H1956" i="18"/>
  <c r="I1956" i="18"/>
  <c r="E1957" i="18"/>
  <c r="F1957" i="18"/>
  <c r="G1957" i="18"/>
  <c r="H1957" i="18"/>
  <c r="I1957" i="18"/>
  <c r="E1958" i="18"/>
  <c r="F1958" i="18"/>
  <c r="G1958" i="18"/>
  <c r="H1958" i="18"/>
  <c r="I1958" i="18"/>
  <c r="E1959" i="18"/>
  <c r="F1959" i="18"/>
  <c r="G1959" i="18"/>
  <c r="H1959" i="18"/>
  <c r="I1959" i="18"/>
  <c r="E1960" i="18"/>
  <c r="F1960" i="18"/>
  <c r="G1960" i="18"/>
  <c r="H1960" i="18"/>
  <c r="I1960" i="18"/>
  <c r="E1961" i="18"/>
  <c r="F1961" i="18"/>
  <c r="G1961" i="18"/>
  <c r="H1961" i="18"/>
  <c r="I1961" i="18"/>
  <c r="E1962" i="18"/>
  <c r="F1962" i="18"/>
  <c r="G1962" i="18"/>
  <c r="H1962" i="18"/>
  <c r="I1962" i="18"/>
  <c r="E1963" i="18"/>
  <c r="F1963" i="18"/>
  <c r="G1963" i="18"/>
  <c r="H1963" i="18"/>
  <c r="I1963" i="18"/>
  <c r="E1964" i="18"/>
  <c r="F1964" i="18"/>
  <c r="G1964" i="18"/>
  <c r="H1964" i="18"/>
  <c r="I1964" i="18"/>
  <c r="E1965" i="18"/>
  <c r="F1965" i="18"/>
  <c r="G1965" i="18"/>
  <c r="H1965" i="18"/>
  <c r="I1965" i="18"/>
  <c r="E1966" i="18"/>
  <c r="F1966" i="18"/>
  <c r="G1966" i="18"/>
  <c r="H1966" i="18"/>
  <c r="I1966" i="18"/>
  <c r="E1967" i="18"/>
  <c r="F1967" i="18"/>
  <c r="G1967" i="18"/>
  <c r="H1967" i="18"/>
  <c r="I1967" i="18"/>
  <c r="E1968" i="18"/>
  <c r="F1968" i="18"/>
  <c r="G1968" i="18"/>
  <c r="H1968" i="18"/>
  <c r="I1968" i="18"/>
  <c r="E1969" i="18"/>
  <c r="F1969" i="18"/>
  <c r="G1969" i="18"/>
  <c r="H1969" i="18"/>
  <c r="I1969" i="18"/>
  <c r="E1970" i="18"/>
  <c r="F1970" i="18"/>
  <c r="G1970" i="18"/>
  <c r="H1970" i="18"/>
  <c r="I1970" i="18"/>
  <c r="E1971" i="18"/>
  <c r="F1971" i="18"/>
  <c r="G1971" i="18"/>
  <c r="H1971" i="18"/>
  <c r="I1971" i="18"/>
  <c r="E1972" i="18"/>
  <c r="F1972" i="18"/>
  <c r="G1972" i="18"/>
  <c r="H1972" i="18"/>
  <c r="I1972" i="18"/>
  <c r="E1973" i="18"/>
  <c r="F1973" i="18"/>
  <c r="G1973" i="18"/>
  <c r="H1973" i="18"/>
  <c r="I1973" i="18"/>
  <c r="E1974" i="18"/>
  <c r="F1974" i="18"/>
  <c r="G1974" i="18"/>
  <c r="H1974" i="18"/>
  <c r="I1974" i="18"/>
  <c r="E1975" i="18"/>
  <c r="F1975" i="18"/>
  <c r="G1975" i="18"/>
  <c r="H1975" i="18"/>
  <c r="I1975" i="18"/>
  <c r="E1976" i="18"/>
  <c r="F1976" i="18"/>
  <c r="G1976" i="18"/>
  <c r="H1976" i="18"/>
  <c r="I1976" i="18"/>
  <c r="E1977" i="18"/>
  <c r="F1977" i="18"/>
  <c r="G1977" i="18"/>
  <c r="H1977" i="18"/>
  <c r="I1977" i="18"/>
  <c r="E1978" i="18"/>
  <c r="F1978" i="18"/>
  <c r="G1978" i="18"/>
  <c r="H1978" i="18"/>
  <c r="I1978" i="18"/>
  <c r="E1979" i="18"/>
  <c r="F1979" i="18"/>
  <c r="G1979" i="18"/>
  <c r="H1979" i="18"/>
  <c r="I1979" i="18"/>
  <c r="E1980" i="18"/>
  <c r="F1980" i="18"/>
  <c r="G1980" i="18"/>
  <c r="H1980" i="18"/>
  <c r="I1980" i="18"/>
  <c r="E1981" i="18"/>
  <c r="F1981" i="18"/>
  <c r="G1981" i="18"/>
  <c r="H1981" i="18"/>
  <c r="I1981" i="18"/>
  <c r="E1982" i="18"/>
  <c r="F1982" i="18"/>
  <c r="G1982" i="18"/>
  <c r="H1982" i="18"/>
  <c r="I1982" i="18"/>
  <c r="E1983" i="18"/>
  <c r="F1983" i="18"/>
  <c r="G1983" i="18"/>
  <c r="H1983" i="18"/>
  <c r="I1983" i="18"/>
  <c r="E1984" i="18"/>
  <c r="F1984" i="18"/>
  <c r="G1984" i="18"/>
  <c r="H1984" i="18"/>
  <c r="I1984" i="18"/>
  <c r="E1985" i="18"/>
  <c r="F1985" i="18"/>
  <c r="G1985" i="18"/>
  <c r="H1985" i="18"/>
  <c r="I1985" i="18"/>
  <c r="E1986" i="18"/>
  <c r="F1986" i="18"/>
  <c r="G1986" i="18"/>
  <c r="H1986" i="18"/>
  <c r="I1986" i="18"/>
  <c r="E1987" i="18"/>
  <c r="F1987" i="18"/>
  <c r="G1987" i="18"/>
  <c r="H1987" i="18"/>
  <c r="I1987" i="18"/>
  <c r="E1988" i="18"/>
  <c r="F1988" i="18"/>
  <c r="G1988" i="18"/>
  <c r="H1988" i="18"/>
  <c r="I1988" i="18"/>
  <c r="E1989" i="18"/>
  <c r="F1989" i="18"/>
  <c r="G1989" i="18"/>
  <c r="H1989" i="18"/>
  <c r="I1989" i="18"/>
  <c r="E1990" i="18"/>
  <c r="F1990" i="18"/>
  <c r="G1990" i="18"/>
  <c r="H1990" i="18"/>
  <c r="I1990" i="18"/>
  <c r="E1991" i="18"/>
  <c r="F1991" i="18"/>
  <c r="G1991" i="18"/>
  <c r="H1991" i="18"/>
  <c r="I1991" i="18"/>
  <c r="E1992" i="18"/>
  <c r="F1992" i="18"/>
  <c r="G1992" i="18"/>
  <c r="H1992" i="18"/>
  <c r="I1992" i="18"/>
  <c r="E1993" i="18"/>
  <c r="F1993" i="18"/>
  <c r="G1993" i="18"/>
  <c r="H1993" i="18"/>
  <c r="I1993" i="18"/>
  <c r="E1994" i="18"/>
  <c r="F1994" i="18"/>
  <c r="G1994" i="18"/>
  <c r="H1994" i="18"/>
  <c r="I1994" i="18"/>
  <c r="E1995" i="18"/>
  <c r="F1995" i="18"/>
  <c r="G1995" i="18"/>
  <c r="H1995" i="18"/>
  <c r="I1995" i="18"/>
  <c r="E1996" i="18"/>
  <c r="F1996" i="18"/>
  <c r="G1996" i="18"/>
  <c r="H1996" i="18"/>
  <c r="I1996" i="18"/>
  <c r="G4" i="31"/>
  <c r="H4" i="31"/>
  <c r="J4" i="31"/>
  <c r="P9" i="31"/>
  <c r="O9" i="31"/>
  <c r="J9" i="31"/>
  <c r="G9" i="31"/>
  <c r="H9" i="31" s="1"/>
  <c r="F9" i="31"/>
  <c r="E9" i="31"/>
  <c r="D9" i="31"/>
  <c r="C9" i="31"/>
  <c r="P8" i="31"/>
  <c r="O8" i="31"/>
  <c r="J8" i="31"/>
  <c r="G8" i="31"/>
  <c r="H8" i="31" s="1"/>
  <c r="F8" i="31"/>
  <c r="E8" i="31"/>
  <c r="D8" i="31"/>
  <c r="C8" i="31"/>
  <c r="P7" i="31"/>
  <c r="O7" i="31"/>
  <c r="J7" i="31"/>
  <c r="G7" i="31"/>
  <c r="H7" i="31" s="1"/>
  <c r="F7" i="31"/>
  <c r="E7" i="31"/>
  <c r="D7" i="31"/>
  <c r="C7" i="31"/>
  <c r="P6" i="31"/>
  <c r="O6" i="31"/>
  <c r="J6" i="31"/>
  <c r="G6" i="31"/>
  <c r="H6" i="31" s="1"/>
  <c r="F6" i="31"/>
  <c r="E6" i="31"/>
  <c r="D6" i="31"/>
  <c r="C6" i="31"/>
  <c r="P5" i="31"/>
  <c r="O5" i="31"/>
  <c r="J5" i="31"/>
  <c r="G5" i="31"/>
  <c r="H5" i="31" s="1"/>
  <c r="F5" i="31"/>
  <c r="E5" i="31"/>
  <c r="D5" i="31"/>
  <c r="C5" i="31"/>
  <c r="P4" i="31"/>
  <c r="O4" i="31"/>
  <c r="F4" i="31"/>
  <c r="E4" i="31"/>
  <c r="D4" i="31"/>
  <c r="C4" i="31"/>
  <c r="K19" i="23"/>
  <c r="K42" i="23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K25" i="19" s="1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9" i="19"/>
  <c r="J50" i="19"/>
  <c r="J6" i="19"/>
  <c r="I872" i="21"/>
  <c r="H872" i="21"/>
  <c r="G872" i="21"/>
  <c r="F872" i="21"/>
  <c r="E872" i="21"/>
  <c r="I871" i="21"/>
  <c r="H871" i="21"/>
  <c r="G871" i="21"/>
  <c r="F871" i="21"/>
  <c r="E871" i="21"/>
  <c r="I870" i="21"/>
  <c r="H870" i="21"/>
  <c r="G870" i="21"/>
  <c r="F870" i="21"/>
  <c r="E870" i="21"/>
  <c r="I869" i="21"/>
  <c r="H869" i="21"/>
  <c r="G869" i="21"/>
  <c r="F869" i="21"/>
  <c r="E869" i="21"/>
  <c r="I868" i="21"/>
  <c r="H868" i="21"/>
  <c r="G868" i="21"/>
  <c r="F868" i="21"/>
  <c r="E868" i="21"/>
  <c r="I867" i="21"/>
  <c r="H867" i="21"/>
  <c r="G867" i="21"/>
  <c r="F867" i="21"/>
  <c r="E867" i="21"/>
  <c r="I866" i="21"/>
  <c r="H866" i="21"/>
  <c r="G866" i="21"/>
  <c r="F866" i="21"/>
  <c r="E866" i="21"/>
  <c r="I865" i="21"/>
  <c r="H865" i="21"/>
  <c r="G865" i="21"/>
  <c r="F865" i="21"/>
  <c r="E865" i="21"/>
  <c r="I864" i="21"/>
  <c r="H864" i="21"/>
  <c r="G864" i="21"/>
  <c r="F864" i="21"/>
  <c r="E864" i="21"/>
  <c r="I863" i="21"/>
  <c r="H863" i="21"/>
  <c r="G863" i="21"/>
  <c r="F863" i="21"/>
  <c r="E863" i="21"/>
  <c r="I862" i="21"/>
  <c r="H862" i="21"/>
  <c r="G862" i="21"/>
  <c r="F862" i="21"/>
  <c r="E862" i="21"/>
  <c r="I861" i="21"/>
  <c r="H861" i="21"/>
  <c r="G861" i="21"/>
  <c r="F861" i="21"/>
  <c r="E861" i="21"/>
  <c r="I860" i="21"/>
  <c r="H860" i="21"/>
  <c r="G860" i="21"/>
  <c r="F860" i="21"/>
  <c r="E860" i="21"/>
  <c r="I859" i="21"/>
  <c r="H859" i="21"/>
  <c r="G859" i="21"/>
  <c r="F859" i="21"/>
  <c r="E859" i="21"/>
  <c r="I858" i="21"/>
  <c r="H858" i="21"/>
  <c r="G858" i="21"/>
  <c r="F858" i="21"/>
  <c r="E858" i="21"/>
  <c r="I857" i="21"/>
  <c r="H857" i="21"/>
  <c r="G857" i="21"/>
  <c r="F857" i="21"/>
  <c r="E857" i="21"/>
  <c r="I856" i="21"/>
  <c r="H856" i="21"/>
  <c r="G856" i="21"/>
  <c r="F856" i="21"/>
  <c r="E856" i="21"/>
  <c r="I855" i="21"/>
  <c r="H855" i="21"/>
  <c r="G855" i="21"/>
  <c r="F855" i="21"/>
  <c r="E855" i="21"/>
  <c r="I854" i="21"/>
  <c r="H854" i="21"/>
  <c r="G854" i="21"/>
  <c r="F854" i="21"/>
  <c r="E854" i="21"/>
  <c r="I853" i="21"/>
  <c r="H853" i="21"/>
  <c r="G853" i="21"/>
  <c r="F853" i="21"/>
  <c r="E853" i="21"/>
  <c r="K163" i="17"/>
  <c r="G163" i="17"/>
  <c r="H163" i="17"/>
  <c r="I163" i="17"/>
  <c r="J163" i="17"/>
  <c r="G9" i="28" l="1"/>
  <c r="G10" i="28"/>
  <c r="C35" i="23"/>
  <c r="D35" i="23"/>
  <c r="E35" i="23"/>
  <c r="F35" i="23"/>
  <c r="G35" i="23"/>
  <c r="I35" i="23"/>
  <c r="N35" i="23"/>
  <c r="O35" i="23"/>
  <c r="C26" i="23"/>
  <c r="D26" i="23"/>
  <c r="E26" i="23"/>
  <c r="F26" i="23"/>
  <c r="G26" i="23"/>
  <c r="I26" i="23"/>
  <c r="N26" i="23"/>
  <c r="O26" i="23"/>
  <c r="K38" i="19"/>
  <c r="M38" i="19"/>
  <c r="N38" i="19" s="1"/>
  <c r="P38" i="19"/>
  <c r="M35" i="23" s="1"/>
  <c r="H35" i="23" l="1"/>
  <c r="P35" i="23"/>
  <c r="J35" i="23"/>
  <c r="L35" i="23" s="1"/>
  <c r="H26" i="23"/>
  <c r="O38" i="19"/>
  <c r="S38" i="19" s="1"/>
  <c r="Q35" i="23" l="1"/>
  <c r="K35" i="23"/>
  <c r="E1794" i="18"/>
  <c r="F1794" i="18"/>
  <c r="G1794" i="18"/>
  <c r="H1794" i="18"/>
  <c r="I1794" i="18"/>
  <c r="E1795" i="18"/>
  <c r="F1795" i="18"/>
  <c r="G1795" i="18"/>
  <c r="H1795" i="18"/>
  <c r="I1795" i="18"/>
  <c r="E1796" i="18"/>
  <c r="F1796" i="18"/>
  <c r="G1796" i="18"/>
  <c r="H1796" i="18"/>
  <c r="I1796" i="18"/>
  <c r="J218" i="22" l="1"/>
  <c r="J219" i="22"/>
  <c r="J220" i="22"/>
  <c r="J221" i="22"/>
  <c r="E832" i="21"/>
  <c r="F832" i="21"/>
  <c r="G832" i="21"/>
  <c r="H832" i="21"/>
  <c r="I832" i="21"/>
  <c r="E833" i="21"/>
  <c r="F833" i="21"/>
  <c r="G833" i="21"/>
  <c r="H833" i="21"/>
  <c r="I833" i="21"/>
  <c r="E834" i="21"/>
  <c r="F834" i="21"/>
  <c r="G834" i="21"/>
  <c r="H834" i="21"/>
  <c r="I834" i="21"/>
  <c r="E835" i="21"/>
  <c r="F835" i="21"/>
  <c r="G835" i="21"/>
  <c r="H835" i="21"/>
  <c r="I835" i="21"/>
  <c r="E836" i="21"/>
  <c r="F836" i="21"/>
  <c r="G836" i="21"/>
  <c r="H836" i="21"/>
  <c r="I836" i="21"/>
  <c r="E837" i="21"/>
  <c r="F837" i="21"/>
  <c r="G837" i="21"/>
  <c r="H837" i="21"/>
  <c r="I837" i="21"/>
  <c r="E838" i="21"/>
  <c r="F838" i="21"/>
  <c r="G838" i="21"/>
  <c r="H838" i="21"/>
  <c r="I838" i="21"/>
  <c r="E839" i="21"/>
  <c r="F839" i="21"/>
  <c r="G839" i="21"/>
  <c r="H839" i="21"/>
  <c r="I839" i="21"/>
  <c r="E840" i="21"/>
  <c r="F840" i="21"/>
  <c r="G840" i="21"/>
  <c r="H840" i="21"/>
  <c r="I840" i="21"/>
  <c r="E841" i="21"/>
  <c r="F841" i="21"/>
  <c r="G841" i="21"/>
  <c r="H841" i="21"/>
  <c r="I841" i="21"/>
  <c r="E842" i="21"/>
  <c r="F842" i="21"/>
  <c r="G842" i="21"/>
  <c r="H842" i="21"/>
  <c r="I842" i="21"/>
  <c r="E843" i="21"/>
  <c r="F843" i="21"/>
  <c r="G843" i="21"/>
  <c r="H843" i="21"/>
  <c r="I843" i="21"/>
  <c r="E844" i="21"/>
  <c r="F844" i="21"/>
  <c r="G844" i="21"/>
  <c r="H844" i="21"/>
  <c r="I844" i="21"/>
  <c r="E845" i="21"/>
  <c r="F845" i="21"/>
  <c r="G845" i="21"/>
  <c r="H845" i="21"/>
  <c r="I845" i="21"/>
  <c r="E846" i="21"/>
  <c r="F846" i="21"/>
  <c r="G846" i="21"/>
  <c r="H846" i="21"/>
  <c r="I846" i="21"/>
  <c r="E847" i="21"/>
  <c r="F847" i="21"/>
  <c r="G847" i="21"/>
  <c r="H847" i="21"/>
  <c r="I847" i="21"/>
  <c r="E848" i="21"/>
  <c r="F848" i="21"/>
  <c r="G848" i="21"/>
  <c r="H848" i="21"/>
  <c r="I848" i="21"/>
  <c r="E849" i="21"/>
  <c r="F849" i="21"/>
  <c r="G849" i="21"/>
  <c r="H849" i="21"/>
  <c r="I849" i="21"/>
  <c r="E850" i="21"/>
  <c r="F850" i="21"/>
  <c r="G850" i="21"/>
  <c r="H850" i="21"/>
  <c r="I850" i="21"/>
  <c r="E851" i="21"/>
  <c r="F851" i="21"/>
  <c r="G851" i="21"/>
  <c r="H851" i="21"/>
  <c r="I851" i="21"/>
  <c r="E852" i="21"/>
  <c r="F852" i="21"/>
  <c r="G852" i="21"/>
  <c r="H852" i="21"/>
  <c r="I852" i="21"/>
  <c r="E893" i="21"/>
  <c r="F893" i="21"/>
  <c r="G893" i="21"/>
  <c r="H893" i="21"/>
  <c r="I893" i="21"/>
  <c r="E894" i="21"/>
  <c r="F894" i="21"/>
  <c r="G894" i="21"/>
  <c r="H894" i="21"/>
  <c r="I894" i="21"/>
  <c r="E895" i="21"/>
  <c r="F895" i="21"/>
  <c r="G895" i="21"/>
  <c r="H895" i="21"/>
  <c r="I895" i="21"/>
  <c r="E896" i="21"/>
  <c r="F896" i="21"/>
  <c r="G896" i="21"/>
  <c r="H896" i="21"/>
  <c r="I896" i="21"/>
  <c r="E897" i="21"/>
  <c r="F897" i="21"/>
  <c r="G897" i="21"/>
  <c r="H897" i="21"/>
  <c r="I897" i="21"/>
  <c r="E898" i="21"/>
  <c r="F898" i="21"/>
  <c r="G898" i="21"/>
  <c r="H898" i="21"/>
  <c r="I898" i="21"/>
  <c r="E899" i="21"/>
  <c r="F899" i="21"/>
  <c r="G899" i="21"/>
  <c r="H899" i="21"/>
  <c r="I899" i="21"/>
  <c r="E900" i="21"/>
  <c r="F900" i="21"/>
  <c r="G900" i="21"/>
  <c r="H900" i="21"/>
  <c r="I900" i="21"/>
  <c r="E901" i="21"/>
  <c r="F901" i="21"/>
  <c r="G901" i="21"/>
  <c r="H901" i="21"/>
  <c r="I901" i="21"/>
  <c r="E902" i="21"/>
  <c r="F902" i="21"/>
  <c r="G902" i="21"/>
  <c r="H902" i="21"/>
  <c r="I902" i="21"/>
  <c r="E903" i="21"/>
  <c r="F903" i="21"/>
  <c r="G903" i="21"/>
  <c r="H903" i="21"/>
  <c r="I903" i="21"/>
  <c r="E904" i="21"/>
  <c r="F904" i="21"/>
  <c r="G904" i="21"/>
  <c r="H904" i="21"/>
  <c r="I904" i="21"/>
  <c r="E905" i="21"/>
  <c r="F905" i="21"/>
  <c r="G905" i="21"/>
  <c r="H905" i="21"/>
  <c r="I905" i="21"/>
  <c r="E906" i="21"/>
  <c r="F906" i="21"/>
  <c r="G906" i="21"/>
  <c r="H906" i="21"/>
  <c r="I906" i="21"/>
  <c r="E907" i="21"/>
  <c r="F907" i="21"/>
  <c r="G907" i="21"/>
  <c r="H907" i="21"/>
  <c r="I907" i="21"/>
  <c r="E908" i="21"/>
  <c r="F908" i="21"/>
  <c r="G908" i="21"/>
  <c r="H908" i="21"/>
  <c r="I908" i="21"/>
  <c r="E909" i="21"/>
  <c r="F909" i="21"/>
  <c r="G909" i="21"/>
  <c r="H909" i="21"/>
  <c r="I909" i="21"/>
  <c r="E910" i="21"/>
  <c r="F910" i="21"/>
  <c r="G910" i="21"/>
  <c r="H910" i="21"/>
  <c r="I910" i="21"/>
  <c r="E911" i="21"/>
  <c r="F911" i="21"/>
  <c r="G911" i="21"/>
  <c r="H911" i="21"/>
  <c r="I911" i="21"/>
  <c r="E912" i="21"/>
  <c r="F912" i="21"/>
  <c r="G912" i="21"/>
  <c r="H912" i="21"/>
  <c r="I912" i="21"/>
  <c r="E913" i="21"/>
  <c r="F913" i="21"/>
  <c r="G913" i="21"/>
  <c r="H913" i="21"/>
  <c r="I913" i="21"/>
  <c r="E914" i="21"/>
  <c r="F914" i="21"/>
  <c r="G914" i="21"/>
  <c r="H914" i="21"/>
  <c r="I914" i="21"/>
  <c r="E915" i="21"/>
  <c r="F915" i="21"/>
  <c r="G915" i="21"/>
  <c r="H915" i="21"/>
  <c r="I915" i="21"/>
  <c r="E916" i="21"/>
  <c r="F916" i="21"/>
  <c r="G916" i="21"/>
  <c r="H916" i="21"/>
  <c r="I916" i="21"/>
  <c r="E917" i="21"/>
  <c r="F917" i="21"/>
  <c r="G917" i="21"/>
  <c r="H917" i="21"/>
  <c r="I917" i="21"/>
  <c r="K21" i="25"/>
  <c r="O6" i="27" l="1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N6" i="31" s="1"/>
  <c r="O68" i="27"/>
  <c r="O69" i="27"/>
  <c r="O71" i="27"/>
  <c r="N8" i="31" s="1"/>
  <c r="O72" i="27"/>
  <c r="O73" i="27"/>
  <c r="O74" i="27"/>
  <c r="O76" i="27"/>
  <c r="O77" i="27"/>
  <c r="O78" i="27"/>
  <c r="O79" i="27"/>
  <c r="O80" i="27"/>
  <c r="O5" i="27"/>
  <c r="E6" i="30"/>
  <c r="E7" i="30"/>
  <c r="E8" i="30"/>
  <c r="E9" i="30"/>
  <c r="E10" i="30"/>
  <c r="E11" i="30"/>
  <c r="E12" i="30"/>
  <c r="E13" i="30"/>
  <c r="E14" i="30"/>
  <c r="E15" i="30"/>
  <c r="E16" i="30"/>
  <c r="F16" i="30" s="1"/>
  <c r="E17" i="30"/>
  <c r="F17" i="30" s="1"/>
  <c r="E18" i="30"/>
  <c r="F18" i="30" s="1"/>
  <c r="E19" i="30"/>
  <c r="F19" i="30" s="1"/>
  <c r="E20" i="30"/>
  <c r="F20" i="30" s="1"/>
  <c r="E21" i="30"/>
  <c r="F21" i="30" s="1"/>
  <c r="E22" i="30"/>
  <c r="F22" i="30" s="1"/>
  <c r="E23" i="30"/>
  <c r="F23" i="30" s="1"/>
  <c r="E24" i="30"/>
  <c r="F24" i="30" s="1"/>
  <c r="E25" i="30"/>
  <c r="F25" i="30" s="1"/>
  <c r="E26" i="30"/>
  <c r="F26" i="30" s="1"/>
  <c r="E27" i="30"/>
  <c r="F27" i="30" s="1"/>
  <c r="E28" i="30"/>
  <c r="F28" i="30" s="1"/>
  <c r="E29" i="30"/>
  <c r="F29" i="30" s="1"/>
  <c r="E30" i="30"/>
  <c r="F30" i="30" s="1"/>
  <c r="E31" i="30"/>
  <c r="F31" i="30" s="1"/>
  <c r="E32" i="30"/>
  <c r="F32" i="30" s="1"/>
  <c r="E33" i="30"/>
  <c r="F33" i="30" s="1"/>
  <c r="E34" i="30"/>
  <c r="F34" i="30" s="1"/>
  <c r="E35" i="30"/>
  <c r="F35" i="30" s="1"/>
  <c r="E36" i="30"/>
  <c r="F36" i="30" s="1"/>
  <c r="E37" i="30"/>
  <c r="F37" i="30" s="1"/>
  <c r="E38" i="30"/>
  <c r="F38" i="30" s="1"/>
  <c r="E39" i="30"/>
  <c r="F39" i="30" s="1"/>
  <c r="E40" i="30"/>
  <c r="F40" i="30" s="1"/>
  <c r="E41" i="30"/>
  <c r="F41" i="30" s="1"/>
  <c r="E42" i="30"/>
  <c r="F42" i="30" s="1"/>
  <c r="E43" i="30"/>
  <c r="F43" i="30" s="1"/>
  <c r="E44" i="30"/>
  <c r="F44" i="30" s="1"/>
  <c r="E45" i="30"/>
  <c r="F45" i="30" s="1"/>
  <c r="E46" i="30"/>
  <c r="F46" i="30" s="1"/>
  <c r="E47" i="30"/>
  <c r="F47" i="30" s="1"/>
  <c r="E48" i="30"/>
  <c r="F48" i="30" s="1"/>
  <c r="E49" i="30"/>
  <c r="F49" i="30" s="1"/>
  <c r="E50" i="30"/>
  <c r="F50" i="30" s="1"/>
  <c r="E51" i="30"/>
  <c r="F51" i="30" s="1"/>
  <c r="E52" i="30"/>
  <c r="F52" i="30" s="1"/>
  <c r="E53" i="30"/>
  <c r="F53" i="30" s="1"/>
  <c r="E54" i="30"/>
  <c r="F54" i="30" s="1"/>
  <c r="E55" i="30"/>
  <c r="F55" i="30" s="1"/>
  <c r="E56" i="30"/>
  <c r="F56" i="30" s="1"/>
  <c r="E57" i="30"/>
  <c r="F57" i="30" s="1"/>
  <c r="E58" i="30"/>
  <c r="F58" i="30" s="1"/>
  <c r="E59" i="30"/>
  <c r="F59" i="30" s="1"/>
  <c r="E60" i="30"/>
  <c r="F60" i="30" s="1"/>
  <c r="E61" i="30"/>
  <c r="F61" i="30" s="1"/>
  <c r="E62" i="30"/>
  <c r="F62" i="30" s="1"/>
  <c r="E63" i="30"/>
  <c r="F63" i="30" s="1"/>
  <c r="E64" i="30"/>
  <c r="F64" i="30" s="1"/>
  <c r="E65" i="30"/>
  <c r="F65" i="30" s="1"/>
  <c r="E66" i="30"/>
  <c r="F66" i="30" s="1"/>
  <c r="E67" i="30"/>
  <c r="F67" i="30" s="1"/>
  <c r="E68" i="30"/>
  <c r="F68" i="30" s="1"/>
  <c r="E69" i="30"/>
  <c r="F69" i="30" s="1"/>
  <c r="E70" i="30"/>
  <c r="F70" i="30" s="1"/>
  <c r="E71" i="30"/>
  <c r="F71" i="30" s="1"/>
  <c r="E72" i="30"/>
  <c r="F72" i="30" s="1"/>
  <c r="E73" i="30"/>
  <c r="F73" i="30" s="1"/>
  <c r="E74" i="30"/>
  <c r="F74" i="30" s="1"/>
  <c r="E75" i="30"/>
  <c r="F75" i="30" s="1"/>
  <c r="E76" i="30"/>
  <c r="F76" i="30" s="1"/>
  <c r="E77" i="30"/>
  <c r="F77" i="30" s="1"/>
  <c r="E78" i="30"/>
  <c r="F78" i="30" s="1"/>
  <c r="E79" i="30"/>
  <c r="F79" i="30" s="1"/>
  <c r="G79" i="30" s="1"/>
  <c r="H79" i="30" s="1"/>
  <c r="I79" i="30" s="1"/>
  <c r="E80" i="30"/>
  <c r="F80" i="30" s="1"/>
  <c r="G80" i="30" s="1"/>
  <c r="H80" i="30" s="1"/>
  <c r="I80" i="30" s="1"/>
  <c r="E81" i="30"/>
  <c r="F81" i="30" s="1"/>
  <c r="G81" i="30" s="1"/>
  <c r="H81" i="30" s="1"/>
  <c r="I81" i="30" s="1"/>
  <c r="E82" i="30"/>
  <c r="F82" i="30" s="1"/>
  <c r="G82" i="30" s="1"/>
  <c r="H82" i="30" s="1"/>
  <c r="I82" i="30" s="1"/>
  <c r="E83" i="30"/>
  <c r="F83" i="30" s="1"/>
  <c r="G83" i="30" s="1"/>
  <c r="H83" i="30" s="1"/>
  <c r="I83" i="30" s="1"/>
  <c r="E84" i="30"/>
  <c r="F84" i="30" s="1"/>
  <c r="G84" i="30" s="1"/>
  <c r="H84" i="30" s="1"/>
  <c r="I84" i="30" s="1"/>
  <c r="E85" i="30"/>
  <c r="F85" i="30" s="1"/>
  <c r="G85" i="30" s="1"/>
  <c r="H85" i="30" s="1"/>
  <c r="I85" i="30" s="1"/>
  <c r="E86" i="30"/>
  <c r="F86" i="30" s="1"/>
  <c r="G86" i="30" s="1"/>
  <c r="H86" i="30" s="1"/>
  <c r="I86" i="30" s="1"/>
  <c r="E87" i="30"/>
  <c r="F87" i="30" s="1"/>
  <c r="G87" i="30" s="1"/>
  <c r="H87" i="30" s="1"/>
  <c r="I87" i="30" s="1"/>
  <c r="E88" i="30"/>
  <c r="F88" i="30" s="1"/>
  <c r="G88" i="30" s="1"/>
  <c r="H88" i="30" s="1"/>
  <c r="I88" i="30" s="1"/>
  <c r="E89" i="30"/>
  <c r="F89" i="30" s="1"/>
  <c r="G89" i="30" s="1"/>
  <c r="H89" i="30" s="1"/>
  <c r="I89" i="30" s="1"/>
  <c r="E90" i="30"/>
  <c r="F90" i="30" s="1"/>
  <c r="G90" i="30" s="1"/>
  <c r="H90" i="30" s="1"/>
  <c r="I90" i="30" s="1"/>
  <c r="E91" i="30"/>
  <c r="F91" i="30" s="1"/>
  <c r="G91" i="30" s="1"/>
  <c r="H91" i="30" s="1"/>
  <c r="I91" i="30" s="1"/>
  <c r="E92" i="30"/>
  <c r="F92" i="30" s="1"/>
  <c r="G92" i="30" s="1"/>
  <c r="H92" i="30" s="1"/>
  <c r="I92" i="30" s="1"/>
  <c r="E93" i="30"/>
  <c r="F93" i="30" s="1"/>
  <c r="G93" i="30" s="1"/>
  <c r="H93" i="30" s="1"/>
  <c r="I93" i="30" s="1"/>
  <c r="E94" i="30"/>
  <c r="F94" i="30" s="1"/>
  <c r="G94" i="30" s="1"/>
  <c r="H94" i="30" s="1"/>
  <c r="I94" i="30" s="1"/>
  <c r="E95" i="30"/>
  <c r="F95" i="30" s="1"/>
  <c r="G95" i="30" s="1"/>
  <c r="H95" i="30" s="1"/>
  <c r="I95" i="30" s="1"/>
  <c r="E96" i="30"/>
  <c r="F96" i="30" s="1"/>
  <c r="G96" i="30" s="1"/>
  <c r="H96" i="30" s="1"/>
  <c r="I96" i="30" s="1"/>
  <c r="E97" i="30"/>
  <c r="F97" i="30" s="1"/>
  <c r="G97" i="30" s="1"/>
  <c r="H97" i="30" s="1"/>
  <c r="I97" i="30" s="1"/>
  <c r="E98" i="30"/>
  <c r="F98" i="30" s="1"/>
  <c r="G98" i="30" s="1"/>
  <c r="H98" i="30" s="1"/>
  <c r="I98" i="30" s="1"/>
  <c r="E99" i="30"/>
  <c r="F99" i="30" s="1"/>
  <c r="G99" i="30" s="1"/>
  <c r="H99" i="30" s="1"/>
  <c r="I99" i="30" s="1"/>
  <c r="E100" i="30"/>
  <c r="F100" i="30" s="1"/>
  <c r="G100" i="30" s="1"/>
  <c r="H100" i="30" s="1"/>
  <c r="I100" i="30" s="1"/>
  <c r="E101" i="30"/>
  <c r="F101" i="30" s="1"/>
  <c r="G101" i="30" s="1"/>
  <c r="H101" i="30" s="1"/>
  <c r="I101" i="30" s="1"/>
  <c r="E102" i="30"/>
  <c r="F102" i="30" s="1"/>
  <c r="G102" i="30" s="1"/>
  <c r="H102" i="30" s="1"/>
  <c r="I102" i="30" s="1"/>
  <c r="E103" i="30"/>
  <c r="F103" i="30" s="1"/>
  <c r="G103" i="30" s="1"/>
  <c r="H103" i="30" s="1"/>
  <c r="I103" i="30" s="1"/>
  <c r="E104" i="30"/>
  <c r="F104" i="30" s="1"/>
  <c r="G104" i="30" s="1"/>
  <c r="H104" i="30" s="1"/>
  <c r="I104" i="30" s="1"/>
  <c r="E105" i="30"/>
  <c r="F105" i="30" s="1"/>
  <c r="G105" i="30" s="1"/>
  <c r="H105" i="30" s="1"/>
  <c r="I105" i="30" s="1"/>
  <c r="E106" i="30"/>
  <c r="F106" i="30" s="1"/>
  <c r="G106" i="30" s="1"/>
  <c r="H106" i="30" s="1"/>
  <c r="I106" i="30" s="1"/>
  <c r="E107" i="30"/>
  <c r="F107" i="30" s="1"/>
  <c r="G107" i="30" s="1"/>
  <c r="H107" i="30" s="1"/>
  <c r="I107" i="30" s="1"/>
  <c r="E108" i="30"/>
  <c r="F108" i="30" s="1"/>
  <c r="G108" i="30" s="1"/>
  <c r="H108" i="30" s="1"/>
  <c r="I108" i="30" s="1"/>
  <c r="E109" i="30"/>
  <c r="F109" i="30" s="1"/>
  <c r="G109" i="30" s="1"/>
  <c r="H109" i="30" s="1"/>
  <c r="I109" i="30" s="1"/>
  <c r="E110" i="30"/>
  <c r="F110" i="30" s="1"/>
  <c r="G110" i="30" s="1"/>
  <c r="H110" i="30" s="1"/>
  <c r="I110" i="30" s="1"/>
  <c r="E111" i="30"/>
  <c r="F111" i="30" s="1"/>
  <c r="G111" i="30" s="1"/>
  <c r="H111" i="30" s="1"/>
  <c r="I111" i="30" s="1"/>
  <c r="E112" i="30"/>
  <c r="F112" i="30" s="1"/>
  <c r="G112" i="30" s="1"/>
  <c r="H112" i="30" s="1"/>
  <c r="I112" i="30" s="1"/>
  <c r="E113" i="30"/>
  <c r="F113" i="30" s="1"/>
  <c r="G113" i="30" s="1"/>
  <c r="H113" i="30" s="1"/>
  <c r="I113" i="30" s="1"/>
  <c r="E114" i="30"/>
  <c r="F114" i="30" s="1"/>
  <c r="G114" i="30" s="1"/>
  <c r="H114" i="30" s="1"/>
  <c r="I114" i="30" s="1"/>
  <c r="E115" i="30"/>
  <c r="F115" i="30" s="1"/>
  <c r="G115" i="30" s="1"/>
  <c r="H115" i="30" s="1"/>
  <c r="I115" i="30" s="1"/>
  <c r="E116" i="30"/>
  <c r="F116" i="30" s="1"/>
  <c r="G116" i="30" s="1"/>
  <c r="H116" i="30" s="1"/>
  <c r="I116" i="30" s="1"/>
  <c r="E117" i="30"/>
  <c r="F117" i="30" s="1"/>
  <c r="G117" i="30" s="1"/>
  <c r="H117" i="30" s="1"/>
  <c r="I117" i="30" s="1"/>
  <c r="E118" i="30"/>
  <c r="F118" i="30" s="1"/>
  <c r="G118" i="30" s="1"/>
  <c r="H118" i="30" s="1"/>
  <c r="I118" i="30" s="1"/>
  <c r="E119" i="30"/>
  <c r="F119" i="30" s="1"/>
  <c r="G119" i="30" s="1"/>
  <c r="H119" i="30" s="1"/>
  <c r="I119" i="30" s="1"/>
  <c r="E120" i="30"/>
  <c r="F120" i="30" s="1"/>
  <c r="G120" i="30" s="1"/>
  <c r="H120" i="30" s="1"/>
  <c r="I120" i="30" s="1"/>
  <c r="E121" i="30"/>
  <c r="F121" i="30" s="1"/>
  <c r="G121" i="30" s="1"/>
  <c r="H121" i="30" s="1"/>
  <c r="I121" i="30" s="1"/>
  <c r="E122" i="30"/>
  <c r="F122" i="30" s="1"/>
  <c r="G122" i="30" s="1"/>
  <c r="H122" i="30" s="1"/>
  <c r="I122" i="30" s="1"/>
  <c r="E123" i="30"/>
  <c r="F123" i="30" s="1"/>
  <c r="G123" i="30" s="1"/>
  <c r="H123" i="30" s="1"/>
  <c r="I123" i="30" s="1"/>
  <c r="E124" i="30"/>
  <c r="F124" i="30" s="1"/>
  <c r="G124" i="30" s="1"/>
  <c r="H124" i="30" s="1"/>
  <c r="I124" i="30" s="1"/>
  <c r="E125" i="30"/>
  <c r="F125" i="30" s="1"/>
  <c r="G125" i="30" s="1"/>
  <c r="H125" i="30" s="1"/>
  <c r="I125" i="30" s="1"/>
  <c r="E126" i="30"/>
  <c r="F126" i="30" s="1"/>
  <c r="G126" i="30" s="1"/>
  <c r="H126" i="30" s="1"/>
  <c r="I126" i="30" s="1"/>
  <c r="E127" i="30"/>
  <c r="F127" i="30" s="1"/>
  <c r="G127" i="30" s="1"/>
  <c r="H127" i="30" s="1"/>
  <c r="I127" i="30" s="1"/>
  <c r="E128" i="30"/>
  <c r="F128" i="30" s="1"/>
  <c r="G128" i="30" s="1"/>
  <c r="H128" i="30" s="1"/>
  <c r="I128" i="30" s="1"/>
  <c r="E129" i="30"/>
  <c r="F129" i="30" s="1"/>
  <c r="G129" i="30" s="1"/>
  <c r="H129" i="30" s="1"/>
  <c r="I129" i="30" s="1"/>
  <c r="E130" i="30"/>
  <c r="F130" i="30" s="1"/>
  <c r="G130" i="30" s="1"/>
  <c r="H130" i="30" s="1"/>
  <c r="I130" i="30" s="1"/>
  <c r="E131" i="30"/>
  <c r="F131" i="30" s="1"/>
  <c r="G131" i="30" s="1"/>
  <c r="H131" i="30" s="1"/>
  <c r="I131" i="30" s="1"/>
  <c r="E132" i="30"/>
  <c r="F132" i="30" s="1"/>
  <c r="G132" i="30" s="1"/>
  <c r="H132" i="30" s="1"/>
  <c r="I132" i="30" s="1"/>
  <c r="E133" i="30"/>
  <c r="F133" i="30" s="1"/>
  <c r="G133" i="30" s="1"/>
  <c r="H133" i="30" s="1"/>
  <c r="I133" i="30" s="1"/>
  <c r="E134" i="30"/>
  <c r="F134" i="30" s="1"/>
  <c r="G134" i="30" s="1"/>
  <c r="H134" i="30" s="1"/>
  <c r="I134" i="30" s="1"/>
  <c r="E135" i="30"/>
  <c r="F135" i="30" s="1"/>
  <c r="G135" i="30" s="1"/>
  <c r="H135" i="30" s="1"/>
  <c r="I135" i="30" s="1"/>
  <c r="E136" i="30"/>
  <c r="F136" i="30" s="1"/>
  <c r="G136" i="30" s="1"/>
  <c r="H136" i="30" s="1"/>
  <c r="I136" i="30" s="1"/>
  <c r="E137" i="30"/>
  <c r="F137" i="30" s="1"/>
  <c r="G137" i="30" s="1"/>
  <c r="H137" i="30" s="1"/>
  <c r="I137" i="30" s="1"/>
  <c r="E138" i="30"/>
  <c r="F138" i="30" s="1"/>
  <c r="G138" i="30" s="1"/>
  <c r="H138" i="30" s="1"/>
  <c r="I138" i="30" s="1"/>
  <c r="E139" i="30"/>
  <c r="F139" i="30" s="1"/>
  <c r="G139" i="30" s="1"/>
  <c r="H139" i="30" s="1"/>
  <c r="I139" i="30" s="1"/>
  <c r="E140" i="30"/>
  <c r="F140" i="30" s="1"/>
  <c r="G140" i="30" s="1"/>
  <c r="H140" i="30" s="1"/>
  <c r="I140" i="30" s="1"/>
  <c r="E141" i="30"/>
  <c r="F141" i="30" s="1"/>
  <c r="G141" i="30" s="1"/>
  <c r="H141" i="30" s="1"/>
  <c r="I141" i="30" s="1"/>
  <c r="E142" i="30"/>
  <c r="F142" i="30" s="1"/>
  <c r="G142" i="30" s="1"/>
  <c r="H142" i="30" s="1"/>
  <c r="I142" i="30" s="1"/>
  <c r="E143" i="30"/>
  <c r="F143" i="30" s="1"/>
  <c r="G143" i="30" s="1"/>
  <c r="H143" i="30" s="1"/>
  <c r="I143" i="30" s="1"/>
  <c r="E144" i="30"/>
  <c r="F144" i="30" s="1"/>
  <c r="G144" i="30" s="1"/>
  <c r="H144" i="30" s="1"/>
  <c r="I144" i="30" s="1"/>
  <c r="E145" i="30"/>
  <c r="F145" i="30" s="1"/>
  <c r="G145" i="30" s="1"/>
  <c r="H145" i="30" s="1"/>
  <c r="I145" i="30" s="1"/>
  <c r="E146" i="30"/>
  <c r="F146" i="30" s="1"/>
  <c r="G146" i="30" s="1"/>
  <c r="H146" i="30" s="1"/>
  <c r="I146" i="30" s="1"/>
  <c r="E147" i="30"/>
  <c r="F147" i="30" s="1"/>
  <c r="G147" i="30" s="1"/>
  <c r="H147" i="30" s="1"/>
  <c r="I147" i="30" s="1"/>
  <c r="E148" i="30"/>
  <c r="F148" i="30" s="1"/>
  <c r="G148" i="30" s="1"/>
  <c r="H148" i="30" s="1"/>
  <c r="I148" i="30" s="1"/>
  <c r="E149" i="30"/>
  <c r="F149" i="30" s="1"/>
  <c r="G149" i="30" s="1"/>
  <c r="H149" i="30" s="1"/>
  <c r="I149" i="30" s="1"/>
  <c r="E150" i="30"/>
  <c r="F150" i="30" s="1"/>
  <c r="G150" i="30" s="1"/>
  <c r="H150" i="30" s="1"/>
  <c r="I150" i="30" s="1"/>
  <c r="E151" i="30"/>
  <c r="F151" i="30" s="1"/>
  <c r="G151" i="30" s="1"/>
  <c r="H151" i="30" s="1"/>
  <c r="I151" i="30" s="1"/>
  <c r="E152" i="30"/>
  <c r="F152" i="30" s="1"/>
  <c r="G152" i="30" s="1"/>
  <c r="H152" i="30" s="1"/>
  <c r="I152" i="30" s="1"/>
  <c r="E153" i="30"/>
  <c r="F153" i="30" s="1"/>
  <c r="G153" i="30" s="1"/>
  <c r="H153" i="30" s="1"/>
  <c r="I153" i="30" s="1"/>
  <c r="E154" i="30"/>
  <c r="F154" i="30" s="1"/>
  <c r="G154" i="30" s="1"/>
  <c r="H154" i="30" s="1"/>
  <c r="I154" i="30" s="1"/>
  <c r="E155" i="30"/>
  <c r="F155" i="30" s="1"/>
  <c r="G155" i="30" s="1"/>
  <c r="H155" i="30" s="1"/>
  <c r="I155" i="30" s="1"/>
  <c r="E156" i="30"/>
  <c r="F156" i="30" s="1"/>
  <c r="G156" i="30" s="1"/>
  <c r="H156" i="30" s="1"/>
  <c r="I156" i="30" s="1"/>
  <c r="E157" i="30"/>
  <c r="F157" i="30" s="1"/>
  <c r="G157" i="30" s="1"/>
  <c r="H157" i="30" s="1"/>
  <c r="I157" i="30" s="1"/>
  <c r="E158" i="30"/>
  <c r="F158" i="30" s="1"/>
  <c r="G158" i="30" s="1"/>
  <c r="H158" i="30" s="1"/>
  <c r="I158" i="30" s="1"/>
  <c r="E159" i="30"/>
  <c r="F159" i="30" s="1"/>
  <c r="G159" i="30" s="1"/>
  <c r="H159" i="30" s="1"/>
  <c r="I159" i="30" s="1"/>
  <c r="E160" i="30"/>
  <c r="F160" i="30" s="1"/>
  <c r="G160" i="30" s="1"/>
  <c r="H160" i="30" s="1"/>
  <c r="I160" i="30" s="1"/>
  <c r="E161" i="30"/>
  <c r="F161" i="30" s="1"/>
  <c r="G161" i="30" s="1"/>
  <c r="H161" i="30" s="1"/>
  <c r="I161" i="30" s="1"/>
  <c r="E162" i="30"/>
  <c r="F162" i="30" s="1"/>
  <c r="G162" i="30" s="1"/>
  <c r="H162" i="30" s="1"/>
  <c r="I162" i="30" s="1"/>
  <c r="E163" i="30"/>
  <c r="F163" i="30" s="1"/>
  <c r="G163" i="30" s="1"/>
  <c r="H163" i="30" s="1"/>
  <c r="I163" i="30" s="1"/>
  <c r="E164" i="30"/>
  <c r="F164" i="30" s="1"/>
  <c r="G164" i="30" s="1"/>
  <c r="H164" i="30" s="1"/>
  <c r="I164" i="30" s="1"/>
  <c r="E165" i="30"/>
  <c r="F165" i="30" s="1"/>
  <c r="G165" i="30" s="1"/>
  <c r="H165" i="30" s="1"/>
  <c r="I165" i="30" s="1"/>
  <c r="E166" i="30"/>
  <c r="F166" i="30" s="1"/>
  <c r="G166" i="30" s="1"/>
  <c r="H166" i="30" s="1"/>
  <c r="I166" i="30" s="1"/>
  <c r="E167" i="30"/>
  <c r="F167" i="30" s="1"/>
  <c r="G167" i="30" s="1"/>
  <c r="H167" i="30" s="1"/>
  <c r="I167" i="30" s="1"/>
  <c r="E168" i="30"/>
  <c r="F168" i="30" s="1"/>
  <c r="G168" i="30" s="1"/>
  <c r="H168" i="30" s="1"/>
  <c r="I168" i="30" s="1"/>
  <c r="E169" i="30"/>
  <c r="F169" i="30" s="1"/>
  <c r="G169" i="30" s="1"/>
  <c r="H169" i="30" s="1"/>
  <c r="I169" i="30" s="1"/>
  <c r="E170" i="30"/>
  <c r="F170" i="30" s="1"/>
  <c r="G170" i="30" s="1"/>
  <c r="H170" i="30" s="1"/>
  <c r="I170" i="30" s="1"/>
  <c r="E171" i="30"/>
  <c r="F171" i="30" s="1"/>
  <c r="G171" i="30" s="1"/>
  <c r="H171" i="30" s="1"/>
  <c r="I171" i="30" s="1"/>
  <c r="E172" i="30"/>
  <c r="F172" i="30" s="1"/>
  <c r="G172" i="30" s="1"/>
  <c r="H172" i="30" s="1"/>
  <c r="I172" i="30" s="1"/>
  <c r="E173" i="30"/>
  <c r="F173" i="30" s="1"/>
  <c r="G173" i="30" s="1"/>
  <c r="H173" i="30" s="1"/>
  <c r="I173" i="30" s="1"/>
  <c r="E174" i="30"/>
  <c r="F174" i="30" s="1"/>
  <c r="G174" i="30" s="1"/>
  <c r="H174" i="30" s="1"/>
  <c r="I174" i="30" s="1"/>
  <c r="E175" i="30"/>
  <c r="F175" i="30" s="1"/>
  <c r="G175" i="30" s="1"/>
  <c r="H175" i="30" s="1"/>
  <c r="I175" i="30" s="1"/>
  <c r="E176" i="30"/>
  <c r="F176" i="30" s="1"/>
  <c r="G176" i="30" s="1"/>
  <c r="H176" i="30" s="1"/>
  <c r="I176" i="30" s="1"/>
  <c r="E177" i="30"/>
  <c r="F177" i="30" s="1"/>
  <c r="G177" i="30" s="1"/>
  <c r="H177" i="30" s="1"/>
  <c r="I177" i="30" s="1"/>
  <c r="E178" i="30"/>
  <c r="F178" i="30" s="1"/>
  <c r="G178" i="30" s="1"/>
  <c r="H178" i="30" s="1"/>
  <c r="I178" i="30" s="1"/>
  <c r="E179" i="30"/>
  <c r="F179" i="30" s="1"/>
  <c r="G179" i="30" s="1"/>
  <c r="H179" i="30" s="1"/>
  <c r="I179" i="30" s="1"/>
  <c r="E180" i="30"/>
  <c r="F180" i="30" s="1"/>
  <c r="G180" i="30" s="1"/>
  <c r="H180" i="30" s="1"/>
  <c r="I180" i="30" s="1"/>
  <c r="E181" i="30"/>
  <c r="F181" i="30" s="1"/>
  <c r="G181" i="30" s="1"/>
  <c r="H181" i="30" s="1"/>
  <c r="I181" i="30" s="1"/>
  <c r="E182" i="30"/>
  <c r="F182" i="30" s="1"/>
  <c r="G182" i="30" s="1"/>
  <c r="H182" i="30" s="1"/>
  <c r="I182" i="30" s="1"/>
  <c r="E183" i="30"/>
  <c r="F183" i="30" s="1"/>
  <c r="G183" i="30" s="1"/>
  <c r="H183" i="30" s="1"/>
  <c r="I183" i="30" s="1"/>
  <c r="E184" i="30"/>
  <c r="F184" i="30" s="1"/>
  <c r="G184" i="30" s="1"/>
  <c r="H184" i="30" s="1"/>
  <c r="I184" i="30" s="1"/>
  <c r="E185" i="30"/>
  <c r="F185" i="30" s="1"/>
  <c r="G185" i="30" s="1"/>
  <c r="H185" i="30" s="1"/>
  <c r="I185" i="30" s="1"/>
  <c r="E186" i="30"/>
  <c r="F186" i="30" s="1"/>
  <c r="G186" i="30" s="1"/>
  <c r="H186" i="30" s="1"/>
  <c r="I186" i="30" s="1"/>
  <c r="E187" i="30"/>
  <c r="F187" i="30" s="1"/>
  <c r="G187" i="30" s="1"/>
  <c r="H187" i="30" s="1"/>
  <c r="I187" i="30" s="1"/>
  <c r="E188" i="30"/>
  <c r="F188" i="30" s="1"/>
  <c r="G188" i="30" s="1"/>
  <c r="H188" i="30" s="1"/>
  <c r="I188" i="30" s="1"/>
  <c r="E189" i="30"/>
  <c r="F189" i="30" s="1"/>
  <c r="G189" i="30" s="1"/>
  <c r="H189" i="30" s="1"/>
  <c r="I189" i="30" s="1"/>
  <c r="E190" i="30"/>
  <c r="F190" i="30" s="1"/>
  <c r="G190" i="30" s="1"/>
  <c r="H190" i="30" s="1"/>
  <c r="I190" i="30" s="1"/>
  <c r="E191" i="30"/>
  <c r="F191" i="30" s="1"/>
  <c r="G191" i="30" s="1"/>
  <c r="H191" i="30" s="1"/>
  <c r="I191" i="30" s="1"/>
  <c r="E192" i="30"/>
  <c r="F192" i="30" s="1"/>
  <c r="G192" i="30" s="1"/>
  <c r="H192" i="30" s="1"/>
  <c r="I192" i="30" s="1"/>
  <c r="E193" i="30"/>
  <c r="F193" i="30" s="1"/>
  <c r="G193" i="30" s="1"/>
  <c r="H193" i="30" s="1"/>
  <c r="I193" i="30" s="1"/>
  <c r="E194" i="30"/>
  <c r="F194" i="30" s="1"/>
  <c r="G194" i="30" s="1"/>
  <c r="H194" i="30" s="1"/>
  <c r="I194" i="30" s="1"/>
  <c r="E195" i="30"/>
  <c r="F195" i="30" s="1"/>
  <c r="G195" i="30" s="1"/>
  <c r="H195" i="30" s="1"/>
  <c r="I195" i="30" s="1"/>
  <c r="E196" i="30"/>
  <c r="F196" i="30" s="1"/>
  <c r="G196" i="30" s="1"/>
  <c r="H196" i="30" s="1"/>
  <c r="I196" i="30" s="1"/>
  <c r="E197" i="30"/>
  <c r="F197" i="30" s="1"/>
  <c r="G197" i="30" s="1"/>
  <c r="H197" i="30" s="1"/>
  <c r="I197" i="30" s="1"/>
  <c r="E198" i="30"/>
  <c r="F198" i="30" s="1"/>
  <c r="G198" i="30" s="1"/>
  <c r="H198" i="30" s="1"/>
  <c r="I198" i="30" s="1"/>
  <c r="E199" i="30"/>
  <c r="F199" i="30" s="1"/>
  <c r="G199" i="30" s="1"/>
  <c r="H199" i="30" s="1"/>
  <c r="I199" i="30" s="1"/>
  <c r="E200" i="30"/>
  <c r="F200" i="30" s="1"/>
  <c r="G200" i="30" s="1"/>
  <c r="H200" i="30" s="1"/>
  <c r="I200" i="30" s="1"/>
  <c r="E201" i="30"/>
  <c r="F201" i="30" s="1"/>
  <c r="G201" i="30" s="1"/>
  <c r="H201" i="30" s="1"/>
  <c r="I201" i="30" s="1"/>
  <c r="E202" i="30"/>
  <c r="F202" i="30" s="1"/>
  <c r="G202" i="30" s="1"/>
  <c r="H202" i="30" s="1"/>
  <c r="I202" i="30" s="1"/>
  <c r="E203" i="30"/>
  <c r="F203" i="30" s="1"/>
  <c r="G203" i="30" s="1"/>
  <c r="H203" i="30" s="1"/>
  <c r="I203" i="30" s="1"/>
  <c r="E204" i="30"/>
  <c r="F204" i="30" s="1"/>
  <c r="G204" i="30" s="1"/>
  <c r="H204" i="30" s="1"/>
  <c r="I204" i="30" s="1"/>
  <c r="E205" i="30"/>
  <c r="F205" i="30" s="1"/>
  <c r="G205" i="30" s="1"/>
  <c r="H205" i="30" s="1"/>
  <c r="I205" i="30" s="1"/>
  <c r="E206" i="30"/>
  <c r="F206" i="30" s="1"/>
  <c r="G206" i="30" s="1"/>
  <c r="H206" i="30" s="1"/>
  <c r="I206" i="30" s="1"/>
  <c r="E207" i="30"/>
  <c r="F207" i="30" s="1"/>
  <c r="G207" i="30" s="1"/>
  <c r="H207" i="30" s="1"/>
  <c r="I207" i="30" s="1"/>
  <c r="E208" i="30"/>
  <c r="F208" i="30" s="1"/>
  <c r="G208" i="30" s="1"/>
  <c r="H208" i="30" s="1"/>
  <c r="I208" i="30" s="1"/>
  <c r="E209" i="30"/>
  <c r="F209" i="30" s="1"/>
  <c r="G209" i="30" s="1"/>
  <c r="H209" i="30" s="1"/>
  <c r="I209" i="30" s="1"/>
  <c r="E210" i="30"/>
  <c r="F210" i="30" s="1"/>
  <c r="G210" i="30" s="1"/>
  <c r="H210" i="30" s="1"/>
  <c r="I210" i="30" s="1"/>
  <c r="E211" i="30"/>
  <c r="F211" i="30" s="1"/>
  <c r="G211" i="30" s="1"/>
  <c r="H211" i="30" s="1"/>
  <c r="I211" i="30" s="1"/>
  <c r="E212" i="30"/>
  <c r="F212" i="30" s="1"/>
  <c r="G212" i="30" s="1"/>
  <c r="H212" i="30" s="1"/>
  <c r="I212" i="30" s="1"/>
  <c r="E213" i="30"/>
  <c r="F213" i="30" s="1"/>
  <c r="G213" i="30" s="1"/>
  <c r="H213" i="30" s="1"/>
  <c r="I213" i="30" s="1"/>
  <c r="E214" i="30"/>
  <c r="F214" i="30" s="1"/>
  <c r="G214" i="30" s="1"/>
  <c r="H214" i="30" s="1"/>
  <c r="I214" i="30" s="1"/>
  <c r="E215" i="30"/>
  <c r="F215" i="30" s="1"/>
  <c r="G215" i="30" s="1"/>
  <c r="H215" i="30" s="1"/>
  <c r="I215" i="30" s="1"/>
  <c r="E216" i="30"/>
  <c r="F216" i="30" s="1"/>
  <c r="G216" i="30" s="1"/>
  <c r="H216" i="30" s="1"/>
  <c r="I216" i="30" s="1"/>
  <c r="E217" i="30"/>
  <c r="F217" i="30" s="1"/>
  <c r="G217" i="30" s="1"/>
  <c r="H217" i="30" s="1"/>
  <c r="I217" i="30" s="1"/>
  <c r="E218" i="30"/>
  <c r="F218" i="30" s="1"/>
  <c r="G218" i="30" s="1"/>
  <c r="H218" i="30" s="1"/>
  <c r="I218" i="30" s="1"/>
  <c r="E219" i="30"/>
  <c r="F219" i="30" s="1"/>
  <c r="G219" i="30" s="1"/>
  <c r="H219" i="30" s="1"/>
  <c r="I219" i="30" s="1"/>
  <c r="E220" i="30"/>
  <c r="F220" i="30" s="1"/>
  <c r="G220" i="30" s="1"/>
  <c r="H220" i="30" s="1"/>
  <c r="I220" i="30" s="1"/>
  <c r="E221" i="30"/>
  <c r="F221" i="30" s="1"/>
  <c r="G221" i="30" s="1"/>
  <c r="H221" i="30" s="1"/>
  <c r="I221" i="30" s="1"/>
  <c r="E222" i="30"/>
  <c r="F222" i="30" s="1"/>
  <c r="G222" i="30" s="1"/>
  <c r="H222" i="30" s="1"/>
  <c r="I222" i="30" s="1"/>
  <c r="E223" i="30"/>
  <c r="F223" i="30" s="1"/>
  <c r="G223" i="30" s="1"/>
  <c r="H223" i="30" s="1"/>
  <c r="I223" i="30" s="1"/>
  <c r="E224" i="30"/>
  <c r="F224" i="30" s="1"/>
  <c r="G224" i="30" s="1"/>
  <c r="H224" i="30" s="1"/>
  <c r="I224" i="30" s="1"/>
  <c r="E225" i="30"/>
  <c r="F225" i="30" s="1"/>
  <c r="G225" i="30" s="1"/>
  <c r="H225" i="30" s="1"/>
  <c r="I225" i="30" s="1"/>
  <c r="E226" i="30"/>
  <c r="F226" i="30" s="1"/>
  <c r="G226" i="30" s="1"/>
  <c r="H226" i="30" s="1"/>
  <c r="I226" i="30" s="1"/>
  <c r="E227" i="30"/>
  <c r="F227" i="30" s="1"/>
  <c r="G227" i="30" s="1"/>
  <c r="H227" i="30" s="1"/>
  <c r="I227" i="30" s="1"/>
  <c r="E228" i="30"/>
  <c r="F228" i="30" s="1"/>
  <c r="G228" i="30" s="1"/>
  <c r="H228" i="30" s="1"/>
  <c r="I228" i="30" s="1"/>
  <c r="E229" i="30"/>
  <c r="F229" i="30" s="1"/>
  <c r="G229" i="30" s="1"/>
  <c r="H229" i="30" s="1"/>
  <c r="I229" i="30" s="1"/>
  <c r="E230" i="30"/>
  <c r="F230" i="30" s="1"/>
  <c r="G230" i="30" s="1"/>
  <c r="H230" i="30" s="1"/>
  <c r="I230" i="30" s="1"/>
  <c r="E231" i="30"/>
  <c r="F231" i="30" s="1"/>
  <c r="G231" i="30" s="1"/>
  <c r="H231" i="30" s="1"/>
  <c r="I231" i="30" s="1"/>
  <c r="E232" i="30"/>
  <c r="F232" i="30" s="1"/>
  <c r="G232" i="30" s="1"/>
  <c r="H232" i="30" s="1"/>
  <c r="I232" i="30" s="1"/>
  <c r="E233" i="30"/>
  <c r="F233" i="30" s="1"/>
  <c r="G233" i="30" s="1"/>
  <c r="H233" i="30" s="1"/>
  <c r="I233" i="30" s="1"/>
  <c r="E234" i="30"/>
  <c r="F234" i="30" s="1"/>
  <c r="G234" i="30" s="1"/>
  <c r="H234" i="30" s="1"/>
  <c r="I234" i="30" s="1"/>
  <c r="E235" i="30"/>
  <c r="F235" i="30" s="1"/>
  <c r="G235" i="30" s="1"/>
  <c r="H235" i="30" s="1"/>
  <c r="I235" i="30" s="1"/>
  <c r="E236" i="30"/>
  <c r="F236" i="30" s="1"/>
  <c r="G236" i="30" s="1"/>
  <c r="H236" i="30" s="1"/>
  <c r="I236" i="30" s="1"/>
  <c r="E237" i="30"/>
  <c r="F237" i="30" s="1"/>
  <c r="G237" i="30" s="1"/>
  <c r="H237" i="30" s="1"/>
  <c r="I237" i="30" s="1"/>
  <c r="E238" i="30"/>
  <c r="F238" i="30" s="1"/>
  <c r="G238" i="30" s="1"/>
  <c r="H238" i="30" s="1"/>
  <c r="I238" i="30" s="1"/>
  <c r="E239" i="30"/>
  <c r="F239" i="30" s="1"/>
  <c r="G239" i="30" s="1"/>
  <c r="H239" i="30" s="1"/>
  <c r="I239" i="30" s="1"/>
  <c r="E240" i="30"/>
  <c r="F240" i="30" s="1"/>
  <c r="G240" i="30" s="1"/>
  <c r="H240" i="30" s="1"/>
  <c r="I240" i="30" s="1"/>
  <c r="E241" i="30"/>
  <c r="F241" i="30" s="1"/>
  <c r="G241" i="30" s="1"/>
  <c r="H241" i="30" s="1"/>
  <c r="I241" i="30" s="1"/>
  <c r="E242" i="30"/>
  <c r="F242" i="30" s="1"/>
  <c r="G242" i="30" s="1"/>
  <c r="H242" i="30" s="1"/>
  <c r="I242" i="30" s="1"/>
  <c r="E243" i="30"/>
  <c r="F243" i="30" s="1"/>
  <c r="G243" i="30" s="1"/>
  <c r="H243" i="30" s="1"/>
  <c r="I243" i="30" s="1"/>
  <c r="E244" i="30"/>
  <c r="F244" i="30" s="1"/>
  <c r="G244" i="30" s="1"/>
  <c r="H244" i="30" s="1"/>
  <c r="I244" i="30" s="1"/>
  <c r="E245" i="30"/>
  <c r="F245" i="30" s="1"/>
  <c r="G245" i="30" s="1"/>
  <c r="H245" i="30" s="1"/>
  <c r="I245" i="30" s="1"/>
  <c r="E246" i="30"/>
  <c r="F246" i="30" s="1"/>
  <c r="G246" i="30" s="1"/>
  <c r="H246" i="30" s="1"/>
  <c r="I246" i="30" s="1"/>
  <c r="E247" i="30"/>
  <c r="F247" i="30" s="1"/>
  <c r="G247" i="30" s="1"/>
  <c r="H247" i="30" s="1"/>
  <c r="I247" i="30" s="1"/>
  <c r="E248" i="30"/>
  <c r="F248" i="30" s="1"/>
  <c r="G248" i="30" s="1"/>
  <c r="H248" i="30" s="1"/>
  <c r="I248" i="30" s="1"/>
  <c r="E249" i="30"/>
  <c r="F249" i="30" s="1"/>
  <c r="G249" i="30" s="1"/>
  <c r="H249" i="30" s="1"/>
  <c r="I249" i="30" s="1"/>
  <c r="E250" i="30"/>
  <c r="F250" i="30" s="1"/>
  <c r="G250" i="30" s="1"/>
  <c r="H250" i="30" s="1"/>
  <c r="I250" i="30" s="1"/>
  <c r="E251" i="30"/>
  <c r="F251" i="30" s="1"/>
  <c r="G251" i="30" s="1"/>
  <c r="H251" i="30" s="1"/>
  <c r="I251" i="30" s="1"/>
  <c r="E252" i="30"/>
  <c r="F252" i="30" s="1"/>
  <c r="G252" i="30" s="1"/>
  <c r="H252" i="30" s="1"/>
  <c r="I252" i="30" s="1"/>
  <c r="E253" i="30"/>
  <c r="F253" i="30" s="1"/>
  <c r="G253" i="30" s="1"/>
  <c r="H253" i="30" s="1"/>
  <c r="I253" i="30" s="1"/>
  <c r="E254" i="30"/>
  <c r="F254" i="30" s="1"/>
  <c r="G254" i="30" s="1"/>
  <c r="H254" i="30" s="1"/>
  <c r="I254" i="30" s="1"/>
  <c r="E255" i="30"/>
  <c r="F255" i="30" s="1"/>
  <c r="G255" i="30" s="1"/>
  <c r="H255" i="30" s="1"/>
  <c r="I255" i="30" s="1"/>
  <c r="E256" i="30"/>
  <c r="F256" i="30" s="1"/>
  <c r="G256" i="30" s="1"/>
  <c r="H256" i="30" s="1"/>
  <c r="I256" i="30" s="1"/>
  <c r="E257" i="30"/>
  <c r="F257" i="30" s="1"/>
  <c r="G257" i="30" s="1"/>
  <c r="H257" i="30" s="1"/>
  <c r="I257" i="30" s="1"/>
  <c r="E258" i="30"/>
  <c r="F258" i="30" s="1"/>
  <c r="G258" i="30" s="1"/>
  <c r="H258" i="30" s="1"/>
  <c r="I258" i="30" s="1"/>
  <c r="E259" i="30"/>
  <c r="F259" i="30" s="1"/>
  <c r="G259" i="30" s="1"/>
  <c r="H259" i="30" s="1"/>
  <c r="I259" i="30" s="1"/>
  <c r="E260" i="30"/>
  <c r="F260" i="30" s="1"/>
  <c r="G260" i="30" s="1"/>
  <c r="H260" i="30" s="1"/>
  <c r="I260" i="30" s="1"/>
  <c r="E261" i="30"/>
  <c r="F261" i="30" s="1"/>
  <c r="G261" i="30" s="1"/>
  <c r="H261" i="30" s="1"/>
  <c r="I261" i="30" s="1"/>
  <c r="E262" i="30"/>
  <c r="F262" i="30" s="1"/>
  <c r="G262" i="30" s="1"/>
  <c r="H262" i="30" s="1"/>
  <c r="I262" i="30" s="1"/>
  <c r="E263" i="30"/>
  <c r="F263" i="30" s="1"/>
  <c r="G263" i="30" s="1"/>
  <c r="H263" i="30" s="1"/>
  <c r="I263" i="30" s="1"/>
  <c r="E264" i="30"/>
  <c r="F264" i="30" s="1"/>
  <c r="G264" i="30" s="1"/>
  <c r="H264" i="30" s="1"/>
  <c r="I264" i="30" s="1"/>
  <c r="E265" i="30"/>
  <c r="F265" i="30" s="1"/>
  <c r="G265" i="30" s="1"/>
  <c r="H265" i="30" s="1"/>
  <c r="I265" i="30" s="1"/>
  <c r="E266" i="30"/>
  <c r="F266" i="30" s="1"/>
  <c r="G266" i="30" s="1"/>
  <c r="H266" i="30" s="1"/>
  <c r="I266" i="30" s="1"/>
  <c r="E267" i="30"/>
  <c r="F267" i="30" s="1"/>
  <c r="G267" i="30" s="1"/>
  <c r="H267" i="30" s="1"/>
  <c r="I267" i="30" s="1"/>
  <c r="E268" i="30"/>
  <c r="F268" i="30" s="1"/>
  <c r="G268" i="30" s="1"/>
  <c r="H268" i="30" s="1"/>
  <c r="I268" i="30" s="1"/>
  <c r="E269" i="30"/>
  <c r="F269" i="30" s="1"/>
  <c r="G269" i="30" s="1"/>
  <c r="H269" i="30" s="1"/>
  <c r="I269" i="30" s="1"/>
  <c r="E270" i="30"/>
  <c r="F270" i="30" s="1"/>
  <c r="G270" i="30" s="1"/>
  <c r="H270" i="30" s="1"/>
  <c r="I270" i="30" s="1"/>
  <c r="E271" i="30"/>
  <c r="F271" i="30" s="1"/>
  <c r="G271" i="30" s="1"/>
  <c r="H271" i="30" s="1"/>
  <c r="I271" i="30" s="1"/>
  <c r="E272" i="30"/>
  <c r="F272" i="30" s="1"/>
  <c r="G272" i="30" s="1"/>
  <c r="H272" i="30" s="1"/>
  <c r="I272" i="30" s="1"/>
  <c r="E273" i="30"/>
  <c r="F273" i="30" s="1"/>
  <c r="G273" i="30" s="1"/>
  <c r="H273" i="30" s="1"/>
  <c r="I273" i="30" s="1"/>
  <c r="E274" i="30"/>
  <c r="F274" i="30" s="1"/>
  <c r="G274" i="30" s="1"/>
  <c r="H274" i="30" s="1"/>
  <c r="I274" i="30" s="1"/>
  <c r="E275" i="30"/>
  <c r="F275" i="30" s="1"/>
  <c r="G275" i="30" s="1"/>
  <c r="H275" i="30" s="1"/>
  <c r="I275" i="30" s="1"/>
  <c r="E276" i="30"/>
  <c r="F276" i="30" s="1"/>
  <c r="G276" i="30" s="1"/>
  <c r="H276" i="30" s="1"/>
  <c r="I276" i="30" s="1"/>
  <c r="E277" i="30"/>
  <c r="F277" i="30" s="1"/>
  <c r="G277" i="30" s="1"/>
  <c r="H277" i="30" s="1"/>
  <c r="I277" i="30" s="1"/>
  <c r="E278" i="30"/>
  <c r="F278" i="30" s="1"/>
  <c r="G278" i="30" s="1"/>
  <c r="H278" i="30" s="1"/>
  <c r="I278" i="30" s="1"/>
  <c r="E279" i="30"/>
  <c r="F279" i="30" s="1"/>
  <c r="G279" i="30" s="1"/>
  <c r="H279" i="30" s="1"/>
  <c r="I279" i="30" s="1"/>
  <c r="E280" i="30"/>
  <c r="F280" i="30" s="1"/>
  <c r="G280" i="30" s="1"/>
  <c r="H280" i="30" s="1"/>
  <c r="I280" i="30" s="1"/>
  <c r="E281" i="30"/>
  <c r="F281" i="30" s="1"/>
  <c r="G281" i="30" s="1"/>
  <c r="H281" i="30" s="1"/>
  <c r="I281" i="30" s="1"/>
  <c r="E282" i="30"/>
  <c r="F282" i="30" s="1"/>
  <c r="G282" i="30" s="1"/>
  <c r="H282" i="30" s="1"/>
  <c r="I282" i="30" s="1"/>
  <c r="E283" i="30"/>
  <c r="F283" i="30" s="1"/>
  <c r="G283" i="30" s="1"/>
  <c r="H283" i="30" s="1"/>
  <c r="I283" i="30" s="1"/>
  <c r="E284" i="30"/>
  <c r="F284" i="30" s="1"/>
  <c r="G284" i="30" s="1"/>
  <c r="H284" i="30" s="1"/>
  <c r="I284" i="30" s="1"/>
  <c r="E285" i="30"/>
  <c r="F285" i="30" s="1"/>
  <c r="G285" i="30" s="1"/>
  <c r="H285" i="30" s="1"/>
  <c r="I285" i="30" s="1"/>
  <c r="E286" i="30"/>
  <c r="F286" i="30" s="1"/>
  <c r="G286" i="30" s="1"/>
  <c r="H286" i="30" s="1"/>
  <c r="I286" i="30" s="1"/>
  <c r="E287" i="30"/>
  <c r="F287" i="30" s="1"/>
  <c r="G287" i="30" s="1"/>
  <c r="H287" i="30" s="1"/>
  <c r="I287" i="30" s="1"/>
  <c r="E288" i="30"/>
  <c r="F288" i="30" s="1"/>
  <c r="G288" i="30" s="1"/>
  <c r="H288" i="30" s="1"/>
  <c r="I288" i="30" s="1"/>
  <c r="E289" i="30"/>
  <c r="F289" i="30" s="1"/>
  <c r="G289" i="30" s="1"/>
  <c r="H289" i="30" s="1"/>
  <c r="I289" i="30" s="1"/>
  <c r="E290" i="30"/>
  <c r="F290" i="30" s="1"/>
  <c r="G290" i="30" s="1"/>
  <c r="H290" i="30" s="1"/>
  <c r="I290" i="30" s="1"/>
  <c r="E291" i="30"/>
  <c r="F291" i="30" s="1"/>
  <c r="G291" i="30" s="1"/>
  <c r="H291" i="30" s="1"/>
  <c r="I291" i="30" s="1"/>
  <c r="E292" i="30"/>
  <c r="F292" i="30" s="1"/>
  <c r="G292" i="30" s="1"/>
  <c r="H292" i="30" s="1"/>
  <c r="I292" i="30" s="1"/>
  <c r="E293" i="30"/>
  <c r="F293" i="30" s="1"/>
  <c r="G293" i="30" s="1"/>
  <c r="H293" i="30" s="1"/>
  <c r="I293" i="30" s="1"/>
  <c r="E294" i="30"/>
  <c r="F294" i="30" s="1"/>
  <c r="G294" i="30" s="1"/>
  <c r="H294" i="30" s="1"/>
  <c r="I294" i="30" s="1"/>
  <c r="E295" i="30"/>
  <c r="F295" i="30" s="1"/>
  <c r="G295" i="30" s="1"/>
  <c r="H295" i="30" s="1"/>
  <c r="I295" i="30" s="1"/>
  <c r="E296" i="30"/>
  <c r="F296" i="30" s="1"/>
  <c r="G296" i="30" s="1"/>
  <c r="H296" i="30" s="1"/>
  <c r="I296" i="30" s="1"/>
  <c r="E297" i="30"/>
  <c r="F297" i="30" s="1"/>
  <c r="G297" i="30" s="1"/>
  <c r="H297" i="30" s="1"/>
  <c r="I297" i="30" s="1"/>
  <c r="E298" i="30"/>
  <c r="F298" i="30" s="1"/>
  <c r="G298" i="30" s="1"/>
  <c r="H298" i="30" s="1"/>
  <c r="I298" i="30" s="1"/>
  <c r="E299" i="30"/>
  <c r="F299" i="30" s="1"/>
  <c r="G299" i="30" s="1"/>
  <c r="H299" i="30" s="1"/>
  <c r="I299" i="30" s="1"/>
  <c r="E300" i="30"/>
  <c r="F300" i="30" s="1"/>
  <c r="G300" i="30" s="1"/>
  <c r="H300" i="30" s="1"/>
  <c r="I300" i="30" s="1"/>
  <c r="E301" i="30"/>
  <c r="F301" i="30" s="1"/>
  <c r="G301" i="30" s="1"/>
  <c r="H301" i="30" s="1"/>
  <c r="I301" i="30" s="1"/>
  <c r="E302" i="30"/>
  <c r="F302" i="30" s="1"/>
  <c r="G302" i="30" s="1"/>
  <c r="H302" i="30" s="1"/>
  <c r="I302" i="30" s="1"/>
  <c r="E303" i="30"/>
  <c r="F303" i="30" s="1"/>
  <c r="G303" i="30" s="1"/>
  <c r="H303" i="30" s="1"/>
  <c r="I303" i="30" s="1"/>
  <c r="E304" i="30"/>
  <c r="F304" i="30" s="1"/>
  <c r="G304" i="30" s="1"/>
  <c r="H304" i="30" s="1"/>
  <c r="I304" i="30" s="1"/>
  <c r="E305" i="30"/>
  <c r="F305" i="30" s="1"/>
  <c r="G305" i="30" s="1"/>
  <c r="H305" i="30" s="1"/>
  <c r="I305" i="30" s="1"/>
  <c r="E306" i="30"/>
  <c r="F306" i="30" s="1"/>
  <c r="G306" i="30" s="1"/>
  <c r="H306" i="30" s="1"/>
  <c r="I306" i="30" s="1"/>
  <c r="E307" i="30"/>
  <c r="F307" i="30" s="1"/>
  <c r="G307" i="30" s="1"/>
  <c r="H307" i="30" s="1"/>
  <c r="I307" i="30" s="1"/>
  <c r="E308" i="30"/>
  <c r="F308" i="30" s="1"/>
  <c r="G308" i="30" s="1"/>
  <c r="H308" i="30" s="1"/>
  <c r="I308" i="30" s="1"/>
  <c r="E309" i="30"/>
  <c r="F309" i="30" s="1"/>
  <c r="G309" i="30" s="1"/>
  <c r="H309" i="30" s="1"/>
  <c r="I309" i="30" s="1"/>
  <c r="E310" i="30"/>
  <c r="F310" i="30" s="1"/>
  <c r="G310" i="30" s="1"/>
  <c r="H310" i="30" s="1"/>
  <c r="I310" i="30" s="1"/>
  <c r="E311" i="30"/>
  <c r="F311" i="30" s="1"/>
  <c r="G311" i="30" s="1"/>
  <c r="H311" i="30" s="1"/>
  <c r="I311" i="30" s="1"/>
  <c r="E312" i="30"/>
  <c r="F312" i="30" s="1"/>
  <c r="G312" i="30" s="1"/>
  <c r="H312" i="30" s="1"/>
  <c r="I312" i="30" s="1"/>
  <c r="E313" i="30"/>
  <c r="F313" i="30" s="1"/>
  <c r="G313" i="30" s="1"/>
  <c r="H313" i="30" s="1"/>
  <c r="I313" i="30" s="1"/>
  <c r="E314" i="30"/>
  <c r="F314" i="30" s="1"/>
  <c r="G314" i="30" s="1"/>
  <c r="H314" i="30" s="1"/>
  <c r="I314" i="30" s="1"/>
  <c r="E315" i="30"/>
  <c r="F315" i="30" s="1"/>
  <c r="G315" i="30" s="1"/>
  <c r="H315" i="30" s="1"/>
  <c r="I315" i="30" s="1"/>
  <c r="E316" i="30"/>
  <c r="F316" i="30" s="1"/>
  <c r="G316" i="30" s="1"/>
  <c r="H316" i="30" s="1"/>
  <c r="I316" i="30" s="1"/>
  <c r="E317" i="30"/>
  <c r="F317" i="30" s="1"/>
  <c r="G317" i="30" s="1"/>
  <c r="H317" i="30" s="1"/>
  <c r="I317" i="30" s="1"/>
  <c r="E318" i="30"/>
  <c r="F318" i="30" s="1"/>
  <c r="G318" i="30" s="1"/>
  <c r="H318" i="30" s="1"/>
  <c r="I318" i="30" s="1"/>
  <c r="E319" i="30"/>
  <c r="F319" i="30" s="1"/>
  <c r="G319" i="30" s="1"/>
  <c r="H319" i="30" s="1"/>
  <c r="I319" i="30" s="1"/>
  <c r="E320" i="30"/>
  <c r="F320" i="30" s="1"/>
  <c r="G320" i="30" s="1"/>
  <c r="H320" i="30" s="1"/>
  <c r="I320" i="30" s="1"/>
  <c r="E321" i="30"/>
  <c r="F321" i="30" s="1"/>
  <c r="G321" i="30" s="1"/>
  <c r="H321" i="30" s="1"/>
  <c r="I321" i="30" s="1"/>
  <c r="E322" i="30"/>
  <c r="F322" i="30" s="1"/>
  <c r="G322" i="30" s="1"/>
  <c r="H322" i="30" s="1"/>
  <c r="I322" i="30" s="1"/>
  <c r="E323" i="30"/>
  <c r="F323" i="30" s="1"/>
  <c r="G323" i="30" s="1"/>
  <c r="H323" i="30" s="1"/>
  <c r="I323" i="30" s="1"/>
  <c r="E324" i="30"/>
  <c r="F324" i="30" s="1"/>
  <c r="G324" i="30" s="1"/>
  <c r="H324" i="30" s="1"/>
  <c r="I324" i="30" s="1"/>
  <c r="E325" i="30"/>
  <c r="F325" i="30" s="1"/>
  <c r="G325" i="30" s="1"/>
  <c r="H325" i="30" s="1"/>
  <c r="I325" i="30" s="1"/>
  <c r="E326" i="30"/>
  <c r="F326" i="30" s="1"/>
  <c r="G326" i="30" s="1"/>
  <c r="H326" i="30" s="1"/>
  <c r="I326" i="30" s="1"/>
  <c r="E327" i="30"/>
  <c r="F327" i="30" s="1"/>
  <c r="G327" i="30" s="1"/>
  <c r="H327" i="30" s="1"/>
  <c r="I327" i="30" s="1"/>
  <c r="E328" i="30"/>
  <c r="F328" i="30" s="1"/>
  <c r="G328" i="30" s="1"/>
  <c r="H328" i="30" s="1"/>
  <c r="I328" i="30" s="1"/>
  <c r="E329" i="30"/>
  <c r="F329" i="30" s="1"/>
  <c r="G329" i="30" s="1"/>
  <c r="H329" i="30" s="1"/>
  <c r="I329" i="30" s="1"/>
  <c r="E330" i="30"/>
  <c r="F330" i="30" s="1"/>
  <c r="G330" i="30" s="1"/>
  <c r="H330" i="30" s="1"/>
  <c r="I330" i="30" s="1"/>
  <c r="E331" i="30"/>
  <c r="F331" i="30" s="1"/>
  <c r="G331" i="30" s="1"/>
  <c r="H331" i="30" s="1"/>
  <c r="I331" i="30" s="1"/>
  <c r="E332" i="30"/>
  <c r="F332" i="30" s="1"/>
  <c r="G332" i="30" s="1"/>
  <c r="H332" i="30" s="1"/>
  <c r="I332" i="30" s="1"/>
  <c r="E333" i="30"/>
  <c r="F333" i="30" s="1"/>
  <c r="G333" i="30" s="1"/>
  <c r="H333" i="30" s="1"/>
  <c r="I333" i="30" s="1"/>
  <c r="E334" i="30"/>
  <c r="F334" i="30" s="1"/>
  <c r="G334" i="30" s="1"/>
  <c r="H334" i="30" s="1"/>
  <c r="I334" i="30" s="1"/>
  <c r="E335" i="30"/>
  <c r="F335" i="30" s="1"/>
  <c r="G335" i="30" s="1"/>
  <c r="H335" i="30" s="1"/>
  <c r="I335" i="30" s="1"/>
  <c r="E336" i="30"/>
  <c r="F336" i="30" s="1"/>
  <c r="G336" i="30" s="1"/>
  <c r="H336" i="30" s="1"/>
  <c r="I336" i="30" s="1"/>
  <c r="E337" i="30"/>
  <c r="F337" i="30" s="1"/>
  <c r="G337" i="30" s="1"/>
  <c r="H337" i="30" s="1"/>
  <c r="I337" i="30" s="1"/>
  <c r="E338" i="30"/>
  <c r="F338" i="30" s="1"/>
  <c r="G338" i="30" s="1"/>
  <c r="H338" i="30" s="1"/>
  <c r="I338" i="30" s="1"/>
  <c r="E339" i="30"/>
  <c r="F339" i="30" s="1"/>
  <c r="G339" i="30" s="1"/>
  <c r="H339" i="30" s="1"/>
  <c r="I339" i="30" s="1"/>
  <c r="E340" i="30"/>
  <c r="F340" i="30" s="1"/>
  <c r="G340" i="30" s="1"/>
  <c r="H340" i="30" s="1"/>
  <c r="I340" i="30" s="1"/>
  <c r="E341" i="30"/>
  <c r="F341" i="30" s="1"/>
  <c r="G341" i="30" s="1"/>
  <c r="H341" i="30" s="1"/>
  <c r="I341" i="30" s="1"/>
  <c r="E342" i="30"/>
  <c r="F342" i="30" s="1"/>
  <c r="G342" i="30" s="1"/>
  <c r="H342" i="30" s="1"/>
  <c r="I342" i="30" s="1"/>
  <c r="E343" i="30"/>
  <c r="F343" i="30" s="1"/>
  <c r="G343" i="30" s="1"/>
  <c r="H343" i="30" s="1"/>
  <c r="I343" i="30" s="1"/>
  <c r="E344" i="30"/>
  <c r="F344" i="30" s="1"/>
  <c r="G344" i="30" s="1"/>
  <c r="H344" i="30" s="1"/>
  <c r="I344" i="30" s="1"/>
  <c r="E345" i="30"/>
  <c r="F345" i="30" s="1"/>
  <c r="G345" i="30" s="1"/>
  <c r="H345" i="30" s="1"/>
  <c r="I345" i="30" s="1"/>
  <c r="E346" i="30"/>
  <c r="F346" i="30" s="1"/>
  <c r="G346" i="30" s="1"/>
  <c r="H346" i="30" s="1"/>
  <c r="I346" i="30" s="1"/>
  <c r="E347" i="30"/>
  <c r="F347" i="30" s="1"/>
  <c r="G347" i="30" s="1"/>
  <c r="H347" i="30" s="1"/>
  <c r="I347" i="30" s="1"/>
  <c r="E348" i="30"/>
  <c r="F348" i="30" s="1"/>
  <c r="G348" i="30" s="1"/>
  <c r="H348" i="30" s="1"/>
  <c r="I348" i="30" s="1"/>
  <c r="E349" i="30"/>
  <c r="F349" i="30" s="1"/>
  <c r="G349" i="30" s="1"/>
  <c r="H349" i="30" s="1"/>
  <c r="I349" i="30" s="1"/>
  <c r="E350" i="30"/>
  <c r="F350" i="30" s="1"/>
  <c r="G350" i="30" s="1"/>
  <c r="H350" i="30" s="1"/>
  <c r="I350" i="30" s="1"/>
  <c r="E351" i="30"/>
  <c r="F351" i="30" s="1"/>
  <c r="G351" i="30" s="1"/>
  <c r="H351" i="30" s="1"/>
  <c r="I351" i="30" s="1"/>
  <c r="E352" i="30"/>
  <c r="F352" i="30" s="1"/>
  <c r="G352" i="30" s="1"/>
  <c r="H352" i="30" s="1"/>
  <c r="I352" i="30" s="1"/>
  <c r="E353" i="30"/>
  <c r="F353" i="30" s="1"/>
  <c r="G353" i="30" s="1"/>
  <c r="H353" i="30" s="1"/>
  <c r="I353" i="30" s="1"/>
  <c r="E354" i="30"/>
  <c r="F354" i="30" s="1"/>
  <c r="G354" i="30" s="1"/>
  <c r="H354" i="30" s="1"/>
  <c r="I354" i="30" s="1"/>
  <c r="E355" i="30"/>
  <c r="F355" i="30" s="1"/>
  <c r="G355" i="30" s="1"/>
  <c r="H355" i="30" s="1"/>
  <c r="I355" i="30" s="1"/>
  <c r="E356" i="30"/>
  <c r="F356" i="30" s="1"/>
  <c r="G356" i="30" s="1"/>
  <c r="H356" i="30" s="1"/>
  <c r="I356" i="30" s="1"/>
  <c r="E357" i="30"/>
  <c r="F357" i="30" s="1"/>
  <c r="G357" i="30" s="1"/>
  <c r="H357" i="30" s="1"/>
  <c r="I357" i="30" s="1"/>
  <c r="E358" i="30"/>
  <c r="F358" i="30" s="1"/>
  <c r="G358" i="30" s="1"/>
  <c r="H358" i="30" s="1"/>
  <c r="I358" i="30" s="1"/>
  <c r="E359" i="30"/>
  <c r="F359" i="30" s="1"/>
  <c r="G359" i="30" s="1"/>
  <c r="H359" i="30" s="1"/>
  <c r="I359" i="30" s="1"/>
  <c r="E360" i="30"/>
  <c r="F360" i="30" s="1"/>
  <c r="G360" i="30" s="1"/>
  <c r="H360" i="30" s="1"/>
  <c r="I360" i="30" s="1"/>
  <c r="E361" i="30"/>
  <c r="F361" i="30" s="1"/>
  <c r="G361" i="30" s="1"/>
  <c r="H361" i="30" s="1"/>
  <c r="I361" i="30" s="1"/>
  <c r="E362" i="30"/>
  <c r="F362" i="30" s="1"/>
  <c r="G362" i="30" s="1"/>
  <c r="H362" i="30" s="1"/>
  <c r="I362" i="30" s="1"/>
  <c r="E363" i="30"/>
  <c r="F363" i="30" s="1"/>
  <c r="G363" i="30" s="1"/>
  <c r="H363" i="30" s="1"/>
  <c r="I363" i="30" s="1"/>
  <c r="E364" i="30"/>
  <c r="F364" i="30" s="1"/>
  <c r="G364" i="30" s="1"/>
  <c r="H364" i="30" s="1"/>
  <c r="I364" i="30" s="1"/>
  <c r="E365" i="30"/>
  <c r="F365" i="30" s="1"/>
  <c r="G365" i="30" s="1"/>
  <c r="H365" i="30" s="1"/>
  <c r="I365" i="30" s="1"/>
  <c r="E366" i="30"/>
  <c r="F366" i="30" s="1"/>
  <c r="G366" i="30" s="1"/>
  <c r="H366" i="30" s="1"/>
  <c r="I366" i="30" s="1"/>
  <c r="E367" i="30"/>
  <c r="F367" i="30" s="1"/>
  <c r="G367" i="30" s="1"/>
  <c r="H367" i="30" s="1"/>
  <c r="I367" i="30" s="1"/>
  <c r="E368" i="30"/>
  <c r="F368" i="30" s="1"/>
  <c r="G368" i="30" s="1"/>
  <c r="H368" i="30" s="1"/>
  <c r="I368" i="30" s="1"/>
  <c r="E369" i="30"/>
  <c r="F369" i="30" s="1"/>
  <c r="G369" i="30" s="1"/>
  <c r="H369" i="30" s="1"/>
  <c r="I369" i="30" s="1"/>
  <c r="E370" i="30"/>
  <c r="F370" i="30" s="1"/>
  <c r="G370" i="30" s="1"/>
  <c r="H370" i="30" s="1"/>
  <c r="I370" i="30" s="1"/>
  <c r="E371" i="30"/>
  <c r="F371" i="30" s="1"/>
  <c r="G371" i="30" s="1"/>
  <c r="H371" i="30" s="1"/>
  <c r="I371" i="30" s="1"/>
  <c r="E372" i="30"/>
  <c r="F372" i="30" s="1"/>
  <c r="G372" i="30" s="1"/>
  <c r="H372" i="30" s="1"/>
  <c r="I372" i="30" s="1"/>
  <c r="E373" i="30"/>
  <c r="F373" i="30" s="1"/>
  <c r="G373" i="30" s="1"/>
  <c r="H373" i="30" s="1"/>
  <c r="I373" i="30" s="1"/>
  <c r="E374" i="30"/>
  <c r="F374" i="30" s="1"/>
  <c r="G374" i="30" s="1"/>
  <c r="H374" i="30" s="1"/>
  <c r="I374" i="30" s="1"/>
  <c r="E375" i="30"/>
  <c r="F375" i="30" s="1"/>
  <c r="G375" i="30" s="1"/>
  <c r="H375" i="30" s="1"/>
  <c r="I375" i="30" s="1"/>
  <c r="E376" i="30"/>
  <c r="F376" i="30" s="1"/>
  <c r="G376" i="30" s="1"/>
  <c r="H376" i="30" s="1"/>
  <c r="I376" i="30" s="1"/>
  <c r="E377" i="30"/>
  <c r="F377" i="30" s="1"/>
  <c r="G377" i="30" s="1"/>
  <c r="H377" i="30" s="1"/>
  <c r="I377" i="30" s="1"/>
  <c r="E378" i="30"/>
  <c r="F378" i="30" s="1"/>
  <c r="G378" i="30" s="1"/>
  <c r="H378" i="30" s="1"/>
  <c r="I378" i="30" s="1"/>
  <c r="E379" i="30"/>
  <c r="F379" i="30" s="1"/>
  <c r="G379" i="30" s="1"/>
  <c r="H379" i="30" s="1"/>
  <c r="I379" i="30" s="1"/>
  <c r="E380" i="30"/>
  <c r="F380" i="30" s="1"/>
  <c r="G380" i="30" s="1"/>
  <c r="H380" i="30" s="1"/>
  <c r="I380" i="30" s="1"/>
  <c r="E381" i="30"/>
  <c r="F381" i="30" s="1"/>
  <c r="G381" i="30" s="1"/>
  <c r="H381" i="30" s="1"/>
  <c r="I381" i="30" s="1"/>
  <c r="E382" i="30"/>
  <c r="F382" i="30" s="1"/>
  <c r="G382" i="30" s="1"/>
  <c r="H382" i="30" s="1"/>
  <c r="I382" i="30" s="1"/>
  <c r="E383" i="30"/>
  <c r="F383" i="30" s="1"/>
  <c r="G383" i="30" s="1"/>
  <c r="H383" i="30" s="1"/>
  <c r="I383" i="30" s="1"/>
  <c r="E384" i="30"/>
  <c r="F384" i="30" s="1"/>
  <c r="G384" i="30" s="1"/>
  <c r="H384" i="30" s="1"/>
  <c r="I384" i="30" s="1"/>
  <c r="E385" i="30"/>
  <c r="F385" i="30" s="1"/>
  <c r="G385" i="30" s="1"/>
  <c r="H385" i="30" s="1"/>
  <c r="I385" i="30" s="1"/>
  <c r="E386" i="30"/>
  <c r="F386" i="30" s="1"/>
  <c r="G386" i="30" s="1"/>
  <c r="H386" i="30" s="1"/>
  <c r="I386" i="30" s="1"/>
  <c r="E387" i="30"/>
  <c r="F387" i="30" s="1"/>
  <c r="G387" i="30" s="1"/>
  <c r="H387" i="30" s="1"/>
  <c r="I387" i="30" s="1"/>
  <c r="E388" i="30"/>
  <c r="F388" i="30" s="1"/>
  <c r="G388" i="30" s="1"/>
  <c r="H388" i="30" s="1"/>
  <c r="I388" i="30" s="1"/>
  <c r="E389" i="30"/>
  <c r="F389" i="30" s="1"/>
  <c r="G389" i="30" s="1"/>
  <c r="H389" i="30" s="1"/>
  <c r="I389" i="30" s="1"/>
  <c r="E390" i="30"/>
  <c r="F390" i="30" s="1"/>
  <c r="G390" i="30" s="1"/>
  <c r="H390" i="30" s="1"/>
  <c r="I390" i="30" s="1"/>
  <c r="E391" i="30"/>
  <c r="F391" i="30" s="1"/>
  <c r="G391" i="30" s="1"/>
  <c r="H391" i="30" s="1"/>
  <c r="I391" i="30" s="1"/>
  <c r="E392" i="30"/>
  <c r="F392" i="30" s="1"/>
  <c r="G392" i="30" s="1"/>
  <c r="H392" i="30" s="1"/>
  <c r="I392" i="30" s="1"/>
  <c r="E393" i="30"/>
  <c r="F393" i="30" s="1"/>
  <c r="G393" i="30" s="1"/>
  <c r="H393" i="30" s="1"/>
  <c r="I393" i="30" s="1"/>
  <c r="E394" i="30"/>
  <c r="F394" i="30" s="1"/>
  <c r="G394" i="30" s="1"/>
  <c r="H394" i="30" s="1"/>
  <c r="I394" i="30" s="1"/>
  <c r="E395" i="30"/>
  <c r="F395" i="30" s="1"/>
  <c r="G395" i="30" s="1"/>
  <c r="H395" i="30" s="1"/>
  <c r="I395" i="30" s="1"/>
  <c r="E396" i="30"/>
  <c r="F396" i="30" s="1"/>
  <c r="G396" i="30" s="1"/>
  <c r="H396" i="30" s="1"/>
  <c r="I396" i="30" s="1"/>
  <c r="E397" i="30"/>
  <c r="F397" i="30" s="1"/>
  <c r="G397" i="30" s="1"/>
  <c r="H397" i="30" s="1"/>
  <c r="I397" i="30" s="1"/>
  <c r="E398" i="30"/>
  <c r="F398" i="30" s="1"/>
  <c r="G398" i="30" s="1"/>
  <c r="H398" i="30" s="1"/>
  <c r="I398" i="30" s="1"/>
  <c r="E399" i="30"/>
  <c r="F399" i="30" s="1"/>
  <c r="G399" i="30" s="1"/>
  <c r="H399" i="30" s="1"/>
  <c r="I399" i="30" s="1"/>
  <c r="E400" i="30"/>
  <c r="F400" i="30" s="1"/>
  <c r="G400" i="30" s="1"/>
  <c r="H400" i="30" s="1"/>
  <c r="I400" i="30" s="1"/>
  <c r="E401" i="30"/>
  <c r="F401" i="30" s="1"/>
  <c r="G401" i="30" s="1"/>
  <c r="H401" i="30" s="1"/>
  <c r="I401" i="30" s="1"/>
  <c r="E402" i="30"/>
  <c r="F402" i="30" s="1"/>
  <c r="G402" i="30" s="1"/>
  <c r="H402" i="30" s="1"/>
  <c r="I402" i="30" s="1"/>
  <c r="E403" i="30"/>
  <c r="F403" i="30" s="1"/>
  <c r="G403" i="30" s="1"/>
  <c r="H403" i="30" s="1"/>
  <c r="I403" i="30" s="1"/>
  <c r="E404" i="30"/>
  <c r="F404" i="30" s="1"/>
  <c r="G404" i="30" s="1"/>
  <c r="H404" i="30" s="1"/>
  <c r="I404" i="30" s="1"/>
  <c r="E405" i="30"/>
  <c r="F405" i="30" s="1"/>
  <c r="G405" i="30" s="1"/>
  <c r="H405" i="30" s="1"/>
  <c r="I405" i="30" s="1"/>
  <c r="E406" i="30"/>
  <c r="F406" i="30" s="1"/>
  <c r="G406" i="30" s="1"/>
  <c r="H406" i="30" s="1"/>
  <c r="I406" i="30" s="1"/>
  <c r="E407" i="30"/>
  <c r="F407" i="30" s="1"/>
  <c r="G407" i="30" s="1"/>
  <c r="H407" i="30" s="1"/>
  <c r="I407" i="30" s="1"/>
  <c r="E408" i="30"/>
  <c r="F408" i="30" s="1"/>
  <c r="G408" i="30" s="1"/>
  <c r="H408" i="30" s="1"/>
  <c r="I408" i="30" s="1"/>
  <c r="E409" i="30"/>
  <c r="F409" i="30" s="1"/>
  <c r="G409" i="30" s="1"/>
  <c r="H409" i="30" s="1"/>
  <c r="I409" i="30" s="1"/>
  <c r="E410" i="30"/>
  <c r="F410" i="30" s="1"/>
  <c r="G410" i="30" s="1"/>
  <c r="H410" i="30" s="1"/>
  <c r="I410" i="30" s="1"/>
  <c r="E411" i="30"/>
  <c r="F411" i="30" s="1"/>
  <c r="G411" i="30" s="1"/>
  <c r="H411" i="30" s="1"/>
  <c r="I411" i="30" s="1"/>
  <c r="E412" i="30"/>
  <c r="F412" i="30" s="1"/>
  <c r="G412" i="30" s="1"/>
  <c r="H412" i="30" s="1"/>
  <c r="I412" i="30" s="1"/>
  <c r="E413" i="30"/>
  <c r="F413" i="30" s="1"/>
  <c r="G413" i="30" s="1"/>
  <c r="H413" i="30" s="1"/>
  <c r="I413" i="30" s="1"/>
  <c r="E414" i="30"/>
  <c r="F414" i="30" s="1"/>
  <c r="G414" i="30" s="1"/>
  <c r="H414" i="30" s="1"/>
  <c r="I414" i="30" s="1"/>
  <c r="E415" i="30"/>
  <c r="F415" i="30" s="1"/>
  <c r="G415" i="30" s="1"/>
  <c r="H415" i="30" s="1"/>
  <c r="I415" i="30" s="1"/>
  <c r="E416" i="30"/>
  <c r="F416" i="30" s="1"/>
  <c r="G416" i="30" s="1"/>
  <c r="H416" i="30" s="1"/>
  <c r="I416" i="30" s="1"/>
  <c r="E417" i="30"/>
  <c r="F417" i="30" s="1"/>
  <c r="G417" i="30" s="1"/>
  <c r="H417" i="30" s="1"/>
  <c r="I417" i="30" s="1"/>
  <c r="E418" i="30"/>
  <c r="F418" i="30" s="1"/>
  <c r="G418" i="30" s="1"/>
  <c r="H418" i="30" s="1"/>
  <c r="I418" i="30" s="1"/>
  <c r="E419" i="30"/>
  <c r="F419" i="30" s="1"/>
  <c r="G419" i="30" s="1"/>
  <c r="H419" i="30" s="1"/>
  <c r="I419" i="30" s="1"/>
  <c r="E420" i="30"/>
  <c r="F420" i="30" s="1"/>
  <c r="G420" i="30" s="1"/>
  <c r="H420" i="30" s="1"/>
  <c r="I420" i="30" s="1"/>
  <c r="E421" i="30"/>
  <c r="F421" i="30" s="1"/>
  <c r="G421" i="30" s="1"/>
  <c r="H421" i="30" s="1"/>
  <c r="I421" i="30" s="1"/>
  <c r="E422" i="30"/>
  <c r="F422" i="30" s="1"/>
  <c r="G422" i="30" s="1"/>
  <c r="H422" i="30" s="1"/>
  <c r="I422" i="30" s="1"/>
  <c r="E423" i="30"/>
  <c r="F423" i="30" s="1"/>
  <c r="G423" i="30" s="1"/>
  <c r="H423" i="30" s="1"/>
  <c r="I423" i="30" s="1"/>
  <c r="E424" i="30"/>
  <c r="F424" i="30" s="1"/>
  <c r="G424" i="30" s="1"/>
  <c r="H424" i="30" s="1"/>
  <c r="I424" i="30" s="1"/>
  <c r="E425" i="30"/>
  <c r="F425" i="30" s="1"/>
  <c r="G425" i="30" s="1"/>
  <c r="H425" i="30" s="1"/>
  <c r="I425" i="30" s="1"/>
  <c r="E426" i="30"/>
  <c r="F426" i="30" s="1"/>
  <c r="G426" i="30" s="1"/>
  <c r="H426" i="30" s="1"/>
  <c r="I426" i="30" s="1"/>
  <c r="E427" i="30"/>
  <c r="F427" i="30" s="1"/>
  <c r="G427" i="30" s="1"/>
  <c r="H427" i="30" s="1"/>
  <c r="I427" i="30" s="1"/>
  <c r="E428" i="30"/>
  <c r="F428" i="30" s="1"/>
  <c r="G428" i="30" s="1"/>
  <c r="H428" i="30" s="1"/>
  <c r="I428" i="30" s="1"/>
  <c r="E429" i="30"/>
  <c r="F429" i="30" s="1"/>
  <c r="G429" i="30" s="1"/>
  <c r="H429" i="30" s="1"/>
  <c r="I429" i="30" s="1"/>
  <c r="E430" i="30"/>
  <c r="F430" i="30" s="1"/>
  <c r="G430" i="30" s="1"/>
  <c r="H430" i="30" s="1"/>
  <c r="I430" i="30" s="1"/>
  <c r="E431" i="30"/>
  <c r="F431" i="30" s="1"/>
  <c r="G431" i="30" s="1"/>
  <c r="H431" i="30" s="1"/>
  <c r="I431" i="30" s="1"/>
  <c r="E432" i="30"/>
  <c r="F432" i="30" s="1"/>
  <c r="G432" i="30" s="1"/>
  <c r="H432" i="30" s="1"/>
  <c r="I432" i="30" s="1"/>
  <c r="E433" i="30"/>
  <c r="F433" i="30" s="1"/>
  <c r="G433" i="30" s="1"/>
  <c r="H433" i="30" s="1"/>
  <c r="I433" i="30" s="1"/>
  <c r="E434" i="30"/>
  <c r="F434" i="30" s="1"/>
  <c r="G434" i="30" s="1"/>
  <c r="H434" i="30" s="1"/>
  <c r="I434" i="30" s="1"/>
  <c r="E435" i="30"/>
  <c r="F435" i="30" s="1"/>
  <c r="G435" i="30" s="1"/>
  <c r="H435" i="30" s="1"/>
  <c r="I435" i="30" s="1"/>
  <c r="E436" i="30"/>
  <c r="F436" i="30" s="1"/>
  <c r="G436" i="30" s="1"/>
  <c r="H436" i="30" s="1"/>
  <c r="I436" i="30" s="1"/>
  <c r="E437" i="30"/>
  <c r="F437" i="30" s="1"/>
  <c r="G437" i="30" s="1"/>
  <c r="H437" i="30" s="1"/>
  <c r="I437" i="30" s="1"/>
  <c r="E438" i="30"/>
  <c r="F438" i="30" s="1"/>
  <c r="G438" i="30" s="1"/>
  <c r="H438" i="30" s="1"/>
  <c r="I438" i="30" s="1"/>
  <c r="E439" i="30"/>
  <c r="F439" i="30" s="1"/>
  <c r="G439" i="30" s="1"/>
  <c r="H439" i="30" s="1"/>
  <c r="I439" i="30" s="1"/>
  <c r="E440" i="30"/>
  <c r="F440" i="30" s="1"/>
  <c r="G440" i="30" s="1"/>
  <c r="H440" i="30" s="1"/>
  <c r="I440" i="30" s="1"/>
  <c r="E441" i="30"/>
  <c r="F441" i="30" s="1"/>
  <c r="G441" i="30" s="1"/>
  <c r="H441" i="30" s="1"/>
  <c r="I441" i="30" s="1"/>
  <c r="E442" i="30"/>
  <c r="F442" i="30" s="1"/>
  <c r="G442" i="30" s="1"/>
  <c r="H442" i="30" s="1"/>
  <c r="I442" i="30" s="1"/>
  <c r="E443" i="30"/>
  <c r="F443" i="30" s="1"/>
  <c r="G443" i="30" s="1"/>
  <c r="H443" i="30" s="1"/>
  <c r="I443" i="30" s="1"/>
  <c r="E444" i="30"/>
  <c r="F444" i="30" s="1"/>
  <c r="G444" i="30" s="1"/>
  <c r="H444" i="30" s="1"/>
  <c r="I444" i="30" s="1"/>
  <c r="E445" i="30"/>
  <c r="F445" i="30" s="1"/>
  <c r="G445" i="30" s="1"/>
  <c r="H445" i="30" s="1"/>
  <c r="I445" i="30" s="1"/>
  <c r="E446" i="30"/>
  <c r="F446" i="30" s="1"/>
  <c r="G446" i="30" s="1"/>
  <c r="H446" i="30" s="1"/>
  <c r="I446" i="30" s="1"/>
  <c r="E447" i="30"/>
  <c r="F447" i="30" s="1"/>
  <c r="G447" i="30" s="1"/>
  <c r="H447" i="30" s="1"/>
  <c r="I447" i="30" s="1"/>
  <c r="E448" i="30"/>
  <c r="F448" i="30" s="1"/>
  <c r="G448" i="30" s="1"/>
  <c r="H448" i="30" s="1"/>
  <c r="I448" i="30" s="1"/>
  <c r="E449" i="30"/>
  <c r="F449" i="30" s="1"/>
  <c r="G449" i="30" s="1"/>
  <c r="H449" i="30" s="1"/>
  <c r="I449" i="30" s="1"/>
  <c r="E450" i="30"/>
  <c r="F450" i="30" s="1"/>
  <c r="G450" i="30" s="1"/>
  <c r="H450" i="30" s="1"/>
  <c r="I450" i="30" s="1"/>
  <c r="E451" i="30"/>
  <c r="F451" i="30" s="1"/>
  <c r="G451" i="30" s="1"/>
  <c r="H451" i="30" s="1"/>
  <c r="I451" i="30" s="1"/>
  <c r="E452" i="30"/>
  <c r="F452" i="30" s="1"/>
  <c r="G452" i="30" s="1"/>
  <c r="H452" i="30" s="1"/>
  <c r="I452" i="30" s="1"/>
  <c r="E453" i="30"/>
  <c r="F453" i="30" s="1"/>
  <c r="G453" i="30" s="1"/>
  <c r="H453" i="30" s="1"/>
  <c r="I453" i="30" s="1"/>
  <c r="E454" i="30"/>
  <c r="F454" i="30" s="1"/>
  <c r="G454" i="30" s="1"/>
  <c r="H454" i="30" s="1"/>
  <c r="I454" i="30" s="1"/>
  <c r="E455" i="30"/>
  <c r="F455" i="30" s="1"/>
  <c r="G455" i="30" s="1"/>
  <c r="H455" i="30" s="1"/>
  <c r="I455" i="30" s="1"/>
  <c r="E456" i="30"/>
  <c r="F456" i="30" s="1"/>
  <c r="G456" i="30" s="1"/>
  <c r="H456" i="30" s="1"/>
  <c r="I456" i="30" s="1"/>
  <c r="E457" i="30"/>
  <c r="F457" i="30" s="1"/>
  <c r="G457" i="30" s="1"/>
  <c r="H457" i="30" s="1"/>
  <c r="I457" i="30" s="1"/>
  <c r="E458" i="30"/>
  <c r="F458" i="30" s="1"/>
  <c r="G458" i="30" s="1"/>
  <c r="H458" i="30" s="1"/>
  <c r="I458" i="30" s="1"/>
  <c r="E459" i="30"/>
  <c r="F459" i="30" s="1"/>
  <c r="G459" i="30" s="1"/>
  <c r="H459" i="30" s="1"/>
  <c r="I459" i="30" s="1"/>
  <c r="E460" i="30"/>
  <c r="F460" i="30" s="1"/>
  <c r="G460" i="30" s="1"/>
  <c r="H460" i="30" s="1"/>
  <c r="I460" i="30" s="1"/>
  <c r="E461" i="30"/>
  <c r="F461" i="30" s="1"/>
  <c r="G461" i="30" s="1"/>
  <c r="H461" i="30" s="1"/>
  <c r="I461" i="30" s="1"/>
  <c r="E462" i="30"/>
  <c r="F462" i="30" s="1"/>
  <c r="G462" i="30" s="1"/>
  <c r="H462" i="30" s="1"/>
  <c r="I462" i="30" s="1"/>
  <c r="E463" i="30"/>
  <c r="F463" i="30" s="1"/>
  <c r="G463" i="30" s="1"/>
  <c r="H463" i="30" s="1"/>
  <c r="I463" i="30" s="1"/>
  <c r="E464" i="30"/>
  <c r="F464" i="30" s="1"/>
  <c r="G464" i="30" s="1"/>
  <c r="H464" i="30" s="1"/>
  <c r="I464" i="30" s="1"/>
  <c r="E465" i="30"/>
  <c r="F465" i="30" s="1"/>
  <c r="G465" i="30" s="1"/>
  <c r="H465" i="30" s="1"/>
  <c r="I465" i="30" s="1"/>
  <c r="E466" i="30"/>
  <c r="F466" i="30" s="1"/>
  <c r="G466" i="30" s="1"/>
  <c r="H466" i="30" s="1"/>
  <c r="I466" i="30" s="1"/>
  <c r="E467" i="30"/>
  <c r="F467" i="30" s="1"/>
  <c r="G467" i="30" s="1"/>
  <c r="H467" i="30" s="1"/>
  <c r="I467" i="30" s="1"/>
  <c r="E468" i="30"/>
  <c r="F468" i="30" s="1"/>
  <c r="G468" i="30" s="1"/>
  <c r="H468" i="30" s="1"/>
  <c r="I468" i="30" s="1"/>
  <c r="E469" i="30"/>
  <c r="F469" i="30" s="1"/>
  <c r="G469" i="30" s="1"/>
  <c r="H469" i="30" s="1"/>
  <c r="I469" i="30" s="1"/>
  <c r="E470" i="30"/>
  <c r="F470" i="30" s="1"/>
  <c r="G470" i="30" s="1"/>
  <c r="H470" i="30" s="1"/>
  <c r="I470" i="30" s="1"/>
  <c r="E471" i="30"/>
  <c r="F471" i="30" s="1"/>
  <c r="G471" i="30" s="1"/>
  <c r="H471" i="30" s="1"/>
  <c r="I471" i="30" s="1"/>
  <c r="E472" i="30"/>
  <c r="F472" i="30" s="1"/>
  <c r="G472" i="30" s="1"/>
  <c r="H472" i="30" s="1"/>
  <c r="I472" i="30" s="1"/>
  <c r="E473" i="30"/>
  <c r="F473" i="30" s="1"/>
  <c r="G473" i="30" s="1"/>
  <c r="H473" i="30" s="1"/>
  <c r="I473" i="30" s="1"/>
  <c r="E474" i="30"/>
  <c r="F474" i="30" s="1"/>
  <c r="G474" i="30" s="1"/>
  <c r="H474" i="30" s="1"/>
  <c r="I474" i="30" s="1"/>
  <c r="E475" i="30"/>
  <c r="F475" i="30" s="1"/>
  <c r="G475" i="30" s="1"/>
  <c r="H475" i="30" s="1"/>
  <c r="I475" i="30" s="1"/>
  <c r="E476" i="30"/>
  <c r="F476" i="30" s="1"/>
  <c r="G476" i="30" s="1"/>
  <c r="H476" i="30" s="1"/>
  <c r="I476" i="30" s="1"/>
  <c r="E477" i="30"/>
  <c r="F477" i="30" s="1"/>
  <c r="G477" i="30" s="1"/>
  <c r="H477" i="30" s="1"/>
  <c r="I477" i="30" s="1"/>
  <c r="E478" i="30"/>
  <c r="F478" i="30" s="1"/>
  <c r="G478" i="30" s="1"/>
  <c r="H478" i="30" s="1"/>
  <c r="I478" i="30" s="1"/>
  <c r="E479" i="30"/>
  <c r="F479" i="30" s="1"/>
  <c r="G479" i="30" s="1"/>
  <c r="H479" i="30" s="1"/>
  <c r="I479" i="30" s="1"/>
  <c r="E480" i="30"/>
  <c r="F480" i="30" s="1"/>
  <c r="G480" i="30" s="1"/>
  <c r="H480" i="30" s="1"/>
  <c r="I480" i="30" s="1"/>
  <c r="E481" i="30"/>
  <c r="F481" i="30" s="1"/>
  <c r="G481" i="30" s="1"/>
  <c r="H481" i="30" s="1"/>
  <c r="I481" i="30" s="1"/>
  <c r="E482" i="30"/>
  <c r="F482" i="30" s="1"/>
  <c r="G482" i="30" s="1"/>
  <c r="H482" i="30" s="1"/>
  <c r="I482" i="30" s="1"/>
  <c r="E483" i="30"/>
  <c r="F483" i="30" s="1"/>
  <c r="G483" i="30" s="1"/>
  <c r="H483" i="30" s="1"/>
  <c r="I483" i="30" s="1"/>
  <c r="E484" i="30"/>
  <c r="F484" i="30" s="1"/>
  <c r="G484" i="30" s="1"/>
  <c r="H484" i="30" s="1"/>
  <c r="I484" i="30" s="1"/>
  <c r="E485" i="30"/>
  <c r="F485" i="30" s="1"/>
  <c r="G485" i="30" s="1"/>
  <c r="H485" i="30" s="1"/>
  <c r="I485" i="30" s="1"/>
  <c r="E486" i="30"/>
  <c r="F486" i="30" s="1"/>
  <c r="G486" i="30" s="1"/>
  <c r="H486" i="30" s="1"/>
  <c r="I486" i="30" s="1"/>
  <c r="E487" i="30"/>
  <c r="F487" i="30" s="1"/>
  <c r="G487" i="30" s="1"/>
  <c r="H487" i="30" s="1"/>
  <c r="I487" i="30" s="1"/>
  <c r="E488" i="30"/>
  <c r="F488" i="30" s="1"/>
  <c r="G488" i="30" s="1"/>
  <c r="H488" i="30" s="1"/>
  <c r="I488" i="30" s="1"/>
  <c r="E489" i="30"/>
  <c r="F489" i="30" s="1"/>
  <c r="G489" i="30" s="1"/>
  <c r="H489" i="30" s="1"/>
  <c r="I489" i="30" s="1"/>
  <c r="E490" i="30"/>
  <c r="F490" i="30" s="1"/>
  <c r="G490" i="30" s="1"/>
  <c r="H490" i="30" s="1"/>
  <c r="I490" i="30" s="1"/>
  <c r="E491" i="30"/>
  <c r="F491" i="30" s="1"/>
  <c r="G491" i="30" s="1"/>
  <c r="H491" i="30" s="1"/>
  <c r="I491" i="30" s="1"/>
  <c r="E492" i="30"/>
  <c r="F492" i="30" s="1"/>
  <c r="G492" i="30" s="1"/>
  <c r="H492" i="30" s="1"/>
  <c r="I492" i="30" s="1"/>
  <c r="E493" i="30"/>
  <c r="F493" i="30" s="1"/>
  <c r="G493" i="30" s="1"/>
  <c r="H493" i="30" s="1"/>
  <c r="I493" i="30" s="1"/>
  <c r="E494" i="30"/>
  <c r="F494" i="30" s="1"/>
  <c r="G494" i="30" s="1"/>
  <c r="H494" i="30" s="1"/>
  <c r="I494" i="30" s="1"/>
  <c r="E495" i="30"/>
  <c r="F495" i="30" s="1"/>
  <c r="G495" i="30" s="1"/>
  <c r="H495" i="30" s="1"/>
  <c r="I495" i="30" s="1"/>
  <c r="E496" i="30"/>
  <c r="F496" i="30" s="1"/>
  <c r="G496" i="30" s="1"/>
  <c r="H496" i="30" s="1"/>
  <c r="I496" i="30" s="1"/>
  <c r="E497" i="30"/>
  <c r="F497" i="30" s="1"/>
  <c r="G497" i="30" s="1"/>
  <c r="H497" i="30" s="1"/>
  <c r="I497" i="30" s="1"/>
  <c r="E498" i="30"/>
  <c r="F498" i="30" s="1"/>
  <c r="G498" i="30" s="1"/>
  <c r="H498" i="30" s="1"/>
  <c r="I498" i="30" s="1"/>
  <c r="E499" i="30"/>
  <c r="F499" i="30" s="1"/>
  <c r="G499" i="30" s="1"/>
  <c r="H499" i="30" s="1"/>
  <c r="I499" i="30" s="1"/>
  <c r="E500" i="30"/>
  <c r="F500" i="30" s="1"/>
  <c r="G500" i="30" s="1"/>
  <c r="H500" i="30" s="1"/>
  <c r="I500" i="30" s="1"/>
  <c r="E501" i="30"/>
  <c r="F501" i="30" s="1"/>
  <c r="G501" i="30" s="1"/>
  <c r="H501" i="30" s="1"/>
  <c r="I501" i="30" s="1"/>
  <c r="E502" i="30"/>
  <c r="F502" i="30" s="1"/>
  <c r="G502" i="30" s="1"/>
  <c r="H502" i="30" s="1"/>
  <c r="I502" i="30" s="1"/>
  <c r="E503" i="30"/>
  <c r="F503" i="30" s="1"/>
  <c r="G503" i="30" s="1"/>
  <c r="H503" i="30" s="1"/>
  <c r="I503" i="30" s="1"/>
  <c r="E504" i="30"/>
  <c r="F504" i="30" s="1"/>
  <c r="G504" i="30" s="1"/>
  <c r="H504" i="30" s="1"/>
  <c r="I504" i="30" s="1"/>
  <c r="E505" i="30"/>
  <c r="F505" i="30" s="1"/>
  <c r="G505" i="30" s="1"/>
  <c r="H505" i="30" s="1"/>
  <c r="I505" i="30" s="1"/>
  <c r="E506" i="30"/>
  <c r="F506" i="30" s="1"/>
  <c r="G506" i="30" s="1"/>
  <c r="H506" i="30" s="1"/>
  <c r="I506" i="30" s="1"/>
  <c r="E507" i="30"/>
  <c r="F507" i="30" s="1"/>
  <c r="G507" i="30" s="1"/>
  <c r="H507" i="30" s="1"/>
  <c r="I507" i="30" s="1"/>
  <c r="E508" i="30"/>
  <c r="F508" i="30" s="1"/>
  <c r="G508" i="30" s="1"/>
  <c r="H508" i="30" s="1"/>
  <c r="I508" i="30" s="1"/>
  <c r="E509" i="30"/>
  <c r="F509" i="30" s="1"/>
  <c r="G509" i="30" s="1"/>
  <c r="H509" i="30" s="1"/>
  <c r="I509" i="30" s="1"/>
  <c r="E510" i="30"/>
  <c r="F510" i="30" s="1"/>
  <c r="G510" i="30" s="1"/>
  <c r="H510" i="30" s="1"/>
  <c r="I510" i="30" s="1"/>
  <c r="E511" i="30"/>
  <c r="F511" i="30" s="1"/>
  <c r="G511" i="30" s="1"/>
  <c r="H511" i="30" s="1"/>
  <c r="I511" i="30" s="1"/>
  <c r="E512" i="30"/>
  <c r="F512" i="30" s="1"/>
  <c r="G512" i="30" s="1"/>
  <c r="H512" i="30" s="1"/>
  <c r="I512" i="30" s="1"/>
  <c r="E513" i="30"/>
  <c r="F513" i="30" s="1"/>
  <c r="G513" i="30" s="1"/>
  <c r="H513" i="30" s="1"/>
  <c r="I513" i="30" s="1"/>
  <c r="E514" i="30"/>
  <c r="F514" i="30" s="1"/>
  <c r="G514" i="30" s="1"/>
  <c r="H514" i="30" s="1"/>
  <c r="I514" i="30" s="1"/>
  <c r="E515" i="30"/>
  <c r="F515" i="30" s="1"/>
  <c r="G515" i="30" s="1"/>
  <c r="H515" i="30" s="1"/>
  <c r="I515" i="30" s="1"/>
  <c r="E516" i="30"/>
  <c r="F516" i="30" s="1"/>
  <c r="G516" i="30" s="1"/>
  <c r="H516" i="30" s="1"/>
  <c r="I516" i="30" s="1"/>
  <c r="E517" i="30"/>
  <c r="F517" i="30" s="1"/>
  <c r="G517" i="30" s="1"/>
  <c r="H517" i="30" s="1"/>
  <c r="I517" i="30" s="1"/>
  <c r="E518" i="30"/>
  <c r="F518" i="30" s="1"/>
  <c r="G518" i="30" s="1"/>
  <c r="H518" i="30" s="1"/>
  <c r="I518" i="30" s="1"/>
  <c r="E519" i="30"/>
  <c r="F519" i="30" s="1"/>
  <c r="G519" i="30" s="1"/>
  <c r="H519" i="30" s="1"/>
  <c r="I519" i="30" s="1"/>
  <c r="E520" i="30"/>
  <c r="F520" i="30" s="1"/>
  <c r="G520" i="30" s="1"/>
  <c r="H520" i="30" s="1"/>
  <c r="I520" i="30" s="1"/>
  <c r="E521" i="30"/>
  <c r="F521" i="30" s="1"/>
  <c r="G521" i="30" s="1"/>
  <c r="H521" i="30" s="1"/>
  <c r="I521" i="30" s="1"/>
  <c r="E522" i="30"/>
  <c r="F522" i="30" s="1"/>
  <c r="G522" i="30" s="1"/>
  <c r="H522" i="30" s="1"/>
  <c r="I522" i="30" s="1"/>
  <c r="E523" i="30"/>
  <c r="F523" i="30" s="1"/>
  <c r="G523" i="30" s="1"/>
  <c r="H523" i="30" s="1"/>
  <c r="I523" i="30" s="1"/>
  <c r="E524" i="30"/>
  <c r="F524" i="30" s="1"/>
  <c r="G524" i="30" s="1"/>
  <c r="H524" i="30" s="1"/>
  <c r="I524" i="30" s="1"/>
  <c r="E525" i="30"/>
  <c r="F525" i="30" s="1"/>
  <c r="G525" i="30" s="1"/>
  <c r="H525" i="30" s="1"/>
  <c r="I525" i="30" s="1"/>
  <c r="E526" i="30"/>
  <c r="F526" i="30" s="1"/>
  <c r="G526" i="30" s="1"/>
  <c r="H526" i="30" s="1"/>
  <c r="I526" i="30" s="1"/>
  <c r="E527" i="30"/>
  <c r="F527" i="30" s="1"/>
  <c r="G527" i="30" s="1"/>
  <c r="H527" i="30" s="1"/>
  <c r="I527" i="30" s="1"/>
  <c r="E528" i="30"/>
  <c r="F528" i="30" s="1"/>
  <c r="G528" i="30" s="1"/>
  <c r="H528" i="30" s="1"/>
  <c r="I528" i="30" s="1"/>
  <c r="E529" i="30"/>
  <c r="F529" i="30" s="1"/>
  <c r="G529" i="30" s="1"/>
  <c r="H529" i="30" s="1"/>
  <c r="I529" i="30" s="1"/>
  <c r="E530" i="30"/>
  <c r="F530" i="30" s="1"/>
  <c r="G530" i="30" s="1"/>
  <c r="H530" i="30" s="1"/>
  <c r="I530" i="30" s="1"/>
  <c r="E531" i="30"/>
  <c r="F531" i="30" s="1"/>
  <c r="G531" i="30" s="1"/>
  <c r="H531" i="30" s="1"/>
  <c r="I531" i="30" s="1"/>
  <c r="E532" i="30"/>
  <c r="F532" i="30" s="1"/>
  <c r="G532" i="30" s="1"/>
  <c r="H532" i="30" s="1"/>
  <c r="I532" i="30" s="1"/>
  <c r="E533" i="30"/>
  <c r="F533" i="30" s="1"/>
  <c r="G533" i="30" s="1"/>
  <c r="H533" i="30" s="1"/>
  <c r="I533" i="30" s="1"/>
  <c r="E534" i="30"/>
  <c r="F534" i="30" s="1"/>
  <c r="G534" i="30" s="1"/>
  <c r="H534" i="30" s="1"/>
  <c r="I534" i="30" s="1"/>
  <c r="E535" i="30"/>
  <c r="F535" i="30" s="1"/>
  <c r="G535" i="30" s="1"/>
  <c r="H535" i="30" s="1"/>
  <c r="I535" i="30" s="1"/>
  <c r="E536" i="30"/>
  <c r="F536" i="30" s="1"/>
  <c r="G536" i="30" s="1"/>
  <c r="H536" i="30" s="1"/>
  <c r="I536" i="30" s="1"/>
  <c r="E537" i="30"/>
  <c r="F537" i="30" s="1"/>
  <c r="G537" i="30" s="1"/>
  <c r="H537" i="30" s="1"/>
  <c r="I537" i="30" s="1"/>
  <c r="E538" i="30"/>
  <c r="F538" i="30" s="1"/>
  <c r="G538" i="30" s="1"/>
  <c r="H538" i="30" s="1"/>
  <c r="I538" i="30" s="1"/>
  <c r="E539" i="30"/>
  <c r="F539" i="30" s="1"/>
  <c r="G539" i="30" s="1"/>
  <c r="H539" i="30" s="1"/>
  <c r="I539" i="30" s="1"/>
  <c r="E540" i="30"/>
  <c r="F540" i="30" s="1"/>
  <c r="G540" i="30" s="1"/>
  <c r="H540" i="30" s="1"/>
  <c r="I540" i="30" s="1"/>
  <c r="E541" i="30"/>
  <c r="F541" i="30" s="1"/>
  <c r="G541" i="30" s="1"/>
  <c r="H541" i="30" s="1"/>
  <c r="I541" i="30" s="1"/>
  <c r="E542" i="30"/>
  <c r="F542" i="30" s="1"/>
  <c r="G542" i="30" s="1"/>
  <c r="H542" i="30" s="1"/>
  <c r="I542" i="30" s="1"/>
  <c r="E543" i="30"/>
  <c r="F543" i="30" s="1"/>
  <c r="G543" i="30" s="1"/>
  <c r="H543" i="30" s="1"/>
  <c r="I543" i="30" s="1"/>
  <c r="E544" i="30"/>
  <c r="F544" i="30" s="1"/>
  <c r="G544" i="30" s="1"/>
  <c r="H544" i="30" s="1"/>
  <c r="I544" i="30" s="1"/>
  <c r="E545" i="30"/>
  <c r="F545" i="30" s="1"/>
  <c r="G545" i="30" s="1"/>
  <c r="H545" i="30" s="1"/>
  <c r="I545" i="30" s="1"/>
  <c r="E546" i="30"/>
  <c r="F546" i="30" s="1"/>
  <c r="G546" i="30" s="1"/>
  <c r="H546" i="30" s="1"/>
  <c r="I546" i="30" s="1"/>
  <c r="E547" i="30"/>
  <c r="F547" i="30" s="1"/>
  <c r="G547" i="30" s="1"/>
  <c r="H547" i="30" s="1"/>
  <c r="I547" i="30" s="1"/>
  <c r="E548" i="30"/>
  <c r="F548" i="30" s="1"/>
  <c r="G548" i="30" s="1"/>
  <c r="H548" i="30" s="1"/>
  <c r="I548" i="30" s="1"/>
  <c r="E549" i="30"/>
  <c r="F549" i="30" s="1"/>
  <c r="G549" i="30" s="1"/>
  <c r="H549" i="30" s="1"/>
  <c r="I549" i="30" s="1"/>
  <c r="E550" i="30"/>
  <c r="F550" i="30" s="1"/>
  <c r="G550" i="30" s="1"/>
  <c r="H550" i="30" s="1"/>
  <c r="I550" i="30" s="1"/>
  <c r="E551" i="30"/>
  <c r="F551" i="30" s="1"/>
  <c r="G551" i="30" s="1"/>
  <c r="H551" i="30" s="1"/>
  <c r="I551" i="30" s="1"/>
  <c r="E552" i="30"/>
  <c r="F552" i="30" s="1"/>
  <c r="G552" i="30" s="1"/>
  <c r="H552" i="30" s="1"/>
  <c r="I552" i="30" s="1"/>
  <c r="E553" i="30"/>
  <c r="F553" i="30" s="1"/>
  <c r="G553" i="30" s="1"/>
  <c r="H553" i="30" s="1"/>
  <c r="I553" i="30" s="1"/>
  <c r="E554" i="30"/>
  <c r="F554" i="30" s="1"/>
  <c r="G554" i="30" s="1"/>
  <c r="H554" i="30" s="1"/>
  <c r="I554" i="30" s="1"/>
  <c r="E555" i="30"/>
  <c r="F555" i="30" s="1"/>
  <c r="G555" i="30" s="1"/>
  <c r="H555" i="30" s="1"/>
  <c r="I555" i="30" s="1"/>
  <c r="E556" i="30"/>
  <c r="F556" i="30" s="1"/>
  <c r="G556" i="30" s="1"/>
  <c r="H556" i="30" s="1"/>
  <c r="I556" i="30" s="1"/>
  <c r="E557" i="30"/>
  <c r="F557" i="30" s="1"/>
  <c r="G557" i="30" s="1"/>
  <c r="H557" i="30" s="1"/>
  <c r="I557" i="30" s="1"/>
  <c r="E558" i="30"/>
  <c r="F558" i="30" s="1"/>
  <c r="G558" i="30" s="1"/>
  <c r="H558" i="30" s="1"/>
  <c r="I558" i="30" s="1"/>
  <c r="E559" i="30"/>
  <c r="F559" i="30" s="1"/>
  <c r="G559" i="30" s="1"/>
  <c r="H559" i="30" s="1"/>
  <c r="I559" i="30" s="1"/>
  <c r="E560" i="30"/>
  <c r="F560" i="30" s="1"/>
  <c r="G560" i="30" s="1"/>
  <c r="H560" i="30" s="1"/>
  <c r="I560" i="30" s="1"/>
  <c r="E561" i="30"/>
  <c r="F561" i="30" s="1"/>
  <c r="G561" i="30" s="1"/>
  <c r="H561" i="30" s="1"/>
  <c r="I561" i="30" s="1"/>
  <c r="E562" i="30"/>
  <c r="F562" i="30" s="1"/>
  <c r="G562" i="30" s="1"/>
  <c r="H562" i="30" s="1"/>
  <c r="I562" i="30" s="1"/>
  <c r="E563" i="30"/>
  <c r="F563" i="30" s="1"/>
  <c r="G563" i="30" s="1"/>
  <c r="H563" i="30" s="1"/>
  <c r="I563" i="30" s="1"/>
  <c r="E564" i="30"/>
  <c r="F564" i="30" s="1"/>
  <c r="G564" i="30" s="1"/>
  <c r="H564" i="30" s="1"/>
  <c r="I564" i="30" s="1"/>
  <c r="E565" i="30"/>
  <c r="F565" i="30" s="1"/>
  <c r="G565" i="30" s="1"/>
  <c r="H565" i="30" s="1"/>
  <c r="I565" i="30" s="1"/>
  <c r="E566" i="30"/>
  <c r="F566" i="30" s="1"/>
  <c r="G566" i="30" s="1"/>
  <c r="H566" i="30" s="1"/>
  <c r="I566" i="30" s="1"/>
  <c r="E567" i="30"/>
  <c r="F567" i="30" s="1"/>
  <c r="G567" i="30" s="1"/>
  <c r="H567" i="30" s="1"/>
  <c r="I567" i="30" s="1"/>
  <c r="E568" i="30"/>
  <c r="F568" i="30" s="1"/>
  <c r="G568" i="30" s="1"/>
  <c r="H568" i="30" s="1"/>
  <c r="I568" i="30" s="1"/>
  <c r="E569" i="30"/>
  <c r="F569" i="30" s="1"/>
  <c r="G569" i="30" s="1"/>
  <c r="H569" i="30" s="1"/>
  <c r="I569" i="30" s="1"/>
  <c r="E570" i="30"/>
  <c r="F570" i="30" s="1"/>
  <c r="G570" i="30" s="1"/>
  <c r="H570" i="30" s="1"/>
  <c r="I570" i="30" s="1"/>
  <c r="E571" i="30"/>
  <c r="F571" i="30" s="1"/>
  <c r="G571" i="30" s="1"/>
  <c r="H571" i="30" s="1"/>
  <c r="I571" i="30" s="1"/>
  <c r="E572" i="30"/>
  <c r="F572" i="30" s="1"/>
  <c r="G572" i="30" s="1"/>
  <c r="H572" i="30" s="1"/>
  <c r="I572" i="30" s="1"/>
  <c r="E573" i="30"/>
  <c r="F573" i="30" s="1"/>
  <c r="G573" i="30" s="1"/>
  <c r="H573" i="30" s="1"/>
  <c r="I573" i="30" s="1"/>
  <c r="E574" i="30"/>
  <c r="F574" i="30" s="1"/>
  <c r="G574" i="30" s="1"/>
  <c r="H574" i="30" s="1"/>
  <c r="I574" i="30" s="1"/>
  <c r="E575" i="30"/>
  <c r="F575" i="30" s="1"/>
  <c r="G575" i="30" s="1"/>
  <c r="H575" i="30" s="1"/>
  <c r="I575" i="30" s="1"/>
  <c r="E576" i="30"/>
  <c r="F576" i="30" s="1"/>
  <c r="G576" i="30" s="1"/>
  <c r="H576" i="30" s="1"/>
  <c r="I576" i="30" s="1"/>
  <c r="E577" i="30"/>
  <c r="F577" i="30" s="1"/>
  <c r="G577" i="30" s="1"/>
  <c r="H577" i="30" s="1"/>
  <c r="I577" i="30" s="1"/>
  <c r="E578" i="30"/>
  <c r="F578" i="30" s="1"/>
  <c r="G578" i="30" s="1"/>
  <c r="H578" i="30" s="1"/>
  <c r="I578" i="30" s="1"/>
  <c r="E579" i="30"/>
  <c r="F579" i="30" s="1"/>
  <c r="G579" i="30" s="1"/>
  <c r="H579" i="30" s="1"/>
  <c r="I579" i="30" s="1"/>
  <c r="E580" i="30"/>
  <c r="F580" i="30" s="1"/>
  <c r="G580" i="30" s="1"/>
  <c r="H580" i="30" s="1"/>
  <c r="I580" i="30" s="1"/>
  <c r="E581" i="30"/>
  <c r="F581" i="30" s="1"/>
  <c r="G581" i="30" s="1"/>
  <c r="H581" i="30" s="1"/>
  <c r="I581" i="30" s="1"/>
  <c r="E582" i="30"/>
  <c r="F582" i="30" s="1"/>
  <c r="G582" i="30" s="1"/>
  <c r="H582" i="30" s="1"/>
  <c r="I582" i="30" s="1"/>
  <c r="E583" i="30"/>
  <c r="F583" i="30" s="1"/>
  <c r="G583" i="30" s="1"/>
  <c r="H583" i="30" s="1"/>
  <c r="I583" i="30" s="1"/>
  <c r="E584" i="30"/>
  <c r="F584" i="30" s="1"/>
  <c r="G584" i="30" s="1"/>
  <c r="H584" i="30" s="1"/>
  <c r="I584" i="30" s="1"/>
  <c r="E585" i="30"/>
  <c r="F585" i="30" s="1"/>
  <c r="G585" i="30" s="1"/>
  <c r="H585" i="30" s="1"/>
  <c r="I585" i="30" s="1"/>
  <c r="E586" i="30"/>
  <c r="F586" i="30" s="1"/>
  <c r="G586" i="30" s="1"/>
  <c r="H586" i="30" s="1"/>
  <c r="I586" i="30" s="1"/>
  <c r="E587" i="30"/>
  <c r="F587" i="30" s="1"/>
  <c r="G587" i="30" s="1"/>
  <c r="H587" i="30" s="1"/>
  <c r="I587" i="30" s="1"/>
  <c r="E588" i="30"/>
  <c r="F588" i="30" s="1"/>
  <c r="G588" i="30" s="1"/>
  <c r="H588" i="30" s="1"/>
  <c r="I588" i="30" s="1"/>
  <c r="E589" i="30"/>
  <c r="F589" i="30" s="1"/>
  <c r="G589" i="30" s="1"/>
  <c r="H589" i="30" s="1"/>
  <c r="I589" i="30" s="1"/>
  <c r="E590" i="30"/>
  <c r="F590" i="30" s="1"/>
  <c r="G590" i="30" s="1"/>
  <c r="H590" i="30" s="1"/>
  <c r="I590" i="30" s="1"/>
  <c r="E591" i="30"/>
  <c r="F591" i="30" s="1"/>
  <c r="G591" i="30" s="1"/>
  <c r="H591" i="30" s="1"/>
  <c r="I591" i="30" s="1"/>
  <c r="E592" i="30"/>
  <c r="F592" i="30" s="1"/>
  <c r="G592" i="30" s="1"/>
  <c r="H592" i="30" s="1"/>
  <c r="I592" i="30" s="1"/>
  <c r="E593" i="30"/>
  <c r="F593" i="30" s="1"/>
  <c r="G593" i="30" s="1"/>
  <c r="H593" i="30" s="1"/>
  <c r="I593" i="30" s="1"/>
  <c r="E594" i="30"/>
  <c r="F594" i="30" s="1"/>
  <c r="G594" i="30" s="1"/>
  <c r="H594" i="30" s="1"/>
  <c r="I594" i="30" s="1"/>
  <c r="E595" i="30"/>
  <c r="F595" i="30" s="1"/>
  <c r="G595" i="30" s="1"/>
  <c r="H595" i="30" s="1"/>
  <c r="I595" i="30" s="1"/>
  <c r="E596" i="30"/>
  <c r="F596" i="30" s="1"/>
  <c r="G596" i="30" s="1"/>
  <c r="H596" i="30" s="1"/>
  <c r="I596" i="30" s="1"/>
  <c r="E597" i="30"/>
  <c r="F597" i="30" s="1"/>
  <c r="G597" i="30" s="1"/>
  <c r="H597" i="30" s="1"/>
  <c r="I597" i="30" s="1"/>
  <c r="E598" i="30"/>
  <c r="F598" i="30" s="1"/>
  <c r="G598" i="30" s="1"/>
  <c r="H598" i="30" s="1"/>
  <c r="I598" i="30" s="1"/>
  <c r="E599" i="30"/>
  <c r="F599" i="30" s="1"/>
  <c r="G599" i="30" s="1"/>
  <c r="H599" i="30" s="1"/>
  <c r="I599" i="30" s="1"/>
  <c r="E600" i="30"/>
  <c r="F600" i="30" s="1"/>
  <c r="G600" i="30" s="1"/>
  <c r="H600" i="30" s="1"/>
  <c r="I600" i="30" s="1"/>
  <c r="E601" i="30"/>
  <c r="F601" i="30" s="1"/>
  <c r="G601" i="30" s="1"/>
  <c r="H601" i="30" s="1"/>
  <c r="I601" i="30" s="1"/>
  <c r="E602" i="30"/>
  <c r="F602" i="30" s="1"/>
  <c r="G602" i="30" s="1"/>
  <c r="H602" i="30" s="1"/>
  <c r="I602" i="30" s="1"/>
  <c r="E603" i="30"/>
  <c r="F603" i="30" s="1"/>
  <c r="G603" i="30" s="1"/>
  <c r="H603" i="30" s="1"/>
  <c r="I603" i="30" s="1"/>
  <c r="E604" i="30"/>
  <c r="F604" i="30" s="1"/>
  <c r="G604" i="30" s="1"/>
  <c r="H604" i="30" s="1"/>
  <c r="I604" i="30" s="1"/>
  <c r="E605" i="30"/>
  <c r="F605" i="30" s="1"/>
  <c r="G605" i="30" s="1"/>
  <c r="H605" i="30" s="1"/>
  <c r="I605" i="30" s="1"/>
  <c r="E606" i="30"/>
  <c r="F606" i="30" s="1"/>
  <c r="G606" i="30" s="1"/>
  <c r="H606" i="30" s="1"/>
  <c r="I606" i="30" s="1"/>
  <c r="E607" i="30"/>
  <c r="F607" i="30" s="1"/>
  <c r="G607" i="30" s="1"/>
  <c r="H607" i="30" s="1"/>
  <c r="I607" i="30" s="1"/>
  <c r="E608" i="30"/>
  <c r="F608" i="30" s="1"/>
  <c r="G608" i="30" s="1"/>
  <c r="H608" i="30" s="1"/>
  <c r="I608" i="30" s="1"/>
  <c r="E609" i="30"/>
  <c r="F609" i="30" s="1"/>
  <c r="G609" i="30" s="1"/>
  <c r="H609" i="30" s="1"/>
  <c r="I609" i="30" s="1"/>
  <c r="E610" i="30"/>
  <c r="F610" i="30" s="1"/>
  <c r="G610" i="30" s="1"/>
  <c r="H610" i="30" s="1"/>
  <c r="I610" i="30" s="1"/>
  <c r="E611" i="30"/>
  <c r="F611" i="30" s="1"/>
  <c r="G611" i="30" s="1"/>
  <c r="H611" i="30" s="1"/>
  <c r="I611" i="30" s="1"/>
  <c r="E612" i="30"/>
  <c r="F612" i="30" s="1"/>
  <c r="G612" i="30" s="1"/>
  <c r="H612" i="30" s="1"/>
  <c r="I612" i="30" s="1"/>
  <c r="E613" i="30"/>
  <c r="F613" i="30" s="1"/>
  <c r="G613" i="30" s="1"/>
  <c r="H613" i="30" s="1"/>
  <c r="I613" i="30" s="1"/>
  <c r="E614" i="30"/>
  <c r="F614" i="30" s="1"/>
  <c r="G614" i="30" s="1"/>
  <c r="H614" i="30" s="1"/>
  <c r="I614" i="30" s="1"/>
  <c r="E615" i="30"/>
  <c r="F615" i="30" s="1"/>
  <c r="G615" i="30" s="1"/>
  <c r="H615" i="30" s="1"/>
  <c r="I615" i="30" s="1"/>
  <c r="E616" i="30"/>
  <c r="F616" i="30" s="1"/>
  <c r="G616" i="30" s="1"/>
  <c r="H616" i="30" s="1"/>
  <c r="I616" i="30" s="1"/>
  <c r="E617" i="30"/>
  <c r="F617" i="30" s="1"/>
  <c r="G617" i="30" s="1"/>
  <c r="H617" i="30" s="1"/>
  <c r="I617" i="30" s="1"/>
  <c r="E618" i="30"/>
  <c r="F618" i="30" s="1"/>
  <c r="G618" i="30" s="1"/>
  <c r="H618" i="30" s="1"/>
  <c r="I618" i="30" s="1"/>
  <c r="E619" i="30"/>
  <c r="F619" i="30" s="1"/>
  <c r="G619" i="30" s="1"/>
  <c r="H619" i="30" s="1"/>
  <c r="I619" i="30" s="1"/>
  <c r="E620" i="30"/>
  <c r="F620" i="30" s="1"/>
  <c r="G620" i="30" s="1"/>
  <c r="H620" i="30" s="1"/>
  <c r="I620" i="30" s="1"/>
  <c r="E621" i="30"/>
  <c r="F621" i="30" s="1"/>
  <c r="G621" i="30" s="1"/>
  <c r="H621" i="30" s="1"/>
  <c r="I621" i="30" s="1"/>
  <c r="E622" i="30"/>
  <c r="F622" i="30" s="1"/>
  <c r="G622" i="30" s="1"/>
  <c r="H622" i="30" s="1"/>
  <c r="I622" i="30" s="1"/>
  <c r="E623" i="30"/>
  <c r="F623" i="30" s="1"/>
  <c r="G623" i="30" s="1"/>
  <c r="H623" i="30" s="1"/>
  <c r="I623" i="30" s="1"/>
  <c r="E624" i="30"/>
  <c r="F624" i="30" s="1"/>
  <c r="G624" i="30" s="1"/>
  <c r="H624" i="30" s="1"/>
  <c r="I624" i="30" s="1"/>
  <c r="E625" i="30"/>
  <c r="F625" i="30" s="1"/>
  <c r="G625" i="30" s="1"/>
  <c r="H625" i="30" s="1"/>
  <c r="I625" i="30" s="1"/>
  <c r="E626" i="30"/>
  <c r="F626" i="30" s="1"/>
  <c r="G626" i="30" s="1"/>
  <c r="H626" i="30" s="1"/>
  <c r="I626" i="30" s="1"/>
  <c r="E627" i="30"/>
  <c r="F627" i="30" s="1"/>
  <c r="G627" i="30" s="1"/>
  <c r="H627" i="30" s="1"/>
  <c r="I627" i="30" s="1"/>
  <c r="E628" i="30"/>
  <c r="F628" i="30" s="1"/>
  <c r="G628" i="30" s="1"/>
  <c r="H628" i="30" s="1"/>
  <c r="I628" i="30" s="1"/>
  <c r="E629" i="30"/>
  <c r="F629" i="30" s="1"/>
  <c r="G629" i="30" s="1"/>
  <c r="H629" i="30" s="1"/>
  <c r="I629" i="30" s="1"/>
  <c r="E630" i="30"/>
  <c r="F630" i="30" s="1"/>
  <c r="G630" i="30" s="1"/>
  <c r="H630" i="30" s="1"/>
  <c r="I630" i="30" s="1"/>
  <c r="E631" i="30"/>
  <c r="F631" i="30" s="1"/>
  <c r="G631" i="30" s="1"/>
  <c r="H631" i="30" s="1"/>
  <c r="I631" i="30" s="1"/>
  <c r="E632" i="30"/>
  <c r="F632" i="30" s="1"/>
  <c r="G632" i="30" s="1"/>
  <c r="H632" i="30" s="1"/>
  <c r="I632" i="30" s="1"/>
  <c r="E633" i="30"/>
  <c r="F633" i="30" s="1"/>
  <c r="G633" i="30" s="1"/>
  <c r="H633" i="30" s="1"/>
  <c r="I633" i="30" s="1"/>
  <c r="E634" i="30"/>
  <c r="F634" i="30" s="1"/>
  <c r="G634" i="30" s="1"/>
  <c r="H634" i="30" s="1"/>
  <c r="I634" i="30" s="1"/>
  <c r="E635" i="30"/>
  <c r="F635" i="30" s="1"/>
  <c r="G635" i="30" s="1"/>
  <c r="H635" i="30" s="1"/>
  <c r="I635" i="30" s="1"/>
  <c r="E636" i="30"/>
  <c r="F636" i="30" s="1"/>
  <c r="G636" i="30" s="1"/>
  <c r="H636" i="30" s="1"/>
  <c r="I636" i="30" s="1"/>
  <c r="E637" i="30"/>
  <c r="F637" i="30" s="1"/>
  <c r="G637" i="30" s="1"/>
  <c r="H637" i="30" s="1"/>
  <c r="I637" i="30" s="1"/>
  <c r="E638" i="30"/>
  <c r="F638" i="30" s="1"/>
  <c r="G638" i="30" s="1"/>
  <c r="H638" i="30" s="1"/>
  <c r="I638" i="30" s="1"/>
  <c r="E639" i="30"/>
  <c r="F639" i="30" s="1"/>
  <c r="G639" i="30" s="1"/>
  <c r="H639" i="30" s="1"/>
  <c r="I639" i="30" s="1"/>
  <c r="E640" i="30"/>
  <c r="F640" i="30" s="1"/>
  <c r="G640" i="30" s="1"/>
  <c r="H640" i="30" s="1"/>
  <c r="I640" i="30" s="1"/>
  <c r="E641" i="30"/>
  <c r="F641" i="30" s="1"/>
  <c r="G641" i="30" s="1"/>
  <c r="H641" i="30" s="1"/>
  <c r="I641" i="30" s="1"/>
  <c r="E642" i="30"/>
  <c r="F642" i="30" s="1"/>
  <c r="G642" i="30" s="1"/>
  <c r="H642" i="30" s="1"/>
  <c r="I642" i="30" s="1"/>
  <c r="E643" i="30"/>
  <c r="F643" i="30" s="1"/>
  <c r="G643" i="30" s="1"/>
  <c r="H643" i="30" s="1"/>
  <c r="I643" i="30" s="1"/>
  <c r="E644" i="30"/>
  <c r="F644" i="30" s="1"/>
  <c r="G644" i="30" s="1"/>
  <c r="H644" i="30" s="1"/>
  <c r="I644" i="30" s="1"/>
  <c r="E645" i="30"/>
  <c r="F645" i="30" s="1"/>
  <c r="G645" i="30" s="1"/>
  <c r="H645" i="30" s="1"/>
  <c r="I645" i="30" s="1"/>
  <c r="E646" i="30"/>
  <c r="F646" i="30" s="1"/>
  <c r="G646" i="30" s="1"/>
  <c r="H646" i="30" s="1"/>
  <c r="I646" i="30" s="1"/>
  <c r="E647" i="30"/>
  <c r="F647" i="30" s="1"/>
  <c r="G647" i="30" s="1"/>
  <c r="H647" i="30" s="1"/>
  <c r="I647" i="30" s="1"/>
  <c r="E648" i="30"/>
  <c r="F648" i="30" s="1"/>
  <c r="G648" i="30" s="1"/>
  <c r="H648" i="30" s="1"/>
  <c r="I648" i="30" s="1"/>
  <c r="E649" i="30"/>
  <c r="F649" i="30" s="1"/>
  <c r="G649" i="30" s="1"/>
  <c r="H649" i="30" s="1"/>
  <c r="I649" i="30" s="1"/>
  <c r="E650" i="30"/>
  <c r="F650" i="30" s="1"/>
  <c r="G650" i="30" s="1"/>
  <c r="H650" i="30" s="1"/>
  <c r="I650" i="30" s="1"/>
  <c r="E651" i="30"/>
  <c r="F651" i="30" s="1"/>
  <c r="G651" i="30" s="1"/>
  <c r="H651" i="30" s="1"/>
  <c r="I651" i="30" s="1"/>
  <c r="E652" i="30"/>
  <c r="F652" i="30" s="1"/>
  <c r="G652" i="30" s="1"/>
  <c r="H652" i="30" s="1"/>
  <c r="I652" i="30" s="1"/>
  <c r="E653" i="30"/>
  <c r="F653" i="30" s="1"/>
  <c r="G653" i="30" s="1"/>
  <c r="H653" i="30" s="1"/>
  <c r="I653" i="30" s="1"/>
  <c r="E654" i="30"/>
  <c r="F654" i="30" s="1"/>
  <c r="G654" i="30" s="1"/>
  <c r="H654" i="30" s="1"/>
  <c r="I654" i="30" s="1"/>
  <c r="E655" i="30"/>
  <c r="F655" i="30" s="1"/>
  <c r="G655" i="30" s="1"/>
  <c r="H655" i="30" s="1"/>
  <c r="I655" i="30" s="1"/>
  <c r="E656" i="30"/>
  <c r="F656" i="30" s="1"/>
  <c r="G656" i="30" s="1"/>
  <c r="H656" i="30" s="1"/>
  <c r="I656" i="30" s="1"/>
  <c r="E657" i="30"/>
  <c r="F657" i="30" s="1"/>
  <c r="G657" i="30" s="1"/>
  <c r="H657" i="30" s="1"/>
  <c r="I657" i="30" s="1"/>
  <c r="E658" i="30"/>
  <c r="F658" i="30" s="1"/>
  <c r="G658" i="30" s="1"/>
  <c r="H658" i="30" s="1"/>
  <c r="I658" i="30" s="1"/>
  <c r="E659" i="30"/>
  <c r="F659" i="30" s="1"/>
  <c r="G659" i="30" s="1"/>
  <c r="H659" i="30" s="1"/>
  <c r="I659" i="30" s="1"/>
  <c r="E660" i="30"/>
  <c r="F660" i="30" s="1"/>
  <c r="G660" i="30" s="1"/>
  <c r="H660" i="30" s="1"/>
  <c r="I660" i="30" s="1"/>
  <c r="E661" i="30"/>
  <c r="F661" i="30" s="1"/>
  <c r="G661" i="30" s="1"/>
  <c r="H661" i="30" s="1"/>
  <c r="I661" i="30" s="1"/>
  <c r="E662" i="30"/>
  <c r="F662" i="30" s="1"/>
  <c r="G662" i="30" s="1"/>
  <c r="H662" i="30" s="1"/>
  <c r="I662" i="30" s="1"/>
  <c r="E663" i="30"/>
  <c r="F663" i="30" s="1"/>
  <c r="G663" i="30" s="1"/>
  <c r="H663" i="30" s="1"/>
  <c r="I663" i="30" s="1"/>
  <c r="E664" i="30"/>
  <c r="F664" i="30" s="1"/>
  <c r="G664" i="30" s="1"/>
  <c r="H664" i="30" s="1"/>
  <c r="I664" i="30" s="1"/>
  <c r="E665" i="30"/>
  <c r="F665" i="30" s="1"/>
  <c r="G665" i="30" s="1"/>
  <c r="H665" i="30" s="1"/>
  <c r="I665" i="30" s="1"/>
  <c r="E666" i="30"/>
  <c r="F666" i="30" s="1"/>
  <c r="G666" i="30" s="1"/>
  <c r="H666" i="30" s="1"/>
  <c r="I666" i="30" s="1"/>
  <c r="E667" i="30"/>
  <c r="F667" i="30" s="1"/>
  <c r="G667" i="30" s="1"/>
  <c r="H667" i="30" s="1"/>
  <c r="I667" i="30" s="1"/>
  <c r="E668" i="30"/>
  <c r="F668" i="30" s="1"/>
  <c r="G668" i="30" s="1"/>
  <c r="H668" i="30" s="1"/>
  <c r="I668" i="30" s="1"/>
  <c r="E669" i="30"/>
  <c r="F669" i="30" s="1"/>
  <c r="G669" i="30" s="1"/>
  <c r="H669" i="30" s="1"/>
  <c r="I669" i="30" s="1"/>
  <c r="E670" i="30"/>
  <c r="F670" i="30" s="1"/>
  <c r="G670" i="30" s="1"/>
  <c r="H670" i="30" s="1"/>
  <c r="I670" i="30" s="1"/>
  <c r="E671" i="30"/>
  <c r="F671" i="30" s="1"/>
  <c r="G671" i="30" s="1"/>
  <c r="H671" i="30" s="1"/>
  <c r="I671" i="30" s="1"/>
  <c r="E672" i="30"/>
  <c r="F672" i="30" s="1"/>
  <c r="G672" i="30" s="1"/>
  <c r="H672" i="30" s="1"/>
  <c r="I672" i="30" s="1"/>
  <c r="E673" i="30"/>
  <c r="F673" i="30" s="1"/>
  <c r="G673" i="30" s="1"/>
  <c r="H673" i="30" s="1"/>
  <c r="I673" i="30" s="1"/>
  <c r="E674" i="30"/>
  <c r="F674" i="30" s="1"/>
  <c r="G674" i="30" s="1"/>
  <c r="H674" i="30" s="1"/>
  <c r="I674" i="30" s="1"/>
  <c r="E675" i="30"/>
  <c r="F675" i="30" s="1"/>
  <c r="G675" i="30" s="1"/>
  <c r="H675" i="30" s="1"/>
  <c r="I675" i="30" s="1"/>
  <c r="E676" i="30"/>
  <c r="F676" i="30" s="1"/>
  <c r="G676" i="30" s="1"/>
  <c r="H676" i="30" s="1"/>
  <c r="I676" i="30" s="1"/>
  <c r="E677" i="30"/>
  <c r="F677" i="30" s="1"/>
  <c r="G677" i="30" s="1"/>
  <c r="H677" i="30" s="1"/>
  <c r="I677" i="30" s="1"/>
  <c r="E678" i="30"/>
  <c r="F678" i="30" s="1"/>
  <c r="G678" i="30" s="1"/>
  <c r="H678" i="30" s="1"/>
  <c r="I678" i="30" s="1"/>
  <c r="E679" i="30"/>
  <c r="F679" i="30" s="1"/>
  <c r="G679" i="30" s="1"/>
  <c r="H679" i="30" s="1"/>
  <c r="I679" i="30" s="1"/>
  <c r="E680" i="30"/>
  <c r="F680" i="30" s="1"/>
  <c r="G680" i="30" s="1"/>
  <c r="H680" i="30" s="1"/>
  <c r="I680" i="30" s="1"/>
  <c r="E681" i="30"/>
  <c r="F681" i="30" s="1"/>
  <c r="G681" i="30" s="1"/>
  <c r="H681" i="30" s="1"/>
  <c r="I681" i="30" s="1"/>
  <c r="E682" i="30"/>
  <c r="F682" i="30" s="1"/>
  <c r="G682" i="30" s="1"/>
  <c r="H682" i="30" s="1"/>
  <c r="I682" i="30" s="1"/>
  <c r="E683" i="30"/>
  <c r="F683" i="30" s="1"/>
  <c r="G683" i="30" s="1"/>
  <c r="H683" i="30" s="1"/>
  <c r="I683" i="30" s="1"/>
  <c r="E684" i="30"/>
  <c r="F684" i="30" s="1"/>
  <c r="G684" i="30" s="1"/>
  <c r="H684" i="30" s="1"/>
  <c r="I684" i="30" s="1"/>
  <c r="E685" i="30"/>
  <c r="F685" i="30" s="1"/>
  <c r="G685" i="30" s="1"/>
  <c r="H685" i="30" s="1"/>
  <c r="I685" i="30" s="1"/>
  <c r="E686" i="30"/>
  <c r="F686" i="30" s="1"/>
  <c r="G686" i="30" s="1"/>
  <c r="H686" i="30" s="1"/>
  <c r="I686" i="30" s="1"/>
  <c r="E687" i="30"/>
  <c r="F687" i="30" s="1"/>
  <c r="G687" i="30" s="1"/>
  <c r="H687" i="30" s="1"/>
  <c r="I687" i="30" s="1"/>
  <c r="E688" i="30"/>
  <c r="F688" i="30" s="1"/>
  <c r="G688" i="30" s="1"/>
  <c r="H688" i="30" s="1"/>
  <c r="I688" i="30" s="1"/>
  <c r="E689" i="30"/>
  <c r="F689" i="30" s="1"/>
  <c r="G689" i="30" s="1"/>
  <c r="H689" i="30" s="1"/>
  <c r="I689" i="30" s="1"/>
  <c r="E690" i="30"/>
  <c r="F690" i="30" s="1"/>
  <c r="G690" i="30" s="1"/>
  <c r="H690" i="30" s="1"/>
  <c r="I690" i="30" s="1"/>
  <c r="E691" i="30"/>
  <c r="F691" i="30" s="1"/>
  <c r="G691" i="30" s="1"/>
  <c r="H691" i="30" s="1"/>
  <c r="I691" i="30" s="1"/>
  <c r="E692" i="30"/>
  <c r="F692" i="30" s="1"/>
  <c r="G692" i="30" s="1"/>
  <c r="H692" i="30" s="1"/>
  <c r="I692" i="30" s="1"/>
  <c r="E693" i="30"/>
  <c r="F693" i="30" s="1"/>
  <c r="G693" i="30" s="1"/>
  <c r="H693" i="30" s="1"/>
  <c r="I693" i="30" s="1"/>
  <c r="E694" i="30"/>
  <c r="F694" i="30" s="1"/>
  <c r="G694" i="30" s="1"/>
  <c r="H694" i="30" s="1"/>
  <c r="I694" i="30" s="1"/>
  <c r="E695" i="30"/>
  <c r="F695" i="30" s="1"/>
  <c r="G695" i="30" s="1"/>
  <c r="H695" i="30" s="1"/>
  <c r="I695" i="30" s="1"/>
  <c r="E696" i="30"/>
  <c r="F696" i="30" s="1"/>
  <c r="G696" i="30" s="1"/>
  <c r="H696" i="30" s="1"/>
  <c r="I696" i="30" s="1"/>
  <c r="E697" i="30"/>
  <c r="F697" i="30" s="1"/>
  <c r="G697" i="30" s="1"/>
  <c r="H697" i="30" s="1"/>
  <c r="I697" i="30" s="1"/>
  <c r="E698" i="30"/>
  <c r="F698" i="30" s="1"/>
  <c r="G698" i="30" s="1"/>
  <c r="H698" i="30" s="1"/>
  <c r="I698" i="30" s="1"/>
  <c r="E699" i="30"/>
  <c r="F699" i="30" s="1"/>
  <c r="G699" i="30" s="1"/>
  <c r="H699" i="30" s="1"/>
  <c r="I699" i="30" s="1"/>
  <c r="E700" i="30"/>
  <c r="F700" i="30" s="1"/>
  <c r="G700" i="30" s="1"/>
  <c r="H700" i="30" s="1"/>
  <c r="I700" i="30" s="1"/>
  <c r="E701" i="30"/>
  <c r="F701" i="30" s="1"/>
  <c r="G701" i="30" s="1"/>
  <c r="H701" i="30" s="1"/>
  <c r="I701" i="30" s="1"/>
  <c r="E702" i="30"/>
  <c r="F702" i="30" s="1"/>
  <c r="G702" i="30" s="1"/>
  <c r="H702" i="30" s="1"/>
  <c r="I702" i="30" s="1"/>
  <c r="E703" i="30"/>
  <c r="F703" i="30" s="1"/>
  <c r="G703" i="30" s="1"/>
  <c r="H703" i="30" s="1"/>
  <c r="I703" i="30" s="1"/>
  <c r="E704" i="30"/>
  <c r="F704" i="30" s="1"/>
  <c r="G704" i="30" s="1"/>
  <c r="H704" i="30" s="1"/>
  <c r="I704" i="30" s="1"/>
  <c r="E705" i="30"/>
  <c r="F705" i="30" s="1"/>
  <c r="G705" i="30" s="1"/>
  <c r="H705" i="30" s="1"/>
  <c r="I705" i="30" s="1"/>
  <c r="E706" i="30"/>
  <c r="F706" i="30" s="1"/>
  <c r="G706" i="30" s="1"/>
  <c r="H706" i="30" s="1"/>
  <c r="I706" i="30" s="1"/>
  <c r="E707" i="30"/>
  <c r="F707" i="30" s="1"/>
  <c r="G707" i="30" s="1"/>
  <c r="H707" i="30" s="1"/>
  <c r="I707" i="30" s="1"/>
  <c r="E708" i="30"/>
  <c r="F708" i="30" s="1"/>
  <c r="G708" i="30" s="1"/>
  <c r="H708" i="30" s="1"/>
  <c r="I708" i="30" s="1"/>
  <c r="E709" i="30"/>
  <c r="F709" i="30" s="1"/>
  <c r="G709" i="30" s="1"/>
  <c r="H709" i="30" s="1"/>
  <c r="I709" i="30" s="1"/>
  <c r="E710" i="30"/>
  <c r="F710" i="30" s="1"/>
  <c r="G710" i="30" s="1"/>
  <c r="H710" i="30" s="1"/>
  <c r="I710" i="30" s="1"/>
  <c r="E711" i="30"/>
  <c r="F711" i="30" s="1"/>
  <c r="G711" i="30" s="1"/>
  <c r="H711" i="30" s="1"/>
  <c r="I711" i="30" s="1"/>
  <c r="E712" i="30"/>
  <c r="F712" i="30" s="1"/>
  <c r="G712" i="30" s="1"/>
  <c r="H712" i="30" s="1"/>
  <c r="I712" i="30" s="1"/>
  <c r="E713" i="30"/>
  <c r="F713" i="30" s="1"/>
  <c r="G713" i="30" s="1"/>
  <c r="H713" i="30" s="1"/>
  <c r="I713" i="30" s="1"/>
  <c r="E714" i="30"/>
  <c r="F714" i="30" s="1"/>
  <c r="G714" i="30" s="1"/>
  <c r="H714" i="30" s="1"/>
  <c r="I714" i="30" s="1"/>
  <c r="E715" i="30"/>
  <c r="F715" i="30" s="1"/>
  <c r="G715" i="30" s="1"/>
  <c r="H715" i="30" s="1"/>
  <c r="I715" i="30" s="1"/>
  <c r="E716" i="30"/>
  <c r="F716" i="30" s="1"/>
  <c r="G716" i="30" s="1"/>
  <c r="H716" i="30" s="1"/>
  <c r="I716" i="30" s="1"/>
  <c r="E717" i="30"/>
  <c r="F717" i="30" s="1"/>
  <c r="G717" i="30" s="1"/>
  <c r="H717" i="30" s="1"/>
  <c r="I717" i="30" s="1"/>
  <c r="E718" i="30"/>
  <c r="F718" i="30" s="1"/>
  <c r="G718" i="30" s="1"/>
  <c r="H718" i="30" s="1"/>
  <c r="I718" i="30" s="1"/>
  <c r="E719" i="30"/>
  <c r="F719" i="30" s="1"/>
  <c r="G719" i="30" s="1"/>
  <c r="H719" i="30" s="1"/>
  <c r="I719" i="30" s="1"/>
  <c r="E720" i="30"/>
  <c r="F720" i="30" s="1"/>
  <c r="G720" i="30" s="1"/>
  <c r="H720" i="30" s="1"/>
  <c r="I720" i="30" s="1"/>
  <c r="E721" i="30"/>
  <c r="F721" i="30" s="1"/>
  <c r="G721" i="30" s="1"/>
  <c r="H721" i="30" s="1"/>
  <c r="I721" i="30" s="1"/>
  <c r="E722" i="30"/>
  <c r="F722" i="30" s="1"/>
  <c r="G722" i="30" s="1"/>
  <c r="H722" i="30" s="1"/>
  <c r="I722" i="30" s="1"/>
  <c r="E723" i="30"/>
  <c r="F723" i="30" s="1"/>
  <c r="G723" i="30" s="1"/>
  <c r="H723" i="30" s="1"/>
  <c r="I723" i="30" s="1"/>
  <c r="E724" i="30"/>
  <c r="F724" i="30" s="1"/>
  <c r="G724" i="30" s="1"/>
  <c r="H724" i="30" s="1"/>
  <c r="I724" i="30" s="1"/>
  <c r="E725" i="30"/>
  <c r="F725" i="30" s="1"/>
  <c r="G725" i="30" s="1"/>
  <c r="H725" i="30" s="1"/>
  <c r="I725" i="30" s="1"/>
  <c r="E726" i="30"/>
  <c r="F726" i="30" s="1"/>
  <c r="G726" i="30" s="1"/>
  <c r="H726" i="30" s="1"/>
  <c r="I726" i="30" s="1"/>
  <c r="E727" i="30"/>
  <c r="F727" i="30" s="1"/>
  <c r="G727" i="30" s="1"/>
  <c r="H727" i="30" s="1"/>
  <c r="I727" i="30" s="1"/>
  <c r="E728" i="30"/>
  <c r="F728" i="30" s="1"/>
  <c r="G728" i="30" s="1"/>
  <c r="H728" i="30" s="1"/>
  <c r="I728" i="30" s="1"/>
  <c r="E729" i="30"/>
  <c r="F729" i="30" s="1"/>
  <c r="G729" i="30" s="1"/>
  <c r="H729" i="30" s="1"/>
  <c r="I729" i="30" s="1"/>
  <c r="E730" i="30"/>
  <c r="F730" i="30" s="1"/>
  <c r="G730" i="30" s="1"/>
  <c r="H730" i="30" s="1"/>
  <c r="I730" i="30" s="1"/>
  <c r="E731" i="30"/>
  <c r="F731" i="30" s="1"/>
  <c r="G731" i="30" s="1"/>
  <c r="H731" i="30" s="1"/>
  <c r="I731" i="30" s="1"/>
  <c r="E732" i="30"/>
  <c r="F732" i="30" s="1"/>
  <c r="G732" i="30" s="1"/>
  <c r="H732" i="30" s="1"/>
  <c r="I732" i="30" s="1"/>
  <c r="E733" i="30"/>
  <c r="F733" i="30" s="1"/>
  <c r="G733" i="30" s="1"/>
  <c r="H733" i="30" s="1"/>
  <c r="I733" i="30" s="1"/>
  <c r="E734" i="30"/>
  <c r="F734" i="30" s="1"/>
  <c r="G734" i="30" s="1"/>
  <c r="H734" i="30" s="1"/>
  <c r="I734" i="30" s="1"/>
  <c r="E735" i="30"/>
  <c r="F735" i="30" s="1"/>
  <c r="G735" i="30" s="1"/>
  <c r="H735" i="30" s="1"/>
  <c r="I735" i="30" s="1"/>
  <c r="E736" i="30"/>
  <c r="F736" i="30" s="1"/>
  <c r="G736" i="30" s="1"/>
  <c r="H736" i="30" s="1"/>
  <c r="I736" i="30" s="1"/>
  <c r="E737" i="30"/>
  <c r="F737" i="30" s="1"/>
  <c r="G737" i="30" s="1"/>
  <c r="H737" i="30" s="1"/>
  <c r="I737" i="30" s="1"/>
  <c r="E738" i="30"/>
  <c r="F738" i="30" s="1"/>
  <c r="G738" i="30" s="1"/>
  <c r="H738" i="30" s="1"/>
  <c r="I738" i="30" s="1"/>
  <c r="E739" i="30"/>
  <c r="F739" i="30" s="1"/>
  <c r="G739" i="30" s="1"/>
  <c r="H739" i="30" s="1"/>
  <c r="I739" i="30" s="1"/>
  <c r="E740" i="30"/>
  <c r="F740" i="30" s="1"/>
  <c r="G740" i="30" s="1"/>
  <c r="H740" i="30" s="1"/>
  <c r="I740" i="30" s="1"/>
  <c r="E741" i="30"/>
  <c r="F741" i="30" s="1"/>
  <c r="G741" i="30" s="1"/>
  <c r="H741" i="30" s="1"/>
  <c r="I741" i="30" s="1"/>
  <c r="E742" i="30"/>
  <c r="F742" i="30" s="1"/>
  <c r="G742" i="30" s="1"/>
  <c r="H742" i="30" s="1"/>
  <c r="I742" i="30" s="1"/>
  <c r="E743" i="30"/>
  <c r="F743" i="30" s="1"/>
  <c r="G743" i="30" s="1"/>
  <c r="H743" i="30" s="1"/>
  <c r="I743" i="30" s="1"/>
  <c r="E744" i="30"/>
  <c r="F744" i="30" s="1"/>
  <c r="G744" i="30" s="1"/>
  <c r="H744" i="30" s="1"/>
  <c r="I744" i="30" s="1"/>
  <c r="E745" i="30"/>
  <c r="F745" i="30" s="1"/>
  <c r="G745" i="30" s="1"/>
  <c r="H745" i="30" s="1"/>
  <c r="I745" i="30" s="1"/>
  <c r="E746" i="30"/>
  <c r="F746" i="30" s="1"/>
  <c r="G746" i="30" s="1"/>
  <c r="H746" i="30" s="1"/>
  <c r="I746" i="30" s="1"/>
  <c r="E747" i="30"/>
  <c r="F747" i="30" s="1"/>
  <c r="G747" i="30" s="1"/>
  <c r="H747" i="30" s="1"/>
  <c r="I747" i="30" s="1"/>
  <c r="E748" i="30"/>
  <c r="F748" i="30" s="1"/>
  <c r="G748" i="30" s="1"/>
  <c r="H748" i="30" s="1"/>
  <c r="I748" i="30" s="1"/>
  <c r="E749" i="30"/>
  <c r="F749" i="30" s="1"/>
  <c r="G749" i="30" s="1"/>
  <c r="H749" i="30" s="1"/>
  <c r="I749" i="30" s="1"/>
  <c r="E750" i="30"/>
  <c r="F750" i="30" s="1"/>
  <c r="G750" i="30" s="1"/>
  <c r="H750" i="30" s="1"/>
  <c r="I750" i="30" s="1"/>
  <c r="E751" i="30"/>
  <c r="F751" i="30" s="1"/>
  <c r="G751" i="30" s="1"/>
  <c r="H751" i="30" s="1"/>
  <c r="I751" i="30" s="1"/>
  <c r="E752" i="30"/>
  <c r="F752" i="30" s="1"/>
  <c r="G752" i="30" s="1"/>
  <c r="H752" i="30" s="1"/>
  <c r="I752" i="30" s="1"/>
  <c r="E753" i="30"/>
  <c r="F753" i="30" s="1"/>
  <c r="G753" i="30" s="1"/>
  <c r="H753" i="30" s="1"/>
  <c r="I753" i="30" s="1"/>
  <c r="E754" i="30"/>
  <c r="F754" i="30" s="1"/>
  <c r="G754" i="30" s="1"/>
  <c r="H754" i="30" s="1"/>
  <c r="I754" i="30" s="1"/>
  <c r="E755" i="30"/>
  <c r="F755" i="30" s="1"/>
  <c r="G755" i="30" s="1"/>
  <c r="H755" i="30" s="1"/>
  <c r="I755" i="30" s="1"/>
  <c r="E756" i="30"/>
  <c r="F756" i="30" s="1"/>
  <c r="G756" i="30" s="1"/>
  <c r="H756" i="30" s="1"/>
  <c r="I756" i="30" s="1"/>
  <c r="E757" i="30"/>
  <c r="F757" i="30" s="1"/>
  <c r="G757" i="30" s="1"/>
  <c r="H757" i="30" s="1"/>
  <c r="I757" i="30" s="1"/>
  <c r="E758" i="30"/>
  <c r="F758" i="30" s="1"/>
  <c r="G758" i="30" s="1"/>
  <c r="H758" i="30" s="1"/>
  <c r="I758" i="30" s="1"/>
  <c r="E759" i="30"/>
  <c r="F759" i="30" s="1"/>
  <c r="G759" i="30" s="1"/>
  <c r="H759" i="30" s="1"/>
  <c r="I759" i="30" s="1"/>
  <c r="E760" i="30"/>
  <c r="F760" i="30" s="1"/>
  <c r="G760" i="30" s="1"/>
  <c r="H760" i="30" s="1"/>
  <c r="I760" i="30" s="1"/>
  <c r="E761" i="30"/>
  <c r="F761" i="30" s="1"/>
  <c r="G761" i="30" s="1"/>
  <c r="H761" i="30" s="1"/>
  <c r="I761" i="30" s="1"/>
  <c r="E762" i="30"/>
  <c r="F762" i="30" s="1"/>
  <c r="G762" i="30" s="1"/>
  <c r="H762" i="30" s="1"/>
  <c r="I762" i="30" s="1"/>
  <c r="E763" i="30"/>
  <c r="F763" i="30" s="1"/>
  <c r="G763" i="30" s="1"/>
  <c r="H763" i="30" s="1"/>
  <c r="I763" i="30" s="1"/>
  <c r="E764" i="30"/>
  <c r="F764" i="30" s="1"/>
  <c r="G764" i="30" s="1"/>
  <c r="H764" i="30" s="1"/>
  <c r="I764" i="30" s="1"/>
  <c r="E765" i="30"/>
  <c r="F765" i="30" s="1"/>
  <c r="G765" i="30" s="1"/>
  <c r="H765" i="30" s="1"/>
  <c r="I765" i="30" s="1"/>
  <c r="E766" i="30"/>
  <c r="F766" i="30" s="1"/>
  <c r="G766" i="30" s="1"/>
  <c r="H766" i="30" s="1"/>
  <c r="I766" i="30" s="1"/>
  <c r="E767" i="30"/>
  <c r="F767" i="30" s="1"/>
  <c r="G767" i="30" s="1"/>
  <c r="H767" i="30" s="1"/>
  <c r="I767" i="30" s="1"/>
  <c r="E768" i="30"/>
  <c r="F768" i="30" s="1"/>
  <c r="G768" i="30" s="1"/>
  <c r="H768" i="30" s="1"/>
  <c r="I768" i="30" s="1"/>
  <c r="E769" i="30"/>
  <c r="F769" i="30" s="1"/>
  <c r="G769" i="30" s="1"/>
  <c r="H769" i="30" s="1"/>
  <c r="I769" i="30" s="1"/>
  <c r="E770" i="30"/>
  <c r="F770" i="30" s="1"/>
  <c r="G770" i="30" s="1"/>
  <c r="H770" i="30" s="1"/>
  <c r="I770" i="30" s="1"/>
  <c r="E771" i="30"/>
  <c r="F771" i="30" s="1"/>
  <c r="G771" i="30" s="1"/>
  <c r="H771" i="30" s="1"/>
  <c r="I771" i="30" s="1"/>
  <c r="E772" i="30"/>
  <c r="F772" i="30" s="1"/>
  <c r="G772" i="30" s="1"/>
  <c r="H772" i="30" s="1"/>
  <c r="I772" i="30" s="1"/>
  <c r="E773" i="30"/>
  <c r="F773" i="30" s="1"/>
  <c r="G773" i="30" s="1"/>
  <c r="H773" i="30" s="1"/>
  <c r="I773" i="30" s="1"/>
  <c r="E774" i="30"/>
  <c r="F774" i="30" s="1"/>
  <c r="G774" i="30" s="1"/>
  <c r="H774" i="30" s="1"/>
  <c r="I774" i="30" s="1"/>
  <c r="E775" i="30"/>
  <c r="F775" i="30" s="1"/>
  <c r="G775" i="30" s="1"/>
  <c r="H775" i="30" s="1"/>
  <c r="I775" i="30" s="1"/>
  <c r="E776" i="30"/>
  <c r="F776" i="30" s="1"/>
  <c r="G776" i="30" s="1"/>
  <c r="H776" i="30" s="1"/>
  <c r="I776" i="30" s="1"/>
  <c r="E777" i="30"/>
  <c r="F777" i="30" s="1"/>
  <c r="G777" i="30" s="1"/>
  <c r="H777" i="30" s="1"/>
  <c r="I777" i="30" s="1"/>
  <c r="E778" i="30"/>
  <c r="F778" i="30" s="1"/>
  <c r="G778" i="30" s="1"/>
  <c r="H778" i="30" s="1"/>
  <c r="I778" i="30" s="1"/>
  <c r="E779" i="30"/>
  <c r="F779" i="30" s="1"/>
  <c r="G779" i="30" s="1"/>
  <c r="H779" i="30" s="1"/>
  <c r="I779" i="30" s="1"/>
  <c r="E780" i="30"/>
  <c r="F780" i="30" s="1"/>
  <c r="G780" i="30" s="1"/>
  <c r="H780" i="30" s="1"/>
  <c r="I780" i="30" s="1"/>
  <c r="E781" i="30"/>
  <c r="F781" i="30" s="1"/>
  <c r="G781" i="30" s="1"/>
  <c r="H781" i="30" s="1"/>
  <c r="I781" i="30" s="1"/>
  <c r="E782" i="30"/>
  <c r="F782" i="30" s="1"/>
  <c r="G782" i="30" s="1"/>
  <c r="H782" i="30" s="1"/>
  <c r="I782" i="30" s="1"/>
  <c r="E783" i="30"/>
  <c r="F783" i="30" s="1"/>
  <c r="G783" i="30" s="1"/>
  <c r="H783" i="30" s="1"/>
  <c r="I783" i="30" s="1"/>
  <c r="E784" i="30"/>
  <c r="F784" i="30" s="1"/>
  <c r="G784" i="30" s="1"/>
  <c r="H784" i="30" s="1"/>
  <c r="I784" i="30" s="1"/>
  <c r="E785" i="30"/>
  <c r="F785" i="30" s="1"/>
  <c r="G785" i="30" s="1"/>
  <c r="H785" i="30" s="1"/>
  <c r="I785" i="30" s="1"/>
  <c r="E786" i="30"/>
  <c r="F786" i="30" s="1"/>
  <c r="G786" i="30" s="1"/>
  <c r="H786" i="30" s="1"/>
  <c r="I786" i="30" s="1"/>
  <c r="E787" i="30"/>
  <c r="F787" i="30" s="1"/>
  <c r="G787" i="30" s="1"/>
  <c r="H787" i="30" s="1"/>
  <c r="I787" i="30" s="1"/>
  <c r="E788" i="30"/>
  <c r="F788" i="30" s="1"/>
  <c r="G788" i="30" s="1"/>
  <c r="H788" i="30" s="1"/>
  <c r="I788" i="30" s="1"/>
  <c r="E789" i="30"/>
  <c r="F789" i="30" s="1"/>
  <c r="G789" i="30" s="1"/>
  <c r="H789" i="30" s="1"/>
  <c r="I789" i="30" s="1"/>
  <c r="E790" i="30"/>
  <c r="F790" i="30" s="1"/>
  <c r="G790" i="30" s="1"/>
  <c r="H790" i="30" s="1"/>
  <c r="I790" i="30" s="1"/>
  <c r="E791" i="30"/>
  <c r="F791" i="30" s="1"/>
  <c r="G791" i="30" s="1"/>
  <c r="H791" i="30" s="1"/>
  <c r="I791" i="30" s="1"/>
  <c r="E792" i="30"/>
  <c r="F792" i="30" s="1"/>
  <c r="G792" i="30" s="1"/>
  <c r="H792" i="30" s="1"/>
  <c r="I792" i="30" s="1"/>
  <c r="E793" i="30"/>
  <c r="F793" i="30" s="1"/>
  <c r="G793" i="30" s="1"/>
  <c r="H793" i="30" s="1"/>
  <c r="I793" i="30" s="1"/>
  <c r="E794" i="30"/>
  <c r="F794" i="30" s="1"/>
  <c r="G794" i="30" s="1"/>
  <c r="H794" i="30" s="1"/>
  <c r="I794" i="30" s="1"/>
  <c r="E795" i="30"/>
  <c r="F795" i="30" s="1"/>
  <c r="G795" i="30" s="1"/>
  <c r="H795" i="30" s="1"/>
  <c r="I795" i="30" s="1"/>
  <c r="E796" i="30"/>
  <c r="F796" i="30" s="1"/>
  <c r="G796" i="30" s="1"/>
  <c r="H796" i="30" s="1"/>
  <c r="I796" i="30" s="1"/>
  <c r="E797" i="30"/>
  <c r="F797" i="30" s="1"/>
  <c r="G797" i="30" s="1"/>
  <c r="H797" i="30" s="1"/>
  <c r="I797" i="30" s="1"/>
  <c r="E798" i="30"/>
  <c r="F798" i="30" s="1"/>
  <c r="G798" i="30" s="1"/>
  <c r="H798" i="30" s="1"/>
  <c r="I798" i="30" s="1"/>
  <c r="E799" i="30"/>
  <c r="F799" i="30" s="1"/>
  <c r="G799" i="30" s="1"/>
  <c r="H799" i="30" s="1"/>
  <c r="I799" i="30" s="1"/>
  <c r="E800" i="30"/>
  <c r="F800" i="30" s="1"/>
  <c r="G800" i="30" s="1"/>
  <c r="H800" i="30" s="1"/>
  <c r="I800" i="30" s="1"/>
  <c r="E801" i="30"/>
  <c r="F801" i="30" s="1"/>
  <c r="G801" i="30" s="1"/>
  <c r="H801" i="30" s="1"/>
  <c r="I801" i="30" s="1"/>
  <c r="E802" i="30"/>
  <c r="F802" i="30" s="1"/>
  <c r="G802" i="30" s="1"/>
  <c r="H802" i="30" s="1"/>
  <c r="I802" i="30" s="1"/>
  <c r="E803" i="30"/>
  <c r="F803" i="30" s="1"/>
  <c r="G803" i="30" s="1"/>
  <c r="H803" i="30" s="1"/>
  <c r="I803" i="30" s="1"/>
  <c r="E804" i="30"/>
  <c r="F804" i="30" s="1"/>
  <c r="G804" i="30" s="1"/>
  <c r="H804" i="30" s="1"/>
  <c r="I804" i="30" s="1"/>
  <c r="E805" i="30"/>
  <c r="F805" i="30" s="1"/>
  <c r="G805" i="30" s="1"/>
  <c r="H805" i="30" s="1"/>
  <c r="I805" i="30" s="1"/>
  <c r="E806" i="30"/>
  <c r="F806" i="30" s="1"/>
  <c r="G806" i="30" s="1"/>
  <c r="H806" i="30" s="1"/>
  <c r="I806" i="30" s="1"/>
  <c r="E807" i="30"/>
  <c r="F807" i="30" s="1"/>
  <c r="G807" i="30" s="1"/>
  <c r="H807" i="30" s="1"/>
  <c r="I807" i="30" s="1"/>
  <c r="E808" i="30"/>
  <c r="F808" i="30" s="1"/>
  <c r="G808" i="30" s="1"/>
  <c r="H808" i="30" s="1"/>
  <c r="I808" i="30" s="1"/>
  <c r="E809" i="30"/>
  <c r="F809" i="30" s="1"/>
  <c r="G809" i="30" s="1"/>
  <c r="H809" i="30" s="1"/>
  <c r="I809" i="30" s="1"/>
  <c r="E810" i="30"/>
  <c r="F810" i="30" s="1"/>
  <c r="G810" i="30" s="1"/>
  <c r="H810" i="30" s="1"/>
  <c r="I810" i="30" s="1"/>
  <c r="E811" i="30"/>
  <c r="F811" i="30" s="1"/>
  <c r="G811" i="30" s="1"/>
  <c r="H811" i="30" s="1"/>
  <c r="I811" i="30" s="1"/>
  <c r="E812" i="30"/>
  <c r="F812" i="30" s="1"/>
  <c r="G812" i="30" s="1"/>
  <c r="H812" i="30" s="1"/>
  <c r="I812" i="30" s="1"/>
  <c r="E813" i="30"/>
  <c r="F813" i="30" s="1"/>
  <c r="G813" i="30" s="1"/>
  <c r="H813" i="30" s="1"/>
  <c r="I813" i="30" s="1"/>
  <c r="E814" i="30"/>
  <c r="F814" i="30" s="1"/>
  <c r="G814" i="30" s="1"/>
  <c r="H814" i="30" s="1"/>
  <c r="I814" i="30" s="1"/>
  <c r="E815" i="30"/>
  <c r="F815" i="30" s="1"/>
  <c r="G815" i="30" s="1"/>
  <c r="H815" i="30" s="1"/>
  <c r="I815" i="30" s="1"/>
  <c r="E816" i="30"/>
  <c r="F816" i="30" s="1"/>
  <c r="G816" i="30" s="1"/>
  <c r="H816" i="30" s="1"/>
  <c r="I816" i="30" s="1"/>
  <c r="E817" i="30"/>
  <c r="F817" i="30" s="1"/>
  <c r="G817" i="30" s="1"/>
  <c r="H817" i="30" s="1"/>
  <c r="I817" i="30" s="1"/>
  <c r="E818" i="30"/>
  <c r="F818" i="30" s="1"/>
  <c r="G818" i="30" s="1"/>
  <c r="H818" i="30" s="1"/>
  <c r="I818" i="30" s="1"/>
  <c r="E819" i="30"/>
  <c r="F819" i="30" s="1"/>
  <c r="G819" i="30" s="1"/>
  <c r="H819" i="30" s="1"/>
  <c r="I819" i="30" s="1"/>
  <c r="E820" i="30"/>
  <c r="F820" i="30" s="1"/>
  <c r="G820" i="30" s="1"/>
  <c r="H820" i="30" s="1"/>
  <c r="I820" i="30" s="1"/>
  <c r="E821" i="30"/>
  <c r="F821" i="30" s="1"/>
  <c r="G821" i="30" s="1"/>
  <c r="H821" i="30" s="1"/>
  <c r="I821" i="30" s="1"/>
  <c r="E822" i="30"/>
  <c r="F822" i="30" s="1"/>
  <c r="G822" i="30" s="1"/>
  <c r="H822" i="30" s="1"/>
  <c r="I822" i="30" s="1"/>
  <c r="E823" i="30"/>
  <c r="F823" i="30" s="1"/>
  <c r="G823" i="30" s="1"/>
  <c r="H823" i="30" s="1"/>
  <c r="I823" i="30" s="1"/>
  <c r="E824" i="30"/>
  <c r="F824" i="30" s="1"/>
  <c r="G824" i="30" s="1"/>
  <c r="H824" i="30" s="1"/>
  <c r="I824" i="30" s="1"/>
  <c r="E825" i="30"/>
  <c r="F825" i="30" s="1"/>
  <c r="G825" i="30" s="1"/>
  <c r="H825" i="30" s="1"/>
  <c r="I825" i="30" s="1"/>
  <c r="E826" i="30"/>
  <c r="F826" i="30" s="1"/>
  <c r="G826" i="30" s="1"/>
  <c r="H826" i="30" s="1"/>
  <c r="I826" i="30" s="1"/>
  <c r="E827" i="30"/>
  <c r="F827" i="30" s="1"/>
  <c r="G827" i="30" s="1"/>
  <c r="H827" i="30" s="1"/>
  <c r="I827" i="30" s="1"/>
  <c r="E828" i="30"/>
  <c r="F828" i="30" s="1"/>
  <c r="G828" i="30" s="1"/>
  <c r="H828" i="30" s="1"/>
  <c r="I828" i="30" s="1"/>
  <c r="E829" i="30"/>
  <c r="F829" i="30" s="1"/>
  <c r="G829" i="30" s="1"/>
  <c r="H829" i="30" s="1"/>
  <c r="I829" i="30" s="1"/>
  <c r="E830" i="30"/>
  <c r="F830" i="30" s="1"/>
  <c r="G830" i="30" s="1"/>
  <c r="H830" i="30" s="1"/>
  <c r="I830" i="30" s="1"/>
  <c r="E831" i="30"/>
  <c r="F831" i="30" s="1"/>
  <c r="G831" i="30" s="1"/>
  <c r="H831" i="30" s="1"/>
  <c r="I831" i="30" s="1"/>
  <c r="E832" i="30"/>
  <c r="F832" i="30" s="1"/>
  <c r="G832" i="30" s="1"/>
  <c r="H832" i="30" s="1"/>
  <c r="I832" i="30" s="1"/>
  <c r="E833" i="30"/>
  <c r="F833" i="30" s="1"/>
  <c r="G833" i="30" s="1"/>
  <c r="H833" i="30" s="1"/>
  <c r="I833" i="30" s="1"/>
  <c r="E834" i="30"/>
  <c r="F834" i="30" s="1"/>
  <c r="G834" i="30" s="1"/>
  <c r="H834" i="30" s="1"/>
  <c r="I834" i="30" s="1"/>
  <c r="E835" i="30"/>
  <c r="F835" i="30" s="1"/>
  <c r="G835" i="30" s="1"/>
  <c r="H835" i="30" s="1"/>
  <c r="I835" i="30" s="1"/>
  <c r="E836" i="30"/>
  <c r="F836" i="30" s="1"/>
  <c r="G836" i="30" s="1"/>
  <c r="H836" i="30" s="1"/>
  <c r="I836" i="30" s="1"/>
  <c r="E837" i="30"/>
  <c r="F837" i="30" s="1"/>
  <c r="G837" i="30" s="1"/>
  <c r="H837" i="30" s="1"/>
  <c r="I837" i="30" s="1"/>
  <c r="E838" i="30"/>
  <c r="F838" i="30" s="1"/>
  <c r="G838" i="30" s="1"/>
  <c r="H838" i="30" s="1"/>
  <c r="I838" i="30" s="1"/>
  <c r="E839" i="30"/>
  <c r="F839" i="30" s="1"/>
  <c r="G839" i="30" s="1"/>
  <c r="H839" i="30" s="1"/>
  <c r="I839" i="30" s="1"/>
  <c r="E840" i="30"/>
  <c r="F840" i="30" s="1"/>
  <c r="G840" i="30" s="1"/>
  <c r="H840" i="30" s="1"/>
  <c r="I840" i="30" s="1"/>
  <c r="E841" i="30"/>
  <c r="F841" i="30" s="1"/>
  <c r="G841" i="30" s="1"/>
  <c r="H841" i="30" s="1"/>
  <c r="I841" i="30" s="1"/>
  <c r="E842" i="30"/>
  <c r="F842" i="30" s="1"/>
  <c r="G842" i="30" s="1"/>
  <c r="H842" i="30" s="1"/>
  <c r="I842" i="30" s="1"/>
  <c r="E843" i="30"/>
  <c r="F843" i="30" s="1"/>
  <c r="G843" i="30" s="1"/>
  <c r="H843" i="30" s="1"/>
  <c r="I843" i="30" s="1"/>
  <c r="E844" i="30"/>
  <c r="F844" i="30" s="1"/>
  <c r="G844" i="30" s="1"/>
  <c r="H844" i="30" s="1"/>
  <c r="I844" i="30" s="1"/>
  <c r="E845" i="30"/>
  <c r="F845" i="30" s="1"/>
  <c r="G845" i="30" s="1"/>
  <c r="H845" i="30" s="1"/>
  <c r="I845" i="30" s="1"/>
  <c r="E846" i="30"/>
  <c r="F846" i="30" s="1"/>
  <c r="G846" i="30" s="1"/>
  <c r="H846" i="30" s="1"/>
  <c r="I846" i="30" s="1"/>
  <c r="E847" i="30"/>
  <c r="F847" i="30" s="1"/>
  <c r="G847" i="30" s="1"/>
  <c r="H847" i="30" s="1"/>
  <c r="I847" i="30" s="1"/>
  <c r="E848" i="30"/>
  <c r="F848" i="30" s="1"/>
  <c r="G848" i="30" s="1"/>
  <c r="H848" i="30" s="1"/>
  <c r="I848" i="30" s="1"/>
  <c r="E849" i="30"/>
  <c r="F849" i="30" s="1"/>
  <c r="G849" i="30" s="1"/>
  <c r="H849" i="30" s="1"/>
  <c r="I849" i="30" s="1"/>
  <c r="E850" i="30"/>
  <c r="F850" i="30" s="1"/>
  <c r="G850" i="30" s="1"/>
  <c r="H850" i="30" s="1"/>
  <c r="I850" i="30" s="1"/>
  <c r="E851" i="30"/>
  <c r="F851" i="30" s="1"/>
  <c r="G851" i="30" s="1"/>
  <c r="H851" i="30" s="1"/>
  <c r="I851" i="30" s="1"/>
  <c r="E852" i="30"/>
  <c r="F852" i="30" s="1"/>
  <c r="G852" i="30" s="1"/>
  <c r="H852" i="30" s="1"/>
  <c r="I852" i="30" s="1"/>
  <c r="E853" i="30"/>
  <c r="F853" i="30" s="1"/>
  <c r="G853" i="30" s="1"/>
  <c r="H853" i="30" s="1"/>
  <c r="I853" i="30" s="1"/>
  <c r="E854" i="30"/>
  <c r="F854" i="30" s="1"/>
  <c r="G854" i="30" s="1"/>
  <c r="H854" i="30" s="1"/>
  <c r="I854" i="30" s="1"/>
  <c r="E855" i="30"/>
  <c r="F855" i="30" s="1"/>
  <c r="G855" i="30" s="1"/>
  <c r="H855" i="30" s="1"/>
  <c r="I855" i="30" s="1"/>
  <c r="E856" i="30"/>
  <c r="F856" i="30" s="1"/>
  <c r="G856" i="30" s="1"/>
  <c r="H856" i="30" s="1"/>
  <c r="I856" i="30" s="1"/>
  <c r="E857" i="30"/>
  <c r="F857" i="30" s="1"/>
  <c r="G857" i="30" s="1"/>
  <c r="H857" i="30" s="1"/>
  <c r="I857" i="30" s="1"/>
  <c r="E858" i="30"/>
  <c r="F858" i="30" s="1"/>
  <c r="G858" i="30" s="1"/>
  <c r="H858" i="30" s="1"/>
  <c r="I858" i="30" s="1"/>
  <c r="E859" i="30"/>
  <c r="F859" i="30" s="1"/>
  <c r="G859" i="30" s="1"/>
  <c r="H859" i="30" s="1"/>
  <c r="I859" i="30" s="1"/>
  <c r="E860" i="30"/>
  <c r="F860" i="30" s="1"/>
  <c r="G860" i="30" s="1"/>
  <c r="H860" i="30" s="1"/>
  <c r="I860" i="30" s="1"/>
  <c r="E861" i="30"/>
  <c r="F861" i="30" s="1"/>
  <c r="G861" i="30" s="1"/>
  <c r="H861" i="30" s="1"/>
  <c r="I861" i="30" s="1"/>
  <c r="E862" i="30"/>
  <c r="F862" i="30" s="1"/>
  <c r="G862" i="30" s="1"/>
  <c r="H862" i="30" s="1"/>
  <c r="I862" i="30" s="1"/>
  <c r="E863" i="30"/>
  <c r="F863" i="30" s="1"/>
  <c r="G863" i="30" s="1"/>
  <c r="H863" i="30" s="1"/>
  <c r="I863" i="30" s="1"/>
  <c r="E864" i="30"/>
  <c r="F864" i="30" s="1"/>
  <c r="G864" i="30" s="1"/>
  <c r="H864" i="30" s="1"/>
  <c r="I864" i="30" s="1"/>
  <c r="E865" i="30"/>
  <c r="F865" i="30" s="1"/>
  <c r="G865" i="30" s="1"/>
  <c r="H865" i="30" s="1"/>
  <c r="I865" i="30" s="1"/>
  <c r="E866" i="30"/>
  <c r="F866" i="30" s="1"/>
  <c r="G866" i="30" s="1"/>
  <c r="H866" i="30" s="1"/>
  <c r="I866" i="30" s="1"/>
  <c r="E867" i="30"/>
  <c r="F867" i="30" s="1"/>
  <c r="G867" i="30" s="1"/>
  <c r="H867" i="30" s="1"/>
  <c r="I867" i="30" s="1"/>
  <c r="E868" i="30"/>
  <c r="F868" i="30" s="1"/>
  <c r="G868" i="30" s="1"/>
  <c r="H868" i="30" s="1"/>
  <c r="I868" i="30" s="1"/>
  <c r="E869" i="30"/>
  <c r="F869" i="30" s="1"/>
  <c r="G869" i="30" s="1"/>
  <c r="H869" i="30" s="1"/>
  <c r="I869" i="30" s="1"/>
  <c r="E870" i="30"/>
  <c r="F870" i="30" s="1"/>
  <c r="G870" i="30" s="1"/>
  <c r="H870" i="30" s="1"/>
  <c r="I870" i="30" s="1"/>
  <c r="E871" i="30"/>
  <c r="F871" i="30" s="1"/>
  <c r="G871" i="30" s="1"/>
  <c r="H871" i="30" s="1"/>
  <c r="I871" i="30" s="1"/>
  <c r="E872" i="30"/>
  <c r="F872" i="30" s="1"/>
  <c r="G872" i="30" s="1"/>
  <c r="H872" i="30" s="1"/>
  <c r="I872" i="30" s="1"/>
  <c r="E873" i="30"/>
  <c r="F873" i="30" s="1"/>
  <c r="G873" i="30" s="1"/>
  <c r="H873" i="30" s="1"/>
  <c r="I873" i="30" s="1"/>
  <c r="E874" i="30"/>
  <c r="F874" i="30" s="1"/>
  <c r="G874" i="30" s="1"/>
  <c r="H874" i="30" s="1"/>
  <c r="I874" i="30" s="1"/>
  <c r="E875" i="30"/>
  <c r="F875" i="30" s="1"/>
  <c r="G875" i="30" s="1"/>
  <c r="H875" i="30" s="1"/>
  <c r="I875" i="30" s="1"/>
  <c r="E876" i="30"/>
  <c r="F876" i="30" s="1"/>
  <c r="G876" i="30" s="1"/>
  <c r="H876" i="30" s="1"/>
  <c r="I876" i="30" s="1"/>
  <c r="E877" i="30"/>
  <c r="F877" i="30" s="1"/>
  <c r="G877" i="30" s="1"/>
  <c r="H877" i="30" s="1"/>
  <c r="I877" i="30" s="1"/>
  <c r="E878" i="30"/>
  <c r="F878" i="30" s="1"/>
  <c r="G878" i="30" s="1"/>
  <c r="H878" i="30" s="1"/>
  <c r="I878" i="30" s="1"/>
  <c r="E879" i="30"/>
  <c r="F879" i="30" s="1"/>
  <c r="G879" i="30" s="1"/>
  <c r="H879" i="30" s="1"/>
  <c r="I879" i="30" s="1"/>
  <c r="E880" i="30"/>
  <c r="F880" i="30" s="1"/>
  <c r="G880" i="30" s="1"/>
  <c r="H880" i="30" s="1"/>
  <c r="I880" i="30" s="1"/>
  <c r="E881" i="30"/>
  <c r="F881" i="30" s="1"/>
  <c r="G881" i="30" s="1"/>
  <c r="H881" i="30" s="1"/>
  <c r="I881" i="30" s="1"/>
  <c r="E882" i="30"/>
  <c r="F882" i="30" s="1"/>
  <c r="G882" i="30" s="1"/>
  <c r="H882" i="30" s="1"/>
  <c r="I882" i="30" s="1"/>
  <c r="E883" i="30"/>
  <c r="F883" i="30" s="1"/>
  <c r="G883" i="30" s="1"/>
  <c r="H883" i="30" s="1"/>
  <c r="I883" i="30" s="1"/>
  <c r="E884" i="30"/>
  <c r="F884" i="30" s="1"/>
  <c r="G884" i="30" s="1"/>
  <c r="H884" i="30" s="1"/>
  <c r="I884" i="30" s="1"/>
  <c r="E885" i="30"/>
  <c r="F885" i="30" s="1"/>
  <c r="G885" i="30" s="1"/>
  <c r="H885" i="30" s="1"/>
  <c r="I885" i="30" s="1"/>
  <c r="E886" i="30"/>
  <c r="F886" i="30" s="1"/>
  <c r="G886" i="30" s="1"/>
  <c r="H886" i="30" s="1"/>
  <c r="I886" i="30" s="1"/>
  <c r="E887" i="30"/>
  <c r="F887" i="30" s="1"/>
  <c r="G887" i="30" s="1"/>
  <c r="H887" i="30" s="1"/>
  <c r="I887" i="30" s="1"/>
  <c r="E888" i="30"/>
  <c r="F888" i="30" s="1"/>
  <c r="G888" i="30" s="1"/>
  <c r="H888" i="30" s="1"/>
  <c r="I888" i="30" s="1"/>
  <c r="E889" i="30"/>
  <c r="F889" i="30" s="1"/>
  <c r="G889" i="30" s="1"/>
  <c r="H889" i="30" s="1"/>
  <c r="I889" i="30" s="1"/>
  <c r="E890" i="30"/>
  <c r="F890" i="30" s="1"/>
  <c r="G890" i="30" s="1"/>
  <c r="H890" i="30" s="1"/>
  <c r="I890" i="30" s="1"/>
  <c r="E891" i="30"/>
  <c r="F891" i="30" s="1"/>
  <c r="G891" i="30" s="1"/>
  <c r="H891" i="30" s="1"/>
  <c r="I891" i="30" s="1"/>
  <c r="E892" i="30"/>
  <c r="F892" i="30" s="1"/>
  <c r="G892" i="30" s="1"/>
  <c r="H892" i="30" s="1"/>
  <c r="I892" i="30" s="1"/>
  <c r="E893" i="30"/>
  <c r="F893" i="30" s="1"/>
  <c r="G893" i="30" s="1"/>
  <c r="H893" i="30" s="1"/>
  <c r="I893" i="30" s="1"/>
  <c r="E894" i="30"/>
  <c r="F894" i="30" s="1"/>
  <c r="G894" i="30" s="1"/>
  <c r="H894" i="30" s="1"/>
  <c r="I894" i="30" s="1"/>
  <c r="E895" i="30"/>
  <c r="F895" i="30" s="1"/>
  <c r="G895" i="30" s="1"/>
  <c r="H895" i="30" s="1"/>
  <c r="I895" i="30" s="1"/>
  <c r="E896" i="30"/>
  <c r="F896" i="30" s="1"/>
  <c r="G896" i="30" s="1"/>
  <c r="H896" i="30" s="1"/>
  <c r="I896" i="30" s="1"/>
  <c r="E897" i="30"/>
  <c r="F897" i="30" s="1"/>
  <c r="G897" i="30" s="1"/>
  <c r="H897" i="30" s="1"/>
  <c r="I897" i="30" s="1"/>
  <c r="E898" i="30"/>
  <c r="F898" i="30" s="1"/>
  <c r="G898" i="30" s="1"/>
  <c r="H898" i="30" s="1"/>
  <c r="I898" i="30" s="1"/>
  <c r="E899" i="30"/>
  <c r="F899" i="30" s="1"/>
  <c r="G899" i="30" s="1"/>
  <c r="H899" i="30" s="1"/>
  <c r="I899" i="30" s="1"/>
  <c r="E900" i="30"/>
  <c r="F900" i="30" s="1"/>
  <c r="G900" i="30" s="1"/>
  <c r="H900" i="30" s="1"/>
  <c r="I900" i="30" s="1"/>
  <c r="E901" i="30"/>
  <c r="F901" i="30" s="1"/>
  <c r="G901" i="30" s="1"/>
  <c r="H901" i="30" s="1"/>
  <c r="I901" i="30" s="1"/>
  <c r="E902" i="30"/>
  <c r="F902" i="30" s="1"/>
  <c r="G902" i="30" s="1"/>
  <c r="H902" i="30" s="1"/>
  <c r="I902" i="30" s="1"/>
  <c r="E903" i="30"/>
  <c r="F903" i="30" s="1"/>
  <c r="G903" i="30" s="1"/>
  <c r="H903" i="30" s="1"/>
  <c r="I903" i="30" s="1"/>
  <c r="E904" i="30"/>
  <c r="F904" i="30" s="1"/>
  <c r="G904" i="30" s="1"/>
  <c r="H904" i="30" s="1"/>
  <c r="I904" i="30" s="1"/>
  <c r="E905" i="30"/>
  <c r="F905" i="30" s="1"/>
  <c r="G905" i="30" s="1"/>
  <c r="H905" i="30" s="1"/>
  <c r="I905" i="30" s="1"/>
  <c r="E906" i="30"/>
  <c r="F906" i="30" s="1"/>
  <c r="G906" i="30" s="1"/>
  <c r="H906" i="30" s="1"/>
  <c r="I906" i="30" s="1"/>
  <c r="E907" i="30"/>
  <c r="F907" i="30" s="1"/>
  <c r="G907" i="30" s="1"/>
  <c r="H907" i="30" s="1"/>
  <c r="I907" i="30" s="1"/>
  <c r="E908" i="30"/>
  <c r="F908" i="30" s="1"/>
  <c r="G908" i="30" s="1"/>
  <c r="H908" i="30" s="1"/>
  <c r="I908" i="30" s="1"/>
  <c r="E909" i="30"/>
  <c r="F909" i="30" s="1"/>
  <c r="G909" i="30" s="1"/>
  <c r="H909" i="30" s="1"/>
  <c r="I909" i="30" s="1"/>
  <c r="E910" i="30"/>
  <c r="F910" i="30" s="1"/>
  <c r="G910" i="30" s="1"/>
  <c r="H910" i="30" s="1"/>
  <c r="I910" i="30" s="1"/>
  <c r="E911" i="30"/>
  <c r="F911" i="30" s="1"/>
  <c r="G911" i="30" s="1"/>
  <c r="H911" i="30" s="1"/>
  <c r="I911" i="30" s="1"/>
  <c r="E912" i="30"/>
  <c r="F912" i="30" s="1"/>
  <c r="G912" i="30" s="1"/>
  <c r="H912" i="30" s="1"/>
  <c r="I912" i="30" s="1"/>
  <c r="E913" i="30"/>
  <c r="F913" i="30" s="1"/>
  <c r="G913" i="30" s="1"/>
  <c r="H913" i="30" s="1"/>
  <c r="I913" i="30" s="1"/>
  <c r="E914" i="30"/>
  <c r="F914" i="30" s="1"/>
  <c r="G914" i="30" s="1"/>
  <c r="H914" i="30" s="1"/>
  <c r="I914" i="30" s="1"/>
  <c r="E915" i="30"/>
  <c r="F915" i="30" s="1"/>
  <c r="G915" i="30" s="1"/>
  <c r="H915" i="30" s="1"/>
  <c r="I915" i="30" s="1"/>
  <c r="E916" i="30"/>
  <c r="F916" i="30" s="1"/>
  <c r="G916" i="30" s="1"/>
  <c r="H916" i="30" s="1"/>
  <c r="I916" i="30" s="1"/>
  <c r="E917" i="30"/>
  <c r="F917" i="30" s="1"/>
  <c r="G917" i="30" s="1"/>
  <c r="H917" i="30" s="1"/>
  <c r="I917" i="30" s="1"/>
  <c r="E918" i="30"/>
  <c r="F918" i="30" s="1"/>
  <c r="G918" i="30" s="1"/>
  <c r="H918" i="30" s="1"/>
  <c r="I918" i="30" s="1"/>
  <c r="E919" i="30"/>
  <c r="F919" i="30" s="1"/>
  <c r="G919" i="30" s="1"/>
  <c r="H919" i="30" s="1"/>
  <c r="I919" i="30" s="1"/>
  <c r="E920" i="30"/>
  <c r="F920" i="30" s="1"/>
  <c r="G920" i="30" s="1"/>
  <c r="H920" i="30" s="1"/>
  <c r="I920" i="30" s="1"/>
  <c r="E921" i="30"/>
  <c r="F921" i="30" s="1"/>
  <c r="G921" i="30" s="1"/>
  <c r="H921" i="30" s="1"/>
  <c r="I921" i="30" s="1"/>
  <c r="E922" i="30"/>
  <c r="F922" i="30" s="1"/>
  <c r="G922" i="30" s="1"/>
  <c r="H922" i="30" s="1"/>
  <c r="I922" i="30" s="1"/>
  <c r="E923" i="30"/>
  <c r="F923" i="30" s="1"/>
  <c r="G923" i="30" s="1"/>
  <c r="H923" i="30" s="1"/>
  <c r="I923" i="30" s="1"/>
  <c r="E924" i="30"/>
  <c r="F924" i="30" s="1"/>
  <c r="G924" i="30" s="1"/>
  <c r="H924" i="30" s="1"/>
  <c r="I924" i="30" s="1"/>
  <c r="E925" i="30"/>
  <c r="F925" i="30" s="1"/>
  <c r="G925" i="30" s="1"/>
  <c r="H925" i="30" s="1"/>
  <c r="I925" i="30" s="1"/>
  <c r="E926" i="30"/>
  <c r="F926" i="30" s="1"/>
  <c r="G926" i="30" s="1"/>
  <c r="H926" i="30" s="1"/>
  <c r="I926" i="30" s="1"/>
  <c r="E927" i="30"/>
  <c r="F927" i="30" s="1"/>
  <c r="G927" i="30" s="1"/>
  <c r="H927" i="30" s="1"/>
  <c r="I927" i="30" s="1"/>
  <c r="E928" i="30"/>
  <c r="F928" i="30" s="1"/>
  <c r="G928" i="30" s="1"/>
  <c r="H928" i="30" s="1"/>
  <c r="I928" i="30" s="1"/>
  <c r="E929" i="30"/>
  <c r="F929" i="30" s="1"/>
  <c r="G929" i="30" s="1"/>
  <c r="H929" i="30" s="1"/>
  <c r="I929" i="30" s="1"/>
  <c r="E930" i="30"/>
  <c r="F930" i="30" s="1"/>
  <c r="G930" i="30" s="1"/>
  <c r="H930" i="30" s="1"/>
  <c r="I930" i="30" s="1"/>
  <c r="E931" i="30"/>
  <c r="F931" i="30" s="1"/>
  <c r="G931" i="30" s="1"/>
  <c r="H931" i="30" s="1"/>
  <c r="I931" i="30" s="1"/>
  <c r="E932" i="30"/>
  <c r="F932" i="30" s="1"/>
  <c r="G932" i="30" s="1"/>
  <c r="H932" i="30" s="1"/>
  <c r="I932" i="30" s="1"/>
  <c r="E933" i="30"/>
  <c r="F933" i="30" s="1"/>
  <c r="G933" i="30" s="1"/>
  <c r="H933" i="30" s="1"/>
  <c r="I933" i="30" s="1"/>
  <c r="E934" i="30"/>
  <c r="F934" i="30" s="1"/>
  <c r="G934" i="30" s="1"/>
  <c r="H934" i="30" s="1"/>
  <c r="I934" i="30" s="1"/>
  <c r="E935" i="30"/>
  <c r="F935" i="30" s="1"/>
  <c r="G935" i="30" s="1"/>
  <c r="H935" i="30" s="1"/>
  <c r="I935" i="30" s="1"/>
  <c r="E936" i="30"/>
  <c r="F936" i="30" s="1"/>
  <c r="G936" i="30" s="1"/>
  <c r="H936" i="30" s="1"/>
  <c r="I936" i="30" s="1"/>
  <c r="E937" i="30"/>
  <c r="F937" i="30" s="1"/>
  <c r="G937" i="30" s="1"/>
  <c r="H937" i="30" s="1"/>
  <c r="I937" i="30" s="1"/>
  <c r="E938" i="30"/>
  <c r="F938" i="30" s="1"/>
  <c r="G938" i="30" s="1"/>
  <c r="H938" i="30" s="1"/>
  <c r="I938" i="30" s="1"/>
  <c r="E939" i="30"/>
  <c r="F939" i="30" s="1"/>
  <c r="G939" i="30" s="1"/>
  <c r="H939" i="30" s="1"/>
  <c r="I939" i="30" s="1"/>
  <c r="E940" i="30"/>
  <c r="F940" i="30" s="1"/>
  <c r="G940" i="30" s="1"/>
  <c r="H940" i="30" s="1"/>
  <c r="I940" i="30" s="1"/>
  <c r="E941" i="30"/>
  <c r="F941" i="30" s="1"/>
  <c r="G941" i="30" s="1"/>
  <c r="H941" i="30" s="1"/>
  <c r="I941" i="30" s="1"/>
  <c r="E942" i="30"/>
  <c r="F942" i="30" s="1"/>
  <c r="G942" i="30" s="1"/>
  <c r="H942" i="30" s="1"/>
  <c r="I942" i="30" s="1"/>
  <c r="E943" i="30"/>
  <c r="F943" i="30" s="1"/>
  <c r="G943" i="30" s="1"/>
  <c r="H943" i="30" s="1"/>
  <c r="I943" i="30" s="1"/>
  <c r="E944" i="30"/>
  <c r="F944" i="30" s="1"/>
  <c r="G944" i="30" s="1"/>
  <c r="H944" i="30" s="1"/>
  <c r="I944" i="30" s="1"/>
  <c r="E945" i="30"/>
  <c r="F945" i="30" s="1"/>
  <c r="G945" i="30" s="1"/>
  <c r="H945" i="30" s="1"/>
  <c r="I945" i="30" s="1"/>
  <c r="E946" i="30"/>
  <c r="F946" i="30" s="1"/>
  <c r="G946" i="30" s="1"/>
  <c r="H946" i="30" s="1"/>
  <c r="I946" i="30" s="1"/>
  <c r="E947" i="30"/>
  <c r="F947" i="30" s="1"/>
  <c r="G947" i="30" s="1"/>
  <c r="H947" i="30" s="1"/>
  <c r="I947" i="30" s="1"/>
  <c r="E948" i="30"/>
  <c r="F948" i="30" s="1"/>
  <c r="G948" i="30" s="1"/>
  <c r="H948" i="30" s="1"/>
  <c r="I948" i="30" s="1"/>
  <c r="E949" i="30"/>
  <c r="F949" i="30" s="1"/>
  <c r="G949" i="30" s="1"/>
  <c r="H949" i="30" s="1"/>
  <c r="I949" i="30" s="1"/>
  <c r="E950" i="30"/>
  <c r="F950" i="30" s="1"/>
  <c r="G950" i="30" s="1"/>
  <c r="H950" i="30" s="1"/>
  <c r="I950" i="30" s="1"/>
  <c r="E951" i="30"/>
  <c r="F951" i="30" s="1"/>
  <c r="G951" i="30" s="1"/>
  <c r="H951" i="30" s="1"/>
  <c r="I951" i="30" s="1"/>
  <c r="E952" i="30"/>
  <c r="F952" i="30" s="1"/>
  <c r="G952" i="30" s="1"/>
  <c r="H952" i="30" s="1"/>
  <c r="I952" i="30" s="1"/>
  <c r="E953" i="30"/>
  <c r="F953" i="30" s="1"/>
  <c r="G953" i="30" s="1"/>
  <c r="H953" i="30" s="1"/>
  <c r="I953" i="30" s="1"/>
  <c r="E954" i="30"/>
  <c r="F954" i="30" s="1"/>
  <c r="G954" i="30" s="1"/>
  <c r="H954" i="30" s="1"/>
  <c r="I954" i="30" s="1"/>
  <c r="E955" i="30"/>
  <c r="F955" i="30" s="1"/>
  <c r="G955" i="30" s="1"/>
  <c r="H955" i="30" s="1"/>
  <c r="I955" i="30" s="1"/>
  <c r="E956" i="30"/>
  <c r="F956" i="30" s="1"/>
  <c r="G956" i="30" s="1"/>
  <c r="H956" i="30" s="1"/>
  <c r="I956" i="30" s="1"/>
  <c r="E957" i="30"/>
  <c r="F957" i="30" s="1"/>
  <c r="G957" i="30" s="1"/>
  <c r="H957" i="30" s="1"/>
  <c r="I957" i="30" s="1"/>
  <c r="E958" i="30"/>
  <c r="F958" i="30" s="1"/>
  <c r="G958" i="30" s="1"/>
  <c r="H958" i="30" s="1"/>
  <c r="I958" i="30" s="1"/>
  <c r="E959" i="30"/>
  <c r="F959" i="30" s="1"/>
  <c r="G959" i="30" s="1"/>
  <c r="H959" i="30" s="1"/>
  <c r="I959" i="30" s="1"/>
  <c r="E960" i="30"/>
  <c r="F960" i="30" s="1"/>
  <c r="G960" i="30" s="1"/>
  <c r="H960" i="30" s="1"/>
  <c r="I960" i="30" s="1"/>
  <c r="E961" i="30"/>
  <c r="F961" i="30" s="1"/>
  <c r="G961" i="30" s="1"/>
  <c r="H961" i="30" s="1"/>
  <c r="I961" i="30" s="1"/>
  <c r="E962" i="30"/>
  <c r="F962" i="30" s="1"/>
  <c r="G962" i="30" s="1"/>
  <c r="H962" i="30" s="1"/>
  <c r="I962" i="30" s="1"/>
  <c r="E963" i="30"/>
  <c r="F963" i="30" s="1"/>
  <c r="G963" i="30" s="1"/>
  <c r="H963" i="30" s="1"/>
  <c r="I963" i="30" s="1"/>
  <c r="E964" i="30"/>
  <c r="F964" i="30" s="1"/>
  <c r="G964" i="30" s="1"/>
  <c r="H964" i="30" s="1"/>
  <c r="I964" i="30" s="1"/>
  <c r="E965" i="30"/>
  <c r="F965" i="30" s="1"/>
  <c r="G965" i="30" s="1"/>
  <c r="H965" i="30" s="1"/>
  <c r="I965" i="30" s="1"/>
  <c r="E966" i="30"/>
  <c r="F966" i="30" s="1"/>
  <c r="G966" i="30" s="1"/>
  <c r="H966" i="30" s="1"/>
  <c r="I966" i="30" s="1"/>
  <c r="E967" i="30"/>
  <c r="F967" i="30" s="1"/>
  <c r="G967" i="30" s="1"/>
  <c r="H967" i="30" s="1"/>
  <c r="I967" i="30" s="1"/>
  <c r="E968" i="30"/>
  <c r="F968" i="30" s="1"/>
  <c r="G968" i="30" s="1"/>
  <c r="H968" i="30" s="1"/>
  <c r="I968" i="30" s="1"/>
  <c r="E969" i="30"/>
  <c r="F969" i="30" s="1"/>
  <c r="G969" i="30" s="1"/>
  <c r="H969" i="30" s="1"/>
  <c r="I969" i="30" s="1"/>
  <c r="E970" i="30"/>
  <c r="F970" i="30" s="1"/>
  <c r="G970" i="30" s="1"/>
  <c r="H970" i="30" s="1"/>
  <c r="I970" i="30" s="1"/>
  <c r="E971" i="30"/>
  <c r="F971" i="30" s="1"/>
  <c r="G971" i="30" s="1"/>
  <c r="H971" i="30" s="1"/>
  <c r="I971" i="30" s="1"/>
  <c r="E972" i="30"/>
  <c r="F972" i="30" s="1"/>
  <c r="G972" i="30" s="1"/>
  <c r="H972" i="30" s="1"/>
  <c r="I972" i="30" s="1"/>
  <c r="E973" i="30"/>
  <c r="F973" i="30" s="1"/>
  <c r="G973" i="30" s="1"/>
  <c r="H973" i="30" s="1"/>
  <c r="I973" i="30" s="1"/>
  <c r="E974" i="30"/>
  <c r="F974" i="30" s="1"/>
  <c r="G974" i="30" s="1"/>
  <c r="H974" i="30" s="1"/>
  <c r="I974" i="30" s="1"/>
  <c r="E975" i="30"/>
  <c r="F975" i="30" s="1"/>
  <c r="G975" i="30" s="1"/>
  <c r="H975" i="30" s="1"/>
  <c r="I975" i="30" s="1"/>
  <c r="E976" i="30"/>
  <c r="F976" i="30" s="1"/>
  <c r="G976" i="30" s="1"/>
  <c r="H976" i="30" s="1"/>
  <c r="I976" i="30" s="1"/>
  <c r="E977" i="30"/>
  <c r="F977" i="30" s="1"/>
  <c r="G977" i="30" s="1"/>
  <c r="H977" i="30" s="1"/>
  <c r="I977" i="30" s="1"/>
  <c r="E978" i="30"/>
  <c r="F978" i="30" s="1"/>
  <c r="G978" i="30" s="1"/>
  <c r="H978" i="30" s="1"/>
  <c r="I978" i="30" s="1"/>
  <c r="E979" i="30"/>
  <c r="F979" i="30" s="1"/>
  <c r="G979" i="30" s="1"/>
  <c r="H979" i="30" s="1"/>
  <c r="I979" i="30" s="1"/>
  <c r="E980" i="30"/>
  <c r="F980" i="30" s="1"/>
  <c r="G980" i="30" s="1"/>
  <c r="H980" i="30" s="1"/>
  <c r="I980" i="30" s="1"/>
  <c r="E981" i="30"/>
  <c r="F981" i="30" s="1"/>
  <c r="G981" i="30" s="1"/>
  <c r="H981" i="30" s="1"/>
  <c r="I981" i="30" s="1"/>
  <c r="E982" i="30"/>
  <c r="F982" i="30" s="1"/>
  <c r="G982" i="30" s="1"/>
  <c r="H982" i="30" s="1"/>
  <c r="I982" i="30" s="1"/>
  <c r="E983" i="30"/>
  <c r="F983" i="30" s="1"/>
  <c r="G983" i="30" s="1"/>
  <c r="H983" i="30" s="1"/>
  <c r="I983" i="30" s="1"/>
  <c r="E984" i="30"/>
  <c r="F984" i="30" s="1"/>
  <c r="G984" i="30" s="1"/>
  <c r="H984" i="30" s="1"/>
  <c r="I984" i="30" s="1"/>
  <c r="E985" i="30"/>
  <c r="F985" i="30" s="1"/>
  <c r="G985" i="30" s="1"/>
  <c r="H985" i="30" s="1"/>
  <c r="I985" i="30" s="1"/>
  <c r="E986" i="30"/>
  <c r="F986" i="30" s="1"/>
  <c r="G986" i="30" s="1"/>
  <c r="H986" i="30" s="1"/>
  <c r="I986" i="30" s="1"/>
  <c r="E987" i="30"/>
  <c r="F987" i="30" s="1"/>
  <c r="G987" i="30" s="1"/>
  <c r="H987" i="30" s="1"/>
  <c r="I987" i="30" s="1"/>
  <c r="E988" i="30"/>
  <c r="F988" i="30" s="1"/>
  <c r="G988" i="30" s="1"/>
  <c r="H988" i="30" s="1"/>
  <c r="I988" i="30" s="1"/>
  <c r="E989" i="30"/>
  <c r="F989" i="30" s="1"/>
  <c r="G989" i="30" s="1"/>
  <c r="H989" i="30" s="1"/>
  <c r="I989" i="30" s="1"/>
  <c r="E990" i="30"/>
  <c r="F990" i="30" s="1"/>
  <c r="G990" i="30" s="1"/>
  <c r="H990" i="30" s="1"/>
  <c r="I990" i="30" s="1"/>
  <c r="E991" i="30"/>
  <c r="F991" i="30" s="1"/>
  <c r="G991" i="30" s="1"/>
  <c r="H991" i="30" s="1"/>
  <c r="I991" i="30" s="1"/>
  <c r="E992" i="30"/>
  <c r="F992" i="30" s="1"/>
  <c r="G992" i="30" s="1"/>
  <c r="H992" i="30" s="1"/>
  <c r="I992" i="30" s="1"/>
  <c r="E993" i="30"/>
  <c r="F993" i="30" s="1"/>
  <c r="G993" i="30" s="1"/>
  <c r="H993" i="30" s="1"/>
  <c r="I993" i="30" s="1"/>
  <c r="E994" i="30"/>
  <c r="F994" i="30" s="1"/>
  <c r="G994" i="30" s="1"/>
  <c r="H994" i="30" s="1"/>
  <c r="I994" i="30" s="1"/>
  <c r="E995" i="30"/>
  <c r="F995" i="30" s="1"/>
  <c r="G995" i="30" s="1"/>
  <c r="H995" i="30" s="1"/>
  <c r="I995" i="30" s="1"/>
  <c r="E996" i="30"/>
  <c r="F996" i="30" s="1"/>
  <c r="G996" i="30" s="1"/>
  <c r="H996" i="30" s="1"/>
  <c r="I996" i="30" s="1"/>
  <c r="E997" i="30"/>
  <c r="F997" i="30" s="1"/>
  <c r="G997" i="30" s="1"/>
  <c r="H997" i="30" s="1"/>
  <c r="I997" i="30" s="1"/>
  <c r="E998" i="30"/>
  <c r="F998" i="30" s="1"/>
  <c r="G998" i="30" s="1"/>
  <c r="H998" i="30" s="1"/>
  <c r="I998" i="30" s="1"/>
  <c r="E999" i="30"/>
  <c r="F999" i="30" s="1"/>
  <c r="G999" i="30" s="1"/>
  <c r="H999" i="30" s="1"/>
  <c r="I999" i="30" s="1"/>
  <c r="E1000" i="30"/>
  <c r="F1000" i="30" s="1"/>
  <c r="G1000" i="30" s="1"/>
  <c r="H1000" i="30" s="1"/>
  <c r="I1000" i="30" s="1"/>
  <c r="E1001" i="30"/>
  <c r="F1001" i="30" s="1"/>
  <c r="G1001" i="30" s="1"/>
  <c r="H1001" i="30" s="1"/>
  <c r="I1001" i="30" s="1"/>
  <c r="E1002" i="30"/>
  <c r="F1002" i="30" s="1"/>
  <c r="G1002" i="30" s="1"/>
  <c r="H1002" i="30" s="1"/>
  <c r="I1002" i="30" s="1"/>
  <c r="E1003" i="30"/>
  <c r="F1003" i="30" s="1"/>
  <c r="G1003" i="30" s="1"/>
  <c r="H1003" i="30" s="1"/>
  <c r="I1003" i="30" s="1"/>
  <c r="E1004" i="30"/>
  <c r="F1004" i="30" s="1"/>
  <c r="G1004" i="30" s="1"/>
  <c r="H1004" i="30" s="1"/>
  <c r="I1004" i="30" s="1"/>
  <c r="E1005" i="30"/>
  <c r="F1005" i="30" s="1"/>
  <c r="G1005" i="30" s="1"/>
  <c r="H1005" i="30" s="1"/>
  <c r="I1005" i="30" s="1"/>
  <c r="E1006" i="30"/>
  <c r="F1006" i="30" s="1"/>
  <c r="G1006" i="30" s="1"/>
  <c r="H1006" i="30" s="1"/>
  <c r="I1006" i="30" s="1"/>
  <c r="E1007" i="30"/>
  <c r="F1007" i="30" s="1"/>
  <c r="G1007" i="30" s="1"/>
  <c r="H1007" i="30" s="1"/>
  <c r="I1007" i="30" s="1"/>
  <c r="E1008" i="30"/>
  <c r="F1008" i="30" s="1"/>
  <c r="G1008" i="30" s="1"/>
  <c r="H1008" i="30" s="1"/>
  <c r="I1008" i="30" s="1"/>
  <c r="E1009" i="30"/>
  <c r="F1009" i="30" s="1"/>
  <c r="G1009" i="30" s="1"/>
  <c r="H1009" i="30" s="1"/>
  <c r="I1009" i="30" s="1"/>
  <c r="E1010" i="30"/>
  <c r="F1010" i="30" s="1"/>
  <c r="G1010" i="30" s="1"/>
  <c r="H1010" i="30" s="1"/>
  <c r="I1010" i="30" s="1"/>
  <c r="E1011" i="30"/>
  <c r="F1011" i="30" s="1"/>
  <c r="G1011" i="30" s="1"/>
  <c r="H1011" i="30" s="1"/>
  <c r="I1011" i="30" s="1"/>
  <c r="E1012" i="30"/>
  <c r="F1012" i="30" s="1"/>
  <c r="G1012" i="30" s="1"/>
  <c r="H1012" i="30" s="1"/>
  <c r="I1012" i="30" s="1"/>
  <c r="E1013" i="30"/>
  <c r="F1013" i="30" s="1"/>
  <c r="G1013" i="30" s="1"/>
  <c r="H1013" i="30" s="1"/>
  <c r="I1013" i="30" s="1"/>
  <c r="E1014" i="30"/>
  <c r="F1014" i="30" s="1"/>
  <c r="G1014" i="30" s="1"/>
  <c r="H1014" i="30" s="1"/>
  <c r="I1014" i="30" s="1"/>
  <c r="E1015" i="30"/>
  <c r="F1015" i="30" s="1"/>
  <c r="G1015" i="30" s="1"/>
  <c r="H1015" i="30" s="1"/>
  <c r="I1015" i="30" s="1"/>
  <c r="E1016" i="30"/>
  <c r="F1016" i="30" s="1"/>
  <c r="G1016" i="30" s="1"/>
  <c r="H1016" i="30" s="1"/>
  <c r="I1016" i="30" s="1"/>
  <c r="E1017" i="30"/>
  <c r="F1017" i="30" s="1"/>
  <c r="G1017" i="30" s="1"/>
  <c r="H1017" i="30" s="1"/>
  <c r="I1017" i="30" s="1"/>
  <c r="E1018" i="30"/>
  <c r="F1018" i="30" s="1"/>
  <c r="G1018" i="30" s="1"/>
  <c r="H1018" i="30" s="1"/>
  <c r="I1018" i="30" s="1"/>
  <c r="E1019" i="30"/>
  <c r="F1019" i="30" s="1"/>
  <c r="G1019" i="30" s="1"/>
  <c r="H1019" i="30" s="1"/>
  <c r="I1019" i="30" s="1"/>
  <c r="E1020" i="30"/>
  <c r="F1020" i="30" s="1"/>
  <c r="G1020" i="30" s="1"/>
  <c r="H1020" i="30" s="1"/>
  <c r="I1020" i="30" s="1"/>
  <c r="E1021" i="30"/>
  <c r="F1021" i="30" s="1"/>
  <c r="G1021" i="30" s="1"/>
  <c r="H1021" i="30" s="1"/>
  <c r="I1021" i="30" s="1"/>
  <c r="E1022" i="30"/>
  <c r="F1022" i="30" s="1"/>
  <c r="G1022" i="30" s="1"/>
  <c r="H1022" i="30" s="1"/>
  <c r="I1022" i="30" s="1"/>
  <c r="E1023" i="30"/>
  <c r="F1023" i="30" s="1"/>
  <c r="G1023" i="30" s="1"/>
  <c r="H1023" i="30" s="1"/>
  <c r="I1023" i="30" s="1"/>
  <c r="E1024" i="30"/>
  <c r="F1024" i="30" s="1"/>
  <c r="G1024" i="30" s="1"/>
  <c r="H1024" i="30" s="1"/>
  <c r="I1024" i="30" s="1"/>
  <c r="E1025" i="30"/>
  <c r="F1025" i="30" s="1"/>
  <c r="G1025" i="30" s="1"/>
  <c r="H1025" i="30" s="1"/>
  <c r="I1025" i="30" s="1"/>
  <c r="E1026" i="30"/>
  <c r="F1026" i="30" s="1"/>
  <c r="G1026" i="30" s="1"/>
  <c r="H1026" i="30" s="1"/>
  <c r="I1026" i="30" s="1"/>
  <c r="E1027" i="30"/>
  <c r="F1027" i="30" s="1"/>
  <c r="G1027" i="30" s="1"/>
  <c r="H1027" i="30" s="1"/>
  <c r="I1027" i="30" s="1"/>
  <c r="E1028" i="30"/>
  <c r="F1028" i="30" s="1"/>
  <c r="G1028" i="30" s="1"/>
  <c r="H1028" i="30" s="1"/>
  <c r="I1028" i="30" s="1"/>
  <c r="E1029" i="30"/>
  <c r="F1029" i="30" s="1"/>
  <c r="G1029" i="30" s="1"/>
  <c r="H1029" i="30" s="1"/>
  <c r="I1029" i="30" s="1"/>
  <c r="E1030" i="30"/>
  <c r="F1030" i="30" s="1"/>
  <c r="G1030" i="30" s="1"/>
  <c r="H1030" i="30" s="1"/>
  <c r="I1030" i="30" s="1"/>
  <c r="E1031" i="30"/>
  <c r="F1031" i="30" s="1"/>
  <c r="G1031" i="30" s="1"/>
  <c r="H1031" i="30" s="1"/>
  <c r="I1031" i="30" s="1"/>
  <c r="E1032" i="30"/>
  <c r="F1032" i="30" s="1"/>
  <c r="G1032" i="30" s="1"/>
  <c r="H1032" i="30" s="1"/>
  <c r="I1032" i="30" s="1"/>
  <c r="E1033" i="30"/>
  <c r="F1033" i="30" s="1"/>
  <c r="G1033" i="30" s="1"/>
  <c r="H1033" i="30" s="1"/>
  <c r="I1033" i="30" s="1"/>
  <c r="E1034" i="30"/>
  <c r="F1034" i="30" s="1"/>
  <c r="G1034" i="30" s="1"/>
  <c r="H1034" i="30" s="1"/>
  <c r="I1034" i="30" s="1"/>
  <c r="E1035" i="30"/>
  <c r="F1035" i="30" s="1"/>
  <c r="G1035" i="30" s="1"/>
  <c r="H1035" i="30" s="1"/>
  <c r="I1035" i="30" s="1"/>
  <c r="E1036" i="30"/>
  <c r="F1036" i="30" s="1"/>
  <c r="G1036" i="30" s="1"/>
  <c r="H1036" i="30" s="1"/>
  <c r="I1036" i="30" s="1"/>
  <c r="E1037" i="30"/>
  <c r="F1037" i="30" s="1"/>
  <c r="G1037" i="30" s="1"/>
  <c r="H1037" i="30" s="1"/>
  <c r="I1037" i="30" s="1"/>
  <c r="E1038" i="30"/>
  <c r="F1038" i="30" s="1"/>
  <c r="G1038" i="30" s="1"/>
  <c r="H1038" i="30" s="1"/>
  <c r="I1038" i="30" s="1"/>
  <c r="E1039" i="30"/>
  <c r="F1039" i="30" s="1"/>
  <c r="G1039" i="30" s="1"/>
  <c r="H1039" i="30" s="1"/>
  <c r="I1039" i="30" s="1"/>
  <c r="E1040" i="30"/>
  <c r="F1040" i="30" s="1"/>
  <c r="G1040" i="30" s="1"/>
  <c r="H1040" i="30" s="1"/>
  <c r="I1040" i="30" s="1"/>
  <c r="E1041" i="30"/>
  <c r="F1041" i="30" s="1"/>
  <c r="G1041" i="30" s="1"/>
  <c r="H1041" i="30" s="1"/>
  <c r="I1041" i="30" s="1"/>
  <c r="E1042" i="30"/>
  <c r="F1042" i="30" s="1"/>
  <c r="G1042" i="30" s="1"/>
  <c r="H1042" i="30" s="1"/>
  <c r="I1042" i="30" s="1"/>
  <c r="E1043" i="30"/>
  <c r="F1043" i="30" s="1"/>
  <c r="G1043" i="30" s="1"/>
  <c r="H1043" i="30" s="1"/>
  <c r="I1043" i="30" s="1"/>
  <c r="E1044" i="30"/>
  <c r="F1044" i="30" s="1"/>
  <c r="G1044" i="30" s="1"/>
  <c r="H1044" i="30" s="1"/>
  <c r="I1044" i="30" s="1"/>
  <c r="E1045" i="30"/>
  <c r="F1045" i="30" s="1"/>
  <c r="G1045" i="30" s="1"/>
  <c r="H1045" i="30" s="1"/>
  <c r="I1045" i="30" s="1"/>
  <c r="E1046" i="30"/>
  <c r="F1046" i="30" s="1"/>
  <c r="G1046" i="30" s="1"/>
  <c r="H1046" i="30" s="1"/>
  <c r="I1046" i="30" s="1"/>
  <c r="E1047" i="30"/>
  <c r="F1047" i="30" s="1"/>
  <c r="G1047" i="30" s="1"/>
  <c r="H1047" i="30" s="1"/>
  <c r="I1047" i="30" s="1"/>
  <c r="E1048" i="30"/>
  <c r="F1048" i="30" s="1"/>
  <c r="G1048" i="30" s="1"/>
  <c r="H1048" i="30" s="1"/>
  <c r="I1048" i="30" s="1"/>
  <c r="E1049" i="30"/>
  <c r="F1049" i="30" s="1"/>
  <c r="G1049" i="30" s="1"/>
  <c r="H1049" i="30" s="1"/>
  <c r="I1049" i="30" s="1"/>
  <c r="E1050" i="30"/>
  <c r="F1050" i="30" s="1"/>
  <c r="G1050" i="30" s="1"/>
  <c r="H1050" i="30" s="1"/>
  <c r="I1050" i="30" s="1"/>
  <c r="E1051" i="30"/>
  <c r="F1051" i="30" s="1"/>
  <c r="G1051" i="30" s="1"/>
  <c r="H1051" i="30" s="1"/>
  <c r="I1051" i="30" s="1"/>
  <c r="E1052" i="30"/>
  <c r="F1052" i="30" s="1"/>
  <c r="G1052" i="30" s="1"/>
  <c r="H1052" i="30" s="1"/>
  <c r="I1052" i="30" s="1"/>
  <c r="E1053" i="30"/>
  <c r="F1053" i="30" s="1"/>
  <c r="G1053" i="30" s="1"/>
  <c r="H1053" i="30" s="1"/>
  <c r="I1053" i="30" s="1"/>
  <c r="E1054" i="30"/>
  <c r="F1054" i="30" s="1"/>
  <c r="G1054" i="30" s="1"/>
  <c r="H1054" i="30" s="1"/>
  <c r="I1054" i="30" s="1"/>
  <c r="E1055" i="30"/>
  <c r="F1055" i="30" s="1"/>
  <c r="G1055" i="30" s="1"/>
  <c r="H1055" i="30" s="1"/>
  <c r="I1055" i="30" s="1"/>
  <c r="E1056" i="30"/>
  <c r="F1056" i="30" s="1"/>
  <c r="G1056" i="30" s="1"/>
  <c r="H1056" i="30" s="1"/>
  <c r="I1056" i="30" s="1"/>
  <c r="E1057" i="30"/>
  <c r="F1057" i="30" s="1"/>
  <c r="G1057" i="30" s="1"/>
  <c r="H1057" i="30" s="1"/>
  <c r="I1057" i="30" s="1"/>
  <c r="E1058" i="30"/>
  <c r="F1058" i="30" s="1"/>
  <c r="G1058" i="30" s="1"/>
  <c r="H1058" i="30" s="1"/>
  <c r="I1058" i="30" s="1"/>
  <c r="E1059" i="30"/>
  <c r="F1059" i="30" s="1"/>
  <c r="G1059" i="30" s="1"/>
  <c r="H1059" i="30" s="1"/>
  <c r="I1059" i="30" s="1"/>
  <c r="E1060" i="30"/>
  <c r="F1060" i="30" s="1"/>
  <c r="G1060" i="30" s="1"/>
  <c r="H1060" i="30" s="1"/>
  <c r="I1060" i="30" s="1"/>
  <c r="E1061" i="30"/>
  <c r="F1061" i="30" s="1"/>
  <c r="G1061" i="30" s="1"/>
  <c r="H1061" i="30" s="1"/>
  <c r="I1061" i="30" s="1"/>
  <c r="E1062" i="30"/>
  <c r="F1062" i="30" s="1"/>
  <c r="G1062" i="30" s="1"/>
  <c r="H1062" i="30" s="1"/>
  <c r="I1062" i="30" s="1"/>
  <c r="E1063" i="30"/>
  <c r="F1063" i="30" s="1"/>
  <c r="G1063" i="30" s="1"/>
  <c r="H1063" i="30" s="1"/>
  <c r="I1063" i="30" s="1"/>
  <c r="E1064" i="30"/>
  <c r="F1064" i="30" s="1"/>
  <c r="G1064" i="30" s="1"/>
  <c r="H1064" i="30" s="1"/>
  <c r="I1064" i="30" s="1"/>
  <c r="E1065" i="30"/>
  <c r="F1065" i="30" s="1"/>
  <c r="G1065" i="30" s="1"/>
  <c r="H1065" i="30" s="1"/>
  <c r="I1065" i="30" s="1"/>
  <c r="E1066" i="30"/>
  <c r="F1066" i="30" s="1"/>
  <c r="G1066" i="30" s="1"/>
  <c r="H1066" i="30" s="1"/>
  <c r="I1066" i="30" s="1"/>
  <c r="E1067" i="30"/>
  <c r="F1067" i="30" s="1"/>
  <c r="G1067" i="30" s="1"/>
  <c r="H1067" i="30" s="1"/>
  <c r="I1067" i="30" s="1"/>
  <c r="E1068" i="30"/>
  <c r="F1068" i="30" s="1"/>
  <c r="G1068" i="30" s="1"/>
  <c r="H1068" i="30" s="1"/>
  <c r="I1068" i="30" s="1"/>
  <c r="E1069" i="30"/>
  <c r="F1069" i="30" s="1"/>
  <c r="G1069" i="30" s="1"/>
  <c r="H1069" i="30" s="1"/>
  <c r="I1069" i="30" s="1"/>
  <c r="E1070" i="30"/>
  <c r="F1070" i="30" s="1"/>
  <c r="G1070" i="30" s="1"/>
  <c r="H1070" i="30" s="1"/>
  <c r="I1070" i="30" s="1"/>
  <c r="E1071" i="30"/>
  <c r="F1071" i="30" s="1"/>
  <c r="G1071" i="30" s="1"/>
  <c r="H1071" i="30" s="1"/>
  <c r="I1071" i="30" s="1"/>
  <c r="E1072" i="30"/>
  <c r="F1072" i="30" s="1"/>
  <c r="G1072" i="30" s="1"/>
  <c r="H1072" i="30" s="1"/>
  <c r="I1072" i="30" s="1"/>
  <c r="E1073" i="30"/>
  <c r="F1073" i="30" s="1"/>
  <c r="G1073" i="30" s="1"/>
  <c r="H1073" i="30" s="1"/>
  <c r="I1073" i="30" s="1"/>
  <c r="E1074" i="30"/>
  <c r="F1074" i="30"/>
  <c r="G1074" i="30" s="1"/>
  <c r="H1074" i="30" s="1"/>
  <c r="I1074" i="30" s="1"/>
  <c r="E1075" i="30"/>
  <c r="F1075" i="30" s="1"/>
  <c r="G1075" i="30" s="1"/>
  <c r="H1075" i="30" s="1"/>
  <c r="I1075" i="30" s="1"/>
  <c r="E1076" i="30"/>
  <c r="F1076" i="30" s="1"/>
  <c r="G1076" i="30" s="1"/>
  <c r="H1076" i="30" s="1"/>
  <c r="I1076" i="30" s="1"/>
  <c r="E1077" i="30"/>
  <c r="F1077" i="30" s="1"/>
  <c r="G1077" i="30" s="1"/>
  <c r="H1077" i="30" s="1"/>
  <c r="I1077" i="30" s="1"/>
  <c r="E1078" i="30"/>
  <c r="F1078" i="30" s="1"/>
  <c r="G1078" i="30" s="1"/>
  <c r="H1078" i="30" s="1"/>
  <c r="I1078" i="30" s="1"/>
  <c r="E1079" i="30"/>
  <c r="F1079" i="30" s="1"/>
  <c r="G1079" i="30" s="1"/>
  <c r="H1079" i="30" s="1"/>
  <c r="I1079" i="30" s="1"/>
  <c r="E1080" i="30"/>
  <c r="F1080" i="30" s="1"/>
  <c r="G1080" i="30" s="1"/>
  <c r="H1080" i="30" s="1"/>
  <c r="I1080" i="30" s="1"/>
  <c r="E1081" i="30"/>
  <c r="F1081" i="30" s="1"/>
  <c r="G1081" i="30" s="1"/>
  <c r="H1081" i="30" s="1"/>
  <c r="I1081" i="30" s="1"/>
  <c r="E1082" i="30"/>
  <c r="F1082" i="30" s="1"/>
  <c r="G1082" i="30" s="1"/>
  <c r="H1082" i="30" s="1"/>
  <c r="I1082" i="30" s="1"/>
  <c r="E1083" i="30"/>
  <c r="F1083" i="30" s="1"/>
  <c r="G1083" i="30" s="1"/>
  <c r="H1083" i="30" s="1"/>
  <c r="I1083" i="30" s="1"/>
  <c r="E1084" i="30"/>
  <c r="F1084" i="30" s="1"/>
  <c r="G1084" i="30" s="1"/>
  <c r="H1084" i="30" s="1"/>
  <c r="I1084" i="30" s="1"/>
  <c r="E1085" i="30"/>
  <c r="F1085" i="30" s="1"/>
  <c r="G1085" i="30" s="1"/>
  <c r="H1085" i="30" s="1"/>
  <c r="I1085" i="30" s="1"/>
  <c r="E1086" i="30"/>
  <c r="F1086" i="30" s="1"/>
  <c r="G1086" i="30" s="1"/>
  <c r="H1086" i="30" s="1"/>
  <c r="I1086" i="30" s="1"/>
  <c r="E1087" i="30"/>
  <c r="F1087" i="30" s="1"/>
  <c r="G1087" i="30" s="1"/>
  <c r="H1087" i="30" s="1"/>
  <c r="I1087" i="30" s="1"/>
  <c r="E1088" i="30"/>
  <c r="F1088" i="30" s="1"/>
  <c r="G1088" i="30" s="1"/>
  <c r="H1088" i="30" s="1"/>
  <c r="I1088" i="30" s="1"/>
  <c r="E1089" i="30"/>
  <c r="F1089" i="30" s="1"/>
  <c r="G1089" i="30" s="1"/>
  <c r="H1089" i="30" s="1"/>
  <c r="I1089" i="30" s="1"/>
  <c r="E1090" i="30"/>
  <c r="F1090" i="30" s="1"/>
  <c r="G1090" i="30" s="1"/>
  <c r="H1090" i="30" s="1"/>
  <c r="I1090" i="30" s="1"/>
  <c r="E1091" i="30"/>
  <c r="F1091" i="30" s="1"/>
  <c r="G1091" i="30" s="1"/>
  <c r="H1091" i="30" s="1"/>
  <c r="I1091" i="30" s="1"/>
  <c r="E1092" i="30"/>
  <c r="F1092" i="30" s="1"/>
  <c r="G1092" i="30" s="1"/>
  <c r="H1092" i="30" s="1"/>
  <c r="I1092" i="30" s="1"/>
  <c r="E1093" i="30"/>
  <c r="F1093" i="30" s="1"/>
  <c r="G1093" i="30" s="1"/>
  <c r="H1093" i="30" s="1"/>
  <c r="I1093" i="30" s="1"/>
  <c r="E1094" i="30"/>
  <c r="F1094" i="30" s="1"/>
  <c r="G1094" i="30" s="1"/>
  <c r="H1094" i="30" s="1"/>
  <c r="I1094" i="30" s="1"/>
  <c r="E1095" i="30"/>
  <c r="F1095" i="30" s="1"/>
  <c r="G1095" i="30" s="1"/>
  <c r="H1095" i="30" s="1"/>
  <c r="I1095" i="30" s="1"/>
  <c r="E1096" i="30"/>
  <c r="F1096" i="30" s="1"/>
  <c r="G1096" i="30" s="1"/>
  <c r="H1096" i="30" s="1"/>
  <c r="I1096" i="30" s="1"/>
  <c r="E1097" i="30"/>
  <c r="F1097" i="30" s="1"/>
  <c r="G1097" i="30" s="1"/>
  <c r="H1097" i="30" s="1"/>
  <c r="I1097" i="30" s="1"/>
  <c r="E1098" i="30"/>
  <c r="F1098" i="30" s="1"/>
  <c r="G1098" i="30" s="1"/>
  <c r="H1098" i="30" s="1"/>
  <c r="I1098" i="30" s="1"/>
  <c r="E1099" i="30"/>
  <c r="F1099" i="30" s="1"/>
  <c r="G1099" i="30" s="1"/>
  <c r="H1099" i="30" s="1"/>
  <c r="I1099" i="30" s="1"/>
  <c r="E1100" i="30"/>
  <c r="F1100" i="30" s="1"/>
  <c r="G1100" i="30" s="1"/>
  <c r="H1100" i="30" s="1"/>
  <c r="I1100" i="30" s="1"/>
  <c r="E1101" i="30"/>
  <c r="F1101" i="30" s="1"/>
  <c r="G1101" i="30" s="1"/>
  <c r="H1101" i="30" s="1"/>
  <c r="I1101" i="30" s="1"/>
  <c r="E1102" i="30"/>
  <c r="F1102" i="30" s="1"/>
  <c r="G1102" i="30" s="1"/>
  <c r="H1102" i="30" s="1"/>
  <c r="I1102" i="30" s="1"/>
  <c r="E1103" i="30"/>
  <c r="F1103" i="30" s="1"/>
  <c r="G1103" i="30" s="1"/>
  <c r="H1103" i="30" s="1"/>
  <c r="I1103" i="30" s="1"/>
  <c r="E1104" i="30"/>
  <c r="F1104" i="30" s="1"/>
  <c r="G1104" i="30" s="1"/>
  <c r="H1104" i="30" s="1"/>
  <c r="I1104" i="30" s="1"/>
  <c r="E1105" i="30"/>
  <c r="F1105" i="30" s="1"/>
  <c r="G1105" i="30" s="1"/>
  <c r="H1105" i="30" s="1"/>
  <c r="I1105" i="30" s="1"/>
  <c r="E1106" i="30"/>
  <c r="F1106" i="30" s="1"/>
  <c r="G1106" i="30" s="1"/>
  <c r="H1106" i="30" s="1"/>
  <c r="I1106" i="30" s="1"/>
  <c r="E1107" i="30"/>
  <c r="F1107" i="30" s="1"/>
  <c r="G1107" i="30" s="1"/>
  <c r="H1107" i="30" s="1"/>
  <c r="I1107" i="30" s="1"/>
  <c r="E1108" i="30"/>
  <c r="F1108" i="30" s="1"/>
  <c r="G1108" i="30" s="1"/>
  <c r="H1108" i="30" s="1"/>
  <c r="I1108" i="30" s="1"/>
  <c r="E1109" i="30"/>
  <c r="F1109" i="30" s="1"/>
  <c r="G1109" i="30" s="1"/>
  <c r="H1109" i="30" s="1"/>
  <c r="I1109" i="30" s="1"/>
  <c r="E1110" i="30"/>
  <c r="F1110" i="30" s="1"/>
  <c r="G1110" i="30" s="1"/>
  <c r="H1110" i="30" s="1"/>
  <c r="I1110" i="30" s="1"/>
  <c r="E1111" i="30"/>
  <c r="F1111" i="30" s="1"/>
  <c r="G1111" i="30" s="1"/>
  <c r="H1111" i="30" s="1"/>
  <c r="I1111" i="30" s="1"/>
  <c r="E1112" i="30"/>
  <c r="F1112" i="30" s="1"/>
  <c r="G1112" i="30" s="1"/>
  <c r="H1112" i="30" s="1"/>
  <c r="I1112" i="30" s="1"/>
  <c r="E1113" i="30"/>
  <c r="F1113" i="30" s="1"/>
  <c r="G1113" i="30" s="1"/>
  <c r="H1113" i="30" s="1"/>
  <c r="I1113" i="30" s="1"/>
  <c r="E1114" i="30"/>
  <c r="F1114" i="30" s="1"/>
  <c r="G1114" i="30" s="1"/>
  <c r="H1114" i="30" s="1"/>
  <c r="I1114" i="30" s="1"/>
  <c r="E1115" i="30"/>
  <c r="F1115" i="30" s="1"/>
  <c r="G1115" i="30" s="1"/>
  <c r="H1115" i="30" s="1"/>
  <c r="I1115" i="30" s="1"/>
  <c r="E1116" i="30"/>
  <c r="F1116" i="30" s="1"/>
  <c r="G1116" i="30" s="1"/>
  <c r="H1116" i="30" s="1"/>
  <c r="I1116" i="30" s="1"/>
  <c r="E1117" i="30"/>
  <c r="F1117" i="30" s="1"/>
  <c r="G1117" i="30" s="1"/>
  <c r="H1117" i="30" s="1"/>
  <c r="I1117" i="30" s="1"/>
  <c r="E1118" i="30"/>
  <c r="F1118" i="30" s="1"/>
  <c r="G1118" i="30" s="1"/>
  <c r="H1118" i="30" s="1"/>
  <c r="I1118" i="30" s="1"/>
  <c r="E1119" i="30"/>
  <c r="F1119" i="30" s="1"/>
  <c r="G1119" i="30" s="1"/>
  <c r="H1119" i="30" s="1"/>
  <c r="I1119" i="30" s="1"/>
  <c r="E1120" i="30"/>
  <c r="F1120" i="30" s="1"/>
  <c r="G1120" i="30" s="1"/>
  <c r="H1120" i="30" s="1"/>
  <c r="I1120" i="30" s="1"/>
  <c r="E1121" i="30"/>
  <c r="F1121" i="30" s="1"/>
  <c r="G1121" i="30" s="1"/>
  <c r="H1121" i="30" s="1"/>
  <c r="I1121" i="30" s="1"/>
  <c r="E1122" i="30"/>
  <c r="F1122" i="30" s="1"/>
  <c r="G1122" i="30" s="1"/>
  <c r="H1122" i="30" s="1"/>
  <c r="I1122" i="30" s="1"/>
  <c r="E1123" i="30"/>
  <c r="F1123" i="30" s="1"/>
  <c r="G1123" i="30" s="1"/>
  <c r="H1123" i="30" s="1"/>
  <c r="I1123" i="30" s="1"/>
  <c r="E1124" i="30"/>
  <c r="F1124" i="30" s="1"/>
  <c r="G1124" i="30" s="1"/>
  <c r="H1124" i="30" s="1"/>
  <c r="I1124" i="30" s="1"/>
  <c r="E1125" i="30"/>
  <c r="F1125" i="30" s="1"/>
  <c r="G1125" i="30" s="1"/>
  <c r="H1125" i="30" s="1"/>
  <c r="I1125" i="30" s="1"/>
  <c r="E1126" i="30"/>
  <c r="F1126" i="30" s="1"/>
  <c r="G1126" i="30" s="1"/>
  <c r="H1126" i="30" s="1"/>
  <c r="I1126" i="30" s="1"/>
  <c r="E1127" i="30"/>
  <c r="F1127" i="30" s="1"/>
  <c r="G1127" i="30" s="1"/>
  <c r="H1127" i="30" s="1"/>
  <c r="I1127" i="30" s="1"/>
  <c r="E1128" i="30"/>
  <c r="F1128" i="30" s="1"/>
  <c r="G1128" i="30" s="1"/>
  <c r="H1128" i="30" s="1"/>
  <c r="I1128" i="30" s="1"/>
  <c r="E1129" i="30"/>
  <c r="F1129" i="30" s="1"/>
  <c r="G1129" i="30" s="1"/>
  <c r="H1129" i="30" s="1"/>
  <c r="I1129" i="30" s="1"/>
  <c r="E1130" i="30"/>
  <c r="F1130" i="30" s="1"/>
  <c r="G1130" i="30" s="1"/>
  <c r="H1130" i="30" s="1"/>
  <c r="I1130" i="30" s="1"/>
  <c r="E1131" i="30"/>
  <c r="F1131" i="30" s="1"/>
  <c r="G1131" i="30" s="1"/>
  <c r="H1131" i="30" s="1"/>
  <c r="I1131" i="30" s="1"/>
  <c r="E1132" i="30"/>
  <c r="F1132" i="30" s="1"/>
  <c r="G1132" i="30" s="1"/>
  <c r="H1132" i="30" s="1"/>
  <c r="I1132" i="30" s="1"/>
  <c r="E1133" i="30"/>
  <c r="F1133" i="30" s="1"/>
  <c r="G1133" i="30" s="1"/>
  <c r="H1133" i="30" s="1"/>
  <c r="I1133" i="30" s="1"/>
  <c r="E1134" i="30"/>
  <c r="F1134" i="30" s="1"/>
  <c r="G1134" i="30" s="1"/>
  <c r="H1134" i="30" s="1"/>
  <c r="I1134" i="30" s="1"/>
  <c r="E1135" i="30"/>
  <c r="F1135" i="30" s="1"/>
  <c r="G1135" i="30" s="1"/>
  <c r="H1135" i="30" s="1"/>
  <c r="I1135" i="30" s="1"/>
  <c r="E1136" i="30"/>
  <c r="F1136" i="30" s="1"/>
  <c r="G1136" i="30" s="1"/>
  <c r="H1136" i="30" s="1"/>
  <c r="I1136" i="30" s="1"/>
  <c r="E1137" i="30"/>
  <c r="F1137" i="30" s="1"/>
  <c r="G1137" i="30" s="1"/>
  <c r="H1137" i="30" s="1"/>
  <c r="I1137" i="30" s="1"/>
  <c r="E1138" i="30"/>
  <c r="F1138" i="30" s="1"/>
  <c r="G1138" i="30" s="1"/>
  <c r="H1138" i="30" s="1"/>
  <c r="I1138" i="30" s="1"/>
  <c r="E1139" i="30"/>
  <c r="F1139" i="30" s="1"/>
  <c r="G1139" i="30" s="1"/>
  <c r="H1139" i="30" s="1"/>
  <c r="I1139" i="30" s="1"/>
  <c r="E1140" i="30"/>
  <c r="F1140" i="30" s="1"/>
  <c r="G1140" i="30" s="1"/>
  <c r="H1140" i="30" s="1"/>
  <c r="I1140" i="30" s="1"/>
  <c r="E1141" i="30"/>
  <c r="F1141" i="30" s="1"/>
  <c r="G1141" i="30" s="1"/>
  <c r="H1141" i="30" s="1"/>
  <c r="I1141" i="30" s="1"/>
  <c r="E1142" i="30"/>
  <c r="F1142" i="30" s="1"/>
  <c r="G1142" i="30" s="1"/>
  <c r="H1142" i="30" s="1"/>
  <c r="I1142" i="30" s="1"/>
  <c r="E1143" i="30"/>
  <c r="F1143" i="30" s="1"/>
  <c r="G1143" i="30" s="1"/>
  <c r="H1143" i="30" s="1"/>
  <c r="I1143" i="30" s="1"/>
  <c r="E1144" i="30"/>
  <c r="F1144" i="30" s="1"/>
  <c r="G1144" i="30" s="1"/>
  <c r="H1144" i="30" s="1"/>
  <c r="I1144" i="30" s="1"/>
  <c r="E1145" i="30"/>
  <c r="F1145" i="30" s="1"/>
  <c r="G1145" i="30" s="1"/>
  <c r="H1145" i="30" s="1"/>
  <c r="I1145" i="30" s="1"/>
  <c r="E1146" i="30"/>
  <c r="F1146" i="30" s="1"/>
  <c r="G1146" i="30" s="1"/>
  <c r="H1146" i="30" s="1"/>
  <c r="I1146" i="30" s="1"/>
  <c r="E1147" i="30"/>
  <c r="F1147" i="30" s="1"/>
  <c r="G1147" i="30" s="1"/>
  <c r="H1147" i="30" s="1"/>
  <c r="I1147" i="30" s="1"/>
  <c r="E1148" i="30"/>
  <c r="F1148" i="30" s="1"/>
  <c r="G1148" i="30" s="1"/>
  <c r="H1148" i="30" s="1"/>
  <c r="I1148" i="30" s="1"/>
  <c r="E1149" i="30"/>
  <c r="F1149" i="30" s="1"/>
  <c r="G1149" i="30" s="1"/>
  <c r="H1149" i="30" s="1"/>
  <c r="I1149" i="30" s="1"/>
  <c r="E1150" i="30"/>
  <c r="F1150" i="30" s="1"/>
  <c r="G1150" i="30" s="1"/>
  <c r="H1150" i="30" s="1"/>
  <c r="I1150" i="30" s="1"/>
  <c r="E1151" i="30"/>
  <c r="F1151" i="30" s="1"/>
  <c r="G1151" i="30" s="1"/>
  <c r="H1151" i="30" s="1"/>
  <c r="I1151" i="30" s="1"/>
  <c r="E1152" i="30"/>
  <c r="F1152" i="30" s="1"/>
  <c r="G1152" i="30" s="1"/>
  <c r="H1152" i="30" s="1"/>
  <c r="I1152" i="30" s="1"/>
  <c r="E1153" i="30"/>
  <c r="F1153" i="30" s="1"/>
  <c r="G1153" i="30" s="1"/>
  <c r="H1153" i="30" s="1"/>
  <c r="I1153" i="30" s="1"/>
  <c r="E1154" i="30"/>
  <c r="F1154" i="30" s="1"/>
  <c r="G1154" i="30" s="1"/>
  <c r="H1154" i="30" s="1"/>
  <c r="I1154" i="30" s="1"/>
  <c r="E1155" i="30"/>
  <c r="F1155" i="30" s="1"/>
  <c r="G1155" i="30" s="1"/>
  <c r="H1155" i="30" s="1"/>
  <c r="I1155" i="30" s="1"/>
  <c r="E1156" i="30"/>
  <c r="F1156" i="30" s="1"/>
  <c r="G1156" i="30" s="1"/>
  <c r="H1156" i="30" s="1"/>
  <c r="I1156" i="30" s="1"/>
  <c r="E1157" i="30"/>
  <c r="F1157" i="30" s="1"/>
  <c r="G1157" i="30" s="1"/>
  <c r="H1157" i="30" s="1"/>
  <c r="I1157" i="30" s="1"/>
  <c r="E1158" i="30"/>
  <c r="F1158" i="30" s="1"/>
  <c r="G1158" i="30" s="1"/>
  <c r="H1158" i="30" s="1"/>
  <c r="I1158" i="30" s="1"/>
  <c r="E1159" i="30"/>
  <c r="F1159" i="30" s="1"/>
  <c r="G1159" i="30" s="1"/>
  <c r="H1159" i="30" s="1"/>
  <c r="I1159" i="30" s="1"/>
  <c r="E1160" i="30"/>
  <c r="F1160" i="30" s="1"/>
  <c r="G1160" i="30" s="1"/>
  <c r="H1160" i="30" s="1"/>
  <c r="I1160" i="30" s="1"/>
  <c r="E1161" i="30"/>
  <c r="F1161" i="30" s="1"/>
  <c r="G1161" i="30" s="1"/>
  <c r="H1161" i="30" s="1"/>
  <c r="I1161" i="30" s="1"/>
  <c r="E1162" i="30"/>
  <c r="F1162" i="30" s="1"/>
  <c r="G1162" i="30" s="1"/>
  <c r="H1162" i="30" s="1"/>
  <c r="I1162" i="30" s="1"/>
  <c r="E1163" i="30"/>
  <c r="F1163" i="30" s="1"/>
  <c r="G1163" i="30" s="1"/>
  <c r="H1163" i="30" s="1"/>
  <c r="I1163" i="30" s="1"/>
  <c r="E1164" i="30"/>
  <c r="F1164" i="30" s="1"/>
  <c r="G1164" i="30" s="1"/>
  <c r="H1164" i="30" s="1"/>
  <c r="I1164" i="30" s="1"/>
  <c r="E1165" i="30"/>
  <c r="F1165" i="30" s="1"/>
  <c r="G1165" i="30" s="1"/>
  <c r="H1165" i="30" s="1"/>
  <c r="I1165" i="30" s="1"/>
  <c r="E1166" i="30"/>
  <c r="F1166" i="30" s="1"/>
  <c r="G1166" i="30" s="1"/>
  <c r="H1166" i="30" s="1"/>
  <c r="I1166" i="30" s="1"/>
  <c r="E1167" i="30"/>
  <c r="F1167" i="30" s="1"/>
  <c r="G1167" i="30" s="1"/>
  <c r="H1167" i="30" s="1"/>
  <c r="I1167" i="30" s="1"/>
  <c r="E1168" i="30"/>
  <c r="F1168" i="30" s="1"/>
  <c r="G1168" i="30" s="1"/>
  <c r="H1168" i="30" s="1"/>
  <c r="I1168" i="30" s="1"/>
  <c r="E1169" i="30"/>
  <c r="F1169" i="30" s="1"/>
  <c r="G1169" i="30" s="1"/>
  <c r="H1169" i="30" s="1"/>
  <c r="I1169" i="30" s="1"/>
  <c r="E1170" i="30"/>
  <c r="F1170" i="30" s="1"/>
  <c r="G1170" i="30" s="1"/>
  <c r="H1170" i="30" s="1"/>
  <c r="I1170" i="30" s="1"/>
  <c r="E1171" i="30"/>
  <c r="F1171" i="30" s="1"/>
  <c r="G1171" i="30" s="1"/>
  <c r="H1171" i="30" s="1"/>
  <c r="I1171" i="30" s="1"/>
  <c r="E1172" i="30"/>
  <c r="F1172" i="30" s="1"/>
  <c r="G1172" i="30" s="1"/>
  <c r="H1172" i="30" s="1"/>
  <c r="I1172" i="30" s="1"/>
  <c r="E1173" i="30"/>
  <c r="F1173" i="30" s="1"/>
  <c r="G1173" i="30" s="1"/>
  <c r="H1173" i="30" s="1"/>
  <c r="I1173" i="30" s="1"/>
  <c r="E1174" i="30"/>
  <c r="F1174" i="30" s="1"/>
  <c r="G1174" i="30" s="1"/>
  <c r="H1174" i="30" s="1"/>
  <c r="I1174" i="30" s="1"/>
  <c r="E1175" i="30"/>
  <c r="F1175" i="30" s="1"/>
  <c r="G1175" i="30" s="1"/>
  <c r="H1175" i="30" s="1"/>
  <c r="I1175" i="30" s="1"/>
  <c r="E1176" i="30"/>
  <c r="F1176" i="30" s="1"/>
  <c r="G1176" i="30" s="1"/>
  <c r="H1176" i="30" s="1"/>
  <c r="I1176" i="30" s="1"/>
  <c r="E1177" i="30"/>
  <c r="F1177" i="30" s="1"/>
  <c r="G1177" i="30" s="1"/>
  <c r="H1177" i="30" s="1"/>
  <c r="I1177" i="30" s="1"/>
  <c r="E1178" i="30"/>
  <c r="F1178" i="30" s="1"/>
  <c r="G1178" i="30" s="1"/>
  <c r="H1178" i="30" s="1"/>
  <c r="I1178" i="30" s="1"/>
  <c r="E1179" i="30"/>
  <c r="F1179" i="30" s="1"/>
  <c r="G1179" i="30" s="1"/>
  <c r="H1179" i="30" s="1"/>
  <c r="I1179" i="30" s="1"/>
  <c r="E1180" i="30"/>
  <c r="F1180" i="30" s="1"/>
  <c r="G1180" i="30" s="1"/>
  <c r="H1180" i="30" s="1"/>
  <c r="I1180" i="30" s="1"/>
  <c r="E1181" i="30"/>
  <c r="F1181" i="30" s="1"/>
  <c r="G1181" i="30" s="1"/>
  <c r="H1181" i="30" s="1"/>
  <c r="I1181" i="30" s="1"/>
  <c r="E1182" i="30"/>
  <c r="F1182" i="30" s="1"/>
  <c r="G1182" i="30" s="1"/>
  <c r="H1182" i="30" s="1"/>
  <c r="I1182" i="30" s="1"/>
  <c r="E1183" i="30"/>
  <c r="F1183" i="30" s="1"/>
  <c r="G1183" i="30" s="1"/>
  <c r="H1183" i="30" s="1"/>
  <c r="I1183" i="30" s="1"/>
  <c r="E1184" i="30"/>
  <c r="F1184" i="30" s="1"/>
  <c r="G1184" i="30" s="1"/>
  <c r="H1184" i="30" s="1"/>
  <c r="I1184" i="30" s="1"/>
  <c r="E1185" i="30"/>
  <c r="F1185" i="30" s="1"/>
  <c r="G1185" i="30" s="1"/>
  <c r="H1185" i="30" s="1"/>
  <c r="I1185" i="30" s="1"/>
  <c r="E1186" i="30"/>
  <c r="F1186" i="30" s="1"/>
  <c r="G1186" i="30" s="1"/>
  <c r="H1186" i="30" s="1"/>
  <c r="I1186" i="30" s="1"/>
  <c r="E1187" i="30"/>
  <c r="F1187" i="30" s="1"/>
  <c r="G1187" i="30" s="1"/>
  <c r="H1187" i="30" s="1"/>
  <c r="I1187" i="30" s="1"/>
  <c r="E1188" i="30"/>
  <c r="F1188" i="30" s="1"/>
  <c r="G1188" i="30" s="1"/>
  <c r="H1188" i="30" s="1"/>
  <c r="I1188" i="30" s="1"/>
  <c r="E1189" i="30"/>
  <c r="F1189" i="30" s="1"/>
  <c r="G1189" i="30" s="1"/>
  <c r="H1189" i="30" s="1"/>
  <c r="I1189" i="30" s="1"/>
  <c r="E1190" i="30"/>
  <c r="F1190" i="30" s="1"/>
  <c r="G1190" i="30" s="1"/>
  <c r="H1190" i="30" s="1"/>
  <c r="I1190" i="30" s="1"/>
  <c r="E1191" i="30"/>
  <c r="F1191" i="30" s="1"/>
  <c r="G1191" i="30" s="1"/>
  <c r="H1191" i="30" s="1"/>
  <c r="I1191" i="30" s="1"/>
  <c r="E1192" i="30"/>
  <c r="F1192" i="30" s="1"/>
  <c r="G1192" i="30" s="1"/>
  <c r="H1192" i="30" s="1"/>
  <c r="I1192" i="30" s="1"/>
  <c r="E1193" i="30"/>
  <c r="F1193" i="30" s="1"/>
  <c r="G1193" i="30" s="1"/>
  <c r="H1193" i="30" s="1"/>
  <c r="I1193" i="30" s="1"/>
  <c r="E1194" i="30"/>
  <c r="F1194" i="30" s="1"/>
  <c r="G1194" i="30" s="1"/>
  <c r="H1194" i="30" s="1"/>
  <c r="I1194" i="30" s="1"/>
  <c r="E1195" i="30"/>
  <c r="F1195" i="30" s="1"/>
  <c r="G1195" i="30" s="1"/>
  <c r="H1195" i="30" s="1"/>
  <c r="I1195" i="30" s="1"/>
  <c r="E1196" i="30"/>
  <c r="F1196" i="30" s="1"/>
  <c r="G1196" i="30" s="1"/>
  <c r="H1196" i="30" s="1"/>
  <c r="I1196" i="30" s="1"/>
  <c r="E1197" i="30"/>
  <c r="F1197" i="30" s="1"/>
  <c r="G1197" i="30" s="1"/>
  <c r="H1197" i="30" s="1"/>
  <c r="I1197" i="30" s="1"/>
  <c r="E1198" i="30"/>
  <c r="F1198" i="30" s="1"/>
  <c r="G1198" i="30" s="1"/>
  <c r="H1198" i="30" s="1"/>
  <c r="I1198" i="30" s="1"/>
  <c r="E1199" i="30"/>
  <c r="F1199" i="30" s="1"/>
  <c r="G1199" i="30" s="1"/>
  <c r="H1199" i="30" s="1"/>
  <c r="I1199" i="30" s="1"/>
  <c r="E1200" i="30"/>
  <c r="F1200" i="30" s="1"/>
  <c r="G1200" i="30" s="1"/>
  <c r="H1200" i="30" s="1"/>
  <c r="I1200" i="30" s="1"/>
  <c r="E1201" i="30"/>
  <c r="F1201" i="30" s="1"/>
  <c r="G1201" i="30" s="1"/>
  <c r="H1201" i="30" s="1"/>
  <c r="I1201" i="30" s="1"/>
  <c r="E1202" i="30"/>
  <c r="F1202" i="30" s="1"/>
  <c r="G1202" i="30" s="1"/>
  <c r="H1202" i="30" s="1"/>
  <c r="I1202" i="30" s="1"/>
  <c r="E1203" i="30"/>
  <c r="F1203" i="30" s="1"/>
  <c r="G1203" i="30" s="1"/>
  <c r="H1203" i="30" s="1"/>
  <c r="I1203" i="30" s="1"/>
  <c r="E1204" i="30"/>
  <c r="F1204" i="30" s="1"/>
  <c r="G1204" i="30" s="1"/>
  <c r="H1204" i="30" s="1"/>
  <c r="I1204" i="30" s="1"/>
  <c r="E1205" i="30"/>
  <c r="F1205" i="30" s="1"/>
  <c r="G1205" i="30" s="1"/>
  <c r="H1205" i="30" s="1"/>
  <c r="I1205" i="30" s="1"/>
  <c r="E1206" i="30"/>
  <c r="F1206" i="30" s="1"/>
  <c r="G1206" i="30" s="1"/>
  <c r="H1206" i="30" s="1"/>
  <c r="I1206" i="30" s="1"/>
  <c r="E1207" i="30"/>
  <c r="F1207" i="30" s="1"/>
  <c r="G1207" i="30" s="1"/>
  <c r="H1207" i="30" s="1"/>
  <c r="I1207" i="30" s="1"/>
  <c r="E1208" i="30"/>
  <c r="F1208" i="30" s="1"/>
  <c r="G1208" i="30" s="1"/>
  <c r="H1208" i="30" s="1"/>
  <c r="I1208" i="30" s="1"/>
  <c r="E1209" i="30"/>
  <c r="F1209" i="30" s="1"/>
  <c r="G1209" i="30" s="1"/>
  <c r="H1209" i="30" s="1"/>
  <c r="I1209" i="30" s="1"/>
  <c r="E1210" i="30"/>
  <c r="F1210" i="30" s="1"/>
  <c r="G1210" i="30" s="1"/>
  <c r="H1210" i="30" s="1"/>
  <c r="I1210" i="30" s="1"/>
  <c r="E1211" i="30"/>
  <c r="F1211" i="30" s="1"/>
  <c r="G1211" i="30" s="1"/>
  <c r="H1211" i="30" s="1"/>
  <c r="I1211" i="30" s="1"/>
  <c r="E1212" i="30"/>
  <c r="F1212" i="30" s="1"/>
  <c r="G1212" i="30" s="1"/>
  <c r="H1212" i="30" s="1"/>
  <c r="I1212" i="30" s="1"/>
  <c r="E1213" i="30"/>
  <c r="F1213" i="30" s="1"/>
  <c r="G1213" i="30" s="1"/>
  <c r="H1213" i="30" s="1"/>
  <c r="I1213" i="30" s="1"/>
  <c r="E1214" i="30"/>
  <c r="F1214" i="30" s="1"/>
  <c r="G1214" i="30" s="1"/>
  <c r="H1214" i="30" s="1"/>
  <c r="I1214" i="30" s="1"/>
  <c r="E1215" i="30"/>
  <c r="F1215" i="30" s="1"/>
  <c r="G1215" i="30" s="1"/>
  <c r="H1215" i="30" s="1"/>
  <c r="I1215" i="30" s="1"/>
  <c r="E1216" i="30"/>
  <c r="F1216" i="30" s="1"/>
  <c r="G1216" i="30" s="1"/>
  <c r="H1216" i="30" s="1"/>
  <c r="I1216" i="30" s="1"/>
  <c r="E1217" i="30"/>
  <c r="F1217" i="30" s="1"/>
  <c r="G1217" i="30" s="1"/>
  <c r="H1217" i="30" s="1"/>
  <c r="I1217" i="30" s="1"/>
  <c r="E1218" i="30"/>
  <c r="F1218" i="30" s="1"/>
  <c r="G1218" i="30" s="1"/>
  <c r="H1218" i="30" s="1"/>
  <c r="I1218" i="30" s="1"/>
  <c r="E1219" i="30"/>
  <c r="F1219" i="30" s="1"/>
  <c r="G1219" i="30" s="1"/>
  <c r="H1219" i="30" s="1"/>
  <c r="I1219" i="30" s="1"/>
  <c r="E1220" i="30"/>
  <c r="F1220" i="30" s="1"/>
  <c r="G1220" i="30" s="1"/>
  <c r="H1220" i="30" s="1"/>
  <c r="I1220" i="30" s="1"/>
  <c r="E1221" i="30"/>
  <c r="F1221" i="30" s="1"/>
  <c r="G1221" i="30" s="1"/>
  <c r="H1221" i="30" s="1"/>
  <c r="I1221" i="30" s="1"/>
  <c r="E1222" i="30"/>
  <c r="F1222" i="30" s="1"/>
  <c r="G1222" i="30" s="1"/>
  <c r="H1222" i="30" s="1"/>
  <c r="I1222" i="30" s="1"/>
  <c r="E1223" i="30"/>
  <c r="F1223" i="30" s="1"/>
  <c r="G1223" i="30" s="1"/>
  <c r="H1223" i="30" s="1"/>
  <c r="I1223" i="30" s="1"/>
  <c r="E1224" i="30"/>
  <c r="F1224" i="30" s="1"/>
  <c r="G1224" i="30" s="1"/>
  <c r="H1224" i="30" s="1"/>
  <c r="I1224" i="30" s="1"/>
  <c r="E1225" i="30"/>
  <c r="F1225" i="30" s="1"/>
  <c r="G1225" i="30" s="1"/>
  <c r="H1225" i="30" s="1"/>
  <c r="I1225" i="30" s="1"/>
  <c r="E1226" i="30"/>
  <c r="F1226" i="30" s="1"/>
  <c r="G1226" i="30" s="1"/>
  <c r="H1226" i="30" s="1"/>
  <c r="I1226" i="30" s="1"/>
  <c r="E1227" i="30"/>
  <c r="F1227" i="30" s="1"/>
  <c r="G1227" i="30" s="1"/>
  <c r="H1227" i="30" s="1"/>
  <c r="I1227" i="30" s="1"/>
  <c r="E1228" i="30"/>
  <c r="F1228" i="30" s="1"/>
  <c r="G1228" i="30" s="1"/>
  <c r="H1228" i="30" s="1"/>
  <c r="I1228" i="30" s="1"/>
  <c r="E1229" i="30"/>
  <c r="F1229" i="30" s="1"/>
  <c r="G1229" i="30" s="1"/>
  <c r="H1229" i="30" s="1"/>
  <c r="I1229" i="30" s="1"/>
  <c r="E1230" i="30"/>
  <c r="F1230" i="30" s="1"/>
  <c r="G1230" i="30" s="1"/>
  <c r="H1230" i="30" s="1"/>
  <c r="I1230" i="30" s="1"/>
  <c r="E1231" i="30"/>
  <c r="F1231" i="30" s="1"/>
  <c r="G1231" i="30" s="1"/>
  <c r="H1231" i="30" s="1"/>
  <c r="I1231" i="30" s="1"/>
  <c r="E1232" i="30"/>
  <c r="F1232" i="30" s="1"/>
  <c r="G1232" i="30" s="1"/>
  <c r="H1232" i="30" s="1"/>
  <c r="I1232" i="30" s="1"/>
  <c r="E1233" i="30"/>
  <c r="F1233" i="30" s="1"/>
  <c r="G1233" i="30" s="1"/>
  <c r="H1233" i="30" s="1"/>
  <c r="I1233" i="30" s="1"/>
  <c r="E1234" i="30"/>
  <c r="F1234" i="30" s="1"/>
  <c r="G1234" i="30" s="1"/>
  <c r="H1234" i="30" s="1"/>
  <c r="I1234" i="30" s="1"/>
  <c r="E1235" i="30"/>
  <c r="F1235" i="30" s="1"/>
  <c r="G1235" i="30" s="1"/>
  <c r="H1235" i="30" s="1"/>
  <c r="I1235" i="30" s="1"/>
  <c r="E1236" i="30"/>
  <c r="F1236" i="30" s="1"/>
  <c r="G1236" i="30" s="1"/>
  <c r="H1236" i="30" s="1"/>
  <c r="I1236" i="30" s="1"/>
  <c r="E1237" i="30"/>
  <c r="F1237" i="30" s="1"/>
  <c r="G1237" i="30" s="1"/>
  <c r="H1237" i="30" s="1"/>
  <c r="I1237" i="30" s="1"/>
  <c r="E1238" i="30"/>
  <c r="F1238" i="30" s="1"/>
  <c r="G1238" i="30" s="1"/>
  <c r="H1238" i="30" s="1"/>
  <c r="I1238" i="30" s="1"/>
  <c r="E1239" i="30"/>
  <c r="F1239" i="30" s="1"/>
  <c r="G1239" i="30" s="1"/>
  <c r="H1239" i="30" s="1"/>
  <c r="I1239" i="30" s="1"/>
  <c r="E1240" i="30"/>
  <c r="F1240" i="30" s="1"/>
  <c r="G1240" i="30" s="1"/>
  <c r="H1240" i="30" s="1"/>
  <c r="I1240" i="30" s="1"/>
  <c r="E1241" i="30"/>
  <c r="F1241" i="30" s="1"/>
  <c r="G1241" i="30" s="1"/>
  <c r="H1241" i="30" s="1"/>
  <c r="I1241" i="30" s="1"/>
  <c r="E1242" i="30"/>
  <c r="F1242" i="30" s="1"/>
  <c r="G1242" i="30" s="1"/>
  <c r="H1242" i="30" s="1"/>
  <c r="I1242" i="30" s="1"/>
  <c r="E1243" i="30"/>
  <c r="F1243" i="30" s="1"/>
  <c r="G1243" i="30" s="1"/>
  <c r="H1243" i="30" s="1"/>
  <c r="I1243" i="30" s="1"/>
  <c r="E1244" i="30"/>
  <c r="F1244" i="30" s="1"/>
  <c r="G1244" i="30" s="1"/>
  <c r="H1244" i="30" s="1"/>
  <c r="I1244" i="30" s="1"/>
  <c r="E1245" i="30"/>
  <c r="F1245" i="30" s="1"/>
  <c r="G1245" i="30" s="1"/>
  <c r="H1245" i="30" s="1"/>
  <c r="I1245" i="30" s="1"/>
  <c r="E1246" i="30"/>
  <c r="F1246" i="30" s="1"/>
  <c r="G1246" i="30" s="1"/>
  <c r="H1246" i="30" s="1"/>
  <c r="I1246" i="30" s="1"/>
  <c r="E1247" i="30"/>
  <c r="F1247" i="30" s="1"/>
  <c r="G1247" i="30" s="1"/>
  <c r="H1247" i="30" s="1"/>
  <c r="I1247" i="30" s="1"/>
  <c r="E1248" i="30"/>
  <c r="F1248" i="30" s="1"/>
  <c r="G1248" i="30" s="1"/>
  <c r="H1248" i="30" s="1"/>
  <c r="I1248" i="30" s="1"/>
  <c r="E1249" i="30"/>
  <c r="F1249" i="30" s="1"/>
  <c r="G1249" i="30" s="1"/>
  <c r="H1249" i="30" s="1"/>
  <c r="I1249" i="30" s="1"/>
  <c r="E1250" i="30"/>
  <c r="F1250" i="30" s="1"/>
  <c r="G1250" i="30" s="1"/>
  <c r="H1250" i="30" s="1"/>
  <c r="I1250" i="30" s="1"/>
  <c r="E1251" i="30"/>
  <c r="F1251" i="30" s="1"/>
  <c r="G1251" i="30" s="1"/>
  <c r="H1251" i="30" s="1"/>
  <c r="I1251" i="30" s="1"/>
  <c r="E1252" i="30"/>
  <c r="F1252" i="30" s="1"/>
  <c r="G1252" i="30" s="1"/>
  <c r="H1252" i="30" s="1"/>
  <c r="I1252" i="30" s="1"/>
  <c r="E1253" i="30"/>
  <c r="F1253" i="30" s="1"/>
  <c r="G1253" i="30" s="1"/>
  <c r="H1253" i="30" s="1"/>
  <c r="I1253" i="30" s="1"/>
  <c r="E1254" i="30"/>
  <c r="F1254" i="30" s="1"/>
  <c r="G1254" i="30" s="1"/>
  <c r="H1254" i="30" s="1"/>
  <c r="I1254" i="30" s="1"/>
  <c r="E1255" i="30"/>
  <c r="F1255" i="30" s="1"/>
  <c r="G1255" i="30" s="1"/>
  <c r="H1255" i="30" s="1"/>
  <c r="I1255" i="30" s="1"/>
  <c r="E1256" i="30"/>
  <c r="F1256" i="30" s="1"/>
  <c r="G1256" i="30" s="1"/>
  <c r="H1256" i="30" s="1"/>
  <c r="I1256" i="30" s="1"/>
  <c r="E1257" i="30"/>
  <c r="F1257" i="30" s="1"/>
  <c r="G1257" i="30" s="1"/>
  <c r="H1257" i="30" s="1"/>
  <c r="I1257" i="30" s="1"/>
  <c r="E1258" i="30"/>
  <c r="F1258" i="30" s="1"/>
  <c r="G1258" i="30" s="1"/>
  <c r="H1258" i="30" s="1"/>
  <c r="I1258" i="30" s="1"/>
  <c r="E1259" i="30"/>
  <c r="F1259" i="30" s="1"/>
  <c r="G1259" i="30" s="1"/>
  <c r="H1259" i="30" s="1"/>
  <c r="I1259" i="30" s="1"/>
  <c r="E1260" i="30"/>
  <c r="F1260" i="30" s="1"/>
  <c r="G1260" i="30" s="1"/>
  <c r="H1260" i="30" s="1"/>
  <c r="I1260" i="30" s="1"/>
  <c r="E1261" i="30"/>
  <c r="F1261" i="30" s="1"/>
  <c r="G1261" i="30" s="1"/>
  <c r="H1261" i="30" s="1"/>
  <c r="I1261" i="30" s="1"/>
  <c r="E1262" i="30"/>
  <c r="F1262" i="30" s="1"/>
  <c r="G1262" i="30" s="1"/>
  <c r="H1262" i="30" s="1"/>
  <c r="I1262" i="30" s="1"/>
  <c r="E1263" i="30"/>
  <c r="F1263" i="30" s="1"/>
  <c r="G1263" i="30" s="1"/>
  <c r="H1263" i="30" s="1"/>
  <c r="I1263" i="30" s="1"/>
  <c r="E1264" i="30"/>
  <c r="F1264" i="30" s="1"/>
  <c r="G1264" i="30" s="1"/>
  <c r="H1264" i="30" s="1"/>
  <c r="I1264" i="30" s="1"/>
  <c r="E1265" i="30"/>
  <c r="F1265" i="30" s="1"/>
  <c r="G1265" i="30" s="1"/>
  <c r="H1265" i="30" s="1"/>
  <c r="I1265" i="30" s="1"/>
  <c r="E1266" i="30"/>
  <c r="F1266" i="30" s="1"/>
  <c r="G1266" i="30" s="1"/>
  <c r="H1266" i="30" s="1"/>
  <c r="I1266" i="30" s="1"/>
  <c r="E1267" i="30"/>
  <c r="F1267" i="30" s="1"/>
  <c r="G1267" i="30" s="1"/>
  <c r="H1267" i="30" s="1"/>
  <c r="I1267" i="30" s="1"/>
  <c r="E1268" i="30"/>
  <c r="F1268" i="30" s="1"/>
  <c r="G1268" i="30" s="1"/>
  <c r="H1268" i="30" s="1"/>
  <c r="I1268" i="30" s="1"/>
  <c r="E1269" i="30"/>
  <c r="F1269" i="30" s="1"/>
  <c r="G1269" i="30" s="1"/>
  <c r="H1269" i="30" s="1"/>
  <c r="I1269" i="30" s="1"/>
  <c r="E1270" i="30"/>
  <c r="F1270" i="30" s="1"/>
  <c r="G1270" i="30" s="1"/>
  <c r="H1270" i="30" s="1"/>
  <c r="I1270" i="30" s="1"/>
  <c r="E1271" i="30"/>
  <c r="F1271" i="30" s="1"/>
  <c r="G1271" i="30" s="1"/>
  <c r="H1271" i="30" s="1"/>
  <c r="I1271" i="30" s="1"/>
  <c r="E1272" i="30"/>
  <c r="F1272" i="30" s="1"/>
  <c r="G1272" i="30" s="1"/>
  <c r="H1272" i="30" s="1"/>
  <c r="I1272" i="30" s="1"/>
  <c r="E1273" i="30"/>
  <c r="F1273" i="30" s="1"/>
  <c r="G1273" i="30" s="1"/>
  <c r="H1273" i="30" s="1"/>
  <c r="I1273" i="30" s="1"/>
  <c r="E1274" i="30"/>
  <c r="F1274" i="30" s="1"/>
  <c r="G1274" i="30" s="1"/>
  <c r="H1274" i="30" s="1"/>
  <c r="I1274" i="30" s="1"/>
  <c r="E1275" i="30"/>
  <c r="F1275" i="30" s="1"/>
  <c r="G1275" i="30" s="1"/>
  <c r="H1275" i="30" s="1"/>
  <c r="I1275" i="30" s="1"/>
  <c r="E1276" i="30"/>
  <c r="F1276" i="30" s="1"/>
  <c r="G1276" i="30" s="1"/>
  <c r="H1276" i="30" s="1"/>
  <c r="I1276" i="30" s="1"/>
  <c r="E1277" i="30"/>
  <c r="F1277" i="30" s="1"/>
  <c r="G1277" i="30" s="1"/>
  <c r="H1277" i="30" s="1"/>
  <c r="I1277" i="30" s="1"/>
  <c r="E1278" i="30"/>
  <c r="F1278" i="30" s="1"/>
  <c r="G1278" i="30" s="1"/>
  <c r="H1278" i="30" s="1"/>
  <c r="I1278" i="30" s="1"/>
  <c r="E1279" i="30"/>
  <c r="F1279" i="30" s="1"/>
  <c r="G1279" i="30" s="1"/>
  <c r="H1279" i="30" s="1"/>
  <c r="I1279" i="30" s="1"/>
  <c r="E1280" i="30"/>
  <c r="F1280" i="30" s="1"/>
  <c r="G1280" i="30" s="1"/>
  <c r="H1280" i="30" s="1"/>
  <c r="I1280" i="30" s="1"/>
  <c r="E1281" i="30"/>
  <c r="F1281" i="30" s="1"/>
  <c r="G1281" i="30" s="1"/>
  <c r="H1281" i="30" s="1"/>
  <c r="I1281" i="30" s="1"/>
  <c r="E1282" i="30"/>
  <c r="F1282" i="30" s="1"/>
  <c r="G1282" i="30" s="1"/>
  <c r="H1282" i="30" s="1"/>
  <c r="I1282" i="30" s="1"/>
  <c r="E1283" i="30"/>
  <c r="F1283" i="30" s="1"/>
  <c r="G1283" i="30" s="1"/>
  <c r="H1283" i="30" s="1"/>
  <c r="I1283" i="30" s="1"/>
  <c r="E1284" i="30"/>
  <c r="F1284" i="30" s="1"/>
  <c r="G1284" i="30" s="1"/>
  <c r="H1284" i="30" s="1"/>
  <c r="I1284" i="30" s="1"/>
  <c r="E1285" i="30"/>
  <c r="F1285" i="30" s="1"/>
  <c r="G1285" i="30" s="1"/>
  <c r="H1285" i="30" s="1"/>
  <c r="I1285" i="30" s="1"/>
  <c r="E1286" i="30"/>
  <c r="F1286" i="30" s="1"/>
  <c r="G1286" i="30" s="1"/>
  <c r="H1286" i="30" s="1"/>
  <c r="I1286" i="30" s="1"/>
  <c r="E1287" i="30"/>
  <c r="F1287" i="30" s="1"/>
  <c r="G1287" i="30" s="1"/>
  <c r="H1287" i="30" s="1"/>
  <c r="I1287" i="30" s="1"/>
  <c r="E1288" i="30"/>
  <c r="F1288" i="30" s="1"/>
  <c r="G1288" i="30" s="1"/>
  <c r="H1288" i="30" s="1"/>
  <c r="I1288" i="30" s="1"/>
  <c r="E1289" i="30"/>
  <c r="F1289" i="30" s="1"/>
  <c r="G1289" i="30" s="1"/>
  <c r="H1289" i="30" s="1"/>
  <c r="I1289" i="30" s="1"/>
  <c r="E1290" i="30"/>
  <c r="F1290" i="30" s="1"/>
  <c r="G1290" i="30" s="1"/>
  <c r="H1290" i="30" s="1"/>
  <c r="I1290" i="30" s="1"/>
  <c r="E1291" i="30"/>
  <c r="F1291" i="30" s="1"/>
  <c r="G1291" i="30" s="1"/>
  <c r="H1291" i="30" s="1"/>
  <c r="I1291" i="30" s="1"/>
  <c r="E1292" i="30"/>
  <c r="F1292" i="30" s="1"/>
  <c r="G1292" i="30" s="1"/>
  <c r="H1292" i="30" s="1"/>
  <c r="I1292" i="30" s="1"/>
  <c r="E1293" i="30"/>
  <c r="F1293" i="30" s="1"/>
  <c r="G1293" i="30" s="1"/>
  <c r="H1293" i="30" s="1"/>
  <c r="I1293" i="30" s="1"/>
  <c r="E1294" i="30"/>
  <c r="F1294" i="30" s="1"/>
  <c r="G1294" i="30" s="1"/>
  <c r="H1294" i="30" s="1"/>
  <c r="I1294" i="30" s="1"/>
  <c r="E1295" i="30"/>
  <c r="F1295" i="30" s="1"/>
  <c r="G1295" i="30" s="1"/>
  <c r="H1295" i="30" s="1"/>
  <c r="I1295" i="30" s="1"/>
  <c r="E1296" i="30"/>
  <c r="F1296" i="30" s="1"/>
  <c r="G1296" i="30" s="1"/>
  <c r="H1296" i="30" s="1"/>
  <c r="I1296" i="30" s="1"/>
  <c r="E1297" i="30"/>
  <c r="F1297" i="30" s="1"/>
  <c r="G1297" i="30" s="1"/>
  <c r="H1297" i="30" s="1"/>
  <c r="I1297" i="30" s="1"/>
  <c r="E1298" i="30"/>
  <c r="F1298" i="30" s="1"/>
  <c r="G1298" i="30" s="1"/>
  <c r="H1298" i="30" s="1"/>
  <c r="I1298" i="30" s="1"/>
  <c r="E1299" i="30"/>
  <c r="F1299" i="30" s="1"/>
  <c r="G1299" i="30" s="1"/>
  <c r="H1299" i="30" s="1"/>
  <c r="I1299" i="30" s="1"/>
  <c r="E1300" i="30"/>
  <c r="F1300" i="30" s="1"/>
  <c r="G1300" i="30" s="1"/>
  <c r="H1300" i="30" s="1"/>
  <c r="I1300" i="30" s="1"/>
  <c r="E1301" i="30"/>
  <c r="F1301" i="30" s="1"/>
  <c r="G1301" i="30" s="1"/>
  <c r="H1301" i="30" s="1"/>
  <c r="I1301" i="30" s="1"/>
  <c r="E1302" i="30"/>
  <c r="F1302" i="30" s="1"/>
  <c r="G1302" i="30" s="1"/>
  <c r="H1302" i="30" s="1"/>
  <c r="I1302" i="30" s="1"/>
  <c r="E1303" i="30"/>
  <c r="F1303" i="30" s="1"/>
  <c r="G1303" i="30" s="1"/>
  <c r="H1303" i="30" s="1"/>
  <c r="I1303" i="30" s="1"/>
  <c r="E1304" i="30"/>
  <c r="F1304" i="30" s="1"/>
  <c r="G1304" i="30" s="1"/>
  <c r="H1304" i="30" s="1"/>
  <c r="I1304" i="30" s="1"/>
  <c r="E1305" i="30"/>
  <c r="F1305" i="30" s="1"/>
  <c r="G1305" i="30" s="1"/>
  <c r="H1305" i="30" s="1"/>
  <c r="I1305" i="30" s="1"/>
  <c r="E1306" i="30"/>
  <c r="F1306" i="30" s="1"/>
  <c r="G1306" i="30" s="1"/>
  <c r="H1306" i="30" s="1"/>
  <c r="I1306" i="30" s="1"/>
  <c r="E1307" i="30"/>
  <c r="F1307" i="30" s="1"/>
  <c r="G1307" i="30" s="1"/>
  <c r="H1307" i="30" s="1"/>
  <c r="I1307" i="30" s="1"/>
  <c r="E1308" i="30"/>
  <c r="F1308" i="30" s="1"/>
  <c r="G1308" i="30" s="1"/>
  <c r="H1308" i="30" s="1"/>
  <c r="I1308" i="30" s="1"/>
  <c r="E1309" i="30"/>
  <c r="F1309" i="30" s="1"/>
  <c r="G1309" i="30" s="1"/>
  <c r="H1309" i="30" s="1"/>
  <c r="I1309" i="30" s="1"/>
  <c r="E1310" i="30"/>
  <c r="F1310" i="30" s="1"/>
  <c r="G1310" i="30" s="1"/>
  <c r="H1310" i="30" s="1"/>
  <c r="I1310" i="30" s="1"/>
  <c r="E1311" i="30"/>
  <c r="F1311" i="30" s="1"/>
  <c r="G1311" i="30" s="1"/>
  <c r="H1311" i="30" s="1"/>
  <c r="I1311" i="30" s="1"/>
  <c r="E1312" i="30"/>
  <c r="F1312" i="30" s="1"/>
  <c r="G1312" i="30" s="1"/>
  <c r="H1312" i="30" s="1"/>
  <c r="I1312" i="30" s="1"/>
  <c r="E1313" i="30"/>
  <c r="F1313" i="30" s="1"/>
  <c r="G1313" i="30" s="1"/>
  <c r="H1313" i="30" s="1"/>
  <c r="I1313" i="30" s="1"/>
  <c r="E1314" i="30"/>
  <c r="F1314" i="30" s="1"/>
  <c r="G1314" i="30" s="1"/>
  <c r="H1314" i="30" s="1"/>
  <c r="I1314" i="30" s="1"/>
  <c r="E1315" i="30"/>
  <c r="F1315" i="30" s="1"/>
  <c r="G1315" i="30" s="1"/>
  <c r="H1315" i="30" s="1"/>
  <c r="I1315" i="30" s="1"/>
  <c r="E1316" i="30"/>
  <c r="F1316" i="30" s="1"/>
  <c r="G1316" i="30" s="1"/>
  <c r="H1316" i="30" s="1"/>
  <c r="I1316" i="30" s="1"/>
  <c r="E1317" i="30"/>
  <c r="F1317" i="30" s="1"/>
  <c r="G1317" i="30" s="1"/>
  <c r="H1317" i="30" s="1"/>
  <c r="I1317" i="30" s="1"/>
  <c r="E1318" i="30"/>
  <c r="F1318" i="30" s="1"/>
  <c r="G1318" i="30" s="1"/>
  <c r="H1318" i="30" s="1"/>
  <c r="I1318" i="30" s="1"/>
  <c r="E1319" i="30"/>
  <c r="F1319" i="30" s="1"/>
  <c r="G1319" i="30" s="1"/>
  <c r="H1319" i="30" s="1"/>
  <c r="I1319" i="30" s="1"/>
  <c r="E1320" i="30"/>
  <c r="F1320" i="30" s="1"/>
  <c r="G1320" i="30" s="1"/>
  <c r="H1320" i="30" s="1"/>
  <c r="I1320" i="30" s="1"/>
  <c r="E1321" i="30"/>
  <c r="F1321" i="30" s="1"/>
  <c r="G1321" i="30" s="1"/>
  <c r="H1321" i="30" s="1"/>
  <c r="I1321" i="30" s="1"/>
  <c r="E1322" i="30"/>
  <c r="F1322" i="30" s="1"/>
  <c r="G1322" i="30" s="1"/>
  <c r="H1322" i="30" s="1"/>
  <c r="I1322" i="30" s="1"/>
  <c r="E1323" i="30"/>
  <c r="F1323" i="30" s="1"/>
  <c r="G1323" i="30" s="1"/>
  <c r="H1323" i="30" s="1"/>
  <c r="I1323" i="30" s="1"/>
  <c r="E1324" i="30"/>
  <c r="F1324" i="30" s="1"/>
  <c r="G1324" i="30" s="1"/>
  <c r="H1324" i="30" s="1"/>
  <c r="I1324" i="30" s="1"/>
  <c r="E1325" i="30"/>
  <c r="F1325" i="30" s="1"/>
  <c r="G1325" i="30" s="1"/>
  <c r="H1325" i="30" s="1"/>
  <c r="I1325" i="30" s="1"/>
  <c r="E1326" i="30"/>
  <c r="F1326" i="30" s="1"/>
  <c r="G1326" i="30" s="1"/>
  <c r="H1326" i="30" s="1"/>
  <c r="I1326" i="30" s="1"/>
  <c r="E1327" i="30"/>
  <c r="F1327" i="30" s="1"/>
  <c r="G1327" i="30" s="1"/>
  <c r="H1327" i="30" s="1"/>
  <c r="I1327" i="30" s="1"/>
  <c r="E1328" i="30"/>
  <c r="F1328" i="30" s="1"/>
  <c r="G1328" i="30" s="1"/>
  <c r="H1328" i="30" s="1"/>
  <c r="I1328" i="30" s="1"/>
  <c r="E1329" i="30"/>
  <c r="F1329" i="30" s="1"/>
  <c r="G1329" i="30" s="1"/>
  <c r="H1329" i="30" s="1"/>
  <c r="I1329" i="30" s="1"/>
  <c r="E1330" i="30"/>
  <c r="F1330" i="30" s="1"/>
  <c r="G1330" i="30" s="1"/>
  <c r="H1330" i="30" s="1"/>
  <c r="I1330" i="30" s="1"/>
  <c r="E1331" i="30"/>
  <c r="F1331" i="30" s="1"/>
  <c r="G1331" i="30" s="1"/>
  <c r="H1331" i="30" s="1"/>
  <c r="I1331" i="30" s="1"/>
  <c r="E1332" i="30"/>
  <c r="F1332" i="30" s="1"/>
  <c r="G1332" i="30" s="1"/>
  <c r="H1332" i="30" s="1"/>
  <c r="I1332" i="30" s="1"/>
  <c r="E1333" i="30"/>
  <c r="F1333" i="30" s="1"/>
  <c r="G1333" i="30" s="1"/>
  <c r="H1333" i="30" s="1"/>
  <c r="I1333" i="30" s="1"/>
  <c r="E1334" i="30"/>
  <c r="F1334" i="30" s="1"/>
  <c r="G1334" i="30" s="1"/>
  <c r="H1334" i="30" s="1"/>
  <c r="I1334" i="30" s="1"/>
  <c r="E1335" i="30"/>
  <c r="F1335" i="30" s="1"/>
  <c r="G1335" i="30" s="1"/>
  <c r="H1335" i="30" s="1"/>
  <c r="I1335" i="30" s="1"/>
  <c r="E1336" i="30"/>
  <c r="F1336" i="30" s="1"/>
  <c r="G1336" i="30" s="1"/>
  <c r="H1336" i="30" s="1"/>
  <c r="I1336" i="30" s="1"/>
  <c r="E1337" i="30"/>
  <c r="F1337" i="30" s="1"/>
  <c r="G1337" i="30" s="1"/>
  <c r="H1337" i="30" s="1"/>
  <c r="I1337" i="30" s="1"/>
  <c r="E1338" i="30"/>
  <c r="F1338" i="30" s="1"/>
  <c r="G1338" i="30" s="1"/>
  <c r="H1338" i="30" s="1"/>
  <c r="I1338" i="30" s="1"/>
  <c r="E1339" i="30"/>
  <c r="F1339" i="30" s="1"/>
  <c r="G1339" i="30" s="1"/>
  <c r="H1339" i="30" s="1"/>
  <c r="I1339" i="30" s="1"/>
  <c r="E1340" i="30"/>
  <c r="F1340" i="30" s="1"/>
  <c r="G1340" i="30" s="1"/>
  <c r="H1340" i="30" s="1"/>
  <c r="I1340" i="30" s="1"/>
  <c r="E1341" i="30"/>
  <c r="F1341" i="30" s="1"/>
  <c r="G1341" i="30" s="1"/>
  <c r="H1341" i="30" s="1"/>
  <c r="I1341" i="30" s="1"/>
  <c r="E1342" i="30"/>
  <c r="F1342" i="30" s="1"/>
  <c r="G1342" i="30" s="1"/>
  <c r="H1342" i="30" s="1"/>
  <c r="I1342" i="30" s="1"/>
  <c r="E1343" i="30"/>
  <c r="F1343" i="30" s="1"/>
  <c r="G1343" i="30" s="1"/>
  <c r="H1343" i="30" s="1"/>
  <c r="I1343" i="30" s="1"/>
  <c r="E1344" i="30"/>
  <c r="F1344" i="30" s="1"/>
  <c r="G1344" i="30" s="1"/>
  <c r="H1344" i="30" s="1"/>
  <c r="I1344" i="30" s="1"/>
  <c r="E1345" i="30"/>
  <c r="F1345" i="30" s="1"/>
  <c r="G1345" i="30" s="1"/>
  <c r="H1345" i="30" s="1"/>
  <c r="I1345" i="30" s="1"/>
  <c r="E1346" i="30"/>
  <c r="F1346" i="30" s="1"/>
  <c r="G1346" i="30" s="1"/>
  <c r="H1346" i="30" s="1"/>
  <c r="I1346" i="30" s="1"/>
  <c r="E1347" i="30"/>
  <c r="F1347" i="30" s="1"/>
  <c r="G1347" i="30" s="1"/>
  <c r="H1347" i="30" s="1"/>
  <c r="I1347" i="30" s="1"/>
  <c r="E1348" i="30"/>
  <c r="F1348" i="30" s="1"/>
  <c r="G1348" i="30" s="1"/>
  <c r="H1348" i="30" s="1"/>
  <c r="I1348" i="30" s="1"/>
  <c r="E1349" i="30"/>
  <c r="F1349" i="30" s="1"/>
  <c r="G1349" i="30" s="1"/>
  <c r="H1349" i="30" s="1"/>
  <c r="I1349" i="30" s="1"/>
  <c r="E1350" i="30"/>
  <c r="F1350" i="30" s="1"/>
  <c r="G1350" i="30" s="1"/>
  <c r="H1350" i="30" s="1"/>
  <c r="I1350" i="30" s="1"/>
  <c r="E1351" i="30"/>
  <c r="F1351" i="30" s="1"/>
  <c r="G1351" i="30" s="1"/>
  <c r="H1351" i="30" s="1"/>
  <c r="I1351" i="30" s="1"/>
  <c r="E1352" i="30"/>
  <c r="F1352" i="30" s="1"/>
  <c r="G1352" i="30" s="1"/>
  <c r="H1352" i="30" s="1"/>
  <c r="I1352" i="30" s="1"/>
  <c r="E1353" i="30"/>
  <c r="F1353" i="30" s="1"/>
  <c r="G1353" i="30" s="1"/>
  <c r="H1353" i="30" s="1"/>
  <c r="I1353" i="30" s="1"/>
  <c r="E1354" i="30"/>
  <c r="F1354" i="30" s="1"/>
  <c r="G1354" i="30" s="1"/>
  <c r="H1354" i="30" s="1"/>
  <c r="I1354" i="30" s="1"/>
  <c r="E1355" i="30"/>
  <c r="F1355" i="30" s="1"/>
  <c r="G1355" i="30" s="1"/>
  <c r="H1355" i="30" s="1"/>
  <c r="I1355" i="30" s="1"/>
  <c r="E1356" i="30"/>
  <c r="F1356" i="30" s="1"/>
  <c r="G1356" i="30" s="1"/>
  <c r="H1356" i="30" s="1"/>
  <c r="I1356" i="30" s="1"/>
  <c r="E1357" i="30"/>
  <c r="F1357" i="30" s="1"/>
  <c r="G1357" i="30" s="1"/>
  <c r="H1357" i="30" s="1"/>
  <c r="I1357" i="30" s="1"/>
  <c r="E1358" i="30"/>
  <c r="F1358" i="30" s="1"/>
  <c r="G1358" i="30" s="1"/>
  <c r="H1358" i="30" s="1"/>
  <c r="I1358" i="30" s="1"/>
  <c r="E1359" i="30"/>
  <c r="F1359" i="30" s="1"/>
  <c r="G1359" i="30" s="1"/>
  <c r="H1359" i="30" s="1"/>
  <c r="I1359" i="30" s="1"/>
  <c r="E1360" i="30"/>
  <c r="F1360" i="30" s="1"/>
  <c r="G1360" i="30" s="1"/>
  <c r="H1360" i="30" s="1"/>
  <c r="I1360" i="30" s="1"/>
  <c r="E1361" i="30"/>
  <c r="F1361" i="30" s="1"/>
  <c r="G1361" i="30" s="1"/>
  <c r="H1361" i="30" s="1"/>
  <c r="I1361" i="30" s="1"/>
  <c r="E1362" i="30"/>
  <c r="F1362" i="30" s="1"/>
  <c r="G1362" i="30" s="1"/>
  <c r="H1362" i="30" s="1"/>
  <c r="I1362" i="30" s="1"/>
  <c r="E1363" i="30"/>
  <c r="F1363" i="30" s="1"/>
  <c r="G1363" i="30" s="1"/>
  <c r="H1363" i="30" s="1"/>
  <c r="I1363" i="30" s="1"/>
  <c r="E1364" i="30"/>
  <c r="F1364" i="30" s="1"/>
  <c r="G1364" i="30" s="1"/>
  <c r="H1364" i="30" s="1"/>
  <c r="I1364" i="30" s="1"/>
  <c r="E1365" i="30"/>
  <c r="F1365" i="30" s="1"/>
  <c r="G1365" i="30" s="1"/>
  <c r="H1365" i="30" s="1"/>
  <c r="I1365" i="30" s="1"/>
  <c r="E1366" i="30"/>
  <c r="F1366" i="30" s="1"/>
  <c r="G1366" i="30" s="1"/>
  <c r="H1366" i="30" s="1"/>
  <c r="I1366" i="30" s="1"/>
  <c r="E1367" i="30"/>
  <c r="F1367" i="30" s="1"/>
  <c r="G1367" i="30" s="1"/>
  <c r="H1367" i="30" s="1"/>
  <c r="I1367" i="30" s="1"/>
  <c r="E1368" i="30"/>
  <c r="F1368" i="30" s="1"/>
  <c r="G1368" i="30" s="1"/>
  <c r="H1368" i="30" s="1"/>
  <c r="I1368" i="30" s="1"/>
  <c r="E1369" i="30"/>
  <c r="F1369" i="30" s="1"/>
  <c r="G1369" i="30" s="1"/>
  <c r="H1369" i="30" s="1"/>
  <c r="I1369" i="30" s="1"/>
  <c r="E1370" i="30"/>
  <c r="F1370" i="30" s="1"/>
  <c r="G1370" i="30" s="1"/>
  <c r="H1370" i="30" s="1"/>
  <c r="I1370" i="30" s="1"/>
  <c r="E1371" i="30"/>
  <c r="F1371" i="30" s="1"/>
  <c r="G1371" i="30" s="1"/>
  <c r="H1371" i="30" s="1"/>
  <c r="I1371" i="30" s="1"/>
  <c r="E1372" i="30"/>
  <c r="F1372" i="30" s="1"/>
  <c r="G1372" i="30" s="1"/>
  <c r="H1372" i="30" s="1"/>
  <c r="I1372" i="30" s="1"/>
  <c r="E1373" i="30"/>
  <c r="F1373" i="30" s="1"/>
  <c r="G1373" i="30" s="1"/>
  <c r="H1373" i="30" s="1"/>
  <c r="I1373" i="30" s="1"/>
  <c r="E1374" i="30"/>
  <c r="F1374" i="30" s="1"/>
  <c r="G1374" i="30" s="1"/>
  <c r="H1374" i="30" s="1"/>
  <c r="I1374" i="30" s="1"/>
  <c r="E1375" i="30"/>
  <c r="F1375" i="30" s="1"/>
  <c r="G1375" i="30" s="1"/>
  <c r="H1375" i="30" s="1"/>
  <c r="I1375" i="30" s="1"/>
  <c r="E1376" i="30"/>
  <c r="F1376" i="30" s="1"/>
  <c r="G1376" i="30" s="1"/>
  <c r="H1376" i="30" s="1"/>
  <c r="I1376" i="30" s="1"/>
  <c r="E1377" i="30"/>
  <c r="F1377" i="30" s="1"/>
  <c r="G1377" i="30" s="1"/>
  <c r="H1377" i="30" s="1"/>
  <c r="I1377" i="30" s="1"/>
  <c r="E1378" i="30"/>
  <c r="F1378" i="30" s="1"/>
  <c r="G1378" i="30" s="1"/>
  <c r="H1378" i="30" s="1"/>
  <c r="I1378" i="30" s="1"/>
  <c r="E1379" i="30"/>
  <c r="F1379" i="30" s="1"/>
  <c r="G1379" i="30" s="1"/>
  <c r="H1379" i="30" s="1"/>
  <c r="I1379" i="30" s="1"/>
  <c r="E1380" i="30"/>
  <c r="F1380" i="30" s="1"/>
  <c r="G1380" i="30" s="1"/>
  <c r="H1380" i="30" s="1"/>
  <c r="I1380" i="30" s="1"/>
  <c r="E1381" i="30"/>
  <c r="F1381" i="30" s="1"/>
  <c r="G1381" i="30" s="1"/>
  <c r="H1381" i="30" s="1"/>
  <c r="I1381" i="30" s="1"/>
  <c r="E1382" i="30"/>
  <c r="F1382" i="30" s="1"/>
  <c r="G1382" i="30" s="1"/>
  <c r="H1382" i="30" s="1"/>
  <c r="I1382" i="30" s="1"/>
  <c r="E1383" i="30"/>
  <c r="F1383" i="30" s="1"/>
  <c r="G1383" i="30" s="1"/>
  <c r="H1383" i="30" s="1"/>
  <c r="I1383" i="30" s="1"/>
  <c r="E1384" i="30"/>
  <c r="F1384" i="30" s="1"/>
  <c r="G1384" i="30" s="1"/>
  <c r="H1384" i="30" s="1"/>
  <c r="I1384" i="30" s="1"/>
  <c r="E1385" i="30"/>
  <c r="F1385" i="30" s="1"/>
  <c r="G1385" i="30" s="1"/>
  <c r="H1385" i="30" s="1"/>
  <c r="I1385" i="30" s="1"/>
  <c r="E1386" i="30"/>
  <c r="F1386" i="30" s="1"/>
  <c r="G1386" i="30" s="1"/>
  <c r="H1386" i="30" s="1"/>
  <c r="I1386" i="30" s="1"/>
  <c r="E1387" i="30"/>
  <c r="F1387" i="30" s="1"/>
  <c r="G1387" i="30" s="1"/>
  <c r="H1387" i="30" s="1"/>
  <c r="I1387" i="30" s="1"/>
  <c r="E1388" i="30"/>
  <c r="F1388" i="30" s="1"/>
  <c r="G1388" i="30" s="1"/>
  <c r="H1388" i="30" s="1"/>
  <c r="I1388" i="30" s="1"/>
  <c r="E1389" i="30"/>
  <c r="F1389" i="30" s="1"/>
  <c r="G1389" i="30" s="1"/>
  <c r="H1389" i="30" s="1"/>
  <c r="I1389" i="30" s="1"/>
  <c r="E1390" i="30"/>
  <c r="F1390" i="30" s="1"/>
  <c r="G1390" i="30" s="1"/>
  <c r="H1390" i="30" s="1"/>
  <c r="I1390" i="30" s="1"/>
  <c r="E1391" i="30"/>
  <c r="F1391" i="30" s="1"/>
  <c r="G1391" i="30" s="1"/>
  <c r="H1391" i="30" s="1"/>
  <c r="I1391" i="30" s="1"/>
  <c r="E1392" i="30"/>
  <c r="F1392" i="30" s="1"/>
  <c r="G1392" i="30" s="1"/>
  <c r="H1392" i="30" s="1"/>
  <c r="I1392" i="30" s="1"/>
  <c r="E1393" i="30"/>
  <c r="F1393" i="30" s="1"/>
  <c r="G1393" i="30" s="1"/>
  <c r="H1393" i="30" s="1"/>
  <c r="I1393" i="30" s="1"/>
  <c r="E1394" i="30"/>
  <c r="F1394" i="30" s="1"/>
  <c r="G1394" i="30" s="1"/>
  <c r="H1394" i="30" s="1"/>
  <c r="I1394" i="30" s="1"/>
  <c r="E1395" i="30"/>
  <c r="F1395" i="30" s="1"/>
  <c r="G1395" i="30" s="1"/>
  <c r="H1395" i="30" s="1"/>
  <c r="I1395" i="30" s="1"/>
  <c r="E1396" i="30"/>
  <c r="F1396" i="30" s="1"/>
  <c r="G1396" i="30" s="1"/>
  <c r="H1396" i="30" s="1"/>
  <c r="I1396" i="30" s="1"/>
  <c r="E1397" i="30"/>
  <c r="F1397" i="30" s="1"/>
  <c r="G1397" i="30" s="1"/>
  <c r="H1397" i="30" s="1"/>
  <c r="I1397" i="30" s="1"/>
  <c r="E1398" i="30"/>
  <c r="F1398" i="30" s="1"/>
  <c r="G1398" i="30" s="1"/>
  <c r="H1398" i="30" s="1"/>
  <c r="I1398" i="30" s="1"/>
  <c r="E1399" i="30"/>
  <c r="F1399" i="30" s="1"/>
  <c r="G1399" i="30" s="1"/>
  <c r="H1399" i="30" s="1"/>
  <c r="I1399" i="30" s="1"/>
  <c r="E1400" i="30"/>
  <c r="F1400" i="30" s="1"/>
  <c r="G1400" i="30" s="1"/>
  <c r="H1400" i="30" s="1"/>
  <c r="I1400" i="30" s="1"/>
  <c r="E1401" i="30"/>
  <c r="F1401" i="30" s="1"/>
  <c r="G1401" i="30" s="1"/>
  <c r="H1401" i="30" s="1"/>
  <c r="I1401" i="30" s="1"/>
  <c r="E1402" i="30"/>
  <c r="F1402" i="30" s="1"/>
  <c r="G1402" i="30" s="1"/>
  <c r="H1402" i="30" s="1"/>
  <c r="I1402" i="30" s="1"/>
  <c r="E1403" i="30"/>
  <c r="F1403" i="30" s="1"/>
  <c r="G1403" i="30" s="1"/>
  <c r="H1403" i="30" s="1"/>
  <c r="I1403" i="30" s="1"/>
  <c r="E1404" i="30"/>
  <c r="F1404" i="30" s="1"/>
  <c r="G1404" i="30" s="1"/>
  <c r="H1404" i="30" s="1"/>
  <c r="I1404" i="30" s="1"/>
  <c r="E1405" i="30"/>
  <c r="F1405" i="30" s="1"/>
  <c r="G1405" i="30" s="1"/>
  <c r="H1405" i="30" s="1"/>
  <c r="I1405" i="30" s="1"/>
  <c r="E1406" i="30"/>
  <c r="F1406" i="30" s="1"/>
  <c r="G1406" i="30" s="1"/>
  <c r="H1406" i="30" s="1"/>
  <c r="I1406" i="30" s="1"/>
  <c r="E1407" i="30"/>
  <c r="F1407" i="30" s="1"/>
  <c r="G1407" i="30" s="1"/>
  <c r="H1407" i="30" s="1"/>
  <c r="I1407" i="30" s="1"/>
  <c r="E1408" i="30"/>
  <c r="F1408" i="30" s="1"/>
  <c r="G1408" i="30" s="1"/>
  <c r="H1408" i="30" s="1"/>
  <c r="I1408" i="30" s="1"/>
  <c r="E1409" i="30"/>
  <c r="F1409" i="30" s="1"/>
  <c r="G1409" i="30" s="1"/>
  <c r="H1409" i="30" s="1"/>
  <c r="I1409" i="30" s="1"/>
  <c r="E1410" i="30"/>
  <c r="F1410" i="30" s="1"/>
  <c r="G1410" i="30" s="1"/>
  <c r="H1410" i="30" s="1"/>
  <c r="I1410" i="30" s="1"/>
  <c r="E1411" i="30"/>
  <c r="F1411" i="30" s="1"/>
  <c r="G1411" i="30" s="1"/>
  <c r="H1411" i="30" s="1"/>
  <c r="I1411" i="30" s="1"/>
  <c r="E1412" i="30"/>
  <c r="F1412" i="30" s="1"/>
  <c r="G1412" i="30" s="1"/>
  <c r="H1412" i="30" s="1"/>
  <c r="I1412" i="30" s="1"/>
  <c r="E1413" i="30"/>
  <c r="F1413" i="30" s="1"/>
  <c r="G1413" i="30" s="1"/>
  <c r="H1413" i="30" s="1"/>
  <c r="I1413" i="30" s="1"/>
  <c r="E1414" i="30"/>
  <c r="F1414" i="30" s="1"/>
  <c r="G1414" i="30" s="1"/>
  <c r="H1414" i="30" s="1"/>
  <c r="I1414" i="30" s="1"/>
  <c r="E1415" i="30"/>
  <c r="F1415" i="30" s="1"/>
  <c r="G1415" i="30" s="1"/>
  <c r="H1415" i="30" s="1"/>
  <c r="I1415" i="30" s="1"/>
  <c r="E1416" i="30"/>
  <c r="F1416" i="30" s="1"/>
  <c r="G1416" i="30" s="1"/>
  <c r="H1416" i="30" s="1"/>
  <c r="I1416" i="30" s="1"/>
  <c r="E1417" i="30"/>
  <c r="F1417" i="30" s="1"/>
  <c r="G1417" i="30" s="1"/>
  <c r="H1417" i="30" s="1"/>
  <c r="I1417" i="30" s="1"/>
  <c r="E1418" i="30"/>
  <c r="F1418" i="30" s="1"/>
  <c r="G1418" i="30" s="1"/>
  <c r="H1418" i="30" s="1"/>
  <c r="I1418" i="30" s="1"/>
  <c r="E1419" i="30"/>
  <c r="F1419" i="30" s="1"/>
  <c r="G1419" i="30" s="1"/>
  <c r="H1419" i="30" s="1"/>
  <c r="I1419" i="30" s="1"/>
  <c r="E1420" i="30"/>
  <c r="F1420" i="30" s="1"/>
  <c r="G1420" i="30" s="1"/>
  <c r="H1420" i="30" s="1"/>
  <c r="I1420" i="30" s="1"/>
  <c r="E1421" i="30"/>
  <c r="F1421" i="30" s="1"/>
  <c r="G1421" i="30" s="1"/>
  <c r="H1421" i="30" s="1"/>
  <c r="I1421" i="30" s="1"/>
  <c r="E1422" i="30"/>
  <c r="F1422" i="30" s="1"/>
  <c r="G1422" i="30" s="1"/>
  <c r="H1422" i="30" s="1"/>
  <c r="I1422" i="30" s="1"/>
  <c r="E1423" i="30"/>
  <c r="F1423" i="30" s="1"/>
  <c r="G1423" i="30" s="1"/>
  <c r="H1423" i="30" s="1"/>
  <c r="I1423" i="30" s="1"/>
  <c r="E1424" i="30"/>
  <c r="F1424" i="30" s="1"/>
  <c r="G1424" i="30" s="1"/>
  <c r="H1424" i="30" s="1"/>
  <c r="I1424" i="30" s="1"/>
  <c r="E1425" i="30"/>
  <c r="F1425" i="30" s="1"/>
  <c r="G1425" i="30" s="1"/>
  <c r="H1425" i="30" s="1"/>
  <c r="I1425" i="30" s="1"/>
  <c r="E1426" i="30"/>
  <c r="F1426" i="30" s="1"/>
  <c r="G1426" i="30" s="1"/>
  <c r="H1426" i="30" s="1"/>
  <c r="I1426" i="30" s="1"/>
  <c r="E1427" i="30"/>
  <c r="F1427" i="30" s="1"/>
  <c r="G1427" i="30" s="1"/>
  <c r="H1427" i="30" s="1"/>
  <c r="I1427" i="30" s="1"/>
  <c r="E1428" i="30"/>
  <c r="F1428" i="30" s="1"/>
  <c r="G1428" i="30" s="1"/>
  <c r="H1428" i="30" s="1"/>
  <c r="I1428" i="30" s="1"/>
  <c r="E1429" i="30"/>
  <c r="F1429" i="30" s="1"/>
  <c r="G1429" i="30" s="1"/>
  <c r="H1429" i="30" s="1"/>
  <c r="I1429" i="30" s="1"/>
  <c r="E1430" i="30"/>
  <c r="F1430" i="30" s="1"/>
  <c r="G1430" i="30" s="1"/>
  <c r="H1430" i="30" s="1"/>
  <c r="I1430" i="30" s="1"/>
  <c r="E1431" i="30"/>
  <c r="F1431" i="30" s="1"/>
  <c r="G1431" i="30" s="1"/>
  <c r="H1431" i="30" s="1"/>
  <c r="I1431" i="30" s="1"/>
  <c r="E1432" i="30"/>
  <c r="F1432" i="30" s="1"/>
  <c r="G1432" i="30" s="1"/>
  <c r="H1432" i="30" s="1"/>
  <c r="I1432" i="30" s="1"/>
  <c r="E1433" i="30"/>
  <c r="F1433" i="30" s="1"/>
  <c r="G1433" i="30" s="1"/>
  <c r="H1433" i="30" s="1"/>
  <c r="I1433" i="30" s="1"/>
  <c r="E1434" i="30"/>
  <c r="F1434" i="30" s="1"/>
  <c r="G1434" i="30" s="1"/>
  <c r="H1434" i="30" s="1"/>
  <c r="I1434" i="30" s="1"/>
  <c r="E1435" i="30"/>
  <c r="F1435" i="30" s="1"/>
  <c r="G1435" i="30" s="1"/>
  <c r="H1435" i="30" s="1"/>
  <c r="I1435" i="30" s="1"/>
  <c r="E1436" i="30"/>
  <c r="F1436" i="30" s="1"/>
  <c r="G1436" i="30" s="1"/>
  <c r="H1436" i="30" s="1"/>
  <c r="I1436" i="30" s="1"/>
  <c r="E1437" i="30"/>
  <c r="F1437" i="30" s="1"/>
  <c r="G1437" i="30" s="1"/>
  <c r="H1437" i="30" s="1"/>
  <c r="I1437" i="30" s="1"/>
  <c r="E1438" i="30"/>
  <c r="F1438" i="30" s="1"/>
  <c r="G1438" i="30" s="1"/>
  <c r="H1438" i="30" s="1"/>
  <c r="I1438" i="30" s="1"/>
  <c r="E1439" i="30"/>
  <c r="F1439" i="30" s="1"/>
  <c r="G1439" i="30" s="1"/>
  <c r="H1439" i="30" s="1"/>
  <c r="I1439" i="30" s="1"/>
  <c r="E1440" i="30"/>
  <c r="F1440" i="30" s="1"/>
  <c r="G1440" i="30" s="1"/>
  <c r="H1440" i="30" s="1"/>
  <c r="I1440" i="30" s="1"/>
  <c r="E1441" i="30"/>
  <c r="F1441" i="30" s="1"/>
  <c r="G1441" i="30" s="1"/>
  <c r="H1441" i="30" s="1"/>
  <c r="I1441" i="30" s="1"/>
  <c r="E1442" i="30"/>
  <c r="F1442" i="30" s="1"/>
  <c r="G1442" i="30" s="1"/>
  <c r="H1442" i="30" s="1"/>
  <c r="I1442" i="30" s="1"/>
  <c r="E1443" i="30"/>
  <c r="F1443" i="30" s="1"/>
  <c r="G1443" i="30" s="1"/>
  <c r="H1443" i="30" s="1"/>
  <c r="I1443" i="30" s="1"/>
  <c r="E1444" i="30"/>
  <c r="F1444" i="30" s="1"/>
  <c r="G1444" i="30" s="1"/>
  <c r="H1444" i="30" s="1"/>
  <c r="I1444" i="30" s="1"/>
  <c r="E1445" i="30"/>
  <c r="F1445" i="30" s="1"/>
  <c r="G1445" i="30" s="1"/>
  <c r="H1445" i="30" s="1"/>
  <c r="I1445" i="30" s="1"/>
  <c r="E1446" i="30"/>
  <c r="F1446" i="30" s="1"/>
  <c r="G1446" i="30" s="1"/>
  <c r="H1446" i="30" s="1"/>
  <c r="I1446" i="30" s="1"/>
  <c r="E1447" i="30"/>
  <c r="F1447" i="30" s="1"/>
  <c r="G1447" i="30" s="1"/>
  <c r="H1447" i="30" s="1"/>
  <c r="I1447" i="30" s="1"/>
  <c r="E1448" i="30"/>
  <c r="F1448" i="30" s="1"/>
  <c r="G1448" i="30" s="1"/>
  <c r="H1448" i="30" s="1"/>
  <c r="I1448" i="30" s="1"/>
  <c r="E1449" i="30"/>
  <c r="F1449" i="30" s="1"/>
  <c r="G1449" i="30" s="1"/>
  <c r="H1449" i="30" s="1"/>
  <c r="I1449" i="30" s="1"/>
  <c r="E1450" i="30"/>
  <c r="F1450" i="30" s="1"/>
  <c r="G1450" i="30" s="1"/>
  <c r="H1450" i="30" s="1"/>
  <c r="I1450" i="30" s="1"/>
  <c r="E1451" i="30"/>
  <c r="F1451" i="30" s="1"/>
  <c r="G1451" i="30" s="1"/>
  <c r="H1451" i="30" s="1"/>
  <c r="I1451" i="30" s="1"/>
  <c r="E1452" i="30"/>
  <c r="F1452" i="30" s="1"/>
  <c r="G1452" i="30" s="1"/>
  <c r="H1452" i="30" s="1"/>
  <c r="I1452" i="30" s="1"/>
  <c r="E1453" i="30"/>
  <c r="F1453" i="30" s="1"/>
  <c r="G1453" i="30" s="1"/>
  <c r="H1453" i="30" s="1"/>
  <c r="I1453" i="30" s="1"/>
  <c r="E1454" i="30"/>
  <c r="F1454" i="30" s="1"/>
  <c r="G1454" i="30" s="1"/>
  <c r="H1454" i="30" s="1"/>
  <c r="I1454" i="30" s="1"/>
  <c r="E1455" i="30"/>
  <c r="F1455" i="30" s="1"/>
  <c r="G1455" i="30" s="1"/>
  <c r="H1455" i="30" s="1"/>
  <c r="I1455" i="30" s="1"/>
  <c r="E1456" i="30"/>
  <c r="F1456" i="30" s="1"/>
  <c r="G1456" i="30" s="1"/>
  <c r="H1456" i="30" s="1"/>
  <c r="I1456" i="30" s="1"/>
  <c r="E1457" i="30"/>
  <c r="F1457" i="30" s="1"/>
  <c r="G1457" i="30" s="1"/>
  <c r="H1457" i="30" s="1"/>
  <c r="I1457" i="30" s="1"/>
  <c r="E1458" i="30"/>
  <c r="F1458" i="30" s="1"/>
  <c r="G1458" i="30" s="1"/>
  <c r="H1458" i="30" s="1"/>
  <c r="I1458" i="30" s="1"/>
  <c r="E1459" i="30"/>
  <c r="F1459" i="30" s="1"/>
  <c r="G1459" i="30" s="1"/>
  <c r="H1459" i="30" s="1"/>
  <c r="I1459" i="30" s="1"/>
  <c r="E1460" i="30"/>
  <c r="F1460" i="30" s="1"/>
  <c r="G1460" i="30" s="1"/>
  <c r="H1460" i="30" s="1"/>
  <c r="I1460" i="30" s="1"/>
  <c r="E1461" i="30"/>
  <c r="F1461" i="30" s="1"/>
  <c r="G1461" i="30" s="1"/>
  <c r="H1461" i="30" s="1"/>
  <c r="I1461" i="30" s="1"/>
  <c r="E1462" i="30"/>
  <c r="F1462" i="30" s="1"/>
  <c r="G1462" i="30" s="1"/>
  <c r="H1462" i="30" s="1"/>
  <c r="I1462" i="30" s="1"/>
  <c r="E1463" i="30"/>
  <c r="F1463" i="30" s="1"/>
  <c r="G1463" i="30" s="1"/>
  <c r="H1463" i="30" s="1"/>
  <c r="I1463" i="30" s="1"/>
  <c r="E1464" i="30"/>
  <c r="F1464" i="30" s="1"/>
  <c r="G1464" i="30" s="1"/>
  <c r="H1464" i="30" s="1"/>
  <c r="I1464" i="30" s="1"/>
  <c r="E1465" i="30"/>
  <c r="F1465" i="30" s="1"/>
  <c r="G1465" i="30" s="1"/>
  <c r="H1465" i="30" s="1"/>
  <c r="I1465" i="30" s="1"/>
  <c r="E1466" i="30"/>
  <c r="F1466" i="30" s="1"/>
  <c r="G1466" i="30" s="1"/>
  <c r="H1466" i="30" s="1"/>
  <c r="I1466" i="30" s="1"/>
  <c r="E1467" i="30"/>
  <c r="F1467" i="30" s="1"/>
  <c r="G1467" i="30" s="1"/>
  <c r="H1467" i="30" s="1"/>
  <c r="I1467" i="30" s="1"/>
  <c r="E1468" i="30"/>
  <c r="F1468" i="30" s="1"/>
  <c r="G1468" i="30" s="1"/>
  <c r="H1468" i="30" s="1"/>
  <c r="I1468" i="30" s="1"/>
  <c r="E1469" i="30"/>
  <c r="F1469" i="30" s="1"/>
  <c r="G1469" i="30" s="1"/>
  <c r="H1469" i="30" s="1"/>
  <c r="I1469" i="30" s="1"/>
  <c r="E1470" i="30"/>
  <c r="F1470" i="30" s="1"/>
  <c r="G1470" i="30" s="1"/>
  <c r="H1470" i="30" s="1"/>
  <c r="I1470" i="30" s="1"/>
  <c r="E1471" i="30"/>
  <c r="F1471" i="30" s="1"/>
  <c r="G1471" i="30" s="1"/>
  <c r="H1471" i="30" s="1"/>
  <c r="I1471" i="30" s="1"/>
  <c r="E1472" i="30"/>
  <c r="F1472" i="30" s="1"/>
  <c r="G1472" i="30" s="1"/>
  <c r="H1472" i="30" s="1"/>
  <c r="I1472" i="30" s="1"/>
  <c r="E1473" i="30"/>
  <c r="F1473" i="30" s="1"/>
  <c r="G1473" i="30" s="1"/>
  <c r="H1473" i="30" s="1"/>
  <c r="I1473" i="30" s="1"/>
  <c r="E1474" i="30"/>
  <c r="F1474" i="30" s="1"/>
  <c r="G1474" i="30" s="1"/>
  <c r="H1474" i="30" s="1"/>
  <c r="I1474" i="30" s="1"/>
  <c r="E1475" i="30"/>
  <c r="F1475" i="30" s="1"/>
  <c r="G1475" i="30" s="1"/>
  <c r="H1475" i="30" s="1"/>
  <c r="I1475" i="30" s="1"/>
  <c r="E1476" i="30"/>
  <c r="F1476" i="30" s="1"/>
  <c r="G1476" i="30" s="1"/>
  <c r="H1476" i="30" s="1"/>
  <c r="I1476" i="30" s="1"/>
  <c r="E1477" i="30"/>
  <c r="F1477" i="30" s="1"/>
  <c r="G1477" i="30" s="1"/>
  <c r="H1477" i="30" s="1"/>
  <c r="I1477" i="30" s="1"/>
  <c r="E1478" i="30"/>
  <c r="F1478" i="30" s="1"/>
  <c r="G1478" i="30" s="1"/>
  <c r="H1478" i="30" s="1"/>
  <c r="I1478" i="30" s="1"/>
  <c r="E1479" i="30"/>
  <c r="F1479" i="30" s="1"/>
  <c r="G1479" i="30" s="1"/>
  <c r="H1479" i="30" s="1"/>
  <c r="I1479" i="30" s="1"/>
  <c r="E1480" i="30"/>
  <c r="F1480" i="30" s="1"/>
  <c r="G1480" i="30" s="1"/>
  <c r="H1480" i="30" s="1"/>
  <c r="I1480" i="30" s="1"/>
  <c r="E1481" i="30"/>
  <c r="F1481" i="30" s="1"/>
  <c r="G1481" i="30" s="1"/>
  <c r="H1481" i="30" s="1"/>
  <c r="I1481" i="30" s="1"/>
  <c r="E1482" i="30"/>
  <c r="F1482" i="30" s="1"/>
  <c r="G1482" i="30" s="1"/>
  <c r="H1482" i="30" s="1"/>
  <c r="I1482" i="30" s="1"/>
  <c r="E1483" i="30"/>
  <c r="F1483" i="30" s="1"/>
  <c r="G1483" i="30" s="1"/>
  <c r="H1483" i="30" s="1"/>
  <c r="I1483" i="30" s="1"/>
  <c r="E1484" i="30"/>
  <c r="F1484" i="30" s="1"/>
  <c r="G1484" i="30" s="1"/>
  <c r="H1484" i="30" s="1"/>
  <c r="I1484" i="30" s="1"/>
  <c r="E1485" i="30"/>
  <c r="F1485" i="30" s="1"/>
  <c r="G1485" i="30" s="1"/>
  <c r="H1485" i="30" s="1"/>
  <c r="I1485" i="30" s="1"/>
  <c r="E1486" i="30"/>
  <c r="F1486" i="30" s="1"/>
  <c r="G1486" i="30" s="1"/>
  <c r="H1486" i="30" s="1"/>
  <c r="I1486" i="30" s="1"/>
  <c r="E1487" i="30"/>
  <c r="F1487" i="30" s="1"/>
  <c r="G1487" i="30" s="1"/>
  <c r="H1487" i="30" s="1"/>
  <c r="I1487" i="30" s="1"/>
  <c r="E1488" i="30"/>
  <c r="F1488" i="30" s="1"/>
  <c r="G1488" i="30" s="1"/>
  <c r="H1488" i="30" s="1"/>
  <c r="I1488" i="30" s="1"/>
  <c r="E1489" i="30"/>
  <c r="F1489" i="30" s="1"/>
  <c r="G1489" i="30" s="1"/>
  <c r="H1489" i="30" s="1"/>
  <c r="I1489" i="30" s="1"/>
  <c r="E1490" i="30"/>
  <c r="F1490" i="30" s="1"/>
  <c r="G1490" i="30" s="1"/>
  <c r="H1490" i="30" s="1"/>
  <c r="I1490" i="30" s="1"/>
  <c r="E1491" i="30"/>
  <c r="F1491" i="30" s="1"/>
  <c r="G1491" i="30" s="1"/>
  <c r="H1491" i="30" s="1"/>
  <c r="I1491" i="30" s="1"/>
  <c r="E1492" i="30"/>
  <c r="F1492" i="30" s="1"/>
  <c r="G1492" i="30" s="1"/>
  <c r="H1492" i="30" s="1"/>
  <c r="I1492" i="30" s="1"/>
  <c r="E1493" i="30"/>
  <c r="F1493" i="30" s="1"/>
  <c r="G1493" i="30" s="1"/>
  <c r="H1493" i="30" s="1"/>
  <c r="I1493" i="30" s="1"/>
  <c r="E1494" i="30"/>
  <c r="F1494" i="30" s="1"/>
  <c r="G1494" i="30" s="1"/>
  <c r="H1494" i="30" s="1"/>
  <c r="I1494" i="30" s="1"/>
  <c r="E1495" i="30"/>
  <c r="F1495" i="30" s="1"/>
  <c r="G1495" i="30" s="1"/>
  <c r="H1495" i="30" s="1"/>
  <c r="I1495" i="30" s="1"/>
  <c r="E1496" i="30"/>
  <c r="F1496" i="30" s="1"/>
  <c r="G1496" i="30" s="1"/>
  <c r="H1496" i="30" s="1"/>
  <c r="I1496" i="30" s="1"/>
  <c r="E1497" i="30"/>
  <c r="F1497" i="30" s="1"/>
  <c r="G1497" i="30" s="1"/>
  <c r="H1497" i="30" s="1"/>
  <c r="I1497" i="30" s="1"/>
  <c r="E1498" i="30"/>
  <c r="F1498" i="30" s="1"/>
  <c r="G1498" i="30" s="1"/>
  <c r="H1498" i="30" s="1"/>
  <c r="I1498" i="30" s="1"/>
  <c r="E1499" i="30"/>
  <c r="F1499" i="30" s="1"/>
  <c r="G1499" i="30" s="1"/>
  <c r="H1499" i="30" s="1"/>
  <c r="I1499" i="30" s="1"/>
  <c r="E1500" i="30"/>
  <c r="F1500" i="30" s="1"/>
  <c r="G1500" i="30" s="1"/>
  <c r="H1500" i="30" s="1"/>
  <c r="I1500" i="30" s="1"/>
  <c r="E1501" i="30"/>
  <c r="F1501" i="30" s="1"/>
  <c r="G1501" i="30" s="1"/>
  <c r="H1501" i="30" s="1"/>
  <c r="I1501" i="30" s="1"/>
  <c r="E1502" i="30"/>
  <c r="F1502" i="30" s="1"/>
  <c r="G1502" i="30" s="1"/>
  <c r="H1502" i="30" s="1"/>
  <c r="I1502" i="30" s="1"/>
  <c r="E1503" i="30"/>
  <c r="F1503" i="30" s="1"/>
  <c r="G1503" i="30" s="1"/>
  <c r="H1503" i="30" s="1"/>
  <c r="I1503" i="30" s="1"/>
  <c r="E1504" i="30"/>
  <c r="F1504" i="30" s="1"/>
  <c r="G1504" i="30" s="1"/>
  <c r="H1504" i="30" s="1"/>
  <c r="I1504" i="30" s="1"/>
  <c r="E1505" i="30"/>
  <c r="F1505" i="30" s="1"/>
  <c r="G1505" i="30" s="1"/>
  <c r="H1505" i="30" s="1"/>
  <c r="I1505" i="30" s="1"/>
  <c r="E1506" i="30"/>
  <c r="F1506" i="30" s="1"/>
  <c r="G1506" i="30" s="1"/>
  <c r="H1506" i="30" s="1"/>
  <c r="I1506" i="30" s="1"/>
  <c r="E1507" i="30"/>
  <c r="F1507" i="30" s="1"/>
  <c r="G1507" i="30" s="1"/>
  <c r="H1507" i="30" s="1"/>
  <c r="I1507" i="30" s="1"/>
  <c r="E1508" i="30"/>
  <c r="F1508" i="30" s="1"/>
  <c r="G1508" i="30" s="1"/>
  <c r="H1508" i="30" s="1"/>
  <c r="I1508" i="30" s="1"/>
  <c r="E1509" i="30"/>
  <c r="F1509" i="30" s="1"/>
  <c r="G1509" i="30" s="1"/>
  <c r="H1509" i="30" s="1"/>
  <c r="I1509" i="30" s="1"/>
  <c r="E1510" i="30"/>
  <c r="F1510" i="30" s="1"/>
  <c r="G1510" i="30" s="1"/>
  <c r="H1510" i="30" s="1"/>
  <c r="I1510" i="30" s="1"/>
  <c r="E1511" i="30"/>
  <c r="F1511" i="30" s="1"/>
  <c r="G1511" i="30" s="1"/>
  <c r="H1511" i="30" s="1"/>
  <c r="I1511" i="30" s="1"/>
  <c r="E1512" i="30"/>
  <c r="F1512" i="30" s="1"/>
  <c r="G1512" i="30" s="1"/>
  <c r="H1512" i="30" s="1"/>
  <c r="I1512" i="30" s="1"/>
  <c r="E1513" i="30"/>
  <c r="F1513" i="30" s="1"/>
  <c r="G1513" i="30" s="1"/>
  <c r="H1513" i="30" s="1"/>
  <c r="I1513" i="30" s="1"/>
  <c r="E1514" i="30"/>
  <c r="F1514" i="30" s="1"/>
  <c r="G1514" i="30" s="1"/>
  <c r="H1514" i="30" s="1"/>
  <c r="I1514" i="30" s="1"/>
  <c r="E1515" i="30"/>
  <c r="F1515" i="30" s="1"/>
  <c r="G1515" i="30" s="1"/>
  <c r="H1515" i="30" s="1"/>
  <c r="I1515" i="30" s="1"/>
  <c r="E1516" i="30"/>
  <c r="F1516" i="30" s="1"/>
  <c r="G1516" i="30" s="1"/>
  <c r="H1516" i="30" s="1"/>
  <c r="I1516" i="30" s="1"/>
  <c r="E1517" i="30"/>
  <c r="F1517" i="30" s="1"/>
  <c r="G1517" i="30" s="1"/>
  <c r="H1517" i="30" s="1"/>
  <c r="I1517" i="30" s="1"/>
  <c r="E1518" i="30"/>
  <c r="F1518" i="30" s="1"/>
  <c r="G1518" i="30" s="1"/>
  <c r="H1518" i="30" s="1"/>
  <c r="I1518" i="30" s="1"/>
  <c r="E1519" i="30"/>
  <c r="F1519" i="30" s="1"/>
  <c r="G1519" i="30" s="1"/>
  <c r="H1519" i="30" s="1"/>
  <c r="I1519" i="30" s="1"/>
  <c r="E1520" i="30"/>
  <c r="F1520" i="30" s="1"/>
  <c r="G1520" i="30" s="1"/>
  <c r="H1520" i="30" s="1"/>
  <c r="I1520" i="30" s="1"/>
  <c r="E1521" i="30"/>
  <c r="F1521" i="30" s="1"/>
  <c r="G1521" i="30" s="1"/>
  <c r="H1521" i="30" s="1"/>
  <c r="I1521" i="30" s="1"/>
  <c r="E1522" i="30"/>
  <c r="F1522" i="30" s="1"/>
  <c r="G1522" i="30" s="1"/>
  <c r="H1522" i="30" s="1"/>
  <c r="I1522" i="30" s="1"/>
  <c r="E1523" i="30"/>
  <c r="F1523" i="30" s="1"/>
  <c r="G1523" i="30" s="1"/>
  <c r="H1523" i="30" s="1"/>
  <c r="I1523" i="30" s="1"/>
  <c r="E1524" i="30"/>
  <c r="F1524" i="30" s="1"/>
  <c r="G1524" i="30" s="1"/>
  <c r="H1524" i="30" s="1"/>
  <c r="I1524" i="30" s="1"/>
  <c r="E1525" i="30"/>
  <c r="F1525" i="30" s="1"/>
  <c r="G1525" i="30" s="1"/>
  <c r="H1525" i="30" s="1"/>
  <c r="I1525" i="30" s="1"/>
  <c r="E1526" i="30"/>
  <c r="F1526" i="30" s="1"/>
  <c r="G1526" i="30" s="1"/>
  <c r="H1526" i="30" s="1"/>
  <c r="I1526" i="30" s="1"/>
  <c r="E1527" i="30"/>
  <c r="F1527" i="30" s="1"/>
  <c r="G1527" i="30" s="1"/>
  <c r="H1527" i="30" s="1"/>
  <c r="I1527" i="30" s="1"/>
  <c r="E1528" i="30"/>
  <c r="F1528" i="30" s="1"/>
  <c r="G1528" i="30" s="1"/>
  <c r="H1528" i="30" s="1"/>
  <c r="I1528" i="30" s="1"/>
  <c r="E1529" i="30"/>
  <c r="F1529" i="30" s="1"/>
  <c r="G1529" i="30" s="1"/>
  <c r="H1529" i="30" s="1"/>
  <c r="I1529" i="30" s="1"/>
  <c r="E1530" i="30"/>
  <c r="F1530" i="30" s="1"/>
  <c r="G1530" i="30" s="1"/>
  <c r="H1530" i="30" s="1"/>
  <c r="I1530" i="30" s="1"/>
  <c r="E1531" i="30"/>
  <c r="F1531" i="30" s="1"/>
  <c r="G1531" i="30" s="1"/>
  <c r="H1531" i="30" s="1"/>
  <c r="I1531" i="30" s="1"/>
  <c r="E1532" i="30"/>
  <c r="F1532" i="30" s="1"/>
  <c r="G1532" i="30" s="1"/>
  <c r="H1532" i="30" s="1"/>
  <c r="I1532" i="30" s="1"/>
  <c r="E1533" i="30"/>
  <c r="F1533" i="30" s="1"/>
  <c r="G1533" i="30" s="1"/>
  <c r="H1533" i="30" s="1"/>
  <c r="I1533" i="30" s="1"/>
  <c r="E1534" i="30"/>
  <c r="F1534" i="30" s="1"/>
  <c r="G1534" i="30" s="1"/>
  <c r="H1534" i="30" s="1"/>
  <c r="I1534" i="30" s="1"/>
  <c r="E1535" i="30"/>
  <c r="F1535" i="30" s="1"/>
  <c r="G1535" i="30" s="1"/>
  <c r="H1535" i="30" s="1"/>
  <c r="I1535" i="30" s="1"/>
  <c r="E1536" i="30"/>
  <c r="F1536" i="30" s="1"/>
  <c r="G1536" i="30" s="1"/>
  <c r="H1536" i="30" s="1"/>
  <c r="I1536" i="30" s="1"/>
  <c r="E1537" i="30"/>
  <c r="F1537" i="30" s="1"/>
  <c r="G1537" i="30" s="1"/>
  <c r="H1537" i="30" s="1"/>
  <c r="I1537" i="30" s="1"/>
  <c r="E1538" i="30"/>
  <c r="F1538" i="30" s="1"/>
  <c r="G1538" i="30" s="1"/>
  <c r="H1538" i="30" s="1"/>
  <c r="I1538" i="30" s="1"/>
  <c r="E1539" i="30"/>
  <c r="F1539" i="30" s="1"/>
  <c r="G1539" i="30" s="1"/>
  <c r="H1539" i="30" s="1"/>
  <c r="I1539" i="30" s="1"/>
  <c r="E1540" i="30"/>
  <c r="F1540" i="30" s="1"/>
  <c r="G1540" i="30" s="1"/>
  <c r="H1540" i="30" s="1"/>
  <c r="I1540" i="30" s="1"/>
  <c r="E1541" i="30"/>
  <c r="F1541" i="30" s="1"/>
  <c r="G1541" i="30" s="1"/>
  <c r="H1541" i="30" s="1"/>
  <c r="I1541" i="30" s="1"/>
  <c r="E1542" i="30"/>
  <c r="F1542" i="30" s="1"/>
  <c r="G1542" i="30" s="1"/>
  <c r="H1542" i="30" s="1"/>
  <c r="I1542" i="30" s="1"/>
  <c r="E1543" i="30"/>
  <c r="F1543" i="30" s="1"/>
  <c r="G1543" i="30" s="1"/>
  <c r="H1543" i="30" s="1"/>
  <c r="I1543" i="30" s="1"/>
  <c r="E1544" i="30"/>
  <c r="F1544" i="30" s="1"/>
  <c r="G1544" i="30" s="1"/>
  <c r="H1544" i="30" s="1"/>
  <c r="I1544" i="30" s="1"/>
  <c r="E1545" i="30"/>
  <c r="F1545" i="30" s="1"/>
  <c r="G1545" i="30" s="1"/>
  <c r="H1545" i="30" s="1"/>
  <c r="I1545" i="30" s="1"/>
  <c r="E1546" i="30"/>
  <c r="F1546" i="30" s="1"/>
  <c r="G1546" i="30" s="1"/>
  <c r="H1546" i="30" s="1"/>
  <c r="I1546" i="30" s="1"/>
  <c r="E1547" i="30"/>
  <c r="F1547" i="30" s="1"/>
  <c r="G1547" i="30" s="1"/>
  <c r="H1547" i="30" s="1"/>
  <c r="I1547" i="30" s="1"/>
  <c r="E1548" i="30"/>
  <c r="F1548" i="30" s="1"/>
  <c r="G1548" i="30" s="1"/>
  <c r="H1548" i="30" s="1"/>
  <c r="I1548" i="30" s="1"/>
  <c r="E1549" i="30"/>
  <c r="F1549" i="30" s="1"/>
  <c r="G1549" i="30" s="1"/>
  <c r="H1549" i="30" s="1"/>
  <c r="I1549" i="30" s="1"/>
  <c r="E1550" i="30"/>
  <c r="F1550" i="30" s="1"/>
  <c r="G1550" i="30" s="1"/>
  <c r="H1550" i="30" s="1"/>
  <c r="I1550" i="30" s="1"/>
  <c r="E1551" i="30"/>
  <c r="F1551" i="30" s="1"/>
  <c r="G1551" i="30" s="1"/>
  <c r="H1551" i="30" s="1"/>
  <c r="I1551" i="30" s="1"/>
  <c r="E1552" i="30"/>
  <c r="F1552" i="30" s="1"/>
  <c r="G1552" i="30" s="1"/>
  <c r="H1552" i="30" s="1"/>
  <c r="I1552" i="30" s="1"/>
  <c r="E1553" i="30"/>
  <c r="F1553" i="30" s="1"/>
  <c r="G1553" i="30" s="1"/>
  <c r="H1553" i="30" s="1"/>
  <c r="I1553" i="30" s="1"/>
  <c r="E1554" i="30"/>
  <c r="F1554" i="30" s="1"/>
  <c r="G1554" i="30" s="1"/>
  <c r="H1554" i="30" s="1"/>
  <c r="I1554" i="30" s="1"/>
  <c r="E1555" i="30"/>
  <c r="F1555" i="30" s="1"/>
  <c r="G1555" i="30" s="1"/>
  <c r="H1555" i="30" s="1"/>
  <c r="I1555" i="30" s="1"/>
  <c r="E1556" i="30"/>
  <c r="F1556" i="30" s="1"/>
  <c r="G1556" i="30" s="1"/>
  <c r="H1556" i="30" s="1"/>
  <c r="I1556" i="30" s="1"/>
  <c r="E1557" i="30"/>
  <c r="F1557" i="30" s="1"/>
  <c r="G1557" i="30" s="1"/>
  <c r="H1557" i="30" s="1"/>
  <c r="I1557" i="30" s="1"/>
  <c r="E1558" i="30"/>
  <c r="F1558" i="30" s="1"/>
  <c r="G1558" i="30" s="1"/>
  <c r="H1558" i="30" s="1"/>
  <c r="I1558" i="30" s="1"/>
  <c r="E1559" i="30"/>
  <c r="F1559" i="30" s="1"/>
  <c r="G1559" i="30" s="1"/>
  <c r="H1559" i="30" s="1"/>
  <c r="I1559" i="30" s="1"/>
  <c r="E1560" i="30"/>
  <c r="F1560" i="30" s="1"/>
  <c r="G1560" i="30" s="1"/>
  <c r="H1560" i="30" s="1"/>
  <c r="I1560" i="30" s="1"/>
  <c r="E1561" i="30"/>
  <c r="F1561" i="30" s="1"/>
  <c r="G1561" i="30" s="1"/>
  <c r="H1561" i="30" s="1"/>
  <c r="I1561" i="30" s="1"/>
  <c r="E1562" i="30"/>
  <c r="F1562" i="30" s="1"/>
  <c r="G1562" i="30" s="1"/>
  <c r="H1562" i="30" s="1"/>
  <c r="I1562" i="30" s="1"/>
  <c r="E1563" i="30"/>
  <c r="F1563" i="30" s="1"/>
  <c r="G1563" i="30" s="1"/>
  <c r="H1563" i="30" s="1"/>
  <c r="I1563" i="30" s="1"/>
  <c r="E1564" i="30"/>
  <c r="F1564" i="30" s="1"/>
  <c r="G1564" i="30" s="1"/>
  <c r="H1564" i="30" s="1"/>
  <c r="I1564" i="30" s="1"/>
  <c r="E1565" i="30"/>
  <c r="F1565" i="30" s="1"/>
  <c r="G1565" i="30" s="1"/>
  <c r="H1565" i="30" s="1"/>
  <c r="I1565" i="30" s="1"/>
  <c r="E1566" i="30"/>
  <c r="F1566" i="30" s="1"/>
  <c r="G1566" i="30" s="1"/>
  <c r="H1566" i="30" s="1"/>
  <c r="I1566" i="30" s="1"/>
  <c r="E1567" i="30"/>
  <c r="F1567" i="30" s="1"/>
  <c r="G1567" i="30" s="1"/>
  <c r="H1567" i="30" s="1"/>
  <c r="I1567" i="30" s="1"/>
  <c r="E1568" i="30"/>
  <c r="F1568" i="30" s="1"/>
  <c r="G1568" i="30" s="1"/>
  <c r="H1568" i="30" s="1"/>
  <c r="I1568" i="30" s="1"/>
  <c r="E1569" i="30"/>
  <c r="F1569" i="30" s="1"/>
  <c r="G1569" i="30" s="1"/>
  <c r="H1569" i="30" s="1"/>
  <c r="I1569" i="30" s="1"/>
  <c r="E1570" i="30"/>
  <c r="F1570" i="30" s="1"/>
  <c r="G1570" i="30" s="1"/>
  <c r="H1570" i="30" s="1"/>
  <c r="I1570" i="30" s="1"/>
  <c r="E1571" i="30"/>
  <c r="F1571" i="30" s="1"/>
  <c r="G1571" i="30" s="1"/>
  <c r="H1571" i="30" s="1"/>
  <c r="I1571" i="30" s="1"/>
  <c r="E1572" i="30"/>
  <c r="F1572" i="30" s="1"/>
  <c r="G1572" i="30" s="1"/>
  <c r="H1572" i="30" s="1"/>
  <c r="I1572" i="30" s="1"/>
  <c r="E1573" i="30"/>
  <c r="F1573" i="30" s="1"/>
  <c r="G1573" i="30" s="1"/>
  <c r="H1573" i="30" s="1"/>
  <c r="I1573" i="30" s="1"/>
  <c r="E1574" i="30"/>
  <c r="F1574" i="30" s="1"/>
  <c r="G1574" i="30" s="1"/>
  <c r="H1574" i="30" s="1"/>
  <c r="I1574" i="30" s="1"/>
  <c r="E1575" i="30"/>
  <c r="F1575" i="30" s="1"/>
  <c r="G1575" i="30" s="1"/>
  <c r="H1575" i="30" s="1"/>
  <c r="I1575" i="30" s="1"/>
  <c r="E1576" i="30"/>
  <c r="F1576" i="30" s="1"/>
  <c r="G1576" i="30" s="1"/>
  <c r="H1576" i="30" s="1"/>
  <c r="I1576" i="30" s="1"/>
  <c r="E1577" i="30"/>
  <c r="F1577" i="30" s="1"/>
  <c r="G1577" i="30" s="1"/>
  <c r="H1577" i="30" s="1"/>
  <c r="I1577" i="30" s="1"/>
  <c r="E1578" i="30"/>
  <c r="F1578" i="30" s="1"/>
  <c r="G1578" i="30" s="1"/>
  <c r="H1578" i="30" s="1"/>
  <c r="I1578" i="30" s="1"/>
  <c r="E1579" i="30"/>
  <c r="F1579" i="30" s="1"/>
  <c r="G1579" i="30" s="1"/>
  <c r="H1579" i="30" s="1"/>
  <c r="I1579" i="30" s="1"/>
  <c r="E1580" i="30"/>
  <c r="F1580" i="30" s="1"/>
  <c r="G1580" i="30" s="1"/>
  <c r="H1580" i="30" s="1"/>
  <c r="I1580" i="30" s="1"/>
  <c r="E1581" i="30"/>
  <c r="F1581" i="30" s="1"/>
  <c r="G1581" i="30" s="1"/>
  <c r="H1581" i="30" s="1"/>
  <c r="I1581" i="30" s="1"/>
  <c r="E1582" i="30"/>
  <c r="F1582" i="30" s="1"/>
  <c r="G1582" i="30" s="1"/>
  <c r="H1582" i="30" s="1"/>
  <c r="I1582" i="30" s="1"/>
  <c r="E1583" i="30"/>
  <c r="F1583" i="30" s="1"/>
  <c r="G1583" i="30" s="1"/>
  <c r="H1583" i="30" s="1"/>
  <c r="I1583" i="30" s="1"/>
  <c r="E1584" i="30"/>
  <c r="F1584" i="30" s="1"/>
  <c r="G1584" i="30" s="1"/>
  <c r="H1584" i="30" s="1"/>
  <c r="I1584" i="30" s="1"/>
  <c r="E1585" i="30"/>
  <c r="F1585" i="30" s="1"/>
  <c r="G1585" i="30" s="1"/>
  <c r="H1585" i="30" s="1"/>
  <c r="I1585" i="30" s="1"/>
  <c r="E1586" i="30"/>
  <c r="F1586" i="30" s="1"/>
  <c r="G1586" i="30" s="1"/>
  <c r="H1586" i="30" s="1"/>
  <c r="I1586" i="30" s="1"/>
  <c r="E1587" i="30"/>
  <c r="F1587" i="30" s="1"/>
  <c r="G1587" i="30" s="1"/>
  <c r="H1587" i="30" s="1"/>
  <c r="I1587" i="30" s="1"/>
  <c r="E1588" i="30"/>
  <c r="F1588" i="30" s="1"/>
  <c r="G1588" i="30" s="1"/>
  <c r="H1588" i="30" s="1"/>
  <c r="I1588" i="30" s="1"/>
  <c r="E1589" i="30"/>
  <c r="F1589" i="30" s="1"/>
  <c r="G1589" i="30" s="1"/>
  <c r="H1589" i="30" s="1"/>
  <c r="I1589" i="30" s="1"/>
  <c r="E1590" i="30"/>
  <c r="F1590" i="30" s="1"/>
  <c r="G1590" i="30" s="1"/>
  <c r="H1590" i="30" s="1"/>
  <c r="I1590" i="30" s="1"/>
  <c r="E1591" i="30"/>
  <c r="F1591" i="30" s="1"/>
  <c r="G1591" i="30" s="1"/>
  <c r="H1591" i="30" s="1"/>
  <c r="I1591" i="30" s="1"/>
  <c r="E1592" i="30"/>
  <c r="F1592" i="30" s="1"/>
  <c r="G1592" i="30" s="1"/>
  <c r="H1592" i="30" s="1"/>
  <c r="I1592" i="30" s="1"/>
  <c r="E1593" i="30"/>
  <c r="F1593" i="30" s="1"/>
  <c r="G1593" i="30" s="1"/>
  <c r="H1593" i="30" s="1"/>
  <c r="I1593" i="30" s="1"/>
  <c r="E1594" i="30"/>
  <c r="F1594" i="30" s="1"/>
  <c r="G1594" i="30" s="1"/>
  <c r="H1594" i="30" s="1"/>
  <c r="I1594" i="30" s="1"/>
  <c r="E1595" i="30"/>
  <c r="F1595" i="30" s="1"/>
  <c r="G1595" i="30" s="1"/>
  <c r="H1595" i="30" s="1"/>
  <c r="I1595" i="30" s="1"/>
  <c r="E1596" i="30"/>
  <c r="F1596" i="30" s="1"/>
  <c r="G1596" i="30" s="1"/>
  <c r="H1596" i="30" s="1"/>
  <c r="I1596" i="30" s="1"/>
  <c r="E1597" i="30"/>
  <c r="F1597" i="30" s="1"/>
  <c r="G1597" i="30" s="1"/>
  <c r="H1597" i="30" s="1"/>
  <c r="I1597" i="30" s="1"/>
  <c r="E1598" i="30"/>
  <c r="F1598" i="30" s="1"/>
  <c r="G1598" i="30" s="1"/>
  <c r="H1598" i="30" s="1"/>
  <c r="I1598" i="30" s="1"/>
  <c r="E1599" i="30"/>
  <c r="F1599" i="30" s="1"/>
  <c r="G1599" i="30" s="1"/>
  <c r="H1599" i="30" s="1"/>
  <c r="I1599" i="30" s="1"/>
  <c r="E1600" i="30"/>
  <c r="F1600" i="30" s="1"/>
  <c r="G1600" i="30" s="1"/>
  <c r="H1600" i="30" s="1"/>
  <c r="I1600" i="30" s="1"/>
  <c r="E1601" i="30"/>
  <c r="F1601" i="30" s="1"/>
  <c r="G1601" i="30" s="1"/>
  <c r="H1601" i="30" s="1"/>
  <c r="I1601" i="30" s="1"/>
  <c r="E1602" i="30"/>
  <c r="F1602" i="30" s="1"/>
  <c r="G1602" i="30" s="1"/>
  <c r="H1602" i="30" s="1"/>
  <c r="I1602" i="30" s="1"/>
  <c r="E1603" i="30"/>
  <c r="F1603" i="30" s="1"/>
  <c r="G1603" i="30" s="1"/>
  <c r="H1603" i="30" s="1"/>
  <c r="I1603" i="30" s="1"/>
  <c r="E1604" i="30"/>
  <c r="F1604" i="30" s="1"/>
  <c r="G1604" i="30" s="1"/>
  <c r="H1604" i="30" s="1"/>
  <c r="I1604" i="30" s="1"/>
  <c r="E1605" i="30"/>
  <c r="F1605" i="30" s="1"/>
  <c r="G1605" i="30" s="1"/>
  <c r="H1605" i="30" s="1"/>
  <c r="I1605" i="30" s="1"/>
  <c r="E1606" i="30"/>
  <c r="F1606" i="30" s="1"/>
  <c r="G1606" i="30" s="1"/>
  <c r="H1606" i="30" s="1"/>
  <c r="I1606" i="30" s="1"/>
  <c r="E1607" i="30"/>
  <c r="F1607" i="30" s="1"/>
  <c r="G1607" i="30" s="1"/>
  <c r="H1607" i="30" s="1"/>
  <c r="I1607" i="30" s="1"/>
  <c r="E1608" i="30"/>
  <c r="F1608" i="30" s="1"/>
  <c r="G1608" i="30" s="1"/>
  <c r="H1608" i="30" s="1"/>
  <c r="I1608" i="30" s="1"/>
  <c r="E1609" i="30"/>
  <c r="F1609" i="30" s="1"/>
  <c r="G1609" i="30" s="1"/>
  <c r="H1609" i="30" s="1"/>
  <c r="I1609" i="30" s="1"/>
  <c r="E1610" i="30"/>
  <c r="F1610" i="30" s="1"/>
  <c r="G1610" i="30" s="1"/>
  <c r="H1610" i="30" s="1"/>
  <c r="I1610" i="30" s="1"/>
  <c r="E1611" i="30"/>
  <c r="F1611" i="30" s="1"/>
  <c r="G1611" i="30" s="1"/>
  <c r="H1611" i="30" s="1"/>
  <c r="I1611" i="30" s="1"/>
  <c r="E1612" i="30"/>
  <c r="F1612" i="30" s="1"/>
  <c r="G1612" i="30" s="1"/>
  <c r="H1612" i="30" s="1"/>
  <c r="I1612" i="30" s="1"/>
  <c r="E1613" i="30"/>
  <c r="F1613" i="30" s="1"/>
  <c r="G1613" i="30" s="1"/>
  <c r="H1613" i="30" s="1"/>
  <c r="I1613" i="30" s="1"/>
  <c r="E1614" i="30"/>
  <c r="F1614" i="30" s="1"/>
  <c r="G1614" i="30" s="1"/>
  <c r="H1614" i="30" s="1"/>
  <c r="I1614" i="30" s="1"/>
  <c r="E1615" i="30"/>
  <c r="F1615" i="30" s="1"/>
  <c r="G1615" i="30" s="1"/>
  <c r="H1615" i="30" s="1"/>
  <c r="I1615" i="30" s="1"/>
  <c r="E1616" i="30"/>
  <c r="F1616" i="30" s="1"/>
  <c r="G1616" i="30" s="1"/>
  <c r="H1616" i="30" s="1"/>
  <c r="I1616" i="30" s="1"/>
  <c r="E1617" i="30"/>
  <c r="F1617" i="30" s="1"/>
  <c r="G1617" i="30" s="1"/>
  <c r="H1617" i="30" s="1"/>
  <c r="I1617" i="30" s="1"/>
  <c r="E1618" i="30"/>
  <c r="F1618" i="30" s="1"/>
  <c r="G1618" i="30" s="1"/>
  <c r="H1618" i="30" s="1"/>
  <c r="I1618" i="30" s="1"/>
  <c r="E1619" i="30"/>
  <c r="F1619" i="30" s="1"/>
  <c r="G1619" i="30" s="1"/>
  <c r="H1619" i="30" s="1"/>
  <c r="I1619" i="30" s="1"/>
  <c r="E1620" i="30"/>
  <c r="F1620" i="30" s="1"/>
  <c r="G1620" i="30" s="1"/>
  <c r="H1620" i="30" s="1"/>
  <c r="I1620" i="30" s="1"/>
  <c r="E5" i="30"/>
  <c r="I1712" i="18" l="1"/>
  <c r="H1712" i="18"/>
  <c r="G1712" i="18"/>
  <c r="F1712" i="18"/>
  <c r="E1712" i="18"/>
  <c r="I1711" i="18"/>
  <c r="H1711" i="18"/>
  <c r="G1711" i="18"/>
  <c r="F1711" i="18"/>
  <c r="E1711" i="18"/>
  <c r="I1710" i="18"/>
  <c r="H1710" i="18"/>
  <c r="G1710" i="18"/>
  <c r="F1710" i="18"/>
  <c r="E1710" i="18"/>
  <c r="I1709" i="18"/>
  <c r="H1709" i="18"/>
  <c r="G1709" i="18"/>
  <c r="F1709" i="18"/>
  <c r="E1709" i="18"/>
  <c r="I1708" i="18"/>
  <c r="H1708" i="18"/>
  <c r="G1708" i="18"/>
  <c r="F1708" i="18"/>
  <c r="E1708" i="18"/>
  <c r="I1707" i="18"/>
  <c r="H1707" i="18"/>
  <c r="G1707" i="18"/>
  <c r="F1707" i="18"/>
  <c r="E1707" i="18"/>
  <c r="I1706" i="18"/>
  <c r="H1706" i="18"/>
  <c r="G1706" i="18"/>
  <c r="F1706" i="18"/>
  <c r="E1706" i="18"/>
  <c r="I1705" i="18"/>
  <c r="H1705" i="18"/>
  <c r="G1705" i="18"/>
  <c r="F1705" i="18"/>
  <c r="E1705" i="18"/>
  <c r="I1704" i="18"/>
  <c r="H1704" i="18"/>
  <c r="G1704" i="18"/>
  <c r="F1704" i="18"/>
  <c r="E1704" i="18"/>
  <c r="I1703" i="18"/>
  <c r="H1703" i="18"/>
  <c r="G1703" i="18"/>
  <c r="F1703" i="18"/>
  <c r="E1703" i="18"/>
  <c r="I1702" i="18"/>
  <c r="H1702" i="18"/>
  <c r="G1702" i="18"/>
  <c r="F1702" i="18"/>
  <c r="E1702" i="18"/>
  <c r="I1701" i="18"/>
  <c r="H1701" i="18"/>
  <c r="G1701" i="18"/>
  <c r="F1701" i="18"/>
  <c r="E1701" i="18"/>
  <c r="I1700" i="18"/>
  <c r="H1700" i="18"/>
  <c r="G1700" i="18"/>
  <c r="F1700" i="18"/>
  <c r="E1700" i="18"/>
  <c r="I1699" i="18"/>
  <c r="H1699" i="18"/>
  <c r="G1699" i="18"/>
  <c r="F1699" i="18"/>
  <c r="E1699" i="18"/>
  <c r="I1698" i="18"/>
  <c r="H1698" i="18"/>
  <c r="G1698" i="18"/>
  <c r="F1698" i="18"/>
  <c r="E1698" i="18"/>
  <c r="I1697" i="18"/>
  <c r="H1697" i="18"/>
  <c r="G1697" i="18"/>
  <c r="F1697" i="18"/>
  <c r="E1697" i="18"/>
  <c r="I1696" i="18"/>
  <c r="H1696" i="18"/>
  <c r="G1696" i="18"/>
  <c r="F1696" i="18"/>
  <c r="E1696" i="18"/>
  <c r="I1695" i="18"/>
  <c r="H1695" i="18"/>
  <c r="G1695" i="18"/>
  <c r="F1695" i="18"/>
  <c r="E1695" i="18"/>
  <c r="I1694" i="18"/>
  <c r="H1694" i="18"/>
  <c r="G1694" i="18"/>
  <c r="F1694" i="18"/>
  <c r="E1694" i="18"/>
  <c r="I1693" i="18"/>
  <c r="H1693" i="18"/>
  <c r="G1693" i="18"/>
  <c r="F1693" i="18"/>
  <c r="E1693" i="18"/>
  <c r="I1692" i="18"/>
  <c r="H1692" i="18"/>
  <c r="G1692" i="18"/>
  <c r="F1692" i="18"/>
  <c r="E1692" i="18"/>
  <c r="I1691" i="18"/>
  <c r="H1691" i="18"/>
  <c r="G1691" i="18"/>
  <c r="F1691" i="18"/>
  <c r="E1691" i="18"/>
  <c r="I1690" i="18"/>
  <c r="H1690" i="18"/>
  <c r="G1690" i="18"/>
  <c r="F1690" i="18"/>
  <c r="E1690" i="18"/>
  <c r="I1689" i="18"/>
  <c r="H1689" i="18"/>
  <c r="G1689" i="18"/>
  <c r="F1689" i="18"/>
  <c r="E1689" i="18"/>
  <c r="I1688" i="18"/>
  <c r="H1688" i="18"/>
  <c r="G1688" i="18"/>
  <c r="F1688" i="18"/>
  <c r="E1688" i="18"/>
  <c r="I1687" i="18"/>
  <c r="H1687" i="18"/>
  <c r="G1687" i="18"/>
  <c r="F1687" i="18"/>
  <c r="E1687" i="18"/>
  <c r="I1686" i="18"/>
  <c r="H1686" i="18"/>
  <c r="G1686" i="18"/>
  <c r="F1686" i="18"/>
  <c r="E1686" i="18"/>
  <c r="I1685" i="18"/>
  <c r="H1685" i="18"/>
  <c r="G1685" i="18"/>
  <c r="F1685" i="18"/>
  <c r="E1685" i="18"/>
  <c r="I1684" i="18"/>
  <c r="H1684" i="18"/>
  <c r="G1684" i="18"/>
  <c r="F1684" i="18"/>
  <c r="E1684" i="18"/>
  <c r="I1683" i="18"/>
  <c r="H1683" i="18"/>
  <c r="G1683" i="18"/>
  <c r="F1683" i="18"/>
  <c r="E1683" i="18"/>
  <c r="I1682" i="18"/>
  <c r="H1682" i="18"/>
  <c r="G1682" i="18"/>
  <c r="F1682" i="18"/>
  <c r="E1682" i="18"/>
  <c r="I1681" i="18"/>
  <c r="H1681" i="18"/>
  <c r="G1681" i="18"/>
  <c r="F1681" i="18"/>
  <c r="E1681" i="18"/>
  <c r="I1680" i="18"/>
  <c r="H1680" i="18"/>
  <c r="G1680" i="18"/>
  <c r="F1680" i="18"/>
  <c r="E1680" i="18"/>
  <c r="I1679" i="18"/>
  <c r="H1679" i="18"/>
  <c r="G1679" i="18"/>
  <c r="F1679" i="18"/>
  <c r="E1679" i="18"/>
  <c r="I1678" i="18"/>
  <c r="H1678" i="18"/>
  <c r="G1678" i="18"/>
  <c r="F1678" i="18"/>
  <c r="E1678" i="18"/>
  <c r="I1677" i="18"/>
  <c r="H1677" i="18"/>
  <c r="G1677" i="18"/>
  <c r="F1677" i="18"/>
  <c r="E1677" i="18"/>
  <c r="I1676" i="18"/>
  <c r="H1676" i="18"/>
  <c r="G1676" i="18"/>
  <c r="F1676" i="18"/>
  <c r="E1676" i="18"/>
  <c r="I1675" i="18"/>
  <c r="H1675" i="18"/>
  <c r="G1675" i="18"/>
  <c r="F1675" i="18"/>
  <c r="E1675" i="18"/>
  <c r="I1674" i="18"/>
  <c r="H1674" i="18"/>
  <c r="G1674" i="18"/>
  <c r="F1674" i="18"/>
  <c r="E1674" i="18"/>
  <c r="I1673" i="18"/>
  <c r="H1673" i="18"/>
  <c r="G1673" i="18"/>
  <c r="F1673" i="18"/>
  <c r="E1673" i="18"/>
  <c r="I1672" i="18"/>
  <c r="H1672" i="18"/>
  <c r="G1672" i="18"/>
  <c r="F1672" i="18"/>
  <c r="E1672" i="18"/>
  <c r="I1671" i="18"/>
  <c r="H1671" i="18"/>
  <c r="G1671" i="18"/>
  <c r="F1671" i="18"/>
  <c r="E1671" i="18"/>
  <c r="I1670" i="18"/>
  <c r="H1670" i="18"/>
  <c r="G1670" i="18"/>
  <c r="F1670" i="18"/>
  <c r="E1670" i="18"/>
  <c r="I1669" i="18"/>
  <c r="H1669" i="18"/>
  <c r="G1669" i="18"/>
  <c r="F1669" i="18"/>
  <c r="E1669" i="18"/>
  <c r="I1668" i="18"/>
  <c r="H1668" i="18"/>
  <c r="G1668" i="18"/>
  <c r="F1668" i="18"/>
  <c r="E1668" i="18"/>
  <c r="I1667" i="18"/>
  <c r="H1667" i="18"/>
  <c r="G1667" i="18"/>
  <c r="F1667" i="18"/>
  <c r="E1667" i="18"/>
  <c r="I1666" i="18"/>
  <c r="H1666" i="18"/>
  <c r="G1666" i="18"/>
  <c r="F1666" i="18"/>
  <c r="E1666" i="18"/>
  <c r="I1665" i="18"/>
  <c r="H1665" i="18"/>
  <c r="G1665" i="18"/>
  <c r="F1665" i="18"/>
  <c r="E1665" i="18"/>
  <c r="I1664" i="18"/>
  <c r="H1664" i="18"/>
  <c r="G1664" i="18"/>
  <c r="F1664" i="18"/>
  <c r="E1664" i="18"/>
  <c r="I1663" i="18"/>
  <c r="H1663" i="18"/>
  <c r="G1663" i="18"/>
  <c r="F1663" i="18"/>
  <c r="E1663" i="18"/>
  <c r="I1662" i="18"/>
  <c r="H1662" i="18"/>
  <c r="G1662" i="18"/>
  <c r="F1662" i="18"/>
  <c r="E1662" i="18"/>
  <c r="I1661" i="18"/>
  <c r="H1661" i="18"/>
  <c r="G1661" i="18"/>
  <c r="F1661" i="18"/>
  <c r="E1661" i="18"/>
  <c r="I1660" i="18"/>
  <c r="H1660" i="18"/>
  <c r="G1660" i="18"/>
  <c r="F1660" i="18"/>
  <c r="E1660" i="18"/>
  <c r="I1659" i="18"/>
  <c r="H1659" i="18"/>
  <c r="G1659" i="18"/>
  <c r="F1659" i="18"/>
  <c r="E1659" i="18"/>
  <c r="I1658" i="18"/>
  <c r="H1658" i="18"/>
  <c r="G1658" i="18"/>
  <c r="F1658" i="18"/>
  <c r="E1658" i="18"/>
  <c r="I1657" i="18"/>
  <c r="H1657" i="18"/>
  <c r="G1657" i="18"/>
  <c r="F1657" i="18"/>
  <c r="E1657" i="18"/>
  <c r="I1656" i="18"/>
  <c r="H1656" i="18"/>
  <c r="G1656" i="18"/>
  <c r="F1656" i="18"/>
  <c r="E1656" i="18"/>
  <c r="I1655" i="18"/>
  <c r="H1655" i="18"/>
  <c r="G1655" i="18"/>
  <c r="F1655" i="18"/>
  <c r="E1655" i="18"/>
  <c r="I1654" i="18"/>
  <c r="H1654" i="18"/>
  <c r="G1654" i="18"/>
  <c r="F1654" i="18"/>
  <c r="E1654" i="18"/>
  <c r="I1653" i="18"/>
  <c r="H1653" i="18"/>
  <c r="G1653" i="18"/>
  <c r="F1653" i="18"/>
  <c r="E1653" i="18"/>
  <c r="I1652" i="18"/>
  <c r="H1652" i="18"/>
  <c r="G1652" i="18"/>
  <c r="F1652" i="18"/>
  <c r="E1652" i="18"/>
  <c r="I1651" i="18"/>
  <c r="H1651" i="18"/>
  <c r="G1651" i="18"/>
  <c r="F1651" i="18"/>
  <c r="E1651" i="18"/>
  <c r="I1650" i="18"/>
  <c r="H1650" i="18"/>
  <c r="G1650" i="18"/>
  <c r="F1650" i="18"/>
  <c r="E1650" i="18"/>
  <c r="I1649" i="18"/>
  <c r="H1649" i="18"/>
  <c r="G1649" i="18"/>
  <c r="F1649" i="18"/>
  <c r="E1649" i="18"/>
  <c r="I1648" i="18"/>
  <c r="H1648" i="18"/>
  <c r="G1648" i="18"/>
  <c r="F1648" i="18"/>
  <c r="E1648" i="18"/>
  <c r="I1647" i="18"/>
  <c r="H1647" i="18"/>
  <c r="G1647" i="18"/>
  <c r="F1647" i="18"/>
  <c r="E1647" i="18"/>
  <c r="I1646" i="18"/>
  <c r="H1646" i="18"/>
  <c r="G1646" i="18"/>
  <c r="F1646" i="18"/>
  <c r="E1646" i="18"/>
  <c r="I1645" i="18"/>
  <c r="H1645" i="18"/>
  <c r="G1645" i="18"/>
  <c r="F1645" i="18"/>
  <c r="E1645" i="18"/>
  <c r="G6" i="28"/>
  <c r="G7" i="28"/>
  <c r="G8" i="28"/>
  <c r="G11" i="28"/>
  <c r="H11" i="28" s="1"/>
  <c r="G12" i="28"/>
  <c r="H12" i="28" s="1"/>
  <c r="G13" i="28"/>
  <c r="H13" i="28" s="1"/>
  <c r="G14" i="28"/>
  <c r="H14" i="28" s="1"/>
  <c r="G15" i="28"/>
  <c r="H15" i="28" s="1"/>
  <c r="G16" i="28"/>
  <c r="H16" i="28" s="1"/>
  <c r="G17" i="28"/>
  <c r="H17" i="28" s="1"/>
  <c r="G18" i="28"/>
  <c r="H18" i="28" s="1"/>
  <c r="G19" i="28"/>
  <c r="H19" i="28" s="1"/>
  <c r="G20" i="28"/>
  <c r="H20" i="28" s="1"/>
  <c r="G21" i="28"/>
  <c r="H21" i="28" s="1"/>
  <c r="G22" i="28"/>
  <c r="H22" i="28" s="1"/>
  <c r="G23" i="28"/>
  <c r="H23" i="28" s="1"/>
  <c r="G24" i="28"/>
  <c r="H24" i="28" s="1"/>
  <c r="G25" i="28"/>
  <c r="H25" i="28" s="1"/>
  <c r="G26" i="28"/>
  <c r="H26" i="28" s="1"/>
  <c r="G27" i="28"/>
  <c r="H27" i="28" s="1"/>
  <c r="G28" i="28"/>
  <c r="H28" i="28" s="1"/>
  <c r="G29" i="28"/>
  <c r="H29" i="28" s="1"/>
  <c r="G30" i="28"/>
  <c r="H30" i="28" s="1"/>
  <c r="G31" i="28"/>
  <c r="H31" i="28" s="1"/>
  <c r="G32" i="28"/>
  <c r="H32" i="28" s="1"/>
  <c r="G33" i="28"/>
  <c r="H33" i="28" s="1"/>
  <c r="G34" i="28"/>
  <c r="H34" i="28" s="1"/>
  <c r="G35" i="28"/>
  <c r="H35" i="28" s="1"/>
  <c r="G36" i="28"/>
  <c r="H36" i="28" s="1"/>
  <c r="G37" i="28"/>
  <c r="H37" i="28" s="1"/>
  <c r="G38" i="28"/>
  <c r="H38" i="28" s="1"/>
  <c r="G39" i="28"/>
  <c r="H39" i="28" s="1"/>
  <c r="G40" i="28"/>
  <c r="H40" i="28" s="1"/>
  <c r="G41" i="28"/>
  <c r="H41" i="28" s="1"/>
  <c r="G42" i="28"/>
  <c r="H42" i="28" s="1"/>
  <c r="G43" i="28"/>
  <c r="H43" i="28" s="1"/>
  <c r="G44" i="28"/>
  <c r="H44" i="28" s="1"/>
  <c r="G45" i="28"/>
  <c r="H45" i="28" s="1"/>
  <c r="G46" i="28"/>
  <c r="H46" i="28" s="1"/>
  <c r="G47" i="28"/>
  <c r="H47" i="28" s="1"/>
  <c r="G48" i="28"/>
  <c r="H48" i="28" s="1"/>
  <c r="G49" i="28"/>
  <c r="H49" i="28" s="1"/>
  <c r="G50" i="28"/>
  <c r="H50" i="28" s="1"/>
  <c r="G51" i="28"/>
  <c r="H51" i="28" s="1"/>
  <c r="G52" i="28"/>
  <c r="H52" i="28" s="1"/>
  <c r="G53" i="28"/>
  <c r="H53" i="28" s="1"/>
  <c r="G54" i="28"/>
  <c r="H54" i="28" s="1"/>
  <c r="G55" i="28"/>
  <c r="H55" i="28" s="1"/>
  <c r="G56" i="28"/>
  <c r="H56" i="28" s="1"/>
  <c r="G57" i="28"/>
  <c r="H57" i="28" s="1"/>
  <c r="G58" i="28"/>
  <c r="H58" i="28" s="1"/>
  <c r="G59" i="28"/>
  <c r="H59" i="28" s="1"/>
  <c r="G60" i="28"/>
  <c r="H60" i="28" s="1"/>
  <c r="G61" i="28"/>
  <c r="H61" i="28" s="1"/>
  <c r="G62" i="28"/>
  <c r="H62" i="28" s="1"/>
  <c r="G63" i="28"/>
  <c r="H63" i="28" s="1"/>
  <c r="G64" i="28"/>
  <c r="H64" i="28" s="1"/>
  <c r="G65" i="28"/>
  <c r="H65" i="28" s="1"/>
  <c r="G66" i="28"/>
  <c r="H66" i="28" s="1"/>
  <c r="G67" i="28"/>
  <c r="H67" i="28" s="1"/>
  <c r="G68" i="28"/>
  <c r="H68" i="28" s="1"/>
  <c r="G69" i="28"/>
  <c r="H69" i="28" s="1"/>
  <c r="G70" i="28"/>
  <c r="H70" i="28" s="1"/>
  <c r="G71" i="28"/>
  <c r="H71" i="28" s="1"/>
  <c r="G72" i="28"/>
  <c r="H72" i="28" s="1"/>
  <c r="G73" i="28"/>
  <c r="H73" i="28" s="1"/>
  <c r="G74" i="28"/>
  <c r="H74" i="28" s="1"/>
  <c r="G75" i="28"/>
  <c r="H75" i="28" s="1"/>
  <c r="G76" i="28"/>
  <c r="H76" i="28" s="1"/>
  <c r="G77" i="28"/>
  <c r="H77" i="28" s="1"/>
  <c r="G78" i="28"/>
  <c r="H78" i="28" s="1"/>
  <c r="G79" i="28"/>
  <c r="H79" i="28" s="1"/>
  <c r="G80" i="28"/>
  <c r="H80" i="28" s="1"/>
  <c r="G81" i="28"/>
  <c r="H81" i="28" s="1"/>
  <c r="G82" i="28"/>
  <c r="H82" i="28" s="1"/>
  <c r="G83" i="28"/>
  <c r="H83" i="28" s="1"/>
  <c r="G84" i="28"/>
  <c r="H84" i="28" s="1"/>
  <c r="G85" i="28"/>
  <c r="H85" i="28" s="1"/>
  <c r="G86" i="28"/>
  <c r="H86" i="28" s="1"/>
  <c r="G87" i="28"/>
  <c r="H87" i="28" s="1"/>
  <c r="G88" i="28"/>
  <c r="H88" i="28" s="1"/>
  <c r="G89" i="28"/>
  <c r="H89" i="28" s="1"/>
  <c r="G90" i="28"/>
  <c r="H90" i="28" s="1"/>
  <c r="G91" i="28"/>
  <c r="H91" i="28" s="1"/>
  <c r="G92" i="28"/>
  <c r="H92" i="28" s="1"/>
  <c r="G93" i="28"/>
  <c r="H93" i="28" s="1"/>
  <c r="G94" i="28"/>
  <c r="H94" i="28" s="1"/>
  <c r="G95" i="28"/>
  <c r="H95" i="28" s="1"/>
  <c r="G96" i="28"/>
  <c r="H96" i="28" s="1"/>
  <c r="G97" i="28"/>
  <c r="H97" i="28" s="1"/>
  <c r="G98" i="28"/>
  <c r="H98" i="28" s="1"/>
  <c r="G99" i="28"/>
  <c r="H99" i="28" s="1"/>
  <c r="G100" i="28"/>
  <c r="H100" i="28" s="1"/>
  <c r="G101" i="28"/>
  <c r="H101" i="28" s="1"/>
  <c r="G102" i="28"/>
  <c r="H102" i="28" s="1"/>
  <c r="G103" i="28"/>
  <c r="H103" i="28" s="1"/>
  <c r="G104" i="28"/>
  <c r="H104" i="28" s="1"/>
  <c r="G105" i="28"/>
  <c r="H105" i="28" s="1"/>
  <c r="G106" i="28"/>
  <c r="H106" i="28" s="1"/>
  <c r="G107" i="28"/>
  <c r="H107" i="28" s="1"/>
  <c r="G108" i="28"/>
  <c r="H108" i="28" s="1"/>
  <c r="G109" i="28"/>
  <c r="H109" i="28" s="1"/>
  <c r="G110" i="28"/>
  <c r="H110" i="28" s="1"/>
  <c r="G111" i="28"/>
  <c r="H111" i="28" s="1"/>
  <c r="G112" i="28"/>
  <c r="H112" i="28" s="1"/>
  <c r="G113" i="28"/>
  <c r="H113" i="28" s="1"/>
  <c r="G114" i="28"/>
  <c r="H114" i="28" s="1"/>
  <c r="G115" i="28"/>
  <c r="H115" i="28" s="1"/>
  <c r="G116" i="28"/>
  <c r="H116" i="28" s="1"/>
  <c r="G117" i="28"/>
  <c r="H117" i="28" s="1"/>
  <c r="G118" i="28"/>
  <c r="H118" i="28" s="1"/>
  <c r="G119" i="28"/>
  <c r="H119" i="28" s="1"/>
  <c r="G120" i="28"/>
  <c r="H120" i="28" s="1"/>
  <c r="G121" i="28"/>
  <c r="H121" i="28" s="1"/>
  <c r="G122" i="28"/>
  <c r="H122" i="28" s="1"/>
  <c r="G123" i="28"/>
  <c r="H123" i="28" s="1"/>
  <c r="G124" i="28"/>
  <c r="H124" i="28" s="1"/>
  <c r="G125" i="28"/>
  <c r="H125" i="28" s="1"/>
  <c r="G126" i="28"/>
  <c r="H126" i="28" s="1"/>
  <c r="G127" i="28"/>
  <c r="H127" i="28" s="1"/>
  <c r="G128" i="28"/>
  <c r="H128" i="28" s="1"/>
  <c r="G129" i="28"/>
  <c r="H129" i="28" s="1"/>
  <c r="G130" i="28"/>
  <c r="H130" i="28" s="1"/>
  <c r="G131" i="28"/>
  <c r="H131" i="28" s="1"/>
  <c r="G132" i="28"/>
  <c r="H132" i="28" s="1"/>
  <c r="G133" i="28"/>
  <c r="H133" i="28" s="1"/>
  <c r="G134" i="28"/>
  <c r="H134" i="28" s="1"/>
  <c r="G135" i="28"/>
  <c r="H135" i="28" s="1"/>
  <c r="G136" i="28"/>
  <c r="H136" i="28" s="1"/>
  <c r="G137" i="28"/>
  <c r="H137" i="28" s="1"/>
  <c r="G138" i="28"/>
  <c r="H138" i="28" s="1"/>
  <c r="G139" i="28"/>
  <c r="H139" i="28" s="1"/>
  <c r="G140" i="28"/>
  <c r="H140" i="28" s="1"/>
  <c r="G141" i="28"/>
  <c r="H141" i="28" s="1"/>
  <c r="G142" i="28"/>
  <c r="H142" i="28" s="1"/>
  <c r="G143" i="28"/>
  <c r="H143" i="28" s="1"/>
  <c r="G144" i="28"/>
  <c r="H144" i="28" s="1"/>
  <c r="G145" i="28"/>
  <c r="H145" i="28" s="1"/>
  <c r="G146" i="28"/>
  <c r="H146" i="28" s="1"/>
  <c r="G147" i="28"/>
  <c r="H147" i="28" s="1"/>
  <c r="G148" i="28"/>
  <c r="H148" i="28" s="1"/>
  <c r="G149" i="28"/>
  <c r="H149" i="28" s="1"/>
  <c r="G150" i="28"/>
  <c r="H150" i="28" s="1"/>
  <c r="G151" i="28"/>
  <c r="H151" i="28" s="1"/>
  <c r="G152" i="28"/>
  <c r="H152" i="28" s="1"/>
  <c r="G153" i="28"/>
  <c r="H153" i="28" s="1"/>
  <c r="G154" i="28"/>
  <c r="H154" i="28" s="1"/>
  <c r="G155" i="28"/>
  <c r="H155" i="28" s="1"/>
  <c r="G156" i="28"/>
  <c r="H156" i="28" s="1"/>
  <c r="G157" i="28"/>
  <c r="H157" i="28" s="1"/>
  <c r="G158" i="28"/>
  <c r="H158" i="28" s="1"/>
  <c r="G159" i="28"/>
  <c r="H159" i="28" s="1"/>
  <c r="G160" i="28"/>
  <c r="H160" i="28" s="1"/>
  <c r="G161" i="28"/>
  <c r="H161" i="28" s="1"/>
  <c r="G162" i="28"/>
  <c r="H162" i="28" s="1"/>
  <c r="G163" i="28"/>
  <c r="H163" i="28" s="1"/>
  <c r="G164" i="28"/>
  <c r="H164" i="28" s="1"/>
  <c r="G165" i="28"/>
  <c r="H165" i="28" s="1"/>
  <c r="G166" i="28"/>
  <c r="H166" i="28" s="1"/>
  <c r="G167" i="28"/>
  <c r="H167" i="28" s="1"/>
  <c r="G168" i="28"/>
  <c r="H168" i="28" s="1"/>
  <c r="G169" i="28"/>
  <c r="H169" i="28" s="1"/>
  <c r="G170" i="28"/>
  <c r="H170" i="28" s="1"/>
  <c r="G171" i="28"/>
  <c r="H171" i="28" s="1"/>
  <c r="G172" i="28"/>
  <c r="H172" i="28" s="1"/>
  <c r="G173" i="28"/>
  <c r="H173" i="28" s="1"/>
  <c r="G174" i="28"/>
  <c r="H174" i="28" s="1"/>
  <c r="G175" i="28"/>
  <c r="H175" i="28" s="1"/>
  <c r="G176" i="28"/>
  <c r="H176" i="28" s="1"/>
  <c r="G5" i="28"/>
  <c r="E615" i="21"/>
  <c r="F615" i="21"/>
  <c r="G615" i="21"/>
  <c r="H615" i="21"/>
  <c r="I615" i="21"/>
  <c r="E772" i="21" l="1"/>
  <c r="F772" i="21"/>
  <c r="G772" i="21"/>
  <c r="H772" i="21"/>
  <c r="I772" i="21"/>
  <c r="I770" i="21" l="1"/>
  <c r="H770" i="21"/>
  <c r="G770" i="21"/>
  <c r="F770" i="21"/>
  <c r="E770" i="21"/>
  <c r="I769" i="21"/>
  <c r="H769" i="21"/>
  <c r="G769" i="21"/>
  <c r="F769" i="21"/>
  <c r="E769" i="21"/>
  <c r="I768" i="21"/>
  <c r="H768" i="21"/>
  <c r="G768" i="21"/>
  <c r="F768" i="21"/>
  <c r="E768" i="21"/>
  <c r="I767" i="21"/>
  <c r="H767" i="21"/>
  <c r="G767" i="21"/>
  <c r="F767" i="21"/>
  <c r="E767" i="21"/>
  <c r="I774" i="21"/>
  <c r="H774" i="21"/>
  <c r="G774" i="21"/>
  <c r="F774" i="21"/>
  <c r="E774" i="21"/>
  <c r="I773" i="21"/>
  <c r="H773" i="21"/>
  <c r="G773" i="21"/>
  <c r="F773" i="21"/>
  <c r="E773" i="21"/>
  <c r="I771" i="21"/>
  <c r="H771" i="21"/>
  <c r="G771" i="21"/>
  <c r="F771" i="21"/>
  <c r="E771" i="21"/>
  <c r="E775" i="21"/>
  <c r="F775" i="21"/>
  <c r="G775" i="21"/>
  <c r="H775" i="21"/>
  <c r="I775" i="21"/>
  <c r="E776" i="21"/>
  <c r="F776" i="21"/>
  <c r="G776" i="21"/>
  <c r="H776" i="21"/>
  <c r="I776" i="21"/>
  <c r="E777" i="21"/>
  <c r="F777" i="21"/>
  <c r="G777" i="21"/>
  <c r="H777" i="21"/>
  <c r="I777" i="21"/>
  <c r="E778" i="21"/>
  <c r="F778" i="21"/>
  <c r="G778" i="21"/>
  <c r="H778" i="21"/>
  <c r="I778" i="21"/>
  <c r="E779" i="21"/>
  <c r="F779" i="21"/>
  <c r="G779" i="21"/>
  <c r="H779" i="21"/>
  <c r="I779" i="21"/>
  <c r="E780" i="21"/>
  <c r="F780" i="21"/>
  <c r="G780" i="21"/>
  <c r="H780" i="21"/>
  <c r="I780" i="21"/>
  <c r="E781" i="21"/>
  <c r="F781" i="21"/>
  <c r="G781" i="21"/>
  <c r="H781" i="21"/>
  <c r="I781" i="21"/>
  <c r="E782" i="21"/>
  <c r="F782" i="21"/>
  <c r="G782" i="21"/>
  <c r="H782" i="21"/>
  <c r="I782" i="21"/>
  <c r="E783" i="21"/>
  <c r="F783" i="21"/>
  <c r="G783" i="21"/>
  <c r="H783" i="21"/>
  <c r="I783" i="21"/>
  <c r="E784" i="21"/>
  <c r="F784" i="21"/>
  <c r="G784" i="21"/>
  <c r="H784" i="21"/>
  <c r="I784" i="21"/>
  <c r="E785" i="21"/>
  <c r="F785" i="21"/>
  <c r="G785" i="21"/>
  <c r="H785" i="21"/>
  <c r="I785" i="21"/>
  <c r="E786" i="21"/>
  <c r="F786" i="21"/>
  <c r="G786" i="21"/>
  <c r="H786" i="21"/>
  <c r="I786" i="21"/>
  <c r="E787" i="21"/>
  <c r="F787" i="21"/>
  <c r="G787" i="21"/>
  <c r="H787" i="21"/>
  <c r="I787" i="21"/>
  <c r="E788" i="21"/>
  <c r="F788" i="21"/>
  <c r="G788" i="21"/>
  <c r="H788" i="21"/>
  <c r="I788" i="21"/>
  <c r="E789" i="21"/>
  <c r="F789" i="21"/>
  <c r="G789" i="21"/>
  <c r="H789" i="21"/>
  <c r="I789" i="21"/>
  <c r="E790" i="21"/>
  <c r="F790" i="21"/>
  <c r="G790" i="21"/>
  <c r="H790" i="21"/>
  <c r="I790" i="21"/>
  <c r="E791" i="21"/>
  <c r="F791" i="21"/>
  <c r="G791" i="21"/>
  <c r="H791" i="21"/>
  <c r="I791" i="21"/>
  <c r="E792" i="21"/>
  <c r="F792" i="21"/>
  <c r="G792" i="21"/>
  <c r="H792" i="21"/>
  <c r="I792" i="21"/>
  <c r="E793" i="21"/>
  <c r="F793" i="21"/>
  <c r="G793" i="21"/>
  <c r="H793" i="21"/>
  <c r="I793" i="21"/>
  <c r="E794" i="21"/>
  <c r="F794" i="21"/>
  <c r="G794" i="21"/>
  <c r="H794" i="21"/>
  <c r="I794" i="21"/>
  <c r="E795" i="21"/>
  <c r="F795" i="21"/>
  <c r="G795" i="21"/>
  <c r="H795" i="21"/>
  <c r="I795" i="21"/>
  <c r="E796" i="21"/>
  <c r="F796" i="21"/>
  <c r="G796" i="21"/>
  <c r="H796" i="21"/>
  <c r="I796" i="21"/>
  <c r="E797" i="21"/>
  <c r="F797" i="21"/>
  <c r="G797" i="21"/>
  <c r="H797" i="21"/>
  <c r="I797" i="21"/>
  <c r="E798" i="21"/>
  <c r="F798" i="21"/>
  <c r="G798" i="21"/>
  <c r="H798" i="21"/>
  <c r="I798" i="21"/>
  <c r="E799" i="21"/>
  <c r="F799" i="21"/>
  <c r="G799" i="21"/>
  <c r="H799" i="21"/>
  <c r="I799" i="21"/>
  <c r="E800" i="21"/>
  <c r="F800" i="21"/>
  <c r="G800" i="21"/>
  <c r="H800" i="21"/>
  <c r="I800" i="21"/>
  <c r="E801" i="21"/>
  <c r="F801" i="21"/>
  <c r="G801" i="21"/>
  <c r="H801" i="21"/>
  <c r="I801" i="21"/>
  <c r="E802" i="21"/>
  <c r="F802" i="21"/>
  <c r="G802" i="21"/>
  <c r="H802" i="21"/>
  <c r="I802" i="21"/>
  <c r="E803" i="21"/>
  <c r="F803" i="21"/>
  <c r="G803" i="21"/>
  <c r="H803" i="21"/>
  <c r="I803" i="21"/>
  <c r="E804" i="21"/>
  <c r="F804" i="21"/>
  <c r="G804" i="21"/>
  <c r="H804" i="21"/>
  <c r="I804" i="21"/>
  <c r="E805" i="21"/>
  <c r="F805" i="21"/>
  <c r="G805" i="21"/>
  <c r="H805" i="21"/>
  <c r="I805" i="21"/>
  <c r="E831" i="21"/>
  <c r="F831" i="21"/>
  <c r="G831" i="21"/>
  <c r="H831" i="21"/>
  <c r="I831" i="21"/>
  <c r="I1644" i="18"/>
  <c r="H1644" i="18"/>
  <c r="G1644" i="18"/>
  <c r="F1644" i="18"/>
  <c r="E1644" i="18"/>
  <c r="I1643" i="18"/>
  <c r="H1643" i="18"/>
  <c r="G1643" i="18"/>
  <c r="F1643" i="18"/>
  <c r="E1643" i="18"/>
  <c r="I1642" i="18"/>
  <c r="H1642" i="18"/>
  <c r="G1642" i="18"/>
  <c r="F1642" i="18"/>
  <c r="E1642" i="18"/>
  <c r="I1641" i="18"/>
  <c r="H1641" i="18"/>
  <c r="G1641" i="18"/>
  <c r="F1641" i="18"/>
  <c r="E1641" i="18"/>
  <c r="I1640" i="18"/>
  <c r="H1640" i="18"/>
  <c r="G1640" i="18"/>
  <c r="F1640" i="18"/>
  <c r="E1640" i="18"/>
  <c r="I1639" i="18"/>
  <c r="H1639" i="18"/>
  <c r="G1639" i="18"/>
  <c r="F1639" i="18"/>
  <c r="E1639" i="18"/>
  <c r="I1638" i="18"/>
  <c r="H1638" i="18"/>
  <c r="G1638" i="18"/>
  <c r="F1638" i="18"/>
  <c r="E1638" i="18"/>
  <c r="I1637" i="18"/>
  <c r="H1637" i="18"/>
  <c r="G1637" i="18"/>
  <c r="F1637" i="18"/>
  <c r="E1637" i="18"/>
  <c r="I1636" i="18"/>
  <c r="H1636" i="18"/>
  <c r="G1636" i="18"/>
  <c r="F1636" i="18"/>
  <c r="E1636" i="18"/>
  <c r="I1635" i="18"/>
  <c r="H1635" i="18"/>
  <c r="G1635" i="18"/>
  <c r="F1635" i="18"/>
  <c r="E1635" i="18"/>
  <c r="I1634" i="18"/>
  <c r="H1634" i="18"/>
  <c r="G1634" i="18"/>
  <c r="F1634" i="18"/>
  <c r="E1634" i="18"/>
  <c r="I1633" i="18"/>
  <c r="H1633" i="18"/>
  <c r="G1633" i="18"/>
  <c r="F1633" i="18"/>
  <c r="E1633" i="18"/>
  <c r="I1632" i="18"/>
  <c r="H1632" i="18"/>
  <c r="G1632" i="18"/>
  <c r="F1632" i="18"/>
  <c r="E1632" i="18"/>
  <c r="I1631" i="18"/>
  <c r="H1631" i="18"/>
  <c r="G1631" i="18"/>
  <c r="F1631" i="18"/>
  <c r="E1631" i="18"/>
  <c r="I1630" i="18"/>
  <c r="H1630" i="18"/>
  <c r="G1630" i="18"/>
  <c r="F1630" i="18"/>
  <c r="E1630" i="18"/>
  <c r="I1629" i="18"/>
  <c r="H1629" i="18"/>
  <c r="G1629" i="18"/>
  <c r="F1629" i="18"/>
  <c r="E1629" i="18"/>
  <c r="I1628" i="18"/>
  <c r="H1628" i="18"/>
  <c r="G1628" i="18"/>
  <c r="F1628" i="18"/>
  <c r="E1628" i="18"/>
  <c r="I1627" i="18"/>
  <c r="H1627" i="18"/>
  <c r="G1627" i="18"/>
  <c r="F1627" i="18"/>
  <c r="E1627" i="18"/>
  <c r="I1626" i="18"/>
  <c r="H1626" i="18"/>
  <c r="G1626" i="18"/>
  <c r="F1626" i="18"/>
  <c r="E1626" i="18"/>
  <c r="I1625" i="18"/>
  <c r="H1625" i="18"/>
  <c r="G1625" i="18"/>
  <c r="F1625" i="18"/>
  <c r="E1625" i="18"/>
  <c r="I1624" i="18"/>
  <c r="H1624" i="18"/>
  <c r="G1624" i="18"/>
  <c r="F1624" i="18"/>
  <c r="E1624" i="18"/>
  <c r="I1623" i="18"/>
  <c r="H1623" i="18"/>
  <c r="G1623" i="18"/>
  <c r="F1623" i="18"/>
  <c r="E1623" i="18"/>
  <c r="I1622" i="18"/>
  <c r="H1622" i="18"/>
  <c r="G1622" i="18"/>
  <c r="F1622" i="18"/>
  <c r="E1622" i="18"/>
  <c r="I1621" i="18"/>
  <c r="H1621" i="18"/>
  <c r="G1621" i="18"/>
  <c r="F1621" i="18"/>
  <c r="E1621" i="18"/>
  <c r="I1620" i="18"/>
  <c r="H1620" i="18"/>
  <c r="G1620" i="18"/>
  <c r="F1620" i="18"/>
  <c r="E1620" i="18"/>
  <c r="I1619" i="18"/>
  <c r="H1619" i="18"/>
  <c r="G1619" i="18"/>
  <c r="F1619" i="18"/>
  <c r="E1619" i="18"/>
  <c r="I1618" i="18"/>
  <c r="H1618" i="18"/>
  <c r="G1618" i="18"/>
  <c r="F1618" i="18"/>
  <c r="E1618" i="18"/>
  <c r="I1617" i="18"/>
  <c r="H1617" i="18"/>
  <c r="G1617" i="18"/>
  <c r="F1617" i="18"/>
  <c r="E1617" i="18"/>
  <c r="I1616" i="18"/>
  <c r="H1616" i="18"/>
  <c r="G1616" i="18"/>
  <c r="F1616" i="18"/>
  <c r="E1616" i="18"/>
  <c r="I1615" i="18"/>
  <c r="H1615" i="18"/>
  <c r="G1615" i="18"/>
  <c r="F1615" i="18"/>
  <c r="E1615" i="18"/>
  <c r="I1614" i="18"/>
  <c r="H1614" i="18"/>
  <c r="G1614" i="18"/>
  <c r="F1614" i="18"/>
  <c r="E1614" i="18"/>
  <c r="I1613" i="18"/>
  <c r="H1613" i="18"/>
  <c r="G1613" i="18"/>
  <c r="F1613" i="18"/>
  <c r="E1613" i="18"/>
  <c r="I1612" i="18"/>
  <c r="H1612" i="18"/>
  <c r="G1612" i="18"/>
  <c r="F1612" i="18"/>
  <c r="E1612" i="18"/>
  <c r="I1611" i="18"/>
  <c r="H1611" i="18"/>
  <c r="G1611" i="18"/>
  <c r="F1611" i="18"/>
  <c r="E1611" i="18"/>
  <c r="I1610" i="18"/>
  <c r="H1610" i="18"/>
  <c r="G1610" i="18"/>
  <c r="F1610" i="18"/>
  <c r="E1610" i="18"/>
  <c r="I1609" i="18"/>
  <c r="H1609" i="18"/>
  <c r="G1609" i="18"/>
  <c r="F1609" i="18"/>
  <c r="E1609" i="18"/>
  <c r="I1608" i="18"/>
  <c r="H1608" i="18"/>
  <c r="G1608" i="18"/>
  <c r="F1608" i="18"/>
  <c r="E1608" i="18"/>
  <c r="I1607" i="18"/>
  <c r="H1607" i="18"/>
  <c r="G1607" i="18"/>
  <c r="F1607" i="18"/>
  <c r="E1607" i="18"/>
  <c r="I1606" i="18"/>
  <c r="H1606" i="18"/>
  <c r="G1606" i="18"/>
  <c r="F1606" i="18"/>
  <c r="E1606" i="18"/>
  <c r="I1605" i="18"/>
  <c r="H1605" i="18"/>
  <c r="G1605" i="18"/>
  <c r="F1605" i="18"/>
  <c r="E1605" i="18"/>
  <c r="I1604" i="18"/>
  <c r="H1604" i="18"/>
  <c r="G1604" i="18"/>
  <c r="F1604" i="18"/>
  <c r="E1604" i="18"/>
  <c r="I1603" i="18"/>
  <c r="H1603" i="18"/>
  <c r="G1603" i="18"/>
  <c r="F1603" i="18"/>
  <c r="E1603" i="18"/>
  <c r="I1602" i="18"/>
  <c r="H1602" i="18"/>
  <c r="G1602" i="18"/>
  <c r="F1602" i="18"/>
  <c r="E1602" i="18"/>
  <c r="I1601" i="18"/>
  <c r="H1601" i="18"/>
  <c r="G1601" i="18"/>
  <c r="F1601" i="18"/>
  <c r="E1601" i="18"/>
  <c r="I1600" i="18"/>
  <c r="H1600" i="18"/>
  <c r="G1600" i="18"/>
  <c r="F1600" i="18"/>
  <c r="E1600" i="18"/>
  <c r="I1599" i="18"/>
  <c r="H1599" i="18"/>
  <c r="G1599" i="18"/>
  <c r="F1599" i="18"/>
  <c r="E1599" i="18"/>
  <c r="I1598" i="18"/>
  <c r="H1598" i="18"/>
  <c r="G1598" i="18"/>
  <c r="F1598" i="18"/>
  <c r="E1598" i="18"/>
  <c r="I1597" i="18"/>
  <c r="H1597" i="18"/>
  <c r="G1597" i="18"/>
  <c r="F1597" i="18"/>
  <c r="E1597" i="18"/>
  <c r="I1596" i="18"/>
  <c r="H1596" i="18"/>
  <c r="G1596" i="18"/>
  <c r="F1596" i="18"/>
  <c r="E1596" i="18"/>
  <c r="I1595" i="18"/>
  <c r="H1595" i="18"/>
  <c r="G1595" i="18"/>
  <c r="F1595" i="18"/>
  <c r="E1595" i="18"/>
  <c r="I1594" i="18"/>
  <c r="H1594" i="18"/>
  <c r="G1594" i="18"/>
  <c r="F1594" i="18"/>
  <c r="E1594" i="18"/>
  <c r="I1593" i="18"/>
  <c r="H1593" i="18"/>
  <c r="G1593" i="18"/>
  <c r="F1593" i="18"/>
  <c r="E1593" i="18"/>
  <c r="I1592" i="18"/>
  <c r="H1592" i="18"/>
  <c r="G1592" i="18"/>
  <c r="F1592" i="18"/>
  <c r="E1592" i="18"/>
  <c r="I1591" i="18"/>
  <c r="H1591" i="18"/>
  <c r="G1591" i="18"/>
  <c r="F1591" i="18"/>
  <c r="E1591" i="18"/>
  <c r="I1590" i="18"/>
  <c r="H1590" i="18"/>
  <c r="G1590" i="18"/>
  <c r="F1590" i="18"/>
  <c r="E1590" i="18"/>
  <c r="I1589" i="18"/>
  <c r="H1589" i="18"/>
  <c r="G1589" i="18"/>
  <c r="F1589" i="18"/>
  <c r="E1589" i="18"/>
  <c r="I1588" i="18"/>
  <c r="H1588" i="18"/>
  <c r="G1588" i="18"/>
  <c r="F1588" i="18"/>
  <c r="E1588" i="18"/>
  <c r="I1587" i="18"/>
  <c r="H1587" i="18"/>
  <c r="G1587" i="18"/>
  <c r="F1587" i="18"/>
  <c r="E1587" i="18"/>
  <c r="I1586" i="18"/>
  <c r="H1586" i="18"/>
  <c r="G1586" i="18"/>
  <c r="F1586" i="18"/>
  <c r="E1586" i="18"/>
  <c r="I1585" i="18"/>
  <c r="H1585" i="18"/>
  <c r="G1585" i="18"/>
  <c r="F1585" i="18"/>
  <c r="E1585" i="18"/>
  <c r="I1584" i="18"/>
  <c r="H1584" i="18"/>
  <c r="G1584" i="18"/>
  <c r="F1584" i="18"/>
  <c r="E1584" i="18"/>
  <c r="I1583" i="18"/>
  <c r="H1583" i="18"/>
  <c r="G1583" i="18"/>
  <c r="F1583" i="18"/>
  <c r="E1583" i="18"/>
  <c r="I1582" i="18"/>
  <c r="H1582" i="18"/>
  <c r="G1582" i="18"/>
  <c r="F1582" i="18"/>
  <c r="E1582" i="18"/>
  <c r="I1581" i="18"/>
  <c r="H1581" i="18"/>
  <c r="G1581" i="18"/>
  <c r="F1581" i="18"/>
  <c r="E1581" i="18"/>
  <c r="I1580" i="18"/>
  <c r="H1580" i="18"/>
  <c r="G1580" i="18"/>
  <c r="F1580" i="18"/>
  <c r="E1580" i="18"/>
  <c r="I1579" i="18"/>
  <c r="H1579" i="18"/>
  <c r="G1579" i="18"/>
  <c r="F1579" i="18"/>
  <c r="E1579" i="18"/>
  <c r="I1578" i="18"/>
  <c r="H1578" i="18"/>
  <c r="G1578" i="18"/>
  <c r="F1578" i="18"/>
  <c r="E1578" i="18"/>
  <c r="I1577" i="18"/>
  <c r="H1577" i="18"/>
  <c r="G1577" i="18"/>
  <c r="F1577" i="18"/>
  <c r="E1577" i="18"/>
  <c r="I1576" i="18"/>
  <c r="H1576" i="18"/>
  <c r="G1576" i="18"/>
  <c r="F1576" i="18"/>
  <c r="E1576" i="18"/>
  <c r="I1575" i="18"/>
  <c r="H1575" i="18"/>
  <c r="G1575" i="18"/>
  <c r="F1575" i="18"/>
  <c r="E1575" i="18"/>
  <c r="I1574" i="18"/>
  <c r="H1574" i="18"/>
  <c r="G1574" i="18"/>
  <c r="F1574" i="18"/>
  <c r="E1574" i="18"/>
  <c r="I1573" i="18"/>
  <c r="H1573" i="18"/>
  <c r="G1573" i="18"/>
  <c r="F1573" i="18"/>
  <c r="E1573" i="18"/>
  <c r="I1572" i="18"/>
  <c r="H1572" i="18"/>
  <c r="G1572" i="18"/>
  <c r="F1572" i="18"/>
  <c r="E1572" i="18"/>
  <c r="I1571" i="18"/>
  <c r="H1571" i="18"/>
  <c r="G1571" i="18"/>
  <c r="F1571" i="18"/>
  <c r="E1571" i="18"/>
  <c r="I1570" i="18"/>
  <c r="H1570" i="18"/>
  <c r="G1570" i="18"/>
  <c r="F1570" i="18"/>
  <c r="E1570" i="18"/>
  <c r="I1569" i="18"/>
  <c r="H1569" i="18"/>
  <c r="G1569" i="18"/>
  <c r="F1569" i="18"/>
  <c r="E1569" i="18"/>
  <c r="I1568" i="18"/>
  <c r="H1568" i="18"/>
  <c r="G1568" i="18"/>
  <c r="F1568" i="18"/>
  <c r="E1568" i="18"/>
  <c r="I1567" i="18"/>
  <c r="H1567" i="18"/>
  <c r="G1567" i="18"/>
  <c r="F1567" i="18"/>
  <c r="E1567" i="18"/>
  <c r="I1566" i="18"/>
  <c r="H1566" i="18"/>
  <c r="G1566" i="18"/>
  <c r="F1566" i="18"/>
  <c r="E1566" i="18"/>
  <c r="I1565" i="18"/>
  <c r="H1565" i="18"/>
  <c r="G1565" i="18"/>
  <c r="F1565" i="18"/>
  <c r="E1565" i="18"/>
  <c r="I1564" i="18"/>
  <c r="H1564" i="18"/>
  <c r="G1564" i="18"/>
  <c r="F1564" i="18"/>
  <c r="E1564" i="18"/>
  <c r="I1563" i="18"/>
  <c r="H1563" i="18"/>
  <c r="G1563" i="18"/>
  <c r="F1563" i="18"/>
  <c r="E1563" i="18"/>
  <c r="I1562" i="18"/>
  <c r="H1562" i="18"/>
  <c r="G1562" i="18"/>
  <c r="F1562" i="18"/>
  <c r="E1562" i="18"/>
  <c r="I1561" i="18"/>
  <c r="H1561" i="18"/>
  <c r="G1561" i="18"/>
  <c r="F1561" i="18"/>
  <c r="E1561" i="18"/>
  <c r="I1560" i="18"/>
  <c r="H1560" i="18"/>
  <c r="G1560" i="18"/>
  <c r="F1560" i="18"/>
  <c r="E1560" i="18"/>
  <c r="I1559" i="18"/>
  <c r="H1559" i="18"/>
  <c r="G1559" i="18"/>
  <c r="F1559" i="18"/>
  <c r="E1559" i="18"/>
  <c r="I1558" i="18"/>
  <c r="H1558" i="18"/>
  <c r="G1558" i="18"/>
  <c r="F1558" i="18"/>
  <c r="E1558" i="18"/>
  <c r="I1557" i="18"/>
  <c r="H1557" i="18"/>
  <c r="G1557" i="18"/>
  <c r="F1557" i="18"/>
  <c r="E1557" i="18"/>
  <c r="I1556" i="18"/>
  <c r="H1556" i="18"/>
  <c r="G1556" i="18"/>
  <c r="F1556" i="18"/>
  <c r="E1556" i="18"/>
  <c r="I1555" i="18"/>
  <c r="H1555" i="18"/>
  <c r="G1555" i="18"/>
  <c r="F1555" i="18"/>
  <c r="E1555" i="18"/>
  <c r="I1554" i="18"/>
  <c r="H1554" i="18"/>
  <c r="G1554" i="18"/>
  <c r="F1554" i="18"/>
  <c r="E1554" i="18"/>
  <c r="I1713" i="18"/>
  <c r="H1713" i="18"/>
  <c r="G1713" i="18"/>
  <c r="F1713" i="18"/>
  <c r="E1713" i="18"/>
  <c r="O15" i="25"/>
  <c r="J6" i="27" l="1"/>
  <c r="L6" i="27"/>
  <c r="M6" i="27" s="1"/>
  <c r="J7" i="27"/>
  <c r="L7" i="27"/>
  <c r="N7" i="27" s="1"/>
  <c r="R7" i="27" s="1"/>
  <c r="J8" i="27"/>
  <c r="L8" i="27"/>
  <c r="M8" i="27" s="1"/>
  <c r="J9" i="27"/>
  <c r="L9" i="27"/>
  <c r="M9" i="27" s="1"/>
  <c r="J10" i="27"/>
  <c r="L10" i="27"/>
  <c r="M10" i="27" s="1"/>
  <c r="J11" i="27"/>
  <c r="L11" i="27"/>
  <c r="M11" i="27" s="1"/>
  <c r="J12" i="27"/>
  <c r="L12" i="27"/>
  <c r="M12" i="27" s="1"/>
  <c r="J13" i="27"/>
  <c r="L13" i="27"/>
  <c r="M13" i="27" s="1"/>
  <c r="J14" i="27"/>
  <c r="L14" i="27"/>
  <c r="N14" i="27" s="1"/>
  <c r="R14" i="27" s="1"/>
  <c r="J15" i="27"/>
  <c r="L15" i="27"/>
  <c r="N15" i="27" s="1"/>
  <c r="R15" i="27" s="1"/>
  <c r="J16" i="27"/>
  <c r="L16" i="27"/>
  <c r="M16" i="27" s="1"/>
  <c r="J17" i="27"/>
  <c r="L17" i="27"/>
  <c r="N17" i="27" s="1"/>
  <c r="R17" i="27" s="1"/>
  <c r="J18" i="27"/>
  <c r="L18" i="27"/>
  <c r="M18" i="27" s="1"/>
  <c r="J19" i="27"/>
  <c r="L19" i="27"/>
  <c r="M19" i="27" s="1"/>
  <c r="J20" i="27"/>
  <c r="L20" i="27"/>
  <c r="M20" i="27" s="1"/>
  <c r="J21" i="27"/>
  <c r="L21" i="27"/>
  <c r="M21" i="27" s="1"/>
  <c r="J22" i="27"/>
  <c r="L22" i="27"/>
  <c r="M22" i="27" s="1"/>
  <c r="J23" i="27"/>
  <c r="L23" i="27"/>
  <c r="N23" i="27" s="1"/>
  <c r="R23" i="27" s="1"/>
  <c r="J24" i="27"/>
  <c r="L24" i="27"/>
  <c r="N24" i="27" s="1"/>
  <c r="R24" i="27" s="1"/>
  <c r="J25" i="27"/>
  <c r="L25" i="27"/>
  <c r="M25" i="27" s="1"/>
  <c r="J26" i="27"/>
  <c r="L26" i="27"/>
  <c r="M26" i="27" s="1"/>
  <c r="J27" i="27"/>
  <c r="L27" i="27"/>
  <c r="N27" i="27" s="1"/>
  <c r="R27" i="27" s="1"/>
  <c r="J28" i="27"/>
  <c r="L28" i="27"/>
  <c r="M28" i="27" s="1"/>
  <c r="J29" i="27"/>
  <c r="L29" i="27"/>
  <c r="M29" i="27" s="1"/>
  <c r="J30" i="27"/>
  <c r="L30" i="27"/>
  <c r="M30" i="27" s="1"/>
  <c r="J31" i="27"/>
  <c r="L31" i="27"/>
  <c r="M31" i="27" s="1"/>
  <c r="J32" i="27"/>
  <c r="L32" i="27"/>
  <c r="M32" i="27" s="1"/>
  <c r="J33" i="27"/>
  <c r="L33" i="27"/>
  <c r="M33" i="27" s="1"/>
  <c r="J34" i="27"/>
  <c r="L34" i="27"/>
  <c r="N34" i="27" s="1"/>
  <c r="R34" i="27" s="1"/>
  <c r="J35" i="27"/>
  <c r="L35" i="27"/>
  <c r="N35" i="27" s="1"/>
  <c r="R35" i="27" s="1"/>
  <c r="J36" i="27"/>
  <c r="L36" i="27"/>
  <c r="M36" i="27" s="1"/>
  <c r="J37" i="27"/>
  <c r="L37" i="27"/>
  <c r="N37" i="27" s="1"/>
  <c r="R37" i="27" s="1"/>
  <c r="J38" i="27"/>
  <c r="I4" i="31" s="1"/>
  <c r="L38" i="27"/>
  <c r="K4" i="31" s="1"/>
  <c r="J39" i="27"/>
  <c r="L39" i="27"/>
  <c r="M39" i="27" s="1"/>
  <c r="J40" i="27"/>
  <c r="L40" i="27"/>
  <c r="M40" i="27" s="1"/>
  <c r="J41" i="27"/>
  <c r="L41" i="27"/>
  <c r="M41" i="27" s="1"/>
  <c r="J42" i="27"/>
  <c r="L42" i="27"/>
  <c r="M42" i="27" s="1"/>
  <c r="J43" i="27"/>
  <c r="L43" i="27"/>
  <c r="N43" i="27" s="1"/>
  <c r="R43" i="27" s="1"/>
  <c r="J44" i="27"/>
  <c r="L44" i="27"/>
  <c r="N44" i="27" s="1"/>
  <c r="R44" i="27" s="1"/>
  <c r="J45" i="27"/>
  <c r="L45" i="27"/>
  <c r="M45" i="27" s="1"/>
  <c r="J46" i="27"/>
  <c r="L46" i="27"/>
  <c r="M46" i="27" s="1"/>
  <c r="J47" i="27"/>
  <c r="L47" i="27"/>
  <c r="N47" i="27" s="1"/>
  <c r="R47" i="27" s="1"/>
  <c r="J48" i="27"/>
  <c r="L48" i="27"/>
  <c r="M48" i="27" s="1"/>
  <c r="J49" i="27"/>
  <c r="L49" i="27"/>
  <c r="M49" i="27" s="1"/>
  <c r="J50" i="27"/>
  <c r="L50" i="27"/>
  <c r="M50" i="27" s="1"/>
  <c r="J51" i="27"/>
  <c r="L51" i="27"/>
  <c r="M51" i="27" s="1"/>
  <c r="J52" i="27"/>
  <c r="I5" i="31" s="1"/>
  <c r="L52" i="27"/>
  <c r="K5" i="31" s="1"/>
  <c r="J53" i="27"/>
  <c r="L53" i="27"/>
  <c r="M53" i="27" s="1"/>
  <c r="J54" i="27"/>
  <c r="L54" i="27"/>
  <c r="N54" i="27" s="1"/>
  <c r="R54" i="27" s="1"/>
  <c r="J55" i="27"/>
  <c r="L55" i="27"/>
  <c r="N55" i="27" s="1"/>
  <c r="R55" i="27" s="1"/>
  <c r="J56" i="27"/>
  <c r="L56" i="27"/>
  <c r="M56" i="27" s="1"/>
  <c r="J57" i="27"/>
  <c r="L57" i="27"/>
  <c r="N57" i="27" s="1"/>
  <c r="R57" i="27" s="1"/>
  <c r="J58" i="27"/>
  <c r="L58" i="27"/>
  <c r="M58" i="27" s="1"/>
  <c r="J59" i="27"/>
  <c r="L59" i="27"/>
  <c r="M59" i="27" s="1"/>
  <c r="J60" i="27"/>
  <c r="L60" i="27"/>
  <c r="M60" i="27" s="1"/>
  <c r="J61" i="27"/>
  <c r="L61" i="27"/>
  <c r="M61" i="27" s="1"/>
  <c r="J62" i="27"/>
  <c r="L62" i="27"/>
  <c r="M62" i="27" s="1"/>
  <c r="J63" i="27"/>
  <c r="L63" i="27"/>
  <c r="N63" i="27" s="1"/>
  <c r="R63" i="27" s="1"/>
  <c r="J64" i="27"/>
  <c r="L64" i="27"/>
  <c r="N64" i="27" s="1"/>
  <c r="R64" i="27" s="1"/>
  <c r="J65" i="27"/>
  <c r="L65" i="27"/>
  <c r="M65" i="27" s="1"/>
  <c r="J66" i="27"/>
  <c r="L66" i="27"/>
  <c r="N66" i="27" s="1"/>
  <c r="R66" i="27" s="1"/>
  <c r="J67" i="27"/>
  <c r="I6" i="31" s="1"/>
  <c r="L67" i="27"/>
  <c r="K6" i="31" s="1"/>
  <c r="J68" i="27"/>
  <c r="L68" i="27"/>
  <c r="M68" i="27" s="1"/>
  <c r="J69" i="27"/>
  <c r="L69" i="27"/>
  <c r="M69" i="27" s="1"/>
  <c r="J70" i="27"/>
  <c r="I7" i="31" s="1"/>
  <c r="L70" i="27"/>
  <c r="K7" i="31" s="1"/>
  <c r="J71" i="27"/>
  <c r="I8" i="31" s="1"/>
  <c r="L71" i="27"/>
  <c r="K8" i="31" s="1"/>
  <c r="J72" i="27"/>
  <c r="L72" i="27"/>
  <c r="N72" i="27" s="1"/>
  <c r="R72" i="27" s="1"/>
  <c r="J73" i="27"/>
  <c r="L73" i="27"/>
  <c r="M73" i="27" s="1"/>
  <c r="J74" i="27"/>
  <c r="L74" i="27"/>
  <c r="M74" i="27" s="1"/>
  <c r="J75" i="27"/>
  <c r="I9" i="31" s="1"/>
  <c r="L75" i="27"/>
  <c r="K9" i="31" s="1"/>
  <c r="J76" i="27"/>
  <c r="L76" i="27"/>
  <c r="M76" i="27" s="1"/>
  <c r="J77" i="27"/>
  <c r="L77" i="27"/>
  <c r="M77" i="27" s="1"/>
  <c r="J78" i="27"/>
  <c r="L78" i="27"/>
  <c r="M78" i="27" s="1"/>
  <c r="J79" i="27"/>
  <c r="L79" i="27"/>
  <c r="M79" i="27" s="1"/>
  <c r="J80" i="27"/>
  <c r="L80" i="27"/>
  <c r="M80" i="27" s="1"/>
  <c r="L5" i="27"/>
  <c r="M5" i="27" s="1"/>
  <c r="N6" i="27"/>
  <c r="R6" i="27" s="1"/>
  <c r="P135" i="28"/>
  <c r="P134" i="28"/>
  <c r="O133" i="28"/>
  <c r="Q34" i="28"/>
  <c r="J5" i="27"/>
  <c r="S2" i="27"/>
  <c r="Z81" i="27"/>
  <c r="W81" i="27"/>
  <c r="G78" i="30" s="1"/>
  <c r="H78" i="30" s="1"/>
  <c r="I78" i="30" s="1"/>
  <c r="Z80" i="27"/>
  <c r="Y80" i="27"/>
  <c r="X80" i="27"/>
  <c r="W80" i="27"/>
  <c r="Z79" i="27"/>
  <c r="Y79" i="27"/>
  <c r="X79" i="27"/>
  <c r="W79" i="27"/>
  <c r="Z78" i="27"/>
  <c r="Y78" i="27"/>
  <c r="X78" i="27"/>
  <c r="W78" i="27"/>
  <c r="Z77" i="27"/>
  <c r="Y77" i="27"/>
  <c r="X77" i="27"/>
  <c r="W77" i="27"/>
  <c r="Z76" i="27"/>
  <c r="Y76" i="27"/>
  <c r="X76" i="27"/>
  <c r="W76" i="27"/>
  <c r="Z75" i="27"/>
  <c r="Y75" i="27"/>
  <c r="X75" i="27"/>
  <c r="W75" i="27"/>
  <c r="F11" i="30" s="1"/>
  <c r="Z74" i="27"/>
  <c r="Y74" i="27"/>
  <c r="X74" i="27"/>
  <c r="W74" i="27"/>
  <c r="Z73" i="27"/>
  <c r="Y73" i="27"/>
  <c r="X73" i="27"/>
  <c r="W73" i="27"/>
  <c r="Z72" i="27"/>
  <c r="Y72" i="27"/>
  <c r="X72" i="27"/>
  <c r="W72" i="27"/>
  <c r="Z71" i="27"/>
  <c r="Y71" i="27"/>
  <c r="X71" i="27"/>
  <c r="W71" i="27"/>
  <c r="Z70" i="27"/>
  <c r="Y70" i="27"/>
  <c r="X70" i="27"/>
  <c r="W70" i="27"/>
  <c r="Z69" i="27"/>
  <c r="Y69" i="27"/>
  <c r="X69" i="27"/>
  <c r="W69" i="27"/>
  <c r="Z68" i="27"/>
  <c r="Y68" i="27"/>
  <c r="X68" i="27"/>
  <c r="W68" i="27"/>
  <c r="Z67" i="27"/>
  <c r="Y67" i="27"/>
  <c r="X67" i="27"/>
  <c r="W67" i="27"/>
  <c r="Z66" i="27"/>
  <c r="Y66" i="27"/>
  <c r="X66" i="27"/>
  <c r="W66" i="27"/>
  <c r="Z65" i="27"/>
  <c r="Y65" i="27"/>
  <c r="X65" i="27"/>
  <c r="W65" i="27"/>
  <c r="Z64" i="27"/>
  <c r="Y64" i="27"/>
  <c r="X64" i="27"/>
  <c r="W64" i="27"/>
  <c r="Z63" i="27"/>
  <c r="Y63" i="27"/>
  <c r="X63" i="27"/>
  <c r="W63" i="27"/>
  <c r="Z62" i="27"/>
  <c r="Y62" i="27"/>
  <c r="X62" i="27"/>
  <c r="W62" i="27"/>
  <c r="Z61" i="27"/>
  <c r="Y61" i="27"/>
  <c r="X61" i="27"/>
  <c r="W61" i="27"/>
  <c r="Z60" i="27"/>
  <c r="Y60" i="27"/>
  <c r="X60" i="27"/>
  <c r="W60" i="27"/>
  <c r="Z59" i="27"/>
  <c r="Y59" i="27"/>
  <c r="X59" i="27"/>
  <c r="W59" i="27"/>
  <c r="Z58" i="27"/>
  <c r="Y58" i="27"/>
  <c r="X58" i="27"/>
  <c r="W58" i="27"/>
  <c r="Z57" i="27"/>
  <c r="Y57" i="27"/>
  <c r="X57" i="27"/>
  <c r="W57" i="27"/>
  <c r="Z56" i="27"/>
  <c r="Y56" i="27"/>
  <c r="X56" i="27"/>
  <c r="W56" i="27"/>
  <c r="Z55" i="27"/>
  <c r="Y55" i="27"/>
  <c r="X55" i="27"/>
  <c r="W55" i="27"/>
  <c r="Z54" i="27"/>
  <c r="Y54" i="27"/>
  <c r="X54" i="27"/>
  <c r="W54" i="27"/>
  <c r="Z53" i="27"/>
  <c r="Y53" i="27"/>
  <c r="X53" i="27"/>
  <c r="W53" i="27"/>
  <c r="Z52" i="27"/>
  <c r="Y52" i="27"/>
  <c r="X52" i="27"/>
  <c r="W52" i="27"/>
  <c r="Z51" i="27"/>
  <c r="Y51" i="27"/>
  <c r="X51" i="27"/>
  <c r="W51" i="27"/>
  <c r="Z50" i="27"/>
  <c r="Y50" i="27"/>
  <c r="X50" i="27"/>
  <c r="W50" i="27"/>
  <c r="Z49" i="27"/>
  <c r="Y49" i="27"/>
  <c r="X49" i="27"/>
  <c r="W49" i="27"/>
  <c r="Z48" i="27"/>
  <c r="Y48" i="27"/>
  <c r="X48" i="27"/>
  <c r="W48" i="27"/>
  <c r="Z47" i="27"/>
  <c r="Y47" i="27"/>
  <c r="X47" i="27"/>
  <c r="W47" i="27"/>
  <c r="Z46" i="27"/>
  <c r="Y46" i="27"/>
  <c r="X46" i="27"/>
  <c r="W46" i="27"/>
  <c r="Z45" i="27"/>
  <c r="Y45" i="27"/>
  <c r="X45" i="27"/>
  <c r="W45" i="27"/>
  <c r="Z44" i="27"/>
  <c r="Y44" i="27"/>
  <c r="X44" i="27"/>
  <c r="W44" i="27"/>
  <c r="Z43" i="27"/>
  <c r="Y43" i="27"/>
  <c r="X43" i="27"/>
  <c r="W43" i="27"/>
  <c r="Z42" i="27"/>
  <c r="Y42" i="27"/>
  <c r="X42" i="27"/>
  <c r="W42" i="27"/>
  <c r="Z41" i="27"/>
  <c r="Y41" i="27"/>
  <c r="X41" i="27"/>
  <c r="W41" i="27"/>
  <c r="Z40" i="27"/>
  <c r="Y40" i="27"/>
  <c r="X40" i="27"/>
  <c r="W40" i="27"/>
  <c r="Z39" i="27"/>
  <c r="Y39" i="27"/>
  <c r="X39" i="27"/>
  <c r="W39" i="27"/>
  <c r="Z38" i="27"/>
  <c r="Y38" i="27"/>
  <c r="X38" i="27"/>
  <c r="W38" i="27"/>
  <c r="Z37" i="27"/>
  <c r="Y37" i="27"/>
  <c r="X37" i="27"/>
  <c r="W37" i="27"/>
  <c r="Z36" i="27"/>
  <c r="Y36" i="27"/>
  <c r="X36" i="27"/>
  <c r="W36" i="27"/>
  <c r="Z35" i="27"/>
  <c r="Y35" i="27"/>
  <c r="X35" i="27"/>
  <c r="W35" i="27"/>
  <c r="Z34" i="27"/>
  <c r="Y34" i="27"/>
  <c r="X34" i="27"/>
  <c r="W34" i="27"/>
  <c r="Z33" i="27"/>
  <c r="Y33" i="27"/>
  <c r="X33" i="27"/>
  <c r="W33" i="27"/>
  <c r="Z32" i="27"/>
  <c r="Y32" i="27"/>
  <c r="X32" i="27"/>
  <c r="W32" i="27"/>
  <c r="Z31" i="27"/>
  <c r="Y31" i="27"/>
  <c r="X31" i="27"/>
  <c r="W31" i="27"/>
  <c r="Z30" i="27"/>
  <c r="Y30" i="27"/>
  <c r="X30" i="27"/>
  <c r="W30" i="27"/>
  <c r="Z29" i="27"/>
  <c r="Y29" i="27"/>
  <c r="X29" i="27"/>
  <c r="W29" i="27"/>
  <c r="Z28" i="27"/>
  <c r="Y28" i="27"/>
  <c r="X28" i="27"/>
  <c r="W28" i="27"/>
  <c r="Z27" i="27"/>
  <c r="Y27" i="27"/>
  <c r="X27" i="27"/>
  <c r="W27" i="27"/>
  <c r="Z26" i="27"/>
  <c r="Y26" i="27"/>
  <c r="X26" i="27"/>
  <c r="W26" i="27"/>
  <c r="Z25" i="27"/>
  <c r="Y25" i="27"/>
  <c r="X25" i="27"/>
  <c r="W25" i="27"/>
  <c r="Z24" i="27"/>
  <c r="Y24" i="27"/>
  <c r="X24" i="27"/>
  <c r="W24" i="27"/>
  <c r="Z23" i="27"/>
  <c r="Y23" i="27"/>
  <c r="X23" i="27"/>
  <c r="W23" i="27"/>
  <c r="Z22" i="27"/>
  <c r="Y22" i="27"/>
  <c r="X22" i="27"/>
  <c r="W22" i="27"/>
  <c r="Z21" i="27"/>
  <c r="Y21" i="27"/>
  <c r="X21" i="27"/>
  <c r="W21" i="27"/>
  <c r="Z20" i="27"/>
  <c r="Y20" i="27"/>
  <c r="X20" i="27"/>
  <c r="W20" i="27"/>
  <c r="Z19" i="27"/>
  <c r="Y19" i="27"/>
  <c r="X19" i="27"/>
  <c r="W19" i="27"/>
  <c r="Z18" i="27"/>
  <c r="Y18" i="27"/>
  <c r="X18" i="27"/>
  <c r="W18" i="27"/>
  <c r="Z17" i="27"/>
  <c r="Y17" i="27"/>
  <c r="X17" i="27"/>
  <c r="W17" i="27"/>
  <c r="Z16" i="27"/>
  <c r="Y16" i="27"/>
  <c r="X16" i="27"/>
  <c r="W16" i="27"/>
  <c r="Z15" i="27"/>
  <c r="Y15" i="27"/>
  <c r="X15" i="27"/>
  <c r="W15" i="27"/>
  <c r="Z14" i="27"/>
  <c r="Y14" i="27"/>
  <c r="X14" i="27"/>
  <c r="W14" i="27"/>
  <c r="Z13" i="27"/>
  <c r="Y13" i="27"/>
  <c r="X13" i="27"/>
  <c r="W13" i="27"/>
  <c r="Z12" i="27"/>
  <c r="Y12" i="27"/>
  <c r="X12" i="27"/>
  <c r="W12" i="27"/>
  <c r="Z11" i="27"/>
  <c r="Y11" i="27"/>
  <c r="X11" i="27"/>
  <c r="W11" i="27"/>
  <c r="Z10" i="27"/>
  <c r="Y10" i="27"/>
  <c r="X10" i="27"/>
  <c r="W10" i="27"/>
  <c r="Z9" i="27"/>
  <c r="Y9" i="27"/>
  <c r="X9" i="27"/>
  <c r="W9" i="27"/>
  <c r="Z8" i="27"/>
  <c r="Y8" i="27"/>
  <c r="X8" i="27"/>
  <c r="W8" i="27"/>
  <c r="Z7" i="27"/>
  <c r="Y7" i="27"/>
  <c r="X7" i="27"/>
  <c r="W7" i="27"/>
  <c r="Z6" i="27"/>
  <c r="Y6" i="27"/>
  <c r="X6" i="27"/>
  <c r="W6" i="27"/>
  <c r="Z5" i="27"/>
  <c r="Y5" i="27"/>
  <c r="X5" i="27"/>
  <c r="W5" i="27"/>
  <c r="S1" i="27"/>
  <c r="S21" i="19"/>
  <c r="E729" i="21"/>
  <c r="F729" i="21"/>
  <c r="G729" i="21"/>
  <c r="H729" i="21"/>
  <c r="I729" i="21"/>
  <c r="E730" i="21"/>
  <c r="F730" i="21"/>
  <c r="G730" i="21"/>
  <c r="H730" i="21"/>
  <c r="I730" i="21"/>
  <c r="E731" i="21"/>
  <c r="F731" i="21"/>
  <c r="G731" i="21"/>
  <c r="H731" i="21"/>
  <c r="I731" i="21"/>
  <c r="E732" i="21"/>
  <c r="F732" i="21"/>
  <c r="G732" i="21"/>
  <c r="H732" i="21"/>
  <c r="I732" i="21"/>
  <c r="E733" i="21"/>
  <c r="F733" i="21"/>
  <c r="G733" i="21"/>
  <c r="H733" i="21"/>
  <c r="I733" i="21"/>
  <c r="E735" i="21"/>
  <c r="F735" i="21"/>
  <c r="G735" i="21"/>
  <c r="H735" i="21"/>
  <c r="I735" i="21"/>
  <c r="E736" i="21"/>
  <c r="F736" i="21"/>
  <c r="G736" i="21"/>
  <c r="H736" i="21"/>
  <c r="I736" i="21"/>
  <c r="E737" i="21"/>
  <c r="F737" i="21"/>
  <c r="G737" i="21"/>
  <c r="H737" i="21"/>
  <c r="I737" i="21"/>
  <c r="E734" i="21"/>
  <c r="F734" i="21"/>
  <c r="G734" i="21"/>
  <c r="H734" i="21"/>
  <c r="I734" i="21"/>
  <c r="E738" i="21"/>
  <c r="F738" i="21"/>
  <c r="G738" i="21"/>
  <c r="H738" i="21"/>
  <c r="I738" i="21"/>
  <c r="E739" i="21"/>
  <c r="F739" i="21"/>
  <c r="G739" i="21"/>
  <c r="H739" i="21"/>
  <c r="I739" i="21"/>
  <c r="E740" i="21"/>
  <c r="F740" i="21"/>
  <c r="G740" i="21"/>
  <c r="H740" i="21"/>
  <c r="I740" i="21"/>
  <c r="E741" i="21"/>
  <c r="F741" i="21"/>
  <c r="G741" i="21"/>
  <c r="H741" i="21"/>
  <c r="I741" i="21"/>
  <c r="E742" i="21"/>
  <c r="F742" i="21"/>
  <c r="G742" i="21"/>
  <c r="H742" i="21"/>
  <c r="I742" i="21"/>
  <c r="E743" i="21"/>
  <c r="F743" i="21"/>
  <c r="G743" i="21"/>
  <c r="H743" i="21"/>
  <c r="I743" i="21"/>
  <c r="E744" i="21"/>
  <c r="F744" i="21"/>
  <c r="G744" i="21"/>
  <c r="H744" i="21"/>
  <c r="I744" i="21"/>
  <c r="E745" i="21"/>
  <c r="F745" i="21"/>
  <c r="G745" i="21"/>
  <c r="H745" i="21"/>
  <c r="I745" i="21"/>
  <c r="E746" i="21"/>
  <c r="F746" i="21"/>
  <c r="G746" i="21"/>
  <c r="H746" i="21"/>
  <c r="I746" i="21"/>
  <c r="E747" i="21"/>
  <c r="F747" i="21"/>
  <c r="G747" i="21"/>
  <c r="H747" i="21"/>
  <c r="I747" i="21"/>
  <c r="E748" i="21"/>
  <c r="F748" i="21"/>
  <c r="G748" i="21"/>
  <c r="H748" i="21"/>
  <c r="I748" i="21"/>
  <c r="E749" i="21"/>
  <c r="F749" i="21"/>
  <c r="G749" i="21"/>
  <c r="H749" i="21"/>
  <c r="I749" i="21"/>
  <c r="E750" i="21"/>
  <c r="F750" i="21"/>
  <c r="G750" i="21"/>
  <c r="H750" i="21"/>
  <c r="I750" i="21"/>
  <c r="E751" i="21"/>
  <c r="F751" i="21"/>
  <c r="G751" i="21"/>
  <c r="H751" i="21"/>
  <c r="I751" i="21"/>
  <c r="E752" i="21"/>
  <c r="F752" i="21"/>
  <c r="G752" i="21"/>
  <c r="H752" i="21"/>
  <c r="I752" i="21"/>
  <c r="E753" i="21"/>
  <c r="F753" i="21"/>
  <c r="G753" i="21"/>
  <c r="H753" i="21"/>
  <c r="I753" i="21"/>
  <c r="E754" i="21"/>
  <c r="F754" i="21"/>
  <c r="G754" i="21"/>
  <c r="H754" i="21"/>
  <c r="I754" i="21"/>
  <c r="E755" i="21"/>
  <c r="F755" i="21"/>
  <c r="G755" i="21"/>
  <c r="H755" i="21"/>
  <c r="I755" i="21"/>
  <c r="E756" i="21"/>
  <c r="F756" i="21"/>
  <c r="G756" i="21"/>
  <c r="H756" i="21"/>
  <c r="I756" i="21"/>
  <c r="E757" i="21"/>
  <c r="F757" i="21"/>
  <c r="G757" i="21"/>
  <c r="H757" i="21"/>
  <c r="I757" i="21"/>
  <c r="E758" i="21"/>
  <c r="F758" i="21"/>
  <c r="G758" i="21"/>
  <c r="H758" i="21"/>
  <c r="I758" i="21"/>
  <c r="E759" i="21"/>
  <c r="F759" i="21"/>
  <c r="G759" i="21"/>
  <c r="H759" i="21"/>
  <c r="I759" i="21"/>
  <c r="E760" i="21"/>
  <c r="F760" i="21"/>
  <c r="G760" i="21"/>
  <c r="H760" i="21"/>
  <c r="I760" i="21"/>
  <c r="E761" i="21"/>
  <c r="F761" i="21"/>
  <c r="G761" i="21"/>
  <c r="H761" i="21"/>
  <c r="I761" i="21"/>
  <c r="E762" i="21"/>
  <c r="F762" i="21"/>
  <c r="G762" i="21"/>
  <c r="H762" i="21"/>
  <c r="I762" i="21"/>
  <c r="E763" i="21"/>
  <c r="F763" i="21"/>
  <c r="G763" i="21"/>
  <c r="H763" i="21"/>
  <c r="I763" i="21"/>
  <c r="E764" i="21"/>
  <c r="F764" i="21"/>
  <c r="G764" i="21"/>
  <c r="H764" i="21"/>
  <c r="I764" i="21"/>
  <c r="E765" i="21"/>
  <c r="F765" i="21"/>
  <c r="G765" i="21"/>
  <c r="H765" i="21"/>
  <c r="I765" i="21"/>
  <c r="E766" i="21"/>
  <c r="F766" i="21"/>
  <c r="G766" i="21"/>
  <c r="H766" i="21"/>
  <c r="I766" i="21"/>
  <c r="I728" i="21"/>
  <c r="H728" i="21"/>
  <c r="G728" i="21"/>
  <c r="F728" i="21"/>
  <c r="E728" i="21"/>
  <c r="I727" i="21"/>
  <c r="H727" i="21"/>
  <c r="G727" i="21"/>
  <c r="F727" i="21"/>
  <c r="E727" i="21"/>
  <c r="I726" i="21"/>
  <c r="H726" i="21"/>
  <c r="G726" i="21"/>
  <c r="F726" i="21"/>
  <c r="E726" i="21"/>
  <c r="I725" i="21"/>
  <c r="H725" i="21"/>
  <c r="G725" i="21"/>
  <c r="F725" i="21"/>
  <c r="E725" i="21"/>
  <c r="I724" i="21"/>
  <c r="H724" i="21"/>
  <c r="G724" i="21"/>
  <c r="F724" i="21"/>
  <c r="E724" i="21"/>
  <c r="I723" i="21"/>
  <c r="H723" i="21"/>
  <c r="G723" i="21"/>
  <c r="F723" i="21"/>
  <c r="E723" i="21"/>
  <c r="I722" i="21"/>
  <c r="H722" i="21"/>
  <c r="G722" i="21"/>
  <c r="F722" i="21"/>
  <c r="E722" i="21"/>
  <c r="I721" i="21"/>
  <c r="H721" i="21"/>
  <c r="G721" i="21"/>
  <c r="F721" i="21"/>
  <c r="E721" i="21"/>
  <c r="I720" i="21"/>
  <c r="H720" i="21"/>
  <c r="G720" i="21"/>
  <c r="F720" i="21"/>
  <c r="E720" i="21"/>
  <c r="I719" i="21"/>
  <c r="H719" i="21"/>
  <c r="G719" i="21"/>
  <c r="F719" i="21"/>
  <c r="E719" i="21"/>
  <c r="I718" i="21"/>
  <c r="H718" i="21"/>
  <c r="G718" i="21"/>
  <c r="F718" i="21"/>
  <c r="E718" i="21"/>
  <c r="I717" i="21"/>
  <c r="H717" i="21"/>
  <c r="G717" i="21"/>
  <c r="F717" i="21"/>
  <c r="E717" i="21"/>
  <c r="E692" i="21"/>
  <c r="F692" i="21"/>
  <c r="G692" i="21"/>
  <c r="H692" i="21"/>
  <c r="I692" i="21"/>
  <c r="E697" i="21"/>
  <c r="F697" i="21"/>
  <c r="G697" i="21"/>
  <c r="H697" i="21"/>
  <c r="I697" i="21"/>
  <c r="F13" i="30" l="1"/>
  <c r="G13" i="30" s="1"/>
  <c r="H13" i="30" s="1"/>
  <c r="I13" i="30" s="1"/>
  <c r="H9" i="28"/>
  <c r="I9" i="28" s="1"/>
  <c r="J9" i="28" s="1"/>
  <c r="K9" i="28" s="1"/>
  <c r="F14" i="30"/>
  <c r="F15" i="30"/>
  <c r="H10" i="28"/>
  <c r="I10" i="28" s="1"/>
  <c r="J10" i="28" s="1"/>
  <c r="K10" i="28" s="1"/>
  <c r="F12" i="30"/>
  <c r="G12" i="30" s="1"/>
  <c r="H12" i="30" s="1"/>
  <c r="I12" i="30" s="1"/>
  <c r="M70" i="27"/>
  <c r="L7" i="31" s="1"/>
  <c r="M38" i="27"/>
  <c r="L4" i="31" s="1"/>
  <c r="N67" i="27"/>
  <c r="M52" i="27"/>
  <c r="L5" i="31" s="1"/>
  <c r="M71" i="27"/>
  <c r="L8" i="31" s="1"/>
  <c r="F9" i="30"/>
  <c r="G9" i="30" s="1"/>
  <c r="H9" i="30" s="1"/>
  <c r="I9" i="30" s="1"/>
  <c r="F8" i="30"/>
  <c r="G8" i="30" s="1"/>
  <c r="H8" i="30" s="1"/>
  <c r="I8" i="30" s="1"/>
  <c r="F10" i="30"/>
  <c r="G10" i="30" s="1"/>
  <c r="H10" i="30" s="1"/>
  <c r="I10" i="30" s="1"/>
  <c r="G77" i="30"/>
  <c r="H77" i="30" s="1"/>
  <c r="I77" i="30" s="1"/>
  <c r="M14" i="27"/>
  <c r="M57" i="27"/>
  <c r="M55" i="27"/>
  <c r="G16" i="30"/>
  <c r="H16" i="30" s="1"/>
  <c r="I16" i="30" s="1"/>
  <c r="G21" i="30"/>
  <c r="H21" i="30" s="1"/>
  <c r="I21" i="30" s="1"/>
  <c r="G26" i="30"/>
  <c r="H26" i="30" s="1"/>
  <c r="I26" i="30" s="1"/>
  <c r="G31" i="30"/>
  <c r="H31" i="30" s="1"/>
  <c r="I31" i="30" s="1"/>
  <c r="G36" i="30"/>
  <c r="H36" i="30" s="1"/>
  <c r="I36" i="30" s="1"/>
  <c r="G41" i="30"/>
  <c r="H41" i="30" s="1"/>
  <c r="I41" i="30" s="1"/>
  <c r="G46" i="30"/>
  <c r="H46" i="30" s="1"/>
  <c r="I46" i="30" s="1"/>
  <c r="G51" i="30"/>
  <c r="H51" i="30" s="1"/>
  <c r="I51" i="30" s="1"/>
  <c r="G56" i="30"/>
  <c r="H56" i="30" s="1"/>
  <c r="I56" i="30" s="1"/>
  <c r="G61" i="30"/>
  <c r="H61" i="30" s="1"/>
  <c r="I61" i="30" s="1"/>
  <c r="G66" i="30"/>
  <c r="H66" i="30" s="1"/>
  <c r="I66" i="30" s="1"/>
  <c r="G76" i="30"/>
  <c r="H76" i="30" s="1"/>
  <c r="I76" i="30" s="1"/>
  <c r="M47" i="27"/>
  <c r="M27" i="27"/>
  <c r="G71" i="30"/>
  <c r="H71" i="30" s="1"/>
  <c r="I71" i="30" s="1"/>
  <c r="G57" i="30"/>
  <c r="H57" i="30" s="1"/>
  <c r="I57" i="30" s="1"/>
  <c r="M67" i="27"/>
  <c r="L6" i="31" s="1"/>
  <c r="M54" i="27"/>
  <c r="M35" i="27"/>
  <c r="M66" i="27"/>
  <c r="M34" i="27"/>
  <c r="M15" i="27"/>
  <c r="G28" i="30"/>
  <c r="H28" i="30" s="1"/>
  <c r="I28" i="30" s="1"/>
  <c r="G33" i="30"/>
  <c r="H33" i="30" s="1"/>
  <c r="I33" i="30" s="1"/>
  <c r="G38" i="30"/>
  <c r="H38" i="30" s="1"/>
  <c r="I38" i="30" s="1"/>
  <c r="G53" i="30"/>
  <c r="H53" i="30" s="1"/>
  <c r="I53" i="30" s="1"/>
  <c r="M72" i="27"/>
  <c r="M64" i="27"/>
  <c r="M44" i="27"/>
  <c r="M24" i="27"/>
  <c r="N77" i="27"/>
  <c r="R77" i="27" s="1"/>
  <c r="N56" i="27"/>
  <c r="R56" i="27" s="1"/>
  <c r="N46" i="27"/>
  <c r="R46" i="27" s="1"/>
  <c r="N36" i="27"/>
  <c r="R36" i="27" s="1"/>
  <c r="N26" i="27"/>
  <c r="R26" i="27" s="1"/>
  <c r="N16" i="27"/>
  <c r="R16" i="27" s="1"/>
  <c r="M7" i="27"/>
  <c r="N76" i="27"/>
  <c r="R76" i="27" s="1"/>
  <c r="N65" i="27"/>
  <c r="R65" i="27" s="1"/>
  <c r="N45" i="27"/>
  <c r="R45" i="27" s="1"/>
  <c r="N25" i="27"/>
  <c r="R25" i="27" s="1"/>
  <c r="N74" i="27"/>
  <c r="R74" i="27" s="1"/>
  <c r="G29" i="30"/>
  <c r="H29" i="30" s="1"/>
  <c r="I29" i="30" s="1"/>
  <c r="G34" i="30"/>
  <c r="H34" i="30" s="1"/>
  <c r="I34" i="30" s="1"/>
  <c r="G44" i="30"/>
  <c r="H44" i="30" s="1"/>
  <c r="I44" i="30" s="1"/>
  <c r="G49" i="30"/>
  <c r="H49" i="30" s="1"/>
  <c r="I49" i="30" s="1"/>
  <c r="G54" i="30"/>
  <c r="H54" i="30" s="1"/>
  <c r="I54" i="30" s="1"/>
  <c r="G59" i="30"/>
  <c r="H59" i="30" s="1"/>
  <c r="I59" i="30" s="1"/>
  <c r="G64" i="30"/>
  <c r="H64" i="30" s="1"/>
  <c r="I64" i="30" s="1"/>
  <c r="H5" i="28"/>
  <c r="I5" i="28" s="1"/>
  <c r="J5" i="28" s="1"/>
  <c r="K5" i="28" s="1"/>
  <c r="G69" i="30"/>
  <c r="H69" i="30" s="1"/>
  <c r="I69" i="30" s="1"/>
  <c r="G74" i="30"/>
  <c r="H74" i="30" s="1"/>
  <c r="I74" i="30" s="1"/>
  <c r="M63" i="27"/>
  <c r="M43" i="27"/>
  <c r="M23" i="27"/>
  <c r="N73" i="27"/>
  <c r="R73" i="27" s="1"/>
  <c r="N53" i="27"/>
  <c r="R53" i="27" s="1"/>
  <c r="N33" i="27"/>
  <c r="R33" i="27" s="1"/>
  <c r="N13" i="27"/>
  <c r="R13" i="27" s="1"/>
  <c r="G19" i="30"/>
  <c r="H19" i="30" s="1"/>
  <c r="I19" i="30" s="1"/>
  <c r="G39" i="30"/>
  <c r="H39" i="30" s="1"/>
  <c r="I39" i="30" s="1"/>
  <c r="N62" i="27"/>
  <c r="R62" i="27" s="1"/>
  <c r="N42" i="27"/>
  <c r="R42" i="27" s="1"/>
  <c r="N32" i="27"/>
  <c r="R32" i="27" s="1"/>
  <c r="N22" i="27"/>
  <c r="R22" i="27" s="1"/>
  <c r="N12" i="27"/>
  <c r="R12" i="27" s="1"/>
  <c r="G15" i="30"/>
  <c r="H15" i="30" s="1"/>
  <c r="I15" i="30" s="1"/>
  <c r="G27" i="30"/>
  <c r="H27" i="30" s="1"/>
  <c r="I27" i="30" s="1"/>
  <c r="G32" i="30"/>
  <c r="H32" i="30" s="1"/>
  <c r="I32" i="30" s="1"/>
  <c r="G42" i="30"/>
  <c r="H42" i="30" s="1"/>
  <c r="I42" i="30" s="1"/>
  <c r="N71" i="27"/>
  <c r="N61" i="27"/>
  <c r="R61" i="27" s="1"/>
  <c r="N51" i="27"/>
  <c r="R51" i="27" s="1"/>
  <c r="N41" i="27"/>
  <c r="R41" i="27" s="1"/>
  <c r="N31" i="27"/>
  <c r="R31" i="27" s="1"/>
  <c r="N21" i="27"/>
  <c r="R21" i="27" s="1"/>
  <c r="N11" i="27"/>
  <c r="R11" i="27" s="1"/>
  <c r="G22" i="30"/>
  <c r="H22" i="30" s="1"/>
  <c r="I22" i="30" s="1"/>
  <c r="G37" i="30"/>
  <c r="H37" i="30" s="1"/>
  <c r="I37" i="30" s="1"/>
  <c r="G47" i="30"/>
  <c r="H47" i="30" s="1"/>
  <c r="I47" i="30" s="1"/>
  <c r="G52" i="30"/>
  <c r="H52" i="30" s="1"/>
  <c r="I52" i="30" s="1"/>
  <c r="G62" i="30"/>
  <c r="H62" i="30" s="1"/>
  <c r="I62" i="30" s="1"/>
  <c r="G72" i="30"/>
  <c r="H72" i="30" s="1"/>
  <c r="I72" i="30" s="1"/>
  <c r="M37" i="27"/>
  <c r="M17" i="27"/>
  <c r="N60" i="27"/>
  <c r="R60" i="27" s="1"/>
  <c r="N50" i="27"/>
  <c r="R50" i="27" s="1"/>
  <c r="N40" i="27"/>
  <c r="R40" i="27" s="1"/>
  <c r="N30" i="27"/>
  <c r="R30" i="27" s="1"/>
  <c r="N20" i="27"/>
  <c r="R20" i="27" s="1"/>
  <c r="N10" i="27"/>
  <c r="R10" i="27" s="1"/>
  <c r="G14" i="30"/>
  <c r="H14" i="30" s="1"/>
  <c r="I14" i="30" s="1"/>
  <c r="G67" i="30"/>
  <c r="H67" i="30" s="1"/>
  <c r="I67" i="30" s="1"/>
  <c r="H6" i="28"/>
  <c r="I6" i="28" s="1"/>
  <c r="J6" i="28" s="1"/>
  <c r="K6" i="28" s="1"/>
  <c r="G20" i="30"/>
  <c r="H20" i="30" s="1"/>
  <c r="I20" i="30" s="1"/>
  <c r="G25" i="30"/>
  <c r="H25" i="30" s="1"/>
  <c r="I25" i="30" s="1"/>
  <c r="G30" i="30"/>
  <c r="H30" i="30" s="1"/>
  <c r="I30" i="30" s="1"/>
  <c r="G35" i="30"/>
  <c r="H35" i="30" s="1"/>
  <c r="I35" i="30" s="1"/>
  <c r="G40" i="30"/>
  <c r="H40" i="30" s="1"/>
  <c r="I40" i="30" s="1"/>
  <c r="G45" i="30"/>
  <c r="H45" i="30" s="1"/>
  <c r="I45" i="30" s="1"/>
  <c r="G50" i="30"/>
  <c r="H50" i="30" s="1"/>
  <c r="I50" i="30" s="1"/>
  <c r="G55" i="30"/>
  <c r="H55" i="30" s="1"/>
  <c r="I55" i="30" s="1"/>
  <c r="G60" i="30"/>
  <c r="H60" i="30" s="1"/>
  <c r="I60" i="30" s="1"/>
  <c r="G65" i="30"/>
  <c r="H65" i="30" s="1"/>
  <c r="I65" i="30" s="1"/>
  <c r="G70" i="30"/>
  <c r="H70" i="30" s="1"/>
  <c r="I70" i="30" s="1"/>
  <c r="G75" i="30"/>
  <c r="H75" i="30" s="1"/>
  <c r="I75" i="30" s="1"/>
  <c r="N80" i="27"/>
  <c r="R80" i="27" s="1"/>
  <c r="N69" i="27"/>
  <c r="R69" i="27" s="1"/>
  <c r="N59" i="27"/>
  <c r="R59" i="27" s="1"/>
  <c r="N49" i="27"/>
  <c r="R49" i="27" s="1"/>
  <c r="N39" i="27"/>
  <c r="R39" i="27" s="1"/>
  <c r="N29" i="27"/>
  <c r="R29" i="27" s="1"/>
  <c r="N19" i="27"/>
  <c r="R19" i="27" s="1"/>
  <c r="N9" i="27"/>
  <c r="R9" i="27" s="1"/>
  <c r="G24" i="30"/>
  <c r="H24" i="30" s="1"/>
  <c r="I24" i="30" s="1"/>
  <c r="G17" i="30"/>
  <c r="H17" i="30" s="1"/>
  <c r="I17" i="30" s="1"/>
  <c r="N79" i="27"/>
  <c r="R79" i="27" s="1"/>
  <c r="N68" i="27"/>
  <c r="R68" i="27" s="1"/>
  <c r="N58" i="27"/>
  <c r="R58" i="27" s="1"/>
  <c r="N48" i="27"/>
  <c r="R48" i="27" s="1"/>
  <c r="N28" i="27"/>
  <c r="R28" i="27" s="1"/>
  <c r="N18" i="27"/>
  <c r="R18" i="27" s="1"/>
  <c r="N8" i="27"/>
  <c r="R8" i="27" s="1"/>
  <c r="G11" i="30"/>
  <c r="H11" i="30" s="1"/>
  <c r="I11" i="30" s="1"/>
  <c r="G18" i="30"/>
  <c r="H18" i="30" s="1"/>
  <c r="I18" i="30" s="1"/>
  <c r="G23" i="30"/>
  <c r="H23" i="30" s="1"/>
  <c r="I23" i="30" s="1"/>
  <c r="G43" i="30"/>
  <c r="H43" i="30" s="1"/>
  <c r="I43" i="30" s="1"/>
  <c r="G48" i="30"/>
  <c r="H48" i="30" s="1"/>
  <c r="I48" i="30" s="1"/>
  <c r="G58" i="30"/>
  <c r="H58" i="30" s="1"/>
  <c r="I58" i="30" s="1"/>
  <c r="G63" i="30"/>
  <c r="H63" i="30" s="1"/>
  <c r="I63" i="30" s="1"/>
  <c r="G68" i="30"/>
  <c r="H68" i="30" s="1"/>
  <c r="I68" i="30" s="1"/>
  <c r="H7" i="28"/>
  <c r="I7" i="28" s="1"/>
  <c r="J7" i="28" s="1"/>
  <c r="K7" i="28" s="1"/>
  <c r="F6" i="30"/>
  <c r="G6" i="30" s="1"/>
  <c r="H6" i="30" s="1"/>
  <c r="I6" i="30" s="1"/>
  <c r="F7" i="30"/>
  <c r="G7" i="30" s="1"/>
  <c r="H7" i="30" s="1"/>
  <c r="I7" i="30" s="1"/>
  <c r="F5" i="30"/>
  <c r="G5" i="30" s="1"/>
  <c r="H5" i="30" s="1"/>
  <c r="I5" i="30" s="1"/>
  <c r="G73" i="30"/>
  <c r="H73" i="30" s="1"/>
  <c r="I73" i="30" s="1"/>
  <c r="N78" i="27"/>
  <c r="R78" i="27" s="1"/>
  <c r="M75" i="27"/>
  <c r="L9" i="31" s="1"/>
  <c r="I169" i="28"/>
  <c r="J169" i="28" s="1"/>
  <c r="K169" i="28" s="1"/>
  <c r="I132" i="28"/>
  <c r="J132" i="28" s="1"/>
  <c r="K132" i="28" s="1"/>
  <c r="I154" i="28"/>
  <c r="J154" i="28" s="1"/>
  <c r="K154" i="28" s="1"/>
  <c r="I159" i="28"/>
  <c r="J159" i="28" s="1"/>
  <c r="K159" i="28" s="1"/>
  <c r="I130" i="28"/>
  <c r="J130" i="28" s="1"/>
  <c r="K130" i="28" s="1"/>
  <c r="I142" i="28"/>
  <c r="J142" i="28" s="1"/>
  <c r="K142" i="28" s="1"/>
  <c r="I149" i="28"/>
  <c r="J149" i="28" s="1"/>
  <c r="K149" i="28" s="1"/>
  <c r="I158" i="28"/>
  <c r="J158" i="28" s="1"/>
  <c r="K158" i="28" s="1"/>
  <c r="I164" i="28"/>
  <c r="J164" i="28" s="1"/>
  <c r="K164" i="28" s="1"/>
  <c r="I147" i="28"/>
  <c r="J147" i="28" s="1"/>
  <c r="K147" i="28" s="1"/>
  <c r="I166" i="28"/>
  <c r="J166" i="28" s="1"/>
  <c r="K166" i="28" s="1"/>
  <c r="I167" i="28"/>
  <c r="J167" i="28" s="1"/>
  <c r="K167" i="28" s="1"/>
  <c r="I157" i="28"/>
  <c r="J157" i="28" s="1"/>
  <c r="K157" i="28" s="1"/>
  <c r="I115" i="28"/>
  <c r="J115" i="28" s="1"/>
  <c r="K115" i="28" s="1"/>
  <c r="I14" i="28"/>
  <c r="J14" i="28" s="1"/>
  <c r="K14" i="28" s="1"/>
  <c r="I70" i="28"/>
  <c r="J70" i="28" s="1"/>
  <c r="K70" i="28" s="1"/>
  <c r="I91" i="28"/>
  <c r="J91" i="28" s="1"/>
  <c r="K91" i="28" s="1"/>
  <c r="I165" i="28"/>
  <c r="J165" i="28" s="1"/>
  <c r="K165" i="28" s="1"/>
  <c r="I47" i="28"/>
  <c r="J47" i="28" s="1"/>
  <c r="K47" i="28" s="1"/>
  <c r="I83" i="28"/>
  <c r="J83" i="28" s="1"/>
  <c r="K83" i="28" s="1"/>
  <c r="I111" i="28"/>
  <c r="J111" i="28" s="1"/>
  <c r="K111" i="28" s="1"/>
  <c r="I17" i="28"/>
  <c r="J17" i="28" s="1"/>
  <c r="K17" i="28" s="1"/>
  <c r="I102" i="28"/>
  <c r="J102" i="28" s="1"/>
  <c r="K102" i="28" s="1"/>
  <c r="I162" i="28"/>
  <c r="J162" i="28" s="1"/>
  <c r="K162" i="28" s="1"/>
  <c r="I30" i="28"/>
  <c r="J30" i="28" s="1"/>
  <c r="K30" i="28" s="1"/>
  <c r="I73" i="28"/>
  <c r="J73" i="28" s="1"/>
  <c r="K73" i="28" s="1"/>
  <c r="I78" i="28"/>
  <c r="J78" i="28" s="1"/>
  <c r="K78" i="28" s="1"/>
  <c r="I103" i="28"/>
  <c r="J103" i="28" s="1"/>
  <c r="K103" i="28" s="1"/>
  <c r="I81" i="28"/>
  <c r="J81" i="28" s="1"/>
  <c r="K81" i="28" s="1"/>
  <c r="H8" i="28"/>
  <c r="I8" i="28" s="1"/>
  <c r="J8" i="28" s="1"/>
  <c r="K8" i="28" s="1"/>
  <c r="I51" i="28"/>
  <c r="J51" i="28" s="1"/>
  <c r="K51" i="28" s="1"/>
  <c r="I23" i="28"/>
  <c r="J23" i="28" s="1"/>
  <c r="K23" i="28" s="1"/>
  <c r="I112" i="28"/>
  <c r="J112" i="28" s="1"/>
  <c r="K112" i="28" s="1"/>
  <c r="I68" i="28"/>
  <c r="J68" i="28" s="1"/>
  <c r="K68" i="28" s="1"/>
  <c r="I156" i="28"/>
  <c r="J156" i="28" s="1"/>
  <c r="K156" i="28" s="1"/>
  <c r="I160" i="28"/>
  <c r="J160" i="28" s="1"/>
  <c r="K160" i="28" s="1"/>
  <c r="I107" i="28"/>
  <c r="J107" i="28" s="1"/>
  <c r="K107" i="28" s="1"/>
  <c r="I141" i="28"/>
  <c r="J141" i="28" s="1"/>
  <c r="K141" i="28" s="1"/>
  <c r="I48" i="28"/>
  <c r="J48" i="28" s="1"/>
  <c r="K48" i="28" s="1"/>
  <c r="I84" i="28"/>
  <c r="J84" i="28" s="1"/>
  <c r="K84" i="28" s="1"/>
  <c r="I133" i="28"/>
  <c r="J133" i="28" s="1"/>
  <c r="K133" i="28" s="1"/>
  <c r="I40" i="28"/>
  <c r="J40" i="28" s="1"/>
  <c r="K40" i="28" s="1"/>
  <c r="I61" i="28"/>
  <c r="J61" i="28" s="1"/>
  <c r="K61" i="28" s="1"/>
  <c r="I150" i="28"/>
  <c r="J150" i="28" s="1"/>
  <c r="K150" i="28" s="1"/>
  <c r="I72" i="28"/>
  <c r="J72" i="28" s="1"/>
  <c r="K72" i="28" s="1"/>
  <c r="I98" i="28"/>
  <c r="J98" i="28" s="1"/>
  <c r="K98" i="28" s="1"/>
  <c r="I145" i="28"/>
  <c r="J145" i="28" s="1"/>
  <c r="K145" i="28" s="1"/>
  <c r="I146" i="28"/>
  <c r="J146" i="28" s="1"/>
  <c r="K146" i="28" s="1"/>
  <c r="I155" i="28"/>
  <c r="J155" i="28" s="1"/>
  <c r="K155" i="28" s="1"/>
  <c r="I99" i="28"/>
  <c r="J99" i="28" s="1"/>
  <c r="K99" i="28" s="1"/>
  <c r="I135" i="28"/>
  <c r="J135" i="28" s="1"/>
  <c r="K135" i="28" s="1"/>
  <c r="I42" i="28"/>
  <c r="J42" i="28" s="1"/>
  <c r="K42" i="28" s="1"/>
  <c r="I76" i="28"/>
  <c r="J76" i="28" s="1"/>
  <c r="K76" i="28" s="1"/>
  <c r="I121" i="28"/>
  <c r="J121" i="28" s="1"/>
  <c r="K121" i="28" s="1"/>
  <c r="I18" i="28"/>
  <c r="J18" i="28" s="1"/>
  <c r="K18" i="28" s="1"/>
  <c r="I54" i="28"/>
  <c r="J54" i="28" s="1"/>
  <c r="K54" i="28" s="1"/>
  <c r="I88" i="28"/>
  <c r="J88" i="28" s="1"/>
  <c r="K88" i="28" s="1"/>
  <c r="I152" i="28"/>
  <c r="J152" i="28" s="1"/>
  <c r="K152" i="28" s="1"/>
  <c r="I74" i="28"/>
  <c r="J74" i="28" s="1"/>
  <c r="K74" i="28" s="1"/>
  <c r="I143" i="28"/>
  <c r="J143" i="28" s="1"/>
  <c r="K143" i="28" s="1"/>
  <c r="I137" i="28"/>
  <c r="J137" i="28" s="1"/>
  <c r="K137" i="28" s="1"/>
  <c r="I44" i="28"/>
  <c r="J44" i="28" s="1"/>
  <c r="K44" i="28" s="1"/>
  <c r="I65" i="28"/>
  <c r="J65" i="28" s="1"/>
  <c r="K65" i="28" s="1"/>
  <c r="I136" i="28"/>
  <c r="J136" i="28" s="1"/>
  <c r="K136" i="28" s="1"/>
  <c r="I172" i="28"/>
  <c r="J172" i="28" s="1"/>
  <c r="K172" i="28" s="1"/>
  <c r="I93" i="28"/>
  <c r="J93" i="28" s="1"/>
  <c r="K93" i="28" s="1"/>
  <c r="I123" i="28"/>
  <c r="J123" i="28" s="1"/>
  <c r="K123" i="28" s="1"/>
  <c r="I35" i="28"/>
  <c r="J35" i="28" s="1"/>
  <c r="K35" i="28" s="1"/>
  <c r="I69" i="28"/>
  <c r="J69" i="28" s="1"/>
  <c r="K69" i="28" s="1"/>
  <c r="I113" i="28"/>
  <c r="J113" i="28" s="1"/>
  <c r="K113" i="28" s="1"/>
  <c r="I12" i="28"/>
  <c r="J12" i="28" s="1"/>
  <c r="K12" i="28" s="1"/>
  <c r="I46" i="28"/>
  <c r="J46" i="28" s="1"/>
  <c r="K46" i="28" s="1"/>
  <c r="I82" i="28"/>
  <c r="J82" i="28" s="1"/>
  <c r="K82" i="28" s="1"/>
  <c r="I163" i="28"/>
  <c r="J163" i="28" s="1"/>
  <c r="K163" i="28" s="1"/>
  <c r="I66" i="28"/>
  <c r="J66" i="28" s="1"/>
  <c r="K66" i="28" s="1"/>
  <c r="I95" i="28"/>
  <c r="J95" i="28" s="1"/>
  <c r="K95" i="28" s="1"/>
  <c r="I131" i="28"/>
  <c r="J131" i="28" s="1"/>
  <c r="K131" i="28" s="1"/>
  <c r="I36" i="28"/>
  <c r="J36" i="28" s="1"/>
  <c r="K36" i="28" s="1"/>
  <c r="I57" i="28"/>
  <c r="J57" i="28" s="1"/>
  <c r="K57" i="28" s="1"/>
  <c r="I126" i="28"/>
  <c r="J126" i="28" s="1"/>
  <c r="K126" i="28" s="1"/>
  <c r="I171" i="28"/>
  <c r="J171" i="28" s="1"/>
  <c r="K171" i="28" s="1"/>
  <c r="I71" i="28"/>
  <c r="J71" i="28" s="1"/>
  <c r="K71" i="28" s="1"/>
  <c r="I114" i="28"/>
  <c r="J114" i="28" s="1"/>
  <c r="K114" i="28" s="1"/>
  <c r="I27" i="28"/>
  <c r="J27" i="28" s="1"/>
  <c r="K27" i="28" s="1"/>
  <c r="I63" i="28"/>
  <c r="J63" i="28" s="1"/>
  <c r="K63" i="28" s="1"/>
  <c r="I105" i="28"/>
  <c r="J105" i="28" s="1"/>
  <c r="K105" i="28" s="1"/>
  <c r="I153" i="28"/>
  <c r="J153" i="28" s="1"/>
  <c r="K153" i="28" s="1"/>
  <c r="I39" i="28"/>
  <c r="J39" i="28" s="1"/>
  <c r="K39" i="28" s="1"/>
  <c r="I75" i="28"/>
  <c r="J75" i="28" s="1"/>
  <c r="K75" i="28" s="1"/>
  <c r="I151" i="28"/>
  <c r="J151" i="28" s="1"/>
  <c r="K151" i="28" s="1"/>
  <c r="I59" i="28"/>
  <c r="J59" i="28" s="1"/>
  <c r="K59" i="28" s="1"/>
  <c r="I87" i="28"/>
  <c r="J87" i="28" s="1"/>
  <c r="K87" i="28" s="1"/>
  <c r="I117" i="28"/>
  <c r="J117" i="28" s="1"/>
  <c r="K117" i="28" s="1"/>
  <c r="I29" i="28"/>
  <c r="J29" i="28" s="1"/>
  <c r="K29" i="28" s="1"/>
  <c r="I50" i="28"/>
  <c r="J50" i="28" s="1"/>
  <c r="K50" i="28" s="1"/>
  <c r="I175" i="28"/>
  <c r="J175" i="28" s="1"/>
  <c r="K175" i="28" s="1"/>
  <c r="I176" i="28"/>
  <c r="J176" i="28" s="1"/>
  <c r="K176" i="28" s="1"/>
  <c r="I64" i="28"/>
  <c r="J64" i="28" s="1"/>
  <c r="K64" i="28" s="1"/>
  <c r="I106" i="28"/>
  <c r="J106" i="28" s="1"/>
  <c r="K106" i="28" s="1"/>
  <c r="I20" i="28"/>
  <c r="J20" i="28" s="1"/>
  <c r="K20" i="28" s="1"/>
  <c r="I33" i="28"/>
  <c r="J33" i="28" s="1"/>
  <c r="K33" i="28" s="1"/>
  <c r="I67" i="28"/>
  <c r="J67" i="28" s="1"/>
  <c r="K67" i="28" s="1"/>
  <c r="I80" i="28"/>
  <c r="J80" i="28" s="1"/>
  <c r="K80" i="28" s="1"/>
  <c r="I173" i="28"/>
  <c r="J173" i="28" s="1"/>
  <c r="K173" i="28" s="1"/>
  <c r="I60" i="28"/>
  <c r="J60" i="28" s="1"/>
  <c r="K60" i="28" s="1"/>
  <c r="I125" i="28"/>
  <c r="J125" i="28" s="1"/>
  <c r="K125" i="28" s="1"/>
  <c r="I53" i="28"/>
  <c r="J53" i="28" s="1"/>
  <c r="K53" i="28" s="1"/>
  <c r="I97" i="28"/>
  <c r="J97" i="28" s="1"/>
  <c r="K97" i="28" s="1"/>
  <c r="I144" i="28"/>
  <c r="J144" i="28" s="1"/>
  <c r="K144" i="28" s="1"/>
  <c r="I28" i="28"/>
  <c r="J28" i="28" s="1"/>
  <c r="K28" i="28" s="1"/>
  <c r="I11" i="28"/>
  <c r="J11" i="28" s="1"/>
  <c r="K11" i="28" s="1"/>
  <c r="I101" i="28"/>
  <c r="J101" i="28" s="1"/>
  <c r="K101" i="28" s="1"/>
  <c r="I127" i="28"/>
  <c r="J127" i="28" s="1"/>
  <c r="K127" i="28" s="1"/>
  <c r="I120" i="28"/>
  <c r="J120" i="28" s="1"/>
  <c r="K120" i="28" s="1"/>
  <c r="I109" i="28"/>
  <c r="J109" i="28" s="1"/>
  <c r="K109" i="28" s="1"/>
  <c r="I90" i="28"/>
  <c r="J90" i="28" s="1"/>
  <c r="K90" i="28" s="1"/>
  <c r="I22" i="28"/>
  <c r="J22" i="28" s="1"/>
  <c r="K22" i="28" s="1"/>
  <c r="I15" i="28"/>
  <c r="J15" i="28" s="1"/>
  <c r="K15" i="28" s="1"/>
  <c r="I41" i="28"/>
  <c r="J41" i="28" s="1"/>
  <c r="K41" i="28" s="1"/>
  <c r="I31" i="28"/>
  <c r="J31" i="28" s="1"/>
  <c r="K31" i="28" s="1"/>
  <c r="I34" i="28"/>
  <c r="J34" i="28" s="1"/>
  <c r="K34" i="28" s="1"/>
  <c r="I58" i="28"/>
  <c r="J58" i="28" s="1"/>
  <c r="K58" i="28" s="1"/>
  <c r="I52" i="28"/>
  <c r="J52" i="28" s="1"/>
  <c r="K52" i="28" s="1"/>
  <c r="I174" i="28"/>
  <c r="J174" i="28" s="1"/>
  <c r="K174" i="28" s="1"/>
  <c r="I170" i="28"/>
  <c r="J170" i="28" s="1"/>
  <c r="K170" i="28" s="1"/>
  <c r="I56" i="28"/>
  <c r="J56" i="28" s="1"/>
  <c r="K56" i="28" s="1"/>
  <c r="I138" i="28"/>
  <c r="J138" i="28" s="1"/>
  <c r="K138" i="28" s="1"/>
  <c r="I104" i="28"/>
  <c r="J104" i="28" s="1"/>
  <c r="K104" i="28" s="1"/>
  <c r="I161" i="28"/>
  <c r="J161" i="28" s="1"/>
  <c r="K161" i="28" s="1"/>
  <c r="I168" i="28"/>
  <c r="J168" i="28" s="1"/>
  <c r="K168" i="28" s="1"/>
  <c r="I49" i="28"/>
  <c r="J49" i="28" s="1"/>
  <c r="K49" i="28" s="1"/>
  <c r="I92" i="28"/>
  <c r="J92" i="28" s="1"/>
  <c r="K92" i="28" s="1"/>
  <c r="I134" i="28"/>
  <c r="J134" i="28" s="1"/>
  <c r="K134" i="28" s="1"/>
  <c r="I38" i="28"/>
  <c r="J38" i="28" s="1"/>
  <c r="K38" i="28" s="1"/>
  <c r="I140" i="28"/>
  <c r="J140" i="28" s="1"/>
  <c r="K140" i="28" s="1"/>
  <c r="I148" i="28"/>
  <c r="J148" i="28" s="1"/>
  <c r="K148" i="28" s="1"/>
  <c r="I43" i="28"/>
  <c r="J43" i="28" s="1"/>
  <c r="K43" i="28" s="1"/>
  <c r="I85" i="28"/>
  <c r="J85" i="28" s="1"/>
  <c r="K85" i="28" s="1"/>
  <c r="I129" i="28"/>
  <c r="J129" i="28" s="1"/>
  <c r="K129" i="28" s="1"/>
  <c r="I19" i="28"/>
  <c r="J19" i="28" s="1"/>
  <c r="K19" i="28" s="1"/>
  <c r="I62" i="28"/>
  <c r="J62" i="28" s="1"/>
  <c r="K62" i="28" s="1"/>
  <c r="I96" i="28"/>
  <c r="J96" i="28" s="1"/>
  <c r="K96" i="28" s="1"/>
  <c r="I139" i="28"/>
  <c r="J139" i="28" s="1"/>
  <c r="K139" i="28" s="1"/>
  <c r="I32" i="28"/>
  <c r="J32" i="28" s="1"/>
  <c r="K32" i="28" s="1"/>
  <c r="I118" i="28"/>
  <c r="J118" i="28" s="1"/>
  <c r="K118" i="28" s="1"/>
  <c r="I24" i="28"/>
  <c r="J24" i="28" s="1"/>
  <c r="K24" i="28" s="1"/>
  <c r="I45" i="28"/>
  <c r="J45" i="28" s="1"/>
  <c r="K45" i="28" s="1"/>
  <c r="I86" i="28"/>
  <c r="J86" i="28" s="1"/>
  <c r="K86" i="28" s="1"/>
  <c r="I108" i="28"/>
  <c r="J108" i="28" s="1"/>
  <c r="K108" i="28" s="1"/>
  <c r="I25" i="28"/>
  <c r="J25" i="28" s="1"/>
  <c r="K25" i="28" s="1"/>
  <c r="I16" i="28"/>
  <c r="J16" i="28" s="1"/>
  <c r="K16" i="28" s="1"/>
  <c r="I79" i="28"/>
  <c r="J79" i="28" s="1"/>
  <c r="K79" i="28" s="1"/>
  <c r="I26" i="28"/>
  <c r="J26" i="28" s="1"/>
  <c r="K26" i="28" s="1"/>
  <c r="I94" i="28"/>
  <c r="J94" i="28" s="1"/>
  <c r="K94" i="28" s="1"/>
  <c r="I128" i="28"/>
  <c r="J128" i="28" s="1"/>
  <c r="K128" i="28" s="1"/>
  <c r="I124" i="28"/>
  <c r="J124" i="28" s="1"/>
  <c r="K124" i="28" s="1"/>
  <c r="I21" i="28"/>
  <c r="J21" i="28" s="1"/>
  <c r="K21" i="28" s="1"/>
  <c r="I77" i="28"/>
  <c r="J77" i="28" s="1"/>
  <c r="K77" i="28" s="1"/>
  <c r="I122" i="28"/>
  <c r="J122" i="28" s="1"/>
  <c r="K122" i="28" s="1"/>
  <c r="I13" i="28"/>
  <c r="J13" i="28" s="1"/>
  <c r="K13" i="28" s="1"/>
  <c r="I55" i="28"/>
  <c r="J55" i="28" s="1"/>
  <c r="K55" i="28" s="1"/>
  <c r="I89" i="28"/>
  <c r="J89" i="28" s="1"/>
  <c r="K89" i="28" s="1"/>
  <c r="I119" i="28"/>
  <c r="J119" i="28" s="1"/>
  <c r="K119" i="28" s="1"/>
  <c r="I110" i="28"/>
  <c r="J110" i="28" s="1"/>
  <c r="K110" i="28" s="1"/>
  <c r="I37" i="28"/>
  <c r="J37" i="28" s="1"/>
  <c r="K37" i="28" s="1"/>
  <c r="I100" i="28"/>
  <c r="J100" i="28" s="1"/>
  <c r="K100" i="28" s="1"/>
  <c r="I116" i="28"/>
  <c r="J116" i="28" s="1"/>
  <c r="K116" i="28" s="1"/>
  <c r="P136" i="28"/>
  <c r="BX7" i="19"/>
  <c r="BX8" i="19"/>
  <c r="BX9" i="19"/>
  <c r="BX10" i="19"/>
  <c r="BX11" i="19"/>
  <c r="BX12" i="19"/>
  <c r="BX13" i="19"/>
  <c r="BX14" i="19"/>
  <c r="BX15" i="19"/>
  <c r="BX16" i="19"/>
  <c r="BX17" i="19"/>
  <c r="BX18" i="19"/>
  <c r="BX19" i="19"/>
  <c r="BX20" i="19"/>
  <c r="BX21" i="19"/>
  <c r="BX22" i="19"/>
  <c r="BX23" i="19"/>
  <c r="BX24" i="19"/>
  <c r="BX25" i="19"/>
  <c r="BX26" i="19"/>
  <c r="BX27" i="19"/>
  <c r="BX28" i="19"/>
  <c r="BX29" i="19"/>
  <c r="BX30" i="19"/>
  <c r="BX31" i="19"/>
  <c r="BX32" i="19"/>
  <c r="BX33" i="19"/>
  <c r="BX34" i="19"/>
  <c r="BX35" i="19"/>
  <c r="BX36" i="19"/>
  <c r="BX37" i="19"/>
  <c r="BX39" i="19"/>
  <c r="BX40" i="19"/>
  <c r="BX41" i="19"/>
  <c r="BX42" i="19"/>
  <c r="BX43" i="19"/>
  <c r="BX44" i="19"/>
  <c r="BX45" i="19"/>
  <c r="BX46" i="19"/>
  <c r="BX47" i="19"/>
  <c r="BX48" i="19"/>
  <c r="BX49" i="19"/>
  <c r="BX50" i="19"/>
  <c r="BX6" i="19"/>
  <c r="R70" i="27" l="1"/>
  <c r="Q7" i="31" s="1"/>
  <c r="R67" i="27"/>
  <c r="Q6" i="31" s="1"/>
  <c r="R38" i="27"/>
  <c r="Q4" i="31" s="1"/>
  <c r="R75" i="27"/>
  <c r="Q9" i="31" s="1"/>
  <c r="R71" i="27"/>
  <c r="Q8" i="31" s="1"/>
  <c r="R52" i="27"/>
  <c r="Q5" i="31" s="1"/>
  <c r="E716" i="21"/>
  <c r="E715" i="21"/>
  <c r="E714" i="21"/>
  <c r="E713" i="21"/>
  <c r="E712" i="21"/>
  <c r="E711" i="21"/>
  <c r="E710" i="21"/>
  <c r="E709" i="21"/>
  <c r="E708" i="21"/>
  <c r="E707" i="21"/>
  <c r="E706" i="21"/>
  <c r="E705" i="21"/>
  <c r="E704" i="21"/>
  <c r="E703" i="21"/>
  <c r="E702" i="21"/>
  <c r="E701" i="21"/>
  <c r="E700" i="21"/>
  <c r="E699" i="21"/>
  <c r="E698" i="21"/>
  <c r="E696" i="21"/>
  <c r="E695" i="21"/>
  <c r="E694" i="21"/>
  <c r="E693" i="21"/>
  <c r="E691" i="21"/>
  <c r="E690" i="21"/>
  <c r="E689" i="21"/>
  <c r="E688" i="21"/>
  <c r="E687" i="21"/>
  <c r="E686" i="21"/>
  <c r="E685" i="21"/>
  <c r="E684" i="21"/>
  <c r="E683" i="21"/>
  <c r="E682" i="21"/>
  <c r="E681" i="21"/>
  <c r="E680" i="21"/>
  <c r="E679" i="21"/>
  <c r="E678" i="21"/>
  <c r="E677" i="21"/>
  <c r="E676" i="21"/>
  <c r="E675" i="21"/>
  <c r="E674" i="21"/>
  <c r="E673" i="21"/>
  <c r="E672" i="21"/>
  <c r="I715" i="21"/>
  <c r="H715" i="21"/>
  <c r="G715" i="21"/>
  <c r="F715" i="21"/>
  <c r="I714" i="21"/>
  <c r="H714" i="21"/>
  <c r="G714" i="21"/>
  <c r="F714" i="21"/>
  <c r="I713" i="21"/>
  <c r="H713" i="21"/>
  <c r="G713" i="21"/>
  <c r="F713" i="21"/>
  <c r="I712" i="21"/>
  <c r="H712" i="21"/>
  <c r="G712" i="21"/>
  <c r="F712" i="21"/>
  <c r="I711" i="21"/>
  <c r="H711" i="21"/>
  <c r="G711" i="21"/>
  <c r="F711" i="21"/>
  <c r="I710" i="21"/>
  <c r="H710" i="21"/>
  <c r="G710" i="21"/>
  <c r="F710" i="21"/>
  <c r="I709" i="21"/>
  <c r="H709" i="21"/>
  <c r="G709" i="21"/>
  <c r="F709" i="21"/>
  <c r="I708" i="21"/>
  <c r="H708" i="21"/>
  <c r="G708" i="21"/>
  <c r="F708" i="21"/>
  <c r="I707" i="21"/>
  <c r="H707" i="21"/>
  <c r="G707" i="21"/>
  <c r="F707" i="21"/>
  <c r="I706" i="21"/>
  <c r="H706" i="21"/>
  <c r="G706" i="21"/>
  <c r="F706" i="21"/>
  <c r="I705" i="21"/>
  <c r="H705" i="21"/>
  <c r="G705" i="21"/>
  <c r="F705" i="21"/>
  <c r="I704" i="21"/>
  <c r="H704" i="21"/>
  <c r="G704" i="21"/>
  <c r="F704" i="21"/>
  <c r="I703" i="21"/>
  <c r="H703" i="21"/>
  <c r="G703" i="21"/>
  <c r="F703" i="21"/>
  <c r="I702" i="21"/>
  <c r="H702" i="21"/>
  <c r="G702" i="21"/>
  <c r="F702" i="21"/>
  <c r="I701" i="21"/>
  <c r="H701" i="21"/>
  <c r="G701" i="21"/>
  <c r="F701" i="21"/>
  <c r="I700" i="21"/>
  <c r="H700" i="21"/>
  <c r="G700" i="21"/>
  <c r="F700" i="21"/>
  <c r="I699" i="21"/>
  <c r="H699" i="21"/>
  <c r="G699" i="21"/>
  <c r="F699" i="21"/>
  <c r="I698" i="21"/>
  <c r="H698" i="21"/>
  <c r="G698" i="21"/>
  <c r="F698" i="21"/>
  <c r="I696" i="21"/>
  <c r="H696" i="21"/>
  <c r="G696" i="21"/>
  <c r="F696" i="21"/>
  <c r="I695" i="21"/>
  <c r="H695" i="21"/>
  <c r="G695" i="21"/>
  <c r="F695" i="21"/>
  <c r="I694" i="21"/>
  <c r="H694" i="21"/>
  <c r="G694" i="21"/>
  <c r="F694" i="21"/>
  <c r="I693" i="21"/>
  <c r="H693" i="21"/>
  <c r="G693" i="21"/>
  <c r="F693" i="21"/>
  <c r="I691" i="21"/>
  <c r="H691" i="21"/>
  <c r="G691" i="21"/>
  <c r="F691" i="21"/>
  <c r="I690" i="21"/>
  <c r="H690" i="21"/>
  <c r="G690" i="21"/>
  <c r="F690" i="21"/>
  <c r="I689" i="21"/>
  <c r="H689" i="21"/>
  <c r="G689" i="21"/>
  <c r="F689" i="21"/>
  <c r="I688" i="21"/>
  <c r="H688" i="21"/>
  <c r="G688" i="21"/>
  <c r="F688" i="21"/>
  <c r="I687" i="21"/>
  <c r="H687" i="21"/>
  <c r="G687" i="21"/>
  <c r="F687" i="21"/>
  <c r="I686" i="21"/>
  <c r="H686" i="21"/>
  <c r="G686" i="21"/>
  <c r="F686" i="21"/>
  <c r="I685" i="21"/>
  <c r="H685" i="21"/>
  <c r="G685" i="21"/>
  <c r="F685" i="21"/>
  <c r="I684" i="21"/>
  <c r="H684" i="21"/>
  <c r="G684" i="21"/>
  <c r="F684" i="21"/>
  <c r="I683" i="21"/>
  <c r="H683" i="21"/>
  <c r="G683" i="21"/>
  <c r="F683" i="21"/>
  <c r="I682" i="21"/>
  <c r="H682" i="21"/>
  <c r="G682" i="21"/>
  <c r="F682" i="21"/>
  <c r="I681" i="21"/>
  <c r="H681" i="21"/>
  <c r="G681" i="21"/>
  <c r="F681" i="21"/>
  <c r="I680" i="21"/>
  <c r="H680" i="21"/>
  <c r="G680" i="21"/>
  <c r="F680" i="21"/>
  <c r="I679" i="21"/>
  <c r="H679" i="21"/>
  <c r="G679" i="21"/>
  <c r="F679" i="21"/>
  <c r="I678" i="21"/>
  <c r="H678" i="21"/>
  <c r="G678" i="21"/>
  <c r="F678" i="21"/>
  <c r="I677" i="21"/>
  <c r="H677" i="21"/>
  <c r="G677" i="21"/>
  <c r="F677" i="21"/>
  <c r="I676" i="21"/>
  <c r="H676" i="21"/>
  <c r="G676" i="21"/>
  <c r="F676" i="21"/>
  <c r="I675" i="21"/>
  <c r="H675" i="21"/>
  <c r="G675" i="21"/>
  <c r="F675" i="21"/>
  <c r="I674" i="21"/>
  <c r="H674" i="21"/>
  <c r="G674" i="21"/>
  <c r="F674" i="21"/>
  <c r="I673" i="21"/>
  <c r="H673" i="21"/>
  <c r="G673" i="21"/>
  <c r="F673" i="21"/>
  <c r="I672" i="21"/>
  <c r="H672" i="21"/>
  <c r="G672" i="21"/>
  <c r="F672" i="21"/>
  <c r="O18" i="25"/>
  <c r="K18" i="25"/>
  <c r="J18" i="25" s="1"/>
  <c r="L18" i="25" l="1"/>
  <c r="N18" i="25" s="1"/>
  <c r="P18" i="25" s="1"/>
  <c r="L119" i="17"/>
  <c r="K119" i="17"/>
  <c r="J119" i="17"/>
  <c r="I119" i="17"/>
  <c r="H119" i="17"/>
  <c r="G119" i="17"/>
  <c r="L121" i="17"/>
  <c r="O46" i="23"/>
  <c r="N46" i="23"/>
  <c r="I46" i="23"/>
  <c r="G46" i="23"/>
  <c r="F46" i="23"/>
  <c r="E46" i="23"/>
  <c r="D46" i="23"/>
  <c r="C46" i="23"/>
  <c r="O45" i="23"/>
  <c r="N45" i="23"/>
  <c r="I45" i="23"/>
  <c r="G45" i="23"/>
  <c r="F45" i="23"/>
  <c r="E45" i="23"/>
  <c r="D45" i="23"/>
  <c r="C45" i="23"/>
  <c r="AU50" i="19"/>
  <c r="M50" i="19"/>
  <c r="K50" i="19"/>
  <c r="AU49" i="19"/>
  <c r="M49" i="19"/>
  <c r="K49" i="19"/>
  <c r="O49" i="19" l="1"/>
  <c r="N49" i="19"/>
  <c r="O50" i="19"/>
  <c r="N50" i="19"/>
  <c r="M18" i="25"/>
  <c r="H46" i="23"/>
  <c r="H45" i="23"/>
  <c r="J45" i="23"/>
  <c r="L45" i="23" s="1"/>
  <c r="J46" i="23"/>
  <c r="L46" i="23" s="1"/>
  <c r="E628" i="21"/>
  <c r="F628" i="21"/>
  <c r="G628" i="21"/>
  <c r="H628" i="21"/>
  <c r="I628" i="21"/>
  <c r="E629" i="21"/>
  <c r="F629" i="21"/>
  <c r="G629" i="21"/>
  <c r="H629" i="21"/>
  <c r="I629" i="21"/>
  <c r="E630" i="21"/>
  <c r="F630" i="21"/>
  <c r="G630" i="21"/>
  <c r="H630" i="21"/>
  <c r="I630" i="21"/>
  <c r="E631" i="21"/>
  <c r="F631" i="21"/>
  <c r="G631" i="21"/>
  <c r="H631" i="21"/>
  <c r="I631" i="21"/>
  <c r="E632" i="21"/>
  <c r="F632" i="21"/>
  <c r="G632" i="21"/>
  <c r="H632" i="21"/>
  <c r="I632" i="21"/>
  <c r="E633" i="21"/>
  <c r="F633" i="21"/>
  <c r="G633" i="21"/>
  <c r="H633" i="21"/>
  <c r="I633" i="21"/>
  <c r="E634" i="21"/>
  <c r="F634" i="21"/>
  <c r="G634" i="21"/>
  <c r="H634" i="21"/>
  <c r="I634" i="21"/>
  <c r="E635" i="21"/>
  <c r="F635" i="21"/>
  <c r="G635" i="21"/>
  <c r="H635" i="21"/>
  <c r="I635" i="21"/>
  <c r="E636" i="21"/>
  <c r="F636" i="21"/>
  <c r="G636" i="21"/>
  <c r="H636" i="21"/>
  <c r="I636" i="21"/>
  <c r="E637" i="21"/>
  <c r="F637" i="21"/>
  <c r="G637" i="21"/>
  <c r="H637" i="21"/>
  <c r="I637" i="21"/>
  <c r="E638" i="21"/>
  <c r="F638" i="21"/>
  <c r="G638" i="21"/>
  <c r="H638" i="21"/>
  <c r="I638" i="21"/>
  <c r="E639" i="21"/>
  <c r="F639" i="21"/>
  <c r="G639" i="21"/>
  <c r="H639" i="21"/>
  <c r="I639" i="21"/>
  <c r="E640" i="21"/>
  <c r="F640" i="21"/>
  <c r="G640" i="21"/>
  <c r="H640" i="21"/>
  <c r="I640" i="21"/>
  <c r="E641" i="21"/>
  <c r="F641" i="21"/>
  <c r="G641" i="21"/>
  <c r="H641" i="21"/>
  <c r="I641" i="21"/>
  <c r="E642" i="21"/>
  <c r="F642" i="21"/>
  <c r="G642" i="21"/>
  <c r="H642" i="21"/>
  <c r="I642" i="21"/>
  <c r="E643" i="21"/>
  <c r="F643" i="21"/>
  <c r="G643" i="21"/>
  <c r="H643" i="21"/>
  <c r="I643" i="21"/>
  <c r="E644" i="21"/>
  <c r="F644" i="21"/>
  <c r="G644" i="21"/>
  <c r="H644" i="21"/>
  <c r="I644" i="21"/>
  <c r="E645" i="21"/>
  <c r="F645" i="21"/>
  <c r="G645" i="21"/>
  <c r="H645" i="21"/>
  <c r="I645" i="21"/>
  <c r="E646" i="21"/>
  <c r="F646" i="21"/>
  <c r="G646" i="21"/>
  <c r="H646" i="21"/>
  <c r="I646" i="21"/>
  <c r="E647" i="21"/>
  <c r="F647" i="21"/>
  <c r="G647" i="21"/>
  <c r="H647" i="21"/>
  <c r="I647" i="21"/>
  <c r="E648" i="21"/>
  <c r="F648" i="21"/>
  <c r="G648" i="21"/>
  <c r="H648" i="21"/>
  <c r="I648" i="21"/>
  <c r="E649" i="21"/>
  <c r="F649" i="21"/>
  <c r="G649" i="21"/>
  <c r="H649" i="21"/>
  <c r="I649" i="21"/>
  <c r="E650" i="21"/>
  <c r="F650" i="21"/>
  <c r="G650" i="21"/>
  <c r="H650" i="21"/>
  <c r="I650" i="21"/>
  <c r="E651" i="21"/>
  <c r="F651" i="21"/>
  <c r="G651" i="21"/>
  <c r="H651" i="21"/>
  <c r="I651" i="21"/>
  <c r="E652" i="21"/>
  <c r="F652" i="21"/>
  <c r="G652" i="21"/>
  <c r="H652" i="21"/>
  <c r="I652" i="21"/>
  <c r="E653" i="21"/>
  <c r="F653" i="21"/>
  <c r="G653" i="21"/>
  <c r="H653" i="21"/>
  <c r="I653" i="21"/>
  <c r="E654" i="21"/>
  <c r="F654" i="21"/>
  <c r="G654" i="21"/>
  <c r="H654" i="21"/>
  <c r="I654" i="21"/>
  <c r="E655" i="21"/>
  <c r="F655" i="21"/>
  <c r="G655" i="21"/>
  <c r="H655" i="21"/>
  <c r="I655" i="21"/>
  <c r="E656" i="21"/>
  <c r="F656" i="21"/>
  <c r="G656" i="21"/>
  <c r="H656" i="21"/>
  <c r="I656" i="21"/>
  <c r="E657" i="21"/>
  <c r="F657" i="21"/>
  <c r="G657" i="21"/>
  <c r="H657" i="21"/>
  <c r="I657" i="21"/>
  <c r="E658" i="21"/>
  <c r="F658" i="21"/>
  <c r="G658" i="21"/>
  <c r="H658" i="21"/>
  <c r="I658" i="21"/>
  <c r="E659" i="21"/>
  <c r="F659" i="21"/>
  <c r="G659" i="21"/>
  <c r="H659" i="21"/>
  <c r="I659" i="21"/>
  <c r="E660" i="21"/>
  <c r="F660" i="21"/>
  <c r="G660" i="21"/>
  <c r="H660" i="21"/>
  <c r="I660" i="21"/>
  <c r="E661" i="21"/>
  <c r="F661" i="21"/>
  <c r="G661" i="21"/>
  <c r="H661" i="21"/>
  <c r="I661" i="21"/>
  <c r="E662" i="21"/>
  <c r="F662" i="21"/>
  <c r="G662" i="21"/>
  <c r="H662" i="21"/>
  <c r="I662" i="21"/>
  <c r="E663" i="21"/>
  <c r="F663" i="21"/>
  <c r="G663" i="21"/>
  <c r="H663" i="21"/>
  <c r="I663" i="21"/>
  <c r="E664" i="21"/>
  <c r="F664" i="21"/>
  <c r="G664" i="21"/>
  <c r="H664" i="21"/>
  <c r="I664" i="21"/>
  <c r="E665" i="21"/>
  <c r="F665" i="21"/>
  <c r="G665" i="21"/>
  <c r="H665" i="21"/>
  <c r="I665" i="21"/>
  <c r="E666" i="21"/>
  <c r="F666" i="21"/>
  <c r="G666" i="21"/>
  <c r="H666" i="21"/>
  <c r="I666" i="21"/>
  <c r="E667" i="21"/>
  <c r="F667" i="21"/>
  <c r="G667" i="21"/>
  <c r="H667" i="21"/>
  <c r="I667" i="21"/>
  <c r="E668" i="21"/>
  <c r="F668" i="21"/>
  <c r="G668" i="21"/>
  <c r="H668" i="21"/>
  <c r="I668" i="21"/>
  <c r="E669" i="21"/>
  <c r="F669" i="21"/>
  <c r="G669" i="21"/>
  <c r="H669" i="21"/>
  <c r="I669" i="21"/>
  <c r="E670" i="21"/>
  <c r="F670" i="21"/>
  <c r="G670" i="21"/>
  <c r="H670" i="21"/>
  <c r="I670" i="21"/>
  <c r="E671" i="21"/>
  <c r="F671" i="21"/>
  <c r="G671" i="21"/>
  <c r="H671" i="21"/>
  <c r="I671" i="21"/>
  <c r="F716" i="21"/>
  <c r="G716" i="21"/>
  <c r="H716" i="21"/>
  <c r="I716" i="21"/>
  <c r="C18" i="23"/>
  <c r="D18" i="23"/>
  <c r="E18" i="23"/>
  <c r="F18" i="23"/>
  <c r="G18" i="23"/>
  <c r="I18" i="23"/>
  <c r="N18" i="23"/>
  <c r="O18" i="23"/>
  <c r="C16" i="23"/>
  <c r="D16" i="23"/>
  <c r="E16" i="23"/>
  <c r="G16" i="23"/>
  <c r="I16" i="23"/>
  <c r="N16" i="23"/>
  <c r="O16" i="23"/>
  <c r="F82" i="22"/>
  <c r="G82" i="22"/>
  <c r="H82" i="22"/>
  <c r="I82" i="22"/>
  <c r="J82" i="22"/>
  <c r="F81" i="22"/>
  <c r="G81" i="22"/>
  <c r="H81" i="22"/>
  <c r="I81" i="22"/>
  <c r="J81" i="22"/>
  <c r="E50" i="21"/>
  <c r="F50" i="21"/>
  <c r="G50" i="21"/>
  <c r="H50" i="21"/>
  <c r="I50" i="21"/>
  <c r="E51" i="21"/>
  <c r="F51" i="21"/>
  <c r="G51" i="21"/>
  <c r="H51" i="21"/>
  <c r="I51" i="21"/>
  <c r="E52" i="21"/>
  <c r="F52" i="21"/>
  <c r="G52" i="21"/>
  <c r="H52" i="21"/>
  <c r="I52" i="21"/>
  <c r="E53" i="21"/>
  <c r="F53" i="21"/>
  <c r="G53" i="21"/>
  <c r="H53" i="21"/>
  <c r="I53" i="21"/>
  <c r="E54" i="21"/>
  <c r="F54" i="21"/>
  <c r="G54" i="21"/>
  <c r="H54" i="21"/>
  <c r="I54" i="21"/>
  <c r="E55" i="21"/>
  <c r="F55" i="21"/>
  <c r="G55" i="21"/>
  <c r="H55" i="21"/>
  <c r="I55" i="21"/>
  <c r="E56" i="21"/>
  <c r="F56" i="21"/>
  <c r="G56" i="21"/>
  <c r="H56" i="21"/>
  <c r="I56" i="21"/>
  <c r="E57" i="21"/>
  <c r="F57" i="21"/>
  <c r="G57" i="21"/>
  <c r="H57" i="21"/>
  <c r="I57" i="21"/>
  <c r="E58" i="21"/>
  <c r="F58" i="21"/>
  <c r="G58" i="21"/>
  <c r="H58" i="21"/>
  <c r="I58" i="21"/>
  <c r="F80" i="22"/>
  <c r="G80" i="22"/>
  <c r="H80" i="22"/>
  <c r="I80" i="22"/>
  <c r="J80" i="22"/>
  <c r="K45" i="23" l="1"/>
  <c r="K46" i="23"/>
  <c r="H18" i="23"/>
  <c r="G159" i="17" l="1"/>
  <c r="H159" i="17"/>
  <c r="I159" i="17"/>
  <c r="J159" i="17"/>
  <c r="F191" i="22"/>
  <c r="G191" i="22"/>
  <c r="H191" i="22"/>
  <c r="I191" i="22"/>
  <c r="J191" i="22"/>
  <c r="F192" i="22"/>
  <c r="G192" i="22"/>
  <c r="H192" i="22"/>
  <c r="I192" i="22"/>
  <c r="J192" i="22"/>
  <c r="F193" i="22"/>
  <c r="G193" i="22"/>
  <c r="H193" i="22"/>
  <c r="I193" i="22"/>
  <c r="J193" i="22"/>
  <c r="F194" i="22"/>
  <c r="G194" i="22"/>
  <c r="H194" i="22"/>
  <c r="I194" i="22"/>
  <c r="J194" i="22"/>
  <c r="F195" i="22"/>
  <c r="G195" i="22"/>
  <c r="H195" i="22"/>
  <c r="I195" i="22"/>
  <c r="J195" i="22"/>
  <c r="F196" i="22"/>
  <c r="G196" i="22"/>
  <c r="H196" i="22"/>
  <c r="I196" i="22"/>
  <c r="J196" i="22"/>
  <c r="F197" i="22"/>
  <c r="G197" i="22"/>
  <c r="H197" i="22"/>
  <c r="I197" i="22"/>
  <c r="J197" i="22"/>
  <c r="F198" i="22"/>
  <c r="G198" i="22"/>
  <c r="H198" i="22"/>
  <c r="I198" i="22"/>
  <c r="J198" i="22"/>
  <c r="F199" i="22"/>
  <c r="G199" i="22"/>
  <c r="H199" i="22"/>
  <c r="I199" i="22"/>
  <c r="J199" i="22"/>
  <c r="F200" i="22"/>
  <c r="G200" i="22"/>
  <c r="H200" i="22"/>
  <c r="I200" i="22"/>
  <c r="J200" i="22"/>
  <c r="F201" i="22"/>
  <c r="G201" i="22"/>
  <c r="H201" i="22"/>
  <c r="I201" i="22"/>
  <c r="J201" i="22"/>
  <c r="F202" i="22"/>
  <c r="G202" i="22"/>
  <c r="H202" i="22"/>
  <c r="I202" i="22"/>
  <c r="J202" i="22"/>
  <c r="F203" i="22"/>
  <c r="G203" i="22"/>
  <c r="H203" i="22"/>
  <c r="I203" i="22"/>
  <c r="J203" i="22"/>
  <c r="F204" i="22"/>
  <c r="G204" i="22"/>
  <c r="H204" i="22"/>
  <c r="I204" i="22"/>
  <c r="J204" i="22"/>
  <c r="F205" i="22"/>
  <c r="G205" i="22"/>
  <c r="H205" i="22"/>
  <c r="I205" i="22"/>
  <c r="J205" i="22"/>
  <c r="F206" i="22"/>
  <c r="G206" i="22"/>
  <c r="H206" i="22"/>
  <c r="I206" i="22"/>
  <c r="J206" i="22"/>
  <c r="F207" i="22"/>
  <c r="G207" i="22"/>
  <c r="H207" i="22"/>
  <c r="I207" i="22"/>
  <c r="J207" i="22"/>
  <c r="F208" i="22"/>
  <c r="G208" i="22"/>
  <c r="H208" i="22"/>
  <c r="I208" i="22"/>
  <c r="J208" i="22"/>
  <c r="F209" i="22"/>
  <c r="G209" i="22"/>
  <c r="H209" i="22"/>
  <c r="I209" i="22"/>
  <c r="J209" i="22"/>
  <c r="F210" i="22"/>
  <c r="G210" i="22"/>
  <c r="H210" i="22"/>
  <c r="I210" i="22"/>
  <c r="J210" i="22"/>
  <c r="F211" i="22"/>
  <c r="G211" i="22"/>
  <c r="H211" i="22"/>
  <c r="I211" i="22"/>
  <c r="J211" i="22"/>
  <c r="F212" i="22"/>
  <c r="G212" i="22"/>
  <c r="H212" i="22"/>
  <c r="I212" i="22"/>
  <c r="J212" i="22"/>
  <c r="F213" i="22"/>
  <c r="G213" i="22"/>
  <c r="H213" i="22"/>
  <c r="I213" i="22"/>
  <c r="J213" i="22"/>
  <c r="F214" i="22"/>
  <c r="G214" i="22"/>
  <c r="H214" i="22"/>
  <c r="I214" i="22"/>
  <c r="J214" i="22"/>
  <c r="F215" i="22"/>
  <c r="G215" i="22"/>
  <c r="H215" i="22"/>
  <c r="I215" i="22"/>
  <c r="J215" i="22"/>
  <c r="F216" i="22"/>
  <c r="G216" i="22"/>
  <c r="H216" i="22"/>
  <c r="I216" i="22"/>
  <c r="J216" i="22"/>
  <c r="F217" i="22"/>
  <c r="G217" i="22"/>
  <c r="H217" i="22"/>
  <c r="I217" i="22"/>
  <c r="J217" i="22"/>
  <c r="E605" i="21"/>
  <c r="F605" i="21"/>
  <c r="G605" i="21"/>
  <c r="H605" i="21"/>
  <c r="I605" i="21"/>
  <c r="E606" i="21"/>
  <c r="F606" i="21"/>
  <c r="G606" i="21"/>
  <c r="H606" i="21"/>
  <c r="I606" i="21"/>
  <c r="E607" i="21"/>
  <c r="F607" i="21"/>
  <c r="G607" i="21"/>
  <c r="H607" i="21"/>
  <c r="I607" i="21"/>
  <c r="E608" i="21"/>
  <c r="F608" i="21"/>
  <c r="G608" i="21"/>
  <c r="H608" i="21"/>
  <c r="I608" i="21"/>
  <c r="E609" i="21"/>
  <c r="F609" i="21"/>
  <c r="G609" i="21"/>
  <c r="H609" i="21"/>
  <c r="I609" i="21"/>
  <c r="E610" i="21"/>
  <c r="F610" i="21"/>
  <c r="G610" i="21"/>
  <c r="H610" i="21"/>
  <c r="I610" i="21"/>
  <c r="E611" i="21"/>
  <c r="F611" i="21"/>
  <c r="G611" i="21"/>
  <c r="H611" i="21"/>
  <c r="I611" i="21"/>
  <c r="E612" i="21"/>
  <c r="F612" i="21"/>
  <c r="G612" i="21"/>
  <c r="H612" i="21"/>
  <c r="I612" i="21"/>
  <c r="E613" i="21"/>
  <c r="F613" i="21"/>
  <c r="G613" i="21"/>
  <c r="H613" i="21"/>
  <c r="I613" i="21"/>
  <c r="E614" i="21"/>
  <c r="F614" i="21"/>
  <c r="G614" i="21"/>
  <c r="H614" i="21"/>
  <c r="I614" i="21"/>
  <c r="E616" i="21"/>
  <c r="F616" i="21"/>
  <c r="G616" i="21"/>
  <c r="H616" i="21"/>
  <c r="I616" i="21"/>
  <c r="E617" i="21"/>
  <c r="F617" i="21"/>
  <c r="G617" i="21"/>
  <c r="H617" i="21"/>
  <c r="I617" i="21"/>
  <c r="E618" i="21"/>
  <c r="F618" i="21"/>
  <c r="G618" i="21"/>
  <c r="H618" i="21"/>
  <c r="I618" i="21"/>
  <c r="E619" i="21"/>
  <c r="F619" i="21"/>
  <c r="G619" i="21"/>
  <c r="H619" i="21"/>
  <c r="I619" i="21"/>
  <c r="E620" i="21"/>
  <c r="F620" i="21"/>
  <c r="G620" i="21"/>
  <c r="H620" i="21"/>
  <c r="I620" i="21"/>
  <c r="E621" i="21"/>
  <c r="F621" i="21"/>
  <c r="G621" i="21"/>
  <c r="H621" i="21"/>
  <c r="I621" i="21"/>
  <c r="E622" i="21"/>
  <c r="F622" i="21"/>
  <c r="G622" i="21"/>
  <c r="H622" i="21"/>
  <c r="I622" i="21"/>
  <c r="E623" i="21"/>
  <c r="F623" i="21"/>
  <c r="G623" i="21"/>
  <c r="H623" i="21"/>
  <c r="I623" i="21"/>
  <c r="E624" i="21"/>
  <c r="F624" i="21"/>
  <c r="G624" i="21"/>
  <c r="H624" i="21"/>
  <c r="I624" i="21"/>
  <c r="E625" i="21"/>
  <c r="F625" i="21"/>
  <c r="G625" i="21"/>
  <c r="H625" i="21"/>
  <c r="I625" i="21"/>
  <c r="E626" i="21"/>
  <c r="F626" i="21"/>
  <c r="G626" i="21"/>
  <c r="H626" i="21"/>
  <c r="I626" i="21"/>
  <c r="E627" i="21"/>
  <c r="F627" i="21"/>
  <c r="G627" i="21"/>
  <c r="H627" i="21"/>
  <c r="I627" i="21"/>
  <c r="E7" i="21"/>
  <c r="F7" i="21"/>
  <c r="G7" i="21"/>
  <c r="H7" i="21"/>
  <c r="I7" i="21"/>
  <c r="E8" i="21"/>
  <c r="F8" i="21"/>
  <c r="G8" i="21"/>
  <c r="H8" i="21"/>
  <c r="I8" i="21"/>
  <c r="E9" i="21"/>
  <c r="F9" i="21"/>
  <c r="G9" i="21"/>
  <c r="H9" i="21"/>
  <c r="I9" i="21"/>
  <c r="E10" i="21"/>
  <c r="F10" i="21"/>
  <c r="G10" i="21"/>
  <c r="H10" i="21"/>
  <c r="I10" i="21"/>
  <c r="E11" i="21"/>
  <c r="F11" i="21"/>
  <c r="G11" i="21"/>
  <c r="H11" i="21"/>
  <c r="I11" i="21"/>
  <c r="E12" i="21"/>
  <c r="F12" i="21"/>
  <c r="G12" i="21"/>
  <c r="H12" i="21"/>
  <c r="I12" i="21"/>
  <c r="E13" i="21"/>
  <c r="F13" i="21"/>
  <c r="G13" i="21"/>
  <c r="H13" i="21"/>
  <c r="I13" i="21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0" i="21"/>
  <c r="F20" i="21"/>
  <c r="G20" i="21"/>
  <c r="H20" i="21"/>
  <c r="I20" i="21"/>
  <c r="E21" i="21"/>
  <c r="F21" i="21"/>
  <c r="G21" i="21"/>
  <c r="H21" i="21"/>
  <c r="I21" i="21"/>
  <c r="E22" i="21"/>
  <c r="F22" i="21"/>
  <c r="G22" i="21"/>
  <c r="H22" i="21"/>
  <c r="I22" i="21"/>
  <c r="E23" i="21"/>
  <c r="F23" i="21"/>
  <c r="G23" i="21"/>
  <c r="H23" i="21"/>
  <c r="I23" i="21"/>
  <c r="E24" i="21"/>
  <c r="F24" i="21"/>
  <c r="G24" i="21"/>
  <c r="H24" i="21"/>
  <c r="I24" i="21"/>
  <c r="E25" i="21"/>
  <c r="F25" i="21"/>
  <c r="G25" i="21"/>
  <c r="H25" i="21"/>
  <c r="I25" i="21"/>
  <c r="E26" i="21"/>
  <c r="F26" i="21"/>
  <c r="G26" i="21"/>
  <c r="H26" i="21"/>
  <c r="I26" i="21"/>
  <c r="E27" i="21"/>
  <c r="F27" i="21"/>
  <c r="G27" i="21"/>
  <c r="H27" i="21"/>
  <c r="I27" i="21"/>
  <c r="E28" i="21"/>
  <c r="F28" i="21"/>
  <c r="G28" i="21"/>
  <c r="H28" i="21"/>
  <c r="I28" i="21"/>
  <c r="E29" i="21"/>
  <c r="F29" i="21"/>
  <c r="G29" i="21"/>
  <c r="H29" i="21"/>
  <c r="I29" i="21"/>
  <c r="E30" i="21"/>
  <c r="F30" i="21"/>
  <c r="G30" i="21"/>
  <c r="H30" i="21"/>
  <c r="I30" i="21"/>
  <c r="E31" i="21"/>
  <c r="F31" i="21"/>
  <c r="G31" i="21"/>
  <c r="H31" i="21"/>
  <c r="I31" i="21"/>
  <c r="E32" i="21"/>
  <c r="F32" i="21"/>
  <c r="G32" i="21"/>
  <c r="H32" i="21"/>
  <c r="I32" i="21"/>
  <c r="E33" i="21"/>
  <c r="F33" i="21"/>
  <c r="G33" i="21"/>
  <c r="H33" i="21"/>
  <c r="I33" i="21"/>
  <c r="E34" i="21"/>
  <c r="F34" i="21"/>
  <c r="G34" i="21"/>
  <c r="H34" i="21"/>
  <c r="I34" i="21"/>
  <c r="E35" i="21"/>
  <c r="F35" i="21"/>
  <c r="G35" i="21"/>
  <c r="H35" i="21"/>
  <c r="I35" i="21"/>
  <c r="E36" i="21"/>
  <c r="F36" i="21"/>
  <c r="G36" i="21"/>
  <c r="H36" i="21"/>
  <c r="I36" i="21"/>
  <c r="E37" i="21"/>
  <c r="F37" i="21"/>
  <c r="G37" i="21"/>
  <c r="H37" i="21"/>
  <c r="I37" i="21"/>
  <c r="E38" i="21"/>
  <c r="F38" i="21"/>
  <c r="G38" i="21"/>
  <c r="H38" i="21"/>
  <c r="I38" i="21"/>
  <c r="E39" i="21"/>
  <c r="F39" i="21"/>
  <c r="G39" i="21"/>
  <c r="H39" i="21"/>
  <c r="I39" i="21"/>
  <c r="E40" i="21"/>
  <c r="F40" i="21"/>
  <c r="G40" i="21"/>
  <c r="H40" i="21"/>
  <c r="I40" i="21"/>
  <c r="E41" i="21"/>
  <c r="F41" i="21"/>
  <c r="G41" i="21"/>
  <c r="H41" i="21"/>
  <c r="I41" i="21"/>
  <c r="E42" i="21"/>
  <c r="F42" i="21"/>
  <c r="G42" i="21"/>
  <c r="H42" i="21"/>
  <c r="I42" i="21"/>
  <c r="E43" i="21"/>
  <c r="F43" i="21"/>
  <c r="G43" i="21"/>
  <c r="H43" i="21"/>
  <c r="I43" i="21"/>
  <c r="E44" i="21"/>
  <c r="F44" i="21"/>
  <c r="G44" i="21"/>
  <c r="H44" i="21"/>
  <c r="I44" i="21"/>
  <c r="E45" i="21"/>
  <c r="F45" i="21"/>
  <c r="G45" i="21"/>
  <c r="H45" i="21"/>
  <c r="I45" i="21"/>
  <c r="E46" i="21"/>
  <c r="F46" i="21"/>
  <c r="G46" i="21"/>
  <c r="H46" i="21"/>
  <c r="I46" i="21"/>
  <c r="E47" i="21"/>
  <c r="F47" i="21"/>
  <c r="G47" i="21"/>
  <c r="H47" i="21"/>
  <c r="I47" i="21"/>
  <c r="E48" i="21"/>
  <c r="F48" i="21"/>
  <c r="G48" i="21"/>
  <c r="H48" i="21"/>
  <c r="I48" i="21"/>
  <c r="E49" i="21"/>
  <c r="F49" i="21"/>
  <c r="G49" i="21"/>
  <c r="H49" i="21"/>
  <c r="I49" i="21"/>
  <c r="E59" i="21"/>
  <c r="F59" i="21"/>
  <c r="G59" i="21"/>
  <c r="H59" i="21"/>
  <c r="I59" i="21"/>
  <c r="E60" i="21"/>
  <c r="F60" i="21"/>
  <c r="G60" i="21"/>
  <c r="H60" i="21"/>
  <c r="I60" i="21"/>
  <c r="E61" i="21"/>
  <c r="F61" i="21"/>
  <c r="G61" i="21"/>
  <c r="H61" i="21"/>
  <c r="I61" i="21"/>
  <c r="E62" i="21"/>
  <c r="F62" i="21"/>
  <c r="G62" i="21"/>
  <c r="H62" i="21"/>
  <c r="I62" i="21"/>
  <c r="E63" i="21"/>
  <c r="F63" i="21"/>
  <c r="G63" i="21"/>
  <c r="H63" i="21"/>
  <c r="I63" i="21"/>
  <c r="E64" i="21"/>
  <c r="F64" i="21"/>
  <c r="G64" i="21"/>
  <c r="H64" i="21"/>
  <c r="I64" i="21"/>
  <c r="E65" i="21"/>
  <c r="F65" i="21"/>
  <c r="G65" i="21"/>
  <c r="H65" i="21"/>
  <c r="I65" i="21"/>
  <c r="E66" i="21"/>
  <c r="F66" i="21"/>
  <c r="G66" i="21"/>
  <c r="H66" i="21"/>
  <c r="I66" i="21"/>
  <c r="E67" i="21"/>
  <c r="F67" i="21"/>
  <c r="G67" i="21"/>
  <c r="H67" i="21"/>
  <c r="I67" i="21"/>
  <c r="E68" i="21"/>
  <c r="F68" i="21"/>
  <c r="G68" i="21"/>
  <c r="H68" i="21"/>
  <c r="I68" i="21"/>
  <c r="E69" i="21"/>
  <c r="F69" i="21"/>
  <c r="G69" i="21"/>
  <c r="H69" i="21"/>
  <c r="I69" i="21"/>
  <c r="E70" i="21"/>
  <c r="F70" i="21"/>
  <c r="G70" i="21"/>
  <c r="H70" i="21"/>
  <c r="I70" i="21"/>
  <c r="E71" i="21"/>
  <c r="F71" i="21"/>
  <c r="G71" i="21"/>
  <c r="H71" i="21"/>
  <c r="I71" i="21"/>
  <c r="E72" i="21"/>
  <c r="F72" i="21"/>
  <c r="G72" i="21"/>
  <c r="H72" i="21"/>
  <c r="I72" i="21"/>
  <c r="E73" i="21"/>
  <c r="F73" i="21"/>
  <c r="G73" i="21"/>
  <c r="H73" i="21"/>
  <c r="I73" i="21"/>
  <c r="E74" i="21"/>
  <c r="F74" i="21"/>
  <c r="G74" i="21"/>
  <c r="H74" i="21"/>
  <c r="I74" i="21"/>
  <c r="E75" i="21"/>
  <c r="F75" i="21"/>
  <c r="G75" i="21"/>
  <c r="H75" i="21"/>
  <c r="I75" i="21"/>
  <c r="E76" i="21"/>
  <c r="F76" i="21"/>
  <c r="G76" i="21"/>
  <c r="H76" i="21"/>
  <c r="I76" i="21"/>
  <c r="E77" i="21"/>
  <c r="F77" i="21"/>
  <c r="G77" i="21"/>
  <c r="H77" i="21"/>
  <c r="I77" i="21"/>
  <c r="E78" i="21"/>
  <c r="F78" i="21"/>
  <c r="G78" i="21"/>
  <c r="H78" i="21"/>
  <c r="I78" i="21"/>
  <c r="E79" i="21"/>
  <c r="F79" i="21"/>
  <c r="G79" i="21"/>
  <c r="H79" i="21"/>
  <c r="I79" i="21"/>
  <c r="E80" i="21"/>
  <c r="F80" i="21"/>
  <c r="G80" i="21"/>
  <c r="H80" i="21"/>
  <c r="I80" i="21"/>
  <c r="E81" i="21"/>
  <c r="F81" i="21"/>
  <c r="G81" i="21"/>
  <c r="H81" i="21"/>
  <c r="I81" i="21"/>
  <c r="E82" i="21"/>
  <c r="F82" i="21"/>
  <c r="G82" i="21"/>
  <c r="H82" i="21"/>
  <c r="I82" i="21"/>
  <c r="E83" i="21"/>
  <c r="F83" i="21"/>
  <c r="G83" i="21"/>
  <c r="H83" i="21"/>
  <c r="I83" i="21"/>
  <c r="E84" i="21"/>
  <c r="F84" i="21"/>
  <c r="G84" i="21"/>
  <c r="H84" i="21"/>
  <c r="I84" i="21"/>
  <c r="E85" i="21"/>
  <c r="F85" i="21"/>
  <c r="G85" i="21"/>
  <c r="H85" i="21"/>
  <c r="I85" i="21"/>
  <c r="E86" i="21"/>
  <c r="F86" i="21"/>
  <c r="G86" i="21"/>
  <c r="H86" i="21"/>
  <c r="I86" i="21"/>
  <c r="E87" i="21"/>
  <c r="F87" i="21"/>
  <c r="G87" i="21"/>
  <c r="H87" i="21"/>
  <c r="I87" i="21"/>
  <c r="E88" i="21"/>
  <c r="F88" i="21"/>
  <c r="G88" i="21"/>
  <c r="H88" i="21"/>
  <c r="I88" i="21"/>
  <c r="E89" i="21"/>
  <c r="F89" i="21"/>
  <c r="G89" i="21"/>
  <c r="H89" i="21"/>
  <c r="I89" i="21"/>
  <c r="E90" i="21"/>
  <c r="F90" i="21"/>
  <c r="G90" i="21"/>
  <c r="H90" i="21"/>
  <c r="I90" i="21"/>
  <c r="E91" i="21"/>
  <c r="F91" i="21"/>
  <c r="G91" i="21"/>
  <c r="H91" i="21"/>
  <c r="I91" i="21"/>
  <c r="E92" i="21"/>
  <c r="F92" i="21"/>
  <c r="G92" i="21"/>
  <c r="H92" i="21"/>
  <c r="I92" i="21"/>
  <c r="E93" i="21"/>
  <c r="F93" i="21"/>
  <c r="G93" i="21"/>
  <c r="H93" i="21"/>
  <c r="I93" i="21"/>
  <c r="E94" i="21"/>
  <c r="F94" i="21"/>
  <c r="G94" i="21"/>
  <c r="H94" i="21"/>
  <c r="I94" i="21"/>
  <c r="E95" i="21"/>
  <c r="F95" i="21"/>
  <c r="G95" i="21"/>
  <c r="H95" i="21"/>
  <c r="I95" i="21"/>
  <c r="E96" i="21"/>
  <c r="F96" i="21"/>
  <c r="G96" i="21"/>
  <c r="H96" i="21"/>
  <c r="I96" i="21"/>
  <c r="E97" i="21"/>
  <c r="F97" i="21"/>
  <c r="G97" i="21"/>
  <c r="H97" i="21"/>
  <c r="I97" i="21"/>
  <c r="E98" i="21"/>
  <c r="F98" i="21"/>
  <c r="G98" i="21"/>
  <c r="H98" i="21"/>
  <c r="I98" i="21"/>
  <c r="E99" i="21"/>
  <c r="F99" i="21"/>
  <c r="G99" i="21"/>
  <c r="H99" i="21"/>
  <c r="I99" i="21"/>
  <c r="E100" i="21"/>
  <c r="F100" i="21"/>
  <c r="G100" i="21"/>
  <c r="H100" i="21"/>
  <c r="I100" i="21"/>
  <c r="E101" i="21"/>
  <c r="F101" i="21"/>
  <c r="G101" i="21"/>
  <c r="H101" i="21"/>
  <c r="I101" i="21"/>
  <c r="E102" i="21"/>
  <c r="F102" i="21"/>
  <c r="G102" i="21"/>
  <c r="H102" i="21"/>
  <c r="I102" i="21"/>
  <c r="E103" i="21"/>
  <c r="F103" i="21"/>
  <c r="G103" i="21"/>
  <c r="H103" i="21"/>
  <c r="I103" i="21"/>
  <c r="E104" i="21"/>
  <c r="F104" i="21"/>
  <c r="G104" i="21"/>
  <c r="H104" i="21"/>
  <c r="I104" i="21"/>
  <c r="E105" i="21"/>
  <c r="F105" i="21"/>
  <c r="G105" i="21"/>
  <c r="H105" i="21"/>
  <c r="I105" i="21"/>
  <c r="E106" i="21"/>
  <c r="F106" i="21"/>
  <c r="G106" i="21"/>
  <c r="H106" i="21"/>
  <c r="I106" i="21"/>
  <c r="E107" i="21"/>
  <c r="F107" i="21"/>
  <c r="G107" i="21"/>
  <c r="H107" i="21"/>
  <c r="I107" i="21"/>
  <c r="E108" i="21"/>
  <c r="F108" i="21"/>
  <c r="G108" i="21"/>
  <c r="H108" i="21"/>
  <c r="I108" i="21"/>
  <c r="E109" i="21"/>
  <c r="F109" i="21"/>
  <c r="G109" i="21"/>
  <c r="H109" i="21"/>
  <c r="I109" i="21"/>
  <c r="E110" i="21"/>
  <c r="F110" i="21"/>
  <c r="G110" i="21"/>
  <c r="H110" i="21"/>
  <c r="I110" i="21"/>
  <c r="E111" i="21"/>
  <c r="F111" i="21"/>
  <c r="G111" i="21"/>
  <c r="H111" i="21"/>
  <c r="I111" i="21"/>
  <c r="E112" i="21"/>
  <c r="F112" i="21"/>
  <c r="G112" i="21"/>
  <c r="H112" i="21"/>
  <c r="I112" i="21"/>
  <c r="E113" i="21"/>
  <c r="F113" i="21"/>
  <c r="G113" i="21"/>
  <c r="H113" i="21"/>
  <c r="I113" i="21"/>
  <c r="E114" i="21"/>
  <c r="F114" i="21"/>
  <c r="G114" i="21"/>
  <c r="H114" i="21"/>
  <c r="I114" i="21"/>
  <c r="E115" i="21"/>
  <c r="F115" i="21"/>
  <c r="G115" i="21"/>
  <c r="H115" i="21"/>
  <c r="I115" i="21"/>
  <c r="E116" i="21"/>
  <c r="F116" i="21"/>
  <c r="G116" i="21"/>
  <c r="H116" i="21"/>
  <c r="I116" i="21"/>
  <c r="E117" i="21"/>
  <c r="F117" i="21"/>
  <c r="G117" i="21"/>
  <c r="H117" i="21"/>
  <c r="I117" i="21"/>
  <c r="E118" i="21"/>
  <c r="F118" i="21"/>
  <c r="G118" i="21"/>
  <c r="H118" i="21"/>
  <c r="I118" i="21"/>
  <c r="E119" i="21"/>
  <c r="F119" i="21"/>
  <c r="G119" i="21"/>
  <c r="H119" i="21"/>
  <c r="I119" i="21"/>
  <c r="E120" i="21"/>
  <c r="F120" i="21"/>
  <c r="G120" i="21"/>
  <c r="H120" i="21"/>
  <c r="I120" i="21"/>
  <c r="E121" i="21"/>
  <c r="F121" i="21"/>
  <c r="G121" i="21"/>
  <c r="H121" i="21"/>
  <c r="I121" i="21"/>
  <c r="E122" i="21"/>
  <c r="F122" i="21"/>
  <c r="G122" i="21"/>
  <c r="H122" i="21"/>
  <c r="I122" i="21"/>
  <c r="E123" i="21"/>
  <c r="F123" i="21"/>
  <c r="G123" i="21"/>
  <c r="H123" i="21"/>
  <c r="I123" i="21"/>
  <c r="E124" i="21"/>
  <c r="F124" i="21"/>
  <c r="G124" i="21"/>
  <c r="H124" i="21"/>
  <c r="I124" i="21"/>
  <c r="E125" i="21"/>
  <c r="F125" i="21"/>
  <c r="G125" i="21"/>
  <c r="H125" i="21"/>
  <c r="I125" i="21"/>
  <c r="E126" i="21"/>
  <c r="F126" i="21"/>
  <c r="G126" i="21"/>
  <c r="H126" i="21"/>
  <c r="I126" i="21"/>
  <c r="E127" i="21"/>
  <c r="F127" i="21"/>
  <c r="G127" i="21"/>
  <c r="H127" i="21"/>
  <c r="I127" i="21"/>
  <c r="E128" i="21"/>
  <c r="F128" i="21"/>
  <c r="G128" i="21"/>
  <c r="H128" i="21"/>
  <c r="I128" i="21"/>
  <c r="E129" i="21"/>
  <c r="F129" i="21"/>
  <c r="G129" i="21"/>
  <c r="H129" i="21"/>
  <c r="I129" i="21"/>
  <c r="E130" i="21"/>
  <c r="F130" i="21"/>
  <c r="G130" i="21"/>
  <c r="H130" i="21"/>
  <c r="I130" i="21"/>
  <c r="E131" i="21"/>
  <c r="F131" i="21"/>
  <c r="G131" i="21"/>
  <c r="H131" i="21"/>
  <c r="I131" i="21"/>
  <c r="E132" i="21"/>
  <c r="F132" i="21"/>
  <c r="G132" i="21"/>
  <c r="H132" i="21"/>
  <c r="I132" i="21"/>
  <c r="E133" i="21"/>
  <c r="F133" i="21"/>
  <c r="G133" i="21"/>
  <c r="H133" i="21"/>
  <c r="I133" i="21"/>
  <c r="E134" i="21"/>
  <c r="F134" i="21"/>
  <c r="G134" i="21"/>
  <c r="H134" i="21"/>
  <c r="I134" i="21"/>
  <c r="E135" i="21"/>
  <c r="F135" i="21"/>
  <c r="G135" i="21"/>
  <c r="H135" i="21"/>
  <c r="I135" i="21"/>
  <c r="E136" i="21"/>
  <c r="F136" i="21"/>
  <c r="G136" i="21"/>
  <c r="H136" i="21"/>
  <c r="I136" i="21"/>
  <c r="E137" i="21"/>
  <c r="F137" i="21"/>
  <c r="G137" i="21"/>
  <c r="H137" i="21"/>
  <c r="I137" i="21"/>
  <c r="E138" i="21"/>
  <c r="F138" i="21"/>
  <c r="G138" i="21"/>
  <c r="H138" i="21"/>
  <c r="I138" i="21"/>
  <c r="E139" i="21"/>
  <c r="F139" i="21"/>
  <c r="G139" i="21"/>
  <c r="H139" i="21"/>
  <c r="I139" i="21"/>
  <c r="E140" i="21"/>
  <c r="F140" i="21"/>
  <c r="G140" i="21"/>
  <c r="H140" i="21"/>
  <c r="I140" i="21"/>
  <c r="E141" i="21"/>
  <c r="F141" i="21"/>
  <c r="G141" i="21"/>
  <c r="H141" i="21"/>
  <c r="I141" i="21"/>
  <c r="E142" i="21"/>
  <c r="F142" i="21"/>
  <c r="G142" i="21"/>
  <c r="H142" i="21"/>
  <c r="I142" i="21"/>
  <c r="E143" i="21"/>
  <c r="F143" i="21"/>
  <c r="G143" i="21"/>
  <c r="H143" i="21"/>
  <c r="I143" i="21"/>
  <c r="E144" i="21"/>
  <c r="F144" i="21"/>
  <c r="G144" i="21"/>
  <c r="H144" i="21"/>
  <c r="I144" i="21"/>
  <c r="E145" i="21"/>
  <c r="F145" i="21"/>
  <c r="G145" i="21"/>
  <c r="H145" i="21"/>
  <c r="I145" i="21"/>
  <c r="E146" i="21"/>
  <c r="F146" i="21"/>
  <c r="G146" i="21"/>
  <c r="H146" i="21"/>
  <c r="I146" i="21"/>
  <c r="E147" i="21"/>
  <c r="F147" i="21"/>
  <c r="G147" i="21"/>
  <c r="H147" i="21"/>
  <c r="I147" i="21"/>
  <c r="E148" i="21"/>
  <c r="F148" i="21"/>
  <c r="G148" i="21"/>
  <c r="H148" i="21"/>
  <c r="I148" i="21"/>
  <c r="E149" i="21"/>
  <c r="F149" i="21"/>
  <c r="G149" i="21"/>
  <c r="H149" i="21"/>
  <c r="I149" i="21"/>
  <c r="E150" i="21"/>
  <c r="F150" i="21"/>
  <c r="G150" i="21"/>
  <c r="H150" i="21"/>
  <c r="I150" i="21"/>
  <c r="E151" i="21"/>
  <c r="F151" i="21"/>
  <c r="G151" i="21"/>
  <c r="H151" i="21"/>
  <c r="I151" i="21"/>
  <c r="E152" i="21"/>
  <c r="F152" i="21"/>
  <c r="G152" i="21"/>
  <c r="H152" i="21"/>
  <c r="I152" i="21"/>
  <c r="E153" i="21"/>
  <c r="F153" i="21"/>
  <c r="G153" i="21"/>
  <c r="H153" i="21"/>
  <c r="I153" i="21"/>
  <c r="E154" i="21"/>
  <c r="F154" i="21"/>
  <c r="G154" i="21"/>
  <c r="H154" i="21"/>
  <c r="I154" i="21"/>
  <c r="E155" i="21"/>
  <c r="F155" i="21"/>
  <c r="G155" i="21"/>
  <c r="H155" i="21"/>
  <c r="I155" i="21"/>
  <c r="E156" i="21"/>
  <c r="F156" i="21"/>
  <c r="G156" i="21"/>
  <c r="H156" i="21"/>
  <c r="I156" i="21"/>
  <c r="E157" i="21"/>
  <c r="F157" i="21"/>
  <c r="G157" i="21"/>
  <c r="H157" i="21"/>
  <c r="I157" i="21"/>
  <c r="E158" i="21"/>
  <c r="F158" i="21"/>
  <c r="G158" i="21"/>
  <c r="H158" i="21"/>
  <c r="I158" i="21"/>
  <c r="E159" i="21"/>
  <c r="F159" i="21"/>
  <c r="G159" i="21"/>
  <c r="H159" i="21"/>
  <c r="I159" i="21"/>
  <c r="E160" i="21"/>
  <c r="F160" i="21"/>
  <c r="G160" i="21"/>
  <c r="H160" i="21"/>
  <c r="I160" i="21"/>
  <c r="E161" i="21"/>
  <c r="F161" i="21"/>
  <c r="G161" i="21"/>
  <c r="H161" i="21"/>
  <c r="I161" i="21"/>
  <c r="E162" i="21"/>
  <c r="F162" i="21"/>
  <c r="G162" i="21"/>
  <c r="H162" i="21"/>
  <c r="I162" i="21"/>
  <c r="E163" i="21"/>
  <c r="F163" i="21"/>
  <c r="G163" i="21"/>
  <c r="H163" i="21"/>
  <c r="I163" i="21"/>
  <c r="E164" i="21"/>
  <c r="F164" i="21"/>
  <c r="G164" i="21"/>
  <c r="H164" i="21"/>
  <c r="I164" i="21"/>
  <c r="E165" i="21"/>
  <c r="F165" i="21"/>
  <c r="G165" i="21"/>
  <c r="H165" i="21"/>
  <c r="I165" i="21"/>
  <c r="E166" i="21"/>
  <c r="F166" i="21"/>
  <c r="G166" i="21"/>
  <c r="H166" i="21"/>
  <c r="I166" i="21"/>
  <c r="E167" i="21"/>
  <c r="F167" i="21"/>
  <c r="G167" i="21"/>
  <c r="H167" i="21"/>
  <c r="I167" i="21"/>
  <c r="E168" i="21"/>
  <c r="F168" i="21"/>
  <c r="G168" i="21"/>
  <c r="H168" i="21"/>
  <c r="I168" i="21"/>
  <c r="E169" i="21"/>
  <c r="F169" i="21"/>
  <c r="G169" i="21"/>
  <c r="H169" i="21"/>
  <c r="I169" i="21"/>
  <c r="E170" i="21"/>
  <c r="F170" i="21"/>
  <c r="G170" i="21"/>
  <c r="H170" i="21"/>
  <c r="I170" i="21"/>
  <c r="E171" i="21"/>
  <c r="F171" i="21"/>
  <c r="G171" i="21"/>
  <c r="H171" i="21"/>
  <c r="I171" i="21"/>
  <c r="E172" i="21"/>
  <c r="F172" i="21"/>
  <c r="G172" i="21"/>
  <c r="H172" i="21"/>
  <c r="I172" i="21"/>
  <c r="E173" i="21"/>
  <c r="F173" i="21"/>
  <c r="G173" i="21"/>
  <c r="H173" i="21"/>
  <c r="I173" i="21"/>
  <c r="E174" i="21"/>
  <c r="F174" i="21"/>
  <c r="G174" i="21"/>
  <c r="H174" i="21"/>
  <c r="I174" i="21"/>
  <c r="E175" i="21"/>
  <c r="F175" i="21"/>
  <c r="G175" i="21"/>
  <c r="H175" i="21"/>
  <c r="I175" i="21"/>
  <c r="E176" i="21"/>
  <c r="F176" i="21"/>
  <c r="G176" i="21"/>
  <c r="H176" i="21"/>
  <c r="I176" i="21"/>
  <c r="E177" i="21"/>
  <c r="F177" i="21"/>
  <c r="G177" i="21"/>
  <c r="H177" i="21"/>
  <c r="I177" i="21"/>
  <c r="E178" i="21"/>
  <c r="F178" i="21"/>
  <c r="G178" i="21"/>
  <c r="H178" i="21"/>
  <c r="I178" i="21"/>
  <c r="E179" i="21"/>
  <c r="F179" i="21"/>
  <c r="G179" i="21"/>
  <c r="H179" i="21"/>
  <c r="I179" i="21"/>
  <c r="E180" i="21"/>
  <c r="F180" i="21"/>
  <c r="G180" i="21"/>
  <c r="H180" i="21"/>
  <c r="I180" i="21"/>
  <c r="E181" i="21"/>
  <c r="F181" i="21"/>
  <c r="G181" i="21"/>
  <c r="H181" i="21"/>
  <c r="I181" i="21"/>
  <c r="E182" i="21"/>
  <c r="F182" i="21"/>
  <c r="G182" i="21"/>
  <c r="H182" i="21"/>
  <c r="I182" i="21"/>
  <c r="E183" i="21"/>
  <c r="F183" i="21"/>
  <c r="G183" i="21"/>
  <c r="H183" i="21"/>
  <c r="I183" i="21"/>
  <c r="E184" i="21"/>
  <c r="F184" i="21"/>
  <c r="G184" i="21"/>
  <c r="H184" i="21"/>
  <c r="I184" i="21"/>
  <c r="E185" i="21"/>
  <c r="F185" i="21"/>
  <c r="G185" i="21"/>
  <c r="H185" i="21"/>
  <c r="I185" i="21"/>
  <c r="E186" i="21"/>
  <c r="F186" i="21"/>
  <c r="G186" i="21"/>
  <c r="H186" i="21"/>
  <c r="I186" i="21"/>
  <c r="E187" i="21"/>
  <c r="F187" i="21"/>
  <c r="G187" i="21"/>
  <c r="H187" i="21"/>
  <c r="I187" i="21"/>
  <c r="E188" i="21"/>
  <c r="F188" i="21"/>
  <c r="G188" i="21"/>
  <c r="H188" i="21"/>
  <c r="I188" i="21"/>
  <c r="E189" i="21"/>
  <c r="F189" i="21"/>
  <c r="G189" i="21"/>
  <c r="H189" i="21"/>
  <c r="I189" i="21"/>
  <c r="E190" i="21"/>
  <c r="F190" i="21"/>
  <c r="G190" i="21"/>
  <c r="H190" i="21"/>
  <c r="I190" i="21"/>
  <c r="E191" i="21"/>
  <c r="F191" i="21"/>
  <c r="G191" i="21"/>
  <c r="H191" i="21"/>
  <c r="I191" i="21"/>
  <c r="E192" i="21"/>
  <c r="F192" i="21"/>
  <c r="G192" i="21"/>
  <c r="H192" i="21"/>
  <c r="I192" i="21"/>
  <c r="E193" i="21"/>
  <c r="F193" i="21"/>
  <c r="G193" i="21"/>
  <c r="H193" i="21"/>
  <c r="I193" i="21"/>
  <c r="E194" i="21"/>
  <c r="F194" i="21"/>
  <c r="G194" i="21"/>
  <c r="H194" i="21"/>
  <c r="I194" i="21"/>
  <c r="E195" i="21"/>
  <c r="F195" i="21"/>
  <c r="G195" i="21"/>
  <c r="H195" i="21"/>
  <c r="I195" i="21"/>
  <c r="E196" i="21"/>
  <c r="F196" i="21"/>
  <c r="G196" i="21"/>
  <c r="H196" i="21"/>
  <c r="I196" i="21"/>
  <c r="E197" i="21"/>
  <c r="F197" i="21"/>
  <c r="G197" i="21"/>
  <c r="H197" i="21"/>
  <c r="I197" i="21"/>
  <c r="E198" i="21"/>
  <c r="F198" i="21"/>
  <c r="G198" i="21"/>
  <c r="H198" i="21"/>
  <c r="I198" i="21"/>
  <c r="E199" i="21"/>
  <c r="F199" i="21"/>
  <c r="G199" i="21"/>
  <c r="H199" i="21"/>
  <c r="I199" i="21"/>
  <c r="E200" i="21"/>
  <c r="F200" i="21"/>
  <c r="G200" i="21"/>
  <c r="H200" i="21"/>
  <c r="I200" i="21"/>
  <c r="E201" i="21"/>
  <c r="F201" i="21"/>
  <c r="G201" i="21"/>
  <c r="H201" i="21"/>
  <c r="I201" i="21"/>
  <c r="E202" i="21"/>
  <c r="F202" i="21"/>
  <c r="G202" i="21"/>
  <c r="H202" i="21"/>
  <c r="I202" i="21"/>
  <c r="E203" i="21"/>
  <c r="F203" i="21"/>
  <c r="G203" i="21"/>
  <c r="H203" i="21"/>
  <c r="I203" i="21"/>
  <c r="E204" i="21"/>
  <c r="F204" i="21"/>
  <c r="G204" i="21"/>
  <c r="H204" i="21"/>
  <c r="I204" i="21"/>
  <c r="E205" i="21"/>
  <c r="F205" i="21"/>
  <c r="G205" i="21"/>
  <c r="H205" i="21"/>
  <c r="I205" i="21"/>
  <c r="E206" i="21"/>
  <c r="F206" i="21"/>
  <c r="G206" i="21"/>
  <c r="H206" i="21"/>
  <c r="I206" i="21"/>
  <c r="E207" i="21"/>
  <c r="F207" i="21"/>
  <c r="G207" i="21"/>
  <c r="H207" i="21"/>
  <c r="I207" i="21"/>
  <c r="E208" i="21"/>
  <c r="F208" i="21"/>
  <c r="G208" i="21"/>
  <c r="H208" i="21"/>
  <c r="I208" i="21"/>
  <c r="E209" i="21"/>
  <c r="F209" i="21"/>
  <c r="G209" i="21"/>
  <c r="H209" i="21"/>
  <c r="I209" i="21"/>
  <c r="E210" i="21"/>
  <c r="F210" i="21"/>
  <c r="G210" i="21"/>
  <c r="H210" i="21"/>
  <c r="I210" i="21"/>
  <c r="E211" i="21"/>
  <c r="F211" i="21"/>
  <c r="G211" i="21"/>
  <c r="H211" i="21"/>
  <c r="I211" i="21"/>
  <c r="E212" i="21"/>
  <c r="F212" i="21"/>
  <c r="G212" i="21"/>
  <c r="H212" i="21"/>
  <c r="I212" i="21"/>
  <c r="E213" i="21"/>
  <c r="F213" i="21"/>
  <c r="G213" i="21"/>
  <c r="H213" i="21"/>
  <c r="I213" i="21"/>
  <c r="E214" i="21"/>
  <c r="F214" i="21"/>
  <c r="G214" i="21"/>
  <c r="H214" i="21"/>
  <c r="I214" i="21"/>
  <c r="E215" i="21"/>
  <c r="F215" i="21"/>
  <c r="G215" i="21"/>
  <c r="H215" i="21"/>
  <c r="I215" i="21"/>
  <c r="E216" i="21"/>
  <c r="F216" i="21"/>
  <c r="G216" i="21"/>
  <c r="H216" i="21"/>
  <c r="I216" i="21"/>
  <c r="E217" i="21"/>
  <c r="F217" i="21"/>
  <c r="G217" i="21"/>
  <c r="H217" i="21"/>
  <c r="I217" i="21"/>
  <c r="E218" i="21"/>
  <c r="F218" i="21"/>
  <c r="G218" i="21"/>
  <c r="H218" i="21"/>
  <c r="I218" i="21"/>
  <c r="E219" i="21"/>
  <c r="F219" i="21"/>
  <c r="G219" i="21"/>
  <c r="H219" i="21"/>
  <c r="I219" i="21"/>
  <c r="E220" i="21"/>
  <c r="F220" i="21"/>
  <c r="G220" i="21"/>
  <c r="H220" i="21"/>
  <c r="I220" i="21"/>
  <c r="E221" i="21"/>
  <c r="F221" i="21"/>
  <c r="G221" i="21"/>
  <c r="H221" i="21"/>
  <c r="I221" i="21"/>
  <c r="E222" i="21"/>
  <c r="F222" i="21"/>
  <c r="G222" i="21"/>
  <c r="H222" i="21"/>
  <c r="I222" i="21"/>
  <c r="E223" i="21"/>
  <c r="F223" i="21"/>
  <c r="G223" i="21"/>
  <c r="H223" i="21"/>
  <c r="I223" i="21"/>
  <c r="E224" i="21"/>
  <c r="F224" i="21"/>
  <c r="G224" i="21"/>
  <c r="H224" i="21"/>
  <c r="I224" i="21"/>
  <c r="E225" i="21"/>
  <c r="F225" i="21"/>
  <c r="G225" i="21"/>
  <c r="H225" i="21"/>
  <c r="I225" i="21"/>
  <c r="E226" i="21"/>
  <c r="F226" i="21"/>
  <c r="G226" i="21"/>
  <c r="H226" i="21"/>
  <c r="I226" i="21"/>
  <c r="E227" i="21"/>
  <c r="F227" i="21"/>
  <c r="G227" i="21"/>
  <c r="H227" i="21"/>
  <c r="I227" i="21"/>
  <c r="E228" i="21"/>
  <c r="F228" i="21"/>
  <c r="G228" i="21"/>
  <c r="H228" i="21"/>
  <c r="I228" i="21"/>
  <c r="E229" i="21"/>
  <c r="F229" i="21"/>
  <c r="G229" i="21"/>
  <c r="H229" i="21"/>
  <c r="I229" i="21"/>
  <c r="E230" i="21"/>
  <c r="F230" i="21"/>
  <c r="G230" i="21"/>
  <c r="H230" i="21"/>
  <c r="I230" i="21"/>
  <c r="E231" i="21"/>
  <c r="F231" i="21"/>
  <c r="G231" i="21"/>
  <c r="H231" i="21"/>
  <c r="I231" i="21"/>
  <c r="E232" i="21"/>
  <c r="F232" i="21"/>
  <c r="G232" i="21"/>
  <c r="H232" i="21"/>
  <c r="I232" i="21"/>
  <c r="E233" i="21"/>
  <c r="F233" i="21"/>
  <c r="G233" i="21"/>
  <c r="H233" i="21"/>
  <c r="I233" i="21"/>
  <c r="E234" i="21"/>
  <c r="F234" i="21"/>
  <c r="G234" i="21"/>
  <c r="H234" i="21"/>
  <c r="I234" i="21"/>
  <c r="E235" i="21"/>
  <c r="F235" i="21"/>
  <c r="G235" i="21"/>
  <c r="H235" i="21"/>
  <c r="I235" i="21"/>
  <c r="E236" i="21"/>
  <c r="F236" i="21"/>
  <c r="G236" i="21"/>
  <c r="H236" i="21"/>
  <c r="I236" i="21"/>
  <c r="E237" i="21"/>
  <c r="F237" i="21"/>
  <c r="G237" i="21"/>
  <c r="H237" i="21"/>
  <c r="I237" i="21"/>
  <c r="E238" i="21"/>
  <c r="F238" i="21"/>
  <c r="G238" i="21"/>
  <c r="H238" i="21"/>
  <c r="I238" i="21"/>
  <c r="E239" i="21"/>
  <c r="F239" i="21"/>
  <c r="G239" i="21"/>
  <c r="H239" i="21"/>
  <c r="I239" i="21"/>
  <c r="E240" i="21"/>
  <c r="F240" i="21"/>
  <c r="G240" i="21"/>
  <c r="H240" i="21"/>
  <c r="I240" i="21"/>
  <c r="E241" i="21"/>
  <c r="F241" i="21"/>
  <c r="G241" i="21"/>
  <c r="H241" i="21"/>
  <c r="I241" i="21"/>
  <c r="E242" i="21"/>
  <c r="F242" i="21"/>
  <c r="G242" i="21"/>
  <c r="H242" i="21"/>
  <c r="I242" i="21"/>
  <c r="E243" i="21"/>
  <c r="F243" i="21"/>
  <c r="G243" i="21"/>
  <c r="H243" i="21"/>
  <c r="I243" i="21"/>
  <c r="E244" i="21"/>
  <c r="F244" i="21"/>
  <c r="G244" i="21"/>
  <c r="H244" i="21"/>
  <c r="I244" i="21"/>
  <c r="E245" i="21"/>
  <c r="F245" i="21"/>
  <c r="G245" i="21"/>
  <c r="H245" i="21"/>
  <c r="I245" i="21"/>
  <c r="E246" i="21"/>
  <c r="F246" i="21"/>
  <c r="G246" i="21"/>
  <c r="H246" i="21"/>
  <c r="I246" i="21"/>
  <c r="E247" i="21"/>
  <c r="F247" i="21"/>
  <c r="G247" i="21"/>
  <c r="H247" i="21"/>
  <c r="I247" i="21"/>
  <c r="E248" i="21"/>
  <c r="F248" i="21"/>
  <c r="G248" i="21"/>
  <c r="H248" i="21"/>
  <c r="I248" i="21"/>
  <c r="E249" i="21"/>
  <c r="F249" i="21"/>
  <c r="G249" i="21"/>
  <c r="H249" i="21"/>
  <c r="I249" i="21"/>
  <c r="E250" i="21"/>
  <c r="F250" i="21"/>
  <c r="G250" i="21"/>
  <c r="H250" i="21"/>
  <c r="I250" i="21"/>
  <c r="E251" i="21"/>
  <c r="F251" i="21"/>
  <c r="G251" i="21"/>
  <c r="H251" i="21"/>
  <c r="I251" i="21"/>
  <c r="E252" i="21"/>
  <c r="F252" i="21"/>
  <c r="G252" i="21"/>
  <c r="H252" i="21"/>
  <c r="I252" i="21"/>
  <c r="E253" i="21"/>
  <c r="F253" i="21"/>
  <c r="G253" i="21"/>
  <c r="H253" i="21"/>
  <c r="I253" i="21"/>
  <c r="E254" i="21"/>
  <c r="F254" i="21"/>
  <c r="G254" i="21"/>
  <c r="H254" i="21"/>
  <c r="I254" i="21"/>
  <c r="E255" i="21"/>
  <c r="F255" i="21"/>
  <c r="G255" i="21"/>
  <c r="H255" i="21"/>
  <c r="I255" i="21"/>
  <c r="E256" i="21"/>
  <c r="F256" i="21"/>
  <c r="G256" i="21"/>
  <c r="H256" i="21"/>
  <c r="I256" i="21"/>
  <c r="E257" i="21"/>
  <c r="F257" i="21"/>
  <c r="G257" i="21"/>
  <c r="H257" i="21"/>
  <c r="I257" i="21"/>
  <c r="E258" i="21"/>
  <c r="F258" i="21"/>
  <c r="G258" i="21"/>
  <c r="H258" i="21"/>
  <c r="I258" i="21"/>
  <c r="E259" i="21"/>
  <c r="F259" i="21"/>
  <c r="G259" i="21"/>
  <c r="H259" i="21"/>
  <c r="I259" i="21"/>
  <c r="E260" i="21"/>
  <c r="F260" i="21"/>
  <c r="G260" i="21"/>
  <c r="H260" i="21"/>
  <c r="I260" i="21"/>
  <c r="E261" i="21"/>
  <c r="F261" i="21"/>
  <c r="G261" i="21"/>
  <c r="H261" i="21"/>
  <c r="I261" i="21"/>
  <c r="E262" i="21"/>
  <c r="F262" i="21"/>
  <c r="G262" i="21"/>
  <c r="H262" i="21"/>
  <c r="I262" i="21"/>
  <c r="E263" i="21"/>
  <c r="F263" i="21"/>
  <c r="G263" i="21"/>
  <c r="H263" i="21"/>
  <c r="I263" i="21"/>
  <c r="E264" i="21"/>
  <c r="F264" i="21"/>
  <c r="G264" i="21"/>
  <c r="H264" i="21"/>
  <c r="I264" i="21"/>
  <c r="E265" i="21"/>
  <c r="F265" i="21"/>
  <c r="G265" i="21"/>
  <c r="H265" i="21"/>
  <c r="I265" i="21"/>
  <c r="E267" i="21"/>
  <c r="F267" i="21"/>
  <c r="G267" i="21"/>
  <c r="H267" i="21"/>
  <c r="I267" i="21"/>
  <c r="E268" i="21"/>
  <c r="F268" i="21"/>
  <c r="G268" i="21"/>
  <c r="H268" i="21"/>
  <c r="I268" i="21"/>
  <c r="E269" i="21"/>
  <c r="F269" i="21"/>
  <c r="G269" i="21"/>
  <c r="H269" i="21"/>
  <c r="I269" i="21"/>
  <c r="E270" i="21"/>
  <c r="F270" i="21"/>
  <c r="G270" i="21"/>
  <c r="H270" i="21"/>
  <c r="I270" i="21"/>
  <c r="E271" i="21"/>
  <c r="F271" i="21"/>
  <c r="G271" i="21"/>
  <c r="H271" i="21"/>
  <c r="I271" i="21"/>
  <c r="E272" i="21"/>
  <c r="F272" i="21"/>
  <c r="G272" i="21"/>
  <c r="H272" i="21"/>
  <c r="I272" i="21"/>
  <c r="E273" i="21"/>
  <c r="F273" i="21"/>
  <c r="G273" i="21"/>
  <c r="H273" i="21"/>
  <c r="I273" i="21"/>
  <c r="E274" i="21"/>
  <c r="F274" i="21"/>
  <c r="G274" i="21"/>
  <c r="H274" i="21"/>
  <c r="I274" i="21"/>
  <c r="E275" i="21"/>
  <c r="F275" i="21"/>
  <c r="G275" i="21"/>
  <c r="H275" i="21"/>
  <c r="I275" i="21"/>
  <c r="E276" i="21"/>
  <c r="F276" i="21"/>
  <c r="G276" i="21"/>
  <c r="H276" i="21"/>
  <c r="I276" i="21"/>
  <c r="E277" i="21"/>
  <c r="F277" i="21"/>
  <c r="G277" i="21"/>
  <c r="H277" i="21"/>
  <c r="I277" i="21"/>
  <c r="E278" i="21"/>
  <c r="F278" i="21"/>
  <c r="G278" i="21"/>
  <c r="H278" i="21"/>
  <c r="I278" i="21"/>
  <c r="E279" i="21"/>
  <c r="F279" i="21"/>
  <c r="G279" i="21"/>
  <c r="H279" i="21"/>
  <c r="I279" i="21"/>
  <c r="E280" i="21"/>
  <c r="F280" i="21"/>
  <c r="G280" i="21"/>
  <c r="H280" i="21"/>
  <c r="I280" i="21"/>
  <c r="E281" i="21"/>
  <c r="F281" i="21"/>
  <c r="G281" i="21"/>
  <c r="H281" i="21"/>
  <c r="I281" i="21"/>
  <c r="E282" i="21"/>
  <c r="F282" i="21"/>
  <c r="G282" i="21"/>
  <c r="H282" i="21"/>
  <c r="I282" i="21"/>
  <c r="E283" i="21"/>
  <c r="F283" i="21"/>
  <c r="G283" i="21"/>
  <c r="H283" i="21"/>
  <c r="I283" i="21"/>
  <c r="E284" i="21"/>
  <c r="F284" i="21"/>
  <c r="G284" i="21"/>
  <c r="H284" i="21"/>
  <c r="I284" i="21"/>
  <c r="E285" i="21"/>
  <c r="F285" i="21"/>
  <c r="G285" i="21"/>
  <c r="H285" i="21"/>
  <c r="I285" i="21"/>
  <c r="E286" i="21"/>
  <c r="F286" i="21"/>
  <c r="G286" i="21"/>
  <c r="H286" i="21"/>
  <c r="I286" i="21"/>
  <c r="E287" i="21"/>
  <c r="F287" i="21"/>
  <c r="G287" i="21"/>
  <c r="H287" i="21"/>
  <c r="I287" i="21"/>
  <c r="E288" i="21"/>
  <c r="F288" i="21"/>
  <c r="G288" i="21"/>
  <c r="H288" i="21"/>
  <c r="I288" i="21"/>
  <c r="E289" i="21"/>
  <c r="F289" i="21"/>
  <c r="G289" i="21"/>
  <c r="H289" i="21"/>
  <c r="I289" i="21"/>
  <c r="E290" i="21"/>
  <c r="F290" i="21"/>
  <c r="G290" i="21"/>
  <c r="H290" i="21"/>
  <c r="I290" i="21"/>
  <c r="E291" i="21"/>
  <c r="F291" i="21"/>
  <c r="G291" i="21"/>
  <c r="H291" i="21"/>
  <c r="I291" i="21"/>
  <c r="E292" i="21"/>
  <c r="F292" i="21"/>
  <c r="G292" i="21"/>
  <c r="H292" i="21"/>
  <c r="I292" i="21"/>
  <c r="E293" i="21"/>
  <c r="F293" i="21"/>
  <c r="G293" i="21"/>
  <c r="H293" i="21"/>
  <c r="I293" i="21"/>
  <c r="E294" i="21"/>
  <c r="F294" i="21"/>
  <c r="G294" i="21"/>
  <c r="H294" i="21"/>
  <c r="I294" i="21"/>
  <c r="E295" i="21"/>
  <c r="F295" i="21"/>
  <c r="G295" i="21"/>
  <c r="H295" i="21"/>
  <c r="I295" i="21"/>
  <c r="E296" i="21"/>
  <c r="F296" i="21"/>
  <c r="G296" i="21"/>
  <c r="H296" i="21"/>
  <c r="I296" i="21"/>
  <c r="E297" i="21"/>
  <c r="F297" i="21"/>
  <c r="G297" i="21"/>
  <c r="H297" i="21"/>
  <c r="I297" i="21"/>
  <c r="E298" i="21"/>
  <c r="F298" i="21"/>
  <c r="G298" i="21"/>
  <c r="H298" i="21"/>
  <c r="I298" i="21"/>
  <c r="E299" i="21"/>
  <c r="F299" i="21"/>
  <c r="G299" i="21"/>
  <c r="H299" i="21"/>
  <c r="I299" i="21"/>
  <c r="E300" i="21"/>
  <c r="F300" i="21"/>
  <c r="G300" i="21"/>
  <c r="H300" i="21"/>
  <c r="I300" i="21"/>
  <c r="E301" i="21"/>
  <c r="F301" i="21"/>
  <c r="G301" i="21"/>
  <c r="H301" i="21"/>
  <c r="I301" i="21"/>
  <c r="E302" i="21"/>
  <c r="F302" i="21"/>
  <c r="G302" i="21"/>
  <c r="H302" i="21"/>
  <c r="I302" i="21"/>
  <c r="E303" i="21"/>
  <c r="F303" i="21"/>
  <c r="G303" i="21"/>
  <c r="H303" i="21"/>
  <c r="I303" i="21"/>
  <c r="E304" i="21"/>
  <c r="F304" i="21"/>
  <c r="G304" i="21"/>
  <c r="H304" i="21"/>
  <c r="I304" i="21"/>
  <c r="E305" i="21"/>
  <c r="F305" i="21"/>
  <c r="G305" i="21"/>
  <c r="H305" i="21"/>
  <c r="I305" i="21"/>
  <c r="E306" i="21"/>
  <c r="F306" i="21"/>
  <c r="G306" i="21"/>
  <c r="H306" i="21"/>
  <c r="I306" i="21"/>
  <c r="E307" i="21"/>
  <c r="F307" i="21"/>
  <c r="G307" i="21"/>
  <c r="H307" i="21"/>
  <c r="I307" i="21"/>
  <c r="E308" i="21"/>
  <c r="F308" i="21"/>
  <c r="G308" i="21"/>
  <c r="H308" i="21"/>
  <c r="I308" i="21"/>
  <c r="E309" i="21"/>
  <c r="F309" i="21"/>
  <c r="G309" i="21"/>
  <c r="H309" i="21"/>
  <c r="I309" i="21"/>
  <c r="E310" i="21"/>
  <c r="F310" i="21"/>
  <c r="G310" i="21"/>
  <c r="H310" i="21"/>
  <c r="I310" i="21"/>
  <c r="E311" i="21"/>
  <c r="F311" i="21"/>
  <c r="G311" i="21"/>
  <c r="H311" i="21"/>
  <c r="I311" i="21"/>
  <c r="E312" i="21"/>
  <c r="F312" i="21"/>
  <c r="G312" i="21"/>
  <c r="H312" i="21"/>
  <c r="I312" i="21"/>
  <c r="E313" i="21"/>
  <c r="F313" i="21"/>
  <c r="G313" i="21"/>
  <c r="H313" i="21"/>
  <c r="I313" i="21"/>
  <c r="E314" i="21"/>
  <c r="F314" i="21"/>
  <c r="G314" i="21"/>
  <c r="H314" i="21"/>
  <c r="I314" i="21"/>
  <c r="E315" i="21"/>
  <c r="F315" i="21"/>
  <c r="G315" i="21"/>
  <c r="H315" i="21"/>
  <c r="I315" i="21"/>
  <c r="E316" i="21"/>
  <c r="F316" i="21"/>
  <c r="G316" i="21"/>
  <c r="H316" i="21"/>
  <c r="I316" i="21"/>
  <c r="E317" i="21"/>
  <c r="F317" i="21"/>
  <c r="G317" i="21"/>
  <c r="H317" i="21"/>
  <c r="I317" i="21"/>
  <c r="E318" i="21"/>
  <c r="F318" i="21"/>
  <c r="G318" i="21"/>
  <c r="H318" i="21"/>
  <c r="I318" i="21"/>
  <c r="E319" i="21"/>
  <c r="F319" i="21"/>
  <c r="G319" i="21"/>
  <c r="H319" i="21"/>
  <c r="I319" i="21"/>
  <c r="E320" i="21"/>
  <c r="F320" i="21"/>
  <c r="G320" i="21"/>
  <c r="H320" i="21"/>
  <c r="I320" i="21"/>
  <c r="E321" i="21"/>
  <c r="F321" i="21"/>
  <c r="G321" i="21"/>
  <c r="H321" i="21"/>
  <c r="I321" i="21"/>
  <c r="E322" i="21"/>
  <c r="F322" i="21"/>
  <c r="G322" i="21"/>
  <c r="H322" i="21"/>
  <c r="I322" i="21"/>
  <c r="E323" i="21"/>
  <c r="F323" i="21"/>
  <c r="G323" i="21"/>
  <c r="H323" i="21"/>
  <c r="I323" i="21"/>
  <c r="E324" i="21"/>
  <c r="F324" i="21"/>
  <c r="G324" i="21"/>
  <c r="H324" i="21"/>
  <c r="I324" i="21"/>
  <c r="E325" i="21"/>
  <c r="F325" i="21"/>
  <c r="G325" i="21"/>
  <c r="H325" i="21"/>
  <c r="I325" i="21"/>
  <c r="E326" i="21"/>
  <c r="F326" i="21"/>
  <c r="G326" i="21"/>
  <c r="H326" i="21"/>
  <c r="I326" i="21"/>
  <c r="E327" i="21"/>
  <c r="F327" i="21"/>
  <c r="G327" i="21"/>
  <c r="H327" i="21"/>
  <c r="I327" i="21"/>
  <c r="E328" i="21"/>
  <c r="F328" i="21"/>
  <c r="G328" i="21"/>
  <c r="H328" i="21"/>
  <c r="I328" i="21"/>
  <c r="E329" i="21"/>
  <c r="F329" i="21"/>
  <c r="G329" i="21"/>
  <c r="H329" i="21"/>
  <c r="I329" i="21"/>
  <c r="E330" i="21"/>
  <c r="F330" i="21"/>
  <c r="G330" i="21"/>
  <c r="H330" i="21"/>
  <c r="I330" i="21"/>
  <c r="E331" i="21"/>
  <c r="F331" i="21"/>
  <c r="G331" i="21"/>
  <c r="H331" i="21"/>
  <c r="I331" i="21"/>
  <c r="E332" i="21"/>
  <c r="F332" i="21"/>
  <c r="G332" i="21"/>
  <c r="H332" i="21"/>
  <c r="I332" i="21"/>
  <c r="E333" i="21"/>
  <c r="F333" i="21"/>
  <c r="G333" i="21"/>
  <c r="H333" i="21"/>
  <c r="I333" i="21"/>
  <c r="E334" i="21"/>
  <c r="F334" i="21"/>
  <c r="G334" i="21"/>
  <c r="H334" i="21"/>
  <c r="I334" i="21"/>
  <c r="E335" i="21"/>
  <c r="F335" i="21"/>
  <c r="G335" i="21"/>
  <c r="H335" i="21"/>
  <c r="I335" i="21"/>
  <c r="E336" i="21"/>
  <c r="F336" i="21"/>
  <c r="G336" i="21"/>
  <c r="H336" i="21"/>
  <c r="I336" i="21"/>
  <c r="E337" i="21"/>
  <c r="F337" i="21"/>
  <c r="G337" i="21"/>
  <c r="H337" i="21"/>
  <c r="I337" i="21"/>
  <c r="E338" i="21"/>
  <c r="F338" i="21"/>
  <c r="G338" i="21"/>
  <c r="H338" i="21"/>
  <c r="I338" i="21"/>
  <c r="E339" i="21"/>
  <c r="F339" i="21"/>
  <c r="G339" i="21"/>
  <c r="H339" i="21"/>
  <c r="I339" i="21"/>
  <c r="E340" i="21"/>
  <c r="F340" i="21"/>
  <c r="G340" i="21"/>
  <c r="H340" i="21"/>
  <c r="I340" i="21"/>
  <c r="E341" i="21"/>
  <c r="F341" i="21"/>
  <c r="G341" i="21"/>
  <c r="H341" i="21"/>
  <c r="I341" i="21"/>
  <c r="E342" i="21"/>
  <c r="F342" i="21"/>
  <c r="G342" i="21"/>
  <c r="H342" i="21"/>
  <c r="I342" i="21"/>
  <c r="E343" i="21"/>
  <c r="F343" i="21"/>
  <c r="G343" i="21"/>
  <c r="H343" i="21"/>
  <c r="I343" i="21"/>
  <c r="E344" i="21"/>
  <c r="F344" i="21"/>
  <c r="G344" i="21"/>
  <c r="H344" i="21"/>
  <c r="I344" i="21"/>
  <c r="E345" i="21"/>
  <c r="F345" i="21"/>
  <c r="G345" i="21"/>
  <c r="H345" i="21"/>
  <c r="I345" i="21"/>
  <c r="E346" i="21"/>
  <c r="F346" i="21"/>
  <c r="G346" i="21"/>
  <c r="H346" i="21"/>
  <c r="I346" i="21"/>
  <c r="E347" i="21"/>
  <c r="F347" i="21"/>
  <c r="G347" i="21"/>
  <c r="H347" i="21"/>
  <c r="I347" i="21"/>
  <c r="E348" i="21"/>
  <c r="F348" i="21"/>
  <c r="G348" i="21"/>
  <c r="H348" i="21"/>
  <c r="I348" i="21"/>
  <c r="E349" i="21"/>
  <c r="F349" i="21"/>
  <c r="G349" i="21"/>
  <c r="H349" i="21"/>
  <c r="I349" i="21"/>
  <c r="E350" i="21"/>
  <c r="F350" i="21"/>
  <c r="G350" i="21"/>
  <c r="H350" i="21"/>
  <c r="I350" i="21"/>
  <c r="E351" i="21"/>
  <c r="F351" i="21"/>
  <c r="G351" i="21"/>
  <c r="H351" i="21"/>
  <c r="I351" i="21"/>
  <c r="E352" i="21"/>
  <c r="F352" i="21"/>
  <c r="G352" i="21"/>
  <c r="H352" i="21"/>
  <c r="I352" i="21"/>
  <c r="E353" i="21"/>
  <c r="F353" i="21"/>
  <c r="G353" i="21"/>
  <c r="H353" i="21"/>
  <c r="I353" i="21"/>
  <c r="E354" i="21"/>
  <c r="F354" i="21"/>
  <c r="G354" i="21"/>
  <c r="H354" i="21"/>
  <c r="I354" i="21"/>
  <c r="E355" i="21"/>
  <c r="F355" i="21"/>
  <c r="G355" i="21"/>
  <c r="H355" i="21"/>
  <c r="I355" i="21"/>
  <c r="E356" i="21"/>
  <c r="F356" i="21"/>
  <c r="G356" i="21"/>
  <c r="H356" i="21"/>
  <c r="I356" i="21"/>
  <c r="E357" i="21"/>
  <c r="F357" i="21"/>
  <c r="G357" i="21"/>
  <c r="H357" i="21"/>
  <c r="I357" i="21"/>
  <c r="E358" i="21"/>
  <c r="F358" i="21"/>
  <c r="G358" i="21"/>
  <c r="H358" i="21"/>
  <c r="I358" i="21"/>
  <c r="E359" i="21"/>
  <c r="F359" i="21"/>
  <c r="G359" i="21"/>
  <c r="H359" i="21"/>
  <c r="I359" i="21"/>
  <c r="E360" i="21"/>
  <c r="F360" i="21"/>
  <c r="G360" i="21"/>
  <c r="H360" i="21"/>
  <c r="I360" i="21"/>
  <c r="E361" i="21"/>
  <c r="F361" i="21"/>
  <c r="G361" i="21"/>
  <c r="H361" i="21"/>
  <c r="I361" i="21"/>
  <c r="E362" i="21"/>
  <c r="F362" i="21"/>
  <c r="G362" i="21"/>
  <c r="H362" i="21"/>
  <c r="I362" i="21"/>
  <c r="E363" i="21"/>
  <c r="F363" i="21"/>
  <c r="G363" i="21"/>
  <c r="H363" i="21"/>
  <c r="I363" i="21"/>
  <c r="E364" i="21"/>
  <c r="F364" i="21"/>
  <c r="G364" i="21"/>
  <c r="H364" i="21"/>
  <c r="I364" i="21"/>
  <c r="E365" i="21"/>
  <c r="F365" i="21"/>
  <c r="G365" i="21"/>
  <c r="H365" i="21"/>
  <c r="I365" i="21"/>
  <c r="E366" i="21"/>
  <c r="F366" i="21"/>
  <c r="G366" i="21"/>
  <c r="H366" i="21"/>
  <c r="I366" i="21"/>
  <c r="E367" i="21"/>
  <c r="F367" i="21"/>
  <c r="G367" i="21"/>
  <c r="H367" i="21"/>
  <c r="I367" i="21"/>
  <c r="E368" i="21"/>
  <c r="F368" i="21"/>
  <c r="G368" i="21"/>
  <c r="H368" i="21"/>
  <c r="I368" i="21"/>
  <c r="E369" i="21"/>
  <c r="F369" i="21"/>
  <c r="G369" i="21"/>
  <c r="H369" i="21"/>
  <c r="I369" i="21"/>
  <c r="E370" i="21"/>
  <c r="F370" i="21"/>
  <c r="G370" i="21"/>
  <c r="H370" i="21"/>
  <c r="I370" i="21"/>
  <c r="E371" i="21"/>
  <c r="F371" i="21"/>
  <c r="G371" i="21"/>
  <c r="H371" i="21"/>
  <c r="I371" i="21"/>
  <c r="E372" i="21"/>
  <c r="F372" i="21"/>
  <c r="G372" i="21"/>
  <c r="H372" i="21"/>
  <c r="I372" i="21"/>
  <c r="E373" i="21"/>
  <c r="F373" i="21"/>
  <c r="G373" i="21"/>
  <c r="H373" i="21"/>
  <c r="I373" i="21"/>
  <c r="E374" i="21"/>
  <c r="F374" i="21"/>
  <c r="G374" i="21"/>
  <c r="H374" i="21"/>
  <c r="I374" i="21"/>
  <c r="E375" i="21"/>
  <c r="F375" i="21"/>
  <c r="G375" i="21"/>
  <c r="H375" i="21"/>
  <c r="I375" i="21"/>
  <c r="E376" i="21"/>
  <c r="F376" i="21"/>
  <c r="G376" i="21"/>
  <c r="H376" i="21"/>
  <c r="I376" i="21"/>
  <c r="E377" i="21"/>
  <c r="F377" i="21"/>
  <c r="G377" i="21"/>
  <c r="H377" i="21"/>
  <c r="I377" i="21"/>
  <c r="E378" i="21"/>
  <c r="F378" i="21"/>
  <c r="G378" i="21"/>
  <c r="H378" i="21"/>
  <c r="I378" i="21"/>
  <c r="E379" i="21"/>
  <c r="F379" i="21"/>
  <c r="G379" i="21"/>
  <c r="H379" i="21"/>
  <c r="I379" i="21"/>
  <c r="E380" i="21"/>
  <c r="F380" i="21"/>
  <c r="G380" i="21"/>
  <c r="H380" i="21"/>
  <c r="I380" i="21"/>
  <c r="E381" i="21"/>
  <c r="F381" i="21"/>
  <c r="G381" i="21"/>
  <c r="H381" i="21"/>
  <c r="I381" i="21"/>
  <c r="E382" i="21"/>
  <c r="F382" i="21"/>
  <c r="G382" i="21"/>
  <c r="H382" i="21"/>
  <c r="I382" i="21"/>
  <c r="E383" i="21"/>
  <c r="F383" i="21"/>
  <c r="G383" i="21"/>
  <c r="H383" i="21"/>
  <c r="I383" i="21"/>
  <c r="E384" i="21"/>
  <c r="F384" i="21"/>
  <c r="G384" i="21"/>
  <c r="H384" i="21"/>
  <c r="I384" i="21"/>
  <c r="E385" i="21"/>
  <c r="F385" i="21"/>
  <c r="G385" i="21"/>
  <c r="H385" i="21"/>
  <c r="I385" i="21"/>
  <c r="E386" i="21"/>
  <c r="F386" i="21"/>
  <c r="G386" i="21"/>
  <c r="H386" i="21"/>
  <c r="I386" i="21"/>
  <c r="E387" i="21"/>
  <c r="F387" i="21"/>
  <c r="G387" i="21"/>
  <c r="H387" i="21"/>
  <c r="I387" i="21"/>
  <c r="E388" i="21"/>
  <c r="F388" i="21"/>
  <c r="G388" i="21"/>
  <c r="H388" i="21"/>
  <c r="I388" i="21"/>
  <c r="E389" i="21"/>
  <c r="F389" i="21"/>
  <c r="G389" i="21"/>
  <c r="H389" i="21"/>
  <c r="I389" i="21"/>
  <c r="E390" i="21"/>
  <c r="F390" i="21"/>
  <c r="G390" i="21"/>
  <c r="H390" i="21"/>
  <c r="I390" i="21"/>
  <c r="E391" i="21"/>
  <c r="F391" i="21"/>
  <c r="G391" i="21"/>
  <c r="H391" i="21"/>
  <c r="I391" i="21"/>
  <c r="E392" i="21"/>
  <c r="F392" i="21"/>
  <c r="G392" i="21"/>
  <c r="H392" i="21"/>
  <c r="I392" i="21"/>
  <c r="E393" i="21"/>
  <c r="F393" i="21"/>
  <c r="G393" i="21"/>
  <c r="H393" i="21"/>
  <c r="I393" i="21"/>
  <c r="E394" i="21"/>
  <c r="F394" i="21"/>
  <c r="G394" i="21"/>
  <c r="H394" i="21"/>
  <c r="I394" i="21"/>
  <c r="E395" i="21"/>
  <c r="F395" i="21"/>
  <c r="G395" i="21"/>
  <c r="H395" i="21"/>
  <c r="I395" i="21"/>
  <c r="E396" i="21"/>
  <c r="F396" i="21"/>
  <c r="G396" i="21"/>
  <c r="H396" i="21"/>
  <c r="I396" i="21"/>
  <c r="E397" i="21"/>
  <c r="F397" i="21"/>
  <c r="G397" i="21"/>
  <c r="H397" i="21"/>
  <c r="I397" i="21"/>
  <c r="E398" i="21"/>
  <c r="F398" i="21"/>
  <c r="G398" i="21"/>
  <c r="H398" i="21"/>
  <c r="I398" i="21"/>
  <c r="E399" i="21"/>
  <c r="F399" i="21"/>
  <c r="G399" i="21"/>
  <c r="H399" i="21"/>
  <c r="I399" i="21"/>
  <c r="E400" i="21"/>
  <c r="F400" i="21"/>
  <c r="G400" i="21"/>
  <c r="H400" i="21"/>
  <c r="I400" i="21"/>
  <c r="E401" i="21"/>
  <c r="F401" i="21"/>
  <c r="G401" i="21"/>
  <c r="H401" i="21"/>
  <c r="I401" i="21"/>
  <c r="E402" i="21"/>
  <c r="F402" i="21"/>
  <c r="G402" i="21"/>
  <c r="H402" i="21"/>
  <c r="I402" i="21"/>
  <c r="E403" i="21"/>
  <c r="F403" i="21"/>
  <c r="G403" i="21"/>
  <c r="H403" i="21"/>
  <c r="I403" i="21"/>
  <c r="E404" i="21"/>
  <c r="F404" i="21"/>
  <c r="G404" i="21"/>
  <c r="H404" i="21"/>
  <c r="I404" i="21"/>
  <c r="E405" i="21"/>
  <c r="F405" i="21"/>
  <c r="G405" i="21"/>
  <c r="H405" i="21"/>
  <c r="I405" i="21"/>
  <c r="E406" i="21"/>
  <c r="F406" i="21"/>
  <c r="G406" i="21"/>
  <c r="H406" i="21"/>
  <c r="I406" i="21"/>
  <c r="E407" i="21"/>
  <c r="F407" i="21"/>
  <c r="G407" i="21"/>
  <c r="H407" i="21"/>
  <c r="I407" i="21"/>
  <c r="E408" i="21"/>
  <c r="F408" i="21"/>
  <c r="G408" i="21"/>
  <c r="H408" i="21"/>
  <c r="I408" i="21"/>
  <c r="E409" i="21"/>
  <c r="F409" i="21"/>
  <c r="G409" i="21"/>
  <c r="H409" i="21"/>
  <c r="I409" i="21"/>
  <c r="E410" i="21"/>
  <c r="F410" i="21"/>
  <c r="G410" i="21"/>
  <c r="H410" i="21"/>
  <c r="I410" i="21"/>
  <c r="E411" i="21"/>
  <c r="F411" i="21"/>
  <c r="G411" i="21"/>
  <c r="H411" i="21"/>
  <c r="I411" i="21"/>
  <c r="E412" i="21"/>
  <c r="F412" i="21"/>
  <c r="G412" i="21"/>
  <c r="H412" i="21"/>
  <c r="I412" i="21"/>
  <c r="E413" i="21"/>
  <c r="F413" i="21"/>
  <c r="G413" i="21"/>
  <c r="H413" i="21"/>
  <c r="I413" i="21"/>
  <c r="E414" i="21"/>
  <c r="F414" i="21"/>
  <c r="G414" i="21"/>
  <c r="H414" i="21"/>
  <c r="I414" i="21"/>
  <c r="E415" i="21"/>
  <c r="F415" i="21"/>
  <c r="G415" i="21"/>
  <c r="H415" i="21"/>
  <c r="I415" i="21"/>
  <c r="E416" i="21"/>
  <c r="F416" i="21"/>
  <c r="G416" i="21"/>
  <c r="H416" i="21"/>
  <c r="I416" i="21"/>
  <c r="E417" i="21"/>
  <c r="F417" i="21"/>
  <c r="G417" i="21"/>
  <c r="H417" i="21"/>
  <c r="I417" i="21"/>
  <c r="E418" i="21"/>
  <c r="F418" i="21"/>
  <c r="G418" i="21"/>
  <c r="H418" i="21"/>
  <c r="I418" i="21"/>
  <c r="E419" i="21"/>
  <c r="F419" i="21"/>
  <c r="G419" i="21"/>
  <c r="H419" i="21"/>
  <c r="I419" i="21"/>
  <c r="E420" i="21"/>
  <c r="F420" i="21"/>
  <c r="G420" i="21"/>
  <c r="H420" i="21"/>
  <c r="I420" i="21"/>
  <c r="E421" i="21"/>
  <c r="F421" i="21"/>
  <c r="G421" i="21"/>
  <c r="H421" i="21"/>
  <c r="I421" i="21"/>
  <c r="E422" i="21"/>
  <c r="F422" i="21"/>
  <c r="G422" i="21"/>
  <c r="H422" i="21"/>
  <c r="I422" i="21"/>
  <c r="E423" i="21"/>
  <c r="F423" i="21"/>
  <c r="G423" i="21"/>
  <c r="H423" i="21"/>
  <c r="I423" i="21"/>
  <c r="E424" i="21"/>
  <c r="F424" i="21"/>
  <c r="G424" i="21"/>
  <c r="H424" i="21"/>
  <c r="I424" i="21"/>
  <c r="E425" i="21"/>
  <c r="F425" i="21"/>
  <c r="G425" i="21"/>
  <c r="H425" i="21"/>
  <c r="I425" i="21"/>
  <c r="E426" i="21"/>
  <c r="F426" i="21"/>
  <c r="G426" i="21"/>
  <c r="H426" i="21"/>
  <c r="I426" i="21"/>
  <c r="E427" i="21"/>
  <c r="F427" i="21"/>
  <c r="G427" i="21"/>
  <c r="H427" i="21"/>
  <c r="I427" i="21"/>
  <c r="E428" i="21"/>
  <c r="F428" i="21"/>
  <c r="G428" i="21"/>
  <c r="H428" i="21"/>
  <c r="I428" i="21"/>
  <c r="E429" i="21"/>
  <c r="F429" i="21"/>
  <c r="G429" i="21"/>
  <c r="H429" i="21"/>
  <c r="I429" i="21"/>
  <c r="E430" i="21"/>
  <c r="F430" i="21"/>
  <c r="G430" i="21"/>
  <c r="H430" i="21"/>
  <c r="I430" i="21"/>
  <c r="E431" i="21"/>
  <c r="F431" i="21"/>
  <c r="G431" i="21"/>
  <c r="H431" i="21"/>
  <c r="I431" i="21"/>
  <c r="E432" i="21"/>
  <c r="F432" i="21"/>
  <c r="G432" i="21"/>
  <c r="H432" i="21"/>
  <c r="I432" i="21"/>
  <c r="E433" i="21"/>
  <c r="F433" i="21"/>
  <c r="G433" i="21"/>
  <c r="H433" i="21"/>
  <c r="I433" i="21"/>
  <c r="E434" i="21"/>
  <c r="F434" i="21"/>
  <c r="G434" i="21"/>
  <c r="H434" i="21"/>
  <c r="I434" i="21"/>
  <c r="E435" i="21"/>
  <c r="F435" i="21"/>
  <c r="G435" i="21"/>
  <c r="H435" i="21"/>
  <c r="I435" i="21"/>
  <c r="E436" i="21"/>
  <c r="F436" i="21"/>
  <c r="G436" i="21"/>
  <c r="H436" i="21"/>
  <c r="I436" i="21"/>
  <c r="E437" i="21"/>
  <c r="F437" i="21"/>
  <c r="G437" i="21"/>
  <c r="H437" i="21"/>
  <c r="I437" i="21"/>
  <c r="E438" i="21"/>
  <c r="F438" i="21"/>
  <c r="G438" i="21"/>
  <c r="H438" i="21"/>
  <c r="I438" i="21"/>
  <c r="E439" i="21"/>
  <c r="F439" i="21"/>
  <c r="G439" i="21"/>
  <c r="H439" i="21"/>
  <c r="I439" i="21"/>
  <c r="E440" i="21"/>
  <c r="F440" i="21"/>
  <c r="G440" i="21"/>
  <c r="H440" i="21"/>
  <c r="I440" i="21"/>
  <c r="E441" i="21"/>
  <c r="F441" i="21"/>
  <c r="G441" i="21"/>
  <c r="H441" i="21"/>
  <c r="I441" i="21"/>
  <c r="E442" i="21"/>
  <c r="F442" i="21"/>
  <c r="G442" i="21"/>
  <c r="H442" i="21"/>
  <c r="I442" i="21"/>
  <c r="E443" i="21"/>
  <c r="F443" i="21"/>
  <c r="G443" i="21"/>
  <c r="H443" i="21"/>
  <c r="I443" i="21"/>
  <c r="E444" i="21"/>
  <c r="F444" i="21"/>
  <c r="G444" i="21"/>
  <c r="H444" i="21"/>
  <c r="I444" i="21"/>
  <c r="E445" i="21"/>
  <c r="F445" i="21"/>
  <c r="G445" i="21"/>
  <c r="H445" i="21"/>
  <c r="I445" i="21"/>
  <c r="E446" i="21"/>
  <c r="F446" i="21"/>
  <c r="G446" i="21"/>
  <c r="H446" i="21"/>
  <c r="I446" i="21"/>
  <c r="E447" i="21"/>
  <c r="F447" i="21"/>
  <c r="G447" i="21"/>
  <c r="H447" i="21"/>
  <c r="I447" i="21"/>
  <c r="E448" i="21"/>
  <c r="F448" i="21"/>
  <c r="G448" i="21"/>
  <c r="H448" i="21"/>
  <c r="I448" i="21"/>
  <c r="E449" i="21"/>
  <c r="F449" i="21"/>
  <c r="G449" i="21"/>
  <c r="H449" i="21"/>
  <c r="I449" i="21"/>
  <c r="E450" i="21"/>
  <c r="F450" i="21"/>
  <c r="G450" i="21"/>
  <c r="H450" i="21"/>
  <c r="I450" i="21"/>
  <c r="E451" i="21"/>
  <c r="F451" i="21"/>
  <c r="G451" i="21"/>
  <c r="H451" i="21"/>
  <c r="I451" i="21"/>
  <c r="E452" i="21"/>
  <c r="F452" i="21"/>
  <c r="G452" i="21"/>
  <c r="H452" i="21"/>
  <c r="I452" i="21"/>
  <c r="E453" i="21"/>
  <c r="F453" i="21"/>
  <c r="G453" i="21"/>
  <c r="H453" i="21"/>
  <c r="I453" i="21"/>
  <c r="E454" i="21"/>
  <c r="F454" i="21"/>
  <c r="G454" i="21"/>
  <c r="H454" i="21"/>
  <c r="I454" i="21"/>
  <c r="E455" i="21"/>
  <c r="F455" i="21"/>
  <c r="G455" i="21"/>
  <c r="H455" i="21"/>
  <c r="I455" i="21"/>
  <c r="E456" i="21"/>
  <c r="F456" i="21"/>
  <c r="G456" i="21"/>
  <c r="H456" i="21"/>
  <c r="I456" i="21"/>
  <c r="E457" i="21"/>
  <c r="F457" i="21"/>
  <c r="G457" i="21"/>
  <c r="H457" i="21"/>
  <c r="I457" i="21"/>
  <c r="E458" i="21"/>
  <c r="F458" i="21"/>
  <c r="G458" i="21"/>
  <c r="H458" i="21"/>
  <c r="I458" i="21"/>
  <c r="E459" i="21"/>
  <c r="F459" i="21"/>
  <c r="G459" i="21"/>
  <c r="H459" i="21"/>
  <c r="I459" i="21"/>
  <c r="E460" i="21"/>
  <c r="F460" i="21"/>
  <c r="G460" i="21"/>
  <c r="H460" i="21"/>
  <c r="I460" i="21"/>
  <c r="E461" i="21"/>
  <c r="F461" i="21"/>
  <c r="G461" i="21"/>
  <c r="H461" i="21"/>
  <c r="I461" i="21"/>
  <c r="E462" i="21"/>
  <c r="F462" i="21"/>
  <c r="G462" i="21"/>
  <c r="H462" i="21"/>
  <c r="I462" i="21"/>
  <c r="E463" i="21"/>
  <c r="F463" i="21"/>
  <c r="G463" i="21"/>
  <c r="H463" i="21"/>
  <c r="I463" i="21"/>
  <c r="E464" i="21"/>
  <c r="F464" i="21"/>
  <c r="G464" i="21"/>
  <c r="H464" i="21"/>
  <c r="I464" i="21"/>
  <c r="E465" i="21"/>
  <c r="F465" i="21"/>
  <c r="G465" i="21"/>
  <c r="H465" i="21"/>
  <c r="I465" i="21"/>
  <c r="E466" i="21"/>
  <c r="F466" i="21"/>
  <c r="G466" i="21"/>
  <c r="H466" i="21"/>
  <c r="I466" i="21"/>
  <c r="E467" i="21"/>
  <c r="F467" i="21"/>
  <c r="G467" i="21"/>
  <c r="H467" i="21"/>
  <c r="I467" i="21"/>
  <c r="E468" i="21"/>
  <c r="F468" i="21"/>
  <c r="G468" i="21"/>
  <c r="H468" i="21"/>
  <c r="I468" i="21"/>
  <c r="E469" i="21"/>
  <c r="F469" i="21"/>
  <c r="G469" i="21"/>
  <c r="H469" i="21"/>
  <c r="I469" i="21"/>
  <c r="E470" i="21"/>
  <c r="F470" i="21"/>
  <c r="G470" i="21"/>
  <c r="H470" i="21"/>
  <c r="I470" i="21"/>
  <c r="E471" i="21"/>
  <c r="F471" i="21"/>
  <c r="G471" i="21"/>
  <c r="H471" i="21"/>
  <c r="I471" i="21"/>
  <c r="E472" i="21"/>
  <c r="F472" i="21"/>
  <c r="G472" i="21"/>
  <c r="H472" i="21"/>
  <c r="I472" i="21"/>
  <c r="E473" i="21"/>
  <c r="F473" i="21"/>
  <c r="G473" i="21"/>
  <c r="H473" i="21"/>
  <c r="I473" i="21"/>
  <c r="E474" i="21"/>
  <c r="F474" i="21"/>
  <c r="G474" i="21"/>
  <c r="H474" i="21"/>
  <c r="I474" i="21"/>
  <c r="E475" i="21"/>
  <c r="F475" i="21"/>
  <c r="G475" i="21"/>
  <c r="H475" i="21"/>
  <c r="I475" i="21"/>
  <c r="E476" i="21"/>
  <c r="F476" i="21"/>
  <c r="G476" i="21"/>
  <c r="H476" i="21"/>
  <c r="I476" i="21"/>
  <c r="E477" i="21"/>
  <c r="F477" i="21"/>
  <c r="G477" i="21"/>
  <c r="H477" i="21"/>
  <c r="I477" i="21"/>
  <c r="E478" i="21"/>
  <c r="F478" i="21"/>
  <c r="G478" i="21"/>
  <c r="H478" i="21"/>
  <c r="I478" i="21"/>
  <c r="E479" i="21"/>
  <c r="F479" i="21"/>
  <c r="G479" i="21"/>
  <c r="H479" i="21"/>
  <c r="I479" i="21"/>
  <c r="E480" i="21"/>
  <c r="F480" i="21"/>
  <c r="G480" i="21"/>
  <c r="H480" i="21"/>
  <c r="I480" i="21"/>
  <c r="E481" i="21"/>
  <c r="F481" i="21"/>
  <c r="G481" i="21"/>
  <c r="H481" i="21"/>
  <c r="I481" i="21"/>
  <c r="E482" i="21"/>
  <c r="F482" i="21"/>
  <c r="G482" i="21"/>
  <c r="H482" i="21"/>
  <c r="I482" i="21"/>
  <c r="E483" i="21"/>
  <c r="F483" i="21"/>
  <c r="G483" i="21"/>
  <c r="H483" i="21"/>
  <c r="I483" i="21"/>
  <c r="E484" i="21"/>
  <c r="F484" i="21"/>
  <c r="G484" i="21"/>
  <c r="H484" i="21"/>
  <c r="I484" i="21"/>
  <c r="E485" i="21"/>
  <c r="F485" i="21"/>
  <c r="G485" i="21"/>
  <c r="H485" i="21"/>
  <c r="I485" i="21"/>
  <c r="E486" i="21"/>
  <c r="F486" i="21"/>
  <c r="G486" i="21"/>
  <c r="H486" i="21"/>
  <c r="I486" i="21"/>
  <c r="E487" i="21"/>
  <c r="F487" i="21"/>
  <c r="G487" i="21"/>
  <c r="H487" i="21"/>
  <c r="I487" i="21"/>
  <c r="E488" i="21"/>
  <c r="F488" i="21"/>
  <c r="G488" i="21"/>
  <c r="H488" i="21"/>
  <c r="I488" i="21"/>
  <c r="E489" i="21"/>
  <c r="F489" i="21"/>
  <c r="G489" i="21"/>
  <c r="H489" i="21"/>
  <c r="I489" i="21"/>
  <c r="E490" i="21"/>
  <c r="F490" i="21"/>
  <c r="G490" i="21"/>
  <c r="H490" i="21"/>
  <c r="I490" i="21"/>
  <c r="E491" i="21"/>
  <c r="F491" i="21"/>
  <c r="G491" i="21"/>
  <c r="H491" i="21"/>
  <c r="I491" i="21"/>
  <c r="E492" i="21"/>
  <c r="F492" i="21"/>
  <c r="G492" i="21"/>
  <c r="H492" i="21"/>
  <c r="I492" i="21"/>
  <c r="E493" i="21"/>
  <c r="F493" i="21"/>
  <c r="G493" i="21"/>
  <c r="H493" i="21"/>
  <c r="I493" i="21"/>
  <c r="E494" i="21"/>
  <c r="F494" i="21"/>
  <c r="G494" i="21"/>
  <c r="H494" i="21"/>
  <c r="I494" i="21"/>
  <c r="E495" i="21"/>
  <c r="F495" i="21"/>
  <c r="G495" i="21"/>
  <c r="H495" i="21"/>
  <c r="I495" i="21"/>
  <c r="E496" i="21"/>
  <c r="F496" i="21"/>
  <c r="G496" i="21"/>
  <c r="H496" i="21"/>
  <c r="I496" i="21"/>
  <c r="E497" i="21"/>
  <c r="F497" i="21"/>
  <c r="G497" i="21"/>
  <c r="H497" i="21"/>
  <c r="I497" i="21"/>
  <c r="E498" i="21"/>
  <c r="F498" i="21"/>
  <c r="G498" i="21"/>
  <c r="H498" i="21"/>
  <c r="I498" i="21"/>
  <c r="E499" i="21"/>
  <c r="F499" i="21"/>
  <c r="G499" i="21"/>
  <c r="H499" i="21"/>
  <c r="I499" i="21"/>
  <c r="E500" i="21"/>
  <c r="F500" i="21"/>
  <c r="G500" i="21"/>
  <c r="H500" i="21"/>
  <c r="I500" i="21"/>
  <c r="E501" i="21"/>
  <c r="F501" i="21"/>
  <c r="G501" i="21"/>
  <c r="H501" i="21"/>
  <c r="I501" i="21"/>
  <c r="E502" i="21"/>
  <c r="F502" i="21"/>
  <c r="G502" i="21"/>
  <c r="H502" i="21"/>
  <c r="I502" i="21"/>
  <c r="E503" i="21"/>
  <c r="F503" i="21"/>
  <c r="G503" i="21"/>
  <c r="H503" i="21"/>
  <c r="I503" i="21"/>
  <c r="E504" i="21"/>
  <c r="F504" i="21"/>
  <c r="G504" i="21"/>
  <c r="H504" i="21"/>
  <c r="I504" i="21"/>
  <c r="E505" i="21"/>
  <c r="F505" i="21"/>
  <c r="G505" i="21"/>
  <c r="H505" i="21"/>
  <c r="I505" i="21"/>
  <c r="E506" i="21"/>
  <c r="F506" i="21"/>
  <c r="G506" i="21"/>
  <c r="H506" i="21"/>
  <c r="I506" i="21"/>
  <c r="E507" i="21"/>
  <c r="F507" i="21"/>
  <c r="G507" i="21"/>
  <c r="H507" i="21"/>
  <c r="I507" i="21"/>
  <c r="E508" i="21"/>
  <c r="F508" i="21"/>
  <c r="G508" i="21"/>
  <c r="H508" i="21"/>
  <c r="I508" i="21"/>
  <c r="E509" i="21"/>
  <c r="F509" i="21"/>
  <c r="G509" i="21"/>
  <c r="H509" i="21"/>
  <c r="I509" i="21"/>
  <c r="E510" i="21"/>
  <c r="F510" i="21"/>
  <c r="G510" i="21"/>
  <c r="H510" i="21"/>
  <c r="I510" i="21"/>
  <c r="E511" i="21"/>
  <c r="F511" i="21"/>
  <c r="G511" i="21"/>
  <c r="H511" i="21"/>
  <c r="I511" i="21"/>
  <c r="E512" i="21"/>
  <c r="F512" i="21"/>
  <c r="G512" i="21"/>
  <c r="H512" i="21"/>
  <c r="I512" i="21"/>
  <c r="E513" i="21"/>
  <c r="F513" i="21"/>
  <c r="G513" i="21"/>
  <c r="H513" i="21"/>
  <c r="I513" i="21"/>
  <c r="E514" i="21"/>
  <c r="F514" i="21"/>
  <c r="G514" i="21"/>
  <c r="H514" i="21"/>
  <c r="I514" i="21"/>
  <c r="E515" i="21"/>
  <c r="F515" i="21"/>
  <c r="G515" i="21"/>
  <c r="H515" i="21"/>
  <c r="I515" i="21"/>
  <c r="E516" i="21"/>
  <c r="F516" i="21"/>
  <c r="G516" i="21"/>
  <c r="H516" i="21"/>
  <c r="I516" i="21"/>
  <c r="E517" i="21"/>
  <c r="F517" i="21"/>
  <c r="G517" i="21"/>
  <c r="H517" i="21"/>
  <c r="I517" i="21"/>
  <c r="E518" i="21"/>
  <c r="F518" i="21"/>
  <c r="G518" i="21"/>
  <c r="H518" i="21"/>
  <c r="I518" i="21"/>
  <c r="E519" i="21"/>
  <c r="F519" i="21"/>
  <c r="G519" i="21"/>
  <c r="H519" i="21"/>
  <c r="I519" i="21"/>
  <c r="E520" i="21"/>
  <c r="F520" i="21"/>
  <c r="G520" i="21"/>
  <c r="H520" i="21"/>
  <c r="I520" i="21"/>
  <c r="E521" i="21"/>
  <c r="F521" i="21"/>
  <c r="G521" i="21"/>
  <c r="H521" i="21"/>
  <c r="I521" i="21"/>
  <c r="E522" i="21"/>
  <c r="F522" i="21"/>
  <c r="G522" i="21"/>
  <c r="H522" i="21"/>
  <c r="I522" i="21"/>
  <c r="E523" i="21"/>
  <c r="F523" i="21"/>
  <c r="G523" i="21"/>
  <c r="H523" i="21"/>
  <c r="I523" i="21"/>
  <c r="E524" i="21"/>
  <c r="F524" i="21"/>
  <c r="G524" i="21"/>
  <c r="H524" i="21"/>
  <c r="I524" i="21"/>
  <c r="E525" i="21"/>
  <c r="F525" i="21"/>
  <c r="G525" i="21"/>
  <c r="H525" i="21"/>
  <c r="I525" i="21"/>
  <c r="E526" i="21"/>
  <c r="F526" i="21"/>
  <c r="G526" i="21"/>
  <c r="H526" i="21"/>
  <c r="I526" i="21"/>
  <c r="E527" i="21"/>
  <c r="F527" i="21"/>
  <c r="G527" i="21"/>
  <c r="H527" i="21"/>
  <c r="I527" i="21"/>
  <c r="E528" i="21"/>
  <c r="F528" i="21"/>
  <c r="G528" i="21"/>
  <c r="H528" i="21"/>
  <c r="I528" i="21"/>
  <c r="E529" i="21"/>
  <c r="F529" i="21"/>
  <c r="G529" i="21"/>
  <c r="H529" i="21"/>
  <c r="I529" i="21"/>
  <c r="E530" i="21"/>
  <c r="F530" i="21"/>
  <c r="G530" i="21"/>
  <c r="H530" i="21"/>
  <c r="I530" i="21"/>
  <c r="E531" i="21"/>
  <c r="F531" i="21"/>
  <c r="G531" i="21"/>
  <c r="H531" i="21"/>
  <c r="I531" i="21"/>
  <c r="E532" i="21"/>
  <c r="F532" i="21"/>
  <c r="G532" i="21"/>
  <c r="H532" i="21"/>
  <c r="I532" i="21"/>
  <c r="E533" i="21"/>
  <c r="F533" i="21"/>
  <c r="G533" i="21"/>
  <c r="H533" i="21"/>
  <c r="I533" i="21"/>
  <c r="E534" i="21"/>
  <c r="F534" i="21"/>
  <c r="G534" i="21"/>
  <c r="H534" i="21"/>
  <c r="I534" i="21"/>
  <c r="E535" i="21"/>
  <c r="F535" i="21"/>
  <c r="G535" i="21"/>
  <c r="H535" i="21"/>
  <c r="I535" i="21"/>
  <c r="E536" i="21"/>
  <c r="F536" i="21"/>
  <c r="G536" i="21"/>
  <c r="H536" i="21"/>
  <c r="I536" i="21"/>
  <c r="E537" i="21"/>
  <c r="F537" i="21"/>
  <c r="G537" i="21"/>
  <c r="H537" i="21"/>
  <c r="I537" i="21"/>
  <c r="E538" i="21"/>
  <c r="F538" i="21"/>
  <c r="G538" i="21"/>
  <c r="H538" i="21"/>
  <c r="I538" i="21"/>
  <c r="E539" i="21"/>
  <c r="F539" i="21"/>
  <c r="G539" i="21"/>
  <c r="H539" i="21"/>
  <c r="I539" i="21"/>
  <c r="E540" i="21"/>
  <c r="F540" i="21"/>
  <c r="G540" i="21"/>
  <c r="H540" i="21"/>
  <c r="I540" i="21"/>
  <c r="E541" i="21"/>
  <c r="F541" i="21"/>
  <c r="G541" i="21"/>
  <c r="H541" i="21"/>
  <c r="I541" i="21"/>
  <c r="E542" i="21"/>
  <c r="F542" i="21"/>
  <c r="G542" i="21"/>
  <c r="H542" i="21"/>
  <c r="I542" i="21"/>
  <c r="E543" i="21"/>
  <c r="F543" i="21"/>
  <c r="G543" i="21"/>
  <c r="H543" i="21"/>
  <c r="I543" i="21"/>
  <c r="E544" i="21"/>
  <c r="F544" i="21"/>
  <c r="G544" i="21"/>
  <c r="H544" i="21"/>
  <c r="I544" i="21"/>
  <c r="E545" i="21"/>
  <c r="F545" i="21"/>
  <c r="G545" i="21"/>
  <c r="H545" i="21"/>
  <c r="I545" i="21"/>
  <c r="E546" i="21"/>
  <c r="F546" i="21"/>
  <c r="G546" i="21"/>
  <c r="H546" i="21"/>
  <c r="I546" i="21"/>
  <c r="E547" i="21"/>
  <c r="F547" i="21"/>
  <c r="G547" i="21"/>
  <c r="H547" i="21"/>
  <c r="I547" i="21"/>
  <c r="E548" i="21"/>
  <c r="F548" i="21"/>
  <c r="G548" i="21"/>
  <c r="H548" i="21"/>
  <c r="I548" i="21"/>
  <c r="E549" i="21"/>
  <c r="F549" i="21"/>
  <c r="G549" i="21"/>
  <c r="H549" i="21"/>
  <c r="I549" i="21"/>
  <c r="E550" i="21"/>
  <c r="F550" i="21"/>
  <c r="G550" i="21"/>
  <c r="H550" i="21"/>
  <c r="I550" i="21"/>
  <c r="E551" i="21"/>
  <c r="F551" i="21"/>
  <c r="G551" i="21"/>
  <c r="H551" i="21"/>
  <c r="I551" i="21"/>
  <c r="E552" i="21"/>
  <c r="F552" i="21"/>
  <c r="G552" i="21"/>
  <c r="H552" i="21"/>
  <c r="I552" i="21"/>
  <c r="E553" i="21"/>
  <c r="F553" i="21"/>
  <c r="G553" i="21"/>
  <c r="H553" i="21"/>
  <c r="I553" i="21"/>
  <c r="E554" i="21"/>
  <c r="F554" i="21"/>
  <c r="G554" i="21"/>
  <c r="H554" i="21"/>
  <c r="I554" i="21"/>
  <c r="E555" i="21"/>
  <c r="F555" i="21"/>
  <c r="G555" i="21"/>
  <c r="H555" i="21"/>
  <c r="I555" i="21"/>
  <c r="E556" i="21"/>
  <c r="F556" i="21"/>
  <c r="G556" i="21"/>
  <c r="H556" i="21"/>
  <c r="I556" i="21"/>
  <c r="E557" i="21"/>
  <c r="F557" i="21"/>
  <c r="G557" i="21"/>
  <c r="H557" i="21"/>
  <c r="I557" i="21"/>
  <c r="E558" i="21"/>
  <c r="F558" i="21"/>
  <c r="G558" i="21"/>
  <c r="H558" i="21"/>
  <c r="I558" i="21"/>
  <c r="E559" i="21"/>
  <c r="F559" i="21"/>
  <c r="G559" i="21"/>
  <c r="H559" i="21"/>
  <c r="I559" i="21"/>
  <c r="E560" i="21"/>
  <c r="F560" i="21"/>
  <c r="G560" i="21"/>
  <c r="H560" i="21"/>
  <c r="I560" i="21"/>
  <c r="E561" i="21"/>
  <c r="F561" i="21"/>
  <c r="G561" i="21"/>
  <c r="H561" i="21"/>
  <c r="I561" i="21"/>
  <c r="E562" i="21"/>
  <c r="F562" i="21"/>
  <c r="G562" i="21"/>
  <c r="H562" i="21"/>
  <c r="I562" i="21"/>
  <c r="E563" i="21"/>
  <c r="F563" i="21"/>
  <c r="G563" i="21"/>
  <c r="H563" i="21"/>
  <c r="I563" i="21"/>
  <c r="E564" i="21"/>
  <c r="F564" i="21"/>
  <c r="G564" i="21"/>
  <c r="H564" i="21"/>
  <c r="I564" i="21"/>
  <c r="E565" i="21"/>
  <c r="F565" i="21"/>
  <c r="G565" i="21"/>
  <c r="H565" i="21"/>
  <c r="I565" i="21"/>
  <c r="E566" i="21"/>
  <c r="F566" i="21"/>
  <c r="G566" i="21"/>
  <c r="H566" i="21"/>
  <c r="I566" i="21"/>
  <c r="E567" i="21"/>
  <c r="F567" i="21"/>
  <c r="G567" i="21"/>
  <c r="H567" i="21"/>
  <c r="I567" i="21"/>
  <c r="E568" i="21"/>
  <c r="F568" i="21"/>
  <c r="G568" i="21"/>
  <c r="H568" i="21"/>
  <c r="I568" i="21"/>
  <c r="E569" i="21"/>
  <c r="F569" i="21"/>
  <c r="G569" i="21"/>
  <c r="H569" i="21"/>
  <c r="I569" i="21"/>
  <c r="E570" i="21"/>
  <c r="F570" i="21"/>
  <c r="G570" i="21"/>
  <c r="H570" i="21"/>
  <c r="I570" i="21"/>
  <c r="E571" i="21"/>
  <c r="F571" i="21"/>
  <c r="G571" i="21"/>
  <c r="H571" i="21"/>
  <c r="I571" i="21"/>
  <c r="E572" i="21"/>
  <c r="F572" i="21"/>
  <c r="G572" i="21"/>
  <c r="H572" i="21"/>
  <c r="I572" i="21"/>
  <c r="E573" i="21"/>
  <c r="F573" i="21"/>
  <c r="G573" i="21"/>
  <c r="H573" i="21"/>
  <c r="I573" i="21"/>
  <c r="E574" i="21"/>
  <c r="F574" i="21"/>
  <c r="G574" i="21"/>
  <c r="H574" i="21"/>
  <c r="I574" i="21"/>
  <c r="E575" i="21"/>
  <c r="F575" i="21"/>
  <c r="G575" i="21"/>
  <c r="H575" i="21"/>
  <c r="I575" i="21"/>
  <c r="E576" i="21"/>
  <c r="F576" i="21"/>
  <c r="G576" i="21"/>
  <c r="H576" i="21"/>
  <c r="I576" i="21"/>
  <c r="E577" i="21"/>
  <c r="F577" i="21"/>
  <c r="G577" i="21"/>
  <c r="H577" i="21"/>
  <c r="I577" i="21"/>
  <c r="E578" i="21"/>
  <c r="F578" i="21"/>
  <c r="G578" i="21"/>
  <c r="H578" i="21"/>
  <c r="I578" i="21"/>
  <c r="E579" i="21"/>
  <c r="F579" i="21"/>
  <c r="G579" i="21"/>
  <c r="H579" i="21"/>
  <c r="I579" i="21"/>
  <c r="E580" i="21"/>
  <c r="F580" i="21"/>
  <c r="G580" i="21"/>
  <c r="H580" i="21"/>
  <c r="I580" i="21"/>
  <c r="E581" i="21"/>
  <c r="F581" i="21"/>
  <c r="G581" i="21"/>
  <c r="H581" i="21"/>
  <c r="I581" i="21"/>
  <c r="E582" i="21"/>
  <c r="F582" i="21"/>
  <c r="G582" i="21"/>
  <c r="H582" i="21"/>
  <c r="I582" i="21"/>
  <c r="E583" i="21"/>
  <c r="F583" i="21"/>
  <c r="G583" i="21"/>
  <c r="H583" i="21"/>
  <c r="I583" i="21"/>
  <c r="E584" i="21"/>
  <c r="F584" i="21"/>
  <c r="G584" i="21"/>
  <c r="H584" i="21"/>
  <c r="I584" i="21"/>
  <c r="E585" i="21"/>
  <c r="F585" i="21"/>
  <c r="G585" i="21"/>
  <c r="H585" i="21"/>
  <c r="I585" i="21"/>
  <c r="E586" i="21"/>
  <c r="F586" i="21"/>
  <c r="G586" i="21"/>
  <c r="H586" i="21"/>
  <c r="I586" i="21"/>
  <c r="E587" i="21"/>
  <c r="F587" i="21"/>
  <c r="G587" i="21"/>
  <c r="H587" i="21"/>
  <c r="I587" i="21"/>
  <c r="E588" i="21"/>
  <c r="F588" i="21"/>
  <c r="G588" i="21"/>
  <c r="H588" i="21"/>
  <c r="I588" i="21"/>
  <c r="E589" i="21"/>
  <c r="F589" i="21"/>
  <c r="G589" i="21"/>
  <c r="H589" i="21"/>
  <c r="I589" i="21"/>
  <c r="E590" i="21"/>
  <c r="F590" i="21"/>
  <c r="G590" i="21"/>
  <c r="H590" i="21"/>
  <c r="I590" i="21"/>
  <c r="E591" i="21"/>
  <c r="F591" i="21"/>
  <c r="G591" i="21"/>
  <c r="H591" i="21"/>
  <c r="I591" i="21"/>
  <c r="E592" i="21"/>
  <c r="F592" i="21"/>
  <c r="G592" i="21"/>
  <c r="H592" i="21"/>
  <c r="I592" i="21"/>
  <c r="E593" i="21"/>
  <c r="F593" i="21"/>
  <c r="G593" i="21"/>
  <c r="H593" i="21"/>
  <c r="I593" i="21"/>
  <c r="E594" i="21"/>
  <c r="F594" i="21"/>
  <c r="G594" i="21"/>
  <c r="H594" i="21"/>
  <c r="I594" i="21"/>
  <c r="E595" i="21"/>
  <c r="F595" i="21"/>
  <c r="G595" i="21"/>
  <c r="H595" i="21"/>
  <c r="I595" i="21"/>
  <c r="E596" i="21"/>
  <c r="F596" i="21"/>
  <c r="G596" i="21"/>
  <c r="H596" i="21"/>
  <c r="I596" i="21"/>
  <c r="E597" i="21"/>
  <c r="F597" i="21"/>
  <c r="G597" i="21"/>
  <c r="H597" i="21"/>
  <c r="I597" i="21"/>
  <c r="E598" i="21"/>
  <c r="F598" i="21"/>
  <c r="G598" i="21"/>
  <c r="H598" i="21"/>
  <c r="I598" i="21"/>
  <c r="E599" i="21"/>
  <c r="F599" i="21"/>
  <c r="G599" i="21"/>
  <c r="H599" i="21"/>
  <c r="I599" i="21"/>
  <c r="E600" i="21"/>
  <c r="F600" i="21"/>
  <c r="G600" i="21"/>
  <c r="H600" i="21"/>
  <c r="I600" i="21"/>
  <c r="E601" i="21"/>
  <c r="F601" i="21"/>
  <c r="G601" i="21"/>
  <c r="H601" i="21"/>
  <c r="I601" i="21"/>
  <c r="E602" i="21"/>
  <c r="F602" i="21"/>
  <c r="G602" i="21"/>
  <c r="H602" i="21"/>
  <c r="I602" i="21"/>
  <c r="E603" i="21"/>
  <c r="F603" i="21"/>
  <c r="G603" i="21"/>
  <c r="H603" i="21"/>
  <c r="I603" i="21"/>
  <c r="E604" i="21"/>
  <c r="F604" i="21"/>
  <c r="G604" i="21"/>
  <c r="H604" i="21"/>
  <c r="I604" i="21"/>
  <c r="I60" i="25"/>
  <c r="X11" i="25" l="1"/>
  <c r="I48" i="19"/>
  <c r="P43" i="18" l="1"/>
  <c r="Q37" i="17"/>
  <c r="M7" i="19"/>
  <c r="N7" i="19" s="1"/>
  <c r="M8" i="19"/>
  <c r="N8" i="19" s="1"/>
  <c r="M9" i="19"/>
  <c r="N9" i="19" s="1"/>
  <c r="M10" i="19"/>
  <c r="N10" i="19" s="1"/>
  <c r="M11" i="19"/>
  <c r="N11" i="19" s="1"/>
  <c r="M12" i="19"/>
  <c r="N12" i="19" s="1"/>
  <c r="M13" i="19"/>
  <c r="N13" i="19" s="1"/>
  <c r="M14" i="19"/>
  <c r="N14" i="19" s="1"/>
  <c r="M15" i="19"/>
  <c r="N15" i="19" s="1"/>
  <c r="M16" i="19"/>
  <c r="N16" i="19" s="1"/>
  <c r="M17" i="19"/>
  <c r="M18" i="19"/>
  <c r="N18" i="19" s="1"/>
  <c r="M19" i="19"/>
  <c r="M20" i="19"/>
  <c r="N20" i="19" s="1"/>
  <c r="M21" i="19"/>
  <c r="N21" i="19" s="1"/>
  <c r="M22" i="19"/>
  <c r="N22" i="19" s="1"/>
  <c r="M23" i="19"/>
  <c r="N23" i="19" s="1"/>
  <c r="M24" i="19"/>
  <c r="N24" i="19" s="1"/>
  <c r="M25" i="19"/>
  <c r="N25" i="19" s="1"/>
  <c r="M26" i="19"/>
  <c r="N26" i="19" s="1"/>
  <c r="M27" i="19"/>
  <c r="N27" i="19" s="1"/>
  <c r="M28" i="19"/>
  <c r="N28" i="19" s="1"/>
  <c r="M29" i="19"/>
  <c r="N29" i="19" s="1"/>
  <c r="M30" i="19"/>
  <c r="M31" i="19"/>
  <c r="N31" i="19" s="1"/>
  <c r="M32" i="19"/>
  <c r="N32" i="19" s="1"/>
  <c r="M33" i="19"/>
  <c r="N33" i="19" s="1"/>
  <c r="M34" i="19"/>
  <c r="N34" i="19" s="1"/>
  <c r="M35" i="19"/>
  <c r="N35" i="19" s="1"/>
  <c r="M36" i="19"/>
  <c r="N36" i="19" s="1"/>
  <c r="M37" i="19"/>
  <c r="N37" i="19" s="1"/>
  <c r="M39" i="19"/>
  <c r="N39" i="19" s="1"/>
  <c r="M40" i="19"/>
  <c r="N40" i="19" s="1"/>
  <c r="M41" i="19"/>
  <c r="N41" i="19" s="1"/>
  <c r="M42" i="19"/>
  <c r="N42" i="19" s="1"/>
  <c r="M43" i="19"/>
  <c r="N43" i="19" s="1"/>
  <c r="M44" i="19"/>
  <c r="N44" i="19" s="1"/>
  <c r="M45" i="19"/>
  <c r="N45" i="19" s="1"/>
  <c r="M46" i="19"/>
  <c r="N46" i="19" s="1"/>
  <c r="M6" i="19"/>
  <c r="N6" i="19" s="1"/>
  <c r="K5" i="17"/>
  <c r="O7" i="25"/>
  <c r="O8" i="25"/>
  <c r="O9" i="25"/>
  <c r="O10" i="25"/>
  <c r="O11" i="25"/>
  <c r="O13" i="25"/>
  <c r="O14" i="25"/>
  <c r="O16" i="25"/>
  <c r="O17" i="25"/>
  <c r="O19" i="25"/>
  <c r="O20" i="25"/>
  <c r="O21" i="25"/>
  <c r="O22" i="25"/>
  <c r="O23" i="25"/>
  <c r="O24" i="25"/>
  <c r="O25" i="25"/>
  <c r="O26" i="25"/>
  <c r="O27" i="25"/>
  <c r="O29" i="25"/>
  <c r="O30" i="25"/>
  <c r="O31" i="25"/>
  <c r="O32" i="25"/>
  <c r="O33" i="25"/>
  <c r="O34" i="25"/>
  <c r="O35" i="25"/>
  <c r="O36" i="25"/>
  <c r="O37" i="25"/>
  <c r="O38" i="25"/>
  <c r="O39" i="25"/>
  <c r="O40" i="25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60" i="25"/>
  <c r="O61" i="25"/>
  <c r="O62" i="25"/>
  <c r="O63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9" i="25"/>
  <c r="O80" i="25"/>
  <c r="O81" i="25"/>
  <c r="O82" i="25"/>
  <c r="O84" i="25"/>
  <c r="O85" i="25"/>
  <c r="O86" i="25"/>
  <c r="O87" i="25"/>
  <c r="O6" i="25"/>
  <c r="Q36" i="21"/>
  <c r="J16" i="23" l="1"/>
  <c r="K16" i="23" s="1"/>
  <c r="N17" i="19"/>
  <c r="J26" i="23"/>
  <c r="K26" i="23" s="1"/>
  <c r="N30" i="19"/>
  <c r="J18" i="23"/>
  <c r="K18" i="23" s="1"/>
  <c r="N19" i="19"/>
  <c r="O59" i="25"/>
  <c r="O78" i="25"/>
  <c r="O88" i="25"/>
  <c r="O64" i="25"/>
  <c r="O83" i="25"/>
  <c r="O12" i="25"/>
  <c r="O28" i="25"/>
  <c r="L16" i="23" l="1"/>
  <c r="L26" i="23"/>
  <c r="L18" i="23"/>
  <c r="K31" i="25"/>
  <c r="K32" i="25"/>
  <c r="K33" i="25"/>
  <c r="K34" i="25"/>
  <c r="K35" i="25"/>
  <c r="K36" i="25"/>
  <c r="K37" i="25"/>
  <c r="K38" i="25"/>
  <c r="K39" i="25"/>
  <c r="K40" i="25"/>
  <c r="K41" i="25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30" i="25"/>
  <c r="K29" i="25"/>
  <c r="K22" i="25"/>
  <c r="K23" i="25"/>
  <c r="K24" i="25"/>
  <c r="K14" i="25"/>
  <c r="K15" i="25"/>
  <c r="K16" i="25"/>
  <c r="K17" i="25"/>
  <c r="L17" i="25" s="1"/>
  <c r="K19" i="25"/>
  <c r="K20" i="25"/>
  <c r="K13" i="25"/>
  <c r="K9" i="25"/>
  <c r="K10" i="25"/>
  <c r="K11" i="25"/>
  <c r="F218" i="22" l="1"/>
  <c r="G218" i="22"/>
  <c r="H218" i="22"/>
  <c r="I218" i="22"/>
  <c r="F219" i="22"/>
  <c r="G219" i="22"/>
  <c r="H219" i="22"/>
  <c r="I219" i="22"/>
  <c r="F220" i="22"/>
  <c r="G220" i="22"/>
  <c r="H220" i="22"/>
  <c r="I220" i="22"/>
  <c r="F221" i="22"/>
  <c r="G221" i="22"/>
  <c r="H221" i="22"/>
  <c r="I221" i="22"/>
  <c r="F222" i="22"/>
  <c r="G222" i="22"/>
  <c r="H222" i="22"/>
  <c r="I222" i="22"/>
  <c r="F223" i="22"/>
  <c r="G223" i="22"/>
  <c r="H223" i="22"/>
  <c r="I223" i="22"/>
  <c r="F224" i="22"/>
  <c r="G224" i="22"/>
  <c r="H224" i="22"/>
  <c r="I224" i="22"/>
  <c r="F225" i="22"/>
  <c r="G225" i="22"/>
  <c r="H225" i="22"/>
  <c r="I225" i="22"/>
  <c r="F226" i="22"/>
  <c r="G226" i="22"/>
  <c r="H226" i="22"/>
  <c r="I226" i="22"/>
  <c r="F227" i="22"/>
  <c r="G227" i="22"/>
  <c r="H227" i="22"/>
  <c r="I227" i="22"/>
  <c r="F228" i="22"/>
  <c r="G228" i="22"/>
  <c r="H228" i="22"/>
  <c r="I228" i="22"/>
  <c r="F229" i="22"/>
  <c r="G229" i="22"/>
  <c r="H229" i="22"/>
  <c r="I229" i="22"/>
  <c r="F230" i="22"/>
  <c r="G230" i="22"/>
  <c r="H230" i="22"/>
  <c r="I230" i="22"/>
  <c r="F231" i="22"/>
  <c r="G231" i="22"/>
  <c r="H231" i="22"/>
  <c r="I231" i="22"/>
  <c r="F232" i="22"/>
  <c r="G232" i="22"/>
  <c r="H232" i="22"/>
  <c r="I232" i="22"/>
  <c r="F233" i="22"/>
  <c r="G233" i="22"/>
  <c r="H233" i="22"/>
  <c r="I233" i="22"/>
  <c r="F234" i="22"/>
  <c r="G234" i="22"/>
  <c r="H234" i="22"/>
  <c r="I234" i="22"/>
  <c r="F235" i="22"/>
  <c r="G235" i="22"/>
  <c r="H235" i="22"/>
  <c r="I235" i="22"/>
  <c r="F236" i="22"/>
  <c r="G236" i="22"/>
  <c r="H236" i="22"/>
  <c r="I236" i="22"/>
  <c r="F237" i="22"/>
  <c r="G237" i="22"/>
  <c r="H237" i="22"/>
  <c r="I237" i="22"/>
  <c r="F238" i="22"/>
  <c r="G238" i="22"/>
  <c r="H238" i="22"/>
  <c r="I238" i="22"/>
  <c r="F239" i="22"/>
  <c r="G239" i="22"/>
  <c r="H239" i="22"/>
  <c r="I239" i="22"/>
  <c r="F240" i="22"/>
  <c r="G240" i="22"/>
  <c r="H240" i="22"/>
  <c r="I240" i="22"/>
  <c r="F241" i="22"/>
  <c r="G241" i="22"/>
  <c r="H241" i="22"/>
  <c r="I241" i="22"/>
  <c r="F242" i="22"/>
  <c r="G242" i="22"/>
  <c r="H242" i="22"/>
  <c r="I242" i="22"/>
  <c r="F243" i="22"/>
  <c r="G243" i="22"/>
  <c r="H243" i="22"/>
  <c r="I243" i="22"/>
  <c r="F244" i="22"/>
  <c r="G244" i="22"/>
  <c r="H244" i="22"/>
  <c r="I244" i="22"/>
  <c r="F245" i="22"/>
  <c r="G245" i="22"/>
  <c r="H245" i="22"/>
  <c r="I245" i="22"/>
  <c r="F246" i="22"/>
  <c r="G246" i="22"/>
  <c r="H246" i="22"/>
  <c r="I246" i="22"/>
  <c r="F247" i="22"/>
  <c r="G247" i="22"/>
  <c r="H247" i="22"/>
  <c r="I247" i="22"/>
  <c r="E6" i="21"/>
  <c r="F6" i="21"/>
  <c r="G6" i="21"/>
  <c r="H6" i="21"/>
  <c r="I6" i="21"/>
  <c r="L46" i="18"/>
  <c r="C32" i="23" l="1"/>
  <c r="D32" i="23"/>
  <c r="E32" i="23"/>
  <c r="I32" i="23"/>
  <c r="J32" i="23"/>
  <c r="L32" i="23" s="1"/>
  <c r="N32" i="23"/>
  <c r="O32" i="23"/>
  <c r="C7" i="23"/>
  <c r="C8" i="23"/>
  <c r="C9" i="23"/>
  <c r="C10" i="23"/>
  <c r="C11" i="23"/>
  <c r="C12" i="23"/>
  <c r="C13" i="23"/>
  <c r="C14" i="23"/>
  <c r="C15" i="23"/>
  <c r="C17" i="23"/>
  <c r="I33" i="19" l="1"/>
  <c r="F32" i="23" s="1"/>
  <c r="I29" i="19"/>
  <c r="I17" i="19"/>
  <c r="F16" i="23" s="1"/>
  <c r="H16" i="23" s="1"/>
  <c r="I51" i="25"/>
  <c r="I50" i="25"/>
  <c r="I49" i="25"/>
  <c r="I48" i="25"/>
  <c r="I47" i="25"/>
  <c r="I45" i="25"/>
  <c r="I44" i="25"/>
  <c r="I43" i="25"/>
  <c r="I42" i="25"/>
  <c r="I41" i="25"/>
  <c r="I33" i="25"/>
  <c r="I31" i="25"/>
  <c r="I30" i="25"/>
  <c r="I63" i="25"/>
  <c r="I62" i="25"/>
  <c r="I61" i="25"/>
  <c r="P25" i="25" l="1"/>
  <c r="P26" i="25"/>
  <c r="P27" i="25"/>
  <c r="T2" i="19" l="1"/>
  <c r="Q2" i="25"/>
  <c r="J27" i="25" l="1"/>
  <c r="M27" i="25" l="1"/>
  <c r="F38" i="23"/>
  <c r="G38" i="23"/>
  <c r="F39" i="23"/>
  <c r="G39" i="23"/>
  <c r="F40" i="23"/>
  <c r="F41" i="23"/>
  <c r="I38" i="23"/>
  <c r="J38" i="23"/>
  <c r="L38" i="23" s="1"/>
  <c r="N38" i="23"/>
  <c r="O38" i="23"/>
  <c r="I39" i="23"/>
  <c r="J39" i="23"/>
  <c r="L39" i="23" s="1"/>
  <c r="N39" i="23"/>
  <c r="O39" i="23"/>
  <c r="I40" i="23"/>
  <c r="J40" i="23"/>
  <c r="L40" i="23" s="1"/>
  <c r="N40" i="23"/>
  <c r="O40" i="23"/>
  <c r="I41" i="23"/>
  <c r="J41" i="23"/>
  <c r="L41" i="23" s="1"/>
  <c r="N41" i="23"/>
  <c r="O41" i="23"/>
  <c r="K39" i="23" l="1"/>
  <c r="K38" i="23"/>
  <c r="H38" i="23"/>
  <c r="H39" i="23"/>
  <c r="G37" i="17"/>
  <c r="G115" i="17"/>
  <c r="G120" i="17"/>
  <c r="G122" i="17"/>
  <c r="G123" i="17"/>
  <c r="G127" i="17"/>
  <c r="G132" i="17"/>
  <c r="G135" i="17"/>
  <c r="G144" i="17"/>
  <c r="G149" i="17"/>
  <c r="O136" i="17"/>
  <c r="P137" i="17"/>
  <c r="P138" i="17"/>
  <c r="O123" i="22"/>
  <c r="G125" i="17"/>
  <c r="H125" i="17"/>
  <c r="I125" i="17"/>
  <c r="J125" i="17"/>
  <c r="K125" i="17"/>
  <c r="N7" i="25"/>
  <c r="P7" i="25" s="1"/>
  <c r="K60" i="25"/>
  <c r="K61" i="25"/>
  <c r="K62" i="25"/>
  <c r="K63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9" i="25"/>
  <c r="K80" i="25"/>
  <c r="K81" i="25"/>
  <c r="K82" i="25"/>
  <c r="K84" i="25"/>
  <c r="K85" i="25"/>
  <c r="K86" i="25"/>
  <c r="K87" i="25"/>
  <c r="K7" i="25"/>
  <c r="K8" i="25"/>
  <c r="K6" i="25"/>
  <c r="F6" i="22"/>
  <c r="G6" i="22"/>
  <c r="H6" i="22"/>
  <c r="I6" i="22"/>
  <c r="J6" i="22"/>
  <c r="F7" i="22"/>
  <c r="G7" i="22"/>
  <c r="H7" i="22"/>
  <c r="I7" i="22"/>
  <c r="J7" i="22"/>
  <c r="F8" i="22"/>
  <c r="G8" i="22"/>
  <c r="H8" i="22"/>
  <c r="I8" i="22"/>
  <c r="J8" i="22"/>
  <c r="F9" i="22"/>
  <c r="G9" i="22"/>
  <c r="H9" i="22"/>
  <c r="I9" i="22"/>
  <c r="J9" i="22"/>
  <c r="F10" i="22"/>
  <c r="G10" i="22"/>
  <c r="H10" i="22"/>
  <c r="I10" i="22"/>
  <c r="J10" i="22"/>
  <c r="F11" i="22"/>
  <c r="G11" i="22"/>
  <c r="H11" i="22"/>
  <c r="I11" i="22"/>
  <c r="J11" i="22"/>
  <c r="F12" i="22"/>
  <c r="G12" i="22"/>
  <c r="H12" i="22"/>
  <c r="I12" i="22"/>
  <c r="J12" i="22"/>
  <c r="F13" i="22"/>
  <c r="G13" i="22"/>
  <c r="H13" i="22"/>
  <c r="I13" i="22"/>
  <c r="J13" i="22"/>
  <c r="F14" i="22"/>
  <c r="G14" i="22"/>
  <c r="H14" i="22"/>
  <c r="I14" i="22"/>
  <c r="J14" i="22"/>
  <c r="F15" i="22"/>
  <c r="G15" i="22"/>
  <c r="H15" i="22"/>
  <c r="I15" i="22"/>
  <c r="J15" i="22"/>
  <c r="F16" i="22"/>
  <c r="G16" i="22"/>
  <c r="H16" i="22"/>
  <c r="I16" i="22"/>
  <c r="J16" i="22"/>
  <c r="F17" i="22"/>
  <c r="G17" i="22"/>
  <c r="H17" i="22"/>
  <c r="I17" i="22"/>
  <c r="J17" i="22"/>
  <c r="F18" i="22"/>
  <c r="G18" i="22"/>
  <c r="H18" i="22"/>
  <c r="I18" i="22"/>
  <c r="J18" i="22"/>
  <c r="F19" i="22"/>
  <c r="G19" i="22"/>
  <c r="H19" i="22"/>
  <c r="I19" i="22"/>
  <c r="J19" i="22"/>
  <c r="F20" i="22"/>
  <c r="G20" i="22"/>
  <c r="H20" i="22"/>
  <c r="I20" i="22"/>
  <c r="J20" i="22"/>
  <c r="F21" i="22"/>
  <c r="G21" i="22"/>
  <c r="H21" i="22"/>
  <c r="I21" i="22"/>
  <c r="J21" i="22"/>
  <c r="F22" i="22"/>
  <c r="G22" i="22"/>
  <c r="H22" i="22"/>
  <c r="I22" i="22"/>
  <c r="J22" i="22"/>
  <c r="F23" i="22"/>
  <c r="G23" i="22"/>
  <c r="H23" i="22"/>
  <c r="I23" i="22"/>
  <c r="J23" i="22"/>
  <c r="F24" i="22"/>
  <c r="G24" i="22"/>
  <c r="H24" i="22"/>
  <c r="I24" i="22"/>
  <c r="J24" i="22"/>
  <c r="F25" i="22"/>
  <c r="G25" i="22"/>
  <c r="H25" i="22"/>
  <c r="I25" i="22"/>
  <c r="J25" i="22"/>
  <c r="F26" i="22"/>
  <c r="G26" i="22"/>
  <c r="H26" i="22"/>
  <c r="I26" i="22"/>
  <c r="J26" i="22"/>
  <c r="F27" i="22"/>
  <c r="G27" i="22"/>
  <c r="H27" i="22"/>
  <c r="I27" i="22"/>
  <c r="J27" i="22"/>
  <c r="F28" i="22"/>
  <c r="G28" i="22"/>
  <c r="H28" i="22"/>
  <c r="I28" i="22"/>
  <c r="J28" i="22"/>
  <c r="F29" i="22"/>
  <c r="G29" i="22"/>
  <c r="H29" i="22"/>
  <c r="I29" i="22"/>
  <c r="J29" i="22"/>
  <c r="F30" i="22"/>
  <c r="G30" i="22"/>
  <c r="H30" i="22"/>
  <c r="I30" i="22"/>
  <c r="J30" i="22"/>
  <c r="F31" i="22"/>
  <c r="G31" i="22"/>
  <c r="H31" i="22"/>
  <c r="I31" i="22"/>
  <c r="J31" i="22"/>
  <c r="F32" i="22"/>
  <c r="G32" i="22"/>
  <c r="H32" i="22"/>
  <c r="I32" i="22"/>
  <c r="J32" i="22"/>
  <c r="F33" i="22"/>
  <c r="G33" i="22"/>
  <c r="H33" i="22"/>
  <c r="I33" i="22"/>
  <c r="J33" i="22"/>
  <c r="F34" i="22"/>
  <c r="G34" i="22"/>
  <c r="H34" i="22"/>
  <c r="I34" i="22"/>
  <c r="J34" i="22"/>
  <c r="F35" i="22"/>
  <c r="G35" i="22"/>
  <c r="H35" i="22"/>
  <c r="I35" i="22"/>
  <c r="J35" i="22"/>
  <c r="F36" i="22"/>
  <c r="G36" i="22"/>
  <c r="H36" i="22"/>
  <c r="I36" i="22"/>
  <c r="J36" i="22"/>
  <c r="F37" i="22"/>
  <c r="G37" i="22"/>
  <c r="H37" i="22"/>
  <c r="I37" i="22"/>
  <c r="J37" i="22"/>
  <c r="F38" i="22"/>
  <c r="G38" i="22"/>
  <c r="H38" i="22"/>
  <c r="I38" i="22"/>
  <c r="J38" i="22"/>
  <c r="F39" i="22"/>
  <c r="G39" i="22"/>
  <c r="H39" i="22"/>
  <c r="I39" i="22"/>
  <c r="J39" i="22"/>
  <c r="F40" i="22"/>
  <c r="G40" i="22"/>
  <c r="H40" i="22"/>
  <c r="I40" i="22"/>
  <c r="J40" i="22"/>
  <c r="F41" i="22"/>
  <c r="G41" i="22"/>
  <c r="H41" i="22"/>
  <c r="I41" i="22"/>
  <c r="J41" i="22"/>
  <c r="F42" i="22"/>
  <c r="G42" i="22"/>
  <c r="H42" i="22"/>
  <c r="I42" i="22"/>
  <c r="J42" i="22"/>
  <c r="F43" i="22"/>
  <c r="G43" i="22"/>
  <c r="H43" i="22"/>
  <c r="I43" i="22"/>
  <c r="J43" i="22"/>
  <c r="F44" i="22"/>
  <c r="G44" i="22"/>
  <c r="H44" i="22"/>
  <c r="I44" i="22"/>
  <c r="J44" i="22"/>
  <c r="F45" i="22"/>
  <c r="G45" i="22"/>
  <c r="H45" i="22"/>
  <c r="I45" i="22"/>
  <c r="J45" i="22"/>
  <c r="F46" i="22"/>
  <c r="G46" i="22"/>
  <c r="H46" i="22"/>
  <c r="I46" i="22"/>
  <c r="J46" i="22"/>
  <c r="F47" i="22"/>
  <c r="G47" i="22"/>
  <c r="H47" i="22"/>
  <c r="I47" i="22"/>
  <c r="J47" i="22"/>
  <c r="F48" i="22"/>
  <c r="G48" i="22"/>
  <c r="H48" i="22"/>
  <c r="I48" i="22"/>
  <c r="J48" i="22"/>
  <c r="F49" i="22"/>
  <c r="G49" i="22"/>
  <c r="H49" i="22"/>
  <c r="I49" i="22"/>
  <c r="J49" i="22"/>
  <c r="F50" i="22"/>
  <c r="G50" i="22"/>
  <c r="H50" i="22"/>
  <c r="I50" i="22"/>
  <c r="J50" i="22"/>
  <c r="F51" i="22"/>
  <c r="G51" i="22"/>
  <c r="H51" i="22"/>
  <c r="I51" i="22"/>
  <c r="J51" i="22"/>
  <c r="F52" i="22"/>
  <c r="G52" i="22"/>
  <c r="H52" i="22"/>
  <c r="I52" i="22"/>
  <c r="J52" i="22"/>
  <c r="F53" i="22"/>
  <c r="G53" i="22"/>
  <c r="H53" i="22"/>
  <c r="I53" i="22"/>
  <c r="J53" i="22"/>
  <c r="F54" i="22"/>
  <c r="G54" i="22"/>
  <c r="H54" i="22"/>
  <c r="I54" i="22"/>
  <c r="J54" i="22"/>
  <c r="F55" i="22"/>
  <c r="G55" i="22"/>
  <c r="H55" i="22"/>
  <c r="I55" i="22"/>
  <c r="J55" i="22"/>
  <c r="F56" i="22"/>
  <c r="G56" i="22"/>
  <c r="H56" i="22"/>
  <c r="I56" i="22"/>
  <c r="J56" i="22"/>
  <c r="F57" i="22"/>
  <c r="G57" i="22"/>
  <c r="H57" i="22"/>
  <c r="I57" i="22"/>
  <c r="J57" i="22"/>
  <c r="F58" i="22"/>
  <c r="G58" i="22"/>
  <c r="H58" i="22"/>
  <c r="I58" i="22"/>
  <c r="J58" i="22"/>
  <c r="F59" i="22"/>
  <c r="G59" i="22"/>
  <c r="H59" i="22"/>
  <c r="I59" i="22"/>
  <c r="J59" i="22"/>
  <c r="F60" i="22"/>
  <c r="G60" i="22"/>
  <c r="H60" i="22"/>
  <c r="I60" i="22"/>
  <c r="J60" i="22"/>
  <c r="F61" i="22"/>
  <c r="G61" i="22"/>
  <c r="H61" i="22"/>
  <c r="I61" i="22"/>
  <c r="J61" i="22"/>
  <c r="F62" i="22"/>
  <c r="G62" i="22"/>
  <c r="H62" i="22"/>
  <c r="I62" i="22"/>
  <c r="J62" i="22"/>
  <c r="F63" i="22"/>
  <c r="G63" i="22"/>
  <c r="H63" i="22"/>
  <c r="I63" i="22"/>
  <c r="J63" i="22"/>
  <c r="F64" i="22"/>
  <c r="G64" i="22"/>
  <c r="H64" i="22"/>
  <c r="I64" i="22"/>
  <c r="J64" i="22"/>
  <c r="F65" i="22"/>
  <c r="G65" i="22"/>
  <c r="H65" i="22"/>
  <c r="I65" i="22"/>
  <c r="J65" i="22"/>
  <c r="F66" i="22"/>
  <c r="G66" i="22"/>
  <c r="H66" i="22"/>
  <c r="I66" i="22"/>
  <c r="J66" i="22"/>
  <c r="F67" i="22"/>
  <c r="G67" i="22"/>
  <c r="H67" i="22"/>
  <c r="I67" i="22"/>
  <c r="J67" i="22"/>
  <c r="F68" i="22"/>
  <c r="G68" i="22"/>
  <c r="H68" i="22"/>
  <c r="I68" i="22"/>
  <c r="J68" i="22"/>
  <c r="F69" i="22"/>
  <c r="G69" i="22"/>
  <c r="H69" i="22"/>
  <c r="I69" i="22"/>
  <c r="J69" i="22"/>
  <c r="F70" i="22"/>
  <c r="G70" i="22"/>
  <c r="H70" i="22"/>
  <c r="I70" i="22"/>
  <c r="J70" i="22"/>
  <c r="F71" i="22"/>
  <c r="G71" i="22"/>
  <c r="H71" i="22"/>
  <c r="I71" i="22"/>
  <c r="J71" i="22"/>
  <c r="F72" i="22"/>
  <c r="G72" i="22"/>
  <c r="H72" i="22"/>
  <c r="I72" i="22"/>
  <c r="J72" i="22"/>
  <c r="F73" i="22"/>
  <c r="G73" i="22"/>
  <c r="H73" i="22"/>
  <c r="I73" i="22"/>
  <c r="J73" i="22"/>
  <c r="F74" i="22"/>
  <c r="G74" i="22"/>
  <c r="H74" i="22"/>
  <c r="I74" i="22"/>
  <c r="J74" i="22"/>
  <c r="F75" i="22"/>
  <c r="G75" i="22"/>
  <c r="H75" i="22"/>
  <c r="I75" i="22"/>
  <c r="J75" i="22"/>
  <c r="F76" i="22"/>
  <c r="G76" i="22"/>
  <c r="H76" i="22"/>
  <c r="I76" i="22"/>
  <c r="J76" i="22"/>
  <c r="F77" i="22"/>
  <c r="G77" i="22"/>
  <c r="H77" i="22"/>
  <c r="I77" i="22"/>
  <c r="J77" i="22"/>
  <c r="F78" i="22"/>
  <c r="G78" i="22"/>
  <c r="H78" i="22"/>
  <c r="I78" i="22"/>
  <c r="J78" i="22"/>
  <c r="F79" i="22"/>
  <c r="G79" i="22"/>
  <c r="H79" i="22"/>
  <c r="I79" i="22"/>
  <c r="J79" i="22"/>
  <c r="G32" i="23"/>
  <c r="K32" i="23" s="1"/>
  <c r="G40" i="23"/>
  <c r="G41" i="23"/>
  <c r="G5" i="17"/>
  <c r="H5" i="17"/>
  <c r="I5" i="17"/>
  <c r="J5" i="17"/>
  <c r="G6" i="17"/>
  <c r="H6" i="17"/>
  <c r="I6" i="17"/>
  <c r="J6" i="17"/>
  <c r="K6" i="17"/>
  <c r="G7" i="17"/>
  <c r="H7" i="17"/>
  <c r="I7" i="17"/>
  <c r="J7" i="17"/>
  <c r="K7" i="17"/>
  <c r="G8" i="17"/>
  <c r="H8" i="17"/>
  <c r="I8" i="17"/>
  <c r="J8" i="17"/>
  <c r="K8" i="17"/>
  <c r="G9" i="17"/>
  <c r="H9" i="17"/>
  <c r="I9" i="17"/>
  <c r="J9" i="17"/>
  <c r="K9" i="17"/>
  <c r="G10" i="17"/>
  <c r="H10" i="17"/>
  <c r="I10" i="17"/>
  <c r="J10" i="17"/>
  <c r="K10" i="17"/>
  <c r="G11" i="17"/>
  <c r="H11" i="17"/>
  <c r="I11" i="17"/>
  <c r="J11" i="17"/>
  <c r="K11" i="17"/>
  <c r="G12" i="17"/>
  <c r="H12" i="17"/>
  <c r="I12" i="17"/>
  <c r="J12" i="17"/>
  <c r="K12" i="17"/>
  <c r="G13" i="17"/>
  <c r="H13" i="17"/>
  <c r="I13" i="17"/>
  <c r="J13" i="17"/>
  <c r="K13" i="17"/>
  <c r="G14" i="17"/>
  <c r="H14" i="17"/>
  <c r="I14" i="17"/>
  <c r="J14" i="17"/>
  <c r="K14" i="17"/>
  <c r="G15" i="17"/>
  <c r="H15" i="17"/>
  <c r="I15" i="17"/>
  <c r="J15" i="17"/>
  <c r="K15" i="17"/>
  <c r="G16" i="17"/>
  <c r="H16" i="17"/>
  <c r="I16" i="17"/>
  <c r="J16" i="17"/>
  <c r="K16" i="17"/>
  <c r="G17" i="17"/>
  <c r="H17" i="17"/>
  <c r="I17" i="17"/>
  <c r="J17" i="17"/>
  <c r="K17" i="17"/>
  <c r="G18" i="17"/>
  <c r="H18" i="17"/>
  <c r="I18" i="17"/>
  <c r="J18" i="17"/>
  <c r="K18" i="17"/>
  <c r="G19" i="17"/>
  <c r="H19" i="17"/>
  <c r="I19" i="17"/>
  <c r="J19" i="17"/>
  <c r="G20" i="17"/>
  <c r="H20" i="17"/>
  <c r="I20" i="17"/>
  <c r="J20" i="17"/>
  <c r="K20" i="17"/>
  <c r="G21" i="17"/>
  <c r="H21" i="17"/>
  <c r="I21" i="17"/>
  <c r="J21" i="17"/>
  <c r="K21" i="17"/>
  <c r="G22" i="17"/>
  <c r="H22" i="17"/>
  <c r="I22" i="17"/>
  <c r="J22" i="17"/>
  <c r="K22" i="17"/>
  <c r="G23" i="17"/>
  <c r="H23" i="17"/>
  <c r="I23" i="17"/>
  <c r="J23" i="17"/>
  <c r="K23" i="17"/>
  <c r="G24" i="17"/>
  <c r="H24" i="17"/>
  <c r="I24" i="17"/>
  <c r="J24" i="17"/>
  <c r="K24" i="17"/>
  <c r="G25" i="17"/>
  <c r="H25" i="17"/>
  <c r="I25" i="17"/>
  <c r="J25" i="17"/>
  <c r="K25" i="17"/>
  <c r="G26" i="17"/>
  <c r="H26" i="17"/>
  <c r="I26" i="17"/>
  <c r="J26" i="17"/>
  <c r="K26" i="17"/>
  <c r="G27" i="17"/>
  <c r="H27" i="17"/>
  <c r="I27" i="17"/>
  <c r="J27" i="17"/>
  <c r="K27" i="17"/>
  <c r="G28" i="17"/>
  <c r="H28" i="17"/>
  <c r="I28" i="17"/>
  <c r="J28" i="17"/>
  <c r="K28" i="17"/>
  <c r="G29" i="17"/>
  <c r="H29" i="17"/>
  <c r="I29" i="17"/>
  <c r="J29" i="17"/>
  <c r="K29" i="17"/>
  <c r="G30" i="17"/>
  <c r="H30" i="17"/>
  <c r="I30" i="17"/>
  <c r="J30" i="17"/>
  <c r="K30" i="17"/>
  <c r="G31" i="17"/>
  <c r="H31" i="17"/>
  <c r="I31" i="17"/>
  <c r="J31" i="17"/>
  <c r="K31" i="17"/>
  <c r="G32" i="17"/>
  <c r="H32" i="17"/>
  <c r="I32" i="17"/>
  <c r="J32" i="17"/>
  <c r="K32" i="17"/>
  <c r="G33" i="17"/>
  <c r="H33" i="17"/>
  <c r="I33" i="17"/>
  <c r="J33" i="17"/>
  <c r="K33" i="17"/>
  <c r="G34" i="17"/>
  <c r="H34" i="17"/>
  <c r="I34" i="17"/>
  <c r="J34" i="17"/>
  <c r="K34" i="17"/>
  <c r="G35" i="17"/>
  <c r="H35" i="17"/>
  <c r="I35" i="17"/>
  <c r="J35" i="17"/>
  <c r="K35" i="17"/>
  <c r="G36" i="17"/>
  <c r="H36" i="17"/>
  <c r="I36" i="17"/>
  <c r="J36" i="17"/>
  <c r="K36" i="17"/>
  <c r="I37" i="17"/>
  <c r="J37" i="17"/>
  <c r="K37" i="17"/>
  <c r="G38" i="17"/>
  <c r="I38" i="17"/>
  <c r="J38" i="17"/>
  <c r="K38" i="17"/>
  <c r="H39" i="17"/>
  <c r="I39" i="17"/>
  <c r="J39" i="17"/>
  <c r="K39" i="17"/>
  <c r="H41" i="23" l="1"/>
  <c r="K41" i="23"/>
  <c r="H40" i="23"/>
  <c r="K40" i="23"/>
  <c r="H32" i="23"/>
  <c r="K28" i="25"/>
  <c r="P139" i="17"/>
  <c r="K12" i="25"/>
  <c r="K64" i="25"/>
  <c r="K59" i="25"/>
  <c r="K78" i="25"/>
  <c r="K83" i="25"/>
  <c r="AG46" i="19" l="1"/>
  <c r="L26" i="25"/>
  <c r="L25" i="25"/>
  <c r="L24" i="25"/>
  <c r="N24" i="25" s="1"/>
  <c r="P24" i="25" s="1"/>
  <c r="L23" i="25"/>
  <c r="N23" i="25" s="1"/>
  <c r="P23" i="25" s="1"/>
  <c r="L22" i="25"/>
  <c r="N22" i="25" s="1"/>
  <c r="P22" i="25" s="1"/>
  <c r="L21" i="25"/>
  <c r="N21" i="25" s="1"/>
  <c r="P21" i="25" s="1"/>
  <c r="L20" i="25"/>
  <c r="N20" i="25" s="1"/>
  <c r="P20" i="25" s="1"/>
  <c r="L19" i="25"/>
  <c r="N19" i="25" s="1"/>
  <c r="P19" i="25" s="1"/>
  <c r="N17" i="25"/>
  <c r="P17" i="25" s="1"/>
  <c r="L16" i="25"/>
  <c r="N16" i="25" s="1"/>
  <c r="P16" i="25" s="1"/>
  <c r="L15" i="25"/>
  <c r="N15" i="25" s="1"/>
  <c r="P15" i="25" s="1"/>
  <c r="L14" i="25"/>
  <c r="N14" i="25" s="1"/>
  <c r="P14" i="25" s="1"/>
  <c r="L13" i="25"/>
  <c r="L35" i="25"/>
  <c r="M35" i="25" s="1"/>
  <c r="L36" i="25"/>
  <c r="M36" i="25" s="1"/>
  <c r="L37" i="25"/>
  <c r="M37" i="25" s="1"/>
  <c r="L38" i="25"/>
  <c r="M38" i="25" s="1"/>
  <c r="L39" i="25"/>
  <c r="N39" i="25" s="1"/>
  <c r="P39" i="25" s="1"/>
  <c r="L40" i="25"/>
  <c r="N40" i="25" s="1"/>
  <c r="P40" i="25" s="1"/>
  <c r="L41" i="25"/>
  <c r="N41" i="25" s="1"/>
  <c r="P41" i="25" s="1"/>
  <c r="L42" i="25"/>
  <c r="N42" i="25" s="1"/>
  <c r="P42" i="25" s="1"/>
  <c r="L43" i="25"/>
  <c r="N43" i="25" s="1"/>
  <c r="P43" i="25" s="1"/>
  <c r="L44" i="25"/>
  <c r="N44" i="25" s="1"/>
  <c r="P44" i="25" s="1"/>
  <c r="L45" i="25"/>
  <c r="N45" i="25" s="1"/>
  <c r="P45" i="25" s="1"/>
  <c r="L46" i="25"/>
  <c r="M46" i="25" s="1"/>
  <c r="L47" i="25"/>
  <c r="M47" i="25" s="1"/>
  <c r="L48" i="25"/>
  <c r="M48" i="25" s="1"/>
  <c r="L49" i="25"/>
  <c r="M49" i="25" s="1"/>
  <c r="L50" i="25"/>
  <c r="M50" i="25" s="1"/>
  <c r="L51" i="25"/>
  <c r="N51" i="25" s="1"/>
  <c r="P51" i="25" s="1"/>
  <c r="L52" i="25"/>
  <c r="N52" i="25" s="1"/>
  <c r="P52" i="25" s="1"/>
  <c r="L53" i="25"/>
  <c r="N53" i="25" s="1"/>
  <c r="P53" i="25" s="1"/>
  <c r="L54" i="25"/>
  <c r="N54" i="25" s="1"/>
  <c r="P54" i="25" s="1"/>
  <c r="L55" i="25"/>
  <c r="N55" i="25" s="1"/>
  <c r="P55" i="25" s="1"/>
  <c r="L56" i="25"/>
  <c r="N56" i="25" s="1"/>
  <c r="P56" i="25" s="1"/>
  <c r="L57" i="25"/>
  <c r="N57" i="25" s="1"/>
  <c r="P57" i="25" s="1"/>
  <c r="L58" i="25"/>
  <c r="M58" i="25" s="1"/>
  <c r="L31" i="25"/>
  <c r="N31" i="25" s="1"/>
  <c r="P31" i="25" s="1"/>
  <c r="L32" i="25"/>
  <c r="M32" i="25" s="1"/>
  <c r="L33" i="25"/>
  <c r="N33" i="25" s="1"/>
  <c r="P33" i="25" s="1"/>
  <c r="L34" i="25"/>
  <c r="M34" i="25" s="1"/>
  <c r="L30" i="25"/>
  <c r="N30" i="25" s="1"/>
  <c r="J30" i="25"/>
  <c r="J31" i="25"/>
  <c r="J32" i="25"/>
  <c r="J33" i="25"/>
  <c r="J34" i="25"/>
  <c r="J35" i="25"/>
  <c r="J36" i="25"/>
  <c r="J37" i="25"/>
  <c r="J38" i="25"/>
  <c r="J39" i="25"/>
  <c r="J40" i="25"/>
  <c r="J41" i="25"/>
  <c r="J42" i="25"/>
  <c r="J43" i="25"/>
  <c r="J44" i="25"/>
  <c r="J45" i="25"/>
  <c r="J46" i="25"/>
  <c r="J47" i="25"/>
  <c r="J48" i="25"/>
  <c r="J49" i="25"/>
  <c r="J50" i="25"/>
  <c r="J51" i="25"/>
  <c r="J52" i="25"/>
  <c r="J53" i="25"/>
  <c r="J54" i="25"/>
  <c r="J55" i="25"/>
  <c r="J56" i="25"/>
  <c r="J57" i="25"/>
  <c r="J58" i="25"/>
  <c r="L28" i="25" l="1"/>
  <c r="M28" i="25" s="1"/>
  <c r="P30" i="25"/>
  <c r="N13" i="25"/>
  <c r="N49" i="25"/>
  <c r="P49" i="25" s="1"/>
  <c r="N32" i="25"/>
  <c r="P32" i="25" s="1"/>
  <c r="N34" i="25"/>
  <c r="P34" i="25" s="1"/>
  <c r="N50" i="25"/>
  <c r="P50" i="25" s="1"/>
  <c r="N48" i="25"/>
  <c r="P48" i="25" s="1"/>
  <c r="N47" i="25"/>
  <c r="P47" i="25" s="1"/>
  <c r="N46" i="25"/>
  <c r="P46" i="25" s="1"/>
  <c r="N37" i="25"/>
  <c r="P37" i="25" s="1"/>
  <c r="N35" i="25"/>
  <c r="P35" i="25" s="1"/>
  <c r="N36" i="25"/>
  <c r="P36" i="25" s="1"/>
  <c r="M31" i="25"/>
  <c r="N58" i="25"/>
  <c r="P58" i="25" s="1"/>
  <c r="M33" i="25"/>
  <c r="M30" i="25"/>
  <c r="N38" i="25"/>
  <c r="P38" i="25" s="1"/>
  <c r="M57" i="25"/>
  <c r="M45" i="25"/>
  <c r="M56" i="25"/>
  <c r="M44" i="25"/>
  <c r="M55" i="25"/>
  <c r="M43" i="25"/>
  <c r="M54" i="25"/>
  <c r="M42" i="25"/>
  <c r="M53" i="25"/>
  <c r="M41" i="25"/>
  <c r="M52" i="25"/>
  <c r="M40" i="25"/>
  <c r="M51" i="25"/>
  <c r="M39" i="25"/>
  <c r="P13" i="25" l="1"/>
  <c r="N28" i="25"/>
  <c r="P28" i="25" s="1"/>
  <c r="J187" i="22"/>
  <c r="I187" i="22"/>
  <c r="H187" i="22"/>
  <c r="G187" i="22"/>
  <c r="F187" i="22"/>
  <c r="J186" i="22"/>
  <c r="I186" i="22"/>
  <c r="H186" i="22"/>
  <c r="G186" i="22"/>
  <c r="F186" i="22"/>
  <c r="J185" i="22"/>
  <c r="I185" i="22"/>
  <c r="H185" i="22"/>
  <c r="G185" i="22"/>
  <c r="F185" i="22"/>
  <c r="J184" i="22"/>
  <c r="I184" i="22"/>
  <c r="H184" i="22"/>
  <c r="G184" i="22"/>
  <c r="F184" i="22"/>
  <c r="J180" i="22"/>
  <c r="I180" i="22"/>
  <c r="H180" i="22"/>
  <c r="G180" i="22"/>
  <c r="F180" i="22"/>
  <c r="J179" i="22"/>
  <c r="I179" i="22"/>
  <c r="H179" i="22"/>
  <c r="G179" i="22"/>
  <c r="F179" i="22"/>
  <c r="J178" i="22"/>
  <c r="I178" i="22"/>
  <c r="H178" i="22"/>
  <c r="G178" i="22"/>
  <c r="F178" i="22"/>
  <c r="J177" i="22"/>
  <c r="I177" i="22"/>
  <c r="H177" i="22"/>
  <c r="G177" i="22"/>
  <c r="F177" i="22"/>
  <c r="J176" i="22"/>
  <c r="I176" i="22"/>
  <c r="H176" i="22"/>
  <c r="G176" i="22"/>
  <c r="F176" i="22"/>
  <c r="J175" i="22"/>
  <c r="I175" i="22"/>
  <c r="H175" i="22"/>
  <c r="G175" i="22"/>
  <c r="F175" i="22"/>
  <c r="J174" i="22"/>
  <c r="I174" i="22"/>
  <c r="H174" i="22"/>
  <c r="G174" i="22"/>
  <c r="F174" i="22"/>
  <c r="J173" i="22"/>
  <c r="I173" i="22"/>
  <c r="H173" i="22"/>
  <c r="G173" i="22"/>
  <c r="F173" i="22"/>
  <c r="J172" i="22"/>
  <c r="I172" i="22"/>
  <c r="H172" i="22"/>
  <c r="G172" i="22"/>
  <c r="F172" i="22"/>
  <c r="J171" i="22"/>
  <c r="I171" i="22"/>
  <c r="H171" i="22"/>
  <c r="G171" i="22"/>
  <c r="F171" i="22"/>
  <c r="J170" i="22"/>
  <c r="I170" i="22"/>
  <c r="H170" i="22"/>
  <c r="G170" i="22"/>
  <c r="F170" i="22"/>
  <c r="J169" i="22"/>
  <c r="I169" i="22"/>
  <c r="H169" i="22"/>
  <c r="G169" i="22"/>
  <c r="F169" i="22"/>
  <c r="J168" i="22"/>
  <c r="I168" i="22"/>
  <c r="H168" i="22"/>
  <c r="G168" i="22"/>
  <c r="F168" i="22"/>
  <c r="J167" i="22"/>
  <c r="I167" i="22"/>
  <c r="H167" i="22"/>
  <c r="G167" i="22"/>
  <c r="F167" i="22"/>
  <c r="J166" i="22"/>
  <c r="I166" i="22"/>
  <c r="H166" i="22"/>
  <c r="G166" i="22"/>
  <c r="F166" i="22"/>
  <c r="J165" i="22"/>
  <c r="I165" i="22"/>
  <c r="H165" i="22"/>
  <c r="G165" i="22"/>
  <c r="F165" i="22"/>
  <c r="J164" i="22"/>
  <c r="I164" i="22"/>
  <c r="H164" i="22"/>
  <c r="G164" i="22"/>
  <c r="F164" i="22"/>
  <c r="J163" i="22"/>
  <c r="I163" i="22"/>
  <c r="H163" i="22"/>
  <c r="G163" i="22"/>
  <c r="F163" i="22"/>
  <c r="J162" i="22"/>
  <c r="I162" i="22"/>
  <c r="H162" i="22"/>
  <c r="G162" i="22"/>
  <c r="F162" i="22"/>
  <c r="J161" i="22"/>
  <c r="I161" i="22"/>
  <c r="H161" i="22"/>
  <c r="G161" i="22"/>
  <c r="F161" i="22"/>
  <c r="J160" i="22"/>
  <c r="I160" i="22"/>
  <c r="H160" i="22"/>
  <c r="G160" i="22"/>
  <c r="F160" i="22"/>
  <c r="J159" i="22"/>
  <c r="I159" i="22"/>
  <c r="H159" i="22"/>
  <c r="G159" i="22"/>
  <c r="F159" i="22"/>
  <c r="J158" i="22"/>
  <c r="I158" i="22"/>
  <c r="H158" i="22"/>
  <c r="G158" i="22"/>
  <c r="F158" i="22"/>
  <c r="J157" i="22"/>
  <c r="I157" i="22"/>
  <c r="H157" i="22"/>
  <c r="G157" i="22"/>
  <c r="F157" i="22"/>
  <c r="J156" i="22"/>
  <c r="I156" i="22"/>
  <c r="H156" i="22"/>
  <c r="G156" i="22"/>
  <c r="F156" i="22"/>
  <c r="J155" i="22"/>
  <c r="I155" i="22"/>
  <c r="H155" i="22"/>
  <c r="G155" i="22"/>
  <c r="F155" i="22"/>
  <c r="J154" i="22"/>
  <c r="I154" i="22"/>
  <c r="H154" i="22"/>
  <c r="G154" i="22"/>
  <c r="F154" i="22"/>
  <c r="J153" i="22"/>
  <c r="I153" i="22"/>
  <c r="H153" i="22"/>
  <c r="G153" i="22"/>
  <c r="F153" i="22"/>
  <c r="J152" i="22"/>
  <c r="I152" i="22"/>
  <c r="H152" i="22"/>
  <c r="G152" i="22"/>
  <c r="F152" i="22"/>
  <c r="J151" i="22"/>
  <c r="I151" i="22"/>
  <c r="H151" i="22"/>
  <c r="G151" i="22"/>
  <c r="F151" i="22"/>
  <c r="J150" i="22"/>
  <c r="I150" i="22"/>
  <c r="H150" i="22"/>
  <c r="G150" i="22"/>
  <c r="F150" i="22"/>
  <c r="J149" i="22"/>
  <c r="I149" i="22"/>
  <c r="H149" i="22"/>
  <c r="G149" i="22"/>
  <c r="F149" i="22"/>
  <c r="J148" i="22"/>
  <c r="I148" i="22"/>
  <c r="H148" i="22"/>
  <c r="G148" i="22"/>
  <c r="F148" i="22"/>
  <c r="J147" i="22"/>
  <c r="I147" i="22"/>
  <c r="H147" i="22"/>
  <c r="G147" i="22"/>
  <c r="F147" i="22"/>
  <c r="J146" i="22"/>
  <c r="I146" i="22"/>
  <c r="H146" i="22"/>
  <c r="G146" i="22"/>
  <c r="F146" i="22"/>
  <c r="J145" i="22"/>
  <c r="I145" i="22"/>
  <c r="H145" i="22"/>
  <c r="G145" i="22"/>
  <c r="F145" i="22"/>
  <c r="J144" i="22"/>
  <c r="I144" i="22"/>
  <c r="H144" i="22"/>
  <c r="G144" i="22"/>
  <c r="F144" i="22"/>
  <c r="J143" i="22"/>
  <c r="I143" i="22"/>
  <c r="H143" i="22"/>
  <c r="G143" i="22"/>
  <c r="F143" i="22"/>
  <c r="J142" i="22"/>
  <c r="I142" i="22"/>
  <c r="H142" i="22"/>
  <c r="G142" i="22"/>
  <c r="F142" i="22"/>
  <c r="BD47" i="19"/>
  <c r="J140" i="22"/>
  <c r="I140" i="22"/>
  <c r="H140" i="22"/>
  <c r="G140" i="22"/>
  <c r="F140" i="22"/>
  <c r="R39" i="19" l="1"/>
  <c r="BD27" i="19"/>
  <c r="O33" i="19"/>
  <c r="J22" i="25" l="1"/>
  <c r="I83" i="25" l="1"/>
  <c r="L82" i="25"/>
  <c r="N82" i="25" s="1"/>
  <c r="P82" i="25" s="1"/>
  <c r="J82" i="25"/>
  <c r="L81" i="25"/>
  <c r="M81" i="25" s="1"/>
  <c r="J81" i="25"/>
  <c r="L80" i="25"/>
  <c r="N80" i="25" s="1"/>
  <c r="P80" i="25" s="1"/>
  <c r="J80" i="25"/>
  <c r="L79" i="25"/>
  <c r="M79" i="25" s="1"/>
  <c r="J79" i="25"/>
  <c r="N79" i="25" l="1"/>
  <c r="P79" i="25" s="1"/>
  <c r="J83" i="25"/>
  <c r="M82" i="25"/>
  <c r="L83" i="25"/>
  <c r="N81" i="25"/>
  <c r="P81" i="25" s="1"/>
  <c r="M80" i="25"/>
  <c r="J84" i="25"/>
  <c r="J85" i="25"/>
  <c r="J86" i="25"/>
  <c r="J87" i="25"/>
  <c r="I78" i="25"/>
  <c r="L77" i="25"/>
  <c r="M77" i="25" s="1"/>
  <c r="J77" i="25"/>
  <c r="L76" i="25"/>
  <c r="N76" i="25" s="1"/>
  <c r="P76" i="25" s="1"/>
  <c r="J76" i="25"/>
  <c r="L75" i="25"/>
  <c r="N75" i="25" s="1"/>
  <c r="P75" i="25" s="1"/>
  <c r="J75" i="25"/>
  <c r="L74" i="25"/>
  <c r="N74" i="25" s="1"/>
  <c r="P74" i="25" s="1"/>
  <c r="J74" i="25"/>
  <c r="L73" i="25"/>
  <c r="N73" i="25" s="1"/>
  <c r="P73" i="25" s="1"/>
  <c r="J73" i="25"/>
  <c r="L72" i="25"/>
  <c r="M72" i="25" s="1"/>
  <c r="J72" i="25"/>
  <c r="L71" i="25"/>
  <c r="N71" i="25" s="1"/>
  <c r="P71" i="25" s="1"/>
  <c r="J71" i="25"/>
  <c r="L70" i="25"/>
  <c r="N70" i="25" s="1"/>
  <c r="P70" i="25" s="1"/>
  <c r="J70" i="25"/>
  <c r="L69" i="25"/>
  <c r="N69" i="25" s="1"/>
  <c r="P69" i="25" s="1"/>
  <c r="J69" i="25"/>
  <c r="L68" i="25"/>
  <c r="N68" i="25" s="1"/>
  <c r="P68" i="25" s="1"/>
  <c r="J68" i="25"/>
  <c r="L67" i="25"/>
  <c r="N67" i="25" s="1"/>
  <c r="P67" i="25" s="1"/>
  <c r="J67" i="25"/>
  <c r="L66" i="25"/>
  <c r="J66" i="25"/>
  <c r="L65" i="25"/>
  <c r="N65" i="25" s="1"/>
  <c r="P65" i="25" s="1"/>
  <c r="J65" i="25"/>
  <c r="M83" i="25" l="1"/>
  <c r="N83" i="25"/>
  <c r="P83" i="25" s="1"/>
  <c r="M65" i="25"/>
  <c r="J78" i="25"/>
  <c r="N72" i="25"/>
  <c r="P72" i="25" s="1"/>
  <c r="N77" i="25"/>
  <c r="P77" i="25" s="1"/>
  <c r="L78" i="25"/>
  <c r="M70" i="25"/>
  <c r="M75" i="25"/>
  <c r="M68" i="25"/>
  <c r="M73" i="25"/>
  <c r="M66" i="25"/>
  <c r="N66" i="25"/>
  <c r="P66" i="25" s="1"/>
  <c r="M71" i="25"/>
  <c r="M76" i="25"/>
  <c r="M69" i="25"/>
  <c r="M74" i="25"/>
  <c r="M67" i="25"/>
  <c r="M78" i="25" l="1"/>
  <c r="N78" i="25"/>
  <c r="P78" i="25" s="1"/>
  <c r="M26" i="25" l="1"/>
  <c r="M25" i="25"/>
  <c r="M24" i="25"/>
  <c r="M23" i="25"/>
  <c r="M22" i="25"/>
  <c r="M21" i="25"/>
  <c r="M20" i="25"/>
  <c r="M19" i="25"/>
  <c r="M17" i="25"/>
  <c r="M16" i="25"/>
  <c r="M15" i="25"/>
  <c r="M14" i="25"/>
  <c r="M13" i="25"/>
  <c r="M11" i="25"/>
  <c r="M10" i="25"/>
  <c r="M9" i="25"/>
  <c r="M8" i="25"/>
  <c r="M7" i="25"/>
  <c r="M6" i="25"/>
  <c r="L87" i="25"/>
  <c r="N87" i="25" s="1"/>
  <c r="P87" i="25" s="1"/>
  <c r="L86" i="25"/>
  <c r="N86" i="25" s="1"/>
  <c r="P86" i="25" s="1"/>
  <c r="L85" i="25"/>
  <c r="N85" i="25" s="1"/>
  <c r="P85" i="25" s="1"/>
  <c r="K88" i="25"/>
  <c r="L84" i="25"/>
  <c r="N84" i="25" s="1"/>
  <c r="P84" i="25" s="1"/>
  <c r="M86" i="25" l="1"/>
  <c r="M87" i="25"/>
  <c r="M84" i="25"/>
  <c r="M85" i="25"/>
  <c r="L88" i="25"/>
  <c r="J88" i="25"/>
  <c r="I88" i="25"/>
  <c r="M88" i="25" l="1"/>
  <c r="N88" i="25"/>
  <c r="P88" i="25" s="1"/>
  <c r="I7" i="25" l="1"/>
  <c r="I14" i="25"/>
  <c r="I15" i="25"/>
  <c r="I28" i="25" l="1"/>
  <c r="O27" i="23"/>
  <c r="N27" i="23"/>
  <c r="J27" i="23"/>
  <c r="L27" i="23" s="1"/>
  <c r="I27" i="23"/>
  <c r="G27" i="23"/>
  <c r="K27" i="23" s="1"/>
  <c r="F27" i="23"/>
  <c r="E27" i="23"/>
  <c r="D27" i="23"/>
  <c r="C27" i="23"/>
  <c r="H27" i="23" l="1"/>
  <c r="R29" i="19"/>
  <c r="O20" i="23" l="1"/>
  <c r="N20" i="23"/>
  <c r="J20" i="23"/>
  <c r="L20" i="23" s="1"/>
  <c r="I20" i="23"/>
  <c r="G20" i="23"/>
  <c r="F20" i="23"/>
  <c r="E20" i="23"/>
  <c r="D20" i="23"/>
  <c r="C20" i="23"/>
  <c r="K20" i="23" l="1"/>
  <c r="H20" i="23"/>
  <c r="O25" i="19"/>
  <c r="K179" i="17" l="1"/>
  <c r="J179" i="17"/>
  <c r="I179" i="17"/>
  <c r="H179" i="17"/>
  <c r="G179" i="17"/>
  <c r="K178" i="17"/>
  <c r="J178" i="17"/>
  <c r="I178" i="17"/>
  <c r="H178" i="17"/>
  <c r="G178" i="17"/>
  <c r="K177" i="17"/>
  <c r="J177" i="17"/>
  <c r="I177" i="17"/>
  <c r="H177" i="17"/>
  <c r="G177" i="17"/>
  <c r="K176" i="17"/>
  <c r="J176" i="17"/>
  <c r="I176" i="17"/>
  <c r="H176" i="17"/>
  <c r="G176" i="17"/>
  <c r="K175" i="17"/>
  <c r="J175" i="17"/>
  <c r="I175" i="17"/>
  <c r="H175" i="17"/>
  <c r="G175" i="17"/>
  <c r="K174" i="17"/>
  <c r="J174" i="17"/>
  <c r="I174" i="17"/>
  <c r="H174" i="17"/>
  <c r="G174" i="17"/>
  <c r="K173" i="17"/>
  <c r="J173" i="17"/>
  <c r="I173" i="17"/>
  <c r="H173" i="17"/>
  <c r="G173" i="17"/>
  <c r="K172" i="17"/>
  <c r="J172" i="17"/>
  <c r="I172" i="17"/>
  <c r="H172" i="17"/>
  <c r="G172" i="17"/>
  <c r="K171" i="17"/>
  <c r="J171" i="17"/>
  <c r="I171" i="17"/>
  <c r="H171" i="17"/>
  <c r="G171" i="17"/>
  <c r="K170" i="17"/>
  <c r="J170" i="17"/>
  <c r="I170" i="17"/>
  <c r="H170" i="17"/>
  <c r="G170" i="17"/>
  <c r="K169" i="17"/>
  <c r="J169" i="17"/>
  <c r="I169" i="17"/>
  <c r="H169" i="17"/>
  <c r="G169" i="17"/>
  <c r="K168" i="17"/>
  <c r="J168" i="17"/>
  <c r="I168" i="17"/>
  <c r="H168" i="17"/>
  <c r="G168" i="17"/>
  <c r="K167" i="17"/>
  <c r="J167" i="17"/>
  <c r="I167" i="17"/>
  <c r="H167" i="17"/>
  <c r="G167" i="17"/>
  <c r="K166" i="17"/>
  <c r="J166" i="17"/>
  <c r="I166" i="17"/>
  <c r="H166" i="17"/>
  <c r="G166" i="17"/>
  <c r="K165" i="17"/>
  <c r="J165" i="17"/>
  <c r="I165" i="17"/>
  <c r="H165" i="17"/>
  <c r="G165" i="17"/>
  <c r="K164" i="17"/>
  <c r="J164" i="17"/>
  <c r="I164" i="17"/>
  <c r="H164" i="17"/>
  <c r="G164" i="17"/>
  <c r="K162" i="17"/>
  <c r="J162" i="17"/>
  <c r="I162" i="17"/>
  <c r="H162" i="17"/>
  <c r="G162" i="17"/>
  <c r="K161" i="17"/>
  <c r="J161" i="17"/>
  <c r="I161" i="17"/>
  <c r="H161" i="17"/>
  <c r="G161" i="17"/>
  <c r="K160" i="17"/>
  <c r="J160" i="17"/>
  <c r="I160" i="17"/>
  <c r="H160" i="17"/>
  <c r="G160" i="17"/>
  <c r="K157" i="17"/>
  <c r="J157" i="17"/>
  <c r="I157" i="17"/>
  <c r="H157" i="17"/>
  <c r="G157" i="17"/>
  <c r="K156" i="17"/>
  <c r="J156" i="17"/>
  <c r="I156" i="17"/>
  <c r="H156" i="17"/>
  <c r="G156" i="17"/>
  <c r="K159" i="17"/>
  <c r="K158" i="17"/>
  <c r="J158" i="17"/>
  <c r="I158" i="17"/>
  <c r="H158" i="17"/>
  <c r="G158" i="17"/>
  <c r="K155" i="17"/>
  <c r="J155" i="17"/>
  <c r="I155" i="17"/>
  <c r="H155" i="17"/>
  <c r="G155" i="17"/>
  <c r="K154" i="17"/>
  <c r="J154" i="17"/>
  <c r="I154" i="17"/>
  <c r="H154" i="17"/>
  <c r="G154" i="17"/>
  <c r="K153" i="17"/>
  <c r="J153" i="17"/>
  <c r="I153" i="17"/>
  <c r="H153" i="17"/>
  <c r="G153" i="17"/>
  <c r="K152" i="17"/>
  <c r="J152" i="17"/>
  <c r="I152" i="17"/>
  <c r="H152" i="17"/>
  <c r="G152" i="17"/>
  <c r="K151" i="17"/>
  <c r="J151" i="17"/>
  <c r="I151" i="17"/>
  <c r="H151" i="17"/>
  <c r="G151" i="17"/>
  <c r="K150" i="17"/>
  <c r="J150" i="17"/>
  <c r="I150" i="17"/>
  <c r="G150" i="17"/>
  <c r="K149" i="17"/>
  <c r="J149" i="17"/>
  <c r="I149" i="17"/>
  <c r="K148" i="17"/>
  <c r="J148" i="17"/>
  <c r="I148" i="17"/>
  <c r="H148" i="17"/>
  <c r="G148" i="17"/>
  <c r="K147" i="17"/>
  <c r="J147" i="17"/>
  <c r="I147" i="17"/>
  <c r="H147" i="17"/>
  <c r="G147" i="17"/>
  <c r="K146" i="17"/>
  <c r="J146" i="17"/>
  <c r="I146" i="17"/>
  <c r="H146" i="17"/>
  <c r="G146" i="17"/>
  <c r="K145" i="17"/>
  <c r="J145" i="17"/>
  <c r="I145" i="17"/>
  <c r="H145" i="17"/>
  <c r="G145" i="17"/>
  <c r="K144" i="17"/>
  <c r="J144" i="17"/>
  <c r="I144" i="17"/>
  <c r="K143" i="17"/>
  <c r="J143" i="17"/>
  <c r="I143" i="17"/>
  <c r="H143" i="17"/>
  <c r="G143" i="17"/>
  <c r="K142" i="17"/>
  <c r="J142" i="17"/>
  <c r="I142" i="17"/>
  <c r="H142" i="17"/>
  <c r="G142" i="17"/>
  <c r="K135" i="17"/>
  <c r="J135" i="17"/>
  <c r="I135" i="17"/>
  <c r="K134" i="17"/>
  <c r="J134" i="17"/>
  <c r="I134" i="17"/>
  <c r="H134" i="17"/>
  <c r="G134" i="17"/>
  <c r="K133" i="17"/>
  <c r="J133" i="17"/>
  <c r="I133" i="17"/>
  <c r="H133" i="17"/>
  <c r="G133" i="17"/>
  <c r="K132" i="17"/>
  <c r="J132" i="17"/>
  <c r="I132" i="17"/>
  <c r="K131" i="17"/>
  <c r="J131" i="17"/>
  <c r="I131" i="17"/>
  <c r="H131" i="17"/>
  <c r="G131" i="17"/>
  <c r="K130" i="17"/>
  <c r="J130" i="17"/>
  <c r="I130" i="17"/>
  <c r="H130" i="17"/>
  <c r="G130" i="17"/>
  <c r="K129" i="17"/>
  <c r="J129" i="17"/>
  <c r="I129" i="17"/>
  <c r="H129" i="17"/>
  <c r="G129" i="17"/>
  <c r="K128" i="17"/>
  <c r="J128" i="17"/>
  <c r="I128" i="17"/>
  <c r="H128" i="17"/>
  <c r="G128" i="17"/>
  <c r="K127" i="17"/>
  <c r="J127" i="17"/>
  <c r="I127" i="17"/>
  <c r="K126" i="17"/>
  <c r="J126" i="17"/>
  <c r="I126" i="17"/>
  <c r="H126" i="17"/>
  <c r="G126" i="17"/>
  <c r="K124" i="17"/>
  <c r="J124" i="17"/>
  <c r="I124" i="17"/>
  <c r="H124" i="17"/>
  <c r="G124" i="17"/>
  <c r="K123" i="17"/>
  <c r="J123" i="17"/>
  <c r="I123" i="17"/>
  <c r="K122" i="17"/>
  <c r="J122" i="17"/>
  <c r="I122" i="17"/>
  <c r="K121" i="17"/>
  <c r="J121" i="17"/>
  <c r="I121" i="17"/>
  <c r="H121" i="17"/>
  <c r="G121" i="17"/>
  <c r="K120" i="17"/>
  <c r="J120" i="17"/>
  <c r="I120" i="17"/>
  <c r="K118" i="17"/>
  <c r="J118" i="17"/>
  <c r="I118" i="17"/>
  <c r="H118" i="17"/>
  <c r="G118" i="17"/>
  <c r="K117" i="17"/>
  <c r="J117" i="17"/>
  <c r="I117" i="17"/>
  <c r="H117" i="17"/>
  <c r="G117" i="17"/>
  <c r="K116" i="17"/>
  <c r="J116" i="17"/>
  <c r="I116" i="17"/>
  <c r="H116" i="17"/>
  <c r="G116" i="17"/>
  <c r="K115" i="17"/>
  <c r="J115" i="17"/>
  <c r="I115" i="17"/>
  <c r="K114" i="17"/>
  <c r="J114" i="17"/>
  <c r="I114" i="17"/>
  <c r="H114" i="17"/>
  <c r="G114" i="17"/>
  <c r="K113" i="17"/>
  <c r="J113" i="17"/>
  <c r="I113" i="17"/>
  <c r="H113" i="17"/>
  <c r="G113" i="17"/>
  <c r="K112" i="17"/>
  <c r="J112" i="17"/>
  <c r="I112" i="17"/>
  <c r="H112" i="17"/>
  <c r="G112" i="17"/>
  <c r="K111" i="17"/>
  <c r="J111" i="17"/>
  <c r="I111" i="17"/>
  <c r="H111" i="17"/>
  <c r="G111" i="17"/>
  <c r="K110" i="17"/>
  <c r="J110" i="17"/>
  <c r="I110" i="17"/>
  <c r="H110" i="17"/>
  <c r="G110" i="17"/>
  <c r="K109" i="17"/>
  <c r="J109" i="17"/>
  <c r="I109" i="17"/>
  <c r="H109" i="17"/>
  <c r="G109" i="17"/>
  <c r="K108" i="17"/>
  <c r="J108" i="17"/>
  <c r="I108" i="17"/>
  <c r="H108" i="17"/>
  <c r="G108" i="17"/>
  <c r="K107" i="17"/>
  <c r="J107" i="17"/>
  <c r="I107" i="17"/>
  <c r="H107" i="17"/>
  <c r="G107" i="17"/>
  <c r="K106" i="17"/>
  <c r="J106" i="17"/>
  <c r="I106" i="17"/>
  <c r="H106" i="17"/>
  <c r="G106" i="17"/>
  <c r="K105" i="17"/>
  <c r="J105" i="17"/>
  <c r="I105" i="17"/>
  <c r="H105" i="17"/>
  <c r="G105" i="17"/>
  <c r="K104" i="17"/>
  <c r="J104" i="17"/>
  <c r="I104" i="17"/>
  <c r="H104" i="17"/>
  <c r="G104" i="17"/>
  <c r="K103" i="17"/>
  <c r="J103" i="17"/>
  <c r="I103" i="17"/>
  <c r="H103" i="17"/>
  <c r="G103" i="17"/>
  <c r="K102" i="17"/>
  <c r="J102" i="17"/>
  <c r="I102" i="17"/>
  <c r="H102" i="17"/>
  <c r="G102" i="17"/>
  <c r="K101" i="17"/>
  <c r="J101" i="17"/>
  <c r="I101" i="17"/>
  <c r="H101" i="17"/>
  <c r="G101" i="17"/>
  <c r="K100" i="17"/>
  <c r="J100" i="17"/>
  <c r="I100" i="17"/>
  <c r="H100" i="17"/>
  <c r="G100" i="17"/>
  <c r="K99" i="17"/>
  <c r="J99" i="17"/>
  <c r="I99" i="17"/>
  <c r="H99" i="17"/>
  <c r="G99" i="17"/>
  <c r="K98" i="17"/>
  <c r="J98" i="17"/>
  <c r="I98" i="17"/>
  <c r="H98" i="17"/>
  <c r="G98" i="17"/>
  <c r="K97" i="17"/>
  <c r="J97" i="17"/>
  <c r="I97" i="17"/>
  <c r="H97" i="17"/>
  <c r="G97" i="17"/>
  <c r="K96" i="17"/>
  <c r="J96" i="17"/>
  <c r="I96" i="17"/>
  <c r="H96" i="17"/>
  <c r="G96" i="17"/>
  <c r="K95" i="17"/>
  <c r="J95" i="17"/>
  <c r="I95" i="17"/>
  <c r="H95" i="17"/>
  <c r="G95" i="17"/>
  <c r="K94" i="17"/>
  <c r="J94" i="17"/>
  <c r="I94" i="17"/>
  <c r="H94" i="17"/>
  <c r="G94" i="17"/>
  <c r="K93" i="17"/>
  <c r="J93" i="17"/>
  <c r="I93" i="17"/>
  <c r="H93" i="17"/>
  <c r="G93" i="17"/>
  <c r="K92" i="17"/>
  <c r="J92" i="17"/>
  <c r="I92" i="17"/>
  <c r="H92" i="17"/>
  <c r="G92" i="17"/>
  <c r="K91" i="17"/>
  <c r="J91" i="17"/>
  <c r="I91" i="17"/>
  <c r="H91" i="17"/>
  <c r="G91" i="17"/>
  <c r="K90" i="17"/>
  <c r="J90" i="17"/>
  <c r="I90" i="17"/>
  <c r="H90" i="17"/>
  <c r="G90" i="17"/>
  <c r="K89" i="17"/>
  <c r="J89" i="17"/>
  <c r="I89" i="17"/>
  <c r="H89" i="17"/>
  <c r="G89" i="17"/>
  <c r="K88" i="17"/>
  <c r="J88" i="17"/>
  <c r="I88" i="17"/>
  <c r="H88" i="17"/>
  <c r="G88" i="17"/>
  <c r="K87" i="17"/>
  <c r="J87" i="17"/>
  <c r="I87" i="17"/>
  <c r="H87" i="17"/>
  <c r="G87" i="17"/>
  <c r="K86" i="17"/>
  <c r="J86" i="17"/>
  <c r="I86" i="17"/>
  <c r="H86" i="17"/>
  <c r="G86" i="17"/>
  <c r="K85" i="17"/>
  <c r="J85" i="17"/>
  <c r="I85" i="17"/>
  <c r="H85" i="17"/>
  <c r="G85" i="17"/>
  <c r="K84" i="17"/>
  <c r="J84" i="17"/>
  <c r="I84" i="17"/>
  <c r="H84" i="17"/>
  <c r="G84" i="17"/>
  <c r="K83" i="17"/>
  <c r="J83" i="17"/>
  <c r="I83" i="17"/>
  <c r="H83" i="17"/>
  <c r="G83" i="17"/>
  <c r="K82" i="17"/>
  <c r="J82" i="17"/>
  <c r="I82" i="17"/>
  <c r="H82" i="17"/>
  <c r="G82" i="17"/>
  <c r="K81" i="17"/>
  <c r="J81" i="17"/>
  <c r="I81" i="17"/>
  <c r="H81" i="17"/>
  <c r="G81" i="17"/>
  <c r="K80" i="17"/>
  <c r="J80" i="17"/>
  <c r="I80" i="17"/>
  <c r="H80" i="17"/>
  <c r="G80" i="17"/>
  <c r="K79" i="17"/>
  <c r="J79" i="17"/>
  <c r="I79" i="17"/>
  <c r="H79" i="17"/>
  <c r="G79" i="17"/>
  <c r="K78" i="17"/>
  <c r="J78" i="17"/>
  <c r="I78" i="17"/>
  <c r="H78" i="17"/>
  <c r="G78" i="17"/>
  <c r="K77" i="17"/>
  <c r="J77" i="17"/>
  <c r="I77" i="17"/>
  <c r="H77" i="17"/>
  <c r="G77" i="17"/>
  <c r="K76" i="17"/>
  <c r="J76" i="17"/>
  <c r="I76" i="17"/>
  <c r="H76" i="17"/>
  <c r="G76" i="17"/>
  <c r="K75" i="17"/>
  <c r="J75" i="17"/>
  <c r="I75" i="17"/>
  <c r="H75" i="17"/>
  <c r="G75" i="17"/>
  <c r="K74" i="17"/>
  <c r="J74" i="17"/>
  <c r="I74" i="17"/>
  <c r="H74" i="17"/>
  <c r="G74" i="17"/>
  <c r="K73" i="17"/>
  <c r="J73" i="17"/>
  <c r="I73" i="17"/>
  <c r="H73" i="17"/>
  <c r="G73" i="17"/>
  <c r="K72" i="17"/>
  <c r="J72" i="17"/>
  <c r="I72" i="17"/>
  <c r="H72" i="17"/>
  <c r="G72" i="17"/>
  <c r="K71" i="17"/>
  <c r="J71" i="17"/>
  <c r="I71" i="17"/>
  <c r="H71" i="17"/>
  <c r="G71" i="17"/>
  <c r="K70" i="17"/>
  <c r="J70" i="17"/>
  <c r="I70" i="17"/>
  <c r="H70" i="17"/>
  <c r="G70" i="17"/>
  <c r="K69" i="17"/>
  <c r="J69" i="17"/>
  <c r="I69" i="17"/>
  <c r="H69" i="17"/>
  <c r="G69" i="17"/>
  <c r="K68" i="17"/>
  <c r="J68" i="17"/>
  <c r="I68" i="17"/>
  <c r="H68" i="17"/>
  <c r="G68" i="17"/>
  <c r="K67" i="17"/>
  <c r="J67" i="17"/>
  <c r="I67" i="17"/>
  <c r="H67" i="17"/>
  <c r="G67" i="17"/>
  <c r="K66" i="17"/>
  <c r="J66" i="17"/>
  <c r="I66" i="17"/>
  <c r="H66" i="17"/>
  <c r="G66" i="17"/>
  <c r="K65" i="17"/>
  <c r="J65" i="17"/>
  <c r="I65" i="17"/>
  <c r="H65" i="17"/>
  <c r="G65" i="17"/>
  <c r="K64" i="17"/>
  <c r="J64" i="17"/>
  <c r="I64" i="17"/>
  <c r="H64" i="17"/>
  <c r="G64" i="17"/>
  <c r="K63" i="17"/>
  <c r="J63" i="17"/>
  <c r="I63" i="17"/>
  <c r="H63" i="17"/>
  <c r="G63" i="17"/>
  <c r="K62" i="17"/>
  <c r="J62" i="17"/>
  <c r="I62" i="17"/>
  <c r="H62" i="17"/>
  <c r="G62" i="17"/>
  <c r="K61" i="17"/>
  <c r="J61" i="17"/>
  <c r="I61" i="17"/>
  <c r="H61" i="17"/>
  <c r="G61" i="17"/>
  <c r="K60" i="17"/>
  <c r="J60" i="17"/>
  <c r="I60" i="17"/>
  <c r="H60" i="17"/>
  <c r="G60" i="17"/>
  <c r="K59" i="17"/>
  <c r="J59" i="17"/>
  <c r="I59" i="17"/>
  <c r="H59" i="17"/>
  <c r="G59" i="17"/>
  <c r="K58" i="17"/>
  <c r="J58" i="17"/>
  <c r="I58" i="17"/>
  <c r="H58" i="17"/>
  <c r="G58" i="17"/>
  <c r="K57" i="17"/>
  <c r="J57" i="17"/>
  <c r="I57" i="17"/>
  <c r="H57" i="17"/>
  <c r="G57" i="17"/>
  <c r="K56" i="17"/>
  <c r="J56" i="17"/>
  <c r="I56" i="17"/>
  <c r="H56" i="17"/>
  <c r="G56" i="17"/>
  <c r="K55" i="17"/>
  <c r="J55" i="17"/>
  <c r="I55" i="17"/>
  <c r="H55" i="17"/>
  <c r="G55" i="17"/>
  <c r="K54" i="17"/>
  <c r="J54" i="17"/>
  <c r="I54" i="17"/>
  <c r="H54" i="17"/>
  <c r="G54" i="17"/>
  <c r="K53" i="17"/>
  <c r="J53" i="17"/>
  <c r="I53" i="17"/>
  <c r="H53" i="17"/>
  <c r="G53" i="17"/>
  <c r="K52" i="17"/>
  <c r="J52" i="17"/>
  <c r="I52" i="17"/>
  <c r="H52" i="17"/>
  <c r="G52" i="17"/>
  <c r="K51" i="17"/>
  <c r="J51" i="17"/>
  <c r="I51" i="17"/>
  <c r="H51" i="17"/>
  <c r="G51" i="17"/>
  <c r="K50" i="17"/>
  <c r="J50" i="17"/>
  <c r="I50" i="17"/>
  <c r="H50" i="17"/>
  <c r="G50" i="17"/>
  <c r="K49" i="17"/>
  <c r="J49" i="17"/>
  <c r="I49" i="17"/>
  <c r="H49" i="17"/>
  <c r="G49" i="17"/>
  <c r="K48" i="17"/>
  <c r="J48" i="17"/>
  <c r="I48" i="17"/>
  <c r="H48" i="17"/>
  <c r="G48" i="17"/>
  <c r="K47" i="17"/>
  <c r="J47" i="17"/>
  <c r="I47" i="17"/>
  <c r="H47" i="17"/>
  <c r="G47" i="17"/>
  <c r="K46" i="17"/>
  <c r="J46" i="17"/>
  <c r="I46" i="17"/>
  <c r="H46" i="17"/>
  <c r="G46" i="17"/>
  <c r="K45" i="17"/>
  <c r="J45" i="17"/>
  <c r="I45" i="17"/>
  <c r="H45" i="17"/>
  <c r="G45" i="17"/>
  <c r="K44" i="17"/>
  <c r="J44" i="17"/>
  <c r="I44" i="17"/>
  <c r="H44" i="17"/>
  <c r="G44" i="17"/>
  <c r="K43" i="17"/>
  <c r="J43" i="17"/>
  <c r="I43" i="17"/>
  <c r="H43" i="17"/>
  <c r="G43" i="17"/>
  <c r="K42" i="17"/>
  <c r="J42" i="17"/>
  <c r="I42" i="17"/>
  <c r="H42" i="17"/>
  <c r="G42" i="17"/>
  <c r="K41" i="17"/>
  <c r="J41" i="17"/>
  <c r="I41" i="17"/>
  <c r="H41" i="17"/>
  <c r="G41" i="17"/>
  <c r="K40" i="17"/>
  <c r="J40" i="17"/>
  <c r="I40" i="17"/>
  <c r="H40" i="17"/>
  <c r="G40" i="17"/>
  <c r="G39" i="17"/>
  <c r="O29" i="19"/>
  <c r="AG51" i="19" l="1"/>
  <c r="I64" i="25" l="1"/>
  <c r="L63" i="25"/>
  <c r="J63" i="25"/>
  <c r="L62" i="25"/>
  <c r="J62" i="25"/>
  <c r="L61" i="25"/>
  <c r="M61" i="25" s="1"/>
  <c r="J61" i="25"/>
  <c r="L60" i="25"/>
  <c r="M60" i="25" s="1"/>
  <c r="J60" i="25"/>
  <c r="L29" i="25"/>
  <c r="J29" i="25"/>
  <c r="I59" i="25"/>
  <c r="L12" i="25"/>
  <c r="I12" i="25"/>
  <c r="J11" i="25"/>
  <c r="J13" i="25"/>
  <c r="J14" i="25"/>
  <c r="J15" i="25"/>
  <c r="J16" i="25"/>
  <c r="J17" i="25"/>
  <c r="J25" i="25"/>
  <c r="J19" i="25"/>
  <c r="J20" i="25"/>
  <c r="J21" i="25"/>
  <c r="J26" i="25"/>
  <c r="J23" i="25"/>
  <c r="J24" i="25"/>
  <c r="N8" i="25"/>
  <c r="P8" i="25" s="1"/>
  <c r="N9" i="25"/>
  <c r="P9" i="25" s="1"/>
  <c r="N10" i="25"/>
  <c r="P10" i="25" s="1"/>
  <c r="N11" i="25"/>
  <c r="P11" i="25" s="1"/>
  <c r="N6" i="25"/>
  <c r="J7" i="25"/>
  <c r="J8" i="25"/>
  <c r="J9" i="25"/>
  <c r="J10" i="25"/>
  <c r="J6" i="25"/>
  <c r="J28" i="25" l="1"/>
  <c r="I91" i="25"/>
  <c r="I93" i="25" s="1"/>
  <c r="O91" i="25"/>
  <c r="O93" i="25" s="1"/>
  <c r="K91" i="25"/>
  <c r="K93" i="25" s="1"/>
  <c r="N62" i="25"/>
  <c r="P62" i="25" s="1"/>
  <c r="M62" i="25"/>
  <c r="N63" i="25"/>
  <c r="P63" i="25" s="1"/>
  <c r="M63" i="25"/>
  <c r="N29" i="25"/>
  <c r="M29" i="25"/>
  <c r="L64" i="25"/>
  <c r="J64" i="25"/>
  <c r="N61" i="25"/>
  <c r="P61" i="25" s="1"/>
  <c r="N60" i="25"/>
  <c r="P60" i="25" s="1"/>
  <c r="J59" i="25"/>
  <c r="L59" i="25"/>
  <c r="M12" i="25"/>
  <c r="J12" i="25"/>
  <c r="N12" i="25"/>
  <c r="P12" i="25" s="1"/>
  <c r="P29" i="25" l="1"/>
  <c r="N59" i="25"/>
  <c r="P59" i="25" s="1"/>
  <c r="L91" i="25"/>
  <c r="L93" i="25" s="1"/>
  <c r="J91" i="25"/>
  <c r="J93" i="25" s="1"/>
  <c r="M64" i="25"/>
  <c r="N64" i="25"/>
  <c r="P64" i="25" s="1"/>
  <c r="N91" i="25" l="1"/>
  <c r="N93" i="25" s="1"/>
  <c r="AU48" i="19" l="1"/>
  <c r="O21" i="23" l="1"/>
  <c r="N21" i="23"/>
  <c r="J21" i="23"/>
  <c r="L21" i="23" s="1"/>
  <c r="I21" i="23"/>
  <c r="G21" i="23"/>
  <c r="F21" i="23"/>
  <c r="E21" i="23"/>
  <c r="C21" i="23"/>
  <c r="J22" i="23"/>
  <c r="J23" i="23"/>
  <c r="J24" i="23"/>
  <c r="J25" i="23"/>
  <c r="J30" i="23"/>
  <c r="J31" i="23"/>
  <c r="J33" i="23"/>
  <c r="J34" i="23"/>
  <c r="J28" i="23"/>
  <c r="J29" i="23"/>
  <c r="J36" i="23"/>
  <c r="J37" i="23"/>
  <c r="J8" i="23"/>
  <c r="J9" i="23"/>
  <c r="J10" i="23"/>
  <c r="J11" i="23"/>
  <c r="J12" i="23"/>
  <c r="J13" i="23"/>
  <c r="J14" i="23"/>
  <c r="J15" i="23"/>
  <c r="J17" i="23"/>
  <c r="J7" i="23"/>
  <c r="I8" i="23"/>
  <c r="I9" i="23"/>
  <c r="I10" i="23"/>
  <c r="I11" i="23"/>
  <c r="I12" i="23"/>
  <c r="I13" i="23"/>
  <c r="I14" i="23"/>
  <c r="I15" i="23"/>
  <c r="I17" i="23"/>
  <c r="I22" i="23"/>
  <c r="I23" i="23"/>
  <c r="I24" i="23"/>
  <c r="I25" i="23"/>
  <c r="I30" i="23"/>
  <c r="I31" i="23"/>
  <c r="I33" i="23"/>
  <c r="I34" i="23"/>
  <c r="I28" i="23"/>
  <c r="I29" i="23"/>
  <c r="I36" i="23"/>
  <c r="I37" i="23"/>
  <c r="I43" i="23"/>
  <c r="I44" i="23"/>
  <c r="I7" i="23"/>
  <c r="F22" i="23"/>
  <c r="G22" i="23"/>
  <c r="F23" i="23"/>
  <c r="G23" i="23"/>
  <c r="F24" i="23"/>
  <c r="G24" i="23"/>
  <c r="F25" i="23"/>
  <c r="G25" i="23"/>
  <c r="F30" i="23"/>
  <c r="G30" i="23"/>
  <c r="F31" i="23"/>
  <c r="G31" i="23"/>
  <c r="F33" i="23"/>
  <c r="G33" i="23"/>
  <c r="F34" i="23"/>
  <c r="G34" i="23"/>
  <c r="F28" i="23"/>
  <c r="G28" i="23"/>
  <c r="F29" i="23"/>
  <c r="G29" i="23"/>
  <c r="F36" i="23"/>
  <c r="G36" i="23"/>
  <c r="F37" i="23"/>
  <c r="G37" i="23"/>
  <c r="F43" i="23"/>
  <c r="F44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7" i="23"/>
  <c r="G17" i="23"/>
  <c r="G7" i="23"/>
  <c r="F7" i="23"/>
  <c r="O7" i="19"/>
  <c r="O8" i="19"/>
  <c r="S8" i="19" s="1"/>
  <c r="O9" i="19"/>
  <c r="O10" i="19"/>
  <c r="AD10" i="19" s="1"/>
  <c r="O11" i="19"/>
  <c r="S11" i="19" s="1"/>
  <c r="O12" i="19"/>
  <c r="O13" i="19"/>
  <c r="O14" i="19"/>
  <c r="O15" i="19"/>
  <c r="O16" i="19"/>
  <c r="O17" i="19"/>
  <c r="O19" i="19"/>
  <c r="O20" i="19"/>
  <c r="O22" i="19"/>
  <c r="O23" i="19"/>
  <c r="O24" i="19"/>
  <c r="O26" i="19"/>
  <c r="O27" i="19"/>
  <c r="O28" i="19"/>
  <c r="O30" i="19"/>
  <c r="O31" i="19"/>
  <c r="O32" i="19"/>
  <c r="O34" i="19"/>
  <c r="O35" i="19"/>
  <c r="O36" i="19"/>
  <c r="O37" i="19"/>
  <c r="O39" i="19"/>
  <c r="O40" i="19"/>
  <c r="O41" i="19"/>
  <c r="O42" i="19"/>
  <c r="O43" i="19"/>
  <c r="O44" i="19"/>
  <c r="O45" i="19"/>
  <c r="O6" i="19"/>
  <c r="K17" i="23" l="1"/>
  <c r="K8" i="23"/>
  <c r="K9" i="23"/>
  <c r="K34" i="23"/>
  <c r="K33" i="23"/>
  <c r="K24" i="23"/>
  <c r="K23" i="23"/>
  <c r="K14" i="23"/>
  <c r="K13" i="23"/>
  <c r="K31" i="23"/>
  <c r="K15" i="23"/>
  <c r="K28" i="23"/>
  <c r="K12" i="23"/>
  <c r="K21" i="23"/>
  <c r="K30" i="23"/>
  <c r="K37" i="23"/>
  <c r="K11" i="23"/>
  <c r="K36" i="23"/>
  <c r="K7" i="23"/>
  <c r="K22" i="23"/>
  <c r="K10" i="23"/>
  <c r="K29" i="23"/>
  <c r="K25" i="23"/>
  <c r="H21" i="23"/>
  <c r="E25" i="23"/>
  <c r="C25" i="23"/>
  <c r="D25" i="23"/>
  <c r="D21" i="23"/>
  <c r="N17" i="23" l="1"/>
  <c r="O17" i="23"/>
  <c r="E17" i="23"/>
  <c r="L17" i="23" l="1"/>
  <c r="H17" i="23"/>
  <c r="K43" i="19" l="1"/>
  <c r="J190" i="22" l="1"/>
  <c r="I190" i="22"/>
  <c r="H190" i="22"/>
  <c r="G190" i="22"/>
  <c r="F190" i="22"/>
  <c r="J189" i="22"/>
  <c r="I189" i="22"/>
  <c r="H189" i="22"/>
  <c r="G189" i="22"/>
  <c r="F189" i="22"/>
  <c r="J188" i="22"/>
  <c r="I188" i="22"/>
  <c r="H188" i="22"/>
  <c r="G188" i="22"/>
  <c r="F188" i="22"/>
  <c r="J141" i="22"/>
  <c r="I141" i="22"/>
  <c r="H141" i="22"/>
  <c r="G141" i="22"/>
  <c r="F141" i="22"/>
  <c r="J139" i="22"/>
  <c r="I139" i="22"/>
  <c r="H139" i="22"/>
  <c r="G139" i="22"/>
  <c r="F139" i="22"/>
  <c r="J138" i="22"/>
  <c r="I138" i="22"/>
  <c r="H138" i="22"/>
  <c r="G138" i="22"/>
  <c r="F138" i="22"/>
  <c r="J137" i="22"/>
  <c r="I137" i="22"/>
  <c r="H137" i="22"/>
  <c r="G137" i="22"/>
  <c r="F137" i="22"/>
  <c r="J136" i="22"/>
  <c r="I136" i="22"/>
  <c r="H136" i="22"/>
  <c r="G136" i="22"/>
  <c r="F136" i="22"/>
  <c r="J135" i="22"/>
  <c r="I135" i="22"/>
  <c r="H135" i="22"/>
  <c r="G135" i="22"/>
  <c r="F135" i="22"/>
  <c r="J134" i="22"/>
  <c r="I134" i="22"/>
  <c r="H134" i="22"/>
  <c r="G134" i="22"/>
  <c r="F134" i="22"/>
  <c r="J133" i="22"/>
  <c r="I133" i="22"/>
  <c r="H133" i="22"/>
  <c r="G133" i="22"/>
  <c r="F133" i="22"/>
  <c r="J132" i="22"/>
  <c r="I132" i="22"/>
  <c r="H132" i="22"/>
  <c r="G132" i="22"/>
  <c r="F132" i="22"/>
  <c r="J131" i="22"/>
  <c r="I131" i="22"/>
  <c r="H131" i="22"/>
  <c r="G131" i="22"/>
  <c r="F131" i="22"/>
  <c r="J130" i="22"/>
  <c r="I130" i="22"/>
  <c r="H130" i="22"/>
  <c r="G130" i="22"/>
  <c r="F130" i="22"/>
  <c r="J129" i="22"/>
  <c r="I129" i="22"/>
  <c r="H129" i="22"/>
  <c r="G129" i="22"/>
  <c r="F129" i="22"/>
  <c r="J128" i="22"/>
  <c r="I128" i="22"/>
  <c r="H128" i="22"/>
  <c r="G128" i="22"/>
  <c r="F128" i="22"/>
  <c r="J127" i="22"/>
  <c r="I127" i="22"/>
  <c r="H127" i="22"/>
  <c r="G127" i="22"/>
  <c r="F127" i="22"/>
  <c r="J126" i="22"/>
  <c r="I126" i="22"/>
  <c r="H126" i="22"/>
  <c r="G126" i="22"/>
  <c r="F126" i="22"/>
  <c r="J125" i="22"/>
  <c r="I125" i="22"/>
  <c r="H125" i="22"/>
  <c r="G125" i="22"/>
  <c r="F125" i="22"/>
  <c r="J124" i="22"/>
  <c r="I124" i="22"/>
  <c r="H124" i="22"/>
  <c r="G124" i="22"/>
  <c r="F124" i="22"/>
  <c r="J123" i="22"/>
  <c r="I123" i="22"/>
  <c r="H123" i="22"/>
  <c r="G123" i="22"/>
  <c r="F123" i="22"/>
  <c r="J122" i="22"/>
  <c r="I122" i="22"/>
  <c r="H122" i="22"/>
  <c r="G122" i="22"/>
  <c r="F122" i="22"/>
  <c r="J121" i="22"/>
  <c r="I121" i="22"/>
  <c r="H121" i="22"/>
  <c r="G121" i="22"/>
  <c r="F121" i="22"/>
  <c r="J120" i="22"/>
  <c r="I120" i="22"/>
  <c r="H120" i="22"/>
  <c r="G120" i="22"/>
  <c r="F120" i="22"/>
  <c r="J119" i="22"/>
  <c r="I119" i="22"/>
  <c r="H119" i="22"/>
  <c r="G119" i="22"/>
  <c r="F119" i="22"/>
  <c r="J118" i="22"/>
  <c r="I118" i="22"/>
  <c r="H118" i="22"/>
  <c r="G118" i="22"/>
  <c r="F118" i="22"/>
  <c r="J117" i="22"/>
  <c r="I117" i="22"/>
  <c r="H117" i="22"/>
  <c r="G117" i="22"/>
  <c r="F117" i="22"/>
  <c r="J116" i="22"/>
  <c r="I116" i="22"/>
  <c r="H116" i="22"/>
  <c r="G116" i="22"/>
  <c r="F116" i="22"/>
  <c r="J115" i="22"/>
  <c r="I115" i="22"/>
  <c r="H115" i="22"/>
  <c r="G115" i="22"/>
  <c r="F115" i="22"/>
  <c r="J114" i="22"/>
  <c r="I114" i="22"/>
  <c r="H114" i="22"/>
  <c r="G114" i="22"/>
  <c r="F114" i="22"/>
  <c r="J113" i="22"/>
  <c r="I113" i="22"/>
  <c r="H113" i="22"/>
  <c r="G113" i="22"/>
  <c r="F113" i="22"/>
  <c r="J112" i="22"/>
  <c r="I112" i="22"/>
  <c r="H112" i="22"/>
  <c r="G112" i="22"/>
  <c r="F112" i="22"/>
  <c r="J111" i="22"/>
  <c r="I111" i="22"/>
  <c r="H111" i="22"/>
  <c r="G111" i="22"/>
  <c r="F111" i="22"/>
  <c r="J110" i="22"/>
  <c r="I110" i="22"/>
  <c r="H110" i="22"/>
  <c r="G110" i="22"/>
  <c r="F110" i="22"/>
  <c r="J109" i="22"/>
  <c r="I109" i="22"/>
  <c r="H109" i="22"/>
  <c r="G109" i="22"/>
  <c r="F109" i="22"/>
  <c r="J108" i="22"/>
  <c r="I108" i="22"/>
  <c r="H108" i="22"/>
  <c r="G108" i="22"/>
  <c r="F108" i="22"/>
  <c r="J107" i="22"/>
  <c r="I107" i="22"/>
  <c r="H107" i="22"/>
  <c r="G107" i="22"/>
  <c r="F107" i="22"/>
  <c r="J106" i="22"/>
  <c r="I106" i="22"/>
  <c r="H106" i="22"/>
  <c r="G106" i="22"/>
  <c r="F106" i="22"/>
  <c r="J105" i="22"/>
  <c r="I105" i="22"/>
  <c r="H105" i="22"/>
  <c r="G105" i="22"/>
  <c r="F105" i="22"/>
  <c r="J104" i="22"/>
  <c r="I104" i="22"/>
  <c r="H104" i="22"/>
  <c r="G104" i="22"/>
  <c r="F104" i="22"/>
  <c r="J103" i="22"/>
  <c r="I103" i="22"/>
  <c r="H103" i="22"/>
  <c r="G103" i="22"/>
  <c r="F103" i="22"/>
  <c r="J102" i="22"/>
  <c r="I102" i="22"/>
  <c r="H102" i="22"/>
  <c r="G102" i="22"/>
  <c r="F102" i="22"/>
  <c r="J101" i="22"/>
  <c r="I101" i="22"/>
  <c r="H101" i="22"/>
  <c r="G101" i="22"/>
  <c r="F101" i="22"/>
  <c r="J100" i="22"/>
  <c r="I100" i="22"/>
  <c r="H100" i="22"/>
  <c r="G100" i="22"/>
  <c r="F100" i="22"/>
  <c r="J99" i="22"/>
  <c r="I99" i="22"/>
  <c r="H99" i="22"/>
  <c r="G99" i="22"/>
  <c r="F99" i="22"/>
  <c r="J98" i="22"/>
  <c r="I98" i="22"/>
  <c r="H98" i="22"/>
  <c r="G98" i="22"/>
  <c r="F98" i="22"/>
  <c r="J97" i="22"/>
  <c r="I97" i="22"/>
  <c r="H97" i="22"/>
  <c r="G97" i="22"/>
  <c r="F97" i="22"/>
  <c r="J96" i="22"/>
  <c r="I96" i="22"/>
  <c r="H96" i="22"/>
  <c r="G96" i="22"/>
  <c r="F96" i="22"/>
  <c r="J95" i="22"/>
  <c r="I95" i="22"/>
  <c r="H95" i="22"/>
  <c r="G95" i="22"/>
  <c r="F95" i="22"/>
  <c r="J94" i="22"/>
  <c r="I94" i="22"/>
  <c r="H94" i="22"/>
  <c r="G94" i="22"/>
  <c r="F94" i="22"/>
  <c r="J93" i="22"/>
  <c r="I93" i="22"/>
  <c r="H93" i="22"/>
  <c r="G93" i="22"/>
  <c r="F93" i="22"/>
  <c r="J92" i="22"/>
  <c r="I92" i="22"/>
  <c r="H92" i="22"/>
  <c r="G92" i="22"/>
  <c r="F92" i="22"/>
  <c r="J91" i="22"/>
  <c r="I91" i="22"/>
  <c r="H91" i="22"/>
  <c r="G91" i="22"/>
  <c r="F91" i="22"/>
  <c r="J90" i="22"/>
  <c r="I90" i="22"/>
  <c r="H90" i="22"/>
  <c r="G90" i="22"/>
  <c r="F90" i="22"/>
  <c r="J89" i="22"/>
  <c r="I89" i="22"/>
  <c r="H89" i="22"/>
  <c r="G89" i="22"/>
  <c r="F89" i="22"/>
  <c r="J88" i="22"/>
  <c r="I88" i="22"/>
  <c r="H88" i="22"/>
  <c r="G88" i="22"/>
  <c r="F88" i="22"/>
  <c r="J87" i="22"/>
  <c r="I87" i="22"/>
  <c r="H87" i="22"/>
  <c r="G87" i="22"/>
  <c r="F87" i="22"/>
  <c r="J86" i="22"/>
  <c r="I86" i="22"/>
  <c r="H86" i="22"/>
  <c r="G86" i="22"/>
  <c r="F86" i="22"/>
  <c r="J85" i="22"/>
  <c r="I85" i="22"/>
  <c r="H85" i="22"/>
  <c r="G85" i="22"/>
  <c r="F85" i="22"/>
  <c r="J84" i="22"/>
  <c r="I84" i="22"/>
  <c r="H84" i="22"/>
  <c r="G84" i="22"/>
  <c r="F84" i="22"/>
  <c r="J83" i="22"/>
  <c r="I83" i="22"/>
  <c r="H83" i="22"/>
  <c r="G83" i="22"/>
  <c r="F83" i="22"/>
  <c r="P6" i="25" l="1"/>
  <c r="M59" i="25" l="1"/>
  <c r="N28" i="23"/>
  <c r="L127" i="17"/>
  <c r="AM34" i="19"/>
  <c r="P91" i="25" l="1"/>
  <c r="P93" i="25" s="1"/>
  <c r="M91" i="25"/>
  <c r="M93" i="25" s="1"/>
  <c r="AK29" i="19" l="1"/>
  <c r="L124" i="17" l="1"/>
  <c r="J48" i="19" s="1"/>
  <c r="L123" i="17"/>
  <c r="L120" i="17"/>
  <c r="J47" i="19" l="1"/>
  <c r="K47" i="19" s="1"/>
  <c r="M47" i="19"/>
  <c r="L122" i="17"/>
  <c r="M48" i="19"/>
  <c r="N48" i="19" s="1"/>
  <c r="N47" i="19" l="1"/>
  <c r="J44" i="23"/>
  <c r="O48" i="19"/>
  <c r="J43" i="23"/>
  <c r="O47" i="19"/>
  <c r="G44" i="23"/>
  <c r="G43" i="23"/>
  <c r="O44" i="23"/>
  <c r="K44" i="23" l="1"/>
  <c r="K43" i="23"/>
  <c r="H15" i="23"/>
  <c r="H13" i="23"/>
  <c r="H25" i="23"/>
  <c r="H8" i="23"/>
  <c r="H14" i="23"/>
  <c r="H29" i="23"/>
  <c r="H10" i="23"/>
  <c r="H22" i="23"/>
  <c r="H31" i="23"/>
  <c r="H37" i="23"/>
  <c r="H9" i="23"/>
  <c r="H30" i="23"/>
  <c r="H36" i="23"/>
  <c r="H28" i="23"/>
  <c r="H11" i="23"/>
  <c r="H23" i="23"/>
  <c r="H33" i="23"/>
  <c r="H43" i="23"/>
  <c r="H12" i="23"/>
  <c r="H24" i="23"/>
  <c r="H34" i="23"/>
  <c r="H44" i="23"/>
  <c r="K48" i="19"/>
  <c r="N8" i="23"/>
  <c r="O8" i="23"/>
  <c r="N9" i="23"/>
  <c r="O9" i="23"/>
  <c r="N10" i="23"/>
  <c r="O10" i="23"/>
  <c r="M11" i="23"/>
  <c r="N11" i="23"/>
  <c r="O11" i="23"/>
  <c r="N12" i="23"/>
  <c r="O12" i="23"/>
  <c r="N13" i="23"/>
  <c r="O13" i="23"/>
  <c r="N14" i="23"/>
  <c r="O14" i="23"/>
  <c r="N15" i="23"/>
  <c r="O15" i="23"/>
  <c r="N22" i="23"/>
  <c r="O22" i="23"/>
  <c r="N23" i="23"/>
  <c r="O23" i="23"/>
  <c r="N24" i="23"/>
  <c r="O24" i="23"/>
  <c r="N25" i="23"/>
  <c r="N30" i="23"/>
  <c r="O30" i="23"/>
  <c r="N31" i="23"/>
  <c r="O31" i="23"/>
  <c r="N33" i="23"/>
  <c r="O33" i="23"/>
  <c r="N34" i="23"/>
  <c r="O34" i="23"/>
  <c r="O28" i="23"/>
  <c r="N29" i="23"/>
  <c r="O29" i="23"/>
  <c r="N36" i="23"/>
  <c r="O36" i="23"/>
  <c r="N37" i="23"/>
  <c r="O37" i="23"/>
  <c r="N43" i="23"/>
  <c r="O43" i="23"/>
  <c r="N44" i="23"/>
  <c r="O7" i="23"/>
  <c r="N7" i="23"/>
  <c r="E44" i="23"/>
  <c r="D44" i="23"/>
  <c r="C44" i="23"/>
  <c r="E43" i="23"/>
  <c r="D43" i="23"/>
  <c r="C43" i="23"/>
  <c r="E37" i="23"/>
  <c r="E36" i="23"/>
  <c r="E29" i="23"/>
  <c r="E28" i="23"/>
  <c r="E34" i="23"/>
  <c r="E31" i="23"/>
  <c r="E24" i="23"/>
  <c r="E23" i="23"/>
  <c r="E22" i="23"/>
  <c r="E15" i="23"/>
  <c r="E14" i="23"/>
  <c r="E13" i="23"/>
  <c r="E12" i="23"/>
  <c r="D12" i="23"/>
  <c r="E11" i="23"/>
  <c r="E10" i="23"/>
  <c r="E9" i="23"/>
  <c r="E8" i="23"/>
  <c r="E7" i="23"/>
  <c r="L6" i="23"/>
  <c r="L24" i="23" l="1"/>
  <c r="L23" i="23"/>
  <c r="L33" i="23"/>
  <c r="L7" i="23"/>
  <c r="P11" i="23"/>
  <c r="H7" i="23"/>
  <c r="L30" i="23"/>
  <c r="L28" i="23"/>
  <c r="L12" i="23"/>
  <c r="L10" i="23"/>
  <c r="L11" i="23"/>
  <c r="L9" i="23"/>
  <c r="L25" i="23"/>
  <c r="L14" i="23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2" i="19"/>
  <c r="K23" i="19"/>
  <c r="K24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9" i="19"/>
  <c r="K40" i="19"/>
  <c r="K41" i="19"/>
  <c r="K42" i="19"/>
  <c r="K44" i="19"/>
  <c r="K45" i="19"/>
  <c r="L44" i="23" l="1"/>
  <c r="L34" i="23"/>
  <c r="L36" i="23"/>
  <c r="L22" i="23"/>
  <c r="L8" i="23"/>
  <c r="L13" i="23"/>
  <c r="L15" i="23"/>
  <c r="Q11" i="23"/>
  <c r="L31" i="23"/>
  <c r="L29" i="23"/>
  <c r="L37" i="23"/>
  <c r="P47" i="18"/>
  <c r="P48" i="18"/>
  <c r="L43" i="23" l="1"/>
  <c r="P46" i="18" l="1"/>
  <c r="AG21" i="19"/>
  <c r="AG11" i="19"/>
  <c r="AG8" i="19"/>
  <c r="AG5" i="19"/>
  <c r="D17" i="23" l="1"/>
  <c r="D37" i="23"/>
  <c r="D34" i="23"/>
  <c r="D8" i="23"/>
  <c r="D28" i="23"/>
  <c r="D15" i="23"/>
  <c r="D9" i="23"/>
  <c r="D11" i="23"/>
  <c r="D13" i="23"/>
  <c r="D14" i="23"/>
  <c r="D36" i="23"/>
  <c r="D31" i="23"/>
  <c r="D10" i="23"/>
  <c r="D7" i="23"/>
  <c r="D29" i="23"/>
  <c r="D24" i="23"/>
  <c r="C34" i="23"/>
  <c r="C36" i="23"/>
  <c r="C24" i="23"/>
  <c r="C37" i="23"/>
  <c r="C29" i="23"/>
  <c r="C31" i="23"/>
  <c r="C28" i="23"/>
  <c r="D33" i="23"/>
  <c r="D22" i="23" l="1"/>
  <c r="D23" i="23"/>
  <c r="D30" i="23"/>
  <c r="C23" i="23"/>
  <c r="C22" i="23"/>
  <c r="O25" i="23"/>
  <c r="P49" i="19" l="1"/>
  <c r="P50" i="19"/>
  <c r="P43" i="19"/>
  <c r="P42" i="19"/>
  <c r="P33" i="19"/>
  <c r="P25" i="19"/>
  <c r="P27" i="19"/>
  <c r="P18" i="19"/>
  <c r="P6" i="19"/>
  <c r="S6" i="19" s="1"/>
  <c r="AG6" i="19" s="1"/>
  <c r="P23" i="19"/>
  <c r="P14" i="19"/>
  <c r="P26" i="19"/>
  <c r="P10" i="19"/>
  <c r="P36" i="19"/>
  <c r="P12" i="19"/>
  <c r="P9" i="19"/>
  <c r="P15" i="19"/>
  <c r="P32" i="19"/>
  <c r="P7" i="19"/>
  <c r="P39" i="19"/>
  <c r="P37" i="19"/>
  <c r="P22" i="19"/>
  <c r="P40" i="19"/>
  <c r="P35" i="19"/>
  <c r="P13" i="19"/>
  <c r="P48" i="19"/>
  <c r="P47" i="19"/>
  <c r="P17" i="19"/>
  <c r="P19" i="19"/>
  <c r="P16" i="19"/>
  <c r="P20" i="19"/>
  <c r="P45" i="19"/>
  <c r="P44" i="19"/>
  <c r="P30" i="19"/>
  <c r="M26" i="23" s="1"/>
  <c r="P26" i="23" s="1"/>
  <c r="Q26" i="23" s="1"/>
  <c r="P24" i="19"/>
  <c r="P28" i="19"/>
  <c r="P41" i="19"/>
  <c r="P31" i="19"/>
  <c r="P34" i="19"/>
  <c r="P29" i="19"/>
  <c r="S47" i="19" l="1"/>
  <c r="AG47" i="19" s="1"/>
  <c r="M40" i="23"/>
  <c r="P40" i="23" s="1"/>
  <c r="Q40" i="23" s="1"/>
  <c r="S44" i="19"/>
  <c r="AG44" i="19" s="1"/>
  <c r="M37" i="23"/>
  <c r="P37" i="23" s="1"/>
  <c r="Q37" i="23" s="1"/>
  <c r="S40" i="19"/>
  <c r="AG40" i="19" s="1"/>
  <c r="S10" i="19"/>
  <c r="AG10" i="19" s="1"/>
  <c r="S43" i="19"/>
  <c r="AG43" i="19" s="1"/>
  <c r="M41" i="23"/>
  <c r="P41" i="23" s="1"/>
  <c r="Q41" i="23" s="1"/>
  <c r="S45" i="19"/>
  <c r="AG45" i="19" s="1"/>
  <c r="AD24" i="19"/>
  <c r="S22" i="19"/>
  <c r="AG22" i="19" s="1"/>
  <c r="M24" i="23"/>
  <c r="P24" i="23" s="1"/>
  <c r="Q24" i="23" s="1"/>
  <c r="S26" i="19"/>
  <c r="AG26" i="19" s="1"/>
  <c r="M46" i="23"/>
  <c r="P46" i="23" s="1"/>
  <c r="Q46" i="23" s="1"/>
  <c r="S50" i="19"/>
  <c r="AG50" i="19" s="1"/>
  <c r="S20" i="19"/>
  <c r="AG20" i="19" s="1"/>
  <c r="S37" i="19"/>
  <c r="AG37" i="19" s="1"/>
  <c r="S14" i="19"/>
  <c r="AG14" i="19" s="1"/>
  <c r="S49" i="19"/>
  <c r="AG49" i="19" s="1"/>
  <c r="S29" i="19"/>
  <c r="AG29" i="19" s="1"/>
  <c r="S16" i="19"/>
  <c r="AG16" i="19" s="1"/>
  <c r="M36" i="23"/>
  <c r="P36" i="23" s="1"/>
  <c r="Q36" i="23" s="1"/>
  <c r="S39" i="19"/>
  <c r="AD22" i="19"/>
  <c r="S23" i="19"/>
  <c r="AG23" i="19" s="1"/>
  <c r="M33" i="23"/>
  <c r="P33" i="23" s="1"/>
  <c r="Q33" i="23" s="1"/>
  <c r="R33" i="23" s="1"/>
  <c r="S34" i="19"/>
  <c r="U34" i="19" s="1"/>
  <c r="C33" i="23" s="1"/>
  <c r="M18" i="23"/>
  <c r="P18" i="23" s="1"/>
  <c r="Q18" i="23" s="1"/>
  <c r="S19" i="19"/>
  <c r="AG19" i="19" s="1"/>
  <c r="S7" i="19"/>
  <c r="AG7" i="19" s="1"/>
  <c r="M30" i="23"/>
  <c r="P30" i="23" s="1"/>
  <c r="Q30" i="23" s="1"/>
  <c r="R30" i="23" s="1"/>
  <c r="S31" i="19"/>
  <c r="AG31" i="19" s="1"/>
  <c r="M16" i="23"/>
  <c r="P16" i="23" s="1"/>
  <c r="Q16" i="23" s="1"/>
  <c r="S17" i="19"/>
  <c r="AG17" i="19" s="1"/>
  <c r="S32" i="19"/>
  <c r="AG32" i="19" s="1"/>
  <c r="M17" i="23"/>
  <c r="P17" i="23" s="1"/>
  <c r="Q17" i="23" s="1"/>
  <c r="S18" i="19"/>
  <c r="AG18" i="19" s="1"/>
  <c r="S41" i="19"/>
  <c r="AG41" i="19" s="1"/>
  <c r="M15" i="23"/>
  <c r="P15" i="23" s="1"/>
  <c r="Q15" i="23" s="1"/>
  <c r="S15" i="19"/>
  <c r="AG15" i="19" s="1"/>
  <c r="M21" i="23"/>
  <c r="P21" i="23" s="1"/>
  <c r="Q21" i="23" s="1"/>
  <c r="S27" i="19"/>
  <c r="AG27" i="19" s="1"/>
  <c r="M9" i="23"/>
  <c r="P9" i="23" s="1"/>
  <c r="Q9" i="23" s="1"/>
  <c r="S9" i="19"/>
  <c r="AG9" i="19" s="1"/>
  <c r="AD27" i="19"/>
  <c r="S25" i="19"/>
  <c r="AG25" i="19" s="1"/>
  <c r="S28" i="19"/>
  <c r="AG28" i="19" s="1"/>
  <c r="S24" i="19"/>
  <c r="AG24" i="19" s="1"/>
  <c r="S12" i="19"/>
  <c r="AG12" i="19" s="1"/>
  <c r="S33" i="19"/>
  <c r="AG33" i="19" s="1"/>
  <c r="M44" i="23"/>
  <c r="P44" i="23" s="1"/>
  <c r="Q44" i="23" s="1"/>
  <c r="S48" i="19"/>
  <c r="AG48" i="19" s="1"/>
  <c r="S13" i="19"/>
  <c r="AG13" i="19" s="1"/>
  <c r="S30" i="19"/>
  <c r="AG30" i="19" s="1"/>
  <c r="S35" i="19"/>
  <c r="AG35" i="19" s="1"/>
  <c r="S36" i="19"/>
  <c r="AG36" i="19" s="1"/>
  <c r="S42" i="19"/>
  <c r="AG42" i="19" s="1"/>
  <c r="M43" i="23"/>
  <c r="P43" i="23" s="1"/>
  <c r="Q43" i="23" s="1"/>
  <c r="M20" i="23"/>
  <c r="P20" i="23" s="1"/>
  <c r="Q20" i="23" s="1"/>
  <c r="M29" i="23"/>
  <c r="P29" i="23" s="1"/>
  <c r="Q29" i="23" s="1"/>
  <c r="M10" i="23"/>
  <c r="P10" i="23" s="1"/>
  <c r="Q10" i="23" s="1"/>
  <c r="AD25" i="19"/>
  <c r="M31" i="23"/>
  <c r="P31" i="23" s="1"/>
  <c r="Q31" i="23" s="1"/>
  <c r="M23" i="23"/>
  <c r="P23" i="23" s="1"/>
  <c r="Q23" i="23" s="1"/>
  <c r="M39" i="23"/>
  <c r="P39" i="23" s="1"/>
  <c r="Q39" i="23" s="1"/>
  <c r="M25" i="23"/>
  <c r="P25" i="23" s="1"/>
  <c r="Q25" i="23" s="1"/>
  <c r="M12" i="23"/>
  <c r="P12" i="23" s="1"/>
  <c r="Q12" i="23" s="1"/>
  <c r="M13" i="23"/>
  <c r="P13" i="23" s="1"/>
  <c r="Q13" i="23" s="1"/>
  <c r="M22" i="23"/>
  <c r="P22" i="23" s="1"/>
  <c r="Q22" i="23" s="1"/>
  <c r="M8" i="23"/>
  <c r="P8" i="23" s="1"/>
  <c r="Q8" i="23" s="1"/>
  <c r="M14" i="23"/>
  <c r="P14" i="23" s="1"/>
  <c r="Q14" i="23" s="1"/>
  <c r="M7" i="23"/>
  <c r="P7" i="23" s="1"/>
  <c r="Q7" i="23" s="1"/>
  <c r="M38" i="23"/>
  <c r="P38" i="23" s="1"/>
  <c r="Q38" i="23" s="1"/>
  <c r="M45" i="23"/>
  <c r="P45" i="23" s="1"/>
  <c r="Q45" i="23" s="1"/>
  <c r="AD26" i="19"/>
  <c r="AD23" i="19"/>
  <c r="M34" i="23"/>
  <c r="P34" i="23" s="1"/>
  <c r="Q34" i="23" s="1"/>
  <c r="M32" i="23"/>
  <c r="P32" i="23" s="1"/>
  <c r="Q32" i="23" s="1"/>
  <c r="M28" i="23"/>
  <c r="P28" i="23" s="1"/>
  <c r="Q28" i="23" s="1"/>
  <c r="M27" i="23"/>
  <c r="P27" i="23" s="1"/>
  <c r="Q27" i="23" s="1"/>
  <c r="AG39" i="19" l="1"/>
  <c r="U31" i="19"/>
  <c r="C30" i="23" s="1"/>
  <c r="T31" i="19"/>
  <c r="AG34" i="19"/>
  <c r="T34" i="19"/>
  <c r="F1299" i="18" l="1"/>
  <c r="F1330" i="18"/>
  <c r="F1344" i="18"/>
  <c r="F1303" i="18"/>
  <c r="F1336" i="18"/>
  <c r="F1283" i="18"/>
  <c r="F1302" i="18"/>
  <c r="F1305" i="18"/>
  <c r="F1130" i="18"/>
  <c r="F1227" i="18"/>
  <c r="F902" i="18"/>
  <c r="F917" i="18"/>
  <c r="F751" i="18"/>
  <c r="F824" i="18"/>
  <c r="F467" i="18"/>
  <c r="F279" i="18"/>
  <c r="F1117" i="18"/>
  <c r="F1215" i="18"/>
  <c r="F886" i="18"/>
  <c r="F904" i="18"/>
  <c r="F743" i="18"/>
  <c r="F812" i="18"/>
  <c r="F419" i="18"/>
  <c r="F406" i="18"/>
  <c r="F1074" i="18"/>
  <c r="F1203" i="18"/>
  <c r="F867" i="18"/>
  <c r="F883" i="18"/>
  <c r="F730" i="18"/>
  <c r="F800" i="18"/>
  <c r="F385" i="18"/>
  <c r="F394" i="18"/>
  <c r="F1178" i="18"/>
  <c r="F1082" i="18"/>
  <c r="F877" i="18"/>
  <c r="F817" i="18"/>
  <c r="F703" i="18"/>
  <c r="F417" i="18"/>
  <c r="F427" i="18"/>
  <c r="F319" i="18"/>
  <c r="F1161" i="18"/>
  <c r="F1069" i="18"/>
  <c r="F852" i="18"/>
  <c r="F809" i="18"/>
  <c r="F695" i="18"/>
  <c r="F409" i="18"/>
  <c r="F418" i="18"/>
  <c r="F1195" i="18"/>
  <c r="F1134" i="18"/>
  <c r="F933" i="18"/>
  <c r="F1294" i="18"/>
  <c r="F1318" i="18"/>
  <c r="F1332" i="18"/>
  <c r="F1358" i="18"/>
  <c r="F1324" i="18"/>
  <c r="F1290" i="18"/>
  <c r="F1309" i="18"/>
  <c r="F1288" i="18"/>
  <c r="F1087" i="18"/>
  <c r="F1031" i="18"/>
  <c r="F1078" i="18"/>
  <c r="F760" i="18"/>
  <c r="F572" i="18"/>
  <c r="F678" i="18"/>
  <c r="F705" i="18"/>
  <c r="F274" i="18"/>
  <c r="F1051" i="18"/>
  <c r="F1022" i="18"/>
  <c r="F1070" i="18"/>
  <c r="F756" i="18"/>
  <c r="F551" i="18"/>
  <c r="F665" i="18"/>
  <c r="F693" i="18"/>
  <c r="F265" i="18"/>
  <c r="F1033" i="18"/>
  <c r="F1004" i="18"/>
  <c r="F1057" i="18"/>
  <c r="F748" i="18"/>
  <c r="F525" i="18"/>
  <c r="F644" i="18"/>
  <c r="F681" i="18"/>
  <c r="F218" i="18"/>
  <c r="F1182" i="18"/>
  <c r="F922" i="18"/>
  <c r="F816" i="18"/>
  <c r="F801" i="18"/>
  <c r="F653" i="18"/>
  <c r="F471" i="18"/>
  <c r="F532" i="18"/>
  <c r="F350" i="18"/>
  <c r="F1170" i="18"/>
  <c r="F918" i="18"/>
  <c r="F803" i="18"/>
  <c r="F785" i="18"/>
  <c r="F637" i="18"/>
  <c r="F454" i="18"/>
  <c r="F520" i="18"/>
  <c r="F1052" i="18"/>
  <c r="F957" i="18"/>
  <c r="F1005" i="18"/>
  <c r="F1282" i="18"/>
  <c r="F1306" i="18"/>
  <c r="F1320" i="18"/>
  <c r="F1346" i="18"/>
  <c r="F1312" i="18"/>
  <c r="F1297" i="18"/>
  <c r="F1287" i="18"/>
  <c r="F1281" i="18"/>
  <c r="F1046" i="18"/>
  <c r="F1123" i="18"/>
  <c r="F955" i="18"/>
  <c r="F752" i="18"/>
  <c r="F719" i="18"/>
  <c r="F649" i="18"/>
  <c r="F561" i="18"/>
  <c r="F317" i="18"/>
  <c r="F1024" i="18"/>
  <c r="F1106" i="18"/>
  <c r="F938" i="18"/>
  <c r="F735" i="18"/>
  <c r="F706" i="18"/>
  <c r="F635" i="18"/>
  <c r="F553" i="18"/>
  <c r="F305" i="18"/>
  <c r="F1006" i="18"/>
  <c r="F1098" i="18"/>
  <c r="F866" i="18"/>
  <c r="F726" i="18"/>
  <c r="F685" i="18"/>
  <c r="F583" i="18"/>
  <c r="F540" i="18"/>
  <c r="F293" i="18"/>
  <c r="F1135" i="18"/>
  <c r="F863" i="18"/>
  <c r="F821" i="18"/>
  <c r="F1128" i="18"/>
  <c r="F517" i="18"/>
  <c r="F447" i="18"/>
  <c r="F402" i="18"/>
  <c r="F357" i="18"/>
  <c r="F1201" i="18"/>
  <c r="F945" i="18"/>
  <c r="F808" i="18"/>
  <c r="F1116" i="18"/>
  <c r="F650" i="18"/>
  <c r="F444" i="18"/>
  <c r="F390" i="18"/>
  <c r="F1016" i="18"/>
  <c r="F1167" i="18"/>
  <c r="F941" i="18"/>
  <c r="F1352" i="18"/>
  <c r="F1359" i="18"/>
  <c r="F1361" i="18"/>
  <c r="F1308" i="18"/>
  <c r="F1334" i="18"/>
  <c r="F1300" i="18"/>
  <c r="F1285" i="18"/>
  <c r="F1357" i="18"/>
  <c r="F1329" i="18"/>
  <c r="F1175" i="18"/>
  <c r="F1071" i="18"/>
  <c r="F994" i="18"/>
  <c r="F846" i="18"/>
  <c r="F489" i="18"/>
  <c r="F537" i="18"/>
  <c r="F579" i="18"/>
  <c r="F336" i="18"/>
  <c r="F1163" i="18"/>
  <c r="F1012" i="18"/>
  <c r="F986" i="18"/>
  <c r="F838" i="18"/>
  <c r="F643" i="18"/>
  <c r="F529" i="18"/>
  <c r="F566" i="18"/>
  <c r="F324" i="18"/>
  <c r="F1153" i="18"/>
  <c r="F990" i="18"/>
  <c r="F972" i="18"/>
  <c r="F825" i="18"/>
  <c r="F627" i="18"/>
  <c r="F516" i="18"/>
  <c r="F558" i="18"/>
  <c r="F312" i="18"/>
  <c r="F1225" i="18"/>
  <c r="F887" i="18"/>
  <c r="F834" i="18"/>
  <c r="F984" i="18"/>
  <c r="F723" i="18"/>
  <c r="F567" i="18"/>
  <c r="F325" i="18"/>
  <c r="F388" i="18"/>
  <c r="F1189" i="18"/>
  <c r="F1110" i="18"/>
  <c r="F826" i="18"/>
  <c r="F971" i="18"/>
  <c r="F710" i="18"/>
  <c r="F554" i="18"/>
  <c r="F313" i="18"/>
  <c r="F960" i="18"/>
  <c r="F1210" i="18"/>
  <c r="F1015" i="18"/>
  <c r="F1340" i="18"/>
  <c r="F1347" i="18"/>
  <c r="F1349" i="18"/>
  <c r="F1296" i="18"/>
  <c r="F1322" i="18"/>
  <c r="F1355" i="18"/>
  <c r="F1291" i="18"/>
  <c r="F1345" i="18"/>
  <c r="F1293" i="18"/>
  <c r="F983" i="18"/>
  <c r="F1003" i="18"/>
  <c r="F910" i="18"/>
  <c r="F851" i="18"/>
  <c r="F750" i="18"/>
  <c r="F466" i="18"/>
  <c r="F455" i="18"/>
  <c r="F355" i="18"/>
  <c r="F1205" i="18"/>
  <c r="F985" i="18"/>
  <c r="F900" i="18"/>
  <c r="F843" i="18"/>
  <c r="F737" i="18"/>
  <c r="F448" i="18"/>
  <c r="F442" i="18"/>
  <c r="F343" i="18"/>
  <c r="F1214" i="18"/>
  <c r="F1090" i="18"/>
  <c r="F943" i="18"/>
  <c r="F830" i="18"/>
  <c r="F716" i="18"/>
  <c r="F435" i="18"/>
  <c r="F439" i="18"/>
  <c r="F1219" i="18"/>
  <c r="F1155" i="18"/>
  <c r="F970" i="18"/>
  <c r="F797" i="18"/>
  <c r="F827" i="18"/>
  <c r="F625" i="18"/>
  <c r="F429" i="18"/>
  <c r="F380" i="18"/>
  <c r="F1207" i="18"/>
  <c r="F1147" i="18"/>
  <c r="F953" i="18"/>
  <c r="F768" i="18"/>
  <c r="F819" i="18"/>
  <c r="F614" i="18"/>
  <c r="F371" i="18"/>
  <c r="F368" i="18"/>
  <c r="F979" i="18"/>
  <c r="F999" i="18"/>
  <c r="F1083" i="18"/>
  <c r="F1328" i="18"/>
  <c r="F1335" i="18"/>
  <c r="F1337" i="18"/>
  <c r="F1363" i="18"/>
  <c r="F1310" i="18"/>
  <c r="F1343" i="18"/>
  <c r="F1362" i="18"/>
  <c r="F1333" i="18"/>
  <c r="F1353" i="18"/>
  <c r="F1218" i="18"/>
  <c r="F954" i="18"/>
  <c r="F858" i="18"/>
  <c r="F684" i="18"/>
  <c r="F570" i="18"/>
  <c r="F513" i="18"/>
  <c r="F568" i="18"/>
  <c r="F386" i="18"/>
  <c r="F1206" i="18"/>
  <c r="F951" i="18"/>
  <c r="F850" i="18"/>
  <c r="F663" i="18"/>
  <c r="F523" i="18"/>
  <c r="F505" i="18"/>
  <c r="F556" i="18"/>
  <c r="F374" i="18"/>
  <c r="F1194" i="18"/>
  <c r="F931" i="18"/>
  <c r="F837" i="18"/>
  <c r="F814" i="18"/>
  <c r="F500" i="18"/>
  <c r="F492" i="18"/>
  <c r="F544" i="18"/>
  <c r="F1079" i="18"/>
  <c r="F982" i="18"/>
  <c r="F1026" i="18"/>
  <c r="F844" i="18"/>
  <c r="F811" i="18"/>
  <c r="F932" i="18"/>
  <c r="F585" i="18"/>
  <c r="F387" i="18"/>
  <c r="F1061" i="18"/>
  <c r="F977" i="18"/>
  <c r="F1013" i="18"/>
  <c r="F823" i="18"/>
  <c r="F798" i="18"/>
  <c r="F920" i="18"/>
  <c r="F577" i="18"/>
  <c r="F375" i="18"/>
  <c r="F1111" i="18"/>
  <c r="F1200" i="18"/>
  <c r="F915" i="18"/>
  <c r="F1316" i="18"/>
  <c r="F1323" i="18"/>
  <c r="F1325" i="18"/>
  <c r="F1351" i="18"/>
  <c r="F1298" i="18"/>
  <c r="F1331" i="18"/>
  <c r="F1350" i="18"/>
  <c r="F1321" i="18"/>
  <c r="F1317" i="18"/>
  <c r="F1059" i="18"/>
  <c r="F913" i="18"/>
  <c r="F636" i="18"/>
  <c r="F673" i="18"/>
  <c r="F606" i="18"/>
  <c r="F359" i="18"/>
  <c r="F438" i="18"/>
  <c r="F393" i="18"/>
  <c r="F1037" i="18"/>
  <c r="F888" i="18"/>
  <c r="F842" i="18"/>
  <c r="F1152" i="18"/>
  <c r="F559" i="18"/>
  <c r="F468" i="18"/>
  <c r="F426" i="18"/>
  <c r="F381" i="18"/>
  <c r="F1169" i="18"/>
  <c r="F869" i="18"/>
  <c r="F829" i="18"/>
  <c r="F1140" i="18"/>
  <c r="F538" i="18"/>
  <c r="F460" i="18"/>
  <c r="F414" i="18"/>
  <c r="F1065" i="18"/>
  <c r="F1191" i="18"/>
  <c r="F841" i="18"/>
  <c r="F870" i="18"/>
  <c r="F709" i="18"/>
  <c r="F788" i="18"/>
  <c r="F432" i="18"/>
  <c r="F382" i="18"/>
  <c r="F1038" i="18"/>
  <c r="F1179" i="18"/>
  <c r="F964" i="18"/>
  <c r="F862" i="18"/>
  <c r="F696" i="18"/>
  <c r="F775" i="18"/>
  <c r="F423" i="18"/>
  <c r="F370" i="18"/>
  <c r="F1143" i="18"/>
  <c r="F1048" i="18"/>
  <c r="F940" i="18"/>
  <c r="F1304" i="18"/>
  <c r="F1311" i="18"/>
  <c r="F1313" i="18"/>
  <c r="F1339" i="18"/>
  <c r="F1286" i="18"/>
  <c r="F1319" i="18"/>
  <c r="F1338" i="18"/>
  <c r="F1289" i="18"/>
  <c r="F1279" i="18"/>
  <c r="F1202" i="18"/>
  <c r="F959" i="18"/>
  <c r="F881" i="18"/>
  <c r="F1020" i="18"/>
  <c r="F757" i="18"/>
  <c r="F609" i="18"/>
  <c r="F294" i="18"/>
  <c r="F424" i="18"/>
  <c r="F1185" i="18"/>
  <c r="F936" i="18"/>
  <c r="F868" i="18"/>
  <c r="F1008" i="18"/>
  <c r="F744" i="18"/>
  <c r="F601" i="18"/>
  <c r="F282" i="18"/>
  <c r="F412" i="18"/>
  <c r="F1156" i="18"/>
  <c r="F921" i="18"/>
  <c r="F847" i="18"/>
  <c r="F996" i="18"/>
  <c r="F736" i="18"/>
  <c r="F588" i="18"/>
  <c r="F337" i="18"/>
  <c r="F1029" i="18"/>
  <c r="F965" i="18"/>
  <c r="F1036" i="18"/>
  <c r="F731" i="18"/>
  <c r="F443" i="18"/>
  <c r="F632" i="18"/>
  <c r="F669" i="18"/>
  <c r="F425" i="18"/>
  <c r="F1011" i="18"/>
  <c r="F1222" i="18"/>
  <c r="F1023" i="18"/>
  <c r="F722" i="18"/>
  <c r="F638" i="18"/>
  <c r="F578" i="18"/>
  <c r="F657" i="18"/>
  <c r="F413" i="18"/>
  <c r="F1158" i="18"/>
  <c r="F909" i="18"/>
  <c r="F795" i="18"/>
  <c r="F1292" i="18"/>
  <c r="F1354" i="18"/>
  <c r="F1301" i="18"/>
  <c r="F1327" i="18"/>
  <c r="F1360" i="18"/>
  <c r="F1307" i="18"/>
  <c r="F1326" i="18"/>
  <c r="F1284" i="18"/>
  <c r="F1120" i="18"/>
  <c r="F1184" i="18"/>
  <c r="F1000" i="18"/>
  <c r="F676" i="18"/>
  <c r="F874" i="18"/>
  <c r="F542" i="18"/>
  <c r="F459" i="18"/>
  <c r="F416" i="18"/>
  <c r="F1088" i="18"/>
  <c r="F1172" i="18"/>
  <c r="F987" i="18"/>
  <c r="F818" i="18"/>
  <c r="F861" i="18"/>
  <c r="F521" i="18"/>
  <c r="F456" i="18"/>
  <c r="F404" i="18"/>
  <c r="F7" i="18"/>
  <c r="F1160" i="18"/>
  <c r="F973" i="18"/>
  <c r="F805" i="18"/>
  <c r="F840" i="18"/>
  <c r="F481" i="18"/>
  <c r="F453" i="18"/>
  <c r="F392" i="18"/>
  <c r="F997" i="18"/>
  <c r="F1053" i="18"/>
  <c r="F839" i="18"/>
  <c r="F708" i="18"/>
  <c r="F672" i="18"/>
  <c r="F562" i="18"/>
  <c r="F519" i="18"/>
  <c r="F281" i="18"/>
  <c r="F988" i="18"/>
  <c r="F1017" i="18"/>
  <c r="F1096" i="18"/>
  <c r="F674" i="18"/>
  <c r="F664" i="18"/>
  <c r="F541" i="18"/>
  <c r="F506" i="18"/>
  <c r="F271" i="18"/>
  <c r="F1165" i="18"/>
  <c r="F942" i="18"/>
  <c r="F787" i="18"/>
  <c r="F1280" i="18"/>
  <c r="F1342" i="18"/>
  <c r="F1356" i="18"/>
  <c r="F1315" i="18"/>
  <c r="F1348" i="18"/>
  <c r="F1295" i="18"/>
  <c r="F1314" i="18"/>
  <c r="F1341" i="18"/>
  <c r="F1112" i="18"/>
  <c r="F1045" i="18"/>
  <c r="F1060" i="18"/>
  <c r="F878" i="18"/>
  <c r="F667" i="18"/>
  <c r="F968" i="18"/>
  <c r="F619" i="18"/>
  <c r="F272" i="18"/>
  <c r="F1109" i="18"/>
  <c r="F1018" i="18"/>
  <c r="F1047" i="18"/>
  <c r="F865" i="18"/>
  <c r="F656" i="18"/>
  <c r="F956" i="18"/>
  <c r="F611" i="18"/>
  <c r="F267" i="18"/>
  <c r="F1101" i="18"/>
  <c r="F1009" i="18"/>
  <c r="F1039" i="18"/>
  <c r="F857" i="18"/>
  <c r="F832" i="18"/>
  <c r="F944" i="18"/>
  <c r="F598" i="18"/>
  <c r="F399" i="18"/>
  <c r="F1132" i="18"/>
  <c r="F976" i="18"/>
  <c r="F952" i="18"/>
  <c r="F804" i="18"/>
  <c r="F623" i="18"/>
  <c r="F495" i="18"/>
  <c r="F545" i="18"/>
  <c r="F300" i="18"/>
  <c r="F1119" i="18"/>
  <c r="F1224" i="18"/>
  <c r="F935" i="18"/>
  <c r="F791" i="18"/>
  <c r="F612" i="18"/>
  <c r="F482" i="18"/>
  <c r="F524" i="18"/>
  <c r="F288" i="18"/>
  <c r="F1129" i="18"/>
  <c r="F1097" i="18"/>
  <c r="F813" i="18"/>
  <c r="F749" i="18"/>
  <c r="F806" i="18"/>
  <c r="F599" i="18"/>
  <c r="F504" i="18"/>
  <c r="F356" i="18"/>
  <c r="F1217" i="18"/>
  <c r="F1198" i="18"/>
  <c r="F1002" i="18"/>
  <c r="F704" i="18"/>
  <c r="F603" i="18"/>
  <c r="F536" i="18"/>
  <c r="F633" i="18"/>
  <c r="F389" i="18"/>
  <c r="F962" i="18"/>
  <c r="F1126" i="18"/>
  <c r="F907" i="18"/>
  <c r="F815" i="18"/>
  <c r="F662" i="18"/>
  <c r="F733" i="18"/>
  <c r="F765" i="18"/>
  <c r="F334" i="18"/>
  <c r="F101" i="18"/>
  <c r="F1124" i="18"/>
  <c r="F835" i="18"/>
  <c r="F715" i="18"/>
  <c r="F734" i="18"/>
  <c r="F549" i="18"/>
  <c r="F463" i="18"/>
  <c r="F472" i="18"/>
  <c r="F290" i="18"/>
  <c r="F1221" i="18"/>
  <c r="F1162" i="18"/>
  <c r="F975" i="18"/>
  <c r="F799" i="18"/>
  <c r="F514" i="18"/>
  <c r="F691" i="18"/>
  <c r="F595" i="18"/>
  <c r="F353" i="18"/>
  <c r="F1114" i="18"/>
  <c r="F993" i="18"/>
  <c r="F892" i="18"/>
  <c r="F739" i="18"/>
  <c r="F630" i="18"/>
  <c r="F539" i="18"/>
  <c r="F592" i="18"/>
  <c r="F410" i="18"/>
  <c r="F686" i="18"/>
  <c r="F259" i="18"/>
  <c r="F138" i="18"/>
  <c r="F928" i="18"/>
  <c r="F35" i="18"/>
  <c r="F16" i="18"/>
  <c r="F1258" i="18"/>
  <c r="F253" i="18"/>
  <c r="F244" i="18"/>
  <c r="F1239" i="18"/>
  <c r="F450" i="18"/>
  <c r="F1252" i="18"/>
  <c r="F133" i="18"/>
  <c r="F774" i="18"/>
  <c r="F88" i="18"/>
  <c r="F83" i="18"/>
  <c r="F1261" i="18"/>
  <c r="F149" i="18"/>
  <c r="F45" i="18"/>
  <c r="F48" i="18"/>
  <c r="F292" i="18"/>
  <c r="F119" i="18"/>
  <c r="F8" i="18"/>
  <c r="F465" i="18"/>
  <c r="F173" i="18"/>
  <c r="F54" i="18"/>
  <c r="F1007" i="18"/>
  <c r="F208" i="18"/>
  <c r="F197" i="18"/>
  <c r="F1269" i="18"/>
  <c r="F127" i="18"/>
  <c r="F179" i="18"/>
  <c r="F1234" i="18"/>
  <c r="F348" i="18"/>
  <c r="F193" i="18"/>
  <c r="F49" i="18"/>
  <c r="F367" i="18"/>
  <c r="F59" i="18"/>
  <c r="F1254" i="18"/>
  <c r="F810" i="18"/>
  <c r="F790" i="18"/>
  <c r="F908" i="18"/>
  <c r="F564" i="18"/>
  <c r="F363" i="18"/>
  <c r="F1216" i="18"/>
  <c r="F995" i="18"/>
  <c r="F1075" i="18"/>
  <c r="F646" i="18"/>
  <c r="F620" i="18"/>
  <c r="F446" i="18"/>
  <c r="F485" i="18"/>
  <c r="F408" i="18"/>
  <c r="F1226" i="18"/>
  <c r="F1186" i="18"/>
  <c r="F989" i="18"/>
  <c r="F690" i="18"/>
  <c r="F582" i="18"/>
  <c r="F515" i="18"/>
  <c r="F621" i="18"/>
  <c r="F377" i="18"/>
  <c r="F168" i="18"/>
  <c r="F1099" i="18"/>
  <c r="F903" i="18"/>
  <c r="F701" i="18"/>
  <c r="F1068" i="18"/>
  <c r="F590" i="18"/>
  <c r="F473" i="18"/>
  <c r="F342" i="18"/>
  <c r="F297" i="18"/>
  <c r="F1211" i="18"/>
  <c r="F1136" i="18"/>
  <c r="F1041" i="18"/>
  <c r="F893" i="18"/>
  <c r="F555" i="18"/>
  <c r="F571" i="18"/>
  <c r="F628" i="18"/>
  <c r="F372" i="18"/>
  <c r="F1086" i="18"/>
  <c r="F948" i="18"/>
  <c r="F687" i="18"/>
  <c r="F707" i="18"/>
  <c r="F507" i="18"/>
  <c r="F430" i="18"/>
  <c r="F407" i="18"/>
  <c r="F243" i="18"/>
  <c r="F600" i="18"/>
  <c r="F84" i="18"/>
  <c r="F1242" i="18"/>
  <c r="F714" i="18"/>
  <c r="F136" i="18"/>
  <c r="F131" i="18"/>
  <c r="F1259" i="18"/>
  <c r="F194" i="18"/>
  <c r="F96" i="18"/>
  <c r="F1253" i="18"/>
  <c r="F398" i="18"/>
  <c r="F106" i="18"/>
  <c r="F1237" i="18"/>
  <c r="F502" i="18"/>
  <c r="F158" i="18"/>
  <c r="F105" i="18"/>
  <c r="F1196" i="18"/>
  <c r="F189" i="18"/>
  <c r="F160" i="18"/>
  <c r="F1231" i="18"/>
  <c r="F199" i="18"/>
  <c r="F195" i="18"/>
  <c r="F22" i="18"/>
  <c r="F291" i="18"/>
  <c r="F230" i="18"/>
  <c r="F85" i="18"/>
  <c r="F694" i="18"/>
  <c r="F252" i="18"/>
  <c r="F204" i="18"/>
  <c r="F1138" i="18"/>
  <c r="F62" i="18"/>
  <c r="F239" i="18"/>
  <c r="F1248" i="18"/>
  <c r="F345" i="18"/>
  <c r="F237" i="18"/>
  <c r="F104" i="18"/>
  <c r="F1250" i="18"/>
  <c r="F1240" i="18"/>
  <c r="F666" i="18"/>
  <c r="F849" i="18"/>
  <c r="F688" i="18"/>
  <c r="F767" i="18"/>
  <c r="F383" i="18"/>
  <c r="F358" i="18"/>
  <c r="F1108" i="18"/>
  <c r="F1188" i="18"/>
  <c r="F890" i="18"/>
  <c r="F679" i="18"/>
  <c r="F586" i="18"/>
  <c r="F445" i="18"/>
  <c r="F503" i="18"/>
  <c r="F231" i="18"/>
  <c r="F1180" i="18"/>
  <c r="F981" i="18"/>
  <c r="F1062" i="18"/>
  <c r="F914" i="18"/>
  <c r="F597" i="18"/>
  <c r="F605" i="18"/>
  <c r="F464" i="18"/>
  <c r="F396" i="18"/>
  <c r="F1157" i="18"/>
  <c r="F6" i="18"/>
  <c r="F1055" i="18"/>
  <c r="F778" i="18"/>
  <c r="F929" i="18"/>
  <c r="F655" i="18"/>
  <c r="F499" i="18"/>
  <c r="F260" i="18"/>
  <c r="F328" i="18"/>
  <c r="F1064" i="18"/>
  <c r="F1084" i="18"/>
  <c r="F946" i="18"/>
  <c r="F898" i="18"/>
  <c r="F501" i="18"/>
  <c r="F347" i="18"/>
  <c r="F469" i="18"/>
  <c r="F391" i="18"/>
  <c r="F991" i="18"/>
  <c r="F856" i="18"/>
  <c r="F671" i="18"/>
  <c r="F1044" i="18"/>
  <c r="F548" i="18"/>
  <c r="F373" i="18"/>
  <c r="F318" i="18"/>
  <c r="F273" i="18"/>
  <c r="F331" i="18"/>
  <c r="F154" i="18"/>
  <c r="F25" i="18"/>
  <c r="F639" i="18"/>
  <c r="F191" i="18"/>
  <c r="F153" i="18"/>
  <c r="F1230" i="18"/>
  <c r="F225" i="18"/>
  <c r="F176" i="18"/>
  <c r="F19" i="18"/>
  <c r="F376" i="18"/>
  <c r="F167" i="18"/>
  <c r="F44" i="18"/>
  <c r="F526" i="18"/>
  <c r="F210" i="18"/>
  <c r="F90" i="18"/>
  <c r="F924" i="18"/>
  <c r="F245" i="18"/>
  <c r="F234" i="18"/>
  <c r="F1274" i="18"/>
  <c r="F146" i="18"/>
  <c r="F9" i="18"/>
  <c r="F36" i="18"/>
  <c r="F278" i="18"/>
  <c r="F11" i="18"/>
  <c r="F140" i="18"/>
  <c r="F527" i="18"/>
  <c r="F107" i="18"/>
  <c r="F187" i="18"/>
  <c r="F1131" i="18"/>
  <c r="F117" i="18"/>
  <c r="F70" i="18"/>
  <c r="F1268" i="18"/>
  <c r="F323" i="18"/>
  <c r="F38" i="18"/>
  <c r="F39" i="18"/>
  <c r="F55" i="18"/>
  <c r="F137" i="18"/>
  <c r="F1245" i="18"/>
  <c r="F713" i="18"/>
  <c r="F624" i="18"/>
  <c r="F557" i="18"/>
  <c r="F645" i="18"/>
  <c r="F401" i="18"/>
  <c r="F1204" i="18"/>
  <c r="F1035" i="18"/>
  <c r="F934" i="18"/>
  <c r="F770" i="18"/>
  <c r="F661" i="18"/>
  <c r="F594" i="18"/>
  <c r="F397" i="18"/>
  <c r="F283" i="18"/>
  <c r="F1100" i="18"/>
  <c r="F1164" i="18"/>
  <c r="F853" i="18"/>
  <c r="F919" i="18"/>
  <c r="F565" i="18"/>
  <c r="F431" i="18"/>
  <c r="F490" i="18"/>
  <c r="F415" i="18"/>
  <c r="F1159" i="18"/>
  <c r="F1107" i="18"/>
  <c r="F831" i="18"/>
  <c r="F660" i="18"/>
  <c r="F779" i="18"/>
  <c r="F531" i="18"/>
  <c r="F462" i="18"/>
  <c r="F320" i="18"/>
  <c r="F262" i="18"/>
  <c r="F1127" i="18"/>
  <c r="F1001" i="18"/>
  <c r="F905" i="18"/>
  <c r="F755" i="18"/>
  <c r="F634" i="18"/>
  <c r="F547" i="18"/>
  <c r="F604" i="18"/>
  <c r="F1176" i="18"/>
  <c r="F1208" i="18"/>
  <c r="F1034" i="18"/>
  <c r="F732" i="18"/>
  <c r="F895" i="18"/>
  <c r="F622" i="18"/>
  <c r="F478" i="18"/>
  <c r="F440" i="18"/>
  <c r="F304" i="18"/>
  <c r="F285" i="18"/>
  <c r="F212" i="18"/>
  <c r="F80" i="18"/>
  <c r="F670" i="18"/>
  <c r="F247" i="18"/>
  <c r="F126" i="18"/>
  <c r="F833" i="18"/>
  <c r="F1247" i="18"/>
  <c r="F270" i="18"/>
  <c r="F1265" i="18"/>
  <c r="F236" i="18"/>
  <c r="F232" i="18"/>
  <c r="F58" i="18"/>
  <c r="F306" i="18"/>
  <c r="F266" i="18"/>
  <c r="F121" i="18"/>
  <c r="F780" i="18"/>
  <c r="F26" i="18"/>
  <c r="F63" i="18"/>
  <c r="F1063" i="18"/>
  <c r="F165" i="18"/>
  <c r="F118" i="18"/>
  <c r="F1262" i="18"/>
  <c r="F280" i="18"/>
  <c r="F77" i="18"/>
  <c r="F1244" i="18"/>
  <c r="F631" i="18"/>
  <c r="F135" i="18"/>
  <c r="F42" i="18"/>
  <c r="F923" i="18"/>
  <c r="F196" i="18"/>
  <c r="F172" i="18"/>
  <c r="F1257" i="18"/>
  <c r="F124" i="18"/>
  <c r="F147" i="18"/>
  <c r="F53" i="18"/>
  <c r="F333" i="18"/>
  <c r="F72" i="18"/>
  <c r="F37" i="18"/>
  <c r="F658" i="18"/>
  <c r="F651" i="18"/>
  <c r="F493" i="18"/>
  <c r="F498" i="18"/>
  <c r="F216" i="18"/>
  <c r="F1145" i="18"/>
  <c r="F894" i="18"/>
  <c r="F772" i="18"/>
  <c r="F773" i="18"/>
  <c r="F596" i="18"/>
  <c r="F497" i="18"/>
  <c r="F496" i="18"/>
  <c r="F314" i="18"/>
  <c r="F1168" i="18"/>
  <c r="F1027" i="18"/>
  <c r="F889" i="18"/>
  <c r="F763" i="18"/>
  <c r="F648" i="18"/>
  <c r="F581" i="18"/>
  <c r="F349" i="18"/>
  <c r="F229" i="18"/>
  <c r="F998" i="18"/>
  <c r="F1209" i="18"/>
  <c r="F947" i="18"/>
  <c r="F764" i="18"/>
  <c r="F742" i="18"/>
  <c r="F872" i="18"/>
  <c r="F522" i="18"/>
  <c r="F327" i="18"/>
  <c r="F79" i="18"/>
  <c r="F1095" i="18"/>
  <c r="F822" i="18"/>
  <c r="F697" i="18"/>
  <c r="F725" i="18"/>
  <c r="F528" i="18"/>
  <c r="F457" i="18"/>
  <c r="F451" i="18"/>
  <c r="F1133" i="18"/>
  <c r="F1067" i="18"/>
  <c r="F1094" i="18"/>
  <c r="F899" i="18"/>
  <c r="F738" i="18"/>
  <c r="F480" i="18"/>
  <c r="F433" i="18"/>
  <c r="F296" i="18"/>
  <c r="F248" i="18"/>
  <c r="F299" i="18"/>
  <c r="F268" i="18"/>
  <c r="F15" i="18"/>
  <c r="F458" i="18"/>
  <c r="F81" i="18"/>
  <c r="F157" i="18"/>
  <c r="F891" i="18"/>
  <c r="F94" i="18"/>
  <c r="F89" i="18"/>
  <c r="F1275" i="18"/>
  <c r="F178" i="18"/>
  <c r="F93" i="18"/>
  <c r="F1241" i="18"/>
  <c r="F362" i="18"/>
  <c r="F103" i="18"/>
  <c r="F177" i="18"/>
  <c r="F758" i="18"/>
  <c r="F155" i="18"/>
  <c r="F50" i="18"/>
  <c r="F1091" i="18"/>
  <c r="F233" i="18"/>
  <c r="F221" i="18"/>
  <c r="F1267" i="18"/>
  <c r="F181" i="18"/>
  <c r="F185" i="18"/>
  <c r="F10" i="18"/>
  <c r="F286" i="18"/>
  <c r="F217" i="18"/>
  <c r="F73" i="18"/>
  <c r="F698" i="18"/>
  <c r="F240" i="18"/>
  <c r="F192" i="18"/>
  <c r="F1105" i="18"/>
  <c r="F28" i="18"/>
  <c r="F227" i="18"/>
  <c r="F1236" i="18"/>
  <c r="F144" i="18"/>
  <c r="F159" i="18"/>
  <c r="F882" i="18"/>
  <c r="F721" i="18"/>
  <c r="F607" i="18"/>
  <c r="F474" i="18"/>
  <c r="F511" i="18"/>
  <c r="F276" i="18"/>
  <c r="F1150" i="18"/>
  <c r="F939" i="18"/>
  <c r="F784" i="18"/>
  <c r="F1092" i="18"/>
  <c r="F618" i="18"/>
  <c r="F494" i="18"/>
  <c r="F366" i="18"/>
  <c r="F321" i="18"/>
  <c r="F1137" i="18"/>
  <c r="F876" i="18"/>
  <c r="F746" i="18"/>
  <c r="F747" i="18"/>
  <c r="F575" i="18"/>
  <c r="F476" i="18"/>
  <c r="F484" i="18"/>
  <c r="F302" i="18"/>
  <c r="F1181" i="18"/>
  <c r="F1118" i="18"/>
  <c r="F879" i="18"/>
  <c r="F807" i="18"/>
  <c r="F654" i="18"/>
  <c r="F720" i="18"/>
  <c r="F753" i="18"/>
  <c r="F322" i="18"/>
  <c r="F98" i="18"/>
  <c r="F1054" i="18"/>
  <c r="F875" i="18"/>
  <c r="F692" i="18"/>
  <c r="F1056" i="18"/>
  <c r="F569" i="18"/>
  <c r="F420" i="18"/>
  <c r="F330" i="18"/>
  <c r="F1190" i="18"/>
  <c r="F1213" i="18"/>
  <c r="F927" i="18"/>
  <c r="F680" i="18"/>
  <c r="F677" i="18"/>
  <c r="F848" i="18"/>
  <c r="F488" i="18"/>
  <c r="F303" i="18"/>
  <c r="F57" i="18"/>
  <c r="F21" i="18"/>
  <c r="F141" i="18"/>
  <c r="F29" i="18"/>
  <c r="F307" i="18"/>
  <c r="F151" i="18"/>
  <c r="F13" i="18"/>
  <c r="F593" i="18"/>
  <c r="F183" i="18"/>
  <c r="F111" i="18"/>
  <c r="F1077" i="18"/>
  <c r="F213" i="18"/>
  <c r="F166" i="18"/>
  <c r="F1255" i="18"/>
  <c r="F364" i="18"/>
  <c r="F125" i="18"/>
  <c r="F32" i="18"/>
  <c r="F421" i="18"/>
  <c r="F198" i="18"/>
  <c r="F78" i="18"/>
  <c r="F859" i="18"/>
  <c r="F1238" i="18"/>
  <c r="F23" i="18"/>
  <c r="F1154" i="18"/>
  <c r="F143" i="18"/>
  <c r="F263" i="18"/>
  <c r="F24" i="18"/>
  <c r="F405" i="18"/>
  <c r="F261" i="18"/>
  <c r="F128" i="18"/>
  <c r="F589" i="18"/>
  <c r="F65" i="18"/>
  <c r="F175" i="18"/>
  <c r="F1093" i="18"/>
  <c r="F75" i="18"/>
  <c r="F67" i="18"/>
  <c r="F1256" i="18"/>
  <c r="F1272" i="18"/>
  <c r="F1192" i="18"/>
  <c r="F87" i="18"/>
  <c r="F796" i="18"/>
  <c r="F682" i="18"/>
  <c r="F602" i="18"/>
  <c r="F411" i="18"/>
  <c r="F295" i="18"/>
  <c r="F1072" i="18"/>
  <c r="F1089" i="18"/>
  <c r="F792" i="18"/>
  <c r="F950" i="18"/>
  <c r="F689" i="18"/>
  <c r="F533" i="18"/>
  <c r="F289" i="18"/>
  <c r="F352" i="18"/>
  <c r="F1142" i="18"/>
  <c r="F925" i="18"/>
  <c r="F728" i="18"/>
  <c r="F1080" i="18"/>
  <c r="F610" i="18"/>
  <c r="F486" i="18"/>
  <c r="F354" i="18"/>
  <c r="F309" i="18"/>
  <c r="F1166" i="18"/>
  <c r="F1174" i="18"/>
  <c r="F978" i="18"/>
  <c r="F820" i="18"/>
  <c r="F535" i="18"/>
  <c r="F449" i="18"/>
  <c r="F608" i="18"/>
  <c r="F365" i="18"/>
  <c r="F1212" i="18"/>
  <c r="F1220" i="18"/>
  <c r="F1042" i="18"/>
  <c r="F761" i="18"/>
  <c r="F916" i="18"/>
  <c r="F647" i="18"/>
  <c r="F491" i="18"/>
  <c r="F452" i="18"/>
  <c r="F1122" i="18"/>
  <c r="F1058" i="18"/>
  <c r="F854" i="18"/>
  <c r="F786" i="18"/>
  <c r="F617" i="18"/>
  <c r="F699" i="18"/>
  <c r="F729" i="18"/>
  <c r="F298" i="18"/>
  <c r="F1187" i="18"/>
  <c r="F250" i="18"/>
  <c r="F202" i="18"/>
  <c r="F43" i="18"/>
  <c r="F241" i="18"/>
  <c r="F200" i="18"/>
  <c r="F68" i="18"/>
  <c r="F550" i="18"/>
  <c r="F235" i="18"/>
  <c r="F114" i="18"/>
  <c r="F1021" i="18"/>
  <c r="F269" i="18"/>
  <c r="F258" i="18"/>
  <c r="F1260" i="18"/>
  <c r="F223" i="18"/>
  <c r="F219" i="18"/>
  <c r="F46" i="18"/>
  <c r="F428" i="18"/>
  <c r="F254" i="18"/>
  <c r="F109" i="18"/>
  <c r="F591" i="18"/>
  <c r="F113" i="18"/>
  <c r="F14" i="18"/>
  <c r="F1177" i="18"/>
  <c r="F123" i="18"/>
  <c r="F115" i="18"/>
  <c r="F1270" i="18"/>
  <c r="F255" i="18"/>
  <c r="F74" i="18"/>
  <c r="F1232" i="18"/>
  <c r="F475" i="18"/>
  <c r="F132" i="18"/>
  <c r="F30" i="18"/>
  <c r="F871" i="18"/>
  <c r="F186" i="18"/>
  <c r="F169" i="18"/>
  <c r="F1273" i="18"/>
  <c r="F311" i="18"/>
  <c r="F142" i="18"/>
  <c r="F92" i="18"/>
  <c r="F776" i="18"/>
  <c r="F615" i="18"/>
  <c r="F361" i="18"/>
  <c r="F508" i="18"/>
  <c r="F1183" i="18"/>
  <c r="F1121" i="18"/>
  <c r="F897" i="18"/>
  <c r="F745" i="18"/>
  <c r="F793" i="18"/>
  <c r="F573" i="18"/>
  <c r="F483" i="18"/>
  <c r="F344" i="18"/>
  <c r="F5" i="18"/>
  <c r="F1050" i="18"/>
  <c r="F1076" i="18"/>
  <c r="F781" i="18"/>
  <c r="F937" i="18"/>
  <c r="F668" i="18"/>
  <c r="F512" i="18"/>
  <c r="F277" i="18"/>
  <c r="F340" i="18"/>
  <c r="F1223" i="18"/>
  <c r="F1149" i="18"/>
  <c r="F1049" i="18"/>
  <c r="F901" i="18"/>
  <c r="F576" i="18"/>
  <c r="F584" i="18"/>
  <c r="F436" i="18"/>
  <c r="F384" i="18"/>
  <c r="F1146" i="18"/>
  <c r="F1103" i="18"/>
  <c r="F1102" i="18"/>
  <c r="F912" i="18"/>
  <c r="F766" i="18"/>
  <c r="F510" i="18"/>
  <c r="F437" i="18"/>
  <c r="F308" i="18"/>
  <c r="F1228" i="18"/>
  <c r="F1144" i="18"/>
  <c r="F961" i="18"/>
  <c r="F783" i="18"/>
  <c r="F740" i="18"/>
  <c r="F683" i="18"/>
  <c r="F587" i="18"/>
  <c r="F341" i="18"/>
  <c r="F974" i="18"/>
  <c r="F69" i="18"/>
  <c r="F52" i="18"/>
  <c r="F1263" i="18"/>
  <c r="F287" i="18"/>
  <c r="F256" i="18"/>
  <c r="F1251" i="18"/>
  <c r="F580" i="18"/>
  <c r="F40" i="18"/>
  <c r="F145" i="18"/>
  <c r="F659" i="18"/>
  <c r="F91" i="18"/>
  <c r="F86" i="18"/>
  <c r="F1266" i="18"/>
  <c r="F171" i="18"/>
  <c r="F64" i="18"/>
  <c r="F60" i="18"/>
  <c r="F338" i="18"/>
  <c r="F100" i="18"/>
  <c r="F164" i="18"/>
  <c r="F629" i="18"/>
  <c r="F180" i="18"/>
  <c r="F66" i="18"/>
  <c r="F958" i="18"/>
  <c r="F220" i="18"/>
  <c r="F209" i="18"/>
  <c r="F1271" i="18"/>
  <c r="F130" i="18"/>
  <c r="F182" i="18"/>
  <c r="F1246" i="18"/>
  <c r="F329" i="18"/>
  <c r="F205" i="18"/>
  <c r="F61" i="18"/>
  <c r="F1032" i="18"/>
  <c r="F228" i="18"/>
  <c r="F184" i="18"/>
  <c r="F574" i="18"/>
  <c r="F214" i="18"/>
  <c r="F150" i="18"/>
  <c r="F836" i="18"/>
  <c r="F1104" i="18"/>
  <c r="F642" i="18"/>
  <c r="F441" i="18"/>
  <c r="F378" i="18"/>
  <c r="F1043" i="18"/>
  <c r="F1229" i="18"/>
  <c r="F992" i="18"/>
  <c r="F802" i="18"/>
  <c r="F769" i="18"/>
  <c r="F896" i="18"/>
  <c r="F543" i="18"/>
  <c r="F351" i="18"/>
  <c r="F1171" i="18"/>
  <c r="F1113" i="18"/>
  <c r="F855" i="18"/>
  <c r="F700" i="18"/>
  <c r="F782" i="18"/>
  <c r="F552" i="18"/>
  <c r="F470" i="18"/>
  <c r="F332" i="18"/>
  <c r="F275" i="18"/>
  <c r="F1073" i="18"/>
  <c r="F1141" i="18"/>
  <c r="F949" i="18"/>
  <c r="F906" i="18"/>
  <c r="F518" i="18"/>
  <c r="F395" i="18"/>
  <c r="F477" i="18"/>
  <c r="F403" i="18"/>
  <c r="F1193" i="18"/>
  <c r="F1173" i="18"/>
  <c r="F930" i="18"/>
  <c r="F718" i="18"/>
  <c r="F724" i="18"/>
  <c r="F860" i="18"/>
  <c r="F509" i="18"/>
  <c r="F315" i="18"/>
  <c r="F1199" i="18"/>
  <c r="F1115" i="18"/>
  <c r="F1028" i="18"/>
  <c r="F880" i="18"/>
  <c r="F534" i="18"/>
  <c r="F563" i="18"/>
  <c r="F613" i="18"/>
  <c r="F360" i="18"/>
  <c r="F652" i="18"/>
  <c r="F139" i="18"/>
  <c r="F134" i="18"/>
  <c r="F1264" i="18"/>
  <c r="F206" i="18"/>
  <c r="F99" i="18"/>
  <c r="F17" i="18"/>
  <c r="F422" i="18"/>
  <c r="F148" i="18"/>
  <c r="F1249" i="18"/>
  <c r="F727" i="18"/>
  <c r="F161" i="18"/>
  <c r="F108" i="18"/>
  <c r="F966" i="18"/>
  <c r="F201" i="18"/>
  <c r="F163" i="18"/>
  <c r="F1243" i="18"/>
  <c r="F316" i="18"/>
  <c r="F122" i="18"/>
  <c r="F20" i="18"/>
  <c r="F284" i="18"/>
  <c r="F242" i="18"/>
  <c r="F97" i="18"/>
  <c r="F864" i="18"/>
  <c r="F264" i="18"/>
  <c r="F1233" i="18"/>
  <c r="F1125" i="18"/>
  <c r="F95" i="18"/>
  <c r="F251" i="18"/>
  <c r="F12" i="18"/>
  <c r="F369" i="18"/>
  <c r="F249" i="18"/>
  <c r="F116" i="18"/>
  <c r="F980" i="18"/>
  <c r="F33" i="18"/>
  <c r="F162" i="18"/>
  <c r="F224" i="18"/>
  <c r="F1278" i="18"/>
  <c r="F1030" i="18"/>
  <c r="F170" i="18"/>
  <c r="F963" i="18"/>
  <c r="F702" i="18"/>
  <c r="F546" i="18"/>
  <c r="F301" i="18"/>
  <c r="F969" i="18"/>
  <c r="F1139" i="18"/>
  <c r="F911" i="18"/>
  <c r="F828" i="18"/>
  <c r="F675" i="18"/>
  <c r="F754" i="18"/>
  <c r="F777" i="18"/>
  <c r="F346" i="18"/>
  <c r="F1025" i="18"/>
  <c r="F1151" i="18"/>
  <c r="F967" i="18"/>
  <c r="F789" i="18"/>
  <c r="F762" i="18"/>
  <c r="F884" i="18"/>
  <c r="F530" i="18"/>
  <c r="F339" i="18"/>
  <c r="F82" i="18"/>
  <c r="F1148" i="18"/>
  <c r="F1014" i="18"/>
  <c r="F845" i="18"/>
  <c r="F759" i="18"/>
  <c r="F640" i="18"/>
  <c r="F560" i="18"/>
  <c r="F616" i="18"/>
  <c r="F434" i="18"/>
  <c r="F1197" i="18"/>
  <c r="F1085" i="18"/>
  <c r="F873" i="18"/>
  <c r="F794" i="18"/>
  <c r="F641" i="18"/>
  <c r="F712" i="18"/>
  <c r="F741" i="18"/>
  <c r="F310" i="18"/>
  <c r="F1019" i="18"/>
  <c r="F1066" i="18"/>
  <c r="F926" i="18"/>
  <c r="F885" i="18"/>
  <c r="F771" i="18"/>
  <c r="F487" i="18"/>
  <c r="F461" i="18"/>
  <c r="F379" i="18"/>
  <c r="F711" i="18"/>
  <c r="F203" i="18"/>
  <c r="F156" i="18"/>
  <c r="F1010" i="18"/>
  <c r="F238" i="18"/>
  <c r="F190" i="18"/>
  <c r="F31" i="18"/>
  <c r="F400" i="18"/>
  <c r="F188" i="18"/>
  <c r="F56" i="18"/>
  <c r="F479" i="18"/>
  <c r="F222" i="18"/>
  <c r="F102" i="18"/>
  <c r="F1081" i="18"/>
  <c r="F257" i="18"/>
  <c r="F246" i="18"/>
  <c r="F1276" i="18"/>
  <c r="F211" i="18"/>
  <c r="F207" i="18"/>
  <c r="F34" i="18"/>
  <c r="F326" i="18"/>
  <c r="F47" i="18"/>
  <c r="F152" i="18"/>
  <c r="F626" i="18"/>
  <c r="F110" i="18"/>
  <c r="F1235" i="18"/>
  <c r="F1040" i="18"/>
  <c r="F120" i="18"/>
  <c r="F112" i="18"/>
  <c r="F1277" i="18"/>
  <c r="F335" i="18"/>
  <c r="F71" i="18"/>
  <c r="F51" i="18"/>
  <c r="F717" i="18"/>
  <c r="F129" i="18"/>
  <c r="F18" i="18"/>
  <c r="F41" i="18"/>
  <c r="F76" i="18"/>
  <c r="F215" i="18"/>
  <c r="F27" i="18"/>
  <c r="F1405" i="18"/>
  <c r="F1407" i="18"/>
  <c r="F1409" i="18"/>
  <c r="F1411" i="18"/>
  <c r="F1413" i="18"/>
  <c r="F1415" i="18"/>
  <c r="F1417" i="18"/>
  <c r="F1419" i="18"/>
  <c r="F1421" i="18"/>
  <c r="F1423" i="18"/>
  <c r="F1425" i="18"/>
  <c r="F1427" i="18"/>
  <c r="F1429" i="18"/>
  <c r="F1431" i="18"/>
  <c r="F1433" i="18"/>
  <c r="F1435" i="18"/>
  <c r="F1437" i="18"/>
  <c r="F1439" i="18"/>
  <c r="F1441" i="18"/>
  <c r="F1443" i="18"/>
  <c r="F1445" i="18"/>
  <c r="F1447" i="18"/>
  <c r="F1449" i="18"/>
  <c r="F1451" i="18"/>
  <c r="F1453" i="18"/>
  <c r="F1455" i="18"/>
  <c r="F1457" i="18"/>
  <c r="F1459" i="18"/>
  <c r="F1461" i="18"/>
  <c r="F1463" i="18"/>
  <c r="F1465" i="18"/>
  <c r="F1467" i="18"/>
  <c r="F1469" i="18"/>
  <c r="F1471" i="18"/>
  <c r="F1473" i="18"/>
  <c r="F1475" i="18"/>
  <c r="F1477" i="18"/>
  <c r="F1479" i="18"/>
  <c r="F1481" i="18"/>
  <c r="F1483" i="18"/>
  <c r="F1485" i="18"/>
  <c r="F1487" i="18"/>
  <c r="F1392" i="18"/>
  <c r="F1384" i="18"/>
  <c r="F1382" i="18"/>
  <c r="F1380" i="18"/>
  <c r="F1378" i="18"/>
  <c r="F1376" i="18"/>
  <c r="F1374" i="18"/>
  <c r="F1372" i="18"/>
  <c r="F1370" i="18"/>
  <c r="F1368" i="18"/>
  <c r="F1366" i="18"/>
  <c r="F1364" i="18"/>
  <c r="F1390" i="18"/>
  <c r="F1396" i="18"/>
  <c r="F1398" i="18"/>
  <c r="F1404" i="18"/>
  <c r="F1406" i="18"/>
  <c r="F1408" i="18"/>
  <c r="F1410" i="18"/>
  <c r="F1412" i="18"/>
  <c r="F1414" i="18"/>
  <c r="F1416" i="18"/>
  <c r="F1418" i="18"/>
  <c r="F1420" i="18"/>
  <c r="F1422" i="18"/>
  <c r="F1424" i="18"/>
  <c r="F1426" i="18"/>
  <c r="F1428" i="18"/>
  <c r="F1430" i="18"/>
  <c r="F1432" i="18"/>
  <c r="F1434" i="18"/>
  <c r="F1436" i="18"/>
  <c r="F1438" i="18"/>
  <c r="F1440" i="18"/>
  <c r="F1442" i="18"/>
  <c r="F1444" i="18"/>
  <c r="F1446" i="18"/>
  <c r="F1448" i="18"/>
  <c r="F1450" i="18"/>
  <c r="F1452" i="18"/>
  <c r="F1454" i="18"/>
  <c r="F1456" i="18"/>
  <c r="F1458" i="18"/>
  <c r="F1460" i="18"/>
  <c r="F1462" i="18"/>
  <c r="F1464" i="18"/>
  <c r="F1466" i="18"/>
  <c r="F1468" i="18"/>
  <c r="F1470" i="18"/>
  <c r="F1472" i="18"/>
  <c r="F1474" i="18"/>
  <c r="F1476" i="18"/>
  <c r="F1478" i="18"/>
  <c r="F1480" i="18"/>
  <c r="F1482" i="18"/>
  <c r="F1484" i="18"/>
  <c r="F1486" i="18"/>
  <c r="F1488" i="18"/>
  <c r="F1400" i="18"/>
  <c r="F1386" i="18"/>
  <c r="F1402" i="18"/>
  <c r="F1388" i="18"/>
  <c r="F1403" i="18"/>
  <c r="F1401" i="18"/>
  <c r="F1399" i="18"/>
  <c r="F1397" i="18"/>
  <c r="F1395" i="18"/>
  <c r="F1393" i="18"/>
  <c r="F1391" i="18"/>
  <c r="F1389" i="18"/>
  <c r="F1387" i="18"/>
  <c r="F1385" i="18"/>
  <c r="F1383" i="18"/>
  <c r="F1381" i="18"/>
  <c r="F1379" i="18"/>
  <c r="F1377" i="18"/>
  <c r="F1375" i="18"/>
  <c r="F1373" i="18"/>
  <c r="F1371" i="18"/>
  <c r="F1369" i="18"/>
  <c r="F1367" i="18"/>
  <c r="F1365" i="18"/>
  <c r="F1394" i="18"/>
  <c r="F1493" i="18"/>
  <c r="F1501" i="18"/>
  <c r="F1513" i="18"/>
  <c r="F1490" i="18"/>
  <c r="F1492" i="18"/>
  <c r="F1494" i="18"/>
  <c r="F1496" i="18"/>
  <c r="F1498" i="18"/>
  <c r="F1500" i="18"/>
  <c r="F1502" i="18"/>
  <c r="F1504" i="18"/>
  <c r="F1506" i="18"/>
  <c r="F1508" i="18"/>
  <c r="F1510" i="18"/>
  <c r="F1512" i="18"/>
  <c r="F1514" i="18"/>
  <c r="F1516" i="18"/>
  <c r="F1518" i="18"/>
  <c r="F1520" i="18"/>
  <c r="F1522" i="18"/>
  <c r="F1524" i="18"/>
  <c r="F1526" i="18"/>
  <c r="F1528" i="18"/>
  <c r="F1530" i="18"/>
  <c r="F1532" i="18"/>
  <c r="F1534" i="18"/>
  <c r="F1536" i="18"/>
  <c r="F1538" i="18"/>
  <c r="F1540" i="18"/>
  <c r="F1542" i="18"/>
  <c r="F1544" i="18"/>
  <c r="F1546" i="18"/>
  <c r="F1548" i="18"/>
  <c r="F1550" i="18"/>
  <c r="F1552" i="18"/>
  <c r="F1489" i="18"/>
  <c r="F1497" i="18"/>
  <c r="F1505" i="18"/>
  <c r="F1509" i="18"/>
  <c r="F1517" i="18"/>
  <c r="F1491" i="18"/>
  <c r="F1499" i="18"/>
  <c r="F1507" i="18"/>
  <c r="F1511" i="18"/>
  <c r="F1519" i="18"/>
  <c r="F1553" i="18"/>
  <c r="F1521" i="18"/>
  <c r="F1523" i="18"/>
  <c r="F1525" i="18"/>
  <c r="F1527" i="18"/>
  <c r="F1529" i="18"/>
  <c r="F1531" i="18"/>
  <c r="F1533" i="18"/>
  <c r="F1535" i="18"/>
  <c r="F1537" i="18"/>
  <c r="F1539" i="18"/>
  <c r="F1541" i="18"/>
  <c r="F1543" i="18"/>
  <c r="F1545" i="18"/>
  <c r="F1547" i="18"/>
  <c r="F1549" i="18"/>
  <c r="F1551" i="18"/>
  <c r="F1495" i="18"/>
  <c r="F1503" i="18"/>
  <c r="F1515" i="18"/>
  <c r="E1285" i="18"/>
  <c r="E1359" i="18"/>
  <c r="E1306" i="18"/>
  <c r="E1332" i="18"/>
  <c r="E1291" i="18"/>
  <c r="E1312" i="18"/>
  <c r="E1302" i="18"/>
  <c r="E1358" i="18"/>
  <c r="E1154" i="18"/>
  <c r="E1140" i="18"/>
  <c r="E1093" i="18"/>
  <c r="E1135" i="18"/>
  <c r="E1017" i="18"/>
  <c r="E1212" i="18"/>
  <c r="E1054" i="18"/>
  <c r="E1006" i="18"/>
  <c r="E1103" i="18"/>
  <c r="E997" i="18"/>
  <c r="E771" i="18"/>
  <c r="E530" i="18"/>
  <c r="E657" i="18"/>
  <c r="E638" i="18"/>
  <c r="E258" i="18"/>
  <c r="E218" i="18"/>
  <c r="E1118" i="18"/>
  <c r="E1023" i="18"/>
  <c r="E767" i="18"/>
  <c r="E745" i="18"/>
  <c r="E500" i="18"/>
  <c r="E454" i="18"/>
  <c r="E1095" i="18"/>
  <c r="E964" i="18"/>
  <c r="E760" i="18"/>
  <c r="E586" i="18"/>
  <c r="E438" i="18"/>
  <c r="E335" i="18"/>
  <c r="E1129" i="18"/>
  <c r="E1107" i="18"/>
  <c r="E695" i="18"/>
  <c r="E508" i="18"/>
  <c r="E617" i="18"/>
  <c r="E325" i="18"/>
  <c r="E1077" i="18"/>
  <c r="E772" i="18"/>
  <c r="E635" i="18"/>
  <c r="E524" i="18"/>
  <c r="E549" i="18"/>
  <c r="E1005" i="18"/>
  <c r="E975" i="18"/>
  <c r="E804" i="18"/>
  <c r="E739" i="18"/>
  <c r="E606" i="18"/>
  <c r="E1214" i="18"/>
  <c r="E939" i="18"/>
  <c r="E705" i="18"/>
  <c r="E567" i="18"/>
  <c r="E448" i="18"/>
  <c r="E287" i="18"/>
  <c r="E1131" i="18"/>
  <c r="E879" i="18"/>
  <c r="E747" i="18"/>
  <c r="E552" i="18"/>
  <c r="E633" i="18"/>
  <c r="E427" i="18"/>
  <c r="E1122" i="18"/>
  <c r="E956" i="18"/>
  <c r="E736" i="18"/>
  <c r="E667" i="18"/>
  <c r="E444" i="18"/>
  <c r="E409" i="18"/>
  <c r="E50" i="18"/>
  <c r="E1136" i="18"/>
  <c r="E826" i="18"/>
  <c r="E725" i="18"/>
  <c r="E515" i="18"/>
  <c r="E436" i="18"/>
  <c r="E1152" i="18"/>
  <c r="E910" i="18"/>
  <c r="E646" i="18"/>
  <c r="E1304" i="18"/>
  <c r="E1347" i="18"/>
  <c r="E1282" i="18"/>
  <c r="E1320" i="18"/>
  <c r="E1353" i="18"/>
  <c r="E1300" i="18"/>
  <c r="E1289" i="18"/>
  <c r="E1281" i="18"/>
  <c r="E1171" i="18"/>
  <c r="E1156" i="18"/>
  <c r="E1009" i="18"/>
  <c r="E1127" i="18"/>
  <c r="E1115" i="18"/>
  <c r="E985" i="18"/>
  <c r="E6" i="18"/>
  <c r="E5" i="18"/>
  <c r="E1126" i="18"/>
  <c r="E1036" i="18"/>
  <c r="E774" i="18"/>
  <c r="E571" i="18"/>
  <c r="E579" i="18"/>
  <c r="E480" i="18"/>
  <c r="E310" i="18"/>
  <c r="E62" i="18"/>
  <c r="E999" i="18"/>
  <c r="E932" i="18"/>
  <c r="E812" i="18"/>
  <c r="E607" i="18"/>
  <c r="E463" i="18"/>
  <c r="E347" i="18"/>
  <c r="E1045" i="18"/>
  <c r="E1015" i="18"/>
  <c r="E846" i="18"/>
  <c r="E645" i="18"/>
  <c r="E622" i="18"/>
  <c r="E282" i="18"/>
  <c r="E1059" i="18"/>
  <c r="E941" i="18"/>
  <c r="E756" i="18"/>
  <c r="E724" i="18"/>
  <c r="E450" i="18"/>
  <c r="E344" i="18"/>
  <c r="E851" i="18"/>
  <c r="E787" i="18"/>
  <c r="E714" i="18"/>
  <c r="E422" i="18"/>
  <c r="E455" i="18"/>
  <c r="E1081" i="18"/>
  <c r="E895" i="18"/>
  <c r="E751" i="18"/>
  <c r="E563" i="18"/>
  <c r="E440" i="18"/>
  <c r="E1209" i="18"/>
  <c r="E995" i="18"/>
  <c r="E797" i="18"/>
  <c r="E693" i="18"/>
  <c r="E468" i="18"/>
  <c r="E433" i="18"/>
  <c r="E1205" i="18"/>
  <c r="E733" i="18"/>
  <c r="E759" i="18"/>
  <c r="E557" i="18"/>
  <c r="E485" i="18"/>
  <c r="E283" i="18"/>
  <c r="E968" i="18"/>
  <c r="E1042" i="18"/>
  <c r="E823" i="18"/>
  <c r="E560" i="18"/>
  <c r="E541" i="18"/>
  <c r="E260" i="18"/>
  <c r="E21" i="18"/>
  <c r="E1022" i="18"/>
  <c r="E920" i="18"/>
  <c r="E598" i="18"/>
  <c r="E461" i="18"/>
  <c r="E489" i="18"/>
  <c r="E1075" i="18"/>
  <c r="E832" i="18"/>
  <c r="E488" i="18"/>
  <c r="E1292" i="18"/>
  <c r="E1335" i="18"/>
  <c r="E1361" i="18"/>
  <c r="E1308" i="18"/>
  <c r="E1341" i="18"/>
  <c r="E1288" i="18"/>
  <c r="E1362" i="18"/>
  <c r="E1286" i="18"/>
  <c r="E1096" i="18"/>
  <c r="E1100" i="18"/>
  <c r="E904" i="18"/>
  <c r="E1223" i="18"/>
  <c r="E1066" i="18"/>
  <c r="E998" i="18"/>
  <c r="E1094" i="18"/>
  <c r="E1176" i="18"/>
  <c r="E1035" i="18"/>
  <c r="E935" i="18"/>
  <c r="E820" i="18"/>
  <c r="E766" i="18"/>
  <c r="E439" i="18"/>
  <c r="E574" i="18"/>
  <c r="E341" i="18"/>
  <c r="E1222" i="18"/>
  <c r="E994" i="18"/>
  <c r="E943" i="18"/>
  <c r="E859" i="18"/>
  <c r="E653" i="18"/>
  <c r="E634" i="18"/>
  <c r="E294" i="18"/>
  <c r="E1080" i="18"/>
  <c r="E883" i="18"/>
  <c r="E788" i="18"/>
  <c r="E522" i="18"/>
  <c r="E473" i="18"/>
  <c r="E337" i="18"/>
  <c r="E986" i="18"/>
  <c r="E1002" i="18"/>
  <c r="E780" i="18"/>
  <c r="E765" i="18"/>
  <c r="E624" i="18"/>
  <c r="E1020" i="18"/>
  <c r="E962" i="18"/>
  <c r="E878" i="18"/>
  <c r="E651" i="18"/>
  <c r="E466" i="18"/>
  <c r="E311" i="18"/>
  <c r="E965" i="18"/>
  <c r="E900" i="18"/>
  <c r="E1073" i="18"/>
  <c r="E925" i="18"/>
  <c r="E432" i="18"/>
  <c r="E1046" i="18"/>
  <c r="E1068" i="18"/>
  <c r="E844" i="18"/>
  <c r="E467" i="18"/>
  <c r="E575" i="18"/>
  <c r="E289" i="18"/>
  <c r="E1043" i="18"/>
  <c r="E696" i="18"/>
  <c r="E546" i="18"/>
  <c r="E490" i="18"/>
  <c r="E513" i="18"/>
  <c r="E241" i="18"/>
  <c r="E1108" i="18"/>
  <c r="E967" i="18"/>
  <c r="E807" i="18"/>
  <c r="E580" i="18"/>
  <c r="E459" i="18"/>
  <c r="E284" i="18"/>
  <c r="E1164" i="18"/>
  <c r="E936" i="18"/>
  <c r="E727" i="18"/>
  <c r="E659" i="18"/>
  <c r="E555" i="18"/>
  <c r="E397" i="18"/>
  <c r="E1102" i="18"/>
  <c r="E661" i="18"/>
  <c r="E627" i="18"/>
  <c r="E1284" i="18"/>
  <c r="E1323" i="18"/>
  <c r="E1349" i="18"/>
  <c r="E1296" i="18"/>
  <c r="E1329" i="18"/>
  <c r="E1295" i="18"/>
  <c r="E1350" i="18"/>
  <c r="E1322" i="18"/>
  <c r="E1161" i="18"/>
  <c r="E996" i="18"/>
  <c r="E881" i="18"/>
  <c r="E1041" i="18"/>
  <c r="E1083" i="18"/>
  <c r="E969" i="18"/>
  <c r="E1167" i="18"/>
  <c r="E954" i="18"/>
  <c r="E1012" i="18"/>
  <c r="E871" i="18"/>
  <c r="E872" i="18"/>
  <c r="E612" i="18"/>
  <c r="E521" i="18"/>
  <c r="E597" i="18"/>
  <c r="E336" i="18"/>
  <c r="E1033" i="18"/>
  <c r="E940" i="18"/>
  <c r="E798" i="18"/>
  <c r="E796" i="18"/>
  <c r="E543" i="18"/>
  <c r="E486" i="18"/>
  <c r="E349" i="18"/>
  <c r="E990" i="18"/>
  <c r="E790" i="18"/>
  <c r="E1109" i="18"/>
  <c r="E610" i="18"/>
  <c r="E636" i="18"/>
  <c r="E356" i="18"/>
  <c r="E1040" i="18"/>
  <c r="E919" i="18"/>
  <c r="E838" i="18"/>
  <c r="E605" i="18"/>
  <c r="E470" i="18"/>
  <c r="E1146" i="18"/>
  <c r="E1016" i="18"/>
  <c r="E685" i="18"/>
  <c r="E711" i="18"/>
  <c r="E502" i="18"/>
  <c r="E457" i="18"/>
  <c r="E1186" i="18"/>
  <c r="E750" i="18"/>
  <c r="E924" i="18"/>
  <c r="E783" i="18"/>
  <c r="E506" i="18"/>
  <c r="E1119" i="18"/>
  <c r="E897" i="18"/>
  <c r="E647" i="18"/>
  <c r="E611" i="18"/>
  <c r="E491" i="18"/>
  <c r="E1224" i="18"/>
  <c r="E922" i="18"/>
  <c r="E768" i="18"/>
  <c r="E680" i="18"/>
  <c r="E576" i="18"/>
  <c r="E419" i="18"/>
  <c r="E105" i="18"/>
  <c r="E1182" i="18"/>
  <c r="E1044" i="18"/>
  <c r="E875" i="18"/>
  <c r="E697" i="18"/>
  <c r="E559" i="18"/>
  <c r="E315" i="18"/>
  <c r="E984" i="18"/>
  <c r="E1034" i="18"/>
  <c r="E810" i="18"/>
  <c r="E539" i="18"/>
  <c r="E376" i="18"/>
  <c r="E236" i="18"/>
  <c r="E988" i="18"/>
  <c r="E813" i="18"/>
  <c r="E547" i="18"/>
  <c r="E1357" i="18"/>
  <c r="E1352" i="18"/>
  <c r="E1311" i="18"/>
  <c r="E1337" i="18"/>
  <c r="E1363" i="18"/>
  <c r="E1317" i="18"/>
  <c r="E1355" i="18"/>
  <c r="E1338" i="18"/>
  <c r="E1293" i="18"/>
  <c r="E1181" i="18"/>
  <c r="E1150" i="18"/>
  <c r="E976" i="18"/>
  <c r="E1183" i="18"/>
  <c r="E1038" i="18"/>
  <c r="E1198" i="18"/>
  <c r="E1200" i="18"/>
  <c r="E1185" i="18"/>
  <c r="E957" i="18"/>
  <c r="E811" i="18"/>
  <c r="E809" i="18"/>
  <c r="E523" i="18"/>
  <c r="E471" i="18"/>
  <c r="E460" i="18"/>
  <c r="E367" i="18"/>
  <c r="E1180" i="18"/>
  <c r="E908" i="18"/>
  <c r="E816" i="18"/>
  <c r="E1121" i="18"/>
  <c r="E618" i="18"/>
  <c r="E402" i="18"/>
  <c r="E1162" i="18"/>
  <c r="E934" i="18"/>
  <c r="E803" i="18"/>
  <c r="E966" i="18"/>
  <c r="E961" i="18"/>
  <c r="E483" i="18"/>
  <c r="E387" i="18"/>
  <c r="E963" i="18"/>
  <c r="E864" i="18"/>
  <c r="E1097" i="18"/>
  <c r="E949" i="18"/>
  <c r="E746" i="18"/>
  <c r="E1114" i="18"/>
  <c r="E1099" i="18"/>
  <c r="E748" i="18"/>
  <c r="E544" i="18"/>
  <c r="E596" i="18"/>
  <c r="E363" i="18"/>
  <c r="E1064" i="18"/>
  <c r="E737" i="18"/>
  <c r="E776" i="18"/>
  <c r="E511" i="18"/>
  <c r="E537" i="18"/>
  <c r="E1138" i="18"/>
  <c r="E1065" i="18"/>
  <c r="E791" i="18"/>
  <c r="E731" i="18"/>
  <c r="E593" i="18"/>
  <c r="E1117" i="18"/>
  <c r="E1055" i="18"/>
  <c r="E836" i="18"/>
  <c r="E581" i="18"/>
  <c r="E435" i="18"/>
  <c r="E277" i="18"/>
  <c r="E57" i="18"/>
  <c r="E991" i="18"/>
  <c r="E1091" i="18"/>
  <c r="E689" i="18"/>
  <c r="E629" i="18"/>
  <c r="E400" i="18"/>
  <c r="E358" i="18"/>
  <c r="E1019" i="18"/>
  <c r="E947" i="18"/>
  <c r="E794" i="18"/>
  <c r="E643" i="18"/>
  <c r="E456" i="18"/>
  <c r="E1088" i="18"/>
  <c r="E834" i="18"/>
  <c r="E907" i="18"/>
  <c r="E600" i="18"/>
  <c r="E1345" i="18"/>
  <c r="E1340" i="18"/>
  <c r="E1299" i="18"/>
  <c r="E1325" i="18"/>
  <c r="E1351" i="18"/>
  <c r="E1305" i="18"/>
  <c r="E1343" i="18"/>
  <c r="E1326" i="18"/>
  <c r="E1310" i="18"/>
  <c r="E1141" i="18"/>
  <c r="E1206" i="18"/>
  <c r="E1149" i="18"/>
  <c r="E1142" i="18"/>
  <c r="E1011" i="18"/>
  <c r="E1216" i="18"/>
  <c r="E980" i="18"/>
  <c r="E1192" i="18"/>
  <c r="E928" i="18"/>
  <c r="E837" i="18"/>
  <c r="E1133" i="18"/>
  <c r="E564" i="18"/>
  <c r="E388" i="18"/>
  <c r="E359" i="18"/>
  <c r="E362" i="18"/>
  <c r="E1199" i="18"/>
  <c r="E1063" i="18"/>
  <c r="E821" i="18"/>
  <c r="E979" i="18"/>
  <c r="E973" i="18"/>
  <c r="E770" i="18"/>
  <c r="E974" i="18"/>
  <c r="E898" i="18"/>
  <c r="E808" i="18"/>
  <c r="E814" i="18"/>
  <c r="E817" i="18"/>
  <c r="E758" i="18"/>
  <c r="E430" i="18"/>
  <c r="E1098" i="18"/>
  <c r="E795" i="18"/>
  <c r="E958" i="18"/>
  <c r="E805" i="18"/>
  <c r="E603" i="18"/>
  <c r="E1153" i="18"/>
  <c r="E896" i="18"/>
  <c r="E744" i="18"/>
  <c r="E619" i="18"/>
  <c r="E420" i="18"/>
  <c r="E1217" i="18"/>
  <c r="E951" i="18"/>
  <c r="E784" i="18"/>
  <c r="E672" i="18"/>
  <c r="E378" i="18"/>
  <c r="E443" i="18"/>
  <c r="E1072" i="18"/>
  <c r="E860" i="18"/>
  <c r="E743" i="18"/>
  <c r="E516" i="18"/>
  <c r="E437" i="18"/>
  <c r="E1173" i="18"/>
  <c r="E861" i="18"/>
  <c r="E815" i="18"/>
  <c r="E669" i="18"/>
  <c r="E447" i="18"/>
  <c r="E296" i="18"/>
  <c r="E149" i="18"/>
  <c r="E1172" i="18"/>
  <c r="E906" i="18"/>
  <c r="E1037" i="18"/>
  <c r="E889" i="18"/>
  <c r="E686" i="18"/>
  <c r="E389" i="18"/>
  <c r="E1137" i="18"/>
  <c r="E1031" i="18"/>
  <c r="E867" i="18"/>
  <c r="E630" i="18"/>
  <c r="E551" i="18"/>
  <c r="E1166" i="18"/>
  <c r="E1105" i="18"/>
  <c r="E786" i="18"/>
  <c r="E458" i="18"/>
  <c r="E1333" i="18"/>
  <c r="E1328" i="18"/>
  <c r="E1354" i="18"/>
  <c r="E1313" i="18"/>
  <c r="E1339" i="18"/>
  <c r="E1360" i="18"/>
  <c r="E1331" i="18"/>
  <c r="E1314" i="18"/>
  <c r="E1346" i="18"/>
  <c r="E1125" i="18"/>
  <c r="E1160" i="18"/>
  <c r="E1120" i="18"/>
  <c r="E1170" i="18"/>
  <c r="E1039" i="18"/>
  <c r="E1024" i="18"/>
  <c r="E1207" i="18"/>
  <c r="E1211" i="18"/>
  <c r="E1071" i="18"/>
  <c r="E842" i="18"/>
  <c r="E989" i="18"/>
  <c r="E642" i="18"/>
  <c r="E494" i="18"/>
  <c r="E306" i="18"/>
  <c r="E381" i="18"/>
  <c r="E1194" i="18"/>
  <c r="E868" i="18"/>
  <c r="E778" i="18"/>
  <c r="E822" i="18"/>
  <c r="E673" i="18"/>
  <c r="E626" i="18"/>
  <c r="E1168" i="18"/>
  <c r="E1050" i="18"/>
  <c r="E761" i="18"/>
  <c r="E806" i="18"/>
  <c r="E660" i="18"/>
  <c r="E616" i="18"/>
  <c r="E1101" i="18"/>
  <c r="E850" i="18"/>
  <c r="E800" i="18"/>
  <c r="E801" i="18"/>
  <c r="E652" i="18"/>
  <c r="E449" i="18"/>
  <c r="E1220" i="18"/>
  <c r="E978" i="18"/>
  <c r="E825" i="18"/>
  <c r="E752" i="18"/>
  <c r="E734" i="18"/>
  <c r="E1159" i="18"/>
  <c r="E942" i="18"/>
  <c r="E723" i="18"/>
  <c r="E620" i="18"/>
  <c r="E451" i="18"/>
  <c r="E299" i="18"/>
  <c r="E1196" i="18"/>
  <c r="E887" i="18"/>
  <c r="E1061" i="18"/>
  <c r="E913" i="18"/>
  <c r="E710" i="18"/>
  <c r="E1218" i="18"/>
  <c r="E1052" i="18"/>
  <c r="E888" i="18"/>
  <c r="E648" i="18"/>
  <c r="E572" i="18"/>
  <c r="E327" i="18"/>
  <c r="E213" i="18"/>
  <c r="E1191" i="18"/>
  <c r="E706" i="18"/>
  <c r="E890" i="18"/>
  <c r="E741" i="18"/>
  <c r="E535" i="18"/>
  <c r="E410" i="18"/>
  <c r="E972" i="18"/>
  <c r="E1078" i="18"/>
  <c r="E914" i="18"/>
  <c r="E594" i="18"/>
  <c r="E354" i="18"/>
  <c r="E1051" i="18"/>
  <c r="E921" i="18"/>
  <c r="E854" i="18"/>
  <c r="E453" i="18"/>
  <c r="E1321" i="18"/>
  <c r="E1316" i="18"/>
  <c r="E1342" i="18"/>
  <c r="E1301" i="18"/>
  <c r="E1327" i="18"/>
  <c r="E1348" i="18"/>
  <c r="E1319" i="18"/>
  <c r="E1290" i="18"/>
  <c r="E1298" i="18"/>
  <c r="E1092" i="18"/>
  <c r="E1219" i="18"/>
  <c r="E1112" i="18"/>
  <c r="E1155" i="18"/>
  <c r="E1007" i="18"/>
  <c r="E1163" i="18"/>
  <c r="E1202" i="18"/>
  <c r="E1190" i="18"/>
  <c r="E874" i="18"/>
  <c r="E781" i="18"/>
  <c r="E835" i="18"/>
  <c r="E505" i="18"/>
  <c r="E414" i="18"/>
  <c r="E361" i="18"/>
  <c r="E328" i="18"/>
  <c r="E1177" i="18"/>
  <c r="E970" i="18"/>
  <c r="E873" i="18"/>
  <c r="E683" i="18"/>
  <c r="E644" i="18"/>
  <c r="E472" i="18"/>
  <c r="E1187" i="18"/>
  <c r="E849" i="18"/>
  <c r="E852" i="18"/>
  <c r="E670" i="18"/>
  <c r="E632" i="18"/>
  <c r="E452" i="18"/>
  <c r="E1148" i="18"/>
  <c r="E1029" i="18"/>
  <c r="E757" i="18"/>
  <c r="E720" i="18"/>
  <c r="E628" i="18"/>
  <c r="E532" i="18"/>
  <c r="E982" i="18"/>
  <c r="E915" i="18"/>
  <c r="E755" i="18"/>
  <c r="E584" i="18"/>
  <c r="E590" i="18"/>
  <c r="E1130" i="18"/>
  <c r="E1008" i="18"/>
  <c r="E818" i="18"/>
  <c r="E690" i="18"/>
  <c r="E481" i="18"/>
  <c r="E445" i="18"/>
  <c r="E1215" i="18"/>
  <c r="E742" i="18"/>
  <c r="E911" i="18"/>
  <c r="E762" i="18"/>
  <c r="E569" i="18"/>
  <c r="E1027" i="18"/>
  <c r="E1104" i="18"/>
  <c r="E699" i="18"/>
  <c r="E601" i="18"/>
  <c r="E428" i="18"/>
  <c r="E370" i="18"/>
  <c r="E19" i="18"/>
  <c r="E1123" i="18"/>
  <c r="E666" i="18"/>
  <c r="E729" i="18"/>
  <c r="E531" i="18"/>
  <c r="E621" i="18"/>
  <c r="E429" i="18"/>
  <c r="E1147" i="18"/>
  <c r="E847" i="18"/>
  <c r="E712" i="18"/>
  <c r="E877" i="18"/>
  <c r="E674" i="18"/>
  <c r="E1178" i="18"/>
  <c r="E1021" i="18"/>
  <c r="E893" i="18"/>
  <c r="E514" i="18"/>
  <c r="E1309" i="18"/>
  <c r="E1280" i="18"/>
  <c r="E1330" i="18"/>
  <c r="E1356" i="18"/>
  <c r="E1315" i="18"/>
  <c r="E1336" i="18"/>
  <c r="E1307" i="18"/>
  <c r="E1287" i="18"/>
  <c r="E1279" i="18"/>
  <c r="E1069" i="18"/>
  <c r="E1062" i="18"/>
  <c r="E1074" i="18"/>
  <c r="E1227" i="18"/>
  <c r="E1079" i="18"/>
  <c r="E1230" i="18"/>
  <c r="E1195" i="18"/>
  <c r="E1189" i="18"/>
  <c r="E987" i="18"/>
  <c r="E886" i="18"/>
  <c r="E827" i="18"/>
  <c r="E841" i="18"/>
  <c r="E504" i="18"/>
  <c r="E380" i="18"/>
  <c r="E187" i="18"/>
  <c r="E1116" i="18"/>
  <c r="E902" i="18"/>
  <c r="E912" i="18"/>
  <c r="E509" i="18"/>
  <c r="E566" i="18"/>
  <c r="E553" i="18"/>
  <c r="E1158" i="18"/>
  <c r="E953" i="18"/>
  <c r="E899" i="18"/>
  <c r="E475" i="18"/>
  <c r="E558" i="18"/>
  <c r="E573" i="18"/>
  <c r="E1175" i="18"/>
  <c r="E1110" i="18"/>
  <c r="E839" i="18"/>
  <c r="E649" i="18"/>
  <c r="E545" i="18"/>
  <c r="E323" i="18"/>
  <c r="E1004" i="18"/>
  <c r="E858" i="18"/>
  <c r="E1085" i="18"/>
  <c r="E639" i="18"/>
  <c r="E446" i="18"/>
  <c r="E1082" i="18"/>
  <c r="E1076" i="18"/>
  <c r="E713" i="18"/>
  <c r="E518" i="18"/>
  <c r="E583" i="18"/>
  <c r="E301" i="18"/>
  <c r="E1056" i="18"/>
  <c r="E719" i="18"/>
  <c r="E773" i="18"/>
  <c r="E599" i="18"/>
  <c r="E525" i="18"/>
  <c r="E1184" i="18"/>
  <c r="E938" i="18"/>
  <c r="E730" i="18"/>
  <c r="E901" i="18"/>
  <c r="E698" i="18"/>
  <c r="E401" i="18"/>
  <c r="E94" i="18"/>
  <c r="E918" i="18"/>
  <c r="E671" i="18"/>
  <c r="E738" i="18"/>
  <c r="E536" i="18"/>
  <c r="E407" i="18"/>
  <c r="E285" i="18"/>
  <c r="E1179" i="18"/>
  <c r="E923" i="18"/>
  <c r="E869" i="18"/>
  <c r="E728" i="18"/>
  <c r="E527" i="18"/>
  <c r="E992" i="18"/>
  <c r="E1070" i="18"/>
  <c r="E856" i="18"/>
  <c r="E385" i="18"/>
  <c r="E1297" i="18"/>
  <c r="E1294" i="18"/>
  <c r="E1318" i="18"/>
  <c r="E1344" i="18"/>
  <c r="E1303" i="18"/>
  <c r="E1324" i="18"/>
  <c r="E1283" i="18"/>
  <c r="E1334" i="18"/>
  <c r="E1193" i="18"/>
  <c r="E1143" i="18"/>
  <c r="E1026" i="18"/>
  <c r="E1060" i="18"/>
  <c r="E1058" i="18"/>
  <c r="E993" i="18"/>
  <c r="E1225" i="18"/>
  <c r="E1204" i="18"/>
  <c r="E1124" i="18"/>
  <c r="E927" i="18"/>
  <c r="E675" i="18"/>
  <c r="E691" i="18"/>
  <c r="E694" i="18"/>
  <c r="E782" i="18"/>
  <c r="E411" i="18"/>
  <c r="E181" i="18"/>
  <c r="E1067" i="18"/>
  <c r="E981" i="18"/>
  <c r="E764" i="18"/>
  <c r="E550" i="18"/>
  <c r="E495" i="18"/>
  <c r="E585" i="18"/>
  <c r="E1165" i="18"/>
  <c r="E830" i="18"/>
  <c r="E740" i="18"/>
  <c r="E529" i="18"/>
  <c r="E487" i="18"/>
  <c r="E416" i="18"/>
  <c r="E1032" i="18"/>
  <c r="E950" i="18"/>
  <c r="E891" i="18"/>
  <c r="E735" i="18"/>
  <c r="E474" i="18"/>
  <c r="E221" i="18"/>
  <c r="E1210" i="18"/>
  <c r="E754" i="18"/>
  <c r="E945" i="18"/>
  <c r="E613" i="18"/>
  <c r="E519" i="18"/>
  <c r="E1132" i="18"/>
  <c r="E916" i="18"/>
  <c r="E726" i="18"/>
  <c r="E615" i="18"/>
  <c r="E499" i="18"/>
  <c r="E320" i="18"/>
  <c r="E931" i="18"/>
  <c r="E775" i="18"/>
  <c r="E655" i="18"/>
  <c r="E578" i="18"/>
  <c r="E431" i="18"/>
  <c r="E1203" i="18"/>
  <c r="E946" i="18"/>
  <c r="E716" i="18"/>
  <c r="E749" i="18"/>
  <c r="E548" i="18"/>
  <c r="E396" i="18"/>
  <c r="E183" i="18"/>
  <c r="E862" i="18"/>
  <c r="E681" i="18"/>
  <c r="E476" i="18"/>
  <c r="E469" i="18"/>
  <c r="E223" i="18"/>
  <c r="E229" i="18"/>
  <c r="E1106" i="18"/>
  <c r="E845" i="18"/>
  <c r="E688" i="18"/>
  <c r="E510" i="18"/>
  <c r="E608" i="18"/>
  <c r="E1213" i="18"/>
  <c r="E828" i="18"/>
  <c r="E641" i="18"/>
  <c r="E977" i="18"/>
  <c r="E819" i="18"/>
  <c r="E829" i="18"/>
  <c r="E496" i="18"/>
  <c r="E368" i="18"/>
  <c r="E971" i="18"/>
  <c r="E929" i="18"/>
  <c r="E799" i="18"/>
  <c r="E732" i="18"/>
  <c r="E482" i="18"/>
  <c r="E540" i="18"/>
  <c r="E960" i="18"/>
  <c r="E870" i="18"/>
  <c r="E769" i="18"/>
  <c r="E763" i="18"/>
  <c r="E637" i="18"/>
  <c r="E390" i="18"/>
  <c r="E364" i="18"/>
  <c r="E1090" i="18"/>
  <c r="E933" i="18"/>
  <c r="E831" i="18"/>
  <c r="E702" i="18"/>
  <c r="E793" i="18"/>
  <c r="E462" i="18"/>
  <c r="E332" i="18"/>
  <c r="E1174" i="18"/>
  <c r="E885" i="18"/>
  <c r="E664" i="18"/>
  <c r="E701" i="18"/>
  <c r="E604" i="18"/>
  <c r="E582" i="18"/>
  <c r="E1128" i="18"/>
  <c r="E1229" i="18"/>
  <c r="E884" i="18"/>
  <c r="E708" i="18"/>
  <c r="E677" i="18"/>
  <c r="E589" i="18"/>
  <c r="E498" i="18"/>
  <c r="E1111" i="18"/>
  <c r="E959" i="18"/>
  <c r="E692" i="18"/>
  <c r="E903" i="18"/>
  <c r="E497" i="18"/>
  <c r="E478" i="18"/>
  <c r="E421" i="18"/>
  <c r="E297" i="18"/>
  <c r="E1047" i="18"/>
  <c r="E1030" i="18"/>
  <c r="E866" i="18"/>
  <c r="E721" i="18"/>
  <c r="E640" i="18"/>
  <c r="E426" i="18"/>
  <c r="E501" i="18"/>
  <c r="E415" i="18"/>
  <c r="E7" i="18"/>
  <c r="E843" i="18"/>
  <c r="E876" i="18"/>
  <c r="E1025" i="18"/>
  <c r="E684" i="18"/>
  <c r="E528" i="18"/>
  <c r="E342" i="18"/>
  <c r="E1134" i="18"/>
  <c r="E1018" i="18"/>
  <c r="E802" i="18"/>
  <c r="E577" i="18"/>
  <c r="E678" i="18"/>
  <c r="E662" i="18"/>
  <c r="E291" i="18"/>
  <c r="E338" i="18"/>
  <c r="E266" i="18"/>
  <c r="E73" i="18"/>
  <c r="E592" i="18"/>
  <c r="E152" i="18"/>
  <c r="E263" i="18"/>
  <c r="E1256" i="18"/>
  <c r="E372" i="18"/>
  <c r="E113" i="18"/>
  <c r="E138" i="18"/>
  <c r="E700" i="18"/>
  <c r="E159" i="18"/>
  <c r="E77" i="18"/>
  <c r="E1234" i="18"/>
  <c r="E418" i="18"/>
  <c r="E208" i="18"/>
  <c r="E43" i="18"/>
  <c r="E930" i="18"/>
  <c r="E316" i="18"/>
  <c r="E249" i="18"/>
  <c r="E27" i="18"/>
  <c r="E394" i="18"/>
  <c r="E186" i="18"/>
  <c r="E1233" i="18"/>
  <c r="E1057" i="18"/>
  <c r="E292" i="18"/>
  <c r="E224" i="18"/>
  <c r="E1251" i="18"/>
  <c r="E346" i="18"/>
  <c r="E139" i="18"/>
  <c r="E167" i="18"/>
  <c r="E905" i="18"/>
  <c r="E209" i="18"/>
  <c r="E200" i="18"/>
  <c r="E58" i="18"/>
  <c r="E322" i="18"/>
  <c r="E91" i="18"/>
  <c r="E143" i="18"/>
  <c r="E88" i="18"/>
  <c r="E34" i="18"/>
  <c r="E216" i="18"/>
  <c r="E131" i="18"/>
  <c r="E321" i="18"/>
  <c r="E103" i="18"/>
  <c r="E8" i="18"/>
  <c r="E609" i="18"/>
  <c r="E189" i="18"/>
  <c r="E115" i="18"/>
  <c r="E1269" i="18"/>
  <c r="E355" i="18"/>
  <c r="E198" i="18"/>
  <c r="E1242" i="18"/>
  <c r="E631" i="18"/>
  <c r="E79" i="18"/>
  <c r="E179" i="18"/>
  <c r="E1248" i="18"/>
  <c r="E413" i="18"/>
  <c r="E240" i="18"/>
  <c r="E71" i="18"/>
  <c r="E777" i="18"/>
  <c r="E153" i="18"/>
  <c r="E38" i="18"/>
  <c r="E41" i="18"/>
  <c r="E365" i="18"/>
  <c r="E215" i="18"/>
  <c r="E47" i="18"/>
  <c r="E880" i="18"/>
  <c r="E108" i="18"/>
  <c r="E268" i="18"/>
  <c r="E17" i="18"/>
  <c r="E329" i="18"/>
  <c r="E191" i="18"/>
  <c r="E23" i="18"/>
  <c r="E1145" i="18"/>
  <c r="E1231" i="18"/>
  <c r="E244" i="18"/>
  <c r="E1241" i="18"/>
  <c r="E305" i="18"/>
  <c r="E164" i="18"/>
  <c r="E1247" i="18"/>
  <c r="E30" i="18"/>
  <c r="E403" i="18"/>
  <c r="E45" i="18"/>
  <c r="E707" i="18"/>
  <c r="E595" i="18"/>
  <c r="E855" i="18"/>
  <c r="E204" i="18"/>
  <c r="E125" i="18"/>
  <c r="E22" i="18"/>
  <c r="E303" i="18"/>
  <c r="E245" i="18"/>
  <c r="E89" i="18"/>
  <c r="E1221" i="18"/>
  <c r="E314" i="18"/>
  <c r="E242" i="18"/>
  <c r="E49" i="18"/>
  <c r="E534" i="18"/>
  <c r="E104" i="18"/>
  <c r="E239" i="18"/>
  <c r="E1263" i="18"/>
  <c r="E348" i="18"/>
  <c r="E68" i="18"/>
  <c r="E114" i="18"/>
  <c r="E623" i="18"/>
  <c r="E255" i="18"/>
  <c r="E144" i="18"/>
  <c r="E1271" i="18"/>
  <c r="E312" i="18"/>
  <c r="E33" i="18"/>
  <c r="E90" i="18"/>
  <c r="E512" i="18"/>
  <c r="E231" i="18"/>
  <c r="E99" i="18"/>
  <c r="E1264" i="18"/>
  <c r="E288" i="18"/>
  <c r="E271" i="18"/>
  <c r="E66" i="18"/>
  <c r="E526" i="18"/>
  <c r="E194" i="18"/>
  <c r="E93" i="18"/>
  <c r="E1270" i="18"/>
  <c r="E270" i="18"/>
  <c r="E247" i="18"/>
  <c r="E42" i="18"/>
  <c r="E375" i="18"/>
  <c r="E106" i="18"/>
  <c r="E1048" i="18"/>
  <c r="E269" i="18"/>
  <c r="E542" i="18"/>
  <c r="E366" i="18"/>
  <c r="E840" i="18"/>
  <c r="E127" i="18"/>
  <c r="E207" i="18"/>
  <c r="E36" i="18"/>
  <c r="E274" i="18"/>
  <c r="E1238" i="18"/>
  <c r="E107" i="18"/>
  <c r="E1084" i="18"/>
  <c r="E273" i="18"/>
  <c r="E31" i="18"/>
  <c r="E1232" i="18"/>
  <c r="E371" i="18"/>
  <c r="E165" i="18"/>
  <c r="E70" i="18"/>
  <c r="E1275" i="18"/>
  <c r="E331" i="18"/>
  <c r="E135" i="18"/>
  <c r="E169" i="18"/>
  <c r="E425" i="18"/>
  <c r="E98" i="18"/>
  <c r="E214" i="18"/>
  <c r="E1274" i="18"/>
  <c r="E307" i="18"/>
  <c r="E129" i="18"/>
  <c r="E145" i="18"/>
  <c r="E424" i="18"/>
  <c r="E1240" i="18"/>
  <c r="E190" i="18"/>
  <c r="E1260" i="18"/>
  <c r="E398" i="18"/>
  <c r="E84" i="18"/>
  <c r="E121" i="18"/>
  <c r="E352" i="18"/>
  <c r="E250" i="18"/>
  <c r="E166" i="18"/>
  <c r="E1267" i="18"/>
  <c r="E374" i="18"/>
  <c r="E40" i="18"/>
  <c r="E97" i="18"/>
  <c r="E161" i="18"/>
  <c r="E48" i="18"/>
  <c r="E130" i="18"/>
  <c r="E1235" i="18"/>
  <c r="E703" i="18"/>
  <c r="E591" i="18"/>
  <c r="E492" i="18"/>
  <c r="E477" i="18"/>
  <c r="E665" i="18"/>
  <c r="E171" i="18"/>
  <c r="E9" i="18"/>
  <c r="E1268" i="18"/>
  <c r="E408" i="18"/>
  <c r="E116" i="18"/>
  <c r="E150" i="18"/>
  <c r="E894" i="18"/>
  <c r="E184" i="18"/>
  <c r="E80" i="18"/>
  <c r="E1246" i="18"/>
  <c r="E248" i="18"/>
  <c r="E220" i="18"/>
  <c r="E63" i="18"/>
  <c r="E1197" i="18"/>
  <c r="E290" i="18"/>
  <c r="E217" i="18"/>
  <c r="E25" i="18"/>
  <c r="E373" i="18"/>
  <c r="E120" i="18"/>
  <c r="E52" i="18"/>
  <c r="E1201" i="18"/>
  <c r="E405" i="18"/>
  <c r="E193" i="18"/>
  <c r="E1249" i="18"/>
  <c r="E308" i="18"/>
  <c r="E75" i="18"/>
  <c r="E197" i="18"/>
  <c r="E1113" i="18"/>
  <c r="E369" i="18"/>
  <c r="E154" i="18"/>
  <c r="E56" i="18"/>
  <c r="E234" i="18"/>
  <c r="E69" i="18"/>
  <c r="E140" i="18"/>
  <c r="E1053" i="18"/>
  <c r="E345" i="18"/>
  <c r="E148" i="18"/>
  <c r="E32" i="18"/>
  <c r="E85" i="18"/>
  <c r="E350" i="18"/>
  <c r="E160" i="18"/>
  <c r="E1157" i="18"/>
  <c r="E533" i="18"/>
  <c r="E434" i="18"/>
  <c r="E383" i="18"/>
  <c r="E587" i="18"/>
  <c r="E201" i="18"/>
  <c r="E118" i="18"/>
  <c r="E1273" i="18"/>
  <c r="E379" i="18"/>
  <c r="E210" i="18"/>
  <c r="E1254" i="18"/>
  <c r="E556" i="18"/>
  <c r="E82" i="18"/>
  <c r="E185" i="18"/>
  <c r="E12" i="18"/>
  <c r="E246" i="18"/>
  <c r="E252" i="18"/>
  <c r="E83" i="18"/>
  <c r="E1000" i="18"/>
  <c r="E340" i="18"/>
  <c r="E261" i="18"/>
  <c r="E39" i="18"/>
  <c r="E406" i="18"/>
  <c r="E196" i="18"/>
  <c r="E1255" i="18"/>
  <c r="E1010" i="18"/>
  <c r="E304" i="18"/>
  <c r="E237" i="18"/>
  <c r="E15" i="18"/>
  <c r="E382" i="18"/>
  <c r="E142" i="18"/>
  <c r="E180" i="18"/>
  <c r="E952" i="18"/>
  <c r="E280" i="18"/>
  <c r="E212" i="18"/>
  <c r="E1239" i="18"/>
  <c r="E334" i="18"/>
  <c r="E136" i="18"/>
  <c r="E155" i="18"/>
  <c r="E824" i="18"/>
  <c r="E253" i="18"/>
  <c r="E188" i="18"/>
  <c r="E46" i="18"/>
  <c r="E298" i="18"/>
  <c r="E128" i="18"/>
  <c r="E654" i="18"/>
  <c r="E863" i="18"/>
  <c r="E1013" i="18"/>
  <c r="E676" i="18"/>
  <c r="E520" i="18"/>
  <c r="E330" i="18"/>
  <c r="E339" i="18"/>
  <c r="E257" i="18"/>
  <c r="E92" i="18"/>
  <c r="E1003" i="18"/>
  <c r="E326" i="18"/>
  <c r="E254" i="18"/>
  <c r="E61" i="18"/>
  <c r="E442" i="18"/>
  <c r="E146" i="18"/>
  <c r="E251" i="18"/>
  <c r="E1272" i="18"/>
  <c r="E360" i="18"/>
  <c r="E110" i="18"/>
  <c r="E126" i="18"/>
  <c r="E789" i="18"/>
  <c r="E156" i="18"/>
  <c r="E74" i="18"/>
  <c r="E53" i="18"/>
  <c r="E377" i="18"/>
  <c r="E228" i="18"/>
  <c r="E59" i="18"/>
  <c r="E833" i="18"/>
  <c r="E111" i="18"/>
  <c r="E1250" i="18"/>
  <c r="E29" i="18"/>
  <c r="E353" i="18"/>
  <c r="E203" i="18"/>
  <c r="E35" i="18"/>
  <c r="E679" i="18"/>
  <c r="E14" i="18"/>
  <c r="E256" i="18"/>
  <c r="E1253" i="18"/>
  <c r="E317" i="18"/>
  <c r="E177" i="18"/>
  <c r="E11" i="18"/>
  <c r="E1001" i="18"/>
  <c r="E199" i="18"/>
  <c r="E232" i="18"/>
  <c r="E60" i="18"/>
  <c r="E235" i="18"/>
  <c r="E1277" i="18"/>
  <c r="E175" i="18"/>
  <c r="E286" i="18"/>
  <c r="E26" i="18"/>
  <c r="E119" i="18"/>
  <c r="E948" i="18"/>
  <c r="E309" i="18"/>
  <c r="E100" i="18"/>
  <c r="E1244" i="18"/>
  <c r="E465" i="18"/>
  <c r="E168" i="18"/>
  <c r="E112" i="18"/>
  <c r="E1259" i="18"/>
  <c r="E343" i="18"/>
  <c r="E173" i="18"/>
  <c r="E182" i="18"/>
  <c r="E779" i="18"/>
  <c r="E76" i="18"/>
  <c r="E147" i="18"/>
  <c r="E1236" i="18"/>
  <c r="E324" i="18"/>
  <c r="E65" i="18"/>
  <c r="E102" i="18"/>
  <c r="E570" i="18"/>
  <c r="E243" i="18"/>
  <c r="E141" i="18"/>
  <c r="E1257" i="18"/>
  <c r="E300" i="18"/>
  <c r="E1245" i="18"/>
  <c r="E78" i="18"/>
  <c r="E663" i="18"/>
  <c r="E206" i="18"/>
  <c r="E96" i="18"/>
  <c r="E1266" i="18"/>
  <c r="E276" i="18"/>
  <c r="E259" i="18"/>
  <c r="E54" i="18"/>
  <c r="E853" i="18"/>
  <c r="E178" i="18"/>
  <c r="E64" i="18"/>
  <c r="E1261" i="18"/>
  <c r="E20" i="18"/>
  <c r="E333" i="18"/>
  <c r="E134" i="18"/>
  <c r="E865" i="18"/>
  <c r="E538" i="18"/>
  <c r="E404" i="18"/>
  <c r="E281" i="18"/>
  <c r="E158" i="18"/>
  <c r="E162" i="18"/>
  <c r="E792" i="18"/>
  <c r="E192" i="18"/>
  <c r="E122" i="18"/>
  <c r="E10" i="18"/>
  <c r="E279" i="18"/>
  <c r="E233" i="18"/>
  <c r="E86" i="18"/>
  <c r="E1228" i="18"/>
  <c r="E302" i="18"/>
  <c r="E230" i="18"/>
  <c r="E37" i="18"/>
  <c r="E484" i="18"/>
  <c r="E101" i="18"/>
  <c r="E227" i="18"/>
  <c r="E1258" i="18"/>
  <c r="E319" i="18"/>
  <c r="E132" i="18"/>
  <c r="E157" i="18"/>
  <c r="E507" i="18"/>
  <c r="E28" i="18"/>
  <c r="E202" i="18"/>
  <c r="E1265" i="18"/>
  <c r="E295" i="18"/>
  <c r="E87" i="18"/>
  <c r="E133" i="18"/>
  <c r="E517" i="18"/>
  <c r="E262" i="18"/>
  <c r="E176" i="18"/>
  <c r="E1276" i="18"/>
  <c r="E386" i="18"/>
  <c r="E81" i="18"/>
  <c r="E109" i="18"/>
  <c r="E650" i="18"/>
  <c r="E238" i="18"/>
  <c r="E163" i="18"/>
  <c r="E1262" i="18"/>
  <c r="E293" i="18"/>
  <c r="E219" i="18"/>
  <c r="E848" i="18"/>
  <c r="E565" i="18"/>
  <c r="E479" i="18"/>
  <c r="E561" i="18"/>
  <c r="E1014" i="18"/>
  <c r="E1089" i="18"/>
  <c r="E753" i="18"/>
  <c r="E785" i="18"/>
  <c r="E937" i="18"/>
  <c r="E614" i="18"/>
  <c r="E313" i="18"/>
  <c r="E1208" i="18"/>
  <c r="E1086" i="18"/>
  <c r="E857" i="18"/>
  <c r="E588" i="18"/>
  <c r="E625" i="18"/>
  <c r="E722" i="18"/>
  <c r="E351" i="18"/>
  <c r="E1144" i="18"/>
  <c r="E955" i="18"/>
  <c r="E909" i="18"/>
  <c r="E602" i="18"/>
  <c r="E503" i="18"/>
  <c r="E423" i="18"/>
  <c r="E1028" i="18"/>
  <c r="E917" i="18"/>
  <c r="E687" i="18"/>
  <c r="E1049" i="18"/>
  <c r="E718" i="18"/>
  <c r="E562" i="18"/>
  <c r="E275" i="18"/>
  <c r="E278" i="18"/>
  <c r="E1188" i="18"/>
  <c r="E1169" i="18"/>
  <c r="E926" i="18"/>
  <c r="E658" i="18"/>
  <c r="E656" i="18"/>
  <c r="E568" i="18"/>
  <c r="E464" i="18"/>
  <c r="E384" i="18"/>
  <c r="E1087" i="18"/>
  <c r="E882" i="18"/>
  <c r="E682" i="18"/>
  <c r="E668" i="18"/>
  <c r="E554" i="18"/>
  <c r="E441" i="18"/>
  <c r="E395" i="18"/>
  <c r="E1226" i="18"/>
  <c r="E944" i="18"/>
  <c r="E709" i="18"/>
  <c r="E717" i="18"/>
  <c r="E715" i="18"/>
  <c r="E412" i="18"/>
  <c r="E267" i="18"/>
  <c r="E391" i="18"/>
  <c r="E222" i="18"/>
  <c r="E18" i="18"/>
  <c r="E704" i="18"/>
  <c r="E124" i="18"/>
  <c r="E195" i="18"/>
  <c r="E24" i="18"/>
  <c r="E265" i="18"/>
  <c r="E264" i="18"/>
  <c r="E95" i="18"/>
  <c r="E892" i="18"/>
  <c r="E211" i="18"/>
  <c r="E1243" i="18"/>
  <c r="E51" i="18"/>
  <c r="E318" i="18"/>
  <c r="E123" i="18"/>
  <c r="E67" i="18"/>
  <c r="E983" i="18"/>
  <c r="E417" i="18"/>
  <c r="E205" i="18"/>
  <c r="E13" i="18"/>
  <c r="E392" i="18"/>
  <c r="E117" i="18"/>
  <c r="E16" i="18"/>
  <c r="E1151" i="18"/>
  <c r="E393" i="18"/>
  <c r="E170" i="18"/>
  <c r="E1237" i="18"/>
  <c r="E272" i="18"/>
  <c r="E72" i="18"/>
  <c r="E172" i="18"/>
  <c r="E1139" i="18"/>
  <c r="E357" i="18"/>
  <c r="E151" i="18"/>
  <c r="E44" i="18"/>
  <c r="E399" i="18"/>
  <c r="E55" i="18"/>
  <c r="E137" i="18"/>
  <c r="E493" i="18"/>
  <c r="E1252" i="18"/>
  <c r="E1278" i="18"/>
  <c r="E225" i="18"/>
  <c r="E1423" i="18"/>
  <c r="E1439" i="18"/>
  <c r="E1457" i="18"/>
  <c r="E1461" i="18"/>
  <c r="E1467" i="18"/>
  <c r="E1471" i="18"/>
  <c r="E1477" i="18"/>
  <c r="E1481" i="18"/>
  <c r="E1485" i="18"/>
  <c r="E1405" i="18"/>
  <c r="E1417" i="18"/>
  <c r="E1431" i="18"/>
  <c r="E1441" i="18"/>
  <c r="E1453" i="18"/>
  <c r="E1459" i="18"/>
  <c r="E1463" i="18"/>
  <c r="E1465" i="18"/>
  <c r="E1469" i="18"/>
  <c r="E1473" i="18"/>
  <c r="E1475" i="18"/>
  <c r="E1479" i="18"/>
  <c r="E1483" i="18"/>
  <c r="E1487" i="18"/>
  <c r="E1419" i="18"/>
  <c r="E1435" i="18"/>
  <c r="E1451" i="18"/>
  <c r="E1413" i="18"/>
  <c r="E1433" i="18"/>
  <c r="E1455" i="18"/>
  <c r="E1398" i="18"/>
  <c r="E1396" i="18"/>
  <c r="E1394" i="18"/>
  <c r="E1392" i="18"/>
  <c r="E1390" i="18"/>
  <c r="E1388" i="18"/>
  <c r="E1386" i="18"/>
  <c r="E1384" i="18"/>
  <c r="E1382" i="18"/>
  <c r="E1380" i="18"/>
  <c r="E1378" i="18"/>
  <c r="E1376" i="18"/>
  <c r="E1374" i="18"/>
  <c r="E1372" i="18"/>
  <c r="E1370" i="18"/>
  <c r="E1368" i="18"/>
  <c r="E1366" i="18"/>
  <c r="E1364" i="18"/>
  <c r="E1407" i="18"/>
  <c r="E1425" i="18"/>
  <c r="E1447" i="18"/>
  <c r="E1400" i="18"/>
  <c r="E1404" i="18"/>
  <c r="E1406" i="18"/>
  <c r="E1408" i="18"/>
  <c r="E1410" i="18"/>
  <c r="E1412" i="18"/>
  <c r="E1414" i="18"/>
  <c r="E1416" i="18"/>
  <c r="E1418" i="18"/>
  <c r="E1420" i="18"/>
  <c r="E1422" i="18"/>
  <c r="E1424" i="18"/>
  <c r="E1426" i="18"/>
  <c r="E1428" i="18"/>
  <c r="E1430" i="18"/>
  <c r="E1432" i="18"/>
  <c r="E1434" i="18"/>
  <c r="E1436" i="18"/>
  <c r="E1438" i="18"/>
  <c r="E1440" i="18"/>
  <c r="E1442" i="18"/>
  <c r="E1444" i="18"/>
  <c r="E1446" i="18"/>
  <c r="E1448" i="18"/>
  <c r="E1450" i="18"/>
  <c r="E1452" i="18"/>
  <c r="E1454" i="18"/>
  <c r="E1456" i="18"/>
  <c r="E1458" i="18"/>
  <c r="E1460" i="18"/>
  <c r="E1462" i="18"/>
  <c r="E1464" i="18"/>
  <c r="E1466" i="18"/>
  <c r="E1468" i="18"/>
  <c r="E1470" i="18"/>
  <c r="E1472" i="18"/>
  <c r="E1474" i="18"/>
  <c r="E1476" i="18"/>
  <c r="E1478" i="18"/>
  <c r="E1480" i="18"/>
  <c r="E1482" i="18"/>
  <c r="E1484" i="18"/>
  <c r="E1486" i="18"/>
  <c r="E1488" i="18"/>
  <c r="E1409" i="18"/>
  <c r="E1427" i="18"/>
  <c r="E1445" i="18"/>
  <c r="E1402" i="18"/>
  <c r="E1421" i="18"/>
  <c r="E1443" i="18"/>
  <c r="E1415" i="18"/>
  <c r="E1437" i="18"/>
  <c r="E1411" i="18"/>
  <c r="E1429" i="18"/>
  <c r="E1449" i="18"/>
  <c r="E1403" i="18"/>
  <c r="E1401" i="18"/>
  <c r="E1399" i="18"/>
  <c r="E1397" i="18"/>
  <c r="E1395" i="18"/>
  <c r="E1393" i="18"/>
  <c r="E1391" i="18"/>
  <c r="E1389" i="18"/>
  <c r="E1387" i="18"/>
  <c r="E1385" i="18"/>
  <c r="E1383" i="18"/>
  <c r="E1381" i="18"/>
  <c r="E1379" i="18"/>
  <c r="E1377" i="18"/>
  <c r="E1375" i="18"/>
  <c r="E1373" i="18"/>
  <c r="E1371" i="18"/>
  <c r="E1369" i="18"/>
  <c r="E1367" i="18"/>
  <c r="E1365" i="18"/>
  <c r="E1492" i="18"/>
  <c r="E1496" i="18"/>
  <c r="E1498" i="18"/>
  <c r="E1500" i="18"/>
  <c r="E1502" i="18"/>
  <c r="E1504" i="18"/>
  <c r="E1506" i="18"/>
  <c r="E1508" i="18"/>
  <c r="E1510" i="18"/>
  <c r="E1512" i="18"/>
  <c r="E1514" i="18"/>
  <c r="E1516" i="18"/>
  <c r="E1518" i="18"/>
  <c r="E1520" i="18"/>
  <c r="E1522" i="18"/>
  <c r="E1524" i="18"/>
  <c r="E1526" i="18"/>
  <c r="E1528" i="18"/>
  <c r="E1530" i="18"/>
  <c r="E1532" i="18"/>
  <c r="E1534" i="18"/>
  <c r="E1536" i="18"/>
  <c r="E1538" i="18"/>
  <c r="E1540" i="18"/>
  <c r="E1542" i="18"/>
  <c r="E1544" i="18"/>
  <c r="E1546" i="18"/>
  <c r="E1548" i="18"/>
  <c r="E1550" i="18"/>
  <c r="E1552" i="18"/>
  <c r="E1553" i="18"/>
  <c r="E1490" i="18"/>
  <c r="E1494" i="18"/>
  <c r="E1489" i="18"/>
  <c r="E1491" i="18"/>
  <c r="E1493" i="18"/>
  <c r="E1495" i="18"/>
  <c r="E1497" i="18"/>
  <c r="E1499" i="18"/>
  <c r="E1501" i="18"/>
  <c r="E1503" i="18"/>
  <c r="E1505" i="18"/>
  <c r="E1507" i="18"/>
  <c r="E1509" i="18"/>
  <c r="E1511" i="18"/>
  <c r="E1513" i="18"/>
  <c r="E1515" i="18"/>
  <c r="E1517" i="18"/>
  <c r="E1519" i="18"/>
  <c r="E1521" i="18"/>
  <c r="E1523" i="18"/>
  <c r="E1525" i="18"/>
  <c r="E1527" i="18"/>
  <c r="E1529" i="18"/>
  <c r="E1531" i="18"/>
  <c r="E1533" i="18"/>
  <c r="E1535" i="18"/>
  <c r="E1537" i="18"/>
  <c r="E1539" i="18"/>
  <c r="E1541" i="18"/>
  <c r="E1543" i="18"/>
  <c r="E1545" i="18"/>
  <c r="E1547" i="18"/>
  <c r="E1549" i="18"/>
  <c r="E1551" i="18"/>
  <c r="G1354" i="18"/>
  <c r="G1301" i="18"/>
  <c r="G1327" i="18"/>
  <c r="G1341" i="18"/>
  <c r="G1350" i="18"/>
  <c r="G1345" i="18"/>
  <c r="G1360" i="18"/>
  <c r="G1148" i="18"/>
  <c r="G990" i="18"/>
  <c r="G966" i="18"/>
  <c r="G835" i="18"/>
  <c r="G1116" i="18"/>
  <c r="G970" i="18"/>
  <c r="G802" i="18"/>
  <c r="G733" i="18"/>
  <c r="G1072" i="18"/>
  <c r="G956" i="18"/>
  <c r="G768" i="18"/>
  <c r="G1202" i="18"/>
  <c r="G1184" i="18"/>
  <c r="G1049" i="18"/>
  <c r="G752" i="18"/>
  <c r="G5" i="18"/>
  <c r="G1139" i="18"/>
  <c r="G941" i="18"/>
  <c r="G896" i="18"/>
  <c r="G7" i="18"/>
  <c r="G1126" i="18"/>
  <c r="G1028" i="18"/>
  <c r="G785" i="18"/>
  <c r="G1014" i="18"/>
  <c r="G967" i="18"/>
  <c r="G794" i="18"/>
  <c r="G721" i="18"/>
  <c r="G996" i="18"/>
  <c r="G950" i="18"/>
  <c r="G786" i="18"/>
  <c r="G708" i="18"/>
  <c r="G473" i="18"/>
  <c r="G1138" i="18"/>
  <c r="G1102" i="18"/>
  <c r="G979" i="18"/>
  <c r="G833" i="18"/>
  <c r="G859" i="18"/>
  <c r="G1359" i="18"/>
  <c r="G1342" i="18"/>
  <c r="G1289" i="18"/>
  <c r="G1315" i="18"/>
  <c r="G1317" i="18"/>
  <c r="G1338" i="18"/>
  <c r="G1333" i="18"/>
  <c r="G1312" i="18"/>
  <c r="G1204" i="18"/>
  <c r="G1008" i="18"/>
  <c r="G825" i="18"/>
  <c r="G689" i="18"/>
  <c r="G1208" i="18"/>
  <c r="G880" i="18"/>
  <c r="G862" i="18"/>
  <c r="G659" i="18"/>
  <c r="G1172" i="18"/>
  <c r="G1026" i="18"/>
  <c r="G789" i="18"/>
  <c r="G989" i="18"/>
  <c r="G1106" i="18"/>
  <c r="G1101" i="18"/>
  <c r="G684" i="18"/>
  <c r="G1190" i="18"/>
  <c r="G1155" i="18"/>
  <c r="G1041" i="18"/>
  <c r="G726" i="18"/>
  <c r="G1178" i="18"/>
  <c r="G1222" i="18"/>
  <c r="G865" i="18"/>
  <c r="G779" i="18"/>
  <c r="G1009" i="18"/>
  <c r="G1065" i="18"/>
  <c r="G864" i="18"/>
  <c r="G486" i="18"/>
  <c r="G987" i="18"/>
  <c r="G1052" i="18"/>
  <c r="G851" i="18"/>
  <c r="G658" i="18"/>
  <c r="G614" i="18"/>
  <c r="G1105" i="18"/>
  <c r="G1031" i="18"/>
  <c r="G1165" i="18"/>
  <c r="G743" i="18"/>
  <c r="G889" i="18"/>
  <c r="G1347" i="18"/>
  <c r="G1330" i="18"/>
  <c r="G1356" i="18"/>
  <c r="G1286" i="18"/>
  <c r="G1305" i="18"/>
  <c r="G1326" i="18"/>
  <c r="G1321" i="18"/>
  <c r="G1295" i="18"/>
  <c r="G1137" i="18"/>
  <c r="G1095" i="18"/>
  <c r="G821" i="18"/>
  <c r="G1099" i="18"/>
  <c r="G1191" i="18"/>
  <c r="G981" i="18"/>
  <c r="G695" i="18"/>
  <c r="G519" i="18"/>
  <c r="G1168" i="18"/>
  <c r="G861" i="18"/>
  <c r="G849" i="18"/>
  <c r="G1180" i="18"/>
  <c r="G1157" i="18"/>
  <c r="G905" i="18"/>
  <c r="G801" i="18"/>
  <c r="G962" i="18"/>
  <c r="G1098" i="18"/>
  <c r="G1088" i="18"/>
  <c r="G885" i="18"/>
  <c r="G1209" i="18"/>
  <c r="G1080" i="18"/>
  <c r="G894" i="18"/>
  <c r="G1039" i="18"/>
  <c r="G1121" i="18"/>
  <c r="G848" i="18"/>
  <c r="G924" i="18"/>
  <c r="G633" i="18"/>
  <c r="G1113" i="18"/>
  <c r="G961" i="18"/>
  <c r="G911" i="18"/>
  <c r="G585" i="18"/>
  <c r="G462" i="18"/>
  <c r="G1182" i="18"/>
  <c r="G895" i="18"/>
  <c r="G959" i="18"/>
  <c r="G1135" i="18"/>
  <c r="G904" i="18"/>
  <c r="G1335" i="18"/>
  <c r="G1318" i="18"/>
  <c r="G1332" i="18"/>
  <c r="G1358" i="18"/>
  <c r="G1293" i="18"/>
  <c r="G1314" i="18"/>
  <c r="G1309" i="18"/>
  <c r="G1324" i="18"/>
  <c r="G1175" i="18"/>
  <c r="G948" i="18"/>
  <c r="G781" i="18"/>
  <c r="G1226" i="18"/>
  <c r="G1192" i="18"/>
  <c r="G1083" i="18"/>
  <c r="G777" i="18"/>
  <c r="G602" i="18"/>
  <c r="G1179" i="18"/>
  <c r="G964" i="18"/>
  <c r="G685" i="18"/>
  <c r="G1153" i="18"/>
  <c r="G1183" i="18"/>
  <c r="G922" i="18"/>
  <c r="G793" i="18"/>
  <c r="G1114" i="18"/>
  <c r="G1149" i="18"/>
  <c r="G929" i="18"/>
  <c r="G663" i="18"/>
  <c r="G1078" i="18"/>
  <c r="G1146" i="18"/>
  <c r="G692" i="18"/>
  <c r="G887" i="18"/>
  <c r="G1118" i="18"/>
  <c r="G923" i="18"/>
  <c r="G773" i="18"/>
  <c r="G506" i="18"/>
  <c r="G1085" i="18"/>
  <c r="G910" i="18"/>
  <c r="G751" i="18"/>
  <c r="G770" i="18"/>
  <c r="G626" i="18"/>
  <c r="G1176" i="18"/>
  <c r="G940" i="18"/>
  <c r="G977" i="18"/>
  <c r="G1117" i="18"/>
  <c r="G809" i="18"/>
  <c r="G1323" i="18"/>
  <c r="G1291" i="18"/>
  <c r="G1320" i="18"/>
  <c r="G1346" i="18"/>
  <c r="G1281" i="18"/>
  <c r="G1302" i="18"/>
  <c r="G1297" i="18"/>
  <c r="G1283" i="18"/>
  <c r="G1129" i="18"/>
  <c r="G881" i="18"/>
  <c r="G810" i="18"/>
  <c r="G1034" i="18"/>
  <c r="G1131" i="18"/>
  <c r="G901" i="18"/>
  <c r="G919" i="18"/>
  <c r="G1214" i="18"/>
  <c r="G1220" i="18"/>
  <c r="G1062" i="18"/>
  <c r="G767" i="18"/>
  <c r="G1059" i="18"/>
  <c r="G1053" i="18"/>
  <c r="G737" i="18"/>
  <c r="G1063" i="18"/>
  <c r="G1140" i="18"/>
  <c r="G1141" i="18"/>
  <c r="G871" i="18"/>
  <c r="G788" i="18"/>
  <c r="G1132" i="18"/>
  <c r="G1019" i="18"/>
  <c r="G710" i="18"/>
  <c r="G1207" i="18"/>
  <c r="G1210" i="18"/>
  <c r="G846" i="18"/>
  <c r="G766" i="18"/>
  <c r="G1171" i="18"/>
  <c r="G1198" i="18"/>
  <c r="G827" i="18"/>
  <c r="G678" i="18"/>
  <c r="G625" i="18"/>
  <c r="G449" i="18"/>
  <c r="G1177" i="18"/>
  <c r="G876" i="18"/>
  <c r="G1229" i="18"/>
  <c r="G1158" i="18"/>
  <c r="G869" i="18"/>
  <c r="G1299" i="18"/>
  <c r="G1361" i="18"/>
  <c r="G1308" i="18"/>
  <c r="G1334" i="18"/>
  <c r="G1355" i="18"/>
  <c r="G1290" i="18"/>
  <c r="G1352" i="18"/>
  <c r="G1348" i="18"/>
  <c r="G1156" i="18"/>
  <c r="G902" i="18"/>
  <c r="G870" i="18"/>
  <c r="G1002" i="18"/>
  <c r="G1181" i="18"/>
  <c r="G949" i="18"/>
  <c r="G730" i="18"/>
  <c r="G1016" i="18"/>
  <c r="G1110" i="18"/>
  <c r="G847" i="18"/>
  <c r="G703" i="18"/>
  <c r="G1091" i="18"/>
  <c r="G899" i="18"/>
  <c r="G765" i="18"/>
  <c r="G908" i="18"/>
  <c r="G1230" i="18"/>
  <c r="G1159" i="18"/>
  <c r="G918" i="18"/>
  <c r="G782" i="18"/>
  <c r="G1037" i="18"/>
  <c r="G857" i="18"/>
  <c r="G745" i="18"/>
  <c r="G1166" i="18"/>
  <c r="G1120" i="18"/>
  <c r="G897" i="18"/>
  <c r="G1027" i="18"/>
  <c r="G1151" i="18"/>
  <c r="G1084" i="18"/>
  <c r="G884" i="18"/>
  <c r="G1015" i="18"/>
  <c r="G963" i="18"/>
  <c r="G418" i="18"/>
  <c r="G982" i="18"/>
  <c r="G860" i="18"/>
  <c r="G971" i="18"/>
  <c r="G1228" i="18"/>
  <c r="G758" i="18"/>
  <c r="G1287" i="18"/>
  <c r="G1349" i="18"/>
  <c r="G1296" i="18"/>
  <c r="G1322" i="18"/>
  <c r="G1343" i="18"/>
  <c r="G1285" i="18"/>
  <c r="G1340" i="18"/>
  <c r="G1336" i="18"/>
  <c r="G1203" i="18"/>
  <c r="G984" i="18"/>
  <c r="G713" i="18"/>
  <c r="G1127" i="18"/>
  <c r="G1188" i="18"/>
  <c r="G960" i="18"/>
  <c r="G822" i="18"/>
  <c r="G993" i="18"/>
  <c r="G1169" i="18"/>
  <c r="G943" i="18"/>
  <c r="G814" i="18"/>
  <c r="G1050" i="18"/>
  <c r="G953" i="18"/>
  <c r="G757" i="18"/>
  <c r="G702" i="18"/>
  <c r="G1055" i="18"/>
  <c r="G1040" i="18"/>
  <c r="G719" i="18"/>
  <c r="G900" i="18"/>
  <c r="G1213" i="18"/>
  <c r="G892" i="18"/>
  <c r="G718" i="18"/>
  <c r="G1161" i="18"/>
  <c r="G1112" i="18"/>
  <c r="G671" i="18"/>
  <c r="G866" i="18"/>
  <c r="G1122" i="18"/>
  <c r="G1043" i="18"/>
  <c r="G834" i="18"/>
  <c r="G853" i="18"/>
  <c r="G819" i="18"/>
  <c r="G516" i="18"/>
  <c r="G1058" i="18"/>
  <c r="G665" i="18"/>
  <c r="G850" i="18"/>
  <c r="G1004" i="18"/>
  <c r="G570" i="18"/>
  <c r="G1294" i="18"/>
  <c r="G1337" i="18"/>
  <c r="G1363" i="18"/>
  <c r="G1310" i="18"/>
  <c r="G1331" i="18"/>
  <c r="G1304" i="18"/>
  <c r="G1328" i="18"/>
  <c r="G1070" i="18"/>
  <c r="G1200" i="18"/>
  <c r="G1096" i="18"/>
  <c r="G783" i="18"/>
  <c r="G1223" i="18"/>
  <c r="G1219" i="18"/>
  <c r="G937" i="18"/>
  <c r="G668" i="18"/>
  <c r="G1199" i="18"/>
  <c r="G1195" i="18"/>
  <c r="G931" i="18"/>
  <c r="G806" i="18"/>
  <c r="G1134" i="18"/>
  <c r="G1013" i="18"/>
  <c r="G764" i="18"/>
  <c r="G697" i="18"/>
  <c r="G1225" i="18"/>
  <c r="G882" i="18"/>
  <c r="G753" i="18"/>
  <c r="G693" i="18"/>
  <c r="G1023" i="18"/>
  <c r="G992" i="18"/>
  <c r="G815" i="18"/>
  <c r="G1206" i="18"/>
  <c r="G1006" i="18"/>
  <c r="G886" i="18"/>
  <c r="G837" i="18"/>
  <c r="G1194" i="18"/>
  <c r="G998" i="18"/>
  <c r="G873" i="18"/>
  <c r="G824" i="18"/>
  <c r="G534" i="18"/>
  <c r="G515" i="18"/>
  <c r="G1066" i="18"/>
  <c r="G830" i="18"/>
  <c r="G972" i="18"/>
  <c r="G1048" i="18"/>
  <c r="G818" i="18"/>
  <c r="G1282" i="18"/>
  <c r="G1325" i="18"/>
  <c r="G1351" i="18"/>
  <c r="G1298" i="18"/>
  <c r="G1319" i="18"/>
  <c r="G1292" i="18"/>
  <c r="G1288" i="18"/>
  <c r="G1038" i="18"/>
  <c r="G1144" i="18"/>
  <c r="G920" i="18"/>
  <c r="G679" i="18"/>
  <c r="G1124" i="18"/>
  <c r="G1074" i="18"/>
  <c r="G808" i="18"/>
  <c r="G1087" i="18"/>
  <c r="G1077" i="18"/>
  <c r="G1061" i="18"/>
  <c r="G787" i="18"/>
  <c r="G1075" i="18"/>
  <c r="G6" i="18"/>
  <c r="G1107" i="18"/>
  <c r="G836" i="18"/>
  <c r="G638" i="18"/>
  <c r="G1032" i="18"/>
  <c r="G1005" i="18"/>
  <c r="G727" i="18"/>
  <c r="G682" i="18"/>
  <c r="G1036" i="18"/>
  <c r="G1073" i="18"/>
  <c r="G888" i="18"/>
  <c r="G1001" i="18"/>
  <c r="G945" i="18"/>
  <c r="G741" i="18"/>
  <c r="G756" i="18"/>
  <c r="G978" i="18"/>
  <c r="G925" i="18"/>
  <c r="G723" i="18"/>
  <c r="G735" i="18"/>
  <c r="G426" i="18"/>
  <c r="G260" i="18"/>
  <c r="G1025" i="18"/>
  <c r="G890" i="18"/>
  <c r="G863" i="18"/>
  <c r="G980" i="18"/>
  <c r="G691" i="18"/>
  <c r="G1284" i="18"/>
  <c r="G1313" i="18"/>
  <c r="G1339" i="18"/>
  <c r="G1353" i="18"/>
  <c r="G1307" i="18"/>
  <c r="G1357" i="18"/>
  <c r="G1300" i="18"/>
  <c r="G1011" i="18"/>
  <c r="G1193" i="18"/>
  <c r="G969" i="18"/>
  <c r="G739" i="18"/>
  <c r="G1163" i="18"/>
  <c r="G928" i="18"/>
  <c r="G778" i="18"/>
  <c r="G769" i="18"/>
  <c r="G1119" i="18"/>
  <c r="G913" i="18"/>
  <c r="G775" i="18"/>
  <c r="G921" i="18"/>
  <c r="G1167" i="18"/>
  <c r="G944" i="18"/>
  <c r="G909" i="18"/>
  <c r="G732" i="18"/>
  <c r="G1196" i="18"/>
  <c r="G1086" i="18"/>
  <c r="G828" i="18"/>
  <c r="G598" i="18"/>
  <c r="G1160" i="18"/>
  <c r="G907" i="18"/>
  <c r="G644" i="18"/>
  <c r="G1201" i="18"/>
  <c r="G874" i="18"/>
  <c r="G709" i="18"/>
  <c r="G648" i="18"/>
  <c r="G1189" i="18"/>
  <c r="G868" i="18"/>
  <c r="G686" i="18"/>
  <c r="G634" i="18"/>
  <c r="G463" i="18"/>
  <c r="G1133" i="18"/>
  <c r="G985" i="18"/>
  <c r="G747" i="18"/>
  <c r="G813" i="18"/>
  <c r="G1010" i="18"/>
  <c r="G600" i="18"/>
  <c r="G1136" i="18"/>
  <c r="G1067" i="18"/>
  <c r="G669" i="18"/>
  <c r="G1069" i="18"/>
  <c r="G1076" i="18"/>
  <c r="G1007" i="18"/>
  <c r="G875" i="18"/>
  <c r="G530" i="18"/>
  <c r="G1024" i="18"/>
  <c r="G1017" i="18"/>
  <c r="G994" i="18"/>
  <c r="G854" i="18"/>
  <c r="G509" i="18"/>
  <c r="G657" i="18"/>
  <c r="G700" i="18"/>
  <c r="G988" i="18"/>
  <c r="G995" i="18"/>
  <c r="G986" i="18"/>
  <c r="G841" i="18"/>
  <c r="G1170" i="18"/>
  <c r="G1057" i="18"/>
  <c r="G878" i="18"/>
  <c r="G817" i="18"/>
  <c r="G974" i="18"/>
  <c r="G1217" i="18"/>
  <c r="G952" i="18"/>
  <c r="G820" i="18"/>
  <c r="G608" i="18"/>
  <c r="G714" i="18"/>
  <c r="G542" i="18"/>
  <c r="G537" i="18"/>
  <c r="G326" i="18"/>
  <c r="G247" i="18"/>
  <c r="G181" i="18"/>
  <c r="G1211" i="18"/>
  <c r="G557" i="18"/>
  <c r="G535" i="18"/>
  <c r="G274" i="18"/>
  <c r="G201" i="18"/>
  <c r="G176" i="18"/>
  <c r="G36" i="18"/>
  <c r="G742" i="18"/>
  <c r="G481" i="18"/>
  <c r="G373" i="18"/>
  <c r="G352" i="18"/>
  <c r="G148" i="18"/>
  <c r="G164" i="18"/>
  <c r="G731" i="18"/>
  <c r="G649" i="18"/>
  <c r="G558" i="18"/>
  <c r="G288" i="18"/>
  <c r="G42" i="18"/>
  <c r="G83" i="18"/>
  <c r="G1265" i="18"/>
  <c r="G595" i="18"/>
  <c r="G517" i="18"/>
  <c r="G375" i="18"/>
  <c r="G342" i="18"/>
  <c r="G219" i="18"/>
  <c r="G63" i="18"/>
  <c r="G631" i="18"/>
  <c r="G466" i="18"/>
  <c r="G611" i="18"/>
  <c r="G257" i="18"/>
  <c r="G180" i="18"/>
  <c r="G79" i="18"/>
  <c r="G1000" i="18"/>
  <c r="G939" i="18"/>
  <c r="G446" i="18"/>
  <c r="G377" i="18"/>
  <c r="G162" i="18"/>
  <c r="G115" i="18"/>
  <c r="G55" i="18"/>
  <c r="G630" i="18"/>
  <c r="G510" i="18"/>
  <c r="G378" i="18"/>
  <c r="G273" i="18"/>
  <c r="G230" i="18"/>
  <c r="G61" i="18"/>
  <c r="G838" i="18"/>
  <c r="G746" i="18"/>
  <c r="G652" i="18"/>
  <c r="G372" i="18"/>
  <c r="G186" i="18"/>
  <c r="G197" i="18"/>
  <c r="G1277" i="18"/>
  <c r="G642" i="18"/>
  <c r="G606" i="18"/>
  <c r="G459" i="18"/>
  <c r="G311" i="18"/>
  <c r="G71" i="18"/>
  <c r="G147" i="18"/>
  <c r="G661" i="18"/>
  <c r="G576" i="18"/>
  <c r="G571" i="18"/>
  <c r="G350" i="18"/>
  <c r="G271" i="18"/>
  <c r="G199" i="18"/>
  <c r="G792" i="18"/>
  <c r="G52" i="18"/>
  <c r="G69" i="18"/>
  <c r="G191" i="18"/>
  <c r="G84" i="18"/>
  <c r="G224" i="18"/>
  <c r="G954" i="18"/>
  <c r="G1311" i="18"/>
  <c r="G1306" i="18"/>
  <c r="G1344" i="18"/>
  <c r="G1303" i="18"/>
  <c r="G1329" i="18"/>
  <c r="G1362" i="18"/>
  <c r="G1280" i="18"/>
  <c r="G1316" i="18"/>
  <c r="G1279" i="18"/>
  <c r="G1143" i="18"/>
  <c r="G1060" i="18"/>
  <c r="G805" i="18"/>
  <c r="G942" i="18"/>
  <c r="G1216" i="18"/>
  <c r="G1047" i="18"/>
  <c r="G797" i="18"/>
  <c r="G934" i="18"/>
  <c r="G1187" i="18"/>
  <c r="G1164" i="18"/>
  <c r="G946" i="18"/>
  <c r="G906" i="18"/>
  <c r="G1100" i="18"/>
  <c r="G1154" i="18"/>
  <c r="G932" i="18"/>
  <c r="G898" i="18"/>
  <c r="G560" i="18"/>
  <c r="G1045" i="18"/>
  <c r="G933" i="18"/>
  <c r="G761" i="18"/>
  <c r="G1051" i="18"/>
  <c r="G1218" i="18"/>
  <c r="G1128" i="18"/>
  <c r="G926" i="18"/>
  <c r="G872" i="18"/>
  <c r="G1108" i="18"/>
  <c r="G1115" i="18"/>
  <c r="G1054" i="18"/>
  <c r="G812" i="18"/>
  <c r="G690" i="18"/>
  <c r="G1082" i="18"/>
  <c r="G1093" i="18"/>
  <c r="G1046" i="18"/>
  <c r="G804" i="18"/>
  <c r="G677" i="18"/>
  <c r="G617" i="18"/>
  <c r="G545" i="18"/>
  <c r="G1064" i="18"/>
  <c r="G1089" i="18"/>
  <c r="G1033" i="18"/>
  <c r="G791" i="18"/>
  <c r="G1197" i="18"/>
  <c r="G1021" i="18"/>
  <c r="G914" i="18"/>
  <c r="G877" i="18"/>
  <c r="G983" i="18"/>
  <c r="G1044" i="18"/>
  <c r="G1012" i="18"/>
  <c r="G717" i="18"/>
  <c r="G627" i="18"/>
  <c r="G656" i="18"/>
  <c r="G607" i="18"/>
  <c r="G527" i="18"/>
  <c r="G357" i="18"/>
  <c r="G81" i="18"/>
  <c r="G145" i="18"/>
  <c r="G936" i="18"/>
  <c r="G855" i="18"/>
  <c r="G748" i="18"/>
  <c r="G293" i="18"/>
  <c r="G35" i="18"/>
  <c r="G1235" i="18"/>
  <c r="G62" i="18"/>
  <c r="G619" i="18"/>
  <c r="G465" i="18"/>
  <c r="G320" i="18"/>
  <c r="G395" i="18"/>
  <c r="G188" i="18"/>
  <c r="G20" i="18"/>
  <c r="G790" i="18"/>
  <c r="G588" i="18"/>
  <c r="G366" i="18"/>
  <c r="G295" i="18"/>
  <c r="G155" i="18"/>
  <c r="G150" i="18"/>
  <c r="G1270" i="18"/>
  <c r="G639" i="18"/>
  <c r="G440" i="18"/>
  <c r="G382" i="18"/>
  <c r="G178" i="18"/>
  <c r="G45" i="18"/>
  <c r="G1234" i="18"/>
  <c r="G513" i="18"/>
  <c r="G531" i="18"/>
  <c r="G448" i="18"/>
  <c r="G297" i="18"/>
  <c r="G254" i="18"/>
  <c r="G85" i="18"/>
  <c r="G935" i="18"/>
  <c r="G780" i="18"/>
  <c r="G676" i="18"/>
  <c r="G396" i="18"/>
  <c r="G208" i="18"/>
  <c r="G221" i="18"/>
  <c r="G1250" i="18"/>
  <c r="G637" i="18"/>
  <c r="G438" i="18"/>
  <c r="G313" i="18"/>
  <c r="G292" i="18"/>
  <c r="G11" i="18"/>
  <c r="G104" i="18"/>
  <c r="G716" i="18"/>
  <c r="G541" i="18"/>
  <c r="G477" i="18"/>
  <c r="G379" i="18"/>
  <c r="G228" i="18"/>
  <c r="G241" i="18"/>
  <c r="G1262" i="18"/>
  <c r="G728" i="18"/>
  <c r="G424" i="18"/>
  <c r="G315" i="18"/>
  <c r="G282" i="18"/>
  <c r="G144" i="18"/>
  <c r="G1251" i="18"/>
  <c r="G711" i="18"/>
  <c r="G454" i="18"/>
  <c r="G551" i="18"/>
  <c r="G381" i="18"/>
  <c r="G126" i="18"/>
  <c r="G169" i="18"/>
  <c r="G555" i="18"/>
  <c r="G1275" i="18"/>
  <c r="G204" i="18"/>
  <c r="G157" i="18"/>
  <c r="G56" i="18"/>
  <c r="G46" i="18"/>
  <c r="G431" i="18"/>
  <c r="G763" i="18"/>
  <c r="G392" i="18"/>
  <c r="G397" i="18"/>
  <c r="G376" i="18"/>
  <c r="G154" i="18"/>
  <c r="G1249" i="18"/>
  <c r="G823" i="18"/>
  <c r="G683" i="18"/>
  <c r="G579" i="18"/>
  <c r="G312" i="18"/>
  <c r="G91" i="18"/>
  <c r="G89" i="18"/>
  <c r="G1258" i="18"/>
  <c r="G647" i="18"/>
  <c r="G538" i="18"/>
  <c r="G399" i="18"/>
  <c r="G262" i="18"/>
  <c r="G244" i="18"/>
  <c r="G87" i="18"/>
  <c r="G646" i="18"/>
  <c r="G500" i="18"/>
  <c r="G482" i="18"/>
  <c r="G290" i="18"/>
  <c r="G210" i="18"/>
  <c r="G124" i="18"/>
  <c r="G1212" i="18"/>
  <c r="G975" i="18"/>
  <c r="G493" i="18"/>
  <c r="G401" i="18"/>
  <c r="G168" i="18"/>
  <c r="G160" i="18"/>
  <c r="G1248" i="18"/>
  <c r="G674" i="18"/>
  <c r="G444" i="18"/>
  <c r="G337" i="18"/>
  <c r="G316" i="18"/>
  <c r="G100" i="18"/>
  <c r="G128" i="18"/>
  <c r="G796" i="18"/>
  <c r="G583" i="18"/>
  <c r="G511" i="18"/>
  <c r="G403" i="18"/>
  <c r="G252" i="18"/>
  <c r="G265" i="18"/>
  <c r="G1267" i="18"/>
  <c r="G464" i="18"/>
  <c r="G636" i="18"/>
  <c r="G267" i="18"/>
  <c r="G335" i="18"/>
  <c r="G77" i="18"/>
  <c r="G171" i="18"/>
  <c r="G750" i="18"/>
  <c r="G597" i="18"/>
  <c r="G592" i="18"/>
  <c r="G374" i="18"/>
  <c r="G33" i="18"/>
  <c r="G30" i="18"/>
  <c r="G1029" i="18"/>
  <c r="G526" i="18"/>
  <c r="G582" i="18"/>
  <c r="G322" i="18"/>
  <c r="G98" i="18"/>
  <c r="G227" i="18"/>
  <c r="G1253" i="18"/>
  <c r="G523" i="18"/>
  <c r="G476" i="18"/>
  <c r="G433" i="18"/>
  <c r="G400" i="18"/>
  <c r="G193" i="18"/>
  <c r="G25" i="18"/>
  <c r="G421" i="18"/>
  <c r="G722" i="18"/>
  <c r="G776" i="18"/>
  <c r="G543" i="18"/>
  <c r="G632" i="18"/>
  <c r="G1173" i="18"/>
  <c r="G662" i="18"/>
  <c r="G666" i="18"/>
  <c r="G507" i="18"/>
  <c r="G499" i="18"/>
  <c r="G344" i="18"/>
  <c r="G419" i="18"/>
  <c r="G212" i="18"/>
  <c r="G44" i="18"/>
  <c r="G845" i="18"/>
  <c r="G641" i="18"/>
  <c r="G439" i="18"/>
  <c r="G319" i="18"/>
  <c r="G161" i="18"/>
  <c r="G156" i="18"/>
  <c r="G1259" i="18"/>
  <c r="G673" i="18"/>
  <c r="G488" i="18"/>
  <c r="G406" i="18"/>
  <c r="G206" i="18"/>
  <c r="G90" i="18"/>
  <c r="G10" i="18"/>
  <c r="G612" i="18"/>
  <c r="G565" i="18"/>
  <c r="G479" i="18"/>
  <c r="G321" i="18"/>
  <c r="G1252" i="18"/>
  <c r="G109" i="18"/>
  <c r="G997" i="18"/>
  <c r="G807" i="18"/>
  <c r="G712" i="18"/>
  <c r="G420" i="18"/>
  <c r="G233" i="18"/>
  <c r="G246" i="18"/>
  <c r="G26" i="18"/>
  <c r="G512" i="18"/>
  <c r="G450" i="18"/>
  <c r="G284" i="18"/>
  <c r="G359" i="18"/>
  <c r="G122" i="18"/>
  <c r="G1232" i="18"/>
  <c r="G816" i="18"/>
  <c r="G520" i="18"/>
  <c r="G618" i="18"/>
  <c r="G398" i="18"/>
  <c r="G107" i="18"/>
  <c r="G102" i="18"/>
  <c r="G1261" i="18"/>
  <c r="G762" i="18"/>
  <c r="G470" i="18"/>
  <c r="G339" i="18"/>
  <c r="G306" i="18"/>
  <c r="G185" i="18"/>
  <c r="G27" i="18"/>
  <c r="G540" i="18"/>
  <c r="G492" i="18"/>
  <c r="G575" i="18"/>
  <c r="G405" i="18"/>
  <c r="G132" i="18"/>
  <c r="G21" i="18"/>
  <c r="G1035" i="18"/>
  <c r="G903" i="18"/>
  <c r="G368" i="18"/>
  <c r="G341" i="18"/>
  <c r="G114" i="18"/>
  <c r="G67" i="18"/>
  <c r="G19" i="18"/>
  <c r="G549" i="18"/>
  <c r="G434" i="18"/>
  <c r="G277" i="18"/>
  <c r="G211" i="18"/>
  <c r="G237" i="18"/>
  <c r="G68" i="18"/>
  <c r="G287" i="18"/>
  <c r="G430" i="18"/>
  <c r="G580" i="18"/>
  <c r="G556" i="18"/>
  <c r="G613" i="18"/>
  <c r="G704" i="18"/>
  <c r="G539" i="18"/>
  <c r="G1094" i="18"/>
  <c r="G852" i="18"/>
  <c r="G991" i="18"/>
  <c r="G1150" i="18"/>
  <c r="G968" i="18"/>
  <c r="G842" i="18"/>
  <c r="G734" i="18"/>
  <c r="G601" i="18"/>
  <c r="G498" i="18"/>
  <c r="G572" i="18"/>
  <c r="G423" i="18"/>
  <c r="G275" i="18"/>
  <c r="G268" i="18"/>
  <c r="G111" i="18"/>
  <c r="G680" i="18"/>
  <c r="G521" i="18"/>
  <c r="G529" i="18"/>
  <c r="G314" i="18"/>
  <c r="G235" i="18"/>
  <c r="G130" i="18"/>
  <c r="G1142" i="18"/>
  <c r="G536" i="18"/>
  <c r="G514" i="18"/>
  <c r="G248" i="18"/>
  <c r="G189" i="18"/>
  <c r="G166" i="18"/>
  <c r="G24" i="18"/>
  <c r="G729" i="18"/>
  <c r="G468" i="18"/>
  <c r="G361" i="18"/>
  <c r="G340" i="18"/>
  <c r="G106" i="18"/>
  <c r="G152" i="18"/>
  <c r="G799" i="18"/>
  <c r="G621" i="18"/>
  <c r="G532" i="18"/>
  <c r="G276" i="18"/>
  <c r="G1254" i="18"/>
  <c r="G23" i="18"/>
  <c r="G1260" i="18"/>
  <c r="G574" i="18"/>
  <c r="G504" i="18"/>
  <c r="G363" i="18"/>
  <c r="G330" i="18"/>
  <c r="G207" i="18"/>
  <c r="G51" i="18"/>
  <c r="G620" i="18"/>
  <c r="G422" i="18"/>
  <c r="G599" i="18"/>
  <c r="G429" i="18"/>
  <c r="G177" i="18"/>
  <c r="G76" i="18"/>
  <c r="G1079" i="18"/>
  <c r="G568" i="18"/>
  <c r="G603" i="18"/>
  <c r="G346" i="18"/>
  <c r="G143" i="18"/>
  <c r="G251" i="18"/>
  <c r="G29" i="18"/>
  <c r="G591" i="18"/>
  <c r="G497" i="18"/>
  <c r="G457" i="18"/>
  <c r="G213" i="18"/>
  <c r="G217" i="18"/>
  <c r="G49" i="18"/>
  <c r="G858" i="18"/>
  <c r="G738" i="18"/>
  <c r="G640" i="18"/>
  <c r="G360" i="18"/>
  <c r="G142" i="18"/>
  <c r="G172" i="18"/>
  <c r="G1268" i="18"/>
  <c r="G564" i="18"/>
  <c r="G593" i="18"/>
  <c r="G447" i="18"/>
  <c r="G299" i="18"/>
  <c r="G54" i="18"/>
  <c r="G135" i="18"/>
  <c r="G202" i="18"/>
  <c r="G435" i="18"/>
  <c r="G298" i="18"/>
  <c r="G336" i="18"/>
  <c r="G338" i="18"/>
  <c r="G550" i="18"/>
  <c r="G409" i="18"/>
  <c r="G973" i="18"/>
  <c r="G893" i="18"/>
  <c r="G826" i="18"/>
  <c r="G1125" i="18"/>
  <c r="G1090" i="18"/>
  <c r="G930" i="18"/>
  <c r="G696" i="18"/>
  <c r="G832" i="18"/>
  <c r="G1224" i="18"/>
  <c r="G844" i="18"/>
  <c r="G800" i="18"/>
  <c r="G1123" i="18"/>
  <c r="G522" i="18"/>
  <c r="G694" i="18"/>
  <c r="G356" i="18"/>
  <c r="G279" i="18"/>
  <c r="G231" i="18"/>
  <c r="G96" i="18"/>
  <c r="G34" i="18"/>
  <c r="G643" i="18"/>
  <c r="G586" i="18"/>
  <c r="G503" i="18"/>
  <c r="G345" i="18"/>
  <c r="G78" i="18"/>
  <c r="G133" i="18"/>
  <c r="G1068" i="18"/>
  <c r="G843" i="18"/>
  <c r="G736" i="18"/>
  <c r="G281" i="18"/>
  <c r="G1247" i="18"/>
  <c r="G270" i="18"/>
  <c r="G50" i="18"/>
  <c r="G554" i="18"/>
  <c r="G456" i="18"/>
  <c r="G308" i="18"/>
  <c r="G383" i="18"/>
  <c r="G167" i="18"/>
  <c r="G8" i="18"/>
  <c r="G720" i="18"/>
  <c r="G567" i="18"/>
  <c r="G635" i="18"/>
  <c r="G283" i="18"/>
  <c r="G113" i="18"/>
  <c r="G108" i="18"/>
  <c r="G1273" i="18"/>
  <c r="G629" i="18"/>
  <c r="G428" i="18"/>
  <c r="G370" i="18"/>
  <c r="G149" i="18"/>
  <c r="G9" i="18"/>
  <c r="G53" i="18"/>
  <c r="G472" i="18"/>
  <c r="G518" i="18"/>
  <c r="G442" i="18"/>
  <c r="G285" i="18"/>
  <c r="G242" i="18"/>
  <c r="G73" i="18"/>
  <c r="G1152" i="18"/>
  <c r="G927" i="18"/>
  <c r="G443" i="18"/>
  <c r="G365" i="18"/>
  <c r="G120" i="18"/>
  <c r="G112" i="18"/>
  <c r="G43" i="18"/>
  <c r="G615" i="18"/>
  <c r="G416" i="18"/>
  <c r="G301" i="18"/>
  <c r="G280" i="18"/>
  <c r="G261" i="18"/>
  <c r="G92" i="18"/>
  <c r="G1147" i="18"/>
  <c r="G494" i="18"/>
  <c r="G469" i="18"/>
  <c r="G367" i="18"/>
  <c r="G215" i="18"/>
  <c r="G229" i="18"/>
  <c r="G1278" i="18"/>
  <c r="G715" i="18"/>
  <c r="G414" i="18"/>
  <c r="G303" i="18"/>
  <c r="G223" i="18"/>
  <c r="G141" i="18"/>
  <c r="G1239" i="18"/>
  <c r="G1272" i="18"/>
  <c r="G28" i="18"/>
  <c r="G136" i="18"/>
  <c r="G259" i="18"/>
  <c r="G170" i="18"/>
  <c r="G388" i="18"/>
  <c r="G1130" i="18"/>
  <c r="G1022" i="18"/>
  <c r="G1018" i="18"/>
  <c r="G917" i="18"/>
  <c r="G803" i="18"/>
  <c r="G957" i="18"/>
  <c r="G1081" i="18"/>
  <c r="G839" i="18"/>
  <c r="G976" i="18"/>
  <c r="G1145" i="18"/>
  <c r="G578" i="18"/>
  <c r="G548" i="18"/>
  <c r="G286" i="18"/>
  <c r="G1240" i="18"/>
  <c r="G190" i="18"/>
  <c r="G48" i="18"/>
  <c r="G755" i="18"/>
  <c r="G489" i="18"/>
  <c r="G385" i="18"/>
  <c r="G364" i="18"/>
  <c r="G151" i="18"/>
  <c r="G1237" i="18"/>
  <c r="G883" i="18"/>
  <c r="G670" i="18"/>
  <c r="G566" i="18"/>
  <c r="G300" i="18"/>
  <c r="G88" i="18"/>
  <c r="G86" i="18"/>
  <c r="G1274" i="18"/>
  <c r="G622" i="18"/>
  <c r="G525" i="18"/>
  <c r="G387" i="18"/>
  <c r="G225" i="18"/>
  <c r="G232" i="18"/>
  <c r="G75" i="18"/>
  <c r="G577" i="18"/>
  <c r="G487" i="18"/>
  <c r="G474" i="18"/>
  <c r="G278" i="18"/>
  <c r="G198" i="18"/>
  <c r="G82" i="18"/>
  <c r="G1215" i="18"/>
  <c r="G951" i="18"/>
  <c r="G480" i="18"/>
  <c r="G389" i="18"/>
  <c r="G165" i="18"/>
  <c r="G118" i="18"/>
  <c r="G1236" i="18"/>
  <c r="G653" i="18"/>
  <c r="G441" i="18"/>
  <c r="G325" i="18"/>
  <c r="G304" i="18"/>
  <c r="G47" i="18"/>
  <c r="G116" i="18"/>
  <c r="G999" i="18"/>
  <c r="G759" i="18"/>
  <c r="G664" i="18"/>
  <c r="G384" i="18"/>
  <c r="G196" i="18"/>
  <c r="G209" i="18"/>
  <c r="G1238" i="18"/>
  <c r="G650" i="18"/>
  <c r="G624" i="18"/>
  <c r="G236" i="18"/>
  <c r="G323" i="18"/>
  <c r="G74" i="18"/>
  <c r="G159" i="18"/>
  <c r="G706" i="18"/>
  <c r="G589" i="18"/>
  <c r="G584" i="18"/>
  <c r="G362" i="18"/>
  <c r="G1245" i="18"/>
  <c r="G1242" i="18"/>
  <c r="G1185" i="18"/>
  <c r="G505" i="18"/>
  <c r="G569" i="18"/>
  <c r="G310" i="18"/>
  <c r="G95" i="18"/>
  <c r="G214" i="18"/>
  <c r="G1241" i="18"/>
  <c r="G1003" i="18"/>
  <c r="G134" i="18"/>
  <c r="G187" i="18"/>
  <c r="G13" i="18"/>
  <c r="G123" i="18"/>
  <c r="G18" i="18"/>
  <c r="G1103" i="18"/>
  <c r="G947" i="18"/>
  <c r="G705" i="18"/>
  <c r="G1092" i="18"/>
  <c r="G1174" i="18"/>
  <c r="G938" i="18"/>
  <c r="G771" i="18"/>
  <c r="G1109" i="18"/>
  <c r="G1227" i="18"/>
  <c r="G916" i="18"/>
  <c r="G651" i="18"/>
  <c r="G811" i="18"/>
  <c r="G965" i="18"/>
  <c r="G867" i="18"/>
  <c r="G760" i="18"/>
  <c r="G305" i="18"/>
  <c r="G66" i="18"/>
  <c r="G16" i="18"/>
  <c r="G1231" i="18"/>
  <c r="G645" i="18"/>
  <c r="G478" i="18"/>
  <c r="G332" i="18"/>
  <c r="G407" i="18"/>
  <c r="G200" i="18"/>
  <c r="G32" i="18"/>
  <c r="G798" i="18"/>
  <c r="G609" i="18"/>
  <c r="G427" i="18"/>
  <c r="G307" i="18"/>
  <c r="G158" i="18"/>
  <c r="G153" i="18"/>
  <c r="G1266" i="18"/>
  <c r="G660" i="18"/>
  <c r="G475" i="18"/>
  <c r="G394" i="18"/>
  <c r="G194" i="18"/>
  <c r="G64" i="18"/>
  <c r="G1246" i="18"/>
  <c r="G581" i="18"/>
  <c r="G552" i="18"/>
  <c r="G467" i="18"/>
  <c r="G309" i="18"/>
  <c r="G266" i="18"/>
  <c r="G97" i="18"/>
  <c r="G1104" i="18"/>
  <c r="G795" i="18"/>
  <c r="G688" i="18"/>
  <c r="G408" i="18"/>
  <c r="G220" i="18"/>
  <c r="G234" i="18"/>
  <c r="G14" i="18"/>
  <c r="G485" i="18"/>
  <c r="G404" i="18"/>
  <c r="G272" i="18"/>
  <c r="G347" i="18"/>
  <c r="G119" i="18"/>
  <c r="G184" i="18"/>
  <c r="G856" i="18"/>
  <c r="G562" i="18"/>
  <c r="G490" i="18"/>
  <c r="G391" i="18"/>
  <c r="G240" i="18"/>
  <c r="G253" i="18"/>
  <c r="G1271" i="18"/>
  <c r="G749" i="18"/>
  <c r="G437" i="18"/>
  <c r="G327" i="18"/>
  <c r="G294" i="18"/>
  <c r="G179" i="18"/>
  <c r="G15" i="18"/>
  <c r="G502" i="18"/>
  <c r="G471" i="18"/>
  <c r="G563" i="18"/>
  <c r="G393" i="18"/>
  <c r="G129" i="18"/>
  <c r="G182" i="18"/>
  <c r="G1030" i="18"/>
  <c r="G891" i="18"/>
  <c r="G784" i="18"/>
  <c r="G329" i="18"/>
  <c r="G72" i="18"/>
  <c r="G59" i="18"/>
  <c r="G1255" i="18"/>
  <c r="G451" i="18"/>
  <c r="G698" i="18"/>
  <c r="G528" i="18"/>
  <c r="G707" i="18"/>
  <c r="G879" i="18"/>
  <c r="G60" i="18"/>
  <c r="G324" i="18"/>
  <c r="G94" i="18"/>
  <c r="G131" i="18"/>
  <c r="G1263" i="18"/>
  <c r="G655" i="18"/>
  <c r="G559" i="18"/>
  <c r="G411" i="18"/>
  <c r="G269" i="18"/>
  <c r="G256" i="18"/>
  <c r="G99" i="18"/>
  <c r="G667" i="18"/>
  <c r="G508" i="18"/>
  <c r="G495" i="18"/>
  <c r="G302" i="18"/>
  <c r="G222" i="18"/>
  <c r="G127" i="18"/>
  <c r="G1221" i="18"/>
  <c r="G452" i="18"/>
  <c r="G501" i="18"/>
  <c r="G413" i="18"/>
  <c r="G175" i="18"/>
  <c r="G163" i="18"/>
  <c r="G12" i="18"/>
  <c r="G687" i="18"/>
  <c r="G460" i="18"/>
  <c r="G349" i="18"/>
  <c r="G328" i="18"/>
  <c r="G103" i="18"/>
  <c r="G140" i="18"/>
  <c r="G699" i="18"/>
  <c r="G604" i="18"/>
  <c r="G524" i="18"/>
  <c r="G415" i="18"/>
  <c r="G264" i="18"/>
  <c r="G1233" i="18"/>
  <c r="G1276" i="18"/>
  <c r="G553" i="18"/>
  <c r="G483" i="18"/>
  <c r="G351" i="18"/>
  <c r="G318" i="18"/>
  <c r="G195" i="18"/>
  <c r="G39" i="18"/>
  <c r="G754" i="18"/>
  <c r="G610" i="18"/>
  <c r="G605" i="18"/>
  <c r="G386" i="18"/>
  <c r="G65" i="18"/>
  <c r="G58" i="18"/>
  <c r="G1097" i="18"/>
  <c r="G547" i="18"/>
  <c r="G590" i="18"/>
  <c r="G334" i="18"/>
  <c r="G101" i="18"/>
  <c r="G239" i="18"/>
  <c r="G17" i="18"/>
  <c r="G544" i="18"/>
  <c r="G484" i="18"/>
  <c r="G445" i="18"/>
  <c r="G412" i="18"/>
  <c r="G205" i="18"/>
  <c r="G37" i="18"/>
  <c r="G829" i="18"/>
  <c r="G725" i="18"/>
  <c r="G628" i="18"/>
  <c r="G348" i="18"/>
  <c r="G139" i="18"/>
  <c r="G137" i="18"/>
  <c r="G1256" i="18"/>
  <c r="G238" i="18"/>
  <c r="G425" i="18"/>
  <c r="G402" i="18"/>
  <c r="G772" i="18"/>
  <c r="G458" i="18"/>
  <c r="G1243" i="18"/>
  <c r="G1186" i="18"/>
  <c r="G958" i="18"/>
  <c r="G774" i="18"/>
  <c r="G1042" i="18"/>
  <c r="G1071" i="18"/>
  <c r="G1020" i="18"/>
  <c r="G744" i="18"/>
  <c r="G1056" i="18"/>
  <c r="G1162" i="18"/>
  <c r="G840" i="18"/>
  <c r="G740" i="18"/>
  <c r="G701" i="18"/>
  <c r="G955" i="18"/>
  <c r="G654" i="18"/>
  <c r="G455" i="18"/>
  <c r="G331" i="18"/>
  <c r="G183" i="18"/>
  <c r="G192" i="18"/>
  <c r="G1269" i="18"/>
  <c r="G681" i="18"/>
  <c r="G496" i="18"/>
  <c r="G250" i="18"/>
  <c r="G218" i="18"/>
  <c r="G93" i="18"/>
  <c r="G22" i="18"/>
  <c r="G616" i="18"/>
  <c r="G573" i="18"/>
  <c r="G491" i="18"/>
  <c r="G333" i="18"/>
  <c r="G40" i="18"/>
  <c r="G121" i="18"/>
  <c r="G912" i="18"/>
  <c r="G831" i="18"/>
  <c r="G724" i="18"/>
  <c r="G432" i="18"/>
  <c r="G245" i="18"/>
  <c r="G258" i="18"/>
  <c r="G38" i="18"/>
  <c r="G533" i="18"/>
  <c r="G453" i="18"/>
  <c r="G296" i="18"/>
  <c r="G371" i="18"/>
  <c r="G125" i="18"/>
  <c r="G1244" i="18"/>
  <c r="G672" i="18"/>
  <c r="G546" i="18"/>
  <c r="G623" i="18"/>
  <c r="G410" i="18"/>
  <c r="G110" i="18"/>
  <c r="G105" i="18"/>
  <c r="G1257" i="18"/>
  <c r="G594" i="18"/>
  <c r="G354" i="18"/>
  <c r="G358" i="18"/>
  <c r="G146" i="18"/>
  <c r="G263" i="18"/>
  <c r="G41" i="18"/>
  <c r="G561" i="18"/>
  <c r="G380" i="18"/>
  <c r="G587" i="18"/>
  <c r="G417" i="18"/>
  <c r="G173" i="18"/>
  <c r="G57" i="18"/>
  <c r="G1205" i="18"/>
  <c r="G915" i="18"/>
  <c r="G436" i="18"/>
  <c r="G353" i="18"/>
  <c r="G117" i="18"/>
  <c r="G70" i="18"/>
  <c r="G31" i="18"/>
  <c r="G596" i="18"/>
  <c r="G390" i="18"/>
  <c r="G289" i="18"/>
  <c r="G255" i="18"/>
  <c r="G249" i="18"/>
  <c r="G80" i="18"/>
  <c r="G1111" i="18"/>
  <c r="G675" i="18"/>
  <c r="G461" i="18"/>
  <c r="G355" i="18"/>
  <c r="G203" i="18"/>
  <c r="G216" i="18"/>
  <c r="G1264" i="18"/>
  <c r="G243" i="18"/>
  <c r="G291" i="18"/>
  <c r="G317" i="18"/>
  <c r="G343" i="18"/>
  <c r="G369" i="18"/>
  <c r="G138" i="18"/>
  <c r="G1402" i="18"/>
  <c r="G1400" i="18"/>
  <c r="G1398" i="18"/>
  <c r="G1396" i="18"/>
  <c r="G1394" i="18"/>
  <c r="G1392" i="18"/>
  <c r="G1390" i="18"/>
  <c r="G1388" i="18"/>
  <c r="G1386" i="18"/>
  <c r="G1384" i="18"/>
  <c r="G1382" i="18"/>
  <c r="G1380" i="18"/>
  <c r="G1378" i="18"/>
  <c r="G1376" i="18"/>
  <c r="G1374" i="18"/>
  <c r="G1372" i="18"/>
  <c r="G1370" i="18"/>
  <c r="G1368" i="18"/>
  <c r="G1366" i="18"/>
  <c r="G1364" i="18"/>
  <c r="G1405" i="18"/>
  <c r="G1407" i="18"/>
  <c r="G1409" i="18"/>
  <c r="G1411" i="18"/>
  <c r="G1413" i="18"/>
  <c r="G1415" i="18"/>
  <c r="G1417" i="18"/>
  <c r="G1419" i="18"/>
  <c r="G1421" i="18"/>
  <c r="G1423" i="18"/>
  <c r="G1425" i="18"/>
  <c r="G1427" i="18"/>
  <c r="G1429" i="18"/>
  <c r="G1431" i="18"/>
  <c r="G1433" i="18"/>
  <c r="G1435" i="18"/>
  <c r="G1437" i="18"/>
  <c r="G1439" i="18"/>
  <c r="G1441" i="18"/>
  <c r="G1443" i="18"/>
  <c r="G1445" i="18"/>
  <c r="G1447" i="18"/>
  <c r="G1449" i="18"/>
  <c r="G1451" i="18"/>
  <c r="G1453" i="18"/>
  <c r="G1455" i="18"/>
  <c r="G1457" i="18"/>
  <c r="G1459" i="18"/>
  <c r="G1461" i="18"/>
  <c r="G1463" i="18"/>
  <c r="G1465" i="18"/>
  <c r="G1467" i="18"/>
  <c r="G1469" i="18"/>
  <c r="G1471" i="18"/>
  <c r="G1473" i="18"/>
  <c r="G1475" i="18"/>
  <c r="G1477" i="18"/>
  <c r="G1479" i="18"/>
  <c r="G1481" i="18"/>
  <c r="G1483" i="18"/>
  <c r="G1485" i="18"/>
  <c r="G1487" i="18"/>
  <c r="G1403" i="18"/>
  <c r="G1401" i="18"/>
  <c r="G1399" i="18"/>
  <c r="G1397" i="18"/>
  <c r="G1395" i="18"/>
  <c r="G1393" i="18"/>
  <c r="G1391" i="18"/>
  <c r="G1389" i="18"/>
  <c r="G1387" i="18"/>
  <c r="G1385" i="18"/>
  <c r="G1383" i="18"/>
  <c r="G1381" i="18"/>
  <c r="G1379" i="18"/>
  <c r="G1377" i="18"/>
  <c r="G1375" i="18"/>
  <c r="G1373" i="18"/>
  <c r="G1371" i="18"/>
  <c r="G1369" i="18"/>
  <c r="G1367" i="18"/>
  <c r="G1365" i="18"/>
  <c r="G1404" i="18"/>
  <c r="G1406" i="18"/>
  <c r="G1408" i="18"/>
  <c r="G1410" i="18"/>
  <c r="G1412" i="18"/>
  <c r="G1414" i="18"/>
  <c r="G1416" i="18"/>
  <c r="G1418" i="18"/>
  <c r="G1420" i="18"/>
  <c r="G1422" i="18"/>
  <c r="G1424" i="18"/>
  <c r="G1426" i="18"/>
  <c r="G1428" i="18"/>
  <c r="G1430" i="18"/>
  <c r="G1432" i="18"/>
  <c r="G1434" i="18"/>
  <c r="G1436" i="18"/>
  <c r="G1438" i="18"/>
  <c r="G1440" i="18"/>
  <c r="G1442" i="18"/>
  <c r="G1444" i="18"/>
  <c r="G1446" i="18"/>
  <c r="G1448" i="18"/>
  <c r="G1450" i="18"/>
  <c r="G1452" i="18"/>
  <c r="G1454" i="18"/>
  <c r="G1456" i="18"/>
  <c r="G1458" i="18"/>
  <c r="G1460" i="18"/>
  <c r="G1462" i="18"/>
  <c r="G1464" i="18"/>
  <c r="G1466" i="18"/>
  <c r="G1468" i="18"/>
  <c r="G1470" i="18"/>
  <c r="G1472" i="18"/>
  <c r="G1474" i="18"/>
  <c r="G1476" i="18"/>
  <c r="G1478" i="18"/>
  <c r="G1480" i="18"/>
  <c r="G1482" i="18"/>
  <c r="G1484" i="18"/>
  <c r="G1486" i="18"/>
  <c r="G1488" i="18"/>
  <c r="G1489" i="18"/>
  <c r="G1497" i="18"/>
  <c r="G1505" i="18"/>
  <c r="G1493" i="18"/>
  <c r="G1501" i="18"/>
  <c r="G1512" i="18"/>
  <c r="G1514" i="18"/>
  <c r="G1516" i="18"/>
  <c r="G1518" i="18"/>
  <c r="G1520" i="18"/>
  <c r="G1522" i="18"/>
  <c r="G1524" i="18"/>
  <c r="G1526" i="18"/>
  <c r="G1528" i="18"/>
  <c r="G1530" i="18"/>
  <c r="G1532" i="18"/>
  <c r="G1534" i="18"/>
  <c r="G1536" i="18"/>
  <c r="G1538" i="18"/>
  <c r="G1540" i="18"/>
  <c r="G1542" i="18"/>
  <c r="G1544" i="18"/>
  <c r="G1546" i="18"/>
  <c r="G1548" i="18"/>
  <c r="G1550" i="18"/>
  <c r="G1552" i="18"/>
  <c r="G1495" i="18"/>
  <c r="G1503" i="18"/>
  <c r="G1553" i="18"/>
  <c r="G1490" i="18"/>
  <c r="G1492" i="18"/>
  <c r="G1494" i="18"/>
  <c r="G1496" i="18"/>
  <c r="G1498" i="18"/>
  <c r="G1500" i="18"/>
  <c r="G1502" i="18"/>
  <c r="G1504" i="18"/>
  <c r="G1506" i="18"/>
  <c r="G1508" i="18"/>
  <c r="G1510" i="18"/>
  <c r="G1491" i="18"/>
  <c r="G1499" i="18"/>
  <c r="G1507" i="18"/>
  <c r="G1509" i="18"/>
  <c r="G1511" i="18"/>
  <c r="G1513" i="18"/>
  <c r="G1515" i="18"/>
  <c r="G1517" i="18"/>
  <c r="G1519" i="18"/>
  <c r="G1521" i="18"/>
  <c r="G1523" i="18"/>
  <c r="G1525" i="18"/>
  <c r="G1527" i="18"/>
  <c r="G1529" i="18"/>
  <c r="G1531" i="18"/>
  <c r="G1533" i="18"/>
  <c r="G1535" i="18"/>
  <c r="G1537" i="18"/>
  <c r="G1539" i="18"/>
  <c r="G1541" i="18"/>
  <c r="G1543" i="18"/>
  <c r="G1545" i="18"/>
  <c r="G1547" i="18"/>
  <c r="G1549" i="18"/>
  <c r="G1551" i="18"/>
  <c r="H1282" i="18"/>
  <c r="H1356" i="18"/>
  <c r="H1303" i="18"/>
  <c r="H1317" i="18"/>
  <c r="H1362" i="18"/>
  <c r="H1309" i="18"/>
  <c r="H1316" i="18"/>
  <c r="H1343" i="18"/>
  <c r="H1092" i="18"/>
  <c r="H1171" i="18"/>
  <c r="H938" i="18"/>
  <c r="H841" i="18"/>
  <c r="H821" i="18"/>
  <c r="H973" i="18"/>
  <c r="H1007" i="18"/>
  <c r="H876" i="18"/>
  <c r="H1118" i="18"/>
  <c r="H604" i="18"/>
  <c r="H1152" i="18"/>
  <c r="H991" i="18"/>
  <c r="H827" i="18"/>
  <c r="H600" i="18"/>
  <c r="H1000" i="18"/>
  <c r="H872" i="18"/>
  <c r="H712" i="18"/>
  <c r="H1150" i="18"/>
  <c r="H863" i="18"/>
  <c r="H799" i="18"/>
  <c r="H1185" i="18"/>
  <c r="H1123" i="18"/>
  <c r="H943" i="18"/>
  <c r="H1070" i="18"/>
  <c r="H1116" i="18"/>
  <c r="H939" i="18"/>
  <c r="H749" i="18"/>
  <c r="H1194" i="18"/>
  <c r="H1045" i="18"/>
  <c r="H714" i="18"/>
  <c r="H742" i="18"/>
  <c r="H1163" i="18"/>
  <c r="H1125" i="18"/>
  <c r="H855" i="18"/>
  <c r="H1034" i="18"/>
  <c r="H1062" i="18"/>
  <c r="H963" i="18"/>
  <c r="H698" i="18"/>
  <c r="H1145" i="18"/>
  <c r="H933" i="18"/>
  <c r="H548" i="18"/>
  <c r="H449" i="18"/>
  <c r="H336" i="18"/>
  <c r="H151" i="18"/>
  <c r="H75" i="18"/>
  <c r="H761" i="18"/>
  <c r="H502" i="18"/>
  <c r="H310" i="18"/>
  <c r="H133" i="18"/>
  <c r="H20" i="18"/>
  <c r="H652" i="18"/>
  <c r="H534" i="18"/>
  <c r="H246" i="18"/>
  <c r="H1286" i="18"/>
  <c r="H1344" i="18"/>
  <c r="H1358" i="18"/>
  <c r="H1305" i="18"/>
  <c r="H1350" i="18"/>
  <c r="H1297" i="18"/>
  <c r="H1292" i="18"/>
  <c r="H1307" i="18"/>
  <c r="H1047" i="18"/>
  <c r="H1181" i="18"/>
  <c r="H1088" i="18"/>
  <c r="H690" i="18"/>
  <c r="H706" i="18"/>
  <c r="H1208" i="18"/>
  <c r="H945" i="18"/>
  <c r="H792" i="18"/>
  <c r="H981" i="18"/>
  <c r="H898" i="18"/>
  <c r="H1132" i="18"/>
  <c r="H931" i="18"/>
  <c r="H811" i="18"/>
  <c r="H678" i="18"/>
  <c r="H1144" i="18"/>
  <c r="H983" i="18"/>
  <c r="H806" i="18"/>
  <c r="H1230" i="18"/>
  <c r="H930" i="18"/>
  <c r="H893" i="18"/>
  <c r="H993" i="18"/>
  <c r="H1176" i="18"/>
  <c r="H883" i="18"/>
  <c r="H926" i="18"/>
  <c r="H1182" i="18"/>
  <c r="H897" i="18"/>
  <c r="H649" i="18"/>
  <c r="H1095" i="18"/>
  <c r="H936" i="18"/>
  <c r="H718" i="18"/>
  <c r="H666" i="18"/>
  <c r="H1206" i="18"/>
  <c r="H1214" i="18"/>
  <c r="H710" i="18"/>
  <c r="H1190" i="18"/>
  <c r="H1120" i="18"/>
  <c r="H951" i="18"/>
  <c r="H656" i="18"/>
  <c r="H1225" i="18"/>
  <c r="H1086" i="18"/>
  <c r="H699" i="18"/>
  <c r="H553" i="18"/>
  <c r="H367" i="18"/>
  <c r="H224" i="18"/>
  <c r="H130" i="18"/>
  <c r="H716" i="18"/>
  <c r="H447" i="18"/>
  <c r="H317" i="18"/>
  <c r="H247" i="18"/>
  <c r="H53" i="18"/>
  <c r="H958" i="18"/>
  <c r="H298" i="18"/>
  <c r="H178" i="18"/>
  <c r="H1361" i="18"/>
  <c r="H1332" i="18"/>
  <c r="H1346" i="18"/>
  <c r="H1293" i="18"/>
  <c r="H1338" i="18"/>
  <c r="H1285" i="18"/>
  <c r="H1287" i="18"/>
  <c r="H1290" i="18"/>
  <c r="H1064" i="18"/>
  <c r="H1013" i="18"/>
  <c r="H923" i="18"/>
  <c r="H791" i="18"/>
  <c r="H612" i="18"/>
  <c r="H1009" i="18"/>
  <c r="H887" i="18"/>
  <c r="H797" i="18"/>
  <c r="H824" i="18"/>
  <c r="H1221" i="18"/>
  <c r="H1008" i="18"/>
  <c r="H870" i="18"/>
  <c r="H1106" i="18"/>
  <c r="H583" i="18"/>
  <c r="H1200" i="18"/>
  <c r="H918" i="18"/>
  <c r="H798" i="18"/>
  <c r="H1172" i="18"/>
  <c r="H952" i="18"/>
  <c r="H708" i="18"/>
  <c r="H1207" i="18"/>
  <c r="H956" i="18"/>
  <c r="H732" i="18"/>
  <c r="H758" i="18"/>
  <c r="H1155" i="18"/>
  <c r="H984" i="18"/>
  <c r="H817" i="18"/>
  <c r="H1137" i="18"/>
  <c r="H849" i="18"/>
  <c r="H909" i="18"/>
  <c r="H518" i="18"/>
  <c r="H1158" i="18"/>
  <c r="H1032" i="18"/>
  <c r="H705" i="18"/>
  <c r="H1140" i="18"/>
  <c r="H1112" i="18"/>
  <c r="H847" i="18"/>
  <c r="H1022" i="18"/>
  <c r="H1103" i="18"/>
  <c r="H927" i="18"/>
  <c r="H515" i="18"/>
  <c r="H779" i="18"/>
  <c r="H264" i="18"/>
  <c r="H18" i="18"/>
  <c r="H1234" i="18"/>
  <c r="H507" i="18"/>
  <c r="H446" i="18"/>
  <c r="H324" i="18"/>
  <c r="H78" i="18"/>
  <c r="H1236" i="18"/>
  <c r="H802" i="18"/>
  <c r="H305" i="18"/>
  <c r="H152" i="18"/>
  <c r="H1349" i="18"/>
  <c r="H1320" i="18"/>
  <c r="H1334" i="18"/>
  <c r="H1360" i="18"/>
  <c r="H1326" i="18"/>
  <c r="H1304" i="18"/>
  <c r="H1291" i="18"/>
  <c r="H1331" i="18"/>
  <c r="H1037" i="18"/>
  <c r="H1030" i="18"/>
  <c r="H1017" i="18"/>
  <c r="H663" i="18"/>
  <c r="H661" i="18"/>
  <c r="H1063" i="18"/>
  <c r="H1052" i="18"/>
  <c r="H844" i="18"/>
  <c r="H808" i="18"/>
  <c r="H1074" i="18"/>
  <c r="H1003" i="18"/>
  <c r="H784" i="18"/>
  <c r="H968" i="18"/>
  <c r="H1209" i="18"/>
  <c r="H976" i="18"/>
  <c r="H851" i="18"/>
  <c r="H1094" i="18"/>
  <c r="H977" i="18"/>
  <c r="H1033" i="18"/>
  <c r="H869" i="18"/>
  <c r="H1183" i="18"/>
  <c r="H980" i="18"/>
  <c r="H789" i="18"/>
  <c r="H715" i="18"/>
  <c r="H1180" i="18"/>
  <c r="H1036" i="18"/>
  <c r="H843" i="18"/>
  <c r="H1134" i="18"/>
  <c r="H964" i="18"/>
  <c r="H760" i="18"/>
  <c r="H734" i="18"/>
  <c r="H1050" i="18"/>
  <c r="H908" i="18"/>
  <c r="H681" i="18"/>
  <c r="H1170" i="18"/>
  <c r="H1178" i="18"/>
  <c r="H701" i="18"/>
  <c r="H879" i="18"/>
  <c r="H1179" i="18"/>
  <c r="H1090" i="18"/>
  <c r="H826" i="18"/>
  <c r="H635" i="18"/>
  <c r="H316" i="18"/>
  <c r="H96" i="18"/>
  <c r="H1248" i="18"/>
  <c r="H533" i="18"/>
  <c r="H540" i="18"/>
  <c r="H355" i="18"/>
  <c r="H148" i="18"/>
  <c r="H14" i="18"/>
  <c r="H526" i="18"/>
  <c r="H381" i="18"/>
  <c r="H41" i="18"/>
  <c r="H1354" i="18"/>
  <c r="H1337" i="18"/>
  <c r="H1308" i="18"/>
  <c r="H1322" i="18"/>
  <c r="H1348" i="18"/>
  <c r="H1314" i="18"/>
  <c r="H1280" i="18"/>
  <c r="H1359" i="18"/>
  <c r="H1319" i="18"/>
  <c r="H1201" i="18"/>
  <c r="H1043" i="18"/>
  <c r="H852" i="18"/>
  <c r="H770" i="18"/>
  <c r="H1061" i="18"/>
  <c r="H1162" i="18"/>
  <c r="H1099" i="18"/>
  <c r="H774" i="18"/>
  <c r="H693" i="18"/>
  <c r="H1019" i="18"/>
  <c r="H975" i="18"/>
  <c r="H757" i="18"/>
  <c r="H816" i="18"/>
  <c r="H1015" i="18"/>
  <c r="H994" i="18"/>
  <c r="H781" i="18"/>
  <c r="H960" i="18"/>
  <c r="H1191" i="18"/>
  <c r="H853" i="18"/>
  <c r="H694" i="18"/>
  <c r="H1187" i="18"/>
  <c r="H912" i="18"/>
  <c r="H670" i="18"/>
  <c r="H624" i="18"/>
  <c r="H1203" i="18"/>
  <c r="H1093" i="18"/>
  <c r="H668" i="18"/>
  <c r="H1223" i="18"/>
  <c r="H1023" i="18"/>
  <c r="H835" i="18"/>
  <c r="H512" i="18"/>
  <c r="H1104" i="18"/>
  <c r="H832" i="18"/>
  <c r="H846" i="18"/>
  <c r="H1111" i="18"/>
  <c r="H1024" i="18"/>
  <c r="H676" i="18"/>
  <c r="H535" i="18"/>
  <c r="H1198" i="18"/>
  <c r="H924" i="18"/>
  <c r="H675" i="18"/>
  <c r="H558" i="18"/>
  <c r="H323" i="18"/>
  <c r="H182" i="18"/>
  <c r="H26" i="18"/>
  <c r="H982" i="18"/>
  <c r="H767" i="18"/>
  <c r="H362" i="18"/>
  <c r="H212" i="18"/>
  <c r="H1186" i="18"/>
  <c r="H484" i="18"/>
  <c r="H436" i="18"/>
  <c r="H55" i="18"/>
  <c r="H1342" i="18"/>
  <c r="H1325" i="18"/>
  <c r="H1363" i="18"/>
  <c r="H1310" i="18"/>
  <c r="H1336" i="18"/>
  <c r="H1302" i="18"/>
  <c r="H1296" i="18"/>
  <c r="H1347" i="18"/>
  <c r="H1355" i="18"/>
  <c r="H992" i="18"/>
  <c r="H1016" i="18"/>
  <c r="H899" i="18"/>
  <c r="H848" i="18"/>
  <c r="H1083" i="18"/>
  <c r="H1192" i="18"/>
  <c r="H873" i="18"/>
  <c r="H833" i="18"/>
  <c r="H587" i="18"/>
  <c r="H1177" i="18"/>
  <c r="H925" i="18"/>
  <c r="H831" i="18"/>
  <c r="H795" i="18"/>
  <c r="H1001" i="18"/>
  <c r="H1100" i="18"/>
  <c r="H753" i="18"/>
  <c r="H803" i="18"/>
  <c r="H1136" i="18"/>
  <c r="H966" i="18"/>
  <c r="H793" i="18"/>
  <c r="H1129" i="18"/>
  <c r="H997" i="18"/>
  <c r="H783" i="18"/>
  <c r="H490" i="18"/>
  <c r="H1098" i="18"/>
  <c r="H919" i="18"/>
  <c r="H776" i="18"/>
  <c r="H1167" i="18"/>
  <c r="H891" i="18"/>
  <c r="H916" i="18"/>
  <c r="H590" i="18"/>
  <c r="H1121" i="18"/>
  <c r="H944" i="18"/>
  <c r="H796" i="18"/>
  <c r="H1041" i="18"/>
  <c r="H953" i="18"/>
  <c r="H660" i="18"/>
  <c r="H703" i="18"/>
  <c r="H995" i="18"/>
  <c r="H928" i="18"/>
  <c r="H688" i="18"/>
  <c r="H349" i="18"/>
  <c r="H366" i="18"/>
  <c r="H1235" i="18"/>
  <c r="H1272" i="18"/>
  <c r="H814" i="18"/>
  <c r="H623" i="18"/>
  <c r="H393" i="18"/>
  <c r="H176" i="18"/>
  <c r="H961" i="18"/>
  <c r="H489" i="18"/>
  <c r="H250" i="18"/>
  <c r="H965" i="18"/>
  <c r="H1330" i="18"/>
  <c r="H1313" i="18"/>
  <c r="H1351" i="18"/>
  <c r="H1298" i="18"/>
  <c r="H1324" i="18"/>
  <c r="H1357" i="18"/>
  <c r="H1284" i="18"/>
  <c r="H1335" i="18"/>
  <c r="H1283" i="18"/>
  <c r="H1220" i="18"/>
  <c r="H962" i="18"/>
  <c r="H800" i="18"/>
  <c r="H643" i="18"/>
  <c r="H988" i="18"/>
  <c r="H1169" i="18"/>
  <c r="H1075" i="18"/>
  <c r="H664" i="18"/>
  <c r="H658" i="18"/>
  <c r="H959" i="18"/>
  <c r="H967" i="18"/>
  <c r="H771" i="18"/>
  <c r="H634" i="18"/>
  <c r="H1165" i="18"/>
  <c r="H904" i="18"/>
  <c r="H823" i="18"/>
  <c r="H1029" i="18"/>
  <c r="H1188" i="18"/>
  <c r="H894" i="18"/>
  <c r="H769" i="18"/>
  <c r="H1195" i="18"/>
  <c r="H1044" i="18"/>
  <c r="H880" i="18"/>
  <c r="H1219" i="18"/>
  <c r="H1164" i="18"/>
  <c r="H864" i="18"/>
  <c r="H729" i="18"/>
  <c r="H1076" i="18"/>
  <c r="H900" i="18"/>
  <c r="H766" i="18"/>
  <c r="H458" i="18"/>
  <c r="H1175" i="18"/>
  <c r="H969" i="18"/>
  <c r="H822" i="18"/>
  <c r="H1077" i="18"/>
  <c r="H1107" i="18"/>
  <c r="H825" i="18"/>
  <c r="H1166" i="18"/>
  <c r="H1205" i="18"/>
  <c r="H704" i="18"/>
  <c r="H523" i="18"/>
  <c r="H320" i="18"/>
  <c r="H289" i="18"/>
  <c r="H86" i="18"/>
  <c r="H978" i="18"/>
  <c r="H662" i="18"/>
  <c r="H411" i="18"/>
  <c r="H243" i="18"/>
  <c r="H258" i="18"/>
  <c r="H813" i="18"/>
  <c r="H443" i="18"/>
  <c r="H117" i="18"/>
  <c r="H727" i="18"/>
  <c r="H1318" i="18"/>
  <c r="H1301" i="18"/>
  <c r="H1339" i="18"/>
  <c r="H1353" i="18"/>
  <c r="H1312" i="18"/>
  <c r="H1345" i="18"/>
  <c r="H1352" i="18"/>
  <c r="H1323" i="18"/>
  <c r="H1295" i="18"/>
  <c r="H1068" i="18"/>
  <c r="H917" i="18"/>
  <c r="H805" i="18"/>
  <c r="H1130" i="18"/>
  <c r="H1060" i="18"/>
  <c r="H1224" i="18"/>
  <c r="H915" i="18"/>
  <c r="H780" i="18"/>
  <c r="H559" i="18"/>
  <c r="H1196" i="18"/>
  <c r="H1039" i="18"/>
  <c r="H820" i="18"/>
  <c r="H528" i="18"/>
  <c r="H1211" i="18"/>
  <c r="H950" i="18"/>
  <c r="H736" i="18"/>
  <c r="H7" i="18"/>
  <c r="H971" i="18"/>
  <c r="H902" i="18"/>
  <c r="H1082" i="18"/>
  <c r="H1199" i="18"/>
  <c r="H935" i="18"/>
  <c r="H674" i="18"/>
  <c r="H1173" i="18"/>
  <c r="H1146" i="18"/>
  <c r="H881" i="18"/>
  <c r="H1226" i="18"/>
  <c r="H1081" i="18"/>
  <c r="H845" i="18"/>
  <c r="H711" i="18"/>
  <c r="H632" i="18"/>
  <c r="H1222" i="18"/>
  <c r="H1072" i="18"/>
  <c r="H903" i="18"/>
  <c r="H1113" i="18"/>
  <c r="H941" i="18"/>
  <c r="H739" i="18"/>
  <c r="H1122" i="18"/>
  <c r="H1053" i="18"/>
  <c r="H1142" i="18"/>
  <c r="H473" i="18"/>
  <c r="H279" i="18"/>
  <c r="H162" i="18"/>
  <c r="H153" i="18"/>
  <c r="H834" i="18"/>
  <c r="H680" i="18"/>
  <c r="H508" i="18"/>
  <c r="H304" i="18"/>
  <c r="H83" i="18"/>
  <c r="H740" i="18"/>
  <c r="H527" i="18"/>
  <c r="H40" i="18"/>
  <c r="H669" i="18"/>
  <c r="H1306" i="18"/>
  <c r="H1289" i="18"/>
  <c r="H1327" i="18"/>
  <c r="H1341" i="18"/>
  <c r="H1300" i="18"/>
  <c r="H1333" i="18"/>
  <c r="H1340" i="18"/>
  <c r="H1311" i="18"/>
  <c r="H1279" i="18"/>
  <c r="H1085" i="18"/>
  <c r="H1065" i="18"/>
  <c r="H857" i="18"/>
  <c r="H986" i="18"/>
  <c r="H1028" i="18"/>
  <c r="H1026" i="18"/>
  <c r="H1004" i="18"/>
  <c r="H840" i="18"/>
  <c r="H625" i="18"/>
  <c r="H1005" i="18"/>
  <c r="H1091" i="18"/>
  <c r="H890" i="18"/>
  <c r="H645" i="18"/>
  <c r="H1184" i="18"/>
  <c r="H1031" i="18"/>
  <c r="H735" i="18"/>
  <c r="H1006" i="18"/>
  <c r="H985" i="18"/>
  <c r="H778" i="18"/>
  <c r="H746" i="18"/>
  <c r="H1110" i="18"/>
  <c r="H1020" i="18"/>
  <c r="H856" i="18"/>
  <c r="H1204" i="18"/>
  <c r="H954" i="18"/>
  <c r="H765" i="18"/>
  <c r="H1161" i="18"/>
  <c r="H1133" i="18"/>
  <c r="H868" i="18"/>
  <c r="H1046" i="18"/>
  <c r="H970" i="18"/>
  <c r="H1071" i="18"/>
  <c r="H884" i="18"/>
  <c r="H725" i="18"/>
  <c r="H1215" i="18"/>
  <c r="H949" i="18"/>
  <c r="H801" i="18"/>
  <c r="H1069" i="18"/>
  <c r="H1084" i="18"/>
  <c r="H596" i="18"/>
  <c r="H483" i="18"/>
  <c r="H322" i="18"/>
  <c r="H136" i="18"/>
  <c r="H177" i="18"/>
  <c r="H812" i="18"/>
  <c r="H547" i="18"/>
  <c r="H546" i="18"/>
  <c r="H277" i="18"/>
  <c r="H194" i="18"/>
  <c r="H682" i="18"/>
  <c r="H397" i="18"/>
  <c r="H145" i="18"/>
  <c r="H513" i="18"/>
  <c r="H1294" i="18"/>
  <c r="H1281" i="18"/>
  <c r="H1315" i="18"/>
  <c r="H1329" i="18"/>
  <c r="H1288" i="18"/>
  <c r="H1321" i="18"/>
  <c r="H1328" i="18"/>
  <c r="H1299" i="18"/>
  <c r="H1097" i="18"/>
  <c r="H1174" i="18"/>
  <c r="H907" i="18"/>
  <c r="H786" i="18"/>
  <c r="H837" i="18"/>
  <c r="H1189" i="18"/>
  <c r="H1021" i="18"/>
  <c r="H937" i="18"/>
  <c r="H819" i="18"/>
  <c r="H686" i="18"/>
  <c r="H1027" i="18"/>
  <c r="H830" i="18"/>
  <c r="H759" i="18"/>
  <c r="H538" i="18"/>
  <c r="H987" i="18"/>
  <c r="H1078" i="18"/>
  <c r="H877" i="18"/>
  <c r="H1216" i="18"/>
  <c r="H1087" i="18"/>
  <c r="H745" i="18"/>
  <c r="H5" i="18"/>
  <c r="H1147" i="18"/>
  <c r="H828" i="18"/>
  <c r="H689" i="18"/>
  <c r="H1153" i="18"/>
  <c r="H1066" i="18"/>
  <c r="H723" i="18"/>
  <c r="H1127" i="18"/>
  <c r="H1159" i="18"/>
  <c r="H728" i="18"/>
  <c r="H905" i="18"/>
  <c r="H1202" i="18"/>
  <c r="H1128" i="18"/>
  <c r="H836" i="18"/>
  <c r="H702" i="18"/>
  <c r="H1210" i="18"/>
  <c r="H1059" i="18"/>
  <c r="H895" i="18"/>
  <c r="H1119" i="18"/>
  <c r="H1109" i="18"/>
  <c r="H554" i="18"/>
  <c r="H543" i="18"/>
  <c r="H329" i="18"/>
  <c r="H191" i="18"/>
  <c r="H32" i="18"/>
  <c r="H1058" i="18"/>
  <c r="H363" i="18"/>
  <c r="H452" i="18"/>
  <c r="H120" i="18"/>
  <c r="H164" i="18"/>
  <c r="H469" i="18"/>
  <c r="H500" i="18"/>
  <c r="H163" i="18"/>
  <c r="H351" i="18"/>
  <c r="H911" i="18"/>
  <c r="H648" i="18"/>
  <c r="H979" i="18"/>
  <c r="H1157" i="18"/>
  <c r="H1067" i="18"/>
  <c r="H914" i="18"/>
  <c r="H685" i="18"/>
  <c r="H1056" i="18"/>
  <c r="H1227" i="18"/>
  <c r="H955" i="18"/>
  <c r="H807" i="18"/>
  <c r="H787" i="18"/>
  <c r="H972" i="18"/>
  <c r="H1018" i="18"/>
  <c r="H810" i="18"/>
  <c r="H947" i="18"/>
  <c r="H1218" i="18"/>
  <c r="H1079" i="18"/>
  <c r="H889" i="18"/>
  <c r="H782" i="18"/>
  <c r="H1135" i="18"/>
  <c r="H1139" i="18"/>
  <c r="H920" i="18"/>
  <c r="H777" i="18"/>
  <c r="H1168" i="18"/>
  <c r="H1089" i="18"/>
  <c r="H999" i="18"/>
  <c r="H859" i="18"/>
  <c r="H603" i="18"/>
  <c r="H1156" i="18"/>
  <c r="H1049" i="18"/>
  <c r="H1002" i="18"/>
  <c r="H896" i="18"/>
  <c r="H1143" i="18"/>
  <c r="H1040" i="18"/>
  <c r="H989" i="18"/>
  <c r="H888" i="18"/>
  <c r="H677" i="18"/>
  <c r="H1014" i="18"/>
  <c r="H1151" i="18"/>
  <c r="H687" i="18"/>
  <c r="H560" i="18"/>
  <c r="H482" i="18"/>
  <c r="H374" i="18"/>
  <c r="H259" i="18"/>
  <c r="H199" i="18"/>
  <c r="H1257" i="18"/>
  <c r="H461" i="18"/>
  <c r="H470" i="18"/>
  <c r="H308" i="18"/>
  <c r="H311" i="18"/>
  <c r="H268" i="18"/>
  <c r="H63" i="18"/>
  <c r="H804" i="18"/>
  <c r="H654" i="18"/>
  <c r="H755" i="18"/>
  <c r="H312" i="18"/>
  <c r="H91" i="18"/>
  <c r="H23" i="18"/>
  <c r="H1250" i="18"/>
  <c r="H768" i="18"/>
  <c r="H481" i="18"/>
  <c r="H522" i="18"/>
  <c r="H424" i="18"/>
  <c r="H103" i="18"/>
  <c r="H140" i="18"/>
  <c r="H1193" i="18"/>
  <c r="H636" i="18"/>
  <c r="H488" i="18"/>
  <c r="H418" i="18"/>
  <c r="H318" i="18"/>
  <c r="H25" i="18"/>
  <c r="H82" i="18"/>
  <c r="H788" i="18"/>
  <c r="H617" i="18"/>
  <c r="H719" i="18"/>
  <c r="H276" i="18"/>
  <c r="H42" i="18"/>
  <c r="H241" i="18"/>
  <c r="H45" i="18"/>
  <c r="H565" i="18"/>
  <c r="H599" i="18"/>
  <c r="H422" i="18"/>
  <c r="H333" i="18"/>
  <c r="H242" i="18"/>
  <c r="H101" i="18"/>
  <c r="H1102" i="18"/>
  <c r="H552" i="18"/>
  <c r="H387" i="18"/>
  <c r="H382" i="18"/>
  <c r="H282" i="18"/>
  <c r="H239" i="18"/>
  <c r="H46" i="18"/>
  <c r="H861" i="18"/>
  <c r="H588" i="18"/>
  <c r="H683" i="18"/>
  <c r="H415" i="18"/>
  <c r="H240" i="18"/>
  <c r="H204" i="18"/>
  <c r="H9" i="18"/>
  <c r="H640" i="18"/>
  <c r="H557" i="18"/>
  <c r="H594" i="18"/>
  <c r="H297" i="18"/>
  <c r="H205" i="18"/>
  <c r="H28" i="18"/>
  <c r="H996" i="18"/>
  <c r="H733" i="18"/>
  <c r="H564" i="18"/>
  <c r="H303" i="18"/>
  <c r="H390" i="18"/>
  <c r="H141" i="18"/>
  <c r="H154" i="18"/>
  <c r="H138" i="18"/>
  <c r="H420" i="18"/>
  <c r="H524" i="18"/>
  <c r="H211" i="18"/>
  <c r="H1237" i="18"/>
  <c r="H87" i="18"/>
  <c r="H495" i="18"/>
  <c r="H763" i="18"/>
  <c r="H549" i="18"/>
  <c r="H1042" i="18"/>
  <c r="H1212" i="18"/>
  <c r="H906" i="18"/>
  <c r="H744" i="18"/>
  <c r="H566" i="18"/>
  <c r="H974" i="18"/>
  <c r="H1149" i="18"/>
  <c r="H1054" i="18"/>
  <c r="H901" i="18"/>
  <c r="H1197" i="18"/>
  <c r="H1131" i="18"/>
  <c r="H1057" i="18"/>
  <c r="H691" i="18"/>
  <c r="H762" i="18"/>
  <c r="H1160" i="18"/>
  <c r="H942" i="18"/>
  <c r="H775" i="18"/>
  <c r="H738" i="18"/>
  <c r="H1228" i="18"/>
  <c r="H1115" i="18"/>
  <c r="H1012" i="18"/>
  <c r="H867" i="18"/>
  <c r="H1148" i="18"/>
  <c r="H1141" i="18"/>
  <c r="H1080" i="18"/>
  <c r="H809" i="18"/>
  <c r="H724" i="18"/>
  <c r="H1114" i="18"/>
  <c r="H1229" i="18"/>
  <c r="H885" i="18"/>
  <c r="H756" i="18"/>
  <c r="H1096" i="18"/>
  <c r="H1217" i="18"/>
  <c r="H866" i="18"/>
  <c r="H752" i="18"/>
  <c r="H748" i="18"/>
  <c r="H1055" i="18"/>
  <c r="H1011" i="18"/>
  <c r="H737" i="18"/>
  <c r="H409" i="18"/>
  <c r="H521" i="18"/>
  <c r="H405" i="18"/>
  <c r="H81" i="18"/>
  <c r="H206" i="18"/>
  <c r="H1126" i="18"/>
  <c r="H665" i="18"/>
  <c r="H530" i="18"/>
  <c r="H454" i="18"/>
  <c r="H354" i="18"/>
  <c r="H93" i="18"/>
  <c r="H118" i="18"/>
  <c r="H1010" i="18"/>
  <c r="H667" i="18"/>
  <c r="H605" i="18"/>
  <c r="H343" i="18"/>
  <c r="H161" i="18"/>
  <c r="H108" i="18"/>
  <c r="H1258" i="18"/>
  <c r="H642" i="18"/>
  <c r="H425" i="18"/>
  <c r="H428" i="18"/>
  <c r="H280" i="18"/>
  <c r="H188" i="18"/>
  <c r="H1244" i="18"/>
  <c r="H1101" i="18"/>
  <c r="H934" i="18"/>
  <c r="H385" i="18"/>
  <c r="H274" i="18"/>
  <c r="H225" i="18"/>
  <c r="H157" i="18"/>
  <c r="H17" i="18"/>
  <c r="H892" i="18"/>
  <c r="H593" i="18"/>
  <c r="H571" i="18"/>
  <c r="H307" i="18"/>
  <c r="H113" i="18"/>
  <c r="H30" i="18"/>
  <c r="H1260" i="18"/>
  <c r="H713" i="18"/>
  <c r="H457" i="18"/>
  <c r="H486" i="18"/>
  <c r="H388" i="18"/>
  <c r="H61" i="18"/>
  <c r="H104" i="18"/>
  <c r="H1038" i="18"/>
  <c r="H886" i="18"/>
  <c r="H616" i="18"/>
  <c r="H389" i="18"/>
  <c r="H189" i="18"/>
  <c r="H109" i="18"/>
  <c r="H60" i="18"/>
  <c r="H750" i="18"/>
  <c r="H477" i="18"/>
  <c r="H529" i="18"/>
  <c r="H231" i="18"/>
  <c r="H65" i="18"/>
  <c r="H248" i="18"/>
  <c r="H1271" i="18"/>
  <c r="H679" i="18"/>
  <c r="H438" i="18"/>
  <c r="H445" i="18"/>
  <c r="H352" i="18"/>
  <c r="H261" i="18"/>
  <c r="H68" i="18"/>
  <c r="H921" i="18"/>
  <c r="H562" i="18"/>
  <c r="H480" i="18"/>
  <c r="H346" i="18"/>
  <c r="H313" i="18"/>
  <c r="H202" i="18"/>
  <c r="H10" i="18"/>
  <c r="H12" i="18"/>
  <c r="H378" i="18"/>
  <c r="H494" i="18"/>
  <c r="H575" i="18"/>
  <c r="H720" i="18"/>
  <c r="H6" i="18"/>
  <c r="H273" i="18"/>
  <c r="H350" i="18"/>
  <c r="H235" i="18"/>
  <c r="H184" i="18"/>
  <c r="H1259" i="18"/>
  <c r="H629" i="18"/>
  <c r="H437" i="18"/>
  <c r="H284" i="18"/>
  <c r="H287" i="18"/>
  <c r="H244" i="18"/>
  <c r="H39" i="18"/>
  <c r="H818" i="18"/>
  <c r="H785" i="18"/>
  <c r="H506" i="18"/>
  <c r="H281" i="18"/>
  <c r="H72" i="18"/>
  <c r="H221" i="18"/>
  <c r="H31" i="18"/>
  <c r="H651" i="18"/>
  <c r="H492" i="18"/>
  <c r="H610" i="18"/>
  <c r="H314" i="18"/>
  <c r="H198" i="18"/>
  <c r="H124" i="18"/>
  <c r="H1264" i="18"/>
  <c r="H580" i="18"/>
  <c r="H456" i="18"/>
  <c r="H392" i="18"/>
  <c r="H395" i="18"/>
  <c r="H122" i="18"/>
  <c r="H147" i="18"/>
  <c r="H815" i="18"/>
  <c r="H751" i="18"/>
  <c r="H464" i="18"/>
  <c r="H396" i="18"/>
  <c r="H35" i="18"/>
  <c r="H172" i="18"/>
  <c r="H1243" i="18"/>
  <c r="H514" i="18"/>
  <c r="H451" i="18"/>
  <c r="H576" i="18"/>
  <c r="H278" i="18"/>
  <c r="H132" i="18"/>
  <c r="H76" i="18"/>
  <c r="H1261" i="18"/>
  <c r="H655" i="18"/>
  <c r="H373" i="18"/>
  <c r="H356" i="18"/>
  <c r="H359" i="18"/>
  <c r="H74" i="18"/>
  <c r="H111" i="18"/>
  <c r="H940" i="18"/>
  <c r="H850" i="18"/>
  <c r="H574" i="18"/>
  <c r="H353" i="18"/>
  <c r="H168" i="18"/>
  <c r="H52" i="18"/>
  <c r="H24" i="18"/>
  <c r="H722" i="18"/>
  <c r="H16" i="18"/>
  <c r="H291" i="18"/>
  <c r="H551" i="18"/>
  <c r="H561" i="18"/>
  <c r="H838" i="18"/>
  <c r="H54" i="18"/>
  <c r="H644" i="18"/>
  <c r="H496" i="18"/>
  <c r="H430" i="18"/>
  <c r="H330" i="18"/>
  <c r="H64" i="18"/>
  <c r="H94" i="18"/>
  <c r="H684" i="18"/>
  <c r="H628" i="18"/>
  <c r="H731" i="18"/>
  <c r="H288" i="18"/>
  <c r="H85" i="18"/>
  <c r="H253" i="18"/>
  <c r="H57" i="18"/>
  <c r="H586" i="18"/>
  <c r="H361" i="18"/>
  <c r="H431" i="18"/>
  <c r="H345" i="18"/>
  <c r="H254" i="18"/>
  <c r="H143" i="18"/>
  <c r="H1051" i="18"/>
  <c r="H511" i="18"/>
  <c r="H619" i="18"/>
  <c r="H208" i="18"/>
  <c r="H262" i="18"/>
  <c r="H207" i="18"/>
  <c r="H1251" i="18"/>
  <c r="H882" i="18"/>
  <c r="H609" i="18"/>
  <c r="H695" i="18"/>
  <c r="H427" i="18"/>
  <c r="H252" i="18"/>
  <c r="H216" i="18"/>
  <c r="H21" i="18"/>
  <c r="H653" i="18"/>
  <c r="H578" i="18"/>
  <c r="H606" i="18"/>
  <c r="H309" i="18"/>
  <c r="H217" i="18"/>
  <c r="H95" i="18"/>
  <c r="H1213" i="18"/>
  <c r="H741" i="18"/>
  <c r="H577" i="18"/>
  <c r="H315" i="18"/>
  <c r="H402" i="18"/>
  <c r="H144" i="18"/>
  <c r="H166" i="18"/>
  <c r="H854" i="18"/>
  <c r="H709" i="18"/>
  <c r="H413" i="18"/>
  <c r="H360" i="18"/>
  <c r="H186" i="18"/>
  <c r="H131" i="18"/>
  <c r="H50" i="18"/>
  <c r="H568" i="18"/>
  <c r="H1256" i="18"/>
  <c r="H165" i="18"/>
  <c r="H341" i="18"/>
  <c r="H379" i="18"/>
  <c r="H647" i="18"/>
  <c r="H860" i="18"/>
  <c r="H946" i="18"/>
  <c r="H419" i="18"/>
  <c r="H286" i="18"/>
  <c r="H238" i="18"/>
  <c r="H160" i="18"/>
  <c r="H29" i="18"/>
  <c r="H913" i="18"/>
  <c r="H638" i="18"/>
  <c r="H584" i="18"/>
  <c r="H319" i="18"/>
  <c r="H155" i="18"/>
  <c r="H102" i="18"/>
  <c r="H1265" i="18"/>
  <c r="H726" i="18"/>
  <c r="H460" i="18"/>
  <c r="H498" i="18"/>
  <c r="H400" i="18"/>
  <c r="H97" i="18"/>
  <c r="H116" i="18"/>
  <c r="H1048" i="18"/>
  <c r="H573" i="18"/>
  <c r="H433" i="18"/>
  <c r="H394" i="18"/>
  <c r="H294" i="18"/>
  <c r="H251" i="18"/>
  <c r="H58" i="18"/>
  <c r="H858" i="18"/>
  <c r="H525" i="18"/>
  <c r="H537" i="18"/>
  <c r="H283" i="18"/>
  <c r="H107" i="18"/>
  <c r="H260" i="18"/>
  <c r="H1267" i="18"/>
  <c r="H692" i="18"/>
  <c r="H441" i="18"/>
  <c r="H462" i="18"/>
  <c r="H364" i="18"/>
  <c r="H11" i="18"/>
  <c r="H80" i="18"/>
  <c r="H990" i="18"/>
  <c r="H455" i="18"/>
  <c r="H493" i="18"/>
  <c r="H358" i="18"/>
  <c r="H325" i="18"/>
  <c r="H214" i="18"/>
  <c r="H22" i="18"/>
  <c r="H657" i="18"/>
  <c r="H520" i="18"/>
  <c r="H659" i="18"/>
  <c r="H391" i="18"/>
  <c r="H215" i="18"/>
  <c r="H169" i="18"/>
  <c r="H1233" i="18"/>
  <c r="H570" i="18"/>
  <c r="H829" i="18"/>
  <c r="H156" i="18"/>
  <c r="H203" i="18"/>
  <c r="H84" i="18"/>
  <c r="H245" i="18"/>
  <c r="H183" i="18"/>
  <c r="H150" i="18"/>
  <c r="H1263" i="18"/>
  <c r="H650" i="18"/>
  <c r="H434" i="18"/>
  <c r="H440" i="18"/>
  <c r="H292" i="18"/>
  <c r="H200" i="18"/>
  <c r="H8" i="18"/>
  <c r="H839" i="18"/>
  <c r="H790" i="18"/>
  <c r="H519" i="18"/>
  <c r="H293" i="18"/>
  <c r="H114" i="18"/>
  <c r="H234" i="18"/>
  <c r="H43" i="18"/>
  <c r="H672" i="18"/>
  <c r="H505" i="18"/>
  <c r="H630" i="18"/>
  <c r="H326" i="18"/>
  <c r="H210" i="18"/>
  <c r="H127" i="18"/>
  <c r="H1270" i="18"/>
  <c r="H611" i="18"/>
  <c r="H465" i="18"/>
  <c r="H404" i="18"/>
  <c r="H407" i="18"/>
  <c r="H125" i="18"/>
  <c r="H159" i="18"/>
  <c r="H929" i="18"/>
  <c r="H910" i="18"/>
  <c r="H621" i="18"/>
  <c r="H401" i="18"/>
  <c r="H201" i="18"/>
  <c r="H112" i="18"/>
  <c r="H1241" i="18"/>
  <c r="H556" i="18"/>
  <c r="H471" i="18"/>
  <c r="H589" i="18"/>
  <c r="H290" i="18"/>
  <c r="H173" i="18"/>
  <c r="H79" i="18"/>
  <c r="H1266" i="18"/>
  <c r="H499" i="18"/>
  <c r="H450" i="18"/>
  <c r="H368" i="18"/>
  <c r="H371" i="18"/>
  <c r="H77" i="18"/>
  <c r="H123" i="18"/>
  <c r="H957" i="18"/>
  <c r="H862" i="18"/>
  <c r="H595" i="18"/>
  <c r="H365" i="18"/>
  <c r="H171" i="18"/>
  <c r="H59" i="18"/>
  <c r="H36" i="18"/>
  <c r="H842" i="18"/>
  <c r="H581" i="18"/>
  <c r="H503" i="18"/>
  <c r="H398" i="18"/>
  <c r="H13" i="18"/>
  <c r="H223" i="18"/>
  <c r="H1278" i="18"/>
  <c r="H335" i="18"/>
  <c r="H536" i="18"/>
  <c r="H1268" i="18"/>
  <c r="H1249" i="18"/>
  <c r="H44" i="18"/>
  <c r="H237" i="18"/>
  <c r="H187" i="18"/>
  <c r="H1273" i="18"/>
  <c r="H639" i="18"/>
  <c r="H459" i="18"/>
  <c r="H296" i="18"/>
  <c r="H299" i="18"/>
  <c r="H256" i="18"/>
  <c r="H51" i="18"/>
  <c r="H721" i="18"/>
  <c r="H641" i="18"/>
  <c r="H743" i="18"/>
  <c r="H300" i="18"/>
  <c r="H88" i="18"/>
  <c r="H265" i="18"/>
  <c r="H1238" i="18"/>
  <c r="H607" i="18"/>
  <c r="H463" i="18"/>
  <c r="H466" i="18"/>
  <c r="H357" i="18"/>
  <c r="H266" i="18"/>
  <c r="H146" i="18"/>
  <c r="H1105" i="18"/>
  <c r="H532" i="18"/>
  <c r="H631" i="18"/>
  <c r="H267" i="18"/>
  <c r="H269" i="18"/>
  <c r="H219" i="18"/>
  <c r="H15" i="18"/>
  <c r="H865" i="18"/>
  <c r="H764" i="18"/>
  <c r="H472" i="18"/>
  <c r="H408" i="18"/>
  <c r="H66" i="18"/>
  <c r="H197" i="18"/>
  <c r="H1255" i="18"/>
  <c r="H539" i="18"/>
  <c r="H591" i="18"/>
  <c r="H618" i="18"/>
  <c r="H321" i="18"/>
  <c r="H230" i="18"/>
  <c r="H98" i="18"/>
  <c r="H1124" i="18"/>
  <c r="H754" i="18"/>
  <c r="H585" i="18"/>
  <c r="H327" i="18"/>
  <c r="H414" i="18"/>
  <c r="H185" i="18"/>
  <c r="H179" i="18"/>
  <c r="H875" i="18"/>
  <c r="H717" i="18"/>
  <c r="H423" i="18"/>
  <c r="H372" i="18"/>
  <c r="H196" i="18"/>
  <c r="H134" i="18"/>
  <c r="H62" i="18"/>
  <c r="H545" i="18"/>
  <c r="H435" i="18"/>
  <c r="H555" i="18"/>
  <c r="H257" i="18"/>
  <c r="H126" i="18"/>
  <c r="H37" i="18"/>
  <c r="H948" i="18"/>
  <c r="H190" i="18"/>
  <c r="H332" i="18"/>
  <c r="H615" i="18"/>
  <c r="H569" i="18"/>
  <c r="H541" i="18"/>
  <c r="H142" i="18"/>
  <c r="H509" i="18"/>
  <c r="H442" i="18"/>
  <c r="H342" i="18"/>
  <c r="H90" i="18"/>
  <c r="H106" i="18"/>
  <c r="H998" i="18"/>
  <c r="H646" i="18"/>
  <c r="H592" i="18"/>
  <c r="H331" i="18"/>
  <c r="H158" i="18"/>
  <c r="H105" i="18"/>
  <c r="H1274" i="18"/>
  <c r="H747" i="18"/>
  <c r="H468" i="18"/>
  <c r="H510" i="18"/>
  <c r="H412" i="18"/>
  <c r="H100" i="18"/>
  <c r="H128" i="18"/>
  <c r="H1035" i="18"/>
  <c r="H614" i="18"/>
  <c r="H475" i="18"/>
  <c r="H406" i="18"/>
  <c r="H306" i="18"/>
  <c r="H263" i="18"/>
  <c r="H70" i="18"/>
  <c r="H773" i="18"/>
  <c r="H613" i="18"/>
  <c r="H707" i="18"/>
  <c r="H233" i="18"/>
  <c r="H1254" i="18"/>
  <c r="H229" i="18"/>
  <c r="H33" i="18"/>
  <c r="H700" i="18"/>
  <c r="H444" i="18"/>
  <c r="H474" i="18"/>
  <c r="H376" i="18"/>
  <c r="H47" i="18"/>
  <c r="H92" i="18"/>
  <c r="H1117" i="18"/>
  <c r="H531" i="18"/>
  <c r="H501" i="18"/>
  <c r="H370" i="18"/>
  <c r="H337" i="18"/>
  <c r="H227" i="18"/>
  <c r="H34" i="18"/>
  <c r="H673" i="18"/>
  <c r="H567" i="18"/>
  <c r="H671" i="18"/>
  <c r="H403" i="18"/>
  <c r="H228" i="18"/>
  <c r="H192" i="18"/>
  <c r="H1245" i="18"/>
  <c r="H637" i="18"/>
  <c r="H544" i="18"/>
  <c r="H582" i="18"/>
  <c r="H285" i="18"/>
  <c r="H193" i="18"/>
  <c r="H1240" i="18"/>
  <c r="H478" i="18"/>
  <c r="H38" i="18"/>
  <c r="H301" i="18"/>
  <c r="H491" i="18"/>
  <c r="H467" i="18"/>
  <c r="H399" i="18"/>
  <c r="H1246" i="18"/>
  <c r="H338" i="18"/>
  <c r="H222" i="18"/>
  <c r="H181" i="18"/>
  <c r="H1275" i="18"/>
  <c r="H626" i="18"/>
  <c r="H375" i="18"/>
  <c r="H416" i="18"/>
  <c r="H255" i="18"/>
  <c r="H167" i="18"/>
  <c r="H1232" i="18"/>
  <c r="H932" i="18"/>
  <c r="H922" i="18"/>
  <c r="H633" i="18"/>
  <c r="H220" i="18"/>
  <c r="H213" i="18"/>
  <c r="H115" i="18"/>
  <c r="H1253" i="18"/>
  <c r="H871" i="18"/>
  <c r="H572" i="18"/>
  <c r="H550" i="18"/>
  <c r="H295" i="18"/>
  <c r="H110" i="18"/>
  <c r="H1242" i="18"/>
  <c r="H1276" i="18"/>
  <c r="H517" i="18"/>
  <c r="H453" i="18"/>
  <c r="H380" i="18"/>
  <c r="H383" i="18"/>
  <c r="H119" i="18"/>
  <c r="H135" i="18"/>
  <c r="H1025" i="18"/>
  <c r="H874" i="18"/>
  <c r="H608" i="18"/>
  <c r="H377" i="18"/>
  <c r="H175" i="18"/>
  <c r="H67" i="18"/>
  <c r="H48" i="18"/>
  <c r="H697" i="18"/>
  <c r="H602" i="18"/>
  <c r="H516" i="18"/>
  <c r="H410" i="18"/>
  <c r="H49" i="18"/>
  <c r="H236" i="18"/>
  <c r="H1262" i="18"/>
  <c r="H601" i="18"/>
  <c r="H421" i="18"/>
  <c r="H439" i="18"/>
  <c r="H340" i="18"/>
  <c r="H249" i="18"/>
  <c r="H56" i="18"/>
  <c r="H542" i="18"/>
  <c r="H1154" i="18"/>
  <c r="H89" i="18"/>
  <c r="H334" i="18"/>
  <c r="H348" i="18"/>
  <c r="H386" i="18"/>
  <c r="H1073" i="18"/>
  <c r="H476" i="18"/>
  <c r="H487" i="18"/>
  <c r="H369" i="18"/>
  <c r="H1252" i="18"/>
  <c r="H149" i="18"/>
  <c r="H1138" i="18"/>
  <c r="H579" i="18"/>
  <c r="H429" i="18"/>
  <c r="H272" i="18"/>
  <c r="H275" i="18"/>
  <c r="H232" i="18"/>
  <c r="H27" i="18"/>
  <c r="H878" i="18"/>
  <c r="H772" i="18"/>
  <c r="H485" i="18"/>
  <c r="H218" i="18"/>
  <c r="H69" i="18"/>
  <c r="H209" i="18"/>
  <c r="H19" i="18"/>
  <c r="H620" i="18"/>
  <c r="H479" i="18"/>
  <c r="H597" i="18"/>
  <c r="H302" i="18"/>
  <c r="H180" i="18"/>
  <c r="H121" i="18"/>
  <c r="H1108" i="18"/>
  <c r="H497" i="18"/>
  <c r="H598" i="18"/>
  <c r="H339" i="18"/>
  <c r="H426" i="18"/>
  <c r="H195" i="18"/>
  <c r="H1239" i="18"/>
  <c r="H794" i="18"/>
  <c r="H730" i="18"/>
  <c r="H432" i="18"/>
  <c r="H384" i="18"/>
  <c r="H1247" i="18"/>
  <c r="H137" i="18"/>
  <c r="H1231" i="18"/>
  <c r="H627" i="18"/>
  <c r="H448" i="18"/>
  <c r="H563" i="18"/>
  <c r="H270" i="18"/>
  <c r="H129" i="18"/>
  <c r="H73" i="18"/>
  <c r="H1277" i="18"/>
  <c r="H622" i="18"/>
  <c r="H504" i="18"/>
  <c r="H344" i="18"/>
  <c r="H347" i="18"/>
  <c r="H71" i="18"/>
  <c r="H99" i="18"/>
  <c r="H328" i="18"/>
  <c r="H417" i="18"/>
  <c r="H1269" i="18"/>
  <c r="H139" i="18"/>
  <c r="H271" i="18"/>
  <c r="H170" i="18"/>
  <c r="H696" i="18"/>
  <c r="H1402" i="18"/>
  <c r="H1396" i="18"/>
  <c r="H1392" i="18"/>
  <c r="H1388" i="18"/>
  <c r="H1386" i="18"/>
  <c r="H1384" i="18"/>
  <c r="H1382" i="18"/>
  <c r="H1380" i="18"/>
  <c r="H1378" i="18"/>
  <c r="H1376" i="18"/>
  <c r="H1374" i="18"/>
  <c r="H1372" i="18"/>
  <c r="H1370" i="18"/>
  <c r="H1368" i="18"/>
  <c r="H1366" i="18"/>
  <c r="H1364" i="18"/>
  <c r="H1400" i="18"/>
  <c r="H1398" i="18"/>
  <c r="H1394" i="18"/>
  <c r="H1390" i="18"/>
  <c r="H1405" i="18"/>
  <c r="H1407" i="18"/>
  <c r="H1409" i="18"/>
  <c r="H1411" i="18"/>
  <c r="H1413" i="18"/>
  <c r="H1415" i="18"/>
  <c r="H1417" i="18"/>
  <c r="H1419" i="18"/>
  <c r="H1421" i="18"/>
  <c r="H1423" i="18"/>
  <c r="H1425" i="18"/>
  <c r="H1427" i="18"/>
  <c r="H1429" i="18"/>
  <c r="H1431" i="18"/>
  <c r="H1433" i="18"/>
  <c r="H1435" i="18"/>
  <c r="H1437" i="18"/>
  <c r="H1439" i="18"/>
  <c r="H1441" i="18"/>
  <c r="H1443" i="18"/>
  <c r="H1445" i="18"/>
  <c r="H1447" i="18"/>
  <c r="H1449" i="18"/>
  <c r="H1451" i="18"/>
  <c r="H1453" i="18"/>
  <c r="H1455" i="18"/>
  <c r="H1457" i="18"/>
  <c r="H1459" i="18"/>
  <c r="H1461" i="18"/>
  <c r="H1463" i="18"/>
  <c r="H1465" i="18"/>
  <c r="H1467" i="18"/>
  <c r="H1469" i="18"/>
  <c r="H1471" i="18"/>
  <c r="H1473" i="18"/>
  <c r="H1475" i="18"/>
  <c r="H1477" i="18"/>
  <c r="H1479" i="18"/>
  <c r="H1481" i="18"/>
  <c r="H1483" i="18"/>
  <c r="H1485" i="18"/>
  <c r="H1487" i="18"/>
  <c r="H1403" i="18"/>
  <c r="H1401" i="18"/>
  <c r="H1399" i="18"/>
  <c r="H1397" i="18"/>
  <c r="H1395" i="18"/>
  <c r="H1393" i="18"/>
  <c r="H1391" i="18"/>
  <c r="H1389" i="18"/>
  <c r="H1387" i="18"/>
  <c r="H1385" i="18"/>
  <c r="H1383" i="18"/>
  <c r="H1381" i="18"/>
  <c r="H1379" i="18"/>
  <c r="H1377" i="18"/>
  <c r="H1375" i="18"/>
  <c r="H1373" i="18"/>
  <c r="H1371" i="18"/>
  <c r="H1369" i="18"/>
  <c r="H1367" i="18"/>
  <c r="H1365" i="18"/>
  <c r="H1404" i="18"/>
  <c r="H1406" i="18"/>
  <c r="H1408" i="18"/>
  <c r="H1410" i="18"/>
  <c r="H1412" i="18"/>
  <c r="H1414" i="18"/>
  <c r="H1416" i="18"/>
  <c r="H1418" i="18"/>
  <c r="H1420" i="18"/>
  <c r="H1422" i="18"/>
  <c r="H1424" i="18"/>
  <c r="H1426" i="18"/>
  <c r="H1428" i="18"/>
  <c r="H1430" i="18"/>
  <c r="H1432" i="18"/>
  <c r="H1434" i="18"/>
  <c r="H1436" i="18"/>
  <c r="H1438" i="18"/>
  <c r="H1440" i="18"/>
  <c r="H1442" i="18"/>
  <c r="H1444" i="18"/>
  <c r="H1446" i="18"/>
  <c r="H1448" i="18"/>
  <c r="H1450" i="18"/>
  <c r="H1452" i="18"/>
  <c r="H1454" i="18"/>
  <c r="H1456" i="18"/>
  <c r="H1458" i="18"/>
  <c r="H1460" i="18"/>
  <c r="H1462" i="18"/>
  <c r="H1464" i="18"/>
  <c r="H1466" i="18"/>
  <c r="H1468" i="18"/>
  <c r="H1470" i="18"/>
  <c r="H1472" i="18"/>
  <c r="H1474" i="18"/>
  <c r="H1476" i="18"/>
  <c r="H1478" i="18"/>
  <c r="H1480" i="18"/>
  <c r="H1482" i="18"/>
  <c r="H1484" i="18"/>
  <c r="H1486" i="18"/>
  <c r="H1488" i="18"/>
  <c r="H1553" i="18"/>
  <c r="H1490" i="18"/>
  <c r="H1492" i="18"/>
  <c r="H1494" i="18"/>
  <c r="H1496" i="18"/>
  <c r="H1498" i="18"/>
  <c r="H1500" i="18"/>
  <c r="H1502" i="18"/>
  <c r="H1504" i="18"/>
  <c r="H1506" i="18"/>
  <c r="H1508" i="18"/>
  <c r="H1510" i="18"/>
  <c r="H1512" i="18"/>
  <c r="H1514" i="18"/>
  <c r="H1516" i="18"/>
  <c r="H1518" i="18"/>
  <c r="H1520" i="18"/>
  <c r="H1522" i="18"/>
  <c r="H1524" i="18"/>
  <c r="H1526" i="18"/>
  <c r="H1528" i="18"/>
  <c r="H1530" i="18"/>
  <c r="H1532" i="18"/>
  <c r="H1534" i="18"/>
  <c r="H1536" i="18"/>
  <c r="H1538" i="18"/>
  <c r="H1540" i="18"/>
  <c r="H1542" i="18"/>
  <c r="H1544" i="18"/>
  <c r="H1546" i="18"/>
  <c r="H1548" i="18"/>
  <c r="H1550" i="18"/>
  <c r="H1552" i="18"/>
  <c r="H1489" i="18"/>
  <c r="H1491" i="18"/>
  <c r="H1493" i="18"/>
  <c r="H1495" i="18"/>
  <c r="H1497" i="18"/>
  <c r="H1499" i="18"/>
  <c r="H1501" i="18"/>
  <c r="H1503" i="18"/>
  <c r="H1505" i="18"/>
  <c r="H1507" i="18"/>
  <c r="H1509" i="18"/>
  <c r="H1511" i="18"/>
  <c r="H1513" i="18"/>
  <c r="H1515" i="18"/>
  <c r="H1517" i="18"/>
  <c r="H1519" i="18"/>
  <c r="H1521" i="18"/>
  <c r="H1523" i="18"/>
  <c r="H1525" i="18"/>
  <c r="H1527" i="18"/>
  <c r="H1529" i="18"/>
  <c r="H1531" i="18"/>
  <c r="H1533" i="18"/>
  <c r="H1535" i="18"/>
  <c r="H1537" i="18"/>
  <c r="H1539" i="18"/>
  <c r="H1541" i="18"/>
  <c r="H1543" i="18"/>
  <c r="H1545" i="18"/>
  <c r="H1547" i="18"/>
  <c r="H1549" i="18"/>
  <c r="H1551" i="18"/>
  <c r="I1289" i="18"/>
  <c r="I1315" i="18"/>
  <c r="I1341" i="18"/>
  <c r="I1319" i="18"/>
  <c r="I1316" i="18"/>
  <c r="I1294" i="18"/>
  <c r="I1297" i="18"/>
  <c r="I1178" i="18"/>
  <c r="I1068" i="18"/>
  <c r="I1196" i="18"/>
  <c r="I1105" i="18"/>
  <c r="I1024" i="18"/>
  <c r="I984" i="18"/>
  <c r="I1356" i="18"/>
  <c r="I1303" i="18"/>
  <c r="I1317" i="18"/>
  <c r="I1307" i="18"/>
  <c r="I1304" i="18"/>
  <c r="I1291" i="18"/>
  <c r="I1314" i="18"/>
  <c r="I1169" i="18"/>
  <c r="I1157" i="18"/>
  <c r="I1032" i="18"/>
  <c r="I1047" i="18"/>
  <c r="I1218" i="18"/>
  <c r="I1182" i="18"/>
  <c r="I1344" i="18"/>
  <c r="I1286" i="18"/>
  <c r="I1305" i="18"/>
  <c r="I1295" i="18"/>
  <c r="I1292" i="18"/>
  <c r="I1342" i="18"/>
  <c r="I1290" i="18"/>
  <c r="I1198" i="18"/>
  <c r="I1162" i="18"/>
  <c r="I1147" i="18"/>
  <c r="I1184" i="18"/>
  <c r="I1172" i="18"/>
  <c r="I5" i="18"/>
  <c r="I1332" i="18"/>
  <c r="I1358" i="18"/>
  <c r="I1360" i="18"/>
  <c r="I1283" i="18"/>
  <c r="I1280" i="18"/>
  <c r="I1318" i="18"/>
  <c r="I1279" i="18"/>
  <c r="I1120" i="18"/>
  <c r="I1048" i="18"/>
  <c r="I1158" i="18"/>
  <c r="I987" i="18"/>
  <c r="I1174" i="18"/>
  <c r="I1213" i="18"/>
  <c r="I1361" i="18"/>
  <c r="I1308" i="18"/>
  <c r="I1346" i="18"/>
  <c r="I1348" i="18"/>
  <c r="I1357" i="18"/>
  <c r="I1293" i="18"/>
  <c r="I1306" i="18"/>
  <c r="I1161" i="18"/>
  <c r="I1156" i="18"/>
  <c r="I1195" i="18"/>
  <c r="I1163" i="18"/>
  <c r="I1139" i="18"/>
  <c r="I1115" i="18"/>
  <c r="I1165" i="18"/>
  <c r="I1349" i="18"/>
  <c r="I1296" i="18"/>
  <c r="I1334" i="18"/>
  <c r="I1336" i="18"/>
  <c r="I1345" i="18"/>
  <c r="I1347" i="18"/>
  <c r="I1282" i="18"/>
  <c r="I1127" i="18"/>
  <c r="I1114" i="18"/>
  <c r="I1021" i="18"/>
  <c r="I1183" i="18"/>
  <c r="I1222" i="18"/>
  <c r="I999" i="18"/>
  <c r="I1229" i="18"/>
  <c r="I1337" i="18"/>
  <c r="I1363" i="18"/>
  <c r="I1322" i="18"/>
  <c r="I1324" i="18"/>
  <c r="I1321" i="18"/>
  <c r="I1335" i="18"/>
  <c r="I1284" i="18"/>
  <c r="I1087" i="18"/>
  <c r="I1060" i="18"/>
  <c r="I1209" i="18"/>
  <c r="I1012" i="18"/>
  <c r="I1123" i="18"/>
  <c r="I1122" i="18"/>
  <c r="I1117" i="18"/>
  <c r="I1325" i="18"/>
  <c r="I1351" i="18"/>
  <c r="I1310" i="18"/>
  <c r="I1312" i="18"/>
  <c r="I1352" i="18"/>
  <c r="I1323" i="18"/>
  <c r="I1362" i="18"/>
  <c r="I1086" i="18"/>
  <c r="I1082" i="18"/>
  <c r="I1084" i="18"/>
  <c r="I1173" i="18"/>
  <c r="I1107" i="18"/>
  <c r="I1011" i="18"/>
  <c r="I1002" i="18"/>
  <c r="I1313" i="18"/>
  <c r="I1339" i="18"/>
  <c r="I1298" i="18"/>
  <c r="I1355" i="18"/>
  <c r="I1340" i="18"/>
  <c r="I1311" i="18"/>
  <c r="I1350" i="18"/>
  <c r="I1179" i="18"/>
  <c r="I968" i="18"/>
  <c r="I1055" i="18"/>
  <c r="I1071" i="18"/>
  <c r="I1130" i="18"/>
  <c r="I1006" i="18"/>
  <c r="I988" i="18"/>
  <c r="I1301" i="18"/>
  <c r="I1327" i="18"/>
  <c r="I1288" i="18"/>
  <c r="I1331" i="18"/>
  <c r="I1328" i="18"/>
  <c r="I1287" i="18"/>
  <c r="I1338" i="18"/>
  <c r="I1199" i="18"/>
  <c r="I1208" i="18"/>
  <c r="I1226" i="18"/>
  <c r="I888" i="18"/>
  <c r="I1228" i="18"/>
  <c r="I1081" i="18"/>
  <c r="I1150" i="18"/>
  <c r="I1285" i="18"/>
  <c r="I992" i="18"/>
  <c r="I1066" i="18"/>
  <c r="I1206" i="18"/>
  <c r="I1069" i="18"/>
  <c r="I1131" i="18"/>
  <c r="I1019" i="18"/>
  <c r="I1171" i="18"/>
  <c r="I1126" i="18"/>
  <c r="I933" i="18"/>
  <c r="I1204" i="18"/>
  <c r="I969" i="18"/>
  <c r="I1188" i="18"/>
  <c r="I911" i="18"/>
  <c r="I1140" i="18"/>
  <c r="I1176" i="18"/>
  <c r="I1116" i="18"/>
  <c r="I1109" i="18"/>
  <c r="I878" i="18"/>
  <c r="I689" i="18"/>
  <c r="I1148" i="18"/>
  <c r="I1211" i="18"/>
  <c r="I1015" i="18"/>
  <c r="I1007" i="18"/>
  <c r="I679" i="18"/>
  <c r="I550" i="18"/>
  <c r="I624" i="18"/>
  <c r="I563" i="18"/>
  <c r="I338" i="18"/>
  <c r="I129" i="18"/>
  <c r="I121" i="18"/>
  <c r="I1256" i="18"/>
  <c r="I1010" i="18"/>
  <c r="I919" i="18"/>
  <c r="I608" i="18"/>
  <c r="I646" i="18"/>
  <c r="I702" i="18"/>
  <c r="I295" i="18"/>
  <c r="I107" i="18"/>
  <c r="I1185" i="18"/>
  <c r="I925" i="18"/>
  <c r="I641" i="18"/>
  <c r="I759" i="18"/>
  <c r="I579" i="18"/>
  <c r="I276" i="18"/>
  <c r="I104" i="18"/>
  <c r="I76" i="18"/>
  <c r="I944" i="18"/>
  <c r="I885" i="18"/>
  <c r="I721" i="18"/>
  <c r="I497" i="18"/>
  <c r="I380" i="18"/>
  <c r="I228" i="18"/>
  <c r="I202" i="18"/>
  <c r="I938" i="18"/>
  <c r="I788" i="18"/>
  <c r="I575" i="18"/>
  <c r="I430" i="18"/>
  <c r="I469" i="18"/>
  <c r="I402" i="18"/>
  <c r="I190" i="18"/>
  <c r="I844" i="18"/>
  <c r="I825" i="18"/>
  <c r="I519" i="18"/>
  <c r="I509" i="18"/>
  <c r="I547" i="18"/>
  <c r="I328" i="18"/>
  <c r="I18" i="18"/>
  <c r="I1175" i="18"/>
  <c r="I802" i="18"/>
  <c r="I677" i="18"/>
  <c r="I525" i="18"/>
  <c r="I487" i="18"/>
  <c r="I285" i="18"/>
  <c r="I200" i="18"/>
  <c r="I873" i="18"/>
  <c r="I918" i="18"/>
  <c r="I588" i="18"/>
  <c r="I511" i="18"/>
  <c r="I398" i="18"/>
  <c r="I266" i="18"/>
  <c r="I92" i="18"/>
  <c r="I80" i="18"/>
  <c r="I108" i="18"/>
  <c r="I1096" i="18"/>
  <c r="I703" i="18"/>
  <c r="I773" i="18"/>
  <c r="I583" i="18"/>
  <c r="I351" i="18"/>
  <c r="I385" i="18"/>
  <c r="I258" i="18"/>
  <c r="I53" i="18"/>
  <c r="I948" i="18"/>
  <c r="I1065" i="18"/>
  <c r="I657" i="18"/>
  <c r="I464" i="18"/>
  <c r="I336" i="18"/>
  <c r="I198" i="18"/>
  <c r="I868" i="18"/>
  <c r="I748" i="18"/>
  <c r="I592" i="18"/>
  <c r="I573" i="18"/>
  <c r="I479" i="18"/>
  <c r="I213" i="18"/>
  <c r="I207" i="18"/>
  <c r="I127" i="18"/>
  <c r="I552" i="18"/>
  <c r="I1264" i="18"/>
  <c r="I159" i="18"/>
  <c r="I315" i="18"/>
  <c r="I1263" i="18"/>
  <c r="I206" i="18"/>
  <c r="I462" i="18"/>
  <c r="I625" i="18"/>
  <c r="I48" i="18"/>
  <c r="I866" i="18"/>
  <c r="I15" i="18"/>
  <c r="I47" i="18"/>
  <c r="I726" i="18"/>
  <c r="I661" i="18"/>
  <c r="I1320" i="18"/>
  <c r="I1281" i="18"/>
  <c r="I1329" i="18"/>
  <c r="I1343" i="18"/>
  <c r="I1309" i="18"/>
  <c r="I1359" i="18"/>
  <c r="I1330" i="18"/>
  <c r="I1326" i="18"/>
  <c r="I1220" i="18"/>
  <c r="I1039" i="18"/>
  <c r="I1223" i="18"/>
  <c r="I1042" i="18"/>
  <c r="I1026" i="18"/>
  <c r="I1166" i="18"/>
  <c r="I985" i="18"/>
  <c r="I1186" i="18"/>
  <c r="I1216" i="18"/>
  <c r="I974" i="18"/>
  <c r="I1187" i="18"/>
  <c r="I971" i="18"/>
  <c r="I1072" i="18"/>
  <c r="I1230" i="18"/>
  <c r="I956" i="18"/>
  <c r="I1129" i="18"/>
  <c r="I1088" i="18"/>
  <c r="I963" i="18"/>
  <c r="I793" i="18"/>
  <c r="I1119" i="18"/>
  <c r="I1141" i="18"/>
  <c r="I854" i="18"/>
  <c r="I915" i="18"/>
  <c r="I903" i="18"/>
  <c r="I591" i="18"/>
  <c r="I539" i="18"/>
  <c r="I615" i="18"/>
  <c r="I357" i="18"/>
  <c r="I205" i="18"/>
  <c r="I194" i="18"/>
  <c r="I1257" i="18"/>
  <c r="I994" i="18"/>
  <c r="I658" i="18"/>
  <c r="I742" i="18"/>
  <c r="I620" i="18"/>
  <c r="I555" i="18"/>
  <c r="I326" i="18"/>
  <c r="I126" i="18"/>
  <c r="I1144" i="18"/>
  <c r="I761" i="18"/>
  <c r="I1005" i="18"/>
  <c r="I941" i="18"/>
  <c r="I368" i="18"/>
  <c r="I283" i="18"/>
  <c r="I84" i="18"/>
  <c r="I146" i="18"/>
  <c r="I961" i="18"/>
  <c r="I801" i="18"/>
  <c r="I645" i="18"/>
  <c r="I438" i="18"/>
  <c r="I411" i="18"/>
  <c r="I225" i="18"/>
  <c r="I59" i="18"/>
  <c r="I958" i="18"/>
  <c r="I848" i="18"/>
  <c r="I671" i="18"/>
  <c r="I473" i="18"/>
  <c r="I399" i="18"/>
  <c r="I433" i="18"/>
  <c r="I131" i="18"/>
  <c r="I907" i="18"/>
  <c r="I864" i="18"/>
  <c r="I695" i="18"/>
  <c r="I476" i="18"/>
  <c r="I601" i="18"/>
  <c r="I359" i="18"/>
  <c r="I93" i="18"/>
  <c r="I1061" i="18"/>
  <c r="I812" i="18"/>
  <c r="I502" i="18"/>
  <c r="I503" i="18"/>
  <c r="I534" i="18"/>
  <c r="I316" i="18"/>
  <c r="I6" i="18"/>
  <c r="I789" i="18"/>
  <c r="I724" i="18"/>
  <c r="I881" i="18"/>
  <c r="I630" i="18"/>
  <c r="I417" i="18"/>
  <c r="I103" i="18"/>
  <c r="I72" i="18"/>
  <c r="I243" i="18"/>
  <c r="I8" i="18"/>
  <c r="I891" i="18"/>
  <c r="I806" i="18"/>
  <c r="I580" i="18"/>
  <c r="I496" i="18"/>
  <c r="I298" i="18"/>
  <c r="I332" i="18"/>
  <c r="I150" i="18"/>
  <c r="I16" i="18"/>
  <c r="I852" i="18"/>
  <c r="I884" i="18"/>
  <c r="I520" i="18"/>
  <c r="I490" i="18"/>
  <c r="I374" i="18"/>
  <c r="I97" i="18"/>
  <c r="I1044" i="18"/>
  <c r="I796" i="18"/>
  <c r="I637" i="18"/>
  <c r="I468" i="18"/>
  <c r="I541" i="18"/>
  <c r="I299" i="18"/>
  <c r="I263" i="18"/>
  <c r="I118" i="18"/>
  <c r="I529" i="18"/>
  <c r="I43" i="18"/>
  <c r="I82" i="18"/>
  <c r="I296" i="18"/>
  <c r="I833" i="18"/>
  <c r="I123" i="18"/>
  <c r="I329" i="18"/>
  <c r="I1049" i="18"/>
  <c r="I1258" i="18"/>
  <c r="I516" i="18"/>
  <c r="I1239" i="18"/>
  <c r="I156" i="18"/>
  <c r="I369" i="18"/>
  <c r="I1133" i="18"/>
  <c r="I910" i="18"/>
  <c r="I1177" i="18"/>
  <c r="I1112" i="18"/>
  <c r="I1121" i="18"/>
  <c r="I998" i="18"/>
  <c r="I951" i="18"/>
  <c r="I908" i="18"/>
  <c r="I1124" i="18"/>
  <c r="I7" i="18"/>
  <c r="I1038" i="18"/>
  <c r="I943" i="18"/>
  <c r="I766" i="18"/>
  <c r="I718" i="18"/>
  <c r="I457" i="18"/>
  <c r="I451" i="18"/>
  <c r="I388" i="18"/>
  <c r="I11" i="18"/>
  <c r="I175" i="18"/>
  <c r="I227" i="18"/>
  <c r="I896" i="18"/>
  <c r="I895" i="18"/>
  <c r="I544" i="18"/>
  <c r="I531" i="18"/>
  <c r="I602" i="18"/>
  <c r="I345" i="18"/>
  <c r="I193" i="18"/>
  <c r="I1146" i="18"/>
  <c r="I870" i="18"/>
  <c r="I800" i="18"/>
  <c r="I797" i="18"/>
  <c r="I690" i="18"/>
  <c r="I314" i="18"/>
  <c r="I177" i="18"/>
  <c r="I165" i="18"/>
  <c r="I972" i="18"/>
  <c r="I861" i="18"/>
  <c r="I684" i="18"/>
  <c r="I429" i="18"/>
  <c r="I252" i="18"/>
  <c r="I301" i="18"/>
  <c r="I134" i="18"/>
  <c r="I1080" i="18"/>
  <c r="I734" i="18"/>
  <c r="I564" i="18"/>
  <c r="I420" i="18"/>
  <c r="I346" i="18"/>
  <c r="I245" i="18"/>
  <c r="I192" i="18"/>
  <c r="I886" i="18"/>
  <c r="I770" i="18"/>
  <c r="I554" i="18"/>
  <c r="I394" i="18"/>
  <c r="I456" i="18"/>
  <c r="I390" i="18"/>
  <c r="I182" i="18"/>
  <c r="I1099" i="18"/>
  <c r="I851" i="18"/>
  <c r="I687" i="18"/>
  <c r="I463" i="18"/>
  <c r="I589" i="18"/>
  <c r="I347" i="18"/>
  <c r="I1212" i="18"/>
  <c r="I794" i="18"/>
  <c r="I772" i="18"/>
  <c r="I504" i="18"/>
  <c r="I474" i="18"/>
  <c r="I273" i="18"/>
  <c r="I188" i="18"/>
  <c r="I111" i="18"/>
  <c r="I69" i="18"/>
  <c r="I87" i="18"/>
  <c r="I991" i="18"/>
  <c r="I900" i="18"/>
  <c r="I584" i="18"/>
  <c r="I556" i="18"/>
  <c r="I365" i="18"/>
  <c r="I196" i="18"/>
  <c r="I187" i="18"/>
  <c r="I1191" i="18"/>
  <c r="I749" i="18"/>
  <c r="I706" i="18"/>
  <c r="I857" i="18"/>
  <c r="I610" i="18"/>
  <c r="I393" i="18"/>
  <c r="I164" i="18"/>
  <c r="I1070" i="18"/>
  <c r="I668" i="18"/>
  <c r="I752" i="18"/>
  <c r="I562" i="18"/>
  <c r="I392" i="18"/>
  <c r="I330" i="18"/>
  <c r="I234" i="18"/>
  <c r="I101" i="18"/>
  <c r="I318" i="18"/>
  <c r="I1278" i="18"/>
  <c r="I41" i="18"/>
  <c r="I115" i="18"/>
  <c r="I1262" i="18"/>
  <c r="I46" i="18"/>
  <c r="I152" i="18"/>
  <c r="I527" i="18"/>
  <c r="I1268" i="18"/>
  <c r="I628" i="18"/>
  <c r="I1245" i="18"/>
  <c r="I189" i="18"/>
  <c r="I119" i="18"/>
  <c r="I1097" i="18"/>
  <c r="I1215" i="18"/>
  <c r="I982" i="18"/>
  <c r="I894" i="18"/>
  <c r="I816" i="18"/>
  <c r="I1095" i="18"/>
  <c r="I1102" i="18"/>
  <c r="I1106" i="18"/>
  <c r="I957" i="18"/>
  <c r="I853" i="18"/>
  <c r="I633" i="18"/>
  <c r="I528" i="18"/>
  <c r="I517" i="18"/>
  <c r="I419" i="18"/>
  <c r="I116" i="18"/>
  <c r="I1232" i="18"/>
  <c r="I229" i="18"/>
  <c r="I926" i="18"/>
  <c r="I755" i="18"/>
  <c r="I705" i="18"/>
  <c r="I444" i="18"/>
  <c r="I448" i="18"/>
  <c r="I376" i="18"/>
  <c r="I261" i="18"/>
  <c r="I959" i="18"/>
  <c r="I665" i="18"/>
  <c r="I732" i="18"/>
  <c r="I635" i="18"/>
  <c r="I542" i="18"/>
  <c r="I333" i="18"/>
  <c r="I249" i="18"/>
  <c r="I171" i="18"/>
  <c r="I1093" i="18"/>
  <c r="I747" i="18"/>
  <c r="I644" i="18"/>
  <c r="I626" i="18"/>
  <c r="I425" i="18"/>
  <c r="I238" i="18"/>
  <c r="I204" i="18"/>
  <c r="I1085" i="18"/>
  <c r="I798" i="18"/>
  <c r="I636" i="18"/>
  <c r="I611" i="18"/>
  <c r="I396" i="18"/>
  <c r="I42" i="18"/>
  <c r="I236" i="18"/>
  <c r="I955" i="18"/>
  <c r="I840" i="18"/>
  <c r="I663" i="18"/>
  <c r="I416" i="18"/>
  <c r="I387" i="18"/>
  <c r="I421" i="18"/>
  <c r="I128" i="18"/>
  <c r="I841" i="18"/>
  <c r="I763" i="18"/>
  <c r="I533" i="18"/>
  <c r="I604" i="18"/>
  <c r="I436" i="18"/>
  <c r="I378" i="18"/>
  <c r="I1074" i="18"/>
  <c r="I740" i="18"/>
  <c r="I491" i="18"/>
  <c r="I607" i="18"/>
  <c r="I526" i="18"/>
  <c r="I304" i="18"/>
  <c r="I244" i="18"/>
  <c r="I154" i="18"/>
  <c r="I142" i="18"/>
  <c r="I1234" i="18"/>
  <c r="I1030" i="18"/>
  <c r="I1077" i="18"/>
  <c r="I670" i="18"/>
  <c r="I472" i="18"/>
  <c r="I348" i="18"/>
  <c r="I183" i="18"/>
  <c r="I44" i="18"/>
  <c r="I1128" i="18"/>
  <c r="I764" i="18"/>
  <c r="I737" i="18"/>
  <c r="I672" i="18"/>
  <c r="I442" i="18"/>
  <c r="I215" i="18"/>
  <c r="I1237" i="18"/>
  <c r="I932" i="18"/>
  <c r="I782" i="18"/>
  <c r="I538" i="18"/>
  <c r="I465" i="18"/>
  <c r="I327" i="18"/>
  <c r="I308" i="18"/>
  <c r="I265" i="18"/>
  <c r="I1255" i="18"/>
  <c r="I251" i="18"/>
  <c r="I976" i="18"/>
  <c r="I1231" i="18"/>
  <c r="I218" i="18"/>
  <c r="I680" i="18"/>
  <c r="I1253" i="18"/>
  <c r="I143" i="18"/>
  <c r="I522" i="18"/>
  <c r="I45" i="18"/>
  <c r="I319" i="18"/>
  <c r="I826" i="18"/>
  <c r="I173" i="18"/>
  <c r="I105" i="18"/>
  <c r="I1020" i="18"/>
  <c r="I1224" i="18"/>
  <c r="I997" i="18"/>
  <c r="I1201" i="18"/>
  <c r="I1142" i="18"/>
  <c r="I1052" i="18"/>
  <c r="I858" i="18"/>
  <c r="I1134" i="18"/>
  <c r="I1034" i="18"/>
  <c r="I1027" i="18"/>
  <c r="I930" i="18"/>
  <c r="I831" i="18"/>
  <c r="I1113" i="18"/>
  <c r="I1073" i="18"/>
  <c r="I1079" i="18"/>
  <c r="I960" i="18"/>
  <c r="I899" i="18"/>
  <c r="I683" i="18"/>
  <c r="I506" i="18"/>
  <c r="I450" i="18"/>
  <c r="I447" i="18"/>
  <c r="I275" i="18"/>
  <c r="I185" i="18"/>
  <c r="I51" i="18"/>
  <c r="I79" i="18"/>
  <c r="I940" i="18"/>
  <c r="I832" i="18"/>
  <c r="I622" i="18"/>
  <c r="I515" i="18"/>
  <c r="I505" i="18"/>
  <c r="I407" i="18"/>
  <c r="I74" i="18"/>
  <c r="I947" i="18"/>
  <c r="I867" i="18"/>
  <c r="I582" i="18"/>
  <c r="I598" i="18"/>
  <c r="I581" i="18"/>
  <c r="I364" i="18"/>
  <c r="I71" i="18"/>
  <c r="I27" i="18"/>
  <c r="I1098" i="18"/>
  <c r="I1149" i="18"/>
  <c r="I746" i="18"/>
  <c r="I467" i="18"/>
  <c r="I281" i="18"/>
  <c r="I62" i="18"/>
  <c r="I248" i="18"/>
  <c r="I954" i="18"/>
  <c r="I1137" i="18"/>
  <c r="I725" i="18"/>
  <c r="I545" i="18"/>
  <c r="I403" i="18"/>
  <c r="I13" i="18"/>
  <c r="I37" i="18"/>
  <c r="I1059" i="18"/>
  <c r="I716" i="18"/>
  <c r="I543" i="18"/>
  <c r="I415" i="18"/>
  <c r="I334" i="18"/>
  <c r="I233" i="18"/>
  <c r="I169" i="18"/>
  <c r="I935" i="18"/>
  <c r="I827" i="18"/>
  <c r="I650" i="18"/>
  <c r="I408" i="18"/>
  <c r="I375" i="18"/>
  <c r="I409" i="18"/>
  <c r="I875" i="18"/>
  <c r="I838" i="18"/>
  <c r="I674" i="18"/>
  <c r="I454" i="18"/>
  <c r="I577" i="18"/>
  <c r="I335" i="18"/>
  <c r="I60" i="18"/>
  <c r="I10" i="18"/>
  <c r="I1246" i="18"/>
  <c r="I55" i="18"/>
  <c r="I860" i="18"/>
  <c r="I897" i="18"/>
  <c r="I567" i="18"/>
  <c r="I498" i="18"/>
  <c r="I355" i="18"/>
  <c r="I210" i="18"/>
  <c r="I99" i="18"/>
  <c r="I962" i="18"/>
  <c r="I713" i="18"/>
  <c r="I616" i="18"/>
  <c r="I586" i="18"/>
  <c r="I492" i="18"/>
  <c r="I280" i="18"/>
  <c r="I23" i="18"/>
  <c r="I966" i="18"/>
  <c r="I874" i="18"/>
  <c r="I574" i="18"/>
  <c r="I475" i="18"/>
  <c r="I341" i="18"/>
  <c r="I136" i="18"/>
  <c r="I696" i="18"/>
  <c r="I64" i="18"/>
  <c r="I124" i="18"/>
  <c r="I922" i="18"/>
  <c r="I1252" i="18"/>
  <c r="I135" i="18"/>
  <c r="I862" i="18"/>
  <c r="I1272" i="18"/>
  <c r="I75" i="18"/>
  <c r="I312" i="18"/>
  <c r="I1277" i="18"/>
  <c r="I217" i="18"/>
  <c r="I211" i="18"/>
  <c r="I24" i="18"/>
  <c r="I162" i="18"/>
  <c r="I1170" i="18"/>
  <c r="I1155" i="18"/>
  <c r="I1189" i="18"/>
  <c r="I1003" i="18"/>
  <c r="I835" i="18"/>
  <c r="I1227" i="18"/>
  <c r="I995" i="18"/>
  <c r="I1040" i="18"/>
  <c r="I902" i="18"/>
  <c r="I849" i="18"/>
  <c r="I952" i="18"/>
  <c r="I1103" i="18"/>
  <c r="I970" i="18"/>
  <c r="I1018" i="18"/>
  <c r="I818" i="18"/>
  <c r="I1029" i="18"/>
  <c r="I482" i="18"/>
  <c r="I414" i="18"/>
  <c r="I303" i="18"/>
  <c r="I306" i="18"/>
  <c r="I239" i="18"/>
  <c r="I94" i="18"/>
  <c r="I178" i="18"/>
  <c r="I945" i="18"/>
  <c r="I662" i="18"/>
  <c r="I483" i="18"/>
  <c r="I406" i="18"/>
  <c r="I435" i="18"/>
  <c r="I269" i="18"/>
  <c r="I144" i="18"/>
  <c r="I989" i="18"/>
  <c r="I906" i="18"/>
  <c r="I729" i="18"/>
  <c r="I518" i="18"/>
  <c r="I445" i="18"/>
  <c r="I395" i="18"/>
  <c r="I141" i="18"/>
  <c r="I70" i="18"/>
  <c r="I913" i="18"/>
  <c r="I993" i="18"/>
  <c r="I510" i="18"/>
  <c r="I566" i="18"/>
  <c r="I259" i="18"/>
  <c r="I49" i="18"/>
  <c r="I73" i="18"/>
  <c r="I909" i="18"/>
  <c r="I973" i="18"/>
  <c r="I917" i="18"/>
  <c r="I427" i="18"/>
  <c r="I434" i="18"/>
  <c r="I78" i="18"/>
  <c r="I140" i="18"/>
  <c r="I1064" i="18"/>
  <c r="I779" i="18"/>
  <c r="I632" i="18"/>
  <c r="I603" i="18"/>
  <c r="I384" i="18"/>
  <c r="I1254" i="18"/>
  <c r="I223" i="18"/>
  <c r="I1025" i="18"/>
  <c r="I673" i="18"/>
  <c r="I647" i="18"/>
  <c r="I404" i="18"/>
  <c r="I322" i="18"/>
  <c r="I240" i="18"/>
  <c r="I1104" i="18"/>
  <c r="I730" i="18"/>
  <c r="I512" i="18"/>
  <c r="I596" i="18"/>
  <c r="I432" i="18"/>
  <c r="I366" i="18"/>
  <c r="I176" i="18"/>
  <c r="I77" i="18"/>
  <c r="I1236" i="18"/>
  <c r="I1090" i="18"/>
  <c r="I768" i="18"/>
  <c r="I715" i="18"/>
  <c r="I869" i="18"/>
  <c r="I762" i="18"/>
  <c r="I386" i="18"/>
  <c r="I254" i="18"/>
  <c r="I65" i="18"/>
  <c r="I892" i="18"/>
  <c r="I817" i="18"/>
  <c r="I640" i="18"/>
  <c r="I489" i="18"/>
  <c r="I553" i="18"/>
  <c r="I311" i="18"/>
  <c r="I181" i="18"/>
  <c r="I996" i="18"/>
  <c r="I720" i="18"/>
  <c r="I537" i="18"/>
  <c r="I370" i="18"/>
  <c r="I324" i="18"/>
  <c r="I155" i="18"/>
  <c r="I710" i="18"/>
  <c r="I1273" i="18"/>
  <c r="I184" i="18"/>
  <c r="I571" i="18"/>
  <c r="I102" i="18"/>
  <c r="I58" i="18"/>
  <c r="I739" i="18"/>
  <c r="I400" i="18"/>
  <c r="I34" i="18"/>
  <c r="I132" i="18"/>
  <c r="I21" i="18"/>
  <c r="I253" i="18"/>
  <c r="I1233" i="18"/>
  <c r="I1265" i="18"/>
  <c r="I1251" i="18"/>
  <c r="I1210" i="18"/>
  <c r="I1001" i="18"/>
  <c r="I1159" i="18"/>
  <c r="I1160" i="18"/>
  <c r="I1225" i="18"/>
  <c r="I1054" i="18"/>
  <c r="I856" i="18"/>
  <c r="I723" i="18"/>
  <c r="I1045" i="18"/>
  <c r="I1221" i="18"/>
  <c r="I1205" i="18"/>
  <c r="I981" i="18"/>
  <c r="I686" i="18"/>
  <c r="I795" i="18"/>
  <c r="I1203" i="18"/>
  <c r="I979" i="18"/>
  <c r="I1219" i="18"/>
  <c r="I681" i="18"/>
  <c r="I850" i="18"/>
  <c r="I578" i="18"/>
  <c r="I514" i="18"/>
  <c r="I461" i="18"/>
  <c r="I337" i="18"/>
  <c r="I112" i="18"/>
  <c r="I161" i="18"/>
  <c r="I1152" i="18"/>
  <c r="I805" i="18"/>
  <c r="I1017" i="18"/>
  <c r="I767" i="18"/>
  <c r="I356" i="18"/>
  <c r="I291" i="18"/>
  <c r="I294" i="18"/>
  <c r="I109" i="18"/>
  <c r="I975" i="18"/>
  <c r="I822" i="18"/>
  <c r="I523" i="18"/>
  <c r="I441" i="18"/>
  <c r="I493" i="18"/>
  <c r="I262" i="18"/>
  <c r="I214" i="18"/>
  <c r="I1135" i="18"/>
  <c r="I757" i="18"/>
  <c r="I808" i="18"/>
  <c r="I929" i="18"/>
  <c r="I439" i="18"/>
  <c r="I271" i="18"/>
  <c r="I81" i="18"/>
  <c r="I1108" i="18"/>
  <c r="I676" i="18"/>
  <c r="I781" i="18"/>
  <c r="I769" i="18"/>
  <c r="I666" i="18"/>
  <c r="I290" i="18"/>
  <c r="I151" i="18"/>
  <c r="I120" i="18"/>
  <c r="I937" i="18"/>
  <c r="I1125" i="18"/>
  <c r="I712" i="18"/>
  <c r="I532" i="18"/>
  <c r="I391" i="18"/>
  <c r="I247" i="18"/>
  <c r="I1249" i="18"/>
  <c r="I1051" i="18"/>
  <c r="I707" i="18"/>
  <c r="I614" i="18"/>
  <c r="I590" i="18"/>
  <c r="I389" i="18"/>
  <c r="I203" i="18"/>
  <c r="I920" i="18"/>
  <c r="I814" i="18"/>
  <c r="I619" i="18"/>
  <c r="I499" i="18"/>
  <c r="I363" i="18"/>
  <c r="I397" i="18"/>
  <c r="I270" i="18"/>
  <c r="I1248" i="18"/>
  <c r="I1267" i="18"/>
  <c r="I1200" i="18"/>
  <c r="I771" i="18"/>
  <c r="I765" i="18"/>
  <c r="I722" i="18"/>
  <c r="I618" i="18"/>
  <c r="I405" i="18"/>
  <c r="I100" i="18"/>
  <c r="I1250" i="18"/>
  <c r="I1083" i="18"/>
  <c r="I694" i="18"/>
  <c r="I760" i="18"/>
  <c r="I570" i="18"/>
  <c r="I424" i="18"/>
  <c r="I342" i="18"/>
  <c r="I130" i="18"/>
  <c r="I934" i="18"/>
  <c r="I1053" i="18"/>
  <c r="I495" i="18"/>
  <c r="I477" i="18"/>
  <c r="I331" i="18"/>
  <c r="I180" i="18"/>
  <c r="I651" i="18"/>
  <c r="I114" i="18"/>
  <c r="I106" i="18"/>
  <c r="I460" i="18"/>
  <c r="I113" i="18"/>
  <c r="I50" i="18"/>
  <c r="I453" i="18"/>
  <c r="I195" i="18"/>
  <c r="I1241" i="18"/>
  <c r="I86" i="18"/>
  <c r="I928" i="18"/>
  <c r="I201" i="18"/>
  <c r="I946" i="18"/>
  <c r="I576" i="18"/>
  <c r="I12" i="18"/>
  <c r="I1214" i="18"/>
  <c r="I1194" i="18"/>
  <c r="I1063" i="18"/>
  <c r="I1076" i="18"/>
  <c r="I924" i="18"/>
  <c r="I883" i="18"/>
  <c r="I1067" i="18"/>
  <c r="I1168" i="18"/>
  <c r="I986" i="18"/>
  <c r="I1028" i="18"/>
  <c r="I901" i="18"/>
  <c r="I792" i="18"/>
  <c r="I1000" i="18"/>
  <c r="I912" i="18"/>
  <c r="I1037" i="18"/>
  <c r="I709" i="18"/>
  <c r="I834" i="18"/>
  <c r="I965" i="18"/>
  <c r="I600" i="18"/>
  <c r="I317" i="18"/>
  <c r="I284" i="18"/>
  <c r="I209" i="18"/>
  <c r="I17" i="18"/>
  <c r="I1154" i="18"/>
  <c r="I660" i="18"/>
  <c r="I842" i="18"/>
  <c r="I557" i="18"/>
  <c r="I501" i="18"/>
  <c r="I449" i="18"/>
  <c r="I325" i="18"/>
  <c r="I197" i="18"/>
  <c r="I847" i="18"/>
  <c r="I882" i="18"/>
  <c r="I697" i="18"/>
  <c r="I507" i="18"/>
  <c r="I423" i="18"/>
  <c r="I282" i="18"/>
  <c r="I172" i="18"/>
  <c r="I1181" i="18"/>
  <c r="I836" i="18"/>
  <c r="I784" i="18"/>
  <c r="I777" i="18"/>
  <c r="I678" i="18"/>
  <c r="I302" i="18"/>
  <c r="I170" i="18"/>
  <c r="I1094" i="18"/>
  <c r="I807" i="18"/>
  <c r="I711" i="18"/>
  <c r="I572" i="18"/>
  <c r="I508" i="18"/>
  <c r="I309" i="18"/>
  <c r="I224" i="18"/>
  <c r="I147" i="18"/>
  <c r="I904" i="18"/>
  <c r="I939" i="18"/>
  <c r="I905" i="18"/>
  <c r="I418" i="18"/>
  <c r="I422" i="18"/>
  <c r="I56" i="18"/>
  <c r="I98" i="18"/>
  <c r="I889" i="18"/>
  <c r="I1101" i="18"/>
  <c r="I704" i="18"/>
  <c r="I440" i="18"/>
  <c r="I379" i="18"/>
  <c r="I235" i="18"/>
  <c r="I1004" i="18"/>
  <c r="I921" i="18"/>
  <c r="I639" i="18"/>
  <c r="I358" i="18"/>
  <c r="I310" i="18"/>
  <c r="I344" i="18"/>
  <c r="I83" i="18"/>
  <c r="I40" i="18"/>
  <c r="I242" i="18"/>
  <c r="I1056" i="18"/>
  <c r="I731" i="18"/>
  <c r="I656" i="18"/>
  <c r="I685" i="18"/>
  <c r="I466" i="18"/>
  <c r="I264" i="18"/>
  <c r="I167" i="18"/>
  <c r="I219" i="18"/>
  <c r="I949" i="18"/>
  <c r="I785" i="18"/>
  <c r="I559" i="18"/>
  <c r="I478" i="18"/>
  <c r="I339" i="18"/>
  <c r="I373" i="18"/>
  <c r="I1238" i="18"/>
  <c r="I839" i="18"/>
  <c r="I682" i="18"/>
  <c r="I845" i="18"/>
  <c r="I738" i="18"/>
  <c r="I362" i="18"/>
  <c r="I230" i="18"/>
  <c r="I471" i="18"/>
  <c r="I35" i="18"/>
  <c r="I89" i="18"/>
  <c r="I459" i="18"/>
  <c r="I744" i="18"/>
  <c r="I1240" i="18"/>
  <c r="I250" i="18"/>
  <c r="I1036" i="18"/>
  <c r="I26" i="18"/>
  <c r="I95" i="18"/>
  <c r="I125" i="18"/>
  <c r="I39" i="18"/>
  <c r="I693" i="18"/>
  <c r="I980" i="18"/>
  <c r="I9" i="18"/>
  <c r="I1190" i="18"/>
  <c r="I1217" i="18"/>
  <c r="I1132" i="18"/>
  <c r="I1164" i="18"/>
  <c r="I879" i="18"/>
  <c r="I669" i="18"/>
  <c r="I745" i="18"/>
  <c r="I1022" i="18"/>
  <c r="I855" i="18"/>
  <c r="I843" i="18"/>
  <c r="I914" i="18"/>
  <c r="I692" i="18"/>
  <c r="I821" i="18"/>
  <c r="I455" i="18"/>
  <c r="I300" i="18"/>
  <c r="I91" i="18"/>
  <c r="I241" i="18"/>
  <c r="I19" i="18"/>
  <c r="I1016" i="18"/>
  <c r="I700" i="18"/>
  <c r="I813" i="18"/>
  <c r="I953" i="18"/>
  <c r="I587" i="18"/>
  <c r="I305" i="18"/>
  <c r="I272" i="18"/>
  <c r="I1242" i="18"/>
  <c r="I890" i="18"/>
  <c r="I751" i="18"/>
  <c r="I606" i="18"/>
  <c r="I470" i="18"/>
  <c r="I279" i="18"/>
  <c r="I268" i="18"/>
  <c r="I216" i="18"/>
  <c r="I1075" i="18"/>
  <c r="I820" i="18"/>
  <c r="I719" i="18"/>
  <c r="I593" i="18"/>
  <c r="I521" i="18"/>
  <c r="I321" i="18"/>
  <c r="I237" i="18"/>
  <c r="I936" i="18"/>
  <c r="I846" i="18"/>
  <c r="I540" i="18"/>
  <c r="I530" i="18"/>
  <c r="I560" i="18"/>
  <c r="I340" i="18"/>
  <c r="I54" i="18"/>
  <c r="I1111" i="18"/>
  <c r="I823" i="18"/>
  <c r="I778" i="18"/>
  <c r="I756" i="18"/>
  <c r="I654" i="18"/>
  <c r="I278" i="18"/>
  <c r="I148" i="18"/>
  <c r="I117" i="18"/>
  <c r="I824" i="18"/>
  <c r="I931" i="18"/>
  <c r="I609" i="18"/>
  <c r="I786" i="18"/>
  <c r="I410" i="18"/>
  <c r="I20" i="18"/>
  <c r="I1043" i="18"/>
  <c r="I803" i="18"/>
  <c r="I605" i="18"/>
  <c r="I569" i="18"/>
  <c r="I377" i="18"/>
  <c r="I208" i="18"/>
  <c r="I199" i="18"/>
  <c r="I1276" i="18"/>
  <c r="I160" i="18"/>
  <c r="I950" i="18"/>
  <c r="I791" i="18"/>
  <c r="I634" i="18"/>
  <c r="I594" i="18"/>
  <c r="I513" i="18"/>
  <c r="I292" i="18"/>
  <c r="I25" i="18"/>
  <c r="I231" i="18"/>
  <c r="I983" i="18"/>
  <c r="I887" i="18"/>
  <c r="I595" i="18"/>
  <c r="I488" i="18"/>
  <c r="I286" i="18"/>
  <c r="I320" i="18"/>
  <c r="I967" i="18"/>
  <c r="I736" i="18"/>
  <c r="I728" i="18"/>
  <c r="I688" i="18"/>
  <c r="I597" i="18"/>
  <c r="I381" i="18"/>
  <c r="I61" i="18"/>
  <c r="I287" i="18"/>
  <c r="I1110" i="18"/>
  <c r="I1243" i="18"/>
  <c r="I179" i="18"/>
  <c r="I623" i="18"/>
  <c r="I1259" i="18"/>
  <c r="I133" i="18"/>
  <c r="I916" i="18"/>
  <c r="I1270" i="18"/>
  <c r="I63" i="18"/>
  <c r="I431" i="18"/>
  <c r="I186" i="18"/>
  <c r="I458" i="18"/>
  <c r="I1041" i="18"/>
  <c r="I1260" i="18"/>
  <c r="I1353" i="18"/>
  <c r="I1300" i="18"/>
  <c r="I1333" i="18"/>
  <c r="I1299" i="18"/>
  <c r="I1354" i="18"/>
  <c r="I1302" i="18"/>
  <c r="I1100" i="18"/>
  <c r="I1207" i="18"/>
  <c r="I1167" i="18"/>
  <c r="I1143" i="18"/>
  <c r="I1136" i="18"/>
  <c r="I1033" i="18"/>
  <c r="I1008" i="18"/>
  <c r="I1153" i="18"/>
  <c r="I1050" i="18"/>
  <c r="I1118" i="18"/>
  <c r="I1192" i="18"/>
  <c r="I1031" i="18"/>
  <c r="I1062" i="18"/>
  <c r="I1180" i="18"/>
  <c r="I1013" i="18"/>
  <c r="I1145" i="18"/>
  <c r="I1202" i="18"/>
  <c r="I1046" i="18"/>
  <c r="I717" i="18"/>
  <c r="I1197" i="18"/>
  <c r="I1193" i="18"/>
  <c r="I978" i="18"/>
  <c r="I1023" i="18"/>
  <c r="I648" i="18"/>
  <c r="I612" i="18"/>
  <c r="I667" i="18"/>
  <c r="I714" i="18"/>
  <c r="I307" i="18"/>
  <c r="I110" i="18"/>
  <c r="I30" i="18"/>
  <c r="I33" i="18"/>
  <c r="I964" i="18"/>
  <c r="I880" i="18"/>
  <c r="I753" i="18"/>
  <c r="I809" i="18"/>
  <c r="I452" i="18"/>
  <c r="I288" i="18"/>
  <c r="I88" i="18"/>
  <c r="I168" i="18"/>
  <c r="I871" i="18"/>
  <c r="I819" i="18"/>
  <c r="I652" i="18"/>
  <c r="I638" i="18"/>
  <c r="I293" i="18"/>
  <c r="I85" i="18"/>
  <c r="I260" i="18"/>
  <c r="I942" i="18"/>
  <c r="I859" i="18"/>
  <c r="I561" i="18"/>
  <c r="I551" i="18"/>
  <c r="I568" i="18"/>
  <c r="I352" i="18"/>
  <c r="I138" i="18"/>
  <c r="I927" i="18"/>
  <c r="I872" i="18"/>
  <c r="I708" i="18"/>
  <c r="I484" i="18"/>
  <c r="I613" i="18"/>
  <c r="I371" i="18"/>
  <c r="I96" i="18"/>
  <c r="I1035" i="18"/>
  <c r="I799" i="18"/>
  <c r="I698" i="18"/>
  <c r="I546" i="18"/>
  <c r="I500" i="18"/>
  <c r="I297" i="18"/>
  <c r="I212" i="18"/>
  <c r="I1014" i="18"/>
  <c r="I810" i="18"/>
  <c r="I733" i="18"/>
  <c r="I743" i="18"/>
  <c r="I642" i="18"/>
  <c r="I257" i="18"/>
  <c r="I145" i="18"/>
  <c r="I877" i="18"/>
  <c r="I1089" i="18"/>
  <c r="I691" i="18"/>
  <c r="I485" i="18"/>
  <c r="I360" i="18"/>
  <c r="I222" i="18"/>
  <c r="I255" i="18"/>
  <c r="I1275" i="18"/>
  <c r="I246" i="18"/>
  <c r="I1078" i="18"/>
  <c r="I830" i="18"/>
  <c r="I653" i="18"/>
  <c r="I426" i="18"/>
  <c r="I565" i="18"/>
  <c r="I354" i="18"/>
  <c r="I163" i="18"/>
  <c r="I66" i="18"/>
  <c r="I1009" i="18"/>
  <c r="I758" i="18"/>
  <c r="I558" i="18"/>
  <c r="I548" i="18"/>
  <c r="I353" i="18"/>
  <c r="I139" i="18"/>
  <c r="I1092" i="18"/>
  <c r="I675" i="18"/>
  <c r="I631" i="18"/>
  <c r="I659" i="18"/>
  <c r="I382" i="18"/>
  <c r="I412" i="18"/>
  <c r="I122" i="18"/>
  <c r="I90" i="18"/>
  <c r="I727" i="18"/>
  <c r="I1269" i="18"/>
  <c r="I267" i="18"/>
  <c r="I549" i="18"/>
  <c r="I1266" i="18"/>
  <c r="I1235" i="18"/>
  <c r="I655" i="18"/>
  <c r="I256" i="18"/>
  <c r="I22" i="18"/>
  <c r="I31" i="18"/>
  <c r="I1274" i="18"/>
  <c r="I350" i="18"/>
  <c r="I977" i="18"/>
  <c r="I863" i="18"/>
  <c r="I829" i="18"/>
  <c r="I536" i="18"/>
  <c r="I480" i="18"/>
  <c r="I437" i="18"/>
  <c r="I313" i="18"/>
  <c r="I67" i="18"/>
  <c r="I137" i="18"/>
  <c r="I865" i="18"/>
  <c r="I811" i="18"/>
  <c r="I585" i="18"/>
  <c r="I494" i="18"/>
  <c r="I481" i="18"/>
  <c r="I383" i="18"/>
  <c r="I68" i="18"/>
  <c r="I1151" i="18"/>
  <c r="I828" i="18"/>
  <c r="I787" i="18"/>
  <c r="I621" i="18"/>
  <c r="I446" i="18"/>
  <c r="I413" i="18"/>
  <c r="I289" i="18"/>
  <c r="I32" i="18"/>
  <c r="I1138" i="18"/>
  <c r="I815" i="18"/>
  <c r="I754" i="18"/>
  <c r="I617" i="18"/>
  <c r="I443" i="18"/>
  <c r="I401" i="18"/>
  <c r="I277" i="18"/>
  <c r="I1244" i="18"/>
  <c r="I898" i="18"/>
  <c r="I783" i="18"/>
  <c r="I775" i="18"/>
  <c r="I893" i="18"/>
  <c r="I524" i="18"/>
  <c r="I372" i="18"/>
  <c r="I220" i="18"/>
  <c r="I1091" i="18"/>
  <c r="I804" i="18"/>
  <c r="I664" i="18"/>
  <c r="I735" i="18"/>
  <c r="I774" i="18"/>
  <c r="I367" i="18"/>
  <c r="I191" i="18"/>
  <c r="I153" i="18"/>
  <c r="I14" i="18"/>
  <c r="I28" i="18"/>
  <c r="I1271" i="18"/>
  <c r="I837" i="18"/>
  <c r="I790" i="18"/>
  <c r="I629" i="18"/>
  <c r="I486" i="18"/>
  <c r="I428" i="18"/>
  <c r="I323" i="18"/>
  <c r="I232" i="18"/>
  <c r="I1261" i="18"/>
  <c r="I1057" i="18"/>
  <c r="I780" i="18"/>
  <c r="I643" i="18"/>
  <c r="I701" i="18"/>
  <c r="I750" i="18"/>
  <c r="I343" i="18"/>
  <c r="I158" i="18"/>
  <c r="I990" i="18"/>
  <c r="I741" i="18"/>
  <c r="I876" i="18"/>
  <c r="I649" i="18"/>
  <c r="I535" i="18"/>
  <c r="I274" i="18"/>
  <c r="I361" i="18"/>
  <c r="I157" i="18"/>
  <c r="I1247" i="18"/>
  <c r="I627" i="18"/>
  <c r="I52" i="18"/>
  <c r="I349" i="18"/>
  <c r="I1058" i="18"/>
  <c r="I29" i="18"/>
  <c r="I699" i="18"/>
  <c r="I38" i="18"/>
  <c r="I221" i="18"/>
  <c r="I776" i="18"/>
  <c r="I57" i="18"/>
  <c r="I923" i="18"/>
  <c r="I36" i="18"/>
  <c r="I599" i="18"/>
  <c r="I166" i="18"/>
  <c r="I149" i="18"/>
  <c r="I1384" i="18"/>
  <c r="I1364" i="18"/>
  <c r="I1394" i="18"/>
  <c r="I1382" i="18"/>
  <c r="I1370" i="18"/>
  <c r="I1402" i="18"/>
  <c r="I1386" i="18"/>
  <c r="I1368" i="18"/>
  <c r="I1392" i="18"/>
  <c r="I1374" i="18"/>
  <c r="I1405" i="18"/>
  <c r="I1407" i="18"/>
  <c r="I1409" i="18"/>
  <c r="I1411" i="18"/>
  <c r="I1413" i="18"/>
  <c r="I1415" i="18"/>
  <c r="I1417" i="18"/>
  <c r="I1419" i="18"/>
  <c r="I1421" i="18"/>
  <c r="I1423" i="18"/>
  <c r="I1425" i="18"/>
  <c r="I1427" i="18"/>
  <c r="I1429" i="18"/>
  <c r="I1431" i="18"/>
  <c r="I1433" i="18"/>
  <c r="I1435" i="18"/>
  <c r="I1437" i="18"/>
  <c r="I1439" i="18"/>
  <c r="I1441" i="18"/>
  <c r="I1443" i="18"/>
  <c r="I1445" i="18"/>
  <c r="I1447" i="18"/>
  <c r="I1449" i="18"/>
  <c r="I1451" i="18"/>
  <c r="I1453" i="18"/>
  <c r="I1455" i="18"/>
  <c r="I1457" i="18"/>
  <c r="I1459" i="18"/>
  <c r="I1461" i="18"/>
  <c r="I1463" i="18"/>
  <c r="I1465" i="18"/>
  <c r="I1467" i="18"/>
  <c r="I1469" i="18"/>
  <c r="I1471" i="18"/>
  <c r="I1473" i="18"/>
  <c r="I1475" i="18"/>
  <c r="I1477" i="18"/>
  <c r="I1479" i="18"/>
  <c r="I1481" i="18"/>
  <c r="I1483" i="18"/>
  <c r="I1485" i="18"/>
  <c r="I1487" i="18"/>
  <c r="I1400" i="18"/>
  <c r="I1380" i="18"/>
  <c r="I1397" i="18"/>
  <c r="I1391" i="18"/>
  <c r="I1389" i="18"/>
  <c r="I1387" i="18"/>
  <c r="I1385" i="18"/>
  <c r="I1383" i="18"/>
  <c r="I1381" i="18"/>
  <c r="I1379" i="18"/>
  <c r="I1377" i="18"/>
  <c r="I1375" i="18"/>
  <c r="I1373" i="18"/>
  <c r="I1371" i="18"/>
  <c r="I1369" i="18"/>
  <c r="I1367" i="18"/>
  <c r="I1365" i="18"/>
  <c r="I1398" i="18"/>
  <c r="I1378" i="18"/>
  <c r="I1395" i="18"/>
  <c r="I1388" i="18"/>
  <c r="I1366" i="18"/>
  <c r="I1399" i="18"/>
  <c r="I1390" i="18"/>
  <c r="I1372" i="18"/>
  <c r="I1401" i="18"/>
  <c r="I1396" i="18"/>
  <c r="I1376" i="18"/>
  <c r="I1403" i="18"/>
  <c r="I1393" i="18"/>
  <c r="I1404" i="18"/>
  <c r="I1406" i="18"/>
  <c r="I1408" i="18"/>
  <c r="I1410" i="18"/>
  <c r="I1412" i="18"/>
  <c r="I1414" i="18"/>
  <c r="I1416" i="18"/>
  <c r="I1418" i="18"/>
  <c r="I1420" i="18"/>
  <c r="I1422" i="18"/>
  <c r="I1424" i="18"/>
  <c r="I1426" i="18"/>
  <c r="I1428" i="18"/>
  <c r="I1430" i="18"/>
  <c r="I1432" i="18"/>
  <c r="I1434" i="18"/>
  <c r="I1436" i="18"/>
  <c r="I1438" i="18"/>
  <c r="I1440" i="18"/>
  <c r="I1442" i="18"/>
  <c r="I1444" i="18"/>
  <c r="I1446" i="18"/>
  <c r="I1448" i="18"/>
  <c r="I1450" i="18"/>
  <c r="I1452" i="18"/>
  <c r="I1454" i="18"/>
  <c r="I1456" i="18"/>
  <c r="I1458" i="18"/>
  <c r="I1460" i="18"/>
  <c r="I1462" i="18"/>
  <c r="I1464" i="18"/>
  <c r="I1466" i="18"/>
  <c r="I1468" i="18"/>
  <c r="I1470" i="18"/>
  <c r="I1472" i="18"/>
  <c r="I1474" i="18"/>
  <c r="I1476" i="18"/>
  <c r="I1478" i="18"/>
  <c r="I1480" i="18"/>
  <c r="I1482" i="18"/>
  <c r="I1484" i="18"/>
  <c r="I1486" i="18"/>
  <c r="I1488" i="18"/>
  <c r="I1490" i="18"/>
  <c r="I1500" i="18"/>
  <c r="I1497" i="18"/>
  <c r="I1503" i="18"/>
  <c r="I1509" i="18"/>
  <c r="I1517" i="18"/>
  <c r="I1523" i="18"/>
  <c r="I1531" i="18"/>
  <c r="I1537" i="18"/>
  <c r="I1543" i="18"/>
  <c r="I1547" i="18"/>
  <c r="I1506" i="18"/>
  <c r="I1541" i="18"/>
  <c r="I1551" i="18"/>
  <c r="I1553" i="18"/>
  <c r="I1491" i="18"/>
  <c r="I1495" i="18"/>
  <c r="I1501" i="18"/>
  <c r="I1507" i="18"/>
  <c r="I1513" i="18"/>
  <c r="I1519" i="18"/>
  <c r="I1527" i="18"/>
  <c r="I1535" i="18"/>
  <c r="I1494" i="18"/>
  <c r="I1498" i="18"/>
  <c r="I1489" i="18"/>
  <c r="I1493" i="18"/>
  <c r="I1499" i="18"/>
  <c r="I1505" i="18"/>
  <c r="I1511" i="18"/>
  <c r="I1515" i="18"/>
  <c r="I1521" i="18"/>
  <c r="I1525" i="18"/>
  <c r="I1529" i="18"/>
  <c r="I1533" i="18"/>
  <c r="I1539" i="18"/>
  <c r="I1545" i="18"/>
  <c r="I1549" i="18"/>
  <c r="I1496" i="18"/>
  <c r="I1502" i="18"/>
  <c r="I1508" i="18"/>
  <c r="I1510" i="18"/>
  <c r="I1512" i="18"/>
  <c r="I1514" i="18"/>
  <c r="I1516" i="18"/>
  <c r="I1518" i="18"/>
  <c r="I1520" i="18"/>
  <c r="I1522" i="18"/>
  <c r="I1524" i="18"/>
  <c r="I1526" i="18"/>
  <c r="I1528" i="18"/>
  <c r="I1530" i="18"/>
  <c r="I1532" i="18"/>
  <c r="I1534" i="18"/>
  <c r="I1536" i="18"/>
  <c r="I1538" i="18"/>
  <c r="I1540" i="18"/>
  <c r="I1542" i="18"/>
  <c r="I1544" i="18"/>
  <c r="I1546" i="18"/>
  <c r="I1548" i="18"/>
  <c r="I1550" i="18"/>
  <c r="I1552" i="18"/>
  <c r="I1492" i="18"/>
  <c r="I1504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tc={C1B6AFA9-B178-4580-AE1A-13438F43780A}</author>
    <author>tc={CAD0F3CE-ABB5-40C7-BB88-292473E90532}</author>
    <author>USER</author>
  </authors>
  <commentList>
    <comment ref="K22" authorId="0" shapeId="0" xr:uid="{C1B6AFA9-B178-4580-AE1A-13438F4378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POR-1038</t>
      </text>
    </comment>
    <comment ref="K25" authorId="1" shapeId="0" xr:uid="{CAD0F3CE-ABB5-40C7-BB88-292473E90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POR-1038</t>
      </text>
    </comment>
    <comment ref="M37" authorId="2" shapeId="0" xr:uid="{74E9926B-5F25-444C-8940-DEAEFD31518D}">
      <text>
        <r>
          <rPr>
            <b/>
            <sz val="9"/>
            <color indexed="81"/>
            <rFont val="Tahoma"/>
            <family val="2"/>
          </rPr>
          <t>128ea return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<sst xmlns="http://schemas.openxmlformats.org/spreadsheetml/2006/main" count="12247" uniqueCount="1067">
  <si>
    <t>EA</t>
  </si>
  <si>
    <t>Conduit</t>
  </si>
  <si>
    <t>M</t>
  </si>
  <si>
    <t>Q'TY</t>
  </si>
  <si>
    <t>No</t>
  </si>
  <si>
    <t>Material No.</t>
  </si>
  <si>
    <t>Items / Services</t>
  </si>
  <si>
    <t>Applicable
Code &amp; Standards</t>
  </si>
  <si>
    <t>Size</t>
  </si>
  <si>
    <t>Unit</t>
  </si>
  <si>
    <t>Remarks</t>
    <phoneticPr fontId="2" type="noConversion"/>
  </si>
  <si>
    <t>Angle</t>
  </si>
  <si>
    <t>75x75x5</t>
  </si>
  <si>
    <t>4"</t>
  </si>
  <si>
    <t>3"</t>
  </si>
  <si>
    <t>6"</t>
  </si>
  <si>
    <t>Angle 75x75x5</t>
  </si>
  <si>
    <t>Date</t>
    <phoneticPr fontId="2" type="noConversion"/>
  </si>
  <si>
    <t>2"</t>
  </si>
  <si>
    <t>【Project : El-Dabaa Nuclear Power Plant (ENPP) #1 to 4】</t>
  </si>
  <si>
    <t>Nicoband</t>
  </si>
  <si>
    <t>Cadweld Powder</t>
  </si>
  <si>
    <t>Zinc Spray</t>
  </si>
  <si>
    <t xml:space="preserve">Ground Cable </t>
  </si>
  <si>
    <t>78SQ</t>
  </si>
  <si>
    <t>Parallel (=)</t>
  </si>
  <si>
    <t xml:space="preserve">Conduit (Galvanized) </t>
  </si>
  <si>
    <t>Conduit Coupling</t>
  </si>
  <si>
    <t>Ground Cable  78SQ</t>
  </si>
  <si>
    <t xml:space="preserve">Zinc Spray </t>
  </si>
  <si>
    <t xml:space="preserve">Nicoband </t>
  </si>
  <si>
    <t>Sup't</t>
  </si>
  <si>
    <t>Ground</t>
  </si>
  <si>
    <t>Miscellious</t>
  </si>
  <si>
    <t>Conduit Fitting</t>
  </si>
  <si>
    <t>Sortation</t>
    <phoneticPr fontId="2" type="noConversion"/>
  </si>
  <si>
    <t>Angle 70x70x7</t>
  </si>
  <si>
    <t>from Doosan to Daesun</t>
  </si>
  <si>
    <t xml:space="preserve"> </t>
  </si>
  <si>
    <t>【Project : El-Dabaa Nuclear Power Plant (ENPP) #1 to 4】</t>
    <phoneticPr fontId="2" type="noConversion"/>
  </si>
  <si>
    <t>Scrap</t>
    <phoneticPr fontId="2" type="noConversion"/>
  </si>
  <si>
    <t>Fabrication</t>
  </si>
  <si>
    <t>Code</t>
    <phoneticPr fontId="2" type="noConversion"/>
  </si>
  <si>
    <t>No</t>
    <phoneticPr fontId="2" type="noConversion"/>
  </si>
  <si>
    <t>Material No.</t>
    <phoneticPr fontId="2" type="noConversion"/>
  </si>
  <si>
    <t>Items / Services</t>
    <phoneticPr fontId="2" type="noConversion"/>
  </si>
  <si>
    <t>Size</t>
    <phoneticPr fontId="2" type="noConversion"/>
  </si>
  <si>
    <t>Unit</t>
    <phoneticPr fontId="2" type="noConversion"/>
  </si>
  <si>
    <t>발주</t>
    <phoneticPr fontId="2" type="noConversion"/>
  </si>
  <si>
    <t>미입고</t>
    <phoneticPr fontId="2" type="noConversion"/>
  </si>
  <si>
    <t>입고</t>
    <phoneticPr fontId="2" type="noConversion"/>
  </si>
  <si>
    <t>제작</t>
    <phoneticPr fontId="2" type="noConversion"/>
  </si>
  <si>
    <t>재고</t>
    <phoneticPr fontId="2" type="noConversion"/>
  </si>
  <si>
    <t>Description</t>
    <phoneticPr fontId="2" type="noConversion"/>
  </si>
  <si>
    <t>CCGG</t>
    <phoneticPr fontId="2" type="noConversion"/>
  </si>
  <si>
    <t>CG001</t>
    <phoneticPr fontId="2" type="noConversion"/>
  </si>
  <si>
    <t>Steel round bar(rebar)</t>
    <phoneticPr fontId="2" type="noConversion"/>
  </si>
  <si>
    <t>1 ton=1620.7</t>
    <phoneticPr fontId="2" type="noConversion"/>
  </si>
  <si>
    <t>Steel round bar(rebar)</t>
  </si>
  <si>
    <t>ф10</t>
  </si>
  <si>
    <t>O</t>
    <phoneticPr fontId="2" type="noConversion"/>
  </si>
  <si>
    <t>CG002</t>
  </si>
  <si>
    <t>Angle 100x100x10</t>
    <phoneticPr fontId="2" type="noConversion"/>
  </si>
  <si>
    <t>100x100x10 (12m)</t>
    <phoneticPr fontId="2" type="noConversion"/>
  </si>
  <si>
    <t>Angle</t>
    <phoneticPr fontId="2" type="noConversion"/>
  </si>
  <si>
    <t>100x100x10 (12m)</t>
  </si>
  <si>
    <t>B</t>
    <phoneticPr fontId="2" type="noConversion"/>
  </si>
  <si>
    <t>Grounding</t>
    <phoneticPr fontId="2" type="noConversion"/>
  </si>
  <si>
    <t>GR001</t>
    <phoneticPr fontId="2" type="noConversion"/>
  </si>
  <si>
    <t>Ground Cable</t>
    <phoneticPr fontId="2" type="noConversion"/>
  </si>
  <si>
    <t>GR002</t>
  </si>
  <si>
    <t>Ground Cable  70SQ</t>
    <phoneticPr fontId="2" type="noConversion"/>
  </si>
  <si>
    <t>70SQ</t>
    <phoneticPr fontId="2" type="noConversion"/>
  </si>
  <si>
    <t>70SQ</t>
  </si>
  <si>
    <t>GR003</t>
  </si>
  <si>
    <t>Ground Fitting</t>
    <phoneticPr fontId="2" type="noConversion"/>
  </si>
  <si>
    <r>
      <t>Ground TERMINAL LUG 70mm</t>
    </r>
    <r>
      <rPr>
        <vertAlign val="superscript"/>
        <sz val="10"/>
        <rFont val="Calibri"/>
        <family val="3"/>
        <charset val="129"/>
        <scheme val="minor"/>
      </rPr>
      <t>2</t>
    </r>
    <phoneticPr fontId="2" type="noConversion"/>
  </si>
  <si>
    <t>Terminal Lug</t>
    <phoneticPr fontId="2" type="noConversion"/>
  </si>
  <si>
    <t>70mm2</t>
    <phoneticPr fontId="2" type="noConversion"/>
  </si>
  <si>
    <t>Ground TERMINAL LUG</t>
    <phoneticPr fontId="2" type="noConversion"/>
  </si>
  <si>
    <t>70mm2</t>
  </si>
  <si>
    <t>GR004</t>
  </si>
  <si>
    <t>Cadweld Powder #90</t>
    <phoneticPr fontId="2" type="noConversion"/>
  </si>
  <si>
    <t>#90</t>
    <phoneticPr fontId="2" type="noConversion"/>
  </si>
  <si>
    <t>Cadweld Powder</t>
    <phoneticPr fontId="2" type="noConversion"/>
  </si>
  <si>
    <t>#90</t>
  </si>
  <si>
    <t>GR005</t>
  </si>
  <si>
    <t>Cadweld Powder #115</t>
    <phoneticPr fontId="2" type="noConversion"/>
  </si>
  <si>
    <t>#115</t>
    <phoneticPr fontId="2" type="noConversion"/>
  </si>
  <si>
    <t>#115</t>
  </si>
  <si>
    <t>GR006</t>
  </si>
  <si>
    <t>Cadweld Powder #150</t>
    <phoneticPr fontId="2" type="noConversion"/>
  </si>
  <si>
    <t>#150</t>
    <phoneticPr fontId="2" type="noConversion"/>
  </si>
  <si>
    <t>#150</t>
  </si>
  <si>
    <t>GR007</t>
  </si>
  <si>
    <t>Cadweld Powder #200</t>
    <phoneticPr fontId="2" type="noConversion"/>
  </si>
  <si>
    <t>#200</t>
    <phoneticPr fontId="2" type="noConversion"/>
  </si>
  <si>
    <t>#200</t>
  </si>
  <si>
    <t>GR008</t>
  </si>
  <si>
    <t>Cadweld XBQ-Y4Y4</t>
    <phoneticPr fontId="2" type="noConversion"/>
  </si>
  <si>
    <t>Welding Mold</t>
    <phoneticPr fontId="2" type="noConversion"/>
  </si>
  <si>
    <t>Cross (+)</t>
    <phoneticPr fontId="2" type="noConversion"/>
  </si>
  <si>
    <t>Cadweld Mold</t>
    <phoneticPr fontId="2" type="noConversion"/>
  </si>
  <si>
    <t>Cross (+)</t>
  </si>
  <si>
    <t>GR009</t>
  </si>
  <si>
    <t>Cadweld PGC-Y4Y4</t>
    <phoneticPr fontId="2" type="noConversion"/>
  </si>
  <si>
    <t>GR010</t>
  </si>
  <si>
    <t>Cadweld TAC-Y4Y4</t>
    <phoneticPr fontId="2" type="noConversion"/>
  </si>
  <si>
    <t>Cross (T)</t>
  </si>
  <si>
    <t>GR011</t>
  </si>
  <si>
    <t>GR012</t>
  </si>
  <si>
    <t>GR013</t>
  </si>
  <si>
    <t>Ground Conduit</t>
  </si>
  <si>
    <t>Flexible Conduit</t>
    <phoneticPr fontId="2" type="noConversion"/>
  </si>
  <si>
    <t>2", 50mm</t>
    <phoneticPr fontId="2" type="noConversion"/>
  </si>
  <si>
    <t>GR014</t>
  </si>
  <si>
    <t>PVC PIPE</t>
  </si>
  <si>
    <r>
      <rPr>
        <sz val="10"/>
        <rFont val="Aptos Narrow"/>
        <family val="2"/>
      </rPr>
      <t>ф</t>
    </r>
    <r>
      <rPr>
        <sz val="10"/>
        <rFont val="Calibri"/>
        <family val="3"/>
        <charset val="129"/>
      </rPr>
      <t>20</t>
    </r>
  </si>
  <si>
    <t>ф20</t>
  </si>
  <si>
    <t>GR015</t>
  </si>
  <si>
    <t>nVent Exothemic Welding Control Unit</t>
    <phoneticPr fontId="2" type="noConversion"/>
  </si>
  <si>
    <t>CAD WELD GUN</t>
    <phoneticPr fontId="2" type="noConversion"/>
  </si>
  <si>
    <t>Welding Control Unit</t>
    <phoneticPr fontId="2" type="noConversion"/>
  </si>
  <si>
    <t>C</t>
    <phoneticPr fontId="2" type="noConversion"/>
  </si>
  <si>
    <t>Conduit</t>
    <phoneticPr fontId="2" type="noConversion"/>
  </si>
  <si>
    <t>CO001</t>
    <phoneticPr fontId="2" type="noConversion"/>
  </si>
  <si>
    <t>Conduit (Galvanized)</t>
    <phoneticPr fontId="2" type="noConversion"/>
  </si>
  <si>
    <t>4.5"</t>
  </si>
  <si>
    <t>CO002</t>
  </si>
  <si>
    <t xml:space="preserve">Conduit (Galvanized) </t>
    <phoneticPr fontId="2" type="noConversion"/>
  </si>
  <si>
    <t>ULD 및 UGD 필요수량 포함</t>
    <phoneticPr fontId="2" type="noConversion"/>
  </si>
  <si>
    <t>CO003</t>
  </si>
  <si>
    <t>Conduit 159x4.5</t>
    <phoneticPr fontId="2" type="noConversion"/>
  </si>
  <si>
    <t>159x6.0</t>
    <phoneticPr fontId="2" type="noConversion"/>
  </si>
  <si>
    <t>holding</t>
    <phoneticPr fontId="2" type="noConversion"/>
  </si>
  <si>
    <t>CO004</t>
  </si>
  <si>
    <t>159x4.5</t>
    <phoneticPr fontId="2" type="noConversion"/>
  </si>
  <si>
    <t>CO005</t>
  </si>
  <si>
    <t>Conduit 108x5</t>
    <phoneticPr fontId="2" type="noConversion"/>
  </si>
  <si>
    <t>108x5</t>
    <phoneticPr fontId="2" type="noConversion"/>
  </si>
  <si>
    <t>CO007</t>
  </si>
  <si>
    <t>Conduit 108x4.0</t>
    <phoneticPr fontId="2" type="noConversion"/>
  </si>
  <si>
    <t>108x4</t>
    <phoneticPr fontId="2" type="noConversion"/>
  </si>
  <si>
    <t>CO008</t>
  </si>
  <si>
    <t>CO009</t>
  </si>
  <si>
    <t>Conduit Coupling 168x4</t>
    <phoneticPr fontId="2" type="noConversion"/>
  </si>
  <si>
    <t>168x4</t>
    <phoneticPr fontId="2" type="noConversion"/>
  </si>
  <si>
    <t>M</t>
    <phoneticPr fontId="2" type="noConversion"/>
  </si>
  <si>
    <t>Coupling</t>
    <phoneticPr fontId="2" type="noConversion"/>
  </si>
  <si>
    <t>CO010</t>
  </si>
  <si>
    <t>EA</t>
    <phoneticPr fontId="2" type="noConversion"/>
  </si>
  <si>
    <t>CO011</t>
  </si>
  <si>
    <t>Conduit Coupling 125-Ts</t>
    <phoneticPr fontId="2" type="noConversion"/>
  </si>
  <si>
    <t>CO012</t>
  </si>
  <si>
    <t>Conduit Coupling 121x5</t>
    <phoneticPr fontId="2" type="noConversion"/>
  </si>
  <si>
    <t>121x5</t>
    <phoneticPr fontId="2" type="noConversion"/>
  </si>
  <si>
    <t>CO013</t>
  </si>
  <si>
    <t>CO014</t>
  </si>
  <si>
    <t>Conduit Coupling 100-Ts</t>
    <phoneticPr fontId="2" type="noConversion"/>
  </si>
  <si>
    <t>100-Ts</t>
    <phoneticPr fontId="2" type="noConversion"/>
  </si>
  <si>
    <t>CO015</t>
  </si>
  <si>
    <t>80-Ts</t>
    <phoneticPr fontId="2" type="noConversion"/>
  </si>
  <si>
    <t>CO016</t>
  </si>
  <si>
    <t>Angle 50x50x5</t>
    <phoneticPr fontId="2" type="noConversion"/>
  </si>
  <si>
    <t>50*50*5</t>
  </si>
  <si>
    <t>CO017</t>
  </si>
  <si>
    <t>70*70*7</t>
    <phoneticPr fontId="2" type="noConversion"/>
  </si>
  <si>
    <t>70*70*7</t>
  </si>
  <si>
    <t>CO018</t>
  </si>
  <si>
    <t>CO019</t>
  </si>
  <si>
    <t>Paint</t>
    <phoneticPr fontId="2" type="noConversion"/>
  </si>
  <si>
    <t>20L</t>
    <phoneticPr fontId="2" type="noConversion"/>
  </si>
  <si>
    <t>Paint</t>
  </si>
  <si>
    <t>20L</t>
  </si>
  <si>
    <t>CAN</t>
    <phoneticPr fontId="2" type="noConversion"/>
  </si>
  <si>
    <t>CO020</t>
  </si>
  <si>
    <t>JOTUN Pipe Top-coated Paint</t>
  </si>
  <si>
    <t>CO021</t>
  </si>
  <si>
    <t>JOTUN Thinner</t>
  </si>
  <si>
    <t>Thinner</t>
    <phoneticPr fontId="2" type="noConversion"/>
  </si>
  <si>
    <t>GR001</t>
  </si>
  <si>
    <t>BLDG</t>
    <phoneticPr fontId="2" type="noConversion"/>
  </si>
  <si>
    <t>Unit #</t>
    <phoneticPr fontId="2" type="noConversion"/>
  </si>
  <si>
    <t>User</t>
    <phoneticPr fontId="2" type="noConversion"/>
  </si>
  <si>
    <t>POR CONTROL LOG - Issue</t>
    <phoneticPr fontId="2" type="noConversion"/>
  </si>
  <si>
    <t>POR CONTROL LOG - Income</t>
    <phoneticPr fontId="2" type="noConversion"/>
  </si>
  <si>
    <t>품목</t>
    <phoneticPr fontId="2" type="noConversion"/>
  </si>
  <si>
    <t>규격</t>
  </si>
  <si>
    <t>단위</t>
    <phoneticPr fontId="2" type="noConversion"/>
  </si>
  <si>
    <t>두산</t>
    <phoneticPr fontId="2" type="noConversion"/>
  </si>
  <si>
    <t>대선</t>
    <phoneticPr fontId="2" type="noConversion"/>
  </si>
  <si>
    <t>Remark</t>
  </si>
  <si>
    <t>불출</t>
    <phoneticPr fontId="2" type="noConversion"/>
  </si>
  <si>
    <t>인수</t>
  </si>
  <si>
    <t>설치</t>
  </si>
  <si>
    <t>재고</t>
  </si>
  <si>
    <t>Generator</t>
  </si>
  <si>
    <t>400KVA</t>
  </si>
  <si>
    <t>대</t>
  </si>
  <si>
    <t>300KVA</t>
  </si>
  <si>
    <t>150KVA</t>
  </si>
  <si>
    <t>100KVA</t>
  </si>
  <si>
    <t>80KVA</t>
  </si>
  <si>
    <t>50KVA</t>
  </si>
  <si>
    <t>800A</t>
  </si>
  <si>
    <t>630A</t>
  </si>
  <si>
    <t>400A</t>
  </si>
  <si>
    <t>160A</t>
  </si>
  <si>
    <t>50A</t>
  </si>
  <si>
    <t>32A</t>
  </si>
  <si>
    <t>Aluminum</t>
  </si>
  <si>
    <t>3C x 150+70mm2 [ALU]</t>
  </si>
  <si>
    <t>3C x 120+70mm2 [ALU]</t>
  </si>
  <si>
    <t>3C x 95+50mm2 [ALU]</t>
  </si>
  <si>
    <t>3C x 70+35mm2 [ALU]</t>
  </si>
  <si>
    <t>3C x 50+25mm2 [ALU]</t>
  </si>
  <si>
    <t>3C X 185+95mm2</t>
  </si>
  <si>
    <t>3C X 70+35mm2</t>
  </si>
  <si>
    <t>3C X 50+25mm2</t>
  </si>
  <si>
    <t>4C x 35mm2</t>
  </si>
  <si>
    <t>4C x 25mm2</t>
  </si>
  <si>
    <t>4C x 16mm2</t>
  </si>
  <si>
    <t>4C x 6mm2</t>
  </si>
  <si>
    <t>3C x 10mm2</t>
  </si>
  <si>
    <t>3C x 6mm2</t>
  </si>
  <si>
    <t>3C x 4mm2</t>
  </si>
  <si>
    <t>3C x 2.5mm2</t>
  </si>
  <si>
    <t>3C x 1.5mm2</t>
  </si>
  <si>
    <t>2C x 16mm2</t>
  </si>
  <si>
    <t>1C x 70mm2</t>
  </si>
  <si>
    <t>1C x 16mm2</t>
  </si>
  <si>
    <t>1C x 10mm2</t>
  </si>
  <si>
    <t>400W</t>
    <phoneticPr fontId="2" type="noConversion"/>
  </si>
  <si>
    <t>200W</t>
    <phoneticPr fontId="2" type="noConversion"/>
  </si>
  <si>
    <t>100W</t>
    <phoneticPr fontId="2" type="noConversion"/>
  </si>
  <si>
    <t>50W</t>
    <phoneticPr fontId="2" type="noConversion"/>
  </si>
  <si>
    <t>Co007</t>
  </si>
  <si>
    <t>30UMA</t>
  </si>
  <si>
    <t>CG001</t>
  </si>
  <si>
    <t>10 UMA</t>
  </si>
  <si>
    <t>from Warehouse &amp;  Workshop to Site</t>
  </si>
  <si>
    <t>20USJ</t>
  </si>
  <si>
    <t>Mohamed Askry</t>
  </si>
  <si>
    <t>Hussien Elsayed</t>
  </si>
  <si>
    <t>40 UMA</t>
  </si>
  <si>
    <t>workshop</t>
  </si>
  <si>
    <t>Ahmed Saeed</t>
  </si>
  <si>
    <t>30 UMA</t>
  </si>
  <si>
    <t>Hassan Mohamed</t>
  </si>
  <si>
    <t>20 UMA</t>
  </si>
  <si>
    <t>Summary Table</t>
    <phoneticPr fontId="2" type="noConversion"/>
  </si>
  <si>
    <t>소계</t>
    <phoneticPr fontId="2" type="noConversion"/>
  </si>
  <si>
    <t>A</t>
    <phoneticPr fontId="2" type="noConversion"/>
  </si>
  <si>
    <t>Grounding</t>
  </si>
  <si>
    <t>CO001</t>
  </si>
  <si>
    <t>CCGG</t>
  </si>
  <si>
    <t>250A</t>
  </si>
  <si>
    <t>C</t>
    <phoneticPr fontId="2" type="noConversion"/>
  </si>
  <si>
    <t>30UMA</t>
    <phoneticPr fontId="2" type="noConversion"/>
  </si>
  <si>
    <t>1/8, 14*6=84m</t>
    <phoneticPr fontId="2" type="noConversion"/>
  </si>
  <si>
    <t>50*0.5=25m</t>
  </si>
  <si>
    <t>50*0.6=30m</t>
  </si>
  <si>
    <t>20 UGB</t>
  </si>
  <si>
    <t>Mohamed Mousa</t>
  </si>
  <si>
    <t>KHNP</t>
  </si>
  <si>
    <t>30 UGB</t>
  </si>
  <si>
    <t>MAIN WH</t>
  </si>
  <si>
    <t>lighting Service</t>
  </si>
  <si>
    <t>※ Update every Sunday!!</t>
    <phoneticPr fontId="2" type="noConversion"/>
  </si>
  <si>
    <t>10UGB</t>
    <phoneticPr fontId="2" type="noConversion"/>
  </si>
  <si>
    <t>30UMA</t>
    <phoneticPr fontId="2" type="noConversion"/>
  </si>
  <si>
    <t>Steel round bar</t>
    <phoneticPr fontId="2" type="noConversion"/>
  </si>
  <si>
    <t>Angle</t>
    <phoneticPr fontId="2" type="noConversion"/>
  </si>
  <si>
    <t>300A</t>
    <phoneticPr fontId="2" type="noConversion"/>
  </si>
  <si>
    <t>100A</t>
    <phoneticPr fontId="2" type="noConversion"/>
  </si>
  <si>
    <t>3C x 240+120mm2 [ALU]</t>
    <phoneticPr fontId="2" type="noConversion"/>
  </si>
  <si>
    <t>4C x 35mm2 [ALU]</t>
    <phoneticPr fontId="2" type="noConversion"/>
  </si>
  <si>
    <t>4C x 10mm2</t>
    <phoneticPr fontId="2" type="noConversion"/>
  </si>
  <si>
    <t>1C x 35mm2</t>
    <phoneticPr fontId="2" type="noConversion"/>
  </si>
  <si>
    <t>1C x 25mm2</t>
    <phoneticPr fontId="2" type="noConversion"/>
  </si>
  <si>
    <t>GEN-002</t>
  </si>
  <si>
    <t>GEN-003</t>
  </si>
  <si>
    <t>GEN-004</t>
  </si>
  <si>
    <t>GEN-005</t>
  </si>
  <si>
    <t>GEN-006</t>
  </si>
  <si>
    <t>Panel</t>
  </si>
  <si>
    <t>Grounding Cable</t>
  </si>
  <si>
    <t>2ton</t>
    <phoneticPr fontId="2" type="noConversion"/>
  </si>
  <si>
    <t>4ton</t>
    <phoneticPr fontId="2" type="noConversion"/>
  </si>
  <si>
    <t>1 roll</t>
    <phoneticPr fontId="2" type="noConversion"/>
  </si>
  <si>
    <t>2 roll</t>
    <phoneticPr fontId="2" type="noConversion"/>
  </si>
  <si>
    <t>28 pcs</t>
    <phoneticPr fontId="2" type="noConversion"/>
  </si>
  <si>
    <t>30 pcs</t>
    <phoneticPr fontId="2" type="noConversion"/>
  </si>
  <si>
    <t>28pcs x 6m</t>
    <phoneticPr fontId="2" type="noConversion"/>
  </si>
  <si>
    <t>30pcs x 12m</t>
    <phoneticPr fontId="2" type="noConversion"/>
  </si>
  <si>
    <t>40UMA</t>
    <phoneticPr fontId="2" type="noConversion"/>
  </si>
  <si>
    <t>bay4.3~4.5, 2/20~2-/24</t>
    <phoneticPr fontId="2" type="noConversion"/>
  </si>
  <si>
    <t>Panel</t>
    <phoneticPr fontId="2" type="noConversion"/>
  </si>
  <si>
    <t>AL Cable</t>
  </si>
  <si>
    <t>CV Cable</t>
  </si>
  <si>
    <t>GEN-001</t>
  </si>
  <si>
    <t>PNL-001</t>
  </si>
  <si>
    <t>PNL-001</t>
    <phoneticPr fontId="2" type="noConversion"/>
  </si>
  <si>
    <t>PNL-002</t>
  </si>
  <si>
    <t>PNL-003</t>
  </si>
  <si>
    <t>PNL-004</t>
  </si>
  <si>
    <t>PNL-005</t>
  </si>
  <si>
    <t>PNL-006</t>
  </si>
  <si>
    <t>PNL-007</t>
  </si>
  <si>
    <t>PNL-008</t>
  </si>
  <si>
    <t>PNL-009</t>
  </si>
  <si>
    <t>PNL-010</t>
  </si>
  <si>
    <t>D/G</t>
    <phoneticPr fontId="2" type="noConversion"/>
  </si>
  <si>
    <t>Sortation</t>
  </si>
  <si>
    <t>자재명</t>
    <phoneticPr fontId="2" type="noConversion"/>
  </si>
  <si>
    <t>PNL-011</t>
  </si>
  <si>
    <t>Electrical Panel</t>
    <phoneticPr fontId="2" type="noConversion"/>
  </si>
  <si>
    <t>CAL-001</t>
  </si>
  <si>
    <t>CAL-002</t>
  </si>
  <si>
    <t>CAL-003</t>
  </si>
  <si>
    <t>CAL-004</t>
  </si>
  <si>
    <t>CAL-005</t>
  </si>
  <si>
    <t>CAL-006</t>
  </si>
  <si>
    <t>CAL-007</t>
  </si>
  <si>
    <t>CAL-008</t>
  </si>
  <si>
    <t>CAL-009</t>
  </si>
  <si>
    <t>CAL-010</t>
  </si>
  <si>
    <t>CAL-011</t>
  </si>
  <si>
    <t>CAL-012</t>
  </si>
  <si>
    <t>CAL-013</t>
  </si>
  <si>
    <t>CAL-014</t>
  </si>
  <si>
    <t>CAL-015</t>
  </si>
  <si>
    <t>CAL-016</t>
  </si>
  <si>
    <t>CAL-017</t>
  </si>
  <si>
    <t>CAL-018</t>
  </si>
  <si>
    <t>CAL-019</t>
  </si>
  <si>
    <t>CAL-020</t>
  </si>
  <si>
    <t>CAL-021</t>
  </si>
  <si>
    <t>Cable</t>
    <phoneticPr fontId="2" type="noConversion"/>
  </si>
  <si>
    <t>LTG</t>
    <phoneticPr fontId="2" type="noConversion"/>
  </si>
  <si>
    <t>Lighting Fixture</t>
    <phoneticPr fontId="2" type="noConversion"/>
  </si>
  <si>
    <t>LTG-001</t>
  </si>
  <si>
    <t>CAL-022</t>
  </si>
  <si>
    <t>CAL-023</t>
  </si>
  <si>
    <t>CAL-024</t>
  </si>
  <si>
    <t>CAL-025</t>
  </si>
  <si>
    <t>CAL-026</t>
  </si>
  <si>
    <t>LTG-002</t>
  </si>
  <si>
    <t>LTG-003</t>
  </si>
  <si>
    <t>LTG-004</t>
  </si>
  <si>
    <t>반납</t>
    <phoneticPr fontId="2" type="noConversion"/>
  </si>
  <si>
    <t>40UGB</t>
  </si>
  <si>
    <t>10UMA</t>
  </si>
  <si>
    <t>10 UGB</t>
  </si>
  <si>
    <t>90 UGB</t>
  </si>
  <si>
    <t>2ton</t>
  </si>
  <si>
    <t>1 roll</t>
  </si>
  <si>
    <t>salama</t>
  </si>
  <si>
    <t>Taleb</t>
  </si>
  <si>
    <t>40UMA</t>
  </si>
  <si>
    <t>20UMA</t>
  </si>
  <si>
    <t>30USJ</t>
  </si>
  <si>
    <t>Mr. KIM</t>
  </si>
  <si>
    <t>10UGB</t>
  </si>
  <si>
    <t>실재고와 차이</t>
    <phoneticPr fontId="2" type="noConversion"/>
  </si>
  <si>
    <t>PNL-012</t>
  </si>
  <si>
    <t>PNL-013</t>
  </si>
  <si>
    <t>MTS Panel</t>
  </si>
  <si>
    <t>DAESUN income</t>
  </si>
  <si>
    <t>100A</t>
  </si>
  <si>
    <t>2025.05.26,추가</t>
    <phoneticPr fontId="2" type="noConversion"/>
  </si>
  <si>
    <t>Daesun Income</t>
  </si>
  <si>
    <t>Ashour</t>
  </si>
  <si>
    <t>Askary</t>
  </si>
  <si>
    <t>Out</t>
    <phoneticPr fontId="2" type="noConversion"/>
  </si>
  <si>
    <t>Stock</t>
  </si>
  <si>
    <t>In</t>
    <phoneticPr fontId="2" type="noConversion"/>
  </si>
  <si>
    <t>Q'ty</t>
    <phoneticPr fontId="2" type="noConversion"/>
  </si>
  <si>
    <t>계약
수량</t>
    <phoneticPr fontId="2" type="noConversion"/>
  </si>
  <si>
    <t>CO003→CO004 바뀌어야함??</t>
    <phoneticPr fontId="2" type="noConversion"/>
  </si>
  <si>
    <t>Code</t>
  </si>
  <si>
    <t>Purchase</t>
  </si>
  <si>
    <t>Incoming</t>
  </si>
  <si>
    <t>Not come</t>
  </si>
  <si>
    <t>Install</t>
  </si>
  <si>
    <t>Scrap/
Faulty</t>
  </si>
  <si>
    <t>CO019a</t>
    <phoneticPr fontId="2" type="noConversion"/>
  </si>
  <si>
    <t>CO019b</t>
    <phoneticPr fontId="2" type="noConversion"/>
  </si>
  <si>
    <t>JOTUN Pipe Primer Paint (A)</t>
  </si>
  <si>
    <t>16L</t>
  </si>
  <si>
    <t>JOTUN Pipe Primer Paint (B)</t>
  </si>
  <si>
    <t>4L</t>
  </si>
  <si>
    <t>추가</t>
    <phoneticPr fontId="2" type="noConversion"/>
  </si>
  <si>
    <t>Current status of Doosan</t>
    <phoneticPr fontId="2" type="noConversion"/>
  </si>
  <si>
    <t>Other company</t>
  </si>
  <si>
    <t>Handover</t>
  </si>
  <si>
    <t>타업체
인계</t>
  </si>
  <si>
    <t>CO019a</t>
  </si>
  <si>
    <t>CO019a</t>
    <phoneticPr fontId="2" type="noConversion"/>
  </si>
  <si>
    <t>CO019b</t>
  </si>
  <si>
    <t>CO019b</t>
    <phoneticPr fontId="2" type="noConversion"/>
  </si>
  <si>
    <t>CAN</t>
    <phoneticPr fontId="2" type="noConversion"/>
  </si>
  <si>
    <t>CO021</t>
    <phoneticPr fontId="2" type="noConversion"/>
  </si>
  <si>
    <t>1610 KG</t>
  </si>
  <si>
    <t>4ton</t>
  </si>
  <si>
    <t>2 roll</t>
  </si>
  <si>
    <t>co016</t>
  </si>
  <si>
    <t>cg001</t>
  </si>
  <si>
    <t>ahmed saaed</t>
  </si>
  <si>
    <t>SALAMA</t>
  </si>
  <si>
    <t>abdelrasol</t>
  </si>
  <si>
    <t>CAL-027</t>
  </si>
  <si>
    <t>3C x 3mm2</t>
    <phoneticPr fontId="2" type="noConversion"/>
  </si>
  <si>
    <t>Conduit (Galvanized) 140x5</t>
    <phoneticPr fontId="2" type="noConversion"/>
  </si>
  <si>
    <t>140x5</t>
  </si>
  <si>
    <t>Conduit (Galvanized)</t>
  </si>
  <si>
    <t>Co016</t>
  </si>
  <si>
    <t>Mohamed abdelrahman</t>
  </si>
  <si>
    <t>installed</t>
    <phoneticPr fontId="2" type="noConversion"/>
  </si>
  <si>
    <t>Nikimt</t>
  </si>
  <si>
    <t>Wael Ragab</t>
  </si>
  <si>
    <t>hassan</t>
  </si>
  <si>
    <t>RAMY</t>
  </si>
  <si>
    <t>m</t>
    <phoneticPr fontId="2" type="noConversion"/>
  </si>
  <si>
    <t>cg002</t>
  </si>
  <si>
    <t>Ahmed Saaed</t>
  </si>
  <si>
    <t>Ahmed saaed</t>
  </si>
  <si>
    <t>ASHOUR</t>
  </si>
  <si>
    <t>Maintenance At Cairo</t>
  </si>
  <si>
    <t>DOOSAN</t>
    <phoneticPr fontId="2" type="noConversion"/>
  </si>
  <si>
    <t>DAESUN</t>
    <phoneticPr fontId="2" type="noConversion"/>
  </si>
  <si>
    <t>미입고</t>
    <phoneticPr fontId="2" type="noConversion"/>
  </si>
  <si>
    <t>입고</t>
    <phoneticPr fontId="2" type="noConversion"/>
  </si>
  <si>
    <t>Purch</t>
  </si>
  <si>
    <t>No come</t>
  </si>
  <si>
    <t>Handover to DAESUN</t>
  </si>
  <si>
    <t>소계(Subtotal)</t>
  </si>
  <si>
    <t>소계(Subtotal)</t>
    <phoneticPr fontId="2" type="noConversion"/>
  </si>
  <si>
    <t>NIKMET</t>
  </si>
  <si>
    <t>Hassan</t>
  </si>
  <si>
    <t>DOOSAN</t>
    <phoneticPr fontId="2" type="noConversion"/>
  </si>
  <si>
    <t>Balance</t>
  </si>
  <si>
    <t>Balance</t>
    <phoneticPr fontId="2" type="noConversion"/>
  </si>
  <si>
    <t>Checking of Balance</t>
    <phoneticPr fontId="2" type="noConversion"/>
  </si>
  <si>
    <t>DAESUN</t>
    <phoneticPr fontId="2" type="noConversion"/>
  </si>
  <si>
    <t>■ 본공사 자재 입.출고 현황 (Status of main construction materials)</t>
  </si>
  <si>
    <t>10m x 15cm</t>
  </si>
  <si>
    <t>10m x 15cm</t>
    <phoneticPr fontId="2" type="noConversion"/>
  </si>
  <si>
    <t>※ Update every Sunday!!</t>
  </si>
  <si>
    <t>125A</t>
    <phoneticPr fontId="2" type="noConversion"/>
  </si>
  <si>
    <t>PNL-007</t>
    <phoneticPr fontId="2" type="noConversion"/>
  </si>
  <si>
    <t>PNL-008→PNL-007</t>
  </si>
  <si>
    <t>PNL-008→PNL-007</t>
    <phoneticPr fontId="2" type="noConversion"/>
  </si>
  <si>
    <t>125A, Power</t>
    <phoneticPr fontId="2" type="noConversion"/>
  </si>
  <si>
    <t>Conduit (Galvanized)  Ts-80x4</t>
    <phoneticPr fontId="2" type="noConversion"/>
  </si>
  <si>
    <t>Conduit (Galvanized)  Ts-100x4.5</t>
    <phoneticPr fontId="2" type="noConversion"/>
  </si>
  <si>
    <t>114x4.5</t>
    <phoneticPr fontId="2" type="noConversion"/>
  </si>
  <si>
    <t>88x4</t>
    <phoneticPr fontId="2" type="noConversion"/>
  </si>
  <si>
    <t>168x6</t>
    <phoneticPr fontId="2" type="noConversion"/>
  </si>
  <si>
    <t>Conduit (Galvanized) 168x6</t>
    <phoneticPr fontId="2" type="noConversion"/>
  </si>
  <si>
    <t>5.5"</t>
    <phoneticPr fontId="2" type="noConversion"/>
  </si>
  <si>
    <t>6.5"</t>
    <phoneticPr fontId="2" type="noConversion"/>
  </si>
  <si>
    <t>CO003</t>
    <phoneticPr fontId="2" type="noConversion"/>
  </si>
  <si>
    <t>XX-CO003</t>
    <phoneticPr fontId="2" type="noConversion"/>
  </si>
  <si>
    <t>XX-CO006</t>
    <phoneticPr fontId="2" type="noConversion"/>
  </si>
  <si>
    <t>설계 추가</t>
    <phoneticPr fontId="2" type="noConversion"/>
  </si>
  <si>
    <t>삭제 요망</t>
    <phoneticPr fontId="2" type="noConversion"/>
  </si>
  <si>
    <t>1Roll=3130m</t>
    <phoneticPr fontId="2" type="noConversion"/>
  </si>
  <si>
    <t>1EA=12m</t>
    <phoneticPr fontId="2" type="noConversion"/>
  </si>
  <si>
    <t>Coupling (Galvanized)</t>
    <phoneticPr fontId="2" type="noConversion"/>
  </si>
  <si>
    <t>CO011</t>
    <phoneticPr fontId="2" type="noConversion"/>
  </si>
  <si>
    <t>PNL-014</t>
    <phoneticPr fontId="2" type="noConversion"/>
  </si>
  <si>
    <t>PNL-009</t>
    <phoneticPr fontId="2" type="noConversion"/>
  </si>
  <si>
    <t>2025.09.07,추가</t>
    <phoneticPr fontId="2" type="noConversion"/>
  </si>
  <si>
    <t>MCCB</t>
    <phoneticPr fontId="2" type="noConversion"/>
  </si>
  <si>
    <t>MCB-001</t>
    <phoneticPr fontId="2" type="noConversion"/>
  </si>
  <si>
    <t>MCB-002</t>
  </si>
  <si>
    <t>MCB-003</t>
  </si>
  <si>
    <t>MCB-004</t>
  </si>
  <si>
    <t>MCB-005</t>
  </si>
  <si>
    <t>MCB-006</t>
  </si>
  <si>
    <t>MCB-007</t>
  </si>
  <si>
    <t>MCB-008</t>
  </si>
  <si>
    <t>MCB-009</t>
  </si>
  <si>
    <t>MCB-010</t>
  </si>
  <si>
    <t>MCB-011</t>
  </si>
  <si>
    <t>MCB-012</t>
  </si>
  <si>
    <t>MCB-013</t>
  </si>
  <si>
    <t>MCB</t>
    <phoneticPr fontId="2" type="noConversion"/>
  </si>
  <si>
    <t>3P - 32A</t>
  </si>
  <si>
    <t>3P - 63A</t>
  </si>
  <si>
    <t>1P + N -16A - 30 mA</t>
  </si>
  <si>
    <t>1P + N -25A - 30 mA</t>
  </si>
  <si>
    <t>1P + N -32A - 30 mA</t>
  </si>
  <si>
    <t>4P - 32A - 30 mA</t>
  </si>
  <si>
    <t>4P - 63A - 30 mA</t>
  </si>
  <si>
    <t>100 A ( adj. magnetic)</t>
  </si>
  <si>
    <t>160 A ( adj. magnetic)</t>
  </si>
  <si>
    <t>250 A ( adj. magnetic)</t>
  </si>
  <si>
    <t>1P - 32A</t>
    <phoneticPr fontId="2" type="noConversion"/>
  </si>
  <si>
    <t>1P - 25A</t>
    <phoneticPr fontId="2" type="noConversion"/>
  </si>
  <si>
    <t>1P - 16A</t>
    <phoneticPr fontId="2" type="noConversion"/>
  </si>
  <si>
    <t>MCB</t>
    <phoneticPr fontId="2" type="noConversion"/>
  </si>
  <si>
    <t>RCBO</t>
    <phoneticPr fontId="2" type="noConversion"/>
  </si>
  <si>
    <t>RCCB</t>
    <phoneticPr fontId="2" type="noConversion"/>
  </si>
  <si>
    <t xml:space="preserve">3P - 16A </t>
    <phoneticPr fontId="2" type="noConversion"/>
  </si>
  <si>
    <t>Industrial Socket</t>
    <phoneticPr fontId="2" type="noConversion"/>
  </si>
  <si>
    <t>3P - 32A</t>
    <phoneticPr fontId="2" type="noConversion"/>
  </si>
  <si>
    <t>5P - 32A</t>
    <phoneticPr fontId="2" type="noConversion"/>
  </si>
  <si>
    <t>5P - 63A</t>
    <phoneticPr fontId="2" type="noConversion"/>
  </si>
  <si>
    <t>power plug</t>
    <phoneticPr fontId="2" type="noConversion"/>
  </si>
  <si>
    <t>PLG-001</t>
    <phoneticPr fontId="2" type="noConversion"/>
  </si>
  <si>
    <t>PLG-002</t>
  </si>
  <si>
    <t>PLG-003</t>
  </si>
  <si>
    <t>PLG-004</t>
  </si>
  <si>
    <t>Indication Lamp</t>
    <phoneticPr fontId="2" type="noConversion"/>
  </si>
  <si>
    <t>Other</t>
    <phoneticPr fontId="2" type="noConversion"/>
  </si>
  <si>
    <t>Metal Panel Lock with Key</t>
    <phoneticPr fontId="2" type="noConversion"/>
  </si>
  <si>
    <t>Red</t>
  </si>
  <si>
    <t>Yellow</t>
  </si>
  <si>
    <t>Blue</t>
  </si>
  <si>
    <t>Universal type</t>
  </si>
  <si>
    <t>EA</t>
    <phoneticPr fontId="2" type="noConversion"/>
  </si>
  <si>
    <t>LMP-001</t>
    <phoneticPr fontId="2" type="noConversion"/>
  </si>
  <si>
    <t>LMP-002</t>
  </si>
  <si>
    <t>LMP-003</t>
  </si>
  <si>
    <t>LOK-001</t>
    <phoneticPr fontId="2" type="noConversion"/>
  </si>
  <si>
    <t>(Scrap 555.5)-(발전기 굴뚝 : 86M)</t>
    <phoneticPr fontId="2" type="noConversion"/>
  </si>
  <si>
    <t>설계 삭제(토건 역무)</t>
    <phoneticPr fontId="2" type="noConversion"/>
  </si>
  <si>
    <t>Steel round bar</t>
  </si>
  <si>
    <t>ф10, 1ton=1,620.7m</t>
  </si>
  <si>
    <t>Angle 100x100x10</t>
  </si>
  <si>
    <t>설계 변경 → 6.5"(168mm)</t>
    <phoneticPr fontId="2" type="noConversion"/>
  </si>
  <si>
    <t>Conduit (Galvanized) 140x5</t>
  </si>
  <si>
    <t>Conduit (Galvanized)  Ts-100x4.5</t>
  </si>
  <si>
    <t>114x4.5</t>
  </si>
  <si>
    <t>Conduit Coupling 125-Ts</t>
  </si>
  <si>
    <t>Ts-152x5</t>
  </si>
  <si>
    <t>Conduit Coupling 100-Ts</t>
  </si>
  <si>
    <t>100-Ts</t>
  </si>
  <si>
    <t>LTG-002</t>
    <phoneticPr fontId="2" type="noConversion"/>
  </si>
  <si>
    <t>Alaskary</t>
    <phoneticPr fontId="2" type="noConversion"/>
  </si>
  <si>
    <t>CAL-014</t>
    <phoneticPr fontId="2" type="noConversion"/>
  </si>
  <si>
    <t>LTG-004</t>
    <phoneticPr fontId="2" type="noConversion"/>
  </si>
  <si>
    <t>1대 고장</t>
    <phoneticPr fontId="2" type="noConversion"/>
  </si>
  <si>
    <t>10USG</t>
  </si>
  <si>
    <t>20UGB</t>
  </si>
  <si>
    <t>10USJ</t>
  </si>
  <si>
    <t>Damage (10EA) 포함</t>
    <phoneticPr fontId="2" type="noConversion"/>
  </si>
  <si>
    <t>Damage (3EA) 포함</t>
    <phoneticPr fontId="2" type="noConversion"/>
  </si>
  <si>
    <t>30UGB</t>
  </si>
  <si>
    <t>30USG</t>
  </si>
  <si>
    <t>ASKARY</t>
  </si>
  <si>
    <t>90UGG</t>
  </si>
  <si>
    <t>C</t>
    <phoneticPr fontId="2" type="noConversion"/>
  </si>
  <si>
    <t>MCB-001</t>
  </si>
  <si>
    <t>PNL-010</t>
    <phoneticPr fontId="2" type="noConversion"/>
  </si>
  <si>
    <t>C</t>
  </si>
  <si>
    <t>LMP-001</t>
  </si>
  <si>
    <t>PNL-014</t>
  </si>
  <si>
    <t>Cable</t>
  </si>
  <si>
    <t>ASKRY</t>
  </si>
  <si>
    <t>3C x 185+95mm2 [ALU]</t>
  </si>
  <si>
    <t>3C X 95+50mm2</t>
  </si>
  <si>
    <t>4C x 4mm2</t>
  </si>
  <si>
    <t>CAL-028</t>
  </si>
  <si>
    <t>CAL-029</t>
  </si>
  <si>
    <t>CAL-029</t>
    <phoneticPr fontId="2" type="noConversion"/>
  </si>
  <si>
    <t>CAL-030</t>
  </si>
  <si>
    <t>91UGG</t>
  </si>
  <si>
    <t>PLG-001</t>
  </si>
  <si>
    <t>LOK-001</t>
  </si>
  <si>
    <t>RSI No</t>
    <phoneticPr fontId="2" type="noConversion"/>
  </si>
  <si>
    <t>RSI2025005934</t>
    <phoneticPr fontId="2" type="noConversion"/>
  </si>
  <si>
    <t>RSI2025005869</t>
    <phoneticPr fontId="2" type="noConversion"/>
  </si>
  <si>
    <t>RSI2025005660</t>
    <phoneticPr fontId="2" type="noConversion"/>
  </si>
  <si>
    <t>RSI2025005319</t>
  </si>
  <si>
    <t>RSI2025004905  /RSI2025004909</t>
    <phoneticPr fontId="2" type="noConversion"/>
  </si>
  <si>
    <t>RSI2025004363</t>
  </si>
  <si>
    <t>RSI2025003879  /RSI2025003882</t>
    <phoneticPr fontId="2" type="noConversion"/>
  </si>
  <si>
    <t>RSI2025003405</t>
  </si>
  <si>
    <t>XX-CO003</t>
  </si>
  <si>
    <t>XX-CO006</t>
  </si>
  <si>
    <t>XX-CO008</t>
  </si>
  <si>
    <t>RSI2025005596</t>
  </si>
  <si>
    <t>RSI2025005320</t>
  </si>
  <si>
    <t>RSI2025005106</t>
  </si>
  <si>
    <t>RSI2025005027</t>
  </si>
  <si>
    <t>POR</t>
    <phoneticPr fontId="2" type="noConversion"/>
  </si>
  <si>
    <t>RSI ITEM 상이함</t>
    <phoneticPr fontId="2" type="noConversion"/>
  </si>
  <si>
    <t>이전RSI 화인후 수정</t>
  </si>
  <si>
    <t>이전RSI 화인후 수정</t>
    <phoneticPr fontId="2" type="noConversion"/>
  </si>
  <si>
    <t>【Project : El-Dabaa Nuclear Power Plant (ENPP) #1 to 4】</t>
    <phoneticPr fontId="2" type="noConversion"/>
  </si>
  <si>
    <t>RSI2025003760</t>
  </si>
  <si>
    <t>RSI2025003833</t>
  </si>
  <si>
    <t>RSI2025003283</t>
  </si>
  <si>
    <t>RSI X</t>
    <phoneticPr fontId="2" type="noConversion"/>
  </si>
  <si>
    <t>RSI2025003220</t>
  </si>
  <si>
    <t>수기</t>
  </si>
  <si>
    <t>수기</t>
    <phoneticPr fontId="2" type="noConversion"/>
  </si>
  <si>
    <t>9-072-D-450-1042-E</t>
  </si>
  <si>
    <t>9-072-D-450-1042-E</t>
    <phoneticPr fontId="2" type="noConversion"/>
  </si>
  <si>
    <t>9-072-D-450-1040-E</t>
  </si>
  <si>
    <t>9-072-D-450-1040-E</t>
    <phoneticPr fontId="2" type="noConversion"/>
  </si>
  <si>
    <t>Round wire 10Ø</t>
  </si>
  <si>
    <t>RSI2025006007</t>
  </si>
  <si>
    <t>RSI2025006051</t>
  </si>
  <si>
    <t>CEB</t>
  </si>
  <si>
    <t>RSI2025006016</t>
  </si>
  <si>
    <t>9-072-D-450-1032-E</t>
  </si>
  <si>
    <t>RSI2025006220</t>
  </si>
  <si>
    <t>Daesun</t>
  </si>
  <si>
    <t>CAN</t>
  </si>
  <si>
    <t>JOTUN Pipe Primer Paint (A)</t>
    <phoneticPr fontId="2" type="noConversion"/>
  </si>
  <si>
    <r>
      <rPr>
        <sz val="10"/>
        <rFont val="Aptos Narrow"/>
        <family val="2"/>
      </rPr>
      <t>ф</t>
    </r>
    <r>
      <rPr>
        <sz val="10"/>
        <rFont val="맑은 고딕"/>
        <family val="3"/>
        <charset val="129"/>
      </rPr>
      <t>1</t>
    </r>
    <r>
      <rPr>
        <sz val="10"/>
        <rFont val="Calibri"/>
        <family val="2"/>
        <charset val="129"/>
      </rPr>
      <t>0, 1ton=1,620.7m</t>
    </r>
    <phoneticPr fontId="2" type="noConversion"/>
  </si>
  <si>
    <t>250A</t>
    <phoneticPr fontId="2" type="noConversion"/>
  </si>
  <si>
    <t>PNL-015</t>
  </si>
  <si>
    <t>2025.12.14,추가</t>
    <phoneticPr fontId="2" type="noConversion"/>
  </si>
  <si>
    <t>RSI2025006281</t>
  </si>
  <si>
    <t>Fabrication</t>
    <phoneticPr fontId="2" type="noConversion"/>
  </si>
  <si>
    <t>RSI2025006360</t>
  </si>
  <si>
    <t>RSI2025006531</t>
  </si>
  <si>
    <t>9-072-D-450-1045-E</t>
  </si>
  <si>
    <t>90UFT</t>
  </si>
  <si>
    <t>2024이전사용분</t>
  </si>
  <si>
    <t>2024이전사용분</t>
    <phoneticPr fontId="2" type="noConversion"/>
  </si>
  <si>
    <t>2024년이전불출</t>
  </si>
  <si>
    <t>RSI2026000169</t>
  </si>
  <si>
    <t>RSI2026000208</t>
    <phoneticPr fontId="2" type="noConversion"/>
  </si>
  <si>
    <t>2ton</t>
    <phoneticPr fontId="2" type="noConversion"/>
  </si>
  <si>
    <t>Doosan civil</t>
  </si>
  <si>
    <t>c</t>
  </si>
  <si>
    <t>RSI2026000401</t>
  </si>
  <si>
    <t>Salama</t>
  </si>
  <si>
    <t>W</t>
  </si>
  <si>
    <t>200A</t>
    <phoneticPr fontId="2" type="noConversion"/>
  </si>
  <si>
    <t xml:space="preserve"> </t>
    <phoneticPr fontId="2" type="noConversion"/>
  </si>
  <si>
    <t>수리후 불출</t>
    <phoneticPr fontId="2" type="noConversion"/>
  </si>
  <si>
    <t>NASR</t>
  </si>
  <si>
    <t>3.5ton</t>
    <phoneticPr fontId="2" type="noConversion"/>
  </si>
  <si>
    <t>타업체 대여분 회수</t>
    <phoneticPr fontId="2" type="noConversion"/>
  </si>
  <si>
    <t>RSI2026000458</t>
  </si>
  <si>
    <t>RSI2026000455</t>
  </si>
  <si>
    <t>SHOP</t>
  </si>
  <si>
    <t>RETURN 30EA</t>
    <phoneticPr fontId="2" type="noConversion"/>
  </si>
  <si>
    <t>RETURN 7EA</t>
    <phoneticPr fontId="2" type="noConversion"/>
  </si>
  <si>
    <t>MCB-004</t>
    <phoneticPr fontId="2" type="noConversion"/>
  </si>
  <si>
    <t>Flexible Conduit 2"</t>
    <phoneticPr fontId="2" type="noConversion"/>
  </si>
  <si>
    <r>
      <t xml:space="preserve">PVC Flexible Pipe </t>
    </r>
    <r>
      <rPr>
        <sz val="10"/>
        <rFont val="Calibri"/>
        <family val="3"/>
        <charset val="204"/>
      </rPr>
      <t>ф</t>
    </r>
    <r>
      <rPr>
        <sz val="10"/>
        <rFont val="Calibri"/>
        <family val="3"/>
        <charset val="129"/>
        <scheme val="minor"/>
      </rPr>
      <t xml:space="preserve"> 20</t>
    </r>
    <phoneticPr fontId="2" type="noConversion"/>
  </si>
  <si>
    <t>9-072-D-450-1020-E /9-072-D-450-1018-E</t>
    <phoneticPr fontId="2" type="noConversion"/>
  </si>
  <si>
    <t>PVC Flexible Pipe ф 20</t>
  </si>
  <si>
    <t>미입고(창고X)</t>
    <phoneticPr fontId="2" type="noConversion"/>
  </si>
  <si>
    <t>s</t>
  </si>
  <si>
    <t>S</t>
  </si>
  <si>
    <t>Store</t>
  </si>
  <si>
    <t>Rady</t>
  </si>
  <si>
    <t>20USG</t>
  </si>
  <si>
    <t>CG003</t>
    <phoneticPr fontId="2" type="noConversion"/>
  </si>
  <si>
    <t>Plate</t>
    <phoneticPr fontId="2" type="noConversion"/>
  </si>
  <si>
    <t>PCS</t>
  </si>
  <si>
    <t>PCS</t>
    <phoneticPr fontId="2" type="noConversion"/>
  </si>
  <si>
    <t>RSI2026000240</t>
    <phoneticPr fontId="2" type="noConversion"/>
  </si>
  <si>
    <t>9-072-D-450-1171-A-0316</t>
    <phoneticPr fontId="2" type="noConversion"/>
  </si>
  <si>
    <t>Carbon Plate 1500x6000x10</t>
    <phoneticPr fontId="2" type="noConversion"/>
  </si>
  <si>
    <t>CG004</t>
  </si>
  <si>
    <t>CG004</t>
    <phoneticPr fontId="2" type="noConversion"/>
  </si>
  <si>
    <t>CG003</t>
    <phoneticPr fontId="2" type="noConversion"/>
  </si>
  <si>
    <t>9-072-D-450-1039-E</t>
    <phoneticPr fontId="2" type="noConversion"/>
  </si>
  <si>
    <t>Carbon Plate 1000x6000x8</t>
    <phoneticPr fontId="2" type="noConversion"/>
  </si>
  <si>
    <t>CG003</t>
  </si>
  <si>
    <t xml:space="preserve">1000x6000x8  </t>
    <phoneticPr fontId="2" type="noConversion"/>
  </si>
  <si>
    <t xml:space="preserve">1500x6000x10 </t>
    <phoneticPr fontId="2" type="noConversion"/>
  </si>
  <si>
    <t xml:space="preserve">1000x6000x8 </t>
    <phoneticPr fontId="2" type="noConversion"/>
  </si>
  <si>
    <t xml:space="preserve">1500x6000x10  </t>
    <phoneticPr fontId="2" type="noConversion"/>
  </si>
  <si>
    <t>1 pcs</t>
    <phoneticPr fontId="2" type="noConversion"/>
  </si>
  <si>
    <t>1pcs x 12m</t>
    <phoneticPr fontId="2" type="noConversion"/>
  </si>
  <si>
    <t>총10PCS입고후 9PCS확이요</t>
    <phoneticPr fontId="2" type="noConversion"/>
  </si>
  <si>
    <t>Electrical Panel</t>
  </si>
  <si>
    <t>DP</t>
  </si>
  <si>
    <t>DP</t>
    <phoneticPr fontId="2" type="noConversion"/>
  </si>
  <si>
    <t>200A</t>
    <phoneticPr fontId="2" type="noConversion"/>
  </si>
  <si>
    <t>PNL-005.1</t>
  </si>
  <si>
    <t>PNL-005.1</t>
    <phoneticPr fontId="2" type="noConversion"/>
  </si>
  <si>
    <t>TYPE(K10EA/G-120EA)</t>
    <phoneticPr fontId="2" type="noConversion"/>
  </si>
  <si>
    <t>2026.02.22,추가</t>
  </si>
  <si>
    <t>MTS</t>
  </si>
  <si>
    <t>MTS</t>
    <phoneticPr fontId="2" type="noConversion"/>
  </si>
  <si>
    <t>5.3ton</t>
  </si>
  <si>
    <t>1152-A-001 /1161-A-001</t>
  </si>
  <si>
    <t>RSI2026000753</t>
  </si>
  <si>
    <t>40USG</t>
  </si>
  <si>
    <t>40UMa</t>
  </si>
  <si>
    <t>fabrication</t>
  </si>
  <si>
    <t>63A</t>
  </si>
  <si>
    <t>RADI</t>
  </si>
  <si>
    <t>MOHAMED KHALIL</t>
  </si>
  <si>
    <t>HASSAN MAHDY</t>
  </si>
  <si>
    <t>return</t>
    <phoneticPr fontId="2" type="noConversion"/>
  </si>
  <si>
    <t>type</t>
  </si>
  <si>
    <t>DAESUN CODE</t>
  </si>
  <si>
    <t>pcs</t>
  </si>
  <si>
    <t>Tray</t>
  </si>
  <si>
    <t>Straight tray LP-50</t>
  </si>
  <si>
    <t>3-LP-50/200/3-M-TA4</t>
  </si>
  <si>
    <t>3000x200x50; T=1.5</t>
  </si>
  <si>
    <t>pcs</t>
    <phoneticPr fontId="2" type="noConversion"/>
  </si>
  <si>
    <t>TRY001</t>
    <phoneticPr fontId="2" type="noConversion"/>
  </si>
  <si>
    <t>3-LP-50/300/3-M-TA4</t>
  </si>
  <si>
    <t>3000x300x50; T=1.5</t>
  </si>
  <si>
    <t>TRY002</t>
  </si>
  <si>
    <t>3-LP-50/400/3-M-TA4</t>
  </si>
  <si>
    <t>692x396x48.5; T=1.5</t>
  </si>
  <si>
    <t>TRY002.1</t>
    <phoneticPr fontId="2" type="noConversion"/>
  </si>
  <si>
    <t>3-LP-50/500/3-M-TA4</t>
  </si>
  <si>
    <t>3000x500x50; T=1.5</t>
  </si>
  <si>
    <t>TRY003</t>
  </si>
  <si>
    <t>3-LP-50/600/3-M-TA4</t>
  </si>
  <si>
    <t>3000x600x50; T=1.5</t>
  </si>
  <si>
    <t>TRY004</t>
  </si>
  <si>
    <t>Straight tray LP-100</t>
  </si>
  <si>
    <t>3-LP-100/200/3-M-TA4</t>
  </si>
  <si>
    <t>3000x200x100; T=1.5</t>
  </si>
  <si>
    <t>TRY005</t>
  </si>
  <si>
    <t>3-LP-100/300/3-M-TA4</t>
  </si>
  <si>
    <t>3000x300x100; T=1.5</t>
  </si>
  <si>
    <t>TRY006</t>
  </si>
  <si>
    <t>3-LP-100/500/3-M-TA4</t>
  </si>
  <si>
    <t>3000x500x100; T=1.5</t>
  </si>
  <si>
    <t>TRY007</t>
  </si>
  <si>
    <t>Horizontal section SG-50/400-90 for turning the cable route from straight trays</t>
    <phoneticPr fontId="2" type="noConversion"/>
  </si>
  <si>
    <t>3-SG-50/400-90-M-TA4</t>
  </si>
  <si>
    <t>TRY007.1</t>
    <phoneticPr fontId="2" type="noConversion"/>
  </si>
  <si>
    <t>Horizontal section SG-50/500-90 for turning the cable route from straight trays LP-50 and LP-100 at 90°</t>
    <phoneticPr fontId="2" type="noConversion"/>
  </si>
  <si>
    <t>3-SG-50/500-90-M-TA4</t>
  </si>
  <si>
    <t>792x496x48.5; T=1.5</t>
  </si>
  <si>
    <t>TRY008</t>
  </si>
  <si>
    <t>Horizontal section SG-100/500-90 for turning the cable route from straight trays LP-50 and LP-100 at 90°</t>
  </si>
  <si>
    <t>3-SG-100/500-90-M-TA4</t>
  </si>
  <si>
    <t>792x496x98.5; T=1.5</t>
  </si>
  <si>
    <t>TRY009</t>
  </si>
  <si>
    <t xml:space="preserve">Horizontal section SG-50/600-90 for turning the cable route from straight trays </t>
    <phoneticPr fontId="2" type="noConversion"/>
  </si>
  <si>
    <t>3-SG-50/600-90-M-TA5</t>
  </si>
  <si>
    <t>892x596x48.5; T=1.5</t>
  </si>
  <si>
    <t>TRY009.1</t>
    <phoneticPr fontId="2" type="noConversion"/>
  </si>
  <si>
    <t>Branch section SO-50/500 for branching the cable route from straight trays LP-50 and LP-100 for three directions</t>
  </si>
  <si>
    <t>3-SO-50/500-M-TA4</t>
  </si>
  <si>
    <t>TRY010</t>
  </si>
  <si>
    <t>Vertical section SV-50/400 for vertical bending of cable route from straight trays</t>
    <phoneticPr fontId="2" type="noConversion"/>
  </si>
  <si>
    <t>3-SV-50/400-M-TA4</t>
  </si>
  <si>
    <t>331x396x50; T=1.5</t>
  </si>
  <si>
    <t>TRY010.1</t>
    <phoneticPr fontId="2" type="noConversion"/>
  </si>
  <si>
    <t>Vertical section SV-50/500 for vertical bending of cable route from straight trays LP-50 and LP-100 up or down at any angle</t>
    <phoneticPr fontId="2" type="noConversion"/>
  </si>
  <si>
    <t>3-SV-50/500-M-TA4</t>
  </si>
  <si>
    <t>331x170x496x50; T=1.5</t>
  </si>
  <si>
    <t>TRY011</t>
  </si>
  <si>
    <t>Vertical section SV-100/500 for vertical bending of cable route from straight trays LP-50 and LP-100 up or down at any angle</t>
  </si>
  <si>
    <t>3-SV-100/500-M-TA4</t>
  </si>
  <si>
    <t>395x205x496x100; T=1.5</t>
  </si>
  <si>
    <t>TRY012</t>
  </si>
  <si>
    <t>Straight duct KP</t>
  </si>
  <si>
    <t>3-KP-0.1/0.2-3-M-TA4</t>
  </si>
  <si>
    <t>TRY013</t>
  </si>
  <si>
    <t>3-KP-0.1/0.3-3-M-TA4</t>
  </si>
  <si>
    <t>3000x300x 100; T=1.5</t>
  </si>
  <si>
    <t>TRY014</t>
  </si>
  <si>
    <t>Siraight duct KP</t>
  </si>
  <si>
    <t>3-KP-0.1/0.5-3-M-TA4</t>
  </si>
  <si>
    <t>3000x500x 100; T=1.5</t>
  </si>
  <si>
    <t>TRY015</t>
  </si>
  <si>
    <t>Angle duct KUG for horizontal bend of cable route at 90°</t>
  </si>
  <si>
    <t>3-KUG-0.1/0.2-M-TA4</t>
  </si>
  <si>
    <t>455x196x103; T=1.5</t>
  </si>
  <si>
    <t>TRY016</t>
  </si>
  <si>
    <t>Angle duct KUG for horizontal bend of cable route et 90°</t>
  </si>
  <si>
    <t>3-KUG-0.1/0.3-M-TA4</t>
  </si>
  <si>
    <t>555x296x103; T=1.5</t>
  </si>
  <si>
    <t>TRY017</t>
  </si>
  <si>
    <t>3-KUG-0.1/0.5-M-TA4</t>
  </si>
  <si>
    <t>755x496x103; T=1.5</t>
  </si>
  <si>
    <t>TRY018</t>
  </si>
  <si>
    <t>Angle duct KUG for horizontal bend of cable route at 45°</t>
  </si>
  <si>
    <t>3-KUG-0.1/0.2-45-M-TA4</t>
  </si>
  <si>
    <t>TRY019</t>
  </si>
  <si>
    <t>3-KUG-0.1/0.3-45-M-TA4</t>
  </si>
  <si>
    <t>TRY020</t>
  </si>
  <si>
    <t>Angle duct KUV for turning horizontal cable route upward at an anale of 90°</t>
  </si>
  <si>
    <t>3-KUV-0.1/0.5-M-TA4</t>
  </si>
  <si>
    <t>290x496x103; T=1.5</t>
  </si>
  <si>
    <t>TRY021</t>
  </si>
  <si>
    <t>Angle duct KUN for turning horizontal cable route downwards at an anqle of 90°</t>
  </si>
  <si>
    <t>3-KUN-0.1/0.5-M-TA4</t>
  </si>
  <si>
    <t>352x496x103;
T=1.5</t>
  </si>
  <si>
    <t>TRY022</t>
  </si>
  <si>
    <t>Branch section SO</t>
  </si>
  <si>
    <t>3-SO-50/400-M-TA4</t>
  </si>
  <si>
    <t>780x396x48.5; I
T=1.5</t>
  </si>
  <si>
    <t>TRY022.1</t>
    <phoneticPr fontId="2" type="noConversion"/>
  </si>
  <si>
    <t>3-SO-50/600-M-TA4</t>
  </si>
  <si>
    <t>980x596x48.5;  I
T=1-5</t>
  </si>
  <si>
    <t>TRY022.2</t>
  </si>
  <si>
    <t>Vertical section SV-.. ./...</t>
  </si>
  <si>
    <t>3-SV-50/600-M-TA4</t>
  </si>
  <si>
    <t>331x596x50; T=1.5</t>
  </si>
  <si>
    <t>TRY022.3</t>
  </si>
  <si>
    <t>Console</t>
  </si>
  <si>
    <t>Console KS3-340</t>
  </si>
  <si>
    <t>3-KS3-340-M-TA4</t>
  </si>
  <si>
    <t>344x45x146; T=2.0</t>
  </si>
  <si>
    <t>TRY023</t>
  </si>
  <si>
    <t>Console KS3-440</t>
    <phoneticPr fontId="2" type="noConversion"/>
  </si>
  <si>
    <t>3-KS3-440-M-TA4</t>
  </si>
  <si>
    <t>444x45x146; T=2.0</t>
  </si>
  <si>
    <t>TRY024</t>
  </si>
  <si>
    <t>Console KS3-540</t>
  </si>
  <si>
    <t>3-KS3-540-M-TA4</t>
  </si>
  <si>
    <t>544x45x146;
T=2.0</t>
  </si>
  <si>
    <t>TRY025</t>
  </si>
  <si>
    <t>Console KS3-640</t>
  </si>
  <si>
    <t>3-KS3-640-M-TA4</t>
  </si>
  <si>
    <t>644x45x146; T=3.0</t>
  </si>
  <si>
    <t>TRY026</t>
  </si>
  <si>
    <t>Console KS3-750</t>
  </si>
  <si>
    <t>3-KS3-750-M-TA4</t>
  </si>
  <si>
    <t>754x45x146; T=3.0</t>
  </si>
  <si>
    <t>TRY027</t>
  </si>
  <si>
    <t>Console KS3-850</t>
  </si>
  <si>
    <t>3-KS3-850-M-TA4</t>
  </si>
  <si>
    <t>850x50x180; T=4.0</t>
  </si>
  <si>
    <t>TRY028</t>
  </si>
  <si>
    <t>Console KS3-1050</t>
  </si>
  <si>
    <t>3-KS3-1050-M-TA4</t>
  </si>
  <si>
    <t>1050x50x180; T=4.0</t>
  </si>
  <si>
    <t>TRY029</t>
  </si>
  <si>
    <t>Perforated Z-section</t>
  </si>
  <si>
    <t>3-PZ-N-83x40x80x8-TA4</t>
  </si>
  <si>
    <t>83x40x80x8; T=3.0</t>
  </si>
  <si>
    <t>TRY030</t>
  </si>
  <si>
    <t>Rack</t>
  </si>
  <si>
    <t>Rack ST</t>
  </si>
  <si>
    <t>3-ST-60-4-M-TA4</t>
  </si>
  <si>
    <t>600x63x37; T=4.0</t>
  </si>
  <si>
    <t>TRY030.1</t>
    <phoneticPr fontId="2" type="noConversion"/>
  </si>
  <si>
    <t>3-ST-80-4-M-TA4</t>
  </si>
  <si>
    <t>800x63x37;
T=4.0</t>
  </si>
  <si>
    <t>TRY030.2</t>
  </si>
  <si>
    <t>3-ST-90-4-M-TA4</t>
  </si>
  <si>
    <t>900x63x37x20; T=4.0</t>
  </si>
  <si>
    <t>TRY031</t>
  </si>
  <si>
    <t>3-ST-100-4-M-TA4</t>
  </si>
  <si>
    <t>1000x 63x37; T=4.0</t>
  </si>
  <si>
    <t>TRY031.1</t>
    <phoneticPr fontId="2" type="noConversion"/>
  </si>
  <si>
    <t>3-ST-120-4-M-TA4</t>
  </si>
  <si>
    <t>1200x63x37x20; T=4.0</t>
  </si>
  <si>
    <t>TRY032</t>
  </si>
  <si>
    <t>3-ST-150-4-M-TA4</t>
  </si>
  <si>
    <t>1500x63x37x20; T=4.0</t>
  </si>
  <si>
    <t>TRY033</t>
  </si>
  <si>
    <t>3-ST-160-4-M-TA4</t>
  </si>
  <si>
    <t>1600x63x37; T=4.0</t>
  </si>
  <si>
    <t>TRY033.1</t>
    <phoneticPr fontId="2" type="noConversion"/>
  </si>
  <si>
    <t>3-ST-180-4-M-TA4</t>
  </si>
  <si>
    <t>1800x63x37; T=4.0</t>
  </si>
  <si>
    <t>TRY033.2</t>
  </si>
  <si>
    <t>3-ST-200-4-M-TA4</t>
  </si>
  <si>
    <t>2000x63x37x20; T=4.0</t>
  </si>
  <si>
    <t>TRY034</t>
  </si>
  <si>
    <t>3-ST-240-4-M-TA4</t>
  </si>
  <si>
    <t>2400x63x37; T=4.0</t>
  </si>
  <si>
    <t>TRY034.1</t>
    <phoneticPr fontId="2" type="noConversion"/>
  </si>
  <si>
    <t>3-ST-260-4-M-TA4</t>
  </si>
  <si>
    <t>2600x63x37x20; T=4.0</t>
  </si>
  <si>
    <t>TRY035</t>
  </si>
  <si>
    <t>3-ST-280-4-M-TA4</t>
  </si>
  <si>
    <t>2800x63x37; T=4.0</t>
  </si>
  <si>
    <t>TRY035.1</t>
    <phoneticPr fontId="2" type="noConversion"/>
  </si>
  <si>
    <t>3-ST-300-4-M-TA4</t>
  </si>
  <si>
    <t>3000x63x37; T=4.0</t>
  </si>
  <si>
    <t>TRY035.2</t>
  </si>
  <si>
    <t>3-ST-320-4-M-TA4</t>
  </si>
  <si>
    <t>3200x63x37x20; T=4.0</t>
  </si>
  <si>
    <t>TRY036</t>
  </si>
  <si>
    <t>3-ST-380-4-M-TA4</t>
  </si>
  <si>
    <t>3800x63x37x20; T=4.0</t>
  </si>
  <si>
    <t>TRY037</t>
  </si>
  <si>
    <t>Double rack STD</t>
  </si>
  <si>
    <t>3-STD-50-4-M-TA4</t>
  </si>
  <si>
    <t>500x63x105; T=4.0</t>
  </si>
  <si>
    <t>TRY037.1</t>
    <phoneticPr fontId="2" type="noConversion"/>
  </si>
  <si>
    <t>3-STD-70-4-M-TA4</t>
  </si>
  <si>
    <t>700x63x105; T=4.0</t>
  </si>
  <si>
    <t>TRY038</t>
  </si>
  <si>
    <t>3-STD-90-4-M-TA4</t>
  </si>
  <si>
    <t>900x63x105; T=4.0</t>
  </si>
  <si>
    <t>TRY039</t>
  </si>
  <si>
    <t>3-STD-120-4-M-TA4</t>
  </si>
  <si>
    <t>1200x63x 105; T=4.0</t>
  </si>
  <si>
    <t>TRY040</t>
  </si>
  <si>
    <t>3-STD-150-4-M-TA4</t>
  </si>
  <si>
    <t>1500x63x 105; T=4.0</t>
  </si>
  <si>
    <t>TRY041</t>
  </si>
  <si>
    <t>3-STD-180-4-M-TA4</t>
  </si>
  <si>
    <t>1800x63x105; T=4.0</t>
  </si>
  <si>
    <t>TRY042</t>
  </si>
  <si>
    <t>3-STD-200-4-M-TA4</t>
  </si>
  <si>
    <t>2000x63x105; T=4.0</t>
  </si>
  <si>
    <t>TRY043</t>
  </si>
  <si>
    <t>3-STD-400-4-M-TA4</t>
  </si>
  <si>
    <t>4000x63x109; T=4.0</t>
  </si>
  <si>
    <t>TRY043.1</t>
    <phoneticPr fontId="2" type="noConversion"/>
  </si>
  <si>
    <t>3-STD-500-4-M-TA4</t>
  </si>
  <si>
    <t>5000x63x109; T=4.0</t>
  </si>
  <si>
    <t>TRY044</t>
  </si>
  <si>
    <t>3-SZh-100-M-TA4</t>
  </si>
  <si>
    <t>1000x64x37; T=4.0</t>
  </si>
  <si>
    <t>TRY045</t>
  </si>
  <si>
    <t>Clamp&amp;Gusset</t>
  </si>
  <si>
    <t>Simple gusset KP for racks ST</t>
  </si>
  <si>
    <t>3-KP-4-M-TA4</t>
  </si>
  <si>
    <t>170x72x110; T=4.0</t>
  </si>
  <si>
    <t>TRY046</t>
  </si>
  <si>
    <t>Transition angle UP</t>
    <phoneticPr fontId="2" type="noConversion"/>
  </si>
  <si>
    <t>3-UP-4-M-TA4</t>
  </si>
  <si>
    <t>60x60; T=4.0</t>
  </si>
  <si>
    <t>TRY047</t>
  </si>
  <si>
    <t>Mounting unit UK-50</t>
    <phoneticPr fontId="2" type="noConversion"/>
  </si>
  <si>
    <t>3-UK-50</t>
  </si>
  <si>
    <t>70x30x32; T=2.0</t>
  </si>
  <si>
    <t>TRY048</t>
  </si>
  <si>
    <t>Side gusset KB for racks ST</t>
  </si>
  <si>
    <t>3-KB-4-M-TA4</t>
  </si>
  <si>
    <t>150x72x70; T=4.0</t>
  </si>
  <si>
    <t>TRY049</t>
  </si>
  <si>
    <t>Double gusset KD for racks STD</t>
  </si>
  <si>
    <t>3-KD-4-M-TA4</t>
  </si>
  <si>
    <t>109x72x72x110; T=4.0</t>
  </si>
  <si>
    <t>TRY050</t>
  </si>
  <si>
    <t>Double reinforced gusset KOU for racks ST with strut RP</t>
  </si>
  <si>
    <t>3-KDU-4-M-TA4</t>
  </si>
  <si>
    <t>250x72x110; T=4.0</t>
  </si>
  <si>
    <t>TRY051</t>
  </si>
  <si>
    <t>Base OSD for racks STD</t>
    <phoneticPr fontId="2" type="noConversion"/>
  </si>
  <si>
    <t>3-OSD-4-M-TA4</t>
  </si>
  <si>
    <t>109x50x260; T=4.0</t>
  </si>
  <si>
    <t>TRY051.1</t>
  </si>
  <si>
    <t>Base OSD for racks STD</t>
  </si>
  <si>
    <t>109x72x50x260; T=4.0</t>
  </si>
  <si>
    <t>TRY052</t>
  </si>
  <si>
    <t>Transition clamp SP 150 for gussets</t>
  </si>
  <si>
    <t>3-SP-150-M-TA4</t>
  </si>
  <si>
    <t>150x142x59; T=4.0</t>
  </si>
  <si>
    <t>TRY053</t>
  </si>
  <si>
    <t>Transition clamp SP 150P for gussets for welding</t>
  </si>
  <si>
    <t>3-SP-150P-M-TA4</t>
  </si>
  <si>
    <t>150x72x59; T=4.0</t>
  </si>
  <si>
    <t>TRY054</t>
  </si>
  <si>
    <t>Hilti anchor</t>
  </si>
  <si>
    <t>HDA-P M12</t>
  </si>
  <si>
    <t>HDA-P M12x125/30</t>
  </si>
  <si>
    <t>TRY055</t>
  </si>
  <si>
    <t>HDA-P M10</t>
  </si>
  <si>
    <t>HDA-P M10x100/20</t>
    <phoneticPr fontId="2" type="noConversion"/>
  </si>
  <si>
    <t>TRY055.1</t>
    <phoneticPr fontId="2" type="noConversion"/>
  </si>
  <si>
    <t>Section</t>
  </si>
  <si>
    <t>-</t>
  </si>
  <si>
    <t>200x100x8; L=400</t>
  </si>
  <si>
    <t>TRY056</t>
  </si>
  <si>
    <t>200x100x8; L=200</t>
  </si>
  <si>
    <t>TRY057</t>
  </si>
  <si>
    <t>1.2.13</t>
  </si>
  <si>
    <t>▶▶</t>
    <phoneticPr fontId="2" type="noConversion"/>
  </si>
  <si>
    <t xml:space="preserve">Simple gusset </t>
  </si>
  <si>
    <t>Side gusset</t>
  </si>
  <si>
    <t xml:space="preserve">Double gusset </t>
  </si>
  <si>
    <t>Transition clamp</t>
  </si>
  <si>
    <t xml:space="preserve">Transition clamp for welding </t>
  </si>
  <si>
    <t>Stiffening brace SZh-100-4</t>
    <phoneticPr fontId="2" type="noConversion"/>
  </si>
  <si>
    <t>brace</t>
  </si>
  <si>
    <t>brace</t>
    <phoneticPr fontId="2" type="noConversion"/>
  </si>
  <si>
    <t>Double gusset</t>
  </si>
  <si>
    <t>9-072-D-450-1043-E</t>
  </si>
  <si>
    <t>1항차</t>
    <phoneticPr fontId="2" type="noConversion"/>
  </si>
  <si>
    <t>SAYED</t>
  </si>
  <si>
    <t>PANEL</t>
  </si>
  <si>
    <t>STORE</t>
  </si>
  <si>
    <t>Conduit Coupling 80-Ts</t>
  </si>
  <si>
    <t>■ 임시동력 자재 입.출고 현황 (Status of temporary power materials)</t>
  </si>
  <si>
    <t>40uma</t>
  </si>
  <si>
    <t>PANELS</t>
  </si>
  <si>
    <t>FIXTURES</t>
  </si>
  <si>
    <t>1 out fo repair</t>
  </si>
  <si>
    <t>ashour</t>
  </si>
  <si>
    <t>RSI2026001190</t>
  </si>
  <si>
    <t>Hussen</t>
  </si>
  <si>
    <t>Saad</t>
  </si>
  <si>
    <t>Cable Tray 자재 집계현황(Material Summary)</t>
    <phoneticPr fontId="2" type="noConversion"/>
  </si>
  <si>
    <t>ABDELSAMI</t>
  </si>
  <si>
    <t>RSI2026001370</t>
  </si>
  <si>
    <t>RSI2026001523</t>
  </si>
  <si>
    <t>RSI2026001518</t>
  </si>
  <si>
    <t>DOOSAN</t>
  </si>
  <si>
    <t>RSI2026001648</t>
  </si>
  <si>
    <t>panel</t>
  </si>
  <si>
    <t>Nasr</t>
  </si>
  <si>
    <t>RSI2026001809</t>
  </si>
  <si>
    <t>60.3x3.91</t>
    <phoneticPr fontId="2" type="noConversion"/>
  </si>
  <si>
    <t>Conduit (Galvanized) 60.3x3.91</t>
    <phoneticPr fontId="2" type="noConversion"/>
  </si>
  <si>
    <t xml:space="preserve">Conduit Coupling </t>
    <phoneticPr fontId="2" type="noConversion"/>
  </si>
  <si>
    <t>Coupling (Galvanized)</t>
  </si>
  <si>
    <t>CO015.1</t>
  </si>
  <si>
    <t>CO015.1</t>
    <phoneticPr fontId="2" type="noConversion"/>
  </si>
  <si>
    <t>50-11 NPT</t>
    <phoneticPr fontId="2" type="noConversion"/>
  </si>
  <si>
    <t>9-072-D-450-1051-E</t>
  </si>
  <si>
    <t>9-072-D-450-1051-E</t>
    <phoneticPr fontId="2" type="noConversion"/>
  </si>
  <si>
    <t>RSI2026001823</t>
    <phoneticPr fontId="2" type="noConversion"/>
  </si>
  <si>
    <t>1pcs = 1.8 KG</t>
    <phoneticPr fontId="2" type="noConversion"/>
  </si>
  <si>
    <t>1pcs 6m</t>
    <phoneticPr fontId="2" type="noConversion"/>
  </si>
  <si>
    <t>CO008.1</t>
  </si>
  <si>
    <t>CO008.1</t>
    <phoneticPr fontId="2" type="noConversion"/>
  </si>
  <si>
    <t>TRY001</t>
  </si>
  <si>
    <t>TRY002.1</t>
  </si>
  <si>
    <t>TRY007.1</t>
  </si>
  <si>
    <t>TRY009.1</t>
  </si>
  <si>
    <t>TRY010.1</t>
  </si>
  <si>
    <t>TRY022.1</t>
  </si>
  <si>
    <t>TRY030.1</t>
  </si>
  <si>
    <t>TRY031.1</t>
  </si>
  <si>
    <t>TRY033.1</t>
  </si>
  <si>
    <t>TRY034.1</t>
  </si>
  <si>
    <t>TRY035.1</t>
  </si>
  <si>
    <t>TRY037.1</t>
  </si>
  <si>
    <t>TRY043.1</t>
  </si>
  <si>
    <t>TRY055.1</t>
  </si>
  <si>
    <t>추가</t>
  </si>
  <si>
    <t>RSI2026001861</t>
  </si>
  <si>
    <t xml:space="preserve">9-072-D-450-1045-E_0038 </t>
  </si>
  <si>
    <t>8TON</t>
  </si>
  <si>
    <t>3 out fo repair</t>
  </si>
  <si>
    <t>Cadweld Powder #115</t>
  </si>
  <si>
    <t>4C x 10mm2</t>
  </si>
  <si>
    <t>LTG</t>
  </si>
  <si>
    <t>Lighting Fixture</t>
  </si>
  <si>
    <t>50W</t>
  </si>
  <si>
    <t>100W</t>
  </si>
  <si>
    <t>power plug</t>
  </si>
  <si>
    <t>Industrial Socket</t>
  </si>
  <si>
    <t>5P - 63A</t>
  </si>
  <si>
    <t>MCB</t>
  </si>
  <si>
    <t>1P - 32A</t>
  </si>
  <si>
    <t>Other</t>
  </si>
  <si>
    <t>Indication Lamp</t>
  </si>
  <si>
    <t>3C x 3mm2</t>
  </si>
  <si>
    <t>1C x 35mm2</t>
  </si>
  <si>
    <t>RCCB</t>
  </si>
  <si>
    <t>품 명</t>
    <phoneticPr fontId="2" type="noConversion"/>
  </si>
  <si>
    <t>규 격</t>
    <phoneticPr fontId="2" type="noConversion"/>
  </si>
  <si>
    <t>발주</t>
  </si>
  <si>
    <t>입고</t>
  </si>
  <si>
    <t>미입고</t>
  </si>
  <si>
    <t>불출</t>
  </si>
  <si>
    <t>인수</t>
    <phoneticPr fontId="2" type="noConversion"/>
  </si>
  <si>
    <t>설치</t>
    <phoneticPr fontId="2" type="noConversion"/>
  </si>
  <si>
    <t>스크랩</t>
    <phoneticPr fontId="2" type="noConversion"/>
  </si>
  <si>
    <t>Ts-125x5</t>
    <phoneticPr fontId="2" type="noConversion"/>
  </si>
  <si>
    <t>90UTF</t>
  </si>
  <si>
    <t>RADY</t>
  </si>
  <si>
    <t>PAANEL</t>
  </si>
  <si>
    <t>DOOSAN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</si>
</sst>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_-;\-* #,##0_-;_-* &quot;-&quot;_-;_-@_-"/>
    <numFmt numFmtId="165" formatCode="_-* #,##0.00_-;\-* #,##0.00_-;_-* &quot;-&quot;??_-;_-@_-"/>
    <numFmt numFmtId="166" formatCode="mm&quot;월&quot;\ dd&quot;일&quot;"/>
    <numFmt numFmtId="167" formatCode="#,##0.00_ ;[Red]\-#,##0.00\ "/>
    <numFmt numFmtId="168" formatCode="#,##0_ ;[Red]\-#,##0\ "/>
    <numFmt numFmtId="169" formatCode="#,##0.0_ ;[Red]\-#,##0.0\ "/>
    <numFmt numFmtId="170" formatCode="#,##0.0;[Red]\-#,##0.0"/>
    <numFmt numFmtId="171" formatCode="#,##0.000;[Red]\-#,##0.000"/>
    <numFmt numFmtId="172" formatCode="#,##0_ "/>
    <numFmt numFmtId="173" formatCode="#,##0.0_ "/>
    <numFmt numFmtId="174" formatCode="#,##0\ &quot;EA&quot;"/>
    <numFmt numFmtId="175" formatCode="_-* #,##0.00_-;\-* #,##0.00_-;_-* &quot;-&quot;_-;_-@_-"/>
    <numFmt numFmtId="176" formatCode="_-* #,##0.0_-;\-* #,##0.0_-;_-* &quot;-&quot;_-;_-@_-"/>
    <numFmt numFmtId="177" formatCode="0.0%"/>
  </numFmts>
  <fonts count="44">
    <font>
      <sz val="11"/>
      <color theme="1"/>
      <name val="Calibri"/>
      <family val="2"/>
      <charset val="129"/>
      <scheme val="minor"/>
    </font>
    <font>
      <b/>
      <sz val="16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0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sz val="10"/>
      <color rgb="FFFF0000"/>
      <name val="Calibri"/>
      <family val="2"/>
      <charset val="129"/>
      <scheme val="minor"/>
    </font>
    <font>
      <sz val="20"/>
      <color theme="1"/>
      <name val="Calibri"/>
      <family val="2"/>
      <charset val="129"/>
      <scheme val="minor"/>
    </font>
    <font>
      <b/>
      <sz val="18"/>
      <name val="Calibri"/>
      <family val="3"/>
      <charset val="129"/>
      <scheme val="minor"/>
    </font>
    <font>
      <sz val="10"/>
      <color theme="1"/>
      <name val="Calibri"/>
      <family val="2"/>
      <charset val="204"/>
    </font>
    <font>
      <sz val="10"/>
      <color rgb="FFFF0000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name val="Calibri"/>
      <family val="2"/>
      <charset val="129"/>
    </font>
    <font>
      <sz val="10"/>
      <name val="Aptos Narrow"/>
      <family val="2"/>
    </font>
    <font>
      <sz val="10"/>
      <name val="맑은 고딕"/>
      <family val="3"/>
      <charset val="129"/>
    </font>
    <font>
      <vertAlign val="superscript"/>
      <sz val="10"/>
      <name val="Calibri"/>
      <family val="3"/>
      <charset val="129"/>
      <scheme val="minor"/>
    </font>
    <font>
      <sz val="10"/>
      <name val="Calibri"/>
      <family val="3"/>
      <charset val="129"/>
    </font>
    <font>
      <b/>
      <sz val="12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b/>
      <sz val="10"/>
      <color rgb="FF000000"/>
      <name val="Calibri"/>
      <family val="3"/>
      <charset val="129"/>
      <scheme val="minor"/>
    </font>
    <font>
      <b/>
      <sz val="8"/>
      <name val="Calibri"/>
      <family val="3"/>
      <charset val="129"/>
      <scheme val="minor"/>
    </font>
    <font>
      <sz val="10"/>
      <name val="Calibri"/>
      <family val="2"/>
      <charset val="129"/>
      <scheme val="minor"/>
    </font>
    <font>
      <sz val="12"/>
      <color rgb="FFFF0000"/>
      <name val="Calibri"/>
      <family val="3"/>
      <charset val="129"/>
      <scheme val="minor"/>
    </font>
    <font>
      <sz val="16"/>
      <color rgb="FFFF0000"/>
      <name val="Calibri"/>
      <family val="2"/>
      <charset val="129"/>
      <scheme val="minor"/>
    </font>
    <font>
      <b/>
      <sz val="12"/>
      <name val="Calibri"/>
      <family val="3"/>
      <charset val="129"/>
      <scheme val="minor"/>
    </font>
    <font>
      <b/>
      <sz val="18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  <charset val="204"/>
    </font>
    <font>
      <b/>
      <sz val="12"/>
      <color rgb="FFFF0000"/>
      <name val="Calibri"/>
      <family val="3"/>
      <charset val="129"/>
      <scheme val="minor"/>
    </font>
    <font>
      <sz val="10"/>
      <color rgb="FF0000FF"/>
      <name val="Calibri"/>
      <family val="3"/>
      <charset val="129"/>
      <scheme val="minor"/>
    </font>
    <font>
      <strike/>
      <sz val="10"/>
      <name val="Calibri"/>
      <family val="3"/>
      <charset val="129"/>
      <scheme val="minor"/>
    </font>
    <font>
      <strike/>
      <sz val="10"/>
      <color rgb="FFFF0000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0"/>
      <name val="Calibri"/>
      <family val="3"/>
      <charset val="204"/>
    </font>
    <font>
      <sz val="11"/>
      <color theme="1"/>
      <name val="Calibri"/>
      <family val="3"/>
      <charset val="129"/>
      <scheme val="minor"/>
    </font>
    <font>
      <b/>
      <sz val="28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sz val="12"/>
      <color rgb="FF002060"/>
      <name val="Calibri"/>
      <family val="3"/>
      <charset val="129"/>
      <scheme val="minor"/>
    </font>
    <font>
      <sz val="10"/>
      <color rgb="FF002060"/>
      <name val="Calibri"/>
      <family val="3"/>
      <charset val="129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16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>
      <alignment vertical="center"/>
    </xf>
    <xf numFmtId="164" fontId="13" fillId="0" borderId="0" applyFont="0" applyFill="0" applyBorder="0" applyAlignment="0" applyProtection="0">
      <alignment vertical="center"/>
    </xf>
  </cellStyleXfs>
  <cellXfs count="459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3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14" fontId="5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8" fontId="10" fillId="0" borderId="0" xfId="0" applyNumberFormat="1" applyFont="1" applyAlignment="1">
      <alignment horizontal="left" vertical="center"/>
    </xf>
    <xf numFmtId="168" fontId="4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64" fontId="1" fillId="0" borderId="0" xfId="1" applyFont="1" applyAlignment="1">
      <alignment horizontal="left" vertical="center"/>
    </xf>
    <xf numFmtId="164" fontId="3" fillId="0" borderId="0" xfId="1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164" fontId="4" fillId="0" borderId="0" xfId="1" applyFont="1" applyAlignment="1">
      <alignment horizontal="left" vertical="center" wrapText="1"/>
    </xf>
    <xf numFmtId="164" fontId="3" fillId="0" borderId="0" xfId="1" applyFont="1" applyAlignment="1">
      <alignment horizontal="left" vertical="center"/>
    </xf>
    <xf numFmtId="164" fontId="3" fillId="0" borderId="0" xfId="1" applyFont="1" applyFill="1" applyAlignment="1">
      <alignment horizontal="left" vertical="center"/>
    </xf>
    <xf numFmtId="10" fontId="3" fillId="0" borderId="0" xfId="2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168" fontId="7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center" vertical="center" shrinkToFit="1"/>
    </xf>
    <xf numFmtId="167" fontId="7" fillId="0" borderId="1" xfId="0" applyNumberFormat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right" vertical="center"/>
    </xf>
    <xf numFmtId="169" fontId="7" fillId="0" borderId="0" xfId="0" applyNumberFormat="1" applyFont="1">
      <alignment vertical="center"/>
    </xf>
    <xf numFmtId="168" fontId="4" fillId="2" borderId="1" xfId="0" applyNumberFormat="1" applyFont="1" applyFill="1" applyBorder="1" applyAlignment="1">
      <alignment horizontal="center" vertical="center" wrapText="1"/>
    </xf>
    <xf numFmtId="168" fontId="4" fillId="2" borderId="1" xfId="0" applyNumberFormat="1" applyFont="1" applyFill="1" applyBorder="1" applyAlignment="1">
      <alignment horizontal="centerContinuous" vertical="center" wrapText="1"/>
    </xf>
    <xf numFmtId="0" fontId="21" fillId="0" borderId="1" xfId="0" applyFont="1" applyBorder="1" applyAlignment="1">
      <alignment horizontal="center" vertical="center" shrinkToFit="1"/>
    </xf>
    <xf numFmtId="164" fontId="4" fillId="0" borderId="1" xfId="1" applyFont="1" applyBorder="1" applyAlignment="1">
      <alignment vertical="center" wrapText="1"/>
    </xf>
    <xf numFmtId="168" fontId="20" fillId="0" borderId="1" xfId="0" applyNumberFormat="1" applyFont="1" applyBorder="1" applyAlignment="1">
      <alignment horizontal="right" vertical="center" shrinkToFit="1"/>
    </xf>
    <xf numFmtId="168" fontId="20" fillId="0" borderId="6" xfId="0" applyNumberFormat="1" applyFont="1" applyBorder="1" applyAlignment="1">
      <alignment horizontal="right" vertical="center" shrinkToFit="1"/>
    </xf>
    <xf numFmtId="168" fontId="20" fillId="0" borderId="9" xfId="0" applyNumberFormat="1" applyFont="1" applyBorder="1" applyAlignment="1">
      <alignment horizontal="right" vertical="center" shrinkToFit="1"/>
    </xf>
    <xf numFmtId="0" fontId="3" fillId="0" borderId="8" xfId="0" applyFont="1" applyBorder="1" applyAlignment="1">
      <alignment horizontal="center" vertical="center" wrapText="1"/>
    </xf>
    <xf numFmtId="164" fontId="3" fillId="0" borderId="1" xfId="1" applyFont="1" applyBorder="1" applyAlignment="1">
      <alignment vertical="center" wrapText="1"/>
    </xf>
    <xf numFmtId="164" fontId="3" fillId="0" borderId="1" xfId="1" applyFont="1" applyBorder="1" applyAlignment="1">
      <alignment horizontal="left" vertical="center" wrapText="1"/>
    </xf>
    <xf numFmtId="164" fontId="20" fillId="0" borderId="1" xfId="1" applyFont="1" applyBorder="1" applyAlignment="1">
      <alignment horizontal="left" vertical="center" shrinkToFit="1"/>
    </xf>
    <xf numFmtId="10" fontId="7" fillId="0" borderId="0" xfId="2" applyNumberFormat="1" applyFont="1" applyAlignment="1">
      <alignment horizontal="center" vertical="center"/>
    </xf>
    <xf numFmtId="169" fontId="3" fillId="0" borderId="0" xfId="0" applyNumberFormat="1" applyFont="1">
      <alignment vertical="center"/>
    </xf>
    <xf numFmtId="168" fontId="4" fillId="2" borderId="2" xfId="0" applyNumberFormat="1" applyFont="1" applyFill="1" applyBorder="1" applyAlignment="1">
      <alignment horizontal="centerContinuous" vertical="center" wrapText="1"/>
    </xf>
    <xf numFmtId="167" fontId="3" fillId="0" borderId="1" xfId="0" applyNumberFormat="1" applyFont="1" applyBorder="1" applyAlignment="1">
      <alignment horizontal="center" vertical="center"/>
    </xf>
    <xf numFmtId="166" fontId="23" fillId="0" borderId="0" xfId="0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left" vertical="center"/>
    </xf>
    <xf numFmtId="166" fontId="25" fillId="0" borderId="0" xfId="0" applyNumberFormat="1" applyFont="1" applyAlignment="1">
      <alignment horizontal="left" vertical="center"/>
    </xf>
    <xf numFmtId="170" fontId="1" fillId="0" borderId="0" xfId="0" applyNumberFormat="1" applyFont="1" applyAlignment="1">
      <alignment horizontal="left" vertical="center"/>
    </xf>
    <xf numFmtId="170" fontId="3" fillId="0" borderId="0" xfId="0" applyNumberFormat="1" applyFont="1" applyAlignment="1">
      <alignment horizontal="left"/>
    </xf>
    <xf numFmtId="170" fontId="4" fillId="0" borderId="0" xfId="0" applyNumberFormat="1" applyFont="1" applyAlignment="1">
      <alignment horizontal="left" vertical="center" wrapText="1"/>
    </xf>
    <xf numFmtId="170" fontId="3" fillId="0" borderId="0" xfId="0" applyNumberFormat="1" applyFont="1" applyAlignment="1">
      <alignment horizontal="left" vertical="center"/>
    </xf>
    <xf numFmtId="166" fontId="4" fillId="0" borderId="0" xfId="0" quotePrefix="1" applyNumberFormat="1" applyFont="1" applyAlignment="1">
      <alignment horizontal="center" vertical="center" wrapText="1"/>
    </xf>
    <xf numFmtId="172" fontId="3" fillId="0" borderId="0" xfId="0" applyNumberFormat="1" applyFont="1" applyAlignment="1">
      <alignment horizontal="left"/>
    </xf>
    <xf numFmtId="172" fontId="1" fillId="0" borderId="0" xfId="0" applyNumberFormat="1" applyFont="1" applyAlignment="1">
      <alignment horizontal="center" vertical="center"/>
    </xf>
    <xf numFmtId="172" fontId="3" fillId="0" borderId="0" xfId="0" applyNumberFormat="1" applyFont="1" applyAlignment="1">
      <alignment horizontal="center"/>
    </xf>
    <xf numFmtId="17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wrapText="1"/>
    </xf>
    <xf numFmtId="168" fontId="6" fillId="0" borderId="3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168" fontId="6" fillId="0" borderId="11" xfId="0" applyNumberFormat="1" applyFont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left" vertical="center" wrapText="1"/>
    </xf>
    <xf numFmtId="166" fontId="4" fillId="0" borderId="2" xfId="0" quotePrefix="1" applyNumberFormat="1" applyFont="1" applyBorder="1" applyAlignment="1">
      <alignment horizontal="center" vertical="center" wrapText="1"/>
    </xf>
    <xf numFmtId="0" fontId="26" fillId="0" borderId="0" xfId="0" applyFont="1">
      <alignment vertical="center"/>
    </xf>
    <xf numFmtId="0" fontId="7" fillId="0" borderId="0" xfId="0" applyFont="1" applyAlignment="1"/>
    <xf numFmtId="0" fontId="27" fillId="0" borderId="0" xfId="0" applyFont="1">
      <alignment vertical="center"/>
    </xf>
    <xf numFmtId="0" fontId="4" fillId="0" borderId="0" xfId="0" applyFont="1">
      <alignment vertical="center"/>
    </xf>
    <xf numFmtId="164" fontId="3" fillId="0" borderId="1" xfId="1" applyFont="1" applyFill="1" applyBorder="1" applyAlignment="1">
      <alignment vertical="center" wrapText="1"/>
    </xf>
    <xf numFmtId="164" fontId="3" fillId="0" borderId="1" xfId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8" fontId="4" fillId="2" borderId="8" xfId="0" applyNumberFormat="1" applyFont="1" applyFill="1" applyBorder="1" applyAlignment="1">
      <alignment horizontal="centerContinuous" vertical="center" wrapText="1"/>
    </xf>
    <xf numFmtId="168" fontId="20" fillId="0" borderId="8" xfId="0" applyNumberFormat="1" applyFont="1" applyBorder="1" applyAlignment="1">
      <alignment horizontal="right" vertical="center" shrinkToFit="1"/>
    </xf>
    <xf numFmtId="168" fontId="4" fillId="2" borderId="15" xfId="0" applyNumberFormat="1" applyFont="1" applyFill="1" applyBorder="1" applyAlignment="1">
      <alignment horizontal="centerContinuous" vertical="center" wrapText="1"/>
    </xf>
    <xf numFmtId="168" fontId="20" fillId="0" borderId="15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169" fontId="3" fillId="0" borderId="1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8" xfId="0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right" vertical="center"/>
    </xf>
    <xf numFmtId="38" fontId="3" fillId="0" borderId="0" xfId="0" applyNumberFormat="1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30" fillId="0" borderId="1" xfId="0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0" fontId="23" fillId="0" borderId="1" xfId="0" applyFont="1" applyBorder="1">
      <alignment vertical="center"/>
    </xf>
    <xf numFmtId="169" fontId="3" fillId="0" borderId="5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4" fillId="0" borderId="0" xfId="1" applyFont="1" applyFill="1" applyAlignment="1">
      <alignment horizontal="left" vertical="center"/>
    </xf>
    <xf numFmtId="164" fontId="4" fillId="0" borderId="0" xfId="1" applyFont="1" applyFill="1" applyAlignment="1">
      <alignment horizontal="center" vertical="center"/>
    </xf>
    <xf numFmtId="170" fontId="4" fillId="0" borderId="0" xfId="0" applyNumberFormat="1" applyFont="1" applyAlignment="1">
      <alignment horizontal="left" vertical="center"/>
    </xf>
    <xf numFmtId="172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0" xfId="1" applyFont="1" applyFill="1" applyAlignment="1">
      <alignment horizontal="center" vertical="center"/>
    </xf>
    <xf numFmtId="173" fontId="3" fillId="0" borderId="4" xfId="0" applyNumberFormat="1" applyFont="1" applyBorder="1" applyAlignment="1">
      <alignment horizontal="right" vertical="center"/>
    </xf>
    <xf numFmtId="173" fontId="3" fillId="0" borderId="1" xfId="0" applyNumberFormat="1" applyFont="1" applyBorder="1" applyAlignment="1">
      <alignment horizontal="center" vertical="center"/>
    </xf>
    <xf numFmtId="170" fontId="3" fillId="0" borderId="1" xfId="1" applyNumberFormat="1" applyFont="1" applyFill="1" applyBorder="1" applyAlignment="1">
      <alignment horizontal="center" vertical="center"/>
    </xf>
    <xf numFmtId="170" fontId="3" fillId="0" borderId="0" xfId="0" applyNumberFormat="1" applyFont="1" applyAlignment="1">
      <alignment horizontal="right" vertical="center"/>
    </xf>
    <xf numFmtId="38" fontId="3" fillId="0" borderId="1" xfId="0" applyNumberFormat="1" applyFont="1" applyBorder="1" applyAlignment="1">
      <alignment horizontal="left" vertical="center"/>
    </xf>
    <xf numFmtId="38" fontId="3" fillId="0" borderId="1" xfId="0" applyNumberFormat="1" applyFont="1" applyBorder="1" applyAlignment="1">
      <alignment horizontal="center" vertical="center"/>
    </xf>
    <xf numFmtId="171" fontId="3" fillId="0" borderId="0" xfId="0" applyNumberFormat="1" applyFont="1" applyAlignment="1">
      <alignment horizontal="left" vertical="center"/>
    </xf>
    <xf numFmtId="38" fontId="3" fillId="0" borderId="0" xfId="0" applyNumberFormat="1" applyFont="1" applyAlignment="1">
      <alignment horizontal="center" vertical="center"/>
    </xf>
    <xf numFmtId="164" fontId="3" fillId="0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38" fontId="1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4" fillId="2" borderId="2" xfId="0" applyNumberFormat="1" applyFont="1" applyFill="1" applyBorder="1" applyAlignment="1">
      <alignment horizontal="center" vertical="center" wrapText="1"/>
    </xf>
    <xf numFmtId="38" fontId="4" fillId="2" borderId="1" xfId="0" applyNumberFormat="1" applyFont="1" applyFill="1" applyBorder="1" applyAlignment="1">
      <alignment horizontal="centerContinuous" vertical="center" wrapText="1"/>
    </xf>
    <xf numFmtId="38" fontId="4" fillId="2" borderId="8" xfId="0" applyNumberFormat="1" applyFont="1" applyFill="1" applyBorder="1" applyAlignment="1">
      <alignment horizontal="centerContinuous" vertical="center" wrapText="1"/>
    </xf>
    <xf numFmtId="38" fontId="4" fillId="2" borderId="13" xfId="0" applyNumberFormat="1" applyFont="1" applyFill="1" applyBorder="1" applyAlignment="1">
      <alignment horizontal="center" vertical="center" wrapText="1"/>
    </xf>
    <xf numFmtId="38" fontId="22" fillId="2" borderId="3" xfId="0" applyNumberFormat="1" applyFont="1" applyFill="1" applyBorder="1" applyAlignment="1">
      <alignment horizontal="center" vertical="center" wrapText="1"/>
    </xf>
    <xf numFmtId="38" fontId="22" fillId="2" borderId="14" xfId="0" applyNumberFormat="1" applyFont="1" applyFill="1" applyBorder="1" applyAlignment="1">
      <alignment horizontal="center" vertical="center" wrapText="1"/>
    </xf>
    <xf numFmtId="164" fontId="20" fillId="0" borderId="1" xfId="1" applyFont="1" applyBorder="1" applyAlignment="1">
      <alignment horizontal="right" vertical="center" shrinkToFit="1"/>
    </xf>
    <xf numFmtId="164" fontId="20" fillId="0" borderId="15" xfId="1" applyFont="1" applyBorder="1" applyAlignment="1">
      <alignment horizontal="right" vertical="center" shrinkToFit="1"/>
    </xf>
    <xf numFmtId="164" fontId="20" fillId="0" borderId="8" xfId="1" applyFont="1" applyBorder="1" applyAlignment="1">
      <alignment horizontal="right" vertical="center" shrinkToFit="1"/>
    </xf>
    <xf numFmtId="0" fontId="20" fillId="0" borderId="1" xfId="0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/>
    </xf>
    <xf numFmtId="0" fontId="21" fillId="4" borderId="1" xfId="0" applyFont="1" applyFill="1" applyBorder="1" applyAlignment="1">
      <alignment horizontal="center" vertical="center" shrinkToFi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shrinkToFit="1"/>
    </xf>
    <xf numFmtId="164" fontId="21" fillId="4" borderId="1" xfId="1" applyFont="1" applyFill="1" applyBorder="1" applyAlignment="1">
      <alignment horizontal="right" vertical="center" shrinkToFit="1"/>
    </xf>
    <xf numFmtId="164" fontId="21" fillId="4" borderId="15" xfId="1" applyFont="1" applyFill="1" applyBorder="1" applyAlignment="1">
      <alignment horizontal="right" vertical="center" shrinkToFit="1"/>
    </xf>
    <xf numFmtId="164" fontId="21" fillId="4" borderId="8" xfId="1" applyFont="1" applyFill="1" applyBorder="1" applyAlignment="1">
      <alignment horizontal="right" vertical="center" shrinkToFit="1"/>
    </xf>
    <xf numFmtId="0" fontId="6" fillId="0" borderId="0" xfId="0" applyFont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164" fontId="20" fillId="0" borderId="1" xfId="1" applyFont="1" applyFill="1" applyBorder="1" applyAlignment="1">
      <alignment horizontal="right" vertical="center" shrinkToFit="1"/>
    </xf>
    <xf numFmtId="164" fontId="20" fillId="0" borderId="8" xfId="1" applyFont="1" applyFill="1" applyBorder="1" applyAlignment="1">
      <alignment horizontal="right" vertical="center" shrinkToFit="1"/>
    </xf>
    <xf numFmtId="166" fontId="4" fillId="0" borderId="4" xfId="0" quotePrefix="1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Continuous" vertical="center" wrapText="1"/>
    </xf>
    <xf numFmtId="0" fontId="4" fillId="2" borderId="1" xfId="0" applyFont="1" applyFill="1" applyBorder="1" applyAlignment="1">
      <alignment horizontal="centerContinuous" vertical="center" wrapText="1"/>
    </xf>
    <xf numFmtId="38" fontId="4" fillId="3" borderId="1" xfId="0" applyNumberFormat="1" applyFont="1" applyFill="1" applyBorder="1" applyAlignment="1">
      <alignment horizontal="centerContinuous" vertical="center" wrapText="1"/>
    </xf>
    <xf numFmtId="38" fontId="4" fillId="3" borderId="15" xfId="0" applyNumberFormat="1" applyFont="1" applyFill="1" applyBorder="1" applyAlignment="1">
      <alignment horizontal="centerContinuous" vertical="center" wrapText="1"/>
    </xf>
    <xf numFmtId="38" fontId="4" fillId="3" borderId="2" xfId="0" applyNumberFormat="1" applyFont="1" applyFill="1" applyBorder="1" applyAlignment="1">
      <alignment horizontal="center" vertical="center" wrapText="1"/>
    </xf>
    <xf numFmtId="38" fontId="4" fillId="3" borderId="16" xfId="0" applyNumberFormat="1" applyFont="1" applyFill="1" applyBorder="1" applyAlignment="1">
      <alignment horizontal="center" vertical="center" wrapText="1"/>
    </xf>
    <xf numFmtId="38" fontId="22" fillId="3" borderId="3" xfId="0" applyNumberFormat="1" applyFont="1" applyFill="1" applyBorder="1" applyAlignment="1">
      <alignment horizontal="center" vertical="center" wrapText="1"/>
    </xf>
    <xf numFmtId="38" fontId="22" fillId="3" borderId="17" xfId="0" applyNumberFormat="1" applyFont="1" applyFill="1" applyBorder="1" applyAlignment="1">
      <alignment horizontal="center" vertical="center" wrapText="1"/>
    </xf>
    <xf numFmtId="38" fontId="31" fillId="0" borderId="0" xfId="0" applyNumberFormat="1" applyFont="1">
      <alignment vertical="center"/>
    </xf>
    <xf numFmtId="168" fontId="31" fillId="0" borderId="0" xfId="0" applyNumberFormat="1" applyFont="1" applyAlignment="1">
      <alignment horizontal="left" vertical="center"/>
    </xf>
    <xf numFmtId="0" fontId="4" fillId="2" borderId="8" xfId="0" applyFont="1" applyFill="1" applyBorder="1" applyAlignment="1">
      <alignment horizontal="centerContinuous" vertical="center" wrapText="1"/>
    </xf>
    <xf numFmtId="169" fontId="3" fillId="0" borderId="8" xfId="0" applyNumberFormat="1" applyFont="1" applyBorder="1" applyAlignment="1">
      <alignment horizontal="right" vertical="center"/>
    </xf>
    <xf numFmtId="0" fontId="4" fillId="3" borderId="15" xfId="0" applyFont="1" applyFill="1" applyBorder="1" applyAlignment="1">
      <alignment horizontal="centerContinuous" vertical="center" wrapText="1"/>
    </xf>
    <xf numFmtId="0" fontId="4" fillId="3" borderId="15" xfId="0" applyFont="1" applyFill="1" applyBorder="1" applyAlignment="1">
      <alignment horizontal="center" vertical="center" wrapText="1"/>
    </xf>
    <xf numFmtId="169" fontId="3" fillId="0" borderId="15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38" fontId="32" fillId="0" borderId="1" xfId="0" applyNumberFormat="1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173" fontId="3" fillId="0" borderId="0" xfId="0" applyNumberFormat="1" applyFont="1" applyAlignment="1">
      <alignment horizontal="right" vertical="center"/>
    </xf>
    <xf numFmtId="164" fontId="20" fillId="0" borderId="15" xfId="1" applyFont="1" applyFill="1" applyBorder="1" applyAlignment="1">
      <alignment horizontal="right" vertical="center" shrinkToFit="1"/>
    </xf>
    <xf numFmtId="164" fontId="33" fillId="0" borderId="0" xfId="1" applyFont="1" applyFill="1" applyAlignment="1">
      <alignment horizontal="left" vertical="center"/>
    </xf>
    <xf numFmtId="170" fontId="33" fillId="0" borderId="1" xfId="1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38" fontId="34" fillId="0" borderId="1" xfId="0" applyNumberFormat="1" applyFont="1" applyBorder="1" applyAlignment="1">
      <alignment horizontal="left" vertical="center"/>
    </xf>
    <xf numFmtId="38" fontId="34" fillId="0" borderId="1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38" fontId="33" fillId="0" borderId="0" xfId="0" applyNumberFormat="1" applyFont="1" applyAlignment="1">
      <alignment horizontal="left" vertical="center"/>
    </xf>
    <xf numFmtId="170" fontId="33" fillId="0" borderId="0" xfId="0" applyNumberFormat="1" applyFont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170" fontId="33" fillId="0" borderId="0" xfId="0" applyNumberFormat="1" applyFont="1" applyAlignment="1">
      <alignment horizontal="right" vertical="center"/>
    </xf>
    <xf numFmtId="0" fontId="32" fillId="0" borderId="0" xfId="0" applyFont="1" applyAlignment="1">
      <alignment horizontal="center" vertical="center"/>
    </xf>
    <xf numFmtId="164" fontId="3" fillId="0" borderId="1" xfId="1" applyFont="1" applyFill="1" applyBorder="1" applyAlignment="1">
      <alignment horizontal="right" vertical="center" shrinkToFit="1"/>
    </xf>
    <xf numFmtId="164" fontId="3" fillId="0" borderId="15" xfId="1" applyFont="1" applyFill="1" applyBorder="1" applyAlignment="1">
      <alignment horizontal="right" vertical="center" shrinkToFit="1"/>
    </xf>
    <xf numFmtId="164" fontId="3" fillId="0" borderId="8" xfId="1" applyFont="1" applyFill="1" applyBorder="1" applyAlignment="1">
      <alignment horizontal="right" vertical="center" shrinkToFit="1"/>
    </xf>
    <xf numFmtId="14" fontId="3" fillId="0" borderId="1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70" fontId="3" fillId="0" borderId="1" xfId="0" applyNumberFormat="1" applyFont="1" applyBorder="1" applyAlignment="1">
      <alignment horizontal="right" vertical="center"/>
    </xf>
    <xf numFmtId="170" fontId="3" fillId="3" borderId="1" xfId="0" applyNumberFormat="1" applyFont="1" applyFill="1" applyBorder="1" applyAlignment="1">
      <alignment horizontal="right" vertical="center"/>
    </xf>
    <xf numFmtId="170" fontId="4" fillId="0" borderId="1" xfId="0" applyNumberFormat="1" applyFont="1" applyBorder="1" applyAlignment="1">
      <alignment horizontal="right" vertical="center"/>
    </xf>
    <xf numFmtId="170" fontId="33" fillId="0" borderId="1" xfId="0" applyNumberFormat="1" applyFont="1" applyBorder="1" applyAlignment="1">
      <alignment horizontal="right" vertical="center"/>
    </xf>
    <xf numFmtId="38" fontId="7" fillId="0" borderId="6" xfId="0" applyNumberFormat="1" applyFont="1" applyBorder="1">
      <alignment vertical="center"/>
    </xf>
    <xf numFmtId="38" fontId="7" fillId="0" borderId="18" xfId="0" applyNumberFormat="1" applyFont="1" applyBorder="1">
      <alignment vertical="center"/>
    </xf>
    <xf numFmtId="38" fontId="7" fillId="0" borderId="8" xfId="0" applyNumberFormat="1" applyFont="1" applyBorder="1">
      <alignment vertical="center"/>
    </xf>
    <xf numFmtId="170" fontId="3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/>
    </xf>
    <xf numFmtId="14" fontId="3" fillId="5" borderId="0" xfId="0" applyNumberFormat="1" applyFont="1" applyFill="1" applyAlignment="1">
      <alignment horizontal="center"/>
    </xf>
    <xf numFmtId="14" fontId="7" fillId="5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164" fontId="7" fillId="6" borderId="3" xfId="1" applyFont="1" applyFill="1" applyBorder="1" applyAlignment="1">
      <alignment horizontal="center" vertical="center" wrapText="1"/>
    </xf>
    <xf numFmtId="164" fontId="7" fillId="0" borderId="1" xfId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164" fontId="7" fillId="0" borderId="0" xfId="1" applyFont="1" applyAlignment="1">
      <alignment horizontal="center" vertical="center"/>
    </xf>
    <xf numFmtId="164" fontId="7" fillId="0" borderId="0" xfId="1" applyFont="1" applyAlignment="1">
      <alignment horizontal="center"/>
    </xf>
    <xf numFmtId="164" fontId="6" fillId="0" borderId="3" xfId="1" applyFont="1" applyBorder="1" applyAlignment="1">
      <alignment horizontal="center" vertical="center" wrapText="1"/>
    </xf>
    <xf numFmtId="164" fontId="3" fillId="0" borderId="1" xfId="1" applyFont="1" applyBorder="1" applyAlignment="1">
      <alignment horizontal="right" vertical="center"/>
    </xf>
    <xf numFmtId="164" fontId="7" fillId="0" borderId="0" xfId="1" applyFont="1" applyAlignment="1">
      <alignment horizontal="right" vertical="center"/>
    </xf>
    <xf numFmtId="164" fontId="5" fillId="0" borderId="0" xfId="1" applyFont="1" applyAlignment="1">
      <alignment horizontal="center" vertical="center" wrapText="1"/>
    </xf>
    <xf numFmtId="175" fontId="23" fillId="0" borderId="0" xfId="1" applyNumberFormat="1" applyFont="1">
      <alignment vertical="center"/>
    </xf>
    <xf numFmtId="175" fontId="7" fillId="6" borderId="3" xfId="1" applyNumberFormat="1" applyFont="1" applyFill="1" applyBorder="1" applyAlignment="1">
      <alignment horizontal="center" vertical="center" wrapText="1"/>
    </xf>
    <xf numFmtId="164" fontId="7" fillId="0" borderId="1" xfId="1" applyFont="1" applyFill="1" applyBorder="1" applyAlignment="1">
      <alignment horizontal="right" vertical="center"/>
    </xf>
    <xf numFmtId="0" fontId="20" fillId="6" borderId="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right" vertical="center"/>
    </xf>
    <xf numFmtId="167" fontId="7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6" borderId="0" xfId="0" applyFont="1" applyFill="1">
      <alignment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168" fontId="3" fillId="6" borderId="1" xfId="0" applyNumberFormat="1" applyFont="1" applyFill="1" applyBorder="1" applyAlignment="1">
      <alignment horizontal="right" vertical="center"/>
    </xf>
    <xf numFmtId="0" fontId="23" fillId="6" borderId="1" xfId="0" applyFont="1" applyFill="1" applyBorder="1">
      <alignment vertical="center"/>
    </xf>
    <xf numFmtId="0" fontId="3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7" fillId="6" borderId="0" xfId="0" applyFont="1" applyFill="1">
      <alignment vertical="center"/>
    </xf>
    <xf numFmtId="0" fontId="3" fillId="6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>
      <alignment vertical="center"/>
    </xf>
    <xf numFmtId="0" fontId="1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>
      <alignment vertical="center"/>
    </xf>
    <xf numFmtId="0" fontId="4" fillId="6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vertical="center" wrapText="1"/>
    </xf>
    <xf numFmtId="0" fontId="33" fillId="6" borderId="1" xfId="0" applyFont="1" applyFill="1" applyBorder="1">
      <alignment vertical="center"/>
    </xf>
    <xf numFmtId="0" fontId="33" fillId="6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right" vertical="center"/>
    </xf>
    <xf numFmtId="169" fontId="7" fillId="6" borderId="1" xfId="0" applyNumberFormat="1" applyFont="1" applyFill="1" applyBorder="1" applyAlignment="1">
      <alignment horizontal="right" vertical="center"/>
    </xf>
    <xf numFmtId="176" fontId="20" fillId="0" borderId="1" xfId="1" applyNumberFormat="1" applyFont="1" applyBorder="1" applyAlignment="1">
      <alignment horizontal="right" vertical="center" shrinkToFit="1"/>
    </xf>
    <xf numFmtId="176" fontId="20" fillId="0" borderId="15" xfId="1" applyNumberFormat="1" applyFont="1" applyBorder="1" applyAlignment="1">
      <alignment horizontal="right" vertical="center" shrinkToFit="1"/>
    </xf>
    <xf numFmtId="176" fontId="20" fillId="0" borderId="8" xfId="1" applyNumberFormat="1" applyFont="1" applyBorder="1" applyAlignment="1">
      <alignment horizontal="right" vertical="center" shrinkToFit="1"/>
    </xf>
    <xf numFmtId="0" fontId="3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168" fontId="6" fillId="6" borderId="3" xfId="0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/>
    </xf>
    <xf numFmtId="164" fontId="7" fillId="6" borderId="1" xfId="1" applyFont="1" applyFill="1" applyBorder="1" applyAlignment="1">
      <alignment horizontal="right" vertical="center"/>
    </xf>
    <xf numFmtId="164" fontId="3" fillId="6" borderId="1" xfId="1" applyFont="1" applyFill="1" applyBorder="1" applyAlignment="1">
      <alignment vertical="center" wrapText="1"/>
    </xf>
    <xf numFmtId="164" fontId="3" fillId="6" borderId="1" xfId="1" applyFont="1" applyFill="1" applyBorder="1" applyAlignment="1">
      <alignment horizontal="left" vertical="center" wrapText="1"/>
    </xf>
    <xf numFmtId="176" fontId="20" fillId="6" borderId="1" xfId="1" applyNumberFormat="1" applyFont="1" applyFill="1" applyBorder="1" applyAlignment="1">
      <alignment horizontal="right" vertical="center" shrinkToFit="1"/>
    </xf>
    <xf numFmtId="176" fontId="20" fillId="6" borderId="15" xfId="1" applyNumberFormat="1" applyFont="1" applyFill="1" applyBorder="1" applyAlignment="1">
      <alignment horizontal="right" vertical="center" shrinkToFit="1"/>
    </xf>
    <xf numFmtId="176" fontId="20" fillId="6" borderId="8" xfId="1" applyNumberFormat="1" applyFont="1" applyFill="1" applyBorder="1" applyAlignment="1">
      <alignment horizontal="right" vertical="center" shrinkToFit="1"/>
    </xf>
    <xf numFmtId="176" fontId="20" fillId="6" borderId="6" xfId="1" applyNumberFormat="1" applyFont="1" applyFill="1" applyBorder="1" applyAlignment="1">
      <alignment horizontal="right" vertical="center" shrinkToFit="1"/>
    </xf>
    <xf numFmtId="176" fontId="20" fillId="6" borderId="9" xfId="1" applyNumberFormat="1" applyFont="1" applyFill="1" applyBorder="1" applyAlignment="1">
      <alignment horizontal="right" vertical="center" shrinkToFit="1"/>
    </xf>
    <xf numFmtId="0" fontId="3" fillId="6" borderId="8" xfId="0" applyFont="1" applyFill="1" applyBorder="1" applyAlignment="1">
      <alignment horizontal="center" vertical="center" wrapText="1"/>
    </xf>
    <xf numFmtId="174" fontId="3" fillId="6" borderId="8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shrinkToFit="1"/>
    </xf>
    <xf numFmtId="164" fontId="4" fillId="6" borderId="1" xfId="1" applyFont="1" applyFill="1" applyBorder="1" applyAlignment="1">
      <alignment vertical="center" wrapText="1"/>
    </xf>
    <xf numFmtId="164" fontId="20" fillId="6" borderId="1" xfId="1" applyFont="1" applyFill="1" applyBorder="1" applyAlignment="1">
      <alignment horizontal="left" vertical="center" shrinkToFit="1"/>
    </xf>
    <xf numFmtId="0" fontId="35" fillId="0" borderId="0" xfId="0" applyFont="1">
      <alignment vertical="center"/>
    </xf>
    <xf numFmtId="0" fontId="23" fillId="6" borderId="0" xfId="0" applyFont="1" applyFill="1">
      <alignment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shrinkToFit="1"/>
    </xf>
    <xf numFmtId="168" fontId="3" fillId="7" borderId="1" xfId="0" applyNumberFormat="1" applyFont="1" applyFill="1" applyBorder="1" applyAlignment="1">
      <alignment horizontal="right" vertical="center"/>
    </xf>
    <xf numFmtId="167" fontId="3" fillId="7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>
      <alignment vertical="center"/>
    </xf>
    <xf numFmtId="169" fontId="3" fillId="0" borderId="0" xfId="0" applyNumberFormat="1" applyFont="1" applyAlignment="1">
      <alignment vertical="center" wrapText="1"/>
    </xf>
    <xf numFmtId="165" fontId="7" fillId="6" borderId="0" xfId="0" applyNumberFormat="1" applyFont="1" applyFill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/>
    </xf>
    <xf numFmtId="164" fontId="12" fillId="0" borderId="1" xfId="1" applyFont="1" applyFill="1" applyBorder="1" applyAlignment="1">
      <alignment horizontal="right" vertical="center" shrinkToFit="1"/>
    </xf>
    <xf numFmtId="0" fontId="3" fillId="0" borderId="1" xfId="0" applyFont="1" applyBorder="1" applyAlignment="1">
      <alignment horizontal="left" vertical="center" shrinkToFit="1"/>
    </xf>
    <xf numFmtId="0" fontId="12" fillId="0" borderId="1" xfId="0" applyFont="1" applyBorder="1" applyAlignment="1">
      <alignment horizontal="center" vertical="center" wrapText="1"/>
    </xf>
    <xf numFmtId="164" fontId="20" fillId="6" borderId="10" xfId="1" applyFont="1" applyFill="1" applyBorder="1" applyAlignment="1">
      <alignment horizontal="right" vertical="center" shrinkToFit="1"/>
    </xf>
    <xf numFmtId="164" fontId="20" fillId="6" borderId="9" xfId="1" applyFont="1" applyFill="1" applyBorder="1" applyAlignment="1">
      <alignment horizontal="right" vertical="center" shrinkToFit="1"/>
    </xf>
    <xf numFmtId="176" fontId="3" fillId="6" borderId="1" xfId="1" applyNumberFormat="1" applyFont="1" applyFill="1" applyBorder="1" applyAlignment="1">
      <alignment horizontal="right" vertical="center"/>
    </xf>
    <xf numFmtId="176" fontId="3" fillId="6" borderId="15" xfId="1" applyNumberFormat="1" applyFont="1" applyFill="1" applyBorder="1" applyAlignment="1">
      <alignment horizontal="right" vertical="center"/>
    </xf>
    <xf numFmtId="176" fontId="3" fillId="6" borderId="8" xfId="1" applyNumberFormat="1" applyFont="1" applyFill="1" applyBorder="1" applyAlignment="1">
      <alignment horizontal="right" vertical="center"/>
    </xf>
    <xf numFmtId="176" fontId="3" fillId="6" borderId="5" xfId="1" applyNumberFormat="1" applyFont="1" applyFill="1" applyBorder="1" applyAlignment="1">
      <alignment horizontal="right" vertical="center"/>
    </xf>
    <xf numFmtId="176" fontId="3" fillId="0" borderId="5" xfId="1" applyNumberFormat="1" applyFont="1" applyBorder="1" applyAlignment="1">
      <alignment horizontal="right" vertical="center"/>
    </xf>
    <xf numFmtId="176" fontId="3" fillId="0" borderId="1" xfId="1" applyNumberFormat="1" applyFont="1" applyBorder="1" applyAlignment="1">
      <alignment horizontal="right" vertical="center"/>
    </xf>
    <xf numFmtId="176" fontId="33" fillId="6" borderId="1" xfId="1" applyNumberFormat="1" applyFont="1" applyFill="1" applyBorder="1" applyAlignment="1">
      <alignment horizontal="right" vertical="center"/>
    </xf>
    <xf numFmtId="176" fontId="33" fillId="6" borderId="15" xfId="1" applyNumberFormat="1" applyFont="1" applyFill="1" applyBorder="1" applyAlignment="1">
      <alignment horizontal="right" vertical="center"/>
    </xf>
    <xf numFmtId="176" fontId="33" fillId="6" borderId="8" xfId="1" applyNumberFormat="1" applyFont="1" applyFill="1" applyBorder="1" applyAlignment="1">
      <alignment horizontal="right" vertical="center"/>
    </xf>
    <xf numFmtId="176" fontId="33" fillId="6" borderId="5" xfId="1" applyNumberFormat="1" applyFont="1" applyFill="1" applyBorder="1" applyAlignment="1">
      <alignment horizontal="right" vertical="center"/>
    </xf>
    <xf numFmtId="176" fontId="3" fillId="0" borderId="15" xfId="1" applyNumberFormat="1" applyFont="1" applyBorder="1" applyAlignment="1">
      <alignment horizontal="right" vertical="center"/>
    </xf>
    <xf numFmtId="176" fontId="3" fillId="0" borderId="8" xfId="1" applyNumberFormat="1" applyFont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>
      <alignment vertical="center"/>
    </xf>
    <xf numFmtId="164" fontId="20" fillId="6" borderId="1" xfId="1" applyFont="1" applyFill="1" applyBorder="1" applyAlignment="1">
      <alignment horizontal="right" vertical="center" shrinkToFit="1"/>
    </xf>
    <xf numFmtId="164" fontId="20" fillId="6" borderId="6" xfId="1" applyFont="1" applyFill="1" applyBorder="1" applyAlignment="1">
      <alignment horizontal="right" vertical="center" shrinkToFit="1"/>
    </xf>
    <xf numFmtId="164" fontId="20" fillId="6" borderId="15" xfId="1" applyFont="1" applyFill="1" applyBorder="1" applyAlignment="1">
      <alignment horizontal="right" vertical="center" shrinkToFit="1"/>
    </xf>
    <xf numFmtId="164" fontId="20" fillId="6" borderId="8" xfId="1" applyFont="1" applyFill="1" applyBorder="1" applyAlignment="1">
      <alignment horizontal="right" vertical="center" shrinkToFit="1"/>
    </xf>
    <xf numFmtId="0" fontId="12" fillId="0" borderId="1" xfId="0" applyFont="1" applyBorder="1" applyAlignment="1">
      <alignment horizontal="left" vertical="center"/>
    </xf>
    <xf numFmtId="0" fontId="4" fillId="2" borderId="0" xfId="0" applyFont="1" applyFill="1" applyAlignment="1">
      <alignment horizontal="center" vertical="center" wrapText="1"/>
    </xf>
    <xf numFmtId="0" fontId="37" fillId="0" borderId="0" xfId="0" applyFont="1">
      <alignment vertical="center"/>
    </xf>
    <xf numFmtId="0" fontId="38" fillId="6" borderId="0" xfId="0" applyFont="1" applyFill="1" applyAlignment="1">
      <alignment horizontal="left" vertical="center"/>
    </xf>
    <xf numFmtId="164" fontId="37" fillId="0" borderId="0" xfId="1" applyFont="1">
      <alignment vertical="center"/>
    </xf>
    <xf numFmtId="0" fontId="37" fillId="0" borderId="0" xfId="0" applyFont="1" applyAlignment="1">
      <alignment horizontal="center" vertical="center"/>
    </xf>
    <xf numFmtId="14" fontId="37" fillId="0" borderId="0" xfId="1" applyNumberFormat="1" applyFont="1" applyAlignment="1">
      <alignment horizontal="right"/>
    </xf>
    <xf numFmtId="0" fontId="6" fillId="8" borderId="2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164" fontId="35" fillId="0" borderId="0" xfId="1" applyFont="1">
      <alignment vertical="center"/>
    </xf>
    <xf numFmtId="0" fontId="41" fillId="0" borderId="0" xfId="0" applyFont="1" applyAlignment="1">
      <alignment horizontal="center" vertical="center"/>
    </xf>
    <xf numFmtId="164" fontId="19" fillId="0" borderId="0" xfId="1" applyFont="1" applyAlignment="1">
      <alignment horizontal="left" vertical="top"/>
    </xf>
    <xf numFmtId="164" fontId="19" fillId="0" borderId="0" xfId="1" applyFont="1">
      <alignment vertical="center"/>
    </xf>
    <xf numFmtId="175" fontId="37" fillId="0" borderId="0" xfId="1" applyNumberFormat="1" applyFont="1" applyAlignment="1">
      <alignment vertical="center"/>
    </xf>
    <xf numFmtId="177" fontId="37" fillId="0" borderId="0" xfId="2" applyNumberFormat="1" applyFont="1" applyAlignment="1">
      <alignment vertical="center"/>
    </xf>
    <xf numFmtId="168" fontId="4" fillId="0" borderId="0" xfId="0" applyNumberFormat="1" applyFont="1" applyAlignment="1"/>
    <xf numFmtId="168" fontId="4" fillId="0" borderId="0" xfId="0" applyNumberFormat="1" applyFont="1" applyAlignment="1">
      <alignment wrapText="1"/>
    </xf>
    <xf numFmtId="176" fontId="3" fillId="6" borderId="1" xfId="1" applyNumberFormat="1" applyFont="1" applyFill="1" applyBorder="1" applyAlignment="1">
      <alignment vertical="center"/>
    </xf>
    <xf numFmtId="176" fontId="3" fillId="6" borderId="15" xfId="1" applyNumberFormat="1" applyFont="1" applyFill="1" applyBorder="1" applyAlignment="1">
      <alignment vertical="center"/>
    </xf>
    <xf numFmtId="176" fontId="3" fillId="6" borderId="8" xfId="1" applyNumberFormat="1" applyFont="1" applyFill="1" applyBorder="1" applyAlignment="1">
      <alignment vertical="center"/>
    </xf>
    <xf numFmtId="165" fontId="37" fillId="0" borderId="0" xfId="0" applyNumberFormat="1" applyFont="1">
      <alignment vertical="center"/>
    </xf>
    <xf numFmtId="14" fontId="9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/>
    </xf>
    <xf numFmtId="14" fontId="7" fillId="6" borderId="3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14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68" fontId="7" fillId="7" borderId="1" xfId="0" applyNumberFormat="1" applyFont="1" applyFill="1" applyBorder="1" applyAlignment="1">
      <alignment horizontal="right" vertical="center"/>
    </xf>
    <xf numFmtId="167" fontId="7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42" fillId="0" borderId="0" xfId="0" applyFont="1" applyAlignment="1">
      <alignment horizontal="center" vertical="center"/>
    </xf>
    <xf numFmtId="164" fontId="20" fillId="4" borderId="15" xfId="1" applyFont="1" applyFill="1" applyBorder="1" applyAlignment="1">
      <alignment horizontal="right" vertical="center" shrinkToFit="1"/>
    </xf>
    <xf numFmtId="164" fontId="3" fillId="4" borderId="1" xfId="1" applyFont="1" applyFill="1" applyBorder="1" applyAlignment="1">
      <alignment horizontal="right" vertical="center" shrinkToFit="1"/>
    </xf>
    <xf numFmtId="164" fontId="41" fillId="0" borderId="1" xfId="1" applyFont="1" applyBorder="1">
      <alignment vertical="center"/>
    </xf>
    <xf numFmtId="0" fontId="41" fillId="0" borderId="1" xfId="0" applyFont="1" applyBorder="1" applyAlignment="1">
      <alignment horizontal="center" vertical="center"/>
    </xf>
    <xf numFmtId="175" fontId="41" fillId="0" borderId="1" xfId="1" applyNumberFormat="1" applyFont="1" applyBorder="1">
      <alignment vertical="center"/>
    </xf>
    <xf numFmtId="176" fontId="41" fillId="0" borderId="1" xfId="1" applyNumberFormat="1" applyFont="1" applyBorder="1">
      <alignment vertical="center"/>
    </xf>
    <xf numFmtId="175" fontId="41" fillId="0" borderId="1" xfId="1" applyNumberFormat="1" applyFont="1" applyBorder="1" applyAlignment="1">
      <alignment vertical="center"/>
    </xf>
    <xf numFmtId="164" fontId="7" fillId="0" borderId="0" xfId="1" applyFont="1">
      <alignment vertical="center"/>
    </xf>
    <xf numFmtId="176" fontId="41" fillId="0" borderId="1" xfId="1" applyNumberFormat="1" applyFont="1" applyBorder="1" applyAlignment="1">
      <alignment vertical="center"/>
    </xf>
    <xf numFmtId="176" fontId="41" fillId="0" borderId="6" xfId="1" applyNumberFormat="1" applyFont="1" applyBorder="1" applyAlignment="1">
      <alignment vertical="center"/>
    </xf>
    <xf numFmtId="164" fontId="41" fillId="6" borderId="1" xfId="1" applyFont="1" applyFill="1" applyBorder="1">
      <alignment vertical="center"/>
    </xf>
    <xf numFmtId="164" fontId="41" fillId="0" borderId="1" xfId="1" applyFont="1" applyBorder="1" applyAlignment="1">
      <alignment vertical="center" wrapText="1"/>
    </xf>
    <xf numFmtId="164" fontId="3" fillId="0" borderId="1" xfId="1" applyFont="1" applyBorder="1">
      <alignment vertical="center"/>
    </xf>
    <xf numFmtId="168" fontId="3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  <xf numFmtId="164" fontId="41" fillId="0" borderId="19" xfId="1" applyFont="1" applyBorder="1">
      <alignment vertical="center"/>
    </xf>
    <xf numFmtId="164" fontId="40" fillId="0" borderId="3" xfId="1" applyFont="1" applyBorder="1">
      <alignment vertical="center"/>
    </xf>
    <xf numFmtId="0" fontId="40" fillId="0" borderId="3" xfId="0" applyFont="1" applyBorder="1" applyAlignment="1">
      <alignment horizontal="center" vertical="center"/>
    </xf>
    <xf numFmtId="175" fontId="40" fillId="0" borderId="3" xfId="1" applyNumberFormat="1" applyFont="1" applyBorder="1">
      <alignment vertical="center"/>
    </xf>
    <xf numFmtId="176" fontId="40" fillId="0" borderId="3" xfId="1" applyNumberFormat="1" applyFont="1" applyBorder="1">
      <alignment vertical="center"/>
    </xf>
    <xf numFmtId="176" fontId="40" fillId="0" borderId="3" xfId="1" applyNumberFormat="1" applyFont="1" applyBorder="1" applyAlignment="1">
      <alignment vertical="center"/>
    </xf>
    <xf numFmtId="175" fontId="40" fillId="0" borderId="3" xfId="1" applyNumberFormat="1" applyFont="1" applyBorder="1" applyAlignment="1">
      <alignment vertical="center"/>
    </xf>
    <xf numFmtId="176" fontId="40" fillId="0" borderId="23" xfId="1" applyNumberFormat="1" applyFont="1" applyBorder="1" applyAlignment="1">
      <alignment vertical="center"/>
    </xf>
    <xf numFmtId="0" fontId="7" fillId="0" borderId="1" xfId="0" applyFont="1" applyBorder="1">
      <alignment vertical="center"/>
    </xf>
    <xf numFmtId="0" fontId="37" fillId="0" borderId="1" xfId="0" applyFont="1" applyBorder="1">
      <alignment vertical="center"/>
    </xf>
    <xf numFmtId="0" fontId="39" fillId="6" borderId="1" xfId="0" applyFont="1" applyFill="1" applyBorder="1" applyAlignment="1">
      <alignment vertical="center" wrapText="1"/>
    </xf>
    <xf numFmtId="164" fontId="7" fillId="0" borderId="1" xfId="1" applyFont="1" applyBorder="1">
      <alignment vertical="center"/>
    </xf>
    <xf numFmtId="168" fontId="7" fillId="0" borderId="1" xfId="0" applyNumberFormat="1" applyFont="1" applyBorder="1" applyAlignment="1">
      <alignment horizontal="center" vertical="center"/>
    </xf>
    <xf numFmtId="164" fontId="7" fillId="0" borderId="6" xfId="1" applyFont="1" applyBorder="1">
      <alignment vertical="center"/>
    </xf>
    <xf numFmtId="164" fontId="7" fillId="6" borderId="1" xfId="1" applyFont="1" applyFill="1" applyBorder="1">
      <alignment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4" fillId="6" borderId="0" xfId="0" applyFont="1" applyFill="1" applyAlignment="1">
      <alignment horizontal="center" vertical="center"/>
    </xf>
    <xf numFmtId="0" fontId="33" fillId="6" borderId="1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 shrinkToFit="1"/>
    </xf>
    <xf numFmtId="174" fontId="3" fillId="6" borderId="8" xfId="0" applyNumberFormat="1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176" fontId="41" fillId="6" borderId="1" xfId="1" applyNumberFormat="1" applyFont="1" applyFill="1" applyBorder="1" applyAlignment="1">
      <alignment vertical="center"/>
    </xf>
    <xf numFmtId="175" fontId="41" fillId="7" borderId="1" xfId="1" applyNumberFormat="1" applyFont="1" applyFill="1" applyBorder="1" applyAlignment="1">
      <alignment vertical="center"/>
    </xf>
    <xf numFmtId="176" fontId="3" fillId="7" borderId="1" xfId="1" applyNumberFormat="1" applyFont="1" applyFill="1" applyBorder="1" applyAlignment="1">
      <alignment horizontal="right" vertical="center"/>
    </xf>
    <xf numFmtId="14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center" vertical="center" shrinkToFit="1"/>
    </xf>
    <xf numFmtId="168" fontId="43" fillId="0" borderId="1" xfId="0" applyNumberFormat="1" applyFont="1" applyBorder="1" applyAlignment="1">
      <alignment horizontal="right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>
      <alignment vertical="center"/>
    </xf>
    <xf numFmtId="0" fontId="7" fillId="7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8" fontId="4" fillId="2" borderId="2" xfId="0" applyNumberFormat="1" applyFont="1" applyFill="1" applyBorder="1" applyAlignment="1">
      <alignment horizontal="center" vertical="center" wrapText="1"/>
    </xf>
    <xf numFmtId="38" fontId="4" fillId="2" borderId="4" xfId="0" applyNumberFormat="1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8" fontId="6" fillId="2" borderId="2" xfId="0" applyNumberFormat="1" applyFont="1" applyFill="1" applyBorder="1" applyAlignment="1">
      <alignment horizontal="center" vertical="center" wrapText="1"/>
    </xf>
    <xf numFmtId="168" fontId="6" fillId="2" borderId="3" xfId="0" applyNumberFormat="1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4" fontId="6" fillId="2" borderId="2" xfId="0" applyNumberFormat="1" applyFont="1" applyFill="1" applyBorder="1" applyAlignment="1">
      <alignment horizontal="center" vertical="center" wrapText="1"/>
    </xf>
    <xf numFmtId="14" fontId="6" fillId="2" borderId="3" xfId="0" applyNumberFormat="1" applyFont="1" applyFill="1" applyBorder="1" applyAlignment="1">
      <alignment horizontal="center" vertical="center" wrapText="1"/>
    </xf>
    <xf numFmtId="164" fontId="6" fillId="2" borderId="2" xfId="1" applyFont="1" applyFill="1" applyBorder="1" applyAlignment="1">
      <alignment horizontal="center" vertical="center" wrapText="1"/>
    </xf>
    <xf numFmtId="164" fontId="6" fillId="2" borderId="3" xfId="1" applyFont="1" applyFill="1" applyBorder="1" applyAlignment="1">
      <alignment horizontal="center" vertical="center" wrapText="1"/>
    </xf>
    <xf numFmtId="168" fontId="4" fillId="2" borderId="2" xfId="0" applyNumberFormat="1" applyFont="1" applyFill="1" applyBorder="1" applyAlignment="1">
      <alignment horizontal="center" vertical="center" wrapText="1"/>
    </xf>
    <xf numFmtId="168" fontId="4" fillId="2" borderId="3" xfId="0" applyNumberFormat="1" applyFont="1" applyFill="1" applyBorder="1" applyAlignment="1">
      <alignment horizontal="center" vertical="center" wrapText="1"/>
    </xf>
    <xf numFmtId="168" fontId="4" fillId="2" borderId="16" xfId="0" applyNumberFormat="1" applyFont="1" applyFill="1" applyBorder="1" applyAlignment="1">
      <alignment horizontal="center" vertical="center" wrapText="1"/>
    </xf>
    <xf numFmtId="168" fontId="4" fillId="2" borderId="17" xfId="0" applyNumberFormat="1" applyFont="1" applyFill="1" applyBorder="1" applyAlignment="1">
      <alignment horizontal="center" vertical="center" wrapText="1"/>
    </xf>
    <xf numFmtId="168" fontId="4" fillId="2" borderId="8" xfId="0" applyNumberFormat="1" applyFont="1" applyFill="1" applyBorder="1" applyAlignment="1">
      <alignment horizontal="center" vertical="center" wrapText="1"/>
    </xf>
    <xf numFmtId="168" fontId="4" fillId="2" borderId="6" xfId="0" applyNumberFormat="1" applyFont="1" applyFill="1" applyBorder="1" applyAlignment="1">
      <alignment horizontal="center" vertical="center" wrapText="1"/>
    </xf>
    <xf numFmtId="168" fontId="4" fillId="2" borderId="7" xfId="0" applyNumberFormat="1" applyFont="1" applyFill="1" applyBorder="1" applyAlignment="1">
      <alignment horizontal="center" vertical="center" wrapText="1"/>
    </xf>
    <xf numFmtId="168" fontId="4" fillId="2" borderId="9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6">
    <cellStyle name="Comma [0]" xfId="1" builtinId="6"/>
    <cellStyle name="Normal" xfId="0" builtinId="0"/>
    <cellStyle name="Percent" xfId="2" builtinId="5"/>
    <cellStyle name="쉼표 [0] 2" xfId="3" xr:uid="{357474BE-003A-4497-8139-D5D7D872F904}"/>
    <cellStyle name="쉼표 [0] 2 2" xfId="5" xr:uid="{838E09B5-EA2E-4587-9D1F-ED5DFB713A98}"/>
    <cellStyle name="쉼표 [0] 3" xfId="4" xr:uid="{F9E94CB4-012E-4D47-970E-EEE8E7986693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표 스타일 1" pivot="0" count="0" xr9:uid="{FC3D2DF4-2A4D-4A79-A3BB-4A945857651D}"/>
  </tableStyles>
  <colors>
    <mruColors>
      <color rgb="FFCCFFFF"/>
      <color rgb="FFFFFF00"/>
      <color rgb="FF0000FF"/>
      <color rgb="FFCCFF33"/>
      <color rgb="FFFF00FF"/>
      <color rgb="FF99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439239</xdr:colOff>
          <xdr:row>2</xdr:row>
          <xdr:rowOff>164374</xdr:rowOff>
        </xdr:from>
        <xdr:to>
          <xdr:col>30</xdr:col>
          <xdr:colOff>510952</xdr:colOff>
          <xdr:row>25</xdr:row>
          <xdr:rowOff>190500</xdr:rowOff>
        </xdr:to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57C8DFAB-1F35-6A75-FC05-DB227F67083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R$46" spid="_x0000_s94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96703" y="844731"/>
              <a:ext cx="7073677" cy="5346519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313765</xdr:colOff>
          <xdr:row>0</xdr:row>
          <xdr:rowOff>69142</xdr:rowOff>
        </xdr:from>
        <xdr:to>
          <xdr:col>41</xdr:col>
          <xdr:colOff>59840</xdr:colOff>
          <xdr:row>8</xdr:row>
          <xdr:rowOff>136794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9C2136B3-F7E3-48B2-8D4E-E3F843104A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:$R$9" spid="_x0000_s184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228794" y="69142"/>
              <a:ext cx="13839265" cy="24540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박 현준" id="{14D7C567-A89F-41AC-896D-15F21F94CE44}" userId="S::sdd0108@daesunenc.onmicrosoft.com::e828ee9d-e776-4fe0-9d0f-c77f91ae889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2" dT="2026-05-17T08:09:53.07" personId="{14D7C567-A89F-41AC-896D-15F21F94CE44}" id="{C1B6AFA9-B178-4580-AE1A-13438F43780A}">
    <text>POR-1038</text>
  </threadedComment>
  <threadedComment ref="K25" dT="2026-05-17T08:09:53.07" personId="{14D7C567-A89F-41AC-896D-15F21F94CE44}" id="{CAD0F3CE-ABB5-40C7-BB88-292473E90532}">
    <text>POR-1038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0BEE-602F-4808-8FE0-D4F2B066D481}">
  <sheetPr>
    <tabColor rgb="FF0070C0"/>
    <pageSetUpPr fitToPage="1"/>
  </sheetPr>
  <dimension ref="A1:BY59"/>
  <sheetViews>
    <sheetView tabSelected="1" zoomScale="115" zoomScaleNormal="115" workbookViewId="0">
      <pane xSplit="8" ySplit="4" topLeftCell="N41" activePane="bottomRight" state="frozen"/>
      <selection pane="topRight" activeCell="I1" sqref="I1"/>
      <selection pane="bottomLeft" activeCell="A5" sqref="A5"/>
      <selection pane="bottomRight" activeCell="S47" sqref="S47"/>
    </sheetView>
  </sheetViews>
  <sheetFormatPr defaultColWidth="9" defaultRowHeight="13.8" outlineLevelCol="1"/>
  <cols>
    <col min="1" max="1" width="4.21875" style="29" customWidth="1"/>
    <col min="2" max="2" width="8.44140625" style="29" customWidth="1"/>
    <col min="3" max="3" width="6.88671875" style="1" customWidth="1"/>
    <col min="4" max="4" width="14.109375" style="30" bestFit="1" customWidth="1"/>
    <col min="5" max="5" width="31" style="1" customWidth="1"/>
    <col min="6" max="6" width="18.21875" style="30" bestFit="1" customWidth="1"/>
    <col min="7" max="7" width="15.88671875" style="44" bestFit="1" customWidth="1"/>
    <col min="8" max="8" width="5.6640625" style="29" customWidth="1"/>
    <col min="9" max="14" width="8.88671875" style="34" customWidth="1" outlineLevel="1"/>
    <col min="15" max="19" width="8.88671875" style="34" customWidth="1"/>
    <col min="20" max="20" width="23" style="1" bestFit="1" customWidth="1"/>
    <col min="21" max="21" width="12.109375" style="20" customWidth="1"/>
    <col min="22" max="22" width="20.21875" style="20" bestFit="1" customWidth="1"/>
    <col min="23" max="23" width="15.21875" style="20" bestFit="1" customWidth="1"/>
    <col min="24" max="24" width="6" style="29" customWidth="1"/>
    <col min="25" max="25" width="5.109375" style="29" customWidth="1"/>
    <col min="26" max="26" width="9" style="53"/>
    <col min="27" max="28" width="9" style="20"/>
    <col min="29" max="31" width="9" style="89"/>
    <col min="32" max="32" width="7.21875" style="20" customWidth="1"/>
    <col min="33" max="33" width="8.88671875" style="20" customWidth="1"/>
    <col min="34" max="34" width="9" style="20"/>
    <col min="35" max="41" width="6.6640625" style="94" hidden="1" customWidth="1" outlineLevel="1"/>
    <col min="42" max="50" width="6.6640625" style="29" hidden="1" customWidth="1" outlineLevel="1"/>
    <col min="51" max="51" width="6.6640625" style="29" hidden="1" customWidth="1" outlineLevel="1" collapsed="1"/>
    <col min="52" max="54" width="6.6640625" style="29" hidden="1" customWidth="1" outlineLevel="1"/>
    <col min="55" max="55" width="8.5546875" style="29" hidden="1" customWidth="1" outlineLevel="1"/>
    <col min="56" max="56" width="9.5546875" style="29" hidden="1" customWidth="1" collapsed="1"/>
    <col min="57" max="57" width="6.6640625" style="29" hidden="1" customWidth="1"/>
    <col min="58" max="64" width="6.6640625" style="20" hidden="1" customWidth="1"/>
    <col min="65" max="65" width="10.109375" style="20" hidden="1" customWidth="1"/>
    <col min="66" max="68" width="10.5546875" style="20" hidden="1" customWidth="1"/>
    <col min="69" max="69" width="11" style="20" hidden="1" customWidth="1"/>
    <col min="70" max="70" width="11.6640625" style="20" hidden="1" customWidth="1"/>
    <col min="71" max="71" width="10.5546875" style="20" hidden="1" customWidth="1"/>
    <col min="72" max="73" width="0" style="20" hidden="1" customWidth="1"/>
    <col min="74" max="76" width="9.5546875" style="20" bestFit="1" customWidth="1"/>
    <col min="77" max="16384" width="9" style="20"/>
  </cols>
  <sheetData>
    <row r="1" spans="1:77" s="23" customFormat="1" ht="41.25" customHeight="1">
      <c r="A1" s="20"/>
      <c r="B1" s="20"/>
      <c r="C1" s="21" t="s">
        <v>445</v>
      </c>
      <c r="D1" s="22"/>
      <c r="E1" s="21"/>
      <c r="F1" s="22"/>
      <c r="G1" s="22"/>
      <c r="H1" s="40"/>
      <c r="I1" s="32" t="s">
        <v>393</v>
      </c>
      <c r="J1" s="32"/>
      <c r="K1" s="32"/>
      <c r="L1" s="32"/>
      <c r="M1" s="32"/>
      <c r="N1" s="32"/>
      <c r="O1" s="192" t="s">
        <v>268</v>
      </c>
      <c r="P1" s="32"/>
      <c r="Q1" s="32"/>
      <c r="R1" s="32"/>
      <c r="S1" s="32"/>
      <c r="T1" s="21" t="s">
        <v>38</v>
      </c>
      <c r="X1" s="48"/>
      <c r="Y1" s="48"/>
      <c r="Z1" s="49"/>
      <c r="AC1" s="86"/>
      <c r="AD1" s="86"/>
      <c r="AE1" s="86"/>
      <c r="AI1" s="92"/>
      <c r="AJ1" s="92"/>
      <c r="AK1" s="92"/>
      <c r="AL1" s="92"/>
      <c r="AM1" s="92"/>
      <c r="AN1" s="92"/>
      <c r="AO1" s="92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</row>
    <row r="2" spans="1:77" s="24" customFormat="1" ht="29.25" customHeight="1">
      <c r="C2" s="26" t="s">
        <v>39</v>
      </c>
      <c r="D2" s="27"/>
      <c r="E2" s="26"/>
      <c r="F2" s="27"/>
      <c r="G2" s="43"/>
      <c r="H2" s="25"/>
      <c r="I2" s="33"/>
      <c r="J2" s="33"/>
      <c r="K2" s="33"/>
      <c r="L2" s="33"/>
      <c r="M2" s="33"/>
      <c r="N2" s="33"/>
      <c r="O2" s="33"/>
      <c r="P2" s="33"/>
      <c r="Q2" s="33"/>
      <c r="R2" s="103"/>
      <c r="S2" s="33"/>
      <c r="T2" s="232">
        <f ca="1">TODAY()</f>
        <v>46174</v>
      </c>
      <c r="X2" s="25"/>
      <c r="Y2" s="25"/>
      <c r="Z2" s="50"/>
      <c r="AC2" s="87"/>
      <c r="AD2" s="87"/>
      <c r="AE2" s="87"/>
      <c r="AI2" s="93"/>
      <c r="AJ2" s="93"/>
      <c r="AK2" s="93"/>
      <c r="AL2" s="93"/>
      <c r="AM2" s="93"/>
      <c r="AN2" s="93"/>
      <c r="AO2" s="93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</row>
    <row r="3" spans="1:77" s="28" customFormat="1" ht="26.25" customHeight="1">
      <c r="A3" s="20"/>
      <c r="B3" s="29" t="s">
        <v>42</v>
      </c>
      <c r="C3" s="430" t="s">
        <v>43</v>
      </c>
      <c r="D3" s="430" t="s">
        <v>35</v>
      </c>
      <c r="E3" s="430" t="s">
        <v>44</v>
      </c>
      <c r="F3" s="430" t="s">
        <v>45</v>
      </c>
      <c r="G3" s="430" t="s">
        <v>46</v>
      </c>
      <c r="H3" s="430" t="s">
        <v>47</v>
      </c>
      <c r="I3" s="183" t="s">
        <v>440</v>
      </c>
      <c r="J3" s="183"/>
      <c r="K3" s="183"/>
      <c r="L3" s="183"/>
      <c r="M3" s="183"/>
      <c r="N3" s="195"/>
      <c r="O3" s="193" t="s">
        <v>444</v>
      </c>
      <c r="P3" s="184"/>
      <c r="Q3" s="184"/>
      <c r="R3" s="184"/>
      <c r="S3" s="184"/>
      <c r="T3" s="430" t="s">
        <v>10</v>
      </c>
      <c r="V3" s="424" t="s">
        <v>53</v>
      </c>
      <c r="W3" s="424" t="s">
        <v>46</v>
      </c>
      <c r="X3" s="424" t="s">
        <v>47</v>
      </c>
      <c r="Y3" s="51"/>
      <c r="Z3" s="52"/>
      <c r="AC3" s="88" t="s">
        <v>418</v>
      </c>
      <c r="AD3" s="88"/>
      <c r="AE3" s="88"/>
      <c r="AF3" s="90"/>
      <c r="AG3" s="105" t="s">
        <v>364</v>
      </c>
      <c r="AI3" s="91" t="s">
        <v>443</v>
      </c>
      <c r="AJ3" s="93"/>
      <c r="AK3" s="93"/>
      <c r="AL3" s="93"/>
      <c r="AM3" s="93"/>
      <c r="AN3" s="93"/>
      <c r="AO3" s="93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22"/>
      <c r="BD3" s="222"/>
      <c r="BE3" s="222"/>
      <c r="BF3" s="104"/>
      <c r="BG3" s="104"/>
      <c r="BH3" s="104"/>
      <c r="BI3" s="104"/>
      <c r="BJ3" s="104"/>
      <c r="BK3" s="104"/>
    </row>
    <row r="4" spans="1:77" s="28" customFormat="1" ht="26.25" customHeight="1">
      <c r="A4" s="20"/>
      <c r="B4" s="29"/>
      <c r="C4" s="432"/>
      <c r="D4" s="432"/>
      <c r="E4" s="432"/>
      <c r="F4" s="432"/>
      <c r="G4" s="432"/>
      <c r="H4" s="432"/>
      <c r="I4" s="112" t="s">
        <v>381</v>
      </c>
      <c r="J4" s="112" t="s">
        <v>382</v>
      </c>
      <c r="K4" s="112" t="s">
        <v>383</v>
      </c>
      <c r="L4" s="112" t="s">
        <v>394</v>
      </c>
      <c r="M4" s="112" t="s">
        <v>395</v>
      </c>
      <c r="N4" s="196" t="s">
        <v>441</v>
      </c>
      <c r="O4" s="152" t="s">
        <v>382</v>
      </c>
      <c r="P4" s="45" t="s">
        <v>384</v>
      </c>
      <c r="Q4" s="45" t="s">
        <v>619</v>
      </c>
      <c r="R4" s="45" t="s">
        <v>385</v>
      </c>
      <c r="S4" s="45" t="s">
        <v>442</v>
      </c>
      <c r="T4" s="432"/>
      <c r="V4" s="424"/>
      <c r="W4" s="424"/>
      <c r="X4" s="424"/>
      <c r="Y4" s="51"/>
      <c r="Z4" s="52"/>
      <c r="AC4" s="88"/>
      <c r="AD4" s="88"/>
      <c r="AE4" s="88"/>
      <c r="AF4" s="90"/>
      <c r="AG4" s="182"/>
      <c r="AI4" s="221">
        <v>45759</v>
      </c>
      <c r="AJ4" s="221">
        <v>45764</v>
      </c>
      <c r="AK4" s="221">
        <v>45772</v>
      </c>
      <c r="AL4" s="221">
        <v>45777</v>
      </c>
      <c r="AM4" s="221">
        <v>45787</v>
      </c>
      <c r="AN4" s="221">
        <v>45792</v>
      </c>
      <c r="AO4" s="221">
        <v>45801</v>
      </c>
      <c r="AP4" s="221">
        <v>45806</v>
      </c>
      <c r="AQ4" s="221">
        <v>45820</v>
      </c>
      <c r="AR4" s="221">
        <v>45829</v>
      </c>
      <c r="AS4" s="221">
        <v>45837</v>
      </c>
      <c r="AT4" s="221">
        <v>45843</v>
      </c>
      <c r="AU4" s="221">
        <v>45851</v>
      </c>
      <c r="AV4" s="221">
        <v>45857</v>
      </c>
      <c r="AW4" s="221">
        <v>45865</v>
      </c>
      <c r="AX4" s="221">
        <v>45871</v>
      </c>
      <c r="AY4" s="221">
        <v>45876</v>
      </c>
      <c r="AZ4" s="221">
        <v>45885</v>
      </c>
      <c r="BA4" s="221">
        <v>45890</v>
      </c>
      <c r="BB4" s="221">
        <v>45896</v>
      </c>
      <c r="BC4" s="221">
        <v>45904</v>
      </c>
      <c r="BD4" s="221">
        <v>45912</v>
      </c>
      <c r="BE4" s="221">
        <v>45918</v>
      </c>
      <c r="BF4" s="221">
        <v>45927</v>
      </c>
      <c r="BG4" s="221">
        <v>45929</v>
      </c>
      <c r="BH4" s="221">
        <v>45932</v>
      </c>
      <c r="BI4" s="221">
        <v>45941</v>
      </c>
      <c r="BJ4" s="221">
        <v>45946</v>
      </c>
      <c r="BK4" s="221">
        <v>45955</v>
      </c>
      <c r="BL4" s="221">
        <v>45960</v>
      </c>
      <c r="BM4" s="231">
        <v>45969</v>
      </c>
      <c r="BN4" s="231">
        <v>45974</v>
      </c>
      <c r="BO4" s="231">
        <v>45983</v>
      </c>
      <c r="BP4" s="231">
        <v>45988</v>
      </c>
      <c r="BQ4" s="231">
        <v>45997</v>
      </c>
      <c r="BR4" s="231">
        <v>46002</v>
      </c>
      <c r="BS4" s="231">
        <v>46011</v>
      </c>
      <c r="BT4" s="231">
        <v>46023</v>
      </c>
      <c r="BU4" s="231">
        <v>46029</v>
      </c>
      <c r="BV4" s="231">
        <v>46036</v>
      </c>
      <c r="BW4" s="231">
        <v>46078</v>
      </c>
      <c r="BX4" s="231">
        <v>46085</v>
      </c>
    </row>
    <row r="5" spans="1:77" s="123" customFormat="1" ht="18" customHeight="1">
      <c r="A5" s="29">
        <v>1</v>
      </c>
      <c r="B5" s="29"/>
      <c r="C5" s="117" t="s">
        <v>252</v>
      </c>
      <c r="D5" s="118"/>
      <c r="E5" s="119" t="s">
        <v>67</v>
      </c>
      <c r="F5" s="118"/>
      <c r="G5" s="120"/>
      <c r="H5" s="117"/>
      <c r="I5" s="121"/>
      <c r="J5" s="121"/>
      <c r="K5" s="121"/>
      <c r="L5" s="121"/>
      <c r="M5" s="121"/>
      <c r="N5" s="197"/>
      <c r="O5" s="194"/>
      <c r="P5" s="135"/>
      <c r="Q5" s="121"/>
      <c r="R5" s="121"/>
      <c r="S5" s="121"/>
      <c r="T5" s="136"/>
      <c r="X5" s="31"/>
      <c r="Y5" s="31"/>
      <c r="Z5" s="137"/>
      <c r="AA5" s="138"/>
      <c r="AB5" s="138"/>
      <c r="AC5" s="138"/>
      <c r="AD5" s="139"/>
      <c r="AE5" s="139"/>
      <c r="AG5" s="143">
        <f t="shared" ref="AG5" si="0">BI5-S5</f>
        <v>0</v>
      </c>
      <c r="AI5" s="140"/>
      <c r="AJ5" s="140"/>
      <c r="AK5" s="140"/>
      <c r="AL5" s="140"/>
      <c r="AM5" s="140"/>
      <c r="AN5" s="140"/>
      <c r="AO5" s="140"/>
      <c r="AP5" s="140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44"/>
      <c r="BC5" s="144"/>
      <c r="BD5" s="144"/>
      <c r="BE5" s="117"/>
      <c r="BF5" s="136"/>
      <c r="BG5" s="136"/>
      <c r="BH5" s="136"/>
      <c r="BI5" s="136"/>
      <c r="BJ5" s="136"/>
      <c r="BK5" s="136"/>
      <c r="BL5" s="10"/>
      <c r="BM5" s="136"/>
      <c r="BN5" s="136"/>
      <c r="BO5" s="136"/>
      <c r="BP5" s="136"/>
      <c r="BQ5" s="136"/>
      <c r="BR5" s="136"/>
      <c r="BS5" s="136"/>
      <c r="BT5" s="136"/>
      <c r="BU5" s="136"/>
      <c r="BV5" s="136"/>
      <c r="BW5" s="136"/>
      <c r="BX5" s="136"/>
    </row>
    <row r="6" spans="1:77" ht="18" customHeight="1">
      <c r="A6" s="29">
        <v>9</v>
      </c>
      <c r="B6" s="263" t="s">
        <v>180</v>
      </c>
      <c r="C6" s="249">
        <v>1</v>
      </c>
      <c r="D6" s="269" t="s">
        <v>32</v>
      </c>
      <c r="E6" s="270" t="s">
        <v>28</v>
      </c>
      <c r="F6" s="269" t="s">
        <v>23</v>
      </c>
      <c r="G6" s="260" t="s">
        <v>24</v>
      </c>
      <c r="H6" s="249" t="s">
        <v>2</v>
      </c>
      <c r="I6" s="321">
        <v>17500</v>
      </c>
      <c r="J6" s="321">
        <f>SUMIFS('POR Control Log-income'!L:L,'POR Control Log-income'!F:F,본공사입.출고현황!B6)</f>
        <v>17200</v>
      </c>
      <c r="K6" s="321">
        <f t="shared" ref="K6:K20" si="1">I6-J6</f>
        <v>300</v>
      </c>
      <c r="L6" s="321">
        <v>300</v>
      </c>
      <c r="M6" s="321">
        <f>SUMIFS('POR Control Log-income'!L:L,'POR Control Log-income'!F:F,본공사입.출고현황!B6)</f>
        <v>17200</v>
      </c>
      <c r="N6" s="322">
        <f>J6-M6</f>
        <v>0</v>
      </c>
      <c r="O6" s="323">
        <f t="shared" ref="O6:O17" si="2">M6</f>
        <v>17200</v>
      </c>
      <c r="P6" s="324">
        <f>SUMIFS('POR Control Log-out'!L:L,'POR Control Log-out'!D:D,본공사입.출고현황!B6)</f>
        <v>14194.1</v>
      </c>
      <c r="Q6" s="321"/>
      <c r="R6" s="321">
        <v>872.40000000000009</v>
      </c>
      <c r="S6" s="321">
        <f t="shared" ref="S6:S50" si="3">O6-Q6-R6-P6</f>
        <v>2133.5</v>
      </c>
      <c r="T6" s="404"/>
      <c r="V6" s="141" t="s">
        <v>69</v>
      </c>
      <c r="W6" s="141" t="s">
        <v>24</v>
      </c>
      <c r="X6" s="10" t="s">
        <v>2</v>
      </c>
      <c r="Y6" s="29" t="s">
        <v>60</v>
      </c>
      <c r="Z6" s="54"/>
      <c r="AA6" s="142"/>
      <c r="AB6" s="142"/>
      <c r="AC6" s="151">
        <v>13643.384000000002</v>
      </c>
      <c r="AG6" s="143">
        <f>BM6-S6</f>
        <v>-1281</v>
      </c>
      <c r="AI6" s="223">
        <v>1318</v>
      </c>
      <c r="AJ6" s="223">
        <v>1258</v>
      </c>
      <c r="AK6" s="223">
        <v>1258</v>
      </c>
      <c r="AL6" s="223">
        <v>1258</v>
      </c>
      <c r="AM6" s="223">
        <v>1223</v>
      </c>
      <c r="AN6" s="223">
        <v>1223</v>
      </c>
      <c r="AO6" s="223">
        <v>1223</v>
      </c>
      <c r="AP6" s="223">
        <v>1223</v>
      </c>
      <c r="AQ6" s="223">
        <v>1223</v>
      </c>
      <c r="AR6" s="223">
        <v>1223</v>
      </c>
      <c r="AS6" s="223">
        <v>1223</v>
      </c>
      <c r="AT6" s="223">
        <v>1110.5</v>
      </c>
      <c r="AU6" s="223">
        <v>1110.5</v>
      </c>
      <c r="AV6" s="223">
        <v>1110.5</v>
      </c>
      <c r="AW6" s="223">
        <v>1110.5</v>
      </c>
      <c r="AX6" s="223">
        <v>1065.5</v>
      </c>
      <c r="AY6" s="223">
        <v>977.5</v>
      </c>
      <c r="AZ6" s="223">
        <v>852.5</v>
      </c>
      <c r="BA6" s="223">
        <v>852.5</v>
      </c>
      <c r="BB6" s="223">
        <v>852.5</v>
      </c>
      <c r="BC6" s="223">
        <v>852.5</v>
      </c>
      <c r="BD6" s="223">
        <v>852.5</v>
      </c>
      <c r="BE6" s="223">
        <v>852.5</v>
      </c>
      <c r="BF6" s="223">
        <v>852.5</v>
      </c>
      <c r="BG6" s="223">
        <v>852.5</v>
      </c>
      <c r="BH6" s="223">
        <v>852.5</v>
      </c>
      <c r="BI6" s="223">
        <v>852.5</v>
      </c>
      <c r="BJ6" s="223">
        <v>852.5</v>
      </c>
      <c r="BK6" s="223">
        <v>852.5</v>
      </c>
      <c r="BL6" s="230">
        <v>852.5</v>
      </c>
      <c r="BM6" s="223">
        <v>852.5</v>
      </c>
      <c r="BN6" s="223">
        <v>852.5</v>
      </c>
      <c r="BO6" s="223">
        <v>852.5</v>
      </c>
      <c r="BP6" s="223">
        <v>852.5</v>
      </c>
      <c r="BQ6" s="223">
        <v>852.5</v>
      </c>
      <c r="BR6" s="223">
        <v>838.5</v>
      </c>
      <c r="BS6" s="223">
        <v>807</v>
      </c>
      <c r="BT6" s="223">
        <v>807</v>
      </c>
      <c r="BU6" s="223">
        <v>807</v>
      </c>
      <c r="BV6" s="223">
        <v>807</v>
      </c>
      <c r="BW6" s="223">
        <v>2252</v>
      </c>
      <c r="BX6" s="223">
        <f>BW6-BY6</f>
        <v>2246</v>
      </c>
      <c r="BY6" s="20">
        <v>6</v>
      </c>
    </row>
    <row r="7" spans="1:77" ht="18" customHeight="1">
      <c r="A7" s="29">
        <v>3</v>
      </c>
      <c r="B7" s="263" t="s">
        <v>70</v>
      </c>
      <c r="C7" s="249">
        <v>2</v>
      </c>
      <c r="D7" s="269" t="s">
        <v>32</v>
      </c>
      <c r="E7" s="270" t="s">
        <v>71</v>
      </c>
      <c r="F7" s="269" t="s">
        <v>23</v>
      </c>
      <c r="G7" s="260" t="s">
        <v>72</v>
      </c>
      <c r="H7" s="249" t="s">
        <v>2</v>
      </c>
      <c r="I7" s="321">
        <v>3120</v>
      </c>
      <c r="J7" s="321">
        <f>SUMIFS('POR Control Log-income'!L:L,'POR Control Log-income'!F:F,본공사입.출고현황!B7)</f>
        <v>3120</v>
      </c>
      <c r="K7" s="321">
        <f t="shared" si="1"/>
        <v>0</v>
      </c>
      <c r="L7" s="321"/>
      <c r="M7" s="321">
        <f>SUMIFS('POR Control Log-income'!L:L,'POR Control Log-income'!F:F,본공사입.출고현황!B7)</f>
        <v>3120</v>
      </c>
      <c r="N7" s="322">
        <f t="shared" ref="N7:N50" si="4">J7-M7</f>
        <v>0</v>
      </c>
      <c r="O7" s="323">
        <f t="shared" si="2"/>
        <v>3120</v>
      </c>
      <c r="P7" s="324">
        <f>SUMIFS('POR Control Log-out'!L:L,'POR Control Log-out'!D:D,본공사입.출고현황!B7)</f>
        <v>258</v>
      </c>
      <c r="Q7" s="321"/>
      <c r="R7" s="321">
        <v>0</v>
      </c>
      <c r="S7" s="321">
        <f t="shared" si="3"/>
        <v>2862</v>
      </c>
      <c r="T7" s="404"/>
      <c r="V7" s="141" t="s">
        <v>69</v>
      </c>
      <c r="W7" s="141" t="s">
        <v>73</v>
      </c>
      <c r="X7" s="10" t="s">
        <v>2</v>
      </c>
      <c r="Y7" s="29" t="s">
        <v>60</v>
      </c>
      <c r="Z7" s="54"/>
      <c r="AC7" s="151">
        <v>22.1</v>
      </c>
      <c r="AG7" s="143">
        <f t="shared" ref="AG7:AG48" si="5">BM7-S7</f>
        <v>80</v>
      </c>
      <c r="AI7" s="223">
        <v>3120</v>
      </c>
      <c r="AJ7" s="223"/>
      <c r="AK7" s="223">
        <v>3120</v>
      </c>
      <c r="AL7" s="223">
        <v>3120</v>
      </c>
      <c r="AM7" s="223">
        <v>3120</v>
      </c>
      <c r="AN7" s="223">
        <v>3120</v>
      </c>
      <c r="AO7" s="223">
        <v>3120</v>
      </c>
      <c r="AP7" s="223">
        <v>3068</v>
      </c>
      <c r="AQ7" s="223">
        <v>2942</v>
      </c>
      <c r="AR7" s="223">
        <v>2942</v>
      </c>
      <c r="AS7" s="223">
        <v>2942</v>
      </c>
      <c r="AT7" s="223">
        <v>2942</v>
      </c>
      <c r="AU7" s="223">
        <v>2942</v>
      </c>
      <c r="AV7" s="223">
        <v>2942</v>
      </c>
      <c r="AW7" s="223">
        <v>2942</v>
      </c>
      <c r="AX7" s="223">
        <v>2942</v>
      </c>
      <c r="AY7" s="223">
        <v>2942</v>
      </c>
      <c r="AZ7" s="223">
        <v>2942</v>
      </c>
      <c r="BA7" s="223">
        <v>2942</v>
      </c>
      <c r="BB7" s="223">
        <v>2942</v>
      </c>
      <c r="BC7" s="223">
        <v>2942</v>
      </c>
      <c r="BD7" s="223">
        <v>2942</v>
      </c>
      <c r="BE7" s="223">
        <v>2942</v>
      </c>
      <c r="BF7" s="223">
        <v>2942</v>
      </c>
      <c r="BG7" s="223">
        <v>2942</v>
      </c>
      <c r="BH7" s="223">
        <v>2942</v>
      </c>
      <c r="BI7" s="223">
        <v>2942</v>
      </c>
      <c r="BJ7" s="223">
        <v>2942</v>
      </c>
      <c r="BK7" s="223">
        <v>2942</v>
      </c>
      <c r="BL7" s="230">
        <v>2942</v>
      </c>
      <c r="BM7" s="223">
        <v>2942</v>
      </c>
      <c r="BN7" s="223">
        <v>2942</v>
      </c>
      <c r="BO7" s="223">
        <v>2942</v>
      </c>
      <c r="BP7" s="223">
        <v>2906</v>
      </c>
      <c r="BQ7" s="223">
        <v>2906</v>
      </c>
      <c r="BR7" s="223">
        <v>2906</v>
      </c>
      <c r="BS7" s="223">
        <v>2906</v>
      </c>
      <c r="BT7" s="223">
        <v>2906</v>
      </c>
      <c r="BU7" s="223">
        <v>2906</v>
      </c>
      <c r="BV7" s="223">
        <v>2906</v>
      </c>
      <c r="BW7" s="223">
        <v>2862</v>
      </c>
      <c r="BX7" s="223">
        <f t="shared" ref="BX7:BX50" si="6">BW7-BY7</f>
        <v>2862</v>
      </c>
    </row>
    <row r="8" spans="1:77" ht="18" customHeight="1">
      <c r="A8" s="29">
        <v>4</v>
      </c>
      <c r="B8" s="263" t="s">
        <v>74</v>
      </c>
      <c r="C8" s="249">
        <v>3</v>
      </c>
      <c r="D8" s="269" t="s">
        <v>75</v>
      </c>
      <c r="E8" s="270" t="s">
        <v>76</v>
      </c>
      <c r="F8" s="269" t="s">
        <v>77</v>
      </c>
      <c r="G8" s="260" t="s">
        <v>78</v>
      </c>
      <c r="H8" s="249" t="s">
        <v>0</v>
      </c>
      <c r="I8" s="321">
        <v>200</v>
      </c>
      <c r="J8" s="321">
        <f>SUMIFS('POR Control Log-income'!L:L,'POR Control Log-income'!F:F,본공사입.출고현황!B8)</f>
        <v>200</v>
      </c>
      <c r="K8" s="321">
        <f t="shared" si="1"/>
        <v>0</v>
      </c>
      <c r="L8" s="321"/>
      <c r="M8" s="321">
        <f>SUMIFS('POR Control Log-income'!L:L,'POR Control Log-income'!F:F,본공사입.출고현황!B8)</f>
        <v>200</v>
      </c>
      <c r="N8" s="322">
        <f t="shared" si="4"/>
        <v>0</v>
      </c>
      <c r="O8" s="323">
        <f t="shared" si="2"/>
        <v>200</v>
      </c>
      <c r="P8" s="324"/>
      <c r="Q8" s="321"/>
      <c r="R8" s="321"/>
      <c r="S8" s="321">
        <f t="shared" si="3"/>
        <v>200</v>
      </c>
      <c r="T8" s="404"/>
      <c r="V8" s="141" t="s">
        <v>79</v>
      </c>
      <c r="W8" s="141" t="s">
        <v>80</v>
      </c>
      <c r="X8" s="10" t="s">
        <v>0</v>
      </c>
      <c r="Y8" s="29" t="s">
        <v>60</v>
      </c>
      <c r="Z8" s="54"/>
      <c r="AC8" s="151"/>
      <c r="AG8" s="143">
        <f t="shared" si="5"/>
        <v>-9</v>
      </c>
      <c r="AI8" s="223">
        <v>191</v>
      </c>
      <c r="AJ8" s="223"/>
      <c r="AK8" s="223">
        <v>191</v>
      </c>
      <c r="AL8" s="223">
        <v>191</v>
      </c>
      <c r="AM8" s="223">
        <v>191</v>
      </c>
      <c r="AN8" s="223">
        <v>191</v>
      </c>
      <c r="AO8" s="223">
        <v>191</v>
      </c>
      <c r="AP8" s="223">
        <v>191</v>
      </c>
      <c r="AQ8" s="223">
        <v>191</v>
      </c>
      <c r="AR8" s="223">
        <v>191</v>
      </c>
      <c r="AS8" s="223">
        <v>191</v>
      </c>
      <c r="AT8" s="223">
        <v>191</v>
      </c>
      <c r="AU8" s="223">
        <v>191</v>
      </c>
      <c r="AV8" s="223">
        <v>191</v>
      </c>
      <c r="AW8" s="223">
        <v>191</v>
      </c>
      <c r="AX8" s="223">
        <v>191</v>
      </c>
      <c r="AY8" s="223">
        <v>191</v>
      </c>
      <c r="AZ8" s="223">
        <v>191</v>
      </c>
      <c r="BA8" s="223">
        <v>191</v>
      </c>
      <c r="BB8" s="223">
        <v>191</v>
      </c>
      <c r="BC8" s="223">
        <v>191</v>
      </c>
      <c r="BD8" s="223">
        <v>191</v>
      </c>
      <c r="BE8" s="223">
        <v>191</v>
      </c>
      <c r="BF8" s="223">
        <v>191</v>
      </c>
      <c r="BG8" s="223">
        <v>191</v>
      </c>
      <c r="BH8" s="223">
        <v>191</v>
      </c>
      <c r="BI8" s="223">
        <v>191</v>
      </c>
      <c r="BJ8" s="223">
        <v>191</v>
      </c>
      <c r="BK8" s="223">
        <v>191</v>
      </c>
      <c r="BL8" s="230">
        <v>191</v>
      </c>
      <c r="BM8" s="223">
        <v>191</v>
      </c>
      <c r="BN8" s="223">
        <v>191</v>
      </c>
      <c r="BO8" s="223">
        <v>191</v>
      </c>
      <c r="BP8" s="223">
        <v>191</v>
      </c>
      <c r="BQ8" s="223">
        <v>191</v>
      </c>
      <c r="BR8" s="223">
        <v>191</v>
      </c>
      <c r="BS8" s="223">
        <v>191</v>
      </c>
      <c r="BT8" s="223">
        <v>191</v>
      </c>
      <c r="BU8" s="223">
        <v>191</v>
      </c>
      <c r="BV8" s="223">
        <v>191</v>
      </c>
      <c r="BW8" s="223">
        <v>200</v>
      </c>
      <c r="BX8" s="223">
        <f t="shared" si="6"/>
        <v>200</v>
      </c>
    </row>
    <row r="9" spans="1:77" ht="18" customHeight="1">
      <c r="A9" s="29">
        <v>5</v>
      </c>
      <c r="B9" s="263" t="s">
        <v>81</v>
      </c>
      <c r="C9" s="249">
        <v>4</v>
      </c>
      <c r="D9" s="269" t="s">
        <v>32</v>
      </c>
      <c r="E9" s="270" t="s">
        <v>82</v>
      </c>
      <c r="F9" s="269" t="s">
        <v>21</v>
      </c>
      <c r="G9" s="260" t="s">
        <v>83</v>
      </c>
      <c r="H9" s="249" t="s">
        <v>0</v>
      </c>
      <c r="I9" s="321">
        <v>100</v>
      </c>
      <c r="J9" s="321">
        <f>SUMIFS('POR Control Log-income'!L:L,'POR Control Log-income'!F:F,본공사입.출고현황!B9)</f>
        <v>100</v>
      </c>
      <c r="K9" s="321">
        <f t="shared" si="1"/>
        <v>0</v>
      </c>
      <c r="L9" s="321"/>
      <c r="M9" s="321">
        <f>SUMIFS('POR Control Log-income'!L:L,'POR Control Log-income'!F:F,본공사입.출고현황!B9)</f>
        <v>100</v>
      </c>
      <c r="N9" s="322">
        <f t="shared" si="4"/>
        <v>0</v>
      </c>
      <c r="O9" s="323">
        <f t="shared" si="2"/>
        <v>100</v>
      </c>
      <c r="P9" s="324">
        <f>SUMIFS('POR Control Log-out'!L:L,'POR Control Log-out'!D:D,본공사입.출고현황!B9)</f>
        <v>5</v>
      </c>
      <c r="Q9" s="321"/>
      <c r="R9" s="321">
        <v>2</v>
      </c>
      <c r="S9" s="321">
        <f t="shared" si="3"/>
        <v>93</v>
      </c>
      <c r="T9" s="404"/>
      <c r="U9" s="20">
        <v>100</v>
      </c>
      <c r="V9" s="141" t="s">
        <v>84</v>
      </c>
      <c r="W9" s="141" t="s">
        <v>85</v>
      </c>
      <c r="X9" s="10" t="s">
        <v>0</v>
      </c>
      <c r="Y9" s="29" t="s">
        <v>60</v>
      </c>
      <c r="Z9" s="54"/>
      <c r="AC9" s="151">
        <v>4</v>
      </c>
      <c r="AG9" s="143">
        <f t="shared" si="5"/>
        <v>0</v>
      </c>
      <c r="AI9" s="223">
        <v>97</v>
      </c>
      <c r="AJ9" s="223"/>
      <c r="AK9" s="223">
        <v>97</v>
      </c>
      <c r="AL9" s="223">
        <v>97</v>
      </c>
      <c r="AM9" s="223">
        <v>97</v>
      </c>
      <c r="AN9" s="223">
        <v>97</v>
      </c>
      <c r="AO9" s="223">
        <v>97</v>
      </c>
      <c r="AP9" s="223">
        <v>97</v>
      </c>
      <c r="AQ9" s="223">
        <v>97</v>
      </c>
      <c r="AR9" s="223">
        <v>97</v>
      </c>
      <c r="AS9" s="223">
        <v>97</v>
      </c>
      <c r="AT9" s="223">
        <v>97</v>
      </c>
      <c r="AU9" s="223">
        <v>97</v>
      </c>
      <c r="AV9" s="223">
        <v>97</v>
      </c>
      <c r="AW9" s="223">
        <v>97</v>
      </c>
      <c r="AX9" s="223">
        <v>97</v>
      </c>
      <c r="AY9" s="223">
        <v>97</v>
      </c>
      <c r="AZ9" s="223">
        <v>97</v>
      </c>
      <c r="BA9" s="223">
        <v>97</v>
      </c>
      <c r="BB9" s="224">
        <v>93</v>
      </c>
      <c r="BC9" s="223">
        <v>93</v>
      </c>
      <c r="BD9" s="223">
        <v>93</v>
      </c>
      <c r="BE9" s="223">
        <v>93</v>
      </c>
      <c r="BF9" s="223">
        <v>93</v>
      </c>
      <c r="BG9" s="223">
        <v>93</v>
      </c>
      <c r="BH9" s="223">
        <v>93</v>
      </c>
      <c r="BI9" s="223">
        <v>93</v>
      </c>
      <c r="BJ9" s="223">
        <v>93</v>
      </c>
      <c r="BK9" s="223">
        <v>93</v>
      </c>
      <c r="BL9" s="230">
        <v>93</v>
      </c>
      <c r="BM9" s="223">
        <v>93</v>
      </c>
      <c r="BN9" s="223">
        <v>93</v>
      </c>
      <c r="BO9" s="223">
        <v>93</v>
      </c>
      <c r="BP9" s="223">
        <v>93</v>
      </c>
      <c r="BQ9" s="223">
        <v>93</v>
      </c>
      <c r="BR9" s="223">
        <v>93</v>
      </c>
      <c r="BS9" s="223">
        <v>93</v>
      </c>
      <c r="BT9" s="223">
        <v>93</v>
      </c>
      <c r="BU9" s="223">
        <v>93</v>
      </c>
      <c r="BV9" s="223">
        <v>93</v>
      </c>
      <c r="BW9" s="223">
        <v>93</v>
      </c>
      <c r="BX9" s="223">
        <f t="shared" si="6"/>
        <v>93</v>
      </c>
    </row>
    <row r="10" spans="1:77" ht="18" customHeight="1">
      <c r="A10" s="29">
        <v>6</v>
      </c>
      <c r="B10" s="263" t="s">
        <v>86</v>
      </c>
      <c r="C10" s="249">
        <v>5</v>
      </c>
      <c r="D10" s="269" t="s">
        <v>32</v>
      </c>
      <c r="E10" s="270" t="s">
        <v>87</v>
      </c>
      <c r="F10" s="269" t="s">
        <v>21</v>
      </c>
      <c r="G10" s="260" t="s">
        <v>88</v>
      </c>
      <c r="H10" s="249" t="s">
        <v>0</v>
      </c>
      <c r="I10" s="321">
        <v>540</v>
      </c>
      <c r="J10" s="321">
        <f>SUMIFS('POR Control Log-income'!L:L,'POR Control Log-income'!F:F,본공사입.출고현황!B10)</f>
        <v>540</v>
      </c>
      <c r="K10" s="321">
        <f t="shared" si="1"/>
        <v>0</v>
      </c>
      <c r="L10" s="321"/>
      <c r="M10" s="321">
        <f>SUMIFS('POR Control Log-income'!L:L,'POR Control Log-income'!F:F,본공사입.출고현황!B10)</f>
        <v>540</v>
      </c>
      <c r="N10" s="322">
        <f t="shared" si="4"/>
        <v>0</v>
      </c>
      <c r="O10" s="323">
        <f t="shared" si="2"/>
        <v>540</v>
      </c>
      <c r="P10" s="324">
        <f>SUMIFS('POR Control Log-out'!L:L,'POR Control Log-out'!D:D,본공사입.출고현황!B10)</f>
        <v>207</v>
      </c>
      <c r="Q10" s="321"/>
      <c r="R10" s="321">
        <v>16</v>
      </c>
      <c r="S10" s="321">
        <f t="shared" si="3"/>
        <v>317</v>
      </c>
      <c r="T10" s="404"/>
      <c r="U10" s="20">
        <v>419</v>
      </c>
      <c r="V10" s="141" t="s">
        <v>84</v>
      </c>
      <c r="W10" s="141" t="s">
        <v>89</v>
      </c>
      <c r="X10" s="10" t="s">
        <v>0</v>
      </c>
      <c r="Y10" s="29" t="s">
        <v>60</v>
      </c>
      <c r="Z10" s="54"/>
      <c r="AC10" s="151">
        <v>151</v>
      </c>
      <c r="AD10" s="89">
        <f>O10-AC10</f>
        <v>389</v>
      </c>
      <c r="AG10" s="143">
        <f t="shared" si="5"/>
        <v>47</v>
      </c>
      <c r="AI10" s="223">
        <v>414</v>
      </c>
      <c r="AJ10" s="223"/>
      <c r="AK10" s="223">
        <v>414</v>
      </c>
      <c r="AL10" s="223">
        <v>414</v>
      </c>
      <c r="AM10" s="223">
        <v>414</v>
      </c>
      <c r="AN10" s="223">
        <v>414</v>
      </c>
      <c r="AO10" s="223">
        <v>414</v>
      </c>
      <c r="AP10" s="223">
        <v>404</v>
      </c>
      <c r="AQ10" s="223">
        <v>394</v>
      </c>
      <c r="AR10" s="223">
        <v>394</v>
      </c>
      <c r="AS10" s="223">
        <v>394</v>
      </c>
      <c r="AT10" s="223">
        <v>384</v>
      </c>
      <c r="AU10" s="223">
        <v>384</v>
      </c>
      <c r="AV10" s="223">
        <v>384</v>
      </c>
      <c r="AW10" s="223">
        <v>384</v>
      </c>
      <c r="AX10" s="223">
        <v>374</v>
      </c>
      <c r="AY10" s="223">
        <v>374</v>
      </c>
      <c r="AZ10" s="223">
        <v>374</v>
      </c>
      <c r="BA10" s="223">
        <v>364</v>
      </c>
      <c r="BB10" s="223">
        <v>364</v>
      </c>
      <c r="BC10" s="223">
        <v>364</v>
      </c>
      <c r="BD10" s="223">
        <v>364</v>
      </c>
      <c r="BE10" s="223">
        <v>364</v>
      </c>
      <c r="BF10" s="223">
        <v>364</v>
      </c>
      <c r="BG10" s="223">
        <v>364</v>
      </c>
      <c r="BH10" s="223">
        <v>364</v>
      </c>
      <c r="BI10" s="223">
        <v>364</v>
      </c>
      <c r="BJ10" s="223">
        <v>364</v>
      </c>
      <c r="BK10" s="223">
        <v>364</v>
      </c>
      <c r="BL10" s="230">
        <v>364</v>
      </c>
      <c r="BM10" s="223">
        <v>364</v>
      </c>
      <c r="BN10" s="223">
        <v>364</v>
      </c>
      <c r="BO10" s="223">
        <v>364</v>
      </c>
      <c r="BP10" s="223">
        <v>359</v>
      </c>
      <c r="BQ10" s="223">
        <v>359</v>
      </c>
      <c r="BR10" s="223">
        <v>357</v>
      </c>
      <c r="BS10" s="223">
        <v>347</v>
      </c>
      <c r="BT10" s="223">
        <v>347</v>
      </c>
      <c r="BU10" s="223">
        <v>347</v>
      </c>
      <c r="BV10" s="223">
        <v>347</v>
      </c>
      <c r="BW10" s="223">
        <v>337</v>
      </c>
      <c r="BX10" s="223">
        <f t="shared" si="6"/>
        <v>333</v>
      </c>
      <c r="BY10" s="20">
        <v>4</v>
      </c>
    </row>
    <row r="11" spans="1:77" ht="18" customHeight="1">
      <c r="A11" s="29">
        <v>7</v>
      </c>
      <c r="B11" s="263" t="s">
        <v>90</v>
      </c>
      <c r="C11" s="249">
        <v>6</v>
      </c>
      <c r="D11" s="269" t="s">
        <v>32</v>
      </c>
      <c r="E11" s="270" t="s">
        <v>91</v>
      </c>
      <c r="F11" s="269" t="s">
        <v>21</v>
      </c>
      <c r="G11" s="260" t="s">
        <v>92</v>
      </c>
      <c r="H11" s="249" t="s">
        <v>0</v>
      </c>
      <c r="I11" s="321">
        <v>100</v>
      </c>
      <c r="J11" s="321">
        <f>SUMIFS('POR Control Log-income'!L:L,'POR Control Log-income'!F:F,본공사입.출고현황!B11)</f>
        <v>100</v>
      </c>
      <c r="K11" s="321">
        <f t="shared" si="1"/>
        <v>0</v>
      </c>
      <c r="L11" s="321"/>
      <c r="M11" s="321">
        <f>SUMIFS('POR Control Log-income'!L:L,'POR Control Log-income'!F:F,본공사입.출고현황!B11)</f>
        <v>100</v>
      </c>
      <c r="N11" s="322">
        <f t="shared" si="4"/>
        <v>0</v>
      </c>
      <c r="O11" s="323">
        <f t="shared" si="2"/>
        <v>100</v>
      </c>
      <c r="P11" s="324"/>
      <c r="Q11" s="321"/>
      <c r="R11" s="321"/>
      <c r="S11" s="321">
        <f t="shared" si="3"/>
        <v>100</v>
      </c>
      <c r="T11" s="404"/>
      <c r="U11" s="20">
        <v>98</v>
      </c>
      <c r="V11" s="141" t="s">
        <v>84</v>
      </c>
      <c r="W11" s="141" t="s">
        <v>93</v>
      </c>
      <c r="X11" s="10" t="s">
        <v>0</v>
      </c>
      <c r="Y11" s="29" t="s">
        <v>60</v>
      </c>
      <c r="Z11" s="54"/>
      <c r="AC11" s="151"/>
      <c r="AG11" s="143">
        <f t="shared" si="5"/>
        <v>-2</v>
      </c>
      <c r="AI11" s="223">
        <v>98</v>
      </c>
      <c r="AJ11" s="223"/>
      <c r="AK11" s="223">
        <v>98</v>
      </c>
      <c r="AL11" s="223">
        <v>98</v>
      </c>
      <c r="AM11" s="223">
        <v>98</v>
      </c>
      <c r="AN11" s="223">
        <v>98</v>
      </c>
      <c r="AO11" s="223">
        <v>98</v>
      </c>
      <c r="AP11" s="223">
        <v>98</v>
      </c>
      <c r="AQ11" s="223">
        <v>98</v>
      </c>
      <c r="AR11" s="223">
        <v>98</v>
      </c>
      <c r="AS11" s="223">
        <v>98</v>
      </c>
      <c r="AT11" s="223">
        <v>98</v>
      </c>
      <c r="AU11" s="223">
        <v>98</v>
      </c>
      <c r="AV11" s="223">
        <v>98</v>
      </c>
      <c r="AW11" s="223">
        <v>98</v>
      </c>
      <c r="AX11" s="223">
        <v>98</v>
      </c>
      <c r="AY11" s="223">
        <v>98</v>
      </c>
      <c r="AZ11" s="223">
        <v>98</v>
      </c>
      <c r="BA11" s="223">
        <v>98</v>
      </c>
      <c r="BB11" s="223">
        <v>98</v>
      </c>
      <c r="BC11" s="223">
        <v>98</v>
      </c>
      <c r="BD11" s="223">
        <v>98</v>
      </c>
      <c r="BE11" s="223">
        <v>98</v>
      </c>
      <c r="BF11" s="223">
        <v>98</v>
      </c>
      <c r="BG11" s="223">
        <v>98</v>
      </c>
      <c r="BH11" s="223">
        <v>98</v>
      </c>
      <c r="BI11" s="223">
        <v>98</v>
      </c>
      <c r="BJ11" s="223">
        <v>98</v>
      </c>
      <c r="BK11" s="223">
        <v>98</v>
      </c>
      <c r="BL11" s="230">
        <v>98</v>
      </c>
      <c r="BM11" s="223">
        <v>98</v>
      </c>
      <c r="BN11" s="223">
        <v>98</v>
      </c>
      <c r="BO11" s="223">
        <v>98</v>
      </c>
      <c r="BP11" s="223">
        <v>98</v>
      </c>
      <c r="BQ11" s="223">
        <v>98</v>
      </c>
      <c r="BR11" s="223">
        <v>98</v>
      </c>
      <c r="BS11" s="223">
        <v>98</v>
      </c>
      <c r="BT11" s="223">
        <v>98</v>
      </c>
      <c r="BU11" s="223">
        <v>98</v>
      </c>
      <c r="BV11" s="223">
        <v>98</v>
      </c>
      <c r="BW11" s="223">
        <v>100</v>
      </c>
      <c r="BX11" s="223">
        <f t="shared" si="6"/>
        <v>100</v>
      </c>
    </row>
    <row r="12" spans="1:77" ht="18" customHeight="1">
      <c r="A12" s="29">
        <v>8</v>
      </c>
      <c r="B12" s="263" t="s">
        <v>94</v>
      </c>
      <c r="C12" s="249">
        <v>7</v>
      </c>
      <c r="D12" s="269" t="s">
        <v>32</v>
      </c>
      <c r="E12" s="270" t="s">
        <v>95</v>
      </c>
      <c r="F12" s="269" t="s">
        <v>21</v>
      </c>
      <c r="G12" s="260" t="s">
        <v>96</v>
      </c>
      <c r="H12" s="249" t="s">
        <v>0</v>
      </c>
      <c r="I12" s="321">
        <v>1332</v>
      </c>
      <c r="J12" s="321">
        <f>SUMIFS('POR Control Log-income'!L:L,'POR Control Log-income'!F:F,본공사입.출고현황!B12)</f>
        <v>1332</v>
      </c>
      <c r="K12" s="321">
        <f t="shared" si="1"/>
        <v>0</v>
      </c>
      <c r="L12" s="321"/>
      <c r="M12" s="321">
        <f>SUMIFS('POR Control Log-income'!L:L,'POR Control Log-income'!F:F,본공사입.출고현황!B12)</f>
        <v>1332</v>
      </c>
      <c r="N12" s="322">
        <f t="shared" si="4"/>
        <v>0</v>
      </c>
      <c r="O12" s="323">
        <f t="shared" si="2"/>
        <v>1332</v>
      </c>
      <c r="P12" s="324">
        <f>SUMIFS('POR Control Log-out'!L:L,'POR Control Log-out'!D:D,본공사입.출고현황!B12)</f>
        <v>742</v>
      </c>
      <c r="Q12" s="321"/>
      <c r="R12" s="321">
        <v>223</v>
      </c>
      <c r="S12" s="321">
        <f t="shared" si="3"/>
        <v>367</v>
      </c>
      <c r="T12" s="404"/>
      <c r="U12" s="20">
        <v>430</v>
      </c>
      <c r="V12" s="141" t="s">
        <v>84</v>
      </c>
      <c r="W12" s="141" t="s">
        <v>97</v>
      </c>
      <c r="X12" s="10" t="s">
        <v>0</v>
      </c>
      <c r="Y12" s="29" t="s">
        <v>60</v>
      </c>
      <c r="Z12" s="54"/>
      <c r="AC12" s="151">
        <v>740</v>
      </c>
      <c r="AG12" s="143">
        <f t="shared" si="5"/>
        <v>2</v>
      </c>
      <c r="AI12" s="223">
        <v>410</v>
      </c>
      <c r="AJ12" s="223">
        <v>400</v>
      </c>
      <c r="AK12" s="223">
        <v>400</v>
      </c>
      <c r="AL12" s="223">
        <v>369</v>
      </c>
      <c r="AM12" s="223">
        <v>369</v>
      </c>
      <c r="AN12" s="223">
        <v>369</v>
      </c>
      <c r="AO12" s="223">
        <v>369</v>
      </c>
      <c r="AP12" s="223">
        <v>369</v>
      </c>
      <c r="AQ12" s="223">
        <v>369</v>
      </c>
      <c r="AR12" s="223">
        <v>369</v>
      </c>
      <c r="AS12" s="223">
        <v>369</v>
      </c>
      <c r="AT12" s="223">
        <v>369</v>
      </c>
      <c r="AU12" s="223">
        <v>369</v>
      </c>
      <c r="AV12" s="223">
        <v>369</v>
      </c>
      <c r="AW12" s="223">
        <v>369</v>
      </c>
      <c r="AX12" s="223">
        <v>369</v>
      </c>
      <c r="AY12" s="223">
        <v>369</v>
      </c>
      <c r="AZ12" s="223">
        <v>369</v>
      </c>
      <c r="BA12" s="223">
        <v>369</v>
      </c>
      <c r="BB12" s="223">
        <v>369</v>
      </c>
      <c r="BC12" s="223">
        <v>369</v>
      </c>
      <c r="BD12" s="223">
        <v>369</v>
      </c>
      <c r="BE12" s="223">
        <v>369</v>
      </c>
      <c r="BF12" s="223">
        <v>369</v>
      </c>
      <c r="BG12" s="223">
        <v>369</v>
      </c>
      <c r="BH12" s="223">
        <v>369</v>
      </c>
      <c r="BI12" s="223">
        <v>369</v>
      </c>
      <c r="BJ12" s="223">
        <v>369</v>
      </c>
      <c r="BK12" s="223">
        <v>369</v>
      </c>
      <c r="BL12" s="230">
        <v>369</v>
      </c>
      <c r="BM12" s="223">
        <v>369</v>
      </c>
      <c r="BN12" s="223">
        <v>369</v>
      </c>
      <c r="BO12" s="223">
        <v>369</v>
      </c>
      <c r="BP12" s="223">
        <v>369</v>
      </c>
      <c r="BQ12" s="223">
        <v>369</v>
      </c>
      <c r="BR12" s="223">
        <v>369</v>
      </c>
      <c r="BS12" s="223">
        <v>367</v>
      </c>
      <c r="BT12" s="223">
        <v>367</v>
      </c>
      <c r="BU12" s="223">
        <v>367</v>
      </c>
      <c r="BV12" s="223">
        <v>367</v>
      </c>
      <c r="BW12" s="223">
        <v>367</v>
      </c>
      <c r="BX12" s="223">
        <f t="shared" si="6"/>
        <v>367</v>
      </c>
    </row>
    <row r="13" spans="1:77" ht="18" customHeight="1">
      <c r="A13" s="29">
        <v>9</v>
      </c>
      <c r="B13" s="263" t="s">
        <v>98</v>
      </c>
      <c r="C13" s="249">
        <v>8</v>
      </c>
      <c r="D13" s="269" t="s">
        <v>32</v>
      </c>
      <c r="E13" s="270" t="s">
        <v>99</v>
      </c>
      <c r="F13" s="269" t="s">
        <v>100</v>
      </c>
      <c r="G13" s="260" t="s">
        <v>101</v>
      </c>
      <c r="H13" s="249" t="s">
        <v>0</v>
      </c>
      <c r="I13" s="321">
        <v>30</v>
      </c>
      <c r="J13" s="321">
        <f>SUMIFS('POR Control Log-income'!L:L,'POR Control Log-income'!F:F,본공사입.출고현황!B13)</f>
        <v>30</v>
      </c>
      <c r="K13" s="321">
        <f t="shared" si="1"/>
        <v>0</v>
      </c>
      <c r="L13" s="321"/>
      <c r="M13" s="321">
        <f>SUMIFS('POR Control Log-income'!L:L,'POR Control Log-income'!F:F,본공사입.출고현황!B13)</f>
        <v>30</v>
      </c>
      <c r="N13" s="322">
        <f t="shared" si="4"/>
        <v>0</v>
      </c>
      <c r="O13" s="323">
        <f t="shared" si="2"/>
        <v>30</v>
      </c>
      <c r="P13" s="324">
        <f>SUMIFS('POR Control Log-out'!L:L,'POR Control Log-out'!D:D,본공사입.출고현황!B13)</f>
        <v>13</v>
      </c>
      <c r="Q13" s="321"/>
      <c r="R13" s="321"/>
      <c r="S13" s="321">
        <f t="shared" si="3"/>
        <v>17</v>
      </c>
      <c r="T13" s="404"/>
      <c r="U13" s="20">
        <v>19</v>
      </c>
      <c r="V13" s="141" t="s">
        <v>102</v>
      </c>
      <c r="W13" s="141" t="s">
        <v>103</v>
      </c>
      <c r="X13" s="10" t="s">
        <v>0</v>
      </c>
      <c r="Y13" s="29" t="s">
        <v>60</v>
      </c>
      <c r="Z13" s="54"/>
      <c r="AC13" s="151"/>
      <c r="AG13" s="143">
        <f t="shared" si="5"/>
        <v>1</v>
      </c>
      <c r="AI13" s="223">
        <v>18</v>
      </c>
      <c r="AJ13" s="223"/>
      <c r="AK13" s="223">
        <v>18</v>
      </c>
      <c r="AL13" s="223">
        <v>18</v>
      </c>
      <c r="AM13" s="223">
        <v>18</v>
      </c>
      <c r="AN13" s="223">
        <v>18</v>
      </c>
      <c r="AO13" s="223">
        <v>18</v>
      </c>
      <c r="AP13" s="223">
        <v>18</v>
      </c>
      <c r="AQ13" s="223">
        <v>18</v>
      </c>
      <c r="AR13" s="223">
        <v>18</v>
      </c>
      <c r="AS13" s="223">
        <v>18</v>
      </c>
      <c r="AT13" s="223">
        <v>18</v>
      </c>
      <c r="AU13" s="223">
        <v>18</v>
      </c>
      <c r="AV13" s="223">
        <v>18</v>
      </c>
      <c r="AW13" s="223">
        <v>18</v>
      </c>
      <c r="AX13" s="223">
        <v>18</v>
      </c>
      <c r="AY13" s="223">
        <v>18</v>
      </c>
      <c r="AZ13" s="223">
        <v>18</v>
      </c>
      <c r="BA13" s="223">
        <v>18</v>
      </c>
      <c r="BB13" s="223">
        <v>18</v>
      </c>
      <c r="BC13" s="223">
        <v>18</v>
      </c>
      <c r="BD13" s="223">
        <v>18</v>
      </c>
      <c r="BE13" s="223">
        <v>18</v>
      </c>
      <c r="BF13" s="223">
        <v>18</v>
      </c>
      <c r="BG13" s="223">
        <v>18</v>
      </c>
      <c r="BH13" s="223">
        <v>18</v>
      </c>
      <c r="BI13" s="223">
        <v>18</v>
      </c>
      <c r="BJ13" s="223">
        <v>18</v>
      </c>
      <c r="BK13" s="223">
        <v>18</v>
      </c>
      <c r="BL13" s="230">
        <v>18</v>
      </c>
      <c r="BM13" s="223">
        <v>18</v>
      </c>
      <c r="BN13" s="223">
        <v>18</v>
      </c>
      <c r="BO13" s="223">
        <v>18</v>
      </c>
      <c r="BP13" s="223">
        <v>18</v>
      </c>
      <c r="BQ13" s="223">
        <v>18</v>
      </c>
      <c r="BR13" s="223">
        <v>18</v>
      </c>
      <c r="BS13" s="223">
        <v>18</v>
      </c>
      <c r="BT13" s="223">
        <v>18</v>
      </c>
      <c r="BU13" s="223">
        <v>18</v>
      </c>
      <c r="BV13" s="223">
        <v>18</v>
      </c>
      <c r="BW13" s="223">
        <v>17</v>
      </c>
      <c r="BX13" s="223">
        <f t="shared" si="6"/>
        <v>17</v>
      </c>
    </row>
    <row r="14" spans="1:77" ht="18" customHeight="1">
      <c r="A14" s="29">
        <v>10</v>
      </c>
      <c r="B14" s="263" t="s">
        <v>104</v>
      </c>
      <c r="C14" s="249">
        <v>9</v>
      </c>
      <c r="D14" s="269" t="s">
        <v>32</v>
      </c>
      <c r="E14" s="270" t="s">
        <v>105</v>
      </c>
      <c r="F14" s="269" t="s">
        <v>100</v>
      </c>
      <c r="G14" s="260" t="s">
        <v>25</v>
      </c>
      <c r="H14" s="249" t="s">
        <v>0</v>
      </c>
      <c r="I14" s="321">
        <v>12</v>
      </c>
      <c r="J14" s="321">
        <f>SUMIFS('POR Control Log-income'!L:L,'POR Control Log-income'!F:F,본공사입.출고현황!B14)</f>
        <v>12</v>
      </c>
      <c r="K14" s="321">
        <f t="shared" si="1"/>
        <v>0</v>
      </c>
      <c r="L14" s="321"/>
      <c r="M14" s="321">
        <f>SUMIFS('POR Control Log-income'!L:L,'POR Control Log-income'!F:F,본공사입.출고현황!B14)</f>
        <v>12</v>
      </c>
      <c r="N14" s="322">
        <f t="shared" si="4"/>
        <v>0</v>
      </c>
      <c r="O14" s="323">
        <f t="shared" si="2"/>
        <v>12</v>
      </c>
      <c r="P14" s="324">
        <f>SUMIFS('POR Control Log-out'!L:L,'POR Control Log-out'!D:D,본공사입.출고현황!B14)</f>
        <v>3</v>
      </c>
      <c r="Q14" s="321"/>
      <c r="R14" s="321">
        <v>0</v>
      </c>
      <c r="S14" s="321">
        <f t="shared" si="3"/>
        <v>9</v>
      </c>
      <c r="T14" s="404"/>
      <c r="U14" s="20">
        <v>7</v>
      </c>
      <c r="V14" s="141" t="s">
        <v>102</v>
      </c>
      <c r="W14" s="141" t="s">
        <v>25</v>
      </c>
      <c r="X14" s="10" t="s">
        <v>0</v>
      </c>
      <c r="Y14" s="29" t="s">
        <v>60</v>
      </c>
      <c r="Z14" s="54"/>
      <c r="AC14" s="151"/>
      <c r="AG14" s="143">
        <f t="shared" si="5"/>
        <v>2</v>
      </c>
      <c r="AI14" s="223">
        <v>12</v>
      </c>
      <c r="AJ14" s="223"/>
      <c r="AK14" s="223">
        <v>12</v>
      </c>
      <c r="AL14" s="223">
        <v>12</v>
      </c>
      <c r="AM14" s="223">
        <v>12</v>
      </c>
      <c r="AN14" s="223">
        <v>12</v>
      </c>
      <c r="AO14" s="223">
        <v>12</v>
      </c>
      <c r="AP14" s="223">
        <v>11</v>
      </c>
      <c r="AQ14" s="223">
        <v>11</v>
      </c>
      <c r="AR14" s="223">
        <v>11</v>
      </c>
      <c r="AS14" s="223">
        <v>11</v>
      </c>
      <c r="AT14" s="223">
        <v>11</v>
      </c>
      <c r="AU14" s="223">
        <v>11</v>
      </c>
      <c r="AV14" s="223">
        <v>11</v>
      </c>
      <c r="AW14" s="223">
        <v>11</v>
      </c>
      <c r="AX14" s="223">
        <v>11</v>
      </c>
      <c r="AY14" s="223">
        <v>11</v>
      </c>
      <c r="AZ14" s="223">
        <v>11</v>
      </c>
      <c r="BA14" s="223">
        <v>11</v>
      </c>
      <c r="BB14" s="223">
        <v>11</v>
      </c>
      <c r="BC14" s="223">
        <v>11</v>
      </c>
      <c r="BD14" s="223">
        <v>11</v>
      </c>
      <c r="BE14" s="223">
        <v>11</v>
      </c>
      <c r="BF14" s="223">
        <v>11</v>
      </c>
      <c r="BG14" s="223">
        <v>11</v>
      </c>
      <c r="BH14" s="223">
        <v>11</v>
      </c>
      <c r="BI14" s="223">
        <v>11</v>
      </c>
      <c r="BJ14" s="223">
        <v>11</v>
      </c>
      <c r="BK14" s="223">
        <v>11</v>
      </c>
      <c r="BL14" s="230">
        <v>11</v>
      </c>
      <c r="BM14" s="223">
        <v>11</v>
      </c>
      <c r="BN14" s="223">
        <v>11</v>
      </c>
      <c r="BO14" s="223">
        <v>11</v>
      </c>
      <c r="BP14" s="223">
        <v>10</v>
      </c>
      <c r="BQ14" s="223">
        <v>10</v>
      </c>
      <c r="BR14" s="223">
        <v>10</v>
      </c>
      <c r="BS14" s="223">
        <v>10</v>
      </c>
      <c r="BT14" s="223">
        <v>10</v>
      </c>
      <c r="BU14" s="223">
        <v>10</v>
      </c>
      <c r="BV14" s="223">
        <v>10</v>
      </c>
      <c r="BW14" s="223">
        <v>10</v>
      </c>
      <c r="BX14" s="223">
        <f t="shared" si="6"/>
        <v>10</v>
      </c>
    </row>
    <row r="15" spans="1:77" ht="18" customHeight="1">
      <c r="A15" s="29">
        <v>11</v>
      </c>
      <c r="B15" s="263" t="s">
        <v>106</v>
      </c>
      <c r="C15" s="249">
        <v>10</v>
      </c>
      <c r="D15" s="269" t="s">
        <v>32</v>
      </c>
      <c r="E15" s="270" t="s">
        <v>107</v>
      </c>
      <c r="F15" s="269" t="s">
        <v>100</v>
      </c>
      <c r="G15" s="260" t="s">
        <v>108</v>
      </c>
      <c r="H15" s="249" t="s">
        <v>0</v>
      </c>
      <c r="I15" s="321">
        <v>5</v>
      </c>
      <c r="J15" s="321">
        <f>SUMIFS('POR Control Log-income'!L:L,'POR Control Log-income'!F:F,본공사입.출고현황!B15)</f>
        <v>5</v>
      </c>
      <c r="K15" s="321">
        <f t="shared" si="1"/>
        <v>0</v>
      </c>
      <c r="L15" s="321"/>
      <c r="M15" s="321">
        <f>SUMIFS('POR Control Log-income'!L:L,'POR Control Log-income'!F:F,본공사입.출고현황!B15)</f>
        <v>5</v>
      </c>
      <c r="N15" s="322">
        <f t="shared" si="4"/>
        <v>0</v>
      </c>
      <c r="O15" s="323">
        <f t="shared" si="2"/>
        <v>5</v>
      </c>
      <c r="P15" s="324">
        <f>SUMIFS('POR Control Log-out'!L:L,'POR Control Log-out'!D:D,본공사입.출고현황!B15)</f>
        <v>1</v>
      </c>
      <c r="Q15" s="321"/>
      <c r="R15" s="321">
        <v>0</v>
      </c>
      <c r="S15" s="321">
        <f t="shared" si="3"/>
        <v>4</v>
      </c>
      <c r="T15" s="404"/>
      <c r="U15" s="20">
        <v>9</v>
      </c>
      <c r="V15" s="141" t="s">
        <v>102</v>
      </c>
      <c r="W15" s="141" t="s">
        <v>108</v>
      </c>
      <c r="X15" s="10" t="s">
        <v>0</v>
      </c>
      <c r="Y15" s="29" t="s">
        <v>60</v>
      </c>
      <c r="Z15" s="54"/>
      <c r="AC15" s="151"/>
      <c r="AG15" s="143">
        <f t="shared" si="5"/>
        <v>0</v>
      </c>
      <c r="AI15" s="223">
        <v>4</v>
      </c>
      <c r="AJ15" s="223"/>
      <c r="AK15" s="223">
        <v>4</v>
      </c>
      <c r="AL15" s="223">
        <v>4</v>
      </c>
      <c r="AM15" s="223">
        <v>4</v>
      </c>
      <c r="AN15" s="223">
        <v>4</v>
      </c>
      <c r="AO15" s="223">
        <v>4</v>
      </c>
      <c r="AP15" s="223">
        <v>4</v>
      </c>
      <c r="AQ15" s="223">
        <v>4</v>
      </c>
      <c r="AR15" s="223">
        <v>4</v>
      </c>
      <c r="AS15" s="223">
        <v>4</v>
      </c>
      <c r="AT15" s="223">
        <v>4</v>
      </c>
      <c r="AU15" s="223">
        <v>4</v>
      </c>
      <c r="AV15" s="223">
        <v>4</v>
      </c>
      <c r="AW15" s="223">
        <v>4</v>
      </c>
      <c r="AX15" s="223">
        <v>4</v>
      </c>
      <c r="AY15" s="223">
        <v>4</v>
      </c>
      <c r="AZ15" s="223">
        <v>4</v>
      </c>
      <c r="BA15" s="223">
        <v>4</v>
      </c>
      <c r="BB15" s="223">
        <v>4</v>
      </c>
      <c r="BC15" s="223">
        <v>4</v>
      </c>
      <c r="BD15" s="223">
        <v>4</v>
      </c>
      <c r="BE15" s="223">
        <v>4</v>
      </c>
      <c r="BF15" s="223">
        <v>4</v>
      </c>
      <c r="BG15" s="223">
        <v>4</v>
      </c>
      <c r="BH15" s="223">
        <v>4</v>
      </c>
      <c r="BI15" s="223">
        <v>4</v>
      </c>
      <c r="BJ15" s="223">
        <v>4</v>
      </c>
      <c r="BK15" s="223">
        <v>4</v>
      </c>
      <c r="BL15" s="230">
        <v>4</v>
      </c>
      <c r="BM15" s="223">
        <v>4</v>
      </c>
      <c r="BN15" s="223">
        <v>4</v>
      </c>
      <c r="BO15" s="223">
        <v>4</v>
      </c>
      <c r="BP15" s="223">
        <v>4</v>
      </c>
      <c r="BQ15" s="223">
        <v>4</v>
      </c>
      <c r="BR15" s="223">
        <v>4</v>
      </c>
      <c r="BS15" s="223">
        <v>4</v>
      </c>
      <c r="BT15" s="223">
        <v>4</v>
      </c>
      <c r="BU15" s="223">
        <v>4</v>
      </c>
      <c r="BV15" s="223">
        <v>4</v>
      </c>
      <c r="BW15" s="223">
        <v>4</v>
      </c>
      <c r="BX15" s="223">
        <f t="shared" si="6"/>
        <v>4</v>
      </c>
    </row>
    <row r="16" spans="1:77" ht="18" customHeight="1">
      <c r="A16" s="29">
        <v>12</v>
      </c>
      <c r="B16" s="263" t="s">
        <v>109</v>
      </c>
      <c r="C16" s="249">
        <v>11</v>
      </c>
      <c r="D16" s="269" t="s">
        <v>32</v>
      </c>
      <c r="E16" s="270" t="s">
        <v>29</v>
      </c>
      <c r="F16" s="269" t="s">
        <v>22</v>
      </c>
      <c r="G16" s="260"/>
      <c r="H16" s="249" t="s">
        <v>0</v>
      </c>
      <c r="I16" s="321">
        <v>196</v>
      </c>
      <c r="J16" s="321">
        <f>SUMIFS('POR Control Log-income'!L:L,'POR Control Log-income'!F:F,본공사입.출고현황!B16)</f>
        <v>196</v>
      </c>
      <c r="K16" s="321">
        <f t="shared" si="1"/>
        <v>0</v>
      </c>
      <c r="L16" s="321"/>
      <c r="M16" s="321">
        <f>SUMIFS('POR Control Log-income'!L:L,'POR Control Log-income'!F:F,본공사입.출고현황!B16)</f>
        <v>196</v>
      </c>
      <c r="N16" s="322">
        <f t="shared" si="4"/>
        <v>0</v>
      </c>
      <c r="O16" s="323">
        <f t="shared" si="2"/>
        <v>196</v>
      </c>
      <c r="P16" s="324">
        <f>SUMIFS('POR Control Log-out'!L:L,'POR Control Log-out'!D:D,본공사입.출고현황!B16)</f>
        <v>99</v>
      </c>
      <c r="Q16" s="321"/>
      <c r="R16" s="321"/>
      <c r="S16" s="321">
        <f t="shared" si="3"/>
        <v>97</v>
      </c>
      <c r="T16" s="404"/>
      <c r="U16" s="20">
        <v>128</v>
      </c>
      <c r="V16" s="141" t="s">
        <v>29</v>
      </c>
      <c r="W16" s="141"/>
      <c r="X16" s="10" t="s">
        <v>0</v>
      </c>
      <c r="Z16" s="54"/>
      <c r="AC16" s="151">
        <v>91</v>
      </c>
      <c r="AG16" s="143">
        <f t="shared" si="5"/>
        <v>8</v>
      </c>
      <c r="AI16" s="223">
        <v>130</v>
      </c>
      <c r="AJ16" s="223"/>
      <c r="AK16" s="223">
        <v>130</v>
      </c>
      <c r="AL16" s="223">
        <v>130</v>
      </c>
      <c r="AM16" s="223">
        <v>130</v>
      </c>
      <c r="AN16" s="223">
        <v>129</v>
      </c>
      <c r="AO16" s="223">
        <v>129</v>
      </c>
      <c r="AP16" s="223">
        <v>129</v>
      </c>
      <c r="AQ16" s="223">
        <v>129</v>
      </c>
      <c r="AR16" s="223">
        <v>129</v>
      </c>
      <c r="AS16" s="223">
        <v>129</v>
      </c>
      <c r="AT16" s="223">
        <v>129</v>
      </c>
      <c r="AU16" s="223">
        <v>129</v>
      </c>
      <c r="AV16" s="223">
        <v>129</v>
      </c>
      <c r="AW16" s="223">
        <v>129</v>
      </c>
      <c r="AX16" s="223">
        <v>129</v>
      </c>
      <c r="AY16" s="223">
        <v>129</v>
      </c>
      <c r="AZ16" s="223">
        <v>129</v>
      </c>
      <c r="BA16" s="223">
        <v>129</v>
      </c>
      <c r="BB16" s="224">
        <v>105</v>
      </c>
      <c r="BC16" s="223">
        <v>105</v>
      </c>
      <c r="BD16" s="223">
        <v>105</v>
      </c>
      <c r="BE16" s="223">
        <v>105</v>
      </c>
      <c r="BF16" s="223">
        <v>105</v>
      </c>
      <c r="BG16" s="223">
        <v>105</v>
      </c>
      <c r="BH16" s="223">
        <v>105</v>
      </c>
      <c r="BI16" s="223">
        <v>105</v>
      </c>
      <c r="BJ16" s="223">
        <v>105</v>
      </c>
      <c r="BK16" s="223">
        <v>105</v>
      </c>
      <c r="BL16" s="230">
        <v>105</v>
      </c>
      <c r="BM16" s="223">
        <v>105</v>
      </c>
      <c r="BN16" s="223">
        <v>105</v>
      </c>
      <c r="BO16" s="223">
        <v>105</v>
      </c>
      <c r="BP16" s="223">
        <v>105</v>
      </c>
      <c r="BQ16" s="223">
        <v>105</v>
      </c>
      <c r="BR16" s="223">
        <v>105</v>
      </c>
      <c r="BS16" s="223">
        <v>105</v>
      </c>
      <c r="BT16" s="223">
        <v>105</v>
      </c>
      <c r="BU16" s="223">
        <v>105</v>
      </c>
      <c r="BV16" s="223">
        <v>105</v>
      </c>
      <c r="BW16" s="223">
        <v>105</v>
      </c>
      <c r="BX16" s="223">
        <f t="shared" si="6"/>
        <v>105</v>
      </c>
    </row>
    <row r="17" spans="1:76" ht="18" customHeight="1">
      <c r="A17" s="29">
        <v>13</v>
      </c>
      <c r="B17" s="263" t="s">
        <v>110</v>
      </c>
      <c r="C17" s="249">
        <v>12</v>
      </c>
      <c r="D17" s="269" t="s">
        <v>33</v>
      </c>
      <c r="E17" s="270" t="s">
        <v>30</v>
      </c>
      <c r="F17" s="269" t="s">
        <v>20</v>
      </c>
      <c r="G17" s="260" t="s">
        <v>447</v>
      </c>
      <c r="H17" s="249" t="s">
        <v>0</v>
      </c>
      <c r="I17" s="321">
        <f>20+750</f>
        <v>770</v>
      </c>
      <c r="J17" s="321">
        <f>SUMIFS('POR Control Log-income'!L:L,'POR Control Log-income'!F:F,본공사입.출고현황!B17)</f>
        <v>20</v>
      </c>
      <c r="K17" s="321">
        <f t="shared" si="1"/>
        <v>750</v>
      </c>
      <c r="L17" s="321"/>
      <c r="M17" s="321">
        <f>SUMIFS('POR Control Log-income'!L:L,'POR Control Log-income'!F:F,본공사입.출고현황!B17)</f>
        <v>20</v>
      </c>
      <c r="N17" s="322">
        <f t="shared" si="4"/>
        <v>0</v>
      </c>
      <c r="O17" s="323">
        <f t="shared" si="2"/>
        <v>20</v>
      </c>
      <c r="P17" s="324">
        <f>SUMIFS('POR Control Log-out'!L:L,'POR Control Log-out'!D:D,본공사입.출고현황!B17)</f>
        <v>11</v>
      </c>
      <c r="Q17" s="321"/>
      <c r="R17" s="321">
        <v>0</v>
      </c>
      <c r="S17" s="321">
        <f t="shared" si="3"/>
        <v>9</v>
      </c>
      <c r="T17" s="404"/>
      <c r="V17" s="141" t="s">
        <v>30</v>
      </c>
      <c r="W17" s="141" t="s">
        <v>446</v>
      </c>
      <c r="X17" s="10" t="s">
        <v>0</v>
      </c>
      <c r="Z17" s="54"/>
      <c r="AC17" s="151">
        <v>24</v>
      </c>
      <c r="AD17" s="89" t="s">
        <v>423</v>
      </c>
      <c r="AG17" s="143">
        <f t="shared" si="5"/>
        <v>7</v>
      </c>
      <c r="AI17" s="223">
        <v>20</v>
      </c>
      <c r="AJ17" s="223"/>
      <c r="AK17" s="223">
        <v>20</v>
      </c>
      <c r="AL17" s="223">
        <v>20</v>
      </c>
      <c r="AM17" s="223">
        <v>20</v>
      </c>
      <c r="AN17" s="223">
        <v>19</v>
      </c>
      <c r="AO17" s="223">
        <v>19</v>
      </c>
      <c r="AP17" s="223">
        <v>19</v>
      </c>
      <c r="AQ17" s="223">
        <v>19</v>
      </c>
      <c r="AR17" s="223">
        <v>19</v>
      </c>
      <c r="AS17" s="223">
        <v>19</v>
      </c>
      <c r="AT17" s="223">
        <v>19</v>
      </c>
      <c r="AU17" s="223">
        <v>19</v>
      </c>
      <c r="AV17" s="223">
        <v>19</v>
      </c>
      <c r="AW17" s="223">
        <v>19</v>
      </c>
      <c r="AX17" s="223">
        <v>19</v>
      </c>
      <c r="AY17" s="223">
        <v>19</v>
      </c>
      <c r="AZ17" s="223">
        <v>17</v>
      </c>
      <c r="BA17" s="223">
        <v>17</v>
      </c>
      <c r="BB17" s="223">
        <v>16</v>
      </c>
      <c r="BC17" s="223">
        <v>16</v>
      </c>
      <c r="BD17" s="223">
        <v>16</v>
      </c>
      <c r="BE17" s="223">
        <v>16</v>
      </c>
      <c r="BF17" s="223">
        <v>16</v>
      </c>
      <c r="BG17" s="223">
        <v>16</v>
      </c>
      <c r="BH17" s="223">
        <v>16</v>
      </c>
      <c r="BI17" s="223">
        <v>16</v>
      </c>
      <c r="BJ17" s="223">
        <v>16</v>
      </c>
      <c r="BK17" s="223">
        <v>16</v>
      </c>
      <c r="BL17" s="230">
        <v>16</v>
      </c>
      <c r="BM17" s="223">
        <v>16</v>
      </c>
      <c r="BN17" s="223">
        <v>16</v>
      </c>
      <c r="BO17" s="223">
        <v>16</v>
      </c>
      <c r="BP17" s="223">
        <v>16</v>
      </c>
      <c r="BQ17" s="223">
        <v>16</v>
      </c>
      <c r="BR17" s="223">
        <v>16</v>
      </c>
      <c r="BS17" s="223">
        <v>16</v>
      </c>
      <c r="BT17" s="223">
        <v>16</v>
      </c>
      <c r="BU17" s="223">
        <v>16</v>
      </c>
      <c r="BV17" s="223">
        <v>16</v>
      </c>
      <c r="BW17" s="223">
        <v>16</v>
      </c>
      <c r="BX17" s="223">
        <f t="shared" si="6"/>
        <v>16</v>
      </c>
    </row>
    <row r="18" spans="1:76" ht="18" customHeight="1">
      <c r="A18" s="29">
        <v>14</v>
      </c>
      <c r="B18" s="263" t="s">
        <v>111</v>
      </c>
      <c r="C18" s="249">
        <v>13</v>
      </c>
      <c r="D18" s="269" t="s">
        <v>112</v>
      </c>
      <c r="E18" s="270" t="s">
        <v>647</v>
      </c>
      <c r="F18" s="269" t="s">
        <v>112</v>
      </c>
      <c r="G18" s="260" t="s">
        <v>18</v>
      </c>
      <c r="H18" s="249" t="s">
        <v>2</v>
      </c>
      <c r="I18" s="321">
        <v>2200</v>
      </c>
      <c r="J18" s="321">
        <f>SUMIFS('POR Control Log-income'!L:L,'POR Control Log-income'!F:F,본공사입.출고현황!B18)</f>
        <v>2200</v>
      </c>
      <c r="K18" s="321">
        <f t="shared" si="1"/>
        <v>0</v>
      </c>
      <c r="L18" s="321"/>
      <c r="M18" s="321">
        <f>SUMIFS('POR Control Log-income'!L:L,'POR Control Log-income'!F:F,본공사입.출고현황!B18)</f>
        <v>2200</v>
      </c>
      <c r="N18" s="322">
        <f t="shared" si="4"/>
        <v>0</v>
      </c>
      <c r="O18" s="323">
        <v>2200</v>
      </c>
      <c r="P18" s="324">
        <f>SUMIFS('POR Control Log-out'!L:L,'POR Control Log-out'!D:D,본공사입.출고현황!B18)</f>
        <v>859</v>
      </c>
      <c r="Q18" s="321"/>
      <c r="R18" s="321">
        <v>121</v>
      </c>
      <c r="S18" s="321">
        <f t="shared" si="3"/>
        <v>1220</v>
      </c>
      <c r="T18" s="404"/>
      <c r="V18" s="141" t="s">
        <v>113</v>
      </c>
      <c r="W18" s="141" t="s">
        <v>114</v>
      </c>
      <c r="X18" s="10" t="s">
        <v>2</v>
      </c>
      <c r="Z18" s="54"/>
      <c r="AC18" s="151">
        <v>632.46</v>
      </c>
      <c r="AG18" s="143">
        <f t="shared" si="5"/>
        <v>58</v>
      </c>
      <c r="AI18" s="223">
        <v>1500</v>
      </c>
      <c r="AJ18" s="223"/>
      <c r="AK18" s="223">
        <v>1500</v>
      </c>
      <c r="AL18" s="223">
        <v>1500</v>
      </c>
      <c r="AM18" s="223">
        <v>1500</v>
      </c>
      <c r="AN18" s="223">
        <v>1500</v>
      </c>
      <c r="AO18" s="223">
        <v>1500</v>
      </c>
      <c r="AP18" s="223">
        <v>1450</v>
      </c>
      <c r="AQ18" s="223">
        <v>1320</v>
      </c>
      <c r="AR18" s="223">
        <v>1320</v>
      </c>
      <c r="AS18" s="223">
        <v>1320</v>
      </c>
      <c r="AT18" s="223">
        <v>1320</v>
      </c>
      <c r="AU18" s="223">
        <v>1320</v>
      </c>
      <c r="AV18" s="223">
        <v>1320</v>
      </c>
      <c r="AW18" s="223">
        <v>1320</v>
      </c>
      <c r="AX18" s="223">
        <v>1278</v>
      </c>
      <c r="AY18" s="223">
        <v>1278</v>
      </c>
      <c r="AZ18" s="223">
        <v>1278</v>
      </c>
      <c r="BA18" s="223">
        <v>1278</v>
      </c>
      <c r="BB18" s="223">
        <v>1278</v>
      </c>
      <c r="BC18" s="223">
        <v>1278</v>
      </c>
      <c r="BD18" s="223">
        <v>1278</v>
      </c>
      <c r="BE18" s="223">
        <v>1278</v>
      </c>
      <c r="BF18" s="223">
        <v>1278</v>
      </c>
      <c r="BG18" s="223">
        <v>1278</v>
      </c>
      <c r="BH18" s="223">
        <v>1278</v>
      </c>
      <c r="BI18" s="223">
        <v>1278</v>
      </c>
      <c r="BJ18" s="223">
        <v>1278</v>
      </c>
      <c r="BK18" s="223">
        <v>1278</v>
      </c>
      <c r="BL18" s="230">
        <v>1278</v>
      </c>
      <c r="BM18" s="223">
        <v>1278</v>
      </c>
      <c r="BN18" s="223">
        <v>1278</v>
      </c>
      <c r="BO18" s="223">
        <v>1278</v>
      </c>
      <c r="BP18" s="223">
        <v>1276</v>
      </c>
      <c r="BQ18" s="223">
        <v>1276</v>
      </c>
      <c r="BR18" s="223">
        <v>1276</v>
      </c>
      <c r="BS18" s="223">
        <v>1247.5</v>
      </c>
      <c r="BT18" s="223">
        <v>1247.5</v>
      </c>
      <c r="BU18" s="223">
        <v>1247.5</v>
      </c>
      <c r="BV18" s="223">
        <v>1247.5</v>
      </c>
      <c r="BW18" s="223">
        <v>1220</v>
      </c>
      <c r="BX18" s="223">
        <f t="shared" si="6"/>
        <v>1220</v>
      </c>
    </row>
    <row r="19" spans="1:76" ht="18" customHeight="1">
      <c r="A19" s="29">
        <v>15</v>
      </c>
      <c r="B19" s="263" t="s">
        <v>115</v>
      </c>
      <c r="C19" s="249">
        <v>14</v>
      </c>
      <c r="D19" s="269" t="s">
        <v>116</v>
      </c>
      <c r="E19" s="270" t="s">
        <v>648</v>
      </c>
      <c r="F19" s="269" t="s">
        <v>116</v>
      </c>
      <c r="G19" s="271" t="s">
        <v>117</v>
      </c>
      <c r="H19" s="249" t="s">
        <v>2</v>
      </c>
      <c r="I19" s="321">
        <v>140</v>
      </c>
      <c r="J19" s="321">
        <f>SUMIFS('POR Control Log-income'!L:L,'POR Control Log-income'!F:F,본공사입.출고현황!B19)</f>
        <v>140</v>
      </c>
      <c r="K19" s="321">
        <f t="shared" si="1"/>
        <v>0</v>
      </c>
      <c r="L19" s="321"/>
      <c r="M19" s="321">
        <f>SUMIFS('POR Control Log-income'!L:L,'POR Control Log-income'!F:F,본공사입.출고현황!B19)</f>
        <v>140</v>
      </c>
      <c r="N19" s="322">
        <f t="shared" si="4"/>
        <v>0</v>
      </c>
      <c r="O19" s="323">
        <f>M19</f>
        <v>140</v>
      </c>
      <c r="P19" s="324">
        <f>SUMIFS('POR Control Log-out'!L:L,'POR Control Log-out'!D:D,본공사입.출고현황!B19)</f>
        <v>0</v>
      </c>
      <c r="Q19" s="321"/>
      <c r="R19" s="321">
        <v>0</v>
      </c>
      <c r="S19" s="321">
        <f t="shared" si="3"/>
        <v>140</v>
      </c>
      <c r="T19" s="404"/>
      <c r="V19" s="141" t="s">
        <v>650</v>
      </c>
      <c r="W19" s="141" t="s">
        <v>118</v>
      </c>
      <c r="X19" s="10" t="s">
        <v>2</v>
      </c>
      <c r="Z19" s="54"/>
      <c r="AC19" s="151"/>
      <c r="AG19" s="143">
        <f t="shared" si="5"/>
        <v>-140</v>
      </c>
      <c r="AI19" s="223">
        <v>60</v>
      </c>
      <c r="AJ19" s="223"/>
      <c r="AK19" s="223">
        <v>60</v>
      </c>
      <c r="AL19" s="223">
        <v>60</v>
      </c>
      <c r="AM19" s="223">
        <v>60</v>
      </c>
      <c r="AN19" s="223">
        <v>60</v>
      </c>
      <c r="AO19" s="223">
        <v>60</v>
      </c>
      <c r="AP19" s="223">
        <v>60</v>
      </c>
      <c r="AQ19" s="223">
        <v>60</v>
      </c>
      <c r="AR19" s="223">
        <v>60</v>
      </c>
      <c r="AS19" s="223">
        <v>60</v>
      </c>
      <c r="AT19" s="223">
        <v>60</v>
      </c>
      <c r="AU19" s="223">
        <v>60</v>
      </c>
      <c r="AV19" s="223">
        <v>60</v>
      </c>
      <c r="AW19" s="223">
        <v>60</v>
      </c>
      <c r="AX19" s="223">
        <v>60</v>
      </c>
      <c r="AY19" s="223">
        <v>60</v>
      </c>
      <c r="AZ19" s="223">
        <v>60</v>
      </c>
      <c r="BA19" s="223">
        <v>60</v>
      </c>
      <c r="BB19" s="223">
        <v>60</v>
      </c>
      <c r="BC19" s="223">
        <v>60</v>
      </c>
      <c r="BD19" s="223"/>
      <c r="BE19" s="223"/>
      <c r="BF19" s="223"/>
      <c r="BG19" s="223"/>
      <c r="BH19" s="223"/>
      <c r="BI19" s="223"/>
      <c r="BJ19" s="223"/>
      <c r="BK19" s="223"/>
      <c r="BL19" s="230"/>
      <c r="BM19" s="223"/>
      <c r="BN19" s="223"/>
      <c r="BO19" s="223"/>
      <c r="BP19" s="223"/>
      <c r="BQ19" s="223"/>
      <c r="BR19" s="223"/>
      <c r="BS19" s="223"/>
      <c r="BT19" s="223"/>
      <c r="BU19" s="223"/>
      <c r="BV19" s="223"/>
      <c r="BW19" s="223">
        <v>140</v>
      </c>
      <c r="BX19" s="223">
        <f t="shared" si="6"/>
        <v>140</v>
      </c>
    </row>
    <row r="20" spans="1:76" ht="18" customHeight="1">
      <c r="A20" s="29">
        <v>16</v>
      </c>
      <c r="B20" s="263" t="s">
        <v>119</v>
      </c>
      <c r="C20" s="249">
        <v>15</v>
      </c>
      <c r="D20" s="269" t="s">
        <v>32</v>
      </c>
      <c r="E20" s="270" t="s">
        <v>120</v>
      </c>
      <c r="F20" s="269" t="s">
        <v>121</v>
      </c>
      <c r="G20" s="260"/>
      <c r="H20" s="249" t="s">
        <v>0</v>
      </c>
      <c r="I20" s="321">
        <v>3</v>
      </c>
      <c r="J20" s="321">
        <f>SUMIFS('POR Control Log-income'!L:L,'POR Control Log-income'!F:F,본공사입.출고현황!B20)</f>
        <v>3</v>
      </c>
      <c r="K20" s="321">
        <f t="shared" si="1"/>
        <v>0</v>
      </c>
      <c r="L20" s="321"/>
      <c r="M20" s="321">
        <f>SUMIFS('POR Control Log-income'!L:L,'POR Control Log-income'!F:F,본공사입.출고현황!B20)</f>
        <v>3</v>
      </c>
      <c r="N20" s="322">
        <f t="shared" si="4"/>
        <v>0</v>
      </c>
      <c r="O20" s="323">
        <f>M20</f>
        <v>3</v>
      </c>
      <c r="P20" s="324">
        <f>SUMIFS('POR Control Log-out'!L:L,'POR Control Log-out'!D:D,본공사입.출고현황!B20)</f>
        <v>2</v>
      </c>
      <c r="Q20" s="321"/>
      <c r="R20" s="321">
        <v>0</v>
      </c>
      <c r="S20" s="321">
        <f t="shared" si="3"/>
        <v>1</v>
      </c>
      <c r="T20" s="404"/>
      <c r="U20" s="20">
        <v>1</v>
      </c>
      <c r="V20" s="141" t="s">
        <v>122</v>
      </c>
      <c r="W20" s="141"/>
      <c r="X20" s="10" t="s">
        <v>0</v>
      </c>
      <c r="Z20" s="54"/>
      <c r="AC20" s="151"/>
      <c r="AG20" s="143">
        <f t="shared" si="5"/>
        <v>0</v>
      </c>
      <c r="AI20" s="223">
        <v>1</v>
      </c>
      <c r="AJ20" s="223"/>
      <c r="AK20" s="223">
        <v>1</v>
      </c>
      <c r="AL20" s="223">
        <v>1</v>
      </c>
      <c r="AM20" s="223">
        <v>1</v>
      </c>
      <c r="AN20" s="223">
        <v>1</v>
      </c>
      <c r="AO20" s="223">
        <v>1</v>
      </c>
      <c r="AP20" s="223">
        <v>1</v>
      </c>
      <c r="AQ20" s="223">
        <v>1</v>
      </c>
      <c r="AR20" s="223">
        <v>1</v>
      </c>
      <c r="AS20" s="223">
        <v>1</v>
      </c>
      <c r="AT20" s="223">
        <v>1</v>
      </c>
      <c r="AU20" s="223">
        <v>1</v>
      </c>
      <c r="AV20" s="223">
        <v>1</v>
      </c>
      <c r="AW20" s="223">
        <v>1</v>
      </c>
      <c r="AX20" s="223">
        <v>1</v>
      </c>
      <c r="AY20" s="223">
        <v>1</v>
      </c>
      <c r="AZ20" s="223">
        <v>1</v>
      </c>
      <c r="BA20" s="223">
        <v>1</v>
      </c>
      <c r="BB20" s="223">
        <v>1</v>
      </c>
      <c r="BC20" s="223">
        <v>1</v>
      </c>
      <c r="BD20" s="223">
        <v>1</v>
      </c>
      <c r="BE20" s="223">
        <v>1</v>
      </c>
      <c r="BF20" s="223">
        <v>1</v>
      </c>
      <c r="BG20" s="223">
        <v>1</v>
      </c>
      <c r="BH20" s="223">
        <v>1</v>
      </c>
      <c r="BI20" s="223">
        <v>1</v>
      </c>
      <c r="BJ20" s="223">
        <v>1</v>
      </c>
      <c r="BK20" s="223">
        <v>1</v>
      </c>
      <c r="BL20" s="230">
        <v>1</v>
      </c>
      <c r="BM20" s="223">
        <v>1</v>
      </c>
      <c r="BN20" s="223">
        <v>1</v>
      </c>
      <c r="BO20" s="223">
        <v>1</v>
      </c>
      <c r="BP20" s="223">
        <v>1</v>
      </c>
      <c r="BQ20" s="223">
        <v>1</v>
      </c>
      <c r="BR20" s="223">
        <v>1</v>
      </c>
      <c r="BS20" s="223">
        <v>1</v>
      </c>
      <c r="BT20" s="223">
        <v>1</v>
      </c>
      <c r="BU20" s="223">
        <v>1</v>
      </c>
      <c r="BV20" s="223">
        <v>1</v>
      </c>
      <c r="BW20" s="223">
        <v>1</v>
      </c>
      <c r="BX20" s="223">
        <f t="shared" si="6"/>
        <v>1</v>
      </c>
    </row>
    <row r="21" spans="1:76" s="123" customFormat="1" ht="18" customHeight="1">
      <c r="A21" s="29">
        <v>17</v>
      </c>
      <c r="B21" s="263"/>
      <c r="C21" s="272" t="s">
        <v>66</v>
      </c>
      <c r="D21" s="273"/>
      <c r="E21" s="274" t="s">
        <v>124</v>
      </c>
      <c r="F21" s="273"/>
      <c r="G21" s="275"/>
      <c r="H21" s="272"/>
      <c r="I21" s="321"/>
      <c r="J21" s="321">
        <f>SUMIFS('POR Control Log-income'!L:L,'POR Control Log-income'!F:F,본공사입.출고현황!B21)</f>
        <v>0</v>
      </c>
      <c r="K21" s="321"/>
      <c r="L21" s="321"/>
      <c r="M21" s="321">
        <f>SUMIFS('POR Control Log-income'!L:L,'POR Control Log-income'!F:F,본공사입.출고현황!B21)</f>
        <v>0</v>
      </c>
      <c r="N21" s="322">
        <f t="shared" si="4"/>
        <v>0</v>
      </c>
      <c r="O21" s="323"/>
      <c r="P21" s="324"/>
      <c r="Q21" s="321"/>
      <c r="R21" s="321"/>
      <c r="S21" s="321">
        <f t="shared" si="3"/>
        <v>0</v>
      </c>
      <c r="T21" s="405"/>
      <c r="X21" s="31"/>
      <c r="Y21" s="31"/>
      <c r="Z21" s="137"/>
      <c r="AC21" s="139"/>
      <c r="AD21" s="139"/>
      <c r="AE21" s="139"/>
      <c r="AG21" s="143">
        <f t="shared" si="5"/>
        <v>0</v>
      </c>
      <c r="AI21" s="225"/>
      <c r="AJ21" s="223"/>
      <c r="AK21" s="225"/>
      <c r="AL21" s="223"/>
      <c r="AM21" s="223">
        <v>0</v>
      </c>
      <c r="AN21" s="223">
        <v>0</v>
      </c>
      <c r="AO21" s="223">
        <v>0</v>
      </c>
      <c r="AP21" s="223">
        <v>0</v>
      </c>
      <c r="AQ21" s="223">
        <v>0</v>
      </c>
      <c r="AR21" s="223">
        <v>0</v>
      </c>
      <c r="AS21" s="223">
        <v>0</v>
      </c>
      <c r="AT21" s="223">
        <v>0</v>
      </c>
      <c r="AU21" s="223">
        <v>0</v>
      </c>
      <c r="AV21" s="223">
        <v>0</v>
      </c>
      <c r="AW21" s="223">
        <v>0</v>
      </c>
      <c r="AX21" s="223">
        <v>0</v>
      </c>
      <c r="AY21" s="223">
        <v>0</v>
      </c>
      <c r="AZ21" s="223">
        <v>0</v>
      </c>
      <c r="BA21" s="223">
        <v>0</v>
      </c>
      <c r="BB21" s="223">
        <v>0</v>
      </c>
      <c r="BC21" s="223">
        <v>0</v>
      </c>
      <c r="BD21" s="223">
        <v>0</v>
      </c>
      <c r="BE21" s="223">
        <v>0</v>
      </c>
      <c r="BF21" s="223">
        <v>0</v>
      </c>
      <c r="BG21" s="223">
        <v>0</v>
      </c>
      <c r="BH21" s="223">
        <v>0</v>
      </c>
      <c r="BI21" s="223">
        <v>0</v>
      </c>
      <c r="BJ21" s="223">
        <v>0</v>
      </c>
      <c r="BK21" s="223">
        <v>0</v>
      </c>
      <c r="BL21" s="230">
        <v>0</v>
      </c>
      <c r="BM21" s="223">
        <v>0</v>
      </c>
      <c r="BN21" s="223">
        <v>0</v>
      </c>
      <c r="BO21" s="223">
        <v>0</v>
      </c>
      <c r="BP21" s="223">
        <v>0</v>
      </c>
      <c r="BQ21" s="223">
        <v>0</v>
      </c>
      <c r="BR21" s="223">
        <v>0</v>
      </c>
      <c r="BS21" s="223">
        <v>0</v>
      </c>
      <c r="BT21" s="223">
        <v>0</v>
      </c>
      <c r="BU21" s="223">
        <v>0</v>
      </c>
      <c r="BV21" s="223">
        <v>0</v>
      </c>
      <c r="BW21" s="223"/>
      <c r="BX21" s="223">
        <f t="shared" si="6"/>
        <v>0</v>
      </c>
    </row>
    <row r="22" spans="1:76" ht="18" customHeight="1">
      <c r="A22" s="29">
        <v>18</v>
      </c>
      <c r="B22" s="263" t="s">
        <v>125</v>
      </c>
      <c r="C22" s="249">
        <v>1</v>
      </c>
      <c r="D22" s="269" t="s">
        <v>1</v>
      </c>
      <c r="E22" s="270" t="s">
        <v>455</v>
      </c>
      <c r="F22" s="269" t="s">
        <v>26</v>
      </c>
      <c r="G22" s="260" t="s">
        <v>456</v>
      </c>
      <c r="H22" s="251" t="s">
        <v>2</v>
      </c>
      <c r="I22" s="321">
        <v>2551</v>
      </c>
      <c r="J22" s="321">
        <f>SUMIFS('POR Control Log-income'!L:L,'POR Control Log-income'!F:F,본공사입.출고현황!B22)</f>
        <v>2437</v>
      </c>
      <c r="K22" s="414">
        <f t="shared" ref="K22:K45" si="7">I22-J22</f>
        <v>114</v>
      </c>
      <c r="L22" s="321"/>
      <c r="M22" s="321">
        <f>SUMIFS('POR Control Log-income'!L:L,'POR Control Log-income'!F:F,본공사입.출고현황!B22)</f>
        <v>2437</v>
      </c>
      <c r="N22" s="322">
        <f t="shared" si="4"/>
        <v>0</v>
      </c>
      <c r="O22" s="323">
        <f t="shared" ref="O22:O45" si="8">M22</f>
        <v>2437</v>
      </c>
      <c r="P22" s="324">
        <f>SUMIFS('POR Control Log-out'!L:L,'POR Control Log-out'!D:D,본공사입.출고현황!B22)</f>
        <v>1438</v>
      </c>
      <c r="Q22" s="321">
        <f>311+97+189</f>
        <v>597</v>
      </c>
      <c r="R22" s="321">
        <v>270</v>
      </c>
      <c r="S22" s="321">
        <f t="shared" si="3"/>
        <v>132</v>
      </c>
      <c r="T22" s="404"/>
      <c r="V22" s="141" t="s">
        <v>126</v>
      </c>
      <c r="W22" s="141" t="s">
        <v>127</v>
      </c>
      <c r="X22" s="10" t="s">
        <v>2</v>
      </c>
      <c r="Y22" s="29" t="s">
        <v>60</v>
      </c>
      <c r="Z22" s="54"/>
      <c r="AB22" s="141" t="s">
        <v>14</v>
      </c>
      <c r="AC22" s="145">
        <v>1331.1210000000003</v>
      </c>
      <c r="AD22" s="146">
        <f>AC22-P23</f>
        <v>-120.87899999999968</v>
      </c>
      <c r="AG22" s="143">
        <f t="shared" si="5"/>
        <v>600.6</v>
      </c>
      <c r="AI22" s="223">
        <v>68</v>
      </c>
      <c r="AJ22" s="223"/>
      <c r="AK22" s="223">
        <v>68</v>
      </c>
      <c r="AL22" s="223">
        <v>68</v>
      </c>
      <c r="AM22" s="223">
        <v>68</v>
      </c>
      <c r="AN22" s="223">
        <v>68</v>
      </c>
      <c r="AO22" s="223">
        <v>68</v>
      </c>
      <c r="AP22" s="223">
        <v>68</v>
      </c>
      <c r="AQ22" s="223">
        <v>68</v>
      </c>
      <c r="AR22" s="223">
        <v>68</v>
      </c>
      <c r="AS22" s="223">
        <v>68</v>
      </c>
      <c r="AT22" s="223">
        <v>68</v>
      </c>
      <c r="AU22" s="223">
        <v>68</v>
      </c>
      <c r="AV22" s="223">
        <v>68</v>
      </c>
      <c r="AW22" s="223">
        <v>68</v>
      </c>
      <c r="AX22" s="223">
        <v>68</v>
      </c>
      <c r="AY22" s="223"/>
      <c r="AZ22" s="223">
        <v>0</v>
      </c>
      <c r="BA22" s="223">
        <v>0</v>
      </c>
      <c r="BB22" s="223">
        <v>0</v>
      </c>
      <c r="BC22" s="223">
        <v>0</v>
      </c>
      <c r="BD22" s="223">
        <v>830</v>
      </c>
      <c r="BE22" s="223">
        <v>830</v>
      </c>
      <c r="BF22" s="223">
        <v>732.6</v>
      </c>
      <c r="BG22" s="223">
        <v>732.6</v>
      </c>
      <c r="BH22" s="223">
        <v>732.6</v>
      </c>
      <c r="BI22" s="223">
        <v>732.6</v>
      </c>
      <c r="BJ22" s="223">
        <v>732.6</v>
      </c>
      <c r="BK22" s="223">
        <v>732.6</v>
      </c>
      <c r="BL22" s="230">
        <v>732.6</v>
      </c>
      <c r="BM22" s="223">
        <v>732.6</v>
      </c>
      <c r="BN22" s="223">
        <v>732.6</v>
      </c>
      <c r="BO22" s="223">
        <v>732.6</v>
      </c>
      <c r="BP22" s="223">
        <v>732.6</v>
      </c>
      <c r="BQ22" s="223">
        <v>732.6</v>
      </c>
      <c r="BR22" s="223">
        <v>732.6</v>
      </c>
      <c r="BS22" s="223">
        <v>732.6</v>
      </c>
      <c r="BT22" s="223">
        <v>732.6</v>
      </c>
      <c r="BU22" s="223">
        <v>732.6</v>
      </c>
      <c r="BV22" s="223">
        <v>732.6</v>
      </c>
      <c r="BW22" s="223">
        <v>840</v>
      </c>
      <c r="BX22" s="223">
        <f t="shared" si="6"/>
        <v>840</v>
      </c>
    </row>
    <row r="23" spans="1:76" ht="18" customHeight="1">
      <c r="A23" s="29">
        <v>19</v>
      </c>
      <c r="B23" s="263" t="s">
        <v>128</v>
      </c>
      <c r="C23" s="249">
        <v>2</v>
      </c>
      <c r="D23" s="269" t="s">
        <v>1</v>
      </c>
      <c r="E23" s="270" t="s">
        <v>454</v>
      </c>
      <c r="F23" s="269" t="s">
        <v>129</v>
      </c>
      <c r="G23" s="260" t="s">
        <v>457</v>
      </c>
      <c r="H23" s="251" t="s">
        <v>2</v>
      </c>
      <c r="I23" s="321">
        <v>5390</v>
      </c>
      <c r="J23" s="321">
        <f>SUMIFS('POR Control Log-income'!L:L,'POR Control Log-income'!F:F,본공사입.출고현황!B23)</f>
        <v>5390</v>
      </c>
      <c r="K23" s="321">
        <f t="shared" si="7"/>
        <v>0</v>
      </c>
      <c r="L23" s="321"/>
      <c r="M23" s="321">
        <f>SUMIFS('POR Control Log-income'!L:L,'POR Control Log-income'!F:F,본공사입.출고현황!B23)</f>
        <v>5390</v>
      </c>
      <c r="N23" s="322">
        <f t="shared" si="4"/>
        <v>0</v>
      </c>
      <c r="O23" s="323">
        <f t="shared" si="8"/>
        <v>5390</v>
      </c>
      <c r="P23" s="324">
        <f>SUMIFS('POR Control Log-out'!L:L,'POR Control Log-out'!D:D,본공사입.출고현황!B23)</f>
        <v>1452</v>
      </c>
      <c r="Q23" s="321">
        <f>198+58-120+240+84</f>
        <v>460</v>
      </c>
      <c r="R23" s="321">
        <v>238</v>
      </c>
      <c r="S23" s="321">
        <f t="shared" si="3"/>
        <v>3240</v>
      </c>
      <c r="T23" s="404" t="s">
        <v>130</v>
      </c>
      <c r="V23" s="141" t="s">
        <v>126</v>
      </c>
      <c r="W23" s="141" t="s">
        <v>14</v>
      </c>
      <c r="X23" s="10" t="s">
        <v>2</v>
      </c>
      <c r="Y23" s="29" t="s">
        <v>60</v>
      </c>
      <c r="Z23" s="54"/>
      <c r="AB23" s="141" t="s">
        <v>13</v>
      </c>
      <c r="AC23" s="145">
        <v>5156.0880000000006</v>
      </c>
      <c r="AD23" s="146">
        <f>AC23-P29</f>
        <v>-0.3999999999996362</v>
      </c>
      <c r="AG23" s="143">
        <f t="shared" si="5"/>
        <v>84</v>
      </c>
      <c r="AI23" s="223">
        <v>612</v>
      </c>
      <c r="AJ23" s="223"/>
      <c r="AK23" s="223">
        <v>612</v>
      </c>
      <c r="AL23" s="223">
        <v>612</v>
      </c>
      <c r="AM23" s="223">
        <v>612</v>
      </c>
      <c r="AN23" s="223">
        <v>612</v>
      </c>
      <c r="AO23" s="223">
        <v>612</v>
      </c>
      <c r="AP23" s="223">
        <v>612</v>
      </c>
      <c r="AQ23" s="223">
        <v>612</v>
      </c>
      <c r="AR23" s="223">
        <v>612</v>
      </c>
      <c r="AS23" s="223">
        <v>612</v>
      </c>
      <c r="AT23" s="223">
        <v>612</v>
      </c>
      <c r="AU23" s="223">
        <v>612</v>
      </c>
      <c r="AV23" s="223">
        <v>612</v>
      </c>
      <c r="AW23" s="223">
        <v>612</v>
      </c>
      <c r="AX23" s="223">
        <v>612</v>
      </c>
      <c r="AY23" s="223">
        <v>3618</v>
      </c>
      <c r="AZ23" s="223">
        <v>3564</v>
      </c>
      <c r="BA23" s="223">
        <v>3564</v>
      </c>
      <c r="BB23" s="223">
        <v>3564</v>
      </c>
      <c r="BC23" s="223">
        <v>3564</v>
      </c>
      <c r="BD23" s="223">
        <v>3564</v>
      </c>
      <c r="BE23" s="223">
        <v>3564</v>
      </c>
      <c r="BF23" s="223">
        <v>3324</v>
      </c>
      <c r="BG23" s="223">
        <v>3324</v>
      </c>
      <c r="BH23" s="223">
        <v>3324</v>
      </c>
      <c r="BI23" s="223">
        <v>3324</v>
      </c>
      <c r="BJ23" s="223">
        <v>3324</v>
      </c>
      <c r="BK23" s="223">
        <v>3324</v>
      </c>
      <c r="BL23" s="230">
        <v>3324</v>
      </c>
      <c r="BM23" s="223">
        <v>3324</v>
      </c>
      <c r="BN23" s="223">
        <v>3324</v>
      </c>
      <c r="BO23" s="223">
        <v>3324</v>
      </c>
      <c r="BP23" s="223">
        <v>3324</v>
      </c>
      <c r="BQ23" s="223">
        <v>3324</v>
      </c>
      <c r="BR23" s="223">
        <v>3324</v>
      </c>
      <c r="BS23" s="223">
        <v>3324</v>
      </c>
      <c r="BT23" s="223">
        <v>3324</v>
      </c>
      <c r="BU23" s="223">
        <v>3324</v>
      </c>
      <c r="BV23" s="223">
        <v>3324</v>
      </c>
      <c r="BW23" s="223">
        <v>3324</v>
      </c>
      <c r="BX23" s="223">
        <f t="shared" si="6"/>
        <v>3324</v>
      </c>
    </row>
    <row r="24" spans="1:76" s="208" customFormat="1" ht="18" customHeight="1">
      <c r="A24" s="206">
        <v>20</v>
      </c>
      <c r="B24" s="406" t="s">
        <v>463</v>
      </c>
      <c r="C24" s="249">
        <v>3</v>
      </c>
      <c r="D24" s="276" t="s">
        <v>1</v>
      </c>
      <c r="E24" s="277" t="s">
        <v>132</v>
      </c>
      <c r="F24" s="276" t="s">
        <v>1</v>
      </c>
      <c r="G24" s="278" t="s">
        <v>133</v>
      </c>
      <c r="H24" s="279" t="s">
        <v>2</v>
      </c>
      <c r="I24" s="327">
        <v>0</v>
      </c>
      <c r="J24" s="321">
        <f>SUMIFS('POR Control Log-income'!L:L,'POR Control Log-income'!F:F,본공사입.출고현황!B24)</f>
        <v>0</v>
      </c>
      <c r="K24" s="327">
        <f t="shared" si="7"/>
        <v>0</v>
      </c>
      <c r="L24" s="327"/>
      <c r="M24" s="327">
        <f>SUMIFS('POR Control Log-income'!L:L,'POR Control Log-income'!F:F,본공사입.출고현황!B24)</f>
        <v>0</v>
      </c>
      <c r="N24" s="328">
        <f t="shared" si="4"/>
        <v>0</v>
      </c>
      <c r="O24" s="329">
        <f t="shared" si="8"/>
        <v>0</v>
      </c>
      <c r="P24" s="330">
        <f>SUMIFS('POR Control Log-out'!L:L,'POR Control Log-out'!D:D,본공사입.출고현황!B24)</f>
        <v>0</v>
      </c>
      <c r="Q24" s="327"/>
      <c r="R24" s="327"/>
      <c r="S24" s="321">
        <f t="shared" si="3"/>
        <v>0</v>
      </c>
      <c r="T24" s="407" t="s">
        <v>532</v>
      </c>
      <c r="U24" s="208" t="s">
        <v>134</v>
      </c>
      <c r="V24" s="214" t="s">
        <v>1</v>
      </c>
      <c r="W24" s="214" t="s">
        <v>15</v>
      </c>
      <c r="X24" s="215" t="s">
        <v>2</v>
      </c>
      <c r="Y24" s="211" t="s">
        <v>466</v>
      </c>
      <c r="Z24" s="204"/>
      <c r="AB24" s="207" t="s">
        <v>127</v>
      </c>
      <c r="AC24" s="205">
        <v>933.16500000000008</v>
      </c>
      <c r="AD24" s="216">
        <f>AC24-P22</f>
        <v>-504.83499999999992</v>
      </c>
      <c r="AE24" s="213"/>
      <c r="AG24" s="143">
        <f t="shared" si="5"/>
        <v>0</v>
      </c>
      <c r="AI24" s="226"/>
      <c r="AJ24" s="226"/>
      <c r="AK24" s="226"/>
      <c r="AL24" s="226"/>
      <c r="AM24" s="226">
        <v>0</v>
      </c>
      <c r="AN24" s="226">
        <v>0</v>
      </c>
      <c r="AO24" s="226">
        <v>0</v>
      </c>
      <c r="AP24" s="226">
        <v>0</v>
      </c>
      <c r="AQ24" s="226">
        <v>0</v>
      </c>
      <c r="AR24" s="226">
        <v>0</v>
      </c>
      <c r="AS24" s="226">
        <v>0</v>
      </c>
      <c r="AT24" s="226">
        <v>0</v>
      </c>
      <c r="AU24" s="226">
        <v>0</v>
      </c>
      <c r="AV24" s="226">
        <v>0</v>
      </c>
      <c r="AW24" s="226">
        <v>0</v>
      </c>
      <c r="AX24" s="226">
        <v>0</v>
      </c>
      <c r="AY24" s="226">
        <v>0</v>
      </c>
      <c r="AZ24" s="226">
        <v>0</v>
      </c>
      <c r="BA24" s="226">
        <v>0</v>
      </c>
      <c r="BB24" s="226">
        <v>0</v>
      </c>
      <c r="BC24" s="226">
        <v>0</v>
      </c>
      <c r="BD24" s="226">
        <v>0</v>
      </c>
      <c r="BE24" s="223">
        <v>0</v>
      </c>
      <c r="BF24" s="223">
        <v>0</v>
      </c>
      <c r="BG24" s="223">
        <v>0</v>
      </c>
      <c r="BH24" s="223">
        <v>0</v>
      </c>
      <c r="BI24" s="223">
        <v>0</v>
      </c>
      <c r="BJ24" s="223">
        <v>0</v>
      </c>
      <c r="BK24" s="223">
        <v>0</v>
      </c>
      <c r="BL24" s="230">
        <v>0</v>
      </c>
      <c r="BM24" s="223">
        <v>0</v>
      </c>
      <c r="BN24" s="223">
        <v>0</v>
      </c>
      <c r="BO24" s="223">
        <v>0</v>
      </c>
      <c r="BP24" s="223">
        <v>0</v>
      </c>
      <c r="BQ24" s="223">
        <v>0</v>
      </c>
      <c r="BR24" s="223">
        <v>0</v>
      </c>
      <c r="BS24" s="223">
        <v>0</v>
      </c>
      <c r="BT24" s="223">
        <v>0</v>
      </c>
      <c r="BU24" s="223">
        <v>0</v>
      </c>
      <c r="BV24" s="223">
        <v>0</v>
      </c>
      <c r="BW24" s="223">
        <v>0</v>
      </c>
      <c r="BX24" s="223">
        <f t="shared" si="6"/>
        <v>0</v>
      </c>
    </row>
    <row r="25" spans="1:76" s="127" customFormat="1" ht="18" customHeight="1">
      <c r="A25" s="29">
        <v>25</v>
      </c>
      <c r="B25" s="263" t="s">
        <v>462</v>
      </c>
      <c r="C25" s="249">
        <v>4</v>
      </c>
      <c r="D25" s="269" t="s">
        <v>1</v>
      </c>
      <c r="E25" s="270" t="s">
        <v>459</v>
      </c>
      <c r="F25" s="269" t="s">
        <v>26</v>
      </c>
      <c r="G25" s="260" t="s">
        <v>458</v>
      </c>
      <c r="H25" s="251" t="s">
        <v>2</v>
      </c>
      <c r="I25" s="321">
        <v>172</v>
      </c>
      <c r="J25" s="321">
        <f>SUMIFS('POR Control Log-income'!L:L,'POR Control Log-income'!F:F,본공사입.출고현황!B25)</f>
        <v>0</v>
      </c>
      <c r="K25" s="414">
        <f t="shared" si="7"/>
        <v>172</v>
      </c>
      <c r="L25" s="321"/>
      <c r="M25" s="321">
        <f>SUMIFS('POR Control Log-income'!L:L,'POR Control Log-income'!F:F,본공사입.출고현황!B25)</f>
        <v>0</v>
      </c>
      <c r="N25" s="322">
        <f t="shared" si="4"/>
        <v>0</v>
      </c>
      <c r="O25" s="323">
        <f t="shared" si="8"/>
        <v>0</v>
      </c>
      <c r="P25" s="324">
        <f>SUMIFS('POR Control Log-out'!L:L,'POR Control Log-out'!D:D,본공사입.출고현황!B25)</f>
        <v>0</v>
      </c>
      <c r="Q25" s="321"/>
      <c r="R25" s="321">
        <v>0</v>
      </c>
      <c r="S25" s="321">
        <f t="shared" si="3"/>
        <v>0</v>
      </c>
      <c r="T25" s="408" t="s">
        <v>465</v>
      </c>
      <c r="V25" s="147" t="s">
        <v>415</v>
      </c>
      <c r="W25" s="200" t="s">
        <v>461</v>
      </c>
      <c r="X25" s="148" t="s">
        <v>2</v>
      </c>
      <c r="Y25" s="29" t="s">
        <v>60</v>
      </c>
      <c r="Z25" s="54"/>
      <c r="AB25" s="141" t="s">
        <v>460</v>
      </c>
      <c r="AC25" s="145">
        <v>0</v>
      </c>
      <c r="AD25" s="146">
        <f>AC25-P27</f>
        <v>0</v>
      </c>
      <c r="AE25" s="89"/>
      <c r="AG25" s="143">
        <f t="shared" si="5"/>
        <v>0</v>
      </c>
      <c r="AI25" s="223"/>
      <c r="AJ25" s="223"/>
      <c r="AK25" s="223"/>
      <c r="AL25" s="223"/>
      <c r="AM25" s="223">
        <v>0</v>
      </c>
      <c r="AN25" s="223">
        <v>0</v>
      </c>
      <c r="AO25" s="223">
        <v>0</v>
      </c>
      <c r="AP25" s="223">
        <v>0</v>
      </c>
      <c r="AQ25" s="223">
        <v>0</v>
      </c>
      <c r="AR25" s="223">
        <v>0</v>
      </c>
      <c r="AS25" s="223">
        <v>0</v>
      </c>
      <c r="AT25" s="223">
        <v>0</v>
      </c>
      <c r="AU25" s="223">
        <v>0</v>
      </c>
      <c r="AV25" s="223">
        <v>0</v>
      </c>
      <c r="AW25" s="223">
        <v>0</v>
      </c>
      <c r="AX25" s="223">
        <v>0</v>
      </c>
      <c r="AY25" s="223">
        <v>0</v>
      </c>
      <c r="AZ25" s="223">
        <v>0</v>
      </c>
      <c r="BA25" s="223">
        <v>0</v>
      </c>
      <c r="BB25" s="223">
        <v>0</v>
      </c>
      <c r="BC25" s="223"/>
      <c r="BD25" s="223">
        <v>0</v>
      </c>
      <c r="BE25" s="223">
        <v>0</v>
      </c>
      <c r="BF25" s="223">
        <v>0</v>
      </c>
      <c r="BG25" s="223">
        <v>0</v>
      </c>
      <c r="BH25" s="223">
        <v>0</v>
      </c>
      <c r="BI25" s="223">
        <v>0</v>
      </c>
      <c r="BJ25" s="223">
        <v>0</v>
      </c>
      <c r="BK25" s="223">
        <v>0</v>
      </c>
      <c r="BL25" s="230">
        <v>0</v>
      </c>
      <c r="BM25" s="223">
        <v>0</v>
      </c>
      <c r="BN25" s="223">
        <v>0</v>
      </c>
      <c r="BO25" s="223">
        <v>0</v>
      </c>
      <c r="BP25" s="223">
        <v>0</v>
      </c>
      <c r="BQ25" s="223">
        <v>0</v>
      </c>
      <c r="BR25" s="223">
        <v>0</v>
      </c>
      <c r="BS25" s="223">
        <v>0</v>
      </c>
      <c r="BT25" s="223">
        <v>0</v>
      </c>
      <c r="BU25" s="223">
        <v>0</v>
      </c>
      <c r="BV25" s="223">
        <v>0</v>
      </c>
      <c r="BW25" s="223">
        <v>172</v>
      </c>
      <c r="BX25" s="223">
        <f t="shared" si="6"/>
        <v>172</v>
      </c>
    </row>
    <row r="26" spans="1:76" ht="18" customHeight="1">
      <c r="A26" s="29">
        <v>21</v>
      </c>
      <c r="B26" s="263" t="s">
        <v>135</v>
      </c>
      <c r="C26" s="249">
        <v>5</v>
      </c>
      <c r="D26" s="269" t="s">
        <v>1</v>
      </c>
      <c r="E26" s="270" t="s">
        <v>132</v>
      </c>
      <c r="F26" s="269" t="s">
        <v>1</v>
      </c>
      <c r="G26" s="260" t="s">
        <v>136</v>
      </c>
      <c r="H26" s="251" t="s">
        <v>2</v>
      </c>
      <c r="I26" s="321">
        <v>1400.32</v>
      </c>
      <c r="J26" s="321">
        <f>SUMIFS('POR Control Log-income'!L:L,'POR Control Log-income'!F:F,본공사입.출고현황!B26)</f>
        <v>1400.32</v>
      </c>
      <c r="K26" s="321">
        <f t="shared" si="7"/>
        <v>0</v>
      </c>
      <c r="L26" s="321"/>
      <c r="M26" s="321">
        <f>SUMIFS('POR Control Log-income'!L:L,'POR Control Log-income'!F:F,본공사입.출고현황!B26)</f>
        <v>1400.32</v>
      </c>
      <c r="N26" s="322">
        <f t="shared" si="4"/>
        <v>0</v>
      </c>
      <c r="O26" s="323">
        <f t="shared" si="8"/>
        <v>1400.32</v>
      </c>
      <c r="P26" s="324">
        <f>SUMIFS('POR Control Log-out'!L:L,'POR Control Log-out'!D:D,본공사입.출고현황!B26)</f>
        <v>1176</v>
      </c>
      <c r="Q26" s="321"/>
      <c r="R26" s="321">
        <v>116.32</v>
      </c>
      <c r="S26" s="321">
        <f t="shared" si="3"/>
        <v>108</v>
      </c>
      <c r="T26" s="404"/>
      <c r="V26" s="141" t="s">
        <v>1</v>
      </c>
      <c r="W26" s="141" t="s">
        <v>15</v>
      </c>
      <c r="X26" s="10" t="s">
        <v>2</v>
      </c>
      <c r="Y26" s="29" t="s">
        <v>60</v>
      </c>
      <c r="Z26" s="54"/>
      <c r="AB26" s="147" t="s">
        <v>15</v>
      </c>
      <c r="AC26" s="145">
        <v>1175.360000000001</v>
      </c>
      <c r="AD26" s="146">
        <f>AC26-P26</f>
        <v>-0.63999999999896318</v>
      </c>
      <c r="AG26" s="143">
        <f t="shared" si="5"/>
        <v>0</v>
      </c>
      <c r="AI26" s="223">
        <v>190</v>
      </c>
      <c r="AJ26" s="223">
        <v>162</v>
      </c>
      <c r="AK26" s="223">
        <v>162</v>
      </c>
      <c r="AL26" s="223">
        <v>162</v>
      </c>
      <c r="AM26" s="223">
        <v>162</v>
      </c>
      <c r="AN26" s="223">
        <v>162</v>
      </c>
      <c r="AO26" s="223">
        <v>162</v>
      </c>
      <c r="AP26" s="223">
        <v>162</v>
      </c>
      <c r="AQ26" s="223">
        <v>162</v>
      </c>
      <c r="AR26" s="223">
        <v>162</v>
      </c>
      <c r="AS26" s="223">
        <v>162</v>
      </c>
      <c r="AT26" s="223">
        <v>162</v>
      </c>
      <c r="AU26" s="223">
        <v>162</v>
      </c>
      <c r="AV26" s="223">
        <v>156</v>
      </c>
      <c r="AW26" s="223">
        <v>156</v>
      </c>
      <c r="AX26" s="223">
        <v>156</v>
      </c>
      <c r="AY26" s="223">
        <v>108</v>
      </c>
      <c r="AZ26" s="223">
        <v>108</v>
      </c>
      <c r="BA26" s="223">
        <v>108</v>
      </c>
      <c r="BB26" s="223">
        <v>108</v>
      </c>
      <c r="BC26" s="223">
        <v>108</v>
      </c>
      <c r="BD26" s="223">
        <v>108</v>
      </c>
      <c r="BE26" s="223">
        <v>108</v>
      </c>
      <c r="BF26" s="223">
        <v>108</v>
      </c>
      <c r="BG26" s="223">
        <v>108</v>
      </c>
      <c r="BH26" s="223">
        <v>108</v>
      </c>
      <c r="BI26" s="223">
        <v>108</v>
      </c>
      <c r="BJ26" s="223">
        <v>108</v>
      </c>
      <c r="BK26" s="223">
        <v>108</v>
      </c>
      <c r="BL26" s="230">
        <v>108</v>
      </c>
      <c r="BM26" s="223">
        <v>108</v>
      </c>
      <c r="BN26" s="223">
        <v>108</v>
      </c>
      <c r="BO26" s="223">
        <v>108</v>
      </c>
      <c r="BP26" s="223">
        <v>108</v>
      </c>
      <c r="BQ26" s="223">
        <v>108</v>
      </c>
      <c r="BR26" s="223">
        <v>108</v>
      </c>
      <c r="BS26" s="223">
        <v>108</v>
      </c>
      <c r="BT26" s="223">
        <v>108</v>
      </c>
      <c r="BU26" s="223">
        <v>108</v>
      </c>
      <c r="BV26" s="223">
        <v>108</v>
      </c>
      <c r="BW26" s="223">
        <v>108</v>
      </c>
      <c r="BX26" s="223">
        <f t="shared" si="6"/>
        <v>108</v>
      </c>
    </row>
    <row r="27" spans="1:76" s="127" customFormat="1" ht="18" customHeight="1">
      <c r="A27" s="29">
        <v>22</v>
      </c>
      <c r="B27" s="263" t="s">
        <v>137</v>
      </c>
      <c r="C27" s="249">
        <v>6</v>
      </c>
      <c r="D27" s="269" t="s">
        <v>1</v>
      </c>
      <c r="E27" s="270" t="s">
        <v>413</v>
      </c>
      <c r="F27" s="269" t="s">
        <v>26</v>
      </c>
      <c r="G27" s="260" t="s">
        <v>414</v>
      </c>
      <c r="H27" s="251" t="s">
        <v>2</v>
      </c>
      <c r="I27" s="321">
        <v>530</v>
      </c>
      <c r="J27" s="321">
        <f>SUMIFS('POR Control Log-income'!L:L,'POR Control Log-income'!F:F,본공사입.출고현황!B27)</f>
        <v>530</v>
      </c>
      <c r="K27" s="321">
        <f t="shared" si="7"/>
        <v>0</v>
      </c>
      <c r="L27" s="321"/>
      <c r="M27" s="321">
        <f>SUMIFS('POR Control Log-income'!L:L,'POR Control Log-income'!F:F,본공사입.출고현황!B27)</f>
        <v>530</v>
      </c>
      <c r="N27" s="322">
        <f t="shared" si="4"/>
        <v>0</v>
      </c>
      <c r="O27" s="323">
        <f t="shared" si="8"/>
        <v>530</v>
      </c>
      <c r="P27" s="324">
        <f>SUMIFS('POR Control Log-out'!L:L,'POR Control Log-out'!D:D,본공사입.출고현황!B27)</f>
        <v>0</v>
      </c>
      <c r="Q27" s="321">
        <v>189</v>
      </c>
      <c r="R27" s="321">
        <v>0</v>
      </c>
      <c r="S27" s="321">
        <f t="shared" si="3"/>
        <v>341</v>
      </c>
      <c r="T27" s="404"/>
      <c r="U27" s="20" t="s">
        <v>134</v>
      </c>
      <c r="V27" s="147" t="s">
        <v>126</v>
      </c>
      <c r="W27" s="200" t="s">
        <v>460</v>
      </c>
      <c r="X27" s="148" t="s">
        <v>2</v>
      </c>
      <c r="Y27" s="29"/>
      <c r="Z27" s="54"/>
      <c r="AB27" s="141" t="s">
        <v>461</v>
      </c>
      <c r="AC27" s="145">
        <v>0</v>
      </c>
      <c r="AD27" s="127">
        <f>AC27-P25</f>
        <v>0</v>
      </c>
      <c r="AE27" s="89"/>
      <c r="AG27" s="143">
        <f t="shared" si="5"/>
        <v>0.16000000000002501</v>
      </c>
      <c r="AI27" s="223"/>
      <c r="AJ27" s="223"/>
      <c r="AK27" s="223"/>
      <c r="AL27" s="223"/>
      <c r="AM27" s="223">
        <v>0</v>
      </c>
      <c r="AN27" s="223">
        <v>0</v>
      </c>
      <c r="AO27" s="223">
        <v>0</v>
      </c>
      <c r="AP27" s="223">
        <v>0</v>
      </c>
      <c r="AQ27" s="223">
        <v>0</v>
      </c>
      <c r="AR27" s="223">
        <v>451</v>
      </c>
      <c r="AS27" s="223">
        <v>451</v>
      </c>
      <c r="AT27" s="223">
        <v>451</v>
      </c>
      <c r="AU27" s="223">
        <v>451</v>
      </c>
      <c r="AV27" s="223">
        <v>451</v>
      </c>
      <c r="AW27" s="223">
        <v>451</v>
      </c>
      <c r="AX27" s="223">
        <v>451</v>
      </c>
      <c r="AY27" s="223">
        <v>451</v>
      </c>
      <c r="AZ27" s="223">
        <v>451</v>
      </c>
      <c r="BA27" s="223">
        <v>451</v>
      </c>
      <c r="BB27" s="223">
        <v>451</v>
      </c>
      <c r="BC27" s="223">
        <v>451</v>
      </c>
      <c r="BD27" s="223">
        <f>451+79</f>
        <v>530</v>
      </c>
      <c r="BE27" s="223">
        <v>530</v>
      </c>
      <c r="BF27" s="223">
        <v>341.16</v>
      </c>
      <c r="BG27" s="223">
        <v>341.16</v>
      </c>
      <c r="BH27" s="223">
        <v>341.16</v>
      </c>
      <c r="BI27" s="223">
        <v>341.16</v>
      </c>
      <c r="BJ27" s="223">
        <v>341.16</v>
      </c>
      <c r="BK27" s="223">
        <v>341.16</v>
      </c>
      <c r="BL27" s="230">
        <v>341.16</v>
      </c>
      <c r="BM27" s="223">
        <v>341.16</v>
      </c>
      <c r="BN27" s="223">
        <v>341.16</v>
      </c>
      <c r="BO27" s="223">
        <v>341.16</v>
      </c>
      <c r="BP27" s="223">
        <v>341.16</v>
      </c>
      <c r="BQ27" s="223">
        <v>341.16</v>
      </c>
      <c r="BR27" s="223">
        <v>341.16</v>
      </c>
      <c r="BS27" s="223">
        <v>341.16</v>
      </c>
      <c r="BT27" s="223">
        <v>341.16</v>
      </c>
      <c r="BU27" s="223">
        <v>341.16</v>
      </c>
      <c r="BV27" s="223">
        <v>341.16</v>
      </c>
      <c r="BW27" s="223">
        <v>341</v>
      </c>
      <c r="BX27" s="223">
        <f t="shared" si="6"/>
        <v>341</v>
      </c>
    </row>
    <row r="28" spans="1:76" s="212" customFormat="1" ht="18" customHeight="1">
      <c r="A28" s="206">
        <v>23</v>
      </c>
      <c r="B28" s="406" t="s">
        <v>464</v>
      </c>
      <c r="C28" s="249">
        <v>7</v>
      </c>
      <c r="D28" s="276" t="s">
        <v>1</v>
      </c>
      <c r="E28" s="277" t="s">
        <v>138</v>
      </c>
      <c r="F28" s="276" t="s">
        <v>1</v>
      </c>
      <c r="G28" s="278" t="s">
        <v>139</v>
      </c>
      <c r="H28" s="279" t="s">
        <v>2</v>
      </c>
      <c r="I28" s="327">
        <v>0</v>
      </c>
      <c r="J28" s="321">
        <f>SUMIFS('POR Control Log-income'!L:L,'POR Control Log-income'!F:F,본공사입.출고현황!B28)</f>
        <v>0</v>
      </c>
      <c r="K28" s="327">
        <f t="shared" si="7"/>
        <v>0</v>
      </c>
      <c r="L28" s="327"/>
      <c r="M28" s="327">
        <f>SUMIFS('POR Control Log-income'!L:L,'POR Control Log-income'!F:F,본공사입.출고현황!B28)</f>
        <v>0</v>
      </c>
      <c r="N28" s="328">
        <f t="shared" si="4"/>
        <v>0</v>
      </c>
      <c r="O28" s="329">
        <f t="shared" si="8"/>
        <v>0</v>
      </c>
      <c r="P28" s="330">
        <f>SUMIFS('POR Control Log-out'!L:L,'POR Control Log-out'!D:D,본공사입.출고현황!B28)</f>
        <v>0</v>
      </c>
      <c r="Q28" s="327"/>
      <c r="R28" s="327">
        <v>0</v>
      </c>
      <c r="S28" s="321">
        <f t="shared" si="3"/>
        <v>0</v>
      </c>
      <c r="T28" s="407" t="s">
        <v>528</v>
      </c>
      <c r="U28" s="208" t="s">
        <v>134</v>
      </c>
      <c r="V28" s="209" t="s">
        <v>1</v>
      </c>
      <c r="W28" s="209" t="s">
        <v>13</v>
      </c>
      <c r="X28" s="210" t="s">
        <v>2</v>
      </c>
      <c r="Y28" s="211" t="s">
        <v>466</v>
      </c>
      <c r="Z28" s="204"/>
      <c r="AC28" s="213"/>
      <c r="AD28" s="213"/>
      <c r="AE28" s="213"/>
      <c r="AG28" s="143">
        <f t="shared" si="5"/>
        <v>0</v>
      </c>
      <c r="AI28" s="226"/>
      <c r="AJ28" s="226"/>
      <c r="AK28" s="226"/>
      <c r="AL28" s="226"/>
      <c r="AM28" s="226">
        <v>0</v>
      </c>
      <c r="AN28" s="226">
        <v>0</v>
      </c>
      <c r="AO28" s="226">
        <v>0</v>
      </c>
      <c r="AP28" s="226">
        <v>0</v>
      </c>
      <c r="AQ28" s="226">
        <v>0</v>
      </c>
      <c r="AR28" s="226">
        <v>0</v>
      </c>
      <c r="AS28" s="226">
        <v>0</v>
      </c>
      <c r="AT28" s="226">
        <v>0</v>
      </c>
      <c r="AU28" s="226">
        <v>0</v>
      </c>
      <c r="AV28" s="226">
        <v>0</v>
      </c>
      <c r="AW28" s="226">
        <v>0</v>
      </c>
      <c r="AX28" s="226">
        <v>0</v>
      </c>
      <c r="AY28" s="226">
        <v>0</v>
      </c>
      <c r="AZ28" s="226">
        <v>0</v>
      </c>
      <c r="BA28" s="226">
        <v>0</v>
      </c>
      <c r="BB28" s="226">
        <v>0</v>
      </c>
      <c r="BC28" s="226">
        <v>0</v>
      </c>
      <c r="BD28" s="226">
        <v>0</v>
      </c>
      <c r="BE28" s="223">
        <v>0</v>
      </c>
      <c r="BF28" s="223">
        <v>0</v>
      </c>
      <c r="BG28" s="223">
        <v>0</v>
      </c>
      <c r="BH28" s="223">
        <v>0</v>
      </c>
      <c r="BI28" s="223">
        <v>0</v>
      </c>
      <c r="BJ28" s="223">
        <v>0</v>
      </c>
      <c r="BK28" s="223">
        <v>0</v>
      </c>
      <c r="BL28" s="230">
        <v>0</v>
      </c>
      <c r="BM28" s="223">
        <v>0</v>
      </c>
      <c r="BN28" s="223">
        <v>0</v>
      </c>
      <c r="BO28" s="223">
        <v>0</v>
      </c>
      <c r="BP28" s="223">
        <v>0</v>
      </c>
      <c r="BQ28" s="223">
        <v>0</v>
      </c>
      <c r="BR28" s="223">
        <v>0</v>
      </c>
      <c r="BS28" s="223">
        <v>0</v>
      </c>
      <c r="BT28" s="223">
        <v>0</v>
      </c>
      <c r="BU28" s="223">
        <v>0</v>
      </c>
      <c r="BV28" s="223">
        <v>0</v>
      </c>
      <c r="BW28" s="223">
        <v>0</v>
      </c>
      <c r="BX28" s="223">
        <f t="shared" si="6"/>
        <v>0</v>
      </c>
    </row>
    <row r="29" spans="1:76" s="127" customFormat="1" ht="18" customHeight="1">
      <c r="A29" s="29">
        <v>24</v>
      </c>
      <c r="B29" s="263" t="s">
        <v>140</v>
      </c>
      <c r="C29" s="249">
        <v>8</v>
      </c>
      <c r="D29" s="269" t="s">
        <v>1</v>
      </c>
      <c r="E29" s="270" t="s">
        <v>141</v>
      </c>
      <c r="F29" s="269" t="s">
        <v>1</v>
      </c>
      <c r="G29" s="260" t="s">
        <v>142</v>
      </c>
      <c r="H29" s="251" t="s">
        <v>2</v>
      </c>
      <c r="I29" s="321">
        <f>5956+84</f>
        <v>6040</v>
      </c>
      <c r="J29" s="321">
        <f>SUMIFS('POR Control Log-income'!L:L,'POR Control Log-income'!F:F,본공사입.출고현황!B29)</f>
        <v>5956</v>
      </c>
      <c r="K29" s="321">
        <f t="shared" si="7"/>
        <v>84</v>
      </c>
      <c r="L29" s="321">
        <v>66</v>
      </c>
      <c r="M29" s="321">
        <f>SUMIFS('POR Control Log-income'!L:L,'POR Control Log-income'!F:F,본공사입.출고현황!B29)</f>
        <v>5956</v>
      </c>
      <c r="N29" s="322">
        <f t="shared" si="4"/>
        <v>0</v>
      </c>
      <c r="O29" s="323">
        <f t="shared" si="8"/>
        <v>5956</v>
      </c>
      <c r="P29" s="324">
        <f>SUMIFS('POR Control Log-out'!L:L,'POR Control Log-out'!D:D,본공사입.출고현황!B29)</f>
        <v>5156.4880000000003</v>
      </c>
      <c r="Q29" s="321">
        <v>113</v>
      </c>
      <c r="R29" s="321">
        <f>555.512</f>
        <v>555.51199999999994</v>
      </c>
      <c r="S29" s="321">
        <f t="shared" si="3"/>
        <v>131</v>
      </c>
      <c r="T29" s="409" t="s">
        <v>527</v>
      </c>
      <c r="V29" s="147" t="s">
        <v>1</v>
      </c>
      <c r="W29" s="147" t="s">
        <v>13</v>
      </c>
      <c r="X29" s="148" t="s">
        <v>2</v>
      </c>
      <c r="Y29" s="29" t="s">
        <v>60</v>
      </c>
      <c r="Z29" s="54"/>
      <c r="AC29" s="89"/>
      <c r="AD29" s="89"/>
      <c r="AE29" s="89"/>
      <c r="AG29" s="143">
        <f t="shared" si="5"/>
        <v>-66</v>
      </c>
      <c r="AI29" s="223">
        <v>937.5</v>
      </c>
      <c r="AJ29" s="223">
        <v>841</v>
      </c>
      <c r="AK29" s="223">
        <f>670-30</f>
        <v>640</v>
      </c>
      <c r="AL29" s="223">
        <v>640</v>
      </c>
      <c r="AM29" s="223">
        <v>640</v>
      </c>
      <c r="AN29" s="223">
        <v>640</v>
      </c>
      <c r="AO29" s="223">
        <v>467</v>
      </c>
      <c r="AP29" s="223">
        <v>467</v>
      </c>
      <c r="AQ29" s="223">
        <v>467</v>
      </c>
      <c r="AR29" s="223">
        <v>447</v>
      </c>
      <c r="AS29" s="223">
        <v>314</v>
      </c>
      <c r="AT29" s="223">
        <v>314</v>
      </c>
      <c r="AU29" s="223">
        <v>307.5</v>
      </c>
      <c r="AV29" s="223">
        <v>305.5</v>
      </c>
      <c r="AW29" s="223">
        <v>295.5</v>
      </c>
      <c r="AX29" s="223">
        <v>295.5</v>
      </c>
      <c r="AY29" s="223">
        <v>235.17000000000002</v>
      </c>
      <c r="AZ29" s="223">
        <v>235.17000000000002</v>
      </c>
      <c r="BA29" s="223">
        <v>122.90000000000002</v>
      </c>
      <c r="BB29" s="224">
        <v>65</v>
      </c>
      <c r="BC29" s="223">
        <v>65</v>
      </c>
      <c r="BD29" s="223">
        <v>65</v>
      </c>
      <c r="BE29" s="223">
        <v>65</v>
      </c>
      <c r="BF29" s="223">
        <v>65</v>
      </c>
      <c r="BG29" s="223">
        <v>65</v>
      </c>
      <c r="BH29" s="223">
        <v>65</v>
      </c>
      <c r="BI29" s="223">
        <v>65</v>
      </c>
      <c r="BJ29" s="223">
        <v>65</v>
      </c>
      <c r="BK29" s="223">
        <v>65</v>
      </c>
      <c r="BL29" s="230">
        <v>65</v>
      </c>
      <c r="BM29" s="223">
        <v>65</v>
      </c>
      <c r="BN29" s="223">
        <v>65</v>
      </c>
      <c r="BO29" s="223">
        <v>65</v>
      </c>
      <c r="BP29" s="223">
        <v>65</v>
      </c>
      <c r="BQ29" s="223">
        <v>65</v>
      </c>
      <c r="BR29" s="223">
        <v>65</v>
      </c>
      <c r="BS29" s="223">
        <v>65</v>
      </c>
      <c r="BT29" s="223">
        <v>65</v>
      </c>
      <c r="BU29" s="223">
        <v>65</v>
      </c>
      <c r="BV29" s="223">
        <v>65</v>
      </c>
      <c r="BW29" s="223">
        <v>131</v>
      </c>
      <c r="BX29" s="223">
        <f t="shared" si="6"/>
        <v>131</v>
      </c>
    </row>
    <row r="30" spans="1:76" s="127" customFormat="1" ht="18" customHeight="1">
      <c r="A30" s="29">
        <v>25</v>
      </c>
      <c r="B30" s="263" t="s">
        <v>1016</v>
      </c>
      <c r="C30" s="249">
        <v>9</v>
      </c>
      <c r="D30" s="269" t="s">
        <v>1</v>
      </c>
      <c r="E30" s="270" t="s">
        <v>1005</v>
      </c>
      <c r="F30" s="269" t="s">
        <v>26</v>
      </c>
      <c r="G30" s="260" t="s">
        <v>1004</v>
      </c>
      <c r="H30" s="251" t="s">
        <v>2</v>
      </c>
      <c r="I30" s="321">
        <v>18</v>
      </c>
      <c r="J30" s="321">
        <f>SUMIFS('POR Control Log-income'!L:L,'POR Control Log-income'!F:F,본공사입.출고현황!B30)</f>
        <v>18</v>
      </c>
      <c r="K30" s="321">
        <f t="shared" si="7"/>
        <v>0</v>
      </c>
      <c r="L30" s="321"/>
      <c r="M30" s="321">
        <f>SUMIFS('POR Control Log-income'!L:L,'POR Control Log-income'!F:F,본공사입.출고현황!B30)</f>
        <v>18</v>
      </c>
      <c r="N30" s="322">
        <f t="shared" si="4"/>
        <v>0</v>
      </c>
      <c r="O30" s="323">
        <f t="shared" si="8"/>
        <v>18</v>
      </c>
      <c r="P30" s="324">
        <f>SUMIFS('POR Control Log-out'!L:L,'POR Control Log-out'!D:D,본공사입.출고현황!B30)</f>
        <v>18</v>
      </c>
      <c r="Q30" s="321">
        <v>0</v>
      </c>
      <c r="R30" s="321">
        <v>0</v>
      </c>
      <c r="S30" s="321">
        <f t="shared" si="3"/>
        <v>0</v>
      </c>
      <c r="T30" s="408" t="s">
        <v>1032</v>
      </c>
      <c r="V30" s="147" t="s">
        <v>415</v>
      </c>
      <c r="W30" s="147" t="s">
        <v>18</v>
      </c>
      <c r="X30" s="148" t="s">
        <v>2</v>
      </c>
      <c r="Y30" s="199"/>
      <c r="Z30" s="54"/>
      <c r="AC30" s="89"/>
      <c r="AD30" s="89"/>
      <c r="AE30" s="89"/>
      <c r="AG30" s="143">
        <f t="shared" si="5"/>
        <v>0</v>
      </c>
      <c r="AI30" s="223"/>
      <c r="AJ30" s="223"/>
      <c r="AK30" s="223"/>
      <c r="AL30" s="223"/>
      <c r="AM30" s="223">
        <v>0</v>
      </c>
      <c r="AN30" s="223">
        <v>0</v>
      </c>
      <c r="AO30" s="223">
        <v>0</v>
      </c>
      <c r="AP30" s="223">
        <v>0</v>
      </c>
      <c r="AQ30" s="223">
        <v>0</v>
      </c>
      <c r="AR30" s="223">
        <v>0</v>
      </c>
      <c r="AS30" s="223">
        <v>0</v>
      </c>
      <c r="AT30" s="223">
        <v>0</v>
      </c>
      <c r="AU30" s="223">
        <v>0</v>
      </c>
      <c r="AV30" s="223">
        <v>0</v>
      </c>
      <c r="AW30" s="223">
        <v>0</v>
      </c>
      <c r="AX30" s="223">
        <v>0</v>
      </c>
      <c r="AY30" s="223">
        <v>0</v>
      </c>
      <c r="AZ30" s="223">
        <v>0</v>
      </c>
      <c r="BA30" s="223">
        <v>0</v>
      </c>
      <c r="BB30" s="223">
        <v>0</v>
      </c>
      <c r="BC30" s="223"/>
      <c r="BD30" s="223">
        <v>0</v>
      </c>
      <c r="BE30" s="223">
        <v>0</v>
      </c>
      <c r="BF30" s="223">
        <v>0</v>
      </c>
      <c r="BG30" s="223">
        <v>0</v>
      </c>
      <c r="BH30" s="223">
        <v>0</v>
      </c>
      <c r="BI30" s="223">
        <v>0</v>
      </c>
      <c r="BJ30" s="223">
        <v>0</v>
      </c>
      <c r="BK30" s="223">
        <v>0</v>
      </c>
      <c r="BL30" s="230">
        <v>0</v>
      </c>
      <c r="BM30" s="223">
        <v>0</v>
      </c>
      <c r="BN30" s="223">
        <v>0</v>
      </c>
      <c r="BO30" s="223">
        <v>0</v>
      </c>
      <c r="BP30" s="223">
        <v>0</v>
      </c>
      <c r="BQ30" s="223">
        <v>0</v>
      </c>
      <c r="BR30" s="223">
        <v>0</v>
      </c>
      <c r="BS30" s="223">
        <v>0</v>
      </c>
      <c r="BT30" s="223">
        <v>0</v>
      </c>
      <c r="BU30" s="223">
        <v>0</v>
      </c>
      <c r="BV30" s="223">
        <v>0</v>
      </c>
      <c r="BW30" s="223">
        <v>0</v>
      </c>
      <c r="BX30" s="223">
        <f t="shared" si="6"/>
        <v>0</v>
      </c>
    </row>
    <row r="31" spans="1:76" s="127" customFormat="1" ht="18" customHeight="1">
      <c r="A31" s="29">
        <v>26</v>
      </c>
      <c r="B31" s="263" t="s">
        <v>144</v>
      </c>
      <c r="C31" s="249">
        <v>10</v>
      </c>
      <c r="D31" s="269" t="s">
        <v>34</v>
      </c>
      <c r="E31" s="270" t="s">
        <v>145</v>
      </c>
      <c r="F31" s="269" t="s">
        <v>27</v>
      </c>
      <c r="G31" s="260" t="s">
        <v>146</v>
      </c>
      <c r="H31" s="411" t="s">
        <v>147</v>
      </c>
      <c r="I31" s="321">
        <v>44</v>
      </c>
      <c r="J31" s="321">
        <f>SUMIFS('POR Control Log-income'!L:L,'POR Control Log-income'!F:F,본공사입.출고현황!B31)</f>
        <v>44</v>
      </c>
      <c r="K31" s="321">
        <f t="shared" si="7"/>
        <v>0</v>
      </c>
      <c r="L31" s="321"/>
      <c r="M31" s="321">
        <f>SUMIFS('POR Control Log-income'!L:L,'POR Control Log-income'!F:F,본공사입.출고현황!B31)</f>
        <v>44</v>
      </c>
      <c r="N31" s="322">
        <f t="shared" si="4"/>
        <v>0</v>
      </c>
      <c r="O31" s="323">
        <f t="shared" si="8"/>
        <v>44</v>
      </c>
      <c r="P31" s="324">
        <f>SUMIFS('POR Control Log-out'!L:L,'POR Control Log-out'!D:D,본공사입.출고현황!B31)</f>
        <v>1.3</v>
      </c>
      <c r="Q31" s="321"/>
      <c r="R31" s="321">
        <v>0</v>
      </c>
      <c r="S31" s="321">
        <f t="shared" si="3"/>
        <v>42.7</v>
      </c>
      <c r="T31" s="410">
        <f>S31/0.15</f>
        <v>284.66666666666669</v>
      </c>
      <c r="U31" s="149">
        <f>S31/293</f>
        <v>0.14573378839590445</v>
      </c>
      <c r="V31" s="147" t="s">
        <v>148</v>
      </c>
      <c r="W31" s="147" t="s">
        <v>15</v>
      </c>
      <c r="X31" s="10" t="s">
        <v>0</v>
      </c>
      <c r="Y31" s="29" t="s">
        <v>60</v>
      </c>
      <c r="Z31" s="54"/>
      <c r="AC31" s="89"/>
      <c r="AD31" s="89"/>
      <c r="AE31" s="89"/>
      <c r="AG31" s="143">
        <f t="shared" si="5"/>
        <v>0</v>
      </c>
      <c r="AI31" s="223"/>
      <c r="AJ31" s="223"/>
      <c r="AK31" s="223">
        <v>44</v>
      </c>
      <c r="AL31" s="223">
        <v>44</v>
      </c>
      <c r="AM31" s="223">
        <v>44</v>
      </c>
      <c r="AN31" s="223">
        <v>44</v>
      </c>
      <c r="AO31" s="223">
        <v>44</v>
      </c>
      <c r="AP31" s="223">
        <v>44</v>
      </c>
      <c r="AQ31" s="223">
        <v>44</v>
      </c>
      <c r="AR31" s="223">
        <v>44</v>
      </c>
      <c r="AS31" s="223">
        <v>44</v>
      </c>
      <c r="AT31" s="223">
        <v>44</v>
      </c>
      <c r="AU31" s="223">
        <v>44</v>
      </c>
      <c r="AV31" s="223">
        <v>43</v>
      </c>
      <c r="AW31" s="223">
        <v>42.7</v>
      </c>
      <c r="AX31" s="223">
        <v>42.7</v>
      </c>
      <c r="AY31" s="223">
        <v>42.7</v>
      </c>
      <c r="AZ31" s="223">
        <v>42.7</v>
      </c>
      <c r="BA31" s="223">
        <v>42.7</v>
      </c>
      <c r="BB31" s="223">
        <v>42.7</v>
      </c>
      <c r="BC31" s="223">
        <v>42.7</v>
      </c>
      <c r="BD31" s="223">
        <v>42.7</v>
      </c>
      <c r="BE31" s="223">
        <v>42.7</v>
      </c>
      <c r="BF31" s="223">
        <v>42.7</v>
      </c>
      <c r="BG31" s="223">
        <v>42.7</v>
      </c>
      <c r="BH31" s="223">
        <v>42.7</v>
      </c>
      <c r="BI31" s="223">
        <v>42.7</v>
      </c>
      <c r="BJ31" s="223">
        <v>42.7</v>
      </c>
      <c r="BK31" s="223">
        <v>42.7</v>
      </c>
      <c r="BL31" s="230">
        <v>42.7</v>
      </c>
      <c r="BM31" s="223">
        <v>42.7</v>
      </c>
      <c r="BN31" s="223">
        <v>42.7</v>
      </c>
      <c r="BO31" s="223">
        <v>42.7</v>
      </c>
      <c r="BP31" s="223">
        <v>42.7</v>
      </c>
      <c r="BQ31" s="223">
        <v>42.7</v>
      </c>
      <c r="BR31" s="223">
        <v>42.7</v>
      </c>
      <c r="BS31" s="223">
        <v>42.7</v>
      </c>
      <c r="BT31" s="223">
        <v>42.7</v>
      </c>
      <c r="BU31" s="223">
        <v>42.7</v>
      </c>
      <c r="BV31" s="223">
        <v>42.7</v>
      </c>
      <c r="BW31" s="223">
        <v>42.7</v>
      </c>
      <c r="BX31" s="223">
        <f t="shared" si="6"/>
        <v>42.7</v>
      </c>
    </row>
    <row r="32" spans="1:76" s="127" customFormat="1" ht="18" customHeight="1">
      <c r="A32" s="29">
        <v>27</v>
      </c>
      <c r="B32" s="263" t="s">
        <v>149</v>
      </c>
      <c r="C32" s="249">
        <v>11</v>
      </c>
      <c r="D32" s="269" t="s">
        <v>34</v>
      </c>
      <c r="E32" s="270" t="s">
        <v>145</v>
      </c>
      <c r="F32" s="269" t="s">
        <v>27</v>
      </c>
      <c r="G32" s="260" t="s">
        <v>146</v>
      </c>
      <c r="H32" s="251" t="s">
        <v>150</v>
      </c>
      <c r="I32" s="321">
        <v>200</v>
      </c>
      <c r="J32" s="321">
        <f>SUMIFS('POR Control Log-income'!L:L,'POR Control Log-income'!F:F,본공사입.출고현황!B32)</f>
        <v>200</v>
      </c>
      <c r="K32" s="321">
        <f t="shared" si="7"/>
        <v>0</v>
      </c>
      <c r="L32" s="321"/>
      <c r="M32" s="321">
        <f>SUMIFS('POR Control Log-income'!L:L,'POR Control Log-income'!F:F,본공사입.출고현황!B32)</f>
        <v>200</v>
      </c>
      <c r="N32" s="322">
        <f t="shared" si="4"/>
        <v>0</v>
      </c>
      <c r="O32" s="323">
        <f t="shared" si="8"/>
        <v>200</v>
      </c>
      <c r="P32" s="324">
        <f>SUMIFS('POR Control Log-out'!L:L,'POR Control Log-out'!D:D,본공사입.출고현황!B32)</f>
        <v>188</v>
      </c>
      <c r="Q32" s="321">
        <v>0</v>
      </c>
      <c r="R32" s="321">
        <v>0</v>
      </c>
      <c r="S32" s="321">
        <f t="shared" si="3"/>
        <v>12</v>
      </c>
      <c r="T32" s="408"/>
      <c r="V32" s="147" t="s">
        <v>148</v>
      </c>
      <c r="W32" s="147" t="s">
        <v>15</v>
      </c>
      <c r="X32" s="10" t="s">
        <v>0</v>
      </c>
      <c r="Y32" s="29" t="s">
        <v>60</v>
      </c>
      <c r="Z32" s="54"/>
      <c r="AC32" s="89"/>
      <c r="AD32" s="89"/>
      <c r="AE32" s="89"/>
      <c r="AG32" s="143">
        <f t="shared" si="5"/>
        <v>0</v>
      </c>
      <c r="AI32" s="223"/>
      <c r="AJ32" s="223"/>
      <c r="AK32" s="223">
        <v>26</v>
      </c>
      <c r="AL32" s="223">
        <v>18</v>
      </c>
      <c r="AM32" s="223">
        <v>18</v>
      </c>
      <c r="AN32" s="223">
        <v>18</v>
      </c>
      <c r="AO32" s="223">
        <v>18</v>
      </c>
      <c r="AP32" s="223">
        <v>18</v>
      </c>
      <c r="AQ32" s="223">
        <v>18</v>
      </c>
      <c r="AR32" s="223">
        <v>18</v>
      </c>
      <c r="AS32" s="223">
        <v>18</v>
      </c>
      <c r="AT32" s="223">
        <v>12</v>
      </c>
      <c r="AU32" s="223">
        <v>12</v>
      </c>
      <c r="AV32" s="223">
        <v>12</v>
      </c>
      <c r="AW32" s="223">
        <v>12</v>
      </c>
      <c r="AX32" s="223">
        <v>12</v>
      </c>
      <c r="AY32" s="223">
        <v>12</v>
      </c>
      <c r="AZ32" s="223">
        <v>12</v>
      </c>
      <c r="BA32" s="223">
        <v>12</v>
      </c>
      <c r="BB32" s="223">
        <v>12</v>
      </c>
      <c r="BC32" s="223">
        <v>12</v>
      </c>
      <c r="BD32" s="223">
        <v>12</v>
      </c>
      <c r="BE32" s="223">
        <v>12</v>
      </c>
      <c r="BF32" s="223">
        <v>12</v>
      </c>
      <c r="BG32" s="223">
        <v>12</v>
      </c>
      <c r="BH32" s="223">
        <v>12</v>
      </c>
      <c r="BI32" s="223">
        <v>12</v>
      </c>
      <c r="BJ32" s="223">
        <v>12</v>
      </c>
      <c r="BK32" s="223">
        <v>12</v>
      </c>
      <c r="BL32" s="230">
        <v>12</v>
      </c>
      <c r="BM32" s="223">
        <v>12</v>
      </c>
      <c r="BN32" s="223">
        <v>12</v>
      </c>
      <c r="BO32" s="223">
        <v>12</v>
      </c>
      <c r="BP32" s="223">
        <v>12</v>
      </c>
      <c r="BQ32" s="223">
        <v>12</v>
      </c>
      <c r="BR32" s="223">
        <v>12</v>
      </c>
      <c r="BS32" s="223">
        <v>12</v>
      </c>
      <c r="BT32" s="223">
        <v>12</v>
      </c>
      <c r="BU32" s="223">
        <v>12</v>
      </c>
      <c r="BV32" s="223">
        <v>12</v>
      </c>
      <c r="BW32" s="223">
        <v>12</v>
      </c>
      <c r="BX32" s="223">
        <f t="shared" si="6"/>
        <v>12</v>
      </c>
    </row>
    <row r="33" spans="1:77" s="127" customFormat="1" ht="18" customHeight="1">
      <c r="A33" s="29">
        <v>28</v>
      </c>
      <c r="B33" s="263" t="s">
        <v>470</v>
      </c>
      <c r="C33" s="249">
        <v>12</v>
      </c>
      <c r="D33" s="269" t="s">
        <v>34</v>
      </c>
      <c r="E33" s="270" t="s">
        <v>152</v>
      </c>
      <c r="F33" s="269" t="s">
        <v>27</v>
      </c>
      <c r="G33" s="260" t="s">
        <v>1062</v>
      </c>
      <c r="H33" s="251" t="s">
        <v>150</v>
      </c>
      <c r="I33" s="321">
        <f>60+60</f>
        <v>120</v>
      </c>
      <c r="J33" s="321">
        <f>SUMIFS('POR Control Log-income'!L:L,'POR Control Log-income'!F:F,본공사입.출고현황!B33)</f>
        <v>60</v>
      </c>
      <c r="K33" s="321">
        <f t="shared" si="7"/>
        <v>60</v>
      </c>
      <c r="L33" s="321"/>
      <c r="M33" s="321">
        <f>SUMIFS('POR Control Log-income'!L:L,'POR Control Log-income'!F:F,본공사입.출고현황!B33)</f>
        <v>60</v>
      </c>
      <c r="N33" s="322">
        <f t="shared" si="4"/>
        <v>0</v>
      </c>
      <c r="O33" s="323">
        <f t="shared" si="8"/>
        <v>60</v>
      </c>
      <c r="P33" s="324">
        <f>SUMIFS('POR Control Log-out'!L:L,'POR Control Log-out'!D:D,본공사입.출고현황!B33)</f>
        <v>0</v>
      </c>
      <c r="Q33" s="321">
        <v>14</v>
      </c>
      <c r="R33" s="321">
        <v>0</v>
      </c>
      <c r="S33" s="321">
        <f t="shared" si="3"/>
        <v>46</v>
      </c>
      <c r="T33" s="408"/>
      <c r="U33" s="20" t="s">
        <v>134</v>
      </c>
      <c r="V33" s="147" t="s">
        <v>469</v>
      </c>
      <c r="W33" s="200" t="s">
        <v>460</v>
      </c>
      <c r="X33" s="10" t="s">
        <v>0</v>
      </c>
      <c r="Y33" s="29"/>
      <c r="Z33" s="54"/>
      <c r="AC33" s="89"/>
      <c r="AD33" s="89"/>
      <c r="AE33" s="89"/>
      <c r="AG33" s="143">
        <f t="shared" si="5"/>
        <v>14</v>
      </c>
      <c r="AI33" s="223"/>
      <c r="AJ33" s="223"/>
      <c r="AK33" s="223"/>
      <c r="AL33" s="223"/>
      <c r="AM33" s="223">
        <v>0</v>
      </c>
      <c r="AN33" s="223">
        <v>0</v>
      </c>
      <c r="AO33" s="223">
        <v>0</v>
      </c>
      <c r="AP33" s="223">
        <v>0</v>
      </c>
      <c r="AQ33" s="223">
        <v>0</v>
      </c>
      <c r="AR33" s="223">
        <v>0</v>
      </c>
      <c r="AS33" s="223">
        <v>0</v>
      </c>
      <c r="AT33" s="223">
        <v>0</v>
      </c>
      <c r="AU33" s="223">
        <v>0</v>
      </c>
      <c r="AV33" s="223">
        <v>0</v>
      </c>
      <c r="AW33" s="223">
        <v>0</v>
      </c>
      <c r="AX33" s="223">
        <v>0</v>
      </c>
      <c r="AY33" s="223">
        <v>0</v>
      </c>
      <c r="AZ33" s="223">
        <v>0</v>
      </c>
      <c r="BA33" s="223">
        <v>0</v>
      </c>
      <c r="BB33" s="223">
        <v>0</v>
      </c>
      <c r="BC33" s="223"/>
      <c r="BD33" s="223">
        <v>60</v>
      </c>
      <c r="BE33" s="223">
        <v>60</v>
      </c>
      <c r="BF33" s="223">
        <v>60</v>
      </c>
      <c r="BG33" s="223">
        <v>60</v>
      </c>
      <c r="BH33" s="223">
        <v>60</v>
      </c>
      <c r="BI33" s="223">
        <v>60</v>
      </c>
      <c r="BJ33" s="223">
        <v>60</v>
      </c>
      <c r="BK33" s="223">
        <v>60</v>
      </c>
      <c r="BL33" s="230">
        <v>60</v>
      </c>
      <c r="BM33" s="223">
        <v>60</v>
      </c>
      <c r="BN33" s="223">
        <v>60</v>
      </c>
      <c r="BO33" s="223">
        <v>60</v>
      </c>
      <c r="BP33" s="223">
        <v>60</v>
      </c>
      <c r="BQ33" s="223">
        <v>60</v>
      </c>
      <c r="BR33" s="223">
        <v>60</v>
      </c>
      <c r="BS33" s="223">
        <v>60</v>
      </c>
      <c r="BT33" s="223">
        <v>60</v>
      </c>
      <c r="BU33" s="223">
        <v>60</v>
      </c>
      <c r="BV33" s="223">
        <v>60</v>
      </c>
      <c r="BW33" s="223">
        <v>60</v>
      </c>
      <c r="BX33" s="223">
        <f t="shared" si="6"/>
        <v>60</v>
      </c>
    </row>
    <row r="34" spans="1:77" s="127" customFormat="1" ht="18" customHeight="1">
      <c r="A34" s="29">
        <v>29</v>
      </c>
      <c r="B34" s="263" t="s">
        <v>153</v>
      </c>
      <c r="C34" s="249">
        <v>13</v>
      </c>
      <c r="D34" s="269" t="s">
        <v>34</v>
      </c>
      <c r="E34" s="270" t="s">
        <v>154</v>
      </c>
      <c r="F34" s="269" t="s">
        <v>27</v>
      </c>
      <c r="G34" s="260" t="s">
        <v>155</v>
      </c>
      <c r="H34" s="411" t="s">
        <v>147</v>
      </c>
      <c r="I34" s="321">
        <v>104</v>
      </c>
      <c r="J34" s="321">
        <f>SUMIFS('POR Control Log-income'!L:L,'POR Control Log-income'!F:F,본공사입.출고현황!B34)</f>
        <v>104</v>
      </c>
      <c r="K34" s="321">
        <f t="shared" si="7"/>
        <v>0</v>
      </c>
      <c r="L34" s="321"/>
      <c r="M34" s="321">
        <f>SUMIFS('POR Control Log-income'!L:L,'POR Control Log-income'!F:F,본공사입.출고현황!B34)</f>
        <v>104</v>
      </c>
      <c r="N34" s="322">
        <f t="shared" si="4"/>
        <v>0</v>
      </c>
      <c r="O34" s="323">
        <f t="shared" si="8"/>
        <v>104</v>
      </c>
      <c r="P34" s="324">
        <f>SUMIFS('POR Control Log-out'!L:L,'POR Control Log-out'!D:D,본공사입.출고현황!B34)</f>
        <v>48</v>
      </c>
      <c r="Q34" s="321">
        <v>1.5</v>
      </c>
      <c r="R34" s="321">
        <v>0</v>
      </c>
      <c r="S34" s="321">
        <f t="shared" si="3"/>
        <v>54.5</v>
      </c>
      <c r="T34" s="410">
        <f>S34/0.15</f>
        <v>363.33333333333337</v>
      </c>
      <c r="U34" s="149">
        <f>S34/613</f>
        <v>8.8907014681892327E-2</v>
      </c>
      <c r="V34" s="147" t="s">
        <v>148</v>
      </c>
      <c r="W34" s="147" t="s">
        <v>13</v>
      </c>
      <c r="X34" s="10" t="s">
        <v>0</v>
      </c>
      <c r="Y34" s="29" t="s">
        <v>60</v>
      </c>
      <c r="Z34" s="54"/>
      <c r="AC34" s="89"/>
      <c r="AD34" s="89"/>
      <c r="AE34" s="89"/>
      <c r="AG34" s="143">
        <f t="shared" si="5"/>
        <v>0</v>
      </c>
      <c r="AI34" s="223">
        <v>72.5</v>
      </c>
      <c r="AJ34" s="223">
        <v>72.5</v>
      </c>
      <c r="AK34" s="223">
        <v>72.5</v>
      </c>
      <c r="AL34" s="223">
        <v>71.5</v>
      </c>
      <c r="AM34" s="223">
        <f>71.5-1.5</f>
        <v>70</v>
      </c>
      <c r="AN34" s="223">
        <v>71.5</v>
      </c>
      <c r="AO34" s="223">
        <v>71.5</v>
      </c>
      <c r="AP34" s="223">
        <v>71.5</v>
      </c>
      <c r="AQ34" s="223">
        <v>71.5</v>
      </c>
      <c r="AR34" s="223">
        <v>68.5</v>
      </c>
      <c r="AS34" s="223">
        <v>68.5</v>
      </c>
      <c r="AT34" s="223">
        <v>68.5</v>
      </c>
      <c r="AU34" s="223">
        <v>56.5</v>
      </c>
      <c r="AV34" s="223">
        <v>54.5</v>
      </c>
      <c r="AW34" s="223">
        <v>54.5</v>
      </c>
      <c r="AX34" s="223">
        <v>54.5</v>
      </c>
      <c r="AY34" s="223">
        <v>54.5</v>
      </c>
      <c r="AZ34" s="223">
        <v>54.5</v>
      </c>
      <c r="BA34" s="223">
        <v>54.5</v>
      </c>
      <c r="BB34" s="223">
        <v>54.5</v>
      </c>
      <c r="BC34" s="223">
        <v>54.5</v>
      </c>
      <c r="BD34" s="223">
        <v>54.5</v>
      </c>
      <c r="BE34" s="223">
        <v>54.5</v>
      </c>
      <c r="BF34" s="223">
        <v>54.5</v>
      </c>
      <c r="BG34" s="223">
        <v>54.5</v>
      </c>
      <c r="BH34" s="223">
        <v>54.5</v>
      </c>
      <c r="BI34" s="223">
        <v>54.5</v>
      </c>
      <c r="BJ34" s="223">
        <v>54.5</v>
      </c>
      <c r="BK34" s="223">
        <v>54.5</v>
      </c>
      <c r="BL34" s="230">
        <v>54.5</v>
      </c>
      <c r="BM34" s="223">
        <v>54.5</v>
      </c>
      <c r="BN34" s="223">
        <v>54.5</v>
      </c>
      <c r="BO34" s="223">
        <v>54.5</v>
      </c>
      <c r="BP34" s="223">
        <v>54.5</v>
      </c>
      <c r="BQ34" s="223">
        <v>54.5</v>
      </c>
      <c r="BR34" s="223">
        <v>54.5</v>
      </c>
      <c r="BS34" s="223">
        <v>54.5</v>
      </c>
      <c r="BT34" s="223">
        <v>54.5</v>
      </c>
      <c r="BU34" s="223">
        <v>54.5</v>
      </c>
      <c r="BV34" s="223">
        <v>54.5</v>
      </c>
      <c r="BW34" s="223">
        <v>54.5</v>
      </c>
      <c r="BX34" s="223">
        <f t="shared" si="6"/>
        <v>54.5</v>
      </c>
    </row>
    <row r="35" spans="1:77" s="127" customFormat="1" ht="18" customHeight="1">
      <c r="A35" s="29">
        <v>30</v>
      </c>
      <c r="B35" s="263" t="s">
        <v>156</v>
      </c>
      <c r="C35" s="249">
        <v>14</v>
      </c>
      <c r="D35" s="269" t="s">
        <v>34</v>
      </c>
      <c r="E35" s="270" t="s">
        <v>154</v>
      </c>
      <c r="F35" s="269" t="s">
        <v>27</v>
      </c>
      <c r="G35" s="260" t="s">
        <v>155</v>
      </c>
      <c r="H35" s="251" t="s">
        <v>150</v>
      </c>
      <c r="I35" s="321">
        <v>456</v>
      </c>
      <c r="J35" s="321">
        <f>SUMIFS('POR Control Log-income'!L:L,'POR Control Log-income'!F:F,본공사입.출고현황!B35)</f>
        <v>456</v>
      </c>
      <c r="K35" s="321">
        <f t="shared" si="7"/>
        <v>0</v>
      </c>
      <c r="L35" s="321"/>
      <c r="M35" s="321">
        <f>SUMIFS('POR Control Log-income'!L:L,'POR Control Log-income'!F:F,본공사입.출고현황!B35)</f>
        <v>456</v>
      </c>
      <c r="N35" s="322">
        <f t="shared" si="4"/>
        <v>0</v>
      </c>
      <c r="O35" s="323">
        <f t="shared" si="8"/>
        <v>456</v>
      </c>
      <c r="P35" s="324">
        <f>SUMIFS('POR Control Log-out'!L:L,'POR Control Log-out'!D:D,본공사입.출고현황!B35)</f>
        <v>423</v>
      </c>
      <c r="Q35" s="321">
        <v>33</v>
      </c>
      <c r="R35" s="321">
        <v>0</v>
      </c>
      <c r="S35" s="321">
        <f t="shared" si="3"/>
        <v>0</v>
      </c>
      <c r="T35" s="408"/>
      <c r="V35" s="147" t="s">
        <v>148</v>
      </c>
      <c r="W35" s="147" t="s">
        <v>13</v>
      </c>
      <c r="X35" s="10" t="s">
        <v>0</v>
      </c>
      <c r="Y35" s="29" t="s">
        <v>60</v>
      </c>
      <c r="Z35" s="54"/>
      <c r="AC35" s="89"/>
      <c r="AD35" s="89"/>
      <c r="AE35" s="89"/>
      <c r="AG35" s="143">
        <f t="shared" si="5"/>
        <v>0</v>
      </c>
      <c r="AI35" s="223"/>
      <c r="AJ35" s="223"/>
      <c r="AK35" s="223"/>
      <c r="AL35" s="223"/>
      <c r="AM35" s="223">
        <v>0</v>
      </c>
      <c r="AN35" s="223">
        <v>0</v>
      </c>
      <c r="AO35" s="223">
        <v>0</v>
      </c>
      <c r="AP35" s="223">
        <v>0</v>
      </c>
      <c r="AQ35" s="223">
        <v>0</v>
      </c>
      <c r="AR35" s="223">
        <v>0</v>
      </c>
      <c r="AS35" s="223">
        <v>0</v>
      </c>
      <c r="AT35" s="223">
        <v>0</v>
      </c>
      <c r="AU35" s="223">
        <v>0</v>
      </c>
      <c r="AV35" s="223">
        <v>0</v>
      </c>
      <c r="AW35" s="223">
        <v>0</v>
      </c>
      <c r="AX35" s="223">
        <v>0</v>
      </c>
      <c r="AY35" s="223">
        <v>0</v>
      </c>
      <c r="AZ35" s="223">
        <v>0</v>
      </c>
      <c r="BA35" s="223">
        <v>0</v>
      </c>
      <c r="BB35" s="223">
        <v>0</v>
      </c>
      <c r="BC35" s="223">
        <v>0</v>
      </c>
      <c r="BD35" s="223">
        <v>0</v>
      </c>
      <c r="BE35" s="223">
        <v>0</v>
      </c>
      <c r="BF35" s="223">
        <v>0</v>
      </c>
      <c r="BG35" s="223">
        <v>0</v>
      </c>
      <c r="BH35" s="223">
        <v>0</v>
      </c>
      <c r="BI35" s="223">
        <v>0</v>
      </c>
      <c r="BJ35" s="223">
        <v>0</v>
      </c>
      <c r="BK35" s="223">
        <v>0</v>
      </c>
      <c r="BL35" s="230">
        <v>0</v>
      </c>
      <c r="BM35" s="223">
        <v>0</v>
      </c>
      <c r="BN35" s="223">
        <v>0</v>
      </c>
      <c r="BO35" s="223">
        <v>0</v>
      </c>
      <c r="BP35" s="223">
        <v>0</v>
      </c>
      <c r="BQ35" s="223">
        <v>0</v>
      </c>
      <c r="BR35" s="223">
        <v>0</v>
      </c>
      <c r="BS35" s="223">
        <v>0</v>
      </c>
      <c r="BT35" s="223">
        <v>0</v>
      </c>
      <c r="BU35" s="223">
        <v>0</v>
      </c>
      <c r="BV35" s="223">
        <v>0</v>
      </c>
      <c r="BW35" s="223">
        <v>0</v>
      </c>
      <c r="BX35" s="223">
        <f t="shared" si="6"/>
        <v>0</v>
      </c>
    </row>
    <row r="36" spans="1:77" s="127" customFormat="1" ht="18" customHeight="1">
      <c r="A36" s="29">
        <v>31</v>
      </c>
      <c r="B36" s="263" t="s">
        <v>157</v>
      </c>
      <c r="C36" s="249">
        <v>15</v>
      </c>
      <c r="D36" s="269" t="s">
        <v>34</v>
      </c>
      <c r="E36" s="270" t="s">
        <v>158</v>
      </c>
      <c r="F36" s="269" t="s">
        <v>27</v>
      </c>
      <c r="G36" s="260" t="s">
        <v>159</v>
      </c>
      <c r="H36" s="251" t="s">
        <v>150</v>
      </c>
      <c r="I36" s="321">
        <v>280</v>
      </c>
      <c r="J36" s="321">
        <f>SUMIFS('POR Control Log-income'!L:L,'POR Control Log-income'!F:F,본공사입.출고현황!B36)</f>
        <v>280</v>
      </c>
      <c r="K36" s="321">
        <f t="shared" si="7"/>
        <v>0</v>
      </c>
      <c r="L36" s="321"/>
      <c r="M36" s="321">
        <f>SUMIFS('POR Control Log-income'!L:L,'POR Control Log-income'!F:F,본공사입.출고현황!B36)</f>
        <v>280</v>
      </c>
      <c r="N36" s="322">
        <f t="shared" si="4"/>
        <v>0</v>
      </c>
      <c r="O36" s="323">
        <f t="shared" si="8"/>
        <v>280</v>
      </c>
      <c r="P36" s="324">
        <f>SUMIFS('POR Control Log-out'!L:L,'POR Control Log-out'!D:D,본공사입.출고현황!B36)</f>
        <v>175</v>
      </c>
      <c r="Q36" s="321"/>
      <c r="R36" s="321">
        <v>0</v>
      </c>
      <c r="S36" s="321">
        <f t="shared" si="3"/>
        <v>105</v>
      </c>
      <c r="T36" s="408"/>
      <c r="V36" s="147" t="s">
        <v>469</v>
      </c>
      <c r="W36" s="147" t="s">
        <v>127</v>
      </c>
      <c r="X36" s="10" t="s">
        <v>0</v>
      </c>
      <c r="Y36" s="29" t="s">
        <v>60</v>
      </c>
      <c r="Z36" s="54"/>
      <c r="AC36" s="89"/>
      <c r="AD36" s="89"/>
      <c r="AE36" s="89"/>
      <c r="AG36" s="143">
        <f t="shared" si="5"/>
        <v>20</v>
      </c>
      <c r="AI36" s="223">
        <v>7</v>
      </c>
      <c r="AJ36" s="223">
        <v>7</v>
      </c>
      <c r="AK36" s="223">
        <v>7</v>
      </c>
      <c r="AL36" s="223">
        <v>7</v>
      </c>
      <c r="AM36" s="223">
        <v>42</v>
      </c>
      <c r="AN36" s="223"/>
      <c r="AO36" s="223">
        <v>0</v>
      </c>
      <c r="AP36" s="223">
        <v>0</v>
      </c>
      <c r="AQ36" s="223">
        <v>0</v>
      </c>
      <c r="AR36" s="223">
        <v>0</v>
      </c>
      <c r="AS36" s="223">
        <v>0</v>
      </c>
      <c r="AT36" s="223">
        <v>0</v>
      </c>
      <c r="AU36" s="223">
        <v>0</v>
      </c>
      <c r="AV36" s="223">
        <v>0</v>
      </c>
      <c r="AW36" s="223">
        <v>0</v>
      </c>
      <c r="AX36" s="223">
        <v>0</v>
      </c>
      <c r="AY36" s="223">
        <v>0</v>
      </c>
      <c r="AZ36" s="223">
        <v>0</v>
      </c>
      <c r="BA36" s="223">
        <v>0</v>
      </c>
      <c r="BB36" s="223">
        <v>0</v>
      </c>
      <c r="BC36" s="223"/>
      <c r="BD36" s="223">
        <v>125</v>
      </c>
      <c r="BE36" s="223">
        <v>125</v>
      </c>
      <c r="BF36" s="223">
        <v>125</v>
      </c>
      <c r="BG36" s="223">
        <v>125</v>
      </c>
      <c r="BH36" s="223">
        <v>125</v>
      </c>
      <c r="BI36" s="223">
        <v>125</v>
      </c>
      <c r="BJ36" s="223">
        <v>125</v>
      </c>
      <c r="BK36" s="223">
        <v>125</v>
      </c>
      <c r="BL36" s="230">
        <v>125</v>
      </c>
      <c r="BM36" s="223">
        <v>125</v>
      </c>
      <c r="BN36" s="223">
        <v>125</v>
      </c>
      <c r="BO36" s="223">
        <v>125</v>
      </c>
      <c r="BP36" s="223">
        <v>125</v>
      </c>
      <c r="BQ36" s="223">
        <v>125</v>
      </c>
      <c r="BR36" s="223">
        <v>125</v>
      </c>
      <c r="BS36" s="223">
        <v>125</v>
      </c>
      <c r="BT36" s="223">
        <v>125</v>
      </c>
      <c r="BU36" s="223">
        <v>125</v>
      </c>
      <c r="BV36" s="223">
        <v>125</v>
      </c>
      <c r="BW36" s="223">
        <v>125</v>
      </c>
      <c r="BX36" s="223">
        <f t="shared" si="6"/>
        <v>125</v>
      </c>
    </row>
    <row r="37" spans="1:77" s="127" customFormat="1" ht="18" customHeight="1">
      <c r="A37" s="29">
        <v>32</v>
      </c>
      <c r="B37" s="263" t="s">
        <v>160</v>
      </c>
      <c r="C37" s="249">
        <v>16</v>
      </c>
      <c r="D37" s="269" t="s">
        <v>34</v>
      </c>
      <c r="E37" s="270" t="s">
        <v>984</v>
      </c>
      <c r="F37" s="269" t="s">
        <v>27</v>
      </c>
      <c r="G37" s="260" t="s">
        <v>161</v>
      </c>
      <c r="H37" s="251" t="s">
        <v>150</v>
      </c>
      <c r="I37" s="321">
        <v>440</v>
      </c>
      <c r="J37" s="321">
        <f>SUMIFS('POR Control Log-income'!L:L,'POR Control Log-income'!F:F,본공사입.출고현황!B37)</f>
        <v>440</v>
      </c>
      <c r="K37" s="321">
        <f t="shared" si="7"/>
        <v>0</v>
      </c>
      <c r="L37" s="321"/>
      <c r="M37" s="321">
        <f>SUMIFS('POR Control Log-income'!L:L,'POR Control Log-income'!F:F,본공사입.출고현황!B37)</f>
        <v>440</v>
      </c>
      <c r="N37" s="322">
        <f t="shared" si="4"/>
        <v>0</v>
      </c>
      <c r="O37" s="323">
        <f t="shared" si="8"/>
        <v>440</v>
      </c>
      <c r="P37" s="321">
        <f>SUMIFS('POR Control Log-out'!L:L,'POR Control Log-out'!D:D,본공사입.출고현황!B37)</f>
        <v>368</v>
      </c>
      <c r="Q37" s="321"/>
      <c r="R37" s="321">
        <v>0</v>
      </c>
      <c r="S37" s="321">
        <f t="shared" si="3"/>
        <v>72</v>
      </c>
      <c r="T37" s="408"/>
      <c r="V37" s="147" t="s">
        <v>469</v>
      </c>
      <c r="W37" s="147" t="s">
        <v>14</v>
      </c>
      <c r="X37" s="10" t="s">
        <v>0</v>
      </c>
      <c r="Y37" s="29" t="s">
        <v>60</v>
      </c>
      <c r="Z37" s="54"/>
      <c r="AC37" s="89"/>
      <c r="AD37" s="89"/>
      <c r="AE37" s="89"/>
      <c r="AG37" s="143">
        <f t="shared" si="5"/>
        <v>-11</v>
      </c>
      <c r="AI37" s="223">
        <v>188</v>
      </c>
      <c r="AJ37" s="223">
        <v>188</v>
      </c>
      <c r="AK37" s="223">
        <v>188</v>
      </c>
      <c r="AL37" s="223">
        <v>188</v>
      </c>
      <c r="AM37" s="223">
        <v>188</v>
      </c>
      <c r="AN37" s="223">
        <v>188</v>
      </c>
      <c r="AO37" s="223">
        <v>188</v>
      </c>
      <c r="AP37" s="223">
        <v>188</v>
      </c>
      <c r="AQ37" s="223">
        <v>188</v>
      </c>
      <c r="AR37" s="223">
        <v>188</v>
      </c>
      <c r="AS37" s="223">
        <v>60</v>
      </c>
      <c r="AT37" s="223">
        <v>55</v>
      </c>
      <c r="AU37" s="223">
        <v>55</v>
      </c>
      <c r="AV37" s="223">
        <v>55</v>
      </c>
      <c r="AW37" s="223">
        <v>55</v>
      </c>
      <c r="AX37" s="223">
        <v>55</v>
      </c>
      <c r="AY37" s="223">
        <v>55</v>
      </c>
      <c r="AZ37" s="223">
        <v>55</v>
      </c>
      <c r="BA37" s="223">
        <v>55</v>
      </c>
      <c r="BB37" s="223">
        <v>55</v>
      </c>
      <c r="BC37" s="223">
        <v>53</v>
      </c>
      <c r="BD37" s="223">
        <v>30</v>
      </c>
      <c r="BE37" s="223">
        <v>30</v>
      </c>
      <c r="BF37" s="223">
        <v>30</v>
      </c>
      <c r="BG37" s="223">
        <v>30</v>
      </c>
      <c r="BH37" s="223">
        <v>61</v>
      </c>
      <c r="BI37" s="223">
        <v>61</v>
      </c>
      <c r="BJ37" s="223">
        <v>61</v>
      </c>
      <c r="BK37" s="223">
        <v>61</v>
      </c>
      <c r="BL37" s="230">
        <v>61</v>
      </c>
      <c r="BM37" s="223">
        <v>61</v>
      </c>
      <c r="BN37" s="223">
        <v>61</v>
      </c>
      <c r="BO37" s="223">
        <v>61</v>
      </c>
      <c r="BP37" s="223">
        <v>61</v>
      </c>
      <c r="BQ37" s="223">
        <v>61</v>
      </c>
      <c r="BR37" s="223">
        <v>61</v>
      </c>
      <c r="BS37" s="223">
        <v>61</v>
      </c>
      <c r="BT37" s="223">
        <v>61</v>
      </c>
      <c r="BU37" s="223">
        <v>61</v>
      </c>
      <c r="BV37" s="223">
        <v>61</v>
      </c>
      <c r="BW37" s="223">
        <v>299</v>
      </c>
      <c r="BX37" s="223">
        <f t="shared" si="6"/>
        <v>299</v>
      </c>
    </row>
    <row r="38" spans="1:77" s="127" customFormat="1" ht="18" customHeight="1">
      <c r="A38" s="29"/>
      <c r="B38" s="263" t="s">
        <v>1009</v>
      </c>
      <c r="C38" s="249">
        <v>17</v>
      </c>
      <c r="D38" s="269" t="s">
        <v>34</v>
      </c>
      <c r="E38" s="270" t="s">
        <v>1006</v>
      </c>
      <c r="F38" s="269" t="s">
        <v>27</v>
      </c>
      <c r="G38" s="260" t="s">
        <v>1010</v>
      </c>
      <c r="H38" s="251" t="s">
        <v>0</v>
      </c>
      <c r="I38" s="321">
        <v>9</v>
      </c>
      <c r="J38" s="321">
        <f>SUMIFS('POR Control Log-income'!L:L,'POR Control Log-income'!F:F,본공사입.출고현황!B38)</f>
        <v>9</v>
      </c>
      <c r="K38" s="321">
        <f t="shared" si="7"/>
        <v>0</v>
      </c>
      <c r="L38" s="321"/>
      <c r="M38" s="321">
        <f>SUMIFS('POR Control Log-income'!L:L,'POR Control Log-income'!F:F,본공사입.출고현황!B38)</f>
        <v>9</v>
      </c>
      <c r="N38" s="322">
        <f t="shared" si="4"/>
        <v>0</v>
      </c>
      <c r="O38" s="323">
        <f t="shared" ref="O38" si="9">M38</f>
        <v>9</v>
      </c>
      <c r="P38" s="321">
        <f>SUMIFS('POR Control Log-out'!L:L,'POR Control Log-out'!D:D,본공사입.출고현황!B38)</f>
        <v>9</v>
      </c>
      <c r="Q38" s="321">
        <v>0</v>
      </c>
      <c r="R38" s="321"/>
      <c r="S38" s="321">
        <f t="shared" si="3"/>
        <v>0</v>
      </c>
      <c r="T38" s="408" t="s">
        <v>1032</v>
      </c>
      <c r="V38" s="147" t="s">
        <v>1007</v>
      </c>
      <c r="W38" s="147" t="s">
        <v>18</v>
      </c>
      <c r="X38" s="10" t="s">
        <v>0</v>
      </c>
      <c r="Y38" s="29"/>
      <c r="Z38" s="54"/>
      <c r="AC38" s="89"/>
      <c r="AD38" s="89"/>
      <c r="AE38" s="89"/>
      <c r="AG38" s="143"/>
      <c r="AI38" s="223"/>
      <c r="AJ38" s="223"/>
      <c r="AK38" s="223"/>
      <c r="AL38" s="223"/>
      <c r="AM38" s="223"/>
      <c r="AN38" s="223"/>
      <c r="AO38" s="223"/>
      <c r="AP38" s="223"/>
      <c r="AQ38" s="223"/>
      <c r="AR38" s="223"/>
      <c r="AS38" s="223"/>
      <c r="AT38" s="223"/>
      <c r="AU38" s="223"/>
      <c r="AV38" s="223"/>
      <c r="AW38" s="223"/>
      <c r="AX38" s="223"/>
      <c r="AY38" s="223"/>
      <c r="AZ38" s="223"/>
      <c r="BA38" s="223"/>
      <c r="BB38" s="223"/>
      <c r="BC38" s="223"/>
      <c r="BD38" s="223"/>
      <c r="BE38" s="223"/>
      <c r="BF38" s="223"/>
      <c r="BG38" s="223"/>
      <c r="BH38" s="223"/>
      <c r="BI38" s="223"/>
      <c r="BJ38" s="223"/>
      <c r="BK38" s="223"/>
      <c r="BL38" s="230"/>
      <c r="BM38" s="223"/>
      <c r="BN38" s="223"/>
      <c r="BO38" s="223"/>
      <c r="BP38" s="223"/>
      <c r="BQ38" s="223"/>
      <c r="BR38" s="223"/>
      <c r="BS38" s="223"/>
      <c r="BT38" s="223"/>
      <c r="BU38" s="223"/>
      <c r="BV38" s="223"/>
      <c r="BW38" s="223"/>
      <c r="BX38" s="223"/>
    </row>
    <row r="39" spans="1:77" s="127" customFormat="1" ht="18" customHeight="1">
      <c r="A39" s="29">
        <v>33</v>
      </c>
      <c r="B39" s="29" t="s">
        <v>162</v>
      </c>
      <c r="C39" s="249">
        <v>18</v>
      </c>
      <c r="D39" s="124" t="s">
        <v>31</v>
      </c>
      <c r="E39" s="6" t="s">
        <v>163</v>
      </c>
      <c r="F39" s="124" t="s">
        <v>11</v>
      </c>
      <c r="G39" s="19" t="s">
        <v>164</v>
      </c>
      <c r="H39" s="41" t="s">
        <v>2</v>
      </c>
      <c r="I39" s="326">
        <v>3584</v>
      </c>
      <c r="J39" s="321">
        <f>SUMIFS('POR Control Log-income'!L:L,'POR Control Log-income'!F:F,본공사입.출고현황!B39)</f>
        <v>3584</v>
      </c>
      <c r="K39" s="326">
        <f t="shared" si="7"/>
        <v>0</v>
      </c>
      <c r="L39" s="326"/>
      <c r="M39" s="326">
        <f>SUMIFS('POR Control Log-income'!L:L,'POR Control Log-income'!F:F,본공사입.출고현황!B39)</f>
        <v>3584</v>
      </c>
      <c r="N39" s="331">
        <f t="shared" si="4"/>
        <v>0</v>
      </c>
      <c r="O39" s="332">
        <f t="shared" si="8"/>
        <v>3584</v>
      </c>
      <c r="P39" s="326">
        <f>SUMIFS('POR Control Log-out'!L:L,'POR Control Log-out'!D:D,본공사입.출고현황!B39)</f>
        <v>2726</v>
      </c>
      <c r="Q39" s="326">
        <v>459.1</v>
      </c>
      <c r="R39" s="326">
        <f>323.9+3</f>
        <v>326.89999999999998</v>
      </c>
      <c r="S39" s="321">
        <f t="shared" si="3"/>
        <v>72</v>
      </c>
      <c r="T39" s="125" t="s">
        <v>130</v>
      </c>
      <c r="V39" s="147" t="s">
        <v>11</v>
      </c>
      <c r="W39" s="147" t="s">
        <v>164</v>
      </c>
      <c r="X39" s="148" t="s">
        <v>2</v>
      </c>
      <c r="Y39" s="29" t="s">
        <v>60</v>
      </c>
      <c r="Z39" s="54"/>
      <c r="AC39" s="89"/>
      <c r="AD39" s="89"/>
      <c r="AE39" s="89"/>
      <c r="AG39" s="143">
        <f t="shared" si="5"/>
        <v>0</v>
      </c>
      <c r="AI39" s="223">
        <v>858</v>
      </c>
      <c r="AJ39" s="223">
        <v>858</v>
      </c>
      <c r="AK39" s="223">
        <v>840</v>
      </c>
      <c r="AL39" s="223">
        <v>780</v>
      </c>
      <c r="AM39" s="223">
        <v>660</v>
      </c>
      <c r="AN39" s="223">
        <v>636</v>
      </c>
      <c r="AO39" s="223">
        <v>624</v>
      </c>
      <c r="AP39" s="223">
        <v>540</v>
      </c>
      <c r="AQ39" s="223">
        <v>516</v>
      </c>
      <c r="AR39" s="223">
        <v>396</v>
      </c>
      <c r="AS39" s="223">
        <v>396</v>
      </c>
      <c r="AT39" s="223">
        <v>348</v>
      </c>
      <c r="AU39" s="223">
        <v>264</v>
      </c>
      <c r="AV39" s="223">
        <v>252</v>
      </c>
      <c r="AW39" s="223">
        <v>204</v>
      </c>
      <c r="AX39" s="223">
        <v>204</v>
      </c>
      <c r="AY39" s="223">
        <v>204</v>
      </c>
      <c r="AZ39" s="223">
        <v>204</v>
      </c>
      <c r="BA39" s="223">
        <v>204</v>
      </c>
      <c r="BB39" s="223">
        <v>204</v>
      </c>
      <c r="BC39" s="223">
        <v>168</v>
      </c>
      <c r="BD39" s="223">
        <v>72</v>
      </c>
      <c r="BE39" s="223">
        <v>72</v>
      </c>
      <c r="BF39" s="223">
        <v>72</v>
      </c>
      <c r="BG39" s="223">
        <v>72</v>
      </c>
      <c r="BH39" s="223">
        <v>72</v>
      </c>
      <c r="BI39" s="223">
        <v>72</v>
      </c>
      <c r="BJ39" s="223">
        <v>72</v>
      </c>
      <c r="BK39" s="223">
        <v>72</v>
      </c>
      <c r="BL39" s="230">
        <v>72</v>
      </c>
      <c r="BM39" s="223">
        <v>72</v>
      </c>
      <c r="BN39" s="223">
        <v>72</v>
      </c>
      <c r="BO39" s="223">
        <v>72</v>
      </c>
      <c r="BP39" s="223">
        <v>72</v>
      </c>
      <c r="BQ39" s="223">
        <v>72</v>
      </c>
      <c r="BR39" s="223">
        <v>72</v>
      </c>
      <c r="BS39" s="223">
        <v>72</v>
      </c>
      <c r="BT39" s="223">
        <v>72</v>
      </c>
      <c r="BU39" s="223">
        <v>72</v>
      </c>
      <c r="BV39" s="223">
        <v>72</v>
      </c>
      <c r="BW39" s="223">
        <v>872</v>
      </c>
      <c r="BX39" s="223">
        <f t="shared" si="6"/>
        <v>872</v>
      </c>
    </row>
    <row r="40" spans="1:77" s="127" customFormat="1" ht="18" customHeight="1">
      <c r="A40" s="29">
        <v>34</v>
      </c>
      <c r="B40" s="29" t="s">
        <v>165</v>
      </c>
      <c r="C40" s="249">
        <v>19</v>
      </c>
      <c r="D40" s="124" t="s">
        <v>31</v>
      </c>
      <c r="E40" s="6" t="s">
        <v>36</v>
      </c>
      <c r="F40" s="124" t="s">
        <v>11</v>
      </c>
      <c r="G40" s="19" t="s">
        <v>166</v>
      </c>
      <c r="H40" s="41" t="s">
        <v>2</v>
      </c>
      <c r="I40" s="326">
        <v>732</v>
      </c>
      <c r="J40" s="321">
        <f>SUMIFS('POR Control Log-income'!L:L,'POR Control Log-income'!F:F,본공사입.출고현황!B40)</f>
        <v>732</v>
      </c>
      <c r="K40" s="326">
        <f t="shared" si="7"/>
        <v>0</v>
      </c>
      <c r="L40" s="326"/>
      <c r="M40" s="326">
        <f>SUMIFS('POR Control Log-income'!L:L,'POR Control Log-income'!F:F,본공사입.출고현황!B40)</f>
        <v>732</v>
      </c>
      <c r="N40" s="331">
        <f t="shared" si="4"/>
        <v>0</v>
      </c>
      <c r="O40" s="332">
        <f t="shared" si="8"/>
        <v>732</v>
      </c>
      <c r="P40" s="326">
        <f>SUMIFS('POR Control Log-out'!L:L,'POR Control Log-out'!D:D,본공사입.출고현황!B40)</f>
        <v>414.4</v>
      </c>
      <c r="Q40" s="326"/>
      <c r="R40" s="326">
        <v>29.6</v>
      </c>
      <c r="S40" s="321">
        <f t="shared" si="3"/>
        <v>288</v>
      </c>
      <c r="T40" s="125"/>
      <c r="V40" s="147" t="s">
        <v>11</v>
      </c>
      <c r="W40" s="147" t="s">
        <v>167</v>
      </c>
      <c r="X40" s="148" t="s">
        <v>2</v>
      </c>
      <c r="Y40" s="29" t="s">
        <v>60</v>
      </c>
      <c r="Z40" s="54"/>
      <c r="AC40" s="89"/>
      <c r="AD40" s="89"/>
      <c r="AE40" s="89"/>
      <c r="AG40" s="143">
        <f t="shared" si="5"/>
        <v>0</v>
      </c>
      <c r="AI40" s="223">
        <v>432</v>
      </c>
      <c r="AJ40" s="223">
        <v>432</v>
      </c>
      <c r="AK40" s="223">
        <v>336</v>
      </c>
      <c r="AL40" s="223">
        <v>336</v>
      </c>
      <c r="AM40" s="223">
        <v>336</v>
      </c>
      <c r="AN40" s="223">
        <v>336</v>
      </c>
      <c r="AO40" s="223">
        <v>324</v>
      </c>
      <c r="AP40" s="223">
        <v>324</v>
      </c>
      <c r="AQ40" s="223">
        <v>324</v>
      </c>
      <c r="AR40" s="223">
        <v>324</v>
      </c>
      <c r="AS40" s="223">
        <v>324</v>
      </c>
      <c r="AT40" s="223">
        <v>324</v>
      </c>
      <c r="AU40" s="223">
        <v>324</v>
      </c>
      <c r="AV40" s="223">
        <v>324</v>
      </c>
      <c r="AW40" s="223">
        <v>324</v>
      </c>
      <c r="AX40" s="223">
        <v>318</v>
      </c>
      <c r="AY40" s="223">
        <v>318</v>
      </c>
      <c r="AZ40" s="223">
        <v>318</v>
      </c>
      <c r="BA40" s="223">
        <v>318</v>
      </c>
      <c r="BB40" s="223">
        <v>288</v>
      </c>
      <c r="BC40" s="223">
        <v>288</v>
      </c>
      <c r="BD40" s="223">
        <v>288</v>
      </c>
      <c r="BE40" s="223">
        <v>288</v>
      </c>
      <c r="BF40" s="223">
        <v>288</v>
      </c>
      <c r="BG40" s="223">
        <v>288</v>
      </c>
      <c r="BH40" s="223">
        <v>288</v>
      </c>
      <c r="BI40" s="223">
        <v>288</v>
      </c>
      <c r="BJ40" s="223">
        <v>288</v>
      </c>
      <c r="BK40" s="223">
        <v>288</v>
      </c>
      <c r="BL40" s="230">
        <v>288</v>
      </c>
      <c r="BM40" s="223">
        <v>288</v>
      </c>
      <c r="BN40" s="223">
        <v>288</v>
      </c>
      <c r="BO40" s="223">
        <v>288</v>
      </c>
      <c r="BP40" s="223">
        <v>288</v>
      </c>
      <c r="BQ40" s="223">
        <v>288</v>
      </c>
      <c r="BR40" s="223">
        <v>288</v>
      </c>
      <c r="BS40" s="223">
        <v>288</v>
      </c>
      <c r="BT40" s="223">
        <v>288</v>
      </c>
      <c r="BU40" s="223">
        <v>288</v>
      </c>
      <c r="BV40" s="223">
        <v>288</v>
      </c>
      <c r="BW40" s="223">
        <v>288</v>
      </c>
      <c r="BX40" s="223">
        <f t="shared" si="6"/>
        <v>288</v>
      </c>
    </row>
    <row r="41" spans="1:77" s="127" customFormat="1" ht="18" customHeight="1">
      <c r="A41" s="29">
        <v>35</v>
      </c>
      <c r="B41" s="29" t="s">
        <v>168</v>
      </c>
      <c r="C41" s="249">
        <v>20</v>
      </c>
      <c r="D41" s="124" t="s">
        <v>31</v>
      </c>
      <c r="E41" s="6" t="s">
        <v>16</v>
      </c>
      <c r="F41" s="124" t="s">
        <v>11</v>
      </c>
      <c r="G41" s="19" t="s">
        <v>12</v>
      </c>
      <c r="H41" s="41" t="s">
        <v>2</v>
      </c>
      <c r="I41" s="326">
        <v>40</v>
      </c>
      <c r="J41" s="321">
        <f>SUMIFS('POR Control Log-income'!L:L,'POR Control Log-income'!F:F,본공사입.출고현황!B41)</f>
        <v>40</v>
      </c>
      <c r="K41" s="326">
        <f t="shared" si="7"/>
        <v>0</v>
      </c>
      <c r="L41" s="326"/>
      <c r="M41" s="326">
        <f>SUMIFS('POR Control Log-income'!L:L,'POR Control Log-income'!F:F,본공사입.출고현황!B41)</f>
        <v>40</v>
      </c>
      <c r="N41" s="331">
        <f t="shared" si="4"/>
        <v>0</v>
      </c>
      <c r="O41" s="332">
        <f t="shared" si="8"/>
        <v>40</v>
      </c>
      <c r="P41" s="326">
        <f>SUMIFS('POR Control Log-out'!L:L,'POR Control Log-out'!D:D,본공사입.출고현황!B41)</f>
        <v>35</v>
      </c>
      <c r="Q41" s="326"/>
      <c r="R41" s="326">
        <v>5</v>
      </c>
      <c r="S41" s="321">
        <f t="shared" si="3"/>
        <v>0</v>
      </c>
      <c r="T41" s="125"/>
      <c r="V41" s="147" t="s">
        <v>11</v>
      </c>
      <c r="W41" s="147" t="s">
        <v>12</v>
      </c>
      <c r="X41" s="148" t="s">
        <v>2</v>
      </c>
      <c r="Y41" s="150"/>
      <c r="Z41" s="54"/>
      <c r="AC41" s="89"/>
      <c r="AD41" s="89"/>
      <c r="AE41" s="89"/>
      <c r="AG41" s="143">
        <f t="shared" si="5"/>
        <v>0</v>
      </c>
      <c r="AI41" s="223"/>
      <c r="AJ41" s="223"/>
      <c r="AK41" s="223"/>
      <c r="AL41" s="223"/>
      <c r="AM41" s="223">
        <v>0</v>
      </c>
      <c r="AN41" s="223">
        <v>0</v>
      </c>
      <c r="AO41" s="223">
        <v>0</v>
      </c>
      <c r="AP41" s="223">
        <v>0</v>
      </c>
      <c r="AQ41" s="223">
        <v>0</v>
      </c>
      <c r="AR41" s="223">
        <v>0</v>
      </c>
      <c r="AS41" s="223">
        <v>0</v>
      </c>
      <c r="AT41" s="223">
        <v>0</v>
      </c>
      <c r="AU41" s="223">
        <v>0</v>
      </c>
      <c r="AV41" s="223">
        <v>0</v>
      </c>
      <c r="AW41" s="223">
        <v>0</v>
      </c>
      <c r="AX41" s="223">
        <v>0</v>
      </c>
      <c r="AY41" s="223">
        <v>0</v>
      </c>
      <c r="AZ41" s="223">
        <v>0</v>
      </c>
      <c r="BA41" s="223">
        <v>0</v>
      </c>
      <c r="BB41" s="223">
        <v>0</v>
      </c>
      <c r="BC41" s="223"/>
      <c r="BD41" s="223">
        <v>0</v>
      </c>
      <c r="BE41" s="223">
        <v>0</v>
      </c>
      <c r="BF41" s="223">
        <v>0</v>
      </c>
      <c r="BG41" s="223">
        <v>0</v>
      </c>
      <c r="BH41" s="223">
        <v>0</v>
      </c>
      <c r="BI41" s="223">
        <v>0</v>
      </c>
      <c r="BJ41" s="223">
        <v>0</v>
      </c>
      <c r="BK41" s="223">
        <v>0</v>
      </c>
      <c r="BL41" s="230">
        <v>0</v>
      </c>
      <c r="BM41" s="223">
        <v>0</v>
      </c>
      <c r="BN41" s="223">
        <v>0</v>
      </c>
      <c r="BO41" s="223">
        <v>0</v>
      </c>
      <c r="BP41" s="223">
        <v>0</v>
      </c>
      <c r="BQ41" s="223">
        <v>0</v>
      </c>
      <c r="BR41" s="223">
        <v>0</v>
      </c>
      <c r="BS41" s="223">
        <v>0</v>
      </c>
      <c r="BT41" s="223">
        <v>0</v>
      </c>
      <c r="BU41" s="223">
        <v>0</v>
      </c>
      <c r="BV41" s="223">
        <v>0</v>
      </c>
      <c r="BW41" s="223">
        <v>0</v>
      </c>
      <c r="BX41" s="223">
        <f t="shared" si="6"/>
        <v>0</v>
      </c>
    </row>
    <row r="42" spans="1:77" s="127" customFormat="1" ht="18" customHeight="1">
      <c r="A42" s="29">
        <v>36</v>
      </c>
      <c r="B42" s="29" t="s">
        <v>386</v>
      </c>
      <c r="C42" s="249">
        <v>21</v>
      </c>
      <c r="D42" s="124" t="s">
        <v>170</v>
      </c>
      <c r="E42" s="6" t="s">
        <v>388</v>
      </c>
      <c r="F42" s="124" t="s">
        <v>172</v>
      </c>
      <c r="G42" s="19" t="s">
        <v>389</v>
      </c>
      <c r="H42" s="41" t="s">
        <v>401</v>
      </c>
      <c r="I42" s="326">
        <v>23</v>
      </c>
      <c r="J42" s="321">
        <f>SUMIFS('POR Control Log-income'!L:L,'POR Control Log-income'!F:F,본공사입.출고현황!B42)</f>
        <v>6</v>
      </c>
      <c r="K42" s="326">
        <f t="shared" si="7"/>
        <v>17</v>
      </c>
      <c r="L42" s="326">
        <v>1</v>
      </c>
      <c r="M42" s="326">
        <f>SUMIFS('POR Control Log-income'!L:L,'POR Control Log-income'!F:F,본공사입.출고현황!B42)</f>
        <v>6</v>
      </c>
      <c r="N42" s="331">
        <f t="shared" si="4"/>
        <v>0</v>
      </c>
      <c r="O42" s="332">
        <f t="shared" si="8"/>
        <v>6</v>
      </c>
      <c r="P42" s="326">
        <f>SUMIFS('POR Control Log-out'!L:L,'POR Control Log-out'!D:D,본공사입.출고현황!B42)</f>
        <v>5</v>
      </c>
      <c r="Q42" s="326"/>
      <c r="R42" s="326"/>
      <c r="S42" s="321">
        <f t="shared" si="3"/>
        <v>1</v>
      </c>
      <c r="T42" s="125"/>
      <c r="V42" s="147" t="s">
        <v>172</v>
      </c>
      <c r="W42" s="147" t="s">
        <v>389</v>
      </c>
      <c r="X42" s="148" t="s">
        <v>174</v>
      </c>
      <c r="Y42" s="150"/>
      <c r="Z42" s="54"/>
      <c r="AC42" s="89"/>
      <c r="AD42" s="89"/>
      <c r="AE42" s="89"/>
      <c r="AG42" s="143">
        <f t="shared" si="5"/>
        <v>1</v>
      </c>
      <c r="AI42" s="223"/>
      <c r="AJ42" s="223"/>
      <c r="AK42" s="223"/>
      <c r="AL42" s="223"/>
      <c r="AM42" s="223">
        <v>0</v>
      </c>
      <c r="AN42" s="223">
        <v>0</v>
      </c>
      <c r="AO42" s="223">
        <v>0</v>
      </c>
      <c r="AP42" s="223">
        <v>0</v>
      </c>
      <c r="AQ42" s="223">
        <v>1</v>
      </c>
      <c r="AR42" s="223">
        <v>1</v>
      </c>
      <c r="AS42" s="223">
        <v>1</v>
      </c>
      <c r="AT42" s="223">
        <v>1</v>
      </c>
      <c r="AU42" s="223">
        <v>1</v>
      </c>
      <c r="AV42" s="223">
        <v>1</v>
      </c>
      <c r="AW42" s="223">
        <v>1</v>
      </c>
      <c r="AX42" s="223">
        <v>1</v>
      </c>
      <c r="AY42" s="223">
        <v>1</v>
      </c>
      <c r="AZ42" s="223">
        <v>1</v>
      </c>
      <c r="BA42" s="223">
        <v>1</v>
      </c>
      <c r="BB42" s="223">
        <v>1</v>
      </c>
      <c r="BC42" s="223">
        <v>1</v>
      </c>
      <c r="BD42" s="223">
        <v>1</v>
      </c>
      <c r="BE42" s="223">
        <v>1</v>
      </c>
      <c r="BF42" s="223">
        <v>1</v>
      </c>
      <c r="BG42" s="223">
        <v>1</v>
      </c>
      <c r="BH42" s="223">
        <v>1</v>
      </c>
      <c r="BI42" s="223">
        <v>1</v>
      </c>
      <c r="BJ42" s="223">
        <v>1</v>
      </c>
      <c r="BK42" s="223">
        <v>2</v>
      </c>
      <c r="BL42" s="230">
        <v>2</v>
      </c>
      <c r="BM42" s="223">
        <v>2</v>
      </c>
      <c r="BN42" s="223">
        <v>2</v>
      </c>
      <c r="BO42" s="223">
        <v>2</v>
      </c>
      <c r="BP42" s="223">
        <v>2</v>
      </c>
      <c r="BQ42" s="223">
        <v>2</v>
      </c>
      <c r="BR42" s="223">
        <v>2</v>
      </c>
      <c r="BS42" s="223">
        <v>2</v>
      </c>
      <c r="BT42" s="223">
        <v>2</v>
      </c>
      <c r="BU42" s="223">
        <v>2</v>
      </c>
      <c r="BV42" s="223">
        <v>2</v>
      </c>
      <c r="BW42" s="223">
        <v>1</v>
      </c>
      <c r="BX42" s="223">
        <f t="shared" si="6"/>
        <v>1</v>
      </c>
    </row>
    <row r="43" spans="1:77" s="127" customFormat="1" ht="18" customHeight="1">
      <c r="A43" s="29">
        <v>36</v>
      </c>
      <c r="B43" s="29" t="s">
        <v>387</v>
      </c>
      <c r="C43" s="249">
        <v>22</v>
      </c>
      <c r="D43" s="124" t="s">
        <v>170</v>
      </c>
      <c r="E43" s="6" t="s">
        <v>390</v>
      </c>
      <c r="F43" s="124" t="s">
        <v>172</v>
      </c>
      <c r="G43" s="19" t="s">
        <v>391</v>
      </c>
      <c r="H43" s="41" t="s">
        <v>401</v>
      </c>
      <c r="I43" s="326">
        <v>23</v>
      </c>
      <c r="J43" s="321">
        <f>SUMIFS('POR Control Log-income'!L:L,'POR Control Log-income'!F:F,본공사입.출고현황!B43)</f>
        <v>6</v>
      </c>
      <c r="K43" s="326">
        <f t="shared" si="7"/>
        <v>17</v>
      </c>
      <c r="L43" s="326">
        <v>1</v>
      </c>
      <c r="M43" s="326">
        <f>SUMIFS('POR Control Log-income'!L:L,'POR Control Log-income'!F:F,본공사입.출고현황!B43)</f>
        <v>6</v>
      </c>
      <c r="N43" s="331">
        <f t="shared" si="4"/>
        <v>0</v>
      </c>
      <c r="O43" s="332">
        <f t="shared" si="8"/>
        <v>6</v>
      </c>
      <c r="P43" s="326">
        <f>SUMIFS('POR Control Log-out'!L:L,'POR Control Log-out'!D:D,본공사입.출고현황!B43)</f>
        <v>5</v>
      </c>
      <c r="Q43" s="326"/>
      <c r="R43" s="326"/>
      <c r="S43" s="321">
        <f t="shared" si="3"/>
        <v>1</v>
      </c>
      <c r="T43" s="125"/>
      <c r="V43" s="147" t="s">
        <v>172</v>
      </c>
      <c r="W43" s="147" t="s">
        <v>391</v>
      </c>
      <c r="X43" s="148" t="s">
        <v>174</v>
      </c>
      <c r="Y43" s="150"/>
      <c r="Z43" s="54"/>
      <c r="AC43" s="89"/>
      <c r="AD43" s="89"/>
      <c r="AE43" s="89"/>
      <c r="AG43" s="143">
        <f t="shared" si="5"/>
        <v>1</v>
      </c>
      <c r="AI43" s="223"/>
      <c r="AJ43" s="223"/>
      <c r="AK43" s="223"/>
      <c r="AL43" s="223"/>
      <c r="AM43" s="223">
        <v>0</v>
      </c>
      <c r="AN43" s="223">
        <v>0</v>
      </c>
      <c r="AO43" s="223">
        <v>0</v>
      </c>
      <c r="AP43" s="223">
        <v>0</v>
      </c>
      <c r="AQ43" s="223">
        <v>1</v>
      </c>
      <c r="AR43" s="223">
        <v>1</v>
      </c>
      <c r="AS43" s="223">
        <v>1</v>
      </c>
      <c r="AT43" s="223">
        <v>1</v>
      </c>
      <c r="AU43" s="223">
        <v>1</v>
      </c>
      <c r="AV43" s="223">
        <v>1</v>
      </c>
      <c r="AW43" s="223">
        <v>1</v>
      </c>
      <c r="AX43" s="223">
        <v>1</v>
      </c>
      <c r="AY43" s="223">
        <v>1</v>
      </c>
      <c r="AZ43" s="223">
        <v>1</v>
      </c>
      <c r="BA43" s="223">
        <v>1</v>
      </c>
      <c r="BB43" s="223">
        <v>1</v>
      </c>
      <c r="BC43" s="223">
        <v>1</v>
      </c>
      <c r="BD43" s="223">
        <v>1</v>
      </c>
      <c r="BE43" s="223">
        <v>1</v>
      </c>
      <c r="BF43" s="223">
        <v>1</v>
      </c>
      <c r="BG43" s="223">
        <v>1</v>
      </c>
      <c r="BH43" s="223">
        <v>1</v>
      </c>
      <c r="BI43" s="223">
        <v>1</v>
      </c>
      <c r="BJ43" s="223">
        <v>1</v>
      </c>
      <c r="BK43" s="223">
        <v>2</v>
      </c>
      <c r="BL43" s="230">
        <v>2</v>
      </c>
      <c r="BM43" s="223">
        <v>2</v>
      </c>
      <c r="BN43" s="223">
        <v>2</v>
      </c>
      <c r="BO43" s="223">
        <v>2</v>
      </c>
      <c r="BP43" s="223">
        <v>2</v>
      </c>
      <c r="BQ43" s="223">
        <v>2</v>
      </c>
      <c r="BR43" s="223">
        <v>2</v>
      </c>
      <c r="BS43" s="223">
        <v>2</v>
      </c>
      <c r="BT43" s="223">
        <v>2</v>
      </c>
      <c r="BU43" s="223">
        <v>2</v>
      </c>
      <c r="BV43" s="223">
        <v>2</v>
      </c>
      <c r="BW43" s="223">
        <v>1</v>
      </c>
      <c r="BX43" s="223">
        <f t="shared" si="6"/>
        <v>1</v>
      </c>
    </row>
    <row r="44" spans="1:77" s="127" customFormat="1" ht="18" customHeight="1">
      <c r="A44" s="29">
        <v>37</v>
      </c>
      <c r="B44" s="29" t="s">
        <v>175</v>
      </c>
      <c r="C44" s="249">
        <v>23</v>
      </c>
      <c r="D44" s="124" t="s">
        <v>170</v>
      </c>
      <c r="E44" s="6" t="s">
        <v>176</v>
      </c>
      <c r="F44" s="124" t="s">
        <v>170</v>
      </c>
      <c r="G44" s="19" t="s">
        <v>171</v>
      </c>
      <c r="H44" s="41" t="s">
        <v>401</v>
      </c>
      <c r="I44" s="326">
        <v>21</v>
      </c>
      <c r="J44" s="321">
        <f>SUMIFS('POR Control Log-income'!L:L,'POR Control Log-income'!F:F,본공사입.출고현황!B44)</f>
        <v>0</v>
      </c>
      <c r="K44" s="326">
        <f t="shared" si="7"/>
        <v>21</v>
      </c>
      <c r="L44" s="326">
        <v>1</v>
      </c>
      <c r="M44" s="326">
        <f>SUMIFS('POR Control Log-income'!L:L,'POR Control Log-income'!F:F,본공사입.출고현황!B44)</f>
        <v>0</v>
      </c>
      <c r="N44" s="331">
        <f t="shared" si="4"/>
        <v>0</v>
      </c>
      <c r="O44" s="332">
        <f t="shared" si="8"/>
        <v>0</v>
      </c>
      <c r="P44" s="326">
        <f>SUMIFS('POR Control Log-out'!L:L,'POR Control Log-out'!D:D,본공사입.출고현황!B44)</f>
        <v>0</v>
      </c>
      <c r="Q44" s="326"/>
      <c r="R44" s="326"/>
      <c r="S44" s="321">
        <f t="shared" si="3"/>
        <v>0</v>
      </c>
      <c r="T44" s="125"/>
      <c r="V44" s="147" t="s">
        <v>172</v>
      </c>
      <c r="W44" s="147" t="s">
        <v>173</v>
      </c>
      <c r="X44" s="148" t="s">
        <v>174</v>
      </c>
      <c r="Y44" s="150"/>
      <c r="Z44" s="54"/>
      <c r="AC44" s="89"/>
      <c r="AD44" s="89"/>
      <c r="AE44" s="89"/>
      <c r="AG44" s="143">
        <f t="shared" si="5"/>
        <v>0</v>
      </c>
      <c r="AI44" s="223"/>
      <c r="AJ44" s="223"/>
      <c r="AK44" s="223"/>
      <c r="AL44" s="223"/>
      <c r="AM44" s="223">
        <v>0</v>
      </c>
      <c r="AN44" s="223">
        <v>0</v>
      </c>
      <c r="AO44" s="223">
        <v>0</v>
      </c>
      <c r="AP44" s="223">
        <v>0</v>
      </c>
      <c r="AQ44" s="223">
        <v>0</v>
      </c>
      <c r="AR44" s="223">
        <v>0</v>
      </c>
      <c r="AS44" s="223">
        <v>0</v>
      </c>
      <c r="AT44" s="223">
        <v>0</v>
      </c>
      <c r="AU44" s="223">
        <v>0</v>
      </c>
      <c r="AV44" s="223">
        <v>0</v>
      </c>
      <c r="AW44" s="223">
        <v>0</v>
      </c>
      <c r="AX44" s="223">
        <v>0</v>
      </c>
      <c r="AY44" s="223">
        <v>0</v>
      </c>
      <c r="AZ44" s="223">
        <v>0</v>
      </c>
      <c r="BA44" s="223">
        <v>0</v>
      </c>
      <c r="BB44" s="223">
        <v>0</v>
      </c>
      <c r="BC44" s="223"/>
      <c r="BD44" s="223">
        <v>0</v>
      </c>
      <c r="BE44" s="223">
        <v>0</v>
      </c>
      <c r="BF44" s="223">
        <v>0</v>
      </c>
      <c r="BG44" s="223">
        <v>0</v>
      </c>
      <c r="BH44" s="223">
        <v>0</v>
      </c>
      <c r="BI44" s="223">
        <v>0</v>
      </c>
      <c r="BJ44" s="223">
        <v>0</v>
      </c>
      <c r="BK44" s="223">
        <v>0</v>
      </c>
      <c r="BL44" s="230">
        <v>0</v>
      </c>
      <c r="BM44" s="223">
        <v>0</v>
      </c>
      <c r="BN44" s="223">
        <v>0</v>
      </c>
      <c r="BO44" s="223">
        <v>0</v>
      </c>
      <c r="BP44" s="223">
        <v>0</v>
      </c>
      <c r="BQ44" s="223">
        <v>0</v>
      </c>
      <c r="BR44" s="223">
        <v>0</v>
      </c>
      <c r="BS44" s="223">
        <v>0</v>
      </c>
      <c r="BT44" s="223">
        <v>0</v>
      </c>
      <c r="BU44" s="223">
        <v>0</v>
      </c>
      <c r="BV44" s="223">
        <v>0</v>
      </c>
      <c r="BW44" s="223">
        <v>0</v>
      </c>
      <c r="BX44" s="223">
        <f t="shared" si="6"/>
        <v>0</v>
      </c>
    </row>
    <row r="45" spans="1:77" s="127" customFormat="1" ht="18" customHeight="1">
      <c r="A45" s="29">
        <v>38</v>
      </c>
      <c r="B45" s="29" t="s">
        <v>177</v>
      </c>
      <c r="C45" s="249">
        <v>24</v>
      </c>
      <c r="D45" s="124" t="s">
        <v>170</v>
      </c>
      <c r="E45" s="6" t="s">
        <v>178</v>
      </c>
      <c r="F45" s="124" t="s">
        <v>170</v>
      </c>
      <c r="G45" s="19" t="s">
        <v>171</v>
      </c>
      <c r="H45" s="41" t="s">
        <v>401</v>
      </c>
      <c r="I45" s="326">
        <v>21</v>
      </c>
      <c r="J45" s="321">
        <f>SUMIFS('POR Control Log-income'!L:L,'POR Control Log-income'!F:F,본공사입.출고현황!B45)</f>
        <v>2</v>
      </c>
      <c r="K45" s="326">
        <f t="shared" si="7"/>
        <v>19</v>
      </c>
      <c r="L45" s="326">
        <v>1</v>
      </c>
      <c r="M45" s="326">
        <f>SUMIFS('POR Control Log-income'!L:L,'POR Control Log-income'!F:F,본공사입.출고현황!B45)</f>
        <v>2</v>
      </c>
      <c r="N45" s="331">
        <f t="shared" si="4"/>
        <v>0</v>
      </c>
      <c r="O45" s="332">
        <f t="shared" si="8"/>
        <v>2</v>
      </c>
      <c r="P45" s="326">
        <f>SUMIFS('POR Control Log-out'!L:L,'POR Control Log-out'!D:D,본공사입.출고현황!B45)</f>
        <v>1</v>
      </c>
      <c r="Q45" s="326"/>
      <c r="R45" s="326"/>
      <c r="S45" s="321">
        <f t="shared" si="3"/>
        <v>1</v>
      </c>
      <c r="T45" s="125"/>
      <c r="V45" s="147" t="s">
        <v>179</v>
      </c>
      <c r="W45" s="147" t="s">
        <v>173</v>
      </c>
      <c r="X45" s="148" t="s">
        <v>174</v>
      </c>
      <c r="Y45" s="150"/>
      <c r="Z45" s="54"/>
      <c r="AC45" s="89"/>
      <c r="AD45" s="89"/>
      <c r="AE45" s="89"/>
      <c r="AG45" s="143">
        <f t="shared" si="5"/>
        <v>0</v>
      </c>
      <c r="AI45" s="223"/>
      <c r="AJ45" s="223"/>
      <c r="AK45" s="223"/>
      <c r="AL45" s="223"/>
      <c r="AM45" s="223">
        <v>0</v>
      </c>
      <c r="AN45" s="223">
        <v>0</v>
      </c>
      <c r="AO45" s="223">
        <v>0</v>
      </c>
      <c r="AP45" s="223">
        <v>0</v>
      </c>
      <c r="AQ45" s="223">
        <v>1</v>
      </c>
      <c r="AR45" s="223">
        <v>1</v>
      </c>
      <c r="AS45" s="223">
        <v>1</v>
      </c>
      <c r="AT45" s="223">
        <v>1</v>
      </c>
      <c r="AU45" s="223">
        <v>1</v>
      </c>
      <c r="AV45" s="223">
        <v>1</v>
      </c>
      <c r="AW45" s="223">
        <v>1</v>
      </c>
      <c r="AX45" s="223">
        <v>1</v>
      </c>
      <c r="AY45" s="223">
        <v>1</v>
      </c>
      <c r="AZ45" s="223">
        <v>1</v>
      </c>
      <c r="BA45" s="223">
        <v>1</v>
      </c>
      <c r="BB45" s="223">
        <v>1</v>
      </c>
      <c r="BC45" s="223">
        <v>1</v>
      </c>
      <c r="BD45" s="223">
        <v>1</v>
      </c>
      <c r="BE45" s="223">
        <v>1</v>
      </c>
      <c r="BF45" s="223">
        <v>1</v>
      </c>
      <c r="BG45" s="223">
        <v>1</v>
      </c>
      <c r="BH45" s="223">
        <v>1</v>
      </c>
      <c r="BI45" s="223">
        <v>1</v>
      </c>
      <c r="BJ45" s="223">
        <v>1</v>
      </c>
      <c r="BK45" s="223">
        <v>1</v>
      </c>
      <c r="BL45" s="230">
        <v>1</v>
      </c>
      <c r="BM45" s="223">
        <v>1</v>
      </c>
      <c r="BN45" s="223">
        <v>1</v>
      </c>
      <c r="BO45" s="223">
        <v>1</v>
      </c>
      <c r="BP45" s="223">
        <v>1</v>
      </c>
      <c r="BQ45" s="223">
        <v>1</v>
      </c>
      <c r="BR45" s="223">
        <v>1</v>
      </c>
      <c r="BS45" s="223">
        <v>1</v>
      </c>
      <c r="BT45" s="223">
        <v>1</v>
      </c>
      <c r="BU45" s="223">
        <v>1</v>
      </c>
      <c r="BV45" s="223">
        <v>1</v>
      </c>
      <c r="BW45" s="223">
        <v>1</v>
      </c>
      <c r="BX45" s="223">
        <f t="shared" si="6"/>
        <v>1</v>
      </c>
    </row>
    <row r="46" spans="1:77" s="123" customFormat="1" ht="18" customHeight="1">
      <c r="A46" s="29">
        <v>39</v>
      </c>
      <c r="B46" s="29"/>
      <c r="C46" s="117" t="s">
        <v>257</v>
      </c>
      <c r="D46" s="118"/>
      <c r="E46" s="119" t="s">
        <v>54</v>
      </c>
      <c r="F46" s="118"/>
      <c r="G46" s="120"/>
      <c r="H46" s="117"/>
      <c r="I46" s="321"/>
      <c r="J46" s="321">
        <f>SUMIFS('POR Control Log-income'!L:L,'POR Control Log-income'!F:F,본공사입.출고현황!B46)</f>
        <v>0</v>
      </c>
      <c r="K46" s="321"/>
      <c r="L46" s="326"/>
      <c r="M46" s="326">
        <f>SUMIFS('POR Control Log-income'!L:L,'POR Control Log-income'!F:F,본공사입.출고현황!B46)</f>
        <v>0</v>
      </c>
      <c r="N46" s="331">
        <f t="shared" si="4"/>
        <v>0</v>
      </c>
      <c r="O46" s="332"/>
      <c r="P46" s="325"/>
      <c r="Q46" s="326"/>
      <c r="R46" s="326"/>
      <c r="S46" s="321"/>
      <c r="T46" s="122"/>
      <c r="X46" s="31"/>
      <c r="Y46" s="31"/>
      <c r="Z46" s="137"/>
      <c r="AC46" s="139"/>
      <c r="AD46" s="139"/>
      <c r="AE46" s="139"/>
      <c r="AG46" s="143">
        <f t="shared" si="5"/>
        <v>0</v>
      </c>
      <c r="AI46" s="225"/>
      <c r="AJ46" s="223"/>
      <c r="AK46" s="225"/>
      <c r="AL46" s="223"/>
      <c r="AM46" s="223">
        <v>0</v>
      </c>
      <c r="AN46" s="223">
        <v>0</v>
      </c>
      <c r="AO46" s="223">
        <v>0</v>
      </c>
      <c r="AP46" s="223">
        <v>0</v>
      </c>
      <c r="AQ46" s="223">
        <v>0</v>
      </c>
      <c r="AR46" s="223"/>
      <c r="AS46" s="223">
        <v>0</v>
      </c>
      <c r="AT46" s="223">
        <v>0</v>
      </c>
      <c r="AU46" s="223">
        <v>0</v>
      </c>
      <c r="AV46" s="223">
        <v>0</v>
      </c>
      <c r="AW46" s="223">
        <v>0</v>
      </c>
      <c r="AX46" s="223">
        <v>0</v>
      </c>
      <c r="AY46" s="223">
        <v>0</v>
      </c>
      <c r="AZ46" s="223">
        <v>0</v>
      </c>
      <c r="BA46" s="223">
        <v>0</v>
      </c>
      <c r="BB46" s="223">
        <v>0</v>
      </c>
      <c r="BC46" s="223"/>
      <c r="BD46" s="223">
        <v>0</v>
      </c>
      <c r="BE46" s="223">
        <v>0</v>
      </c>
      <c r="BF46" s="223">
        <v>0</v>
      </c>
      <c r="BG46" s="223">
        <v>0</v>
      </c>
      <c r="BH46" s="223">
        <v>0</v>
      </c>
      <c r="BI46" s="223">
        <v>0</v>
      </c>
      <c r="BJ46" s="223">
        <v>0</v>
      </c>
      <c r="BK46" s="223">
        <v>0</v>
      </c>
      <c r="BL46" s="230">
        <v>0</v>
      </c>
      <c r="BM46" s="223">
        <v>0</v>
      </c>
      <c r="BN46" s="223">
        <v>0</v>
      </c>
      <c r="BO46" s="223">
        <v>0</v>
      </c>
      <c r="BP46" s="223">
        <v>0</v>
      </c>
      <c r="BQ46" s="223">
        <v>0</v>
      </c>
      <c r="BR46" s="223">
        <v>0</v>
      </c>
      <c r="BS46" s="223">
        <v>0</v>
      </c>
      <c r="BT46" s="223">
        <v>0</v>
      </c>
      <c r="BU46" s="223">
        <v>0</v>
      </c>
      <c r="BV46" s="223">
        <v>0</v>
      </c>
      <c r="BW46" s="223"/>
      <c r="BX46" s="223">
        <f t="shared" si="6"/>
        <v>0</v>
      </c>
    </row>
    <row r="47" spans="1:77" ht="18" customHeight="1">
      <c r="A47" s="29">
        <v>40</v>
      </c>
      <c r="B47" s="29" t="s">
        <v>55</v>
      </c>
      <c r="C47" s="249">
        <v>1</v>
      </c>
      <c r="D47" s="269" t="s">
        <v>271</v>
      </c>
      <c r="E47" s="270" t="s">
        <v>56</v>
      </c>
      <c r="F47" s="269" t="s">
        <v>54</v>
      </c>
      <c r="G47" s="271" t="s">
        <v>614</v>
      </c>
      <c r="H47" s="249" t="s">
        <v>2</v>
      </c>
      <c r="I47" s="321">
        <v>156805.25</v>
      </c>
      <c r="J47" s="321">
        <f>SUMIFS('POR Control Log-income'!L:L,'POR Control Log-income'!F:F,본공사입.출고현황!B47)</f>
        <v>111445.25000000001</v>
      </c>
      <c r="K47" s="321">
        <f>I47-J47</f>
        <v>45359.999999999985</v>
      </c>
      <c r="L47" s="326"/>
      <c r="M47" s="326">
        <f>SUMIFS('POR Control Log-income'!L:L,'POR Control Log-income'!F:F,본공사입.출고현황!B47)</f>
        <v>111445.25000000001</v>
      </c>
      <c r="N47" s="331">
        <f t="shared" si="4"/>
        <v>0</v>
      </c>
      <c r="O47" s="323">
        <f>M47</f>
        <v>111445.25000000001</v>
      </c>
      <c r="P47" s="325">
        <f>SUMIFS('POR Control Log-out'!L:L,'POR Control Log-out'!D:D,본공사입.출고현황!B47)</f>
        <v>100172.6</v>
      </c>
      <c r="Q47" s="326">
        <v>800</v>
      </c>
      <c r="R47" s="326">
        <f>1796.833+20</f>
        <v>1816.8330000000001</v>
      </c>
      <c r="S47" s="321">
        <f t="shared" si="3"/>
        <v>8655.81700000001</v>
      </c>
      <c r="T47" s="128" t="s">
        <v>57</v>
      </c>
      <c r="U47" s="201" t="s">
        <v>467</v>
      </c>
      <c r="V47" s="141" t="s">
        <v>58</v>
      </c>
      <c r="W47" s="141" t="s">
        <v>59</v>
      </c>
      <c r="X47" s="10" t="s">
        <v>2</v>
      </c>
      <c r="Y47" s="29" t="s">
        <v>60</v>
      </c>
      <c r="Z47" s="54"/>
      <c r="AG47" s="143">
        <f t="shared" si="5"/>
        <v>-2473.81700000001</v>
      </c>
      <c r="AI47" s="223">
        <v>4390</v>
      </c>
      <c r="AJ47" s="223">
        <v>3239</v>
      </c>
      <c r="AK47" s="223">
        <v>3241.4</v>
      </c>
      <c r="AL47" s="223">
        <v>2608</v>
      </c>
      <c r="AM47" s="223">
        <v>1180</v>
      </c>
      <c r="AN47" s="223">
        <v>4062</v>
      </c>
      <c r="AO47" s="223">
        <v>2852</v>
      </c>
      <c r="AP47" s="223">
        <v>2002</v>
      </c>
      <c r="AQ47" s="223">
        <v>1362</v>
      </c>
      <c r="AR47" s="223">
        <v>6952.8</v>
      </c>
      <c r="AS47" s="223">
        <v>5322.8</v>
      </c>
      <c r="AT47" s="223">
        <v>4962.8</v>
      </c>
      <c r="AU47" s="223">
        <v>3612.8</v>
      </c>
      <c r="AV47" s="223">
        <v>2742.8</v>
      </c>
      <c r="AW47" s="223">
        <v>1322.8000000000002</v>
      </c>
      <c r="AX47" s="223">
        <v>6580.6</v>
      </c>
      <c r="AY47" s="223">
        <v>5680.6</v>
      </c>
      <c r="AZ47" s="223">
        <v>4980.6000000000004</v>
      </c>
      <c r="BA47" s="223">
        <v>3430.6000000000004</v>
      </c>
      <c r="BB47" s="223">
        <v>2730.6000000000004</v>
      </c>
      <c r="BC47" s="223">
        <v>6553.4000000000005</v>
      </c>
      <c r="BD47" s="223">
        <f>5710.4-500</f>
        <v>5210.3999999999996</v>
      </c>
      <c r="BE47" s="223">
        <v>5010.4000000000005</v>
      </c>
      <c r="BF47" s="223">
        <v>2090</v>
      </c>
      <c r="BG47" s="223">
        <v>1905</v>
      </c>
      <c r="BH47" s="223">
        <v>7500</v>
      </c>
      <c r="BI47" s="223">
        <v>5525</v>
      </c>
      <c r="BJ47" s="223">
        <v>4450</v>
      </c>
      <c r="BK47" s="223">
        <v>2879</v>
      </c>
      <c r="BL47" s="230">
        <v>7924</v>
      </c>
      <c r="BM47" s="223">
        <v>6182</v>
      </c>
      <c r="BN47" s="223">
        <v>4971</v>
      </c>
      <c r="BO47" s="223">
        <v>6981</v>
      </c>
      <c r="BP47" s="223">
        <v>5821</v>
      </c>
      <c r="BQ47" s="223">
        <v>2966</v>
      </c>
      <c r="BR47" s="223">
        <v>6748</v>
      </c>
      <c r="BS47" s="223">
        <v>3180</v>
      </c>
      <c r="BT47" s="223">
        <v>6280</v>
      </c>
      <c r="BU47" s="223">
        <v>4093</v>
      </c>
      <c r="BV47" s="223">
        <v>878</v>
      </c>
      <c r="BW47" s="223">
        <v>15010.217000000004</v>
      </c>
      <c r="BX47" s="223">
        <f t="shared" si="6"/>
        <v>12620.217000000004</v>
      </c>
      <c r="BY47" s="20">
        <v>2390</v>
      </c>
    </row>
    <row r="48" spans="1:77" ht="18" customHeight="1">
      <c r="A48" s="29">
        <v>41</v>
      </c>
      <c r="B48" s="29" t="s">
        <v>61</v>
      </c>
      <c r="C48" s="10">
        <v>2</v>
      </c>
      <c r="D48" s="124" t="s">
        <v>272</v>
      </c>
      <c r="E48" s="6" t="s">
        <v>62</v>
      </c>
      <c r="F48" s="124" t="s">
        <v>54</v>
      </c>
      <c r="G48" s="19" t="s">
        <v>63</v>
      </c>
      <c r="H48" s="10" t="s">
        <v>2</v>
      </c>
      <c r="I48" s="326">
        <f>1212+540+540+840</f>
        <v>3132</v>
      </c>
      <c r="J48" s="321">
        <f>SUMIFS('POR Control Log-income'!L:L,'POR Control Log-income'!F:F,본공사입.출고현황!B48)</f>
        <v>1200</v>
      </c>
      <c r="K48" s="326">
        <f>I48-J48</f>
        <v>1932</v>
      </c>
      <c r="L48" s="326"/>
      <c r="M48" s="326">
        <f>SUMIFS('POR Control Log-income'!L:L,'POR Control Log-income'!F:F,본공사입.출고현황!B48)</f>
        <v>1200</v>
      </c>
      <c r="N48" s="331">
        <f t="shared" si="4"/>
        <v>0</v>
      </c>
      <c r="O48" s="332">
        <f>M48</f>
        <v>1200</v>
      </c>
      <c r="P48" s="325">
        <f>SUMIFS('POR Control Log-out'!L:L,'POR Control Log-out'!D:D,본공사입.출고현황!B48)</f>
        <v>927</v>
      </c>
      <c r="Q48" s="326">
        <v>3.5</v>
      </c>
      <c r="R48" s="326">
        <v>19.5</v>
      </c>
      <c r="S48" s="321">
        <f t="shared" si="3"/>
        <v>250</v>
      </c>
      <c r="T48" s="125"/>
      <c r="U48" s="201" t="s">
        <v>468</v>
      </c>
      <c r="V48" s="141" t="s">
        <v>64</v>
      </c>
      <c r="W48" s="141" t="s">
        <v>65</v>
      </c>
      <c r="X48" s="10" t="s">
        <v>2</v>
      </c>
      <c r="Y48" s="29" t="s">
        <v>60</v>
      </c>
      <c r="Z48" s="54"/>
      <c r="AA48" s="20" t="s">
        <v>259</v>
      </c>
      <c r="AG48" s="143">
        <f t="shared" si="5"/>
        <v>315</v>
      </c>
      <c r="AI48" s="223">
        <v>408</v>
      </c>
      <c r="AJ48" s="223">
        <v>408</v>
      </c>
      <c r="AK48" s="223">
        <v>378</v>
      </c>
      <c r="AL48" s="223">
        <v>378</v>
      </c>
      <c r="AM48" s="223">
        <v>378</v>
      </c>
      <c r="AN48" s="223">
        <v>354</v>
      </c>
      <c r="AO48" s="223">
        <v>342</v>
      </c>
      <c r="AP48" s="223">
        <v>330</v>
      </c>
      <c r="AQ48" s="223">
        <v>312</v>
      </c>
      <c r="AR48" s="223">
        <v>240</v>
      </c>
      <c r="AS48" s="223">
        <v>240</v>
      </c>
      <c r="AT48" s="223">
        <v>228</v>
      </c>
      <c r="AU48" s="223">
        <f>228-12</f>
        <v>216</v>
      </c>
      <c r="AV48" s="223">
        <v>198</v>
      </c>
      <c r="AW48" s="223">
        <v>156</v>
      </c>
      <c r="AX48" s="223">
        <v>126</v>
      </c>
      <c r="AY48" s="223">
        <v>126</v>
      </c>
      <c r="AZ48" s="223">
        <v>126</v>
      </c>
      <c r="BA48" s="223">
        <v>114</v>
      </c>
      <c r="BB48" s="223">
        <v>90</v>
      </c>
      <c r="BC48" s="223">
        <v>78</v>
      </c>
      <c r="BD48" s="223">
        <v>618</v>
      </c>
      <c r="BE48" s="223">
        <v>612</v>
      </c>
      <c r="BF48" s="223">
        <v>576</v>
      </c>
      <c r="BG48" s="223">
        <v>576</v>
      </c>
      <c r="BH48" s="223">
        <v>576</v>
      </c>
      <c r="BI48" s="223">
        <v>572</v>
      </c>
      <c r="BJ48" s="223">
        <v>572</v>
      </c>
      <c r="BK48" s="223">
        <v>571</v>
      </c>
      <c r="BL48" s="230">
        <v>571</v>
      </c>
      <c r="BM48" s="223">
        <v>565</v>
      </c>
      <c r="BN48" s="223">
        <v>564</v>
      </c>
      <c r="BO48" s="223">
        <v>558</v>
      </c>
      <c r="BP48" s="223">
        <v>549.5</v>
      </c>
      <c r="BQ48" s="223">
        <v>549.5</v>
      </c>
      <c r="BR48" s="223">
        <v>549.5</v>
      </c>
      <c r="BS48" s="223">
        <v>549.5</v>
      </c>
      <c r="BT48" s="223">
        <v>450</v>
      </c>
      <c r="BU48" s="223">
        <v>450</v>
      </c>
      <c r="BV48" s="223">
        <v>420</v>
      </c>
      <c r="BW48" s="223">
        <v>267.02</v>
      </c>
      <c r="BX48" s="223">
        <f t="shared" si="6"/>
        <v>267.02</v>
      </c>
    </row>
    <row r="49" spans="1:76" ht="18" customHeight="1">
      <c r="A49" s="29">
        <v>42</v>
      </c>
      <c r="B49" s="29" t="s">
        <v>657</v>
      </c>
      <c r="C49" s="10">
        <v>3</v>
      </c>
      <c r="D49" s="124" t="s">
        <v>658</v>
      </c>
      <c r="E49" s="6" t="s">
        <v>668</v>
      </c>
      <c r="F49" s="124" t="s">
        <v>54</v>
      </c>
      <c r="G49" s="19" t="s">
        <v>670</v>
      </c>
      <c r="H49" s="10" t="s">
        <v>660</v>
      </c>
      <c r="I49" s="326">
        <v>10</v>
      </c>
      <c r="J49" s="326">
        <f>SUMIFS('POR Control Log-income'!L:L,'POR Control Log-income'!F:F,본공사입.출고현황!B49)</f>
        <v>1</v>
      </c>
      <c r="K49" s="326">
        <f>I49-J49</f>
        <v>9</v>
      </c>
      <c r="L49" s="326"/>
      <c r="M49" s="326">
        <f>SUMIFS('POR Control Log-income'!L:L,'POR Control Log-income'!F:F,본공사입.출고현황!B49)</f>
        <v>1</v>
      </c>
      <c r="N49" s="331">
        <f t="shared" si="4"/>
        <v>0</v>
      </c>
      <c r="O49" s="332">
        <f>M49</f>
        <v>1</v>
      </c>
      <c r="P49" s="325">
        <f>SUMIFS('POR Control Log-out'!L:L,'POR Control Log-out'!D:D,본공사입.출고현황!B49)</f>
        <v>0.8</v>
      </c>
      <c r="Q49" s="326">
        <v>0</v>
      </c>
      <c r="R49" s="326">
        <v>0</v>
      </c>
      <c r="S49" s="321">
        <f t="shared" si="3"/>
        <v>0.19999999999999996</v>
      </c>
      <c r="T49" s="125"/>
      <c r="U49" s="201"/>
      <c r="V49" s="141" t="s">
        <v>658</v>
      </c>
      <c r="W49" s="141" t="s">
        <v>672</v>
      </c>
      <c r="X49" s="10" t="s">
        <v>659</v>
      </c>
      <c r="Y49" s="29" t="s">
        <v>60</v>
      </c>
      <c r="Z49" s="54"/>
      <c r="AA49" s="20" t="s">
        <v>259</v>
      </c>
      <c r="AG49" s="143">
        <f t="shared" ref="AG49" si="10">BM49-S49</f>
        <v>-0.19999999999999996</v>
      </c>
      <c r="AI49" s="223">
        <v>408</v>
      </c>
      <c r="AJ49" s="223">
        <v>408</v>
      </c>
      <c r="AK49" s="223">
        <v>378</v>
      </c>
      <c r="AL49" s="223">
        <v>378</v>
      </c>
      <c r="AM49" s="223">
        <v>378</v>
      </c>
      <c r="AN49" s="223">
        <v>354</v>
      </c>
      <c r="AO49" s="223">
        <v>342</v>
      </c>
      <c r="AP49" s="223">
        <v>330</v>
      </c>
      <c r="AQ49" s="223">
        <v>312</v>
      </c>
      <c r="AR49" s="223">
        <v>240</v>
      </c>
      <c r="AS49" s="223">
        <v>240</v>
      </c>
      <c r="AT49" s="223">
        <v>228</v>
      </c>
      <c r="AU49" s="223">
        <f>228-12</f>
        <v>216</v>
      </c>
      <c r="AV49" s="223">
        <v>198</v>
      </c>
      <c r="AW49" s="223">
        <v>156</v>
      </c>
      <c r="AX49" s="223">
        <v>126</v>
      </c>
      <c r="AY49" s="223">
        <v>126</v>
      </c>
      <c r="AZ49" s="223">
        <v>126</v>
      </c>
      <c r="BA49" s="223">
        <v>114</v>
      </c>
      <c r="BB49" s="223">
        <v>90</v>
      </c>
      <c r="BC49" s="223">
        <v>78</v>
      </c>
      <c r="BD49" s="223"/>
      <c r="BE49" s="223"/>
      <c r="BF49" s="223"/>
      <c r="BG49" s="223"/>
      <c r="BH49" s="223"/>
      <c r="BI49" s="223"/>
      <c r="BJ49" s="223"/>
      <c r="BK49" s="223"/>
      <c r="BL49" s="230"/>
      <c r="BM49" s="223"/>
      <c r="BN49" s="223"/>
      <c r="BO49" s="223"/>
      <c r="BP49" s="223"/>
      <c r="BQ49" s="223"/>
      <c r="BR49" s="223"/>
      <c r="BS49" s="223"/>
      <c r="BT49" s="223"/>
      <c r="BU49" s="223"/>
      <c r="BV49" s="223"/>
      <c r="BW49" s="223">
        <v>1</v>
      </c>
      <c r="BX49" s="223">
        <f t="shared" si="6"/>
        <v>1</v>
      </c>
    </row>
    <row r="50" spans="1:76" ht="18" customHeight="1">
      <c r="A50" s="29">
        <v>42</v>
      </c>
      <c r="B50" s="29" t="s">
        <v>664</v>
      </c>
      <c r="C50" s="10">
        <v>4</v>
      </c>
      <c r="D50" s="124" t="s">
        <v>658</v>
      </c>
      <c r="E50" s="6" t="s">
        <v>663</v>
      </c>
      <c r="F50" s="124" t="s">
        <v>54</v>
      </c>
      <c r="G50" s="19" t="s">
        <v>671</v>
      </c>
      <c r="H50" s="10" t="s">
        <v>660</v>
      </c>
      <c r="I50" s="326">
        <v>1</v>
      </c>
      <c r="J50" s="326">
        <f>SUMIFS('POR Control Log-income'!L:L,'POR Control Log-income'!F:F,본공사입.출고현황!B50)</f>
        <v>1</v>
      </c>
      <c r="K50" s="326">
        <f>I50-J50</f>
        <v>0</v>
      </c>
      <c r="L50" s="326"/>
      <c r="M50" s="326">
        <f>SUMIFS('POR Control Log-income'!L:L,'POR Control Log-income'!F:F,본공사입.출고현황!B50)</f>
        <v>1</v>
      </c>
      <c r="N50" s="331">
        <f t="shared" si="4"/>
        <v>0</v>
      </c>
      <c r="O50" s="332">
        <f>M50</f>
        <v>1</v>
      </c>
      <c r="P50" s="325">
        <f>SUMIFS('POR Control Log-out'!L:L,'POR Control Log-out'!D:D,본공사입.출고현황!B50)</f>
        <v>0</v>
      </c>
      <c r="Q50" s="326">
        <v>0</v>
      </c>
      <c r="R50" s="326">
        <v>0</v>
      </c>
      <c r="S50" s="321">
        <f t="shared" si="3"/>
        <v>1</v>
      </c>
      <c r="T50" s="125"/>
      <c r="U50" s="201"/>
      <c r="V50" s="141" t="s">
        <v>658</v>
      </c>
      <c r="W50" s="141" t="s">
        <v>673</v>
      </c>
      <c r="X50" s="10" t="s">
        <v>659</v>
      </c>
      <c r="Y50" s="29" t="s">
        <v>60</v>
      </c>
      <c r="Z50" s="54"/>
      <c r="AA50" s="20" t="s">
        <v>259</v>
      </c>
      <c r="AG50" s="143">
        <f t="shared" ref="AG50" si="11">BM50-S50</f>
        <v>-1</v>
      </c>
      <c r="AI50" s="223">
        <v>408</v>
      </c>
      <c r="AJ50" s="223">
        <v>408</v>
      </c>
      <c r="AK50" s="223">
        <v>378</v>
      </c>
      <c r="AL50" s="223">
        <v>378</v>
      </c>
      <c r="AM50" s="223">
        <v>378</v>
      </c>
      <c r="AN50" s="223">
        <v>354</v>
      </c>
      <c r="AO50" s="223">
        <v>342</v>
      </c>
      <c r="AP50" s="223">
        <v>330</v>
      </c>
      <c r="AQ50" s="223">
        <v>312</v>
      </c>
      <c r="AR50" s="223">
        <v>240</v>
      </c>
      <c r="AS50" s="223">
        <v>240</v>
      </c>
      <c r="AT50" s="223">
        <v>228</v>
      </c>
      <c r="AU50" s="223">
        <f>228-12</f>
        <v>216</v>
      </c>
      <c r="AV50" s="223">
        <v>198</v>
      </c>
      <c r="AW50" s="223">
        <v>156</v>
      </c>
      <c r="AX50" s="223">
        <v>126</v>
      </c>
      <c r="AY50" s="223">
        <v>126</v>
      </c>
      <c r="AZ50" s="223">
        <v>126</v>
      </c>
      <c r="BA50" s="223">
        <v>114</v>
      </c>
      <c r="BB50" s="223">
        <v>90</v>
      </c>
      <c r="BC50" s="223">
        <v>78</v>
      </c>
      <c r="BD50" s="223"/>
      <c r="BE50" s="223"/>
      <c r="BF50" s="223"/>
      <c r="BG50" s="223"/>
      <c r="BH50" s="223"/>
      <c r="BI50" s="223"/>
      <c r="BJ50" s="223"/>
      <c r="BK50" s="223"/>
      <c r="BL50" s="230"/>
      <c r="BM50" s="223"/>
      <c r="BN50" s="223"/>
      <c r="BO50" s="223"/>
      <c r="BP50" s="223"/>
      <c r="BQ50" s="223"/>
      <c r="BR50" s="223"/>
      <c r="BS50" s="223"/>
      <c r="BT50" s="223"/>
      <c r="BU50" s="223"/>
      <c r="BV50" s="223"/>
      <c r="BW50" s="223">
        <v>1</v>
      </c>
      <c r="BX50" s="223">
        <f t="shared" si="6"/>
        <v>1</v>
      </c>
    </row>
    <row r="51" spans="1:76">
      <c r="P51" s="34" t="s">
        <v>636</v>
      </c>
      <c r="AG51" s="202">
        <f t="shared" ref="AG51" si="12">BB51-S51</f>
        <v>0</v>
      </c>
    </row>
    <row r="52" spans="1:76">
      <c r="B52" s="29">
        <v>1</v>
      </c>
      <c r="C52" s="29">
        <v>2</v>
      </c>
      <c r="D52" s="29">
        <v>3</v>
      </c>
      <c r="E52" s="29">
        <v>4</v>
      </c>
      <c r="F52" s="29">
        <v>5</v>
      </c>
      <c r="G52" s="29">
        <v>6</v>
      </c>
      <c r="H52" s="29">
        <v>7</v>
      </c>
      <c r="I52" s="29">
        <v>8</v>
      </c>
      <c r="J52" s="29">
        <v>9</v>
      </c>
      <c r="K52" s="29">
        <v>10</v>
      </c>
      <c r="L52" s="29">
        <v>11</v>
      </c>
      <c r="M52" s="29">
        <v>12</v>
      </c>
      <c r="N52" s="29">
        <v>13</v>
      </c>
      <c r="O52" s="29">
        <v>14</v>
      </c>
      <c r="P52" s="29">
        <v>15</v>
      </c>
      <c r="Q52" s="29">
        <v>16</v>
      </c>
      <c r="R52" s="29">
        <v>17</v>
      </c>
      <c r="S52" s="29">
        <v>18</v>
      </c>
      <c r="T52" s="29">
        <v>19</v>
      </c>
      <c r="U52" s="29">
        <v>20</v>
      </c>
      <c r="V52" s="29">
        <v>21</v>
      </c>
      <c r="W52" s="29">
        <v>22</v>
      </c>
      <c r="X52" s="29">
        <v>23</v>
      </c>
    </row>
    <row r="54" spans="1:76">
      <c r="T54" s="34"/>
    </row>
    <row r="55" spans="1:76">
      <c r="R55" s="55"/>
      <c r="T55" s="79"/>
    </row>
    <row r="56" spans="1:76">
      <c r="R56" s="34">
        <v>9100</v>
      </c>
    </row>
    <row r="59" spans="1:76">
      <c r="F59" s="312"/>
    </row>
  </sheetData>
  <mergeCells count="10">
    <mergeCell ref="T3:T4"/>
    <mergeCell ref="X3:X4"/>
    <mergeCell ref="W3:W4"/>
    <mergeCell ref="V3:V4"/>
    <mergeCell ref="C3:C4"/>
    <mergeCell ref="D3:D4"/>
    <mergeCell ref="E3:E4"/>
    <mergeCell ref="F3:F4"/>
    <mergeCell ref="G3:G4"/>
    <mergeCell ref="H3:H4"/>
  </mergeCells>
  <phoneticPr fontId="2" type="noConversion"/>
  <printOptions horizontalCentered="1"/>
  <pageMargins left="0.39370078740157483" right="0.39370078740157483" top="0.51" bottom="0.44" header="0.15748031496062992" footer="0.15748031496062992"/>
  <pageSetup paperSize="8" scale="87" fitToHeight="0" orientation="landscape" r:id="rId1"/>
  <headerFooter>
    <oddFooter>&amp;C&amp;10&amp;P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82"/>
  <sheetViews>
    <sheetView topLeftCell="A149" zoomScale="85" zoomScaleNormal="85" workbookViewId="0">
      <selection activeCell="R13" sqref="R13"/>
    </sheetView>
  </sheetViews>
  <sheetFormatPr defaultColWidth="9" defaultRowHeight="13.8"/>
  <cols>
    <col min="1" max="1" width="6.109375" style="5" customWidth="1"/>
    <col min="2" max="2" width="7" style="8" customWidth="1"/>
    <col min="3" max="3" width="27.6640625" style="8" bestFit="1" customWidth="1"/>
    <col min="4" max="4" width="16.44140625" style="8" customWidth="1"/>
    <col min="5" max="5" width="12.6640625" style="8" customWidth="1"/>
    <col min="6" max="6" width="11.44140625" style="5" customWidth="1"/>
    <col min="7" max="7" width="14.109375" style="14" bestFit="1" customWidth="1"/>
    <col min="8" max="8" width="32.6640625" style="14" bestFit="1" customWidth="1"/>
    <col min="9" max="9" width="17.6640625" style="14" bestFit="1" customWidth="1"/>
    <col min="10" max="10" width="20.6640625" style="15" bestFit="1" customWidth="1"/>
    <col min="11" max="11" width="6.44140625" style="7" customWidth="1"/>
    <col min="12" max="12" width="11.6640625" style="38" customWidth="1"/>
    <col min="13" max="13" width="13.21875" style="5" customWidth="1"/>
    <col min="14" max="14" width="9" style="5"/>
    <col min="15" max="15" width="8.6640625" style="5" customWidth="1"/>
    <col min="16" max="16" width="10" style="5" bestFit="1" customWidth="1"/>
    <col min="17" max="16384" width="9" style="5"/>
  </cols>
  <sheetData>
    <row r="1" spans="2:13" ht="33.75" customHeight="1">
      <c r="B1" s="12" t="s">
        <v>185</v>
      </c>
      <c r="C1" s="12"/>
      <c r="D1" s="12"/>
      <c r="E1" s="12"/>
      <c r="L1" s="35"/>
    </row>
    <row r="2" spans="2:13" s="2" customFormat="1" ht="26.25" customHeight="1">
      <c r="B2" s="13" t="s">
        <v>19</v>
      </c>
      <c r="C2" s="13"/>
      <c r="D2" s="13"/>
      <c r="E2" s="13"/>
      <c r="G2" s="16"/>
      <c r="H2" s="47"/>
      <c r="I2" s="16"/>
      <c r="J2" s="47" t="s">
        <v>37</v>
      </c>
      <c r="K2" s="3"/>
      <c r="L2" s="36"/>
      <c r="M2" s="17"/>
    </row>
    <row r="3" spans="2:13" s="11" customFormat="1" ht="21.75" customHeight="1">
      <c r="B3" s="433" t="s">
        <v>4</v>
      </c>
      <c r="C3" s="433" t="s">
        <v>572</v>
      </c>
      <c r="D3" s="433" t="s">
        <v>588</v>
      </c>
      <c r="E3" s="433" t="s">
        <v>17</v>
      </c>
      <c r="F3" s="433" t="s">
        <v>5</v>
      </c>
      <c r="G3" s="433" t="s">
        <v>35</v>
      </c>
      <c r="H3" s="433" t="s">
        <v>6</v>
      </c>
      <c r="I3" s="433" t="s">
        <v>7</v>
      </c>
      <c r="J3" s="433" t="s">
        <v>8</v>
      </c>
      <c r="K3" s="433" t="s">
        <v>9</v>
      </c>
      <c r="L3" s="435" t="s">
        <v>3</v>
      </c>
      <c r="M3" s="433" t="s">
        <v>10</v>
      </c>
    </row>
    <row r="4" spans="2:13" s="11" customFormat="1" ht="21.75" customHeight="1"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6"/>
      <c r="M4" s="434"/>
    </row>
    <row r="5" spans="2:13" s="234" customFormat="1" ht="21.75" customHeight="1">
      <c r="B5" s="10"/>
      <c r="C5" s="235"/>
      <c r="D5" s="235"/>
      <c r="E5" s="235"/>
      <c r="F5" s="235" t="s">
        <v>180</v>
      </c>
      <c r="G5" s="19" t="str">
        <f>IFERROR(VLOOKUP($F5,본공사입.출고현황!$B:$H,G$182,0),0)</f>
        <v>Ground</v>
      </c>
      <c r="H5" s="19" t="str">
        <f>IFERROR(VLOOKUP($F5,본공사입.출고현황!$B:$H,H$182,0),0)</f>
        <v>Ground Cable  78SQ</v>
      </c>
      <c r="I5" s="19" t="str">
        <f>IFERROR(VLOOKUP($F5,본공사입.출고현황!$B:$H,I$182,0),0)</f>
        <v xml:space="preserve">Ground Cable </v>
      </c>
      <c r="J5" s="19" t="str">
        <f>IFERROR(VLOOKUP($F5,본공사입.출고현황!$B:$H,J$182,0),0)</f>
        <v>78SQ</v>
      </c>
      <c r="K5" s="10" t="str">
        <f>IFERROR(VLOOKUP($F5,본공사입.출고현황!$B:$H,K$182,0),0)</f>
        <v>M</v>
      </c>
      <c r="L5" s="236">
        <v>6200</v>
      </c>
      <c r="M5" s="235" t="s">
        <v>591</v>
      </c>
    </row>
    <row r="6" spans="2:13" s="234" customFormat="1" ht="21.75" customHeight="1">
      <c r="B6" s="10"/>
      <c r="C6" s="235"/>
      <c r="D6" s="235"/>
      <c r="E6" s="235"/>
      <c r="F6" s="235" t="s">
        <v>70</v>
      </c>
      <c r="G6" s="19" t="str">
        <f>IFERROR(VLOOKUP($F6,본공사입.출고현황!$B:$H,G$182,0),0)</f>
        <v>Ground</v>
      </c>
      <c r="H6" s="19" t="str">
        <f>IFERROR(VLOOKUP($F6,본공사입.출고현황!$B:$H,H$182,0),0)</f>
        <v>Ground Cable  70SQ</v>
      </c>
      <c r="I6" s="19" t="str">
        <f>IFERROR(VLOOKUP($F6,본공사입.출고현황!$B:$H,I$182,0),0)</f>
        <v xml:space="preserve">Ground Cable </v>
      </c>
      <c r="J6" s="19" t="str">
        <f>IFERROR(VLOOKUP($F6,본공사입.출고현황!$B:$H,J$182,0),0)</f>
        <v>70SQ</v>
      </c>
      <c r="K6" s="19" t="str">
        <f>IFERROR(VLOOKUP($F6,본공사입.출고현황!$B:$H,K$182,0),0)</f>
        <v>M</v>
      </c>
      <c r="L6" s="236">
        <v>0</v>
      </c>
      <c r="M6" s="235" t="s">
        <v>590</v>
      </c>
    </row>
    <row r="7" spans="2:13" s="234" customFormat="1" ht="21.75" customHeight="1">
      <c r="B7" s="10"/>
      <c r="C7" s="235"/>
      <c r="D7" s="235"/>
      <c r="E7" s="235"/>
      <c r="F7" s="235" t="s">
        <v>74</v>
      </c>
      <c r="G7" s="19" t="str">
        <f>IFERROR(VLOOKUP($F7,본공사입.출고현황!$B:$H,G$182,0),0)</f>
        <v>Ground Fitting</v>
      </c>
      <c r="H7" s="19" t="str">
        <f>IFERROR(VLOOKUP($F7,본공사입.출고현황!$B:$H,H$182,0),0)</f>
        <v>Ground TERMINAL LUG 70mm2</v>
      </c>
      <c r="I7" s="19" t="str">
        <f>IFERROR(VLOOKUP($F7,본공사입.출고현황!$B:$H,I$182,0),0)</f>
        <v>Terminal Lug</v>
      </c>
      <c r="J7" s="19" t="str">
        <f>IFERROR(VLOOKUP($F7,본공사입.출고현황!$B:$H,J$182,0),0)</f>
        <v>70mm2</v>
      </c>
      <c r="K7" s="19" t="str">
        <f>IFERROR(VLOOKUP($F7,본공사입.출고현황!$B:$H,K$182,0),0)</f>
        <v>EA</v>
      </c>
      <c r="L7" s="236">
        <v>0</v>
      </c>
      <c r="M7" s="235" t="s">
        <v>590</v>
      </c>
    </row>
    <row r="8" spans="2:13" s="234" customFormat="1" ht="21.75" customHeight="1">
      <c r="B8" s="10"/>
      <c r="C8" s="235"/>
      <c r="D8" s="235"/>
      <c r="E8" s="235"/>
      <c r="F8" s="235" t="s">
        <v>81</v>
      </c>
      <c r="G8" s="19" t="str">
        <f>IFERROR(VLOOKUP($F8,본공사입.출고현황!$B:$H,G$182,0),0)</f>
        <v>Ground</v>
      </c>
      <c r="H8" s="19" t="str">
        <f>IFERROR(VLOOKUP($F8,본공사입.출고현황!$B:$H,H$182,0),0)</f>
        <v>Cadweld Powder #90</v>
      </c>
      <c r="I8" s="19" t="str">
        <f>IFERROR(VLOOKUP($F8,본공사입.출고현황!$B:$H,I$182,0),0)</f>
        <v>Cadweld Powder</v>
      </c>
      <c r="J8" s="19" t="str">
        <f>IFERROR(VLOOKUP($F8,본공사입.출고현황!$B:$H,J$182,0),0)</f>
        <v>#90</v>
      </c>
      <c r="K8" s="19" t="str">
        <f>IFERROR(VLOOKUP($F8,본공사입.출고현황!$B:$H,K$182,0),0)</f>
        <v>EA</v>
      </c>
      <c r="L8" s="236">
        <v>0</v>
      </c>
      <c r="M8" s="235" t="s">
        <v>590</v>
      </c>
    </row>
    <row r="9" spans="2:13" s="234" customFormat="1" ht="21.75" customHeight="1">
      <c r="B9" s="10"/>
      <c r="C9" s="235"/>
      <c r="D9" s="235"/>
      <c r="E9" s="235"/>
      <c r="F9" s="235" t="s">
        <v>86</v>
      </c>
      <c r="G9" s="19" t="str">
        <f>IFERROR(VLOOKUP($F9,본공사입.출고현황!$B:$H,G$182,0),0)</f>
        <v>Ground</v>
      </c>
      <c r="H9" s="19" t="str">
        <f>IFERROR(VLOOKUP($F9,본공사입.출고현황!$B:$H,H$182,0),0)</f>
        <v>Cadweld Powder #115</v>
      </c>
      <c r="I9" s="19" t="str">
        <f>IFERROR(VLOOKUP($F9,본공사입.출고현황!$B:$H,I$182,0),0)</f>
        <v>Cadweld Powder</v>
      </c>
      <c r="J9" s="19" t="str">
        <f>IFERROR(VLOOKUP($F9,본공사입.출고현황!$B:$H,J$182,0),0)</f>
        <v>#115</v>
      </c>
      <c r="K9" s="19" t="str">
        <f>IFERROR(VLOOKUP($F9,본공사입.출고현황!$B:$H,K$182,0),0)</f>
        <v>EA</v>
      </c>
      <c r="L9" s="236">
        <v>0</v>
      </c>
      <c r="M9" s="235" t="s">
        <v>590</v>
      </c>
    </row>
    <row r="10" spans="2:13" s="234" customFormat="1" ht="21.75" customHeight="1">
      <c r="B10" s="10"/>
      <c r="C10" s="235"/>
      <c r="D10" s="235"/>
      <c r="E10" s="235"/>
      <c r="F10" s="235" t="s">
        <v>90</v>
      </c>
      <c r="G10" s="19" t="str">
        <f>IFERROR(VLOOKUP($F10,본공사입.출고현황!$B:$H,G$182,0),0)</f>
        <v>Ground</v>
      </c>
      <c r="H10" s="19" t="str">
        <f>IFERROR(VLOOKUP($F10,본공사입.출고현황!$B:$H,H$182,0),0)</f>
        <v>Cadweld Powder #150</v>
      </c>
      <c r="I10" s="19" t="str">
        <f>IFERROR(VLOOKUP($F10,본공사입.출고현황!$B:$H,I$182,0),0)</f>
        <v>Cadweld Powder</v>
      </c>
      <c r="J10" s="19" t="str">
        <f>IFERROR(VLOOKUP($F10,본공사입.출고현황!$B:$H,J$182,0),0)</f>
        <v>#150</v>
      </c>
      <c r="K10" s="19" t="str">
        <f>IFERROR(VLOOKUP($F10,본공사입.출고현황!$B:$H,K$182,0),0)</f>
        <v>EA</v>
      </c>
      <c r="L10" s="236">
        <v>0</v>
      </c>
      <c r="M10" s="235" t="s">
        <v>590</v>
      </c>
    </row>
    <row r="11" spans="2:13" s="234" customFormat="1" ht="21.75" customHeight="1">
      <c r="B11" s="10"/>
      <c r="C11" s="235"/>
      <c r="D11" s="235"/>
      <c r="E11" s="235"/>
      <c r="F11" s="235" t="s">
        <v>94</v>
      </c>
      <c r="G11" s="19" t="str">
        <f>IFERROR(VLOOKUP($F11,본공사입.출고현황!$B:$H,G$182,0),0)</f>
        <v>Ground</v>
      </c>
      <c r="H11" s="19" t="str">
        <f>IFERROR(VLOOKUP($F11,본공사입.출고현황!$B:$H,H$182,0),0)</f>
        <v>Cadweld Powder #200</v>
      </c>
      <c r="I11" s="19" t="str">
        <f>IFERROR(VLOOKUP($F11,본공사입.출고현황!$B:$H,I$182,0),0)</f>
        <v>Cadweld Powder</v>
      </c>
      <c r="J11" s="19" t="str">
        <f>IFERROR(VLOOKUP($F11,본공사입.출고현황!$B:$H,J$182,0),0)</f>
        <v>#200</v>
      </c>
      <c r="K11" s="19" t="str">
        <f>IFERROR(VLOOKUP($F11,본공사입.출고현황!$B:$H,K$182,0),0)</f>
        <v>EA</v>
      </c>
      <c r="L11" s="236">
        <v>232</v>
      </c>
      <c r="M11" s="235" t="s">
        <v>590</v>
      </c>
    </row>
    <row r="12" spans="2:13" s="234" customFormat="1" ht="21.75" customHeight="1">
      <c r="B12" s="10"/>
      <c r="C12" s="235"/>
      <c r="D12" s="235"/>
      <c r="E12" s="235"/>
      <c r="F12" s="235" t="s">
        <v>98</v>
      </c>
      <c r="G12" s="19" t="str">
        <f>IFERROR(VLOOKUP($F12,본공사입.출고현황!$B:$H,G$182,0),0)</f>
        <v>Ground</v>
      </c>
      <c r="H12" s="19" t="str">
        <f>IFERROR(VLOOKUP($F12,본공사입.출고현황!$B:$H,H$182,0),0)</f>
        <v>Cadweld XBQ-Y4Y4</v>
      </c>
      <c r="I12" s="19" t="str">
        <f>IFERROR(VLOOKUP($F12,본공사입.출고현황!$B:$H,I$182,0),0)</f>
        <v>Welding Mold</v>
      </c>
      <c r="J12" s="19" t="str">
        <f>IFERROR(VLOOKUP($F12,본공사입.출고현황!$B:$H,J$182,0),0)</f>
        <v>Cross (+)</v>
      </c>
      <c r="K12" s="19" t="str">
        <f>IFERROR(VLOOKUP($F12,본공사입.출고현황!$B:$H,K$182,0),0)</f>
        <v>EA</v>
      </c>
      <c r="L12" s="236">
        <v>0</v>
      </c>
      <c r="M12" s="235" t="s">
        <v>590</v>
      </c>
    </row>
    <row r="13" spans="2:13" s="234" customFormat="1" ht="21.75" customHeight="1">
      <c r="B13" s="10"/>
      <c r="C13" s="235"/>
      <c r="D13" s="235"/>
      <c r="E13" s="235"/>
      <c r="F13" s="235" t="s">
        <v>104</v>
      </c>
      <c r="G13" s="19" t="str">
        <f>IFERROR(VLOOKUP($F13,본공사입.출고현황!$B:$H,G$182,0),0)</f>
        <v>Ground</v>
      </c>
      <c r="H13" s="19" t="str">
        <f>IFERROR(VLOOKUP($F13,본공사입.출고현황!$B:$H,H$182,0),0)</f>
        <v>Cadweld PGC-Y4Y4</v>
      </c>
      <c r="I13" s="19" t="str">
        <f>IFERROR(VLOOKUP($F13,본공사입.출고현황!$B:$H,I$182,0),0)</f>
        <v>Welding Mold</v>
      </c>
      <c r="J13" s="19" t="str">
        <f>IFERROR(VLOOKUP($F13,본공사입.출고현황!$B:$H,J$182,0),0)</f>
        <v>Parallel (=)</v>
      </c>
      <c r="K13" s="19" t="str">
        <f>IFERROR(VLOOKUP($F13,본공사입.출고현황!$B:$H,K$182,0),0)</f>
        <v>EA</v>
      </c>
      <c r="L13" s="236">
        <v>0</v>
      </c>
      <c r="M13" s="235" t="s">
        <v>590</v>
      </c>
    </row>
    <row r="14" spans="2:13" s="234" customFormat="1" ht="21.75" customHeight="1">
      <c r="B14" s="10"/>
      <c r="C14" s="235"/>
      <c r="D14" s="235"/>
      <c r="E14" s="235"/>
      <c r="F14" s="235" t="s">
        <v>106</v>
      </c>
      <c r="G14" s="19" t="str">
        <f>IFERROR(VLOOKUP($F14,본공사입.출고현황!$B:$H,G$182,0),0)</f>
        <v>Ground</v>
      </c>
      <c r="H14" s="19" t="str">
        <f>IFERROR(VLOOKUP($F14,본공사입.출고현황!$B:$H,H$182,0),0)</f>
        <v>Cadweld TAC-Y4Y4</v>
      </c>
      <c r="I14" s="19" t="str">
        <f>IFERROR(VLOOKUP($F14,본공사입.출고현황!$B:$H,I$182,0),0)</f>
        <v>Welding Mold</v>
      </c>
      <c r="J14" s="19" t="str">
        <f>IFERROR(VLOOKUP($F14,본공사입.출고현황!$B:$H,J$182,0),0)</f>
        <v>Cross (T)</v>
      </c>
      <c r="K14" s="19" t="str">
        <f>IFERROR(VLOOKUP($F14,본공사입.출고현황!$B:$H,K$182,0),0)</f>
        <v>EA</v>
      </c>
      <c r="L14" s="236">
        <v>0</v>
      </c>
      <c r="M14" s="235" t="s">
        <v>590</v>
      </c>
    </row>
    <row r="15" spans="2:13" s="234" customFormat="1" ht="21.75" customHeight="1">
      <c r="B15" s="10"/>
      <c r="C15" s="235"/>
      <c r="D15" s="235"/>
      <c r="E15" s="235"/>
      <c r="F15" s="235" t="s">
        <v>109</v>
      </c>
      <c r="G15" s="19" t="str">
        <f>IFERROR(VLOOKUP($F15,본공사입.출고현황!$B:$H,G$182,0),0)</f>
        <v>Ground</v>
      </c>
      <c r="H15" s="19" t="str">
        <f>IFERROR(VLOOKUP($F15,본공사입.출고현황!$B:$H,H$182,0),0)</f>
        <v xml:space="preserve">Zinc Spray </v>
      </c>
      <c r="I15" s="19" t="str">
        <f>IFERROR(VLOOKUP($F15,본공사입.출고현황!$B:$H,I$182,0),0)</f>
        <v>Zinc Spray</v>
      </c>
      <c r="J15" s="19">
        <f>IFERROR(VLOOKUP($F15,본공사입.출고현황!$B:$H,J$182,0),0)</f>
        <v>0</v>
      </c>
      <c r="K15" s="19" t="str">
        <f>IFERROR(VLOOKUP($F15,본공사입.출고현황!$B:$H,K$182,0),0)</f>
        <v>EA</v>
      </c>
      <c r="L15" s="236">
        <v>-30</v>
      </c>
      <c r="M15" s="235" t="s">
        <v>590</v>
      </c>
    </row>
    <row r="16" spans="2:13" s="234" customFormat="1" ht="21.75" customHeight="1">
      <c r="B16" s="10"/>
      <c r="C16" s="235"/>
      <c r="D16" s="235"/>
      <c r="E16" s="235"/>
      <c r="F16" s="235" t="s">
        <v>110</v>
      </c>
      <c r="G16" s="19" t="str">
        <f>IFERROR(VLOOKUP($F16,본공사입.출고현황!$B:$H,G$182,0),0)</f>
        <v>Miscellious</v>
      </c>
      <c r="H16" s="19" t="str">
        <f>IFERROR(VLOOKUP($F16,본공사입.출고현황!$B:$H,H$182,0),0)</f>
        <v xml:space="preserve">Nicoband </v>
      </c>
      <c r="I16" s="19" t="str">
        <f>IFERROR(VLOOKUP($F16,본공사입.출고현황!$B:$H,I$182,0),0)</f>
        <v>Nicoband</v>
      </c>
      <c r="J16" s="19" t="str">
        <f>IFERROR(VLOOKUP($F16,본공사입.출고현황!$B:$H,J$182,0),0)</f>
        <v>10m x 15cm</v>
      </c>
      <c r="K16" s="19" t="str">
        <f>IFERROR(VLOOKUP($F16,본공사입.출고현황!$B:$H,K$182,0),0)</f>
        <v>EA</v>
      </c>
      <c r="L16" s="236">
        <v>0</v>
      </c>
      <c r="M16" s="235" t="s">
        <v>590</v>
      </c>
    </row>
    <row r="17" spans="2:13" s="234" customFormat="1" ht="21.75" customHeight="1">
      <c r="B17" s="10"/>
      <c r="C17" s="235"/>
      <c r="D17" s="235"/>
      <c r="E17" s="235"/>
      <c r="F17" s="235" t="s">
        <v>111</v>
      </c>
      <c r="G17" s="19" t="str">
        <f>IFERROR(VLOOKUP($F17,본공사입.출고현황!$B:$H,G$182,0),0)</f>
        <v>Ground Conduit</v>
      </c>
      <c r="H17" s="19" t="str">
        <f>IFERROR(VLOOKUP($F17,본공사입.출고현황!$B:$H,H$182,0),0)</f>
        <v>Flexible Conduit 2"</v>
      </c>
      <c r="I17" s="19" t="str">
        <f>IFERROR(VLOOKUP($F17,본공사입.출고현황!$B:$H,I$182,0),0)</f>
        <v>Ground Conduit</v>
      </c>
      <c r="J17" s="19" t="str">
        <f>IFERROR(VLOOKUP($F17,본공사입.출고현황!$B:$H,J$182,0),0)</f>
        <v>2"</v>
      </c>
      <c r="K17" s="19" t="str">
        <f>IFERROR(VLOOKUP($F17,본공사입.출고현황!$B:$H,K$182,0),0)</f>
        <v>M</v>
      </c>
      <c r="L17" s="236">
        <v>2100</v>
      </c>
      <c r="M17" s="235" t="s">
        <v>590</v>
      </c>
    </row>
    <row r="18" spans="2:13" s="234" customFormat="1" ht="21.75" customHeight="1">
      <c r="B18" s="10"/>
      <c r="C18" s="235"/>
      <c r="D18" s="235"/>
      <c r="E18" s="235"/>
      <c r="F18" s="235" t="s">
        <v>119</v>
      </c>
      <c r="G18" s="19" t="str">
        <f>IFERROR(VLOOKUP($F18,본공사입.출고현황!$B:$H,G$182,0),0)</f>
        <v>Ground</v>
      </c>
      <c r="H18" s="19" t="str">
        <f>IFERROR(VLOOKUP($F18,본공사입.출고현황!$B:$H,H$182,0),0)</f>
        <v>nVent Exothemic Welding Control Unit</v>
      </c>
      <c r="I18" s="19" t="str">
        <f>IFERROR(VLOOKUP($F18,본공사입.출고현황!$B:$H,I$182,0),0)</f>
        <v>CAD WELD GUN</v>
      </c>
      <c r="J18" s="19">
        <f>IFERROR(VLOOKUP($F18,본공사입.출고현황!$B:$H,J$182,0),0)</f>
        <v>0</v>
      </c>
      <c r="K18" s="19" t="str">
        <f>IFERROR(VLOOKUP($F18,본공사입.출고현황!$B:$H,K$182,0),0)</f>
        <v>EA</v>
      </c>
      <c r="L18" s="236">
        <v>0</v>
      </c>
      <c r="M18" s="235" t="s">
        <v>590</v>
      </c>
    </row>
    <row r="19" spans="2:13" s="234" customFormat="1" ht="21.75" customHeight="1">
      <c r="B19" s="10"/>
      <c r="C19" s="235"/>
      <c r="D19" s="235"/>
      <c r="E19" s="235"/>
      <c r="F19" s="235" t="s">
        <v>254</v>
      </c>
      <c r="G19" s="19" t="str">
        <f>IFERROR(VLOOKUP($F19,본공사입.출고현황!$B:$H,G$182,0),0)</f>
        <v>Conduit</v>
      </c>
      <c r="H19" s="19" t="str">
        <f>IFERROR(VLOOKUP($F19,본공사입.출고현황!$B:$H,H$182,0),0)</f>
        <v>Conduit (Galvanized)  Ts-100x4.5</v>
      </c>
      <c r="I19" s="19" t="str">
        <f>IFERROR(VLOOKUP($F19,본공사입.출고현황!$B:$H,I$182,0),0)</f>
        <v xml:space="preserve">Conduit (Galvanized) </v>
      </c>
      <c r="J19" s="19" t="str">
        <f>IFERROR(VLOOKUP($F19,본공사입.출고현황!$B:$H,J$182,0),0)</f>
        <v>114x4.5</v>
      </c>
      <c r="K19" s="10" t="str">
        <f>IFERROR(VLOOKUP($F19,본공사입.출고현황!$B:$H,K$182,0),0)</f>
        <v>M</v>
      </c>
      <c r="L19" s="236">
        <v>107</v>
      </c>
      <c r="M19" s="235" t="s">
        <v>590</v>
      </c>
    </row>
    <row r="20" spans="2:13" s="234" customFormat="1" ht="21.75" customHeight="1">
      <c r="B20" s="10"/>
      <c r="C20" s="235"/>
      <c r="D20" s="235"/>
      <c r="E20" s="235"/>
      <c r="F20" s="235" t="s">
        <v>128</v>
      </c>
      <c r="G20" s="19" t="str">
        <f>IFERROR(VLOOKUP($F20,본공사입.출고현황!$B:$H,G$182,0),0)</f>
        <v>Conduit</v>
      </c>
      <c r="H20" s="19" t="str">
        <f>IFERROR(VLOOKUP($F20,본공사입.출고현황!$B:$H,H$182,0),0)</f>
        <v>Conduit (Galvanized)  Ts-80x4</v>
      </c>
      <c r="I20" s="19" t="str">
        <f>IFERROR(VLOOKUP($F20,본공사입.출고현황!$B:$H,I$182,0),0)</f>
        <v xml:space="preserve">Conduit (Galvanized) </v>
      </c>
      <c r="J20" s="19" t="str">
        <f>IFERROR(VLOOKUP($F20,본공사입.출고현황!$B:$H,J$182,0),0)</f>
        <v>88x4</v>
      </c>
      <c r="K20" s="19" t="str">
        <f>IFERROR(VLOOKUP($F20,본공사입.출고현황!$B:$H,K$182,0),0)</f>
        <v>M</v>
      </c>
      <c r="L20" s="236">
        <v>-1732</v>
      </c>
      <c r="M20" s="235" t="s">
        <v>590</v>
      </c>
    </row>
    <row r="21" spans="2:13" s="234" customFormat="1" ht="21.75" customHeight="1">
      <c r="B21" s="10"/>
      <c r="C21" s="235"/>
      <c r="D21" s="235"/>
      <c r="E21" s="235"/>
      <c r="F21" s="235" t="s">
        <v>581</v>
      </c>
      <c r="G21" s="19" t="str">
        <f>IFERROR(VLOOKUP($F21,본공사입.출고현황!$B:$H,G$182,0),0)</f>
        <v>Conduit</v>
      </c>
      <c r="H21" s="19" t="str">
        <f>IFERROR(VLOOKUP($F21,본공사입.출고현황!$B:$H,H$182,0),0)</f>
        <v>Conduit 159x4.5</v>
      </c>
      <c r="I21" s="19" t="str">
        <f>IFERROR(VLOOKUP($F21,본공사입.출고현황!$B:$H,I$182,0),0)</f>
        <v>Conduit</v>
      </c>
      <c r="J21" s="19" t="str">
        <f>IFERROR(VLOOKUP($F21,본공사입.출고현황!$B:$H,J$182,0),0)</f>
        <v>159x6.0</v>
      </c>
      <c r="K21" s="19" t="str">
        <f>IFERROR(VLOOKUP($F21,본공사입.출고현황!$B:$H,K$182,0),0)</f>
        <v>M</v>
      </c>
      <c r="L21" s="236">
        <v>0</v>
      </c>
      <c r="M21" s="235" t="s">
        <v>590</v>
      </c>
    </row>
    <row r="22" spans="2:13" s="234" customFormat="1" ht="21.75" customHeight="1">
      <c r="B22" s="10"/>
      <c r="C22" s="235"/>
      <c r="D22" s="235"/>
      <c r="E22" s="235"/>
      <c r="F22" s="235" t="s">
        <v>135</v>
      </c>
      <c r="G22" s="19" t="str">
        <f>IFERROR(VLOOKUP($F22,본공사입.출고현황!$B:$H,G$182,0),0)</f>
        <v>Conduit</v>
      </c>
      <c r="H22" s="19" t="str">
        <f>IFERROR(VLOOKUP($F22,본공사입.출고현황!$B:$H,H$182,0),0)</f>
        <v>Conduit 159x4.5</v>
      </c>
      <c r="I22" s="19" t="str">
        <f>IFERROR(VLOOKUP($F22,본공사입.출고현황!$B:$H,I$182,0),0)</f>
        <v>Conduit</v>
      </c>
      <c r="J22" s="19" t="str">
        <f>IFERROR(VLOOKUP($F22,본공사입.출고현황!$B:$H,J$182,0),0)</f>
        <v>159x4.5</v>
      </c>
      <c r="K22" s="19" t="str">
        <f>IFERROR(VLOOKUP($F22,본공사입.출고현황!$B:$H,K$182,0),0)</f>
        <v>M</v>
      </c>
      <c r="L22" s="236">
        <v>80.319999999999936</v>
      </c>
      <c r="M22" s="235" t="s">
        <v>590</v>
      </c>
    </row>
    <row r="23" spans="2:13" s="234" customFormat="1" ht="21.75" customHeight="1">
      <c r="B23" s="10"/>
      <c r="C23" s="235"/>
      <c r="D23" s="235"/>
      <c r="E23" s="235"/>
      <c r="F23" s="235" t="s">
        <v>137</v>
      </c>
      <c r="G23" s="19" t="str">
        <f>IFERROR(VLOOKUP($F23,본공사입.출고현황!$B:$H,G$182,0),0)</f>
        <v>Conduit</v>
      </c>
      <c r="H23" s="19" t="str">
        <f>IFERROR(VLOOKUP($F23,본공사입.출고현황!$B:$H,H$182,0),0)</f>
        <v>Conduit (Galvanized) 140x5</v>
      </c>
      <c r="I23" s="19" t="str">
        <f>IFERROR(VLOOKUP($F23,본공사입.출고현황!$B:$H,I$182,0),0)</f>
        <v xml:space="preserve">Conduit (Galvanized) </v>
      </c>
      <c r="J23" s="19" t="str">
        <f>IFERROR(VLOOKUP($F23,본공사입.출고현황!$B:$H,J$182,0),0)</f>
        <v>140x5</v>
      </c>
      <c r="K23" s="19" t="str">
        <f>IFERROR(VLOOKUP($F23,본공사입.출고현황!$B:$H,K$182,0),0)</f>
        <v>M</v>
      </c>
      <c r="L23" s="236">
        <v>0</v>
      </c>
      <c r="M23" s="235" t="s">
        <v>590</v>
      </c>
    </row>
    <row r="24" spans="2:13" s="234" customFormat="1" ht="21.75" customHeight="1">
      <c r="B24" s="10"/>
      <c r="C24" s="235"/>
      <c r="D24" s="235"/>
      <c r="E24" s="235"/>
      <c r="F24" s="235" t="s">
        <v>582</v>
      </c>
      <c r="G24" s="19" t="str">
        <f>IFERROR(VLOOKUP($F24,본공사입.출고현황!$B:$H,G$182,0),0)</f>
        <v>Conduit</v>
      </c>
      <c r="H24" s="19" t="str">
        <f>IFERROR(VLOOKUP($F24,본공사입.출고현황!$B:$H,H$182,0),0)</f>
        <v>Conduit 108x5</v>
      </c>
      <c r="I24" s="19" t="str">
        <f>IFERROR(VLOOKUP($F24,본공사입.출고현황!$B:$H,I$182,0),0)</f>
        <v>Conduit</v>
      </c>
      <c r="J24" s="19" t="str">
        <f>IFERROR(VLOOKUP($F24,본공사입.출고현황!$B:$H,J$182,0),0)</f>
        <v>108x5</v>
      </c>
      <c r="K24" s="19" t="str">
        <f>IFERROR(VLOOKUP($F24,본공사입.출고현황!$B:$H,K$182,0),0)</f>
        <v>M</v>
      </c>
      <c r="L24" s="236">
        <v>0</v>
      </c>
      <c r="M24" s="235" t="s">
        <v>590</v>
      </c>
    </row>
    <row r="25" spans="2:13" s="234" customFormat="1" ht="21.75" customHeight="1">
      <c r="B25" s="10"/>
      <c r="C25" s="235"/>
      <c r="D25" s="235"/>
      <c r="E25" s="235"/>
      <c r="F25" s="235" t="s">
        <v>140</v>
      </c>
      <c r="G25" s="19" t="str">
        <f>IFERROR(VLOOKUP($F25,본공사입.출고현황!$B:$H,G$182,0),0)</f>
        <v>Conduit</v>
      </c>
      <c r="H25" s="19" t="str">
        <f>IFERROR(VLOOKUP($F25,본공사입.출고현황!$B:$H,H$182,0),0)</f>
        <v>Conduit 108x4.0</v>
      </c>
      <c r="I25" s="19" t="str">
        <f>IFERROR(VLOOKUP($F25,본공사입.출고현황!$B:$H,I$182,0),0)</f>
        <v>Conduit</v>
      </c>
      <c r="J25" s="19" t="str">
        <f>IFERROR(VLOOKUP($F25,본공사입.출고현황!$B:$H,J$182,0),0)</f>
        <v>108x4</v>
      </c>
      <c r="K25" s="19" t="str">
        <f>IFERROR(VLOOKUP($F25,본공사입.출고현황!$B:$H,K$182,0),0)</f>
        <v>M</v>
      </c>
      <c r="L25" s="236">
        <v>-2469</v>
      </c>
      <c r="M25" s="235" t="s">
        <v>590</v>
      </c>
    </row>
    <row r="26" spans="2:13" s="234" customFormat="1" ht="21.75" customHeight="1">
      <c r="B26" s="10"/>
      <c r="C26" s="235"/>
      <c r="D26" s="235"/>
      <c r="E26" s="235"/>
      <c r="F26" s="235" t="s">
        <v>583</v>
      </c>
      <c r="G26" s="19">
        <f>IFERROR(VLOOKUP($F26,본공사입.출고현황!$B:$H,G$182,0),0)</f>
        <v>0</v>
      </c>
      <c r="H26" s="19">
        <f>IFERROR(VLOOKUP($F26,본공사입.출고현황!$B:$H,H$182,0),0)</f>
        <v>0</v>
      </c>
      <c r="I26" s="19">
        <f>IFERROR(VLOOKUP($F26,본공사입.출고현황!$B:$H,I$182,0),0)</f>
        <v>0</v>
      </c>
      <c r="J26" s="19">
        <f>IFERROR(VLOOKUP($F26,본공사입.출고현황!$B:$H,J$182,0),0)</f>
        <v>0</v>
      </c>
      <c r="K26" s="19">
        <f>IFERROR(VLOOKUP($F26,본공사입.출고현황!$B:$H,K$182,0),0)</f>
        <v>0</v>
      </c>
      <c r="L26" s="236">
        <v>0</v>
      </c>
      <c r="M26" s="235" t="s">
        <v>590</v>
      </c>
    </row>
    <row r="27" spans="2:13" s="234" customFormat="1" ht="21.75" customHeight="1">
      <c r="B27" s="10"/>
      <c r="C27" s="235"/>
      <c r="D27" s="235"/>
      <c r="E27" s="235"/>
      <c r="F27" s="235" t="s">
        <v>144</v>
      </c>
      <c r="G27" s="19" t="str">
        <f>IFERROR(VLOOKUP($F27,본공사입.출고현황!$B:$H,G$182,0),0)</f>
        <v>Conduit Fitting</v>
      </c>
      <c r="H27" s="19" t="str">
        <f>IFERROR(VLOOKUP($F27,본공사입.출고현황!$B:$H,H$182,0),0)</f>
        <v>Conduit Coupling 168x4</v>
      </c>
      <c r="I27" s="19" t="str">
        <f>IFERROR(VLOOKUP($F27,본공사입.출고현황!$B:$H,I$182,0),0)</f>
        <v>Conduit Coupling</v>
      </c>
      <c r="J27" s="19" t="str">
        <f>IFERROR(VLOOKUP($F27,본공사입.출고현황!$B:$H,J$182,0),0)</f>
        <v>168x4</v>
      </c>
      <c r="K27" s="19" t="str">
        <f>IFERROR(VLOOKUP($F27,본공사입.출고현황!$B:$H,K$182,0),0)</f>
        <v>M</v>
      </c>
      <c r="L27" s="236">
        <v>0</v>
      </c>
      <c r="M27" s="235" t="s">
        <v>590</v>
      </c>
    </row>
    <row r="28" spans="2:13" s="234" customFormat="1" ht="21.75" customHeight="1">
      <c r="B28" s="10"/>
      <c r="C28" s="235"/>
      <c r="D28" s="235"/>
      <c r="E28" s="235"/>
      <c r="F28" s="235" t="s">
        <v>149</v>
      </c>
      <c r="G28" s="19" t="str">
        <f>IFERROR(VLOOKUP($F28,본공사입.출고현황!$B:$H,G$182,0),0)</f>
        <v>Conduit Fitting</v>
      </c>
      <c r="H28" s="19" t="str">
        <f>IFERROR(VLOOKUP($F28,본공사입.출고현황!$B:$H,H$182,0),0)</f>
        <v>Conduit Coupling 168x4</v>
      </c>
      <c r="I28" s="19" t="str">
        <f>IFERROR(VLOOKUP($F28,본공사입.출고현황!$B:$H,I$182,0),0)</f>
        <v>Conduit Coupling</v>
      </c>
      <c r="J28" s="19" t="str">
        <f>IFERROR(VLOOKUP($F28,본공사입.출고현황!$B:$H,J$182,0),0)</f>
        <v>168x4</v>
      </c>
      <c r="K28" s="19" t="str">
        <f>IFERROR(VLOOKUP($F28,본공사입.출고현황!$B:$H,K$182,0),0)</f>
        <v>EA</v>
      </c>
      <c r="L28" s="236">
        <v>10</v>
      </c>
      <c r="M28" s="235" t="s">
        <v>590</v>
      </c>
    </row>
    <row r="29" spans="2:13" s="234" customFormat="1" ht="21.75" customHeight="1">
      <c r="B29" s="10"/>
      <c r="C29" s="235"/>
      <c r="D29" s="235"/>
      <c r="E29" s="235"/>
      <c r="F29" s="235" t="s">
        <v>151</v>
      </c>
      <c r="G29" s="19" t="str">
        <f>IFERROR(VLOOKUP($F29,본공사입.출고현황!$B:$H,G$182,0),0)</f>
        <v>Conduit Fitting</v>
      </c>
      <c r="H29" s="19" t="str">
        <f>IFERROR(VLOOKUP($F29,본공사입.출고현황!$B:$H,H$182,0),0)</f>
        <v>Conduit Coupling 125-Ts</v>
      </c>
      <c r="I29" s="19" t="str">
        <f>IFERROR(VLOOKUP($F29,본공사입.출고현황!$B:$H,I$182,0),0)</f>
        <v>Conduit Coupling</v>
      </c>
      <c r="J29" s="19" t="str">
        <f>IFERROR(VLOOKUP($F29,본공사입.출고현황!$B:$H,J$182,0),0)</f>
        <v>Ts-125x5</v>
      </c>
      <c r="K29" s="19" t="str">
        <f>IFERROR(VLOOKUP($F29,본공사입.출고현황!$B:$H,K$182,0),0)</f>
        <v>EA</v>
      </c>
      <c r="L29" s="236">
        <v>0</v>
      </c>
      <c r="M29" s="235" t="s">
        <v>590</v>
      </c>
    </row>
    <row r="30" spans="2:13" s="234" customFormat="1" ht="21.75" customHeight="1">
      <c r="B30" s="10"/>
      <c r="C30" s="235"/>
      <c r="D30" s="235"/>
      <c r="E30" s="235"/>
      <c r="F30" s="235" t="s">
        <v>153</v>
      </c>
      <c r="G30" s="19" t="str">
        <f>IFERROR(VLOOKUP($F30,본공사입.출고현황!$B:$H,G$182,0),0)</f>
        <v>Conduit Fitting</v>
      </c>
      <c r="H30" s="19" t="str">
        <f>IFERROR(VLOOKUP($F30,본공사입.출고현황!$B:$H,H$182,0),0)</f>
        <v>Conduit Coupling 121x5</v>
      </c>
      <c r="I30" s="19" t="str">
        <f>IFERROR(VLOOKUP($F30,본공사입.출고현황!$B:$H,I$182,0),0)</f>
        <v>Conduit Coupling</v>
      </c>
      <c r="J30" s="19" t="str">
        <f>IFERROR(VLOOKUP($F30,본공사입.출고현황!$B:$H,J$182,0),0)</f>
        <v>121x5</v>
      </c>
      <c r="K30" s="19" t="str">
        <f>IFERROR(VLOOKUP($F30,본공사입.출고현황!$B:$H,K$182,0),0)</f>
        <v>M</v>
      </c>
      <c r="L30" s="236">
        <v>0</v>
      </c>
      <c r="M30" s="235" t="s">
        <v>590</v>
      </c>
    </row>
    <row r="31" spans="2:13" s="234" customFormat="1" ht="21.75" customHeight="1">
      <c r="B31" s="10"/>
      <c r="C31" s="235"/>
      <c r="D31" s="235"/>
      <c r="E31" s="235"/>
      <c r="F31" s="235" t="s">
        <v>156</v>
      </c>
      <c r="G31" s="19" t="str">
        <f>IFERROR(VLOOKUP($F31,본공사입.출고현황!$B:$H,G$182,0),0)</f>
        <v>Conduit Fitting</v>
      </c>
      <c r="H31" s="19" t="str">
        <f>IFERROR(VLOOKUP($F31,본공사입.출고현황!$B:$H,H$182,0),0)</f>
        <v>Conduit Coupling 121x5</v>
      </c>
      <c r="I31" s="19" t="str">
        <f>IFERROR(VLOOKUP($F31,본공사입.출고현황!$B:$H,I$182,0),0)</f>
        <v>Conduit Coupling</v>
      </c>
      <c r="J31" s="19" t="str">
        <f>IFERROR(VLOOKUP($F31,본공사입.출고현황!$B:$H,J$182,0),0)</f>
        <v>121x5</v>
      </c>
      <c r="K31" s="19" t="str">
        <f>IFERROR(VLOOKUP($F31,본공사입.출고현황!$B:$H,K$182,0),0)</f>
        <v>EA</v>
      </c>
      <c r="L31" s="236">
        <v>64</v>
      </c>
      <c r="M31" s="235" t="s">
        <v>590</v>
      </c>
    </row>
    <row r="32" spans="2:13" s="234" customFormat="1" ht="21.75" customHeight="1">
      <c r="B32" s="10"/>
      <c r="C32" s="235"/>
      <c r="D32" s="235"/>
      <c r="E32" s="235"/>
      <c r="F32" s="235" t="s">
        <v>157</v>
      </c>
      <c r="G32" s="19" t="str">
        <f>IFERROR(VLOOKUP($F32,본공사입.출고현황!$B:$H,G$182,0),0)</f>
        <v>Conduit Fitting</v>
      </c>
      <c r="H32" s="19" t="str">
        <f>IFERROR(VLOOKUP($F32,본공사입.출고현황!$B:$H,H$182,0),0)</f>
        <v>Conduit Coupling 100-Ts</v>
      </c>
      <c r="I32" s="19" t="str">
        <f>IFERROR(VLOOKUP($F32,본공사입.출고현황!$B:$H,I$182,0),0)</f>
        <v>Conduit Coupling</v>
      </c>
      <c r="J32" s="19" t="str">
        <f>IFERROR(VLOOKUP($F32,본공사입.출고현황!$B:$H,J$182,0),0)</f>
        <v>100-Ts</v>
      </c>
      <c r="K32" s="19" t="str">
        <f>IFERROR(VLOOKUP($F32,본공사입.출고현황!$B:$H,K$182,0),0)</f>
        <v>EA</v>
      </c>
      <c r="L32" s="236">
        <v>0</v>
      </c>
      <c r="M32" s="235" t="s">
        <v>590</v>
      </c>
    </row>
    <row r="33" spans="1:17" s="234" customFormat="1" ht="21.75" customHeight="1">
      <c r="B33" s="10"/>
      <c r="C33" s="235"/>
      <c r="D33" s="235"/>
      <c r="E33" s="235"/>
      <c r="F33" s="235" t="s">
        <v>160</v>
      </c>
      <c r="G33" s="19" t="str">
        <f>IFERROR(VLOOKUP($F33,본공사입.출고현황!$B:$H,G$182,0),0)</f>
        <v>Conduit Fitting</v>
      </c>
      <c r="H33" s="19" t="str">
        <f>IFERROR(VLOOKUP($F33,본공사입.출고현황!$B:$H,H$182,0),0)</f>
        <v>Conduit Coupling 80-Ts</v>
      </c>
      <c r="I33" s="19" t="str">
        <f>IFERROR(VLOOKUP($F33,본공사입.출고현황!$B:$H,I$182,0),0)</f>
        <v>Conduit Coupling</v>
      </c>
      <c r="J33" s="19" t="str">
        <f>IFERROR(VLOOKUP($F33,본공사입.출고현황!$B:$H,J$182,0),0)</f>
        <v>80-Ts</v>
      </c>
      <c r="K33" s="19" t="str">
        <f>IFERROR(VLOOKUP($F33,본공사입.출고현황!$B:$H,K$182,0),0)</f>
        <v>EA</v>
      </c>
      <c r="L33" s="236">
        <v>-18</v>
      </c>
      <c r="M33" s="235" t="s">
        <v>590</v>
      </c>
    </row>
    <row r="34" spans="1:17" s="234" customFormat="1" ht="21.75" customHeight="1">
      <c r="B34" s="10"/>
      <c r="C34" s="235"/>
      <c r="D34" s="235"/>
      <c r="E34" s="235"/>
      <c r="F34" s="235" t="s">
        <v>165</v>
      </c>
      <c r="G34" s="19" t="str">
        <f>IFERROR(VLOOKUP($F34,본공사입.출고현황!$B:$H,G$182,0),0)</f>
        <v>Sup't</v>
      </c>
      <c r="H34" s="19" t="str">
        <f>IFERROR(VLOOKUP($F34,본공사입.출고현황!$B:$H,H$182,0),0)</f>
        <v>Angle 70x70x7</v>
      </c>
      <c r="I34" s="19" t="str">
        <f>IFERROR(VLOOKUP($F34,본공사입.출고현황!$B:$H,I$182,0),0)</f>
        <v>Angle</v>
      </c>
      <c r="J34" s="19" t="str">
        <f>IFERROR(VLOOKUP($F34,본공사입.출고현황!$B:$H,J$182,0),0)</f>
        <v>70*70*7</v>
      </c>
      <c r="K34" s="19" t="str">
        <f>IFERROR(VLOOKUP($F34,본공사입.출고현황!$B:$H,K$182,0),0)</f>
        <v>M</v>
      </c>
      <c r="L34" s="236">
        <v>-40</v>
      </c>
      <c r="M34" s="235" t="s">
        <v>590</v>
      </c>
    </row>
    <row r="35" spans="1:17" s="234" customFormat="1" ht="21.75" customHeight="1">
      <c r="B35" s="10"/>
      <c r="C35" s="235"/>
      <c r="D35" s="235"/>
      <c r="E35" s="235"/>
      <c r="F35" s="235" t="s">
        <v>168</v>
      </c>
      <c r="G35" s="19" t="str">
        <f>IFERROR(VLOOKUP($F35,본공사입.출고현황!$B:$H,G$182,0),0)</f>
        <v>Sup't</v>
      </c>
      <c r="H35" s="19" t="str">
        <f>IFERROR(VLOOKUP($F35,본공사입.출고현황!$B:$H,H$182,0),0)</f>
        <v>Angle 75x75x5</v>
      </c>
      <c r="I35" s="19" t="str">
        <f>IFERROR(VLOOKUP($F35,본공사입.출고현황!$B:$H,I$182,0),0)</f>
        <v>Angle</v>
      </c>
      <c r="J35" s="19" t="str">
        <f>IFERROR(VLOOKUP($F35,본공사입.출고현황!$B:$H,J$182,0),0)</f>
        <v>75x75x5</v>
      </c>
      <c r="K35" s="19" t="str">
        <f>IFERROR(VLOOKUP($F35,본공사입.출고현황!$B:$H,K$182,0),0)</f>
        <v>M</v>
      </c>
      <c r="L35" s="236">
        <v>-104</v>
      </c>
      <c r="M35" s="235" t="s">
        <v>590</v>
      </c>
    </row>
    <row r="36" spans="1:17" s="234" customFormat="1" ht="21.75" customHeight="1">
      <c r="B36" s="10"/>
      <c r="C36" s="235"/>
      <c r="D36" s="235"/>
      <c r="E36" s="235"/>
      <c r="F36" s="235" t="s">
        <v>175</v>
      </c>
      <c r="G36" s="19" t="str">
        <f>IFERROR(VLOOKUP($F36,본공사입.출고현황!$B:$H,G$182,0),0)</f>
        <v>Paint</v>
      </c>
      <c r="H36" s="19" t="str">
        <f>IFERROR(VLOOKUP($F36,본공사입.출고현황!$B:$H,H$182,0),0)</f>
        <v>JOTUN Pipe Top-coated Paint</v>
      </c>
      <c r="I36" s="19" t="str">
        <f>IFERROR(VLOOKUP($F36,본공사입.출고현황!$B:$H,I$182,0),0)</f>
        <v>Paint</v>
      </c>
      <c r="J36" s="19" t="str">
        <f>IFERROR(VLOOKUP($F36,본공사입.출고현황!$B:$H,J$182,0),0)</f>
        <v>20L</v>
      </c>
      <c r="K36" s="19" t="str">
        <f>IFERROR(VLOOKUP($F36,본공사입.출고현황!$B:$H,K$182,0),0)</f>
        <v>CAN</v>
      </c>
      <c r="L36" s="236">
        <v>0</v>
      </c>
      <c r="M36" s="235" t="s">
        <v>590</v>
      </c>
    </row>
    <row r="37" spans="1:17" s="234" customFormat="1" ht="21.75" customHeight="1">
      <c r="B37" s="10"/>
      <c r="C37" s="235"/>
      <c r="D37" s="235"/>
      <c r="E37" s="235"/>
      <c r="F37" s="235" t="s">
        <v>238</v>
      </c>
      <c r="G37" s="19" t="str">
        <f>IFERROR(VLOOKUP($F37,본공사입.출고현황!$B:$H,G$182,0),0)</f>
        <v>Steel round bar</v>
      </c>
      <c r="H37" s="19" t="s">
        <v>604</v>
      </c>
      <c r="I37" s="19" t="str">
        <f>IFERROR(VLOOKUP($F37,본공사입.출고현황!$B:$H,I$182,0),0)</f>
        <v>CCGG</v>
      </c>
      <c r="J37" s="19" t="str">
        <f>IFERROR(VLOOKUP($F37,본공사입.출고현황!$B:$H,J$182,0),0)</f>
        <v>ф10, 1ton=1,620.7m</v>
      </c>
      <c r="K37" s="41" t="str">
        <f>IFERROR(VLOOKUP($F37,본공사입.출고현황!$B:$H,K$182,0),0)</f>
        <v>M</v>
      </c>
      <c r="L37" s="246">
        <v>4755.5999999999985</v>
      </c>
      <c r="M37" s="235" t="s">
        <v>590</v>
      </c>
      <c r="P37" s="313">
        <v>12893.599999999991</v>
      </c>
      <c r="Q37" s="313">
        <f>L37-P37</f>
        <v>-8137.9999999999927</v>
      </c>
    </row>
    <row r="38" spans="1:17" s="234" customFormat="1" ht="21.75" customHeight="1">
      <c r="B38" s="10"/>
      <c r="C38" s="235"/>
      <c r="D38" s="235"/>
      <c r="E38" s="235"/>
      <c r="F38" s="235" t="s">
        <v>61</v>
      </c>
      <c r="G38" s="19" t="str">
        <f>IFERROR(VLOOKUP($F38,본공사입.출고현황!$B:$H,G$182,0),0)</f>
        <v>Angle</v>
      </c>
      <c r="H38" s="19" t="s">
        <v>531</v>
      </c>
      <c r="I38" s="19" t="str">
        <f>IFERROR(VLOOKUP($F38,본공사입.출고현황!$B:$H,I$182,0),0)</f>
        <v>CCGG</v>
      </c>
      <c r="J38" s="19" t="str">
        <f>IFERROR(VLOOKUP($F38,본공사입.출고현황!$B:$H,J$182,0),0)</f>
        <v>100x100x10 (12m)</v>
      </c>
      <c r="K38" s="41" t="str">
        <f>IFERROR(VLOOKUP($F38,본공사입.출고현황!$B:$H,K$182,0),0)</f>
        <v>M</v>
      </c>
      <c r="L38" s="236"/>
      <c r="M38" s="235" t="s">
        <v>590</v>
      </c>
    </row>
    <row r="39" spans="1:17" s="131" customFormat="1" ht="24" customHeight="1">
      <c r="A39" s="29">
        <v>1</v>
      </c>
      <c r="B39" s="10">
        <v>1</v>
      </c>
      <c r="C39" s="10" t="s">
        <v>599</v>
      </c>
      <c r="D39" s="10"/>
      <c r="E39" s="129">
        <v>45340</v>
      </c>
      <c r="F39" s="10" t="s">
        <v>140</v>
      </c>
      <c r="G39" s="19" t="str">
        <f>IFERROR(VLOOKUP($F39,본공사입.출고현황!$B:$H,G$182,0),0)</f>
        <v>Conduit</v>
      </c>
      <c r="H39" s="19" t="str">
        <f>IFERROR(VLOOKUP($F39,본공사입.출고현황!$B:$H,H$182,0),0)</f>
        <v>Conduit 108x4.0</v>
      </c>
      <c r="I39" s="19" t="str">
        <f>IFERROR(VLOOKUP($F39,본공사입.출고현황!$B:$H,I$182,0),0)</f>
        <v>Conduit</v>
      </c>
      <c r="J39" s="19" t="str">
        <f>IFERROR(VLOOKUP($F39,본공사입.출고현황!$B:$H,J$182,0),0)</f>
        <v>108x4</v>
      </c>
      <c r="K39" s="10" t="str">
        <f>IFERROR(VLOOKUP($F39,본공사입.출고현황!$B:$H,K$182,0),0)</f>
        <v>M</v>
      </c>
      <c r="L39" s="126">
        <v>2635.22</v>
      </c>
      <c r="M39" s="130"/>
    </row>
    <row r="40" spans="1:17" s="131" customFormat="1" ht="24" customHeight="1">
      <c r="A40" s="29">
        <v>2</v>
      </c>
      <c r="B40" s="10">
        <v>2</v>
      </c>
      <c r="C40" s="10" t="s">
        <v>598</v>
      </c>
      <c r="D40" s="10"/>
      <c r="E40" s="129">
        <v>45340</v>
      </c>
      <c r="F40" s="10" t="s">
        <v>135</v>
      </c>
      <c r="G40" s="19" t="str">
        <f>IFERROR(VLOOKUP($F40,본공사입.출고현황!$B:$H,G$182,0),0)</f>
        <v>Conduit</v>
      </c>
      <c r="H40" s="19" t="str">
        <f>IFERROR(VLOOKUP($F40,본공사입.출고현황!$B:$H,H$182,0),0)</f>
        <v>Conduit 159x4.5</v>
      </c>
      <c r="I40" s="19" t="str">
        <f>IFERROR(VLOOKUP($F40,본공사입.출고현황!$B:$H,I$182,0),0)</f>
        <v>Conduit</v>
      </c>
      <c r="J40" s="19" t="str">
        <f>IFERROR(VLOOKUP($F40,본공사입.출고현황!$B:$H,J$182,0),0)</f>
        <v>159x4.5</v>
      </c>
      <c r="K40" s="10" t="str">
        <f>IFERROR(VLOOKUP($F40,본공사입.출고현황!$B:$H,K$182,0),0)</f>
        <v>M</v>
      </c>
      <c r="L40" s="126">
        <v>596.30999999999995</v>
      </c>
      <c r="M40" s="130"/>
    </row>
    <row r="41" spans="1:17" s="131" customFormat="1" ht="24" customHeight="1">
      <c r="A41" s="29">
        <v>3</v>
      </c>
      <c r="B41" s="10">
        <v>3</v>
      </c>
      <c r="C41" s="10" t="s">
        <v>598</v>
      </c>
      <c r="D41" s="10"/>
      <c r="E41" s="129">
        <v>45340</v>
      </c>
      <c r="F41" s="10" t="s">
        <v>153</v>
      </c>
      <c r="G41" s="19" t="str">
        <f>IFERROR(VLOOKUP($F41,본공사입.출고현황!$B:$H,G$182,0),0)</f>
        <v>Conduit Fitting</v>
      </c>
      <c r="H41" s="19" t="str">
        <f>IFERROR(VLOOKUP($F41,본공사입.출고현황!$B:$H,H$182,0),0)</f>
        <v>Conduit Coupling 121x5</v>
      </c>
      <c r="I41" s="19" t="str">
        <f>IFERROR(VLOOKUP($F41,본공사입.출고현황!$B:$H,I$182,0),0)</f>
        <v>Conduit Coupling</v>
      </c>
      <c r="J41" s="19" t="str">
        <f>IFERROR(VLOOKUP($F41,본공사입.출고현황!$B:$H,J$182,0),0)</f>
        <v>121x5</v>
      </c>
      <c r="K41" s="10" t="str">
        <f>IFERROR(VLOOKUP($F41,본공사입.출고현황!$B:$H,K$182,0),0)</f>
        <v>M</v>
      </c>
      <c r="L41" s="126">
        <v>17.12</v>
      </c>
      <c r="M41" s="130"/>
    </row>
    <row r="42" spans="1:17" s="131" customFormat="1" ht="24" customHeight="1">
      <c r="A42" s="29">
        <v>4</v>
      </c>
      <c r="B42" s="10">
        <v>4</v>
      </c>
      <c r="C42" s="10" t="s">
        <v>598</v>
      </c>
      <c r="D42" s="10"/>
      <c r="E42" s="129">
        <v>45340</v>
      </c>
      <c r="F42" s="10" t="s">
        <v>144</v>
      </c>
      <c r="G42" s="19" t="str">
        <f>IFERROR(VLOOKUP($F42,본공사입.출고현황!$B:$H,G$182,0),0)</f>
        <v>Conduit Fitting</v>
      </c>
      <c r="H42" s="19" t="str">
        <f>IFERROR(VLOOKUP($F42,본공사입.출고현황!$B:$H,H$182,0),0)</f>
        <v>Conduit Coupling 168x4</v>
      </c>
      <c r="I42" s="19" t="str">
        <f>IFERROR(VLOOKUP($F42,본공사입.출고현황!$B:$H,I$182,0),0)</f>
        <v>Conduit Coupling</v>
      </c>
      <c r="J42" s="19" t="str">
        <f>IFERROR(VLOOKUP($F42,본공사입.출고현황!$B:$H,J$182,0),0)</f>
        <v>168x4</v>
      </c>
      <c r="K42" s="10" t="str">
        <f>IFERROR(VLOOKUP($F42,본공사입.출고현황!$B:$H,K$182,0),0)</f>
        <v>M</v>
      </c>
      <c r="L42" s="126">
        <v>20</v>
      </c>
      <c r="M42" s="130"/>
    </row>
    <row r="43" spans="1:17" s="131" customFormat="1" ht="24" customHeight="1">
      <c r="A43" s="29">
        <v>5</v>
      </c>
      <c r="B43" s="10">
        <v>5</v>
      </c>
      <c r="C43" s="10" t="s">
        <v>598</v>
      </c>
      <c r="D43" s="10"/>
      <c r="E43" s="129">
        <v>45340</v>
      </c>
      <c r="F43" s="10" t="s">
        <v>162</v>
      </c>
      <c r="G43" s="19" t="str">
        <f>IFERROR(VLOOKUP($F43,본공사입.출고현황!$B:$H,G$182,0),0)</f>
        <v>Sup't</v>
      </c>
      <c r="H43" s="19" t="str">
        <f>IFERROR(VLOOKUP($F43,본공사입.출고현황!$B:$H,H$182,0),0)</f>
        <v>Angle 50x50x5</v>
      </c>
      <c r="I43" s="19" t="str">
        <f>IFERROR(VLOOKUP($F43,본공사입.출고현황!$B:$H,I$182,0),0)</f>
        <v>Angle</v>
      </c>
      <c r="J43" s="19" t="str">
        <f>IFERROR(VLOOKUP($F43,본공사입.출고현황!$B:$H,J$182,0),0)</f>
        <v>50*50*5</v>
      </c>
      <c r="K43" s="10" t="str">
        <f>IFERROR(VLOOKUP($F43,본공사입.출고현황!$B:$H,K$182,0),0)</f>
        <v>M</v>
      </c>
      <c r="L43" s="126">
        <v>200</v>
      </c>
      <c r="M43" s="130"/>
    </row>
    <row r="44" spans="1:17" s="131" customFormat="1" ht="24" customHeight="1">
      <c r="A44" s="29">
        <v>6</v>
      </c>
      <c r="B44" s="10">
        <v>6</v>
      </c>
      <c r="C44" s="10" t="s">
        <v>598</v>
      </c>
      <c r="D44" s="10"/>
      <c r="E44" s="129">
        <v>45340</v>
      </c>
      <c r="F44" s="10" t="s">
        <v>165</v>
      </c>
      <c r="G44" s="19" t="str">
        <f>IFERROR(VLOOKUP($F44,본공사입.출고현황!$B:$H,G$182,0),0)</f>
        <v>Sup't</v>
      </c>
      <c r="H44" s="19" t="str">
        <f>IFERROR(VLOOKUP($F44,본공사입.출고현황!$B:$H,H$182,0),0)</f>
        <v>Angle 70x70x7</v>
      </c>
      <c r="I44" s="19" t="str">
        <f>IFERROR(VLOOKUP($F44,본공사입.출고현황!$B:$H,I$182,0),0)</f>
        <v>Angle</v>
      </c>
      <c r="J44" s="19" t="str">
        <f>IFERROR(VLOOKUP($F44,본공사입.출고현황!$B:$H,J$182,0),0)</f>
        <v>70*70*7</v>
      </c>
      <c r="K44" s="10" t="str">
        <f>IFERROR(VLOOKUP($F44,본공사입.출고현황!$B:$H,K$182,0),0)</f>
        <v>M</v>
      </c>
      <c r="L44" s="126">
        <v>40</v>
      </c>
      <c r="M44" s="130"/>
    </row>
    <row r="45" spans="1:17" s="131" customFormat="1" ht="24" customHeight="1">
      <c r="A45" s="29">
        <v>7</v>
      </c>
      <c r="B45" s="10">
        <v>7</v>
      </c>
      <c r="C45" s="10" t="s">
        <v>598</v>
      </c>
      <c r="D45" s="10"/>
      <c r="E45" s="129">
        <v>45348</v>
      </c>
      <c r="F45" s="10" t="s">
        <v>162</v>
      </c>
      <c r="G45" s="19" t="str">
        <f>IFERROR(VLOOKUP($F45,본공사입.출고현황!$B:$H,G$182,0),0)</f>
        <v>Sup't</v>
      </c>
      <c r="H45" s="19" t="str">
        <f>IFERROR(VLOOKUP($F45,본공사입.출고현황!$B:$H,H$182,0),0)</f>
        <v>Angle 50x50x5</v>
      </c>
      <c r="I45" s="19" t="str">
        <f>IFERROR(VLOOKUP($F45,본공사입.출고현황!$B:$H,I$182,0),0)</f>
        <v>Angle</v>
      </c>
      <c r="J45" s="19" t="str">
        <f>IFERROR(VLOOKUP($F45,본공사입.출고현황!$B:$H,J$182,0),0)</f>
        <v>50*50*5</v>
      </c>
      <c r="K45" s="10" t="str">
        <f>IFERROR(VLOOKUP($F45,본공사입.출고현황!$B:$H,K$182,0),0)</f>
        <v>M</v>
      </c>
      <c r="L45" s="126">
        <v>384</v>
      </c>
      <c r="M45" s="130"/>
    </row>
    <row r="46" spans="1:17" s="131" customFormat="1" ht="24" customHeight="1">
      <c r="A46" s="29">
        <v>8</v>
      </c>
      <c r="B46" s="10">
        <v>8</v>
      </c>
      <c r="C46" s="10" t="s">
        <v>598</v>
      </c>
      <c r="D46" s="10"/>
      <c r="E46" s="129">
        <v>45344</v>
      </c>
      <c r="F46" s="10" t="s">
        <v>156</v>
      </c>
      <c r="G46" s="19" t="str">
        <f>IFERROR(VLOOKUP($F46,본공사입.출고현황!$B:$H,G$182,0),0)</f>
        <v>Conduit Fitting</v>
      </c>
      <c r="H46" s="19" t="str">
        <f>IFERROR(VLOOKUP($F46,본공사입.출고현황!$B:$H,H$182,0),0)</f>
        <v>Conduit Coupling 121x5</v>
      </c>
      <c r="I46" s="19" t="str">
        <f>IFERROR(VLOOKUP($F46,본공사입.출고현황!$B:$H,I$182,0),0)</f>
        <v>Conduit Coupling</v>
      </c>
      <c r="J46" s="19" t="str">
        <f>IFERROR(VLOOKUP($F46,본공사입.출고현황!$B:$H,J$182,0),0)</f>
        <v>121x5</v>
      </c>
      <c r="K46" s="10" t="str">
        <f>IFERROR(VLOOKUP($F46,본공사입.출고현황!$B:$H,K$182,0),0)</f>
        <v>EA</v>
      </c>
      <c r="L46" s="126">
        <v>20</v>
      </c>
      <c r="M46" s="130"/>
    </row>
    <row r="47" spans="1:17" s="131" customFormat="1" ht="24" customHeight="1">
      <c r="A47" s="29">
        <v>9</v>
      </c>
      <c r="B47" s="10">
        <v>9</v>
      </c>
      <c r="C47" s="10" t="s">
        <v>598</v>
      </c>
      <c r="D47" s="10"/>
      <c r="E47" s="129">
        <v>45344</v>
      </c>
      <c r="F47" s="10" t="s">
        <v>149</v>
      </c>
      <c r="G47" s="19" t="str">
        <f>IFERROR(VLOOKUP($F47,본공사입.출고현황!$B:$H,G$182,0),0)</f>
        <v>Conduit Fitting</v>
      </c>
      <c r="H47" s="19" t="str">
        <f>IFERROR(VLOOKUP($F47,본공사입.출고현황!$B:$H,H$182,0),0)</f>
        <v>Conduit Coupling 168x4</v>
      </c>
      <c r="I47" s="19" t="str">
        <f>IFERROR(VLOOKUP($F47,본공사입.출고현황!$B:$H,I$182,0),0)</f>
        <v>Conduit Coupling</v>
      </c>
      <c r="J47" s="19" t="str">
        <f>IFERROR(VLOOKUP($F47,본공사입.출고현황!$B:$H,J$182,0),0)</f>
        <v>168x4</v>
      </c>
      <c r="K47" s="10" t="str">
        <f>IFERROR(VLOOKUP($F47,본공사입.출고현황!$B:$H,K$182,0),0)</f>
        <v>EA</v>
      </c>
      <c r="L47" s="126">
        <v>20</v>
      </c>
      <c r="M47" s="130"/>
    </row>
    <row r="48" spans="1:17" s="131" customFormat="1" ht="24" customHeight="1">
      <c r="A48" s="29">
        <v>10</v>
      </c>
      <c r="B48" s="10">
        <v>10</v>
      </c>
      <c r="C48" s="10" t="s">
        <v>598</v>
      </c>
      <c r="D48" s="10"/>
      <c r="E48" s="129">
        <v>45364</v>
      </c>
      <c r="F48" s="10" t="s">
        <v>156</v>
      </c>
      <c r="G48" s="19" t="str">
        <f>IFERROR(VLOOKUP($F48,본공사입.출고현황!$B:$H,G$182,0),0)</f>
        <v>Conduit Fitting</v>
      </c>
      <c r="H48" s="19" t="str">
        <f>IFERROR(VLOOKUP($F48,본공사입.출고현황!$B:$H,H$182,0),0)</f>
        <v>Conduit Coupling 121x5</v>
      </c>
      <c r="I48" s="19" t="str">
        <f>IFERROR(VLOOKUP($F48,본공사입.출고현황!$B:$H,I$182,0),0)</f>
        <v>Conduit Coupling</v>
      </c>
      <c r="J48" s="19" t="str">
        <f>IFERROR(VLOOKUP($F48,본공사입.출고현황!$B:$H,J$182,0),0)</f>
        <v>121x5</v>
      </c>
      <c r="K48" s="10" t="str">
        <f>IFERROR(VLOOKUP($F48,본공사입.출고현황!$B:$H,K$182,0),0)</f>
        <v>EA</v>
      </c>
      <c r="L48" s="126">
        <v>30</v>
      </c>
      <c r="M48" s="130"/>
    </row>
    <row r="49" spans="1:15" s="131" customFormat="1" ht="24" customHeight="1">
      <c r="A49" s="29">
        <v>11</v>
      </c>
      <c r="B49" s="10">
        <v>11</v>
      </c>
      <c r="C49" s="10" t="s">
        <v>598</v>
      </c>
      <c r="D49" s="10"/>
      <c r="E49" s="129">
        <v>45364</v>
      </c>
      <c r="F49" s="10" t="s">
        <v>149</v>
      </c>
      <c r="G49" s="19" t="str">
        <f>IFERROR(VLOOKUP($F49,본공사입.출고현황!$B:$H,G$182,0),0)</f>
        <v>Conduit Fitting</v>
      </c>
      <c r="H49" s="19" t="str">
        <f>IFERROR(VLOOKUP($F49,본공사입.출고현황!$B:$H,H$182,0),0)</f>
        <v>Conduit Coupling 168x4</v>
      </c>
      <c r="I49" s="19" t="str">
        <f>IFERROR(VLOOKUP($F49,본공사입.출고현황!$B:$H,I$182,0),0)</f>
        <v>Conduit Coupling</v>
      </c>
      <c r="J49" s="19" t="str">
        <f>IFERROR(VLOOKUP($F49,본공사입.출고현황!$B:$H,J$182,0),0)</f>
        <v>168x4</v>
      </c>
      <c r="K49" s="10" t="str">
        <f>IFERROR(VLOOKUP($F49,본공사입.출고현황!$B:$H,K$182,0),0)</f>
        <v>EA</v>
      </c>
      <c r="L49" s="126">
        <v>20</v>
      </c>
      <c r="M49" s="130"/>
    </row>
    <row r="50" spans="1:15" s="1" customFormat="1" ht="24" customHeight="1">
      <c r="A50" s="29">
        <v>12</v>
      </c>
      <c r="B50" s="10">
        <v>12</v>
      </c>
      <c r="C50" s="10" t="s">
        <v>598</v>
      </c>
      <c r="D50" s="10"/>
      <c r="E50" s="129">
        <v>45371</v>
      </c>
      <c r="F50" s="10" t="s">
        <v>86</v>
      </c>
      <c r="G50" s="19" t="str">
        <f>IFERROR(VLOOKUP($F50,본공사입.출고현황!$B:$H,G$182,0),0)</f>
        <v>Ground</v>
      </c>
      <c r="H50" s="19" t="str">
        <f>IFERROR(VLOOKUP($F50,본공사입.출고현황!$B:$H,H$182,0),0)</f>
        <v>Cadweld Powder #115</v>
      </c>
      <c r="I50" s="19" t="str">
        <f>IFERROR(VLOOKUP($F50,본공사입.출고현황!$B:$H,I$182,0),0)</f>
        <v>Cadweld Powder</v>
      </c>
      <c r="J50" s="19" t="str">
        <f>IFERROR(VLOOKUP($F50,본공사입.출고현황!$B:$H,J$182,0),0)</f>
        <v>#115</v>
      </c>
      <c r="K50" s="10" t="str">
        <f>IFERROR(VLOOKUP($F50,본공사입.출고현황!$B:$H,K$182,0),0)</f>
        <v>EA</v>
      </c>
      <c r="L50" s="126">
        <v>21</v>
      </c>
      <c r="M50" s="10"/>
      <c r="O50" s="131"/>
    </row>
    <row r="51" spans="1:15" s="1" customFormat="1" ht="24" customHeight="1">
      <c r="A51" s="29">
        <v>13</v>
      </c>
      <c r="B51" s="10">
        <v>13</v>
      </c>
      <c r="C51" s="10" t="s">
        <v>598</v>
      </c>
      <c r="D51" s="10"/>
      <c r="E51" s="129">
        <v>45371</v>
      </c>
      <c r="F51" s="10" t="s">
        <v>94</v>
      </c>
      <c r="G51" s="19" t="str">
        <f>IFERROR(VLOOKUP($F51,본공사입.출고현황!$B:$H,G$182,0),0)</f>
        <v>Ground</v>
      </c>
      <c r="H51" s="19" t="str">
        <f>IFERROR(VLOOKUP($F51,본공사입.출고현황!$B:$H,H$182,0),0)</f>
        <v>Cadweld Powder #200</v>
      </c>
      <c r="I51" s="19" t="str">
        <f>IFERROR(VLOOKUP($F51,본공사입.출고현황!$B:$H,I$182,0),0)</f>
        <v>Cadweld Powder</v>
      </c>
      <c r="J51" s="19" t="str">
        <f>IFERROR(VLOOKUP($F51,본공사입.출고현황!$B:$H,J$182,0),0)</f>
        <v>#200</v>
      </c>
      <c r="K51" s="10" t="str">
        <f>IFERROR(VLOOKUP($F51,본공사입.출고현황!$B:$H,K$182,0),0)</f>
        <v>EA</v>
      </c>
      <c r="L51" s="126">
        <v>200</v>
      </c>
      <c r="M51" s="10"/>
      <c r="O51" s="131"/>
    </row>
    <row r="52" spans="1:15" s="1" customFormat="1" ht="24" customHeight="1">
      <c r="A52" s="29">
        <v>14</v>
      </c>
      <c r="B52" s="10">
        <v>14</v>
      </c>
      <c r="C52" s="10" t="s">
        <v>598</v>
      </c>
      <c r="D52" s="10"/>
      <c r="E52" s="129">
        <v>45371</v>
      </c>
      <c r="F52" s="10" t="s">
        <v>109</v>
      </c>
      <c r="G52" s="19" t="str">
        <f>IFERROR(VLOOKUP($F52,본공사입.출고현황!$B:$H,G$182,0),0)</f>
        <v>Ground</v>
      </c>
      <c r="H52" s="19" t="str">
        <f>IFERROR(VLOOKUP($F52,본공사입.출고현황!$B:$H,H$182,0),0)</f>
        <v xml:space="preserve">Zinc Spray </v>
      </c>
      <c r="I52" s="19" t="str">
        <f>IFERROR(VLOOKUP($F52,본공사입.출고현황!$B:$H,I$182,0),0)</f>
        <v>Zinc Spray</v>
      </c>
      <c r="J52" s="19">
        <f>IFERROR(VLOOKUP($F52,본공사입.출고현황!$B:$H,J$182,0),0)</f>
        <v>0</v>
      </c>
      <c r="K52" s="10" t="str">
        <f>IFERROR(VLOOKUP($F52,본공사입.출고현황!$B:$H,K$182,0),0)</f>
        <v>EA</v>
      </c>
      <c r="L52" s="126">
        <v>126</v>
      </c>
      <c r="M52" s="10"/>
      <c r="O52" s="131"/>
    </row>
    <row r="53" spans="1:15" s="131" customFormat="1" ht="24" customHeight="1">
      <c r="A53" s="29">
        <v>15</v>
      </c>
      <c r="B53" s="10">
        <v>15</v>
      </c>
      <c r="C53" s="10" t="s">
        <v>598</v>
      </c>
      <c r="D53" s="10"/>
      <c r="E53" s="129">
        <v>45371</v>
      </c>
      <c r="F53" s="10" t="s">
        <v>156</v>
      </c>
      <c r="G53" s="19" t="str">
        <f>IFERROR(VLOOKUP($F53,본공사입.출고현황!$B:$H,G$182,0),0)</f>
        <v>Conduit Fitting</v>
      </c>
      <c r="H53" s="19" t="str">
        <f>IFERROR(VLOOKUP($F53,본공사입.출고현황!$B:$H,H$182,0),0)</f>
        <v>Conduit Coupling 121x5</v>
      </c>
      <c r="I53" s="19" t="str">
        <f>IFERROR(VLOOKUP($F53,본공사입.출고현황!$B:$H,I$182,0),0)</f>
        <v>Conduit Coupling</v>
      </c>
      <c r="J53" s="19" t="str">
        <f>IFERROR(VLOOKUP($F53,본공사입.출고현황!$B:$H,J$182,0),0)</f>
        <v>121x5</v>
      </c>
      <c r="K53" s="10" t="str">
        <f>IFERROR(VLOOKUP($F53,본공사입.출고현황!$B:$H,K$182,0),0)</f>
        <v>EA</v>
      </c>
      <c r="L53" s="126">
        <v>228</v>
      </c>
      <c r="M53" s="130"/>
    </row>
    <row r="54" spans="1:15" s="131" customFormat="1" ht="24" customHeight="1">
      <c r="A54" s="29">
        <v>16</v>
      </c>
      <c r="B54" s="10">
        <v>16</v>
      </c>
      <c r="C54" s="10" t="s">
        <v>598</v>
      </c>
      <c r="D54" s="10"/>
      <c r="E54" s="129">
        <v>45371</v>
      </c>
      <c r="F54" s="10" t="s">
        <v>149</v>
      </c>
      <c r="G54" s="19" t="str">
        <f>IFERROR(VLOOKUP($F54,본공사입.출고현황!$B:$H,G$182,0),0)</f>
        <v>Conduit Fitting</v>
      </c>
      <c r="H54" s="19" t="str">
        <f>IFERROR(VLOOKUP($F54,본공사입.출고현황!$B:$H,H$182,0),0)</f>
        <v>Conduit Coupling 168x4</v>
      </c>
      <c r="I54" s="19" t="str">
        <f>IFERROR(VLOOKUP($F54,본공사입.출고현황!$B:$H,I$182,0),0)</f>
        <v>Conduit Coupling</v>
      </c>
      <c r="J54" s="19" t="str">
        <f>IFERROR(VLOOKUP($F54,본공사입.출고현황!$B:$H,J$182,0),0)</f>
        <v>168x4</v>
      </c>
      <c r="K54" s="10" t="str">
        <f>IFERROR(VLOOKUP($F54,본공사입.출고현황!$B:$H,K$182,0),0)</f>
        <v>EA</v>
      </c>
      <c r="L54" s="126">
        <v>100</v>
      </c>
      <c r="M54" s="130"/>
    </row>
    <row r="55" spans="1:15" s="131" customFormat="1" ht="24" customHeight="1">
      <c r="A55" s="29">
        <v>17</v>
      </c>
      <c r="B55" s="10">
        <v>17</v>
      </c>
      <c r="C55" s="10" t="s">
        <v>598</v>
      </c>
      <c r="D55" s="10"/>
      <c r="E55" s="129">
        <v>45378</v>
      </c>
      <c r="F55" s="10" t="s">
        <v>236</v>
      </c>
      <c r="G55" s="19" t="str">
        <f>IFERROR(VLOOKUP($F55,본공사입.출고현황!$B:$H,G$182,0),0)</f>
        <v>Conduit</v>
      </c>
      <c r="H55" s="19" t="str">
        <f>IFERROR(VLOOKUP($F55,본공사입.출고현황!$B:$H,H$182,0),0)</f>
        <v>Conduit 108x4.0</v>
      </c>
      <c r="I55" s="19" t="str">
        <f>IFERROR(VLOOKUP($F55,본공사입.출고현황!$B:$H,I$182,0),0)</f>
        <v>Conduit</v>
      </c>
      <c r="J55" s="19" t="str">
        <f>IFERROR(VLOOKUP($F55,본공사입.출고현황!$B:$H,J$182,0),0)</f>
        <v>108x4</v>
      </c>
      <c r="K55" s="10" t="str">
        <f>IFERROR(VLOOKUP($F55,본공사입.출고현황!$B:$H,K$182,0),0)</f>
        <v>M</v>
      </c>
      <c r="L55" s="126">
        <v>4.78</v>
      </c>
      <c r="M55" s="130"/>
    </row>
    <row r="56" spans="1:15" s="131" customFormat="1" ht="24" customHeight="1">
      <c r="A56" s="29">
        <v>18</v>
      </c>
      <c r="B56" s="10">
        <v>18</v>
      </c>
      <c r="C56" s="10" t="s">
        <v>598</v>
      </c>
      <c r="D56" s="10"/>
      <c r="E56" s="129">
        <v>45378</v>
      </c>
      <c r="F56" s="10" t="s">
        <v>135</v>
      </c>
      <c r="G56" s="19" t="str">
        <f>IFERROR(VLOOKUP($F56,본공사입.출고현황!$B:$H,G$182,0),0)</f>
        <v>Conduit</v>
      </c>
      <c r="H56" s="19" t="str">
        <f>IFERROR(VLOOKUP($F56,본공사입.출고현황!$B:$H,H$182,0),0)</f>
        <v>Conduit 159x4.5</v>
      </c>
      <c r="I56" s="19" t="str">
        <f>IFERROR(VLOOKUP($F56,본공사입.출고현황!$B:$H,I$182,0),0)</f>
        <v>Conduit</v>
      </c>
      <c r="J56" s="19" t="str">
        <f>IFERROR(VLOOKUP($F56,본공사입.출고현황!$B:$H,J$182,0),0)</f>
        <v>159x4.5</v>
      </c>
      <c r="K56" s="10" t="str">
        <f>IFERROR(VLOOKUP($F56,본공사입.출고현황!$B:$H,K$182,0),0)</f>
        <v>M</v>
      </c>
      <c r="L56" s="126">
        <v>3.69</v>
      </c>
      <c r="M56" s="130"/>
    </row>
    <row r="57" spans="1:15" s="131" customFormat="1" ht="24" customHeight="1">
      <c r="A57" s="29">
        <v>19</v>
      </c>
      <c r="B57" s="10">
        <v>19</v>
      </c>
      <c r="C57" s="10" t="s">
        <v>598</v>
      </c>
      <c r="D57" s="10"/>
      <c r="E57" s="129">
        <v>45378</v>
      </c>
      <c r="F57" s="10" t="s">
        <v>153</v>
      </c>
      <c r="G57" s="19" t="str">
        <f>IFERROR(VLOOKUP($F57,본공사입.출고현황!$B:$H,G$182,0),0)</f>
        <v>Conduit Fitting</v>
      </c>
      <c r="H57" s="19" t="str">
        <f>IFERROR(VLOOKUP($F57,본공사입.출고현황!$B:$H,H$182,0),0)</f>
        <v>Conduit Coupling 121x5</v>
      </c>
      <c r="I57" s="19" t="str">
        <f>IFERROR(VLOOKUP($F57,본공사입.출고현황!$B:$H,I$182,0),0)</f>
        <v>Conduit Coupling</v>
      </c>
      <c r="J57" s="19" t="str">
        <f>IFERROR(VLOOKUP($F57,본공사입.출고현황!$B:$H,J$182,0),0)</f>
        <v>121x5</v>
      </c>
      <c r="K57" s="10" t="str">
        <f>IFERROR(VLOOKUP($F57,본공사입.출고현황!$B:$H,K$182,0),0)</f>
        <v>M</v>
      </c>
      <c r="L57" s="126">
        <v>2.88</v>
      </c>
      <c r="M57" s="130"/>
    </row>
    <row r="58" spans="1:15" s="131" customFormat="1" ht="24" customHeight="1">
      <c r="A58" s="29">
        <v>20</v>
      </c>
      <c r="B58" s="10">
        <v>20</v>
      </c>
      <c r="C58" s="10" t="s">
        <v>598</v>
      </c>
      <c r="D58" s="10"/>
      <c r="E58" s="129">
        <v>45378</v>
      </c>
      <c r="F58" s="10" t="s">
        <v>162</v>
      </c>
      <c r="G58" s="19" t="str">
        <f>IFERROR(VLOOKUP($F58,본공사입.출고현황!$B:$H,G$182,0),0)</f>
        <v>Sup't</v>
      </c>
      <c r="H58" s="19" t="str">
        <f>IFERROR(VLOOKUP($F58,본공사입.출고현황!$B:$H,H$182,0),0)</f>
        <v>Angle 50x50x5</v>
      </c>
      <c r="I58" s="19" t="str">
        <f>IFERROR(VLOOKUP($F58,본공사입.출고현황!$B:$H,I$182,0),0)</f>
        <v>Angle</v>
      </c>
      <c r="J58" s="19" t="str">
        <f>IFERROR(VLOOKUP($F58,본공사입.출고현황!$B:$H,J$182,0),0)</f>
        <v>50*50*5</v>
      </c>
      <c r="K58" s="10" t="str">
        <f>IFERROR(VLOOKUP($F58,본공사입.출고현황!$B:$H,K$182,0),0)</f>
        <v>M</v>
      </c>
      <c r="L58" s="126">
        <v>384</v>
      </c>
      <c r="M58" s="130"/>
    </row>
    <row r="59" spans="1:15" s="131" customFormat="1" ht="24" customHeight="1">
      <c r="A59" s="29">
        <v>21</v>
      </c>
      <c r="B59" s="10">
        <v>21</v>
      </c>
      <c r="C59" s="10" t="s">
        <v>598</v>
      </c>
      <c r="D59" s="10"/>
      <c r="E59" s="129">
        <v>45378</v>
      </c>
      <c r="F59" s="10" t="s">
        <v>165</v>
      </c>
      <c r="G59" s="19" t="str">
        <f>IFERROR(VLOOKUP($F59,본공사입.출고현황!$B:$H,G$182,0),0)</f>
        <v>Sup't</v>
      </c>
      <c r="H59" s="19" t="str">
        <f>IFERROR(VLOOKUP($F59,본공사입.출고현황!$B:$H,H$182,0),0)</f>
        <v>Angle 70x70x7</v>
      </c>
      <c r="I59" s="19" t="str">
        <f>IFERROR(VLOOKUP($F59,본공사입.출고현황!$B:$H,I$182,0),0)</f>
        <v>Angle</v>
      </c>
      <c r="J59" s="19" t="str">
        <f>IFERROR(VLOOKUP($F59,본공사입.출고현황!$B:$H,J$182,0),0)</f>
        <v>70*70*7</v>
      </c>
      <c r="K59" s="10" t="str">
        <f>IFERROR(VLOOKUP($F59,본공사입.출고현황!$B:$H,K$182,0),0)</f>
        <v>M</v>
      </c>
      <c r="L59" s="126">
        <v>156</v>
      </c>
      <c r="M59" s="130"/>
    </row>
    <row r="60" spans="1:15" s="131" customFormat="1" ht="24" customHeight="1">
      <c r="A60" s="29">
        <v>22</v>
      </c>
      <c r="B60" s="10">
        <v>22</v>
      </c>
      <c r="C60" s="10" t="s">
        <v>598</v>
      </c>
      <c r="D60" s="10"/>
      <c r="E60" s="129">
        <v>45386</v>
      </c>
      <c r="F60" s="10" t="s">
        <v>156</v>
      </c>
      <c r="G60" s="19" t="str">
        <f>IFERROR(VLOOKUP($F60,본공사입.출고현황!$B:$H,G$182,0),0)</f>
        <v>Conduit Fitting</v>
      </c>
      <c r="H60" s="19" t="str">
        <f>IFERROR(VLOOKUP($F60,본공사입.출고현황!$B:$H,H$182,0),0)</f>
        <v>Conduit Coupling 121x5</v>
      </c>
      <c r="I60" s="19" t="str">
        <f>IFERROR(VLOOKUP($F60,본공사입.출고현황!$B:$H,I$182,0),0)</f>
        <v>Conduit Coupling</v>
      </c>
      <c r="J60" s="19" t="str">
        <f>IFERROR(VLOOKUP($F60,본공사입.출고현황!$B:$H,J$182,0),0)</f>
        <v>121x5</v>
      </c>
      <c r="K60" s="10" t="str">
        <f>IFERROR(VLOOKUP($F60,본공사입.출고현황!$B:$H,K$182,0),0)</f>
        <v>EA</v>
      </c>
      <c r="L60" s="126">
        <v>114</v>
      </c>
      <c r="M60" s="130"/>
    </row>
    <row r="61" spans="1:15" s="131" customFormat="1" ht="24" customHeight="1">
      <c r="A61" s="29">
        <v>23</v>
      </c>
      <c r="B61" s="10">
        <v>23</v>
      </c>
      <c r="C61" s="10" t="s">
        <v>598</v>
      </c>
      <c r="D61" s="10"/>
      <c r="E61" s="129">
        <v>45386</v>
      </c>
      <c r="F61" s="10" t="s">
        <v>149</v>
      </c>
      <c r="G61" s="19" t="str">
        <f>IFERROR(VLOOKUP($F61,본공사입.출고현황!$B:$H,G$182,0),0)</f>
        <v>Conduit Fitting</v>
      </c>
      <c r="H61" s="19" t="str">
        <f>IFERROR(VLOOKUP($F61,본공사입.출고현황!$B:$H,H$182,0),0)</f>
        <v>Conduit Coupling 168x4</v>
      </c>
      <c r="I61" s="19" t="str">
        <f>IFERROR(VLOOKUP($F61,본공사입.출고현황!$B:$H,I$182,0),0)</f>
        <v>Conduit Coupling</v>
      </c>
      <c r="J61" s="19" t="str">
        <f>IFERROR(VLOOKUP($F61,본공사입.출고현황!$B:$H,J$182,0),0)</f>
        <v>168x4</v>
      </c>
      <c r="K61" s="10" t="str">
        <f>IFERROR(VLOOKUP($F61,본공사입.출고현황!$B:$H,K$182,0),0)</f>
        <v>EA</v>
      </c>
      <c r="L61" s="126">
        <v>50</v>
      </c>
      <c r="M61" s="130"/>
    </row>
    <row r="62" spans="1:15" s="131" customFormat="1" ht="24" customHeight="1">
      <c r="A62" s="29">
        <v>24</v>
      </c>
      <c r="B62" s="10">
        <v>24</v>
      </c>
      <c r="C62" s="10" t="s">
        <v>598</v>
      </c>
      <c r="D62" s="10"/>
      <c r="E62" s="129">
        <v>45386</v>
      </c>
      <c r="F62" s="10" t="s">
        <v>162</v>
      </c>
      <c r="G62" s="19" t="str">
        <f>IFERROR(VLOOKUP($F62,본공사입.출고현황!$B:$H,G$182,0),0)</f>
        <v>Sup't</v>
      </c>
      <c r="H62" s="19" t="str">
        <f>IFERROR(VLOOKUP($F62,본공사입.출고현황!$B:$H,H$182,0),0)</f>
        <v>Angle 50x50x5</v>
      </c>
      <c r="I62" s="19" t="str">
        <f>IFERROR(VLOOKUP($F62,본공사입.출고현황!$B:$H,I$182,0),0)</f>
        <v>Angle</v>
      </c>
      <c r="J62" s="19" t="str">
        <f>IFERROR(VLOOKUP($F62,본공사입.출고현황!$B:$H,J$182,0),0)</f>
        <v>50*50*5</v>
      </c>
      <c r="K62" s="10" t="str">
        <f>IFERROR(VLOOKUP($F62,본공사입.출고현황!$B:$H,K$182,0),0)</f>
        <v>M</v>
      </c>
      <c r="L62" s="126">
        <v>300</v>
      </c>
      <c r="M62" s="130"/>
    </row>
    <row r="63" spans="1:15" s="131" customFormat="1" ht="24" customHeight="1">
      <c r="A63" s="29">
        <v>25</v>
      </c>
      <c r="B63" s="10">
        <v>25</v>
      </c>
      <c r="C63" s="10" t="s">
        <v>598</v>
      </c>
      <c r="D63" s="10"/>
      <c r="E63" s="129">
        <v>45386</v>
      </c>
      <c r="F63" s="10" t="s">
        <v>168</v>
      </c>
      <c r="G63" s="19" t="str">
        <f>IFERROR(VLOOKUP($F63,본공사입.출고현황!$B:$H,G$182,0),0)</f>
        <v>Sup't</v>
      </c>
      <c r="H63" s="19" t="str">
        <f>IFERROR(VLOOKUP($F63,본공사입.출고현황!$B:$H,H$182,0),0)</f>
        <v>Angle 75x75x5</v>
      </c>
      <c r="I63" s="19" t="str">
        <f>IFERROR(VLOOKUP($F63,본공사입.출고현황!$B:$H,I$182,0),0)</f>
        <v>Angle</v>
      </c>
      <c r="J63" s="19" t="str">
        <f>IFERROR(VLOOKUP($F63,본공사입.출고현황!$B:$H,J$182,0),0)</f>
        <v>75x75x5</v>
      </c>
      <c r="K63" s="10" t="str">
        <f>IFERROR(VLOOKUP($F63,본공사입.출고현황!$B:$H,K$182,0),0)</f>
        <v>M</v>
      </c>
      <c r="L63" s="126">
        <v>144</v>
      </c>
      <c r="M63" s="130"/>
    </row>
    <row r="64" spans="1:15" s="131" customFormat="1" ht="24" customHeight="1">
      <c r="A64" s="29">
        <v>26</v>
      </c>
      <c r="B64" s="10">
        <v>26</v>
      </c>
      <c r="C64" s="10" t="s">
        <v>598</v>
      </c>
      <c r="D64" s="10"/>
      <c r="E64" s="129">
        <v>45425</v>
      </c>
      <c r="F64" s="10" t="s">
        <v>162</v>
      </c>
      <c r="G64" s="19" t="str">
        <f>IFERROR(VLOOKUP($F64,본공사입.출고현황!$B:$H,G$182,0),0)</f>
        <v>Sup't</v>
      </c>
      <c r="H64" s="19" t="str">
        <f>IFERROR(VLOOKUP($F64,본공사입.출고현황!$B:$H,H$182,0),0)</f>
        <v>Angle 50x50x5</v>
      </c>
      <c r="I64" s="19" t="str">
        <f>IFERROR(VLOOKUP($F64,본공사입.출고현황!$B:$H,I$182,0),0)</f>
        <v>Angle</v>
      </c>
      <c r="J64" s="19" t="str">
        <f>IFERROR(VLOOKUP($F64,본공사입.출고현황!$B:$H,J$182,0),0)</f>
        <v>50*50*5</v>
      </c>
      <c r="K64" s="10" t="str">
        <f>IFERROR(VLOOKUP($F64,본공사입.출고현황!$B:$H,K$182,0),0)</f>
        <v>M</v>
      </c>
      <c r="L64" s="126">
        <v>1200</v>
      </c>
      <c r="M64" s="130"/>
    </row>
    <row r="65" spans="1:13" s="131" customFormat="1" ht="24" customHeight="1">
      <c r="A65" s="29">
        <v>27</v>
      </c>
      <c r="B65" s="10">
        <v>27</v>
      </c>
      <c r="C65" s="10" t="s">
        <v>598</v>
      </c>
      <c r="D65" s="10"/>
      <c r="E65" s="129">
        <v>45425</v>
      </c>
      <c r="F65" s="10" t="s">
        <v>165</v>
      </c>
      <c r="G65" s="19" t="str">
        <f>IFERROR(VLOOKUP($F65,본공사입.출고현황!$B:$H,G$182,0),0)</f>
        <v>Sup't</v>
      </c>
      <c r="H65" s="19" t="str">
        <f>IFERROR(VLOOKUP($F65,본공사입.출고현황!$B:$H,H$182,0),0)</f>
        <v>Angle 70x70x7</v>
      </c>
      <c r="I65" s="19" t="str">
        <f>IFERROR(VLOOKUP($F65,본공사입.출고현황!$B:$H,I$182,0),0)</f>
        <v>Angle</v>
      </c>
      <c r="J65" s="19" t="str">
        <f>IFERROR(VLOOKUP($F65,본공사입.출고현황!$B:$H,J$182,0),0)</f>
        <v>70*70*7</v>
      </c>
      <c r="K65" s="10" t="str">
        <f>IFERROR(VLOOKUP($F65,본공사입.출고현황!$B:$H,K$182,0),0)</f>
        <v>M</v>
      </c>
      <c r="L65" s="126">
        <v>276</v>
      </c>
      <c r="M65" s="130"/>
    </row>
    <row r="66" spans="1:13" s="131" customFormat="1" ht="24" customHeight="1">
      <c r="A66" s="29">
        <v>28</v>
      </c>
      <c r="B66" s="10">
        <v>28</v>
      </c>
      <c r="C66" s="10" t="s">
        <v>598</v>
      </c>
      <c r="D66" s="10"/>
      <c r="E66" s="129">
        <v>45427</v>
      </c>
      <c r="F66" s="10" t="s">
        <v>180</v>
      </c>
      <c r="G66" s="19" t="str">
        <f>IFERROR(VLOOKUP($F66,본공사입.출고현황!$B:$H,G$182,0),0)</f>
        <v>Ground</v>
      </c>
      <c r="H66" s="19" t="str">
        <f>IFERROR(VLOOKUP($F66,본공사입.출고현황!$B:$H,H$182,0),0)</f>
        <v>Ground Cable  78SQ</v>
      </c>
      <c r="I66" s="19" t="str">
        <f>IFERROR(VLOOKUP($F66,본공사입.출고현황!$B:$H,I$182,0),0)</f>
        <v xml:space="preserve">Ground Cable </v>
      </c>
      <c r="J66" s="19" t="str">
        <f>IFERROR(VLOOKUP($F66,본공사입.출고현황!$B:$H,J$182,0),0)</f>
        <v>78SQ</v>
      </c>
      <c r="K66" s="10" t="str">
        <f>IFERROR(VLOOKUP($F66,본공사입.출고현황!$B:$H,K$182,0),0)</f>
        <v>M</v>
      </c>
      <c r="L66" s="126">
        <v>6500</v>
      </c>
      <c r="M66" s="130"/>
    </row>
    <row r="67" spans="1:13" s="131" customFormat="1" ht="24" customHeight="1">
      <c r="A67" s="29">
        <v>29</v>
      </c>
      <c r="B67" s="10">
        <v>29</v>
      </c>
      <c r="C67" s="10" t="s">
        <v>598</v>
      </c>
      <c r="D67" s="10"/>
      <c r="E67" s="129">
        <v>45427</v>
      </c>
      <c r="F67" s="10" t="s">
        <v>110</v>
      </c>
      <c r="G67" s="19" t="str">
        <f>IFERROR(VLOOKUP($F67,본공사입.출고현황!$B:$H,G$182,0),0)</f>
        <v>Miscellious</v>
      </c>
      <c r="H67" s="19" t="str">
        <f>IFERROR(VLOOKUP($F67,본공사입.출고현황!$B:$H,H$182,0),0)</f>
        <v xml:space="preserve">Nicoband </v>
      </c>
      <c r="I67" s="19" t="str">
        <f>IFERROR(VLOOKUP($F67,본공사입.출고현황!$B:$H,I$182,0),0)</f>
        <v>Nicoband</v>
      </c>
      <c r="J67" s="19" t="str">
        <f>IFERROR(VLOOKUP($F67,본공사입.출고현황!$B:$H,J$182,0),0)</f>
        <v>10m x 15cm</v>
      </c>
      <c r="K67" s="10" t="str">
        <f>IFERROR(VLOOKUP($F67,본공사입.출고현황!$B:$H,K$182,0),0)</f>
        <v>EA</v>
      </c>
      <c r="L67" s="126">
        <v>20</v>
      </c>
      <c r="M67" s="130"/>
    </row>
    <row r="68" spans="1:13" s="131" customFormat="1" ht="24" customHeight="1">
      <c r="A68" s="29">
        <v>30</v>
      </c>
      <c r="B68" s="10">
        <v>30</v>
      </c>
      <c r="C68" s="10" t="s">
        <v>598</v>
      </c>
      <c r="D68" s="10"/>
      <c r="E68" s="129">
        <v>45427</v>
      </c>
      <c r="F68" s="29" t="s">
        <v>125</v>
      </c>
      <c r="G68" s="19" t="str">
        <f>IFERROR(VLOOKUP($F68,본공사입.출고현황!$B:$H,G$182,0),0)</f>
        <v>Conduit</v>
      </c>
      <c r="H68" s="19" t="str">
        <f>IFERROR(VLOOKUP($F68,본공사입.출고현황!$B:$H,H$182,0),0)</f>
        <v>Conduit (Galvanized)  Ts-100x4.5</v>
      </c>
      <c r="I68" s="19" t="str">
        <f>IFERROR(VLOOKUP($F68,본공사입.출고현황!$B:$H,I$182,0),0)</f>
        <v xml:space="preserve">Conduit (Galvanized) </v>
      </c>
      <c r="J68" s="19" t="str">
        <f>IFERROR(VLOOKUP($F68,본공사입.출고현황!$B:$H,J$182,0),0)</f>
        <v>114x4.5</v>
      </c>
      <c r="K68" s="10" t="str">
        <f>IFERROR(VLOOKUP($F68,본공사입.출고현황!$B:$H,K$182,0),0)</f>
        <v>M</v>
      </c>
      <c r="L68" s="126">
        <v>1500</v>
      </c>
      <c r="M68" s="130"/>
    </row>
    <row r="69" spans="1:13" s="131" customFormat="1" ht="24" customHeight="1">
      <c r="A69" s="29">
        <v>31</v>
      </c>
      <c r="B69" s="10">
        <v>31</v>
      </c>
      <c r="C69" s="10" t="s">
        <v>598</v>
      </c>
      <c r="D69" s="10"/>
      <c r="E69" s="129">
        <v>45427</v>
      </c>
      <c r="F69" s="10" t="s">
        <v>128</v>
      </c>
      <c r="G69" s="19" t="str">
        <f>IFERROR(VLOOKUP($F69,본공사입.출고현황!$B:$H,G$182,0),0)</f>
        <v>Conduit</v>
      </c>
      <c r="H69" s="19" t="str">
        <f>IFERROR(VLOOKUP($F69,본공사입.출고현황!$B:$H,H$182,0),0)</f>
        <v>Conduit (Galvanized)  Ts-80x4</v>
      </c>
      <c r="I69" s="19" t="str">
        <f>IFERROR(VLOOKUP($F69,본공사입.출고현황!$B:$H,I$182,0),0)</f>
        <v xml:space="preserve">Conduit (Galvanized) </v>
      </c>
      <c r="J69" s="19" t="str">
        <f>IFERROR(VLOOKUP($F69,본공사입.출고현황!$B:$H,J$182,0),0)</f>
        <v>88x4</v>
      </c>
      <c r="K69" s="10" t="str">
        <f>IFERROR(VLOOKUP($F69,본공사입.출고현황!$B:$H,K$182,0),0)</f>
        <v>M</v>
      </c>
      <c r="L69" s="126">
        <v>408</v>
      </c>
      <c r="M69" s="130"/>
    </row>
    <row r="70" spans="1:13" s="131" customFormat="1" ht="24" customHeight="1">
      <c r="A70" s="29">
        <v>32</v>
      </c>
      <c r="B70" s="10">
        <v>32</v>
      </c>
      <c r="C70" s="10" t="s">
        <v>598</v>
      </c>
      <c r="D70" s="10"/>
      <c r="E70" s="129">
        <v>45449</v>
      </c>
      <c r="F70" s="10" t="s">
        <v>140</v>
      </c>
      <c r="G70" s="19" t="str">
        <f>IFERROR(VLOOKUP($F70,본공사입.출고현황!$B:$H,G$182,0),0)</f>
        <v>Conduit</v>
      </c>
      <c r="H70" s="19" t="str">
        <f>IFERROR(VLOOKUP($F70,본공사입.출고현황!$B:$H,H$182,0),0)</f>
        <v>Conduit 108x4.0</v>
      </c>
      <c r="I70" s="19" t="str">
        <f>IFERROR(VLOOKUP($F70,본공사입.출고현황!$B:$H,I$182,0),0)</f>
        <v>Conduit</v>
      </c>
      <c r="J70" s="19" t="str">
        <f>IFERROR(VLOOKUP($F70,본공사입.출고현황!$B:$H,J$182,0),0)</f>
        <v>108x4</v>
      </c>
      <c r="K70" s="10" t="str">
        <f>IFERROR(VLOOKUP($F70,본공사입.출고현황!$B:$H,K$182,0),0)</f>
        <v>M</v>
      </c>
      <c r="L70" s="126">
        <v>2469</v>
      </c>
      <c r="M70" s="130"/>
    </row>
    <row r="71" spans="1:13" s="131" customFormat="1" ht="24" customHeight="1">
      <c r="A71" s="29">
        <v>33</v>
      </c>
      <c r="B71" s="10">
        <v>33</v>
      </c>
      <c r="C71" s="10" t="s">
        <v>598</v>
      </c>
      <c r="D71" s="10"/>
      <c r="E71" s="129">
        <v>45449</v>
      </c>
      <c r="F71" s="29" t="s">
        <v>135</v>
      </c>
      <c r="G71" s="19" t="str">
        <f>IFERROR(VLOOKUP($F71,본공사입.출고현황!$B:$H,G$182,0),0)</f>
        <v>Conduit</v>
      </c>
      <c r="H71" s="19" t="str">
        <f>IFERROR(VLOOKUP($F71,본공사입.출고현황!$B:$H,H$182,0),0)</f>
        <v>Conduit 159x4.5</v>
      </c>
      <c r="I71" s="19" t="str">
        <f>IFERROR(VLOOKUP($F71,본공사입.출고현황!$B:$H,I$182,0),0)</f>
        <v>Conduit</v>
      </c>
      <c r="J71" s="19" t="str">
        <f>IFERROR(VLOOKUP($F71,본공사입.출고현황!$B:$H,J$182,0),0)</f>
        <v>159x4.5</v>
      </c>
      <c r="K71" s="10" t="str">
        <f>IFERROR(VLOOKUP($F71,본공사입.출고현황!$B:$H,K$182,0),0)</f>
        <v>M</v>
      </c>
      <c r="L71" s="126">
        <v>720</v>
      </c>
      <c r="M71" s="130"/>
    </row>
    <row r="72" spans="1:13" s="131" customFormat="1" ht="24" customHeight="1">
      <c r="A72" s="29">
        <v>34</v>
      </c>
      <c r="B72" s="10">
        <v>34</v>
      </c>
      <c r="C72" s="10" t="s">
        <v>598</v>
      </c>
      <c r="D72" s="10"/>
      <c r="E72" s="129">
        <v>45449</v>
      </c>
      <c r="F72" s="29" t="s">
        <v>144</v>
      </c>
      <c r="G72" s="19" t="str">
        <f>IFERROR(VLOOKUP($F72,본공사입.출고현황!$B:$H,G$182,0),0)</f>
        <v>Conduit Fitting</v>
      </c>
      <c r="H72" s="19" t="str">
        <f>IFERROR(VLOOKUP($F72,본공사입.출고현황!$B:$H,H$182,0),0)</f>
        <v>Conduit Coupling 168x4</v>
      </c>
      <c r="I72" s="19" t="str">
        <f>IFERROR(VLOOKUP($F72,본공사입.출고현황!$B:$H,I$182,0),0)</f>
        <v>Conduit Coupling</v>
      </c>
      <c r="J72" s="19" t="str">
        <f>IFERROR(VLOOKUP($F72,본공사입.출고현황!$B:$H,J$182,0),0)</f>
        <v>168x4</v>
      </c>
      <c r="K72" s="10" t="str">
        <f>IFERROR(VLOOKUP($F72,본공사입.출고현황!$B:$H,K$182,0),0)</f>
        <v>M</v>
      </c>
      <c r="L72" s="126">
        <v>24</v>
      </c>
      <c r="M72" s="130"/>
    </row>
    <row r="73" spans="1:13" s="131" customFormat="1" ht="24" customHeight="1">
      <c r="A73" s="29">
        <v>35</v>
      </c>
      <c r="B73" s="10">
        <v>35</v>
      </c>
      <c r="C73" s="10" t="s">
        <v>598</v>
      </c>
      <c r="D73" s="10"/>
      <c r="E73" s="129">
        <v>45449</v>
      </c>
      <c r="F73" s="10" t="s">
        <v>128</v>
      </c>
      <c r="G73" s="19" t="str">
        <f>IFERROR(VLOOKUP($F73,본공사입.출고현황!$B:$H,G$182,0),0)</f>
        <v>Conduit</v>
      </c>
      <c r="H73" s="19" t="str">
        <f>IFERROR(VLOOKUP($F73,본공사입.출고현황!$B:$H,H$182,0),0)</f>
        <v>Conduit (Galvanized)  Ts-80x4</v>
      </c>
      <c r="I73" s="19" t="str">
        <f>IFERROR(VLOOKUP($F73,본공사입.출고현황!$B:$H,I$182,0),0)</f>
        <v xml:space="preserve">Conduit (Galvanized) </v>
      </c>
      <c r="J73" s="19" t="str">
        <f>IFERROR(VLOOKUP($F73,본공사입.출고현황!$B:$H,J$182,0),0)</f>
        <v>88x4</v>
      </c>
      <c r="K73" s="10" t="str">
        <f>IFERROR(VLOOKUP($F73,본공사입.출고현황!$B:$H,K$182,0),0)</f>
        <v>M</v>
      </c>
      <c r="L73" s="126">
        <v>252</v>
      </c>
      <c r="M73" s="130"/>
    </row>
    <row r="74" spans="1:13" s="131" customFormat="1" ht="24" customHeight="1">
      <c r="A74" s="29">
        <v>36</v>
      </c>
      <c r="B74" s="10">
        <v>36</v>
      </c>
      <c r="C74" s="10" t="s">
        <v>598</v>
      </c>
      <c r="D74" s="41" t="s">
        <v>649</v>
      </c>
      <c r="E74" s="129">
        <v>45467</v>
      </c>
      <c r="F74" s="29" t="s">
        <v>115</v>
      </c>
      <c r="G74" s="19" t="str">
        <f>IFERROR(VLOOKUP($F74,본공사입.출고현황!$B:$H,G$182,0),0)</f>
        <v>PVC PIPE</v>
      </c>
      <c r="H74" s="19" t="str">
        <f>IFERROR(VLOOKUP($F74,본공사입.출고현황!$B:$H,H$182,0),0)</f>
        <v>PVC Flexible Pipe ф 20</v>
      </c>
      <c r="I74" s="19" t="str">
        <f>IFERROR(VLOOKUP($F74,본공사입.출고현황!$B:$H,I$182,0),0)</f>
        <v>PVC PIPE</v>
      </c>
      <c r="J74" s="19" t="str">
        <f>IFERROR(VLOOKUP($F74,본공사입.출고현황!$B:$H,J$182,0),0)</f>
        <v>ф20</v>
      </c>
      <c r="K74" s="10" t="str">
        <f>IFERROR(VLOOKUP($F74,본공사입.출고현황!$B:$H,K$182,0),0)</f>
        <v>M</v>
      </c>
      <c r="L74" s="126">
        <v>140</v>
      </c>
      <c r="M74" s="132"/>
    </row>
    <row r="75" spans="1:13" s="131" customFormat="1" ht="24" customHeight="1">
      <c r="A75" s="29">
        <v>37</v>
      </c>
      <c r="B75" s="10">
        <v>37</v>
      </c>
      <c r="C75" s="10" t="s">
        <v>598</v>
      </c>
      <c r="D75" s="10"/>
      <c r="E75" s="129">
        <v>45449</v>
      </c>
      <c r="F75" s="10" t="s">
        <v>74</v>
      </c>
      <c r="G75" s="19" t="str">
        <f>IFERROR(VLOOKUP($F75,본공사입.출고현황!$B:$H,G$182,0),0)</f>
        <v>Ground Fitting</v>
      </c>
      <c r="H75" s="19" t="str">
        <f>IFERROR(VLOOKUP($F75,본공사입.출고현황!$B:$H,H$182,0),0)</f>
        <v>Ground TERMINAL LUG 70mm2</v>
      </c>
      <c r="I75" s="19" t="str">
        <f>IFERROR(VLOOKUP($F75,본공사입.출고현황!$B:$H,I$182,0),0)</f>
        <v>Terminal Lug</v>
      </c>
      <c r="J75" s="19" t="str">
        <f>IFERROR(VLOOKUP($F75,본공사입.출고현황!$B:$H,J$182,0),0)</f>
        <v>70mm2</v>
      </c>
      <c r="K75" s="10" t="str">
        <f>IFERROR(VLOOKUP($F75,본공사입.출고현황!$B:$H,K$182,0),0)</f>
        <v>EA</v>
      </c>
      <c r="L75" s="126">
        <v>200</v>
      </c>
      <c r="M75" s="132"/>
    </row>
    <row r="76" spans="1:13" s="131" customFormat="1" ht="24" customHeight="1">
      <c r="A76" s="29">
        <v>38</v>
      </c>
      <c r="B76" s="10">
        <v>38</v>
      </c>
      <c r="C76" s="10" t="s">
        <v>598</v>
      </c>
      <c r="D76" s="10"/>
      <c r="E76" s="129">
        <v>45449</v>
      </c>
      <c r="F76" s="10" t="s">
        <v>160</v>
      </c>
      <c r="G76" s="19" t="str">
        <f>IFERROR(VLOOKUP($F76,본공사입.출고현황!$B:$H,G$182,0),0)</f>
        <v>Conduit Fitting</v>
      </c>
      <c r="H76" s="19" t="str">
        <f>IFERROR(VLOOKUP($F76,본공사입.출고현황!$B:$H,H$182,0),0)</f>
        <v>Conduit Coupling 80-Ts</v>
      </c>
      <c r="I76" s="19" t="str">
        <f>IFERROR(VLOOKUP($F76,본공사입.출고현황!$B:$H,I$182,0),0)</f>
        <v>Conduit Coupling</v>
      </c>
      <c r="J76" s="19" t="str">
        <f>IFERROR(VLOOKUP($F76,본공사입.출고현황!$B:$H,J$182,0),0)</f>
        <v>80-Ts</v>
      </c>
      <c r="K76" s="10" t="str">
        <f>IFERROR(VLOOKUP($F76,본공사입.출고현황!$B:$H,K$182,0),0)</f>
        <v>EA</v>
      </c>
      <c r="L76" s="126">
        <v>10</v>
      </c>
      <c r="M76" s="130"/>
    </row>
    <row r="77" spans="1:13" s="131" customFormat="1" ht="24" customHeight="1">
      <c r="A77" s="29">
        <v>39</v>
      </c>
      <c r="B77" s="10">
        <v>39</v>
      </c>
      <c r="C77" s="10" t="s">
        <v>598</v>
      </c>
      <c r="D77" s="10"/>
      <c r="E77" s="129">
        <v>45469</v>
      </c>
      <c r="F77" s="10" t="s">
        <v>140</v>
      </c>
      <c r="G77" s="19" t="str">
        <f>IFERROR(VLOOKUP($F77,본공사입.출고현황!$B:$H,G$182,0),0)</f>
        <v>Conduit</v>
      </c>
      <c r="H77" s="19" t="str">
        <f>IFERROR(VLOOKUP($F77,본공사입.출고현황!$B:$H,H$182,0),0)</f>
        <v>Conduit 108x4.0</v>
      </c>
      <c r="I77" s="19" t="str">
        <f>IFERROR(VLOOKUP($F77,본공사입.출고현황!$B:$H,I$182,0),0)</f>
        <v>Conduit</v>
      </c>
      <c r="J77" s="19" t="str">
        <f>IFERROR(VLOOKUP($F77,본공사입.출고현황!$B:$H,J$182,0),0)</f>
        <v>108x4</v>
      </c>
      <c r="K77" s="10" t="str">
        <f>IFERROR(VLOOKUP($F77,본공사입.출고현황!$B:$H,K$182,0),0)</f>
        <v>M</v>
      </c>
      <c r="L77" s="126">
        <v>847</v>
      </c>
      <c r="M77" s="130"/>
    </row>
    <row r="78" spans="1:13" s="131" customFormat="1" ht="24" customHeight="1">
      <c r="A78" s="29">
        <v>40</v>
      </c>
      <c r="B78" s="10">
        <v>40</v>
      </c>
      <c r="C78" s="10" t="s">
        <v>598</v>
      </c>
      <c r="D78" s="10"/>
      <c r="E78" s="129">
        <v>45469</v>
      </c>
      <c r="F78" s="10" t="s">
        <v>153</v>
      </c>
      <c r="G78" s="19" t="str">
        <f>IFERROR(VLOOKUP($F78,본공사입.출고현황!$B:$H,G$182,0),0)</f>
        <v>Conduit Fitting</v>
      </c>
      <c r="H78" s="19" t="str">
        <f>IFERROR(VLOOKUP($F78,본공사입.출고현황!$B:$H,H$182,0),0)</f>
        <v>Conduit Coupling 121x5</v>
      </c>
      <c r="I78" s="19" t="str">
        <f>IFERROR(VLOOKUP($F78,본공사입.출고현황!$B:$H,I$182,0),0)</f>
        <v>Conduit Coupling</v>
      </c>
      <c r="J78" s="19" t="str">
        <f>IFERROR(VLOOKUP($F78,본공사입.출고현황!$B:$H,J$182,0),0)</f>
        <v>121x5</v>
      </c>
      <c r="K78" s="10" t="str">
        <f>IFERROR(VLOOKUP($F78,본공사입.출고현황!$B:$H,K$182,0),0)</f>
        <v>M</v>
      </c>
      <c r="L78" s="126">
        <v>84</v>
      </c>
      <c r="M78" s="130"/>
    </row>
    <row r="79" spans="1:13" s="131" customFormat="1" ht="24" customHeight="1">
      <c r="A79" s="29">
        <v>41</v>
      </c>
      <c r="B79" s="10">
        <v>41</v>
      </c>
      <c r="C79" s="10" t="s">
        <v>598</v>
      </c>
      <c r="D79" s="10"/>
      <c r="E79" s="129">
        <v>45469</v>
      </c>
      <c r="F79" s="10" t="s">
        <v>70</v>
      </c>
      <c r="G79" s="19" t="str">
        <f>IFERROR(VLOOKUP($F79,본공사입.출고현황!$B:$H,G$182,0),0)</f>
        <v>Ground</v>
      </c>
      <c r="H79" s="19" t="str">
        <f>IFERROR(VLOOKUP($F79,본공사입.출고현황!$B:$H,H$182,0),0)</f>
        <v>Ground Cable  70SQ</v>
      </c>
      <c r="I79" s="19" t="str">
        <f>IFERROR(VLOOKUP($F79,본공사입.출고현황!$B:$H,I$182,0),0)</f>
        <v xml:space="preserve">Ground Cable </v>
      </c>
      <c r="J79" s="19" t="str">
        <f>IFERROR(VLOOKUP($F79,본공사입.출고현황!$B:$H,J$182,0),0)</f>
        <v>70SQ</v>
      </c>
      <c r="K79" s="10" t="str">
        <f>IFERROR(VLOOKUP($F79,본공사입.출고현황!$B:$H,K$182,0),0)</f>
        <v>M</v>
      </c>
      <c r="L79" s="126">
        <v>3120</v>
      </c>
      <c r="M79" s="130"/>
    </row>
    <row r="80" spans="1:13" s="131" customFormat="1" ht="24" customHeight="1">
      <c r="A80" s="29">
        <v>42</v>
      </c>
      <c r="B80" s="10">
        <v>42</v>
      </c>
      <c r="C80" s="10" t="s">
        <v>598</v>
      </c>
      <c r="D80" s="10"/>
      <c r="E80" s="129">
        <v>45469</v>
      </c>
      <c r="F80" s="10" t="s">
        <v>128</v>
      </c>
      <c r="G80" s="19" t="str">
        <f>IFERROR(VLOOKUP($F80,본공사입.출고현황!$B:$H,G$182,0),0)</f>
        <v>Conduit</v>
      </c>
      <c r="H80" s="19" t="str">
        <f>IFERROR(VLOOKUP($F80,본공사입.출고현황!$B:$H,H$182,0),0)</f>
        <v>Conduit (Galvanized)  Ts-80x4</v>
      </c>
      <c r="I80" s="19" t="str">
        <f>IFERROR(VLOOKUP($F80,본공사입.출고현황!$B:$H,I$182,0),0)</f>
        <v xml:space="preserve">Conduit (Galvanized) </v>
      </c>
      <c r="J80" s="19" t="str">
        <f>IFERROR(VLOOKUP($F80,본공사입.출고현황!$B:$H,J$182,0),0)</f>
        <v>88x4</v>
      </c>
      <c r="K80" s="10" t="str">
        <f>IFERROR(VLOOKUP($F80,본공사입.출고현황!$B:$H,K$182,0),0)</f>
        <v>M</v>
      </c>
      <c r="L80" s="126">
        <v>864</v>
      </c>
      <c r="M80" s="130"/>
    </row>
    <row r="81" spans="1:13" s="131" customFormat="1" ht="24" customHeight="1">
      <c r="A81" s="29">
        <v>43</v>
      </c>
      <c r="B81" s="10">
        <v>43</v>
      </c>
      <c r="C81" s="10" t="s">
        <v>598</v>
      </c>
      <c r="D81" s="10"/>
      <c r="E81" s="129">
        <v>45495</v>
      </c>
      <c r="F81" s="29" t="s">
        <v>94</v>
      </c>
      <c r="G81" s="19" t="str">
        <f>IFERROR(VLOOKUP($F81,본공사입.출고현황!$B:$H,G$182,0),0)</f>
        <v>Ground</v>
      </c>
      <c r="H81" s="19" t="str">
        <f>IFERROR(VLOOKUP($F81,본공사입.출고현황!$B:$H,H$182,0),0)</f>
        <v>Cadweld Powder #200</v>
      </c>
      <c r="I81" s="19" t="str">
        <f>IFERROR(VLOOKUP($F81,본공사입.출고현황!$B:$H,I$182,0),0)</f>
        <v>Cadweld Powder</v>
      </c>
      <c r="J81" s="19" t="str">
        <f>IFERROR(VLOOKUP($F81,본공사입.출고현황!$B:$H,J$182,0),0)</f>
        <v>#200</v>
      </c>
      <c r="K81" s="10" t="str">
        <f>IFERROR(VLOOKUP($F81,본공사입.출고현황!$B:$H,K$182,0),0)</f>
        <v>EA</v>
      </c>
      <c r="L81" s="126">
        <v>600</v>
      </c>
      <c r="M81" s="130"/>
    </row>
    <row r="82" spans="1:13" s="131" customFormat="1" ht="24" customHeight="1">
      <c r="A82" s="29">
        <v>44</v>
      </c>
      <c r="B82" s="10">
        <v>44</v>
      </c>
      <c r="C82" s="10" t="s">
        <v>598</v>
      </c>
      <c r="D82" s="10"/>
      <c r="E82" s="129">
        <v>45495</v>
      </c>
      <c r="F82" s="10" t="s">
        <v>86</v>
      </c>
      <c r="G82" s="19" t="str">
        <f>IFERROR(VLOOKUP($F82,본공사입.출고현황!$B:$H,G$182,0),0)</f>
        <v>Ground</v>
      </c>
      <c r="H82" s="19" t="str">
        <f>IFERROR(VLOOKUP($F82,본공사입.출고현황!$B:$H,H$182,0),0)</f>
        <v>Cadweld Powder #115</v>
      </c>
      <c r="I82" s="19" t="str">
        <f>IFERROR(VLOOKUP($F82,본공사입.출고현황!$B:$H,I$182,0),0)</f>
        <v>Cadweld Powder</v>
      </c>
      <c r="J82" s="19" t="str">
        <f>IFERROR(VLOOKUP($F82,본공사입.출고현황!$B:$H,J$182,0),0)</f>
        <v>#115</v>
      </c>
      <c r="K82" s="10" t="str">
        <f>IFERROR(VLOOKUP($F82,본공사입.출고현황!$B:$H,K$182,0),0)</f>
        <v>EA</v>
      </c>
      <c r="L82" s="126">
        <v>150</v>
      </c>
      <c r="M82" s="130"/>
    </row>
    <row r="83" spans="1:13" s="131" customFormat="1" ht="24" customHeight="1">
      <c r="A83" s="29">
        <v>45</v>
      </c>
      <c r="B83" s="10">
        <v>45</v>
      </c>
      <c r="C83" s="10" t="s">
        <v>598</v>
      </c>
      <c r="D83" s="10"/>
      <c r="E83" s="129">
        <v>45495</v>
      </c>
      <c r="F83" s="10" t="s">
        <v>98</v>
      </c>
      <c r="G83" s="19" t="str">
        <f>IFERROR(VLOOKUP($F83,본공사입.출고현황!$B:$H,G$182,0),0)</f>
        <v>Ground</v>
      </c>
      <c r="H83" s="19" t="str">
        <f>IFERROR(VLOOKUP($F83,본공사입.출고현황!$B:$H,H$182,0),0)</f>
        <v>Cadweld XBQ-Y4Y4</v>
      </c>
      <c r="I83" s="19" t="str">
        <f>IFERROR(VLOOKUP($F83,본공사입.출고현황!$B:$H,I$182,0),0)</f>
        <v>Welding Mold</v>
      </c>
      <c r="J83" s="19" t="str">
        <f>IFERROR(VLOOKUP($F83,본공사입.출고현황!$B:$H,J$182,0),0)</f>
        <v>Cross (+)</v>
      </c>
      <c r="K83" s="10" t="str">
        <f>IFERROR(VLOOKUP($F83,본공사입.출고현황!$B:$H,K$182,0),0)</f>
        <v>EA</v>
      </c>
      <c r="L83" s="126">
        <v>20</v>
      </c>
      <c r="M83" s="130"/>
    </row>
    <row r="84" spans="1:13" s="131" customFormat="1" ht="24" customHeight="1">
      <c r="A84" s="29">
        <v>46</v>
      </c>
      <c r="B84" s="10">
        <v>46</v>
      </c>
      <c r="C84" s="10" t="s">
        <v>598</v>
      </c>
      <c r="D84" s="10"/>
      <c r="E84" s="129">
        <v>45495</v>
      </c>
      <c r="F84" s="10" t="s">
        <v>104</v>
      </c>
      <c r="G84" s="19" t="str">
        <f>IFERROR(VLOOKUP($F84,본공사입.출고현황!$B:$H,G$182,0),0)</f>
        <v>Ground</v>
      </c>
      <c r="H84" s="19" t="str">
        <f>IFERROR(VLOOKUP($F84,본공사입.출고현황!$B:$H,H$182,0),0)</f>
        <v>Cadweld PGC-Y4Y4</v>
      </c>
      <c r="I84" s="19" t="str">
        <f>IFERROR(VLOOKUP($F84,본공사입.출고현황!$B:$H,I$182,0),0)</f>
        <v>Welding Mold</v>
      </c>
      <c r="J84" s="19" t="str">
        <f>IFERROR(VLOOKUP($F84,본공사입.출고현황!$B:$H,J$182,0),0)</f>
        <v>Parallel (=)</v>
      </c>
      <c r="K84" s="10" t="str">
        <f>IFERROR(VLOOKUP($F84,본공사입.출고현황!$B:$H,K$182,0),0)</f>
        <v>EA</v>
      </c>
      <c r="L84" s="126">
        <v>5</v>
      </c>
      <c r="M84" s="130"/>
    </row>
    <row r="85" spans="1:13" s="131" customFormat="1" ht="24" customHeight="1">
      <c r="A85" s="29">
        <v>47</v>
      </c>
      <c r="B85" s="10">
        <v>47</v>
      </c>
      <c r="C85" s="10" t="s">
        <v>598</v>
      </c>
      <c r="D85" s="10"/>
      <c r="E85" s="129">
        <v>45495</v>
      </c>
      <c r="F85" s="10" t="s">
        <v>106</v>
      </c>
      <c r="G85" s="19" t="str">
        <f>IFERROR(VLOOKUP($F85,본공사입.출고현황!$B:$H,G$182,0),0)</f>
        <v>Ground</v>
      </c>
      <c r="H85" s="19" t="str">
        <f>IFERROR(VLOOKUP($F85,본공사입.출고현황!$B:$H,H$182,0),0)</f>
        <v>Cadweld TAC-Y4Y4</v>
      </c>
      <c r="I85" s="19" t="str">
        <f>IFERROR(VLOOKUP($F85,본공사입.출고현황!$B:$H,I$182,0),0)</f>
        <v>Welding Mold</v>
      </c>
      <c r="J85" s="19" t="str">
        <f>IFERROR(VLOOKUP($F85,본공사입.출고현황!$B:$H,J$182,0),0)</f>
        <v>Cross (T)</v>
      </c>
      <c r="K85" s="10" t="str">
        <f>IFERROR(VLOOKUP($F85,본공사입.출고현황!$B:$H,K$182,0),0)</f>
        <v>EA</v>
      </c>
      <c r="L85" s="126">
        <v>5</v>
      </c>
      <c r="M85" s="130"/>
    </row>
    <row r="86" spans="1:13" s="131" customFormat="1" ht="24" customHeight="1">
      <c r="A86" s="29">
        <v>48</v>
      </c>
      <c r="B86" s="10">
        <v>48</v>
      </c>
      <c r="C86" s="10" t="s">
        <v>598</v>
      </c>
      <c r="D86" s="10"/>
      <c r="E86" s="129">
        <v>45495</v>
      </c>
      <c r="F86" s="10" t="s">
        <v>160</v>
      </c>
      <c r="G86" s="19" t="str">
        <f>IFERROR(VLOOKUP($F86,본공사입.출고현황!$B:$H,G$182,0),0)</f>
        <v>Conduit Fitting</v>
      </c>
      <c r="H86" s="19" t="str">
        <f>IFERROR(VLOOKUP($F86,본공사입.출고현황!$B:$H,H$182,0),0)</f>
        <v>Conduit Coupling 80-Ts</v>
      </c>
      <c r="I86" s="19" t="str">
        <f>IFERROR(VLOOKUP($F86,본공사입.출고현황!$B:$H,I$182,0),0)</f>
        <v>Conduit Coupling</v>
      </c>
      <c r="J86" s="19" t="str">
        <f>IFERROR(VLOOKUP($F86,본공사입.출고현황!$B:$H,J$182,0),0)</f>
        <v>80-Ts</v>
      </c>
      <c r="K86" s="10" t="str">
        <f>IFERROR(VLOOKUP($F86,본공사입.출고현황!$B:$H,K$182,0),0)</f>
        <v>EA</v>
      </c>
      <c r="L86" s="126">
        <v>120</v>
      </c>
      <c r="M86" s="130"/>
    </row>
    <row r="87" spans="1:13" s="131" customFormat="1" ht="24" customHeight="1">
      <c r="A87" s="29">
        <v>49</v>
      </c>
      <c r="B87" s="10">
        <v>49</v>
      </c>
      <c r="C87" s="10" t="s">
        <v>598</v>
      </c>
      <c r="D87" s="10"/>
      <c r="E87" s="129">
        <v>45495</v>
      </c>
      <c r="F87" s="10" t="s">
        <v>81</v>
      </c>
      <c r="G87" s="19" t="str">
        <f>IFERROR(VLOOKUP($F87,본공사입.출고현황!$B:$H,G$182,0),0)</f>
        <v>Ground</v>
      </c>
      <c r="H87" s="19" t="str">
        <f>IFERROR(VLOOKUP($F87,본공사입.출고현황!$B:$H,H$182,0),0)</f>
        <v>Cadweld Powder #90</v>
      </c>
      <c r="I87" s="19" t="str">
        <f>IFERROR(VLOOKUP($F87,본공사입.출고현황!$B:$H,I$182,0),0)</f>
        <v>Cadweld Powder</v>
      </c>
      <c r="J87" s="19" t="str">
        <f>IFERROR(VLOOKUP($F87,본공사입.출고현황!$B:$H,J$182,0),0)</f>
        <v>#90</v>
      </c>
      <c r="K87" s="10" t="str">
        <f>IFERROR(VLOOKUP($F87,본공사입.출고현황!$B:$H,K$182,0),0)</f>
        <v>EA</v>
      </c>
      <c r="L87" s="126">
        <v>100</v>
      </c>
      <c r="M87" s="130"/>
    </row>
    <row r="88" spans="1:13" s="131" customFormat="1" ht="24" customHeight="1">
      <c r="A88" s="29">
        <v>50</v>
      </c>
      <c r="B88" s="10">
        <v>50</v>
      </c>
      <c r="C88" s="10" t="s">
        <v>598</v>
      </c>
      <c r="D88" s="10"/>
      <c r="E88" s="129">
        <v>45495</v>
      </c>
      <c r="F88" s="10" t="s">
        <v>119</v>
      </c>
      <c r="G88" s="19" t="str">
        <f>IFERROR(VLOOKUP($F88,본공사입.출고현황!$B:$H,G$182,0),0)</f>
        <v>Ground</v>
      </c>
      <c r="H88" s="19" t="str">
        <f>IFERROR(VLOOKUP($F88,본공사입.출고현황!$B:$H,H$182,0),0)</f>
        <v>nVent Exothemic Welding Control Unit</v>
      </c>
      <c r="I88" s="19" t="str">
        <f>IFERROR(VLOOKUP($F88,본공사입.출고현황!$B:$H,I$182,0),0)</f>
        <v>CAD WELD GUN</v>
      </c>
      <c r="J88" s="19">
        <f>IFERROR(VLOOKUP($F88,본공사입.출고현황!$B:$H,J$182,0),0)</f>
        <v>0</v>
      </c>
      <c r="K88" s="10" t="str">
        <f>IFERROR(VLOOKUP($F88,본공사입.출고현황!$B:$H,K$182,0),0)</f>
        <v>EA</v>
      </c>
      <c r="L88" s="126">
        <v>2</v>
      </c>
      <c r="M88" s="130"/>
    </row>
    <row r="89" spans="1:13" s="131" customFormat="1" ht="24" customHeight="1">
      <c r="A89" s="29">
        <v>51</v>
      </c>
      <c r="B89" s="10">
        <v>51</v>
      </c>
      <c r="C89" s="10" t="s">
        <v>598</v>
      </c>
      <c r="D89" s="10"/>
      <c r="E89" s="129">
        <v>45523</v>
      </c>
      <c r="F89" s="10" t="s">
        <v>162</v>
      </c>
      <c r="G89" s="19" t="str">
        <f>IFERROR(VLOOKUP($F89,본공사입.출고현황!$B:$H,G$182,0),0)</f>
        <v>Sup't</v>
      </c>
      <c r="H89" s="19" t="str">
        <f>IFERROR(VLOOKUP($F89,본공사입.출고현황!$B:$H,H$182,0),0)</f>
        <v>Angle 50x50x5</v>
      </c>
      <c r="I89" s="19" t="str">
        <f>IFERROR(VLOOKUP($F89,본공사입.출고현황!$B:$H,I$182,0),0)</f>
        <v>Angle</v>
      </c>
      <c r="J89" s="19" t="str">
        <f>IFERROR(VLOOKUP($F89,본공사입.출고현황!$B:$H,J$182,0),0)</f>
        <v>50*50*5</v>
      </c>
      <c r="K89" s="10" t="str">
        <f>IFERROR(VLOOKUP($F89,본공사입.출고현황!$B:$H,K$182,0),0)</f>
        <v>M</v>
      </c>
      <c r="L89" s="126">
        <v>1008</v>
      </c>
      <c r="M89" s="130"/>
    </row>
    <row r="90" spans="1:13" s="131" customFormat="1" ht="24" customHeight="1">
      <c r="A90" s="29">
        <v>52</v>
      </c>
      <c r="B90" s="10">
        <v>52</v>
      </c>
      <c r="C90" s="10" t="s">
        <v>598</v>
      </c>
      <c r="D90" s="10"/>
      <c r="E90" s="129">
        <v>45523</v>
      </c>
      <c r="F90" s="10" t="s">
        <v>165</v>
      </c>
      <c r="G90" s="19" t="str">
        <f>IFERROR(VLOOKUP($F90,본공사입.출고현황!$B:$H,G$182,0),0)</f>
        <v>Sup't</v>
      </c>
      <c r="H90" s="19" t="str">
        <f>IFERROR(VLOOKUP($F90,본공사입.출고현황!$B:$H,H$182,0),0)</f>
        <v>Angle 70x70x7</v>
      </c>
      <c r="I90" s="19" t="str">
        <f>IFERROR(VLOOKUP($F90,본공사입.출고현황!$B:$H,I$182,0),0)</f>
        <v>Angle</v>
      </c>
      <c r="J90" s="19" t="str">
        <f>IFERROR(VLOOKUP($F90,본공사입.출고현황!$B:$H,J$182,0),0)</f>
        <v>70*70*7</v>
      </c>
      <c r="K90" s="10" t="str">
        <f>IFERROR(VLOOKUP($F90,본공사입.출고현황!$B:$H,K$182,0),0)</f>
        <v>M</v>
      </c>
      <c r="L90" s="126">
        <v>300</v>
      </c>
      <c r="M90" s="130"/>
    </row>
    <row r="91" spans="1:13" s="131" customFormat="1" ht="24" customHeight="1">
      <c r="A91" s="29">
        <v>53</v>
      </c>
      <c r="B91" s="10">
        <v>53</v>
      </c>
      <c r="C91" s="10" t="s">
        <v>598</v>
      </c>
      <c r="D91" s="10"/>
      <c r="E91" s="129">
        <v>45523</v>
      </c>
      <c r="F91" s="10" t="s">
        <v>169</v>
      </c>
      <c r="G91" s="19">
        <f>IFERROR(VLOOKUP($F91,본공사입.출고현황!$B:$H,G$182,0),0)</f>
        <v>0</v>
      </c>
      <c r="H91" s="19">
        <f>IFERROR(VLOOKUP($F91,본공사입.출고현황!$B:$H,H$182,0),0)</f>
        <v>0</v>
      </c>
      <c r="I91" s="19">
        <f>IFERROR(VLOOKUP($F91,본공사입.출고현황!$B:$H,I$182,0),0)</f>
        <v>0</v>
      </c>
      <c r="J91" s="19">
        <f>IFERROR(VLOOKUP($F91,본공사입.출고현황!$B:$H,J$182,0),0)</f>
        <v>0</v>
      </c>
      <c r="K91" s="10">
        <f>IFERROR(VLOOKUP($F91,본공사입.출고현황!$B:$H,K$182,0),0)</f>
        <v>0</v>
      </c>
      <c r="L91" s="126">
        <v>20</v>
      </c>
      <c r="M91" s="130"/>
    </row>
    <row r="92" spans="1:13" s="131" customFormat="1" ht="24" customHeight="1">
      <c r="A92" s="29">
        <v>54</v>
      </c>
      <c r="B92" s="10">
        <v>54</v>
      </c>
      <c r="C92" s="10" t="s">
        <v>598</v>
      </c>
      <c r="D92" s="10"/>
      <c r="E92" s="129">
        <v>45523</v>
      </c>
      <c r="F92" s="10" t="s">
        <v>175</v>
      </c>
      <c r="G92" s="19" t="str">
        <f>IFERROR(VLOOKUP($F92,본공사입.출고현황!$B:$H,G$182,0),0)</f>
        <v>Paint</v>
      </c>
      <c r="H92" s="19" t="str">
        <f>IFERROR(VLOOKUP($F92,본공사입.출고현황!$B:$H,H$182,0),0)</f>
        <v>JOTUN Pipe Top-coated Paint</v>
      </c>
      <c r="I92" s="19" t="str">
        <f>IFERROR(VLOOKUP($F92,본공사입.출고현황!$B:$H,I$182,0),0)</f>
        <v>Paint</v>
      </c>
      <c r="J92" s="19" t="str">
        <f>IFERROR(VLOOKUP($F92,본공사입.출고현황!$B:$H,J$182,0),0)</f>
        <v>20L</v>
      </c>
      <c r="K92" s="10" t="str">
        <f>IFERROR(VLOOKUP($F92,본공사입.출고현황!$B:$H,K$182,0),0)</f>
        <v>CAN</v>
      </c>
      <c r="L92" s="126">
        <v>0</v>
      </c>
      <c r="M92" s="130" t="s">
        <v>651</v>
      </c>
    </row>
    <row r="93" spans="1:13" s="131" customFormat="1" ht="24" customHeight="1">
      <c r="A93" s="29">
        <v>55</v>
      </c>
      <c r="B93" s="10">
        <v>55</v>
      </c>
      <c r="C93" s="10" t="s">
        <v>598</v>
      </c>
      <c r="D93" s="10"/>
      <c r="E93" s="129">
        <v>45546</v>
      </c>
      <c r="F93" s="10" t="s">
        <v>157</v>
      </c>
      <c r="G93" s="19" t="str">
        <f>IFERROR(VLOOKUP($F93,본공사입.출고현황!$B:$H,G$182,0),0)</f>
        <v>Conduit Fitting</v>
      </c>
      <c r="H93" s="19" t="str">
        <f>IFERROR(VLOOKUP($F93,본공사입.출고현황!$B:$H,H$182,0),0)</f>
        <v>Conduit Coupling 100-Ts</v>
      </c>
      <c r="I93" s="19" t="str">
        <f>IFERROR(VLOOKUP($F93,본공사입.출고현황!$B:$H,I$182,0),0)</f>
        <v>Conduit Coupling</v>
      </c>
      <c r="J93" s="19" t="str">
        <f>IFERROR(VLOOKUP($F93,본공사입.출고현황!$B:$H,J$182,0),0)</f>
        <v>100-Ts</v>
      </c>
      <c r="K93" s="10" t="str">
        <f>IFERROR(VLOOKUP($F93,본공사입.출고현황!$B:$H,K$182,0),0)</f>
        <v>EA</v>
      </c>
      <c r="L93" s="126">
        <v>120</v>
      </c>
      <c r="M93" s="130"/>
    </row>
    <row r="94" spans="1:13" s="131" customFormat="1" ht="24" customHeight="1">
      <c r="A94" s="29">
        <v>56</v>
      </c>
      <c r="B94" s="10">
        <v>56</v>
      </c>
      <c r="C94" s="10" t="s">
        <v>598</v>
      </c>
      <c r="D94" s="10"/>
      <c r="E94" s="129">
        <v>45557</v>
      </c>
      <c r="F94" s="10" t="s">
        <v>128</v>
      </c>
      <c r="G94" s="19" t="str">
        <f>IFERROR(VLOOKUP($F94,본공사입.출고현황!$B:$H,G$182,0),0)</f>
        <v>Conduit</v>
      </c>
      <c r="H94" s="19" t="str">
        <f>IFERROR(VLOOKUP($F94,본공사입.출고현황!$B:$H,H$182,0),0)</f>
        <v>Conduit (Galvanized)  Ts-80x4</v>
      </c>
      <c r="I94" s="19" t="str">
        <f>IFERROR(VLOOKUP($F94,본공사입.출고현황!$B:$H,I$182,0),0)</f>
        <v xml:space="preserve">Conduit (Galvanized) </v>
      </c>
      <c r="J94" s="19" t="str">
        <f>IFERROR(VLOOKUP($F94,본공사입.출고현황!$B:$H,J$182,0),0)</f>
        <v>88x4</v>
      </c>
      <c r="K94" s="10" t="str">
        <f>IFERROR(VLOOKUP($F94,본공사입.출고현황!$B:$H,K$182,0),0)</f>
        <v>M</v>
      </c>
      <c r="L94" s="126">
        <v>1732</v>
      </c>
      <c r="M94" s="130"/>
    </row>
    <row r="95" spans="1:13" s="131" customFormat="1" ht="24" customHeight="1">
      <c r="A95" s="29">
        <v>57</v>
      </c>
      <c r="B95" s="10">
        <v>57</v>
      </c>
      <c r="C95" s="10" t="s">
        <v>598</v>
      </c>
      <c r="D95" s="10"/>
      <c r="E95" s="129">
        <v>45557</v>
      </c>
      <c r="F95" s="10" t="s">
        <v>160</v>
      </c>
      <c r="G95" s="19" t="str">
        <f>IFERROR(VLOOKUP($F95,본공사입.출고현황!$B:$H,G$182,0),0)</f>
        <v>Conduit Fitting</v>
      </c>
      <c r="H95" s="19" t="str">
        <f>IFERROR(VLOOKUP($F95,본공사입.출고현황!$B:$H,H$182,0),0)</f>
        <v>Conduit Coupling 80-Ts</v>
      </c>
      <c r="I95" s="19" t="str">
        <f>IFERROR(VLOOKUP($F95,본공사입.출고현황!$B:$H,I$182,0),0)</f>
        <v>Conduit Coupling</v>
      </c>
      <c r="J95" s="19" t="str">
        <f>IFERROR(VLOOKUP($F95,본공사입.출고현황!$B:$H,J$182,0),0)</f>
        <v>80-Ts</v>
      </c>
      <c r="K95" s="10" t="str">
        <f>IFERROR(VLOOKUP($F95,본공사입.출고현황!$B:$H,K$182,0),0)</f>
        <v>EA</v>
      </c>
      <c r="L95" s="126">
        <v>128</v>
      </c>
      <c r="M95" s="130"/>
    </row>
    <row r="96" spans="1:13" s="131" customFormat="1" ht="24" customHeight="1">
      <c r="A96" s="29">
        <v>58</v>
      </c>
      <c r="B96" s="10">
        <v>58</v>
      </c>
      <c r="C96" s="10" t="s">
        <v>598</v>
      </c>
      <c r="D96" s="10"/>
      <c r="E96" s="129">
        <v>45630</v>
      </c>
      <c r="F96" s="29" t="s">
        <v>68</v>
      </c>
      <c r="G96" s="19" t="str">
        <f>IFERROR(VLOOKUP($F96,본공사입.출고현황!$B:$H,G$182,0),0)</f>
        <v>Ground</v>
      </c>
      <c r="H96" s="19" t="str">
        <f>IFERROR(VLOOKUP($F96,본공사입.출고현황!$B:$H,H$182,0),0)</f>
        <v>Ground Cable  78SQ</v>
      </c>
      <c r="I96" s="19" t="str">
        <f>IFERROR(VLOOKUP($F96,본공사입.출고현황!$B:$H,I$182,0),0)</f>
        <v xml:space="preserve">Ground Cable </v>
      </c>
      <c r="J96" s="19" t="str">
        <f>IFERROR(VLOOKUP($F96,본공사입.출고현황!$B:$H,J$182,0),0)</f>
        <v>78SQ</v>
      </c>
      <c r="K96" s="10" t="str">
        <f>IFERROR(VLOOKUP($F96,본공사입.출고현황!$B:$H,K$182,0),0)</f>
        <v>M</v>
      </c>
      <c r="L96" s="126">
        <v>4500</v>
      </c>
      <c r="M96" s="130"/>
    </row>
    <row r="97" spans="1:13" s="131" customFormat="1" ht="24" customHeight="1">
      <c r="A97" s="29">
        <v>59</v>
      </c>
      <c r="B97" s="10">
        <v>59</v>
      </c>
      <c r="C97" s="10" t="s">
        <v>598</v>
      </c>
      <c r="D97" s="10"/>
      <c r="E97" s="129">
        <v>45630</v>
      </c>
      <c r="F97" s="10" t="s">
        <v>109</v>
      </c>
      <c r="G97" s="19" t="str">
        <f>IFERROR(VLOOKUP($F97,본공사입.출고현황!$B:$H,G$182,0),0)</f>
        <v>Ground</v>
      </c>
      <c r="H97" s="19" t="str">
        <f>IFERROR(VLOOKUP($F97,본공사입.출고현황!$B:$H,H$182,0),0)</f>
        <v xml:space="preserve">Zinc Spray </v>
      </c>
      <c r="I97" s="19" t="str">
        <f>IFERROR(VLOOKUP($F97,본공사입.출고현황!$B:$H,I$182,0),0)</f>
        <v>Zinc Spray</v>
      </c>
      <c r="J97" s="19">
        <f>IFERROR(VLOOKUP($F97,본공사입.출고현황!$B:$H,J$182,0),0)</f>
        <v>0</v>
      </c>
      <c r="K97" s="10" t="str">
        <f>IFERROR(VLOOKUP($F97,본공사입.출고현황!$B:$H,K$182,0),0)</f>
        <v>EA</v>
      </c>
      <c r="L97" s="126">
        <v>70</v>
      </c>
      <c r="M97" s="130"/>
    </row>
    <row r="98" spans="1:13" s="131" customFormat="1" ht="24" customHeight="1">
      <c r="A98" s="29">
        <v>60</v>
      </c>
      <c r="B98" s="10">
        <v>60</v>
      </c>
      <c r="C98" s="10" t="s">
        <v>598</v>
      </c>
      <c r="D98" s="10"/>
      <c r="E98" s="129">
        <v>45630</v>
      </c>
      <c r="F98" s="29" t="s">
        <v>111</v>
      </c>
      <c r="G98" s="19" t="str">
        <f>IFERROR(VLOOKUP($F98,본공사입.출고현황!$B:$H,G$182,0),0)</f>
        <v>Ground Conduit</v>
      </c>
      <c r="H98" s="19" t="str">
        <f>IFERROR(VLOOKUP($F98,본공사입.출고현황!$B:$H,H$182,0),0)</f>
        <v>Flexible Conduit 2"</v>
      </c>
      <c r="I98" s="19" t="str">
        <f>IFERROR(VLOOKUP($F98,본공사입.출고현황!$B:$H,I$182,0),0)</f>
        <v>Ground Conduit</v>
      </c>
      <c r="J98" s="19" t="str">
        <f>IFERROR(VLOOKUP($F98,본공사입.출고현황!$B:$H,J$182,0),0)</f>
        <v>2"</v>
      </c>
      <c r="K98" s="10" t="str">
        <f>IFERROR(VLOOKUP($F98,본공사입.출고현황!$B:$H,K$182,0),0)</f>
        <v>M</v>
      </c>
      <c r="L98" s="126">
        <v>100</v>
      </c>
      <c r="M98" s="130"/>
    </row>
    <row r="99" spans="1:13" s="131" customFormat="1" ht="24" customHeight="1">
      <c r="A99" s="29">
        <v>61</v>
      </c>
      <c r="B99" s="10">
        <v>61</v>
      </c>
      <c r="C99" s="10" t="s">
        <v>598</v>
      </c>
      <c r="D99" s="10"/>
      <c r="E99" s="129">
        <v>45630</v>
      </c>
      <c r="F99" s="10" t="s">
        <v>86</v>
      </c>
      <c r="G99" s="19" t="str">
        <f>IFERROR(VLOOKUP($F99,본공사입.출고현황!$B:$H,G$182,0),0)</f>
        <v>Ground</v>
      </c>
      <c r="H99" s="19" t="str">
        <f>IFERROR(VLOOKUP($F99,본공사입.출고현황!$B:$H,H$182,0),0)</f>
        <v>Cadweld Powder #115</v>
      </c>
      <c r="I99" s="19" t="str">
        <f>IFERROR(VLOOKUP($F99,본공사입.출고현황!$B:$H,I$182,0),0)</f>
        <v>Cadweld Powder</v>
      </c>
      <c r="J99" s="19" t="str">
        <f>IFERROR(VLOOKUP($F99,본공사입.출고현황!$B:$H,J$182,0),0)</f>
        <v>#115</v>
      </c>
      <c r="K99" s="10" t="str">
        <f>IFERROR(VLOOKUP($F99,본공사입.출고현황!$B:$H,K$182,0),0)</f>
        <v>EA</v>
      </c>
      <c r="L99" s="126">
        <v>150</v>
      </c>
      <c r="M99" s="130"/>
    </row>
    <row r="100" spans="1:13" s="131" customFormat="1" ht="24" customHeight="1">
      <c r="A100" s="29">
        <v>62</v>
      </c>
      <c r="B100" s="10">
        <v>62</v>
      </c>
      <c r="C100" s="10" t="s">
        <v>598</v>
      </c>
      <c r="D100" s="10"/>
      <c r="E100" s="129">
        <v>45630</v>
      </c>
      <c r="F100" s="10" t="s">
        <v>90</v>
      </c>
      <c r="G100" s="19" t="str">
        <f>IFERROR(VLOOKUP($F100,본공사입.출고현황!$B:$H,G$182,0),0)</f>
        <v>Ground</v>
      </c>
      <c r="H100" s="19" t="str">
        <f>IFERROR(VLOOKUP($F100,본공사입.출고현황!$B:$H,H$182,0),0)</f>
        <v>Cadweld Powder #150</v>
      </c>
      <c r="I100" s="19" t="str">
        <f>IFERROR(VLOOKUP($F100,본공사입.출고현황!$B:$H,I$182,0),0)</f>
        <v>Cadweld Powder</v>
      </c>
      <c r="J100" s="19" t="str">
        <f>IFERROR(VLOOKUP($F100,본공사입.출고현황!$B:$H,J$182,0),0)</f>
        <v>#150</v>
      </c>
      <c r="K100" s="10" t="str">
        <f>IFERROR(VLOOKUP($F100,본공사입.출고현황!$B:$H,K$182,0),0)</f>
        <v>EA</v>
      </c>
      <c r="L100" s="126">
        <v>100</v>
      </c>
      <c r="M100" s="130"/>
    </row>
    <row r="101" spans="1:13" s="131" customFormat="1" ht="24" customHeight="1">
      <c r="A101" s="29">
        <v>63</v>
      </c>
      <c r="B101" s="10">
        <v>63</v>
      </c>
      <c r="C101" s="10" t="s">
        <v>598</v>
      </c>
      <c r="D101" s="10"/>
      <c r="E101" s="129">
        <v>45630</v>
      </c>
      <c r="F101" s="10" t="s">
        <v>94</v>
      </c>
      <c r="G101" s="19" t="str">
        <f>IFERROR(VLOOKUP($F101,본공사입.출고현황!$B:$H,G$182,0),0)</f>
        <v>Ground</v>
      </c>
      <c r="H101" s="19" t="str">
        <f>IFERROR(VLOOKUP($F101,본공사입.출고현황!$B:$H,H$182,0),0)</f>
        <v>Cadweld Powder #200</v>
      </c>
      <c r="I101" s="19" t="str">
        <f>IFERROR(VLOOKUP($F101,본공사입.출고현황!$B:$H,I$182,0),0)</f>
        <v>Cadweld Powder</v>
      </c>
      <c r="J101" s="19" t="str">
        <f>IFERROR(VLOOKUP($F101,본공사입.출고현황!$B:$H,J$182,0),0)</f>
        <v>#200</v>
      </c>
      <c r="K101" s="10" t="str">
        <f>IFERROR(VLOOKUP($F101,본공사입.출고현황!$B:$H,K$182,0),0)</f>
        <v>EA</v>
      </c>
      <c r="L101" s="126">
        <v>300</v>
      </c>
      <c r="M101" s="130"/>
    </row>
    <row r="102" spans="1:13" s="131" customFormat="1" ht="24" customHeight="1">
      <c r="A102" s="29">
        <v>64</v>
      </c>
      <c r="B102" s="10">
        <v>64</v>
      </c>
      <c r="C102" s="10" t="s">
        <v>598</v>
      </c>
      <c r="D102" s="10"/>
      <c r="E102" s="129">
        <v>45630</v>
      </c>
      <c r="F102" s="10" t="s">
        <v>119</v>
      </c>
      <c r="G102" s="19" t="str">
        <f>IFERROR(VLOOKUP($F102,본공사입.출고현황!$B:$H,G$182,0),0)</f>
        <v>Ground</v>
      </c>
      <c r="H102" s="19" t="str">
        <f>IFERROR(VLOOKUP($F102,본공사입.출고현황!$B:$H,H$182,0),0)</f>
        <v>nVent Exothemic Welding Control Unit</v>
      </c>
      <c r="I102" s="19" t="str">
        <f>IFERROR(VLOOKUP($F102,본공사입.출고현황!$B:$H,I$182,0),0)</f>
        <v>CAD WELD GUN</v>
      </c>
      <c r="J102" s="19">
        <f>IFERROR(VLOOKUP($F102,본공사입.출고현황!$B:$H,J$182,0),0)</f>
        <v>0</v>
      </c>
      <c r="K102" s="10" t="str">
        <f>IFERROR(VLOOKUP($F102,본공사입.출고현황!$B:$H,K$182,0),0)</f>
        <v>EA</v>
      </c>
      <c r="L102" s="126">
        <v>1</v>
      </c>
      <c r="M102" s="130"/>
    </row>
    <row r="103" spans="1:13" s="131" customFormat="1" ht="24" customHeight="1">
      <c r="A103" s="29">
        <v>65</v>
      </c>
      <c r="B103" s="10">
        <v>65</v>
      </c>
      <c r="C103" s="10" t="s">
        <v>598</v>
      </c>
      <c r="D103" s="10"/>
      <c r="E103" s="129">
        <v>45630</v>
      </c>
      <c r="F103" s="10" t="s">
        <v>98</v>
      </c>
      <c r="G103" s="19" t="str">
        <f>IFERROR(VLOOKUP($F103,본공사입.출고현황!$B:$H,G$182,0),0)</f>
        <v>Ground</v>
      </c>
      <c r="H103" s="19" t="str">
        <f>IFERROR(VLOOKUP($F103,본공사입.출고현황!$B:$H,H$182,0),0)</f>
        <v>Cadweld XBQ-Y4Y4</v>
      </c>
      <c r="I103" s="19" t="str">
        <f>IFERROR(VLOOKUP($F103,본공사입.출고현황!$B:$H,I$182,0),0)</f>
        <v>Welding Mold</v>
      </c>
      <c r="J103" s="19" t="str">
        <f>IFERROR(VLOOKUP($F103,본공사입.출고현황!$B:$H,J$182,0),0)</f>
        <v>Cross (+)</v>
      </c>
      <c r="K103" s="10" t="str">
        <f>IFERROR(VLOOKUP($F103,본공사입.출고현황!$B:$H,K$182,0),0)</f>
        <v>EA</v>
      </c>
      <c r="L103" s="126">
        <v>4</v>
      </c>
      <c r="M103" s="130"/>
    </row>
    <row r="104" spans="1:13" s="131" customFormat="1" ht="24" customHeight="1">
      <c r="A104" s="29">
        <v>66</v>
      </c>
      <c r="B104" s="10">
        <v>66</v>
      </c>
      <c r="C104" s="10" t="s">
        <v>598</v>
      </c>
      <c r="D104" s="10"/>
      <c r="E104" s="129">
        <v>45376</v>
      </c>
      <c r="F104" s="10" t="s">
        <v>109</v>
      </c>
      <c r="G104" s="19" t="str">
        <f>IFERROR(VLOOKUP($F104,본공사입.출고현황!$B:$H,G$182,0),0)</f>
        <v>Ground</v>
      </c>
      <c r="H104" s="19" t="str">
        <f>IFERROR(VLOOKUP($F104,본공사입.출고현황!$B:$H,H$182,0),0)</f>
        <v xml:space="preserve">Zinc Spray </v>
      </c>
      <c r="I104" s="19" t="str">
        <f>IFERROR(VLOOKUP($F104,본공사입.출고현황!$B:$H,I$182,0),0)</f>
        <v>Zinc Spray</v>
      </c>
      <c r="J104" s="19">
        <f>IFERROR(VLOOKUP($F104,본공사입.출고현황!$B:$H,J$182,0),0)</f>
        <v>0</v>
      </c>
      <c r="K104" s="10" t="str">
        <f>IFERROR(VLOOKUP($F104,본공사입.출고현황!$B:$H,K$182,0),0)</f>
        <v>EA</v>
      </c>
      <c r="L104" s="126">
        <v>30</v>
      </c>
      <c r="M104" s="130"/>
    </row>
    <row r="105" spans="1:13" s="131" customFormat="1" ht="24" customHeight="1">
      <c r="A105" s="29">
        <v>67</v>
      </c>
      <c r="B105" s="10">
        <v>67</v>
      </c>
      <c r="C105" s="10" t="s">
        <v>598</v>
      </c>
      <c r="D105" s="10"/>
      <c r="E105" s="129">
        <v>45376</v>
      </c>
      <c r="F105" s="10" t="s">
        <v>86</v>
      </c>
      <c r="G105" s="19" t="str">
        <f>IFERROR(VLOOKUP($F105,본공사입.출고현황!$B:$H,G$182,0),0)</f>
        <v>Ground</v>
      </c>
      <c r="H105" s="19" t="str">
        <f>IFERROR(VLOOKUP($F105,본공사입.출고현황!$B:$H,H$182,0),0)</f>
        <v>Cadweld Powder #115</v>
      </c>
      <c r="I105" s="19" t="str">
        <f>IFERROR(VLOOKUP($F105,본공사입.출고현황!$B:$H,I$182,0),0)</f>
        <v>Cadweld Powder</v>
      </c>
      <c r="J105" s="19" t="str">
        <f>IFERROR(VLOOKUP($F105,본공사입.출고현황!$B:$H,J$182,0),0)</f>
        <v>#115</v>
      </c>
      <c r="K105" s="10" t="str">
        <f>IFERROR(VLOOKUP($F105,본공사입.출고현황!$B:$H,K$182,0),0)</f>
        <v>EA</v>
      </c>
      <c r="L105" s="126">
        <v>219</v>
      </c>
      <c r="M105" s="130"/>
    </row>
    <row r="106" spans="1:13" s="131" customFormat="1" ht="24" customHeight="1">
      <c r="A106" s="29">
        <v>68</v>
      </c>
      <c r="B106" s="10">
        <v>68</v>
      </c>
      <c r="C106" s="10" t="s">
        <v>598</v>
      </c>
      <c r="D106" s="10"/>
      <c r="E106" s="129">
        <v>45384</v>
      </c>
      <c r="F106" s="10" t="s">
        <v>98</v>
      </c>
      <c r="G106" s="19" t="str">
        <f>IFERROR(VLOOKUP($F106,본공사입.출고현황!$B:$H,G$182,0),0)</f>
        <v>Ground</v>
      </c>
      <c r="H106" s="19" t="str">
        <f>IFERROR(VLOOKUP($F106,본공사입.출고현황!$B:$H,H$182,0),0)</f>
        <v>Cadweld XBQ-Y4Y4</v>
      </c>
      <c r="I106" s="19" t="str">
        <f>IFERROR(VLOOKUP($F106,본공사입.출고현황!$B:$H,I$182,0),0)</f>
        <v>Welding Mold</v>
      </c>
      <c r="J106" s="19" t="str">
        <f>IFERROR(VLOOKUP($F106,본공사입.출고현황!$B:$H,J$182,0),0)</f>
        <v>Cross (+)</v>
      </c>
      <c r="K106" s="10" t="str">
        <f>IFERROR(VLOOKUP($F106,본공사입.출고현황!$B:$H,K$182,0),0)</f>
        <v>EA</v>
      </c>
      <c r="L106" s="126">
        <v>6</v>
      </c>
      <c r="M106" s="130"/>
    </row>
    <row r="107" spans="1:13" s="131" customFormat="1" ht="24" customHeight="1">
      <c r="A107" s="29">
        <v>69</v>
      </c>
      <c r="B107" s="10">
        <v>69</v>
      </c>
      <c r="C107" s="10" t="s">
        <v>598</v>
      </c>
      <c r="D107" s="10"/>
      <c r="E107" s="129">
        <v>45440</v>
      </c>
      <c r="F107" s="10" t="s">
        <v>104</v>
      </c>
      <c r="G107" s="19" t="str">
        <f>IFERROR(VLOOKUP($F107,본공사입.출고현황!$B:$H,G$182,0),0)</f>
        <v>Ground</v>
      </c>
      <c r="H107" s="19" t="str">
        <f>IFERROR(VLOOKUP($F107,본공사입.출고현황!$B:$H,H$182,0),0)</f>
        <v>Cadweld PGC-Y4Y4</v>
      </c>
      <c r="I107" s="19" t="str">
        <f>IFERROR(VLOOKUP($F107,본공사입.출고현황!$B:$H,I$182,0),0)</f>
        <v>Welding Mold</v>
      </c>
      <c r="J107" s="19" t="str">
        <f>IFERROR(VLOOKUP($F107,본공사입.출고현황!$B:$H,J$182,0),0)</f>
        <v>Parallel (=)</v>
      </c>
      <c r="K107" s="10" t="str">
        <f>IFERROR(VLOOKUP($F107,본공사입.출고현황!$B:$H,K$182,0),0)</f>
        <v>EA</v>
      </c>
      <c r="L107" s="126">
        <v>7</v>
      </c>
      <c r="M107" s="130"/>
    </row>
    <row r="108" spans="1:13" s="131" customFormat="1" ht="24" customHeight="1">
      <c r="A108" s="29">
        <v>70</v>
      </c>
      <c r="B108" s="10">
        <v>70</v>
      </c>
      <c r="C108" s="10" t="s">
        <v>598</v>
      </c>
      <c r="D108" s="10"/>
      <c r="E108" s="129">
        <v>45448</v>
      </c>
      <c r="F108" s="10" t="s">
        <v>140</v>
      </c>
      <c r="G108" s="19" t="str">
        <f>IFERROR(VLOOKUP($F108,본공사입.출고현황!$B:$H,G$182,0),0)</f>
        <v>Conduit</v>
      </c>
      <c r="H108" s="19" t="str">
        <f>IFERROR(VLOOKUP($F108,본공사입.출고현황!$B:$H,H$182,0),0)</f>
        <v>Conduit 108x4.0</v>
      </c>
      <c r="I108" s="19" t="str">
        <f>IFERROR(VLOOKUP($F108,본공사입.출고현황!$B:$H,I$182,0),0)</f>
        <v>Conduit</v>
      </c>
      <c r="J108" s="19" t="str">
        <f>IFERROR(VLOOKUP($F108,본공사입.출고현황!$B:$H,J$182,0),0)</f>
        <v>108x4</v>
      </c>
      <c r="K108" s="10" t="str">
        <f>IFERROR(VLOOKUP($F108,본공사입.출고현황!$B:$H,K$182,0),0)</f>
        <v>M</v>
      </c>
      <c r="L108" s="126">
        <v>2223</v>
      </c>
      <c r="M108" s="130"/>
    </row>
    <row r="109" spans="1:13" s="131" customFormat="1" ht="24" customHeight="1">
      <c r="A109" s="29">
        <v>71</v>
      </c>
      <c r="B109" s="10">
        <v>71</v>
      </c>
      <c r="C109" s="10" t="s">
        <v>598</v>
      </c>
      <c r="D109" s="10"/>
      <c r="E109" s="129">
        <v>45418</v>
      </c>
      <c r="F109" s="10" t="s">
        <v>162</v>
      </c>
      <c r="G109" s="19" t="str">
        <f>IFERROR(VLOOKUP($F109,본공사입.출고현황!$B:$H,G$182,0),0)</f>
        <v>Sup't</v>
      </c>
      <c r="H109" s="19" t="str">
        <f>IFERROR(VLOOKUP($F109,본공사입.출고현황!$B:$H,H$182,0),0)</f>
        <v>Angle 50x50x5</v>
      </c>
      <c r="I109" s="19" t="str">
        <f>IFERROR(VLOOKUP($F109,본공사입.출고현황!$B:$H,I$182,0),0)</f>
        <v>Angle</v>
      </c>
      <c r="J109" s="19" t="str">
        <f>IFERROR(VLOOKUP($F109,본공사입.출고현황!$B:$H,J$182,0),0)</f>
        <v>50*50*5</v>
      </c>
      <c r="K109" s="10" t="str">
        <f>IFERROR(VLOOKUP($F109,본공사입.출고현황!$B:$H,K$182,0),0)</f>
        <v>M</v>
      </c>
      <c r="L109" s="126">
        <v>108</v>
      </c>
      <c r="M109" s="130"/>
    </row>
    <row r="110" spans="1:13" s="131" customFormat="1" ht="24" customHeight="1">
      <c r="A110" s="29">
        <v>72</v>
      </c>
      <c r="B110" s="10">
        <v>72</v>
      </c>
      <c r="C110" s="10" t="s">
        <v>598</v>
      </c>
      <c r="D110" s="10"/>
      <c r="E110" s="129">
        <v>45381</v>
      </c>
      <c r="F110" s="10" t="s">
        <v>128</v>
      </c>
      <c r="G110" s="19" t="str">
        <f>IFERROR(VLOOKUP($F110,본공사입.출고현황!$B:$H,G$182,0),0)</f>
        <v>Conduit</v>
      </c>
      <c r="H110" s="19" t="str">
        <f>IFERROR(VLOOKUP($F110,본공사입.출고현황!$B:$H,H$182,0),0)</f>
        <v>Conduit (Galvanized)  Ts-80x4</v>
      </c>
      <c r="I110" s="19" t="str">
        <f>IFERROR(VLOOKUP($F110,본공사입.출고현황!$B:$H,I$182,0),0)</f>
        <v xml:space="preserve">Conduit (Galvanized) </v>
      </c>
      <c r="J110" s="19" t="str">
        <f>IFERROR(VLOOKUP($F110,본공사입.출고현황!$B:$H,J$182,0),0)</f>
        <v>88x4</v>
      </c>
      <c r="K110" s="10" t="str">
        <f>IFERROR(VLOOKUP($F110,본공사입.출고현황!$B:$H,K$182,0),0)</f>
        <v>M</v>
      </c>
      <c r="L110" s="126">
        <v>866</v>
      </c>
      <c r="M110" s="130"/>
    </row>
    <row r="111" spans="1:13" s="131" customFormat="1" ht="24" customHeight="1">
      <c r="A111" s="29">
        <v>73</v>
      </c>
      <c r="B111" s="10">
        <v>73</v>
      </c>
      <c r="C111" s="10" t="s">
        <v>598</v>
      </c>
      <c r="D111" s="10"/>
      <c r="E111" s="129">
        <v>45381</v>
      </c>
      <c r="F111" s="10" t="s">
        <v>160</v>
      </c>
      <c r="G111" s="19" t="str">
        <f>IFERROR(VLOOKUP($F111,본공사입.출고현황!$B:$H,G$182,0),0)</f>
        <v>Conduit Fitting</v>
      </c>
      <c r="H111" s="19" t="str">
        <f>IFERROR(VLOOKUP($F111,본공사입.출고현황!$B:$H,H$182,0),0)</f>
        <v>Conduit Coupling 80-Ts</v>
      </c>
      <c r="I111" s="19" t="str">
        <f>IFERROR(VLOOKUP($F111,본공사입.출고현황!$B:$H,I$182,0),0)</f>
        <v>Conduit Coupling</v>
      </c>
      <c r="J111" s="19" t="str">
        <f>IFERROR(VLOOKUP($F111,본공사입.출고현황!$B:$H,J$182,0),0)</f>
        <v>80-Ts</v>
      </c>
      <c r="K111" s="10" t="str">
        <f>IFERROR(VLOOKUP($F111,본공사입.출고현황!$B:$H,K$182,0),0)</f>
        <v>EA</v>
      </c>
      <c r="L111" s="126">
        <v>20</v>
      </c>
      <c r="M111" s="130"/>
    </row>
    <row r="112" spans="1:13" s="131" customFormat="1" ht="24" customHeight="1">
      <c r="A112" s="29">
        <v>74</v>
      </c>
      <c r="B112" s="10">
        <v>74</v>
      </c>
      <c r="C112" s="10" t="s">
        <v>598</v>
      </c>
      <c r="D112" s="10"/>
      <c r="E112" s="129">
        <v>45448</v>
      </c>
      <c r="F112" s="10" t="s">
        <v>140</v>
      </c>
      <c r="G112" s="19" t="str">
        <f>IFERROR(VLOOKUP($F112,본공사입.출고현황!$B:$H,G$182,0),0)</f>
        <v>Conduit</v>
      </c>
      <c r="H112" s="19" t="str">
        <f>IFERROR(VLOOKUP($F112,본공사입.출고현황!$B:$H,H$182,0),0)</f>
        <v>Conduit 108x4.0</v>
      </c>
      <c r="I112" s="19" t="str">
        <f>IFERROR(VLOOKUP($F112,본공사입.출고현황!$B:$H,I$182,0),0)</f>
        <v>Conduit</v>
      </c>
      <c r="J112" s="19" t="str">
        <f>IFERROR(VLOOKUP($F112,본공사입.출고현황!$B:$H,J$182,0),0)</f>
        <v>108x4</v>
      </c>
      <c r="K112" s="10" t="str">
        <f>IFERROR(VLOOKUP($F112,본공사입.출고현황!$B:$H,K$182,0),0)</f>
        <v>M</v>
      </c>
      <c r="L112" s="126">
        <v>246</v>
      </c>
      <c r="M112" s="130"/>
    </row>
    <row r="113" spans="1:15" s="131" customFormat="1" ht="24" customHeight="1">
      <c r="A113" s="29">
        <v>75</v>
      </c>
      <c r="B113" s="10">
        <v>75</v>
      </c>
      <c r="C113" s="10" t="s">
        <v>598</v>
      </c>
      <c r="D113" s="10"/>
      <c r="E113" s="129">
        <v>45648</v>
      </c>
      <c r="F113" s="10" t="s">
        <v>61</v>
      </c>
      <c r="G113" s="19" t="str">
        <f>IFERROR(VLOOKUP($F113,본공사입.출고현황!$B:$H,G$182,0),0)</f>
        <v>Angle</v>
      </c>
      <c r="H113" s="19" t="str">
        <f>IFERROR(VLOOKUP($F113,본공사입.출고현황!$B:$H,H$182,0),0)</f>
        <v>Angle 100x100x10</v>
      </c>
      <c r="I113" s="19" t="str">
        <f>IFERROR(VLOOKUP($F113,본공사입.출고현황!$B:$H,I$182,0),0)</f>
        <v>CCGG</v>
      </c>
      <c r="J113" s="19" t="str">
        <f>IFERROR(VLOOKUP($F113,본공사입.출고현황!$B:$H,J$182,0),0)</f>
        <v>100x100x10 (12m)</v>
      </c>
      <c r="K113" s="10" t="str">
        <f>IFERROR(VLOOKUP($F113,본공사입.출고현황!$B:$H,K$182,0),0)</f>
        <v>M</v>
      </c>
      <c r="L113" s="126">
        <v>12</v>
      </c>
      <c r="M113" s="130"/>
    </row>
    <row r="114" spans="1:15" s="1" customFormat="1" ht="24" customHeight="1">
      <c r="A114" s="29">
        <v>76</v>
      </c>
      <c r="B114" s="10">
        <v>76</v>
      </c>
      <c r="C114" s="10" t="s">
        <v>598</v>
      </c>
      <c r="D114" s="10"/>
      <c r="E114" s="129">
        <v>45560</v>
      </c>
      <c r="F114" s="10" t="s">
        <v>143</v>
      </c>
      <c r="G114" s="19">
        <f>IFERROR(VLOOKUP($F114,본공사입.출고현황!$B:$H,G$182,0),0)</f>
        <v>0</v>
      </c>
      <c r="H114" s="19">
        <f>IFERROR(VLOOKUP($F114,본공사입.출고현황!$B:$H,H$182,0),0)</f>
        <v>0</v>
      </c>
      <c r="I114" s="19">
        <f>IFERROR(VLOOKUP($F114,본공사입.출고현황!$B:$H,I$182,0),0)</f>
        <v>0</v>
      </c>
      <c r="J114" s="19">
        <f>IFERROR(VLOOKUP($F114,본공사입.출고현황!$B:$H,J$182,0),0)</f>
        <v>0</v>
      </c>
      <c r="K114" s="10">
        <f>IFERROR(VLOOKUP($F114,본공사입.출고현황!$B:$H,K$182,0),0)</f>
        <v>0</v>
      </c>
      <c r="L114" s="126">
        <v>53</v>
      </c>
      <c r="M114" s="10" t="s">
        <v>350</v>
      </c>
    </row>
    <row r="115" spans="1:15" s="131" customFormat="1" ht="24" customHeight="1">
      <c r="A115" s="29">
        <v>77</v>
      </c>
      <c r="B115" s="10">
        <v>77</v>
      </c>
      <c r="C115" s="10" t="s">
        <v>598</v>
      </c>
      <c r="D115" s="10"/>
      <c r="E115" s="129">
        <v>45584</v>
      </c>
      <c r="F115" s="10" t="s">
        <v>238</v>
      </c>
      <c r="G115" s="19" t="str">
        <f>IFERROR(VLOOKUP($F115,본공사입.출고현황!$B:$H,G$182,0),0)</f>
        <v>Steel round bar</v>
      </c>
      <c r="H115" s="19" t="s">
        <v>604</v>
      </c>
      <c r="I115" s="19" t="str">
        <f>IFERROR(VLOOKUP($F115,본공사입.출고현황!$B:$H,I$182,0),0)</f>
        <v>CCGG</v>
      </c>
      <c r="J115" s="19" t="str">
        <f>IFERROR(VLOOKUP($F115,본공사입.출고현황!$B:$H,J$182,0),0)</f>
        <v>ф10, 1ton=1,620.7m</v>
      </c>
      <c r="K115" s="10" t="str">
        <f>IFERROR(VLOOKUP($F115,본공사입.출고현황!$B:$H,K$182,0),0)</f>
        <v>M</v>
      </c>
      <c r="L115" s="126">
        <v>1620</v>
      </c>
      <c r="M115" s="130"/>
    </row>
    <row r="116" spans="1:15" s="131" customFormat="1" ht="24" customHeight="1">
      <c r="A116" s="29">
        <v>78</v>
      </c>
      <c r="B116" s="10">
        <v>78</v>
      </c>
      <c r="C116" s="10" t="s">
        <v>598</v>
      </c>
      <c r="D116" s="10"/>
      <c r="E116" s="129">
        <v>45595</v>
      </c>
      <c r="F116" s="10" t="s">
        <v>61</v>
      </c>
      <c r="G116" s="19" t="str">
        <f>IFERROR(VLOOKUP($F116,본공사입.출고현황!$B:$H,G$182,0),0)</f>
        <v>Angle</v>
      </c>
      <c r="H116" s="19" t="str">
        <f>IFERROR(VLOOKUP($F116,본공사입.출고현황!$B:$H,H$182,0),0)</f>
        <v>Angle 100x100x10</v>
      </c>
      <c r="I116" s="19" t="str">
        <f>IFERROR(VLOOKUP($F116,본공사입.출고현황!$B:$H,I$182,0),0)</f>
        <v>CCGG</v>
      </c>
      <c r="J116" s="19" t="str">
        <f>IFERROR(VLOOKUP($F116,본공사입.출고현황!$B:$H,J$182,0),0)</f>
        <v>100x100x10 (12m)</v>
      </c>
      <c r="K116" s="10" t="str">
        <f>IFERROR(VLOOKUP($F116,본공사입.출고현황!$B:$H,K$182,0),0)</f>
        <v>M</v>
      </c>
      <c r="L116" s="126">
        <v>108</v>
      </c>
      <c r="M116" s="130"/>
    </row>
    <row r="117" spans="1:15" s="131" customFormat="1" ht="24" customHeight="1">
      <c r="A117" s="29">
        <v>79</v>
      </c>
      <c r="B117" s="10">
        <v>79</v>
      </c>
      <c r="C117" s="10" t="s">
        <v>598</v>
      </c>
      <c r="D117" s="10"/>
      <c r="E117" s="129">
        <v>45622</v>
      </c>
      <c r="F117" s="10" t="s">
        <v>128</v>
      </c>
      <c r="G117" s="19" t="str">
        <f>IFERROR(VLOOKUP($F117,본공사입.출고현황!$B:$H,G$182,0),0)</f>
        <v>Conduit</v>
      </c>
      <c r="H117" s="19" t="str">
        <f>IFERROR(VLOOKUP($F117,본공사입.출고현황!$B:$H,H$182,0),0)</f>
        <v>Conduit (Galvanized)  Ts-80x4</v>
      </c>
      <c r="I117" s="19" t="str">
        <f>IFERROR(VLOOKUP($F117,본공사입.출고현황!$B:$H,I$182,0),0)</f>
        <v xml:space="preserve">Conduit (Galvanized) </v>
      </c>
      <c r="J117" s="19" t="str">
        <f>IFERROR(VLOOKUP($F117,본공사입.출고현황!$B:$H,J$182,0),0)</f>
        <v>88x4</v>
      </c>
      <c r="K117" s="10" t="str">
        <f>IFERROR(VLOOKUP($F117,본공사입.출고현황!$B:$H,K$182,0),0)</f>
        <v>M</v>
      </c>
      <c r="L117" s="126">
        <v>3000</v>
      </c>
      <c r="M117" s="130"/>
    </row>
    <row r="118" spans="1:15" s="131" customFormat="1" ht="24" customHeight="1">
      <c r="A118" s="29">
        <v>80</v>
      </c>
      <c r="B118" s="10">
        <v>80</v>
      </c>
      <c r="C118" s="10" t="s">
        <v>598</v>
      </c>
      <c r="D118" s="10"/>
      <c r="E118" s="129">
        <v>45622</v>
      </c>
      <c r="F118" s="10" t="s">
        <v>160</v>
      </c>
      <c r="G118" s="19" t="str">
        <f>IFERROR(VLOOKUP($F118,본공사입.출고현황!$B:$H,G$182,0),0)</f>
        <v>Conduit Fitting</v>
      </c>
      <c r="H118" s="19" t="str">
        <f>IFERROR(VLOOKUP($F118,본공사입.출고현황!$B:$H,H$182,0),0)</f>
        <v>Conduit Coupling 80-Ts</v>
      </c>
      <c r="I118" s="19" t="str">
        <f>IFERROR(VLOOKUP($F118,본공사입.출고현황!$B:$H,I$182,0),0)</f>
        <v>Conduit Coupling</v>
      </c>
      <c r="J118" s="19" t="str">
        <f>IFERROR(VLOOKUP($F118,본공사입.출고현황!$B:$H,J$182,0),0)</f>
        <v>80-Ts</v>
      </c>
      <c r="K118" s="10" t="str">
        <f>IFERROR(VLOOKUP($F118,본공사입.출고현황!$B:$H,K$182,0),0)</f>
        <v>EA</v>
      </c>
      <c r="L118" s="126">
        <v>128</v>
      </c>
      <c r="M118" s="130"/>
    </row>
    <row r="119" spans="1:15" s="131" customFormat="1" ht="24" customHeight="1">
      <c r="A119" s="29">
        <v>81</v>
      </c>
      <c r="B119" s="10">
        <v>81</v>
      </c>
      <c r="C119" s="10" t="s">
        <v>598</v>
      </c>
      <c r="D119" s="10" t="s">
        <v>667</v>
      </c>
      <c r="E119" s="129">
        <v>45648</v>
      </c>
      <c r="F119" s="10" t="s">
        <v>61</v>
      </c>
      <c r="G119" s="19" t="str">
        <f>IFERROR(VLOOKUP($F119,본공사입.출고현황!$B:$H,G$182,0),0)</f>
        <v>Angle</v>
      </c>
      <c r="H119" s="19" t="str">
        <f>IFERROR(VLOOKUP($F119,본공사입.출고현황!$B:$H,H$182,0),0)</f>
        <v>Angle 100x100x10</v>
      </c>
      <c r="I119" s="19" t="str">
        <f>IFERROR(VLOOKUP($F119,본공사입.출고현황!$B:$H,I$182,0),0)</f>
        <v>CCGG</v>
      </c>
      <c r="J119" s="19" t="str">
        <f>IFERROR(VLOOKUP($F119,본공사입.출고현황!$B:$H,J$182,0),0)</f>
        <v>100x100x10 (12m)</v>
      </c>
      <c r="K119" s="10" t="str">
        <f>IFERROR(VLOOKUP($F119,본공사입.출고현황!$B:$H,K$182,0),0)</f>
        <v>M</v>
      </c>
      <c r="L119" s="126">
        <f>1*12</f>
        <v>12</v>
      </c>
      <c r="M119" s="130" t="s">
        <v>675</v>
      </c>
      <c r="O119" s="131" t="s">
        <v>674</v>
      </c>
    </row>
    <row r="120" spans="1:15" s="131" customFormat="1" ht="24" customHeight="1">
      <c r="A120" s="29">
        <v>82</v>
      </c>
      <c r="B120" s="10">
        <v>82</v>
      </c>
      <c r="C120" s="10" t="s">
        <v>598</v>
      </c>
      <c r="D120" s="10"/>
      <c r="E120" s="129">
        <v>45658</v>
      </c>
      <c r="F120" s="10" t="s">
        <v>238</v>
      </c>
      <c r="G120" s="19" t="str">
        <f>IFERROR(VLOOKUP($F120,본공사입.출고현황!$B:$H,G$182,0),0)</f>
        <v>Steel round bar</v>
      </c>
      <c r="H120" s="19" t="s">
        <v>604</v>
      </c>
      <c r="I120" s="19" t="str">
        <f>IFERROR(VLOOKUP($F120,본공사입.출고현황!$B:$H,I$182,0),0)</f>
        <v>CCGG</v>
      </c>
      <c r="J120" s="19" t="str">
        <f>IFERROR(VLOOKUP($F120,본공사입.출고현황!$B:$H,J$182,0),0)</f>
        <v>ф10, 1ton=1,620.7m</v>
      </c>
      <c r="K120" s="10" t="str">
        <f>IFERROR(VLOOKUP($F120,본공사입.출고현황!$B:$H,K$182,0),0)</f>
        <v>M</v>
      </c>
      <c r="L120" s="126">
        <f>1620.7*2</f>
        <v>3241.4</v>
      </c>
      <c r="M120" s="130" t="s">
        <v>287</v>
      </c>
      <c r="O120" s="131" t="s">
        <v>289</v>
      </c>
    </row>
    <row r="121" spans="1:15" s="131" customFormat="1" ht="24" customHeight="1">
      <c r="A121" s="29">
        <v>83</v>
      </c>
      <c r="B121" s="10">
        <v>83</v>
      </c>
      <c r="C121" s="10" t="s">
        <v>598</v>
      </c>
      <c r="D121" s="10" t="s">
        <v>667</v>
      </c>
      <c r="E121" s="129">
        <v>45671</v>
      </c>
      <c r="F121" s="10" t="s">
        <v>61</v>
      </c>
      <c r="G121" s="19" t="str">
        <f>IFERROR(VLOOKUP($F121,본공사입.출고현황!$B:$H,G$182,0),0)</f>
        <v>Angle</v>
      </c>
      <c r="H121" s="19" t="str">
        <f>IFERROR(VLOOKUP($F121,본공사입.출고현황!$B:$H,H$182,0),0)</f>
        <v>Angle 100x100x10</v>
      </c>
      <c r="I121" s="19" t="str">
        <f>IFERROR(VLOOKUP($F121,본공사입.출고현황!$B:$H,I$182,0),0)</f>
        <v>CCGG</v>
      </c>
      <c r="J121" s="19" t="str">
        <f>IFERROR(VLOOKUP($F121,본공사입.출고현황!$B:$H,J$182,0),0)</f>
        <v>100x100x10 (12m)</v>
      </c>
      <c r="K121" s="10" t="str">
        <f>IFERROR(VLOOKUP($F121,본공사입.출고현황!$B:$H,K$182,0),0)</f>
        <v>M</v>
      </c>
      <c r="L121" s="126">
        <f>30*12</f>
        <v>360</v>
      </c>
      <c r="M121" s="130" t="s">
        <v>294</v>
      </c>
      <c r="O121" s="131" t="s">
        <v>292</v>
      </c>
    </row>
    <row r="122" spans="1:15" s="131" customFormat="1" ht="24" customHeight="1">
      <c r="A122" s="29">
        <v>84</v>
      </c>
      <c r="B122" s="10">
        <v>84</v>
      </c>
      <c r="C122" s="10" t="s">
        <v>598</v>
      </c>
      <c r="D122" s="10" t="s">
        <v>602</v>
      </c>
      <c r="E122" s="129">
        <v>45698</v>
      </c>
      <c r="F122" s="10" t="s">
        <v>238</v>
      </c>
      <c r="G122" s="19" t="str">
        <f>IFERROR(VLOOKUP($F122,본공사입.출고현황!$B:$H,G$182,0),0)</f>
        <v>Steel round bar</v>
      </c>
      <c r="H122" s="19" t="s">
        <v>604</v>
      </c>
      <c r="I122" s="19" t="str">
        <f>IFERROR(VLOOKUP($F122,본공사입.출고현황!$B:$H,I$182,0),0)</f>
        <v>CCGG</v>
      </c>
      <c r="J122" s="19" t="str">
        <f>IFERROR(VLOOKUP($F122,본공사입.출고현황!$B:$H,J$182,0),0)</f>
        <v>ф10, 1ton=1,620.7m</v>
      </c>
      <c r="K122" s="10" t="str">
        <f>IFERROR(VLOOKUP($F122,본공사입.출고현황!$B:$H,K$182,0),0)</f>
        <v>M</v>
      </c>
      <c r="L122" s="126">
        <f>1620.7*2</f>
        <v>3241.4</v>
      </c>
      <c r="M122" s="130" t="s">
        <v>287</v>
      </c>
      <c r="O122" s="131" t="s">
        <v>289</v>
      </c>
    </row>
    <row r="123" spans="1:15" s="131" customFormat="1" ht="24" customHeight="1">
      <c r="A123" s="29">
        <v>85</v>
      </c>
      <c r="B123" s="10">
        <v>85</v>
      </c>
      <c r="C123" s="10" t="s">
        <v>598</v>
      </c>
      <c r="D123" s="10" t="s">
        <v>602</v>
      </c>
      <c r="E123" s="129">
        <v>45704</v>
      </c>
      <c r="F123" s="10" t="s">
        <v>238</v>
      </c>
      <c r="G123" s="19" t="str">
        <f>IFERROR(VLOOKUP($F123,본공사입.출고현황!$B:$H,G$182,0),0)</f>
        <v>Steel round bar</v>
      </c>
      <c r="H123" s="19" t="s">
        <v>604</v>
      </c>
      <c r="I123" s="19" t="str">
        <f>IFERROR(VLOOKUP($F123,본공사입.출고현황!$B:$H,I$182,0),0)</f>
        <v>CCGG</v>
      </c>
      <c r="J123" s="19" t="str">
        <f>IFERROR(VLOOKUP($F123,본공사입.출고현황!$B:$H,J$182,0),0)</f>
        <v>ф10, 1ton=1,620.7m</v>
      </c>
      <c r="K123" s="10" t="str">
        <f>IFERROR(VLOOKUP($F123,본공사입.출고현황!$B:$H,K$182,0),0)</f>
        <v>M</v>
      </c>
      <c r="L123" s="126">
        <f>1620.7*4</f>
        <v>6482.8</v>
      </c>
      <c r="M123" s="130" t="s">
        <v>288</v>
      </c>
      <c r="O123" s="131" t="s">
        <v>290</v>
      </c>
    </row>
    <row r="124" spans="1:15" s="131" customFormat="1" ht="24" customHeight="1">
      <c r="A124" s="29">
        <v>86</v>
      </c>
      <c r="B124" s="10">
        <v>86</v>
      </c>
      <c r="C124" s="10" t="s">
        <v>598</v>
      </c>
      <c r="D124" s="10" t="s">
        <v>603</v>
      </c>
      <c r="E124" s="129">
        <v>45704</v>
      </c>
      <c r="F124" s="10" t="s">
        <v>61</v>
      </c>
      <c r="G124" s="19" t="str">
        <f>IFERROR(VLOOKUP($F124,본공사입.출고현황!$B:$H,G$182,0),0)</f>
        <v>Angle</v>
      </c>
      <c r="H124" s="19" t="str">
        <f>IFERROR(VLOOKUP($F124,본공사입.출고현황!$B:$H,H$182,0),0)</f>
        <v>Angle 100x100x10</v>
      </c>
      <c r="I124" s="19" t="str">
        <f>IFERROR(VLOOKUP($F124,본공사입.출고현황!$B:$H,I$182,0),0)</f>
        <v>CCGG</v>
      </c>
      <c r="J124" s="19" t="str">
        <f>IFERROR(VLOOKUP($F124,본공사입.출고현황!$B:$H,J$182,0),0)</f>
        <v>100x100x10 (12m)</v>
      </c>
      <c r="K124" s="10" t="str">
        <f>IFERROR(VLOOKUP($F124,본공사입.출고현황!$B:$H,K$182,0),0)</f>
        <v>M</v>
      </c>
      <c r="L124" s="126">
        <f>28*6</f>
        <v>168</v>
      </c>
      <c r="M124" s="130" t="s">
        <v>293</v>
      </c>
      <c r="O124" s="131" t="s">
        <v>291</v>
      </c>
    </row>
    <row r="125" spans="1:15" s="131" customFormat="1" ht="24" customHeight="1">
      <c r="A125" s="29">
        <v>87</v>
      </c>
      <c r="B125" s="10">
        <v>87</v>
      </c>
      <c r="C125" s="10" t="s">
        <v>597</v>
      </c>
      <c r="D125" s="10"/>
      <c r="E125" s="129">
        <v>45776</v>
      </c>
      <c r="F125" s="10" t="s">
        <v>157</v>
      </c>
      <c r="G125" s="19" t="str">
        <f>IFERROR(VLOOKUP($F125,본공사입.출고현황!$B:$H,G$182,0),0)</f>
        <v>Conduit Fitting</v>
      </c>
      <c r="H125" s="19" t="str">
        <f>IFERROR(VLOOKUP($F125,본공사입.출고현황!$B:$H,H$182,0),0)</f>
        <v>Conduit Coupling 100-Ts</v>
      </c>
      <c r="I125" s="19" t="str">
        <f>IFERROR(VLOOKUP($F125,본공사입.출고현황!$B:$H,I$182,0),0)</f>
        <v>Conduit Coupling</v>
      </c>
      <c r="J125" s="19" t="str">
        <f>IFERROR(VLOOKUP($F125,본공사입.출고현황!$B:$H,J$182,0),0)</f>
        <v>100-Ts</v>
      </c>
      <c r="K125" s="10" t="str">
        <f>IFERROR(VLOOKUP($F125,본공사입.출고현황!$B:$H,K$182,0),0)</f>
        <v>EA</v>
      </c>
      <c r="L125" s="126"/>
      <c r="M125" s="130"/>
    </row>
    <row r="126" spans="1:15" s="131" customFormat="1" ht="24" customHeight="1">
      <c r="A126" s="29">
        <v>88</v>
      </c>
      <c r="B126" s="10">
        <v>88</v>
      </c>
      <c r="C126" s="10" t="s">
        <v>595</v>
      </c>
      <c r="D126" s="10"/>
      <c r="E126" s="129">
        <v>45781</v>
      </c>
      <c r="F126" s="10" t="s">
        <v>157</v>
      </c>
      <c r="G126" s="19" t="str">
        <f>IFERROR(VLOOKUP($F126,본공사입.출고현황!$B:$H,G$182,0),0)</f>
        <v>Conduit Fitting</v>
      </c>
      <c r="H126" s="19" t="str">
        <f>IFERROR(VLOOKUP($F126,본공사입.출고현황!$B:$H,H$182,0),0)</f>
        <v>Conduit Coupling 100-Ts</v>
      </c>
      <c r="I126" s="19" t="str">
        <f>IFERROR(VLOOKUP($F126,본공사입.출고현황!$B:$H,I$182,0),0)</f>
        <v>Conduit Coupling</v>
      </c>
      <c r="J126" s="19" t="str">
        <f>IFERROR(VLOOKUP($F126,본공사입.출고현황!$B:$H,J$182,0),0)</f>
        <v>100-Ts</v>
      </c>
      <c r="K126" s="10" t="str">
        <f>IFERROR(VLOOKUP($F126,본공사입.출고현황!$B:$H,K$182,0),0)</f>
        <v>EA</v>
      </c>
      <c r="L126" s="126">
        <v>35</v>
      </c>
      <c r="M126" s="130" t="s">
        <v>1014</v>
      </c>
    </row>
    <row r="127" spans="1:15" s="131" customFormat="1" ht="24" customHeight="1">
      <c r="A127" s="29">
        <v>89</v>
      </c>
      <c r="B127" s="10">
        <v>89</v>
      </c>
      <c r="C127" s="10" t="s">
        <v>580</v>
      </c>
      <c r="D127" s="10" t="s">
        <v>602</v>
      </c>
      <c r="E127" s="129">
        <v>45790</v>
      </c>
      <c r="F127" s="10" t="s">
        <v>238</v>
      </c>
      <c r="G127" s="19" t="str">
        <f>IFERROR(VLOOKUP($F127,본공사입.출고현황!$B:$H,G$182,0),0)</f>
        <v>Steel round bar</v>
      </c>
      <c r="H127" s="19" t="s">
        <v>604</v>
      </c>
      <c r="I127" s="19" t="str">
        <f>IFERROR(VLOOKUP($F127,본공사입.출고현황!$B:$H,I$182,0),0)</f>
        <v>CCGG</v>
      </c>
      <c r="J127" s="19" t="str">
        <f>IFERROR(VLOOKUP($F127,본공사입.출고현황!$B:$H,J$182,0),0)</f>
        <v>ф10, 1ton=1,620.7m</v>
      </c>
      <c r="K127" s="10" t="str">
        <f>IFERROR(VLOOKUP($F127,본공사입.출고현황!$B:$H,K$182,0),0)</f>
        <v>M</v>
      </c>
      <c r="L127" s="126">
        <f>1620.7*2</f>
        <v>3241.4</v>
      </c>
      <c r="M127" s="130" t="s">
        <v>355</v>
      </c>
      <c r="O127" s="131" t="s">
        <v>356</v>
      </c>
    </row>
    <row r="128" spans="1:15" s="131" customFormat="1" ht="24" customHeight="1">
      <c r="A128" s="29">
        <v>90</v>
      </c>
      <c r="B128" s="10">
        <v>90</v>
      </c>
      <c r="C128" s="10" t="s">
        <v>593</v>
      </c>
      <c r="D128" s="10"/>
      <c r="E128" s="129">
        <v>45811</v>
      </c>
      <c r="F128" s="10" t="s">
        <v>398</v>
      </c>
      <c r="G128" s="19" t="str">
        <f>IFERROR(VLOOKUP($F128,본공사입.출고현황!$B:$H,G$182,0),0)</f>
        <v>Paint</v>
      </c>
      <c r="H128" s="19" t="str">
        <f>IFERROR(VLOOKUP($F128,본공사입.출고현황!$B:$H,H$182,0),0)</f>
        <v>JOTUN Pipe Primer Paint (A)</v>
      </c>
      <c r="I128" s="19" t="str">
        <f>IFERROR(VLOOKUP($F128,본공사입.출고현황!$B:$H,I$182,0),0)</f>
        <v>Paint</v>
      </c>
      <c r="J128" s="19" t="str">
        <f>IFERROR(VLOOKUP($F128,본공사입.출고현황!$B:$H,J$182,0),0)</f>
        <v>16L</v>
      </c>
      <c r="K128" s="10" t="str">
        <f>IFERROR(VLOOKUP($F128,본공사입.출고현황!$B:$H,K$182,0),0)</f>
        <v>CAN</v>
      </c>
      <c r="L128" s="126">
        <v>1</v>
      </c>
      <c r="M128" s="130"/>
    </row>
    <row r="129" spans="1:16" s="131" customFormat="1" ht="24" customHeight="1">
      <c r="A129" s="29">
        <v>91</v>
      </c>
      <c r="B129" s="10">
        <v>91</v>
      </c>
      <c r="C129" s="10" t="s">
        <v>593</v>
      </c>
      <c r="D129" s="10"/>
      <c r="E129" s="129">
        <v>45811</v>
      </c>
      <c r="F129" s="10" t="s">
        <v>400</v>
      </c>
      <c r="G129" s="19" t="str">
        <f>IFERROR(VLOOKUP($F129,본공사입.출고현황!$B:$H,G$182,0),0)</f>
        <v>Paint</v>
      </c>
      <c r="H129" s="19" t="str">
        <f>IFERROR(VLOOKUP($F129,본공사입.출고현황!$B:$H,H$182,0),0)</f>
        <v>JOTUN Pipe Primer Paint (B)</v>
      </c>
      <c r="I129" s="19" t="str">
        <f>IFERROR(VLOOKUP($F129,본공사입.출고현황!$B:$H,I$182,0),0)</f>
        <v>Paint</v>
      </c>
      <c r="J129" s="19" t="str">
        <f>IFERROR(VLOOKUP($F129,본공사입.출고현황!$B:$H,J$182,0),0)</f>
        <v>4L</v>
      </c>
      <c r="K129" s="10" t="str">
        <f>IFERROR(VLOOKUP($F129,본공사입.출고현황!$B:$H,K$182,0),0)</f>
        <v>CAN</v>
      </c>
      <c r="L129" s="126">
        <v>1</v>
      </c>
      <c r="M129" s="130"/>
    </row>
    <row r="130" spans="1:16" s="131" customFormat="1" ht="24" customHeight="1">
      <c r="A130" s="29">
        <v>92</v>
      </c>
      <c r="B130" s="10">
        <v>92</v>
      </c>
      <c r="C130" s="10" t="s">
        <v>593</v>
      </c>
      <c r="D130" s="10"/>
      <c r="E130" s="129">
        <v>45811</v>
      </c>
      <c r="F130" s="10" t="s">
        <v>402</v>
      </c>
      <c r="G130" s="19" t="str">
        <f>IFERROR(VLOOKUP($F130,본공사입.출고현황!$B:$H,G$182,0),0)</f>
        <v>Paint</v>
      </c>
      <c r="H130" s="19" t="str">
        <f>IFERROR(VLOOKUP($F130,본공사입.출고현황!$B:$H,H$182,0),0)</f>
        <v>JOTUN Thinner</v>
      </c>
      <c r="I130" s="19" t="str">
        <f>IFERROR(VLOOKUP($F130,본공사입.출고현황!$B:$H,I$182,0),0)</f>
        <v>Paint</v>
      </c>
      <c r="J130" s="19" t="str">
        <f>IFERROR(VLOOKUP($F130,본공사입.출고현황!$B:$H,J$182,0),0)</f>
        <v>20L</v>
      </c>
      <c r="K130" s="10" t="str">
        <f>IFERROR(VLOOKUP($F130,본공사입.출고현황!$B:$H,K$182,0),0)</f>
        <v>CAN</v>
      </c>
      <c r="L130" s="126">
        <v>1</v>
      </c>
      <c r="M130" s="130"/>
    </row>
    <row r="131" spans="1:16" s="131" customFormat="1" ht="24" customHeight="1">
      <c r="A131" s="29">
        <v>93</v>
      </c>
      <c r="B131" s="10">
        <v>93</v>
      </c>
      <c r="C131" s="10" t="s">
        <v>594</v>
      </c>
      <c r="D131" s="10"/>
      <c r="E131" s="129">
        <v>45823</v>
      </c>
      <c r="F131" s="10" t="s">
        <v>137</v>
      </c>
      <c r="G131" s="19" t="str">
        <f>IFERROR(VLOOKUP($F131,본공사입.출고현황!$B:$H,G$182,0),0)</f>
        <v>Conduit</v>
      </c>
      <c r="H131" s="19" t="str">
        <f>IFERROR(VLOOKUP($F131,본공사입.출고현황!$B:$H,H$182,0),0)</f>
        <v>Conduit (Galvanized) 140x5</v>
      </c>
      <c r="I131" s="19" t="str">
        <f>IFERROR(VLOOKUP($F131,본공사입.출고현황!$B:$H,I$182,0),0)</f>
        <v xml:space="preserve">Conduit (Galvanized) </v>
      </c>
      <c r="J131" s="19" t="str">
        <f>IFERROR(VLOOKUP($F131,본공사입.출고현황!$B:$H,J$182,0),0)</f>
        <v>140x5</v>
      </c>
      <c r="K131" s="10" t="str">
        <f>IFERROR(VLOOKUP($F131,본공사입.출고현황!$B:$H,K$182,0),0)</f>
        <v>M</v>
      </c>
      <c r="L131" s="126">
        <v>451</v>
      </c>
      <c r="M131" s="130" t="s">
        <v>403</v>
      </c>
    </row>
    <row r="132" spans="1:16" s="131" customFormat="1" ht="24" customHeight="1">
      <c r="A132" s="29">
        <v>94</v>
      </c>
      <c r="B132" s="10">
        <v>94</v>
      </c>
      <c r="C132" s="41" t="s">
        <v>579</v>
      </c>
      <c r="D132" s="41" t="s">
        <v>602</v>
      </c>
      <c r="E132" s="129">
        <v>45826</v>
      </c>
      <c r="F132" s="10" t="s">
        <v>238</v>
      </c>
      <c r="G132" s="19" t="str">
        <f>IFERROR(VLOOKUP($F132,본공사입.출고현황!$B:$H,G$182,0),0)</f>
        <v>Steel round bar</v>
      </c>
      <c r="H132" s="19" t="s">
        <v>604</v>
      </c>
      <c r="I132" s="19" t="str">
        <f>IFERROR(VLOOKUP($F132,본공사입.출고현황!$B:$H,I$182,0),0)</f>
        <v>CCGG</v>
      </c>
      <c r="J132" s="19" t="str">
        <f>IFERROR(VLOOKUP($F132,본공사입.출고현황!$B:$H,J$182,0),0)</f>
        <v>ф10, 1ton=1,620.7m</v>
      </c>
      <c r="K132" s="10" t="str">
        <f>IFERROR(VLOOKUP($F132,본공사입.출고현황!$B:$H,K$182,0),0)</f>
        <v>M</v>
      </c>
      <c r="L132" s="126">
        <v>6482.8</v>
      </c>
      <c r="M132" s="130" t="s">
        <v>404</v>
      </c>
      <c r="O132" s="131" t="s">
        <v>405</v>
      </c>
    </row>
    <row r="133" spans="1:16" s="131" customFormat="1" ht="24" customHeight="1">
      <c r="A133" s="29">
        <v>95</v>
      </c>
      <c r="B133" s="10">
        <v>95</v>
      </c>
      <c r="C133" s="10" t="s">
        <v>596</v>
      </c>
      <c r="D133" s="10"/>
      <c r="E133" s="129">
        <v>45860</v>
      </c>
      <c r="F133" s="10" t="s">
        <v>397</v>
      </c>
      <c r="G133" s="19" t="str">
        <f>IFERROR(VLOOKUP($F133,본공사입.출고현황!$B:$H,G$182,0),0)</f>
        <v>Paint</v>
      </c>
      <c r="H133" s="19" t="str">
        <f>IFERROR(VLOOKUP($F133,본공사입.출고현황!$B:$H,H$182,0),0)</f>
        <v>JOTUN Pipe Primer Paint (A)</v>
      </c>
      <c r="I133" s="19" t="str">
        <f>IFERROR(VLOOKUP($F133,본공사입.출고현황!$B:$H,I$182,0),0)</f>
        <v>Paint</v>
      </c>
      <c r="J133" s="19" t="str">
        <f>IFERROR(VLOOKUP($F133,본공사입.출고현황!$B:$H,J$182,0),0)</f>
        <v>16L</v>
      </c>
      <c r="K133" s="10" t="str">
        <f>IFERROR(VLOOKUP($F133,본공사입.출고현황!$B:$H,K$182,0),0)</f>
        <v>CAN</v>
      </c>
      <c r="L133" s="126">
        <v>1</v>
      </c>
      <c r="M133" s="130"/>
    </row>
    <row r="134" spans="1:16" s="131" customFormat="1" ht="24" customHeight="1">
      <c r="A134" s="29">
        <v>96</v>
      </c>
      <c r="B134" s="10">
        <v>96</v>
      </c>
      <c r="C134" s="10" t="s">
        <v>596</v>
      </c>
      <c r="D134" s="10"/>
      <c r="E134" s="129">
        <v>45860</v>
      </c>
      <c r="F134" s="10" t="s">
        <v>399</v>
      </c>
      <c r="G134" s="19" t="str">
        <f>IFERROR(VLOOKUP($F134,본공사입.출고현황!$B:$H,G$182,0),0)</f>
        <v>Paint</v>
      </c>
      <c r="H134" s="19" t="str">
        <f>IFERROR(VLOOKUP($F134,본공사입.출고현황!$B:$H,H$182,0),0)</f>
        <v>JOTUN Pipe Primer Paint (B)</v>
      </c>
      <c r="I134" s="19" t="str">
        <f>IFERROR(VLOOKUP($F134,본공사입.출고현황!$B:$H,I$182,0),0)</f>
        <v>Paint</v>
      </c>
      <c r="J134" s="19" t="str">
        <f>IFERROR(VLOOKUP($F134,본공사입.출고현황!$B:$H,J$182,0),0)</f>
        <v>4L</v>
      </c>
      <c r="K134" s="10" t="str">
        <f>IFERROR(VLOOKUP($F134,본공사입.출고현황!$B:$H,K$182,0),0)</f>
        <v>CAN</v>
      </c>
      <c r="L134" s="126">
        <v>1</v>
      </c>
      <c r="M134" s="130"/>
    </row>
    <row r="135" spans="1:16" s="131" customFormat="1" ht="24" customHeight="1">
      <c r="A135" s="29">
        <v>97</v>
      </c>
      <c r="B135" s="10">
        <v>97</v>
      </c>
      <c r="C135" s="10" t="s">
        <v>578</v>
      </c>
      <c r="D135" s="10" t="s">
        <v>602</v>
      </c>
      <c r="E135" s="129">
        <v>45866</v>
      </c>
      <c r="F135" s="10" t="s">
        <v>238</v>
      </c>
      <c r="G135" s="19" t="str">
        <f>IFERROR(VLOOKUP($F135,본공사입.출고현황!$B:$H,G$182,0),0)</f>
        <v>Steel round bar</v>
      </c>
      <c r="H135" s="19" t="s">
        <v>604</v>
      </c>
      <c r="I135" s="19" t="str">
        <f>IFERROR(VLOOKUP($F135,본공사입.출고현황!$B:$H,I$182,0),0)</f>
        <v>CCGG</v>
      </c>
      <c r="J135" s="19" t="str">
        <f>IFERROR(VLOOKUP($F135,본공사입.출고현황!$B:$H,J$182,0),0)</f>
        <v>ф10, 1ton=1,620.7m</v>
      </c>
      <c r="K135" s="10" t="str">
        <f>IFERROR(VLOOKUP($F135,본공사입.출고현황!$B:$H,K$182,0),0)</f>
        <v>M</v>
      </c>
      <c r="L135" s="126">
        <v>6482.8</v>
      </c>
      <c r="M135" s="130" t="s">
        <v>404</v>
      </c>
    </row>
    <row r="136" spans="1:16" s="131" customFormat="1" ht="24" customHeight="1">
      <c r="A136" s="29">
        <v>98</v>
      </c>
      <c r="B136" s="10">
        <v>98</v>
      </c>
      <c r="C136" s="41" t="s">
        <v>577</v>
      </c>
      <c r="D136" s="41" t="s">
        <v>603</v>
      </c>
      <c r="E136" s="129">
        <v>45902</v>
      </c>
      <c r="F136" s="10" t="s">
        <v>238</v>
      </c>
      <c r="G136" s="19" t="s">
        <v>529</v>
      </c>
      <c r="H136" s="19" t="s">
        <v>604</v>
      </c>
      <c r="I136" s="19" t="s">
        <v>255</v>
      </c>
      <c r="J136" s="19" t="s">
        <v>530</v>
      </c>
      <c r="K136" s="10" t="s">
        <v>2</v>
      </c>
      <c r="L136" s="126">
        <v>6482.8</v>
      </c>
      <c r="M136" s="130" t="s">
        <v>404</v>
      </c>
      <c r="O136" s="131">
        <f>L136/4</f>
        <v>1620.7</v>
      </c>
      <c r="P136" s="245"/>
    </row>
    <row r="137" spans="1:16" s="131" customFormat="1" ht="24" customHeight="1">
      <c r="A137" s="29">
        <v>99</v>
      </c>
      <c r="B137" s="10">
        <v>99</v>
      </c>
      <c r="C137" s="10" t="s">
        <v>587</v>
      </c>
      <c r="D137" s="10"/>
      <c r="E137" s="129">
        <v>45908</v>
      </c>
      <c r="F137" s="10" t="s">
        <v>137</v>
      </c>
      <c r="G137" s="19" t="s">
        <v>1</v>
      </c>
      <c r="H137" s="19" t="s">
        <v>533</v>
      </c>
      <c r="I137" s="19" t="s">
        <v>26</v>
      </c>
      <c r="J137" s="19" t="s">
        <v>414</v>
      </c>
      <c r="K137" s="10" t="s">
        <v>2</v>
      </c>
      <c r="L137" s="126">
        <v>79</v>
      </c>
      <c r="M137" s="130"/>
      <c r="P137" s="245">
        <f>40690</f>
        <v>40690</v>
      </c>
    </row>
    <row r="138" spans="1:16" s="131" customFormat="1" ht="24" customHeight="1">
      <c r="A138" s="29">
        <v>100</v>
      </c>
      <c r="B138" s="10">
        <v>100</v>
      </c>
      <c r="C138" s="10" t="s">
        <v>587</v>
      </c>
      <c r="D138" s="10"/>
      <c r="E138" s="129">
        <v>45908</v>
      </c>
      <c r="F138" s="10" t="s">
        <v>254</v>
      </c>
      <c r="G138" s="19" t="s">
        <v>1</v>
      </c>
      <c r="H138" s="19" t="s">
        <v>534</v>
      </c>
      <c r="I138" s="19" t="s">
        <v>26</v>
      </c>
      <c r="J138" s="19" t="s">
        <v>535</v>
      </c>
      <c r="K138" s="10" t="s">
        <v>2</v>
      </c>
      <c r="L138" s="126">
        <v>830</v>
      </c>
      <c r="M138" s="130"/>
      <c r="P138" s="245">
        <f>SUM(L136,L144,L149,L150)</f>
        <v>25931.200000000001</v>
      </c>
    </row>
    <row r="139" spans="1:16" s="131" customFormat="1" ht="24" customHeight="1">
      <c r="A139" s="29">
        <v>101</v>
      </c>
      <c r="B139" s="10">
        <v>101</v>
      </c>
      <c r="C139" s="10" t="s">
        <v>587</v>
      </c>
      <c r="D139" s="10"/>
      <c r="E139" s="129">
        <v>45908</v>
      </c>
      <c r="F139" s="10" t="s">
        <v>151</v>
      </c>
      <c r="G139" s="260" t="s">
        <v>34</v>
      </c>
      <c r="H139" s="260" t="s">
        <v>536</v>
      </c>
      <c r="I139" s="260" t="s">
        <v>27</v>
      </c>
      <c r="J139" s="260" t="s">
        <v>537</v>
      </c>
      <c r="K139" s="10" t="s">
        <v>0</v>
      </c>
      <c r="L139" s="126">
        <v>60</v>
      </c>
      <c r="M139" s="130" t="s">
        <v>589</v>
      </c>
      <c r="P139" s="245">
        <f>P137-P138</f>
        <v>14758.8</v>
      </c>
    </row>
    <row r="140" spans="1:16" s="131" customFormat="1" ht="24" customHeight="1">
      <c r="A140" s="29">
        <v>102</v>
      </c>
      <c r="B140" s="10">
        <v>102</v>
      </c>
      <c r="C140" s="10" t="s">
        <v>587</v>
      </c>
      <c r="D140" s="10"/>
      <c r="E140" s="129">
        <v>45908</v>
      </c>
      <c r="F140" s="10" t="s">
        <v>157</v>
      </c>
      <c r="G140" s="19" t="s">
        <v>34</v>
      </c>
      <c r="H140" s="19" t="s">
        <v>538</v>
      </c>
      <c r="I140" s="19" t="s">
        <v>27</v>
      </c>
      <c r="J140" s="19" t="s">
        <v>539</v>
      </c>
      <c r="K140" s="10" t="s">
        <v>0</v>
      </c>
      <c r="L140" s="126">
        <v>125</v>
      </c>
      <c r="M140" s="130"/>
      <c r="P140" s="245"/>
    </row>
    <row r="141" spans="1:16" s="131" customFormat="1" ht="24" customHeight="1">
      <c r="A141" s="29">
        <v>103</v>
      </c>
      <c r="B141" s="10">
        <v>103</v>
      </c>
      <c r="C141" s="10" t="s">
        <v>587</v>
      </c>
      <c r="D141" s="41" t="s">
        <v>601</v>
      </c>
      <c r="E141" s="129">
        <v>45908</v>
      </c>
      <c r="F141" s="10" t="s">
        <v>61</v>
      </c>
      <c r="G141" s="19" t="s">
        <v>11</v>
      </c>
      <c r="H141" s="19" t="s">
        <v>531</v>
      </c>
      <c r="I141" s="19" t="s">
        <v>255</v>
      </c>
      <c r="J141" s="19" t="s">
        <v>65</v>
      </c>
      <c r="K141" s="10" t="s">
        <v>2</v>
      </c>
      <c r="L141" s="126">
        <v>540</v>
      </c>
      <c r="M141" s="130"/>
      <c r="P141" s="245"/>
    </row>
    <row r="142" spans="1:16" s="131" customFormat="1" ht="24" customHeight="1">
      <c r="A142" s="29">
        <v>104</v>
      </c>
      <c r="B142" s="10">
        <v>104</v>
      </c>
      <c r="C142" s="10" t="s">
        <v>586</v>
      </c>
      <c r="D142" s="10"/>
      <c r="E142" s="129">
        <v>45914</v>
      </c>
      <c r="F142" s="10" t="s">
        <v>397</v>
      </c>
      <c r="G142" s="19" t="str">
        <f>IFERROR(VLOOKUP($F142,본공사입.출고현황!$B:$H,G$182,0),0)</f>
        <v>Paint</v>
      </c>
      <c r="H142" s="19" t="str">
        <f>IFERROR(VLOOKUP($F142,본공사입.출고현황!$B:$H,H$182,0),0)</f>
        <v>JOTUN Pipe Primer Paint (A)</v>
      </c>
      <c r="I142" s="19" t="str">
        <f>IFERROR(VLOOKUP($F142,본공사입.출고현황!$B:$H,I$182,0),0)</f>
        <v>Paint</v>
      </c>
      <c r="J142" s="19" t="str">
        <f>IFERROR(VLOOKUP($F142,본공사입.출고현황!$B:$H,J$182,0),0)</f>
        <v>16L</v>
      </c>
      <c r="K142" s="10" t="str">
        <f>IFERROR(VLOOKUP($F142,본공사입.출고현황!$B:$H,K$182,0),0)</f>
        <v>CAN</v>
      </c>
      <c r="L142" s="126">
        <v>1</v>
      </c>
      <c r="M142" s="130"/>
    </row>
    <row r="143" spans="1:16" s="131" customFormat="1" ht="24" customHeight="1">
      <c r="A143" s="29">
        <v>105</v>
      </c>
      <c r="B143" s="10">
        <v>105</v>
      </c>
      <c r="C143" s="10" t="s">
        <v>586</v>
      </c>
      <c r="D143" s="10"/>
      <c r="E143" s="129">
        <v>45914</v>
      </c>
      <c r="F143" s="10" t="s">
        <v>399</v>
      </c>
      <c r="G143" s="19" t="str">
        <f>IFERROR(VLOOKUP($F143,본공사입.출고현황!$B:$H,G$182,0),0)</f>
        <v>Paint</v>
      </c>
      <c r="H143" s="19" t="str">
        <f>IFERROR(VLOOKUP($F143,본공사입.출고현황!$B:$H,H$182,0),0)</f>
        <v>JOTUN Pipe Primer Paint (B)</v>
      </c>
      <c r="I143" s="19" t="str">
        <f>IFERROR(VLOOKUP($F143,본공사입.출고현황!$B:$H,I$182,0),0)</f>
        <v>Paint</v>
      </c>
      <c r="J143" s="19" t="str">
        <f>IFERROR(VLOOKUP($F143,본공사입.출고현황!$B:$H,J$182,0),0)</f>
        <v>4L</v>
      </c>
      <c r="K143" s="10" t="str">
        <f>IFERROR(VLOOKUP($F143,본공사입.출고현황!$B:$H,K$182,0),0)</f>
        <v>CAN</v>
      </c>
      <c r="L143" s="126">
        <v>1</v>
      </c>
      <c r="M143" s="130"/>
    </row>
    <row r="144" spans="1:16" s="131" customFormat="1" ht="24" customHeight="1">
      <c r="A144" s="29">
        <v>106</v>
      </c>
      <c r="B144" s="10">
        <v>106</v>
      </c>
      <c r="C144" s="10" t="s">
        <v>576</v>
      </c>
      <c r="D144" s="41" t="s">
        <v>601</v>
      </c>
      <c r="E144" s="129">
        <v>45930</v>
      </c>
      <c r="F144" s="10" t="s">
        <v>238</v>
      </c>
      <c r="G144" s="19" t="str">
        <f>IFERROR(VLOOKUP($F144,본공사입.출고현황!$B:$H,G$182,0),0)</f>
        <v>Steel round bar</v>
      </c>
      <c r="H144" s="19" t="s">
        <v>604</v>
      </c>
      <c r="I144" s="19" t="str">
        <f>IFERROR(VLOOKUP($F144,본공사입.출고현황!$B:$H,I$182,0),0)</f>
        <v>CCGG</v>
      </c>
      <c r="J144" s="19" t="str">
        <f>IFERROR(VLOOKUP($F144,본공사입.출고현황!$B:$H,J$182,0),0)</f>
        <v>ф10, 1ton=1,620.7m</v>
      </c>
      <c r="K144" s="10" t="str">
        <f>IFERROR(VLOOKUP($F144,본공사입.출고현황!$B:$H,K$182,0),0)</f>
        <v>M</v>
      </c>
      <c r="L144" s="126">
        <v>6482.8</v>
      </c>
      <c r="M144" s="130" t="s">
        <v>404</v>
      </c>
    </row>
    <row r="145" spans="1:13" s="131" customFormat="1" ht="24" customHeight="1">
      <c r="A145" s="29">
        <v>107</v>
      </c>
      <c r="B145" s="10">
        <v>107</v>
      </c>
      <c r="C145" s="10" t="s">
        <v>585</v>
      </c>
      <c r="D145" s="10"/>
      <c r="E145" s="129">
        <v>45930</v>
      </c>
      <c r="F145" s="10" t="s">
        <v>160</v>
      </c>
      <c r="G145" s="19" t="str">
        <f>IFERROR(VLOOKUP($F145,본공사입.출고현황!$B:$H,G$182,0),0)</f>
        <v>Conduit Fitting</v>
      </c>
      <c r="H145" s="19" t="str">
        <f>IFERROR(VLOOKUP($F145,본공사입.출고현황!$B:$H,H$182,0),0)</f>
        <v>Conduit Coupling 80-Ts</v>
      </c>
      <c r="I145" s="19" t="str">
        <f>IFERROR(VLOOKUP($F145,본공사입.출고현황!$B:$H,I$182,0),0)</f>
        <v>Conduit Coupling</v>
      </c>
      <c r="J145" s="19" t="str">
        <f>IFERROR(VLOOKUP($F145,본공사입.출고현황!$B:$H,J$182,0),0)</f>
        <v>80-Ts</v>
      </c>
      <c r="K145" s="10" t="str">
        <f>IFERROR(VLOOKUP($F145,본공사입.출고현황!$B:$H,K$182,0),0)</f>
        <v>EA</v>
      </c>
      <c r="L145" s="126">
        <v>52</v>
      </c>
      <c r="M145" s="130"/>
    </row>
    <row r="146" spans="1:13" s="131" customFormat="1" ht="24" customHeight="1">
      <c r="A146" s="29">
        <v>108</v>
      </c>
      <c r="B146" s="10">
        <v>108</v>
      </c>
      <c r="C146" s="10" t="s">
        <v>584</v>
      </c>
      <c r="D146" s="10"/>
      <c r="E146" s="129">
        <v>45950</v>
      </c>
      <c r="F146" s="10" t="s">
        <v>397</v>
      </c>
      <c r="G146" s="19" t="str">
        <f>IFERROR(VLOOKUP($F146,본공사입.출고현황!$B:$H,G$182,0),0)</f>
        <v>Paint</v>
      </c>
      <c r="H146" s="19" t="str">
        <f>IFERROR(VLOOKUP($F146,본공사입.출고현황!$B:$H,H$182,0),0)</f>
        <v>JOTUN Pipe Primer Paint (A)</v>
      </c>
      <c r="I146" s="19" t="str">
        <f>IFERROR(VLOOKUP($F146,본공사입.출고현황!$B:$H,I$182,0),0)</f>
        <v>Paint</v>
      </c>
      <c r="J146" s="19" t="str">
        <f>IFERROR(VLOOKUP($F146,본공사입.출고현황!$B:$H,J$182,0),0)</f>
        <v>16L</v>
      </c>
      <c r="K146" s="10" t="str">
        <f>IFERROR(VLOOKUP($F146,본공사입.출고현황!$B:$H,K$182,0),0)</f>
        <v>CAN</v>
      </c>
      <c r="L146" s="126">
        <v>1</v>
      </c>
      <c r="M146" s="130"/>
    </row>
    <row r="147" spans="1:13" s="131" customFormat="1" ht="24" customHeight="1">
      <c r="A147" s="29">
        <v>109</v>
      </c>
      <c r="B147" s="10">
        <v>109</v>
      </c>
      <c r="C147" s="10" t="s">
        <v>584</v>
      </c>
      <c r="D147" s="10"/>
      <c r="E147" s="129">
        <v>45950</v>
      </c>
      <c r="F147" s="10" t="s">
        <v>399</v>
      </c>
      <c r="G147" s="19" t="str">
        <f>IFERROR(VLOOKUP($F147,본공사입.출고현황!$B:$H,G$182,0),0)</f>
        <v>Paint</v>
      </c>
      <c r="H147" s="19" t="str">
        <f>IFERROR(VLOOKUP($F147,본공사입.출고현황!$B:$H,H$182,0),0)</f>
        <v>JOTUN Pipe Primer Paint (B)</v>
      </c>
      <c r="I147" s="19" t="str">
        <f>IFERROR(VLOOKUP($F147,본공사입.출고현황!$B:$H,I$182,0),0)</f>
        <v>Paint</v>
      </c>
      <c r="J147" s="19" t="str">
        <f>IFERROR(VLOOKUP($F147,본공사입.출고현황!$B:$H,J$182,0),0)</f>
        <v>4L</v>
      </c>
      <c r="K147" s="10" t="str">
        <f>IFERROR(VLOOKUP($F147,본공사입.출고현황!$B:$H,K$182,0),0)</f>
        <v>CAN</v>
      </c>
      <c r="L147" s="126">
        <v>1</v>
      </c>
      <c r="M147" s="130"/>
    </row>
    <row r="148" spans="1:13" s="131" customFormat="1" ht="24" customHeight="1">
      <c r="A148" s="29">
        <v>110</v>
      </c>
      <c r="B148" s="10">
        <v>110</v>
      </c>
      <c r="C148" s="10" t="s">
        <v>584</v>
      </c>
      <c r="D148" s="10"/>
      <c r="E148" s="129">
        <v>45950</v>
      </c>
      <c r="F148" s="10" t="s">
        <v>177</v>
      </c>
      <c r="G148" s="19" t="str">
        <f>IFERROR(VLOOKUP($F148,본공사입.출고현황!$B:$H,G$182,0),0)</f>
        <v>Paint</v>
      </c>
      <c r="H148" s="19" t="str">
        <f>IFERROR(VLOOKUP($F148,본공사입.출고현황!$B:$H,H$182,0),0)</f>
        <v>JOTUN Thinner</v>
      </c>
      <c r="I148" s="19" t="str">
        <f>IFERROR(VLOOKUP($F148,본공사입.출고현황!$B:$H,I$182,0),0)</f>
        <v>Paint</v>
      </c>
      <c r="J148" s="19" t="str">
        <f>IFERROR(VLOOKUP($F148,본공사입.출고현황!$B:$H,J$182,0),0)</f>
        <v>20L</v>
      </c>
      <c r="K148" s="10" t="str">
        <f>IFERROR(VLOOKUP($F148,본공사입.출고현황!$B:$H,K$182,0),0)</f>
        <v>CAN</v>
      </c>
      <c r="L148" s="126">
        <v>1</v>
      </c>
      <c r="M148" s="130"/>
    </row>
    <row r="149" spans="1:13" s="131" customFormat="1" ht="24" customHeight="1">
      <c r="A149" s="29">
        <v>111</v>
      </c>
      <c r="B149" s="10">
        <v>111</v>
      </c>
      <c r="C149" s="10" t="s">
        <v>575</v>
      </c>
      <c r="D149" s="10" t="s">
        <v>600</v>
      </c>
      <c r="E149" s="129">
        <v>45956</v>
      </c>
      <c r="F149" s="10" t="s">
        <v>238</v>
      </c>
      <c r="G149" s="19" t="str">
        <f>IFERROR(VLOOKUP($F149,본공사입.출고현황!$B:$H,G$182,0),0)</f>
        <v>Steel round bar</v>
      </c>
      <c r="H149" s="19" t="s">
        <v>604</v>
      </c>
      <c r="I149" s="19" t="str">
        <f>IFERROR(VLOOKUP($F149,본공사입.출고현황!$B:$H,I$182,0),0)</f>
        <v>CCGG</v>
      </c>
      <c r="J149" s="19" t="str">
        <f>IFERROR(VLOOKUP($F149,본공사입.출고현황!$B:$H,J$182,0),0)</f>
        <v>ф10, 1ton=1,620.7m</v>
      </c>
      <c r="K149" s="10" t="str">
        <f>IFERROR(VLOOKUP($F149,본공사입.출고현황!$B:$H,K$182,0),0)</f>
        <v>M</v>
      </c>
      <c r="L149" s="126">
        <v>6482.8</v>
      </c>
      <c r="M149" s="130" t="s">
        <v>404</v>
      </c>
    </row>
    <row r="150" spans="1:13" s="131" customFormat="1" ht="24" customHeight="1">
      <c r="A150" s="29">
        <v>112</v>
      </c>
      <c r="B150" s="10">
        <v>112</v>
      </c>
      <c r="C150" s="10" t="s">
        <v>573</v>
      </c>
      <c r="D150" s="10" t="s">
        <v>600</v>
      </c>
      <c r="E150" s="129">
        <v>45979</v>
      </c>
      <c r="F150" s="10" t="s">
        <v>238</v>
      </c>
      <c r="G150" s="19" t="str">
        <f>IFERROR(VLOOKUP($F150,본공사입.출고현황!$B:$H,G$182,0),0)</f>
        <v>Steel round bar</v>
      </c>
      <c r="H150" s="19" t="s">
        <v>604</v>
      </c>
      <c r="I150" s="19" t="str">
        <f>IFERROR(VLOOKUP($F150,본공사입.출고현황!$B:$H,I$182,0),0)</f>
        <v>CCGG</v>
      </c>
      <c r="J150" s="19" t="str">
        <f>IFERROR(VLOOKUP($F150,본공사입.출고현황!$B:$H,J$182,0),0)</f>
        <v>ф10, 1ton=1,620.7m</v>
      </c>
      <c r="K150" s="10" t="str">
        <f>IFERROR(VLOOKUP($F150,본공사입.출고현황!$B:$H,K$182,0),0)</f>
        <v>M</v>
      </c>
      <c r="L150" s="126">
        <v>6482.8</v>
      </c>
      <c r="M150" s="130" t="s">
        <v>404</v>
      </c>
    </row>
    <row r="151" spans="1:13" s="131" customFormat="1" ht="24" customHeight="1">
      <c r="A151" s="29">
        <v>113</v>
      </c>
      <c r="B151" s="10">
        <v>113</v>
      </c>
      <c r="C151" s="10" t="s">
        <v>608</v>
      </c>
      <c r="D151" s="10" t="s">
        <v>609</v>
      </c>
      <c r="E151" s="129">
        <v>45985</v>
      </c>
      <c r="F151" s="10" t="s">
        <v>397</v>
      </c>
      <c r="G151" s="19" t="str">
        <f>IFERROR(VLOOKUP($F151,본공사입.출고현황!$B:$H,G$182,0),0)</f>
        <v>Paint</v>
      </c>
      <c r="H151" s="19" t="str">
        <f>IFERROR(VLOOKUP($F151,본공사입.출고현황!$B:$H,H$182,0),0)</f>
        <v>JOTUN Pipe Primer Paint (A)</v>
      </c>
      <c r="I151" s="19" t="str">
        <f>IFERROR(VLOOKUP($F151,본공사입.출고현황!$B:$H,I$182,0),0)</f>
        <v>Paint</v>
      </c>
      <c r="J151" s="19" t="str">
        <f>IFERROR(VLOOKUP($F151,본공사입.출고현황!$B:$H,J$182,0),0)</f>
        <v>16L</v>
      </c>
      <c r="K151" s="10" t="str">
        <f>IFERROR(VLOOKUP($F151,본공사입.출고현황!$B:$H,K$182,0),0)</f>
        <v>CAN</v>
      </c>
      <c r="L151" s="126">
        <v>2</v>
      </c>
      <c r="M151" s="130"/>
    </row>
    <row r="152" spans="1:13" s="131" customFormat="1" ht="24" customHeight="1">
      <c r="A152" s="29">
        <v>114</v>
      </c>
      <c r="B152" s="10">
        <v>114</v>
      </c>
      <c r="C152" s="10" t="s">
        <v>608</v>
      </c>
      <c r="D152" s="10" t="s">
        <v>609</v>
      </c>
      <c r="E152" s="129">
        <v>45985</v>
      </c>
      <c r="F152" s="10" t="s">
        <v>399</v>
      </c>
      <c r="G152" s="19" t="str">
        <f>IFERROR(VLOOKUP($F152,본공사입.출고현황!$B:$H,G$182,0),0)</f>
        <v>Paint</v>
      </c>
      <c r="H152" s="19" t="str">
        <f>IFERROR(VLOOKUP($F152,본공사입.출고현황!$B:$H,H$182,0),0)</f>
        <v>JOTUN Pipe Primer Paint (B)</v>
      </c>
      <c r="I152" s="19" t="str">
        <f>IFERROR(VLOOKUP($F152,본공사입.출고현황!$B:$H,I$182,0),0)</f>
        <v>Paint</v>
      </c>
      <c r="J152" s="19" t="str">
        <f>IFERROR(VLOOKUP($F152,본공사입.출고현황!$B:$H,J$182,0),0)</f>
        <v>4L</v>
      </c>
      <c r="K152" s="10" t="str">
        <f>IFERROR(VLOOKUP($F152,본공사입.출고현황!$B:$H,K$182,0),0)</f>
        <v>CAN</v>
      </c>
      <c r="L152" s="126">
        <v>2</v>
      </c>
      <c r="M152" s="130"/>
    </row>
    <row r="153" spans="1:13" s="131" customFormat="1" ht="24" customHeight="1">
      <c r="A153" s="29">
        <v>115</v>
      </c>
      <c r="B153" s="10">
        <v>115</v>
      </c>
      <c r="C153" s="10" t="s">
        <v>610</v>
      </c>
      <c r="D153" s="10" t="s">
        <v>600</v>
      </c>
      <c r="E153" s="129">
        <v>46000</v>
      </c>
      <c r="F153" s="10" t="s">
        <v>238</v>
      </c>
      <c r="G153" s="19" t="str">
        <f>IFERROR(VLOOKUP($F153,본공사입.출고현황!$B:$H,G$182,0),0)</f>
        <v>Steel round bar</v>
      </c>
      <c r="H153" s="19" t="str">
        <f>IFERROR(VLOOKUP($F153,본공사입.출고현황!$B:$H,H$182,0),0)</f>
        <v>Steel round bar(rebar)</v>
      </c>
      <c r="I153" s="19" t="str">
        <f>IFERROR(VLOOKUP($F153,본공사입.출고현황!$B:$H,I$182,0),0)</f>
        <v>CCGG</v>
      </c>
      <c r="J153" s="19" t="str">
        <f>IFERROR(VLOOKUP($F153,본공사입.출고현황!$B:$H,J$182,0),0)</f>
        <v>ф10, 1ton=1,620.7m</v>
      </c>
      <c r="K153" s="10" t="str">
        <f>IFERROR(VLOOKUP($F153,본공사입.출고현황!$B:$H,K$182,0),0)</f>
        <v>M</v>
      </c>
      <c r="L153" s="126">
        <v>6482.8</v>
      </c>
      <c r="M153" s="130" t="s">
        <v>404</v>
      </c>
    </row>
    <row r="154" spans="1:13" s="131" customFormat="1" ht="24" customHeight="1">
      <c r="A154" s="29">
        <v>116</v>
      </c>
      <c r="B154" s="10">
        <v>116</v>
      </c>
      <c r="C154" s="10" t="s">
        <v>621</v>
      </c>
      <c r="D154" s="10" t="s">
        <v>622</v>
      </c>
      <c r="E154" s="129">
        <v>46022</v>
      </c>
      <c r="F154" s="10" t="s">
        <v>238</v>
      </c>
      <c r="G154" s="19" t="str">
        <f>IFERROR(VLOOKUP($F154,본공사입.출고현황!$B:$H,G$182,0),0)</f>
        <v>Steel round bar</v>
      </c>
      <c r="H154" s="19" t="str">
        <f>IFERROR(VLOOKUP($F154,본공사입.출고현황!$B:$H,H$182,0),0)</f>
        <v>Steel round bar(rebar)</v>
      </c>
      <c r="I154" s="19" t="str">
        <f>IFERROR(VLOOKUP($F154,본공사입.출고현황!$B:$H,I$182,0),0)</f>
        <v>CCGG</v>
      </c>
      <c r="J154" s="19" t="str">
        <f>IFERROR(VLOOKUP($F154,본공사입.출고현황!$B:$H,J$182,0),0)</f>
        <v>ф10, 1ton=1,620.7m</v>
      </c>
      <c r="K154" s="10" t="str">
        <f>IFERROR(VLOOKUP($F154,본공사입.출고현황!$B:$H,K$182,0),0)</f>
        <v>M</v>
      </c>
      <c r="L154" s="126">
        <v>6482.8</v>
      </c>
      <c r="M154" s="130" t="s">
        <v>404</v>
      </c>
    </row>
    <row r="155" spans="1:13" s="131" customFormat="1" ht="24" customHeight="1">
      <c r="A155" s="29">
        <v>117</v>
      </c>
      <c r="B155" s="10">
        <v>117</v>
      </c>
      <c r="C155" s="249" t="s">
        <v>628</v>
      </c>
      <c r="D155" s="249" t="s">
        <v>622</v>
      </c>
      <c r="E155" s="259">
        <v>46037</v>
      </c>
      <c r="F155" s="249" t="s">
        <v>238</v>
      </c>
      <c r="G155" s="260" t="str">
        <f>IFERROR(VLOOKUP($F155,본공사입.출고현황!$B:$H,G$182,0),0)</f>
        <v>Steel round bar</v>
      </c>
      <c r="H155" s="260" t="str">
        <f>IFERROR(VLOOKUP($F155,본공사입.출고현황!$B:$H,H$182,0),0)</f>
        <v>Steel round bar(rebar)</v>
      </c>
      <c r="I155" s="260" t="str">
        <f>IFERROR(VLOOKUP($F155,본공사입.출고현황!$B:$H,I$182,0),0)</f>
        <v>CCGG</v>
      </c>
      <c r="J155" s="260" t="str">
        <f>IFERROR(VLOOKUP($F155,본공사입.출고현황!$B:$H,J$182,0),0)</f>
        <v>ф10, 1ton=1,620.7m</v>
      </c>
      <c r="K155" s="249" t="str">
        <f>IFERROR(VLOOKUP($F155,본공사입.출고현황!$B:$H,K$182,0),0)</f>
        <v>M</v>
      </c>
      <c r="L155" s="280">
        <v>3241.4</v>
      </c>
      <c r="M155" s="291" t="s">
        <v>629</v>
      </c>
    </row>
    <row r="156" spans="1:13" s="131" customFormat="1" ht="24" customHeight="1">
      <c r="A156" s="29">
        <v>118</v>
      </c>
      <c r="B156" s="10">
        <v>118</v>
      </c>
      <c r="C156" s="10" t="s">
        <v>661</v>
      </c>
      <c r="D156" s="10" t="s">
        <v>662</v>
      </c>
      <c r="E156" s="129">
        <v>46040</v>
      </c>
      <c r="F156" s="10" t="s">
        <v>665</v>
      </c>
      <c r="G156" s="19" t="str">
        <f>IFERROR(VLOOKUP($F156,본공사입.출고현황!$B:$H,G$182,0),0)</f>
        <v>Plate</v>
      </c>
      <c r="H156" s="19" t="str">
        <f>IFERROR(VLOOKUP($F156,본공사입.출고현황!$B:$H,H$182,0),0)</f>
        <v>Carbon Plate 1500x6000x10</v>
      </c>
      <c r="I156" s="19" t="str">
        <f>IFERROR(VLOOKUP($F156,본공사입.출고현황!$B:$H,I$182,0),0)</f>
        <v>CCGG</v>
      </c>
      <c r="J156" s="19" t="str">
        <f>IFERROR(VLOOKUP($F156,본공사입.출고현황!$B:$H,J$182,0),0)</f>
        <v xml:space="preserve">1500x6000x10 </v>
      </c>
      <c r="K156" s="10" t="str">
        <f>IFERROR(VLOOKUP($F156,본공사입.출고현황!$B:$H,K$182,0),0)</f>
        <v>PCS</v>
      </c>
      <c r="L156" s="126">
        <v>1</v>
      </c>
      <c r="M156" s="130"/>
    </row>
    <row r="157" spans="1:13" s="131" customFormat="1" ht="24" customHeight="1">
      <c r="A157" s="29">
        <v>119</v>
      </c>
      <c r="B157" s="10">
        <v>119</v>
      </c>
      <c r="C157" s="10" t="s">
        <v>599</v>
      </c>
      <c r="D157" s="10" t="s">
        <v>667</v>
      </c>
      <c r="E157" s="129">
        <v>45648</v>
      </c>
      <c r="F157" s="10" t="s">
        <v>666</v>
      </c>
      <c r="G157" s="19" t="str">
        <f>IFERROR(VLOOKUP($F157,본공사입.출고현황!$B:$H,G$182,0),0)</f>
        <v>Plate</v>
      </c>
      <c r="H157" s="19" t="str">
        <f>IFERROR(VLOOKUP($F157,본공사입.출고현황!$B:$H,H$182,0),0)</f>
        <v>Carbon Plate 1000x6000x8</v>
      </c>
      <c r="I157" s="19" t="str">
        <f>IFERROR(VLOOKUP($F157,본공사입.출고현황!$B:$H,I$182,0),0)</f>
        <v>CCGG</v>
      </c>
      <c r="J157" s="19" t="str">
        <f>IFERROR(VLOOKUP($F157,본공사입.출고현황!$B:$H,J$182,0),0)</f>
        <v xml:space="preserve">1000x6000x8  </v>
      </c>
      <c r="K157" s="10" t="str">
        <f>IFERROR(VLOOKUP($F157,본공사입.출고현황!$B:$H,K$182,0),0)</f>
        <v>PCS</v>
      </c>
      <c r="L157" s="126">
        <v>1</v>
      </c>
      <c r="M157" s="130" t="s">
        <v>676</v>
      </c>
    </row>
    <row r="158" spans="1:13" s="131" customFormat="1" ht="24" customHeight="1">
      <c r="A158" s="29">
        <v>120</v>
      </c>
      <c r="B158" s="10">
        <v>120</v>
      </c>
      <c r="C158" s="249" t="s">
        <v>632</v>
      </c>
      <c r="D158" s="249" t="s">
        <v>622</v>
      </c>
      <c r="E158" s="259">
        <v>46049</v>
      </c>
      <c r="F158" s="249" t="s">
        <v>238</v>
      </c>
      <c r="G158" s="260" t="str">
        <f>IFERROR(VLOOKUP($F158,본공사입.출고현황!$B:$H,G$182,0),0)</f>
        <v>Steel round bar</v>
      </c>
      <c r="H158" s="260" t="str">
        <f>IFERROR(VLOOKUP($F158,본공사입.출고현황!$B:$H,H$182,0),0)</f>
        <v>Steel round bar(rebar)</v>
      </c>
      <c r="I158" s="260" t="str">
        <f>IFERROR(VLOOKUP($F158,본공사입.출고현황!$B:$H,I$182,0),0)</f>
        <v>CCGG</v>
      </c>
      <c r="J158" s="260" t="str">
        <f>IFERROR(VLOOKUP($F158,본공사입.출고현황!$B:$H,J$182,0),0)</f>
        <v>ф10, 1ton=1,620.7m</v>
      </c>
      <c r="K158" s="249" t="str">
        <f>IFERROR(VLOOKUP($F158,본공사입.출고현황!$B:$H,K$182,0),0)</f>
        <v>M</v>
      </c>
      <c r="L158" s="280">
        <v>6482.8</v>
      </c>
      <c r="M158" s="291" t="s">
        <v>404</v>
      </c>
    </row>
    <row r="159" spans="1:13" s="131" customFormat="1" ht="24" customHeight="1">
      <c r="A159" s="29">
        <v>121</v>
      </c>
      <c r="B159" s="10">
        <v>121</v>
      </c>
      <c r="C159" s="10" t="s">
        <v>640</v>
      </c>
      <c r="D159" s="10"/>
      <c r="E159" s="129">
        <v>46057</v>
      </c>
      <c r="F159" s="10" t="s">
        <v>238</v>
      </c>
      <c r="G159" s="19" t="str">
        <f>IFERROR(VLOOKUP($F159,본공사입.출고현황!$B:$H,G$182,0),0)</f>
        <v>Steel round bar</v>
      </c>
      <c r="H159" s="19" t="str">
        <f>IFERROR(VLOOKUP($F159,본공사입.출고현황!$B:$H,H$182,0),0)</f>
        <v>Steel round bar(rebar)</v>
      </c>
      <c r="I159" s="19" t="str">
        <f>IFERROR(VLOOKUP($F159,본공사입.출고현황!$B:$H,I$182,0),0)</f>
        <v>CCGG</v>
      </c>
      <c r="J159" s="19" t="str">
        <f>IFERROR(VLOOKUP($F159,본공사입.출고현황!$B:$H,J$182,0),0)</f>
        <v>ф10, 1ton=1,620.7m</v>
      </c>
      <c r="K159" s="10" t="str">
        <f>IFERROR(VLOOKUP($F159,본공사입.출고현황!$B:$H,K$182,0),0)</f>
        <v>M</v>
      </c>
      <c r="L159" s="126">
        <v>5672.4500000000007</v>
      </c>
      <c r="M159" s="130" t="s">
        <v>639</v>
      </c>
    </row>
    <row r="160" spans="1:13" s="131" customFormat="1" ht="24" customHeight="1">
      <c r="A160" s="29">
        <v>122</v>
      </c>
      <c r="B160" s="10">
        <v>122</v>
      </c>
      <c r="C160" s="10" t="s">
        <v>689</v>
      </c>
      <c r="D160" s="10" t="s">
        <v>688</v>
      </c>
      <c r="E160" s="129">
        <v>46078</v>
      </c>
      <c r="F160" s="10" t="s">
        <v>238</v>
      </c>
      <c r="G160" s="19" t="str">
        <f>IFERROR(VLOOKUP($F160,본공사입.출고현황!$B:$H,G$182,0),0)</f>
        <v>Steel round bar</v>
      </c>
      <c r="H160" s="19" t="str">
        <f>IFERROR(VLOOKUP($F160,본공사입.출고현황!$B:$H,H$182,0),0)</f>
        <v>Steel round bar(rebar)</v>
      </c>
      <c r="I160" s="19" t="str">
        <f>IFERROR(VLOOKUP($F160,본공사입.출고현황!$B:$H,I$182,0),0)</f>
        <v>CCGG</v>
      </c>
      <c r="J160" s="19" t="str">
        <f>IFERROR(VLOOKUP($F160,본공사입.출고현황!$B:$H,J$182,0),0)</f>
        <v>ф10, 1ton=1,620.7m</v>
      </c>
      <c r="K160" s="10" t="str">
        <f>IFERROR(VLOOKUP($F160,본공사입.출고현황!$B:$H,K$182,0),0)</f>
        <v>M</v>
      </c>
      <c r="L160" s="126">
        <v>8638</v>
      </c>
      <c r="M160" s="130" t="s">
        <v>687</v>
      </c>
    </row>
    <row r="161" spans="1:13" s="131" customFormat="1" ht="24" customHeight="1">
      <c r="A161" s="29">
        <v>123</v>
      </c>
      <c r="B161" s="10">
        <v>123</v>
      </c>
      <c r="C161" s="10" t="s">
        <v>1013</v>
      </c>
      <c r="D161" s="10" t="s">
        <v>1012</v>
      </c>
      <c r="E161" s="129">
        <v>46141</v>
      </c>
      <c r="F161" s="10" t="s">
        <v>1016</v>
      </c>
      <c r="G161" s="19" t="str">
        <f>IFERROR(VLOOKUP($F161,본공사입.출고현황!$B:$H,G$182,0),0)</f>
        <v>Conduit</v>
      </c>
      <c r="H161" s="19" t="str">
        <f>IFERROR(VLOOKUP($F161,본공사입.출고현황!$B:$H,H$182,0),0)</f>
        <v>Conduit (Galvanized) 60.3x3.91</v>
      </c>
      <c r="I161" s="19" t="str">
        <f>IFERROR(VLOOKUP($F161,본공사입.출고현황!$B:$H,I$182,0),0)</f>
        <v xml:space="preserve">Conduit (Galvanized) </v>
      </c>
      <c r="J161" s="19" t="str">
        <f>IFERROR(VLOOKUP($F161,본공사입.출고현황!$B:$H,J$182,0),0)</f>
        <v>60.3x3.91</v>
      </c>
      <c r="K161" s="10" t="str">
        <f>IFERROR(VLOOKUP($F161,본공사입.출고현황!$B:$H,K$182,0),0)</f>
        <v>M</v>
      </c>
      <c r="L161" s="126">
        <v>18</v>
      </c>
      <c r="M161" s="130" t="s">
        <v>1015</v>
      </c>
    </row>
    <row r="162" spans="1:13" s="131" customFormat="1" ht="24" customHeight="1">
      <c r="A162" s="29">
        <v>124</v>
      </c>
      <c r="B162" s="10">
        <v>124</v>
      </c>
      <c r="C162" s="10" t="s">
        <v>1013</v>
      </c>
      <c r="D162" s="10" t="s">
        <v>1011</v>
      </c>
      <c r="E162" s="129">
        <v>46141</v>
      </c>
      <c r="F162" s="10" t="s">
        <v>1008</v>
      </c>
      <c r="G162" s="19" t="str">
        <f>IFERROR(VLOOKUP($F162,본공사입.출고현황!$B:$H,G$182,0),0)</f>
        <v>Conduit Fitting</v>
      </c>
      <c r="H162" s="19" t="str">
        <f>IFERROR(VLOOKUP($F162,본공사입.출고현황!$B:$H,H$182,0),0)</f>
        <v xml:space="preserve">Conduit Coupling </v>
      </c>
      <c r="I162" s="19" t="str">
        <f>IFERROR(VLOOKUP($F162,본공사입.출고현황!$B:$H,I$182,0),0)</f>
        <v>Conduit Coupling</v>
      </c>
      <c r="J162" s="19" t="str">
        <f>IFERROR(VLOOKUP($F162,본공사입.출고현황!$B:$H,J$182,0),0)</f>
        <v>50-11 NPT</v>
      </c>
      <c r="K162" s="10" t="str">
        <f>IFERROR(VLOOKUP($F162,본공사입.출고현황!$B:$H,K$182,0),0)</f>
        <v>EA</v>
      </c>
      <c r="L162" s="126">
        <v>9</v>
      </c>
      <c r="M162" s="130"/>
    </row>
    <row r="163" spans="1:13" s="131" customFormat="1" ht="24" customHeight="1">
      <c r="A163" s="29">
        <v>125</v>
      </c>
      <c r="B163" s="10">
        <v>125</v>
      </c>
      <c r="C163" s="10" t="s">
        <v>1033</v>
      </c>
      <c r="D163" s="10" t="s">
        <v>1034</v>
      </c>
      <c r="E163" s="129">
        <v>46143</v>
      </c>
      <c r="F163" s="10" t="s">
        <v>238</v>
      </c>
      <c r="G163" s="19" t="str">
        <f>IFERROR(VLOOKUP($F163,본공사입.출고현황!$B:$H,G$182,0),0)</f>
        <v>Steel round bar</v>
      </c>
      <c r="H163" s="19" t="str">
        <f>IFERROR(VLOOKUP($F163,본공사입.출고현황!$B:$H,H$182,0),0)</f>
        <v>Steel round bar(rebar)</v>
      </c>
      <c r="I163" s="19" t="str">
        <f>IFERROR(VLOOKUP($F163,본공사입.출고현황!$B:$H,I$182,0),0)</f>
        <v>CCGG</v>
      </c>
      <c r="J163" s="19" t="str">
        <f>IFERROR(VLOOKUP($F163,본공사입.출고현황!$B:$H,J$182,0),0)</f>
        <v>ф10, 1ton=1,620.7m</v>
      </c>
      <c r="K163" s="10" t="str">
        <f>IFERROR(VLOOKUP($F163,본공사입.출고현황!$B:$H,K$182,0),0)</f>
        <v>M</v>
      </c>
      <c r="L163" s="126">
        <v>12965.6</v>
      </c>
      <c r="M163" s="130" t="s">
        <v>1035</v>
      </c>
    </row>
    <row r="164" spans="1:13" s="131" customFormat="1" ht="24" customHeight="1">
      <c r="A164" s="29">
        <v>126</v>
      </c>
      <c r="B164" s="10">
        <v>126</v>
      </c>
      <c r="C164" s="10"/>
      <c r="D164" s="10"/>
      <c r="E164" s="129"/>
      <c r="F164" s="10"/>
      <c r="G164" s="19">
        <f>IFERROR(VLOOKUP($F164,본공사입.출고현황!$B:$H,G$182,0),0)</f>
        <v>0</v>
      </c>
      <c r="H164" s="19">
        <f>IFERROR(VLOOKUP($F164,본공사입.출고현황!$B:$H,H$182,0),0)</f>
        <v>0</v>
      </c>
      <c r="I164" s="19">
        <f>IFERROR(VLOOKUP($F164,본공사입.출고현황!$B:$H,I$182,0),0)</f>
        <v>0</v>
      </c>
      <c r="J164" s="19">
        <f>IFERROR(VLOOKUP($F164,본공사입.출고현황!$B:$H,J$182,0),0)</f>
        <v>0</v>
      </c>
      <c r="K164" s="10">
        <f>IFERROR(VLOOKUP($F164,본공사입.출고현황!$B:$H,K$182,0),0)</f>
        <v>0</v>
      </c>
      <c r="L164" s="126"/>
      <c r="M164" s="130"/>
    </row>
    <row r="165" spans="1:13" s="131" customFormat="1" ht="24" customHeight="1">
      <c r="A165" s="29">
        <v>127</v>
      </c>
      <c r="B165" s="10">
        <v>127</v>
      </c>
      <c r="C165" s="10"/>
      <c r="D165" s="10"/>
      <c r="E165" s="129"/>
      <c r="F165" s="10"/>
      <c r="G165" s="19">
        <f>IFERROR(VLOOKUP($F165,본공사입.출고현황!$B:$H,G$182,0),0)</f>
        <v>0</v>
      </c>
      <c r="H165" s="19">
        <f>IFERROR(VLOOKUP($F165,본공사입.출고현황!$B:$H,H$182,0),0)</f>
        <v>0</v>
      </c>
      <c r="I165" s="19">
        <f>IFERROR(VLOOKUP($F165,본공사입.출고현황!$B:$H,I$182,0),0)</f>
        <v>0</v>
      </c>
      <c r="J165" s="19">
        <f>IFERROR(VLOOKUP($F165,본공사입.출고현황!$B:$H,J$182,0),0)</f>
        <v>0</v>
      </c>
      <c r="K165" s="10">
        <f>IFERROR(VLOOKUP($F165,본공사입.출고현황!$B:$H,K$182,0),0)</f>
        <v>0</v>
      </c>
      <c r="L165" s="126"/>
      <c r="M165" s="130"/>
    </row>
    <row r="166" spans="1:13" s="131" customFormat="1" ht="24" customHeight="1">
      <c r="A166" s="29">
        <v>128</v>
      </c>
      <c r="B166" s="10">
        <v>128</v>
      </c>
      <c r="C166" s="10"/>
      <c r="D166" s="10"/>
      <c r="E166" s="129"/>
      <c r="F166" s="10"/>
      <c r="G166" s="19">
        <f>IFERROR(VLOOKUP($F166,본공사입.출고현황!$B:$H,G$182,0),0)</f>
        <v>0</v>
      </c>
      <c r="H166" s="19">
        <f>IFERROR(VLOOKUP($F166,본공사입.출고현황!$B:$H,H$182,0),0)</f>
        <v>0</v>
      </c>
      <c r="I166" s="19">
        <f>IFERROR(VLOOKUP($F166,본공사입.출고현황!$B:$H,I$182,0),0)</f>
        <v>0</v>
      </c>
      <c r="J166" s="19">
        <f>IFERROR(VLOOKUP($F166,본공사입.출고현황!$B:$H,J$182,0),0)</f>
        <v>0</v>
      </c>
      <c r="K166" s="10">
        <f>IFERROR(VLOOKUP($F166,본공사입.출고현황!$B:$H,K$182,0),0)</f>
        <v>0</v>
      </c>
      <c r="L166" s="126"/>
      <c r="M166" s="130"/>
    </row>
    <row r="167" spans="1:13" s="131" customFormat="1" ht="24" customHeight="1">
      <c r="A167" s="29">
        <v>129</v>
      </c>
      <c r="B167" s="10">
        <v>129</v>
      </c>
      <c r="C167" s="10"/>
      <c r="D167" s="10"/>
      <c r="E167" s="129"/>
      <c r="F167" s="10"/>
      <c r="G167" s="19">
        <f>IFERROR(VLOOKUP($F167,본공사입.출고현황!$B:$H,G$182,0),0)</f>
        <v>0</v>
      </c>
      <c r="H167" s="19">
        <f>IFERROR(VLOOKUP($F167,본공사입.출고현황!$B:$H,H$182,0),0)</f>
        <v>0</v>
      </c>
      <c r="I167" s="19">
        <f>IFERROR(VLOOKUP($F167,본공사입.출고현황!$B:$H,I$182,0),0)</f>
        <v>0</v>
      </c>
      <c r="J167" s="19">
        <f>IFERROR(VLOOKUP($F167,본공사입.출고현황!$B:$H,J$182,0),0)</f>
        <v>0</v>
      </c>
      <c r="K167" s="10">
        <f>IFERROR(VLOOKUP($F167,본공사입.출고현황!$B:$H,K$182,0),0)</f>
        <v>0</v>
      </c>
      <c r="L167" s="126"/>
      <c r="M167" s="130"/>
    </row>
    <row r="168" spans="1:13" s="131" customFormat="1" ht="24" customHeight="1">
      <c r="A168" s="29">
        <v>130</v>
      </c>
      <c r="B168" s="10">
        <v>130</v>
      </c>
      <c r="C168" s="10"/>
      <c r="D168" s="10"/>
      <c r="E168" s="129"/>
      <c r="F168" s="10"/>
      <c r="G168" s="19">
        <f>IFERROR(VLOOKUP($F168,본공사입.출고현황!$B:$H,G$182,0),0)</f>
        <v>0</v>
      </c>
      <c r="H168" s="19">
        <f>IFERROR(VLOOKUP($F168,본공사입.출고현황!$B:$H,H$182,0),0)</f>
        <v>0</v>
      </c>
      <c r="I168" s="19">
        <f>IFERROR(VLOOKUP($F168,본공사입.출고현황!$B:$H,I$182,0),0)</f>
        <v>0</v>
      </c>
      <c r="J168" s="19">
        <f>IFERROR(VLOOKUP($F168,본공사입.출고현황!$B:$H,J$182,0),0)</f>
        <v>0</v>
      </c>
      <c r="K168" s="10">
        <f>IFERROR(VLOOKUP($F168,본공사입.출고현황!$B:$H,K$182,0),0)</f>
        <v>0</v>
      </c>
      <c r="L168" s="126"/>
      <c r="M168" s="130"/>
    </row>
    <row r="169" spans="1:13" s="131" customFormat="1" ht="24" customHeight="1">
      <c r="A169" s="29">
        <v>131</v>
      </c>
      <c r="B169" s="10">
        <v>131</v>
      </c>
      <c r="C169" s="10"/>
      <c r="D169" s="10"/>
      <c r="E169" s="129"/>
      <c r="F169" s="10"/>
      <c r="G169" s="19">
        <f>IFERROR(VLOOKUP($F169,본공사입.출고현황!$B:$H,G$182,0),0)</f>
        <v>0</v>
      </c>
      <c r="H169" s="19">
        <f>IFERROR(VLOOKUP($F169,본공사입.출고현황!$B:$H,H$182,0),0)</f>
        <v>0</v>
      </c>
      <c r="I169" s="19">
        <f>IFERROR(VLOOKUP($F169,본공사입.출고현황!$B:$H,I$182,0),0)</f>
        <v>0</v>
      </c>
      <c r="J169" s="19">
        <f>IFERROR(VLOOKUP($F169,본공사입.출고현황!$B:$H,J$182,0),0)</f>
        <v>0</v>
      </c>
      <c r="K169" s="10">
        <f>IFERROR(VLOOKUP($F169,본공사입.출고현황!$B:$H,K$182,0),0)</f>
        <v>0</v>
      </c>
      <c r="L169" s="126"/>
      <c r="M169" s="130"/>
    </row>
    <row r="170" spans="1:13" s="131" customFormat="1" ht="24" customHeight="1">
      <c r="A170" s="29">
        <v>132</v>
      </c>
      <c r="B170" s="10">
        <v>132</v>
      </c>
      <c r="C170" s="10"/>
      <c r="D170" s="10"/>
      <c r="E170" s="129"/>
      <c r="F170" s="10"/>
      <c r="G170" s="19">
        <f>IFERROR(VLOOKUP($F170,본공사입.출고현황!$B:$H,G$182,0),0)</f>
        <v>0</v>
      </c>
      <c r="H170" s="19">
        <f>IFERROR(VLOOKUP($F170,본공사입.출고현황!$B:$H,H$182,0),0)</f>
        <v>0</v>
      </c>
      <c r="I170" s="19">
        <f>IFERROR(VLOOKUP($F170,본공사입.출고현황!$B:$H,I$182,0),0)</f>
        <v>0</v>
      </c>
      <c r="J170" s="19">
        <f>IFERROR(VLOOKUP($F170,본공사입.출고현황!$B:$H,J$182,0),0)</f>
        <v>0</v>
      </c>
      <c r="K170" s="10">
        <f>IFERROR(VLOOKUP($F170,본공사입.출고현황!$B:$H,K$182,0),0)</f>
        <v>0</v>
      </c>
      <c r="L170" s="126"/>
      <c r="M170" s="130"/>
    </row>
    <row r="171" spans="1:13" s="131" customFormat="1" ht="24" customHeight="1">
      <c r="A171" s="29">
        <v>133</v>
      </c>
      <c r="B171" s="10">
        <v>133</v>
      </c>
      <c r="C171" s="10"/>
      <c r="D171" s="10"/>
      <c r="E171" s="129"/>
      <c r="F171" s="10"/>
      <c r="G171" s="19">
        <f>IFERROR(VLOOKUP($F171,본공사입.출고현황!$B:$H,G$182,0),0)</f>
        <v>0</v>
      </c>
      <c r="H171" s="19">
        <f>IFERROR(VLOOKUP($F171,본공사입.출고현황!$B:$H,H$182,0),0)</f>
        <v>0</v>
      </c>
      <c r="I171" s="19">
        <f>IFERROR(VLOOKUP($F171,본공사입.출고현황!$B:$H,I$182,0),0)</f>
        <v>0</v>
      </c>
      <c r="J171" s="19">
        <f>IFERROR(VLOOKUP($F171,본공사입.출고현황!$B:$H,J$182,0),0)</f>
        <v>0</v>
      </c>
      <c r="K171" s="10">
        <f>IFERROR(VLOOKUP($F171,본공사입.출고현황!$B:$H,K$182,0),0)</f>
        <v>0</v>
      </c>
      <c r="L171" s="126"/>
      <c r="M171" s="130"/>
    </row>
    <row r="172" spans="1:13" s="131" customFormat="1" ht="24" customHeight="1">
      <c r="A172" s="29">
        <v>134</v>
      </c>
      <c r="B172" s="10">
        <v>134</v>
      </c>
      <c r="C172" s="10"/>
      <c r="D172" s="10"/>
      <c r="E172" s="129"/>
      <c r="F172" s="10"/>
      <c r="G172" s="19">
        <f>IFERROR(VLOOKUP($F172,본공사입.출고현황!$B:$H,G$182,0),0)</f>
        <v>0</v>
      </c>
      <c r="H172" s="19">
        <f>IFERROR(VLOOKUP($F172,본공사입.출고현황!$B:$H,H$182,0),0)</f>
        <v>0</v>
      </c>
      <c r="I172" s="19">
        <f>IFERROR(VLOOKUP($F172,본공사입.출고현황!$B:$H,I$182,0),0)</f>
        <v>0</v>
      </c>
      <c r="J172" s="19">
        <f>IFERROR(VLOOKUP($F172,본공사입.출고현황!$B:$H,J$182,0),0)</f>
        <v>0</v>
      </c>
      <c r="K172" s="10">
        <f>IFERROR(VLOOKUP($F172,본공사입.출고현황!$B:$H,K$182,0),0)</f>
        <v>0</v>
      </c>
      <c r="L172" s="126"/>
      <c r="M172" s="130"/>
    </row>
    <row r="173" spans="1:13" s="131" customFormat="1" ht="24" customHeight="1">
      <c r="A173" s="29">
        <v>135</v>
      </c>
      <c r="B173" s="10">
        <v>135</v>
      </c>
      <c r="C173" s="10"/>
      <c r="D173" s="10"/>
      <c r="E173" s="129"/>
      <c r="F173" s="10"/>
      <c r="G173" s="19">
        <f>IFERROR(VLOOKUP($F173,본공사입.출고현황!$B:$H,G$182,0),0)</f>
        <v>0</v>
      </c>
      <c r="H173" s="19">
        <f>IFERROR(VLOOKUP($F173,본공사입.출고현황!$B:$H,H$182,0),0)</f>
        <v>0</v>
      </c>
      <c r="I173" s="19">
        <f>IFERROR(VLOOKUP($F173,본공사입.출고현황!$B:$H,I$182,0),0)</f>
        <v>0</v>
      </c>
      <c r="J173" s="19">
        <f>IFERROR(VLOOKUP($F173,본공사입.출고현황!$B:$H,J$182,0),0)</f>
        <v>0</v>
      </c>
      <c r="K173" s="10">
        <f>IFERROR(VLOOKUP($F173,본공사입.출고현황!$B:$H,K$182,0),0)</f>
        <v>0</v>
      </c>
      <c r="L173" s="126"/>
      <c r="M173" s="130"/>
    </row>
    <row r="174" spans="1:13" s="131" customFormat="1" ht="24" customHeight="1">
      <c r="A174" s="29">
        <v>136</v>
      </c>
      <c r="B174" s="10">
        <v>136</v>
      </c>
      <c r="C174" s="10"/>
      <c r="D174" s="10"/>
      <c r="E174" s="129"/>
      <c r="F174" s="10"/>
      <c r="G174" s="19">
        <f>IFERROR(VLOOKUP($F174,본공사입.출고현황!$B:$H,G$182,0),0)</f>
        <v>0</v>
      </c>
      <c r="H174" s="19">
        <f>IFERROR(VLOOKUP($F174,본공사입.출고현황!$B:$H,H$182,0),0)</f>
        <v>0</v>
      </c>
      <c r="I174" s="19">
        <f>IFERROR(VLOOKUP($F174,본공사입.출고현황!$B:$H,I$182,0),0)</f>
        <v>0</v>
      </c>
      <c r="J174" s="19">
        <f>IFERROR(VLOOKUP($F174,본공사입.출고현황!$B:$H,J$182,0),0)</f>
        <v>0</v>
      </c>
      <c r="K174" s="10">
        <f>IFERROR(VLOOKUP($F174,본공사입.출고현황!$B:$H,K$182,0),0)</f>
        <v>0</v>
      </c>
      <c r="L174" s="126"/>
      <c r="M174" s="130"/>
    </row>
    <row r="175" spans="1:13" s="131" customFormat="1" ht="24" customHeight="1">
      <c r="A175" s="29">
        <v>137</v>
      </c>
      <c r="B175" s="10">
        <v>137</v>
      </c>
      <c r="C175" s="10"/>
      <c r="D175" s="10"/>
      <c r="E175" s="129"/>
      <c r="F175" s="10"/>
      <c r="G175" s="19">
        <f>IFERROR(VLOOKUP($F175,본공사입.출고현황!$B:$H,G$182,0),0)</f>
        <v>0</v>
      </c>
      <c r="H175" s="19">
        <f>IFERROR(VLOOKUP($F175,본공사입.출고현황!$B:$H,H$182,0),0)</f>
        <v>0</v>
      </c>
      <c r="I175" s="19">
        <f>IFERROR(VLOOKUP($F175,본공사입.출고현황!$B:$H,I$182,0),0)</f>
        <v>0</v>
      </c>
      <c r="J175" s="19">
        <f>IFERROR(VLOOKUP($F175,본공사입.출고현황!$B:$H,J$182,0),0)</f>
        <v>0</v>
      </c>
      <c r="K175" s="10">
        <f>IFERROR(VLOOKUP($F175,본공사입.출고현황!$B:$H,K$182,0),0)</f>
        <v>0</v>
      </c>
      <c r="L175" s="126"/>
      <c r="M175" s="130"/>
    </row>
    <row r="176" spans="1:13" s="131" customFormat="1" ht="24" customHeight="1">
      <c r="A176" s="29">
        <v>138</v>
      </c>
      <c r="B176" s="10">
        <v>138</v>
      </c>
      <c r="C176" s="10"/>
      <c r="D176" s="10"/>
      <c r="E176" s="129"/>
      <c r="F176" s="10"/>
      <c r="G176" s="19">
        <f>IFERROR(VLOOKUP($F176,본공사입.출고현황!$B:$H,G$182,0),0)</f>
        <v>0</v>
      </c>
      <c r="H176" s="19">
        <f>IFERROR(VLOOKUP($F176,본공사입.출고현황!$B:$H,H$182,0),0)</f>
        <v>0</v>
      </c>
      <c r="I176" s="19">
        <f>IFERROR(VLOOKUP($F176,본공사입.출고현황!$B:$H,I$182,0),0)</f>
        <v>0</v>
      </c>
      <c r="J176" s="19">
        <f>IFERROR(VLOOKUP($F176,본공사입.출고현황!$B:$H,J$182,0),0)</f>
        <v>0</v>
      </c>
      <c r="K176" s="10">
        <f>IFERROR(VLOOKUP($F176,본공사입.출고현황!$B:$H,K$182,0),0)</f>
        <v>0</v>
      </c>
      <c r="L176" s="126"/>
      <c r="M176" s="130"/>
    </row>
    <row r="177" spans="1:13" s="131" customFormat="1" ht="24" customHeight="1">
      <c r="A177" s="29">
        <v>139</v>
      </c>
      <c r="B177" s="10">
        <v>139</v>
      </c>
      <c r="C177" s="10"/>
      <c r="D177" s="10"/>
      <c r="E177" s="129"/>
      <c r="F177" s="10"/>
      <c r="G177" s="19">
        <f>IFERROR(VLOOKUP($F177,본공사입.출고현황!$B:$H,G$182,0),0)</f>
        <v>0</v>
      </c>
      <c r="H177" s="19">
        <f>IFERROR(VLOOKUP($F177,본공사입.출고현황!$B:$H,H$182,0),0)</f>
        <v>0</v>
      </c>
      <c r="I177" s="19">
        <f>IFERROR(VLOOKUP($F177,본공사입.출고현황!$B:$H,I$182,0),0)</f>
        <v>0</v>
      </c>
      <c r="J177" s="19">
        <f>IFERROR(VLOOKUP($F177,본공사입.출고현황!$B:$H,J$182,0),0)</f>
        <v>0</v>
      </c>
      <c r="K177" s="10">
        <f>IFERROR(VLOOKUP($F177,본공사입.출고현황!$B:$H,K$182,0),0)</f>
        <v>0</v>
      </c>
      <c r="L177" s="126"/>
      <c r="M177" s="130"/>
    </row>
    <row r="178" spans="1:13" s="131" customFormat="1" ht="24" customHeight="1">
      <c r="A178" s="29">
        <v>140</v>
      </c>
      <c r="B178" s="10">
        <v>140</v>
      </c>
      <c r="C178" s="10"/>
      <c r="D178" s="10"/>
      <c r="E178" s="129"/>
      <c r="F178" s="10"/>
      <c r="G178" s="19">
        <f>IFERROR(VLOOKUP($F178,본공사입.출고현황!$B:$H,G$182,0),0)</f>
        <v>0</v>
      </c>
      <c r="H178" s="19">
        <f>IFERROR(VLOOKUP($F178,본공사입.출고현황!$B:$H,H$182,0),0)</f>
        <v>0</v>
      </c>
      <c r="I178" s="19">
        <f>IFERROR(VLOOKUP($F178,본공사입.출고현황!$B:$H,I$182,0),0)</f>
        <v>0</v>
      </c>
      <c r="J178" s="19">
        <f>IFERROR(VLOOKUP($F178,본공사입.출고현황!$B:$H,J$182,0),0)</f>
        <v>0</v>
      </c>
      <c r="K178" s="10">
        <f>IFERROR(VLOOKUP($F178,본공사입.출고현황!$B:$H,K$182,0),0)</f>
        <v>0</v>
      </c>
      <c r="L178" s="126"/>
      <c r="M178" s="130"/>
    </row>
    <row r="179" spans="1:13" s="131" customFormat="1" ht="24" customHeight="1">
      <c r="A179" s="29">
        <v>141</v>
      </c>
      <c r="B179" s="10">
        <v>141</v>
      </c>
      <c r="C179" s="10"/>
      <c r="D179" s="10"/>
      <c r="E179" s="129"/>
      <c r="F179" s="10"/>
      <c r="G179" s="19">
        <f>IFERROR(VLOOKUP($F179,본공사입.출고현황!$B:$H,G$182,0),0)</f>
        <v>0</v>
      </c>
      <c r="H179" s="19">
        <f>IFERROR(VLOOKUP($F179,본공사입.출고현황!$B:$H,H$182,0),0)</f>
        <v>0</v>
      </c>
      <c r="I179" s="19">
        <f>IFERROR(VLOOKUP($F179,본공사입.출고현황!$B:$H,I$182,0),0)</f>
        <v>0</v>
      </c>
      <c r="J179" s="19">
        <f>IFERROR(VLOOKUP($F179,본공사입.출고현황!$B:$H,J$182,0),0)</f>
        <v>0</v>
      </c>
      <c r="K179" s="10">
        <f>IFERROR(VLOOKUP($F179,본공사입.출고현황!$B:$H,K$182,0),0)</f>
        <v>0</v>
      </c>
      <c r="L179" s="57"/>
      <c r="M179" s="130"/>
    </row>
    <row r="180" spans="1:13">
      <c r="E180" s="101"/>
    </row>
    <row r="181" spans="1:13">
      <c r="E181" s="102"/>
      <c r="G181" s="39"/>
      <c r="H181" s="39"/>
      <c r="I181" s="39"/>
      <c r="J181" s="39"/>
      <c r="K181" s="39"/>
      <c r="L181" s="39"/>
      <c r="M181" s="39"/>
    </row>
    <row r="182" spans="1:13">
      <c r="E182" s="102"/>
      <c r="G182" s="39">
        <v>3</v>
      </c>
      <c r="H182" s="39">
        <v>4</v>
      </c>
      <c r="I182" s="39">
        <v>5</v>
      </c>
      <c r="J182" s="39">
        <v>6</v>
      </c>
      <c r="K182" s="39">
        <v>7</v>
      </c>
    </row>
  </sheetData>
  <autoFilter ref="A4:O179" xr:uid="{00000000-0001-0000-0100-000000000000}"/>
  <mergeCells count="12">
    <mergeCell ref="F3:F4"/>
    <mergeCell ref="B3:B4"/>
    <mergeCell ref="L3:L4"/>
    <mergeCell ref="K3:K4"/>
    <mergeCell ref="E3:E4"/>
    <mergeCell ref="C3:C4"/>
    <mergeCell ref="D3:D4"/>
    <mergeCell ref="M3:M4"/>
    <mergeCell ref="J3:J4"/>
    <mergeCell ref="I3:I4"/>
    <mergeCell ref="H3:H4"/>
    <mergeCell ref="G3:G4"/>
  </mergeCells>
  <phoneticPr fontId="2" type="noConversion"/>
  <pageMargins left="0.39370078740157483" right="0.39370078740157483" top="0.45" bottom="0.54" header="0.31496062992125984" footer="0.31496062992125984"/>
  <pageSetup paperSize="9" scale="66" fitToHeight="0" orientation="landscape" r:id="rId1"/>
  <headerFooter>
    <oddFooter>&amp;C&amp;10&amp;P / &amp;N</oddFooter>
  </headerFooter>
  <rowBreaks count="1" manualBreakCount="1">
    <brk id="97" min="1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33636-601C-46D3-8429-AA2A342EEC5D}">
  <sheetPr>
    <pageSetUpPr fitToPage="1"/>
  </sheetPr>
  <dimension ref="A1:P2080"/>
  <sheetViews>
    <sheetView topLeftCell="A1985" zoomScale="85" zoomScaleNormal="85" workbookViewId="0">
      <selection activeCell="L2056" sqref="L1997:L2056"/>
    </sheetView>
  </sheetViews>
  <sheetFormatPr defaultColWidth="9" defaultRowHeight="13.8"/>
  <cols>
    <col min="1" max="1" width="6.109375" style="5" customWidth="1"/>
    <col min="2" max="2" width="7" style="8" customWidth="1"/>
    <col min="3" max="3" width="12.6640625" style="8" customWidth="1"/>
    <col min="4" max="4" width="10" style="5" customWidth="1"/>
    <col min="5" max="5" width="14.109375" style="14" customWidth="1"/>
    <col min="6" max="6" width="33.88671875" style="14" bestFit="1" customWidth="1"/>
    <col min="7" max="7" width="21.44140625" style="14" customWidth="1"/>
    <col min="8" max="8" width="19.44140625" style="15" customWidth="1"/>
    <col min="9" max="9" width="6.21875" style="7" customWidth="1"/>
    <col min="10" max="10" width="7.21875" style="7" customWidth="1"/>
    <col min="11" max="11" width="9.6640625" style="7" customWidth="1"/>
    <col min="12" max="12" width="8.88671875" style="38" customWidth="1"/>
    <col min="13" max="13" width="20.6640625" style="38" bestFit="1" customWidth="1"/>
    <col min="14" max="14" width="19.6640625" style="5" bestFit="1" customWidth="1"/>
    <col min="15" max="15" width="9" style="5"/>
    <col min="16" max="16" width="9.109375" style="5" customWidth="1"/>
    <col min="17" max="16384" width="9" style="5"/>
  </cols>
  <sheetData>
    <row r="1" spans="2:14" ht="33.75" customHeight="1">
      <c r="B1" s="12" t="s">
        <v>184</v>
      </c>
      <c r="C1" s="12"/>
      <c r="L1" s="35"/>
      <c r="M1" s="35"/>
    </row>
    <row r="2" spans="2:14" s="2" customFormat="1" ht="26.25" customHeight="1">
      <c r="B2" s="13" t="s">
        <v>19</v>
      </c>
      <c r="C2" s="13"/>
      <c r="E2" s="16"/>
      <c r="F2" s="47"/>
      <c r="G2" s="16"/>
      <c r="H2" s="85" t="s">
        <v>240</v>
      </c>
      <c r="I2" s="3"/>
      <c r="J2" s="3"/>
      <c r="K2" s="3"/>
      <c r="L2" s="36"/>
      <c r="M2" s="36"/>
      <c r="N2" s="17"/>
    </row>
    <row r="3" spans="2:14" s="11" customFormat="1" ht="21.75" customHeight="1">
      <c r="B3" s="433" t="s">
        <v>4</v>
      </c>
      <c r="C3" s="433" t="s">
        <v>17</v>
      </c>
      <c r="D3" s="433" t="s">
        <v>5</v>
      </c>
      <c r="E3" s="433" t="s">
        <v>35</v>
      </c>
      <c r="F3" s="433" t="s">
        <v>6</v>
      </c>
      <c r="G3" s="433" t="s">
        <v>7</v>
      </c>
      <c r="H3" s="433" t="s">
        <v>8</v>
      </c>
      <c r="I3" s="433" t="s">
        <v>9</v>
      </c>
      <c r="J3" s="433" t="s">
        <v>182</v>
      </c>
      <c r="K3" s="433" t="s">
        <v>181</v>
      </c>
      <c r="L3" s="435" t="s">
        <v>3</v>
      </c>
      <c r="M3" s="435" t="s">
        <v>183</v>
      </c>
      <c r="N3" s="433" t="s">
        <v>10</v>
      </c>
    </row>
    <row r="4" spans="2:14" s="11" customFormat="1" ht="21.75" customHeight="1"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6"/>
      <c r="M4" s="436"/>
      <c r="N4" s="434"/>
    </row>
    <row r="5" spans="2:14" s="11" customFormat="1" ht="21.75" customHeight="1">
      <c r="B5" s="235">
        <v>1</v>
      </c>
      <c r="C5" s="235" t="s">
        <v>624</v>
      </c>
      <c r="D5" s="235" t="s">
        <v>180</v>
      </c>
      <c r="E5" s="56" t="str">
        <f>IFERROR(VLOOKUP($D5,본공사입.출고현황!$B:$H,E$2080,0),0)</f>
        <v>Ground</v>
      </c>
      <c r="F5" s="18" t="str">
        <f>IFERROR(VLOOKUP($D5,본공사입.출고현황!$B:$H,F$2080,0),0)</f>
        <v>Ground Cable  78SQ</v>
      </c>
      <c r="G5" s="18" t="str">
        <f>IFERROR(VLOOKUP($D5,본공사입.출고현황!$B:$H,G$2080,0),0)</f>
        <v xml:space="preserve">Ground Cable </v>
      </c>
      <c r="H5" s="18" t="str">
        <f>IFERROR(VLOOKUP($D5,본공사입.출고현황!$B:$H,H$2080,0),0)</f>
        <v>78SQ</v>
      </c>
      <c r="I5" s="56" t="str">
        <f>IFERROR(VLOOKUP($D5,본공사입.출고현황!$B:$H,I$2080,0),0)</f>
        <v>M</v>
      </c>
      <c r="J5" s="235"/>
      <c r="K5" s="235"/>
      <c r="L5" s="236">
        <v>12796.6</v>
      </c>
      <c r="M5" s="289"/>
      <c r="N5" s="288"/>
    </row>
    <row r="6" spans="2:14" s="11" customFormat="1" ht="21.75" customHeight="1">
      <c r="B6" s="235">
        <v>2</v>
      </c>
      <c r="C6" s="235" t="s">
        <v>624</v>
      </c>
      <c r="D6" s="235" t="s">
        <v>70</v>
      </c>
      <c r="E6" s="56" t="str">
        <f>IFERROR(VLOOKUP($D6,본공사입.출고현황!$B:$H,E$2080,0),0)</f>
        <v>Ground</v>
      </c>
      <c r="F6" s="18" t="str">
        <f>IFERROR(VLOOKUP($D6,본공사입.출고현황!$B:$H,F$2080,0),0)</f>
        <v>Ground Cable  70SQ</v>
      </c>
      <c r="G6" s="18" t="str">
        <f>IFERROR(VLOOKUP($D6,본공사입.출고현황!$B:$H,G$2080,0),0)</f>
        <v xml:space="preserve">Ground Cable </v>
      </c>
      <c r="H6" s="18" t="str">
        <f>IFERROR(VLOOKUP($D6,본공사입.출고현황!$B:$H,H$2080,0),0)</f>
        <v>70SQ</v>
      </c>
      <c r="I6" s="56" t="str">
        <f>IFERROR(VLOOKUP($D6,본공사입.출고현황!$B:$H,I$2080,0),0)</f>
        <v>M</v>
      </c>
      <c r="J6" s="235"/>
      <c r="K6" s="235"/>
      <c r="L6" s="236">
        <v>18</v>
      </c>
      <c r="M6" s="289"/>
      <c r="N6" s="288"/>
    </row>
    <row r="7" spans="2:14" s="11" customFormat="1" ht="21.75" customHeight="1">
      <c r="B7" s="235">
        <v>3</v>
      </c>
      <c r="C7" s="235" t="s">
        <v>624</v>
      </c>
      <c r="D7" s="235" t="s">
        <v>74</v>
      </c>
      <c r="E7" s="56" t="str">
        <f>IFERROR(VLOOKUP($D7,본공사입.출고현황!$B:$H,E$2080,0),0)</f>
        <v>Ground Fitting</v>
      </c>
      <c r="F7" s="18" t="str">
        <f>IFERROR(VLOOKUP($D7,본공사입.출고현황!$B:$H,F$2080,0),0)</f>
        <v>Ground TERMINAL LUG 70mm2</v>
      </c>
      <c r="G7" s="18" t="str">
        <f>IFERROR(VLOOKUP($D7,본공사입.출고현황!$B:$H,G$2080,0),0)</f>
        <v>Terminal Lug</v>
      </c>
      <c r="H7" s="18" t="str">
        <f>IFERROR(VLOOKUP($D7,본공사입.출고현황!$B:$H,H$2080,0),0)</f>
        <v>70mm2</v>
      </c>
      <c r="I7" s="56" t="str">
        <f>IFERROR(VLOOKUP($D7,본공사입.출고현황!$B:$H,I$2080,0),0)</f>
        <v>EA</v>
      </c>
      <c r="J7" s="235"/>
      <c r="K7" s="235"/>
      <c r="L7" s="236">
        <v>9</v>
      </c>
      <c r="M7" s="289"/>
      <c r="N7" s="288"/>
    </row>
    <row r="8" spans="2:14" s="11" customFormat="1" ht="21.75" customHeight="1">
      <c r="B8" s="235">
        <v>4</v>
      </c>
      <c r="C8" s="235" t="s">
        <v>624</v>
      </c>
      <c r="D8" s="235" t="s">
        <v>81</v>
      </c>
      <c r="E8" s="56" t="str">
        <f>IFERROR(VLOOKUP($D8,본공사입.출고현황!$B:$H,E$2080,0),0)</f>
        <v>Ground</v>
      </c>
      <c r="F8" s="18" t="str">
        <f>IFERROR(VLOOKUP($D8,본공사입.출고현황!$B:$H,F$2080,0),0)</f>
        <v>Cadweld Powder #90</v>
      </c>
      <c r="G8" s="18" t="str">
        <f>IFERROR(VLOOKUP($D8,본공사입.출고현황!$B:$H,G$2080,0),0)</f>
        <v>Cadweld Powder</v>
      </c>
      <c r="H8" s="18" t="str">
        <f>IFERROR(VLOOKUP($D8,본공사입.출고현황!$B:$H,H$2080,0),0)</f>
        <v>#90</v>
      </c>
      <c r="I8" s="56" t="str">
        <f>IFERROR(VLOOKUP($D8,본공사입.출고현황!$B:$H,I$2080,0),0)</f>
        <v>EA</v>
      </c>
      <c r="J8" s="235"/>
      <c r="K8" s="235"/>
      <c r="L8" s="236">
        <v>5</v>
      </c>
      <c r="M8" s="289"/>
      <c r="N8" s="288"/>
    </row>
    <row r="9" spans="2:14" s="11" customFormat="1" ht="21.75" customHeight="1">
      <c r="B9" s="235">
        <v>5</v>
      </c>
      <c r="C9" s="235" t="s">
        <v>624</v>
      </c>
      <c r="D9" s="235" t="s">
        <v>86</v>
      </c>
      <c r="E9" s="56" t="str">
        <f>IFERROR(VLOOKUP($D9,본공사입.출고현황!$B:$H,E$2080,0),0)</f>
        <v>Ground</v>
      </c>
      <c r="F9" s="18" t="str">
        <f>IFERROR(VLOOKUP($D9,본공사입.출고현황!$B:$H,F$2080,0),0)</f>
        <v>Cadweld Powder #115</v>
      </c>
      <c r="G9" s="18" t="str">
        <f>IFERROR(VLOOKUP($D9,본공사입.출고현황!$B:$H,G$2080,0),0)</f>
        <v>Cadweld Powder</v>
      </c>
      <c r="H9" s="18" t="str">
        <f>IFERROR(VLOOKUP($D9,본공사입.출고현황!$B:$H,H$2080,0),0)</f>
        <v>#115</v>
      </c>
      <c r="I9" s="56" t="str">
        <f>IFERROR(VLOOKUP($D9,본공사입.출고현황!$B:$H,I$2080,0),0)</f>
        <v>EA</v>
      </c>
      <c r="J9" s="235"/>
      <c r="K9" s="235"/>
      <c r="L9" s="236">
        <v>94</v>
      </c>
      <c r="M9" s="289"/>
      <c r="N9" s="288"/>
    </row>
    <row r="10" spans="2:14" s="11" customFormat="1" ht="21.75" customHeight="1">
      <c r="B10" s="235">
        <v>6</v>
      </c>
      <c r="C10" s="235" t="s">
        <v>624</v>
      </c>
      <c r="D10" s="235" t="s">
        <v>90</v>
      </c>
      <c r="E10" s="56" t="str">
        <f>IFERROR(VLOOKUP($D10,본공사입.출고현황!$B:$H,E$2080,0),0)</f>
        <v>Ground</v>
      </c>
      <c r="F10" s="18" t="str">
        <f>IFERROR(VLOOKUP($D10,본공사입.출고현황!$B:$H,F$2080,0),0)</f>
        <v>Cadweld Powder #150</v>
      </c>
      <c r="G10" s="18" t="str">
        <f>IFERROR(VLOOKUP($D10,본공사입.출고현황!$B:$H,G$2080,0),0)</f>
        <v>Cadweld Powder</v>
      </c>
      <c r="H10" s="18" t="str">
        <f>IFERROR(VLOOKUP($D10,본공사입.출고현황!$B:$H,H$2080,0),0)</f>
        <v>#150</v>
      </c>
      <c r="I10" s="56" t="str">
        <f>IFERROR(VLOOKUP($D10,본공사입.출고현황!$B:$H,I$2080,0),0)</f>
        <v>EA</v>
      </c>
      <c r="J10" s="235"/>
      <c r="K10" s="235"/>
      <c r="L10" s="236">
        <v>2</v>
      </c>
      <c r="M10" s="289"/>
      <c r="N10" s="288"/>
    </row>
    <row r="11" spans="2:14" s="11" customFormat="1" ht="21.75" customHeight="1">
      <c r="B11" s="235">
        <v>7</v>
      </c>
      <c r="C11" s="235" t="s">
        <v>624</v>
      </c>
      <c r="D11" s="235" t="s">
        <v>94</v>
      </c>
      <c r="E11" s="56" t="str">
        <f>IFERROR(VLOOKUP($D11,본공사입.출고현황!$B:$H,E$2080,0),0)</f>
        <v>Ground</v>
      </c>
      <c r="F11" s="18" t="str">
        <f>IFERROR(VLOOKUP($D11,본공사입.출고현황!$B:$H,F$2080,0),0)</f>
        <v>Cadweld Powder #200</v>
      </c>
      <c r="G11" s="18" t="str">
        <f>IFERROR(VLOOKUP($D11,본공사입.출고현황!$B:$H,G$2080,0),0)</f>
        <v>Cadweld Powder</v>
      </c>
      <c r="H11" s="18" t="str">
        <f>IFERROR(VLOOKUP($D11,본공사입.출고현황!$B:$H,H$2080,0),0)</f>
        <v>#200</v>
      </c>
      <c r="I11" s="56" t="str">
        <f>IFERROR(VLOOKUP($D11,본공사입.출고현황!$B:$H,I$2080,0),0)</f>
        <v>EA</v>
      </c>
      <c r="J11" s="235"/>
      <c r="K11" s="235"/>
      <c r="L11" s="236">
        <v>678</v>
      </c>
      <c r="M11" s="289"/>
      <c r="N11" s="288"/>
    </row>
    <row r="12" spans="2:14" s="11" customFormat="1" ht="21.75" customHeight="1">
      <c r="B12" s="235">
        <v>8</v>
      </c>
      <c r="C12" s="235" t="s">
        <v>624</v>
      </c>
      <c r="D12" s="235" t="s">
        <v>98</v>
      </c>
      <c r="E12" s="56" t="str">
        <f>IFERROR(VLOOKUP($D12,본공사입.출고현황!$B:$H,E$2080,0),0)</f>
        <v>Ground</v>
      </c>
      <c r="F12" s="18" t="str">
        <f>IFERROR(VLOOKUP($D12,본공사입.출고현황!$B:$H,F$2080,0),0)</f>
        <v>Cadweld XBQ-Y4Y4</v>
      </c>
      <c r="G12" s="18" t="str">
        <f>IFERROR(VLOOKUP($D12,본공사입.출고현황!$B:$H,G$2080,0),0)</f>
        <v>Welding Mold</v>
      </c>
      <c r="H12" s="18" t="str">
        <f>IFERROR(VLOOKUP($D12,본공사입.출고현황!$B:$H,H$2080,0),0)</f>
        <v>Cross (+)</v>
      </c>
      <c r="I12" s="56" t="str">
        <f>IFERROR(VLOOKUP($D12,본공사입.출고현황!$B:$H,I$2080,0),0)</f>
        <v>EA</v>
      </c>
      <c r="J12" s="235"/>
      <c r="K12" s="235"/>
      <c r="L12" s="236">
        <v>12</v>
      </c>
      <c r="M12" s="289"/>
      <c r="N12" s="288"/>
    </row>
    <row r="13" spans="2:14" s="11" customFormat="1" ht="21.75" customHeight="1">
      <c r="B13" s="235">
        <v>9</v>
      </c>
      <c r="C13" s="235" t="s">
        <v>624</v>
      </c>
      <c r="D13" s="235" t="s">
        <v>104</v>
      </c>
      <c r="E13" s="56" t="str">
        <f>IFERROR(VLOOKUP($D13,본공사입.출고현황!$B:$H,E$2080,0),0)</f>
        <v>Ground</v>
      </c>
      <c r="F13" s="18" t="str">
        <f>IFERROR(VLOOKUP($D13,본공사입.출고현황!$B:$H,F$2080,0),0)</f>
        <v>Cadweld PGC-Y4Y4</v>
      </c>
      <c r="G13" s="18" t="str">
        <f>IFERROR(VLOOKUP($D13,본공사입.출고현황!$B:$H,G$2080,0),0)</f>
        <v>Welding Mold</v>
      </c>
      <c r="H13" s="18" t="str">
        <f>IFERROR(VLOOKUP($D13,본공사입.출고현황!$B:$H,H$2080,0),0)</f>
        <v>Parallel (=)</v>
      </c>
      <c r="I13" s="56" t="str">
        <f>IFERROR(VLOOKUP($D13,본공사입.출고현황!$B:$H,I$2080,0),0)</f>
        <v>EA</v>
      </c>
      <c r="J13" s="235"/>
      <c r="K13" s="235"/>
      <c r="L13" s="236">
        <v>0</v>
      </c>
      <c r="M13" s="289"/>
      <c r="N13" s="288"/>
    </row>
    <row r="14" spans="2:14" s="11" customFormat="1" ht="21.75" customHeight="1">
      <c r="B14" s="235">
        <v>10</v>
      </c>
      <c r="C14" s="235" t="s">
        <v>624</v>
      </c>
      <c r="D14" s="235" t="s">
        <v>106</v>
      </c>
      <c r="E14" s="56" t="str">
        <f>IFERROR(VLOOKUP($D14,본공사입.출고현황!$B:$H,E$2080,0),0)</f>
        <v>Ground</v>
      </c>
      <c r="F14" s="18" t="str">
        <f>IFERROR(VLOOKUP($D14,본공사입.출고현황!$B:$H,F$2080,0),0)</f>
        <v>Cadweld TAC-Y4Y4</v>
      </c>
      <c r="G14" s="18" t="str">
        <f>IFERROR(VLOOKUP($D14,본공사입.출고현황!$B:$H,G$2080,0),0)</f>
        <v>Welding Mold</v>
      </c>
      <c r="H14" s="18" t="str">
        <f>IFERROR(VLOOKUP($D14,본공사입.출고현황!$B:$H,H$2080,0),0)</f>
        <v>Cross (T)</v>
      </c>
      <c r="I14" s="56" t="str">
        <f>IFERROR(VLOOKUP($D14,본공사입.출고현황!$B:$H,I$2080,0),0)</f>
        <v>EA</v>
      </c>
      <c r="J14" s="235"/>
      <c r="K14" s="235"/>
      <c r="L14" s="236">
        <v>1</v>
      </c>
      <c r="M14" s="289"/>
      <c r="N14" s="288"/>
    </row>
    <row r="15" spans="2:14" s="11" customFormat="1" ht="21.75" customHeight="1">
      <c r="B15" s="235">
        <v>11</v>
      </c>
      <c r="C15" s="235" t="s">
        <v>624</v>
      </c>
      <c r="D15" s="235" t="s">
        <v>109</v>
      </c>
      <c r="E15" s="56" t="str">
        <f>IFERROR(VLOOKUP($D15,본공사입.출고현황!$B:$H,E$2080,0),0)</f>
        <v>Ground</v>
      </c>
      <c r="F15" s="18" t="str">
        <f>IFERROR(VLOOKUP($D15,본공사입.출고현황!$B:$H,F$2080,0),0)</f>
        <v xml:space="preserve">Zinc Spray </v>
      </c>
      <c r="G15" s="18" t="str">
        <f>IFERROR(VLOOKUP($D15,본공사입.출고현황!$B:$H,G$2080,0),0)</f>
        <v>Zinc Spray</v>
      </c>
      <c r="H15" s="18">
        <f>IFERROR(VLOOKUP($D15,본공사입.출고현황!$B:$H,H$2080,0),0)</f>
        <v>0</v>
      </c>
      <c r="I15" s="56" t="str">
        <f>IFERROR(VLOOKUP($D15,본공사입.출고현황!$B:$H,I$2080,0),0)</f>
        <v>EA</v>
      </c>
      <c r="J15" s="235"/>
      <c r="K15" s="235"/>
      <c r="L15" s="236">
        <v>87</v>
      </c>
      <c r="M15" s="289"/>
      <c r="N15" s="288"/>
    </row>
    <row r="16" spans="2:14" s="11" customFormat="1" ht="21.75" customHeight="1">
      <c r="B16" s="235">
        <v>12</v>
      </c>
      <c r="C16" s="235" t="s">
        <v>624</v>
      </c>
      <c r="D16" s="235" t="s">
        <v>110</v>
      </c>
      <c r="E16" s="56" t="str">
        <f>IFERROR(VLOOKUP($D16,본공사입.출고현황!$B:$H,E$2080,0),0)</f>
        <v>Miscellious</v>
      </c>
      <c r="F16" s="18" t="str">
        <f>IFERROR(VLOOKUP($D16,본공사입.출고현황!$B:$H,F$2080,0),0)</f>
        <v xml:space="preserve">Nicoband </v>
      </c>
      <c r="G16" s="18" t="str">
        <f>IFERROR(VLOOKUP($D16,본공사입.출고현황!$B:$H,G$2080,0),0)</f>
        <v>Nicoband</v>
      </c>
      <c r="H16" s="18" t="str">
        <f>IFERROR(VLOOKUP($D16,본공사입.출고현황!$B:$H,H$2080,0),0)</f>
        <v>10m x 15cm</v>
      </c>
      <c r="I16" s="56" t="str">
        <f>IFERROR(VLOOKUP($D16,본공사입.출고현황!$B:$H,I$2080,0),0)</f>
        <v>EA</v>
      </c>
      <c r="J16" s="235"/>
      <c r="K16" s="235"/>
      <c r="L16" s="236">
        <v>0</v>
      </c>
      <c r="M16" s="289"/>
      <c r="N16" s="288"/>
    </row>
    <row r="17" spans="2:14" s="11" customFormat="1" ht="21.75" customHeight="1">
      <c r="B17" s="235">
        <v>13</v>
      </c>
      <c r="C17" s="235" t="s">
        <v>624</v>
      </c>
      <c r="D17" s="235" t="s">
        <v>111</v>
      </c>
      <c r="E17" s="56" t="str">
        <f>IFERROR(VLOOKUP($D17,본공사입.출고현황!$B:$H,E$2080,0),0)</f>
        <v>Ground Conduit</v>
      </c>
      <c r="F17" s="18" t="str">
        <f>IFERROR(VLOOKUP($D17,본공사입.출고현황!$B:$H,F$2080,0),0)</f>
        <v>Flexible Conduit 2"</v>
      </c>
      <c r="G17" s="18" t="str">
        <f>IFERROR(VLOOKUP($D17,본공사입.출고현황!$B:$H,G$2080,0),0)</f>
        <v>Ground Conduit</v>
      </c>
      <c r="H17" s="18" t="str">
        <f>IFERROR(VLOOKUP($D17,본공사입.출고현황!$B:$H,H$2080,0),0)</f>
        <v>2"</v>
      </c>
      <c r="I17" s="56" t="str">
        <f>IFERROR(VLOOKUP($D17,본공사입.출고현황!$B:$H,I$2080,0),0)</f>
        <v>M</v>
      </c>
      <c r="J17" s="235"/>
      <c r="K17" s="235"/>
      <c r="L17" s="236">
        <v>563</v>
      </c>
      <c r="M17" s="289"/>
      <c r="N17" s="288"/>
    </row>
    <row r="18" spans="2:14" s="11" customFormat="1" ht="21.75" customHeight="1">
      <c r="B18" s="235">
        <v>15</v>
      </c>
      <c r="C18" s="235" t="s">
        <v>624</v>
      </c>
      <c r="D18" s="235" t="s">
        <v>119</v>
      </c>
      <c r="E18" s="56" t="str">
        <f>IFERROR(VLOOKUP($D18,본공사입.출고현황!$B:$H,E$2080,0),0)</f>
        <v>Ground</v>
      </c>
      <c r="F18" s="18" t="str">
        <f>IFERROR(VLOOKUP($D18,본공사입.출고현황!$B:$H,F$2080,0),0)</f>
        <v>nVent Exothemic Welding Control Unit</v>
      </c>
      <c r="G18" s="18" t="str">
        <f>IFERROR(VLOOKUP($D18,본공사입.출고현황!$B:$H,G$2080,0),0)</f>
        <v>CAD WELD GUN</v>
      </c>
      <c r="H18" s="18">
        <f>IFERROR(VLOOKUP($D18,본공사입.출고현황!$B:$H,H$2080,0),0)</f>
        <v>0</v>
      </c>
      <c r="I18" s="56" t="str">
        <f>IFERROR(VLOOKUP($D18,본공사입.출고현황!$B:$H,I$2080,0),0)</f>
        <v>EA</v>
      </c>
      <c r="J18" s="235"/>
      <c r="K18" s="235"/>
      <c r="L18" s="236">
        <v>2</v>
      </c>
      <c r="M18" s="289"/>
      <c r="N18" s="288"/>
    </row>
    <row r="19" spans="2:14" s="11" customFormat="1" ht="21.75" customHeight="1">
      <c r="B19" s="235">
        <v>16</v>
      </c>
      <c r="C19" s="235" t="s">
        <v>624</v>
      </c>
      <c r="D19" s="235" t="s">
        <v>254</v>
      </c>
      <c r="E19" s="56" t="str">
        <f>IFERROR(VLOOKUP($D19,본공사입.출고현황!$B:$H,E$2080,0),0)</f>
        <v>Conduit</v>
      </c>
      <c r="F19" s="18" t="str">
        <f>IFERROR(VLOOKUP($D19,본공사입.출고현황!$B:$H,F$2080,0),0)</f>
        <v>Conduit (Galvanized)  Ts-100x4.5</v>
      </c>
      <c r="G19" s="18" t="str">
        <f>IFERROR(VLOOKUP($D19,본공사입.출고현황!$B:$H,G$2080,0),0)</f>
        <v xml:space="preserve">Conduit (Galvanized) </v>
      </c>
      <c r="H19" s="18" t="str">
        <f>IFERROR(VLOOKUP($D19,본공사입.출고현황!$B:$H,H$2080,0),0)</f>
        <v>114x4.5</v>
      </c>
      <c r="I19" s="56" t="str">
        <f>IFERROR(VLOOKUP($D19,본공사입.출고현황!$B:$H,I$2080,0),0)</f>
        <v>M</v>
      </c>
      <c r="J19" s="235"/>
      <c r="K19" s="235"/>
      <c r="L19" s="236">
        <v>934</v>
      </c>
      <c r="M19" s="289"/>
      <c r="N19" s="288"/>
    </row>
    <row r="20" spans="2:14" s="11" customFormat="1" ht="21.75" customHeight="1">
      <c r="B20" s="235">
        <v>17</v>
      </c>
      <c r="C20" s="235" t="s">
        <v>624</v>
      </c>
      <c r="D20" s="235" t="s">
        <v>128</v>
      </c>
      <c r="E20" s="56" t="str">
        <f>IFERROR(VLOOKUP($D20,본공사입.출고현황!$B:$H,E$2080,0),0)</f>
        <v>Conduit</v>
      </c>
      <c r="F20" s="18" t="str">
        <f>IFERROR(VLOOKUP($D20,본공사입.출고현황!$B:$H,F$2080,0),0)</f>
        <v>Conduit (Galvanized)  Ts-80x4</v>
      </c>
      <c r="G20" s="18" t="str">
        <f>IFERROR(VLOOKUP($D20,본공사입.출고현황!$B:$H,G$2080,0),0)</f>
        <v xml:space="preserve">Conduit (Galvanized) </v>
      </c>
      <c r="H20" s="18" t="str">
        <f>IFERROR(VLOOKUP($D20,본공사입.출고현황!$B:$H,H$2080,0),0)</f>
        <v>88x4</v>
      </c>
      <c r="I20" s="56" t="str">
        <f>IFERROR(VLOOKUP($D20,본공사입.출고현황!$B:$H,I$2080,0),0)</f>
        <v>M</v>
      </c>
      <c r="J20" s="235"/>
      <c r="K20" s="235"/>
      <c r="L20" s="236">
        <v>1398</v>
      </c>
      <c r="M20" s="289"/>
      <c r="N20" s="288"/>
    </row>
    <row r="21" spans="2:14" s="11" customFormat="1" ht="21.75" customHeight="1">
      <c r="B21" s="235">
        <v>18</v>
      </c>
      <c r="C21" s="235" t="s">
        <v>624</v>
      </c>
      <c r="D21" s="235" t="s">
        <v>581</v>
      </c>
      <c r="E21" s="56" t="str">
        <f>IFERROR(VLOOKUP($D21,본공사입.출고현황!$B:$H,E$2080,0),0)</f>
        <v>Conduit</v>
      </c>
      <c r="F21" s="18" t="str">
        <f>IFERROR(VLOOKUP($D21,본공사입.출고현황!$B:$H,F$2080,0),0)</f>
        <v>Conduit 159x4.5</v>
      </c>
      <c r="G21" s="18" t="str">
        <f>IFERROR(VLOOKUP($D21,본공사입.출고현황!$B:$H,G$2080,0),0)</f>
        <v>Conduit</v>
      </c>
      <c r="H21" s="18" t="str">
        <f>IFERROR(VLOOKUP($D21,본공사입.출고현황!$B:$H,H$2080,0),0)</f>
        <v>159x6.0</v>
      </c>
      <c r="I21" s="56" t="str">
        <f>IFERROR(VLOOKUP($D21,본공사입.출고현황!$B:$H,I$2080,0),0)</f>
        <v>M</v>
      </c>
      <c r="J21" s="235"/>
      <c r="K21" s="235"/>
      <c r="L21" s="236">
        <v>0</v>
      </c>
      <c r="M21" s="289"/>
      <c r="N21" s="288"/>
    </row>
    <row r="22" spans="2:14" s="11" customFormat="1" ht="21.75" customHeight="1">
      <c r="B22" s="235">
        <v>19</v>
      </c>
      <c r="C22" s="235" t="s">
        <v>624</v>
      </c>
      <c r="D22" s="235" t="s">
        <v>131</v>
      </c>
      <c r="E22" s="56" t="str">
        <f>IFERROR(VLOOKUP($D22,본공사입.출고현황!$B:$H,E$2080,0),0)</f>
        <v>Conduit</v>
      </c>
      <c r="F22" s="18" t="str">
        <f>IFERROR(VLOOKUP($D22,본공사입.출고현황!$B:$H,F$2080,0),0)</f>
        <v>Conduit (Galvanized) 168x6</v>
      </c>
      <c r="G22" s="18" t="str">
        <f>IFERROR(VLOOKUP($D22,본공사입.출고현황!$B:$H,G$2080,0),0)</f>
        <v xml:space="preserve">Conduit (Galvanized) </v>
      </c>
      <c r="H22" s="18" t="str">
        <f>IFERROR(VLOOKUP($D22,본공사입.출고현황!$B:$H,H$2080,0),0)</f>
        <v>168x6</v>
      </c>
      <c r="I22" s="56" t="str">
        <f>IFERROR(VLOOKUP($D22,본공사입.출고현황!$B:$H,I$2080,0),0)</f>
        <v>M</v>
      </c>
      <c r="J22" s="235"/>
      <c r="K22" s="235"/>
      <c r="L22" s="236">
        <v>-24</v>
      </c>
      <c r="M22" s="289"/>
      <c r="N22" s="288"/>
    </row>
    <row r="23" spans="2:14" s="11" customFormat="1" ht="21.75" customHeight="1">
      <c r="B23" s="235">
        <v>20</v>
      </c>
      <c r="C23" s="235" t="s">
        <v>624</v>
      </c>
      <c r="D23" s="235" t="s">
        <v>135</v>
      </c>
      <c r="E23" s="56" t="str">
        <f>IFERROR(VLOOKUP($D23,본공사입.출고현황!$B:$H,E$2080,0),0)</f>
        <v>Conduit</v>
      </c>
      <c r="F23" s="18" t="str">
        <f>IFERROR(VLOOKUP($D23,본공사입.출고현황!$B:$H,F$2080,0),0)</f>
        <v>Conduit 159x4.5</v>
      </c>
      <c r="G23" s="18" t="str">
        <f>IFERROR(VLOOKUP($D23,본공사입.출고현황!$B:$H,G$2080,0),0)</f>
        <v>Conduit</v>
      </c>
      <c r="H23" s="18" t="str">
        <f>IFERROR(VLOOKUP($D23,본공사입.출고현황!$B:$H,H$2080,0),0)</f>
        <v>159x4.5</v>
      </c>
      <c r="I23" s="56" t="str">
        <f>IFERROR(VLOOKUP($D23,본공사입.출고현황!$B:$H,I$2080,0),0)</f>
        <v>M</v>
      </c>
      <c r="J23" s="235"/>
      <c r="K23" s="235"/>
      <c r="L23" s="236">
        <v>1085.5</v>
      </c>
      <c r="M23" s="289"/>
      <c r="N23" s="288"/>
    </row>
    <row r="24" spans="2:14" s="11" customFormat="1" ht="21.75" customHeight="1">
      <c r="B24" s="235">
        <v>21</v>
      </c>
      <c r="C24" s="235" t="s">
        <v>624</v>
      </c>
      <c r="D24" s="235" t="s">
        <v>137</v>
      </c>
      <c r="E24" s="56" t="str">
        <f>IFERROR(VLOOKUP($D24,본공사입.출고현황!$B:$H,E$2080,0),0)</f>
        <v>Conduit</v>
      </c>
      <c r="F24" s="18" t="str">
        <f>IFERROR(VLOOKUP($D24,본공사입.출고현황!$B:$H,F$2080,0),0)</f>
        <v>Conduit (Galvanized) 140x5</v>
      </c>
      <c r="G24" s="18" t="str">
        <f>IFERROR(VLOOKUP($D24,본공사입.출고현황!$B:$H,G$2080,0),0)</f>
        <v xml:space="preserve">Conduit (Galvanized) </v>
      </c>
      <c r="H24" s="18" t="str">
        <f>IFERROR(VLOOKUP($D24,본공사입.출고현황!$B:$H,H$2080,0),0)</f>
        <v>140x5</v>
      </c>
      <c r="I24" s="56" t="str">
        <f>IFERROR(VLOOKUP($D24,본공사입.출고현황!$B:$H,I$2080,0),0)</f>
        <v>M</v>
      </c>
      <c r="J24" s="235"/>
      <c r="K24" s="235"/>
      <c r="L24" s="236">
        <v>0</v>
      </c>
      <c r="M24" s="289"/>
      <c r="N24" s="288"/>
    </row>
    <row r="25" spans="2:14" s="11" customFormat="1" ht="21.75" customHeight="1">
      <c r="B25" s="235">
        <v>22</v>
      </c>
      <c r="C25" s="235" t="s">
        <v>624</v>
      </c>
      <c r="D25" s="235" t="s">
        <v>582</v>
      </c>
      <c r="E25" s="56" t="str">
        <f>IFERROR(VLOOKUP($D25,본공사입.출고현황!$B:$H,E$2080,0),0)</f>
        <v>Conduit</v>
      </c>
      <c r="F25" s="18" t="str">
        <f>IFERROR(VLOOKUP($D25,본공사입.출고현황!$B:$H,F$2080,0),0)</f>
        <v>Conduit 108x5</v>
      </c>
      <c r="G25" s="18" t="str">
        <f>IFERROR(VLOOKUP($D25,본공사입.출고현황!$B:$H,G$2080,0),0)</f>
        <v>Conduit</v>
      </c>
      <c r="H25" s="18" t="str">
        <f>IFERROR(VLOOKUP($D25,본공사입.출고현황!$B:$H,H$2080,0),0)</f>
        <v>108x5</v>
      </c>
      <c r="I25" s="56" t="str">
        <f>IFERROR(VLOOKUP($D25,본공사입.출고현황!$B:$H,I$2080,0),0)</f>
        <v>M</v>
      </c>
      <c r="J25" s="235"/>
      <c r="K25" s="235"/>
      <c r="L25" s="236">
        <v>0</v>
      </c>
      <c r="M25" s="289"/>
      <c r="N25" s="288"/>
    </row>
    <row r="26" spans="2:14" s="11" customFormat="1" ht="21.75" customHeight="1">
      <c r="B26" s="235">
        <v>23</v>
      </c>
      <c r="C26" s="235" t="s">
        <v>624</v>
      </c>
      <c r="D26" s="235" t="s">
        <v>140</v>
      </c>
      <c r="E26" s="56" t="str">
        <f>IFERROR(VLOOKUP($D26,본공사입.출고현황!$B:$H,E$2080,0),0)</f>
        <v>Conduit</v>
      </c>
      <c r="F26" s="18" t="str">
        <f>IFERROR(VLOOKUP($D26,본공사입.출고현황!$B:$H,F$2080,0),0)</f>
        <v>Conduit 108x4.0</v>
      </c>
      <c r="G26" s="18" t="str">
        <f>IFERROR(VLOOKUP($D26,본공사입.출고현황!$B:$H,G$2080,0),0)</f>
        <v>Conduit</v>
      </c>
      <c r="H26" s="18" t="str">
        <f>IFERROR(VLOOKUP($D26,본공사입.출고현황!$B:$H,H$2080,0),0)</f>
        <v>108x4</v>
      </c>
      <c r="I26" s="56" t="str">
        <f>IFERROR(VLOOKUP($D26,본공사입.출고현황!$B:$H,I$2080,0),0)</f>
        <v>M</v>
      </c>
      <c r="J26" s="235"/>
      <c r="K26" s="235"/>
      <c r="L26" s="236">
        <v>4447.3879999999999</v>
      </c>
      <c r="M26" s="289"/>
      <c r="N26" s="288"/>
    </row>
    <row r="27" spans="2:14" s="11" customFormat="1" ht="21.75" customHeight="1">
      <c r="B27" s="235">
        <v>24</v>
      </c>
      <c r="C27" s="235" t="s">
        <v>624</v>
      </c>
      <c r="D27" s="235" t="s">
        <v>583</v>
      </c>
      <c r="E27" s="56">
        <f>IFERROR(VLOOKUP($D27,본공사입.출고현황!$B:$H,E$2080,0),0)</f>
        <v>0</v>
      </c>
      <c r="F27" s="18">
        <f>IFERROR(VLOOKUP($D27,본공사입.출고현황!$B:$H,F$2080,0),0)</f>
        <v>0</v>
      </c>
      <c r="G27" s="18">
        <f>IFERROR(VLOOKUP($D27,본공사입.출고현황!$B:$H,G$2080,0),0)</f>
        <v>0</v>
      </c>
      <c r="H27" s="18">
        <f>IFERROR(VLOOKUP($D27,본공사입.출고현황!$B:$H,H$2080,0),0)</f>
        <v>0</v>
      </c>
      <c r="I27" s="56">
        <f>IFERROR(VLOOKUP($D27,본공사입.출고현황!$B:$H,I$2080,0),0)</f>
        <v>0</v>
      </c>
      <c r="J27" s="235"/>
      <c r="K27" s="235"/>
      <c r="L27" s="236">
        <v>0</v>
      </c>
      <c r="M27" s="289"/>
      <c r="N27" s="288"/>
    </row>
    <row r="28" spans="2:14" s="11" customFormat="1" ht="21.75" customHeight="1">
      <c r="B28" s="235">
        <v>25</v>
      </c>
      <c r="C28" s="235" t="s">
        <v>624</v>
      </c>
      <c r="D28" s="235" t="s">
        <v>144</v>
      </c>
      <c r="E28" s="56" t="str">
        <f>IFERROR(VLOOKUP($D28,본공사입.출고현황!$B:$H,E$2080,0),0)</f>
        <v>Conduit Fitting</v>
      </c>
      <c r="F28" s="18" t="str">
        <f>IFERROR(VLOOKUP($D28,본공사입.출고현황!$B:$H,F$2080,0),0)</f>
        <v>Conduit Coupling 168x4</v>
      </c>
      <c r="G28" s="18" t="str">
        <f>IFERROR(VLOOKUP($D28,본공사입.출고현황!$B:$H,G$2080,0),0)</f>
        <v>Conduit Coupling</v>
      </c>
      <c r="H28" s="18" t="str">
        <f>IFERROR(VLOOKUP($D28,본공사입.출고현황!$B:$H,H$2080,0),0)</f>
        <v>168x4</v>
      </c>
      <c r="I28" s="56" t="str">
        <f>IFERROR(VLOOKUP($D28,본공사입.출고현황!$B:$H,I$2080,0),0)</f>
        <v>M</v>
      </c>
      <c r="J28" s="235"/>
      <c r="K28" s="235"/>
      <c r="L28" s="236">
        <v>0</v>
      </c>
      <c r="M28" s="289"/>
      <c r="N28" s="288"/>
    </row>
    <row r="29" spans="2:14" s="11" customFormat="1" ht="21.75" customHeight="1">
      <c r="B29" s="235">
        <v>26</v>
      </c>
      <c r="C29" s="235" t="s">
        <v>624</v>
      </c>
      <c r="D29" s="235" t="s">
        <v>149</v>
      </c>
      <c r="E29" s="56" t="str">
        <f>IFERROR(VLOOKUP($D29,본공사입.출고현황!$B:$H,E$2080,0),0)</f>
        <v>Conduit Fitting</v>
      </c>
      <c r="F29" s="18" t="str">
        <f>IFERROR(VLOOKUP($D29,본공사입.출고현황!$B:$H,F$2080,0),0)</f>
        <v>Conduit Coupling 168x4</v>
      </c>
      <c r="G29" s="18" t="str">
        <f>IFERROR(VLOOKUP($D29,본공사입.출고현황!$B:$H,G$2080,0),0)</f>
        <v>Conduit Coupling</v>
      </c>
      <c r="H29" s="18" t="str">
        <f>IFERROR(VLOOKUP($D29,본공사입.출고현황!$B:$H,H$2080,0),0)</f>
        <v>168x4</v>
      </c>
      <c r="I29" s="56" t="str">
        <f>IFERROR(VLOOKUP($D29,본공사입.출고현황!$B:$H,I$2080,0),0)</f>
        <v>EA</v>
      </c>
      <c r="J29" s="235"/>
      <c r="K29" s="235"/>
      <c r="L29" s="236">
        <v>180</v>
      </c>
      <c r="M29" s="289"/>
      <c r="N29" s="288"/>
    </row>
    <row r="30" spans="2:14" s="11" customFormat="1" ht="21.75" customHeight="1">
      <c r="B30" s="235">
        <v>27</v>
      </c>
      <c r="C30" s="235" t="s">
        <v>624</v>
      </c>
      <c r="D30" s="235" t="s">
        <v>151</v>
      </c>
      <c r="E30" s="56" t="str">
        <f>IFERROR(VLOOKUP($D30,본공사입.출고현황!$B:$H,E$2080,0),0)</f>
        <v>Conduit Fitting</v>
      </c>
      <c r="F30" s="18" t="str">
        <f>IFERROR(VLOOKUP($D30,본공사입.출고현황!$B:$H,F$2080,0),0)</f>
        <v>Conduit Coupling 125-Ts</v>
      </c>
      <c r="G30" s="18" t="str">
        <f>IFERROR(VLOOKUP($D30,본공사입.출고현황!$B:$H,G$2080,0),0)</f>
        <v>Conduit Coupling</v>
      </c>
      <c r="H30" s="18" t="str">
        <f>IFERROR(VLOOKUP($D30,본공사입.출고현황!$B:$H,H$2080,0),0)</f>
        <v>Ts-125x5</v>
      </c>
      <c r="I30" s="56" t="str">
        <f>IFERROR(VLOOKUP($D30,본공사입.출고현황!$B:$H,I$2080,0),0)</f>
        <v>EA</v>
      </c>
      <c r="J30" s="235"/>
      <c r="K30" s="235"/>
      <c r="L30" s="236">
        <v>0</v>
      </c>
      <c r="M30" s="289"/>
      <c r="N30" s="288"/>
    </row>
    <row r="31" spans="2:14" s="11" customFormat="1" ht="21.75" customHeight="1">
      <c r="B31" s="235">
        <v>28</v>
      </c>
      <c r="C31" s="235" t="s">
        <v>624</v>
      </c>
      <c r="D31" s="235" t="s">
        <v>153</v>
      </c>
      <c r="E31" s="56" t="str">
        <f>IFERROR(VLOOKUP($D31,본공사입.출고현황!$B:$H,E$2080,0),0)</f>
        <v>Conduit Fitting</v>
      </c>
      <c r="F31" s="18" t="str">
        <f>IFERROR(VLOOKUP($D31,본공사입.출고현황!$B:$H,F$2080,0),0)</f>
        <v>Conduit Coupling 121x5</v>
      </c>
      <c r="G31" s="18" t="str">
        <f>IFERROR(VLOOKUP($D31,본공사입.출고현황!$B:$H,G$2080,0),0)</f>
        <v>Conduit Coupling</v>
      </c>
      <c r="H31" s="18" t="str">
        <f>IFERROR(VLOOKUP($D31,본공사입.출고현황!$B:$H,H$2080,0),0)</f>
        <v>121x5</v>
      </c>
      <c r="I31" s="56" t="str">
        <f>IFERROR(VLOOKUP($D31,본공사입.출고현황!$B:$H,I$2080,0),0)</f>
        <v>M</v>
      </c>
      <c r="J31" s="235"/>
      <c r="K31" s="235"/>
      <c r="L31" s="236">
        <v>30</v>
      </c>
      <c r="M31" s="289"/>
      <c r="N31" s="288"/>
    </row>
    <row r="32" spans="2:14" s="11" customFormat="1" ht="21.75" customHeight="1">
      <c r="B32" s="235">
        <v>29</v>
      </c>
      <c r="C32" s="235" t="s">
        <v>624</v>
      </c>
      <c r="D32" s="235" t="s">
        <v>156</v>
      </c>
      <c r="E32" s="56" t="str">
        <f>IFERROR(VLOOKUP($D32,본공사입.출고현황!$B:$H,E$2080,0),0)</f>
        <v>Conduit Fitting</v>
      </c>
      <c r="F32" s="18" t="str">
        <f>IFERROR(VLOOKUP($D32,본공사입.출고현황!$B:$H,F$2080,0),0)</f>
        <v>Conduit Coupling 121x5</v>
      </c>
      <c r="G32" s="18" t="str">
        <f>IFERROR(VLOOKUP($D32,본공사입.출고현황!$B:$H,G$2080,0),0)</f>
        <v>Conduit Coupling</v>
      </c>
      <c r="H32" s="18" t="str">
        <f>IFERROR(VLOOKUP($D32,본공사입.출고현황!$B:$H,H$2080,0),0)</f>
        <v>121x5</v>
      </c>
      <c r="I32" s="56" t="str">
        <f>IFERROR(VLOOKUP($D32,본공사입.출고현황!$B:$H,I$2080,0),0)</f>
        <v>EA</v>
      </c>
      <c r="J32" s="235"/>
      <c r="K32" s="235"/>
      <c r="L32" s="236">
        <v>423</v>
      </c>
      <c r="M32" s="289"/>
      <c r="N32" s="288"/>
    </row>
    <row r="33" spans="1:16" s="11" customFormat="1" ht="21.75" customHeight="1">
      <c r="B33" s="235">
        <v>30</v>
      </c>
      <c r="C33" s="235" t="s">
        <v>624</v>
      </c>
      <c r="D33" s="235" t="s">
        <v>157</v>
      </c>
      <c r="E33" s="56" t="str">
        <f>IFERROR(VLOOKUP($D33,본공사입.출고현황!$B:$H,E$2080,0),0)</f>
        <v>Conduit Fitting</v>
      </c>
      <c r="F33" s="18" t="str">
        <f>IFERROR(VLOOKUP($D33,본공사입.출고현황!$B:$H,F$2080,0),0)</f>
        <v>Conduit Coupling 100-Ts</v>
      </c>
      <c r="G33" s="18" t="str">
        <f>IFERROR(VLOOKUP($D33,본공사입.출고현황!$B:$H,G$2080,0),0)</f>
        <v>Conduit Coupling</v>
      </c>
      <c r="H33" s="18" t="str">
        <f>IFERROR(VLOOKUP($D33,본공사입.출고현황!$B:$H,H$2080,0),0)</f>
        <v>100-Ts</v>
      </c>
      <c r="I33" s="56" t="str">
        <f>IFERROR(VLOOKUP($D33,본공사입.출고현황!$B:$H,I$2080,0),0)</f>
        <v>EA</v>
      </c>
      <c r="J33" s="235"/>
      <c r="K33" s="235"/>
      <c r="L33" s="236">
        <v>78</v>
      </c>
      <c r="M33" s="289"/>
      <c r="N33" s="288"/>
    </row>
    <row r="34" spans="1:16" s="11" customFormat="1" ht="21.75" customHeight="1">
      <c r="B34" s="235">
        <v>31</v>
      </c>
      <c r="C34" s="235" t="s">
        <v>624</v>
      </c>
      <c r="D34" s="235" t="s">
        <v>160</v>
      </c>
      <c r="E34" s="56" t="str">
        <f>IFERROR(VLOOKUP($D34,본공사입.출고현황!$B:$H,E$2080,0),0)</f>
        <v>Conduit Fitting</v>
      </c>
      <c r="F34" s="18" t="str">
        <f>IFERROR(VLOOKUP($D34,본공사입.출고현황!$B:$H,F$2080,0),0)</f>
        <v>Conduit Coupling 80-Ts</v>
      </c>
      <c r="G34" s="18" t="str">
        <f>IFERROR(VLOOKUP($D34,본공사입.출고현황!$B:$H,G$2080,0),0)</f>
        <v>Conduit Coupling</v>
      </c>
      <c r="H34" s="18" t="str">
        <f>IFERROR(VLOOKUP($D34,본공사입.출고현황!$B:$H,H$2080,0),0)</f>
        <v>80-Ts</v>
      </c>
      <c r="I34" s="56" t="str">
        <f>IFERROR(VLOOKUP($D34,본공사입.출고현황!$B:$H,I$2080,0),0)</f>
        <v>EA</v>
      </c>
      <c r="J34" s="235"/>
      <c r="K34" s="235"/>
      <c r="L34" s="236">
        <v>24</v>
      </c>
      <c r="M34" s="289"/>
      <c r="N34" s="288"/>
    </row>
    <row r="35" spans="1:16" s="11" customFormat="1" ht="21.75" customHeight="1">
      <c r="B35" s="235">
        <v>32</v>
      </c>
      <c r="C35" s="235" t="s">
        <v>624</v>
      </c>
      <c r="D35" s="235" t="s">
        <v>162</v>
      </c>
      <c r="E35" s="56" t="str">
        <f>IFERROR(VLOOKUP($D35,본공사입.출고현황!$B:$H,E$2080,0),0)</f>
        <v>Sup't</v>
      </c>
      <c r="F35" s="18" t="str">
        <f>IFERROR(VLOOKUP($D35,본공사입.출고현황!$B:$H,F$2080,0),0)</f>
        <v>Angle 50x50x5</v>
      </c>
      <c r="G35" s="18" t="str">
        <f>IFERROR(VLOOKUP($D35,본공사입.출고현황!$B:$H,G$2080,0),0)</f>
        <v>Angle</v>
      </c>
      <c r="H35" s="18" t="str">
        <f>IFERROR(VLOOKUP($D35,본공사입.출고현황!$B:$H,H$2080,0),0)</f>
        <v>50*50*5</v>
      </c>
      <c r="I35" s="56" t="str">
        <f>IFERROR(VLOOKUP($D35,본공사입.출고현황!$B:$H,I$2080,0),0)</f>
        <v>M</v>
      </c>
      <c r="J35" s="235"/>
      <c r="K35" s="235"/>
      <c r="L35" s="236">
        <v>1843</v>
      </c>
      <c r="M35" s="289"/>
      <c r="N35" s="288"/>
    </row>
    <row r="36" spans="1:16" s="11" customFormat="1" ht="21.75" customHeight="1">
      <c r="B36" s="235">
        <v>33</v>
      </c>
      <c r="C36" s="235" t="s">
        <v>624</v>
      </c>
      <c r="D36" s="235" t="s">
        <v>165</v>
      </c>
      <c r="E36" s="56" t="str">
        <f>IFERROR(VLOOKUP($D36,본공사입.출고현황!$B:$H,E$2080,0),0)</f>
        <v>Sup't</v>
      </c>
      <c r="F36" s="18" t="str">
        <f>IFERROR(VLOOKUP($D36,본공사입.출고현황!$B:$H,F$2080,0),0)</f>
        <v>Angle 70x70x7</v>
      </c>
      <c r="G36" s="18" t="str">
        <f>IFERROR(VLOOKUP($D36,본공사입.출고현황!$B:$H,G$2080,0),0)</f>
        <v>Angle</v>
      </c>
      <c r="H36" s="18" t="str">
        <f>IFERROR(VLOOKUP($D36,본공사입.출고현황!$B:$H,H$2080,0),0)</f>
        <v>70*70*7</v>
      </c>
      <c r="I36" s="56" t="str">
        <f>IFERROR(VLOOKUP($D36,본공사입.출고현황!$B:$H,I$2080,0),0)</f>
        <v>M</v>
      </c>
      <c r="J36" s="235"/>
      <c r="K36" s="235"/>
      <c r="L36" s="236">
        <v>361.9</v>
      </c>
      <c r="M36" s="289"/>
      <c r="N36" s="288"/>
    </row>
    <row r="37" spans="1:16" s="11" customFormat="1" ht="21.75" customHeight="1">
      <c r="B37" s="235">
        <v>34</v>
      </c>
      <c r="C37" s="235" t="s">
        <v>624</v>
      </c>
      <c r="D37" s="235" t="s">
        <v>168</v>
      </c>
      <c r="E37" s="56" t="str">
        <f>IFERROR(VLOOKUP($D37,본공사입.출고현황!$B:$H,E$2080,0),0)</f>
        <v>Sup't</v>
      </c>
      <c r="F37" s="18" t="str">
        <f>IFERROR(VLOOKUP($D37,본공사입.출고현황!$B:$H,F$2080,0),0)</f>
        <v>Angle 75x75x5</v>
      </c>
      <c r="G37" s="18" t="str">
        <f>IFERROR(VLOOKUP($D37,본공사입.출고현황!$B:$H,G$2080,0),0)</f>
        <v>Angle</v>
      </c>
      <c r="H37" s="18" t="str">
        <f>IFERROR(VLOOKUP($D37,본공사입.출고현황!$B:$H,H$2080,0),0)</f>
        <v>75x75x5</v>
      </c>
      <c r="I37" s="56" t="str">
        <f>IFERROR(VLOOKUP($D37,본공사입.출고현황!$B:$H,I$2080,0),0)</f>
        <v>M</v>
      </c>
      <c r="J37" s="235"/>
      <c r="K37" s="235"/>
      <c r="L37" s="236">
        <v>34</v>
      </c>
      <c r="M37" s="289"/>
      <c r="N37" s="288"/>
    </row>
    <row r="38" spans="1:16" s="11" customFormat="1" ht="21.75" customHeight="1">
      <c r="B38" s="235">
        <v>35</v>
      </c>
      <c r="C38" s="235" t="s">
        <v>624</v>
      </c>
      <c r="D38" s="235" t="s">
        <v>397</v>
      </c>
      <c r="E38" s="56" t="str">
        <f>IFERROR(VLOOKUP($D38,본공사입.출고현황!$B:$H,E$2080,0),0)</f>
        <v>Paint</v>
      </c>
      <c r="F38" s="18" t="str">
        <f>IFERROR(VLOOKUP($D38,본공사입.출고현황!$B:$H,F$2080,0),0)</f>
        <v>JOTUN Pipe Primer Paint (A)</v>
      </c>
      <c r="G38" s="18" t="str">
        <f>IFERROR(VLOOKUP($D38,본공사입.출고현황!$B:$H,G$2080,0),0)</f>
        <v>Paint</v>
      </c>
      <c r="H38" s="18" t="str">
        <f>IFERROR(VLOOKUP($D38,본공사입.출고현황!$B:$H,H$2080,0),0)</f>
        <v>16L</v>
      </c>
      <c r="I38" s="56" t="str">
        <f>IFERROR(VLOOKUP($D38,본공사입.출고현황!$B:$H,I$2080,0),0)</f>
        <v>CAN</v>
      </c>
      <c r="J38" s="235"/>
      <c r="K38" s="235"/>
      <c r="L38" s="236">
        <v>5</v>
      </c>
      <c r="M38" s="289"/>
      <c r="N38" s="288"/>
    </row>
    <row r="39" spans="1:16" s="11" customFormat="1" ht="21.75" customHeight="1">
      <c r="B39" s="235">
        <v>36</v>
      </c>
      <c r="C39" s="235" t="s">
        <v>624</v>
      </c>
      <c r="D39" s="235" t="s">
        <v>399</v>
      </c>
      <c r="E39" s="56" t="str">
        <f>IFERROR(VLOOKUP($D39,본공사입.출고현황!$B:$H,E$2080,0),0)</f>
        <v>Paint</v>
      </c>
      <c r="F39" s="18" t="str">
        <f>IFERROR(VLOOKUP($D39,본공사입.출고현황!$B:$H,F$2080,0),0)</f>
        <v>JOTUN Pipe Primer Paint (B)</v>
      </c>
      <c r="G39" s="18" t="str">
        <f>IFERROR(VLOOKUP($D39,본공사입.출고현황!$B:$H,G$2080,0),0)</f>
        <v>Paint</v>
      </c>
      <c r="H39" s="18" t="str">
        <f>IFERROR(VLOOKUP($D39,본공사입.출고현황!$B:$H,H$2080,0),0)</f>
        <v>4L</v>
      </c>
      <c r="I39" s="56" t="str">
        <f>IFERROR(VLOOKUP($D39,본공사입.출고현황!$B:$H,I$2080,0),0)</f>
        <v>CAN</v>
      </c>
      <c r="J39" s="235"/>
      <c r="K39" s="235"/>
      <c r="L39" s="236">
        <v>5</v>
      </c>
      <c r="M39" s="289"/>
      <c r="N39" s="288"/>
    </row>
    <row r="40" spans="1:16" s="11" customFormat="1" ht="21.75" customHeight="1">
      <c r="B40" s="235">
        <v>37</v>
      </c>
      <c r="C40" s="235" t="s">
        <v>624</v>
      </c>
      <c r="D40" s="235" t="s">
        <v>175</v>
      </c>
      <c r="E40" s="56" t="str">
        <f>IFERROR(VLOOKUP($D40,본공사입.출고현황!$B:$H,E$2080,0),0)</f>
        <v>Paint</v>
      </c>
      <c r="F40" s="18" t="str">
        <f>IFERROR(VLOOKUP($D40,본공사입.출고현황!$B:$H,F$2080,0),0)</f>
        <v>JOTUN Pipe Top-coated Paint</v>
      </c>
      <c r="G40" s="18" t="str">
        <f>IFERROR(VLOOKUP($D40,본공사입.출고현황!$B:$H,G$2080,0),0)</f>
        <v>Paint</v>
      </c>
      <c r="H40" s="18" t="str">
        <f>IFERROR(VLOOKUP($D40,본공사입.출고현황!$B:$H,H$2080,0),0)</f>
        <v>20L</v>
      </c>
      <c r="I40" s="56" t="str">
        <f>IFERROR(VLOOKUP($D40,본공사입.출고현황!$B:$H,I$2080,0),0)</f>
        <v>CAN</v>
      </c>
      <c r="J40" s="235"/>
      <c r="K40" s="235"/>
      <c r="L40" s="236">
        <v>0</v>
      </c>
      <c r="M40" s="289"/>
      <c r="N40" s="288"/>
    </row>
    <row r="41" spans="1:16" s="11" customFormat="1" ht="21.75" customHeight="1">
      <c r="B41" s="235">
        <v>38</v>
      </c>
      <c r="C41" s="235" t="s">
        <v>624</v>
      </c>
      <c r="D41" s="235" t="s">
        <v>177</v>
      </c>
      <c r="E41" s="56" t="str">
        <f>IFERROR(VLOOKUP($D41,본공사입.출고현황!$B:$H,E$2080,0),0)</f>
        <v>Paint</v>
      </c>
      <c r="F41" s="18" t="str">
        <f>IFERROR(VLOOKUP($D41,본공사입.출고현황!$B:$H,F$2080,0),0)</f>
        <v>JOTUN Thinner</v>
      </c>
      <c r="G41" s="18" t="str">
        <f>IFERROR(VLOOKUP($D41,본공사입.출고현황!$B:$H,G$2080,0),0)</f>
        <v>Paint</v>
      </c>
      <c r="H41" s="18" t="str">
        <f>IFERROR(VLOOKUP($D41,본공사입.출고현황!$B:$H,H$2080,0),0)</f>
        <v>20L</v>
      </c>
      <c r="I41" s="56" t="str">
        <f>IFERROR(VLOOKUP($D41,본공사입.출고현황!$B:$H,I$2080,0),0)</f>
        <v>CAN</v>
      </c>
      <c r="J41" s="235"/>
      <c r="K41" s="235"/>
      <c r="L41" s="236">
        <v>1</v>
      </c>
      <c r="M41" s="289"/>
      <c r="N41" s="288"/>
    </row>
    <row r="42" spans="1:16" s="11" customFormat="1" ht="21.75" customHeight="1">
      <c r="B42" s="235">
        <v>39</v>
      </c>
      <c r="C42" s="235" t="s">
        <v>624</v>
      </c>
      <c r="D42" s="235" t="s">
        <v>238</v>
      </c>
      <c r="E42" s="56" t="str">
        <f>IFERROR(VLOOKUP($D42,본공사입.출고현황!$B:$H,E$2080,0),0)</f>
        <v>Steel round bar</v>
      </c>
      <c r="F42" s="18" t="str">
        <f>IFERROR(VLOOKUP($D42,본공사입.출고현황!$B:$H,F$2080,0),0)</f>
        <v>Steel round bar(rebar)</v>
      </c>
      <c r="G42" s="18" t="str">
        <f>IFERROR(VLOOKUP($D42,본공사입.출고현황!$B:$H,G$2080,0),0)</f>
        <v>CCGG</v>
      </c>
      <c r="H42" s="18" t="str">
        <f>IFERROR(VLOOKUP($D42,본공사입.출고현황!$B:$H,H$2080,0),0)</f>
        <v>ф10, 1ton=1,620.7m</v>
      </c>
      <c r="I42" s="56" t="str">
        <f>IFERROR(VLOOKUP($D42,본공사입.출고현황!$B:$H,I$2080,0),0)</f>
        <v>M</v>
      </c>
      <c r="J42" s="235"/>
      <c r="K42" s="235"/>
      <c r="L42" s="236">
        <v>4181.6000000000004</v>
      </c>
      <c r="M42" s="289"/>
      <c r="N42" s="288"/>
    </row>
    <row r="43" spans="1:16" s="11" customFormat="1" ht="21.75" customHeight="1">
      <c r="B43" s="235">
        <v>40</v>
      </c>
      <c r="C43" s="235" t="s">
        <v>625</v>
      </c>
      <c r="D43" s="235" t="s">
        <v>61</v>
      </c>
      <c r="E43" s="56" t="str">
        <f>IFERROR(VLOOKUP($D43,본공사입.출고현황!$B:$H,E$2080,0),0)</f>
        <v>Angle</v>
      </c>
      <c r="F43" s="18" t="str">
        <f>IFERROR(VLOOKUP($D43,본공사입.출고현황!$B:$H,F$2080,0),0)</f>
        <v>Angle 100x100x10</v>
      </c>
      <c r="G43" s="18" t="str">
        <f>IFERROR(VLOOKUP($D43,본공사입.출고현황!$B:$H,G$2080,0),0)</f>
        <v>CCGG</v>
      </c>
      <c r="H43" s="18" t="str">
        <f>IFERROR(VLOOKUP($D43,본공사입.출고현황!$B:$H,H$2080,0),0)</f>
        <v>100x100x10 (12m)</v>
      </c>
      <c r="I43" s="56" t="str">
        <f>IFERROR(VLOOKUP($D43,본공사입.출고현황!$B:$H,I$2080,0),0)</f>
        <v>M</v>
      </c>
      <c r="J43" s="235"/>
      <c r="K43" s="235"/>
      <c r="L43" s="236">
        <v>385</v>
      </c>
      <c r="M43" s="289"/>
      <c r="N43" s="288"/>
      <c r="O43" s="11">
        <v>444</v>
      </c>
      <c r="P43" s="314">
        <f>L43+O43</f>
        <v>829</v>
      </c>
    </row>
    <row r="44" spans="1:16" ht="24" customHeight="1">
      <c r="A44" s="8">
        <v>1</v>
      </c>
      <c r="B44" s="9">
        <v>1</v>
      </c>
      <c r="C44" s="46">
        <v>45658</v>
      </c>
      <c r="D44" s="9" t="s">
        <v>168</v>
      </c>
      <c r="E44" s="56" t="str">
        <f>IFERROR(VLOOKUP($D44,본공사입.출고현황!$B:$H,E$2080,0),0)</f>
        <v>Sup't</v>
      </c>
      <c r="F44" s="18" t="str">
        <f>IFERROR(VLOOKUP($D44,본공사입.출고현황!$B:$H,F$2080,0),0)</f>
        <v>Angle 75x75x5</v>
      </c>
      <c r="G44" s="18" t="str">
        <f>IFERROR(VLOOKUP($D44,본공사입.출고현황!$B:$H,G$2080,0),0)</f>
        <v>Angle</v>
      </c>
      <c r="H44" s="18" t="str">
        <f>IFERROR(VLOOKUP($D44,본공사입.출고현황!$B:$H,H$2080,0),0)</f>
        <v>75x75x5</v>
      </c>
      <c r="I44" s="56" t="str">
        <f>IFERROR(VLOOKUP($D44,본공사입.출고현황!$B:$H,I$2080,0),0)</f>
        <v>M</v>
      </c>
      <c r="J44" s="9">
        <v>2</v>
      </c>
      <c r="K44" s="9" t="s">
        <v>241</v>
      </c>
      <c r="L44" s="65">
        <v>1</v>
      </c>
      <c r="M44" s="64" t="s">
        <v>243</v>
      </c>
      <c r="N44" s="58"/>
    </row>
    <row r="45" spans="1:16" ht="24" customHeight="1">
      <c r="A45" s="8">
        <v>2</v>
      </c>
      <c r="B45" s="9">
        <v>2</v>
      </c>
      <c r="C45" s="46">
        <v>45658</v>
      </c>
      <c r="D45" s="9" t="s">
        <v>135</v>
      </c>
      <c r="E45" s="56" t="str">
        <f>IFERROR(VLOOKUP($D45,본공사입.출고현황!$B:$H,E$2080,0),0)</f>
        <v>Conduit</v>
      </c>
      <c r="F45" s="18" t="str">
        <f>IFERROR(VLOOKUP($D45,본공사입.출고현황!$B:$H,F$2080,0),0)</f>
        <v>Conduit 159x4.5</v>
      </c>
      <c r="G45" s="18" t="str">
        <f>IFERROR(VLOOKUP($D45,본공사입.출고현황!$B:$H,G$2080,0),0)</f>
        <v>Conduit</v>
      </c>
      <c r="H45" s="18" t="str">
        <f>IFERROR(VLOOKUP($D45,본공사입.출고현황!$B:$H,H$2080,0),0)</f>
        <v>159x4.5</v>
      </c>
      <c r="I45" s="56" t="str">
        <f>IFERROR(VLOOKUP($D45,본공사입.출고현황!$B:$H,I$2080,0),0)</f>
        <v>M</v>
      </c>
      <c r="J45" s="9">
        <v>4</v>
      </c>
      <c r="K45" s="9" t="s">
        <v>244</v>
      </c>
      <c r="L45" s="65">
        <v>4.5</v>
      </c>
      <c r="M45" s="64" t="s">
        <v>243</v>
      </c>
      <c r="N45" s="58"/>
    </row>
    <row r="46" spans="1:16" ht="24" customHeight="1">
      <c r="A46" s="8">
        <v>3</v>
      </c>
      <c r="B46" s="9">
        <v>3</v>
      </c>
      <c r="C46" s="46">
        <v>45658</v>
      </c>
      <c r="D46" s="9" t="s">
        <v>238</v>
      </c>
      <c r="E46" s="56" t="str">
        <f>IFERROR(VLOOKUP($D46,본공사입.출고현황!$B:$H,E$2080,0),0)</f>
        <v>Steel round bar</v>
      </c>
      <c r="F46" s="18" t="str">
        <f>IFERROR(VLOOKUP($D46,본공사입.출고현황!$B:$H,F$2080,0),0)</f>
        <v>Steel round bar(rebar)</v>
      </c>
      <c r="G46" s="18" t="str">
        <f>IFERROR(VLOOKUP($D46,본공사입.출고현황!$B:$H,G$2080,0),0)</f>
        <v>CCGG</v>
      </c>
      <c r="H46" s="18" t="str">
        <f>IFERROR(VLOOKUP($D46,본공사입.출고현황!$B:$H,H$2080,0),0)</f>
        <v>ф10, 1ton=1,620.7m</v>
      </c>
      <c r="I46" s="56" t="str">
        <f>IFERROR(VLOOKUP($D46,본공사입.출고현황!$B:$H,I$2080,0),0)</f>
        <v>M</v>
      </c>
      <c r="J46" s="9"/>
      <c r="K46" s="9" t="s">
        <v>245</v>
      </c>
      <c r="L46" s="65">
        <f>130*0.6</f>
        <v>78</v>
      </c>
      <c r="M46" s="64" t="s">
        <v>246</v>
      </c>
      <c r="N46" s="4" t="s">
        <v>41</v>
      </c>
      <c r="P46" s="5">
        <f>L46/0.6</f>
        <v>130</v>
      </c>
    </row>
    <row r="47" spans="1:16" ht="24" customHeight="1">
      <c r="A47" s="8">
        <v>4</v>
      </c>
      <c r="B47" s="9">
        <v>4</v>
      </c>
      <c r="C47" s="46">
        <v>45661</v>
      </c>
      <c r="D47" s="9" t="s">
        <v>238</v>
      </c>
      <c r="E47" s="56" t="str">
        <f>IFERROR(VLOOKUP($D47,본공사입.출고현황!$B:$H,E$2080,0),0)</f>
        <v>Steel round bar</v>
      </c>
      <c r="F47" s="18" t="str">
        <f>IFERROR(VLOOKUP($D47,본공사입.출고현황!$B:$H,F$2080,0),0)</f>
        <v>Steel round bar(rebar)</v>
      </c>
      <c r="G47" s="18" t="str">
        <f>IFERROR(VLOOKUP($D47,본공사입.출고현황!$B:$H,G$2080,0),0)</f>
        <v>CCGG</v>
      </c>
      <c r="H47" s="18" t="str">
        <f>IFERROR(VLOOKUP($D47,본공사입.출고현황!$B:$H,H$2080,0),0)</f>
        <v>ф10, 1ton=1,620.7m</v>
      </c>
      <c r="I47" s="56" t="str">
        <f>IFERROR(VLOOKUP($D47,본공사입.출고현황!$B:$H,I$2080,0),0)</f>
        <v>M</v>
      </c>
      <c r="J47" s="9"/>
      <c r="K47" s="9" t="s">
        <v>245</v>
      </c>
      <c r="L47" s="65">
        <v>72</v>
      </c>
      <c r="M47" s="64" t="s">
        <v>246</v>
      </c>
      <c r="N47" s="4" t="s">
        <v>41</v>
      </c>
      <c r="P47" s="5">
        <f>L47/0.6</f>
        <v>120</v>
      </c>
    </row>
    <row r="48" spans="1:16" ht="24" customHeight="1">
      <c r="A48" s="8">
        <v>5</v>
      </c>
      <c r="B48" s="9">
        <v>5</v>
      </c>
      <c r="C48" s="46">
        <v>45662</v>
      </c>
      <c r="D48" s="9" t="s">
        <v>238</v>
      </c>
      <c r="E48" s="56" t="str">
        <f>IFERROR(VLOOKUP($D48,본공사입.출고현황!$B:$H,E$2080,0),0)</f>
        <v>Steel round bar</v>
      </c>
      <c r="F48" s="18" t="str">
        <f>IFERROR(VLOOKUP($D48,본공사입.출고현황!$B:$H,F$2080,0),0)</f>
        <v>Steel round bar(rebar)</v>
      </c>
      <c r="G48" s="18" t="str">
        <f>IFERROR(VLOOKUP($D48,본공사입.출고현황!$B:$H,G$2080,0),0)</f>
        <v>CCGG</v>
      </c>
      <c r="H48" s="18" t="str">
        <f>IFERROR(VLOOKUP($D48,본공사입.출고현황!$B:$H,H$2080,0),0)</f>
        <v>ф10, 1ton=1,620.7m</v>
      </c>
      <c r="I48" s="56" t="str">
        <f>IFERROR(VLOOKUP($D48,본공사입.출고현황!$B:$H,I$2080,0),0)</f>
        <v>M</v>
      </c>
      <c r="J48" s="9"/>
      <c r="K48" s="9" t="s">
        <v>245</v>
      </c>
      <c r="L48" s="65">
        <v>78</v>
      </c>
      <c r="M48" s="64" t="s">
        <v>246</v>
      </c>
      <c r="N48" s="4" t="s">
        <v>41</v>
      </c>
      <c r="P48" s="5">
        <f>L48/0.6</f>
        <v>130</v>
      </c>
    </row>
    <row r="49" spans="1:16" ht="24" customHeight="1">
      <c r="A49" s="8">
        <v>6</v>
      </c>
      <c r="B49" s="9">
        <v>6</v>
      </c>
      <c r="C49" s="46">
        <v>45665</v>
      </c>
      <c r="D49" s="9" t="s">
        <v>61</v>
      </c>
      <c r="E49" s="56" t="str">
        <f>IFERROR(VLOOKUP($D49,본공사입.출고현황!$B:$H,E$2080,0),0)</f>
        <v>Angle</v>
      </c>
      <c r="F49" s="18" t="str">
        <f>IFERROR(VLOOKUP($D49,본공사입.출고현황!$B:$H,F$2080,0),0)</f>
        <v>Angle 100x100x10</v>
      </c>
      <c r="G49" s="18" t="str">
        <f>IFERROR(VLOOKUP($D49,본공사입.출고현황!$B:$H,G$2080,0),0)</f>
        <v>CCGG</v>
      </c>
      <c r="H49" s="18" t="str">
        <f>IFERROR(VLOOKUP($D49,본공사입.출고현황!$B:$H,H$2080,0),0)</f>
        <v>100x100x10 (12m)</v>
      </c>
      <c r="I49" s="56" t="str">
        <f>IFERROR(VLOOKUP($D49,본공사입.출고현황!$B:$H,I$2080,0),0)</f>
        <v>M</v>
      </c>
      <c r="J49" s="9">
        <v>3</v>
      </c>
      <c r="K49" s="9" t="s">
        <v>258</v>
      </c>
      <c r="L49" s="65">
        <v>50</v>
      </c>
      <c r="M49" s="64"/>
      <c r="N49" s="4"/>
    </row>
    <row r="50" spans="1:16" ht="24" customHeight="1">
      <c r="A50" s="8">
        <v>7</v>
      </c>
      <c r="B50" s="9">
        <v>7</v>
      </c>
      <c r="C50" s="46">
        <v>45668</v>
      </c>
      <c r="D50" s="9" t="s">
        <v>162</v>
      </c>
      <c r="E50" s="56" t="str">
        <f>IFERROR(VLOOKUP($D50,본공사입.출고현황!$B:$H,E$2080,0),0)</f>
        <v>Sup't</v>
      </c>
      <c r="F50" s="18" t="str">
        <f>IFERROR(VLOOKUP($D50,본공사입.출고현황!$B:$H,F$2080,0),0)</f>
        <v>Angle 50x50x5</v>
      </c>
      <c r="G50" s="18" t="str">
        <f>IFERROR(VLOOKUP($D50,본공사입.출고현황!$B:$H,G$2080,0),0)</f>
        <v>Angle</v>
      </c>
      <c r="H50" s="18" t="str">
        <f>IFERROR(VLOOKUP($D50,본공사입.출고현황!$B:$H,H$2080,0),0)</f>
        <v>50*50*5</v>
      </c>
      <c r="I50" s="56" t="str">
        <f>IFERROR(VLOOKUP($D50,본공사입.출고현황!$B:$H,I$2080,0),0)</f>
        <v>M</v>
      </c>
      <c r="J50" s="9">
        <v>3</v>
      </c>
      <c r="K50" s="9" t="s">
        <v>237</v>
      </c>
      <c r="L50" s="65">
        <v>25</v>
      </c>
      <c r="M50" s="64"/>
      <c r="N50" s="4" t="s">
        <v>260</v>
      </c>
    </row>
    <row r="51" spans="1:16" ht="24" customHeight="1">
      <c r="A51" s="8">
        <v>8</v>
      </c>
      <c r="B51" s="9">
        <v>8</v>
      </c>
      <c r="C51" s="46">
        <v>45668</v>
      </c>
      <c r="D51" s="9" t="s">
        <v>162</v>
      </c>
      <c r="E51" s="56" t="str">
        <f>IFERROR(VLOOKUP($D51,본공사입.출고현황!$B:$H,E$2080,0),0)</f>
        <v>Sup't</v>
      </c>
      <c r="F51" s="18" t="str">
        <f>IFERROR(VLOOKUP($D51,본공사입.출고현황!$B:$H,F$2080,0),0)</f>
        <v>Angle 50x50x5</v>
      </c>
      <c r="G51" s="18" t="str">
        <f>IFERROR(VLOOKUP($D51,본공사입.출고현황!$B:$H,G$2080,0),0)</f>
        <v>Angle</v>
      </c>
      <c r="H51" s="18" t="str">
        <f>IFERROR(VLOOKUP($D51,본공사입.출고현황!$B:$H,H$2080,0),0)</f>
        <v>50*50*5</v>
      </c>
      <c r="I51" s="56" t="str">
        <f>IFERROR(VLOOKUP($D51,본공사입.출고현황!$B:$H,I$2080,0),0)</f>
        <v>M</v>
      </c>
      <c r="J51" s="9">
        <v>3</v>
      </c>
      <c r="K51" s="9" t="s">
        <v>237</v>
      </c>
      <c r="L51" s="65">
        <v>6</v>
      </c>
      <c r="M51" s="64"/>
      <c r="N51" s="4"/>
    </row>
    <row r="52" spans="1:16" ht="24" customHeight="1">
      <c r="A52" s="8">
        <v>9</v>
      </c>
      <c r="B52" s="9">
        <v>9</v>
      </c>
      <c r="C52" s="46">
        <v>45668</v>
      </c>
      <c r="D52" s="9" t="s">
        <v>140</v>
      </c>
      <c r="E52" s="56" t="str">
        <f>IFERROR(VLOOKUP($D52,본공사입.출고현황!$B:$H,E$2080,0),0)</f>
        <v>Conduit</v>
      </c>
      <c r="F52" s="18" t="str">
        <f>IFERROR(VLOOKUP($D52,본공사입.출고현황!$B:$H,F$2080,0),0)</f>
        <v>Conduit 108x4.0</v>
      </c>
      <c r="G52" s="18" t="str">
        <f>IFERROR(VLOOKUP($D52,본공사입.출고현황!$B:$H,G$2080,0),0)</f>
        <v>Conduit</v>
      </c>
      <c r="H52" s="18" t="str">
        <f>IFERROR(VLOOKUP($D52,본공사입.출고현황!$B:$H,H$2080,0),0)</f>
        <v>108x4</v>
      </c>
      <c r="I52" s="56" t="str">
        <f>IFERROR(VLOOKUP($D52,본공사입.출고현황!$B:$H,I$2080,0),0)</f>
        <v>M</v>
      </c>
      <c r="J52" s="9">
        <v>3</v>
      </c>
      <c r="K52" s="9" t="s">
        <v>237</v>
      </c>
      <c r="L52" s="37">
        <v>10</v>
      </c>
      <c r="M52" s="64"/>
      <c r="N52" s="4"/>
    </row>
    <row r="53" spans="1:16" ht="24" customHeight="1">
      <c r="A53" s="8">
        <v>10</v>
      </c>
      <c r="B53" s="9">
        <v>10</v>
      </c>
      <c r="C53" s="46">
        <v>45668</v>
      </c>
      <c r="D53" s="9" t="s">
        <v>238</v>
      </c>
      <c r="E53" s="56" t="str">
        <f>IFERROR(VLOOKUP($D53,본공사입.출고현황!$B:$H,E$2080,0),0)</f>
        <v>Steel round bar</v>
      </c>
      <c r="F53" s="18" t="str">
        <f>IFERROR(VLOOKUP($D53,본공사입.출고현황!$B:$H,F$2080,0),0)</f>
        <v>Steel round bar(rebar)</v>
      </c>
      <c r="G53" s="18" t="str">
        <f>IFERROR(VLOOKUP($D53,본공사입.출고현황!$B:$H,G$2080,0),0)</f>
        <v>CCGG</v>
      </c>
      <c r="H53" s="18" t="str">
        <f>IFERROR(VLOOKUP($D53,본공사입.출고현황!$B:$H,H$2080,0),0)</f>
        <v>ф10, 1ton=1,620.7m</v>
      </c>
      <c r="I53" s="56" t="str">
        <f>IFERROR(VLOOKUP($D53,본공사입.출고현황!$B:$H,I$2080,0),0)</f>
        <v>M</v>
      </c>
      <c r="J53" s="9">
        <v>3</v>
      </c>
      <c r="K53" s="9" t="s">
        <v>237</v>
      </c>
      <c r="L53" s="37">
        <v>30</v>
      </c>
      <c r="M53" s="64"/>
      <c r="N53" s="4" t="s">
        <v>261</v>
      </c>
    </row>
    <row r="54" spans="1:16" ht="24" customHeight="1">
      <c r="A54" s="8">
        <v>11</v>
      </c>
      <c r="B54" s="9">
        <v>11</v>
      </c>
      <c r="C54" s="46">
        <v>45669</v>
      </c>
      <c r="D54" s="9" t="s">
        <v>238</v>
      </c>
      <c r="E54" s="56" t="str">
        <f>IFERROR(VLOOKUP($D54,본공사입.출고현황!$B:$H,E$2080,0),0)</f>
        <v>Steel round bar</v>
      </c>
      <c r="F54" s="18" t="str">
        <f>IFERROR(VLOOKUP($D54,본공사입.출고현황!$B:$H,F$2080,0),0)</f>
        <v>Steel round bar(rebar)</v>
      </c>
      <c r="G54" s="18" t="str">
        <f>IFERROR(VLOOKUP($D54,본공사입.출고현황!$B:$H,G$2080,0),0)</f>
        <v>CCGG</v>
      </c>
      <c r="H54" s="18" t="str">
        <f>IFERROR(VLOOKUP($D54,본공사입.출고현황!$B:$H,H$2080,0),0)</f>
        <v>ф10, 1ton=1,620.7m</v>
      </c>
      <c r="I54" s="56" t="str">
        <f>IFERROR(VLOOKUP($D54,본공사입.출고현황!$B:$H,I$2080,0),0)</f>
        <v>M</v>
      </c>
      <c r="J54" s="9"/>
      <c r="K54" s="9" t="s">
        <v>245</v>
      </c>
      <c r="L54" s="37">
        <v>97</v>
      </c>
      <c r="M54" s="64" t="s">
        <v>246</v>
      </c>
      <c r="N54" s="4" t="s">
        <v>41</v>
      </c>
    </row>
    <row r="55" spans="1:16" s="1" customFormat="1" ht="24" customHeight="1">
      <c r="A55" s="8">
        <v>12</v>
      </c>
      <c r="B55" s="9">
        <v>12</v>
      </c>
      <c r="C55" s="46">
        <v>45669</v>
      </c>
      <c r="D55" s="10" t="s">
        <v>238</v>
      </c>
      <c r="E55" s="56" t="str">
        <f>IFERROR(VLOOKUP($D55,본공사입.출고현황!$B:$H,E$2080,0),0)</f>
        <v>Steel round bar</v>
      </c>
      <c r="F55" s="18" t="str">
        <f>IFERROR(VLOOKUP($D55,본공사입.출고현황!$B:$H,F$2080,0),0)</f>
        <v>Steel round bar(rebar)</v>
      </c>
      <c r="G55" s="18" t="str">
        <f>IFERROR(VLOOKUP($D55,본공사입.출고현황!$B:$H,G$2080,0),0)</f>
        <v>CCGG</v>
      </c>
      <c r="H55" s="18" t="str">
        <f>IFERROR(VLOOKUP($D55,본공사입.출고현황!$B:$H,H$2080,0),0)</f>
        <v>ф10, 1ton=1,620.7m</v>
      </c>
      <c r="I55" s="56" t="str">
        <f>IFERROR(VLOOKUP($D55,본공사입.출고현황!$B:$H,I$2080,0),0)</f>
        <v>M</v>
      </c>
      <c r="J55" s="10"/>
      <c r="K55" s="10" t="s">
        <v>245</v>
      </c>
      <c r="L55" s="37">
        <v>105</v>
      </c>
      <c r="M55" s="64" t="s">
        <v>246</v>
      </c>
      <c r="N55" s="6" t="s">
        <v>41</v>
      </c>
      <c r="P55" s="5"/>
    </row>
    <row r="56" spans="1:16" s="1" customFormat="1" ht="24" customHeight="1">
      <c r="A56" s="8">
        <v>13</v>
      </c>
      <c r="B56" s="9">
        <v>13</v>
      </c>
      <c r="C56" s="46">
        <v>45671</v>
      </c>
      <c r="D56" s="10" t="s">
        <v>238</v>
      </c>
      <c r="E56" s="56" t="str">
        <f>IFERROR(VLOOKUP($D56,본공사입.출고현황!$B:$H,E$2080,0),0)</f>
        <v>Steel round bar</v>
      </c>
      <c r="F56" s="18" t="str">
        <f>IFERROR(VLOOKUP($D56,본공사입.출고현황!$B:$H,F$2080,0),0)</f>
        <v>Steel round bar(rebar)</v>
      </c>
      <c r="G56" s="18" t="str">
        <f>IFERROR(VLOOKUP($D56,본공사입.출고현황!$B:$H,G$2080,0),0)</f>
        <v>CCGG</v>
      </c>
      <c r="H56" s="18" t="str">
        <f>IFERROR(VLOOKUP($D56,본공사입.출고현황!$B:$H,H$2080,0),0)</f>
        <v>ф10, 1ton=1,620.7m</v>
      </c>
      <c r="I56" s="56" t="str">
        <f>IFERROR(VLOOKUP($D56,본공사입.출고현황!$B:$H,I$2080,0),0)</f>
        <v>M</v>
      </c>
      <c r="J56" s="10">
        <v>1</v>
      </c>
      <c r="K56" s="10" t="s">
        <v>269</v>
      </c>
      <c r="L56" s="57">
        <v>100</v>
      </c>
      <c r="M56" s="81"/>
      <c r="N56" s="6"/>
      <c r="P56" s="5"/>
    </row>
    <row r="57" spans="1:16" s="1" customFormat="1" ht="24" customHeight="1">
      <c r="A57" s="8">
        <v>14</v>
      </c>
      <c r="B57" s="9">
        <v>14</v>
      </c>
      <c r="C57" s="46">
        <v>45673</v>
      </c>
      <c r="D57" s="10" t="s">
        <v>238</v>
      </c>
      <c r="E57" s="56" t="str">
        <f>IFERROR(VLOOKUP($D57,본공사입.출고현황!$B:$H,E$2080,0),0)</f>
        <v>Steel round bar</v>
      </c>
      <c r="F57" s="18" t="str">
        <f>IFERROR(VLOOKUP($D57,본공사입.출고현황!$B:$H,F$2080,0),0)</f>
        <v>Steel round bar(rebar)</v>
      </c>
      <c r="G57" s="18" t="str">
        <f>IFERROR(VLOOKUP($D57,본공사입.출고현황!$B:$H,G$2080,0),0)</f>
        <v>CCGG</v>
      </c>
      <c r="H57" s="18" t="str">
        <f>IFERROR(VLOOKUP($D57,본공사입.출고현황!$B:$H,H$2080,0),0)</f>
        <v>ф10, 1ton=1,620.7m</v>
      </c>
      <c r="I57" s="56" t="str">
        <f>IFERROR(VLOOKUP($D57,본공사입.출고현황!$B:$H,I$2080,0),0)</f>
        <v>M</v>
      </c>
      <c r="J57" s="10"/>
      <c r="K57" s="10"/>
      <c r="L57" s="57">
        <v>480</v>
      </c>
      <c r="M57" s="81"/>
      <c r="N57" s="6" t="s">
        <v>41</v>
      </c>
      <c r="P57" s="5"/>
    </row>
    <row r="58" spans="1:16" ht="24" customHeight="1">
      <c r="A58" s="8">
        <v>15</v>
      </c>
      <c r="B58" s="9">
        <v>15</v>
      </c>
      <c r="C58" s="46">
        <v>45674</v>
      </c>
      <c r="D58" s="10" t="s">
        <v>238</v>
      </c>
      <c r="E58" s="56" t="str">
        <f>IFERROR(VLOOKUP($D58,본공사입.출고현황!$B:$H,E$2080,0),0)</f>
        <v>Steel round bar</v>
      </c>
      <c r="F58" s="18" t="str">
        <f>IFERROR(VLOOKUP($D58,본공사입.출고현황!$B:$H,F$2080,0),0)</f>
        <v>Steel round bar(rebar)</v>
      </c>
      <c r="G58" s="18" t="str">
        <f>IFERROR(VLOOKUP($D58,본공사입.출고현황!$B:$H,G$2080,0),0)</f>
        <v>CCGG</v>
      </c>
      <c r="H58" s="18" t="str">
        <f>IFERROR(VLOOKUP($D58,본공사입.출고현황!$B:$H,H$2080,0),0)</f>
        <v>ф10, 1ton=1,620.7m</v>
      </c>
      <c r="I58" s="56" t="str">
        <f>IFERROR(VLOOKUP($D58,본공사입.출고현황!$B:$H,I$2080,0),0)</f>
        <v>M</v>
      </c>
      <c r="J58" s="9"/>
      <c r="K58" s="10"/>
      <c r="L58" s="37">
        <v>280</v>
      </c>
      <c r="M58" s="64"/>
      <c r="N58" s="6" t="s">
        <v>41</v>
      </c>
    </row>
    <row r="59" spans="1:16" ht="24" customHeight="1">
      <c r="A59" s="8">
        <v>16</v>
      </c>
      <c r="B59" s="9">
        <v>16</v>
      </c>
      <c r="C59" s="46">
        <v>45712</v>
      </c>
      <c r="D59" s="9" t="s">
        <v>180</v>
      </c>
      <c r="E59" s="56" t="str">
        <f>IFERROR(VLOOKUP($D59,본공사입.출고현황!$B:$H,E$2080,0),0)</f>
        <v>Ground</v>
      </c>
      <c r="F59" s="18" t="str">
        <f>IFERROR(VLOOKUP($D59,본공사입.출고현황!$B:$H,F$2080,0),0)</f>
        <v>Ground Cable  78SQ</v>
      </c>
      <c r="G59" s="18" t="str">
        <f>IFERROR(VLOOKUP($D59,본공사입.출고현황!$B:$H,G$2080,0),0)</f>
        <v xml:space="preserve">Ground Cable </v>
      </c>
      <c r="H59" s="18" t="str">
        <f>IFERROR(VLOOKUP($D59,본공사입.출고현황!$B:$H,H$2080,0),0)</f>
        <v>78SQ</v>
      </c>
      <c r="I59" s="56" t="str">
        <f>IFERROR(VLOOKUP($D59,본공사입.출고현황!$B:$H,I$2080,0),0)</f>
        <v>M</v>
      </c>
      <c r="J59" s="9">
        <v>4</v>
      </c>
      <c r="K59" s="9" t="s">
        <v>295</v>
      </c>
      <c r="L59" s="37">
        <v>505</v>
      </c>
      <c r="M59" s="64"/>
      <c r="N59" s="4" t="s">
        <v>296</v>
      </c>
    </row>
    <row r="60" spans="1:16" ht="24" customHeight="1">
      <c r="A60" s="8">
        <v>17</v>
      </c>
      <c r="B60" s="9">
        <v>17</v>
      </c>
      <c r="C60" s="46">
        <v>45712</v>
      </c>
      <c r="D60" s="9" t="s">
        <v>86</v>
      </c>
      <c r="E60" s="56" t="str">
        <f>IFERROR(VLOOKUP($D60,본공사입.출고현황!$B:$H,E$2080,0),0)</f>
        <v>Ground</v>
      </c>
      <c r="F60" s="18" t="str">
        <f>IFERROR(VLOOKUP($D60,본공사입.출고현황!$B:$H,F$2080,0),0)</f>
        <v>Cadweld Powder #115</v>
      </c>
      <c r="G60" s="18" t="str">
        <f>IFERROR(VLOOKUP($D60,본공사입.출고현황!$B:$H,G$2080,0),0)</f>
        <v>Cadweld Powder</v>
      </c>
      <c r="H60" s="18" t="str">
        <f>IFERROR(VLOOKUP($D60,본공사입.출고현황!$B:$H,H$2080,0),0)</f>
        <v>#115</v>
      </c>
      <c r="I60" s="56" t="str">
        <f>IFERROR(VLOOKUP($D60,본공사입.출고현황!$B:$H,I$2080,0),0)</f>
        <v>EA</v>
      </c>
      <c r="J60" s="9">
        <v>4</v>
      </c>
      <c r="K60" s="9" t="s">
        <v>295</v>
      </c>
      <c r="L60" s="37">
        <v>4</v>
      </c>
      <c r="M60" s="64"/>
      <c r="N60" s="4" t="s">
        <v>296</v>
      </c>
    </row>
    <row r="61" spans="1:16" ht="24" customHeight="1">
      <c r="A61" s="8">
        <v>18</v>
      </c>
      <c r="B61" s="9">
        <v>18</v>
      </c>
      <c r="C61" s="46">
        <v>45712</v>
      </c>
      <c r="D61" s="9" t="s">
        <v>94</v>
      </c>
      <c r="E61" s="56" t="str">
        <f>IFERROR(VLOOKUP($D61,본공사입.출고현황!$B:$H,E$2080,0),0)</f>
        <v>Ground</v>
      </c>
      <c r="F61" s="18" t="str">
        <f>IFERROR(VLOOKUP($D61,본공사입.출고현황!$B:$H,F$2080,0),0)</f>
        <v>Cadweld Powder #200</v>
      </c>
      <c r="G61" s="18" t="str">
        <f>IFERROR(VLOOKUP($D61,본공사입.출고현황!$B:$H,G$2080,0),0)</f>
        <v>Cadweld Powder</v>
      </c>
      <c r="H61" s="18" t="str">
        <f>IFERROR(VLOOKUP($D61,본공사입.출고현황!$B:$H,H$2080,0),0)</f>
        <v>#200</v>
      </c>
      <c r="I61" s="56" t="str">
        <f>IFERROR(VLOOKUP($D61,본공사입.출고현황!$B:$H,I$2080,0),0)</f>
        <v>EA</v>
      </c>
      <c r="J61" s="9">
        <v>4</v>
      </c>
      <c r="K61" s="9" t="s">
        <v>295</v>
      </c>
      <c r="L61" s="37">
        <v>32</v>
      </c>
      <c r="M61" s="64"/>
      <c r="N61" s="4" t="s">
        <v>296</v>
      </c>
    </row>
    <row r="62" spans="1:16" ht="24" customHeight="1">
      <c r="A62" s="8">
        <v>19</v>
      </c>
      <c r="B62" s="9">
        <v>19</v>
      </c>
      <c r="C62" s="46">
        <v>45712</v>
      </c>
      <c r="D62" s="9" t="s">
        <v>109</v>
      </c>
      <c r="E62" s="56" t="str">
        <f>IFERROR(VLOOKUP($D62,본공사입.출고현황!$B:$H,E$2080,0),0)</f>
        <v>Ground</v>
      </c>
      <c r="F62" s="18" t="str">
        <f>IFERROR(VLOOKUP($D62,본공사입.출고현황!$B:$H,F$2080,0),0)</f>
        <v xml:space="preserve">Zinc Spray </v>
      </c>
      <c r="G62" s="18" t="str">
        <f>IFERROR(VLOOKUP($D62,본공사입.출고현황!$B:$H,G$2080,0),0)</f>
        <v>Zinc Spray</v>
      </c>
      <c r="H62" s="18">
        <f>IFERROR(VLOOKUP($D62,본공사입.출고현황!$B:$H,H$2080,0),0)</f>
        <v>0</v>
      </c>
      <c r="I62" s="56" t="str">
        <f>IFERROR(VLOOKUP($D62,본공사입.출고현황!$B:$H,I$2080,0),0)</f>
        <v>EA</v>
      </c>
      <c r="J62" s="9">
        <v>4</v>
      </c>
      <c r="K62" s="9" t="s">
        <v>295</v>
      </c>
      <c r="L62" s="37">
        <v>4</v>
      </c>
      <c r="M62" s="64"/>
      <c r="N62" s="4" t="s">
        <v>296</v>
      </c>
    </row>
    <row r="63" spans="1:16" ht="24" customHeight="1">
      <c r="A63" s="8">
        <v>20</v>
      </c>
      <c r="B63" s="9">
        <v>20</v>
      </c>
      <c r="C63" s="46">
        <v>45712</v>
      </c>
      <c r="D63" s="9" t="s">
        <v>111</v>
      </c>
      <c r="E63" s="56" t="str">
        <f>IFERROR(VLOOKUP($D63,본공사입.출고현황!$B:$H,E$2080,0),0)</f>
        <v>Ground Conduit</v>
      </c>
      <c r="F63" s="18" t="str">
        <f>IFERROR(VLOOKUP($D63,본공사입.출고현황!$B:$H,F$2080,0),0)</f>
        <v>Flexible Conduit 2"</v>
      </c>
      <c r="G63" s="18" t="str">
        <f>IFERROR(VLOOKUP($D63,본공사입.출고현황!$B:$H,G$2080,0),0)</f>
        <v>Ground Conduit</v>
      </c>
      <c r="H63" s="18" t="str">
        <f>IFERROR(VLOOKUP($D63,본공사입.출고현황!$B:$H,H$2080,0),0)</f>
        <v>2"</v>
      </c>
      <c r="I63" s="56" t="str">
        <f>IFERROR(VLOOKUP($D63,본공사입.출고현황!$B:$H,I$2080,0),0)</f>
        <v>M</v>
      </c>
      <c r="J63" s="9">
        <v>4</v>
      </c>
      <c r="K63" s="9" t="s">
        <v>295</v>
      </c>
      <c r="L63" s="37">
        <v>14</v>
      </c>
      <c r="M63" s="64"/>
      <c r="N63" s="4" t="s">
        <v>296</v>
      </c>
    </row>
    <row r="64" spans="1:16" ht="24" customHeight="1">
      <c r="A64" s="8">
        <v>21</v>
      </c>
      <c r="B64" s="9">
        <v>21</v>
      </c>
      <c r="C64" s="46">
        <v>45714</v>
      </c>
      <c r="D64" s="9" t="s">
        <v>238</v>
      </c>
      <c r="E64" s="56" t="str">
        <f>IFERROR(VLOOKUP($D64,본공사입.출고현황!$B:$H,E$2080,0),0)</f>
        <v>Steel round bar</v>
      </c>
      <c r="F64" s="18" t="str">
        <f>IFERROR(VLOOKUP($D64,본공사입.출고현황!$B:$H,F$2080,0),0)</f>
        <v>Steel round bar(rebar)</v>
      </c>
      <c r="G64" s="18" t="str">
        <f>IFERROR(VLOOKUP($D64,본공사입.출고현황!$B:$H,G$2080,0),0)</f>
        <v>CCGG</v>
      </c>
      <c r="H64" s="18" t="str">
        <f>IFERROR(VLOOKUP($D64,본공사입.출고현황!$B:$H,H$2080,0),0)</f>
        <v>ф10, 1ton=1,620.7m</v>
      </c>
      <c r="I64" s="56" t="str">
        <f>IFERROR(VLOOKUP($D64,본공사입.출고현황!$B:$H,I$2080,0),0)</f>
        <v>M</v>
      </c>
      <c r="J64" s="9">
        <v>0</v>
      </c>
      <c r="K64" s="9"/>
      <c r="L64" s="37">
        <v>150</v>
      </c>
      <c r="M64" s="64" t="s">
        <v>246</v>
      </c>
      <c r="N64" s="4"/>
    </row>
    <row r="65" spans="1:14" ht="24" customHeight="1">
      <c r="A65" s="8">
        <v>22</v>
      </c>
      <c r="B65" s="9">
        <v>22</v>
      </c>
      <c r="C65" s="46">
        <v>45729</v>
      </c>
      <c r="D65" s="9" t="s">
        <v>238</v>
      </c>
      <c r="E65" s="56" t="str">
        <f>IFERROR(VLOOKUP($D65,본공사입.출고현황!$B:$H,E$2080,0),0)</f>
        <v>Steel round bar</v>
      </c>
      <c r="F65" s="18" t="str">
        <f>IFERROR(VLOOKUP($D65,본공사입.출고현황!$B:$H,F$2080,0),0)</f>
        <v>Steel round bar(rebar)</v>
      </c>
      <c r="G65" s="18" t="str">
        <f>IFERROR(VLOOKUP($D65,본공사입.출고현황!$B:$H,G$2080,0),0)</f>
        <v>CCGG</v>
      </c>
      <c r="H65" s="18" t="str">
        <f>IFERROR(VLOOKUP($D65,본공사입.출고현황!$B:$H,H$2080,0),0)</f>
        <v>ф10, 1ton=1,620.7m</v>
      </c>
      <c r="I65" s="56" t="str">
        <f>IFERROR(VLOOKUP($D65,본공사입.출고현황!$B:$H,I$2080,0),0)</f>
        <v>M</v>
      </c>
      <c r="J65" s="9">
        <v>4</v>
      </c>
      <c r="K65" s="9" t="s">
        <v>351</v>
      </c>
      <c r="L65" s="37">
        <v>300</v>
      </c>
      <c r="M65" s="64" t="s">
        <v>246</v>
      </c>
      <c r="N65" s="4"/>
    </row>
    <row r="66" spans="1:14" ht="24" customHeight="1">
      <c r="A66" s="8">
        <v>23</v>
      </c>
      <c r="B66" s="9">
        <v>23</v>
      </c>
      <c r="C66" s="46">
        <v>45731</v>
      </c>
      <c r="D66" s="9" t="s">
        <v>238</v>
      </c>
      <c r="E66" s="56" t="str">
        <f>IFERROR(VLOOKUP($D66,본공사입.출고현황!$B:$H,E$2080,0),0)</f>
        <v>Steel round bar</v>
      </c>
      <c r="F66" s="18" t="str">
        <f>IFERROR(VLOOKUP($D66,본공사입.출고현황!$B:$H,F$2080,0),0)</f>
        <v>Steel round bar(rebar)</v>
      </c>
      <c r="G66" s="18" t="str">
        <f>IFERROR(VLOOKUP($D66,본공사입.출고현황!$B:$H,G$2080,0),0)</f>
        <v>CCGG</v>
      </c>
      <c r="H66" s="18" t="str">
        <f>IFERROR(VLOOKUP($D66,본공사입.출고현황!$B:$H,H$2080,0),0)</f>
        <v>ф10, 1ton=1,620.7m</v>
      </c>
      <c r="I66" s="56" t="str">
        <f>IFERROR(VLOOKUP($D66,본공사입.출고현황!$B:$H,I$2080,0),0)</f>
        <v>M</v>
      </c>
      <c r="J66" s="9">
        <v>0</v>
      </c>
      <c r="K66" s="9"/>
      <c r="L66" s="37">
        <v>200</v>
      </c>
      <c r="M66" s="64" t="s">
        <v>246</v>
      </c>
      <c r="N66" s="4"/>
    </row>
    <row r="67" spans="1:14" ht="24" customHeight="1">
      <c r="A67" s="8">
        <v>24</v>
      </c>
      <c r="B67" s="9">
        <v>24</v>
      </c>
      <c r="C67" s="46">
        <v>45732</v>
      </c>
      <c r="D67" s="9" t="s">
        <v>238</v>
      </c>
      <c r="E67" s="56" t="str">
        <f>IFERROR(VLOOKUP($D67,본공사입.출고현황!$B:$H,E$2080,0),0)</f>
        <v>Steel round bar</v>
      </c>
      <c r="F67" s="18" t="str">
        <f>IFERROR(VLOOKUP($D67,본공사입.출고현황!$B:$H,F$2080,0),0)</f>
        <v>Steel round bar(rebar)</v>
      </c>
      <c r="G67" s="18" t="str">
        <f>IFERROR(VLOOKUP($D67,본공사입.출고현황!$B:$H,G$2080,0),0)</f>
        <v>CCGG</v>
      </c>
      <c r="H67" s="18" t="str">
        <f>IFERROR(VLOOKUP($D67,본공사입.출고현황!$B:$H,H$2080,0),0)</f>
        <v>ф10, 1ton=1,620.7m</v>
      </c>
      <c r="I67" s="56" t="str">
        <f>IFERROR(VLOOKUP($D67,본공사입.출고현황!$B:$H,I$2080,0),0)</f>
        <v>M</v>
      </c>
      <c r="J67" s="9">
        <v>1</v>
      </c>
      <c r="K67" s="9" t="s">
        <v>352</v>
      </c>
      <c r="L67" s="37">
        <v>360</v>
      </c>
      <c r="M67" s="64" t="s">
        <v>246</v>
      </c>
      <c r="N67" s="4"/>
    </row>
    <row r="68" spans="1:14" ht="24" customHeight="1">
      <c r="A68" s="8">
        <v>25</v>
      </c>
      <c r="B68" s="9">
        <v>25</v>
      </c>
      <c r="C68" s="46">
        <v>45733</v>
      </c>
      <c r="D68" s="9" t="s">
        <v>238</v>
      </c>
      <c r="E68" s="56" t="str">
        <f>IFERROR(VLOOKUP($D68,본공사입.출고현황!$B:$H,E$2080,0),0)</f>
        <v>Steel round bar</v>
      </c>
      <c r="F68" s="18" t="str">
        <f>IFERROR(VLOOKUP($D68,본공사입.출고현황!$B:$H,F$2080,0),0)</f>
        <v>Steel round bar(rebar)</v>
      </c>
      <c r="G68" s="18" t="str">
        <f>IFERROR(VLOOKUP($D68,본공사입.출고현황!$B:$H,G$2080,0),0)</f>
        <v>CCGG</v>
      </c>
      <c r="H68" s="18" t="str">
        <f>IFERROR(VLOOKUP($D68,본공사입.출고현황!$B:$H,H$2080,0),0)</f>
        <v>ф10, 1ton=1,620.7m</v>
      </c>
      <c r="I68" s="56" t="str">
        <f>IFERROR(VLOOKUP($D68,본공사입.출고현황!$B:$H,I$2080,0),0)</f>
        <v>M</v>
      </c>
      <c r="J68" s="9">
        <v>1</v>
      </c>
      <c r="K68" s="9" t="s">
        <v>352</v>
      </c>
      <c r="L68" s="37">
        <v>410</v>
      </c>
      <c r="M68" s="64" t="s">
        <v>246</v>
      </c>
      <c r="N68" s="4"/>
    </row>
    <row r="69" spans="1:14" ht="24" customHeight="1">
      <c r="A69" s="8">
        <v>26</v>
      </c>
      <c r="B69" s="9">
        <v>26</v>
      </c>
      <c r="C69" s="46">
        <v>45734</v>
      </c>
      <c r="D69" s="9" t="s">
        <v>238</v>
      </c>
      <c r="E69" s="56" t="str">
        <f>IFERROR(VLOOKUP($D69,본공사입.출고현황!$B:$H,E$2080,0),0)</f>
        <v>Steel round bar</v>
      </c>
      <c r="F69" s="18" t="str">
        <f>IFERROR(VLOOKUP($D69,본공사입.출고현황!$B:$H,F$2080,0),0)</f>
        <v>Steel round bar(rebar)</v>
      </c>
      <c r="G69" s="18" t="str">
        <f>IFERROR(VLOOKUP($D69,본공사입.출고현황!$B:$H,G$2080,0),0)</f>
        <v>CCGG</v>
      </c>
      <c r="H69" s="18" t="str">
        <f>IFERROR(VLOOKUP($D69,본공사입.출고현황!$B:$H,H$2080,0),0)</f>
        <v>ф10, 1ton=1,620.7m</v>
      </c>
      <c r="I69" s="56" t="str">
        <f>IFERROR(VLOOKUP($D69,본공사입.출고현황!$B:$H,I$2080,0),0)</f>
        <v>M</v>
      </c>
      <c r="J69" s="9">
        <v>1</v>
      </c>
      <c r="K69" s="9" t="s">
        <v>352</v>
      </c>
      <c r="L69" s="37">
        <v>60</v>
      </c>
      <c r="M69" s="64" t="s">
        <v>246</v>
      </c>
      <c r="N69" s="4"/>
    </row>
    <row r="70" spans="1:14" ht="24" customHeight="1">
      <c r="A70" s="8">
        <v>27</v>
      </c>
      <c r="B70" s="9">
        <v>27</v>
      </c>
      <c r="C70" s="46">
        <v>45735</v>
      </c>
      <c r="D70" s="9" t="s">
        <v>238</v>
      </c>
      <c r="E70" s="56" t="str">
        <f>IFERROR(VLOOKUP($D70,본공사입.출고현황!$B:$H,E$2080,0),0)</f>
        <v>Steel round bar</v>
      </c>
      <c r="F70" s="18" t="str">
        <f>IFERROR(VLOOKUP($D70,본공사입.출고현황!$B:$H,F$2080,0),0)</f>
        <v>Steel round bar(rebar)</v>
      </c>
      <c r="G70" s="18" t="str">
        <f>IFERROR(VLOOKUP($D70,본공사입.출고현황!$B:$H,G$2080,0),0)</f>
        <v>CCGG</v>
      </c>
      <c r="H70" s="18" t="str">
        <f>IFERROR(VLOOKUP($D70,본공사입.출고현황!$B:$H,H$2080,0),0)</f>
        <v>ф10, 1ton=1,620.7m</v>
      </c>
      <c r="I70" s="56" t="str">
        <f>IFERROR(VLOOKUP($D70,본공사입.출고현황!$B:$H,I$2080,0),0)</f>
        <v>M</v>
      </c>
      <c r="J70" s="9">
        <v>0</v>
      </c>
      <c r="K70" s="9" t="s">
        <v>245</v>
      </c>
      <c r="L70" s="37">
        <v>400</v>
      </c>
      <c r="M70" s="64" t="s">
        <v>246</v>
      </c>
      <c r="N70" s="4" t="s">
        <v>41</v>
      </c>
    </row>
    <row r="71" spans="1:14" ht="24" customHeight="1">
      <c r="A71" s="8">
        <v>28</v>
      </c>
      <c r="B71" s="9">
        <v>28</v>
      </c>
      <c r="C71" s="46">
        <v>45735</v>
      </c>
      <c r="D71" s="9" t="s">
        <v>162</v>
      </c>
      <c r="E71" s="56" t="str">
        <f>IFERROR(VLOOKUP($D71,본공사입.출고현황!$B:$H,E$2080,0),0)</f>
        <v>Sup't</v>
      </c>
      <c r="F71" s="18" t="str">
        <f>IFERROR(VLOOKUP($D71,본공사입.출고현황!$B:$H,F$2080,0),0)</f>
        <v>Angle 50x50x5</v>
      </c>
      <c r="G71" s="18" t="str">
        <f>IFERROR(VLOOKUP($D71,본공사입.출고현황!$B:$H,G$2080,0),0)</f>
        <v>Angle</v>
      </c>
      <c r="H71" s="18" t="str">
        <f>IFERROR(VLOOKUP($D71,본공사입.출고현황!$B:$H,H$2080,0),0)</f>
        <v>50*50*5</v>
      </c>
      <c r="I71" s="56" t="str">
        <f>IFERROR(VLOOKUP($D71,본공사입.출고현황!$B:$H,I$2080,0),0)</f>
        <v>M</v>
      </c>
      <c r="J71" s="9">
        <v>0</v>
      </c>
      <c r="K71" s="9" t="s">
        <v>245</v>
      </c>
      <c r="L71" s="37"/>
      <c r="M71" s="64" t="s">
        <v>243</v>
      </c>
      <c r="N71" s="4" t="s">
        <v>41</v>
      </c>
    </row>
    <row r="72" spans="1:14" ht="24" customHeight="1">
      <c r="A72" s="8">
        <v>29</v>
      </c>
      <c r="B72" s="9">
        <v>29</v>
      </c>
      <c r="C72" s="46">
        <v>45739</v>
      </c>
      <c r="D72" s="9" t="s">
        <v>238</v>
      </c>
      <c r="E72" s="56" t="str">
        <f>IFERROR(VLOOKUP($D72,본공사입.출고현황!$B:$H,E$2080,0),0)</f>
        <v>Steel round bar</v>
      </c>
      <c r="F72" s="18" t="str">
        <f>IFERROR(VLOOKUP($D72,본공사입.출고현황!$B:$H,F$2080,0),0)</f>
        <v>Steel round bar(rebar)</v>
      </c>
      <c r="G72" s="18" t="str">
        <f>IFERROR(VLOOKUP($D72,본공사입.출고현황!$B:$H,G$2080,0),0)</f>
        <v>CCGG</v>
      </c>
      <c r="H72" s="18" t="str">
        <f>IFERROR(VLOOKUP($D72,본공사입.출고현황!$B:$H,H$2080,0),0)</f>
        <v>ф10, 1ton=1,620.7m</v>
      </c>
      <c r="I72" s="56" t="str">
        <f>IFERROR(VLOOKUP($D72,본공사입.출고현황!$B:$H,I$2080,0),0)</f>
        <v>M</v>
      </c>
      <c r="J72" s="9">
        <v>2</v>
      </c>
      <c r="K72" s="9" t="s">
        <v>241</v>
      </c>
      <c r="L72" s="37">
        <v>300</v>
      </c>
      <c r="M72" s="64" t="s">
        <v>243</v>
      </c>
      <c r="N72" s="4"/>
    </row>
    <row r="73" spans="1:14" ht="24" customHeight="1">
      <c r="A73" s="8">
        <v>30</v>
      </c>
      <c r="B73" s="9">
        <v>30</v>
      </c>
      <c r="C73" s="46">
        <v>45741</v>
      </c>
      <c r="D73" s="9" t="s">
        <v>238</v>
      </c>
      <c r="E73" s="56" t="str">
        <f>IFERROR(VLOOKUP($D73,본공사입.출고현황!$B:$H,E$2080,0),0)</f>
        <v>Steel round bar</v>
      </c>
      <c r="F73" s="18" t="str">
        <f>IFERROR(VLOOKUP($D73,본공사입.출고현황!$B:$H,F$2080,0),0)</f>
        <v>Steel round bar(rebar)</v>
      </c>
      <c r="G73" s="18" t="str">
        <f>IFERROR(VLOOKUP($D73,본공사입.출고현황!$B:$H,G$2080,0),0)</f>
        <v>CCGG</v>
      </c>
      <c r="H73" s="18" t="str">
        <f>IFERROR(VLOOKUP($D73,본공사입.출고현황!$B:$H,H$2080,0),0)</f>
        <v>ф10, 1ton=1,620.7m</v>
      </c>
      <c r="I73" s="56" t="str">
        <f>IFERROR(VLOOKUP($D73,본공사입.출고현황!$B:$H,I$2080,0),0)</f>
        <v>M</v>
      </c>
      <c r="J73" s="9">
        <v>4</v>
      </c>
      <c r="K73" s="9" t="s">
        <v>351</v>
      </c>
      <c r="L73" s="37">
        <v>400</v>
      </c>
      <c r="M73" s="64" t="s">
        <v>243</v>
      </c>
      <c r="N73" s="4"/>
    </row>
    <row r="74" spans="1:14" ht="24" customHeight="1">
      <c r="A74" s="8">
        <v>31</v>
      </c>
      <c r="B74" s="9">
        <v>31</v>
      </c>
      <c r="C74" s="46">
        <v>45742</v>
      </c>
      <c r="D74" s="9" t="s">
        <v>238</v>
      </c>
      <c r="E74" s="56" t="str">
        <f>IFERROR(VLOOKUP($D74,본공사입.출고현황!$B:$H,E$2080,0),0)</f>
        <v>Steel round bar</v>
      </c>
      <c r="F74" s="18" t="str">
        <f>IFERROR(VLOOKUP($D74,본공사입.출고현황!$B:$H,F$2080,0),0)</f>
        <v>Steel round bar(rebar)</v>
      </c>
      <c r="G74" s="18" t="str">
        <f>IFERROR(VLOOKUP($D74,본공사입.출고현황!$B:$H,G$2080,0),0)</f>
        <v>CCGG</v>
      </c>
      <c r="H74" s="18" t="str">
        <f>IFERROR(VLOOKUP($D74,본공사입.출고현황!$B:$H,H$2080,0),0)</f>
        <v>ф10, 1ton=1,620.7m</v>
      </c>
      <c r="I74" s="56" t="str">
        <f>IFERROR(VLOOKUP($D74,본공사입.출고현황!$B:$H,I$2080,0),0)</f>
        <v>M</v>
      </c>
      <c r="J74" s="9"/>
      <c r="K74" s="9" t="s">
        <v>245</v>
      </c>
      <c r="L74" s="37">
        <v>140</v>
      </c>
      <c r="M74" s="64" t="s">
        <v>243</v>
      </c>
      <c r="N74" s="4" t="s">
        <v>41</v>
      </c>
    </row>
    <row r="75" spans="1:14" ht="24" customHeight="1">
      <c r="A75" s="8">
        <v>32</v>
      </c>
      <c r="B75" s="9">
        <v>32</v>
      </c>
      <c r="C75" s="46">
        <v>45743</v>
      </c>
      <c r="D75" s="9" t="s">
        <v>238</v>
      </c>
      <c r="E75" s="56" t="str">
        <f>IFERROR(VLOOKUP($D75,본공사입.출고현황!$B:$H,E$2080,0),0)</f>
        <v>Steel round bar</v>
      </c>
      <c r="F75" s="18" t="str">
        <f>IFERROR(VLOOKUP($D75,본공사입.출고현황!$B:$H,F$2080,0),0)</f>
        <v>Steel round bar(rebar)</v>
      </c>
      <c r="G75" s="18" t="str">
        <f>IFERROR(VLOOKUP($D75,본공사입.출고현황!$B:$H,G$2080,0),0)</f>
        <v>CCGG</v>
      </c>
      <c r="H75" s="18" t="str">
        <f>IFERROR(VLOOKUP($D75,본공사입.출고현황!$B:$H,H$2080,0),0)</f>
        <v>ф10, 1ton=1,620.7m</v>
      </c>
      <c r="I75" s="56" t="str">
        <f>IFERROR(VLOOKUP($D75,본공사입.출고현황!$B:$H,I$2080,0),0)</f>
        <v>M</v>
      </c>
      <c r="J75" s="9"/>
      <c r="K75" s="9" t="s">
        <v>245</v>
      </c>
      <c r="L75" s="37">
        <v>175</v>
      </c>
      <c r="M75" s="64" t="s">
        <v>243</v>
      </c>
      <c r="N75" s="4" t="s">
        <v>41</v>
      </c>
    </row>
    <row r="76" spans="1:14" ht="24" customHeight="1">
      <c r="A76" s="8">
        <v>33</v>
      </c>
      <c r="B76" s="9">
        <v>33</v>
      </c>
      <c r="C76" s="46">
        <v>45743</v>
      </c>
      <c r="D76" s="9" t="s">
        <v>61</v>
      </c>
      <c r="E76" s="56" t="str">
        <f>IFERROR(VLOOKUP($D76,본공사입.출고현황!$B:$H,E$2080,0),0)</f>
        <v>Angle</v>
      </c>
      <c r="F76" s="18" t="str">
        <f>IFERROR(VLOOKUP($D76,본공사입.출고현황!$B:$H,F$2080,0),0)</f>
        <v>Angle 100x100x10</v>
      </c>
      <c r="G76" s="18" t="str">
        <f>IFERROR(VLOOKUP($D76,본공사입.출고현황!$B:$H,G$2080,0),0)</f>
        <v>CCGG</v>
      </c>
      <c r="H76" s="18" t="str">
        <f>IFERROR(VLOOKUP($D76,본공사입.출고현황!$B:$H,H$2080,0),0)</f>
        <v>100x100x10 (12m)</v>
      </c>
      <c r="I76" s="56" t="str">
        <f>IFERROR(VLOOKUP($D76,본공사입.출고현황!$B:$H,I$2080,0),0)</f>
        <v>M</v>
      </c>
      <c r="J76" s="9">
        <v>2</v>
      </c>
      <c r="K76" s="9" t="s">
        <v>241</v>
      </c>
      <c r="L76" s="37">
        <v>5</v>
      </c>
      <c r="M76" s="64" t="s">
        <v>243</v>
      </c>
      <c r="N76" s="4"/>
    </row>
    <row r="77" spans="1:14" ht="24" customHeight="1">
      <c r="A77" s="8">
        <v>34</v>
      </c>
      <c r="B77" s="9">
        <v>34</v>
      </c>
      <c r="C77" s="46">
        <v>45743</v>
      </c>
      <c r="D77" s="9" t="s">
        <v>162</v>
      </c>
      <c r="E77" s="56" t="str">
        <f>IFERROR(VLOOKUP($D77,본공사입.출고현황!$B:$H,E$2080,0),0)</f>
        <v>Sup't</v>
      </c>
      <c r="F77" s="18" t="str">
        <f>IFERROR(VLOOKUP($D77,본공사입.출고현황!$B:$H,F$2080,0),0)</f>
        <v>Angle 50x50x5</v>
      </c>
      <c r="G77" s="18" t="str">
        <f>IFERROR(VLOOKUP($D77,본공사입.출고현황!$B:$H,G$2080,0),0)</f>
        <v>Angle</v>
      </c>
      <c r="H77" s="18" t="str">
        <f>IFERROR(VLOOKUP($D77,본공사입.출고현황!$B:$H,H$2080,0),0)</f>
        <v>50*50*5</v>
      </c>
      <c r="I77" s="56" t="str">
        <f>IFERROR(VLOOKUP($D77,본공사입.출고현황!$B:$H,I$2080,0),0)</f>
        <v>M</v>
      </c>
      <c r="J77" s="9">
        <v>4</v>
      </c>
      <c r="K77" s="9" t="s">
        <v>351</v>
      </c>
      <c r="L77" s="37">
        <v>6</v>
      </c>
      <c r="M77" s="64" t="s">
        <v>243</v>
      </c>
      <c r="N77" s="42"/>
    </row>
    <row r="78" spans="1:14" ht="24" customHeight="1">
      <c r="A78" s="8">
        <v>35</v>
      </c>
      <c r="B78" s="9">
        <v>35</v>
      </c>
      <c r="C78" s="46">
        <v>45743</v>
      </c>
      <c r="D78" s="9" t="s">
        <v>180</v>
      </c>
      <c r="E78" s="56" t="str">
        <f>IFERROR(VLOOKUP($D78,본공사입.출고현황!$B:$H,E$2080,0),0)</f>
        <v>Ground</v>
      </c>
      <c r="F78" s="18" t="str">
        <f>IFERROR(VLOOKUP($D78,본공사입.출고현황!$B:$H,F$2080,0),0)</f>
        <v>Ground Cable  78SQ</v>
      </c>
      <c r="G78" s="18" t="str">
        <f>IFERROR(VLOOKUP($D78,본공사입.출고현황!$B:$H,G$2080,0),0)</f>
        <v xml:space="preserve">Ground Cable </v>
      </c>
      <c r="H78" s="18" t="str">
        <f>IFERROR(VLOOKUP($D78,본공사입.출고현황!$B:$H,H$2080,0),0)</f>
        <v>78SQ</v>
      </c>
      <c r="I78" s="56" t="str">
        <f>IFERROR(VLOOKUP($D78,본공사입.출고현황!$B:$H,I$2080,0),0)</f>
        <v>M</v>
      </c>
      <c r="J78" s="9">
        <v>4</v>
      </c>
      <c r="K78" s="9" t="s">
        <v>351</v>
      </c>
      <c r="L78" s="37">
        <v>100</v>
      </c>
      <c r="M78" s="64"/>
      <c r="N78" s="42"/>
    </row>
    <row r="79" spans="1:14" ht="24" customHeight="1">
      <c r="A79" s="8">
        <v>36</v>
      </c>
      <c r="B79" s="9">
        <v>36</v>
      </c>
      <c r="C79" s="46">
        <v>45743</v>
      </c>
      <c r="D79" s="9" t="s">
        <v>94</v>
      </c>
      <c r="E79" s="56" t="str">
        <f>IFERROR(VLOOKUP($D79,본공사입.출고현황!$B:$H,E$2080,0),0)</f>
        <v>Ground</v>
      </c>
      <c r="F79" s="18" t="str">
        <f>IFERROR(VLOOKUP($D79,본공사입.출고현황!$B:$H,F$2080,0),0)</f>
        <v>Cadweld Powder #200</v>
      </c>
      <c r="G79" s="18" t="str">
        <f>IFERROR(VLOOKUP($D79,본공사입.출고현황!$B:$H,G$2080,0),0)</f>
        <v>Cadweld Powder</v>
      </c>
      <c r="H79" s="18" t="str">
        <f>IFERROR(VLOOKUP($D79,본공사입.출고현황!$B:$H,H$2080,0),0)</f>
        <v>#200</v>
      </c>
      <c r="I79" s="56" t="str">
        <f>IFERROR(VLOOKUP($D79,본공사입.출고현황!$B:$H,I$2080,0),0)</f>
        <v>EA</v>
      </c>
      <c r="J79" s="9">
        <v>4</v>
      </c>
      <c r="K79" s="9" t="s">
        <v>351</v>
      </c>
      <c r="L79" s="37">
        <v>20</v>
      </c>
      <c r="M79" s="64"/>
      <c r="N79" s="42"/>
    </row>
    <row r="80" spans="1:14" ht="24" customHeight="1">
      <c r="A80" s="8">
        <v>37</v>
      </c>
      <c r="B80" s="9">
        <v>37</v>
      </c>
      <c r="C80" s="46">
        <v>45755</v>
      </c>
      <c r="D80" s="9" t="s">
        <v>180</v>
      </c>
      <c r="E80" s="56" t="str">
        <f>IFERROR(VLOOKUP($D80,본공사입.출고현황!$B:$H,E$2080,0),0)</f>
        <v>Ground</v>
      </c>
      <c r="F80" s="18" t="str">
        <f>IFERROR(VLOOKUP($D80,본공사입.출고현황!$B:$H,F$2080,0),0)</f>
        <v>Ground Cable  78SQ</v>
      </c>
      <c r="G80" s="18" t="str">
        <f>IFERROR(VLOOKUP($D80,본공사입.출고현황!$B:$H,G$2080,0),0)</f>
        <v xml:space="preserve">Ground Cable </v>
      </c>
      <c r="H80" s="18" t="str">
        <f>IFERROR(VLOOKUP($D80,본공사입.출고현황!$B:$H,H$2080,0),0)</f>
        <v>78SQ</v>
      </c>
      <c r="I80" s="56" t="str">
        <f>IFERROR(VLOOKUP($D80,본공사입.출고현황!$B:$H,I$2080,0),0)</f>
        <v>M</v>
      </c>
      <c r="J80" s="9"/>
      <c r="K80" s="9"/>
      <c r="L80" s="37">
        <v>60</v>
      </c>
      <c r="M80" s="64"/>
      <c r="N80" s="42"/>
    </row>
    <row r="81" spans="1:16" ht="24" customHeight="1">
      <c r="A81" s="8">
        <v>38</v>
      </c>
      <c r="B81" s="9">
        <v>38</v>
      </c>
      <c r="C81" s="46">
        <v>45756</v>
      </c>
      <c r="D81" s="9" t="s">
        <v>180</v>
      </c>
      <c r="E81" s="56" t="str">
        <f>IFERROR(VLOOKUP($D81,본공사입.출고현황!$B:$H,E$2080,0),0)</f>
        <v>Ground</v>
      </c>
      <c r="F81" s="18" t="str">
        <f>IFERROR(VLOOKUP($D81,본공사입.출고현황!$B:$H,F$2080,0),0)</f>
        <v>Ground Cable  78SQ</v>
      </c>
      <c r="G81" s="18" t="str">
        <f>IFERROR(VLOOKUP($D81,본공사입.출고현황!$B:$H,G$2080,0),0)</f>
        <v xml:space="preserve">Ground Cable </v>
      </c>
      <c r="H81" s="18" t="str">
        <f>IFERROR(VLOOKUP($D81,본공사입.출고현황!$B:$H,H$2080,0),0)</f>
        <v>78SQ</v>
      </c>
      <c r="I81" s="56" t="str">
        <f>IFERROR(VLOOKUP($D81,본공사입.출고현황!$B:$H,I$2080,0),0)</f>
        <v>M</v>
      </c>
      <c r="J81" s="9"/>
      <c r="K81" s="9"/>
      <c r="L81" s="37">
        <v>60</v>
      </c>
      <c r="M81" s="64"/>
      <c r="N81" s="42"/>
    </row>
    <row r="82" spans="1:16" ht="24" customHeight="1">
      <c r="A82" s="8">
        <v>39</v>
      </c>
      <c r="B82" s="9">
        <v>39</v>
      </c>
      <c r="C82" s="46">
        <v>45759</v>
      </c>
      <c r="D82" s="9" t="s">
        <v>238</v>
      </c>
      <c r="E82" s="56" t="str">
        <f>IFERROR(VLOOKUP($D82,본공사입.출고현황!$B:$H,E$2080,0),0)</f>
        <v>Steel round bar</v>
      </c>
      <c r="F82" s="18" t="str">
        <f>IFERROR(VLOOKUP($D82,본공사입.출고현황!$B:$H,F$2080,0),0)</f>
        <v>Steel round bar(rebar)</v>
      </c>
      <c r="G82" s="18" t="str">
        <f>IFERROR(VLOOKUP($D82,본공사입.출고현황!$B:$H,G$2080,0),0)</f>
        <v>CCGG</v>
      </c>
      <c r="H82" s="18" t="str">
        <f>IFERROR(VLOOKUP($D82,본공사입.출고현황!$B:$H,H$2080,0),0)</f>
        <v>ф10, 1ton=1,620.7m</v>
      </c>
      <c r="I82" s="56" t="str">
        <f>IFERROR(VLOOKUP($D82,본공사입.출고현황!$B:$H,I$2080,0),0)</f>
        <v>M</v>
      </c>
      <c r="J82" s="9"/>
      <c r="K82" s="9"/>
      <c r="L82" s="37">
        <v>670</v>
      </c>
      <c r="M82" s="64" t="s">
        <v>243</v>
      </c>
      <c r="N82" s="42"/>
    </row>
    <row r="83" spans="1:16" ht="24" customHeight="1">
      <c r="A83" s="8">
        <v>40</v>
      </c>
      <c r="B83" s="9">
        <v>40</v>
      </c>
      <c r="C83" s="46">
        <v>45760</v>
      </c>
      <c r="D83" s="9" t="s">
        <v>238</v>
      </c>
      <c r="E83" s="56" t="str">
        <f>IFERROR(VLOOKUP($D83,본공사입.출고현황!$B:$H,E$2080,0),0)</f>
        <v>Steel round bar</v>
      </c>
      <c r="F83" s="18" t="str">
        <f>IFERROR(VLOOKUP($D83,본공사입.출고현황!$B:$H,F$2080,0),0)</f>
        <v>Steel round bar(rebar)</v>
      </c>
      <c r="G83" s="18" t="str">
        <f>IFERROR(VLOOKUP($D83,본공사입.출고현황!$B:$H,G$2080,0),0)</f>
        <v>CCGG</v>
      </c>
      <c r="H83" s="18" t="str">
        <f>IFERROR(VLOOKUP($D83,본공사입.출고현황!$B:$H,H$2080,0),0)</f>
        <v>ф10, 1ton=1,620.7m</v>
      </c>
      <c r="I83" s="56" t="str">
        <f>IFERROR(VLOOKUP($D83,본공사입.출고현황!$B:$H,I$2080,0),0)</f>
        <v>M</v>
      </c>
      <c r="J83" s="9"/>
      <c r="K83" s="9"/>
      <c r="L83" s="37">
        <v>180</v>
      </c>
      <c r="M83" s="64" t="s">
        <v>243</v>
      </c>
      <c r="N83" s="42"/>
    </row>
    <row r="84" spans="1:16" ht="24" customHeight="1">
      <c r="A84" s="8">
        <v>41</v>
      </c>
      <c r="B84" s="9">
        <v>41</v>
      </c>
      <c r="C84" s="46">
        <v>45763</v>
      </c>
      <c r="D84" s="9" t="s">
        <v>238</v>
      </c>
      <c r="E84" s="56" t="str">
        <f>IFERROR(VLOOKUP($D84,본공사입.출고현황!$B:$H,E$2080,0),0)</f>
        <v>Steel round bar</v>
      </c>
      <c r="F84" s="18" t="str">
        <f>IFERROR(VLOOKUP($D84,본공사입.출고현황!$B:$H,F$2080,0),0)</f>
        <v>Steel round bar(rebar)</v>
      </c>
      <c r="G84" s="18" t="str">
        <f>IFERROR(VLOOKUP($D84,본공사입.출고현황!$B:$H,G$2080,0),0)</f>
        <v>CCGG</v>
      </c>
      <c r="H84" s="18" t="str">
        <f>IFERROR(VLOOKUP($D84,본공사입.출고현황!$B:$H,H$2080,0),0)</f>
        <v>ф10, 1ton=1,620.7m</v>
      </c>
      <c r="I84" s="56" t="str">
        <f>IFERROR(VLOOKUP($D84,본공사입.출고현황!$B:$H,I$2080,0),0)</f>
        <v>M</v>
      </c>
      <c r="J84" s="9"/>
      <c r="K84" s="9"/>
      <c r="L84" s="37">
        <v>280</v>
      </c>
      <c r="M84" s="64" t="s">
        <v>243</v>
      </c>
      <c r="N84" s="42"/>
    </row>
    <row r="85" spans="1:16" ht="24" customHeight="1">
      <c r="A85" s="8">
        <v>42</v>
      </c>
      <c r="B85" s="9">
        <v>42</v>
      </c>
      <c r="C85" s="46">
        <v>45763</v>
      </c>
      <c r="D85" s="9" t="s">
        <v>94</v>
      </c>
      <c r="E85" s="56" t="str">
        <f>IFERROR(VLOOKUP($D85,본공사입.출고현황!$B:$H,E$2080,0),0)</f>
        <v>Ground</v>
      </c>
      <c r="F85" s="18" t="str">
        <f>IFERROR(VLOOKUP($D85,본공사입.출고현황!$B:$H,F$2080,0),0)</f>
        <v>Cadweld Powder #200</v>
      </c>
      <c r="G85" s="18" t="str">
        <f>IFERROR(VLOOKUP($D85,본공사입.출고현황!$B:$H,G$2080,0),0)</f>
        <v>Cadweld Powder</v>
      </c>
      <c r="H85" s="18" t="str">
        <f>IFERROR(VLOOKUP($D85,본공사입.출고현황!$B:$H,H$2080,0),0)</f>
        <v>#200</v>
      </c>
      <c r="I85" s="56" t="str">
        <f>IFERROR(VLOOKUP($D85,본공사입.출고현황!$B:$H,I$2080,0),0)</f>
        <v>EA</v>
      </c>
      <c r="J85" s="9"/>
      <c r="K85" s="9"/>
      <c r="L85" s="37">
        <v>10</v>
      </c>
      <c r="M85" s="64" t="s">
        <v>357</v>
      </c>
      <c r="N85" s="42"/>
    </row>
    <row r="86" spans="1:16" ht="24" customHeight="1">
      <c r="A86" s="8">
        <v>43</v>
      </c>
      <c r="B86" s="9">
        <v>43</v>
      </c>
      <c r="C86" s="46">
        <v>45761</v>
      </c>
      <c r="D86" s="9" t="s">
        <v>140</v>
      </c>
      <c r="E86" s="56" t="str">
        <f>IFERROR(VLOOKUP($D86,본공사입.출고현황!$B:$H,E$2080,0),0)</f>
        <v>Conduit</v>
      </c>
      <c r="F86" s="18" t="str">
        <f>IFERROR(VLOOKUP($D86,본공사입.출고현황!$B:$H,F$2080,0),0)</f>
        <v>Conduit 108x4.0</v>
      </c>
      <c r="G86" s="18" t="str">
        <f>IFERROR(VLOOKUP($D86,본공사입.출고현황!$B:$H,G$2080,0),0)</f>
        <v>Conduit</v>
      </c>
      <c r="H86" s="18" t="str">
        <f>IFERROR(VLOOKUP($D86,본공사입.출고현황!$B:$H,H$2080,0),0)</f>
        <v>108x4</v>
      </c>
      <c r="I86" s="56" t="str">
        <f>IFERROR(VLOOKUP($D86,본공사입.출고현황!$B:$H,I$2080,0),0)</f>
        <v>M</v>
      </c>
      <c r="J86" s="9">
        <v>4</v>
      </c>
      <c r="K86" s="9"/>
      <c r="L86" s="37">
        <v>40</v>
      </c>
      <c r="M86" s="64" t="s">
        <v>243</v>
      </c>
      <c r="N86" s="42"/>
    </row>
    <row r="87" spans="1:16" ht="24" customHeight="1">
      <c r="A87" s="8">
        <v>44</v>
      </c>
      <c r="B87" s="9">
        <v>44</v>
      </c>
      <c r="C87" s="46">
        <v>45761</v>
      </c>
      <c r="D87" s="9" t="s">
        <v>135</v>
      </c>
      <c r="E87" s="56" t="str">
        <f>IFERROR(VLOOKUP($D87,본공사입.출고현황!$B:$H,E$2080,0),0)</f>
        <v>Conduit</v>
      </c>
      <c r="F87" s="18" t="str">
        <f>IFERROR(VLOOKUP($D87,본공사입.출고현황!$B:$H,F$2080,0),0)</f>
        <v>Conduit 159x4.5</v>
      </c>
      <c r="G87" s="18" t="str">
        <f>IFERROR(VLOOKUP($D87,본공사입.출고현황!$B:$H,G$2080,0),0)</f>
        <v>Conduit</v>
      </c>
      <c r="H87" s="18" t="str">
        <f>IFERROR(VLOOKUP($D87,본공사입.출고현황!$B:$H,H$2080,0),0)</f>
        <v>159x4.5</v>
      </c>
      <c r="I87" s="56" t="str">
        <f>IFERROR(VLOOKUP($D87,본공사입.출고현황!$B:$H,I$2080,0),0)</f>
        <v>M</v>
      </c>
      <c r="J87" s="9">
        <v>4</v>
      </c>
      <c r="K87" s="9"/>
      <c r="L87" s="37">
        <v>80</v>
      </c>
      <c r="M87" s="64" t="s">
        <v>243</v>
      </c>
      <c r="N87" s="42"/>
    </row>
    <row r="88" spans="1:16" ht="24" customHeight="1">
      <c r="A88" s="8">
        <v>45</v>
      </c>
      <c r="B88" s="9">
        <v>45</v>
      </c>
      <c r="C88" s="46">
        <v>45762</v>
      </c>
      <c r="D88" s="9" t="s">
        <v>140</v>
      </c>
      <c r="E88" s="56" t="str">
        <f>IFERROR(VLOOKUP($D88,본공사입.출고현황!$B:$H,E$2080,0),0)</f>
        <v>Conduit</v>
      </c>
      <c r="F88" s="18" t="str">
        <f>IFERROR(VLOOKUP($D88,본공사입.출고현황!$B:$H,F$2080,0),0)</f>
        <v>Conduit 108x4.0</v>
      </c>
      <c r="G88" s="18" t="str">
        <f>IFERROR(VLOOKUP($D88,본공사입.출고현황!$B:$H,G$2080,0),0)</f>
        <v>Conduit</v>
      </c>
      <c r="H88" s="18" t="str">
        <f>IFERROR(VLOOKUP($D88,본공사입.출고현황!$B:$H,H$2080,0),0)</f>
        <v>108x4</v>
      </c>
      <c r="I88" s="56" t="str">
        <f>IFERROR(VLOOKUP($D88,본공사입.출고현황!$B:$H,I$2080,0),0)</f>
        <v>M</v>
      </c>
      <c r="J88" s="9">
        <v>3</v>
      </c>
      <c r="K88" s="9"/>
      <c r="L88" s="37">
        <v>84</v>
      </c>
      <c r="M88" s="64" t="s">
        <v>243</v>
      </c>
      <c r="N88" s="42"/>
    </row>
    <row r="89" spans="1:16" ht="24" customHeight="1">
      <c r="A89" s="8">
        <v>46</v>
      </c>
      <c r="B89" s="9">
        <v>46</v>
      </c>
      <c r="C89" s="46">
        <v>45762</v>
      </c>
      <c r="D89" s="9" t="s">
        <v>131</v>
      </c>
      <c r="E89" s="56" t="str">
        <f>IFERROR(VLOOKUP($D89,본공사입.출고현황!$B:$H,E$2080,0),0)</f>
        <v>Conduit</v>
      </c>
      <c r="F89" s="18" t="str">
        <f>IFERROR(VLOOKUP($D89,본공사입.출고현황!$B:$H,F$2080,0),0)</f>
        <v>Conduit (Galvanized) 168x6</v>
      </c>
      <c r="G89" s="18" t="str">
        <f>IFERROR(VLOOKUP($D89,본공사입.출고현황!$B:$H,G$2080,0),0)</f>
        <v xml:space="preserve">Conduit (Galvanized) </v>
      </c>
      <c r="H89" s="18" t="str">
        <f>IFERROR(VLOOKUP($D89,본공사입.출고현황!$B:$H,H$2080,0),0)</f>
        <v>168x6</v>
      </c>
      <c r="I89" s="56" t="str">
        <f>IFERROR(VLOOKUP($D89,본공사입.출고현황!$B:$H,I$2080,0),0)</f>
        <v>M</v>
      </c>
      <c r="J89" s="9">
        <v>3</v>
      </c>
      <c r="K89" s="9"/>
      <c r="L89" s="37">
        <v>24</v>
      </c>
      <c r="M89" s="64" t="s">
        <v>243</v>
      </c>
      <c r="N89" s="42"/>
      <c r="P89" s="5" t="s">
        <v>379</v>
      </c>
    </row>
    <row r="90" spans="1:16" ht="24" customHeight="1">
      <c r="A90" s="8">
        <v>47</v>
      </c>
      <c r="B90" s="9">
        <v>47</v>
      </c>
      <c r="C90" s="46">
        <v>45763</v>
      </c>
      <c r="D90" s="9" t="s">
        <v>180</v>
      </c>
      <c r="E90" s="56" t="str">
        <f>IFERROR(VLOOKUP($D90,본공사입.출고현황!$B:$H,E$2080,0),0)</f>
        <v>Ground</v>
      </c>
      <c r="F90" s="18" t="str">
        <f>IFERROR(VLOOKUP($D90,본공사입.출고현황!$B:$H,F$2080,0),0)</f>
        <v>Ground Cable  78SQ</v>
      </c>
      <c r="G90" s="18" t="str">
        <f>IFERROR(VLOOKUP($D90,본공사입.출고현황!$B:$H,G$2080,0),0)</f>
        <v xml:space="preserve">Ground Cable </v>
      </c>
      <c r="H90" s="18" t="str">
        <f>IFERROR(VLOOKUP($D90,본공사입.출고현황!$B:$H,H$2080,0),0)</f>
        <v>78SQ</v>
      </c>
      <c r="I90" s="56" t="str">
        <f>IFERROR(VLOOKUP($D90,본공사입.출고현황!$B:$H,I$2080,0),0)</f>
        <v>M</v>
      </c>
      <c r="J90" s="9">
        <v>3</v>
      </c>
      <c r="K90" s="9"/>
      <c r="L90" s="37">
        <v>60</v>
      </c>
      <c r="M90" s="64" t="s">
        <v>357</v>
      </c>
      <c r="N90" s="42"/>
    </row>
    <row r="91" spans="1:16" ht="24" customHeight="1">
      <c r="A91" s="8">
        <v>48</v>
      </c>
      <c r="B91" s="9">
        <v>48</v>
      </c>
      <c r="C91" s="46">
        <v>45766</v>
      </c>
      <c r="D91" s="9" t="s">
        <v>238</v>
      </c>
      <c r="E91" s="56" t="str">
        <f>IFERROR(VLOOKUP($D91,본공사입.출고현황!$B:$H,E$2080,0),0)</f>
        <v>Steel round bar</v>
      </c>
      <c r="F91" s="18" t="str">
        <f>IFERROR(VLOOKUP($D91,본공사입.출고현황!$B:$H,F$2080,0),0)</f>
        <v>Steel round bar(rebar)</v>
      </c>
      <c r="G91" s="18" t="str">
        <f>IFERROR(VLOOKUP($D91,본공사입.출고현황!$B:$H,G$2080,0),0)</f>
        <v>CCGG</v>
      </c>
      <c r="H91" s="18" t="str">
        <f>IFERROR(VLOOKUP($D91,본공사입.출고현황!$B:$H,H$2080,0),0)</f>
        <v>ф10, 1ton=1,620.7m</v>
      </c>
      <c r="I91" s="56" t="str">
        <f>IFERROR(VLOOKUP($D91,본공사입.출고현황!$B:$H,I$2080,0),0)</f>
        <v>M</v>
      </c>
      <c r="J91" s="9"/>
      <c r="K91" s="9"/>
      <c r="L91" s="37">
        <v>60</v>
      </c>
      <c r="M91" s="64" t="s">
        <v>358</v>
      </c>
      <c r="N91" s="42"/>
    </row>
    <row r="92" spans="1:16" ht="24" customHeight="1">
      <c r="A92" s="8">
        <v>49</v>
      </c>
      <c r="B92" s="9">
        <v>49</v>
      </c>
      <c r="C92" s="46">
        <v>45767</v>
      </c>
      <c r="D92" s="9" t="s">
        <v>238</v>
      </c>
      <c r="E92" s="56" t="str">
        <f>IFERROR(VLOOKUP($D92,본공사입.출고현황!$B:$H,E$2080,0),0)</f>
        <v>Steel round bar</v>
      </c>
      <c r="F92" s="18" t="str">
        <f>IFERROR(VLOOKUP($D92,본공사입.출고현황!$B:$H,F$2080,0),0)</f>
        <v>Steel round bar(rebar)</v>
      </c>
      <c r="G92" s="18" t="str">
        <f>IFERROR(VLOOKUP($D92,본공사입.출고현황!$B:$H,G$2080,0),0)</f>
        <v>CCGG</v>
      </c>
      <c r="H92" s="18" t="str">
        <f>IFERROR(VLOOKUP($D92,본공사입.출고현황!$B:$H,H$2080,0),0)</f>
        <v>ф10, 1ton=1,620.7m</v>
      </c>
      <c r="I92" s="56" t="str">
        <f>IFERROR(VLOOKUP($D92,본공사입.출고현황!$B:$H,I$2080,0),0)</f>
        <v>M</v>
      </c>
      <c r="J92" s="9"/>
      <c r="K92" s="9"/>
      <c r="L92" s="37">
        <v>375</v>
      </c>
      <c r="M92" s="64" t="s">
        <v>358</v>
      </c>
      <c r="N92" s="42"/>
    </row>
    <row r="93" spans="1:16" ht="24" customHeight="1">
      <c r="A93" s="8">
        <v>50</v>
      </c>
      <c r="B93" s="9">
        <v>50</v>
      </c>
      <c r="C93" s="46">
        <v>45768</v>
      </c>
      <c r="D93" s="9" t="s">
        <v>162</v>
      </c>
      <c r="E93" s="56" t="str">
        <f>IFERROR(VLOOKUP($D93,본공사입.출고현황!$B:$H,E$2080,0),0)</f>
        <v>Sup't</v>
      </c>
      <c r="F93" s="18" t="str">
        <f>IFERROR(VLOOKUP($D93,본공사입.출고현황!$B:$H,F$2080,0),0)</f>
        <v>Angle 50x50x5</v>
      </c>
      <c r="G93" s="18" t="str">
        <f>IFERROR(VLOOKUP($D93,본공사입.출고현황!$B:$H,G$2080,0),0)</f>
        <v>Angle</v>
      </c>
      <c r="H93" s="18" t="str">
        <f>IFERROR(VLOOKUP($D93,본공사입.출고현황!$B:$H,H$2080,0),0)</f>
        <v>50*50*5</v>
      </c>
      <c r="I93" s="56" t="str">
        <f>IFERROR(VLOOKUP($D93,본공사입.출고현황!$B:$H,I$2080,0),0)</f>
        <v>M</v>
      </c>
      <c r="J93" s="9">
        <v>4</v>
      </c>
      <c r="K93" s="9" t="s">
        <v>359</v>
      </c>
      <c r="L93" s="37">
        <v>4</v>
      </c>
      <c r="M93" s="64" t="s">
        <v>243</v>
      </c>
      <c r="N93" s="42"/>
    </row>
    <row r="94" spans="1:16" ht="24" customHeight="1">
      <c r="A94" s="8">
        <v>51</v>
      </c>
      <c r="B94" s="9">
        <v>51</v>
      </c>
      <c r="C94" s="46">
        <v>45768</v>
      </c>
      <c r="D94" s="9" t="s">
        <v>61</v>
      </c>
      <c r="E94" s="56" t="str">
        <f>IFERROR(VLOOKUP($D94,본공사입.출고현황!$B:$H,E$2080,0),0)</f>
        <v>Angle</v>
      </c>
      <c r="F94" s="18" t="str">
        <f>IFERROR(VLOOKUP($D94,본공사입.출고현황!$B:$H,F$2080,0),0)</f>
        <v>Angle 100x100x10</v>
      </c>
      <c r="G94" s="18" t="str">
        <f>IFERROR(VLOOKUP($D94,본공사입.출고현황!$B:$H,G$2080,0),0)</f>
        <v>CCGG</v>
      </c>
      <c r="H94" s="18" t="str">
        <f>IFERROR(VLOOKUP($D94,본공사입.출고현황!$B:$H,H$2080,0),0)</f>
        <v>100x100x10 (12m)</v>
      </c>
      <c r="I94" s="56" t="str">
        <f>IFERROR(VLOOKUP($D94,본공사입.출고현황!$B:$H,I$2080,0),0)</f>
        <v>M</v>
      </c>
      <c r="J94" s="9">
        <v>1</v>
      </c>
      <c r="K94" s="9" t="s">
        <v>352</v>
      </c>
      <c r="L94" s="37">
        <v>12</v>
      </c>
      <c r="M94" s="64" t="s">
        <v>243</v>
      </c>
      <c r="N94" s="42"/>
    </row>
    <row r="95" spans="1:16" ht="24" customHeight="1">
      <c r="A95" s="8">
        <v>52</v>
      </c>
      <c r="B95" s="9">
        <v>52</v>
      </c>
      <c r="C95" s="46">
        <v>45769</v>
      </c>
      <c r="D95" s="9" t="s">
        <v>165</v>
      </c>
      <c r="E95" s="56" t="str">
        <f>IFERROR(VLOOKUP($D95,본공사입.출고현황!$B:$H,E$2080,0),0)</f>
        <v>Sup't</v>
      </c>
      <c r="F95" s="18" t="str">
        <f>IFERROR(VLOOKUP($D95,본공사입.출고현황!$B:$H,F$2080,0),0)</f>
        <v>Angle 70x70x7</v>
      </c>
      <c r="G95" s="18" t="str">
        <f>IFERROR(VLOOKUP($D95,본공사입.출고현황!$B:$H,G$2080,0),0)</f>
        <v>Angle</v>
      </c>
      <c r="H95" s="18" t="str">
        <f>IFERROR(VLOOKUP($D95,본공사입.출고현황!$B:$H,H$2080,0),0)</f>
        <v>70*70*7</v>
      </c>
      <c r="I95" s="56" t="str">
        <f>IFERROR(VLOOKUP($D95,본공사입.출고현황!$B:$H,I$2080,0),0)</f>
        <v>M</v>
      </c>
      <c r="J95" s="9">
        <v>4</v>
      </c>
      <c r="K95" s="9" t="s">
        <v>359</v>
      </c>
      <c r="L95" s="37">
        <v>3</v>
      </c>
      <c r="M95" s="64" t="s">
        <v>243</v>
      </c>
      <c r="N95" s="42"/>
    </row>
    <row r="96" spans="1:16" ht="24" customHeight="1">
      <c r="A96" s="8">
        <v>53</v>
      </c>
      <c r="B96" s="9">
        <v>53</v>
      </c>
      <c r="C96" s="46">
        <v>45770</v>
      </c>
      <c r="D96" s="9" t="s">
        <v>61</v>
      </c>
      <c r="E96" s="56" t="str">
        <f>IFERROR(VLOOKUP($D96,본공사입.출고현황!$B:$H,E$2080,0),0)</f>
        <v>Angle</v>
      </c>
      <c r="F96" s="18" t="str">
        <f>IFERROR(VLOOKUP($D96,본공사입.출고현황!$B:$H,F$2080,0),0)</f>
        <v>Angle 100x100x10</v>
      </c>
      <c r="G96" s="18" t="str">
        <f>IFERROR(VLOOKUP($D96,본공사입.출고현황!$B:$H,G$2080,0),0)</f>
        <v>CCGG</v>
      </c>
      <c r="H96" s="18" t="str">
        <f>IFERROR(VLOOKUP($D96,본공사입.출고현황!$B:$H,H$2080,0),0)</f>
        <v>100x100x10 (12m)</v>
      </c>
      <c r="I96" s="56" t="str">
        <f>IFERROR(VLOOKUP($D96,본공사입.출고현황!$B:$H,I$2080,0),0)</f>
        <v>M</v>
      </c>
      <c r="J96" s="9">
        <v>1</v>
      </c>
      <c r="K96" s="9" t="s">
        <v>352</v>
      </c>
      <c r="L96" s="37">
        <v>12</v>
      </c>
      <c r="M96" s="64" t="s">
        <v>243</v>
      </c>
      <c r="N96" s="42"/>
    </row>
    <row r="97" spans="1:14" ht="24" customHeight="1">
      <c r="A97" s="8">
        <v>54</v>
      </c>
      <c r="B97" s="9">
        <v>54</v>
      </c>
      <c r="C97" s="46">
        <v>45771</v>
      </c>
      <c r="D97" s="9" t="s">
        <v>162</v>
      </c>
      <c r="E97" s="56" t="str">
        <f>IFERROR(VLOOKUP($D97,본공사입.출고현황!$B:$H,E$2080,0),0)</f>
        <v>Sup't</v>
      </c>
      <c r="F97" s="18" t="str">
        <f>IFERROR(VLOOKUP($D97,본공사입.출고현황!$B:$H,F$2080,0),0)</f>
        <v>Angle 50x50x5</v>
      </c>
      <c r="G97" s="18" t="str">
        <f>IFERROR(VLOOKUP($D97,본공사입.출고현황!$B:$H,G$2080,0),0)</f>
        <v>Angle</v>
      </c>
      <c r="H97" s="18" t="str">
        <f>IFERROR(VLOOKUP($D97,본공사입.출고현황!$B:$H,H$2080,0),0)</f>
        <v>50*50*5</v>
      </c>
      <c r="I97" s="56" t="str">
        <f>IFERROR(VLOOKUP($D97,본공사입.출고현황!$B:$H,I$2080,0),0)</f>
        <v>M</v>
      </c>
      <c r="J97" s="9">
        <v>2</v>
      </c>
      <c r="K97" s="9" t="s">
        <v>360</v>
      </c>
      <c r="L97" s="37">
        <v>4</v>
      </c>
      <c r="M97" s="64" t="s">
        <v>243</v>
      </c>
      <c r="N97" s="42"/>
    </row>
    <row r="98" spans="1:14" ht="24" customHeight="1">
      <c r="A98" s="8">
        <v>55</v>
      </c>
      <c r="B98" s="9">
        <v>55</v>
      </c>
      <c r="C98" s="46">
        <v>45772</v>
      </c>
      <c r="D98" s="9" t="s">
        <v>162</v>
      </c>
      <c r="E98" s="56" t="str">
        <f>IFERROR(VLOOKUP($D98,본공사입.출고현황!$B:$H,E$2080,0),0)</f>
        <v>Sup't</v>
      </c>
      <c r="F98" s="18" t="str">
        <f>IFERROR(VLOOKUP($D98,본공사입.출고현황!$B:$H,F$2080,0),0)</f>
        <v>Angle 50x50x5</v>
      </c>
      <c r="G98" s="18" t="str">
        <f>IFERROR(VLOOKUP($D98,본공사입.출고현황!$B:$H,G$2080,0),0)</f>
        <v>Angle</v>
      </c>
      <c r="H98" s="18" t="str">
        <f>IFERROR(VLOOKUP($D98,본공사입.출고현황!$B:$H,H$2080,0),0)</f>
        <v>50*50*5</v>
      </c>
      <c r="I98" s="56" t="str">
        <f>IFERROR(VLOOKUP($D98,본공사입.출고현황!$B:$H,I$2080,0),0)</f>
        <v>M</v>
      </c>
      <c r="J98" s="9">
        <v>2</v>
      </c>
      <c r="K98" s="9" t="s">
        <v>241</v>
      </c>
      <c r="L98" s="37">
        <v>10</v>
      </c>
      <c r="M98" s="64" t="s">
        <v>243</v>
      </c>
      <c r="N98" s="42"/>
    </row>
    <row r="99" spans="1:14" ht="24" customHeight="1">
      <c r="A99" s="8">
        <v>56</v>
      </c>
      <c r="B99" s="9">
        <v>56</v>
      </c>
      <c r="C99" s="46">
        <v>45772</v>
      </c>
      <c r="D99" s="9" t="s">
        <v>61</v>
      </c>
      <c r="E99" s="56" t="str">
        <f>IFERROR(VLOOKUP($D99,본공사입.출고현황!$B:$H,E$2080,0),0)</f>
        <v>Angle</v>
      </c>
      <c r="F99" s="18" t="str">
        <f>IFERROR(VLOOKUP($D99,본공사입.출고현황!$B:$H,F$2080,0),0)</f>
        <v>Angle 100x100x10</v>
      </c>
      <c r="G99" s="18" t="str">
        <f>IFERROR(VLOOKUP($D99,본공사입.출고현황!$B:$H,G$2080,0),0)</f>
        <v>CCGG</v>
      </c>
      <c r="H99" s="18" t="str">
        <f>IFERROR(VLOOKUP($D99,본공사입.출고현황!$B:$H,H$2080,0),0)</f>
        <v>100x100x10 (12m)</v>
      </c>
      <c r="I99" s="56" t="str">
        <f>IFERROR(VLOOKUP($D99,본공사입.출고현황!$B:$H,I$2080,0),0)</f>
        <v>M</v>
      </c>
      <c r="J99" s="9">
        <v>3</v>
      </c>
      <c r="K99" s="9" t="s">
        <v>361</v>
      </c>
      <c r="L99" s="37">
        <v>30</v>
      </c>
      <c r="M99" s="64" t="s">
        <v>243</v>
      </c>
      <c r="N99" s="42"/>
    </row>
    <row r="100" spans="1:14" ht="24" customHeight="1">
      <c r="A100" s="8">
        <v>57</v>
      </c>
      <c r="B100" s="9">
        <v>57</v>
      </c>
      <c r="C100" s="46">
        <v>45774</v>
      </c>
      <c r="D100" s="9" t="s">
        <v>162</v>
      </c>
      <c r="E100" s="56" t="str">
        <f>IFERROR(VLOOKUP($D100,본공사입.출고현황!$B:$H,E$2080,0),0)</f>
        <v>Sup't</v>
      </c>
      <c r="F100" s="18" t="str">
        <f>IFERROR(VLOOKUP($D100,본공사입.출고현황!$B:$H,F$2080,0),0)</f>
        <v>Angle 50x50x5</v>
      </c>
      <c r="G100" s="18" t="str">
        <f>IFERROR(VLOOKUP($D100,본공사입.출고현황!$B:$H,G$2080,0),0)</f>
        <v>Angle</v>
      </c>
      <c r="H100" s="18" t="str">
        <f>IFERROR(VLOOKUP($D100,본공사입.출고현황!$B:$H,H$2080,0),0)</f>
        <v>50*50*5</v>
      </c>
      <c r="I100" s="56" t="str">
        <f>IFERROR(VLOOKUP($D100,본공사입.출고현황!$B:$H,I$2080,0),0)</f>
        <v>M</v>
      </c>
      <c r="J100" s="9"/>
      <c r="K100" s="9"/>
      <c r="L100" s="37">
        <v>24</v>
      </c>
      <c r="M100" s="64" t="s">
        <v>243</v>
      </c>
      <c r="N100" s="42"/>
    </row>
    <row r="101" spans="1:14" ht="24" customHeight="1">
      <c r="A101" s="8">
        <v>58</v>
      </c>
      <c r="B101" s="9">
        <v>58</v>
      </c>
      <c r="C101" s="46">
        <v>45775</v>
      </c>
      <c r="D101" s="9" t="s">
        <v>162</v>
      </c>
      <c r="E101" s="56" t="str">
        <f>IFERROR(VLOOKUP($D101,본공사입.출고현황!$B:$H,E$2080,0),0)</f>
        <v>Sup't</v>
      </c>
      <c r="F101" s="18" t="str">
        <f>IFERROR(VLOOKUP($D101,본공사입.출고현황!$B:$H,F$2080,0),0)</f>
        <v>Angle 50x50x5</v>
      </c>
      <c r="G101" s="18" t="str">
        <f>IFERROR(VLOOKUP($D101,본공사입.출고현황!$B:$H,G$2080,0),0)</f>
        <v>Angle</v>
      </c>
      <c r="H101" s="18" t="str">
        <f>IFERROR(VLOOKUP($D101,본공사입.출고현황!$B:$H,H$2080,0),0)</f>
        <v>50*50*5</v>
      </c>
      <c r="I101" s="56" t="str">
        <f>IFERROR(VLOOKUP($D101,본공사입.출고현황!$B:$H,I$2080,0),0)</f>
        <v>M</v>
      </c>
      <c r="J101" s="9"/>
      <c r="K101" s="9"/>
      <c r="L101" s="37">
        <v>36</v>
      </c>
      <c r="M101" s="64" t="s">
        <v>243</v>
      </c>
      <c r="N101" s="42"/>
    </row>
    <row r="102" spans="1:14" ht="24" customHeight="1">
      <c r="A102" s="8">
        <v>59</v>
      </c>
      <c r="B102" s="9">
        <v>59</v>
      </c>
      <c r="C102" s="46">
        <v>45775</v>
      </c>
      <c r="D102" s="9" t="s">
        <v>238</v>
      </c>
      <c r="E102" s="56" t="str">
        <f>IFERROR(VLOOKUP($D102,본공사입.출고현황!$B:$H,E$2080,0),0)</f>
        <v>Steel round bar</v>
      </c>
      <c r="F102" s="18" t="str">
        <f>IFERROR(VLOOKUP($D102,본공사입.출고현황!$B:$H,F$2080,0),0)</f>
        <v>Steel round bar(rebar)</v>
      </c>
      <c r="G102" s="18" t="str">
        <f>IFERROR(VLOOKUP($D102,본공사입.출고현황!$B:$H,G$2080,0),0)</f>
        <v>CCGG</v>
      </c>
      <c r="H102" s="18" t="str">
        <f>IFERROR(VLOOKUP($D102,본공사입.출고현황!$B:$H,H$2080,0),0)</f>
        <v>ф10, 1ton=1,620.7m</v>
      </c>
      <c r="I102" s="56" t="str">
        <f>IFERROR(VLOOKUP($D102,본공사입.출고현황!$B:$H,I$2080,0),0)</f>
        <v>M</v>
      </c>
      <c r="J102" s="9"/>
      <c r="K102" s="9"/>
      <c r="L102" s="37">
        <v>600</v>
      </c>
      <c r="M102" s="64" t="s">
        <v>243</v>
      </c>
      <c r="N102" s="42"/>
    </row>
    <row r="103" spans="1:14" ht="24" customHeight="1">
      <c r="A103" s="8">
        <v>60</v>
      </c>
      <c r="B103" s="9">
        <v>60</v>
      </c>
      <c r="C103" s="46">
        <v>45776</v>
      </c>
      <c r="D103" s="9" t="s">
        <v>149</v>
      </c>
      <c r="E103" s="56" t="str">
        <f>IFERROR(VLOOKUP($D103,본공사입.출고현황!$B:$H,E$2080,0),0)</f>
        <v>Conduit Fitting</v>
      </c>
      <c r="F103" s="18" t="str">
        <f>IFERROR(VLOOKUP($D103,본공사입.출고현황!$B:$H,F$2080,0),0)</f>
        <v>Conduit Coupling 168x4</v>
      </c>
      <c r="G103" s="18" t="str">
        <f>IFERROR(VLOOKUP($D103,본공사입.출고현황!$B:$H,G$2080,0),0)</f>
        <v>Conduit Coupling</v>
      </c>
      <c r="H103" s="18" t="str">
        <f>IFERROR(VLOOKUP($D103,본공사입.출고현황!$B:$H,H$2080,0),0)</f>
        <v>168x4</v>
      </c>
      <c r="I103" s="56" t="str">
        <f>IFERROR(VLOOKUP($D103,본공사입.출고현황!$B:$H,I$2080,0),0)</f>
        <v>EA</v>
      </c>
      <c r="J103" s="9"/>
      <c r="K103" s="9"/>
      <c r="L103" s="37">
        <v>8</v>
      </c>
      <c r="M103" s="64" t="s">
        <v>243</v>
      </c>
      <c r="N103" s="42"/>
    </row>
    <row r="104" spans="1:14" ht="24" customHeight="1">
      <c r="A104" s="8">
        <v>61</v>
      </c>
      <c r="B104" s="9">
        <v>61</v>
      </c>
      <c r="C104" s="46">
        <v>45776</v>
      </c>
      <c r="D104" s="9" t="s">
        <v>153</v>
      </c>
      <c r="E104" s="56" t="str">
        <f>IFERROR(VLOOKUP($D104,본공사입.출고현황!$B:$H,E$2080,0),0)</f>
        <v>Conduit Fitting</v>
      </c>
      <c r="F104" s="18" t="str">
        <f>IFERROR(VLOOKUP($D104,본공사입.출고현황!$B:$H,F$2080,0),0)</f>
        <v>Conduit Coupling 121x5</v>
      </c>
      <c r="G104" s="18" t="str">
        <f>IFERROR(VLOOKUP($D104,본공사입.출고현황!$B:$H,G$2080,0),0)</f>
        <v>Conduit Coupling</v>
      </c>
      <c r="H104" s="18" t="str">
        <f>IFERROR(VLOOKUP($D104,본공사입.출고현황!$B:$H,H$2080,0),0)</f>
        <v>121x5</v>
      </c>
      <c r="I104" s="56" t="str">
        <f>IFERROR(VLOOKUP($D104,본공사입.출고현황!$B:$H,I$2080,0),0)</f>
        <v>M</v>
      </c>
      <c r="J104" s="9"/>
      <c r="K104" s="9"/>
      <c r="L104" s="37">
        <v>1</v>
      </c>
      <c r="M104" s="64" t="s">
        <v>243</v>
      </c>
      <c r="N104" s="42"/>
    </row>
    <row r="105" spans="1:14" ht="24" customHeight="1">
      <c r="A105" s="8">
        <v>62</v>
      </c>
      <c r="B105" s="9">
        <v>62</v>
      </c>
      <c r="C105" s="46">
        <v>45776</v>
      </c>
      <c r="D105" s="9" t="s">
        <v>238</v>
      </c>
      <c r="E105" s="56" t="str">
        <f>IFERROR(VLOOKUP($D105,본공사입.출고현황!$B:$H,E$2080,0),0)</f>
        <v>Steel round bar</v>
      </c>
      <c r="F105" s="18" t="str">
        <f>IFERROR(VLOOKUP($D105,본공사입.출고현황!$B:$H,F$2080,0),0)</f>
        <v>Steel round bar(rebar)</v>
      </c>
      <c r="G105" s="18" t="str">
        <f>IFERROR(VLOOKUP($D105,본공사입.출고현황!$B:$H,G$2080,0),0)</f>
        <v>CCGG</v>
      </c>
      <c r="H105" s="18" t="str">
        <f>IFERROR(VLOOKUP($D105,본공사입.출고현황!$B:$H,H$2080,0),0)</f>
        <v>ф10, 1ton=1,620.7m</v>
      </c>
      <c r="I105" s="56" t="str">
        <f>IFERROR(VLOOKUP($D105,본공사입.출고현황!$B:$H,I$2080,0),0)</f>
        <v>M</v>
      </c>
      <c r="J105" s="9"/>
      <c r="K105" s="9"/>
      <c r="L105" s="37">
        <v>33</v>
      </c>
      <c r="M105" s="64" t="s">
        <v>246</v>
      </c>
      <c r="N105" s="42"/>
    </row>
    <row r="106" spans="1:14" ht="24" customHeight="1">
      <c r="A106" s="8">
        <v>63</v>
      </c>
      <c r="B106" s="9">
        <v>63</v>
      </c>
      <c r="C106" s="46">
        <v>45780</v>
      </c>
      <c r="D106" s="9" t="s">
        <v>238</v>
      </c>
      <c r="E106" s="56" t="str">
        <f>IFERROR(VLOOKUP($D106,본공사입.출고현황!$B:$H,E$2080,0),0)</f>
        <v>Steel round bar</v>
      </c>
      <c r="F106" s="18" t="str">
        <f>IFERROR(VLOOKUP($D106,본공사입.출고현황!$B:$H,F$2080,0),0)</f>
        <v>Steel round bar(rebar)</v>
      </c>
      <c r="G106" s="18" t="str">
        <f>IFERROR(VLOOKUP($D106,본공사입.출고현황!$B:$H,G$2080,0),0)</f>
        <v>CCGG</v>
      </c>
      <c r="H106" s="18" t="str">
        <f>IFERROR(VLOOKUP($D106,본공사입.출고현황!$B:$H,H$2080,0),0)</f>
        <v>ф10, 1ton=1,620.7m</v>
      </c>
      <c r="I106" s="56" t="str">
        <f>IFERROR(VLOOKUP($D106,본공사입.출고현황!$B:$H,I$2080,0),0)</f>
        <v>M</v>
      </c>
      <c r="J106" s="9"/>
      <c r="K106" s="9"/>
      <c r="L106" s="37">
        <v>120</v>
      </c>
      <c r="M106" s="64" t="s">
        <v>246</v>
      </c>
      <c r="N106" s="42"/>
    </row>
    <row r="107" spans="1:14" ht="24" customHeight="1">
      <c r="A107" s="8">
        <v>64</v>
      </c>
      <c r="B107" s="9">
        <v>64</v>
      </c>
      <c r="C107" s="46">
        <v>45781</v>
      </c>
      <c r="D107" s="9" t="s">
        <v>238</v>
      </c>
      <c r="E107" s="56" t="str">
        <f>IFERROR(VLOOKUP($D107,본공사입.출고현황!$B:$H,E$2080,0),0)</f>
        <v>Steel round bar</v>
      </c>
      <c r="F107" s="18" t="str">
        <f>IFERROR(VLOOKUP($D107,본공사입.출고현황!$B:$H,F$2080,0),0)</f>
        <v>Steel round bar(rebar)</v>
      </c>
      <c r="G107" s="18" t="str">
        <f>IFERROR(VLOOKUP($D107,본공사입.출고현황!$B:$H,G$2080,0),0)</f>
        <v>CCGG</v>
      </c>
      <c r="H107" s="18" t="str">
        <f>IFERROR(VLOOKUP($D107,본공사입.출고현황!$B:$H,H$2080,0),0)</f>
        <v>ф10, 1ton=1,620.7m</v>
      </c>
      <c r="I107" s="56" t="str">
        <f>IFERROR(VLOOKUP($D107,본공사입.출고현황!$B:$H,I$2080,0),0)</f>
        <v>M</v>
      </c>
      <c r="J107" s="9"/>
      <c r="K107" s="9"/>
      <c r="L107" s="37">
        <v>160</v>
      </c>
      <c r="M107" s="64" t="s">
        <v>246</v>
      </c>
      <c r="N107" s="42"/>
    </row>
    <row r="108" spans="1:14" ht="24" customHeight="1">
      <c r="A108" s="8">
        <v>65</v>
      </c>
      <c r="B108" s="9">
        <v>65</v>
      </c>
      <c r="C108" s="46">
        <v>45782</v>
      </c>
      <c r="D108" s="9" t="s">
        <v>162</v>
      </c>
      <c r="E108" s="56" t="str">
        <f>IFERROR(VLOOKUP($D108,본공사입.출고현황!$B:$H,E$2080,0),0)</f>
        <v>Sup't</v>
      </c>
      <c r="F108" s="18" t="str">
        <f>IFERROR(VLOOKUP($D108,본공사입.출고현황!$B:$H,F$2080,0),0)</f>
        <v>Angle 50x50x5</v>
      </c>
      <c r="G108" s="18" t="str">
        <f>IFERROR(VLOOKUP($D108,본공사입.출고현황!$B:$H,G$2080,0),0)</f>
        <v>Angle</v>
      </c>
      <c r="H108" s="18" t="str">
        <f>IFERROR(VLOOKUP($D108,본공사입.출고현황!$B:$H,H$2080,0),0)</f>
        <v>50*50*5</v>
      </c>
      <c r="I108" s="56" t="str">
        <f>IFERROR(VLOOKUP($D108,본공사입.출고현황!$B:$H,I$2080,0),0)</f>
        <v>M</v>
      </c>
      <c r="J108" s="9"/>
      <c r="K108" s="9"/>
      <c r="L108" s="37">
        <v>60</v>
      </c>
      <c r="M108" s="64" t="s">
        <v>246</v>
      </c>
      <c r="N108" s="42"/>
    </row>
    <row r="109" spans="1:14" ht="24" customHeight="1">
      <c r="A109" s="8">
        <v>66</v>
      </c>
      <c r="B109" s="9">
        <v>66</v>
      </c>
      <c r="C109" s="46">
        <v>45783</v>
      </c>
      <c r="D109" s="9" t="s">
        <v>162</v>
      </c>
      <c r="E109" s="56" t="str">
        <f>IFERROR(VLOOKUP($D109,본공사입.출고현황!$B:$H,E$2080,0),0)</f>
        <v>Sup't</v>
      </c>
      <c r="F109" s="18" t="str">
        <f>IFERROR(VLOOKUP($D109,본공사입.출고현황!$B:$H,F$2080,0),0)</f>
        <v>Angle 50x50x5</v>
      </c>
      <c r="G109" s="18" t="str">
        <f>IFERROR(VLOOKUP($D109,본공사입.출고현황!$B:$H,G$2080,0),0)</f>
        <v>Angle</v>
      </c>
      <c r="H109" s="18" t="str">
        <f>IFERROR(VLOOKUP($D109,본공사입.출고현황!$B:$H,H$2080,0),0)</f>
        <v>50*50*5</v>
      </c>
      <c r="I109" s="56" t="str">
        <f>IFERROR(VLOOKUP($D109,본공사입.출고현황!$B:$H,I$2080,0),0)</f>
        <v>M</v>
      </c>
      <c r="J109" s="9"/>
      <c r="K109" s="9"/>
      <c r="L109" s="37">
        <v>60</v>
      </c>
      <c r="M109" s="64" t="s">
        <v>246</v>
      </c>
      <c r="N109" s="42"/>
    </row>
    <row r="110" spans="1:14" ht="24" customHeight="1">
      <c r="A110" s="8">
        <v>67</v>
      </c>
      <c r="B110" s="9">
        <v>67</v>
      </c>
      <c r="C110" s="46">
        <v>45783</v>
      </c>
      <c r="D110" s="9" t="s">
        <v>238</v>
      </c>
      <c r="E110" s="56" t="str">
        <f>IFERROR(VLOOKUP($D110,본공사입.출고현황!$B:$H,E$2080,0),0)</f>
        <v>Steel round bar</v>
      </c>
      <c r="F110" s="18" t="str">
        <f>IFERROR(VLOOKUP($D110,본공사입.출고현황!$B:$H,F$2080,0),0)</f>
        <v>Steel round bar(rebar)</v>
      </c>
      <c r="G110" s="18" t="str">
        <f>IFERROR(VLOOKUP($D110,본공사입.출고현황!$B:$H,G$2080,0),0)</f>
        <v>CCGG</v>
      </c>
      <c r="H110" s="18" t="str">
        <f>IFERROR(VLOOKUP($D110,본공사입.출고현황!$B:$H,H$2080,0),0)</f>
        <v>ф10, 1ton=1,620.7m</v>
      </c>
      <c r="I110" s="56" t="str">
        <f>IFERROR(VLOOKUP($D110,본공사입.출고현황!$B:$H,I$2080,0),0)</f>
        <v>M</v>
      </c>
      <c r="J110" s="9"/>
      <c r="K110" s="9"/>
      <c r="L110" s="37">
        <v>260</v>
      </c>
      <c r="M110" s="64" t="s">
        <v>246</v>
      </c>
      <c r="N110" s="42"/>
    </row>
    <row r="111" spans="1:14" ht="24" customHeight="1">
      <c r="A111" s="8">
        <v>68</v>
      </c>
      <c r="B111" s="9">
        <v>68</v>
      </c>
      <c r="C111" s="46">
        <v>45784</v>
      </c>
      <c r="D111" s="9" t="s">
        <v>238</v>
      </c>
      <c r="E111" s="56" t="str">
        <f>IFERROR(VLOOKUP($D111,본공사입.출고현황!$B:$H,E$2080,0),0)</f>
        <v>Steel round bar</v>
      </c>
      <c r="F111" s="18" t="str">
        <f>IFERROR(VLOOKUP($D111,본공사입.출고현황!$B:$H,F$2080,0),0)</f>
        <v>Steel round bar(rebar)</v>
      </c>
      <c r="G111" s="18" t="str">
        <f>IFERROR(VLOOKUP($D111,본공사입.출고현황!$B:$H,G$2080,0),0)</f>
        <v>CCGG</v>
      </c>
      <c r="H111" s="18" t="str">
        <f>IFERROR(VLOOKUP($D111,본공사입.출고현황!$B:$H,H$2080,0),0)</f>
        <v>ф10, 1ton=1,620.7m</v>
      </c>
      <c r="I111" s="56" t="str">
        <f>IFERROR(VLOOKUP($D111,본공사입.출고현황!$B:$H,I$2080,0),0)</f>
        <v>M</v>
      </c>
      <c r="J111" s="9"/>
      <c r="K111" s="9"/>
      <c r="L111" s="37">
        <v>120</v>
      </c>
      <c r="M111" s="64" t="s">
        <v>246</v>
      </c>
      <c r="N111" s="42"/>
    </row>
    <row r="112" spans="1:14" ht="24" customHeight="1">
      <c r="A112" s="8">
        <v>69</v>
      </c>
      <c r="B112" s="9">
        <v>69</v>
      </c>
      <c r="C112" s="46">
        <v>45785</v>
      </c>
      <c r="D112" s="9" t="s">
        <v>180</v>
      </c>
      <c r="E112" s="56" t="str">
        <f>IFERROR(VLOOKUP($D112,본공사입.출고현황!$B:$H,E$2080,0),0)</f>
        <v>Ground</v>
      </c>
      <c r="F112" s="18" t="str">
        <f>IFERROR(VLOOKUP($D112,본공사입.출고현황!$B:$H,F$2080,0),0)</f>
        <v>Ground Cable  78SQ</v>
      </c>
      <c r="G112" s="18" t="str">
        <f>IFERROR(VLOOKUP($D112,본공사입.출고현황!$B:$H,G$2080,0),0)</f>
        <v xml:space="preserve">Ground Cable </v>
      </c>
      <c r="H112" s="18" t="str">
        <f>IFERROR(VLOOKUP($D112,본공사입.출고현황!$B:$H,H$2080,0),0)</f>
        <v>78SQ</v>
      </c>
      <c r="I112" s="56" t="str">
        <f>IFERROR(VLOOKUP($D112,본공사입.출고현황!$B:$H,I$2080,0),0)</f>
        <v>M</v>
      </c>
      <c r="J112" s="9">
        <v>4</v>
      </c>
      <c r="K112" s="9" t="s">
        <v>359</v>
      </c>
      <c r="L112" s="37">
        <v>35</v>
      </c>
      <c r="M112" s="64" t="s">
        <v>246</v>
      </c>
      <c r="N112" s="42"/>
    </row>
    <row r="113" spans="1:14" ht="24" customHeight="1">
      <c r="A113" s="8">
        <v>70</v>
      </c>
      <c r="B113" s="9">
        <v>70</v>
      </c>
      <c r="C113" s="46">
        <v>45785</v>
      </c>
      <c r="D113" s="9" t="s">
        <v>238</v>
      </c>
      <c r="E113" s="56" t="str">
        <f>IFERROR(VLOOKUP($D113,본공사입.출고현황!$B:$H,E$2080,0),0)</f>
        <v>Steel round bar</v>
      </c>
      <c r="F113" s="18" t="str">
        <f>IFERROR(VLOOKUP($D113,본공사입.출고현황!$B:$H,F$2080,0),0)</f>
        <v>Steel round bar(rebar)</v>
      </c>
      <c r="G113" s="18" t="str">
        <f>IFERROR(VLOOKUP($D113,본공사입.출고현황!$B:$H,G$2080,0),0)</f>
        <v>CCGG</v>
      </c>
      <c r="H113" s="18" t="str">
        <f>IFERROR(VLOOKUP($D113,본공사입.출고현황!$B:$H,H$2080,0),0)</f>
        <v>ф10, 1ton=1,620.7m</v>
      </c>
      <c r="I113" s="56" t="str">
        <f>IFERROR(VLOOKUP($D113,본공사입.출고현황!$B:$H,I$2080,0),0)</f>
        <v>M</v>
      </c>
      <c r="J113" s="9"/>
      <c r="K113" s="9"/>
      <c r="L113" s="37">
        <v>168</v>
      </c>
      <c r="M113" s="64" t="s">
        <v>246</v>
      </c>
      <c r="N113" s="42"/>
    </row>
    <row r="114" spans="1:14" ht="24" customHeight="1">
      <c r="A114" s="8">
        <v>71</v>
      </c>
      <c r="B114" s="9">
        <v>71</v>
      </c>
      <c r="C114" s="46">
        <v>45786</v>
      </c>
      <c r="D114" s="9" t="s">
        <v>238</v>
      </c>
      <c r="E114" s="56" t="str">
        <f>IFERROR(VLOOKUP($D114,본공사입.출고현황!$B:$H,E$2080,0),0)</f>
        <v>Steel round bar</v>
      </c>
      <c r="F114" s="18" t="str">
        <f>IFERROR(VLOOKUP($D114,본공사입.출고현황!$B:$H,F$2080,0),0)</f>
        <v>Steel round bar(rebar)</v>
      </c>
      <c r="G114" s="18" t="str">
        <f>IFERROR(VLOOKUP($D114,본공사입.출고현황!$B:$H,G$2080,0),0)</f>
        <v>CCGG</v>
      </c>
      <c r="H114" s="18" t="str">
        <f>IFERROR(VLOOKUP($D114,본공사입.출고현황!$B:$H,H$2080,0),0)</f>
        <v>ф10, 1ton=1,620.7m</v>
      </c>
      <c r="I114" s="56" t="str">
        <f>IFERROR(VLOOKUP($D114,본공사입.출고현황!$B:$H,I$2080,0),0)</f>
        <v>M</v>
      </c>
      <c r="J114" s="9"/>
      <c r="K114" s="9"/>
      <c r="L114" s="37">
        <v>600</v>
      </c>
      <c r="M114" s="64" t="s">
        <v>358</v>
      </c>
      <c r="N114" s="42"/>
    </row>
    <row r="115" spans="1:14" ht="24" customHeight="1">
      <c r="A115" s="8">
        <v>72</v>
      </c>
      <c r="B115" s="9">
        <v>72</v>
      </c>
      <c r="C115" s="46">
        <v>45787</v>
      </c>
      <c r="D115" s="9" t="s">
        <v>61</v>
      </c>
      <c r="E115" s="56" t="str">
        <f>IFERROR(VLOOKUP($D115,본공사입.출고현황!$B:$H,E$2080,0),0)</f>
        <v>Angle</v>
      </c>
      <c r="F115" s="18" t="str">
        <f>IFERROR(VLOOKUP($D115,본공사입.출고현황!$B:$H,F$2080,0),0)</f>
        <v>Angle 100x100x10</v>
      </c>
      <c r="G115" s="18" t="str">
        <f>IFERROR(VLOOKUP($D115,본공사입.출고현황!$B:$H,G$2080,0),0)</f>
        <v>CCGG</v>
      </c>
      <c r="H115" s="18" t="str">
        <f>IFERROR(VLOOKUP($D115,본공사입.출고현황!$B:$H,H$2080,0),0)</f>
        <v>100x100x10 (12m)</v>
      </c>
      <c r="I115" s="56" t="str">
        <f>IFERROR(VLOOKUP($D115,본공사입.출고현황!$B:$H,I$2080,0),0)</f>
        <v>M</v>
      </c>
      <c r="J115" s="9"/>
      <c r="K115" s="9"/>
      <c r="L115" s="37">
        <v>12</v>
      </c>
      <c r="M115" s="64" t="s">
        <v>246</v>
      </c>
      <c r="N115" s="42"/>
    </row>
    <row r="116" spans="1:14" ht="24" customHeight="1">
      <c r="A116" s="8">
        <v>73</v>
      </c>
      <c r="B116" s="9">
        <v>73</v>
      </c>
      <c r="C116" s="46">
        <v>45787</v>
      </c>
      <c r="D116" s="9" t="s">
        <v>157</v>
      </c>
      <c r="E116" s="56" t="str">
        <f>IFERROR(VLOOKUP($D116,본공사입.출고현황!$B:$H,E$2080,0),0)</f>
        <v>Conduit Fitting</v>
      </c>
      <c r="F116" s="18" t="str">
        <f>IFERROR(VLOOKUP($D116,본공사입.출고현황!$B:$H,F$2080,0),0)</f>
        <v>Conduit Coupling 100-Ts</v>
      </c>
      <c r="G116" s="18" t="str">
        <f>IFERROR(VLOOKUP($D116,본공사입.출고현황!$B:$H,G$2080,0),0)</f>
        <v>Conduit Coupling</v>
      </c>
      <c r="H116" s="18" t="str">
        <f>IFERROR(VLOOKUP($D116,본공사입.출고현황!$B:$H,H$2080,0),0)</f>
        <v>100-Ts</v>
      </c>
      <c r="I116" s="56" t="str">
        <f>IFERROR(VLOOKUP($D116,본공사입.출고현황!$B:$H,I$2080,0),0)</f>
        <v>EA</v>
      </c>
      <c r="J116" s="9"/>
      <c r="K116" s="9"/>
      <c r="L116" s="37">
        <v>97</v>
      </c>
      <c r="M116" s="64" t="s">
        <v>243</v>
      </c>
      <c r="N116" s="42"/>
    </row>
    <row r="117" spans="1:14" ht="24" customHeight="1">
      <c r="A117" s="8">
        <v>74</v>
      </c>
      <c r="B117" s="9">
        <v>74</v>
      </c>
      <c r="C117" s="46">
        <v>45789</v>
      </c>
      <c r="D117" s="9" t="s">
        <v>162</v>
      </c>
      <c r="E117" s="56" t="str">
        <f>IFERROR(VLOOKUP($D117,본공사입.출고현황!$B:$H,E$2080,0),0)</f>
        <v>Sup't</v>
      </c>
      <c r="F117" s="18" t="str">
        <f>IFERROR(VLOOKUP($D117,본공사입.출고현황!$B:$H,F$2080,0),0)</f>
        <v>Angle 50x50x5</v>
      </c>
      <c r="G117" s="18" t="str">
        <f>IFERROR(VLOOKUP($D117,본공사입.출고현황!$B:$H,G$2080,0),0)</f>
        <v>Angle</v>
      </c>
      <c r="H117" s="18" t="str">
        <f>IFERROR(VLOOKUP($D117,본공사입.출고현황!$B:$H,H$2080,0),0)</f>
        <v>50*50*5</v>
      </c>
      <c r="I117" s="56" t="str">
        <f>IFERROR(VLOOKUP($D117,본공사입.출고현황!$B:$H,I$2080,0),0)</f>
        <v>M</v>
      </c>
      <c r="J117" s="9"/>
      <c r="K117" s="9"/>
      <c r="L117" s="37">
        <v>12</v>
      </c>
      <c r="M117" s="64" t="s">
        <v>246</v>
      </c>
      <c r="N117" s="42"/>
    </row>
    <row r="118" spans="1:14" ht="24" customHeight="1">
      <c r="A118" s="8">
        <v>75</v>
      </c>
      <c r="B118" s="9">
        <v>75</v>
      </c>
      <c r="C118" s="46">
        <v>45789</v>
      </c>
      <c r="D118" s="9" t="s">
        <v>110</v>
      </c>
      <c r="E118" s="56" t="str">
        <f>IFERROR(VLOOKUP($D118,본공사입.출고현황!$B:$H,E$2080,0),0)</f>
        <v>Miscellious</v>
      </c>
      <c r="F118" s="18" t="str">
        <f>IFERROR(VLOOKUP($D118,본공사입.출고현황!$B:$H,F$2080,0),0)</f>
        <v xml:space="preserve">Nicoband </v>
      </c>
      <c r="G118" s="18" t="str">
        <f>IFERROR(VLOOKUP($D118,본공사입.출고현황!$B:$H,G$2080,0),0)</f>
        <v>Nicoband</v>
      </c>
      <c r="H118" s="18" t="str">
        <f>IFERROR(VLOOKUP($D118,본공사입.출고현황!$B:$H,H$2080,0),0)</f>
        <v>10m x 15cm</v>
      </c>
      <c r="I118" s="56" t="str">
        <f>IFERROR(VLOOKUP($D118,본공사입.출고현황!$B:$H,I$2080,0),0)</f>
        <v>EA</v>
      </c>
      <c r="J118" s="9"/>
      <c r="K118" s="9"/>
      <c r="L118" s="37">
        <v>1</v>
      </c>
      <c r="M118" s="64" t="s">
        <v>362</v>
      </c>
      <c r="N118" s="42"/>
    </row>
    <row r="119" spans="1:14" ht="24" customHeight="1">
      <c r="A119" s="8">
        <v>76</v>
      </c>
      <c r="B119" s="9">
        <v>76</v>
      </c>
      <c r="C119" s="46">
        <v>45790</v>
      </c>
      <c r="D119" s="9" t="s">
        <v>162</v>
      </c>
      <c r="E119" s="56" t="str">
        <f>IFERROR(VLOOKUP($D119,본공사입.출고현황!$B:$H,E$2080,0),0)</f>
        <v>Sup't</v>
      </c>
      <c r="F119" s="18" t="str">
        <f>IFERROR(VLOOKUP($D119,본공사입.출고현황!$B:$H,F$2080,0),0)</f>
        <v>Angle 50x50x5</v>
      </c>
      <c r="G119" s="18" t="str">
        <f>IFERROR(VLOOKUP($D119,본공사입.출고현황!$B:$H,G$2080,0),0)</f>
        <v>Angle</v>
      </c>
      <c r="H119" s="18" t="str">
        <f>IFERROR(VLOOKUP($D119,본공사입.출고현황!$B:$H,H$2080,0),0)</f>
        <v>50*50*5</v>
      </c>
      <c r="I119" s="56" t="str">
        <f>IFERROR(VLOOKUP($D119,본공사입.출고현황!$B:$H,I$2080,0),0)</f>
        <v>M</v>
      </c>
      <c r="J119" s="9"/>
      <c r="K119" s="9"/>
      <c r="L119" s="37">
        <v>12</v>
      </c>
      <c r="M119" s="64" t="s">
        <v>246</v>
      </c>
      <c r="N119" s="42"/>
    </row>
    <row r="120" spans="1:14" ht="24" customHeight="1">
      <c r="A120" s="8">
        <v>77</v>
      </c>
      <c r="B120" s="9">
        <v>77</v>
      </c>
      <c r="C120" s="46">
        <v>45791</v>
      </c>
      <c r="D120" s="9" t="s">
        <v>238</v>
      </c>
      <c r="E120" s="56" t="str">
        <f>IFERROR(VLOOKUP($D120,본공사입.출고현황!$B:$H,E$2080,0),0)</f>
        <v>Steel round bar</v>
      </c>
      <c r="F120" s="18" t="str">
        <f>IFERROR(VLOOKUP($D120,본공사입.출고현황!$B:$H,F$2080,0),0)</f>
        <v>Steel round bar(rebar)</v>
      </c>
      <c r="G120" s="18" t="str">
        <f>IFERROR(VLOOKUP($D120,본공사입.출고현황!$B:$H,G$2080,0),0)</f>
        <v>CCGG</v>
      </c>
      <c r="H120" s="18" t="str">
        <f>IFERROR(VLOOKUP($D120,본공사입.출고현황!$B:$H,H$2080,0),0)</f>
        <v>ф10, 1ton=1,620.7m</v>
      </c>
      <c r="I120" s="56" t="str">
        <f>IFERROR(VLOOKUP($D120,본공사입.출고현황!$B:$H,I$2080,0),0)</f>
        <v>M</v>
      </c>
      <c r="J120" s="9"/>
      <c r="K120" s="9"/>
      <c r="L120" s="37">
        <v>360</v>
      </c>
      <c r="M120" s="64" t="s">
        <v>246</v>
      </c>
      <c r="N120" s="42"/>
    </row>
    <row r="121" spans="1:14" ht="24" customHeight="1">
      <c r="A121" s="8">
        <v>78</v>
      </c>
      <c r="B121" s="9">
        <v>78</v>
      </c>
      <c r="C121" s="46">
        <v>45791</v>
      </c>
      <c r="D121" s="9" t="s">
        <v>61</v>
      </c>
      <c r="E121" s="56" t="str">
        <f>IFERROR(VLOOKUP($D121,본공사입.출고현황!$B:$H,E$2080,0),0)</f>
        <v>Angle</v>
      </c>
      <c r="F121" s="18" t="str">
        <f>IFERROR(VLOOKUP($D121,본공사입.출고현황!$B:$H,F$2080,0),0)</f>
        <v>Angle 100x100x10</v>
      </c>
      <c r="G121" s="18" t="str">
        <f>IFERROR(VLOOKUP($D121,본공사입.출고현황!$B:$H,G$2080,0),0)</f>
        <v>CCGG</v>
      </c>
      <c r="H121" s="18" t="str">
        <f>IFERROR(VLOOKUP($D121,본공사입.출고현황!$B:$H,H$2080,0),0)</f>
        <v>100x100x10 (12m)</v>
      </c>
      <c r="I121" s="56" t="str">
        <f>IFERROR(VLOOKUP($D121,본공사입.출고현황!$B:$H,I$2080,0),0)</f>
        <v>M</v>
      </c>
      <c r="J121" s="9"/>
      <c r="K121" s="9"/>
      <c r="L121" s="37">
        <v>12</v>
      </c>
      <c r="M121" s="64" t="s">
        <v>246</v>
      </c>
      <c r="N121" s="42"/>
    </row>
    <row r="122" spans="1:14" ht="24" customHeight="1">
      <c r="A122" s="8">
        <v>79</v>
      </c>
      <c r="B122" s="9">
        <v>79</v>
      </c>
      <c r="C122" s="46">
        <v>45792</v>
      </c>
      <c r="D122" s="9" t="s">
        <v>238</v>
      </c>
      <c r="E122" s="56" t="str">
        <f>IFERROR(VLOOKUP($D122,본공사입.출고현황!$B:$H,E$2080,0),0)</f>
        <v>Steel round bar</v>
      </c>
      <c r="F122" s="18" t="str">
        <f>IFERROR(VLOOKUP($D122,본공사입.출고현황!$B:$H,F$2080,0),0)</f>
        <v>Steel round bar(rebar)</v>
      </c>
      <c r="G122" s="18" t="str">
        <f>IFERROR(VLOOKUP($D122,본공사입.출고현황!$B:$H,G$2080,0),0)</f>
        <v>CCGG</v>
      </c>
      <c r="H122" s="18" t="str">
        <f>IFERROR(VLOOKUP($D122,본공사입.출고현황!$B:$H,H$2080,0),0)</f>
        <v>ф10, 1ton=1,620.7m</v>
      </c>
      <c r="I122" s="56" t="str">
        <f>IFERROR(VLOOKUP($D122,본공사입.출고현황!$B:$H,I$2080,0),0)</f>
        <v>M</v>
      </c>
      <c r="J122" s="9"/>
      <c r="K122" s="9"/>
      <c r="L122" s="37">
        <v>200</v>
      </c>
      <c r="M122" s="64" t="s">
        <v>246</v>
      </c>
      <c r="N122" s="42"/>
    </row>
    <row r="123" spans="1:14" ht="24" customHeight="1">
      <c r="A123" s="8">
        <v>80</v>
      </c>
      <c r="B123" s="9">
        <v>80</v>
      </c>
      <c r="C123" s="46">
        <v>45795</v>
      </c>
      <c r="D123" s="9" t="s">
        <v>61</v>
      </c>
      <c r="E123" s="56" t="str">
        <f>IFERROR(VLOOKUP($D123,본공사입.출고현황!$B:$H,E$2080,0),0)</f>
        <v>Angle</v>
      </c>
      <c r="F123" s="18" t="str">
        <f>IFERROR(VLOOKUP($D123,본공사입.출고현황!$B:$H,F$2080,0),0)</f>
        <v>Angle 100x100x10</v>
      </c>
      <c r="G123" s="18" t="str">
        <f>IFERROR(VLOOKUP($D123,본공사입.출고현황!$B:$H,G$2080,0),0)</f>
        <v>CCGG</v>
      </c>
      <c r="H123" s="18" t="str">
        <f>IFERROR(VLOOKUP($D123,본공사입.출고현황!$B:$H,H$2080,0),0)</f>
        <v>100x100x10 (12m)</v>
      </c>
      <c r="I123" s="56" t="str">
        <f>IFERROR(VLOOKUP($D123,본공사입.출고현황!$B:$H,I$2080,0),0)</f>
        <v>M</v>
      </c>
      <c r="J123" s="9"/>
      <c r="K123" s="9"/>
      <c r="L123" s="37">
        <v>12</v>
      </c>
      <c r="M123" s="64" t="s">
        <v>246</v>
      </c>
      <c r="N123" s="42" t="s">
        <v>41</v>
      </c>
    </row>
    <row r="124" spans="1:14" ht="24" customHeight="1">
      <c r="A124" s="8">
        <v>81</v>
      </c>
      <c r="B124" s="9">
        <v>81</v>
      </c>
      <c r="C124" s="46">
        <v>45796</v>
      </c>
      <c r="D124" s="9" t="s">
        <v>238</v>
      </c>
      <c r="E124" s="56" t="str">
        <f>IFERROR(VLOOKUP($D124,본공사입.출고현황!$B:$H,E$2080,0),0)</f>
        <v>Steel round bar</v>
      </c>
      <c r="F124" s="18" t="str">
        <f>IFERROR(VLOOKUP($D124,본공사입.출고현황!$B:$H,F$2080,0),0)</f>
        <v>Steel round bar(rebar)</v>
      </c>
      <c r="G124" s="18" t="str">
        <f>IFERROR(VLOOKUP($D124,본공사입.출고현황!$B:$H,G$2080,0),0)</f>
        <v>CCGG</v>
      </c>
      <c r="H124" s="18" t="str">
        <f>IFERROR(VLOOKUP($D124,본공사입.출고현황!$B:$H,H$2080,0),0)</f>
        <v>ф10, 1ton=1,620.7m</v>
      </c>
      <c r="I124" s="56" t="str">
        <f>IFERROR(VLOOKUP($D124,본공사입.출고현황!$B:$H,I$2080,0),0)</f>
        <v>M</v>
      </c>
      <c r="J124" s="9"/>
      <c r="K124" s="9"/>
      <c r="L124" s="37">
        <v>200</v>
      </c>
      <c r="M124" s="64" t="s">
        <v>246</v>
      </c>
      <c r="N124" s="42"/>
    </row>
    <row r="125" spans="1:14" ht="24" customHeight="1">
      <c r="A125" s="8">
        <v>82</v>
      </c>
      <c r="B125" s="9">
        <v>82</v>
      </c>
      <c r="C125" s="46">
        <v>45796</v>
      </c>
      <c r="D125" s="9" t="s">
        <v>140</v>
      </c>
      <c r="E125" s="56" t="str">
        <f>IFERROR(VLOOKUP($D125,본공사입.출고현황!$B:$H,E$2080,0),0)</f>
        <v>Conduit</v>
      </c>
      <c r="F125" s="18" t="str">
        <f>IFERROR(VLOOKUP($D125,본공사입.출고현황!$B:$H,F$2080,0),0)</f>
        <v>Conduit 108x4.0</v>
      </c>
      <c r="G125" s="18" t="str">
        <f>IFERROR(VLOOKUP($D125,본공사입.출고현황!$B:$H,G$2080,0),0)</f>
        <v>Conduit</v>
      </c>
      <c r="H125" s="18" t="str">
        <f>IFERROR(VLOOKUP($D125,본공사입.출고현황!$B:$H,H$2080,0),0)</f>
        <v>108x4</v>
      </c>
      <c r="I125" s="56" t="str">
        <f>IFERROR(VLOOKUP($D125,본공사입.출고현황!$B:$H,I$2080,0),0)</f>
        <v>M</v>
      </c>
      <c r="J125" s="9"/>
      <c r="K125" s="9"/>
      <c r="L125" s="37">
        <v>173</v>
      </c>
      <c r="M125" s="64" t="s">
        <v>243</v>
      </c>
      <c r="N125" s="42"/>
    </row>
    <row r="126" spans="1:14" ht="24" customHeight="1">
      <c r="A126" s="8">
        <v>83</v>
      </c>
      <c r="B126" s="9">
        <v>83</v>
      </c>
      <c r="C126" s="46">
        <v>45797</v>
      </c>
      <c r="D126" s="9" t="s">
        <v>238</v>
      </c>
      <c r="E126" s="56" t="str">
        <f>IFERROR(VLOOKUP($D126,본공사입.출고현황!$B:$H,E$2080,0),0)</f>
        <v>Steel round bar</v>
      </c>
      <c r="F126" s="18" t="str">
        <f>IFERROR(VLOOKUP($D126,본공사입.출고현황!$B:$H,F$2080,0),0)</f>
        <v>Steel round bar(rebar)</v>
      </c>
      <c r="G126" s="18" t="str">
        <f>IFERROR(VLOOKUP($D126,본공사입.출고현황!$B:$H,G$2080,0),0)</f>
        <v>CCGG</v>
      </c>
      <c r="H126" s="18" t="str">
        <f>IFERROR(VLOOKUP($D126,본공사입.출고현황!$B:$H,H$2080,0),0)</f>
        <v>ф10, 1ton=1,620.7m</v>
      </c>
      <c r="I126" s="56" t="str">
        <f>IFERROR(VLOOKUP($D126,본공사입.출고현황!$B:$H,I$2080,0),0)</f>
        <v>M</v>
      </c>
      <c r="J126" s="9"/>
      <c r="K126" s="9"/>
      <c r="L126" s="37">
        <v>422</v>
      </c>
      <c r="M126" s="64" t="s">
        <v>246</v>
      </c>
      <c r="N126" s="42"/>
    </row>
    <row r="127" spans="1:14" ht="24" customHeight="1">
      <c r="A127" s="8">
        <v>84</v>
      </c>
      <c r="B127" s="9">
        <v>84</v>
      </c>
      <c r="C127" s="46">
        <v>45797</v>
      </c>
      <c r="D127" s="9" t="s">
        <v>162</v>
      </c>
      <c r="E127" s="56" t="str">
        <f>IFERROR(VLOOKUP($D127,본공사입.출고현황!$B:$H,E$2080,0),0)</f>
        <v>Sup't</v>
      </c>
      <c r="F127" s="18" t="str">
        <f>IFERROR(VLOOKUP($D127,본공사입.출고현황!$B:$H,F$2080,0),0)</f>
        <v>Angle 50x50x5</v>
      </c>
      <c r="G127" s="18" t="str">
        <f>IFERROR(VLOOKUP($D127,본공사입.출고현황!$B:$H,G$2080,0),0)</f>
        <v>Angle</v>
      </c>
      <c r="H127" s="18" t="str">
        <f>IFERROR(VLOOKUP($D127,본공사입.출고현황!$B:$H,H$2080,0),0)</f>
        <v>50*50*5</v>
      </c>
      <c r="I127" s="56" t="str">
        <f>IFERROR(VLOOKUP($D127,본공사입.출고현황!$B:$H,I$2080,0),0)</f>
        <v>M</v>
      </c>
      <c r="J127" s="9"/>
      <c r="K127" s="9"/>
      <c r="L127" s="37">
        <v>12</v>
      </c>
      <c r="M127" s="64" t="s">
        <v>246</v>
      </c>
      <c r="N127" s="42" t="s">
        <v>41</v>
      </c>
    </row>
    <row r="128" spans="1:14" ht="24" customHeight="1">
      <c r="A128" s="8">
        <v>85</v>
      </c>
      <c r="B128" s="9">
        <v>85</v>
      </c>
      <c r="C128" s="46">
        <v>45798</v>
      </c>
      <c r="D128" s="9" t="s">
        <v>165</v>
      </c>
      <c r="E128" s="56" t="str">
        <f>IFERROR(VLOOKUP($D128,본공사입.출고현황!$B:$H,E$2080,0),0)</f>
        <v>Sup't</v>
      </c>
      <c r="F128" s="18" t="str">
        <f>IFERROR(VLOOKUP($D128,본공사입.출고현황!$B:$H,F$2080,0),0)</f>
        <v>Angle 70x70x7</v>
      </c>
      <c r="G128" s="18" t="str">
        <f>IFERROR(VLOOKUP($D128,본공사입.출고현황!$B:$H,G$2080,0),0)</f>
        <v>Angle</v>
      </c>
      <c r="H128" s="18" t="str">
        <f>IFERROR(VLOOKUP($D128,본공사입.출고현황!$B:$H,H$2080,0),0)</f>
        <v>70*70*7</v>
      </c>
      <c r="I128" s="56" t="str">
        <f>IFERROR(VLOOKUP($D128,본공사입.출고현황!$B:$H,I$2080,0),0)</f>
        <v>M</v>
      </c>
      <c r="J128" s="9"/>
      <c r="K128" s="9"/>
      <c r="L128" s="37">
        <v>13.5</v>
      </c>
      <c r="M128" s="64" t="s">
        <v>246</v>
      </c>
      <c r="N128" s="42" t="s">
        <v>41</v>
      </c>
    </row>
    <row r="129" spans="1:14" ht="24" customHeight="1">
      <c r="A129" s="8">
        <v>86</v>
      </c>
      <c r="B129" s="9">
        <v>86</v>
      </c>
      <c r="C129" s="46">
        <v>45800</v>
      </c>
      <c r="D129" s="9" t="s">
        <v>238</v>
      </c>
      <c r="E129" s="56" t="str">
        <f>IFERROR(VLOOKUP($D129,본공사입.출고현황!$B:$H,E$2080,0),0)</f>
        <v>Steel round bar</v>
      </c>
      <c r="F129" s="18" t="str">
        <f>IFERROR(VLOOKUP($D129,본공사입.출고현황!$B:$H,F$2080,0),0)</f>
        <v>Steel round bar(rebar)</v>
      </c>
      <c r="G129" s="18" t="str">
        <f>IFERROR(VLOOKUP($D129,본공사입.출고현황!$B:$H,G$2080,0),0)</f>
        <v>CCGG</v>
      </c>
      <c r="H129" s="18" t="str">
        <f>IFERROR(VLOOKUP($D129,본공사입.출고현황!$B:$H,H$2080,0),0)</f>
        <v>ф10, 1ton=1,620.7m</v>
      </c>
      <c r="I129" s="56" t="str">
        <f>IFERROR(VLOOKUP($D129,본공사입.출고현황!$B:$H,I$2080,0),0)</f>
        <v>M</v>
      </c>
      <c r="J129" s="9"/>
      <c r="K129" s="9"/>
      <c r="L129" s="37">
        <v>388</v>
      </c>
      <c r="M129" s="64" t="s">
        <v>246</v>
      </c>
      <c r="N129" s="42" t="s">
        <v>41</v>
      </c>
    </row>
    <row r="130" spans="1:14" ht="24" customHeight="1">
      <c r="A130" s="8">
        <v>87</v>
      </c>
      <c r="B130" s="9">
        <v>87</v>
      </c>
      <c r="C130" s="46">
        <v>45801</v>
      </c>
      <c r="D130" s="9" t="s">
        <v>238</v>
      </c>
      <c r="E130" s="56" t="str">
        <f>IFERROR(VLOOKUP($D130,본공사입.출고현황!$B:$H,E$2080,0),0)</f>
        <v>Steel round bar</v>
      </c>
      <c r="F130" s="18" t="str">
        <f>IFERROR(VLOOKUP($D130,본공사입.출고현황!$B:$H,F$2080,0),0)</f>
        <v>Steel round bar(rebar)</v>
      </c>
      <c r="G130" s="18" t="str">
        <f>IFERROR(VLOOKUP($D130,본공사입.출고현황!$B:$H,G$2080,0),0)</f>
        <v>CCGG</v>
      </c>
      <c r="H130" s="18" t="str">
        <f>IFERROR(VLOOKUP($D130,본공사입.출고현황!$B:$H,H$2080,0),0)</f>
        <v>ф10, 1ton=1,620.7m</v>
      </c>
      <c r="I130" s="56" t="str">
        <f>IFERROR(VLOOKUP($D130,본공사입.출고현황!$B:$H,I$2080,0),0)</f>
        <v>M</v>
      </c>
      <c r="J130" s="9"/>
      <c r="K130" s="9"/>
      <c r="L130" s="37">
        <v>250</v>
      </c>
      <c r="M130" s="64" t="s">
        <v>246</v>
      </c>
      <c r="N130" s="42"/>
    </row>
    <row r="131" spans="1:14" ht="24" customHeight="1">
      <c r="A131" s="8">
        <v>88</v>
      </c>
      <c r="B131" s="9">
        <v>88</v>
      </c>
      <c r="C131" s="46">
        <v>45803</v>
      </c>
      <c r="D131" s="9" t="s">
        <v>104</v>
      </c>
      <c r="E131" s="56" t="str">
        <f>IFERROR(VLOOKUP($D131,본공사입.출고현황!$B:$H,E$2080,0),0)</f>
        <v>Ground</v>
      </c>
      <c r="F131" s="18" t="str">
        <f>IFERROR(VLOOKUP($D131,본공사입.출고현황!$B:$H,F$2080,0),0)</f>
        <v>Cadweld PGC-Y4Y4</v>
      </c>
      <c r="G131" s="18" t="str">
        <f>IFERROR(VLOOKUP($D131,본공사입.출고현황!$B:$H,G$2080,0),0)</f>
        <v>Welding Mold</v>
      </c>
      <c r="H131" s="18" t="str">
        <f>IFERROR(VLOOKUP($D131,본공사입.출고현황!$B:$H,H$2080,0),0)</f>
        <v>Parallel (=)</v>
      </c>
      <c r="I131" s="56" t="str">
        <f>IFERROR(VLOOKUP($D131,본공사입.출고현황!$B:$H,I$2080,0),0)</f>
        <v>EA</v>
      </c>
      <c r="J131" s="9"/>
      <c r="K131" s="9"/>
      <c r="L131" s="37">
        <v>1</v>
      </c>
      <c r="M131" s="64" t="s">
        <v>357</v>
      </c>
      <c r="N131" s="42"/>
    </row>
    <row r="132" spans="1:14" ht="24" customHeight="1">
      <c r="A132" s="8">
        <v>89</v>
      </c>
      <c r="B132" s="9">
        <v>89</v>
      </c>
      <c r="C132" s="46">
        <v>45803</v>
      </c>
      <c r="D132" s="9" t="s">
        <v>86</v>
      </c>
      <c r="E132" s="56" t="str">
        <f>IFERROR(VLOOKUP($D132,본공사입.출고현황!$B:$H,E$2080,0),0)</f>
        <v>Ground</v>
      </c>
      <c r="F132" s="18" t="str">
        <f>IFERROR(VLOOKUP($D132,본공사입.출고현황!$B:$H,F$2080,0),0)</f>
        <v>Cadweld Powder #115</v>
      </c>
      <c r="G132" s="18" t="str">
        <f>IFERROR(VLOOKUP($D132,본공사입.출고현황!$B:$H,G$2080,0),0)</f>
        <v>Cadweld Powder</v>
      </c>
      <c r="H132" s="18" t="str">
        <f>IFERROR(VLOOKUP($D132,본공사입.출고현황!$B:$H,H$2080,0),0)</f>
        <v>#115</v>
      </c>
      <c r="I132" s="56" t="str">
        <f>IFERROR(VLOOKUP($D132,본공사입.출고현황!$B:$H,I$2080,0),0)</f>
        <v>EA</v>
      </c>
      <c r="J132" s="9"/>
      <c r="K132" s="9"/>
      <c r="L132" s="37">
        <v>10</v>
      </c>
      <c r="M132" s="64" t="s">
        <v>357</v>
      </c>
      <c r="N132" s="42"/>
    </row>
    <row r="133" spans="1:14" ht="24" customHeight="1">
      <c r="A133" s="8">
        <v>90</v>
      </c>
      <c r="B133" s="9">
        <v>90</v>
      </c>
      <c r="C133" s="46">
        <v>45803</v>
      </c>
      <c r="D133" s="9" t="s">
        <v>70</v>
      </c>
      <c r="E133" s="56" t="str">
        <f>IFERROR(VLOOKUP($D133,본공사입.출고현황!$B:$H,E$2080,0),0)</f>
        <v>Ground</v>
      </c>
      <c r="F133" s="18" t="str">
        <f>IFERROR(VLOOKUP($D133,본공사입.출고현황!$B:$H,F$2080,0),0)</f>
        <v>Ground Cable  70SQ</v>
      </c>
      <c r="G133" s="18" t="str">
        <f>IFERROR(VLOOKUP($D133,본공사입.출고현황!$B:$H,G$2080,0),0)</f>
        <v xml:space="preserve">Ground Cable </v>
      </c>
      <c r="H133" s="18" t="str">
        <f>IFERROR(VLOOKUP($D133,본공사입.출고현황!$B:$H,H$2080,0),0)</f>
        <v>70SQ</v>
      </c>
      <c r="I133" s="56" t="str">
        <f>IFERROR(VLOOKUP($D133,본공사입.출고현황!$B:$H,I$2080,0),0)</f>
        <v>M</v>
      </c>
      <c r="J133" s="9"/>
      <c r="K133" s="9"/>
      <c r="L133" s="37">
        <v>52</v>
      </c>
      <c r="M133" s="64" t="s">
        <v>357</v>
      </c>
      <c r="N133" s="42"/>
    </row>
    <row r="134" spans="1:14" ht="24" customHeight="1">
      <c r="A134" s="8">
        <v>91</v>
      </c>
      <c r="B134" s="9">
        <v>91</v>
      </c>
      <c r="C134" s="46">
        <v>45803</v>
      </c>
      <c r="D134" s="9" t="s">
        <v>111</v>
      </c>
      <c r="E134" s="56" t="str">
        <f>IFERROR(VLOOKUP($D134,본공사입.출고현황!$B:$H,E$2080,0),0)</f>
        <v>Ground Conduit</v>
      </c>
      <c r="F134" s="18" t="str">
        <f>IFERROR(VLOOKUP($D134,본공사입.출고현황!$B:$H,F$2080,0),0)</f>
        <v>Flexible Conduit 2"</v>
      </c>
      <c r="G134" s="18" t="str">
        <f>IFERROR(VLOOKUP($D134,본공사입.출고현황!$B:$H,G$2080,0),0)</f>
        <v>Ground Conduit</v>
      </c>
      <c r="H134" s="18" t="str">
        <f>IFERROR(VLOOKUP($D134,본공사입.출고현황!$B:$H,H$2080,0),0)</f>
        <v>2"</v>
      </c>
      <c r="I134" s="56" t="str">
        <f>IFERROR(VLOOKUP($D134,본공사입.출고현황!$B:$H,I$2080,0),0)</f>
        <v>M</v>
      </c>
      <c r="J134" s="9"/>
      <c r="K134" s="9"/>
      <c r="L134" s="37">
        <v>50</v>
      </c>
      <c r="M134" s="64" t="s">
        <v>357</v>
      </c>
      <c r="N134" s="42"/>
    </row>
    <row r="135" spans="1:14" ht="24" customHeight="1">
      <c r="A135" s="8">
        <v>92</v>
      </c>
      <c r="B135" s="9">
        <v>92</v>
      </c>
      <c r="C135" s="46">
        <v>45802</v>
      </c>
      <c r="D135" s="9" t="s">
        <v>162</v>
      </c>
      <c r="E135" s="56" t="str">
        <f>IFERROR(VLOOKUP($D135,본공사입.출고현황!$B:$H,E$2080,0),0)</f>
        <v>Sup't</v>
      </c>
      <c r="F135" s="18" t="str">
        <f>IFERROR(VLOOKUP($D135,본공사입.출고현황!$B:$H,F$2080,0),0)</f>
        <v>Angle 50x50x5</v>
      </c>
      <c r="G135" s="18" t="str">
        <f>IFERROR(VLOOKUP($D135,본공사입.출고현황!$B:$H,G$2080,0),0)</f>
        <v>Angle</v>
      </c>
      <c r="H135" s="18" t="str">
        <f>IFERROR(VLOOKUP($D135,본공사입.출고현황!$B:$H,H$2080,0),0)</f>
        <v>50*50*5</v>
      </c>
      <c r="I135" s="56" t="str">
        <f>IFERROR(VLOOKUP($D135,본공사입.출고현황!$B:$H,I$2080,0),0)</f>
        <v>M</v>
      </c>
      <c r="J135" s="9"/>
      <c r="K135" s="9"/>
      <c r="L135" s="37">
        <v>36</v>
      </c>
      <c r="M135" s="64" t="s">
        <v>246</v>
      </c>
      <c r="N135" s="42" t="s">
        <v>41</v>
      </c>
    </row>
    <row r="136" spans="1:14" ht="24" customHeight="1">
      <c r="A136" s="8">
        <v>93</v>
      </c>
      <c r="B136" s="9">
        <v>93</v>
      </c>
      <c r="C136" s="46">
        <v>45803</v>
      </c>
      <c r="D136" s="9" t="s">
        <v>162</v>
      </c>
      <c r="E136" s="56" t="str">
        <f>IFERROR(VLOOKUP($D136,본공사입.출고현황!$B:$H,E$2080,0),0)</f>
        <v>Sup't</v>
      </c>
      <c r="F136" s="18" t="str">
        <f>IFERROR(VLOOKUP($D136,본공사입.출고현황!$B:$H,F$2080,0),0)</f>
        <v>Angle 50x50x5</v>
      </c>
      <c r="G136" s="18" t="str">
        <f>IFERROR(VLOOKUP($D136,본공사입.출고현황!$B:$H,G$2080,0),0)</f>
        <v>Angle</v>
      </c>
      <c r="H136" s="18" t="str">
        <f>IFERROR(VLOOKUP($D136,본공사입.출고현황!$B:$H,H$2080,0),0)</f>
        <v>50*50*5</v>
      </c>
      <c r="I136" s="56" t="str">
        <f>IFERROR(VLOOKUP($D136,본공사입.출고현황!$B:$H,I$2080,0),0)</f>
        <v>M</v>
      </c>
      <c r="J136" s="9"/>
      <c r="K136" s="9"/>
      <c r="L136" s="37">
        <v>12</v>
      </c>
      <c r="M136" s="64" t="s">
        <v>246</v>
      </c>
      <c r="N136" s="42" t="s">
        <v>41</v>
      </c>
    </row>
    <row r="137" spans="1:14" ht="24" customHeight="1">
      <c r="A137" s="8">
        <v>94</v>
      </c>
      <c r="B137" s="9">
        <v>94</v>
      </c>
      <c r="C137" s="46">
        <v>45804</v>
      </c>
      <c r="D137" s="9" t="s">
        <v>406</v>
      </c>
      <c r="E137" s="56" t="str">
        <f>IFERROR(VLOOKUP($D137,본공사입.출고현황!$B:$H,E$2080,0),0)</f>
        <v>Sup't</v>
      </c>
      <c r="F137" s="18" t="str">
        <f>IFERROR(VLOOKUP($D137,본공사입.출고현황!$B:$H,F$2080,0),0)</f>
        <v>Angle 50x50x5</v>
      </c>
      <c r="G137" s="18" t="str">
        <f>IFERROR(VLOOKUP($D137,본공사입.출고현황!$B:$H,G$2080,0),0)</f>
        <v>Angle</v>
      </c>
      <c r="H137" s="18" t="str">
        <f>IFERROR(VLOOKUP($D137,본공사입.출고현황!$B:$H,H$2080,0),0)</f>
        <v>50*50*5</v>
      </c>
      <c r="I137" s="56" t="str">
        <f>IFERROR(VLOOKUP($D137,본공사입.출고현황!$B:$H,I$2080,0),0)</f>
        <v>M</v>
      </c>
      <c r="J137" s="9"/>
      <c r="K137" s="9"/>
      <c r="L137" s="37">
        <v>36</v>
      </c>
      <c r="M137" s="64" t="s">
        <v>246</v>
      </c>
      <c r="N137" s="42" t="s">
        <v>41</v>
      </c>
    </row>
    <row r="138" spans="1:14" ht="24" customHeight="1">
      <c r="A138" s="8">
        <v>95</v>
      </c>
      <c r="B138" s="9">
        <v>95</v>
      </c>
      <c r="C138" s="46">
        <v>45805</v>
      </c>
      <c r="D138" s="9" t="s">
        <v>238</v>
      </c>
      <c r="E138" s="56" t="str">
        <f>IFERROR(VLOOKUP($D138,본공사입.출고현황!$B:$H,E$2080,0),0)</f>
        <v>Steel round bar</v>
      </c>
      <c r="F138" s="18" t="str">
        <f>IFERROR(VLOOKUP($D138,본공사입.출고현황!$B:$H,F$2080,0),0)</f>
        <v>Steel round bar(rebar)</v>
      </c>
      <c r="G138" s="18" t="str">
        <f>IFERROR(VLOOKUP($D138,본공사입.출고현황!$B:$H,G$2080,0),0)</f>
        <v>CCGG</v>
      </c>
      <c r="H138" s="18" t="str">
        <f>IFERROR(VLOOKUP($D138,본공사입.출고현황!$B:$H,H$2080,0),0)</f>
        <v>ф10, 1ton=1,620.7m</v>
      </c>
      <c r="I138" s="56" t="str">
        <f>IFERROR(VLOOKUP($D138,본공사입.출고현황!$B:$H,I$2080,0),0)</f>
        <v>M</v>
      </c>
      <c r="J138" s="9"/>
      <c r="K138" s="9"/>
      <c r="L138" s="37">
        <v>600</v>
      </c>
      <c r="M138" s="64" t="s">
        <v>246</v>
      </c>
      <c r="N138" s="42"/>
    </row>
    <row r="139" spans="1:14" ht="24" customHeight="1">
      <c r="A139" s="8">
        <v>96</v>
      </c>
      <c r="B139" s="9">
        <v>96</v>
      </c>
      <c r="C139" s="46">
        <v>45805</v>
      </c>
      <c r="D139" s="9" t="s">
        <v>61</v>
      </c>
      <c r="E139" s="56" t="str">
        <f>IFERROR(VLOOKUP($D139,본공사입.출고현황!$B:$H,E$2080,0),0)</f>
        <v>Angle</v>
      </c>
      <c r="F139" s="18" t="str">
        <f>IFERROR(VLOOKUP($D139,본공사입.출고현황!$B:$H,F$2080,0),0)</f>
        <v>Angle 100x100x10</v>
      </c>
      <c r="G139" s="18" t="str">
        <f>IFERROR(VLOOKUP($D139,본공사입.출고현황!$B:$H,G$2080,0),0)</f>
        <v>CCGG</v>
      </c>
      <c r="H139" s="18" t="str">
        <f>IFERROR(VLOOKUP($D139,본공사입.출고현황!$B:$H,H$2080,0),0)</f>
        <v>100x100x10 (12m)</v>
      </c>
      <c r="I139" s="56" t="str">
        <f>IFERROR(VLOOKUP($D139,본공사입.출고현황!$B:$H,I$2080,0),0)</f>
        <v>M</v>
      </c>
      <c r="J139" s="9"/>
      <c r="K139" s="9"/>
      <c r="L139" s="37">
        <v>12</v>
      </c>
      <c r="M139" s="64" t="s">
        <v>246</v>
      </c>
      <c r="N139" s="42"/>
    </row>
    <row r="140" spans="1:14" ht="24" customHeight="1">
      <c r="A140" s="8">
        <v>97</v>
      </c>
      <c r="B140" s="9">
        <v>97</v>
      </c>
      <c r="C140" s="46">
        <v>45809</v>
      </c>
      <c r="D140" s="9" t="s">
        <v>406</v>
      </c>
      <c r="E140" s="56" t="str">
        <f>IFERROR(VLOOKUP($D140,본공사입.출고현황!$B:$H,E$2080,0),0)</f>
        <v>Sup't</v>
      </c>
      <c r="F140" s="18" t="str">
        <f>IFERROR(VLOOKUP($D140,본공사입.출고현황!$B:$H,F$2080,0),0)</f>
        <v>Angle 50x50x5</v>
      </c>
      <c r="G140" s="18" t="str">
        <f>IFERROR(VLOOKUP($D140,본공사입.출고현황!$B:$H,G$2080,0),0)</f>
        <v>Angle</v>
      </c>
      <c r="H140" s="18" t="str">
        <f>IFERROR(VLOOKUP($D140,본공사입.출고현황!$B:$H,H$2080,0),0)</f>
        <v>50*50*5</v>
      </c>
      <c r="I140" s="56" t="str">
        <f>IFERROR(VLOOKUP($D140,본공사입.출고현황!$B:$H,I$2080,0),0)</f>
        <v>M</v>
      </c>
      <c r="J140" s="9"/>
      <c r="K140" s="9"/>
      <c r="L140" s="37">
        <v>12</v>
      </c>
      <c r="M140" s="64" t="s">
        <v>408</v>
      </c>
      <c r="N140" s="42"/>
    </row>
    <row r="141" spans="1:14" ht="24" customHeight="1">
      <c r="A141" s="8">
        <v>98</v>
      </c>
      <c r="B141" s="9">
        <v>98</v>
      </c>
      <c r="C141" s="46">
        <v>45809</v>
      </c>
      <c r="D141" s="9" t="s">
        <v>86</v>
      </c>
      <c r="E141" s="56" t="str">
        <f>IFERROR(VLOOKUP($D141,본공사입.출고현황!$B:$H,E$2080,0),0)</f>
        <v>Ground</v>
      </c>
      <c r="F141" s="18" t="str">
        <f>IFERROR(VLOOKUP($D141,본공사입.출고현황!$B:$H,F$2080,0),0)</f>
        <v>Cadweld Powder #115</v>
      </c>
      <c r="G141" s="18" t="str">
        <f>IFERROR(VLOOKUP($D141,본공사입.출고현황!$B:$H,G$2080,0),0)</f>
        <v>Cadweld Powder</v>
      </c>
      <c r="H141" s="18" t="str">
        <f>IFERROR(VLOOKUP($D141,본공사입.출고현황!$B:$H,H$2080,0),0)</f>
        <v>#115</v>
      </c>
      <c r="I141" s="56" t="str">
        <f>IFERROR(VLOOKUP($D141,본공사입.출고현황!$B:$H,I$2080,0),0)</f>
        <v>EA</v>
      </c>
      <c r="J141" s="9"/>
      <c r="K141" s="9"/>
      <c r="L141" s="37">
        <v>10</v>
      </c>
      <c r="M141" s="64" t="s">
        <v>409</v>
      </c>
      <c r="N141" s="42"/>
    </row>
    <row r="142" spans="1:14" ht="24" customHeight="1">
      <c r="A142" s="8">
        <v>99</v>
      </c>
      <c r="B142" s="9">
        <v>99</v>
      </c>
      <c r="C142" s="46">
        <v>45809</v>
      </c>
      <c r="D142" s="9" t="s">
        <v>70</v>
      </c>
      <c r="E142" s="56" t="str">
        <f>IFERROR(VLOOKUP($D142,본공사입.출고현황!$B:$H,E$2080,0),0)</f>
        <v>Ground</v>
      </c>
      <c r="F142" s="18" t="str">
        <f>IFERROR(VLOOKUP($D142,본공사입.출고현황!$B:$H,F$2080,0),0)</f>
        <v>Ground Cable  70SQ</v>
      </c>
      <c r="G142" s="18" t="str">
        <f>IFERROR(VLOOKUP($D142,본공사입.출고현황!$B:$H,G$2080,0),0)</f>
        <v xml:space="preserve">Ground Cable </v>
      </c>
      <c r="H142" s="18" t="str">
        <f>IFERROR(VLOOKUP($D142,본공사입.출고현황!$B:$H,H$2080,0),0)</f>
        <v>70SQ</v>
      </c>
      <c r="I142" s="56" t="str">
        <f>IFERROR(VLOOKUP($D142,본공사입.출고현황!$B:$H,I$2080,0),0)</f>
        <v>M</v>
      </c>
      <c r="J142" s="9"/>
      <c r="K142" s="9"/>
      <c r="L142" s="37">
        <v>126</v>
      </c>
      <c r="M142" s="64" t="s">
        <v>409</v>
      </c>
      <c r="N142" s="42"/>
    </row>
    <row r="143" spans="1:14" ht="24" customHeight="1">
      <c r="A143" s="8">
        <v>100</v>
      </c>
      <c r="B143" s="9">
        <v>100</v>
      </c>
      <c r="C143" s="46">
        <v>45809</v>
      </c>
      <c r="D143" s="9" t="s">
        <v>111</v>
      </c>
      <c r="E143" s="56" t="str">
        <f>IFERROR(VLOOKUP($D143,본공사입.출고현황!$B:$H,E$2080,0),0)</f>
        <v>Ground Conduit</v>
      </c>
      <c r="F143" s="18" t="str">
        <f>IFERROR(VLOOKUP($D143,본공사입.출고현황!$B:$H,F$2080,0),0)</f>
        <v>Flexible Conduit 2"</v>
      </c>
      <c r="G143" s="18" t="str">
        <f>IFERROR(VLOOKUP($D143,본공사입.출고현황!$B:$H,G$2080,0),0)</f>
        <v>Ground Conduit</v>
      </c>
      <c r="H143" s="18" t="str">
        <f>IFERROR(VLOOKUP($D143,본공사입.출고현황!$B:$H,H$2080,0),0)</f>
        <v>2"</v>
      </c>
      <c r="I143" s="56" t="str">
        <f>IFERROR(VLOOKUP($D143,본공사입.출고현황!$B:$H,I$2080,0),0)</f>
        <v>M</v>
      </c>
      <c r="J143" s="9"/>
      <c r="K143" s="9"/>
      <c r="L143" s="37">
        <v>100</v>
      </c>
      <c r="M143" s="64" t="s">
        <v>409</v>
      </c>
      <c r="N143" s="42"/>
    </row>
    <row r="144" spans="1:14" ht="24" customHeight="1">
      <c r="A144" s="8">
        <v>101</v>
      </c>
      <c r="B144" s="9">
        <v>101</v>
      </c>
      <c r="C144" s="46">
        <v>45810</v>
      </c>
      <c r="D144" s="9" t="s">
        <v>406</v>
      </c>
      <c r="E144" s="56" t="str">
        <f>IFERROR(VLOOKUP($D144,본공사입.출고현황!$B:$H,E$2080,0),0)</f>
        <v>Sup't</v>
      </c>
      <c r="F144" s="18" t="str">
        <f>IFERROR(VLOOKUP($D144,본공사입.출고현황!$B:$H,F$2080,0),0)</f>
        <v>Angle 50x50x5</v>
      </c>
      <c r="G144" s="18" t="str">
        <f>IFERROR(VLOOKUP($D144,본공사입.출고현황!$B:$H,G$2080,0),0)</f>
        <v>Angle</v>
      </c>
      <c r="H144" s="18" t="str">
        <f>IFERROR(VLOOKUP($D144,본공사입.출고현황!$B:$H,H$2080,0),0)</f>
        <v>50*50*5</v>
      </c>
      <c r="I144" s="56" t="str">
        <f>IFERROR(VLOOKUP($D144,본공사입.출고현황!$B:$H,I$2080,0),0)</f>
        <v>M</v>
      </c>
      <c r="J144" s="9"/>
      <c r="K144" s="9"/>
      <c r="L144" s="37">
        <v>12</v>
      </c>
      <c r="M144" s="64" t="s">
        <v>408</v>
      </c>
      <c r="N144" s="42"/>
    </row>
    <row r="145" spans="1:14" ht="24" customHeight="1">
      <c r="A145" s="8">
        <v>102</v>
      </c>
      <c r="B145" s="9">
        <v>102</v>
      </c>
      <c r="C145" s="46">
        <v>45810</v>
      </c>
      <c r="D145" s="9" t="s">
        <v>238</v>
      </c>
      <c r="E145" s="56" t="str">
        <f>IFERROR(VLOOKUP($D145,본공사입.출고현황!$B:$H,E$2080,0),0)</f>
        <v>Steel round bar</v>
      </c>
      <c r="F145" s="18" t="str">
        <f>IFERROR(VLOOKUP($D145,본공사입.출고현황!$B:$H,F$2080,0),0)</f>
        <v>Steel round bar(rebar)</v>
      </c>
      <c r="G145" s="18" t="str">
        <f>IFERROR(VLOOKUP($D145,본공사입.출고현황!$B:$H,G$2080,0),0)</f>
        <v>CCGG</v>
      </c>
      <c r="H145" s="18" t="str">
        <f>IFERROR(VLOOKUP($D145,본공사입.출고현황!$B:$H,H$2080,0),0)</f>
        <v>ф10, 1ton=1,620.7m</v>
      </c>
      <c r="I145" s="56" t="str">
        <f>IFERROR(VLOOKUP($D145,본공사입.출고현황!$B:$H,I$2080,0),0)</f>
        <v>M</v>
      </c>
      <c r="J145" s="9"/>
      <c r="K145" s="9"/>
      <c r="L145" s="37">
        <v>60</v>
      </c>
      <c r="M145" s="64" t="s">
        <v>408</v>
      </c>
      <c r="N145" s="42"/>
    </row>
    <row r="146" spans="1:14" ht="24" customHeight="1">
      <c r="A146" s="8">
        <v>103</v>
      </c>
      <c r="B146" s="9">
        <v>103</v>
      </c>
      <c r="C146" s="46">
        <v>45811</v>
      </c>
      <c r="D146" s="9" t="s">
        <v>111</v>
      </c>
      <c r="E146" s="56" t="str">
        <f>IFERROR(VLOOKUP($D146,본공사입.출고현황!$B:$H,E$2080,0),0)</f>
        <v>Ground Conduit</v>
      </c>
      <c r="F146" s="18" t="str">
        <f>IFERROR(VLOOKUP($D146,본공사입.출고현황!$B:$H,F$2080,0),0)</f>
        <v>Flexible Conduit 2"</v>
      </c>
      <c r="G146" s="18" t="str">
        <f>IFERROR(VLOOKUP($D146,본공사입.출고현황!$B:$H,G$2080,0),0)</f>
        <v>Ground Conduit</v>
      </c>
      <c r="H146" s="18" t="str">
        <f>IFERROR(VLOOKUP($D146,본공사입.출고현황!$B:$H,H$2080,0),0)</f>
        <v>2"</v>
      </c>
      <c r="I146" s="56" t="str">
        <f>IFERROR(VLOOKUP($D146,본공사입.출고현황!$B:$H,I$2080,0),0)</f>
        <v>M</v>
      </c>
      <c r="J146" s="9"/>
      <c r="K146" s="9"/>
      <c r="L146" s="37">
        <v>30</v>
      </c>
      <c r="M146" s="64" t="s">
        <v>409</v>
      </c>
      <c r="N146" s="42"/>
    </row>
    <row r="147" spans="1:14" ht="24" customHeight="1">
      <c r="A147" s="8">
        <v>104</v>
      </c>
      <c r="B147" s="9">
        <v>104</v>
      </c>
      <c r="C147" s="46">
        <v>45810</v>
      </c>
      <c r="D147" s="9" t="s">
        <v>61</v>
      </c>
      <c r="E147" s="56" t="str">
        <f>IFERROR(VLOOKUP($D147,본공사입.출고현황!$B:$H,E$2080,0),0)</f>
        <v>Angle</v>
      </c>
      <c r="F147" s="18" t="str">
        <f>IFERROR(VLOOKUP($D147,본공사입.출고현황!$B:$H,F$2080,0),0)</f>
        <v>Angle 100x100x10</v>
      </c>
      <c r="G147" s="18" t="str">
        <f>IFERROR(VLOOKUP($D147,본공사입.출고현황!$B:$H,G$2080,0),0)</f>
        <v>CCGG</v>
      </c>
      <c r="H147" s="18" t="str">
        <f>IFERROR(VLOOKUP($D147,본공사입.출고현황!$B:$H,H$2080,0),0)</f>
        <v>100x100x10 (12m)</v>
      </c>
      <c r="I147" s="56" t="str">
        <f>IFERROR(VLOOKUP($D147,본공사입.출고현황!$B:$H,I$2080,0),0)</f>
        <v>M</v>
      </c>
      <c r="J147" s="9"/>
      <c r="K147" s="9"/>
      <c r="L147" s="37">
        <v>6</v>
      </c>
      <c r="M147" s="64" t="s">
        <v>408</v>
      </c>
      <c r="N147" s="42"/>
    </row>
    <row r="148" spans="1:14" ht="24" customHeight="1">
      <c r="A148" s="8">
        <v>105</v>
      </c>
      <c r="B148" s="9">
        <v>105</v>
      </c>
      <c r="C148" s="46">
        <v>45811</v>
      </c>
      <c r="D148" s="9" t="s">
        <v>61</v>
      </c>
      <c r="E148" s="56" t="str">
        <f>IFERROR(VLOOKUP($D148,본공사입.출고현황!$B:$H,E$2080,0),0)</f>
        <v>Angle</v>
      </c>
      <c r="F148" s="18" t="str">
        <f>IFERROR(VLOOKUP($D148,본공사입.출고현황!$B:$H,F$2080,0),0)</f>
        <v>Angle 100x100x10</v>
      </c>
      <c r="G148" s="18" t="str">
        <f>IFERROR(VLOOKUP($D148,본공사입.출고현황!$B:$H,G$2080,0),0)</f>
        <v>CCGG</v>
      </c>
      <c r="H148" s="18" t="str">
        <f>IFERROR(VLOOKUP($D148,본공사입.출고현황!$B:$H,H$2080,0),0)</f>
        <v>100x100x10 (12m)</v>
      </c>
      <c r="I148" s="56" t="str">
        <f>IFERROR(VLOOKUP($D148,본공사입.출고현황!$B:$H,I$2080,0),0)</f>
        <v>M</v>
      </c>
      <c r="J148" s="9"/>
      <c r="K148" s="9"/>
      <c r="L148" s="37">
        <v>12</v>
      </c>
      <c r="M148" s="64" t="s">
        <v>408</v>
      </c>
      <c r="N148" s="42"/>
    </row>
    <row r="149" spans="1:14" ht="24" customHeight="1">
      <c r="A149" s="8">
        <v>106</v>
      </c>
      <c r="B149" s="9">
        <v>106</v>
      </c>
      <c r="C149" s="46">
        <v>45811</v>
      </c>
      <c r="D149" s="9" t="s">
        <v>238</v>
      </c>
      <c r="E149" s="56" t="str">
        <f>IFERROR(VLOOKUP($D149,본공사입.출고현황!$B:$H,E$2080,0),0)</f>
        <v>Steel round bar</v>
      </c>
      <c r="F149" s="18" t="str">
        <f>IFERROR(VLOOKUP($D149,본공사입.출고현황!$B:$H,F$2080,0),0)</f>
        <v>Steel round bar(rebar)</v>
      </c>
      <c r="G149" s="18" t="str">
        <f>IFERROR(VLOOKUP($D149,본공사입.출고현황!$B:$H,G$2080,0),0)</f>
        <v>CCGG</v>
      </c>
      <c r="H149" s="18" t="str">
        <f>IFERROR(VLOOKUP($D149,본공사입.출고현황!$B:$H,H$2080,0),0)</f>
        <v>ф10, 1ton=1,620.7m</v>
      </c>
      <c r="I149" s="56" t="str">
        <f>IFERROR(VLOOKUP($D149,본공사입.출고현황!$B:$H,I$2080,0),0)</f>
        <v>M</v>
      </c>
      <c r="J149" s="9"/>
      <c r="K149" s="9"/>
      <c r="L149" s="37">
        <v>350</v>
      </c>
      <c r="M149" s="64" t="s">
        <v>408</v>
      </c>
      <c r="N149" s="42"/>
    </row>
    <row r="150" spans="1:14" ht="24" customHeight="1">
      <c r="A150" s="8">
        <v>107</v>
      </c>
      <c r="B150" s="9">
        <v>107</v>
      </c>
      <c r="C150" s="46">
        <v>45819</v>
      </c>
      <c r="D150" s="9" t="s">
        <v>238</v>
      </c>
      <c r="E150" s="56" t="str">
        <f>IFERROR(VLOOKUP($D150,본공사입.출고현황!$B:$H,E$2080,0),0)</f>
        <v>Steel round bar</v>
      </c>
      <c r="F150" s="18" t="str">
        <f>IFERROR(VLOOKUP($D150,본공사입.출고현황!$B:$H,F$2080,0),0)</f>
        <v>Steel round bar(rebar)</v>
      </c>
      <c r="G150" s="18" t="str">
        <f>IFERROR(VLOOKUP($D150,본공사입.출고현황!$B:$H,G$2080,0),0)</f>
        <v>CCGG</v>
      </c>
      <c r="H150" s="18" t="str">
        <f>IFERROR(VLOOKUP($D150,본공사입.출고현황!$B:$H,H$2080,0),0)</f>
        <v>ф10, 1ton=1,620.7m</v>
      </c>
      <c r="I150" s="56" t="str">
        <f>IFERROR(VLOOKUP($D150,본공사입.출고현황!$B:$H,I$2080,0),0)</f>
        <v>M</v>
      </c>
      <c r="J150" s="9"/>
      <c r="K150" s="9"/>
      <c r="L150" s="37">
        <v>230</v>
      </c>
      <c r="M150" s="64" t="s">
        <v>408</v>
      </c>
      <c r="N150" s="42"/>
    </row>
    <row r="151" spans="1:14" ht="24" customHeight="1">
      <c r="A151" s="8">
        <v>108</v>
      </c>
      <c r="B151" s="9">
        <v>108</v>
      </c>
      <c r="C151" s="46">
        <v>45820</v>
      </c>
      <c r="D151" s="9" t="s">
        <v>238</v>
      </c>
      <c r="E151" s="56" t="str">
        <f>IFERROR(VLOOKUP($D151,본공사입.출고현황!$B:$H,E$2080,0),0)</f>
        <v>Steel round bar</v>
      </c>
      <c r="F151" s="18" t="str">
        <f>IFERROR(VLOOKUP($D151,본공사입.출고현황!$B:$H,F$2080,0),0)</f>
        <v>Steel round bar(rebar)</v>
      </c>
      <c r="G151" s="18" t="str">
        <f>IFERROR(VLOOKUP($D151,본공사입.출고현황!$B:$H,G$2080,0),0)</f>
        <v>CCGG</v>
      </c>
      <c r="H151" s="18" t="str">
        <f>IFERROR(VLOOKUP($D151,본공사입.출고현황!$B:$H,H$2080,0),0)</f>
        <v>ф10, 1ton=1,620.7m</v>
      </c>
      <c r="I151" s="56" t="str">
        <f>IFERROR(VLOOKUP($D151,본공사입.출고현황!$B:$H,I$2080,0),0)</f>
        <v>M</v>
      </c>
      <c r="J151" s="9"/>
      <c r="K151" s="9"/>
      <c r="L151" s="37">
        <v>240</v>
      </c>
      <c r="M151" s="64" t="s">
        <v>408</v>
      </c>
      <c r="N151" s="42"/>
    </row>
    <row r="152" spans="1:14" ht="24" customHeight="1">
      <c r="A152" s="8">
        <v>109</v>
      </c>
      <c r="B152" s="9">
        <v>109</v>
      </c>
      <c r="C152" s="46">
        <v>45820</v>
      </c>
      <c r="D152" s="9" t="s">
        <v>61</v>
      </c>
      <c r="E152" s="56" t="str">
        <f>IFERROR(VLOOKUP($D152,본공사입.출고현황!$B:$H,E$2080,0),0)</f>
        <v>Angle</v>
      </c>
      <c r="F152" s="18" t="str">
        <f>IFERROR(VLOOKUP($D152,본공사입.출고현황!$B:$H,F$2080,0),0)</f>
        <v>Angle 100x100x10</v>
      </c>
      <c r="G152" s="18" t="str">
        <f>IFERROR(VLOOKUP($D152,본공사입.출고현황!$B:$H,G$2080,0),0)</f>
        <v>CCGG</v>
      </c>
      <c r="H152" s="18" t="str">
        <f>IFERROR(VLOOKUP($D152,본공사입.출고현황!$B:$H,H$2080,0),0)</f>
        <v>100x100x10 (12m)</v>
      </c>
      <c r="I152" s="56" t="str">
        <f>IFERROR(VLOOKUP($D152,본공사입.출고현황!$B:$H,I$2080,0),0)</f>
        <v>M</v>
      </c>
      <c r="J152" s="9"/>
      <c r="K152" s="9"/>
      <c r="L152" s="37">
        <v>12</v>
      </c>
      <c r="M152" s="64" t="s">
        <v>408</v>
      </c>
      <c r="N152" s="42"/>
    </row>
    <row r="153" spans="1:14" ht="24" customHeight="1">
      <c r="A153" s="8">
        <v>110</v>
      </c>
      <c r="B153" s="9">
        <v>110</v>
      </c>
      <c r="C153" s="46">
        <v>45821</v>
      </c>
      <c r="D153" s="9" t="s">
        <v>61</v>
      </c>
      <c r="E153" s="56" t="str">
        <f>IFERROR(VLOOKUP($D153,본공사입.출고현황!$B:$H,E$2080,0),0)</f>
        <v>Angle</v>
      </c>
      <c r="F153" s="18" t="str">
        <f>IFERROR(VLOOKUP($D153,본공사입.출고현황!$B:$H,F$2080,0),0)</f>
        <v>Angle 100x100x10</v>
      </c>
      <c r="G153" s="18" t="str">
        <f>IFERROR(VLOOKUP($D153,본공사입.출고현황!$B:$H,G$2080,0),0)</f>
        <v>CCGG</v>
      </c>
      <c r="H153" s="18" t="str">
        <f>IFERROR(VLOOKUP($D153,본공사입.출고현황!$B:$H,H$2080,0),0)</f>
        <v>100x100x10 (12m)</v>
      </c>
      <c r="I153" s="56" t="str">
        <f>IFERROR(VLOOKUP($D153,본공사입.출고현황!$B:$H,I$2080,0),0)</f>
        <v>M</v>
      </c>
      <c r="J153" s="9"/>
      <c r="K153" s="9"/>
      <c r="L153" s="37">
        <v>60</v>
      </c>
      <c r="M153" s="64" t="s">
        <v>408</v>
      </c>
      <c r="N153" s="42"/>
    </row>
    <row r="154" spans="1:14" ht="24" customHeight="1">
      <c r="A154" s="8">
        <v>111</v>
      </c>
      <c r="B154" s="9">
        <v>111</v>
      </c>
      <c r="C154" s="46">
        <v>45821</v>
      </c>
      <c r="D154" s="9" t="s">
        <v>238</v>
      </c>
      <c r="E154" s="56" t="str">
        <f>IFERROR(VLOOKUP($D154,본공사입.출고현황!$B:$H,E$2080,0),0)</f>
        <v>Steel round bar</v>
      </c>
      <c r="F154" s="18" t="str">
        <f>IFERROR(VLOOKUP($D154,본공사입.출고현황!$B:$H,F$2080,0),0)</f>
        <v>Steel round bar(rebar)</v>
      </c>
      <c r="G154" s="18" t="str">
        <f>IFERROR(VLOOKUP($D154,본공사입.출고현황!$B:$H,G$2080,0),0)</f>
        <v>CCGG</v>
      </c>
      <c r="H154" s="18" t="str">
        <f>IFERROR(VLOOKUP($D154,본공사입.출고현황!$B:$H,H$2080,0),0)</f>
        <v>ф10, 1ton=1,620.7m</v>
      </c>
      <c r="I154" s="56" t="str">
        <f>IFERROR(VLOOKUP($D154,본공사입.출고현황!$B:$H,I$2080,0),0)</f>
        <v>M</v>
      </c>
      <c r="J154" s="9"/>
      <c r="K154" s="9"/>
      <c r="L154" s="37">
        <v>412</v>
      </c>
      <c r="M154" s="64" t="s">
        <v>408</v>
      </c>
      <c r="N154" s="42"/>
    </row>
    <row r="155" spans="1:14" ht="24" customHeight="1">
      <c r="A155" s="8">
        <v>112</v>
      </c>
      <c r="B155" s="9">
        <v>112</v>
      </c>
      <c r="C155" s="46">
        <v>45823</v>
      </c>
      <c r="D155" s="9" t="s">
        <v>238</v>
      </c>
      <c r="E155" s="56" t="str">
        <f>IFERROR(VLOOKUP($D155,본공사입.출고현황!$B:$H,E$2080,0),0)</f>
        <v>Steel round bar</v>
      </c>
      <c r="F155" s="18" t="str">
        <f>IFERROR(VLOOKUP($D155,본공사입.출고현황!$B:$H,F$2080,0),0)</f>
        <v>Steel round bar(rebar)</v>
      </c>
      <c r="G155" s="18" t="str">
        <f>IFERROR(VLOOKUP($D155,본공사입.출고현황!$B:$H,G$2080,0),0)</f>
        <v>CCGG</v>
      </c>
      <c r="H155" s="18" t="str">
        <f>IFERROR(VLOOKUP($D155,본공사입.출고현황!$B:$H,H$2080,0),0)</f>
        <v>ф10, 1ton=1,620.7m</v>
      </c>
      <c r="I155" s="56" t="str">
        <f>IFERROR(VLOOKUP($D155,본공사입.출고현황!$B:$H,I$2080,0),0)</f>
        <v>M</v>
      </c>
      <c r="J155" s="9"/>
      <c r="K155" s="9"/>
      <c r="L155" s="37">
        <v>80</v>
      </c>
      <c r="M155" s="64" t="s">
        <v>408</v>
      </c>
      <c r="N155" s="42"/>
    </row>
    <row r="156" spans="1:14" ht="24" customHeight="1">
      <c r="A156" s="8">
        <v>113</v>
      </c>
      <c r="B156" s="9">
        <v>113</v>
      </c>
      <c r="C156" s="46">
        <v>45823</v>
      </c>
      <c r="D156" s="9" t="s">
        <v>406</v>
      </c>
      <c r="E156" s="56" t="str">
        <f>IFERROR(VLOOKUP($D156,본공사입.출고현황!$B:$H,E$2080,0),0)</f>
        <v>Sup't</v>
      </c>
      <c r="F156" s="18" t="str">
        <f>IFERROR(VLOOKUP($D156,본공사입.출고현황!$B:$H,F$2080,0),0)</f>
        <v>Angle 50x50x5</v>
      </c>
      <c r="G156" s="18" t="str">
        <f>IFERROR(VLOOKUP($D156,본공사입.출고현황!$B:$H,G$2080,0),0)</f>
        <v>Angle</v>
      </c>
      <c r="H156" s="18" t="str">
        <f>IFERROR(VLOOKUP($D156,본공사입.출고현황!$B:$H,H$2080,0),0)</f>
        <v>50*50*5</v>
      </c>
      <c r="I156" s="56" t="str">
        <f>IFERROR(VLOOKUP($D156,본공사입.출고현황!$B:$H,I$2080,0),0)</f>
        <v>M</v>
      </c>
      <c r="J156" s="9"/>
      <c r="K156" s="9"/>
      <c r="L156" s="37">
        <v>48</v>
      </c>
      <c r="M156" s="64" t="s">
        <v>408</v>
      </c>
      <c r="N156" s="42"/>
    </row>
    <row r="157" spans="1:14" ht="24" customHeight="1">
      <c r="A157" s="8">
        <v>114</v>
      </c>
      <c r="B157" s="9">
        <v>114</v>
      </c>
      <c r="C157" s="46">
        <v>45823</v>
      </c>
      <c r="D157" s="9" t="s">
        <v>153</v>
      </c>
      <c r="E157" s="56" t="str">
        <f>IFERROR(VLOOKUP($D157,본공사입.출고현황!$B:$H,E$2080,0),0)</f>
        <v>Conduit Fitting</v>
      </c>
      <c r="F157" s="18" t="str">
        <f>IFERROR(VLOOKUP($D157,본공사입.출고현황!$B:$H,F$2080,0),0)</f>
        <v>Conduit Coupling 121x5</v>
      </c>
      <c r="G157" s="18" t="str">
        <f>IFERROR(VLOOKUP($D157,본공사입.출고현황!$B:$H,G$2080,0),0)</f>
        <v>Conduit Coupling</v>
      </c>
      <c r="H157" s="18" t="str">
        <f>IFERROR(VLOOKUP($D157,본공사입.출고현황!$B:$H,H$2080,0),0)</f>
        <v>121x5</v>
      </c>
      <c r="I157" s="56" t="str">
        <f>IFERROR(VLOOKUP($D157,본공사입.출고현황!$B:$H,I$2080,0),0)</f>
        <v>M</v>
      </c>
      <c r="J157" s="9"/>
      <c r="K157" s="9"/>
      <c r="L157" s="37">
        <v>1.5</v>
      </c>
      <c r="M157" s="64" t="s">
        <v>243</v>
      </c>
      <c r="N157" s="42"/>
    </row>
    <row r="158" spans="1:14" ht="24" customHeight="1">
      <c r="A158" s="8">
        <v>115</v>
      </c>
      <c r="B158" s="9">
        <v>115</v>
      </c>
      <c r="C158" s="46">
        <v>45825</v>
      </c>
      <c r="D158" s="9" t="s">
        <v>140</v>
      </c>
      <c r="E158" s="56" t="str">
        <f>IFERROR(VLOOKUP($D158,본공사입.출고현황!$B:$H,E$2080,0),0)</f>
        <v>Conduit</v>
      </c>
      <c r="F158" s="18" t="str">
        <f>IFERROR(VLOOKUP($D158,본공사입.출고현황!$B:$H,F$2080,0),0)</f>
        <v>Conduit 108x4.0</v>
      </c>
      <c r="G158" s="18" t="str">
        <f>IFERROR(VLOOKUP($D158,본공사입.출고현황!$B:$H,G$2080,0),0)</f>
        <v>Conduit</v>
      </c>
      <c r="H158" s="18" t="str">
        <f>IFERROR(VLOOKUP($D158,본공사입.출고현황!$B:$H,H$2080,0),0)</f>
        <v>108x4</v>
      </c>
      <c r="I158" s="56" t="str">
        <f>IFERROR(VLOOKUP($D158,본공사입.출고현황!$B:$H,I$2080,0),0)</f>
        <v>M</v>
      </c>
      <c r="J158" s="9"/>
      <c r="K158" s="9"/>
      <c r="L158" s="37">
        <v>20</v>
      </c>
      <c r="M158" s="64" t="s">
        <v>243</v>
      </c>
      <c r="N158" s="42"/>
    </row>
    <row r="159" spans="1:14" ht="24" customHeight="1">
      <c r="A159" s="8">
        <v>116</v>
      </c>
      <c r="B159" s="9">
        <v>116</v>
      </c>
      <c r="C159" s="46">
        <v>45825</v>
      </c>
      <c r="D159" s="9" t="s">
        <v>407</v>
      </c>
      <c r="E159" s="56" t="str">
        <f>IFERROR(VLOOKUP($D159,본공사입.출고현황!$B:$H,E$2080,0),0)</f>
        <v>Steel round bar</v>
      </c>
      <c r="F159" s="18" t="str">
        <f>IFERROR(VLOOKUP($D159,본공사입.출고현황!$B:$H,F$2080,0),0)</f>
        <v>Steel round bar(rebar)</v>
      </c>
      <c r="G159" s="18" t="str">
        <f>IFERROR(VLOOKUP($D159,본공사입.출고현황!$B:$H,G$2080,0),0)</f>
        <v>CCGG</v>
      </c>
      <c r="H159" s="18" t="str">
        <f>IFERROR(VLOOKUP($D159,본공사입.출고현황!$B:$H,H$2080,0),0)</f>
        <v>ф10, 1ton=1,620.7m</v>
      </c>
      <c r="I159" s="56" t="str">
        <f>IFERROR(VLOOKUP($D159,본공사입.출고현황!$B:$H,I$2080,0),0)</f>
        <v>M</v>
      </c>
      <c r="J159" s="9"/>
      <c r="K159" s="9"/>
      <c r="L159" s="37">
        <v>160</v>
      </c>
      <c r="M159" s="64" t="s">
        <v>408</v>
      </c>
      <c r="N159" s="42"/>
    </row>
    <row r="160" spans="1:14" ht="24" customHeight="1">
      <c r="A160" s="8">
        <v>117</v>
      </c>
      <c r="B160" s="9">
        <v>117</v>
      </c>
      <c r="C160" s="46">
        <v>45826</v>
      </c>
      <c r="D160" s="9" t="s">
        <v>406</v>
      </c>
      <c r="E160" s="56" t="str">
        <f>IFERROR(VLOOKUP($D160,본공사입.출고현황!$B:$H,E$2080,0),0)</f>
        <v>Sup't</v>
      </c>
      <c r="F160" s="18" t="str">
        <f>IFERROR(VLOOKUP($D160,본공사입.출고현황!$B:$H,F$2080,0),0)</f>
        <v>Angle 50x50x5</v>
      </c>
      <c r="G160" s="18" t="str">
        <f>IFERROR(VLOOKUP($D160,본공사입.출고현황!$B:$H,G$2080,0),0)</f>
        <v>Angle</v>
      </c>
      <c r="H160" s="18" t="str">
        <f>IFERROR(VLOOKUP($D160,본공사입.출고현황!$B:$H,H$2080,0),0)</f>
        <v>50*50*5</v>
      </c>
      <c r="I160" s="56" t="str">
        <f>IFERROR(VLOOKUP($D160,본공사입.출고현황!$B:$H,I$2080,0),0)</f>
        <v>M</v>
      </c>
      <c r="J160" s="9"/>
      <c r="K160" s="9"/>
      <c r="L160" s="37">
        <v>24</v>
      </c>
      <c r="M160" s="64" t="s">
        <v>408</v>
      </c>
      <c r="N160" s="42"/>
    </row>
    <row r="161" spans="1:14" ht="24" customHeight="1">
      <c r="A161" s="8">
        <v>118</v>
      </c>
      <c r="B161" s="9">
        <v>118</v>
      </c>
      <c r="C161" s="46">
        <v>45827</v>
      </c>
      <c r="D161" s="9" t="s">
        <v>406</v>
      </c>
      <c r="E161" s="56" t="str">
        <f>IFERROR(VLOOKUP($D161,본공사입.출고현황!$B:$H,E$2080,0),0)</f>
        <v>Sup't</v>
      </c>
      <c r="F161" s="18" t="str">
        <f>IFERROR(VLOOKUP($D161,본공사입.출고현황!$B:$H,F$2080,0),0)</f>
        <v>Angle 50x50x5</v>
      </c>
      <c r="G161" s="18" t="str">
        <f>IFERROR(VLOOKUP($D161,본공사입.출고현황!$B:$H,G$2080,0),0)</f>
        <v>Angle</v>
      </c>
      <c r="H161" s="18" t="str">
        <f>IFERROR(VLOOKUP($D161,본공사입.출고현황!$B:$H,H$2080,0),0)</f>
        <v>50*50*5</v>
      </c>
      <c r="I161" s="56" t="str">
        <f>IFERROR(VLOOKUP($D161,본공사입.출고현황!$B:$H,I$2080,0),0)</f>
        <v>M</v>
      </c>
      <c r="J161" s="9"/>
      <c r="K161" s="9"/>
      <c r="L161" s="37">
        <v>24</v>
      </c>
      <c r="M161" s="64" t="s">
        <v>408</v>
      </c>
      <c r="N161" s="42"/>
    </row>
    <row r="162" spans="1:14" ht="24" customHeight="1">
      <c r="A162" s="8">
        <v>119</v>
      </c>
      <c r="B162" s="9">
        <v>119</v>
      </c>
      <c r="C162" s="46">
        <v>45827</v>
      </c>
      <c r="D162" s="9" t="s">
        <v>153</v>
      </c>
      <c r="E162" s="56" t="str">
        <f>IFERROR(VLOOKUP($D162,본공사입.출고현황!$B:$H,E$2080,0),0)</f>
        <v>Conduit Fitting</v>
      </c>
      <c r="F162" s="18" t="str">
        <f>IFERROR(VLOOKUP($D162,본공사입.출고현황!$B:$H,F$2080,0),0)</f>
        <v>Conduit Coupling 121x5</v>
      </c>
      <c r="G162" s="18" t="str">
        <f>IFERROR(VLOOKUP($D162,본공사입.출고현황!$B:$H,G$2080,0),0)</f>
        <v>Conduit Coupling</v>
      </c>
      <c r="H162" s="18" t="str">
        <f>IFERROR(VLOOKUP($D162,본공사입.출고현황!$B:$H,H$2080,0),0)</f>
        <v>121x5</v>
      </c>
      <c r="I162" s="56" t="str">
        <f>IFERROR(VLOOKUP($D162,본공사입.출고현황!$B:$H,I$2080,0),0)</f>
        <v>M</v>
      </c>
      <c r="J162" s="9"/>
      <c r="K162" s="9"/>
      <c r="L162" s="37">
        <v>1.5</v>
      </c>
      <c r="M162" s="64" t="s">
        <v>243</v>
      </c>
      <c r="N162" s="42"/>
    </row>
    <row r="163" spans="1:14" ht="24" customHeight="1">
      <c r="A163" s="8">
        <v>120</v>
      </c>
      <c r="B163" s="9">
        <v>120</v>
      </c>
      <c r="C163" s="46">
        <v>45828</v>
      </c>
      <c r="D163" s="9" t="s">
        <v>406</v>
      </c>
      <c r="E163" s="56" t="str">
        <f>IFERROR(VLOOKUP($D163,본공사입.출고현황!$B:$H,E$2080,0),0)</f>
        <v>Sup't</v>
      </c>
      <c r="F163" s="18" t="str">
        <f>IFERROR(VLOOKUP($D163,본공사입.출고현황!$B:$H,F$2080,0),0)</f>
        <v>Angle 50x50x5</v>
      </c>
      <c r="G163" s="18" t="str">
        <f>IFERROR(VLOOKUP($D163,본공사입.출고현황!$B:$H,G$2080,0),0)</f>
        <v>Angle</v>
      </c>
      <c r="H163" s="18" t="str">
        <f>IFERROR(VLOOKUP($D163,본공사입.출고현황!$B:$H,H$2080,0),0)</f>
        <v>50*50*5</v>
      </c>
      <c r="I163" s="56" t="str">
        <f>IFERROR(VLOOKUP($D163,본공사입.출고현황!$B:$H,I$2080,0),0)</f>
        <v>M</v>
      </c>
      <c r="J163" s="9"/>
      <c r="K163" s="9"/>
      <c r="L163" s="37">
        <v>12</v>
      </c>
      <c r="M163" s="64" t="s">
        <v>410</v>
      </c>
      <c r="N163" s="42"/>
    </row>
    <row r="164" spans="1:14" ht="24" customHeight="1">
      <c r="A164" s="8">
        <v>121</v>
      </c>
      <c r="B164" s="9">
        <v>121</v>
      </c>
      <c r="C164" s="46">
        <v>45829</v>
      </c>
      <c r="D164" s="9" t="s">
        <v>406</v>
      </c>
      <c r="E164" s="56" t="str">
        <f>IFERROR(VLOOKUP($D164,본공사입.출고현황!$B:$H,E$2080,0),0)</f>
        <v>Sup't</v>
      </c>
      <c r="F164" s="18" t="str">
        <f>IFERROR(VLOOKUP($D164,본공사입.출고현황!$B:$H,F$2080,0),0)</f>
        <v>Angle 50x50x5</v>
      </c>
      <c r="G164" s="18" t="str">
        <f>IFERROR(VLOOKUP($D164,본공사입.출고현황!$B:$H,G$2080,0),0)</f>
        <v>Angle</v>
      </c>
      <c r="H164" s="18" t="str">
        <f>IFERROR(VLOOKUP($D164,본공사입.출고현황!$B:$H,H$2080,0),0)</f>
        <v>50*50*5</v>
      </c>
      <c r="I164" s="56" t="str">
        <f>IFERROR(VLOOKUP($D164,본공사입.출고현황!$B:$H,I$2080,0),0)</f>
        <v>M</v>
      </c>
      <c r="J164" s="9"/>
      <c r="K164" s="9"/>
      <c r="L164" s="37">
        <v>12</v>
      </c>
      <c r="M164" s="64" t="s">
        <v>408</v>
      </c>
      <c r="N164" s="42"/>
    </row>
    <row r="165" spans="1:14" ht="24" customHeight="1">
      <c r="A165" s="8">
        <v>122</v>
      </c>
      <c r="B165" s="9">
        <v>122</v>
      </c>
      <c r="C165" s="46">
        <v>45830</v>
      </c>
      <c r="D165" s="9" t="s">
        <v>407</v>
      </c>
      <c r="E165" s="56" t="str">
        <f>IFERROR(VLOOKUP($D165,본공사입.출고현황!$B:$H,E$2080,0),0)</f>
        <v>Steel round bar</v>
      </c>
      <c r="F165" s="18" t="str">
        <f>IFERROR(VLOOKUP($D165,본공사입.출고현황!$B:$H,F$2080,0),0)</f>
        <v>Steel round bar(rebar)</v>
      </c>
      <c r="G165" s="18" t="str">
        <f>IFERROR(VLOOKUP($D165,본공사입.출고현황!$B:$H,G$2080,0),0)</f>
        <v>CCGG</v>
      </c>
      <c r="H165" s="18" t="str">
        <f>IFERROR(VLOOKUP($D165,본공사입.출고현황!$B:$H,H$2080,0),0)</f>
        <v>ф10, 1ton=1,620.7m</v>
      </c>
      <c r="I165" s="56" t="str">
        <f>IFERROR(VLOOKUP($D165,본공사입.출고현황!$B:$H,I$2080,0),0)</f>
        <v>M</v>
      </c>
      <c r="J165" s="9"/>
      <c r="K165" s="9"/>
      <c r="L165" s="37">
        <v>390</v>
      </c>
      <c r="M165" s="64" t="s">
        <v>408</v>
      </c>
      <c r="N165" s="42"/>
    </row>
    <row r="166" spans="1:14" ht="24" customHeight="1">
      <c r="A166" s="8">
        <v>123</v>
      </c>
      <c r="B166" s="9">
        <v>123</v>
      </c>
      <c r="C166" s="46">
        <v>45831</v>
      </c>
      <c r="D166" s="9" t="s">
        <v>407</v>
      </c>
      <c r="E166" s="56" t="str">
        <f>IFERROR(VLOOKUP($D166,본공사입.출고현황!$B:$H,E$2080,0),0)</f>
        <v>Steel round bar</v>
      </c>
      <c r="F166" s="18" t="str">
        <f>IFERROR(VLOOKUP($D166,본공사입.출고현황!$B:$H,F$2080,0),0)</f>
        <v>Steel round bar(rebar)</v>
      </c>
      <c r="G166" s="18" t="str">
        <f>IFERROR(VLOOKUP($D166,본공사입.출고현황!$B:$H,G$2080,0),0)</f>
        <v>CCGG</v>
      </c>
      <c r="H166" s="18" t="str">
        <f>IFERROR(VLOOKUP($D166,본공사입.출고현황!$B:$H,H$2080,0),0)</f>
        <v>ф10, 1ton=1,620.7m</v>
      </c>
      <c r="I166" s="56" t="str">
        <f>IFERROR(VLOOKUP($D166,본공사입.출고현황!$B:$H,I$2080,0),0)</f>
        <v>M</v>
      </c>
      <c r="J166" s="9"/>
      <c r="K166" s="9"/>
      <c r="L166" s="37">
        <v>350</v>
      </c>
      <c r="M166" s="64" t="s">
        <v>408</v>
      </c>
      <c r="N166" s="42"/>
    </row>
    <row r="167" spans="1:14" ht="24" customHeight="1">
      <c r="A167" s="8">
        <v>124</v>
      </c>
      <c r="B167" s="9">
        <v>124</v>
      </c>
      <c r="C167" s="46">
        <v>45831</v>
      </c>
      <c r="D167" s="9" t="s">
        <v>140</v>
      </c>
      <c r="E167" s="56" t="str">
        <f>IFERROR(VLOOKUP($D167,본공사입.출고현황!$B:$H,E$2080,0),0)</f>
        <v>Conduit</v>
      </c>
      <c r="F167" s="18" t="str">
        <f>IFERROR(VLOOKUP($D167,본공사입.출고현황!$B:$H,F$2080,0),0)</f>
        <v>Conduit 108x4.0</v>
      </c>
      <c r="G167" s="18" t="str">
        <f>IFERROR(VLOOKUP($D167,본공사입.출고현황!$B:$H,G$2080,0),0)</f>
        <v>Conduit</v>
      </c>
      <c r="H167" s="18" t="str">
        <f>IFERROR(VLOOKUP($D167,본공사입.출고현황!$B:$H,H$2080,0),0)</f>
        <v>108x4</v>
      </c>
      <c r="I167" s="56" t="str">
        <f>IFERROR(VLOOKUP($D167,본공사입.출고현황!$B:$H,I$2080,0),0)</f>
        <v>M</v>
      </c>
      <c r="J167" s="9"/>
      <c r="K167" s="9"/>
      <c r="L167" s="37">
        <v>133</v>
      </c>
      <c r="M167" s="64" t="s">
        <v>243</v>
      </c>
      <c r="N167" s="42"/>
    </row>
    <row r="168" spans="1:14" ht="24" customHeight="1">
      <c r="A168" s="8">
        <v>125</v>
      </c>
      <c r="B168" s="9">
        <v>125</v>
      </c>
      <c r="C168" s="46">
        <v>45832</v>
      </c>
      <c r="D168" s="9" t="s">
        <v>407</v>
      </c>
      <c r="E168" s="56" t="str">
        <f>IFERROR(VLOOKUP($D168,본공사입.출고현황!$B:$H,E$2080,0),0)</f>
        <v>Steel round bar</v>
      </c>
      <c r="F168" s="18" t="str">
        <f>IFERROR(VLOOKUP($D168,본공사입.출고현황!$B:$H,F$2080,0),0)</f>
        <v>Steel round bar(rebar)</v>
      </c>
      <c r="G168" s="18" t="str">
        <f>IFERROR(VLOOKUP($D168,본공사입.출고현황!$B:$H,G$2080,0),0)</f>
        <v>CCGG</v>
      </c>
      <c r="H168" s="18" t="str">
        <f>IFERROR(VLOOKUP($D168,본공사입.출고현황!$B:$H,H$2080,0),0)</f>
        <v>ф10, 1ton=1,620.7m</v>
      </c>
      <c r="I168" s="56" t="str">
        <f>IFERROR(VLOOKUP($D168,본공사입.출고현황!$B:$H,I$2080,0),0)</f>
        <v>M</v>
      </c>
      <c r="J168" s="9"/>
      <c r="K168" s="9"/>
      <c r="L168" s="37">
        <v>340</v>
      </c>
      <c r="M168" s="64" t="s">
        <v>408</v>
      </c>
      <c r="N168" s="42"/>
    </row>
    <row r="169" spans="1:14" ht="24" customHeight="1">
      <c r="A169" s="8">
        <v>126</v>
      </c>
      <c r="B169" s="9">
        <v>126</v>
      </c>
      <c r="C169" s="46">
        <v>45833</v>
      </c>
      <c r="D169" s="9" t="s">
        <v>407</v>
      </c>
      <c r="E169" s="56" t="str">
        <f>IFERROR(VLOOKUP($D169,본공사입.출고현황!$B:$H,E$2080,0),0)</f>
        <v>Steel round bar</v>
      </c>
      <c r="F169" s="18" t="str">
        <f>IFERROR(VLOOKUP($D169,본공사입.출고현황!$B:$H,F$2080,0),0)</f>
        <v>Steel round bar(rebar)</v>
      </c>
      <c r="G169" s="18" t="str">
        <f>IFERROR(VLOOKUP($D169,본공사입.출고현황!$B:$H,G$2080,0),0)</f>
        <v>CCGG</v>
      </c>
      <c r="H169" s="18" t="str">
        <f>IFERROR(VLOOKUP($D169,본공사입.출고현황!$B:$H,H$2080,0),0)</f>
        <v>ф10, 1ton=1,620.7m</v>
      </c>
      <c r="I169" s="56" t="str">
        <f>IFERROR(VLOOKUP($D169,본공사입.출고현황!$B:$H,I$2080,0),0)</f>
        <v>M</v>
      </c>
      <c r="J169" s="9"/>
      <c r="K169" s="9"/>
      <c r="L169" s="37">
        <v>300</v>
      </c>
      <c r="M169" s="64" t="s">
        <v>408</v>
      </c>
      <c r="N169" s="42"/>
    </row>
    <row r="170" spans="1:14" ht="24" customHeight="1">
      <c r="A170" s="8">
        <v>127</v>
      </c>
      <c r="B170" s="9">
        <v>127</v>
      </c>
      <c r="C170" s="46">
        <v>45834</v>
      </c>
      <c r="D170" s="9" t="s">
        <v>407</v>
      </c>
      <c r="E170" s="56" t="str">
        <f>IFERROR(VLOOKUP($D170,본공사입.출고현황!$B:$H,E$2080,0),0)</f>
        <v>Steel round bar</v>
      </c>
      <c r="F170" s="18" t="str">
        <f>IFERROR(VLOOKUP($D170,본공사입.출고현황!$B:$H,F$2080,0),0)</f>
        <v>Steel round bar(rebar)</v>
      </c>
      <c r="G170" s="18" t="str">
        <f>IFERROR(VLOOKUP($D170,본공사입.출고현황!$B:$H,G$2080,0),0)</f>
        <v>CCGG</v>
      </c>
      <c r="H170" s="18" t="str">
        <f>IFERROR(VLOOKUP($D170,본공사입.출고현황!$B:$H,H$2080,0),0)</f>
        <v>ф10, 1ton=1,620.7m</v>
      </c>
      <c r="I170" s="56" t="str">
        <f>IFERROR(VLOOKUP($D170,본공사입.출고현황!$B:$H,I$2080,0),0)</f>
        <v>M</v>
      </c>
      <c r="J170" s="9"/>
      <c r="K170" s="9"/>
      <c r="L170" s="37">
        <v>250</v>
      </c>
      <c r="M170" s="64" t="s">
        <v>408</v>
      </c>
      <c r="N170" s="42"/>
    </row>
    <row r="171" spans="1:14" ht="24" customHeight="1">
      <c r="A171" s="8">
        <v>128</v>
      </c>
      <c r="B171" s="9">
        <v>128</v>
      </c>
      <c r="C171" s="46">
        <v>45836</v>
      </c>
      <c r="D171" s="9" t="s">
        <v>416</v>
      </c>
      <c r="E171" s="56" t="str">
        <f>IFERROR(VLOOKUP($D171,본공사입.출고현황!$B:$H,E$2080,0),0)</f>
        <v>Sup't</v>
      </c>
      <c r="F171" s="18" t="str">
        <f>IFERROR(VLOOKUP($D171,본공사입.출고현황!$B:$H,F$2080,0),0)</f>
        <v>Angle 50x50x5</v>
      </c>
      <c r="G171" s="18" t="str">
        <f>IFERROR(VLOOKUP($D171,본공사입.출고현황!$B:$H,G$2080,0),0)</f>
        <v>Angle</v>
      </c>
      <c r="H171" s="18" t="str">
        <f>IFERROR(VLOOKUP($D171,본공사입.출고현황!$B:$H,H$2080,0),0)</f>
        <v>50*50*5</v>
      </c>
      <c r="I171" s="56" t="str">
        <f>IFERROR(VLOOKUP($D171,본공사입.출고현황!$B:$H,I$2080,0),0)</f>
        <v>M</v>
      </c>
      <c r="J171" s="9"/>
      <c r="K171" s="9"/>
      <c r="L171" s="37">
        <v>48</v>
      </c>
      <c r="M171" s="64" t="s">
        <v>408</v>
      </c>
      <c r="N171" s="42"/>
    </row>
    <row r="172" spans="1:14" ht="24" customHeight="1">
      <c r="A172" s="8">
        <v>129</v>
      </c>
      <c r="B172" s="9">
        <v>129</v>
      </c>
      <c r="C172" s="46">
        <v>45838</v>
      </c>
      <c r="D172" s="9" t="s">
        <v>180</v>
      </c>
      <c r="E172" s="56" t="str">
        <f>IFERROR(VLOOKUP($D172,본공사입.출고현황!$B:$H,E$2080,0),0)</f>
        <v>Ground</v>
      </c>
      <c r="F172" s="18" t="str">
        <f>IFERROR(VLOOKUP($D172,본공사입.출고현황!$B:$H,F$2080,0),0)</f>
        <v>Ground Cable  78SQ</v>
      </c>
      <c r="G172" s="18" t="str">
        <f>IFERROR(VLOOKUP($D172,본공사입.출고현황!$B:$H,G$2080,0),0)</f>
        <v xml:space="preserve">Ground Cable </v>
      </c>
      <c r="H172" s="18" t="str">
        <f>IFERROR(VLOOKUP($D172,본공사입.출고현황!$B:$H,H$2080,0),0)</f>
        <v>78SQ</v>
      </c>
      <c r="I172" s="56" t="str">
        <f>IFERROR(VLOOKUP($D172,본공사입.출고현황!$B:$H,I$2080,0),0)</f>
        <v>M</v>
      </c>
      <c r="J172" s="9"/>
      <c r="K172" s="9"/>
      <c r="L172" s="37">
        <v>112.5</v>
      </c>
      <c r="M172" s="64" t="s">
        <v>357</v>
      </c>
      <c r="N172" s="42"/>
    </row>
    <row r="173" spans="1:14" ht="24" customHeight="1">
      <c r="A173" s="8">
        <v>130</v>
      </c>
      <c r="B173" s="9">
        <v>130</v>
      </c>
      <c r="C173" s="46">
        <v>45838</v>
      </c>
      <c r="D173" s="9" t="s">
        <v>86</v>
      </c>
      <c r="E173" s="56" t="str">
        <f>IFERROR(VLOOKUP($D173,본공사입.출고현황!$B:$H,E$2080,0),0)</f>
        <v>Ground</v>
      </c>
      <c r="F173" s="18" t="str">
        <f>IFERROR(VLOOKUP($D173,본공사입.출고현황!$B:$H,F$2080,0),0)</f>
        <v>Cadweld Powder #115</v>
      </c>
      <c r="G173" s="18" t="str">
        <f>IFERROR(VLOOKUP($D173,본공사입.출고현황!$B:$H,G$2080,0),0)</f>
        <v>Cadweld Powder</v>
      </c>
      <c r="H173" s="18" t="str">
        <f>IFERROR(VLOOKUP($D173,본공사입.출고현황!$B:$H,H$2080,0),0)</f>
        <v>#115</v>
      </c>
      <c r="I173" s="56" t="str">
        <f>IFERROR(VLOOKUP($D173,본공사입.출고현황!$B:$H,I$2080,0),0)</f>
        <v>EA</v>
      </c>
      <c r="J173" s="9"/>
      <c r="K173" s="9"/>
      <c r="L173" s="37">
        <v>10</v>
      </c>
      <c r="M173" s="64" t="s">
        <v>357</v>
      </c>
      <c r="N173" s="42"/>
    </row>
    <row r="174" spans="1:14" ht="24" customHeight="1">
      <c r="A174" s="8"/>
      <c r="B174" s="9"/>
      <c r="C174" s="46">
        <v>45838</v>
      </c>
      <c r="D174" s="9" t="s">
        <v>110</v>
      </c>
      <c r="E174" s="56" t="str">
        <f>IFERROR(VLOOKUP($D174,본공사입.출고현황!$B:$H,E$2080,0),0)</f>
        <v>Miscellious</v>
      </c>
      <c r="F174" s="18" t="str">
        <f>IFERROR(VLOOKUP($D174,본공사입.출고현황!$B:$H,F$2080,0),0)</f>
        <v xml:space="preserve">Nicoband </v>
      </c>
      <c r="G174" s="18" t="str">
        <f>IFERROR(VLOOKUP($D174,본공사입.출고현황!$B:$H,G$2080,0),0)</f>
        <v>Nicoband</v>
      </c>
      <c r="H174" s="18" t="str">
        <f>IFERROR(VLOOKUP($D174,본공사입.출고현황!$B:$H,H$2080,0),0)</f>
        <v>10m x 15cm</v>
      </c>
      <c r="I174" s="56" t="str">
        <f>IFERROR(VLOOKUP($D174,본공사입.출고현황!$B:$H,I$2080,0),0)</f>
        <v>EA</v>
      </c>
      <c r="J174" s="9"/>
      <c r="K174" s="9"/>
      <c r="L174" s="37">
        <v>1</v>
      </c>
      <c r="M174" s="64" t="s">
        <v>357</v>
      </c>
      <c r="N174" s="42"/>
    </row>
    <row r="175" spans="1:14" ht="24" customHeight="1">
      <c r="A175" s="8">
        <v>131</v>
      </c>
      <c r="B175" s="9">
        <v>131</v>
      </c>
      <c r="C175" s="46">
        <v>45838</v>
      </c>
      <c r="D175" s="9" t="s">
        <v>61</v>
      </c>
      <c r="E175" s="56" t="str">
        <f>IFERROR(VLOOKUP($D175,본공사입.출고현황!$B:$H,E$2080,0),0)</f>
        <v>Angle</v>
      </c>
      <c r="F175" s="18" t="str">
        <f>IFERROR(VLOOKUP($D175,본공사입.출고현황!$B:$H,F$2080,0),0)</f>
        <v>Angle 100x100x10</v>
      </c>
      <c r="G175" s="18" t="str">
        <f>IFERROR(VLOOKUP($D175,본공사입.출고현황!$B:$H,G$2080,0),0)</f>
        <v>CCGG</v>
      </c>
      <c r="H175" s="18" t="str">
        <f>IFERROR(VLOOKUP($D175,본공사입.출고현황!$B:$H,H$2080,0),0)</f>
        <v>100x100x10 (12m)</v>
      </c>
      <c r="I175" s="56" t="str">
        <f>IFERROR(VLOOKUP($D175,본공사입.출고현황!$B:$H,I$2080,0),0)</f>
        <v>M</v>
      </c>
      <c r="J175" s="9"/>
      <c r="K175" s="9"/>
      <c r="L175" s="37">
        <v>6</v>
      </c>
      <c r="M175" s="64" t="s">
        <v>408</v>
      </c>
      <c r="N175" s="42"/>
    </row>
    <row r="176" spans="1:14" ht="24" customHeight="1">
      <c r="A176" s="8">
        <v>132</v>
      </c>
      <c r="B176" s="9">
        <v>132</v>
      </c>
      <c r="C176" s="46">
        <v>45839</v>
      </c>
      <c r="D176" s="9" t="s">
        <v>407</v>
      </c>
      <c r="E176" s="56" t="str">
        <f>IFERROR(VLOOKUP($D176,본공사입.출고현황!$B:$H,E$2080,0),0)</f>
        <v>Steel round bar</v>
      </c>
      <c r="F176" s="18" t="str">
        <f>IFERROR(VLOOKUP($D176,본공사입.출고현황!$B:$H,F$2080,0),0)</f>
        <v>Steel round bar(rebar)</v>
      </c>
      <c r="G176" s="18" t="str">
        <f>IFERROR(VLOOKUP($D176,본공사입.출고현황!$B:$H,G$2080,0),0)</f>
        <v>CCGG</v>
      </c>
      <c r="H176" s="18" t="str">
        <f>IFERROR(VLOOKUP($D176,본공사입.출고현황!$B:$H,H$2080,0),0)</f>
        <v>ф10, 1ton=1,620.7m</v>
      </c>
      <c r="I176" s="56" t="str">
        <f>IFERROR(VLOOKUP($D176,본공사입.출고현황!$B:$H,I$2080,0),0)</f>
        <v>M</v>
      </c>
      <c r="J176" s="9"/>
      <c r="K176" s="9"/>
      <c r="L176" s="37">
        <v>250</v>
      </c>
      <c r="M176" s="64" t="s">
        <v>408</v>
      </c>
      <c r="N176" s="42"/>
    </row>
    <row r="177" spans="1:14" ht="24" customHeight="1">
      <c r="A177" s="8">
        <v>133</v>
      </c>
      <c r="B177" s="9">
        <v>133</v>
      </c>
      <c r="C177" s="46">
        <v>45839</v>
      </c>
      <c r="D177" s="9" t="s">
        <v>416</v>
      </c>
      <c r="E177" s="56" t="str">
        <f>IFERROR(VLOOKUP($D177,본공사입.출고현황!$B:$H,E$2080,0),0)</f>
        <v>Sup't</v>
      </c>
      <c r="F177" s="18" t="str">
        <f>IFERROR(VLOOKUP($D177,본공사입.출고현황!$B:$H,F$2080,0),0)</f>
        <v>Angle 50x50x5</v>
      </c>
      <c r="G177" s="18" t="str">
        <f>IFERROR(VLOOKUP($D177,본공사입.출고현황!$B:$H,G$2080,0),0)</f>
        <v>Angle</v>
      </c>
      <c r="H177" s="18" t="str">
        <f>IFERROR(VLOOKUP($D177,본공사입.출고현황!$B:$H,H$2080,0),0)</f>
        <v>50*50*5</v>
      </c>
      <c r="I177" s="56" t="str">
        <f>IFERROR(VLOOKUP($D177,본공사입.출고현황!$B:$H,I$2080,0),0)</f>
        <v>M</v>
      </c>
      <c r="J177" s="9"/>
      <c r="K177" s="9"/>
      <c r="L177" s="37">
        <v>36</v>
      </c>
      <c r="M177" s="64" t="s">
        <v>408</v>
      </c>
      <c r="N177" s="42"/>
    </row>
    <row r="178" spans="1:14" ht="24" customHeight="1">
      <c r="A178" s="8">
        <v>134</v>
      </c>
      <c r="B178" s="9">
        <v>134</v>
      </c>
      <c r="C178" s="46">
        <v>45840</v>
      </c>
      <c r="D178" s="9" t="s">
        <v>61</v>
      </c>
      <c r="E178" s="56" t="str">
        <f>IFERROR(VLOOKUP($D178,본공사입.출고현황!$B:$H,E$2080,0),0)</f>
        <v>Angle</v>
      </c>
      <c r="F178" s="18" t="str">
        <f>IFERROR(VLOOKUP($D178,본공사입.출고현황!$B:$H,F$2080,0),0)</f>
        <v>Angle 100x100x10</v>
      </c>
      <c r="G178" s="18" t="str">
        <f>IFERROR(VLOOKUP($D178,본공사입.출고현황!$B:$H,G$2080,0),0)</f>
        <v>CCGG</v>
      </c>
      <c r="H178" s="18" t="str">
        <f>IFERROR(VLOOKUP($D178,본공사입.출고현황!$B:$H,H$2080,0),0)</f>
        <v>100x100x10 (12m)</v>
      </c>
      <c r="I178" s="56" t="str">
        <f>IFERROR(VLOOKUP($D178,본공사입.출고현황!$B:$H,I$2080,0),0)</f>
        <v>M</v>
      </c>
      <c r="J178" s="9"/>
      <c r="K178" s="9"/>
      <c r="L178" s="37">
        <v>6</v>
      </c>
      <c r="M178" s="64" t="s">
        <v>408</v>
      </c>
      <c r="N178" s="42"/>
    </row>
    <row r="179" spans="1:14" ht="24" customHeight="1">
      <c r="A179" s="8">
        <v>135</v>
      </c>
      <c r="B179" s="9">
        <v>135</v>
      </c>
      <c r="C179" s="46">
        <v>45840</v>
      </c>
      <c r="D179" s="9" t="s">
        <v>238</v>
      </c>
      <c r="E179" s="56" t="str">
        <f>IFERROR(VLOOKUP($D179,본공사입.출고현황!$B:$H,E$2080,0),0)</f>
        <v>Steel round bar</v>
      </c>
      <c r="F179" s="18" t="str">
        <f>IFERROR(VLOOKUP($D179,본공사입.출고현황!$B:$H,F$2080,0),0)</f>
        <v>Steel round bar(rebar)</v>
      </c>
      <c r="G179" s="18" t="str">
        <f>IFERROR(VLOOKUP($D179,본공사입.출고현황!$B:$H,G$2080,0),0)</f>
        <v>CCGG</v>
      </c>
      <c r="H179" s="18" t="str">
        <f>IFERROR(VLOOKUP($D179,본공사입.출고현황!$B:$H,H$2080,0),0)</f>
        <v>ф10, 1ton=1,620.7m</v>
      </c>
      <c r="I179" s="56" t="str">
        <f>IFERROR(VLOOKUP($D179,본공사입.출고현황!$B:$H,I$2080,0),0)</f>
        <v>M</v>
      </c>
      <c r="J179" s="9"/>
      <c r="K179" s="9"/>
      <c r="L179" s="37">
        <v>110</v>
      </c>
      <c r="M179" s="64" t="s">
        <v>408</v>
      </c>
      <c r="N179" s="42"/>
    </row>
    <row r="180" spans="1:14" ht="24" customHeight="1">
      <c r="A180" s="8">
        <v>136</v>
      </c>
      <c r="B180" s="9">
        <v>136</v>
      </c>
      <c r="C180" s="46">
        <v>45841</v>
      </c>
      <c r="D180" s="9" t="s">
        <v>416</v>
      </c>
      <c r="E180" s="56" t="str">
        <f>IFERROR(VLOOKUP($D180,본공사입.출고현황!$B:$H,E$2080,0),0)</f>
        <v>Sup't</v>
      </c>
      <c r="F180" s="18" t="str">
        <f>IFERROR(VLOOKUP($D180,본공사입.출고현황!$B:$H,F$2080,0),0)</f>
        <v>Angle 50x50x5</v>
      </c>
      <c r="G180" s="18" t="str">
        <f>IFERROR(VLOOKUP($D180,본공사입.출고현황!$B:$H,G$2080,0),0)</f>
        <v>Angle</v>
      </c>
      <c r="H180" s="18" t="str">
        <f>IFERROR(VLOOKUP($D180,본공사입.출고현황!$B:$H,H$2080,0),0)</f>
        <v>50*50*5</v>
      </c>
      <c r="I180" s="56" t="str">
        <f>IFERROR(VLOOKUP($D180,본공사입.출고현황!$B:$H,I$2080,0),0)</f>
        <v>M</v>
      </c>
      <c r="J180" s="9"/>
      <c r="K180" s="9"/>
      <c r="L180" s="37">
        <v>12</v>
      </c>
      <c r="M180" s="64" t="s">
        <v>408</v>
      </c>
      <c r="N180" s="42"/>
    </row>
    <row r="181" spans="1:14" ht="24" customHeight="1">
      <c r="A181" s="8">
        <v>137</v>
      </c>
      <c r="B181" s="9">
        <v>137</v>
      </c>
      <c r="C181" s="46">
        <v>45845</v>
      </c>
      <c r="D181" s="9" t="s">
        <v>416</v>
      </c>
      <c r="E181" s="56" t="str">
        <f>IFERROR(VLOOKUP($D181,본공사입.출고현황!$B:$H,E$2080,0),0)</f>
        <v>Sup't</v>
      </c>
      <c r="F181" s="18" t="str">
        <f>IFERROR(VLOOKUP($D181,본공사입.출고현황!$B:$H,F$2080,0),0)</f>
        <v>Angle 50x50x5</v>
      </c>
      <c r="G181" s="18" t="str">
        <f>IFERROR(VLOOKUP($D181,본공사입.출고현황!$B:$H,G$2080,0),0)</f>
        <v>Angle</v>
      </c>
      <c r="H181" s="18" t="str">
        <f>IFERROR(VLOOKUP($D181,본공사입.출고현황!$B:$H,H$2080,0),0)</f>
        <v>50*50*5</v>
      </c>
      <c r="I181" s="56" t="str">
        <f>IFERROR(VLOOKUP($D181,본공사입.출고현황!$B:$H,I$2080,0),0)</f>
        <v>M</v>
      </c>
      <c r="J181" s="9"/>
      <c r="K181" s="9"/>
      <c r="L181" s="37">
        <v>24</v>
      </c>
      <c r="M181" s="64" t="s">
        <v>408</v>
      </c>
      <c r="N181" s="42"/>
    </row>
    <row r="182" spans="1:14" ht="24" customHeight="1">
      <c r="A182" s="8">
        <v>138</v>
      </c>
      <c r="B182" s="9">
        <v>138</v>
      </c>
      <c r="C182" s="46">
        <v>45845</v>
      </c>
      <c r="D182" s="9" t="s">
        <v>238</v>
      </c>
      <c r="E182" s="56" t="str">
        <f>IFERROR(VLOOKUP($D182,본공사입.출고현황!$B:$H,E$2080,0),0)</f>
        <v>Steel round bar</v>
      </c>
      <c r="F182" s="18" t="str">
        <f>IFERROR(VLOOKUP($D182,본공사입.출고현황!$B:$H,F$2080,0),0)</f>
        <v>Steel round bar(rebar)</v>
      </c>
      <c r="G182" s="18" t="str">
        <f>IFERROR(VLOOKUP($D182,본공사입.출고현황!$B:$H,G$2080,0),0)</f>
        <v>CCGG</v>
      </c>
      <c r="H182" s="18" t="str">
        <f>IFERROR(VLOOKUP($D182,본공사입.출고현황!$B:$H,H$2080,0),0)</f>
        <v>ф10, 1ton=1,620.7m</v>
      </c>
      <c r="I182" s="56" t="str">
        <f>IFERROR(VLOOKUP($D182,본공사입.출고현황!$B:$H,I$2080,0),0)</f>
        <v>M</v>
      </c>
      <c r="J182" s="9"/>
      <c r="K182" s="9"/>
      <c r="L182" s="37">
        <v>400</v>
      </c>
      <c r="M182" s="64" t="s">
        <v>408</v>
      </c>
      <c r="N182" s="42"/>
    </row>
    <row r="183" spans="1:14" ht="24" customHeight="1">
      <c r="A183" s="8">
        <v>139</v>
      </c>
      <c r="B183" s="9">
        <v>139</v>
      </c>
      <c r="C183" s="46">
        <v>45846</v>
      </c>
      <c r="D183" s="9" t="s">
        <v>153</v>
      </c>
      <c r="E183" s="56" t="str">
        <f>IFERROR(VLOOKUP($D183,본공사입.출고현황!$B:$H,E$2080,0),0)</f>
        <v>Conduit Fitting</v>
      </c>
      <c r="F183" s="18" t="str">
        <f>IFERROR(VLOOKUP($D183,본공사입.출고현황!$B:$H,F$2080,0),0)</f>
        <v>Conduit Coupling 121x5</v>
      </c>
      <c r="G183" s="18" t="str">
        <f>IFERROR(VLOOKUP($D183,본공사입.출고현황!$B:$H,G$2080,0),0)</f>
        <v>Conduit Coupling</v>
      </c>
      <c r="H183" s="18" t="str">
        <f>IFERROR(VLOOKUP($D183,본공사입.출고현황!$B:$H,H$2080,0),0)</f>
        <v>121x5</v>
      </c>
      <c r="I183" s="56" t="str">
        <f>IFERROR(VLOOKUP($D183,본공사입.출고현황!$B:$H,I$2080,0),0)</f>
        <v>M</v>
      </c>
      <c r="J183" s="9"/>
      <c r="K183" s="9"/>
      <c r="L183" s="37">
        <v>12</v>
      </c>
      <c r="M183" s="64" t="s">
        <v>408</v>
      </c>
      <c r="N183" s="42"/>
    </row>
    <row r="184" spans="1:14" ht="24" customHeight="1">
      <c r="A184" s="8">
        <v>140</v>
      </c>
      <c r="B184" s="9">
        <v>140</v>
      </c>
      <c r="C184" s="46">
        <v>45846</v>
      </c>
      <c r="D184" s="9" t="s">
        <v>407</v>
      </c>
      <c r="E184" s="56" t="str">
        <f>IFERROR(VLOOKUP($D184,본공사입.출고현황!$B:$H,E$2080,0),0)</f>
        <v>Steel round bar</v>
      </c>
      <c r="F184" s="18" t="str">
        <f>IFERROR(VLOOKUP($D184,본공사입.출고현황!$B:$H,F$2080,0),0)</f>
        <v>Steel round bar(rebar)</v>
      </c>
      <c r="G184" s="18" t="str">
        <f>IFERROR(VLOOKUP($D184,본공사입.출고현황!$B:$H,G$2080,0),0)</f>
        <v>CCGG</v>
      </c>
      <c r="H184" s="18" t="str">
        <f>IFERROR(VLOOKUP($D184,본공사입.출고현황!$B:$H,H$2080,0),0)</f>
        <v>ф10, 1ton=1,620.7m</v>
      </c>
      <c r="I184" s="56" t="str">
        <f>IFERROR(VLOOKUP($D184,본공사입.출고현황!$B:$H,I$2080,0),0)</f>
        <v>M</v>
      </c>
      <c r="J184" s="9"/>
      <c r="K184" s="9"/>
      <c r="L184" s="37">
        <v>350</v>
      </c>
      <c r="M184" s="64" t="s">
        <v>408</v>
      </c>
      <c r="N184" s="42"/>
    </row>
    <row r="185" spans="1:14" ht="24" customHeight="1">
      <c r="A185" s="8">
        <v>141</v>
      </c>
      <c r="B185" s="9">
        <v>141</v>
      </c>
      <c r="C185" s="46">
        <v>45846</v>
      </c>
      <c r="D185" s="9" t="s">
        <v>416</v>
      </c>
      <c r="E185" s="56" t="str">
        <f>IFERROR(VLOOKUP($D185,본공사입.출고현황!$B:$H,E$2080,0),0)</f>
        <v>Sup't</v>
      </c>
      <c r="F185" s="18" t="str">
        <f>IFERROR(VLOOKUP($D185,본공사입.출고현황!$B:$H,F$2080,0),0)</f>
        <v>Angle 50x50x5</v>
      </c>
      <c r="G185" s="18" t="str">
        <f>IFERROR(VLOOKUP($D185,본공사입.출고현황!$B:$H,G$2080,0),0)</f>
        <v>Angle</v>
      </c>
      <c r="H185" s="18" t="str">
        <f>IFERROR(VLOOKUP($D185,본공사입.출고현황!$B:$H,H$2080,0),0)</f>
        <v>50*50*5</v>
      </c>
      <c r="I185" s="56" t="str">
        <f>IFERROR(VLOOKUP($D185,본공사입.출고현황!$B:$H,I$2080,0),0)</f>
        <v>M</v>
      </c>
      <c r="J185" s="9"/>
      <c r="K185" s="9"/>
      <c r="L185" s="37">
        <v>12</v>
      </c>
      <c r="M185" s="64" t="s">
        <v>408</v>
      </c>
      <c r="N185" s="42"/>
    </row>
    <row r="186" spans="1:14" ht="24" customHeight="1">
      <c r="A186" s="8">
        <v>142</v>
      </c>
      <c r="B186" s="9">
        <v>142</v>
      </c>
      <c r="C186" s="46">
        <v>45847</v>
      </c>
      <c r="D186" s="9" t="s">
        <v>140</v>
      </c>
      <c r="E186" s="56" t="str">
        <f>IFERROR(VLOOKUP($D186,본공사입.출고현황!$B:$H,E$2080,0),0)</f>
        <v>Conduit</v>
      </c>
      <c r="F186" s="18" t="str">
        <f>IFERROR(VLOOKUP($D186,본공사입.출고현황!$B:$H,F$2080,0),0)</f>
        <v>Conduit 108x4.0</v>
      </c>
      <c r="G186" s="18" t="str">
        <f>IFERROR(VLOOKUP($D186,본공사입.출고현황!$B:$H,G$2080,0),0)</f>
        <v>Conduit</v>
      </c>
      <c r="H186" s="18" t="str">
        <f>IFERROR(VLOOKUP($D186,본공사입.출고현황!$B:$H,H$2080,0),0)</f>
        <v>108x4</v>
      </c>
      <c r="I186" s="56" t="str">
        <f>IFERROR(VLOOKUP($D186,본공사입.출고현황!$B:$H,I$2080,0),0)</f>
        <v>M</v>
      </c>
      <c r="J186" s="9"/>
      <c r="K186" s="9"/>
      <c r="L186" s="37">
        <v>6.5</v>
      </c>
      <c r="M186" s="64" t="s">
        <v>408</v>
      </c>
      <c r="N186" s="42"/>
    </row>
    <row r="187" spans="1:14" ht="24" customHeight="1">
      <c r="A187" s="8">
        <v>143</v>
      </c>
      <c r="B187" s="9">
        <v>143</v>
      </c>
      <c r="C187" s="46">
        <v>45850</v>
      </c>
      <c r="D187" s="9" t="s">
        <v>416</v>
      </c>
      <c r="E187" s="56" t="str">
        <f>IFERROR(VLOOKUP($D187,본공사입.출고현황!$B:$H,E$2080,0),0)</f>
        <v>Sup't</v>
      </c>
      <c r="F187" s="18" t="str">
        <f>IFERROR(VLOOKUP($D187,본공사입.출고현황!$B:$H,F$2080,0),0)</f>
        <v>Angle 50x50x5</v>
      </c>
      <c r="G187" s="18" t="str">
        <f>IFERROR(VLOOKUP($D187,본공사입.출고현황!$B:$H,G$2080,0),0)</f>
        <v>Angle</v>
      </c>
      <c r="H187" s="18" t="str">
        <f>IFERROR(VLOOKUP($D187,본공사입.출고현황!$B:$H,H$2080,0),0)</f>
        <v>50*50*5</v>
      </c>
      <c r="I187" s="56" t="str">
        <f>IFERROR(VLOOKUP($D187,본공사입.출고현황!$B:$H,I$2080,0),0)</f>
        <v>M</v>
      </c>
      <c r="J187" s="9"/>
      <c r="K187" s="9"/>
      <c r="L187" s="37">
        <v>48</v>
      </c>
      <c r="M187" s="64" t="s">
        <v>417</v>
      </c>
      <c r="N187" s="42"/>
    </row>
    <row r="188" spans="1:14" ht="24" customHeight="1">
      <c r="A188" s="8">
        <v>144</v>
      </c>
      <c r="B188" s="9">
        <v>144</v>
      </c>
      <c r="C188" s="46">
        <v>45850</v>
      </c>
      <c r="D188" s="9" t="s">
        <v>407</v>
      </c>
      <c r="E188" s="56" t="str">
        <f>IFERROR(VLOOKUP($D188,본공사입.출고현황!$B:$H,E$2080,0),0)</f>
        <v>Steel round bar</v>
      </c>
      <c r="F188" s="18" t="str">
        <f>IFERROR(VLOOKUP($D188,본공사입.출고현황!$B:$H,F$2080,0),0)</f>
        <v>Steel round bar(rebar)</v>
      </c>
      <c r="G188" s="18" t="str">
        <f>IFERROR(VLOOKUP($D188,본공사입.출고현황!$B:$H,G$2080,0),0)</f>
        <v>CCGG</v>
      </c>
      <c r="H188" s="18" t="str">
        <f>IFERROR(VLOOKUP($D188,본공사입.출고현황!$B:$H,H$2080,0),0)</f>
        <v>ф10, 1ton=1,620.7m</v>
      </c>
      <c r="I188" s="56" t="str">
        <f>IFERROR(VLOOKUP($D188,본공사입.출고현황!$B:$H,I$2080,0),0)</f>
        <v>M</v>
      </c>
      <c r="J188" s="9"/>
      <c r="K188" s="9"/>
      <c r="L188" s="37">
        <v>600</v>
      </c>
      <c r="M188" s="64" t="s">
        <v>417</v>
      </c>
      <c r="N188" s="42"/>
    </row>
    <row r="189" spans="1:14" ht="24" customHeight="1">
      <c r="A189" s="8">
        <v>145</v>
      </c>
      <c r="B189" s="9">
        <v>145</v>
      </c>
      <c r="C189" s="46">
        <v>45851</v>
      </c>
      <c r="D189" s="9" t="s">
        <v>407</v>
      </c>
      <c r="E189" s="56" t="str">
        <f>IFERROR(VLOOKUP($D189,본공사입.출고현황!$B:$H,E$2080,0),0)</f>
        <v>Steel round bar</v>
      </c>
      <c r="F189" s="18" t="str">
        <f>IFERROR(VLOOKUP($D189,본공사입.출고현황!$B:$H,F$2080,0),0)</f>
        <v>Steel round bar(rebar)</v>
      </c>
      <c r="G189" s="18" t="str">
        <f>IFERROR(VLOOKUP($D189,본공사입.출고현황!$B:$H,G$2080,0),0)</f>
        <v>CCGG</v>
      </c>
      <c r="H189" s="18" t="str">
        <f>IFERROR(VLOOKUP($D189,본공사입.출고현황!$B:$H,H$2080,0),0)</f>
        <v>ф10, 1ton=1,620.7m</v>
      </c>
      <c r="I189" s="56" t="str">
        <f>IFERROR(VLOOKUP($D189,본공사입.출고현황!$B:$H,I$2080,0),0)</f>
        <v>M</v>
      </c>
      <c r="J189" s="9"/>
      <c r="K189" s="9"/>
      <c r="L189" s="37">
        <v>250</v>
      </c>
      <c r="M189" s="64" t="s">
        <v>408</v>
      </c>
      <c r="N189" s="42"/>
    </row>
    <row r="190" spans="1:14" ht="24" customHeight="1">
      <c r="A190" s="8">
        <v>146</v>
      </c>
      <c r="B190" s="9">
        <v>146</v>
      </c>
      <c r="C190" s="46">
        <v>45851</v>
      </c>
      <c r="D190" s="9" t="s">
        <v>416</v>
      </c>
      <c r="E190" s="56" t="str">
        <f>IFERROR(VLOOKUP($D190,본공사입.출고현황!$B:$H,E$2080,0),0)</f>
        <v>Sup't</v>
      </c>
      <c r="F190" s="18" t="str">
        <f>IFERROR(VLOOKUP($D190,본공사입.출고현황!$B:$H,F$2080,0),0)</f>
        <v>Angle 50x50x5</v>
      </c>
      <c r="G190" s="18" t="str">
        <f>IFERROR(VLOOKUP($D190,본공사입.출고현황!$B:$H,G$2080,0),0)</f>
        <v>Angle</v>
      </c>
      <c r="H190" s="18" t="str">
        <f>IFERROR(VLOOKUP($D190,본공사입.출고현황!$B:$H,H$2080,0),0)</f>
        <v>50*50*5</v>
      </c>
      <c r="I190" s="56" t="str">
        <f>IFERROR(VLOOKUP($D190,본공사입.출고현황!$B:$H,I$2080,0),0)</f>
        <v>M</v>
      </c>
      <c r="J190" s="9"/>
      <c r="K190" s="9"/>
      <c r="L190" s="37">
        <v>12</v>
      </c>
      <c r="M190" s="64" t="s">
        <v>408</v>
      </c>
      <c r="N190" s="42"/>
    </row>
    <row r="191" spans="1:14" ht="24" customHeight="1">
      <c r="A191" s="8">
        <v>147</v>
      </c>
      <c r="B191" s="9">
        <v>147</v>
      </c>
      <c r="C191" s="46">
        <v>45851</v>
      </c>
      <c r="D191" s="9" t="s">
        <v>61</v>
      </c>
      <c r="E191" s="56" t="str">
        <f>IFERROR(VLOOKUP($D191,본공사입.출고현황!$B:$H,E$2080,0),0)</f>
        <v>Angle</v>
      </c>
      <c r="F191" s="18" t="str">
        <f>IFERROR(VLOOKUP($D191,본공사입.출고현황!$B:$H,F$2080,0),0)</f>
        <v>Angle 100x100x10</v>
      </c>
      <c r="G191" s="18" t="str">
        <f>IFERROR(VLOOKUP($D191,본공사입.출고현황!$B:$H,G$2080,0),0)</f>
        <v>CCGG</v>
      </c>
      <c r="H191" s="18" t="str">
        <f>IFERROR(VLOOKUP($D191,본공사입.출고현황!$B:$H,H$2080,0),0)</f>
        <v>100x100x10 (12m)</v>
      </c>
      <c r="I191" s="56" t="str">
        <f>IFERROR(VLOOKUP($D191,본공사입.출고현황!$B:$H,I$2080,0),0)</f>
        <v>M</v>
      </c>
      <c r="J191" s="9"/>
      <c r="K191" s="9"/>
      <c r="L191" s="37">
        <v>6</v>
      </c>
      <c r="M191" s="64" t="s">
        <v>408</v>
      </c>
      <c r="N191" s="42"/>
    </row>
    <row r="192" spans="1:14" ht="24" customHeight="1">
      <c r="A192" s="8">
        <v>148</v>
      </c>
      <c r="B192" s="9">
        <v>148</v>
      </c>
      <c r="C192" s="46">
        <v>45852</v>
      </c>
      <c r="D192" s="9" t="s">
        <v>61</v>
      </c>
      <c r="E192" s="56" t="str">
        <f>IFERROR(VLOOKUP($D192,본공사입.출고현황!$B:$H,E$2080,0),0)</f>
        <v>Angle</v>
      </c>
      <c r="F192" s="18" t="str">
        <f>IFERROR(VLOOKUP($D192,본공사입.출고현황!$B:$H,F$2080,0),0)</f>
        <v>Angle 100x100x10</v>
      </c>
      <c r="G192" s="18" t="str">
        <f>IFERROR(VLOOKUP($D192,본공사입.출고현황!$B:$H,G$2080,0),0)</f>
        <v>CCGG</v>
      </c>
      <c r="H192" s="18" t="str">
        <f>IFERROR(VLOOKUP($D192,본공사입.출고현황!$B:$H,H$2080,0),0)</f>
        <v>100x100x10 (12m)</v>
      </c>
      <c r="I192" s="56" t="str">
        <f>IFERROR(VLOOKUP($D192,본공사입.출고현황!$B:$H,I$2080,0),0)</f>
        <v>M</v>
      </c>
      <c r="J192" s="9"/>
      <c r="K192" s="9"/>
      <c r="L192" s="37">
        <v>6</v>
      </c>
      <c r="M192" s="64" t="s">
        <v>408</v>
      </c>
      <c r="N192" s="42"/>
    </row>
    <row r="193" spans="1:14" ht="24" customHeight="1">
      <c r="A193" s="8">
        <v>149</v>
      </c>
      <c r="B193" s="9">
        <v>149</v>
      </c>
      <c r="C193" s="46">
        <v>45852</v>
      </c>
      <c r="D193" s="9" t="s">
        <v>407</v>
      </c>
      <c r="E193" s="56" t="str">
        <f>IFERROR(VLOOKUP($D193,본공사입.출고현황!$B:$H,E$2080,0),0)</f>
        <v>Steel round bar</v>
      </c>
      <c r="F193" s="18" t="str">
        <f>IFERROR(VLOOKUP($D193,본공사입.출고현황!$B:$H,F$2080,0),0)</f>
        <v>Steel round bar(rebar)</v>
      </c>
      <c r="G193" s="18" t="str">
        <f>IFERROR(VLOOKUP($D193,본공사입.출고현황!$B:$H,G$2080,0),0)</f>
        <v>CCGG</v>
      </c>
      <c r="H193" s="18" t="str">
        <f>IFERROR(VLOOKUP($D193,본공사입.출고현황!$B:$H,H$2080,0),0)</f>
        <v>ф10, 1ton=1,620.7m</v>
      </c>
      <c r="I193" s="56" t="str">
        <f>IFERROR(VLOOKUP($D193,본공사입.출고현황!$B:$H,I$2080,0),0)</f>
        <v>M</v>
      </c>
      <c r="J193" s="9"/>
      <c r="K193" s="9"/>
      <c r="L193" s="37">
        <v>500</v>
      </c>
      <c r="M193" s="64" t="s">
        <v>408</v>
      </c>
      <c r="N193" s="42"/>
    </row>
    <row r="194" spans="1:14" ht="24" customHeight="1">
      <c r="A194" s="8">
        <v>150</v>
      </c>
      <c r="B194" s="9">
        <v>150</v>
      </c>
      <c r="C194" s="46">
        <v>45853</v>
      </c>
      <c r="D194" s="9" t="s">
        <v>140</v>
      </c>
      <c r="E194" s="56" t="str">
        <f>IFERROR(VLOOKUP($D194,본공사입.출고현황!$B:$H,E$2080,0),0)</f>
        <v>Conduit</v>
      </c>
      <c r="F194" s="18" t="str">
        <f>IFERROR(VLOOKUP($D194,본공사입.출고현황!$B:$H,F$2080,0),0)</f>
        <v>Conduit 108x4.0</v>
      </c>
      <c r="G194" s="18" t="str">
        <f>IFERROR(VLOOKUP($D194,본공사입.출고현황!$B:$H,G$2080,0),0)</f>
        <v>Conduit</v>
      </c>
      <c r="H194" s="18" t="str">
        <f>IFERROR(VLOOKUP($D194,본공사입.출고현황!$B:$H,H$2080,0),0)</f>
        <v>108x4</v>
      </c>
      <c r="I194" s="56" t="str">
        <f>IFERROR(VLOOKUP($D194,본공사입.출고현황!$B:$H,I$2080,0),0)</f>
        <v>M</v>
      </c>
      <c r="J194" s="9"/>
      <c r="K194" s="9"/>
      <c r="L194" s="37">
        <v>2</v>
      </c>
      <c r="M194" s="64" t="s">
        <v>243</v>
      </c>
      <c r="N194" s="42" t="s">
        <v>419</v>
      </c>
    </row>
    <row r="195" spans="1:14" ht="24" customHeight="1">
      <c r="A195" s="8">
        <v>151</v>
      </c>
      <c r="B195" s="9">
        <v>151</v>
      </c>
      <c r="C195" s="46">
        <v>45853</v>
      </c>
      <c r="D195" s="9" t="s">
        <v>135</v>
      </c>
      <c r="E195" s="56" t="str">
        <f>IFERROR(VLOOKUP($D195,본공사입.출고현황!$B:$H,E$2080,0),0)</f>
        <v>Conduit</v>
      </c>
      <c r="F195" s="18" t="str">
        <f>IFERROR(VLOOKUP($D195,본공사입.출고현황!$B:$H,F$2080,0),0)</f>
        <v>Conduit 159x4.5</v>
      </c>
      <c r="G195" s="18" t="str">
        <f>IFERROR(VLOOKUP($D195,본공사입.출고현황!$B:$H,G$2080,0),0)</f>
        <v>Conduit</v>
      </c>
      <c r="H195" s="18" t="str">
        <f>IFERROR(VLOOKUP($D195,본공사입.출고현황!$B:$H,H$2080,0),0)</f>
        <v>159x4.5</v>
      </c>
      <c r="I195" s="56" t="str">
        <f>IFERROR(VLOOKUP($D195,본공사입.출고현황!$B:$H,I$2080,0),0)</f>
        <v>M</v>
      </c>
      <c r="J195" s="9"/>
      <c r="K195" s="9"/>
      <c r="L195" s="37">
        <v>6</v>
      </c>
      <c r="M195" s="64" t="s">
        <v>243</v>
      </c>
      <c r="N195" s="42" t="s">
        <v>419</v>
      </c>
    </row>
    <row r="196" spans="1:14" ht="24" customHeight="1">
      <c r="A196" s="8">
        <v>152</v>
      </c>
      <c r="B196" s="9">
        <v>152</v>
      </c>
      <c r="C196" s="46">
        <v>45853</v>
      </c>
      <c r="D196" s="9" t="s">
        <v>153</v>
      </c>
      <c r="E196" s="56" t="str">
        <f>IFERROR(VLOOKUP($D196,본공사입.출고현황!$B:$H,E$2080,0),0)</f>
        <v>Conduit Fitting</v>
      </c>
      <c r="F196" s="18" t="str">
        <f>IFERROR(VLOOKUP($D196,본공사입.출고현황!$B:$H,F$2080,0),0)</f>
        <v>Conduit Coupling 121x5</v>
      </c>
      <c r="G196" s="18" t="str">
        <f>IFERROR(VLOOKUP($D196,본공사입.출고현황!$B:$H,G$2080,0),0)</f>
        <v>Conduit Coupling</v>
      </c>
      <c r="H196" s="18" t="str">
        <f>IFERROR(VLOOKUP($D196,본공사입.출고현황!$B:$H,H$2080,0),0)</f>
        <v>121x5</v>
      </c>
      <c r="I196" s="56" t="str">
        <f>IFERROR(VLOOKUP($D196,본공사입.출고현황!$B:$H,I$2080,0),0)</f>
        <v>M</v>
      </c>
      <c r="J196" s="9"/>
      <c r="K196" s="9"/>
      <c r="L196" s="37">
        <v>2</v>
      </c>
      <c r="M196" s="64" t="s">
        <v>243</v>
      </c>
      <c r="N196" s="42" t="s">
        <v>419</v>
      </c>
    </row>
    <row r="197" spans="1:14" ht="24" customHeight="1">
      <c r="A197" s="8">
        <v>153</v>
      </c>
      <c r="B197" s="9">
        <v>153</v>
      </c>
      <c r="C197" s="46">
        <v>45853</v>
      </c>
      <c r="D197" s="9" t="s">
        <v>144</v>
      </c>
      <c r="E197" s="56" t="str">
        <f>IFERROR(VLOOKUP($D197,본공사입.출고현황!$B:$H,E$2080,0),0)</f>
        <v>Conduit Fitting</v>
      </c>
      <c r="F197" s="18" t="str">
        <f>IFERROR(VLOOKUP($D197,본공사입.출고현황!$B:$H,F$2080,0),0)</f>
        <v>Conduit Coupling 168x4</v>
      </c>
      <c r="G197" s="18" t="str">
        <f>IFERROR(VLOOKUP($D197,본공사입.출고현황!$B:$H,G$2080,0),0)</f>
        <v>Conduit Coupling</v>
      </c>
      <c r="H197" s="18" t="str">
        <f>IFERROR(VLOOKUP($D197,본공사입.출고현황!$B:$H,H$2080,0),0)</f>
        <v>168x4</v>
      </c>
      <c r="I197" s="56" t="str">
        <f>IFERROR(VLOOKUP($D197,본공사입.출고현황!$B:$H,I$2080,0),0)</f>
        <v>M</v>
      </c>
      <c r="J197" s="9"/>
      <c r="K197" s="9"/>
      <c r="L197" s="37">
        <v>1</v>
      </c>
      <c r="M197" s="64" t="s">
        <v>243</v>
      </c>
      <c r="N197" s="42" t="s">
        <v>419</v>
      </c>
    </row>
    <row r="198" spans="1:14" ht="24" customHeight="1">
      <c r="A198" s="8">
        <v>154</v>
      </c>
      <c r="B198" s="9">
        <v>154</v>
      </c>
      <c r="C198" s="46">
        <v>45853</v>
      </c>
      <c r="D198" s="9" t="s">
        <v>61</v>
      </c>
      <c r="E198" s="56" t="str">
        <f>IFERROR(VLOOKUP($D198,본공사입.출고현황!$B:$H,E$2080,0),0)</f>
        <v>Angle</v>
      </c>
      <c r="F198" s="18" t="str">
        <f>IFERROR(VLOOKUP($D198,본공사입.출고현황!$B:$H,F$2080,0),0)</f>
        <v>Angle 100x100x10</v>
      </c>
      <c r="G198" s="18" t="str">
        <f>IFERROR(VLOOKUP($D198,본공사입.출고현황!$B:$H,G$2080,0),0)</f>
        <v>CCGG</v>
      </c>
      <c r="H198" s="18" t="str">
        <f>IFERROR(VLOOKUP($D198,본공사입.출고현황!$B:$H,H$2080,0),0)</f>
        <v>100x100x10 (12m)</v>
      </c>
      <c r="I198" s="56" t="str">
        <f>IFERROR(VLOOKUP($D198,본공사입.출고현황!$B:$H,I$2080,0),0)</f>
        <v>M</v>
      </c>
      <c r="J198" s="9"/>
      <c r="K198" s="9"/>
      <c r="L198" s="37">
        <v>6</v>
      </c>
      <c r="M198" s="64" t="s">
        <v>408</v>
      </c>
      <c r="N198" s="42"/>
    </row>
    <row r="199" spans="1:14" ht="24" customHeight="1">
      <c r="A199" s="8">
        <v>155</v>
      </c>
      <c r="B199" s="9">
        <v>155</v>
      </c>
      <c r="C199" s="46">
        <v>45854</v>
      </c>
      <c r="D199" s="9" t="s">
        <v>407</v>
      </c>
      <c r="E199" s="56" t="str">
        <f>IFERROR(VLOOKUP($D199,본공사입.출고현황!$B:$H,E$2080,0),0)</f>
        <v>Steel round bar</v>
      </c>
      <c r="F199" s="18" t="str">
        <f>IFERROR(VLOOKUP($D199,본공사입.출고현황!$B:$H,F$2080,0),0)</f>
        <v>Steel round bar(rebar)</v>
      </c>
      <c r="G199" s="18" t="str">
        <f>IFERROR(VLOOKUP($D199,본공사입.출고현황!$B:$H,G$2080,0),0)</f>
        <v>CCGG</v>
      </c>
      <c r="H199" s="18" t="str">
        <f>IFERROR(VLOOKUP($D199,본공사입.출고현황!$B:$H,H$2080,0),0)</f>
        <v>ф10, 1ton=1,620.7m</v>
      </c>
      <c r="I199" s="56" t="str">
        <f>IFERROR(VLOOKUP($D199,본공사입.출고현황!$B:$H,I$2080,0),0)</f>
        <v>M</v>
      </c>
      <c r="J199" s="9"/>
      <c r="K199" s="9"/>
      <c r="L199" s="37">
        <v>300</v>
      </c>
      <c r="M199" s="64" t="s">
        <v>408</v>
      </c>
      <c r="N199" s="42"/>
    </row>
    <row r="200" spans="1:14" ht="24" customHeight="1">
      <c r="A200" s="8">
        <v>156</v>
      </c>
      <c r="B200" s="9">
        <v>156</v>
      </c>
      <c r="C200" s="46">
        <v>45857</v>
      </c>
      <c r="D200" s="9" t="s">
        <v>407</v>
      </c>
      <c r="E200" s="56" t="str">
        <f>IFERROR(VLOOKUP($D200,본공사입.출고현황!$B:$H,E$2080,0),0)</f>
        <v>Steel round bar</v>
      </c>
      <c r="F200" s="18" t="str">
        <f>IFERROR(VLOOKUP($D200,본공사입.출고현황!$B:$H,F$2080,0),0)</f>
        <v>Steel round bar(rebar)</v>
      </c>
      <c r="G200" s="18" t="str">
        <f>IFERROR(VLOOKUP($D200,본공사입.출고현황!$B:$H,G$2080,0),0)</f>
        <v>CCGG</v>
      </c>
      <c r="H200" s="18" t="str">
        <f>IFERROR(VLOOKUP($D200,본공사입.출고현황!$B:$H,H$2080,0),0)</f>
        <v>ф10, 1ton=1,620.7m</v>
      </c>
      <c r="I200" s="56" t="str">
        <f>IFERROR(VLOOKUP($D200,본공사입.출고현황!$B:$H,I$2080,0),0)</f>
        <v>M</v>
      </c>
      <c r="J200" s="9"/>
      <c r="K200" s="9"/>
      <c r="L200" s="37">
        <v>70</v>
      </c>
      <c r="M200" s="64" t="s">
        <v>420</v>
      </c>
      <c r="N200" s="42"/>
    </row>
    <row r="201" spans="1:14" ht="24" customHeight="1">
      <c r="A201" s="8">
        <v>157</v>
      </c>
      <c r="B201" s="9">
        <v>157</v>
      </c>
      <c r="C201" s="46">
        <v>45857</v>
      </c>
      <c r="D201" s="9" t="s">
        <v>61</v>
      </c>
      <c r="E201" s="56" t="str">
        <f>IFERROR(VLOOKUP($D201,본공사입.출고현황!$B:$H,E$2080,0),0)</f>
        <v>Angle</v>
      </c>
      <c r="F201" s="18" t="str">
        <f>IFERROR(VLOOKUP($D201,본공사입.출고현황!$B:$H,F$2080,0),0)</f>
        <v>Angle 100x100x10</v>
      </c>
      <c r="G201" s="18" t="str">
        <f>IFERROR(VLOOKUP($D201,본공사입.출고현황!$B:$H,G$2080,0),0)</f>
        <v>CCGG</v>
      </c>
      <c r="H201" s="18" t="str">
        <f>IFERROR(VLOOKUP($D201,본공사입.출고현황!$B:$H,H$2080,0),0)</f>
        <v>100x100x10 (12m)</v>
      </c>
      <c r="I201" s="56" t="str">
        <f>IFERROR(VLOOKUP($D201,본공사입.출고현황!$B:$H,I$2080,0),0)</f>
        <v>M</v>
      </c>
      <c r="J201" s="9"/>
      <c r="K201" s="9"/>
      <c r="L201" s="37">
        <v>6</v>
      </c>
      <c r="M201" s="64" t="s">
        <v>420</v>
      </c>
      <c r="N201" s="42"/>
    </row>
    <row r="202" spans="1:14" ht="24" customHeight="1">
      <c r="A202" s="8">
        <v>158</v>
      </c>
      <c r="B202" s="9">
        <v>158</v>
      </c>
      <c r="C202" s="46">
        <v>45857</v>
      </c>
      <c r="D202" s="9" t="s">
        <v>416</v>
      </c>
      <c r="E202" s="56" t="str">
        <f>IFERROR(VLOOKUP($D202,본공사입.출고현황!$B:$H,E$2080,0),0)</f>
        <v>Sup't</v>
      </c>
      <c r="F202" s="18" t="str">
        <f>IFERROR(VLOOKUP($D202,본공사입.출고현황!$B:$H,F$2080,0),0)</f>
        <v>Angle 50x50x5</v>
      </c>
      <c r="G202" s="18" t="str">
        <f>IFERROR(VLOOKUP($D202,본공사입.출고현황!$B:$H,G$2080,0),0)</f>
        <v>Angle</v>
      </c>
      <c r="H202" s="18" t="str">
        <f>IFERROR(VLOOKUP($D202,본공사입.출고현황!$B:$H,H$2080,0),0)</f>
        <v>50*50*5</v>
      </c>
      <c r="I202" s="56" t="str">
        <f>IFERROR(VLOOKUP($D202,본공사입.출고현황!$B:$H,I$2080,0),0)</f>
        <v>M</v>
      </c>
      <c r="J202" s="9"/>
      <c r="K202" s="9"/>
      <c r="L202" s="37">
        <v>12</v>
      </c>
      <c r="M202" s="64" t="s">
        <v>420</v>
      </c>
      <c r="N202" s="42"/>
    </row>
    <row r="203" spans="1:14" ht="24" customHeight="1">
      <c r="A203" s="8">
        <v>159</v>
      </c>
      <c r="B203" s="9">
        <v>159</v>
      </c>
      <c r="C203" s="46">
        <v>45858</v>
      </c>
      <c r="D203" s="9" t="s">
        <v>238</v>
      </c>
      <c r="E203" s="56" t="str">
        <f>IFERROR(VLOOKUP($D203,본공사입.출고현황!$B:$H,E$2080,0),0)</f>
        <v>Steel round bar</v>
      </c>
      <c r="F203" s="18" t="str">
        <f>IFERROR(VLOOKUP($D203,본공사입.출고현황!$B:$H,F$2080,0),0)</f>
        <v>Steel round bar(rebar)</v>
      </c>
      <c r="G203" s="18" t="str">
        <f>IFERROR(VLOOKUP($D203,본공사입.출고현황!$B:$H,G$2080,0),0)</f>
        <v>CCGG</v>
      </c>
      <c r="H203" s="18" t="str">
        <f>IFERROR(VLOOKUP($D203,본공사입.출고현황!$B:$H,H$2080,0),0)</f>
        <v>ф10, 1ton=1,620.7m</v>
      </c>
      <c r="I203" s="56" t="str">
        <f>IFERROR(VLOOKUP($D203,본공사입.출고현황!$B:$H,I$2080,0),0)</f>
        <v>M</v>
      </c>
      <c r="J203" s="9"/>
      <c r="K203" s="9"/>
      <c r="L203" s="37">
        <v>500</v>
      </c>
      <c r="M203" s="64" t="s">
        <v>408</v>
      </c>
      <c r="N203" s="42"/>
    </row>
    <row r="204" spans="1:14" ht="24" customHeight="1">
      <c r="A204" s="8">
        <v>160</v>
      </c>
      <c r="B204" s="9">
        <v>160</v>
      </c>
      <c r="C204" s="46">
        <v>45858</v>
      </c>
      <c r="D204" s="9" t="s">
        <v>61</v>
      </c>
      <c r="E204" s="56" t="str">
        <f>IFERROR(VLOOKUP($D204,본공사입.출고현황!$B:$H,E$2080,0),0)</f>
        <v>Angle</v>
      </c>
      <c r="F204" s="18" t="str">
        <f>IFERROR(VLOOKUP($D204,본공사입.출고현황!$B:$H,F$2080,0),0)</f>
        <v>Angle 100x100x10</v>
      </c>
      <c r="G204" s="18" t="str">
        <f>IFERROR(VLOOKUP($D204,본공사입.출고현황!$B:$H,G$2080,0),0)</f>
        <v>CCGG</v>
      </c>
      <c r="H204" s="18" t="str">
        <f>IFERROR(VLOOKUP($D204,본공사입.출고현황!$B:$H,H$2080,0),0)</f>
        <v>100x100x10 (12m)</v>
      </c>
      <c r="I204" s="56" t="str">
        <f>IFERROR(VLOOKUP($D204,본공사입.출고현황!$B:$H,I$2080,0),0)</f>
        <v>M</v>
      </c>
      <c r="J204" s="9"/>
      <c r="K204" s="9"/>
      <c r="L204" s="37">
        <v>18</v>
      </c>
      <c r="M204" s="64" t="s">
        <v>408</v>
      </c>
      <c r="N204" s="42"/>
    </row>
    <row r="205" spans="1:14" ht="24" customHeight="1">
      <c r="A205" s="8">
        <v>161</v>
      </c>
      <c r="B205" s="9">
        <v>161</v>
      </c>
      <c r="C205" s="46">
        <v>45859</v>
      </c>
      <c r="D205" s="9" t="s">
        <v>407</v>
      </c>
      <c r="E205" s="56" t="str">
        <f>IFERROR(VLOOKUP($D205,본공사입.출고현황!$B:$H,E$2080,0),0)</f>
        <v>Steel round bar</v>
      </c>
      <c r="F205" s="18" t="str">
        <f>IFERROR(VLOOKUP($D205,본공사입.출고현황!$B:$H,F$2080,0),0)</f>
        <v>Steel round bar(rebar)</v>
      </c>
      <c r="G205" s="18" t="str">
        <f>IFERROR(VLOOKUP($D205,본공사입.출고현황!$B:$H,G$2080,0),0)</f>
        <v>CCGG</v>
      </c>
      <c r="H205" s="18" t="str">
        <f>IFERROR(VLOOKUP($D205,본공사입.출고현황!$B:$H,H$2080,0),0)</f>
        <v>ф10, 1ton=1,620.7m</v>
      </c>
      <c r="I205" s="56" t="str">
        <f>IFERROR(VLOOKUP($D205,본공사입.출고현황!$B:$H,I$2080,0),0)</f>
        <v>M</v>
      </c>
      <c r="J205" s="9"/>
      <c r="K205" s="9"/>
      <c r="L205" s="37">
        <v>670</v>
      </c>
      <c r="M205" s="64" t="s">
        <v>408</v>
      </c>
      <c r="N205" s="42"/>
    </row>
    <row r="206" spans="1:14" ht="24" customHeight="1">
      <c r="A206" s="8">
        <v>162</v>
      </c>
      <c r="B206" s="9">
        <v>162</v>
      </c>
      <c r="C206" s="46">
        <v>45859</v>
      </c>
      <c r="D206" s="9" t="s">
        <v>424</v>
      </c>
      <c r="E206" s="56" t="str">
        <f>IFERROR(VLOOKUP($D206,본공사입.출고현황!$B:$H,E$2080,0),0)</f>
        <v>Angle</v>
      </c>
      <c r="F206" s="18" t="str">
        <f>IFERROR(VLOOKUP($D206,본공사입.출고현황!$B:$H,F$2080,0),0)</f>
        <v>Angle 100x100x10</v>
      </c>
      <c r="G206" s="18" t="str">
        <f>IFERROR(VLOOKUP($D206,본공사입.출고현황!$B:$H,G$2080,0),0)</f>
        <v>CCGG</v>
      </c>
      <c r="H206" s="18" t="str">
        <f>IFERROR(VLOOKUP($D206,본공사입.출고현황!$B:$H,H$2080,0),0)</f>
        <v>100x100x10 (12m)</v>
      </c>
      <c r="I206" s="56" t="str">
        <f>IFERROR(VLOOKUP($D206,본공사입.출고현황!$B:$H,I$2080,0),0)</f>
        <v>M</v>
      </c>
      <c r="J206" s="9"/>
      <c r="K206" s="9"/>
      <c r="L206" s="37">
        <v>12</v>
      </c>
      <c r="M206" s="64" t="s">
        <v>408</v>
      </c>
      <c r="N206" s="42"/>
    </row>
    <row r="207" spans="1:14" ht="24" customHeight="1">
      <c r="A207" s="8">
        <v>163</v>
      </c>
      <c r="B207" s="9">
        <v>163</v>
      </c>
      <c r="C207" s="46">
        <v>45860</v>
      </c>
      <c r="D207" s="9" t="s">
        <v>238</v>
      </c>
      <c r="E207" s="56" t="str">
        <f>IFERROR(VLOOKUP($D207,본공사입.출고현황!$B:$H,E$2080,0),0)</f>
        <v>Steel round bar</v>
      </c>
      <c r="F207" s="18" t="str">
        <f>IFERROR(VLOOKUP($D207,본공사입.출고현황!$B:$H,F$2080,0),0)</f>
        <v>Steel round bar(rebar)</v>
      </c>
      <c r="G207" s="18" t="str">
        <f>IFERROR(VLOOKUP($D207,본공사입.출고현황!$B:$H,G$2080,0),0)</f>
        <v>CCGG</v>
      </c>
      <c r="H207" s="18" t="str">
        <f>IFERROR(VLOOKUP($D207,본공사입.출고현황!$B:$H,H$2080,0),0)</f>
        <v>ф10, 1ton=1,620.7m</v>
      </c>
      <c r="I207" s="56" t="str">
        <f>IFERROR(VLOOKUP($D207,본공사입.출고현황!$B:$H,I$2080,0),0)</f>
        <v>M</v>
      </c>
      <c r="J207" s="9"/>
      <c r="K207" s="9"/>
      <c r="L207" s="37">
        <v>150</v>
      </c>
      <c r="M207" s="64" t="s">
        <v>408</v>
      </c>
      <c r="N207" s="42"/>
    </row>
    <row r="208" spans="1:14" ht="24" customHeight="1">
      <c r="A208" s="8">
        <v>164</v>
      </c>
      <c r="B208" s="9">
        <v>164</v>
      </c>
      <c r="C208" s="46">
        <v>45860</v>
      </c>
      <c r="D208" s="9" t="s">
        <v>144</v>
      </c>
      <c r="E208" s="56" t="str">
        <f>IFERROR(VLOOKUP($D208,본공사입.출고현황!$B:$H,E$2080,0),0)</f>
        <v>Conduit Fitting</v>
      </c>
      <c r="F208" s="18" t="str">
        <f>IFERROR(VLOOKUP($D208,본공사입.출고현황!$B:$H,F$2080,0),0)</f>
        <v>Conduit Coupling 168x4</v>
      </c>
      <c r="G208" s="18" t="str">
        <f>IFERROR(VLOOKUP($D208,본공사입.출고현황!$B:$H,G$2080,0),0)</f>
        <v>Conduit Coupling</v>
      </c>
      <c r="H208" s="18" t="str">
        <f>IFERROR(VLOOKUP($D208,본공사입.출고현황!$B:$H,H$2080,0),0)</f>
        <v>168x4</v>
      </c>
      <c r="I208" s="56" t="str">
        <f>IFERROR(VLOOKUP($D208,본공사입.출고현황!$B:$H,I$2080,0),0)</f>
        <v>M</v>
      </c>
      <c r="J208" s="9"/>
      <c r="K208" s="9"/>
      <c r="L208" s="37">
        <v>0.3</v>
      </c>
      <c r="M208" s="64" t="s">
        <v>408</v>
      </c>
      <c r="N208" s="42"/>
    </row>
    <row r="209" spans="1:14" ht="24" customHeight="1">
      <c r="A209" s="8">
        <v>165</v>
      </c>
      <c r="B209" s="9">
        <v>165</v>
      </c>
      <c r="C209" s="46">
        <v>45861</v>
      </c>
      <c r="D209" s="9" t="s">
        <v>416</v>
      </c>
      <c r="E209" s="56" t="str">
        <f>IFERROR(VLOOKUP($D209,본공사입.출고현황!$B:$H,E$2080,0),0)</f>
        <v>Sup't</v>
      </c>
      <c r="F209" s="18" t="str">
        <f>IFERROR(VLOOKUP($D209,본공사입.출고현황!$B:$H,F$2080,0),0)</f>
        <v>Angle 50x50x5</v>
      </c>
      <c r="G209" s="18" t="str">
        <f>IFERROR(VLOOKUP($D209,본공사입.출고현황!$B:$H,G$2080,0),0)</f>
        <v>Angle</v>
      </c>
      <c r="H209" s="18" t="str">
        <f>IFERROR(VLOOKUP($D209,본공사입.출고현황!$B:$H,H$2080,0),0)</f>
        <v>50*50*5</v>
      </c>
      <c r="I209" s="56" t="str">
        <f>IFERROR(VLOOKUP($D209,본공사입.출고현황!$B:$H,I$2080,0),0)</f>
        <v>M</v>
      </c>
      <c r="J209" s="9"/>
      <c r="K209" s="9"/>
      <c r="L209" s="37">
        <v>48</v>
      </c>
      <c r="M209" s="64" t="s">
        <v>408</v>
      </c>
      <c r="N209" s="42"/>
    </row>
    <row r="210" spans="1:14" ht="24" customHeight="1">
      <c r="A210" s="8">
        <v>166</v>
      </c>
      <c r="B210" s="9">
        <v>166</v>
      </c>
      <c r="C210" s="46">
        <v>45862</v>
      </c>
      <c r="D210" s="9" t="s">
        <v>140</v>
      </c>
      <c r="E210" s="56" t="str">
        <f>IFERROR(VLOOKUP($D210,본공사입.출고현황!$B:$H,E$2080,0),0)</f>
        <v>Conduit</v>
      </c>
      <c r="F210" s="18" t="str">
        <f>IFERROR(VLOOKUP($D210,본공사입.출고현황!$B:$H,F$2080,0),0)</f>
        <v>Conduit 108x4.0</v>
      </c>
      <c r="G210" s="18" t="str">
        <f>IFERROR(VLOOKUP($D210,본공사입.출고현황!$B:$H,G$2080,0),0)</f>
        <v>Conduit</v>
      </c>
      <c r="H210" s="18" t="str">
        <f>IFERROR(VLOOKUP($D210,본공사입.출고현황!$B:$H,H$2080,0),0)</f>
        <v>108x4</v>
      </c>
      <c r="I210" s="56" t="str">
        <f>IFERROR(VLOOKUP($D210,본공사입.출고현황!$B:$H,I$2080,0),0)</f>
        <v>M</v>
      </c>
      <c r="J210" s="9"/>
      <c r="K210" s="9"/>
      <c r="L210" s="37">
        <v>10</v>
      </c>
      <c r="M210" s="64" t="s">
        <v>408</v>
      </c>
      <c r="N210" s="42"/>
    </row>
    <row r="211" spans="1:14" ht="24" customHeight="1">
      <c r="A211" s="8">
        <v>167</v>
      </c>
      <c r="B211" s="9">
        <v>167</v>
      </c>
      <c r="C211" s="46">
        <v>45864</v>
      </c>
      <c r="D211" s="9" t="s">
        <v>424</v>
      </c>
      <c r="E211" s="56" t="str">
        <f>IFERROR(VLOOKUP($D211,본공사입.출고현황!$B:$H,E$2080,0),0)</f>
        <v>Angle</v>
      </c>
      <c r="F211" s="18" t="str">
        <f>IFERROR(VLOOKUP($D211,본공사입.출고현황!$B:$H,F$2080,0),0)</f>
        <v>Angle 100x100x10</v>
      </c>
      <c r="G211" s="18" t="str">
        <f>IFERROR(VLOOKUP($D211,본공사입.출고현황!$B:$H,G$2080,0),0)</f>
        <v>CCGG</v>
      </c>
      <c r="H211" s="18" t="str">
        <f>IFERROR(VLOOKUP($D211,본공사입.출고현황!$B:$H,H$2080,0),0)</f>
        <v>100x100x10 (12m)</v>
      </c>
      <c r="I211" s="56" t="str">
        <f>IFERROR(VLOOKUP($D211,본공사입.출고현황!$B:$H,I$2080,0),0)</f>
        <v>M</v>
      </c>
      <c r="J211" s="9"/>
      <c r="K211" s="9"/>
      <c r="L211" s="37">
        <v>12</v>
      </c>
      <c r="M211" s="64" t="s">
        <v>408</v>
      </c>
      <c r="N211" s="42"/>
    </row>
    <row r="212" spans="1:14" ht="24" customHeight="1">
      <c r="A212" s="8">
        <v>168</v>
      </c>
      <c r="B212" s="9">
        <v>168</v>
      </c>
      <c r="C212" s="46">
        <v>45864</v>
      </c>
      <c r="D212" s="9" t="s">
        <v>238</v>
      </c>
      <c r="E212" s="56" t="str">
        <f>IFERROR(VLOOKUP($D212,본공사입.출고현황!$B:$H,E$2080,0),0)</f>
        <v>Steel round bar</v>
      </c>
      <c r="F212" s="18" t="str">
        <f>IFERROR(VLOOKUP($D212,본공사입.출고현황!$B:$H,F$2080,0),0)</f>
        <v>Steel round bar(rebar)</v>
      </c>
      <c r="G212" s="18" t="str">
        <f>IFERROR(VLOOKUP($D212,본공사입.출고현황!$B:$H,G$2080,0),0)</f>
        <v>CCGG</v>
      </c>
      <c r="H212" s="18" t="str">
        <f>IFERROR(VLOOKUP($D212,본공사입.출고현황!$B:$H,H$2080,0),0)</f>
        <v>ф10, 1ton=1,620.7m</v>
      </c>
      <c r="I212" s="56" t="str">
        <f>IFERROR(VLOOKUP($D212,본공사입.출고현황!$B:$H,I$2080,0),0)</f>
        <v>M</v>
      </c>
      <c r="J212" s="9"/>
      <c r="K212" s="9"/>
      <c r="L212" s="37">
        <v>100</v>
      </c>
      <c r="M212" s="64" t="s">
        <v>408</v>
      </c>
      <c r="N212" s="42"/>
    </row>
    <row r="213" spans="1:14" ht="24" customHeight="1">
      <c r="A213" s="8">
        <v>169</v>
      </c>
      <c r="B213" s="9">
        <v>169</v>
      </c>
      <c r="C213" s="46">
        <v>45865</v>
      </c>
      <c r="D213" s="9" t="s">
        <v>238</v>
      </c>
      <c r="E213" s="56" t="str">
        <f>IFERROR(VLOOKUP($D213,본공사입.출고현황!$B:$H,E$2080,0),0)</f>
        <v>Steel round bar</v>
      </c>
      <c r="F213" s="18" t="str">
        <f>IFERROR(VLOOKUP($D213,본공사입.출고현황!$B:$H,F$2080,0),0)</f>
        <v>Steel round bar(rebar)</v>
      </c>
      <c r="G213" s="18" t="str">
        <f>IFERROR(VLOOKUP($D213,본공사입.출고현황!$B:$H,G$2080,0),0)</f>
        <v>CCGG</v>
      </c>
      <c r="H213" s="18" t="str">
        <f>IFERROR(VLOOKUP($D213,본공사입.출고현황!$B:$H,H$2080,0),0)</f>
        <v>ф10, 1ton=1,620.7m</v>
      </c>
      <c r="I213" s="56" t="str">
        <f>IFERROR(VLOOKUP($D213,본공사입.출고현황!$B:$H,I$2080,0),0)</f>
        <v>M</v>
      </c>
      <c r="J213" s="9"/>
      <c r="K213" s="9"/>
      <c r="L213" s="37">
        <v>750</v>
      </c>
      <c r="M213" s="64" t="s">
        <v>408</v>
      </c>
      <c r="N213" s="42"/>
    </row>
    <row r="214" spans="1:14" ht="24" customHeight="1">
      <c r="A214" s="8">
        <v>170</v>
      </c>
      <c r="B214" s="9">
        <v>170</v>
      </c>
      <c r="C214" s="46">
        <v>45865</v>
      </c>
      <c r="D214" s="9" t="s">
        <v>180</v>
      </c>
      <c r="E214" s="56" t="str">
        <f>IFERROR(VLOOKUP($D214,본공사입.출고현황!$B:$H,E$2080,0),0)</f>
        <v>Ground</v>
      </c>
      <c r="F214" s="18" t="str">
        <f>IFERROR(VLOOKUP($D214,본공사입.출고현황!$B:$H,F$2080,0),0)</f>
        <v>Ground Cable  78SQ</v>
      </c>
      <c r="G214" s="18" t="str">
        <f>IFERROR(VLOOKUP($D214,본공사입.출고현황!$B:$H,G$2080,0),0)</f>
        <v xml:space="preserve">Ground Cable </v>
      </c>
      <c r="H214" s="18" t="str">
        <f>IFERROR(VLOOKUP($D214,본공사입.출고현황!$B:$H,H$2080,0),0)</f>
        <v>78SQ</v>
      </c>
      <c r="I214" s="56" t="str">
        <f>IFERROR(VLOOKUP($D214,본공사입.출고현황!$B:$H,I$2080,0),0)</f>
        <v>M</v>
      </c>
      <c r="J214" s="9"/>
      <c r="K214" s="9"/>
      <c r="L214" s="37">
        <v>45</v>
      </c>
      <c r="M214" s="64" t="s">
        <v>409</v>
      </c>
      <c r="N214" s="42"/>
    </row>
    <row r="215" spans="1:14" ht="24" customHeight="1">
      <c r="A215" s="8">
        <v>171</v>
      </c>
      <c r="B215" s="9">
        <v>171</v>
      </c>
      <c r="C215" s="46">
        <v>45865</v>
      </c>
      <c r="D215" s="9" t="s">
        <v>86</v>
      </c>
      <c r="E215" s="56" t="str">
        <f>IFERROR(VLOOKUP($D215,본공사입.출고현황!$B:$H,E$2080,0),0)</f>
        <v>Ground</v>
      </c>
      <c r="F215" s="18" t="str">
        <f>IFERROR(VLOOKUP($D215,본공사입.출고현황!$B:$H,F$2080,0),0)</f>
        <v>Cadweld Powder #115</v>
      </c>
      <c r="G215" s="18" t="str">
        <f>IFERROR(VLOOKUP($D215,본공사입.출고현황!$B:$H,G$2080,0),0)</f>
        <v>Cadweld Powder</v>
      </c>
      <c r="H215" s="18" t="str">
        <f>IFERROR(VLOOKUP($D215,본공사입.출고현황!$B:$H,H$2080,0),0)</f>
        <v>#115</v>
      </c>
      <c r="I215" s="56" t="str">
        <f>IFERROR(VLOOKUP($D215,본공사입.출고현황!$B:$H,I$2080,0),0)</f>
        <v>EA</v>
      </c>
      <c r="J215" s="9"/>
      <c r="K215" s="9"/>
      <c r="L215" s="37">
        <v>10</v>
      </c>
      <c r="M215" s="64" t="s">
        <v>409</v>
      </c>
      <c r="N215" s="42"/>
    </row>
    <row r="216" spans="1:14" ht="24" customHeight="1">
      <c r="A216" s="8">
        <v>172</v>
      </c>
      <c r="B216" s="9">
        <v>172</v>
      </c>
      <c r="C216" s="46">
        <v>45865</v>
      </c>
      <c r="D216" s="9" t="s">
        <v>111</v>
      </c>
      <c r="E216" s="56" t="str">
        <f>IFERROR(VLOOKUP($D216,본공사입.출고현황!$B:$H,E$2080,0),0)</f>
        <v>Ground Conduit</v>
      </c>
      <c r="F216" s="18" t="str">
        <f>IFERROR(VLOOKUP($D216,본공사입.출고현황!$B:$H,F$2080,0),0)</f>
        <v>Flexible Conduit 2"</v>
      </c>
      <c r="G216" s="18" t="str">
        <f>IFERROR(VLOOKUP($D216,본공사입.출고현황!$B:$H,G$2080,0),0)</f>
        <v>Ground Conduit</v>
      </c>
      <c r="H216" s="18" t="str">
        <f>IFERROR(VLOOKUP($D216,본공사입.출고현황!$B:$H,H$2080,0),0)</f>
        <v>2"</v>
      </c>
      <c r="I216" s="56" t="str">
        <f>IFERROR(VLOOKUP($D216,본공사입.출고현황!$B:$H,I$2080,0),0)</f>
        <v>M</v>
      </c>
      <c r="J216" s="9"/>
      <c r="K216" s="9"/>
      <c r="L216" s="37">
        <v>42</v>
      </c>
      <c r="M216" s="64" t="s">
        <v>409</v>
      </c>
      <c r="N216" s="42"/>
    </row>
    <row r="217" spans="1:14" ht="24" customHeight="1">
      <c r="A217" s="8">
        <v>173</v>
      </c>
      <c r="B217" s="9">
        <v>173</v>
      </c>
      <c r="C217" s="46">
        <v>45865</v>
      </c>
      <c r="D217" s="9" t="s">
        <v>424</v>
      </c>
      <c r="E217" s="56" t="str">
        <f>IFERROR(VLOOKUP($D217,본공사입.출고현황!$B:$H,E$2080,0),0)</f>
        <v>Angle</v>
      </c>
      <c r="F217" s="18" t="str">
        <f>IFERROR(VLOOKUP($D217,본공사입.출고현황!$B:$H,F$2080,0),0)</f>
        <v>Angle 100x100x10</v>
      </c>
      <c r="G217" s="18" t="str">
        <f>IFERROR(VLOOKUP($D217,본공사입.출고현황!$B:$H,G$2080,0),0)</f>
        <v>CCGG</v>
      </c>
      <c r="H217" s="18" t="str">
        <f>IFERROR(VLOOKUP($D217,본공사입.출고현황!$B:$H,H$2080,0),0)</f>
        <v>100x100x10 (12m)</v>
      </c>
      <c r="I217" s="56" t="str">
        <f>IFERROR(VLOOKUP($D217,본공사입.출고현황!$B:$H,I$2080,0),0)</f>
        <v>M</v>
      </c>
      <c r="J217" s="9"/>
      <c r="K217" s="9"/>
      <c r="L217" s="37">
        <v>12</v>
      </c>
      <c r="M217" s="64" t="s">
        <v>408</v>
      </c>
      <c r="N217" s="42"/>
    </row>
    <row r="218" spans="1:14" ht="24" customHeight="1">
      <c r="A218" s="8">
        <v>174</v>
      </c>
      <c r="B218" s="9">
        <v>174</v>
      </c>
      <c r="C218" s="46">
        <v>45866</v>
      </c>
      <c r="D218" s="9" t="s">
        <v>238</v>
      </c>
      <c r="E218" s="56" t="str">
        <f>IFERROR(VLOOKUP($D218,본공사입.출고현황!$B:$H,E$2080,0),0)</f>
        <v>Steel round bar</v>
      </c>
      <c r="F218" s="18" t="str">
        <f>IFERROR(VLOOKUP($D218,본공사입.출고현황!$B:$H,F$2080,0),0)</f>
        <v>Steel round bar(rebar)</v>
      </c>
      <c r="G218" s="18" t="str">
        <f>IFERROR(VLOOKUP($D218,본공사입.출고현황!$B:$H,G$2080,0),0)</f>
        <v>CCGG</v>
      </c>
      <c r="H218" s="18" t="str">
        <f>IFERROR(VLOOKUP($D218,본공사입.출고현황!$B:$H,H$2080,0),0)</f>
        <v>ф10, 1ton=1,620.7m</v>
      </c>
      <c r="I218" s="56" t="str">
        <f>IFERROR(VLOOKUP($D218,본공사입.출고현황!$B:$H,I$2080,0),0)</f>
        <v>M</v>
      </c>
      <c r="J218" s="9"/>
      <c r="K218" s="9"/>
      <c r="L218" s="37">
        <v>500</v>
      </c>
      <c r="M218" s="64" t="s">
        <v>408</v>
      </c>
      <c r="N218" s="42"/>
    </row>
    <row r="219" spans="1:14" ht="24" customHeight="1">
      <c r="A219" s="8">
        <v>175</v>
      </c>
      <c r="B219" s="9">
        <v>175</v>
      </c>
      <c r="C219" s="46">
        <v>45867</v>
      </c>
      <c r="D219" s="9" t="s">
        <v>238</v>
      </c>
      <c r="E219" s="56" t="str">
        <f>IFERROR(VLOOKUP($D219,본공사입.출고현황!$B:$H,E$2080,0),0)</f>
        <v>Steel round bar</v>
      </c>
      <c r="F219" s="18" t="str">
        <f>IFERROR(VLOOKUP($D219,본공사입.출고현황!$B:$H,F$2080,0),0)</f>
        <v>Steel round bar(rebar)</v>
      </c>
      <c r="G219" s="18" t="str">
        <f>IFERROR(VLOOKUP($D219,본공사입.출고현황!$B:$H,G$2080,0),0)</f>
        <v>CCGG</v>
      </c>
      <c r="H219" s="18" t="str">
        <f>IFERROR(VLOOKUP($D219,본공사입.출고현황!$B:$H,H$2080,0),0)</f>
        <v>ф10, 1ton=1,620.7m</v>
      </c>
      <c r="I219" s="56" t="str">
        <f>IFERROR(VLOOKUP($D219,본공사입.출고현황!$B:$H,I$2080,0),0)</f>
        <v>M</v>
      </c>
      <c r="J219" s="9"/>
      <c r="K219" s="9"/>
      <c r="L219" s="37">
        <v>450</v>
      </c>
      <c r="M219" s="64" t="s">
        <v>408</v>
      </c>
      <c r="N219" s="42"/>
    </row>
    <row r="220" spans="1:14" ht="24" customHeight="1">
      <c r="A220" s="8">
        <v>176</v>
      </c>
      <c r="B220" s="9">
        <v>176</v>
      </c>
      <c r="C220" s="46">
        <v>45867</v>
      </c>
      <c r="D220" s="9" t="s">
        <v>165</v>
      </c>
      <c r="E220" s="56" t="str">
        <f>IFERROR(VLOOKUP($D220,본공사입.출고현황!$B:$H,E$2080,0),0)</f>
        <v>Sup't</v>
      </c>
      <c r="F220" s="18" t="str">
        <f>IFERROR(VLOOKUP($D220,본공사입.출고현황!$B:$H,F$2080,0),0)</f>
        <v>Angle 70x70x7</v>
      </c>
      <c r="G220" s="18" t="str">
        <f>IFERROR(VLOOKUP($D220,본공사입.출고현황!$B:$H,G$2080,0),0)</f>
        <v>Angle</v>
      </c>
      <c r="H220" s="18" t="str">
        <f>IFERROR(VLOOKUP($D220,본공사입.출고현황!$B:$H,H$2080,0),0)</f>
        <v>70*70*7</v>
      </c>
      <c r="I220" s="56" t="str">
        <f>IFERROR(VLOOKUP($D220,본공사입.출고현황!$B:$H,I$2080,0),0)</f>
        <v>M</v>
      </c>
      <c r="J220" s="9"/>
      <c r="K220" s="9"/>
      <c r="L220" s="37">
        <v>6</v>
      </c>
      <c r="M220" s="64" t="s">
        <v>408</v>
      </c>
      <c r="N220" s="42"/>
    </row>
    <row r="221" spans="1:14" ht="24" customHeight="1">
      <c r="A221" s="8">
        <v>177</v>
      </c>
      <c r="B221" s="9">
        <v>177</v>
      </c>
      <c r="C221" s="46">
        <v>45868</v>
      </c>
      <c r="D221" s="9" t="s">
        <v>424</v>
      </c>
      <c r="E221" s="56" t="str">
        <f>IFERROR(VLOOKUP($D221,본공사입.출고현황!$B:$H,E$2080,0),0)</f>
        <v>Angle</v>
      </c>
      <c r="F221" s="18" t="str">
        <f>IFERROR(VLOOKUP($D221,본공사입.출고현황!$B:$H,F$2080,0),0)</f>
        <v>Angle 100x100x10</v>
      </c>
      <c r="G221" s="18" t="str">
        <f>IFERROR(VLOOKUP($D221,본공사입.출고현황!$B:$H,G$2080,0),0)</f>
        <v>CCGG</v>
      </c>
      <c r="H221" s="18" t="str">
        <f>IFERROR(VLOOKUP($D221,본공사입.출고현황!$B:$H,H$2080,0),0)</f>
        <v>100x100x10 (12m)</v>
      </c>
      <c r="I221" s="56" t="str">
        <f>IFERROR(VLOOKUP($D221,본공사입.출고현황!$B:$H,I$2080,0),0)</f>
        <v>M</v>
      </c>
      <c r="J221" s="9"/>
      <c r="K221" s="9"/>
      <c r="L221" s="37">
        <v>18</v>
      </c>
      <c r="M221" s="64" t="s">
        <v>408</v>
      </c>
      <c r="N221" s="42"/>
    </row>
    <row r="222" spans="1:14" ht="24" customHeight="1">
      <c r="A222" s="8">
        <v>178</v>
      </c>
      <c r="B222" s="9">
        <v>178</v>
      </c>
      <c r="C222" s="46">
        <v>45869</v>
      </c>
      <c r="D222" s="9" t="s">
        <v>407</v>
      </c>
      <c r="E222" s="56" t="str">
        <f>IFERROR(VLOOKUP($D222,본공사입.출고현황!$B:$H,E$2080,0),0)</f>
        <v>Steel round bar</v>
      </c>
      <c r="F222" s="18" t="str">
        <f>IFERROR(VLOOKUP($D222,본공사입.출고현황!$B:$H,F$2080,0),0)</f>
        <v>Steel round bar(rebar)</v>
      </c>
      <c r="G222" s="18" t="str">
        <f>IFERROR(VLOOKUP($D222,본공사입.출고현황!$B:$H,G$2080,0),0)</f>
        <v>CCGG</v>
      </c>
      <c r="H222" s="18" t="str">
        <f>IFERROR(VLOOKUP($D222,본공사입.출고현황!$B:$H,H$2080,0),0)</f>
        <v>ф10, 1ton=1,620.7m</v>
      </c>
      <c r="I222" s="56" t="str">
        <f>IFERROR(VLOOKUP($D222,본공사입.출고현황!$B:$H,I$2080,0),0)</f>
        <v>M</v>
      </c>
      <c r="J222" s="9"/>
      <c r="K222" s="9"/>
      <c r="L222" s="37">
        <v>200</v>
      </c>
      <c r="M222" s="64" t="s">
        <v>358</v>
      </c>
      <c r="N222" s="42"/>
    </row>
    <row r="223" spans="1:14" ht="24" customHeight="1">
      <c r="A223" s="8">
        <v>179</v>
      </c>
      <c r="B223" s="9">
        <v>179</v>
      </c>
      <c r="C223" s="46">
        <v>45870</v>
      </c>
      <c r="D223" s="9" t="s">
        <v>407</v>
      </c>
      <c r="E223" s="56" t="str">
        <f>IFERROR(VLOOKUP($D223,본공사입.출고현황!$B:$H,E$2080,0),0)</f>
        <v>Steel round bar</v>
      </c>
      <c r="F223" s="18" t="str">
        <f>IFERROR(VLOOKUP($D223,본공사입.출고현황!$B:$H,F$2080,0),0)</f>
        <v>Steel round bar(rebar)</v>
      </c>
      <c r="G223" s="18" t="str">
        <f>IFERROR(VLOOKUP($D223,본공사입.출고현황!$B:$H,G$2080,0),0)</f>
        <v>CCGG</v>
      </c>
      <c r="H223" s="18" t="str">
        <f>IFERROR(VLOOKUP($D223,본공사입.출고현황!$B:$H,H$2080,0),0)</f>
        <v>ф10, 1ton=1,620.7m</v>
      </c>
      <c r="I223" s="56" t="str">
        <f>IFERROR(VLOOKUP($D223,본공사입.출고현황!$B:$H,I$2080,0),0)</f>
        <v>M</v>
      </c>
      <c r="J223" s="9"/>
      <c r="K223" s="9"/>
      <c r="L223" s="37">
        <v>75</v>
      </c>
      <c r="M223" s="64" t="s">
        <v>358</v>
      </c>
      <c r="N223" s="42"/>
    </row>
    <row r="224" spans="1:14" ht="24" customHeight="1">
      <c r="A224" s="8">
        <v>180</v>
      </c>
      <c r="B224" s="9">
        <v>180</v>
      </c>
      <c r="C224" s="46">
        <v>45872</v>
      </c>
      <c r="D224" s="9" t="s">
        <v>407</v>
      </c>
      <c r="E224" s="56" t="str">
        <f>IFERROR(VLOOKUP($D224,본공사입.출고현황!$B:$H,E$2080,0),0)</f>
        <v>Steel round bar</v>
      </c>
      <c r="F224" s="18" t="str">
        <f>IFERROR(VLOOKUP($D224,본공사입.출고현황!$B:$H,F$2080,0),0)</f>
        <v>Steel round bar(rebar)</v>
      </c>
      <c r="G224" s="18" t="str">
        <f>IFERROR(VLOOKUP($D224,본공사입.출고현황!$B:$H,G$2080,0),0)</f>
        <v>CCGG</v>
      </c>
      <c r="H224" s="18" t="str">
        <f>IFERROR(VLOOKUP($D224,본공사입.출고현황!$B:$H,H$2080,0),0)</f>
        <v>ф10, 1ton=1,620.7m</v>
      </c>
      <c r="I224" s="56" t="str">
        <f>IFERROR(VLOOKUP($D224,본공사입.출고현황!$B:$H,I$2080,0),0)</f>
        <v>M</v>
      </c>
      <c r="J224" s="9"/>
      <c r="K224" s="9"/>
      <c r="L224" s="37">
        <v>100</v>
      </c>
      <c r="M224" s="64" t="s">
        <v>408</v>
      </c>
      <c r="N224" s="42"/>
    </row>
    <row r="225" spans="1:14" ht="24" customHeight="1">
      <c r="A225" s="8">
        <v>181</v>
      </c>
      <c r="B225" s="9">
        <v>181</v>
      </c>
      <c r="C225" s="46">
        <v>45872</v>
      </c>
      <c r="D225" s="9" t="s">
        <v>180</v>
      </c>
      <c r="E225" s="56" t="str">
        <f>IFERROR(VLOOKUP($D225,본공사입.출고현황!$B:$H,E$2080,0),0)</f>
        <v>Ground</v>
      </c>
      <c r="F225" s="18" t="str">
        <f>IFERROR(VLOOKUP($D225,본공사입.출고현황!$B:$H,F$2080,0),0)</f>
        <v>Ground Cable  78SQ</v>
      </c>
      <c r="G225" s="18" t="str">
        <f>IFERROR(VLOOKUP($D225,본공사입.출고현황!$B:$H,G$2080,0),0)</f>
        <v xml:space="preserve">Ground Cable </v>
      </c>
      <c r="H225" s="18" t="str">
        <f>IFERROR(VLOOKUP($D225,본공사입.출고현황!$B:$H,H$2080,0),0)</f>
        <v>78SQ</v>
      </c>
      <c r="I225" s="56" t="str">
        <f>IFERROR(VLOOKUP($D225,본공사입.출고현황!$B:$H,I$2080,0),0)</f>
        <v>M</v>
      </c>
      <c r="J225" s="9"/>
      <c r="K225" s="9"/>
      <c r="L225" s="37">
        <v>88</v>
      </c>
      <c r="M225" s="64" t="s">
        <v>409</v>
      </c>
      <c r="N225" s="42"/>
    </row>
    <row r="226" spans="1:14" ht="24" customHeight="1">
      <c r="A226" s="8">
        <v>182</v>
      </c>
      <c r="B226" s="9">
        <v>182</v>
      </c>
      <c r="C226" s="46">
        <v>45872</v>
      </c>
      <c r="D226" s="9" t="s">
        <v>110</v>
      </c>
      <c r="E226" s="56" t="str">
        <f>IFERROR(VLOOKUP($D226,본공사입.출고현황!$B:$H,E$2080,0),0)</f>
        <v>Miscellious</v>
      </c>
      <c r="F226" s="18" t="str">
        <f>IFERROR(VLOOKUP($D226,본공사입.출고현황!$B:$H,F$2080,0),0)</f>
        <v xml:space="preserve">Nicoband </v>
      </c>
      <c r="G226" s="18" t="str">
        <f>IFERROR(VLOOKUP($D226,본공사입.출고현황!$B:$H,G$2080,0),0)</f>
        <v>Nicoband</v>
      </c>
      <c r="H226" s="18" t="str">
        <f>IFERROR(VLOOKUP($D226,본공사입.출고현황!$B:$H,H$2080,0),0)</f>
        <v>10m x 15cm</v>
      </c>
      <c r="I226" s="56" t="str">
        <f>IFERROR(VLOOKUP($D226,본공사입.출고현황!$B:$H,I$2080,0),0)</f>
        <v>EA</v>
      </c>
      <c r="J226" s="9"/>
      <c r="K226" s="9"/>
      <c r="L226" s="37">
        <v>2</v>
      </c>
      <c r="M226" s="64" t="s">
        <v>409</v>
      </c>
      <c r="N226" s="42"/>
    </row>
    <row r="227" spans="1:14" ht="24" customHeight="1">
      <c r="A227" s="8">
        <v>183</v>
      </c>
      <c r="B227" s="9">
        <v>183</v>
      </c>
      <c r="C227" s="46">
        <v>45873</v>
      </c>
      <c r="D227" s="9" t="s">
        <v>407</v>
      </c>
      <c r="E227" s="56" t="str">
        <f>IFERROR(VLOOKUP($D227,본공사입.출고현황!$B:$H,E$2080,0),0)</f>
        <v>Steel round bar</v>
      </c>
      <c r="F227" s="18" t="str">
        <f>IFERROR(VLOOKUP($D227,본공사입.출고현황!$B:$H,F$2080,0),0)</f>
        <v>Steel round bar(rebar)</v>
      </c>
      <c r="G227" s="18" t="str">
        <f>IFERROR(VLOOKUP($D227,본공사입.출고현황!$B:$H,G$2080,0),0)</f>
        <v>CCGG</v>
      </c>
      <c r="H227" s="18" t="str">
        <f>IFERROR(VLOOKUP($D227,본공사입.출고현황!$B:$H,H$2080,0),0)</f>
        <v>ф10, 1ton=1,620.7m</v>
      </c>
      <c r="I227" s="56" t="str">
        <f>IFERROR(VLOOKUP($D227,본공사입.출고현황!$B:$H,I$2080,0),0)</f>
        <v>M</v>
      </c>
      <c r="J227" s="9"/>
      <c r="K227" s="9"/>
      <c r="L227" s="37">
        <v>600</v>
      </c>
      <c r="M227" s="64" t="s">
        <v>408</v>
      </c>
      <c r="N227" s="42"/>
    </row>
    <row r="228" spans="1:14" ht="24" customHeight="1">
      <c r="A228" s="8">
        <v>184</v>
      </c>
      <c r="B228" s="9">
        <v>184</v>
      </c>
      <c r="C228" s="46">
        <v>45874</v>
      </c>
      <c r="D228" s="9" t="s">
        <v>407</v>
      </c>
      <c r="E228" s="56" t="str">
        <f>IFERROR(VLOOKUP($D228,본공사입.출고현황!$B:$H,E$2080,0),0)</f>
        <v>Steel round bar</v>
      </c>
      <c r="F228" s="18" t="str">
        <f>IFERROR(VLOOKUP($D228,본공사입.출고현황!$B:$H,F$2080,0),0)</f>
        <v>Steel round bar(rebar)</v>
      </c>
      <c r="G228" s="18" t="str">
        <f>IFERROR(VLOOKUP($D228,본공사입.출고현황!$B:$H,G$2080,0),0)</f>
        <v>CCGG</v>
      </c>
      <c r="H228" s="18" t="str">
        <f>IFERROR(VLOOKUP($D228,본공사입.출고현황!$B:$H,H$2080,0),0)</f>
        <v>ф10, 1ton=1,620.7m</v>
      </c>
      <c r="I228" s="56" t="str">
        <f>IFERROR(VLOOKUP($D228,본공사입.출고현황!$B:$H,I$2080,0),0)</f>
        <v>M</v>
      </c>
      <c r="J228" s="9"/>
      <c r="K228" s="9"/>
      <c r="L228" s="37">
        <v>200</v>
      </c>
      <c r="M228" s="64" t="s">
        <v>408</v>
      </c>
      <c r="N228" s="42"/>
    </row>
    <row r="229" spans="1:14" ht="24" customHeight="1">
      <c r="A229" s="8">
        <v>185</v>
      </c>
      <c r="B229" s="9">
        <v>185</v>
      </c>
      <c r="C229" s="46">
        <v>45875</v>
      </c>
      <c r="D229" s="9" t="s">
        <v>140</v>
      </c>
      <c r="E229" s="56" t="str">
        <f>IFERROR(VLOOKUP($D229,본공사입.출고현황!$B:$H,E$2080,0),0)</f>
        <v>Conduit</v>
      </c>
      <c r="F229" s="18" t="str">
        <f>IFERROR(VLOOKUP($D229,본공사입.출고현황!$B:$H,F$2080,0),0)</f>
        <v>Conduit 108x4.0</v>
      </c>
      <c r="G229" s="18" t="str">
        <f>IFERROR(VLOOKUP($D229,본공사입.출고현황!$B:$H,G$2080,0),0)</f>
        <v>Conduit</v>
      </c>
      <c r="H229" s="18" t="str">
        <f>IFERROR(VLOOKUP($D229,본공사입.출고현황!$B:$H,H$2080,0),0)</f>
        <v>108x4</v>
      </c>
      <c r="I229" s="56" t="str">
        <f>IFERROR(VLOOKUP($D229,본공사입.출고현황!$B:$H,I$2080,0),0)</f>
        <v>M</v>
      </c>
      <c r="J229" s="9"/>
      <c r="K229" s="9"/>
      <c r="L229" s="37">
        <v>60.33</v>
      </c>
      <c r="M229" s="64" t="s">
        <v>243</v>
      </c>
      <c r="N229" s="42"/>
    </row>
    <row r="230" spans="1:14" ht="24" customHeight="1">
      <c r="A230" s="8">
        <v>186</v>
      </c>
      <c r="B230" s="9">
        <v>186</v>
      </c>
      <c r="C230" s="46">
        <v>45878</v>
      </c>
      <c r="D230" s="9" t="s">
        <v>110</v>
      </c>
      <c r="E230" s="56" t="str">
        <f>IFERROR(VLOOKUP($D230,본공사입.출고현황!$B:$H,E$2080,0),0)</f>
        <v>Miscellious</v>
      </c>
      <c r="F230" s="18" t="str">
        <f>IFERROR(VLOOKUP($D230,본공사입.출고현황!$B:$H,F$2080,0),0)</f>
        <v xml:space="preserve">Nicoband </v>
      </c>
      <c r="G230" s="18" t="str">
        <f>IFERROR(VLOOKUP($D230,본공사입.출고현황!$B:$H,G$2080,0),0)</f>
        <v>Nicoband</v>
      </c>
      <c r="H230" s="18" t="str">
        <f>IFERROR(VLOOKUP($D230,본공사입.출고현황!$B:$H,H$2080,0),0)</f>
        <v>10m x 15cm</v>
      </c>
      <c r="I230" s="56" t="str">
        <f>IFERROR(VLOOKUP($D230,본공사입.출고현황!$B:$H,I$2080,0),0)</f>
        <v>EA</v>
      </c>
      <c r="J230" s="9"/>
      <c r="K230" s="9"/>
      <c r="L230" s="37">
        <v>2</v>
      </c>
      <c r="M230" s="64" t="s">
        <v>409</v>
      </c>
      <c r="N230" s="42"/>
    </row>
    <row r="231" spans="1:14" ht="24" customHeight="1">
      <c r="A231" s="8">
        <v>187</v>
      </c>
      <c r="B231" s="9">
        <v>187</v>
      </c>
      <c r="C231" s="46">
        <v>45878</v>
      </c>
      <c r="D231" s="9" t="s">
        <v>180</v>
      </c>
      <c r="E231" s="56" t="str">
        <f>IFERROR(VLOOKUP($D231,본공사입.출고현황!$B:$H,E$2080,0),0)</f>
        <v>Ground</v>
      </c>
      <c r="F231" s="18" t="str">
        <f>IFERROR(VLOOKUP($D231,본공사입.출고현황!$B:$H,F$2080,0),0)</f>
        <v>Ground Cable  78SQ</v>
      </c>
      <c r="G231" s="18" t="str">
        <f>IFERROR(VLOOKUP($D231,본공사입.출고현황!$B:$H,G$2080,0),0)</f>
        <v xml:space="preserve">Ground Cable </v>
      </c>
      <c r="H231" s="18" t="str">
        <f>IFERROR(VLOOKUP($D231,본공사입.출고현황!$B:$H,H$2080,0),0)</f>
        <v>78SQ</v>
      </c>
      <c r="I231" s="56" t="str">
        <f>IFERROR(VLOOKUP($D231,본공사입.출고현황!$B:$H,I$2080,0),0)</f>
        <v>M</v>
      </c>
      <c r="J231" s="9"/>
      <c r="K231" s="9"/>
      <c r="L231" s="37">
        <v>60</v>
      </c>
      <c r="M231" s="64" t="s">
        <v>409</v>
      </c>
      <c r="N231" s="42"/>
    </row>
    <row r="232" spans="1:14" ht="24" customHeight="1">
      <c r="A232" s="8">
        <v>188</v>
      </c>
      <c r="B232" s="9">
        <v>188</v>
      </c>
      <c r="C232" s="46">
        <v>45880</v>
      </c>
      <c r="D232" s="9" t="s">
        <v>407</v>
      </c>
      <c r="E232" s="56" t="str">
        <f>IFERROR(VLOOKUP($D232,본공사입.출고현황!$B:$H,E$2080,0),0)</f>
        <v>Steel round bar</v>
      </c>
      <c r="F232" s="18" t="str">
        <f>IFERROR(VLOOKUP($D232,본공사입.출고현황!$B:$H,F$2080,0),0)</f>
        <v>Steel round bar(rebar)</v>
      </c>
      <c r="G232" s="18" t="str">
        <f>IFERROR(VLOOKUP($D232,본공사입.출고현황!$B:$H,G$2080,0),0)</f>
        <v>CCGG</v>
      </c>
      <c r="H232" s="18" t="str">
        <f>IFERROR(VLOOKUP($D232,본공사입.출고현황!$B:$H,H$2080,0),0)</f>
        <v>ф10, 1ton=1,620.7m</v>
      </c>
      <c r="I232" s="56" t="str">
        <f>IFERROR(VLOOKUP($D232,본공사입.출고현황!$B:$H,I$2080,0),0)</f>
        <v>M</v>
      </c>
      <c r="J232" s="9"/>
      <c r="K232" s="9"/>
      <c r="L232" s="37">
        <v>600</v>
      </c>
      <c r="M232" s="64" t="s">
        <v>425</v>
      </c>
      <c r="N232" s="42"/>
    </row>
    <row r="233" spans="1:14" ht="24" customHeight="1">
      <c r="A233" s="8">
        <v>189</v>
      </c>
      <c r="B233" s="9">
        <v>189</v>
      </c>
      <c r="C233" s="46">
        <v>45880</v>
      </c>
      <c r="D233" s="9" t="s">
        <v>128</v>
      </c>
      <c r="E233" s="56" t="str">
        <f>IFERROR(VLOOKUP($D233,본공사입.출고현황!$B:$H,E$2080,0),0)</f>
        <v>Conduit</v>
      </c>
      <c r="F233" s="18" t="str">
        <f>IFERROR(VLOOKUP($D233,본공사입.출고현황!$B:$H,F$2080,0),0)</f>
        <v>Conduit (Galvanized)  Ts-80x4</v>
      </c>
      <c r="G233" s="18" t="str">
        <f>IFERROR(VLOOKUP($D233,본공사입.출고현황!$B:$H,G$2080,0),0)</f>
        <v xml:space="preserve">Conduit (Galvanized) </v>
      </c>
      <c r="H233" s="18" t="str">
        <f>IFERROR(VLOOKUP($D233,본공사입.출고현황!$B:$H,H$2080,0),0)</f>
        <v>88x4</v>
      </c>
      <c r="I233" s="56" t="str">
        <f>IFERROR(VLOOKUP($D233,본공사입.출고현황!$B:$H,I$2080,0),0)</f>
        <v>M</v>
      </c>
      <c r="J233" s="9"/>
      <c r="K233" s="9"/>
      <c r="L233" s="37">
        <v>54</v>
      </c>
      <c r="M233" s="64" t="s">
        <v>425</v>
      </c>
      <c r="N233" s="42"/>
    </row>
    <row r="234" spans="1:14" ht="24" customHeight="1">
      <c r="A234" s="8">
        <v>190</v>
      </c>
      <c r="B234" s="9">
        <v>190</v>
      </c>
      <c r="C234" s="46">
        <v>45881</v>
      </c>
      <c r="D234" s="9" t="s">
        <v>180</v>
      </c>
      <c r="E234" s="56" t="str">
        <f>IFERROR(VLOOKUP($D234,본공사입.출고현황!$B:$H,E$2080,0),0)</f>
        <v>Ground</v>
      </c>
      <c r="F234" s="18" t="str">
        <f>IFERROR(VLOOKUP($D234,본공사입.출고현황!$B:$H,F$2080,0),0)</f>
        <v>Ground Cable  78SQ</v>
      </c>
      <c r="G234" s="18" t="str">
        <f>IFERROR(VLOOKUP($D234,본공사입.출고현황!$B:$H,G$2080,0),0)</f>
        <v xml:space="preserve">Ground Cable </v>
      </c>
      <c r="H234" s="18" t="str">
        <f>IFERROR(VLOOKUP($D234,본공사입.출고현황!$B:$H,H$2080,0),0)</f>
        <v>78SQ</v>
      </c>
      <c r="I234" s="56" t="str">
        <f>IFERROR(VLOOKUP($D234,본공사입.출고현황!$B:$H,I$2080,0),0)</f>
        <v>M</v>
      </c>
      <c r="J234" s="9"/>
      <c r="K234" s="9"/>
      <c r="L234" s="37">
        <v>65</v>
      </c>
      <c r="M234" s="64" t="s">
        <v>409</v>
      </c>
      <c r="N234" s="42"/>
    </row>
    <row r="235" spans="1:14" ht="24" customHeight="1">
      <c r="A235" s="8">
        <v>191</v>
      </c>
      <c r="B235" s="9">
        <v>191</v>
      </c>
      <c r="C235" s="46">
        <v>45882</v>
      </c>
      <c r="D235" s="9" t="s">
        <v>407</v>
      </c>
      <c r="E235" s="56" t="str">
        <f>IFERROR(VLOOKUP($D235,본공사입.출고현황!$B:$H,E$2080,0),0)</f>
        <v>Steel round bar</v>
      </c>
      <c r="F235" s="18" t="str">
        <f>IFERROR(VLOOKUP($D235,본공사입.출고현황!$B:$H,F$2080,0),0)</f>
        <v>Steel round bar(rebar)</v>
      </c>
      <c r="G235" s="18" t="str">
        <f>IFERROR(VLOOKUP($D235,본공사입.출고현황!$B:$H,G$2080,0),0)</f>
        <v>CCGG</v>
      </c>
      <c r="H235" s="18" t="str">
        <f>IFERROR(VLOOKUP($D235,본공사입.출고현황!$B:$H,H$2080,0),0)</f>
        <v>ф10, 1ton=1,620.7m</v>
      </c>
      <c r="I235" s="56" t="str">
        <f>IFERROR(VLOOKUP($D235,본공사입.출고현황!$B:$H,I$2080,0),0)</f>
        <v>M</v>
      </c>
      <c r="J235" s="9"/>
      <c r="K235" s="9"/>
      <c r="L235" s="37">
        <v>100</v>
      </c>
      <c r="M235" s="64" t="s">
        <v>425</v>
      </c>
      <c r="N235" s="42"/>
    </row>
    <row r="236" spans="1:14" ht="24" customHeight="1">
      <c r="A236" s="8">
        <v>192</v>
      </c>
      <c r="B236" s="9">
        <v>192</v>
      </c>
      <c r="C236" s="46">
        <v>45882</v>
      </c>
      <c r="D236" s="9" t="s">
        <v>160</v>
      </c>
      <c r="E236" s="56" t="str">
        <f>IFERROR(VLOOKUP($D236,본공사입.출고현황!$B:$H,E$2080,0),0)</f>
        <v>Conduit Fitting</v>
      </c>
      <c r="F236" s="18" t="str">
        <f>IFERROR(VLOOKUP($D236,본공사입.출고현황!$B:$H,F$2080,0),0)</f>
        <v>Conduit Coupling 80-Ts</v>
      </c>
      <c r="G236" s="18" t="str">
        <f>IFERROR(VLOOKUP($D236,본공사입.출고현황!$B:$H,G$2080,0),0)</f>
        <v>Conduit Coupling</v>
      </c>
      <c r="H236" s="18" t="str">
        <f>IFERROR(VLOOKUP($D236,본공사입.출고현황!$B:$H,H$2080,0),0)</f>
        <v>80-Ts</v>
      </c>
      <c r="I236" s="56" t="str">
        <f>IFERROR(VLOOKUP($D236,본공사입.출고현황!$B:$H,I$2080,0),0)</f>
        <v>EA</v>
      </c>
      <c r="J236" s="9"/>
      <c r="K236" s="9"/>
      <c r="L236" s="37">
        <f>20+54</f>
        <v>74</v>
      </c>
      <c r="M236" s="64" t="s">
        <v>425</v>
      </c>
      <c r="N236" s="42"/>
    </row>
    <row r="237" spans="1:14" ht="24" customHeight="1">
      <c r="A237" s="8">
        <v>193</v>
      </c>
      <c r="B237" s="9">
        <v>193</v>
      </c>
      <c r="C237" s="46">
        <v>45886</v>
      </c>
      <c r="D237" s="9" t="s">
        <v>407</v>
      </c>
      <c r="E237" s="56" t="str">
        <f>IFERROR(VLOOKUP($D237,본공사입.출고현황!$B:$H,E$2080,0),0)</f>
        <v>Steel round bar</v>
      </c>
      <c r="F237" s="18" t="str">
        <f>IFERROR(VLOOKUP($D237,본공사입.출고현황!$B:$H,F$2080,0),0)</f>
        <v>Steel round bar(rebar)</v>
      </c>
      <c r="G237" s="18" t="str">
        <f>IFERROR(VLOOKUP($D237,본공사입.출고현황!$B:$H,G$2080,0),0)</f>
        <v>CCGG</v>
      </c>
      <c r="H237" s="18" t="str">
        <f>IFERROR(VLOOKUP($D237,본공사입.출고현황!$B:$H,H$2080,0),0)</f>
        <v>ф10, 1ton=1,620.7m</v>
      </c>
      <c r="I237" s="56" t="str">
        <f>IFERROR(VLOOKUP($D237,본공사입.출고현황!$B:$H,I$2080,0),0)</f>
        <v>M</v>
      </c>
      <c r="J237" s="9"/>
      <c r="K237" s="9"/>
      <c r="L237" s="37">
        <v>600</v>
      </c>
      <c r="M237" s="64" t="s">
        <v>426</v>
      </c>
      <c r="N237" s="42"/>
    </row>
    <row r="238" spans="1:14" ht="24" customHeight="1">
      <c r="A238" s="8">
        <v>194</v>
      </c>
      <c r="B238" s="9">
        <v>194</v>
      </c>
      <c r="C238" s="46">
        <v>45887</v>
      </c>
      <c r="D238" s="9" t="s">
        <v>407</v>
      </c>
      <c r="E238" s="56" t="str">
        <f>IFERROR(VLOOKUP($D238,본공사입.출고현황!$B:$H,E$2080,0),0)</f>
        <v>Steel round bar</v>
      </c>
      <c r="F238" s="18" t="str">
        <f>IFERROR(VLOOKUP($D238,본공사입.출고현황!$B:$H,F$2080,0),0)</f>
        <v>Steel round bar(rebar)</v>
      </c>
      <c r="G238" s="18" t="str">
        <f>IFERROR(VLOOKUP($D238,본공사입.출고현황!$B:$H,G$2080,0),0)</f>
        <v>CCGG</v>
      </c>
      <c r="H238" s="18" t="str">
        <f>IFERROR(VLOOKUP($D238,본공사입.출고현황!$B:$H,H$2080,0),0)</f>
        <v>ф10, 1ton=1,620.7m</v>
      </c>
      <c r="I238" s="56" t="str">
        <f>IFERROR(VLOOKUP($D238,본공사입.출고현황!$B:$H,I$2080,0),0)</f>
        <v>M</v>
      </c>
      <c r="J238" s="9"/>
      <c r="K238" s="9"/>
      <c r="L238" s="37">
        <v>650</v>
      </c>
      <c r="M238" s="64" t="s">
        <v>426</v>
      </c>
      <c r="N238" s="42"/>
    </row>
    <row r="239" spans="1:14" ht="24" customHeight="1">
      <c r="A239" s="8">
        <v>195</v>
      </c>
      <c r="B239" s="9">
        <v>195</v>
      </c>
      <c r="C239" s="46">
        <v>45887</v>
      </c>
      <c r="D239" s="9" t="s">
        <v>86</v>
      </c>
      <c r="E239" s="56" t="str">
        <f>IFERROR(VLOOKUP($D239,본공사입.출고현황!$B:$H,E$2080,0),0)</f>
        <v>Ground</v>
      </c>
      <c r="F239" s="18" t="str">
        <f>IFERROR(VLOOKUP($D239,본공사입.출고현황!$B:$H,F$2080,0),0)</f>
        <v>Cadweld Powder #115</v>
      </c>
      <c r="G239" s="18" t="str">
        <f>IFERROR(VLOOKUP($D239,본공사입.출고현황!$B:$H,G$2080,0),0)</f>
        <v>Cadweld Powder</v>
      </c>
      <c r="H239" s="18" t="str">
        <f>IFERROR(VLOOKUP($D239,본공사입.출고현황!$B:$H,H$2080,0),0)</f>
        <v>#115</v>
      </c>
      <c r="I239" s="56" t="str">
        <f>IFERROR(VLOOKUP($D239,본공사입.출고현황!$B:$H,I$2080,0),0)</f>
        <v>EA</v>
      </c>
      <c r="J239" s="9"/>
      <c r="K239" s="9"/>
      <c r="L239" s="37">
        <v>10</v>
      </c>
      <c r="M239" s="64" t="s">
        <v>409</v>
      </c>
      <c r="N239" s="42"/>
    </row>
    <row r="240" spans="1:14" ht="24" customHeight="1">
      <c r="A240" s="8">
        <v>196</v>
      </c>
      <c r="B240" s="9">
        <v>196</v>
      </c>
      <c r="C240" s="46">
        <v>45887</v>
      </c>
      <c r="D240" s="9" t="s">
        <v>140</v>
      </c>
      <c r="E240" s="56" t="str">
        <f>IFERROR(VLOOKUP($D240,본공사입.출고현황!$B:$H,E$2080,0),0)</f>
        <v>Conduit</v>
      </c>
      <c r="F240" s="18" t="str">
        <f>IFERROR(VLOOKUP($D240,본공사입.출고현황!$B:$H,F$2080,0),0)</f>
        <v>Conduit 108x4.0</v>
      </c>
      <c r="G240" s="18" t="str">
        <f>IFERROR(VLOOKUP($D240,본공사입.출고현황!$B:$H,G$2080,0),0)</f>
        <v>Conduit</v>
      </c>
      <c r="H240" s="18" t="str">
        <f>IFERROR(VLOOKUP($D240,본공사입.출고현황!$B:$H,H$2080,0),0)</f>
        <v>108x4</v>
      </c>
      <c r="I240" s="56" t="str">
        <f>IFERROR(VLOOKUP($D240,본공사입.출고현황!$B:$H,I$2080,0),0)</f>
        <v>M</v>
      </c>
      <c r="J240" s="9"/>
      <c r="K240" s="9"/>
      <c r="L240" s="37">
        <v>112.27</v>
      </c>
      <c r="M240" s="64" t="s">
        <v>426</v>
      </c>
      <c r="N240" s="42"/>
    </row>
    <row r="241" spans="1:14" ht="24" customHeight="1">
      <c r="A241" s="8">
        <v>197</v>
      </c>
      <c r="B241" s="9">
        <v>197</v>
      </c>
      <c r="C241" s="46">
        <v>45889</v>
      </c>
      <c r="D241" s="9" t="s">
        <v>407</v>
      </c>
      <c r="E241" s="56" t="str">
        <f>IFERROR(VLOOKUP($D241,본공사입.출고현황!$B:$H,E$2080,0),0)</f>
        <v>Steel round bar</v>
      </c>
      <c r="F241" s="18" t="str">
        <f>IFERROR(VLOOKUP($D241,본공사입.출고현황!$B:$H,F$2080,0),0)</f>
        <v>Steel round bar(rebar)</v>
      </c>
      <c r="G241" s="18" t="str">
        <f>IFERROR(VLOOKUP($D241,본공사입.출고현황!$B:$H,G$2080,0),0)</f>
        <v>CCGG</v>
      </c>
      <c r="H241" s="18" t="str">
        <f>IFERROR(VLOOKUP($D241,본공사입.출고현황!$B:$H,H$2080,0),0)</f>
        <v>ф10, 1ton=1,620.7m</v>
      </c>
      <c r="I241" s="56" t="str">
        <f>IFERROR(VLOOKUP($D241,본공사입.출고현황!$B:$H,I$2080,0),0)</f>
        <v>M</v>
      </c>
      <c r="J241" s="9"/>
      <c r="K241" s="9"/>
      <c r="L241" s="37">
        <v>300</v>
      </c>
      <c r="M241" s="64" t="s">
        <v>426</v>
      </c>
      <c r="N241" s="42"/>
    </row>
    <row r="242" spans="1:14" ht="24" customHeight="1">
      <c r="A242" s="8">
        <v>198</v>
      </c>
      <c r="B242" s="9">
        <v>198</v>
      </c>
      <c r="C242" s="46">
        <v>45890</v>
      </c>
      <c r="D242" s="9" t="s">
        <v>424</v>
      </c>
      <c r="E242" s="56" t="str">
        <f>IFERROR(VLOOKUP($D242,본공사입.출고현황!$B:$H,E$2080,0),0)</f>
        <v>Angle</v>
      </c>
      <c r="F242" s="18" t="str">
        <f>IFERROR(VLOOKUP($D242,본공사입.출고현황!$B:$H,F$2080,0),0)</f>
        <v>Angle 100x100x10</v>
      </c>
      <c r="G242" s="18" t="str">
        <f>IFERROR(VLOOKUP($D242,본공사입.출고현황!$B:$H,G$2080,0),0)</f>
        <v>CCGG</v>
      </c>
      <c r="H242" s="18" t="str">
        <f>IFERROR(VLOOKUP($D242,본공사입.출고현황!$B:$H,H$2080,0),0)</f>
        <v>100x100x10 (12m)</v>
      </c>
      <c r="I242" s="56" t="str">
        <f>IFERROR(VLOOKUP($D242,본공사입.출고현황!$B:$H,I$2080,0),0)</f>
        <v>M</v>
      </c>
      <c r="J242" s="9"/>
      <c r="K242" s="9"/>
      <c r="L242" s="37">
        <v>12</v>
      </c>
      <c r="M242" s="64" t="s">
        <v>426</v>
      </c>
      <c r="N242" s="42"/>
    </row>
    <row r="243" spans="1:14" ht="24" customHeight="1">
      <c r="A243" s="8">
        <v>199</v>
      </c>
      <c r="B243" s="9">
        <v>199</v>
      </c>
      <c r="C243" s="46">
        <v>45890</v>
      </c>
      <c r="D243" s="9" t="s">
        <v>407</v>
      </c>
      <c r="E243" s="56" t="str">
        <f>IFERROR(VLOOKUP($D243,본공사입.출고현황!$B:$H,E$2080,0),0)</f>
        <v>Steel round bar</v>
      </c>
      <c r="F243" s="18" t="str">
        <f>IFERROR(VLOOKUP($D243,본공사입.출고현황!$B:$H,F$2080,0),0)</f>
        <v>Steel round bar(rebar)</v>
      </c>
      <c r="G243" s="18" t="str">
        <f>IFERROR(VLOOKUP($D243,본공사입.출고현황!$B:$H,G$2080,0),0)</f>
        <v>CCGG</v>
      </c>
      <c r="H243" s="18" t="str">
        <f>IFERROR(VLOOKUP($D243,본공사입.출고현황!$B:$H,H$2080,0),0)</f>
        <v>ф10, 1ton=1,620.7m</v>
      </c>
      <c r="I243" s="56" t="str">
        <f>IFERROR(VLOOKUP($D243,본공사입.출고현황!$B:$H,I$2080,0),0)</f>
        <v>M</v>
      </c>
      <c r="J243" s="9"/>
      <c r="K243" s="9"/>
      <c r="L243" s="37">
        <v>80</v>
      </c>
      <c r="M243" s="64" t="s">
        <v>426</v>
      </c>
      <c r="N243" s="42"/>
    </row>
    <row r="244" spans="1:14" ht="24" customHeight="1">
      <c r="A244" s="8">
        <v>200</v>
      </c>
      <c r="B244" s="9">
        <v>200</v>
      </c>
      <c r="C244" s="46">
        <v>45892</v>
      </c>
      <c r="D244" s="9" t="s">
        <v>407</v>
      </c>
      <c r="E244" s="56" t="str">
        <f>IFERROR(VLOOKUP($D244,본공사입.출고현황!$B:$H,E$2080,0),0)</f>
        <v>Steel round bar</v>
      </c>
      <c r="F244" s="18" t="str">
        <f>IFERROR(VLOOKUP($D244,본공사입.출고현황!$B:$H,F$2080,0),0)</f>
        <v>Steel round bar(rebar)</v>
      </c>
      <c r="G244" s="18" t="str">
        <f>IFERROR(VLOOKUP($D244,본공사입.출고현황!$B:$H,G$2080,0),0)</f>
        <v>CCGG</v>
      </c>
      <c r="H244" s="18" t="str">
        <f>IFERROR(VLOOKUP($D244,본공사입.출고현황!$B:$H,H$2080,0),0)</f>
        <v>ф10, 1ton=1,620.7m</v>
      </c>
      <c r="I244" s="56" t="str">
        <f>IFERROR(VLOOKUP($D244,본공사입.출고현황!$B:$H,I$2080,0),0)</f>
        <v>M</v>
      </c>
      <c r="J244" s="9"/>
      <c r="K244" s="9"/>
      <c r="L244" s="37">
        <v>200</v>
      </c>
      <c r="M244" s="64" t="s">
        <v>426</v>
      </c>
      <c r="N244" s="42"/>
    </row>
    <row r="245" spans="1:14" ht="24" customHeight="1">
      <c r="A245" s="8">
        <v>201</v>
      </c>
      <c r="B245" s="9">
        <v>201</v>
      </c>
      <c r="C245" s="46">
        <v>45893</v>
      </c>
      <c r="D245" s="9" t="s">
        <v>140</v>
      </c>
      <c r="E245" s="56" t="str">
        <f>IFERROR(VLOOKUP($D245,본공사입.출고현황!$B:$H,E$2080,0),0)</f>
        <v>Conduit</v>
      </c>
      <c r="F245" s="18" t="str">
        <f>IFERROR(VLOOKUP($D245,본공사입.출고현황!$B:$H,F$2080,0),0)</f>
        <v>Conduit 108x4.0</v>
      </c>
      <c r="G245" s="18" t="str">
        <f>IFERROR(VLOOKUP($D245,본공사입.출고현황!$B:$H,G$2080,0),0)</f>
        <v>Conduit</v>
      </c>
      <c r="H245" s="18" t="str">
        <f>IFERROR(VLOOKUP($D245,본공사입.출고현황!$B:$H,H$2080,0),0)</f>
        <v>108x4</v>
      </c>
      <c r="I245" s="56" t="str">
        <f>IFERROR(VLOOKUP($D245,본공사입.출고현황!$B:$H,I$2080,0),0)</f>
        <v>M</v>
      </c>
      <c r="J245" s="9"/>
      <c r="K245" s="9"/>
      <c r="L245" s="37">
        <v>58</v>
      </c>
      <c r="M245" s="64" t="s">
        <v>438</v>
      </c>
      <c r="N245" s="42"/>
    </row>
    <row r="246" spans="1:14" ht="24" customHeight="1">
      <c r="A246" s="8">
        <v>202</v>
      </c>
      <c r="B246" s="9">
        <v>202</v>
      </c>
      <c r="C246" s="46">
        <v>45893</v>
      </c>
      <c r="D246" s="9" t="s">
        <v>165</v>
      </c>
      <c r="E246" s="56" t="str">
        <f>IFERROR(VLOOKUP($D246,본공사입.출고현황!$B:$H,E$2080,0),0)</f>
        <v>Sup't</v>
      </c>
      <c r="F246" s="18" t="str">
        <f>IFERROR(VLOOKUP($D246,본공사입.출고현황!$B:$H,F$2080,0),0)</f>
        <v>Angle 70x70x7</v>
      </c>
      <c r="G246" s="18" t="str">
        <f>IFERROR(VLOOKUP($D246,본공사입.출고현황!$B:$H,G$2080,0),0)</f>
        <v>Angle</v>
      </c>
      <c r="H246" s="18" t="str">
        <f>IFERROR(VLOOKUP($D246,본공사입.출고현황!$B:$H,H$2080,0),0)</f>
        <v>70*70*7</v>
      </c>
      <c r="I246" s="56" t="str">
        <f>IFERROR(VLOOKUP($D246,본공사입.출고현황!$B:$H,I$2080,0),0)</f>
        <v>M</v>
      </c>
      <c r="J246" s="9"/>
      <c r="K246" s="9"/>
      <c r="L246" s="37">
        <v>30</v>
      </c>
      <c r="M246" s="64" t="s">
        <v>438</v>
      </c>
      <c r="N246" s="42"/>
    </row>
    <row r="247" spans="1:14" ht="24" customHeight="1">
      <c r="A247" s="8">
        <v>203</v>
      </c>
      <c r="B247" s="9">
        <v>203</v>
      </c>
      <c r="C247" s="46">
        <v>45893</v>
      </c>
      <c r="D247" s="9" t="s">
        <v>110</v>
      </c>
      <c r="E247" s="56" t="str">
        <f>IFERROR(VLOOKUP($D247,본공사입.출고현황!$B:$H,E$2080,0),0)</f>
        <v>Miscellious</v>
      </c>
      <c r="F247" s="18" t="str">
        <f>IFERROR(VLOOKUP($D247,본공사입.출고현황!$B:$H,F$2080,0),0)</f>
        <v xml:space="preserve">Nicoband </v>
      </c>
      <c r="G247" s="18" t="str">
        <f>IFERROR(VLOOKUP($D247,본공사입.출고현황!$B:$H,G$2080,0),0)</f>
        <v>Nicoband</v>
      </c>
      <c r="H247" s="18" t="str">
        <f>IFERROR(VLOOKUP($D247,본공사입.출고현황!$B:$H,H$2080,0),0)</f>
        <v>10m x 15cm</v>
      </c>
      <c r="I247" s="56" t="str">
        <f>IFERROR(VLOOKUP($D247,본공사입.출고현황!$B:$H,I$2080,0),0)</f>
        <v>EA</v>
      </c>
      <c r="J247" s="9"/>
      <c r="K247" s="9"/>
      <c r="L247" s="37">
        <v>1</v>
      </c>
      <c r="M247" s="64" t="s">
        <v>357</v>
      </c>
      <c r="N247" s="42"/>
    </row>
    <row r="248" spans="1:14" ht="24" customHeight="1">
      <c r="A248" s="8">
        <v>204</v>
      </c>
      <c r="B248" s="9">
        <v>204</v>
      </c>
      <c r="C248" s="46">
        <v>45893</v>
      </c>
      <c r="D248" s="9" t="s">
        <v>424</v>
      </c>
      <c r="E248" s="56" t="str">
        <f>IFERROR(VLOOKUP($D248,본공사입.출고현황!$B:$H,E$2080,0),0)</f>
        <v>Angle</v>
      </c>
      <c r="F248" s="18" t="str">
        <f>IFERROR(VLOOKUP($D248,본공사입.출고현황!$B:$H,F$2080,0),0)</f>
        <v>Angle 100x100x10</v>
      </c>
      <c r="G248" s="18" t="str">
        <f>IFERROR(VLOOKUP($D248,본공사입.출고현황!$B:$H,G$2080,0),0)</f>
        <v>CCGG</v>
      </c>
      <c r="H248" s="18" t="str">
        <f>IFERROR(VLOOKUP($D248,본공사입.출고현황!$B:$H,H$2080,0),0)</f>
        <v>100x100x10 (12m)</v>
      </c>
      <c r="I248" s="56" t="str">
        <f>IFERROR(VLOOKUP($D248,본공사입.출고현황!$B:$H,I$2080,0),0)</f>
        <v>M</v>
      </c>
      <c r="J248" s="9"/>
      <c r="K248" s="9"/>
      <c r="L248" s="37">
        <v>24</v>
      </c>
      <c r="M248" s="64" t="s">
        <v>408</v>
      </c>
      <c r="N248" s="42"/>
    </row>
    <row r="249" spans="1:14" ht="24" customHeight="1">
      <c r="A249" s="8">
        <v>205</v>
      </c>
      <c r="B249" s="9">
        <v>205</v>
      </c>
      <c r="C249" s="46">
        <v>45895</v>
      </c>
      <c r="D249" s="9" t="s">
        <v>407</v>
      </c>
      <c r="E249" s="56" t="str">
        <f>IFERROR(VLOOKUP($D249,본공사입.출고현황!$B:$H,E$2080,0),0)</f>
        <v>Steel round bar</v>
      </c>
      <c r="F249" s="18" t="str">
        <f>IFERROR(VLOOKUP($D249,본공사입.출고현황!$B:$H,F$2080,0),0)</f>
        <v>Steel round bar(rebar)</v>
      </c>
      <c r="G249" s="18" t="str">
        <f>IFERROR(VLOOKUP($D249,본공사입.출고현황!$B:$H,G$2080,0),0)</f>
        <v>CCGG</v>
      </c>
      <c r="H249" s="18" t="str">
        <f>IFERROR(VLOOKUP($D249,본공사입.출고현황!$B:$H,H$2080,0),0)</f>
        <v>ф10, 1ton=1,620.7m</v>
      </c>
      <c r="I249" s="56" t="str">
        <f>IFERROR(VLOOKUP($D249,본공사입.출고현황!$B:$H,I$2080,0),0)</f>
        <v>M</v>
      </c>
      <c r="J249" s="9"/>
      <c r="K249" s="9"/>
      <c r="L249" s="37">
        <v>350</v>
      </c>
      <c r="M249" s="64" t="s">
        <v>358</v>
      </c>
      <c r="N249" s="42"/>
    </row>
    <row r="250" spans="1:14" ht="24" customHeight="1">
      <c r="A250" s="8">
        <v>206</v>
      </c>
      <c r="B250" s="9">
        <v>206</v>
      </c>
      <c r="C250" s="46">
        <v>45896</v>
      </c>
      <c r="D250" s="9" t="s">
        <v>407</v>
      </c>
      <c r="E250" s="56" t="str">
        <f>IFERROR(VLOOKUP($D250,본공사입.출고현황!$B:$H,E$2080,0),0)</f>
        <v>Steel round bar</v>
      </c>
      <c r="F250" s="18" t="str">
        <f>IFERROR(VLOOKUP($D250,본공사입.출고현황!$B:$H,F$2080,0),0)</f>
        <v>Steel round bar(rebar)</v>
      </c>
      <c r="G250" s="18" t="str">
        <f>IFERROR(VLOOKUP($D250,본공사입.출고현황!$B:$H,G$2080,0),0)</f>
        <v>CCGG</v>
      </c>
      <c r="H250" s="18" t="str">
        <f>IFERROR(VLOOKUP($D250,본공사입.출고현황!$B:$H,H$2080,0),0)</f>
        <v>ф10, 1ton=1,620.7m</v>
      </c>
      <c r="I250" s="56" t="str">
        <f>IFERROR(VLOOKUP($D250,본공사입.출고현황!$B:$H,I$2080,0),0)</f>
        <v>M</v>
      </c>
      <c r="J250" s="9"/>
      <c r="K250" s="9"/>
      <c r="L250" s="37">
        <v>150</v>
      </c>
      <c r="M250" s="64" t="s">
        <v>358</v>
      </c>
      <c r="N250" s="42"/>
    </row>
    <row r="251" spans="1:14" ht="24" customHeight="1">
      <c r="A251" s="8">
        <v>207</v>
      </c>
      <c r="B251" s="9">
        <v>207</v>
      </c>
      <c r="C251" s="46">
        <v>45897</v>
      </c>
      <c r="D251" s="9" t="s">
        <v>407</v>
      </c>
      <c r="E251" s="56" t="str">
        <f>IFERROR(VLOOKUP($D251,본공사입.출고현황!$B:$H,E$2080,0),0)</f>
        <v>Steel round bar</v>
      </c>
      <c r="F251" s="18" t="str">
        <f>IFERROR(VLOOKUP($D251,본공사입.출고현황!$B:$H,F$2080,0),0)</f>
        <v>Steel round bar(rebar)</v>
      </c>
      <c r="G251" s="18" t="str">
        <f>IFERROR(VLOOKUP($D251,본공사입.출고현황!$B:$H,G$2080,0),0)</f>
        <v>CCGG</v>
      </c>
      <c r="H251" s="18" t="str">
        <f>IFERROR(VLOOKUP($D251,본공사입.출고현황!$B:$H,H$2080,0),0)</f>
        <v>ф10, 1ton=1,620.7m</v>
      </c>
      <c r="I251" s="56" t="str">
        <f>IFERROR(VLOOKUP($D251,본공사입.출고현황!$B:$H,I$2080,0),0)</f>
        <v>M</v>
      </c>
      <c r="J251" s="9"/>
      <c r="K251" s="9"/>
      <c r="L251" s="37">
        <v>350</v>
      </c>
      <c r="M251" s="64" t="s">
        <v>408</v>
      </c>
      <c r="N251" s="42"/>
    </row>
    <row r="252" spans="1:14" ht="24" customHeight="1">
      <c r="A252" s="8">
        <v>208</v>
      </c>
      <c r="B252" s="9">
        <v>208</v>
      </c>
      <c r="C252" s="46">
        <v>45897</v>
      </c>
      <c r="D252" s="9" t="s">
        <v>406</v>
      </c>
      <c r="E252" s="56" t="str">
        <f>IFERROR(VLOOKUP($D252,본공사입.출고현황!$B:$H,E$2080,0),0)</f>
        <v>Sup't</v>
      </c>
      <c r="F252" s="18" t="str">
        <f>IFERROR(VLOOKUP($D252,본공사입.출고현황!$B:$H,F$2080,0),0)</f>
        <v>Angle 50x50x5</v>
      </c>
      <c r="G252" s="18" t="str">
        <f>IFERROR(VLOOKUP($D252,본공사입.출고현황!$B:$H,G$2080,0),0)</f>
        <v>Angle</v>
      </c>
      <c r="H252" s="18" t="str">
        <f>IFERROR(VLOOKUP($D252,본공사입.출고현황!$B:$H,H$2080,0),0)</f>
        <v>50*50*5</v>
      </c>
      <c r="I252" s="56" t="str">
        <f>IFERROR(VLOOKUP($D252,본공사입.출고현황!$B:$H,I$2080,0),0)</f>
        <v>M</v>
      </c>
      <c r="J252" s="9"/>
      <c r="K252" s="9"/>
      <c r="L252" s="37">
        <v>36</v>
      </c>
      <c r="M252" s="64" t="s">
        <v>358</v>
      </c>
      <c r="N252" s="42"/>
    </row>
    <row r="253" spans="1:14" ht="24" customHeight="1">
      <c r="A253" s="8">
        <v>209</v>
      </c>
      <c r="B253" s="9">
        <v>209</v>
      </c>
      <c r="C253" s="46">
        <v>45898</v>
      </c>
      <c r="D253" s="9" t="s">
        <v>407</v>
      </c>
      <c r="E253" s="56" t="str">
        <f>IFERROR(VLOOKUP($D253,본공사입.출고현황!$B:$H,E$2080,0),0)</f>
        <v>Steel round bar</v>
      </c>
      <c r="F253" s="18" t="str">
        <f>IFERROR(VLOOKUP($D253,본공사입.출고현황!$B:$H,F$2080,0),0)</f>
        <v>Steel round bar(rebar)</v>
      </c>
      <c r="G253" s="18" t="str">
        <f>IFERROR(VLOOKUP($D253,본공사입.출고현황!$B:$H,G$2080,0),0)</f>
        <v>CCGG</v>
      </c>
      <c r="H253" s="18" t="str">
        <f>IFERROR(VLOOKUP($D253,본공사입.출고현황!$B:$H,H$2080,0),0)</f>
        <v>ф10, 1ton=1,620.7m</v>
      </c>
      <c r="I253" s="56" t="str">
        <f>IFERROR(VLOOKUP($D253,본공사입.출고현황!$B:$H,I$2080,0),0)</f>
        <v>M</v>
      </c>
      <c r="J253" s="9"/>
      <c r="K253" s="9"/>
      <c r="L253" s="37">
        <v>600</v>
      </c>
      <c r="M253" s="64" t="s">
        <v>358</v>
      </c>
      <c r="N253" s="42"/>
    </row>
    <row r="254" spans="1:14" ht="24" customHeight="1">
      <c r="A254" s="8">
        <v>210</v>
      </c>
      <c r="B254" s="9">
        <v>210</v>
      </c>
      <c r="C254" s="46">
        <v>45899</v>
      </c>
      <c r="D254" s="9" t="s">
        <v>407</v>
      </c>
      <c r="E254" s="56" t="str">
        <f>IFERROR(VLOOKUP($D254,본공사입.출고현황!$B:$H,E$2080,0),0)</f>
        <v>Steel round bar</v>
      </c>
      <c r="F254" s="18" t="str">
        <f>IFERROR(VLOOKUP($D254,본공사입.출고현황!$B:$H,F$2080,0),0)</f>
        <v>Steel round bar(rebar)</v>
      </c>
      <c r="G254" s="18" t="str">
        <f>IFERROR(VLOOKUP($D254,본공사입.출고현황!$B:$H,G$2080,0),0)</f>
        <v>CCGG</v>
      </c>
      <c r="H254" s="18" t="str">
        <f>IFERROR(VLOOKUP($D254,본공사입.출고현황!$B:$H,H$2080,0),0)</f>
        <v>ф10, 1ton=1,620.7m</v>
      </c>
      <c r="I254" s="56" t="str">
        <f>IFERROR(VLOOKUP($D254,본공사입.출고현황!$B:$H,I$2080,0),0)</f>
        <v>M</v>
      </c>
      <c r="J254" s="9"/>
      <c r="K254" s="9"/>
      <c r="L254" s="37">
        <v>60</v>
      </c>
      <c r="M254" s="64" t="s">
        <v>408</v>
      </c>
      <c r="N254" s="42"/>
    </row>
    <row r="255" spans="1:14" ht="24" customHeight="1">
      <c r="A255" s="8">
        <v>211</v>
      </c>
      <c r="B255" s="9">
        <v>211</v>
      </c>
      <c r="C255" s="46">
        <v>45900</v>
      </c>
      <c r="D255" s="9" t="s">
        <v>407</v>
      </c>
      <c r="E255" s="56" t="str">
        <f>IFERROR(VLOOKUP($D255,본공사입.출고현황!$B:$H,E$2080,0),0)</f>
        <v>Steel round bar</v>
      </c>
      <c r="F255" s="18" t="str">
        <f>IFERROR(VLOOKUP($D255,본공사입.출고현황!$B:$H,F$2080,0),0)</f>
        <v>Steel round bar(rebar)</v>
      </c>
      <c r="G255" s="18" t="str">
        <f>IFERROR(VLOOKUP($D255,본공사입.출고현황!$B:$H,G$2080,0),0)</f>
        <v>CCGG</v>
      </c>
      <c r="H255" s="18" t="str">
        <f>IFERROR(VLOOKUP($D255,본공사입.출고현황!$B:$H,H$2080,0),0)</f>
        <v>ф10, 1ton=1,620.7m</v>
      </c>
      <c r="I255" s="56" t="str">
        <f>IFERROR(VLOOKUP($D255,본공사입.출고현황!$B:$H,I$2080,0),0)</f>
        <v>M</v>
      </c>
      <c r="J255" s="9"/>
      <c r="K255" s="9"/>
      <c r="L255" s="37">
        <v>100</v>
      </c>
      <c r="M255" s="64" t="s">
        <v>408</v>
      </c>
      <c r="N255" s="42"/>
    </row>
    <row r="256" spans="1:14" ht="24" customHeight="1">
      <c r="A256" s="8">
        <v>212</v>
      </c>
      <c r="B256" s="9">
        <v>212</v>
      </c>
      <c r="C256" s="46">
        <v>45900</v>
      </c>
      <c r="D256" s="9" t="s">
        <v>424</v>
      </c>
      <c r="E256" s="56" t="str">
        <f>IFERROR(VLOOKUP($D256,본공사입.출고현황!$B:$H,E$2080,0),0)</f>
        <v>Angle</v>
      </c>
      <c r="F256" s="18" t="str">
        <f>IFERROR(VLOOKUP($D256,본공사입.출고현황!$B:$H,F$2080,0),0)</f>
        <v>Angle 100x100x10</v>
      </c>
      <c r="G256" s="18" t="str">
        <f>IFERROR(VLOOKUP($D256,본공사입.출고현황!$B:$H,G$2080,0),0)</f>
        <v>CCGG</v>
      </c>
      <c r="H256" s="18" t="str">
        <f>IFERROR(VLOOKUP($D256,본공사입.출고현황!$B:$H,H$2080,0),0)</f>
        <v>100x100x10 (12m)</v>
      </c>
      <c r="I256" s="56" t="str">
        <f>IFERROR(VLOOKUP($D256,본공사입.출고현황!$B:$H,I$2080,0),0)</f>
        <v>M</v>
      </c>
      <c r="J256" s="9"/>
      <c r="K256" s="9"/>
      <c r="L256" s="37">
        <v>12</v>
      </c>
      <c r="M256" s="64" t="s">
        <v>408</v>
      </c>
      <c r="N256" s="42"/>
    </row>
    <row r="257" spans="1:14" ht="24" customHeight="1">
      <c r="A257" s="8">
        <v>213</v>
      </c>
      <c r="B257" s="9">
        <v>213</v>
      </c>
      <c r="C257" s="46">
        <v>45901</v>
      </c>
      <c r="D257" s="9" t="s">
        <v>407</v>
      </c>
      <c r="E257" s="56" t="str">
        <f>IFERROR(VLOOKUP($D257,본공사입.출고현황!$B:$H,E$2080,0),0)</f>
        <v>Steel round bar</v>
      </c>
      <c r="F257" s="18" t="str">
        <f>IFERROR(VLOOKUP($D257,본공사입.출고현황!$B:$H,F$2080,0),0)</f>
        <v>Steel round bar(rebar)</v>
      </c>
      <c r="G257" s="18" t="str">
        <f>IFERROR(VLOOKUP($D257,본공사입.출고현황!$B:$H,G$2080,0),0)</f>
        <v>CCGG</v>
      </c>
      <c r="H257" s="18" t="str">
        <f>IFERROR(VLOOKUP($D257,본공사입.출고현황!$B:$H,H$2080,0),0)</f>
        <v>ф10, 1ton=1,620.7m</v>
      </c>
      <c r="I257" s="56" t="str">
        <f>IFERROR(VLOOKUP($D257,본공사입.출고현황!$B:$H,I$2080,0),0)</f>
        <v>M</v>
      </c>
      <c r="J257" s="9"/>
      <c r="K257" s="9"/>
      <c r="L257" s="37">
        <v>550</v>
      </c>
      <c r="M257" s="64" t="s">
        <v>408</v>
      </c>
      <c r="N257" s="42"/>
    </row>
    <row r="258" spans="1:14" ht="24" customHeight="1">
      <c r="A258" s="8">
        <v>214</v>
      </c>
      <c r="B258" s="9">
        <v>214</v>
      </c>
      <c r="C258" s="46">
        <v>45901</v>
      </c>
      <c r="D258" s="9" t="s">
        <v>424</v>
      </c>
      <c r="E258" s="56" t="str">
        <f>IFERROR(VLOOKUP($D258,본공사입.출고현황!$B:$H,E$2080,0),0)</f>
        <v>Angle</v>
      </c>
      <c r="F258" s="18" t="str">
        <f>IFERROR(VLOOKUP($D258,본공사입.출고현황!$B:$H,F$2080,0),0)</f>
        <v>Angle 100x100x10</v>
      </c>
      <c r="G258" s="18" t="str">
        <f>IFERROR(VLOOKUP($D258,본공사입.출고현황!$B:$H,G$2080,0),0)</f>
        <v>CCGG</v>
      </c>
      <c r="H258" s="18" t="str">
        <f>IFERROR(VLOOKUP($D258,본공사입.출고현황!$B:$H,H$2080,0),0)</f>
        <v>100x100x10 (12m)</v>
      </c>
      <c r="I258" s="56" t="str">
        <f>IFERROR(VLOOKUP($D258,본공사입.출고현황!$B:$H,I$2080,0),0)</f>
        <v>M</v>
      </c>
      <c r="J258" s="9"/>
      <c r="K258" s="9"/>
      <c r="L258" s="37">
        <v>12</v>
      </c>
      <c r="M258" s="64" t="s">
        <v>408</v>
      </c>
      <c r="N258" s="42"/>
    </row>
    <row r="259" spans="1:14" ht="24" customHeight="1">
      <c r="A259" s="8">
        <v>215</v>
      </c>
      <c r="B259" s="9">
        <v>215</v>
      </c>
      <c r="C259" s="46">
        <v>45903</v>
      </c>
      <c r="D259" s="9" t="s">
        <v>238</v>
      </c>
      <c r="E259" s="56" t="str">
        <f>IFERROR(VLOOKUP($D259,본공사입.출고현황!$B:$H,E$2080,0),0)</f>
        <v>Steel round bar</v>
      </c>
      <c r="F259" s="18" t="str">
        <f>IFERROR(VLOOKUP($D259,본공사입.출고현황!$B:$H,F$2080,0),0)</f>
        <v>Steel round bar(rebar)</v>
      </c>
      <c r="G259" s="18" t="str">
        <f>IFERROR(VLOOKUP($D259,본공사입.출고현황!$B:$H,G$2080,0),0)</f>
        <v>CCGG</v>
      </c>
      <c r="H259" s="18" t="str">
        <f>IFERROR(VLOOKUP($D259,본공사입.출고현황!$B:$H,H$2080,0),0)</f>
        <v>ф10, 1ton=1,620.7m</v>
      </c>
      <c r="I259" s="56" t="str">
        <f>IFERROR(VLOOKUP($D259,본공사입.출고현황!$B:$H,I$2080,0),0)</f>
        <v>M</v>
      </c>
      <c r="J259" s="9"/>
      <c r="K259" s="9"/>
      <c r="L259" s="37">
        <v>1000</v>
      </c>
      <c r="M259" s="64" t="s">
        <v>408</v>
      </c>
      <c r="N259" s="42"/>
    </row>
    <row r="260" spans="1:14" ht="24" customHeight="1">
      <c r="A260" s="8">
        <v>216</v>
      </c>
      <c r="B260" s="9">
        <v>216</v>
      </c>
      <c r="C260" s="46">
        <v>45904</v>
      </c>
      <c r="D260" s="9" t="s">
        <v>160</v>
      </c>
      <c r="E260" s="56" t="str">
        <f>IFERROR(VLOOKUP($D260,본공사입.출고현황!$B:$H,E$2080,0),0)</f>
        <v>Conduit Fitting</v>
      </c>
      <c r="F260" s="18" t="str">
        <f>IFERROR(VLOOKUP($D260,본공사입.출고현황!$B:$H,F$2080,0),0)</f>
        <v>Conduit Coupling 80-Ts</v>
      </c>
      <c r="G260" s="18" t="str">
        <f>IFERROR(VLOOKUP($D260,본공사입.출고현황!$B:$H,G$2080,0),0)</f>
        <v>Conduit Coupling</v>
      </c>
      <c r="H260" s="18" t="str">
        <f>IFERROR(VLOOKUP($D260,본공사입.출고현황!$B:$H,H$2080,0),0)</f>
        <v>80-Ts</v>
      </c>
      <c r="I260" s="56" t="str">
        <f>IFERROR(VLOOKUP($D260,본공사입.출고현황!$B:$H,I$2080,0),0)</f>
        <v>EA</v>
      </c>
      <c r="J260" s="9"/>
      <c r="K260" s="9"/>
      <c r="L260" s="37">
        <f>15+54</f>
        <v>69</v>
      </c>
      <c r="M260" s="64" t="s">
        <v>408</v>
      </c>
      <c r="N260" s="42"/>
    </row>
    <row r="261" spans="1:14" ht="24" customHeight="1">
      <c r="A261" s="8">
        <v>217</v>
      </c>
      <c r="B261" s="9">
        <v>217</v>
      </c>
      <c r="C261" s="46">
        <v>45906</v>
      </c>
      <c r="D261" s="9" t="s">
        <v>160</v>
      </c>
      <c r="E261" s="56" t="str">
        <f>IFERROR(VLOOKUP($D261,본공사입.출고현황!$B:$H,E$2080,0),0)</f>
        <v>Conduit Fitting</v>
      </c>
      <c r="F261" s="18" t="str">
        <f>IFERROR(VLOOKUP($D261,본공사입.출고현황!$B:$H,F$2080,0),0)</f>
        <v>Conduit Coupling 80-Ts</v>
      </c>
      <c r="G261" s="18" t="str">
        <f>IFERROR(VLOOKUP($D261,본공사입.출고현황!$B:$H,G$2080,0),0)</f>
        <v>Conduit Coupling</v>
      </c>
      <c r="H261" s="18" t="str">
        <f>IFERROR(VLOOKUP($D261,본공사입.출고현황!$B:$H,H$2080,0),0)</f>
        <v>80-Ts</v>
      </c>
      <c r="I261" s="56" t="str">
        <f>IFERROR(VLOOKUP($D261,본공사입.출고현황!$B:$H,I$2080,0),0)</f>
        <v>EA</v>
      </c>
      <c r="J261" s="9"/>
      <c r="K261" s="9"/>
      <c r="L261" s="37">
        <f>10+54</f>
        <v>64</v>
      </c>
      <c r="M261" s="64" t="s">
        <v>408</v>
      </c>
      <c r="N261" s="42"/>
    </row>
    <row r="262" spans="1:14" ht="24" customHeight="1">
      <c r="A262" s="8">
        <v>218</v>
      </c>
      <c r="B262" s="9">
        <v>218</v>
      </c>
      <c r="C262" s="46">
        <v>45906</v>
      </c>
      <c r="D262" s="9" t="s">
        <v>238</v>
      </c>
      <c r="E262" s="56" t="str">
        <f>IFERROR(VLOOKUP($D262,본공사입.출고현황!$B:$H,E$2080,0),0)</f>
        <v>Steel round bar</v>
      </c>
      <c r="F262" s="18" t="str">
        <f>IFERROR(VLOOKUP($D262,본공사입.출고현황!$B:$H,F$2080,0),0)</f>
        <v>Steel round bar(rebar)</v>
      </c>
      <c r="G262" s="18" t="str">
        <f>IFERROR(VLOOKUP($D262,본공사입.출고현황!$B:$H,G$2080,0),0)</f>
        <v>CCGG</v>
      </c>
      <c r="H262" s="18" t="str">
        <f>IFERROR(VLOOKUP($D262,본공사입.출고현황!$B:$H,H$2080,0),0)</f>
        <v>ф10, 1ton=1,620.7m</v>
      </c>
      <c r="I262" s="56" t="str">
        <f>IFERROR(VLOOKUP($D262,본공사입.출고현황!$B:$H,I$2080,0),0)</f>
        <v>M</v>
      </c>
      <c r="J262" s="9"/>
      <c r="K262" s="9"/>
      <c r="L262" s="37">
        <v>550</v>
      </c>
      <c r="M262" s="64" t="s">
        <v>408</v>
      </c>
      <c r="N262" s="42"/>
    </row>
    <row r="263" spans="1:14" ht="24" customHeight="1">
      <c r="A263" s="8">
        <v>219</v>
      </c>
      <c r="B263" s="9">
        <v>219</v>
      </c>
      <c r="C263" s="46">
        <v>45907</v>
      </c>
      <c r="D263" s="9" t="s">
        <v>406</v>
      </c>
      <c r="E263" s="56" t="str">
        <f>IFERROR(VLOOKUP($D263,본공사입.출고현황!$B:$H,E$2080,0),0)</f>
        <v>Sup't</v>
      </c>
      <c r="F263" s="18" t="str">
        <f>IFERROR(VLOOKUP($D263,본공사입.출고현황!$B:$H,F$2080,0),0)</f>
        <v>Angle 50x50x5</v>
      </c>
      <c r="G263" s="18" t="str">
        <f>IFERROR(VLOOKUP($D263,본공사입.출고현황!$B:$H,G$2080,0),0)</f>
        <v>Angle</v>
      </c>
      <c r="H263" s="18" t="str">
        <f>IFERROR(VLOOKUP($D263,본공사입.출고현황!$B:$H,H$2080,0),0)</f>
        <v>50*50*5</v>
      </c>
      <c r="I263" s="56" t="str">
        <f>IFERROR(VLOOKUP($D263,본공사입.출고현황!$B:$H,I$2080,0),0)</f>
        <v>M</v>
      </c>
      <c r="J263" s="9"/>
      <c r="K263" s="9"/>
      <c r="L263" s="37">
        <v>36</v>
      </c>
      <c r="M263" s="64" t="s">
        <v>420</v>
      </c>
      <c r="N263" s="42"/>
    </row>
    <row r="264" spans="1:14" ht="24" customHeight="1">
      <c r="A264" s="8">
        <v>220</v>
      </c>
      <c r="B264" s="9">
        <v>220</v>
      </c>
      <c r="C264" s="46">
        <v>45907</v>
      </c>
      <c r="D264" s="9" t="s">
        <v>238</v>
      </c>
      <c r="E264" s="56" t="str">
        <f>IFERROR(VLOOKUP($D264,본공사입.출고현황!$B:$H,E$2080,0),0)</f>
        <v>Steel round bar</v>
      </c>
      <c r="F264" s="18" t="str">
        <f>IFERROR(VLOOKUP($D264,본공사입.출고현황!$B:$H,F$2080,0),0)</f>
        <v>Steel round bar(rebar)</v>
      </c>
      <c r="G264" s="18" t="str">
        <f>IFERROR(VLOOKUP($D264,본공사입.출고현황!$B:$H,G$2080,0),0)</f>
        <v>CCGG</v>
      </c>
      <c r="H264" s="18" t="str">
        <f>IFERROR(VLOOKUP($D264,본공사입.출고현황!$B:$H,H$2080,0),0)</f>
        <v>ф10, 1ton=1,620.7m</v>
      </c>
      <c r="I264" s="56" t="str">
        <f>IFERROR(VLOOKUP($D264,본공사입.출고현황!$B:$H,I$2080,0),0)</f>
        <v>M</v>
      </c>
      <c r="J264" s="9"/>
      <c r="K264" s="9"/>
      <c r="L264" s="37">
        <v>200</v>
      </c>
      <c r="M264" s="64" t="s">
        <v>420</v>
      </c>
      <c r="N264" s="42"/>
    </row>
    <row r="265" spans="1:14" ht="24" customHeight="1">
      <c r="A265" s="8">
        <v>221</v>
      </c>
      <c r="B265" s="9">
        <v>221</v>
      </c>
      <c r="C265" s="46">
        <v>45908</v>
      </c>
      <c r="D265" s="9" t="s">
        <v>406</v>
      </c>
      <c r="E265" s="56" t="str">
        <f>IFERROR(VLOOKUP($D265,본공사입.출고현황!$B:$H,E$2080,0),0)</f>
        <v>Sup't</v>
      </c>
      <c r="F265" s="18" t="str">
        <f>IFERROR(VLOOKUP($D265,본공사입.출고현황!$B:$H,F$2080,0),0)</f>
        <v>Angle 50x50x5</v>
      </c>
      <c r="G265" s="18" t="str">
        <f>IFERROR(VLOOKUP($D265,본공사입.출고현황!$B:$H,G$2080,0),0)</f>
        <v>Angle</v>
      </c>
      <c r="H265" s="18" t="str">
        <f>IFERROR(VLOOKUP($D265,본공사입.출고현황!$B:$H,H$2080,0),0)</f>
        <v>50*50*5</v>
      </c>
      <c r="I265" s="56" t="str">
        <f>IFERROR(VLOOKUP($D265,본공사입.출고현황!$B:$H,I$2080,0),0)</f>
        <v>M</v>
      </c>
      <c r="J265" s="9"/>
      <c r="K265" s="9"/>
      <c r="L265" s="37">
        <v>24</v>
      </c>
      <c r="M265" s="64" t="s">
        <v>420</v>
      </c>
      <c r="N265" s="42"/>
    </row>
    <row r="266" spans="1:14" ht="24" customHeight="1">
      <c r="A266" s="8">
        <v>222</v>
      </c>
      <c r="B266" s="9">
        <v>222</v>
      </c>
      <c r="C266" s="46">
        <v>45909</v>
      </c>
      <c r="D266" s="9" t="s">
        <v>406</v>
      </c>
      <c r="E266" s="56" t="str">
        <f>IFERROR(VLOOKUP($D266,본공사입.출고현황!$B:$H,E$2080,0),0)</f>
        <v>Sup't</v>
      </c>
      <c r="F266" s="18" t="str">
        <f>IFERROR(VLOOKUP($D266,본공사입.출고현황!$B:$H,F$2080,0),0)</f>
        <v>Angle 50x50x5</v>
      </c>
      <c r="G266" s="18" t="str">
        <f>IFERROR(VLOOKUP($D266,본공사입.출고현황!$B:$H,G$2080,0),0)</f>
        <v>Angle</v>
      </c>
      <c r="H266" s="18" t="str">
        <f>IFERROR(VLOOKUP($D266,본공사입.출고현황!$B:$H,H$2080,0),0)</f>
        <v>50*50*5</v>
      </c>
      <c r="I266" s="56" t="str">
        <f>IFERROR(VLOOKUP($D266,본공사입.출고현황!$B:$H,I$2080,0),0)</f>
        <v>M</v>
      </c>
      <c r="J266" s="9"/>
      <c r="K266" s="9"/>
      <c r="L266" s="37">
        <v>24</v>
      </c>
      <c r="M266" s="64" t="s">
        <v>420</v>
      </c>
      <c r="N266" s="42"/>
    </row>
    <row r="267" spans="1:14" ht="24" customHeight="1">
      <c r="A267" s="8">
        <v>223</v>
      </c>
      <c r="B267" s="9">
        <v>223</v>
      </c>
      <c r="C267" s="46">
        <v>45910</v>
      </c>
      <c r="D267" s="9" t="s">
        <v>406</v>
      </c>
      <c r="E267" s="56" t="str">
        <f>IFERROR(VLOOKUP($D267,본공사입.출고현황!$B:$H,E$2080,0),0)</f>
        <v>Sup't</v>
      </c>
      <c r="F267" s="18" t="str">
        <f>IFERROR(VLOOKUP($D267,본공사입.출고현황!$B:$H,F$2080,0),0)</f>
        <v>Angle 50x50x5</v>
      </c>
      <c r="G267" s="18" t="str">
        <f>IFERROR(VLOOKUP($D267,본공사입.출고현황!$B:$H,G$2080,0),0)</f>
        <v>Angle</v>
      </c>
      <c r="H267" s="18" t="str">
        <f>IFERROR(VLOOKUP($D267,본공사입.출고현황!$B:$H,H$2080,0),0)</f>
        <v>50*50*5</v>
      </c>
      <c r="I267" s="56" t="str">
        <f>IFERROR(VLOOKUP($D267,본공사입.출고현황!$B:$H,I$2080,0),0)</f>
        <v>M</v>
      </c>
      <c r="J267" s="9"/>
      <c r="K267" s="9"/>
      <c r="L267" s="37">
        <v>12</v>
      </c>
      <c r="M267" s="64" t="s">
        <v>420</v>
      </c>
      <c r="N267" s="42"/>
    </row>
    <row r="268" spans="1:14" ht="24" customHeight="1">
      <c r="A268" s="8">
        <v>224</v>
      </c>
      <c r="B268" s="9">
        <v>224</v>
      </c>
      <c r="C268" s="46">
        <v>45911</v>
      </c>
      <c r="D268" s="9" t="s">
        <v>238</v>
      </c>
      <c r="E268" s="56" t="str">
        <f>IFERROR(VLOOKUP($D268,본공사입.출고현황!$B:$H,E$2080,0),0)</f>
        <v>Steel round bar</v>
      </c>
      <c r="F268" s="18" t="str">
        <f>IFERROR(VLOOKUP($D268,본공사입.출고현황!$B:$H,F$2080,0),0)</f>
        <v>Steel round bar(rebar)</v>
      </c>
      <c r="G268" s="18" t="str">
        <f>IFERROR(VLOOKUP($D268,본공사입.출고현황!$B:$H,G$2080,0),0)</f>
        <v>CCGG</v>
      </c>
      <c r="H268" s="18" t="str">
        <f>IFERROR(VLOOKUP($D268,본공사입.출고현황!$B:$H,H$2080,0),0)</f>
        <v>ф10, 1ton=1,620.7m</v>
      </c>
      <c r="I268" s="56" t="str">
        <f>IFERROR(VLOOKUP($D268,본공사입.출고현황!$B:$H,I$2080,0),0)</f>
        <v>M</v>
      </c>
      <c r="J268" s="9"/>
      <c r="K268" s="9"/>
      <c r="L268" s="37">
        <v>90</v>
      </c>
      <c r="M268" s="64" t="s">
        <v>420</v>
      </c>
      <c r="N268" s="42"/>
    </row>
    <row r="269" spans="1:14" ht="24" customHeight="1">
      <c r="A269" s="8">
        <v>225</v>
      </c>
      <c r="B269" s="9">
        <v>225</v>
      </c>
      <c r="C269" s="46">
        <v>45912</v>
      </c>
      <c r="D269" s="9" t="s">
        <v>407</v>
      </c>
      <c r="E269" s="56" t="str">
        <f>IFERROR(VLOOKUP($D269,본공사입.출고현황!$B:$H,E$2080,0),0)</f>
        <v>Steel round bar</v>
      </c>
      <c r="F269" s="18" t="str">
        <f>IFERROR(VLOOKUP($D269,본공사입.출고현황!$B:$H,F$2080,0),0)</f>
        <v>Steel round bar(rebar)</v>
      </c>
      <c r="G269" s="18" t="str">
        <f>IFERROR(VLOOKUP($D269,본공사입.출고현황!$B:$H,G$2080,0),0)</f>
        <v>CCGG</v>
      </c>
      <c r="H269" s="18" t="str">
        <f>IFERROR(VLOOKUP($D269,본공사입.출고현황!$B:$H,H$2080,0),0)</f>
        <v>ф10, 1ton=1,620.7m</v>
      </c>
      <c r="I269" s="56" t="str">
        <f>IFERROR(VLOOKUP($D269,본공사입.출고현황!$B:$H,I$2080,0),0)</f>
        <v>M</v>
      </c>
      <c r="J269" s="9"/>
      <c r="K269" s="9"/>
      <c r="L269" s="37">
        <v>400</v>
      </c>
      <c r="M269" s="64" t="s">
        <v>408</v>
      </c>
      <c r="N269" s="42"/>
    </row>
    <row r="270" spans="1:14" ht="24" customHeight="1">
      <c r="A270" s="8">
        <v>226</v>
      </c>
      <c r="B270" s="9">
        <v>226</v>
      </c>
      <c r="C270" s="46">
        <v>45914</v>
      </c>
      <c r="D270" s="9" t="s">
        <v>407</v>
      </c>
      <c r="E270" s="56" t="str">
        <f>IFERROR(VLOOKUP($D270,본공사입.출고현황!$B:$H,E$2080,0),0)</f>
        <v>Steel round bar</v>
      </c>
      <c r="F270" s="18" t="str">
        <f>IFERROR(VLOOKUP($D270,본공사입.출고현황!$B:$H,F$2080,0),0)</f>
        <v>Steel round bar(rebar)</v>
      </c>
      <c r="G270" s="18" t="str">
        <f>IFERROR(VLOOKUP($D270,본공사입.출고현황!$B:$H,G$2080,0),0)</f>
        <v>CCGG</v>
      </c>
      <c r="H270" s="18" t="str">
        <f>IFERROR(VLOOKUP($D270,본공사입.출고현황!$B:$H,H$2080,0),0)</f>
        <v>ф10, 1ton=1,620.7m</v>
      </c>
      <c r="I270" s="56" t="str">
        <f>IFERROR(VLOOKUP($D270,본공사입.출고현황!$B:$H,I$2080,0),0)</f>
        <v>M</v>
      </c>
      <c r="J270" s="9"/>
      <c r="K270" s="9"/>
      <c r="L270" s="37">
        <v>500</v>
      </c>
      <c r="M270" s="64" t="s">
        <v>408</v>
      </c>
      <c r="N270" s="42"/>
    </row>
    <row r="271" spans="1:14" ht="24" customHeight="1">
      <c r="A271" s="8">
        <v>227</v>
      </c>
      <c r="B271" s="9">
        <v>227</v>
      </c>
      <c r="C271" s="46">
        <v>45914</v>
      </c>
      <c r="D271" s="9" t="s">
        <v>160</v>
      </c>
      <c r="E271" s="56" t="str">
        <f>IFERROR(VLOOKUP($D271,본공사입.출고현황!$B:$H,E$2080,0),0)</f>
        <v>Conduit Fitting</v>
      </c>
      <c r="F271" s="18" t="str">
        <f>IFERROR(VLOOKUP($D271,본공사입.출고현황!$B:$H,F$2080,0),0)</f>
        <v>Conduit Coupling 80-Ts</v>
      </c>
      <c r="G271" s="18" t="str">
        <f>IFERROR(VLOOKUP($D271,본공사입.출고현황!$B:$H,G$2080,0),0)</f>
        <v>Conduit Coupling</v>
      </c>
      <c r="H271" s="18" t="str">
        <f>IFERROR(VLOOKUP($D271,본공사입.출고현황!$B:$H,H$2080,0),0)</f>
        <v>80-Ts</v>
      </c>
      <c r="I271" s="56" t="str">
        <f>IFERROR(VLOOKUP($D271,본공사입.출고현황!$B:$H,I$2080,0),0)</f>
        <v>EA</v>
      </c>
      <c r="J271" s="9"/>
      <c r="K271" s="9"/>
      <c r="L271" s="37">
        <v>62</v>
      </c>
      <c r="M271" s="64" t="s">
        <v>243</v>
      </c>
      <c r="N271" s="42"/>
    </row>
    <row r="272" spans="1:14" ht="24" customHeight="1">
      <c r="A272" s="8">
        <v>228</v>
      </c>
      <c r="B272" s="9">
        <v>228</v>
      </c>
      <c r="C272" s="46">
        <v>45915</v>
      </c>
      <c r="D272" s="9" t="s">
        <v>407</v>
      </c>
      <c r="E272" s="56" t="str">
        <f>IFERROR(VLOOKUP($D272,본공사입.출고현황!$B:$H,E$2080,0),0)</f>
        <v>Steel round bar</v>
      </c>
      <c r="F272" s="18" t="str">
        <f>IFERROR(VLOOKUP($D272,본공사입.출고현황!$B:$H,F$2080,0),0)</f>
        <v>Steel round bar(rebar)</v>
      </c>
      <c r="G272" s="18" t="str">
        <f>IFERROR(VLOOKUP($D272,본공사입.출고현황!$B:$H,G$2080,0),0)</f>
        <v>CCGG</v>
      </c>
      <c r="H272" s="18" t="str">
        <f>IFERROR(VLOOKUP($D272,본공사입.출고현황!$B:$H,H$2080,0),0)</f>
        <v>ф10, 1ton=1,620.7m</v>
      </c>
      <c r="I272" s="56" t="str">
        <f>IFERROR(VLOOKUP($D272,본공사입.출고현황!$B:$H,I$2080,0),0)</f>
        <v>M</v>
      </c>
      <c r="J272" s="9"/>
      <c r="K272" s="9"/>
      <c r="L272" s="37">
        <v>250</v>
      </c>
      <c r="M272" s="64" t="s">
        <v>408</v>
      </c>
      <c r="N272" s="42"/>
    </row>
    <row r="273" spans="1:14" ht="24" customHeight="1">
      <c r="A273" s="8">
        <v>229</v>
      </c>
      <c r="B273" s="9">
        <v>229</v>
      </c>
      <c r="C273" s="46">
        <v>45917</v>
      </c>
      <c r="D273" s="9" t="s">
        <v>407</v>
      </c>
      <c r="E273" s="56" t="str">
        <f>IFERROR(VLOOKUP($D273,본공사입.출고현황!$B:$H,E$2080,0),0)</f>
        <v>Steel round bar</v>
      </c>
      <c r="F273" s="18" t="str">
        <f>IFERROR(VLOOKUP($D273,본공사입.출고현황!$B:$H,F$2080,0),0)</f>
        <v>Steel round bar(rebar)</v>
      </c>
      <c r="G273" s="18" t="str">
        <f>IFERROR(VLOOKUP($D273,본공사입.출고현황!$B:$H,G$2080,0),0)</f>
        <v>CCGG</v>
      </c>
      <c r="H273" s="18" t="str">
        <f>IFERROR(VLOOKUP($D273,본공사입.출고현황!$B:$H,H$2080,0),0)</f>
        <v>ф10, 1ton=1,620.7m</v>
      </c>
      <c r="I273" s="56" t="str">
        <f>IFERROR(VLOOKUP($D273,본공사입.출고현황!$B:$H,I$2080,0),0)</f>
        <v>M</v>
      </c>
      <c r="J273" s="9"/>
      <c r="K273" s="9"/>
      <c r="L273" s="37">
        <v>300</v>
      </c>
      <c r="M273" s="64" t="s">
        <v>408</v>
      </c>
      <c r="N273" s="42"/>
    </row>
    <row r="274" spans="1:14" ht="24" customHeight="1">
      <c r="A274" s="8">
        <v>230</v>
      </c>
      <c r="B274" s="9">
        <v>230</v>
      </c>
      <c r="C274" s="46">
        <v>45917</v>
      </c>
      <c r="D274" s="9" t="s">
        <v>424</v>
      </c>
      <c r="E274" s="56" t="str">
        <f>IFERROR(VLOOKUP($D274,본공사입.출고현황!$B:$H,E$2080,0),0)</f>
        <v>Angle</v>
      </c>
      <c r="F274" s="18" t="str">
        <f>IFERROR(VLOOKUP($D274,본공사입.출고현황!$B:$H,F$2080,0),0)</f>
        <v>Angle 100x100x10</v>
      </c>
      <c r="G274" s="18" t="str">
        <f>IFERROR(VLOOKUP($D274,본공사입.출고현황!$B:$H,G$2080,0),0)</f>
        <v>CCGG</v>
      </c>
      <c r="H274" s="18" t="str">
        <f>IFERROR(VLOOKUP($D274,본공사입.출고현황!$B:$H,H$2080,0),0)</f>
        <v>100x100x10 (12m)</v>
      </c>
      <c r="I274" s="56" t="str">
        <f>IFERROR(VLOOKUP($D274,본공사입.출고현황!$B:$H,I$2080,0),0)</f>
        <v>M</v>
      </c>
      <c r="J274" s="9"/>
      <c r="K274" s="9"/>
      <c r="L274" s="37">
        <v>6</v>
      </c>
      <c r="M274" s="64" t="s">
        <v>408</v>
      </c>
      <c r="N274" s="42"/>
    </row>
    <row r="275" spans="1:14" ht="24" customHeight="1">
      <c r="A275" s="8">
        <v>231</v>
      </c>
      <c r="B275" s="9">
        <v>231</v>
      </c>
      <c r="C275" s="46">
        <v>45918</v>
      </c>
      <c r="D275" s="9" t="s">
        <v>407</v>
      </c>
      <c r="E275" s="56" t="str">
        <f>IFERROR(VLOOKUP($D275,본공사입.출고현황!$B:$H,E$2080,0),0)</f>
        <v>Steel round bar</v>
      </c>
      <c r="F275" s="18" t="str">
        <f>IFERROR(VLOOKUP($D275,본공사입.출고현황!$B:$H,F$2080,0),0)</f>
        <v>Steel round bar(rebar)</v>
      </c>
      <c r="G275" s="18" t="str">
        <f>IFERROR(VLOOKUP($D275,본공사입.출고현황!$B:$H,G$2080,0),0)</f>
        <v>CCGG</v>
      </c>
      <c r="H275" s="18" t="str">
        <f>IFERROR(VLOOKUP($D275,본공사입.출고현황!$B:$H,H$2080,0),0)</f>
        <v>ф10, 1ton=1,620.7m</v>
      </c>
      <c r="I275" s="56" t="str">
        <f>IFERROR(VLOOKUP($D275,본공사입.출고현황!$B:$H,I$2080,0),0)</f>
        <v>M</v>
      </c>
      <c r="J275" s="9"/>
      <c r="K275" s="9"/>
      <c r="L275" s="37">
        <v>150</v>
      </c>
      <c r="M275" s="64" t="s">
        <v>408</v>
      </c>
      <c r="N275" s="42"/>
    </row>
    <row r="276" spans="1:14" ht="24" customHeight="1">
      <c r="A276" s="8">
        <v>232</v>
      </c>
      <c r="B276" s="9">
        <v>232</v>
      </c>
      <c r="C276" s="46">
        <v>45919</v>
      </c>
      <c r="D276" s="9" t="s">
        <v>407</v>
      </c>
      <c r="E276" s="56" t="str">
        <f>IFERROR(VLOOKUP($D276,본공사입.출고현황!$B:$H,E$2080,0),0)</f>
        <v>Steel round bar</v>
      </c>
      <c r="F276" s="18" t="str">
        <f>IFERROR(VLOOKUP($D276,본공사입.출고현황!$B:$H,F$2080,0),0)</f>
        <v>Steel round bar(rebar)</v>
      </c>
      <c r="G276" s="18" t="str">
        <f>IFERROR(VLOOKUP($D276,본공사입.출고현황!$B:$H,G$2080,0),0)</f>
        <v>CCGG</v>
      </c>
      <c r="H276" s="18" t="str">
        <f>IFERROR(VLOOKUP($D276,본공사입.출고현황!$B:$H,H$2080,0),0)</f>
        <v>ф10, 1ton=1,620.7m</v>
      </c>
      <c r="I276" s="56" t="str">
        <f>IFERROR(VLOOKUP($D276,본공사입.출고현황!$B:$H,I$2080,0),0)</f>
        <v>M</v>
      </c>
      <c r="J276" s="9"/>
      <c r="K276" s="9"/>
      <c r="L276" s="37">
        <v>250</v>
      </c>
      <c r="M276" s="64" t="s">
        <v>408</v>
      </c>
      <c r="N276" s="42"/>
    </row>
    <row r="277" spans="1:14" ht="24" customHeight="1">
      <c r="A277" s="8">
        <v>233</v>
      </c>
      <c r="B277" s="9">
        <v>233</v>
      </c>
      <c r="C277" s="46">
        <v>45919</v>
      </c>
      <c r="D277" s="9" t="s">
        <v>424</v>
      </c>
      <c r="E277" s="56" t="str">
        <f>IFERROR(VLOOKUP($D277,본공사입.출고현황!$B:$H,E$2080,0),0)</f>
        <v>Angle</v>
      </c>
      <c r="F277" s="18" t="str">
        <f>IFERROR(VLOOKUP($D277,본공사입.출고현황!$B:$H,F$2080,0),0)</f>
        <v>Angle 100x100x10</v>
      </c>
      <c r="G277" s="18" t="str">
        <f>IFERROR(VLOOKUP($D277,본공사입.출고현황!$B:$H,G$2080,0),0)</f>
        <v>CCGG</v>
      </c>
      <c r="H277" s="18" t="str">
        <f>IFERROR(VLOOKUP($D277,본공사입.출고현황!$B:$H,H$2080,0),0)</f>
        <v>100x100x10 (12m)</v>
      </c>
      <c r="I277" s="56" t="str">
        <f>IFERROR(VLOOKUP($D277,본공사입.출고현황!$B:$H,I$2080,0),0)</f>
        <v>M</v>
      </c>
      <c r="J277" s="9"/>
      <c r="K277" s="9"/>
      <c r="L277" s="37">
        <v>12</v>
      </c>
      <c r="M277" s="64" t="s">
        <v>408</v>
      </c>
      <c r="N277" s="42"/>
    </row>
    <row r="278" spans="1:14" ht="24" customHeight="1">
      <c r="A278" s="8">
        <v>234</v>
      </c>
      <c r="B278" s="9">
        <v>234</v>
      </c>
      <c r="C278" s="46">
        <v>45920</v>
      </c>
      <c r="D278" s="9" t="s">
        <v>407</v>
      </c>
      <c r="E278" s="56" t="str">
        <f>IFERROR(VLOOKUP($D278,본공사입.출고현황!$B:$H,E$2080,0),0)</f>
        <v>Steel round bar</v>
      </c>
      <c r="F278" s="18" t="str">
        <f>IFERROR(VLOOKUP($D278,본공사입.출고현황!$B:$H,F$2080,0),0)</f>
        <v>Steel round bar(rebar)</v>
      </c>
      <c r="G278" s="18" t="str">
        <f>IFERROR(VLOOKUP($D278,본공사입.출고현황!$B:$H,G$2080,0),0)</f>
        <v>CCGG</v>
      </c>
      <c r="H278" s="18" t="str">
        <f>IFERROR(VLOOKUP($D278,본공사입.출고현황!$B:$H,H$2080,0),0)</f>
        <v>ф10, 1ton=1,620.7m</v>
      </c>
      <c r="I278" s="56" t="str">
        <f>IFERROR(VLOOKUP($D278,본공사입.출고현황!$B:$H,I$2080,0),0)</f>
        <v>M</v>
      </c>
      <c r="J278" s="9"/>
      <c r="K278" s="9"/>
      <c r="L278" s="37">
        <v>150</v>
      </c>
      <c r="M278" s="64" t="s">
        <v>408</v>
      </c>
      <c r="N278" s="42"/>
    </row>
    <row r="279" spans="1:14" ht="24" customHeight="1">
      <c r="A279" s="8">
        <v>235</v>
      </c>
      <c r="B279" s="9">
        <v>235</v>
      </c>
      <c r="C279" s="46">
        <v>45920</v>
      </c>
      <c r="D279" s="9" t="s">
        <v>424</v>
      </c>
      <c r="E279" s="56" t="str">
        <f>IFERROR(VLOOKUP($D279,본공사입.출고현황!$B:$H,E$2080,0),0)</f>
        <v>Angle</v>
      </c>
      <c r="F279" s="18" t="str">
        <f>IFERROR(VLOOKUP($D279,본공사입.출고현황!$B:$H,F$2080,0),0)</f>
        <v>Angle 100x100x10</v>
      </c>
      <c r="G279" s="18" t="str">
        <f>IFERROR(VLOOKUP($D279,본공사입.출고현황!$B:$H,G$2080,0),0)</f>
        <v>CCGG</v>
      </c>
      <c r="H279" s="18" t="str">
        <f>IFERROR(VLOOKUP($D279,본공사입.출고현황!$B:$H,H$2080,0),0)</f>
        <v>100x100x10 (12m)</v>
      </c>
      <c r="I279" s="56" t="str">
        <f>IFERROR(VLOOKUP($D279,본공사입.출고현황!$B:$H,I$2080,0),0)</f>
        <v>M</v>
      </c>
      <c r="J279" s="9"/>
      <c r="K279" s="9"/>
      <c r="L279" s="37">
        <v>12</v>
      </c>
      <c r="M279" s="64" t="s">
        <v>408</v>
      </c>
      <c r="N279" s="42"/>
    </row>
    <row r="280" spans="1:14" ht="24" customHeight="1">
      <c r="A280" s="8">
        <v>236</v>
      </c>
      <c r="B280" s="9">
        <v>236</v>
      </c>
      <c r="C280" s="46">
        <v>45921</v>
      </c>
      <c r="D280" s="9" t="s">
        <v>407</v>
      </c>
      <c r="E280" s="56" t="str">
        <f>IFERROR(VLOOKUP($D280,본공사입.출고현황!$B:$H,E$2080,0),0)</f>
        <v>Steel round bar</v>
      </c>
      <c r="F280" s="18" t="str">
        <f>IFERROR(VLOOKUP($D280,본공사입.출고현황!$B:$H,F$2080,0),0)</f>
        <v>Steel round bar(rebar)</v>
      </c>
      <c r="G280" s="18" t="str">
        <f>IFERROR(VLOOKUP($D280,본공사입.출고현황!$B:$H,G$2080,0),0)</f>
        <v>CCGG</v>
      </c>
      <c r="H280" s="18" t="str">
        <f>IFERROR(VLOOKUP($D280,본공사입.출고현황!$B:$H,H$2080,0),0)</f>
        <v>ф10, 1ton=1,620.7m</v>
      </c>
      <c r="I280" s="56" t="str">
        <f>IFERROR(VLOOKUP($D280,본공사입.출고현황!$B:$H,I$2080,0),0)</f>
        <v>M</v>
      </c>
      <c r="J280" s="9"/>
      <c r="K280" s="9"/>
      <c r="L280" s="37">
        <v>300</v>
      </c>
      <c r="M280" s="64" t="s">
        <v>408</v>
      </c>
      <c r="N280" s="42"/>
    </row>
    <row r="281" spans="1:14" ht="24" customHeight="1">
      <c r="A281" s="8">
        <v>237</v>
      </c>
      <c r="B281" s="9">
        <v>237</v>
      </c>
      <c r="C281" s="46">
        <v>45922</v>
      </c>
      <c r="D281" s="9" t="s">
        <v>407</v>
      </c>
      <c r="E281" s="56" t="str">
        <f>IFERROR(VLOOKUP($D281,본공사입.출고현황!$B:$H,E$2080,0),0)</f>
        <v>Steel round bar</v>
      </c>
      <c r="F281" s="18" t="str">
        <f>IFERROR(VLOOKUP($D281,본공사입.출고현황!$B:$H,F$2080,0),0)</f>
        <v>Steel round bar(rebar)</v>
      </c>
      <c r="G281" s="18" t="str">
        <f>IFERROR(VLOOKUP($D281,본공사입.출고현황!$B:$H,G$2080,0),0)</f>
        <v>CCGG</v>
      </c>
      <c r="H281" s="18" t="str">
        <f>IFERROR(VLOOKUP($D281,본공사입.출고현황!$B:$H,H$2080,0),0)</f>
        <v>ф10, 1ton=1,620.7m</v>
      </c>
      <c r="I281" s="56" t="str">
        <f>IFERROR(VLOOKUP($D281,본공사입.출고현황!$B:$H,I$2080,0),0)</f>
        <v>M</v>
      </c>
      <c r="J281" s="9"/>
      <c r="K281" s="9"/>
      <c r="L281" s="37">
        <v>400</v>
      </c>
      <c r="M281" s="64" t="s">
        <v>408</v>
      </c>
      <c r="N281" s="42"/>
    </row>
    <row r="282" spans="1:14" ht="24" customHeight="1">
      <c r="A282" s="8">
        <v>238</v>
      </c>
      <c r="B282" s="9">
        <v>238</v>
      </c>
      <c r="C282" s="46">
        <v>45923</v>
      </c>
      <c r="D282" s="9" t="s">
        <v>407</v>
      </c>
      <c r="E282" s="56" t="str">
        <f>IFERROR(VLOOKUP($D282,본공사입.출고현황!$B:$H,E$2080,0),0)</f>
        <v>Steel round bar</v>
      </c>
      <c r="F282" s="18" t="str">
        <f>IFERROR(VLOOKUP($D282,본공사입.출고현황!$B:$H,F$2080,0),0)</f>
        <v>Steel round bar(rebar)</v>
      </c>
      <c r="G282" s="18" t="str">
        <f>IFERROR(VLOOKUP($D282,본공사입.출고현황!$B:$H,G$2080,0),0)</f>
        <v>CCGG</v>
      </c>
      <c r="H282" s="18" t="str">
        <f>IFERROR(VLOOKUP($D282,본공사입.출고현황!$B:$H,H$2080,0),0)</f>
        <v>ф10, 1ton=1,620.7m</v>
      </c>
      <c r="I282" s="56" t="str">
        <f>IFERROR(VLOOKUP($D282,본공사입.출고현황!$B:$H,I$2080,0),0)</f>
        <v>M</v>
      </c>
      <c r="J282" s="9"/>
      <c r="K282" s="9"/>
      <c r="L282" s="37">
        <v>500</v>
      </c>
      <c r="M282" s="64" t="s">
        <v>408</v>
      </c>
      <c r="N282" s="42"/>
    </row>
    <row r="283" spans="1:14" ht="24" customHeight="1">
      <c r="A283" s="8">
        <v>239</v>
      </c>
      <c r="B283" s="9">
        <v>239</v>
      </c>
      <c r="C283" s="46">
        <v>45924</v>
      </c>
      <c r="D283" s="9" t="s">
        <v>424</v>
      </c>
      <c r="E283" s="56" t="str">
        <f>IFERROR(VLOOKUP($D283,본공사입.출고현황!$B:$H,E$2080,0),0)</f>
        <v>Angle</v>
      </c>
      <c r="F283" s="18" t="str">
        <f>IFERROR(VLOOKUP($D283,본공사입.출고현황!$B:$H,F$2080,0),0)</f>
        <v>Angle 100x100x10</v>
      </c>
      <c r="G283" s="18" t="str">
        <f>IFERROR(VLOOKUP($D283,본공사입.출고현황!$B:$H,G$2080,0),0)</f>
        <v>CCGG</v>
      </c>
      <c r="H283" s="18" t="str">
        <f>IFERROR(VLOOKUP($D283,본공사입.출고현황!$B:$H,H$2080,0),0)</f>
        <v>100x100x10 (12m)</v>
      </c>
      <c r="I283" s="56" t="str">
        <f>IFERROR(VLOOKUP($D283,본공사입.출고현황!$B:$H,I$2080,0),0)</f>
        <v>M</v>
      </c>
      <c r="J283" s="9"/>
      <c r="K283" s="9"/>
      <c r="L283" s="37">
        <v>12</v>
      </c>
      <c r="M283" s="64" t="s">
        <v>408</v>
      </c>
      <c r="N283" s="42"/>
    </row>
    <row r="284" spans="1:14" ht="24" customHeight="1">
      <c r="A284" s="8">
        <v>240</v>
      </c>
      <c r="B284" s="9">
        <v>240</v>
      </c>
      <c r="C284" s="46">
        <v>45924</v>
      </c>
      <c r="D284" s="9" t="s">
        <v>407</v>
      </c>
      <c r="E284" s="56" t="str">
        <f>IFERROR(VLOOKUP($D284,본공사입.출고현황!$B:$H,E$2080,0),0)</f>
        <v>Steel round bar</v>
      </c>
      <c r="F284" s="18" t="str">
        <f>IFERROR(VLOOKUP($D284,본공사입.출고현황!$B:$H,F$2080,0),0)</f>
        <v>Steel round bar(rebar)</v>
      </c>
      <c r="G284" s="18" t="str">
        <f>IFERROR(VLOOKUP($D284,본공사입.출고현황!$B:$H,G$2080,0),0)</f>
        <v>CCGG</v>
      </c>
      <c r="H284" s="18" t="str">
        <f>IFERROR(VLOOKUP($D284,본공사입.출고현황!$B:$H,H$2080,0),0)</f>
        <v>ф10, 1ton=1,620.7m</v>
      </c>
      <c r="I284" s="56" t="str">
        <f>IFERROR(VLOOKUP($D284,본공사입.출고현황!$B:$H,I$2080,0),0)</f>
        <v>M</v>
      </c>
      <c r="J284" s="9"/>
      <c r="K284" s="9"/>
      <c r="L284" s="37">
        <v>300</v>
      </c>
      <c r="M284" s="64" t="s">
        <v>408</v>
      </c>
      <c r="N284" s="42"/>
    </row>
    <row r="285" spans="1:14" ht="24" customHeight="1">
      <c r="A285" s="8">
        <v>241</v>
      </c>
      <c r="B285" s="9">
        <v>241</v>
      </c>
      <c r="C285" s="46">
        <v>45925</v>
      </c>
      <c r="D285" s="9" t="s">
        <v>407</v>
      </c>
      <c r="E285" s="56" t="str">
        <f>IFERROR(VLOOKUP($D285,본공사입.출고현황!$B:$H,E$2080,0),0)</f>
        <v>Steel round bar</v>
      </c>
      <c r="F285" s="18" t="str">
        <f>IFERROR(VLOOKUP($D285,본공사입.출고현황!$B:$H,F$2080,0),0)</f>
        <v>Steel round bar(rebar)</v>
      </c>
      <c r="G285" s="18" t="str">
        <f>IFERROR(VLOOKUP($D285,본공사입.출고현황!$B:$H,G$2080,0),0)</f>
        <v>CCGG</v>
      </c>
      <c r="H285" s="18" t="str">
        <f>IFERROR(VLOOKUP($D285,본공사입.출고현황!$B:$H,H$2080,0),0)</f>
        <v>ф10, 1ton=1,620.7m</v>
      </c>
      <c r="I285" s="56" t="str">
        <f>IFERROR(VLOOKUP($D285,본공사입.출고현황!$B:$H,I$2080,0),0)</f>
        <v>M</v>
      </c>
      <c r="J285" s="9"/>
      <c r="K285" s="9"/>
      <c r="L285" s="37">
        <v>670</v>
      </c>
      <c r="M285" s="64" t="s">
        <v>358</v>
      </c>
      <c r="N285" s="42"/>
    </row>
    <row r="286" spans="1:14" ht="24" customHeight="1">
      <c r="A286" s="8">
        <v>242</v>
      </c>
      <c r="B286" s="9">
        <v>242</v>
      </c>
      <c r="C286" s="46">
        <v>45926</v>
      </c>
      <c r="D286" s="9" t="s">
        <v>407</v>
      </c>
      <c r="E286" s="56" t="str">
        <f>IFERROR(VLOOKUP($D286,본공사입.출고현황!$B:$H,E$2080,0),0)</f>
        <v>Steel round bar</v>
      </c>
      <c r="F286" s="18" t="str">
        <f>IFERROR(VLOOKUP($D286,본공사입.출고현황!$B:$H,F$2080,0),0)</f>
        <v>Steel round bar(rebar)</v>
      </c>
      <c r="G286" s="18" t="str">
        <f>IFERROR(VLOOKUP($D286,본공사입.출고현황!$B:$H,G$2080,0),0)</f>
        <v>CCGG</v>
      </c>
      <c r="H286" s="18" t="str">
        <f>IFERROR(VLOOKUP($D286,본공사입.출고현황!$B:$H,H$2080,0),0)</f>
        <v>ф10, 1ton=1,620.7m</v>
      </c>
      <c r="I286" s="56" t="str">
        <f>IFERROR(VLOOKUP($D286,본공사입.출고현황!$B:$H,I$2080,0),0)</f>
        <v>M</v>
      </c>
      <c r="J286" s="9"/>
      <c r="K286" s="9"/>
      <c r="L286" s="37">
        <v>750</v>
      </c>
      <c r="M286" s="64" t="s">
        <v>358</v>
      </c>
      <c r="N286" s="42"/>
    </row>
    <row r="287" spans="1:14" ht="24" customHeight="1">
      <c r="A287" s="8">
        <v>243</v>
      </c>
      <c r="B287" s="9">
        <v>243</v>
      </c>
      <c r="C287" s="46">
        <v>45927</v>
      </c>
      <c r="D287" s="9" t="s">
        <v>424</v>
      </c>
      <c r="E287" s="56" t="str">
        <f>IFERROR(VLOOKUP($D287,본공사입.출고현황!$B:$H,E$2080,0),0)</f>
        <v>Angle</v>
      </c>
      <c r="F287" s="18" t="str">
        <f>IFERROR(VLOOKUP($D287,본공사입.출고현황!$B:$H,F$2080,0),0)</f>
        <v>Angle 100x100x10</v>
      </c>
      <c r="G287" s="18" t="str">
        <f>IFERROR(VLOOKUP($D287,본공사입.출고현황!$B:$H,G$2080,0),0)</f>
        <v>CCGG</v>
      </c>
      <c r="H287" s="18" t="str">
        <f>IFERROR(VLOOKUP($D287,본공사입.출고현황!$B:$H,H$2080,0),0)</f>
        <v>100x100x10 (12m)</v>
      </c>
      <c r="I287" s="56" t="str">
        <f>IFERROR(VLOOKUP($D287,본공사입.출고현황!$B:$H,I$2080,0),0)</f>
        <v>M</v>
      </c>
      <c r="J287" s="9"/>
      <c r="K287" s="9"/>
      <c r="L287" s="37">
        <v>12</v>
      </c>
      <c r="M287" s="64" t="s">
        <v>408</v>
      </c>
      <c r="N287" s="42"/>
    </row>
    <row r="288" spans="1:14" ht="24" customHeight="1">
      <c r="A288" s="8">
        <v>244</v>
      </c>
      <c r="B288" s="9">
        <v>244</v>
      </c>
      <c r="C288" s="46">
        <v>45929</v>
      </c>
      <c r="D288" s="9" t="s">
        <v>407</v>
      </c>
      <c r="E288" s="56" t="str">
        <f>IFERROR(VLOOKUP($D288,본공사입.출고현황!$B:$H,E$2080,0),0)</f>
        <v>Steel round bar</v>
      </c>
      <c r="F288" s="18" t="str">
        <f>IFERROR(VLOOKUP($D288,본공사입.출고현황!$B:$H,F$2080,0),0)</f>
        <v>Steel round bar(rebar)</v>
      </c>
      <c r="G288" s="18" t="str">
        <f>IFERROR(VLOOKUP($D288,본공사입.출고현황!$B:$H,G$2080,0),0)</f>
        <v>CCGG</v>
      </c>
      <c r="H288" s="18" t="str">
        <f>IFERROR(VLOOKUP($D288,본공사입.출고현황!$B:$H,H$2080,0),0)</f>
        <v>ф10, 1ton=1,620.7m</v>
      </c>
      <c r="I288" s="56" t="str">
        <f>IFERROR(VLOOKUP($D288,본공사입.출고현황!$B:$H,I$2080,0),0)</f>
        <v>M</v>
      </c>
      <c r="J288" s="9">
        <v>1</v>
      </c>
      <c r="K288" s="9" t="s">
        <v>352</v>
      </c>
      <c r="L288" s="37">
        <v>175</v>
      </c>
      <c r="M288" s="64" t="s">
        <v>408</v>
      </c>
      <c r="N288" s="42"/>
    </row>
    <row r="289" spans="1:14" ht="24" customHeight="1">
      <c r="A289" s="8">
        <v>245</v>
      </c>
      <c r="B289" s="9">
        <v>245</v>
      </c>
      <c r="C289" s="46">
        <v>45929</v>
      </c>
      <c r="D289" s="9" t="s">
        <v>160</v>
      </c>
      <c r="E289" s="56" t="str">
        <f>IFERROR(VLOOKUP($D289,본공사입.출고현황!$B:$H,E$2080,0),0)</f>
        <v>Conduit Fitting</v>
      </c>
      <c r="F289" s="18" t="str">
        <f>IFERROR(VLOOKUP($D289,본공사입.출고현황!$B:$H,F$2080,0),0)</f>
        <v>Conduit Coupling 80-Ts</v>
      </c>
      <c r="G289" s="18" t="str">
        <f>IFERROR(VLOOKUP($D289,본공사입.출고현황!$B:$H,G$2080,0),0)</f>
        <v>Conduit Coupling</v>
      </c>
      <c r="H289" s="18" t="str">
        <f>IFERROR(VLOOKUP($D289,본공사입.출고현황!$B:$H,H$2080,0),0)</f>
        <v>80-Ts</v>
      </c>
      <c r="I289" s="56" t="str">
        <f>IFERROR(VLOOKUP($D289,본공사입.출고현황!$B:$H,I$2080,0),0)</f>
        <v>EA</v>
      </c>
      <c r="J289" s="9"/>
      <c r="K289" s="9"/>
      <c r="L289" s="37">
        <f>21+54</f>
        <v>75</v>
      </c>
      <c r="M289" s="64" t="s">
        <v>243</v>
      </c>
      <c r="N289" s="42"/>
    </row>
    <row r="290" spans="1:14" ht="24" customHeight="1">
      <c r="A290" s="8">
        <v>246</v>
      </c>
      <c r="B290" s="9">
        <v>246</v>
      </c>
      <c r="C290" s="46">
        <v>45929</v>
      </c>
      <c r="D290" s="9" t="s">
        <v>407</v>
      </c>
      <c r="E290" s="56" t="str">
        <f>IFERROR(VLOOKUP($D290,본공사입.출고현황!$B:$H,E$2080,0),0)</f>
        <v>Steel round bar</v>
      </c>
      <c r="F290" s="18" t="str">
        <f>IFERROR(VLOOKUP($D290,본공사입.출고현황!$B:$H,F$2080,0),0)</f>
        <v>Steel round bar(rebar)</v>
      </c>
      <c r="G290" s="18" t="str">
        <f>IFERROR(VLOOKUP($D290,본공사입.출고현황!$B:$H,G$2080,0),0)</f>
        <v>CCGG</v>
      </c>
      <c r="H290" s="18" t="str">
        <f>IFERROR(VLOOKUP($D290,본공사입.출고현황!$B:$H,H$2080,0),0)</f>
        <v>ф10, 1ton=1,620.7m</v>
      </c>
      <c r="I290" s="56" t="str">
        <f>IFERROR(VLOOKUP($D290,본공사입.출고현황!$B:$H,I$2080,0),0)</f>
        <v>M</v>
      </c>
      <c r="J290" s="9">
        <v>1</v>
      </c>
      <c r="K290" s="9" t="s">
        <v>545</v>
      </c>
      <c r="L290" s="37">
        <v>25</v>
      </c>
      <c r="M290" s="64" t="s">
        <v>408</v>
      </c>
      <c r="N290" s="42"/>
    </row>
    <row r="291" spans="1:14" ht="24" customHeight="1">
      <c r="A291" s="8">
        <v>247</v>
      </c>
      <c r="B291" s="9">
        <v>247</v>
      </c>
      <c r="C291" s="46">
        <v>45929</v>
      </c>
      <c r="D291" s="9" t="s">
        <v>407</v>
      </c>
      <c r="E291" s="56" t="str">
        <f>IFERROR(VLOOKUP($D291,본공사입.출고현황!$B:$H,E$2080,0),0)</f>
        <v>Steel round bar</v>
      </c>
      <c r="F291" s="18" t="str">
        <f>IFERROR(VLOOKUP($D291,본공사입.출고현황!$B:$H,F$2080,0),0)</f>
        <v>Steel round bar(rebar)</v>
      </c>
      <c r="G291" s="18" t="str">
        <f>IFERROR(VLOOKUP($D291,본공사입.출고현황!$B:$H,G$2080,0),0)</f>
        <v>CCGG</v>
      </c>
      <c r="H291" s="18" t="str">
        <f>IFERROR(VLOOKUP($D291,본공사입.출고현황!$B:$H,H$2080,0),0)</f>
        <v>ф10, 1ton=1,620.7m</v>
      </c>
      <c r="I291" s="56" t="str">
        <f>IFERROR(VLOOKUP($D291,본공사입.출고현황!$B:$H,I$2080,0),0)</f>
        <v>M</v>
      </c>
      <c r="J291" s="9">
        <v>2</v>
      </c>
      <c r="K291" s="9" t="s">
        <v>546</v>
      </c>
      <c r="L291" s="37">
        <v>45</v>
      </c>
      <c r="M291" s="64" t="s">
        <v>408</v>
      </c>
      <c r="N291" s="42"/>
    </row>
    <row r="292" spans="1:14" ht="24" customHeight="1">
      <c r="A292" s="8">
        <v>248</v>
      </c>
      <c r="B292" s="9">
        <v>248</v>
      </c>
      <c r="C292" s="46">
        <v>45929</v>
      </c>
      <c r="D292" s="9" t="s">
        <v>407</v>
      </c>
      <c r="E292" s="56" t="str">
        <f>IFERROR(VLOOKUP($D292,본공사입.출고현황!$B:$H,E$2080,0),0)</f>
        <v>Steel round bar</v>
      </c>
      <c r="F292" s="18" t="str">
        <f>IFERROR(VLOOKUP($D292,본공사입.출고현황!$B:$H,F$2080,0),0)</f>
        <v>Steel round bar(rebar)</v>
      </c>
      <c r="G292" s="18" t="str">
        <f>IFERROR(VLOOKUP($D292,본공사입.출고현황!$B:$H,G$2080,0),0)</f>
        <v>CCGG</v>
      </c>
      <c r="H292" s="18" t="str">
        <f>IFERROR(VLOOKUP($D292,본공사입.출고현황!$B:$H,H$2080,0),0)</f>
        <v>ф10, 1ton=1,620.7m</v>
      </c>
      <c r="I292" s="56" t="str">
        <f>IFERROR(VLOOKUP($D292,본공사입.출고현황!$B:$H,I$2080,0),0)</f>
        <v>M</v>
      </c>
      <c r="J292" s="9">
        <v>2</v>
      </c>
      <c r="K292" s="9" t="s">
        <v>360</v>
      </c>
      <c r="L292" s="37">
        <v>45</v>
      </c>
      <c r="M292" s="64" t="s">
        <v>408</v>
      </c>
      <c r="N292" s="42"/>
    </row>
    <row r="293" spans="1:14" ht="24" customHeight="1">
      <c r="A293" s="8">
        <v>249</v>
      </c>
      <c r="B293" s="9">
        <v>249</v>
      </c>
      <c r="C293" s="46">
        <v>45929</v>
      </c>
      <c r="D293" s="9" t="s">
        <v>407</v>
      </c>
      <c r="E293" s="56" t="str">
        <f>IFERROR(VLOOKUP($D293,본공사입.출고현황!$B:$H,E$2080,0),0)</f>
        <v>Steel round bar</v>
      </c>
      <c r="F293" s="18" t="str">
        <f>IFERROR(VLOOKUP($D293,본공사입.출고현황!$B:$H,F$2080,0),0)</f>
        <v>Steel round bar(rebar)</v>
      </c>
      <c r="G293" s="18" t="str">
        <f>IFERROR(VLOOKUP($D293,본공사입.출고현황!$B:$H,G$2080,0),0)</f>
        <v>CCGG</v>
      </c>
      <c r="H293" s="18" t="str">
        <f>IFERROR(VLOOKUP($D293,본공사입.출고현황!$B:$H,H$2080,0),0)</f>
        <v>ф10, 1ton=1,620.7m</v>
      </c>
      <c r="I293" s="56" t="str">
        <f>IFERROR(VLOOKUP($D293,본공사입.출고현황!$B:$H,I$2080,0),0)</f>
        <v>M</v>
      </c>
      <c r="J293" s="9">
        <v>4</v>
      </c>
      <c r="K293" s="9" t="s">
        <v>359</v>
      </c>
      <c r="L293" s="37">
        <v>25</v>
      </c>
      <c r="M293" s="64" t="s">
        <v>408</v>
      </c>
      <c r="N293" s="42"/>
    </row>
    <row r="294" spans="1:14" ht="24" customHeight="1">
      <c r="A294" s="8">
        <v>250</v>
      </c>
      <c r="B294" s="9">
        <v>250</v>
      </c>
      <c r="C294" s="46">
        <v>45929</v>
      </c>
      <c r="D294" s="9" t="s">
        <v>407</v>
      </c>
      <c r="E294" s="56" t="str">
        <f>IFERROR(VLOOKUP($D294,본공사입.출고현황!$B:$H,E$2080,0),0)</f>
        <v>Steel round bar</v>
      </c>
      <c r="F294" s="18" t="str">
        <f>IFERROR(VLOOKUP($D294,본공사입.출고현황!$B:$H,F$2080,0),0)</f>
        <v>Steel round bar(rebar)</v>
      </c>
      <c r="G294" s="18" t="str">
        <f>IFERROR(VLOOKUP($D294,본공사입.출고현황!$B:$H,G$2080,0),0)</f>
        <v>CCGG</v>
      </c>
      <c r="H294" s="18" t="str">
        <f>IFERROR(VLOOKUP($D294,본공사입.출고현황!$B:$H,H$2080,0),0)</f>
        <v>ф10, 1ton=1,620.7m</v>
      </c>
      <c r="I294" s="56" t="str">
        <f>IFERROR(VLOOKUP($D294,본공사입.출고현황!$B:$H,I$2080,0),0)</f>
        <v>M</v>
      </c>
      <c r="J294" s="9">
        <v>1</v>
      </c>
      <c r="K294" s="9" t="s">
        <v>547</v>
      </c>
      <c r="L294" s="37">
        <v>45</v>
      </c>
      <c r="M294" s="64" t="s">
        <v>408</v>
      </c>
      <c r="N294" s="42"/>
    </row>
    <row r="295" spans="1:14" ht="24" customHeight="1">
      <c r="A295" s="8">
        <v>251</v>
      </c>
      <c r="B295" s="9">
        <v>251</v>
      </c>
      <c r="C295" s="46">
        <v>45930</v>
      </c>
      <c r="D295" s="9" t="s">
        <v>407</v>
      </c>
      <c r="E295" s="56" t="str">
        <f>IFERROR(VLOOKUP($D295,본공사입.출고현황!$B:$H,E$2080,0),0)</f>
        <v>Steel round bar</v>
      </c>
      <c r="F295" s="18" t="str">
        <f>IFERROR(VLOOKUP($D295,본공사입.출고현황!$B:$H,F$2080,0),0)</f>
        <v>Steel round bar(rebar)</v>
      </c>
      <c r="G295" s="18" t="str">
        <f>IFERROR(VLOOKUP($D295,본공사입.출고현황!$B:$H,G$2080,0),0)</f>
        <v>CCGG</v>
      </c>
      <c r="H295" s="18" t="str">
        <f>IFERROR(VLOOKUP($D295,본공사입.출고현황!$B:$H,H$2080,0),0)</f>
        <v>ф10, 1ton=1,620.7m</v>
      </c>
      <c r="I295" s="56" t="str">
        <f>IFERROR(VLOOKUP($D295,본공사입.출고현황!$B:$H,I$2080,0),0)</f>
        <v>M</v>
      </c>
      <c r="J295" s="9">
        <v>2</v>
      </c>
      <c r="K295" s="9" t="s">
        <v>241</v>
      </c>
      <c r="L295" s="37">
        <v>32.5</v>
      </c>
      <c r="M295" s="64" t="s">
        <v>408</v>
      </c>
      <c r="N295" s="42"/>
    </row>
    <row r="296" spans="1:14" ht="24" customHeight="1">
      <c r="A296" s="8">
        <v>252</v>
      </c>
      <c r="B296" s="9">
        <v>252</v>
      </c>
      <c r="C296" s="46">
        <v>45930</v>
      </c>
      <c r="D296" s="9" t="s">
        <v>407</v>
      </c>
      <c r="E296" s="56" t="str">
        <f>IFERROR(VLOOKUP($D296,본공사입.출고현황!$B:$H,E$2080,0),0)</f>
        <v>Steel round bar</v>
      </c>
      <c r="F296" s="18" t="str">
        <f>IFERROR(VLOOKUP($D296,본공사입.출고현황!$B:$H,F$2080,0),0)</f>
        <v>Steel round bar(rebar)</v>
      </c>
      <c r="G296" s="18" t="str">
        <f>IFERROR(VLOOKUP($D296,본공사입.출고현황!$B:$H,G$2080,0),0)</f>
        <v>CCGG</v>
      </c>
      <c r="H296" s="18" t="str">
        <f>IFERROR(VLOOKUP($D296,본공사입.출고현황!$B:$H,H$2080,0),0)</f>
        <v>ф10, 1ton=1,620.7m</v>
      </c>
      <c r="I296" s="56" t="str">
        <f>IFERROR(VLOOKUP($D296,본공사입.출고현황!$B:$H,I$2080,0),0)</f>
        <v>M</v>
      </c>
      <c r="J296" s="9">
        <v>1</v>
      </c>
      <c r="K296" s="9" t="s">
        <v>363</v>
      </c>
      <c r="L296" s="37">
        <v>62.5</v>
      </c>
      <c r="M296" s="64" t="s">
        <v>408</v>
      </c>
      <c r="N296" s="42"/>
    </row>
    <row r="297" spans="1:14" ht="24" customHeight="1">
      <c r="A297" s="8">
        <v>253</v>
      </c>
      <c r="B297" s="9">
        <v>253</v>
      </c>
      <c r="C297" s="46">
        <v>45930</v>
      </c>
      <c r="D297" s="9" t="s">
        <v>407</v>
      </c>
      <c r="E297" s="56" t="str">
        <f>IFERROR(VLOOKUP($D297,본공사입.출고현황!$B:$H,E$2080,0),0)</f>
        <v>Steel round bar</v>
      </c>
      <c r="F297" s="18" t="str">
        <f>IFERROR(VLOOKUP($D297,본공사입.출고현황!$B:$H,F$2080,0),0)</f>
        <v>Steel round bar(rebar)</v>
      </c>
      <c r="G297" s="18" t="str">
        <f>IFERROR(VLOOKUP($D297,본공사입.출고현황!$B:$H,G$2080,0),0)</f>
        <v>CCGG</v>
      </c>
      <c r="H297" s="18" t="str">
        <f>IFERROR(VLOOKUP($D297,본공사입.출고현황!$B:$H,H$2080,0),0)</f>
        <v>ф10, 1ton=1,620.7m</v>
      </c>
      <c r="I297" s="56" t="str">
        <f>IFERROR(VLOOKUP($D297,본공사입.출고현황!$B:$H,I$2080,0),0)</f>
        <v>M</v>
      </c>
      <c r="J297" s="9">
        <v>1</v>
      </c>
      <c r="K297" s="9" t="s">
        <v>352</v>
      </c>
      <c r="L297" s="37">
        <v>210</v>
      </c>
      <c r="M297" s="64" t="s">
        <v>408</v>
      </c>
      <c r="N297" s="42"/>
    </row>
    <row r="298" spans="1:14" ht="24" customHeight="1">
      <c r="A298" s="8">
        <v>254</v>
      </c>
      <c r="B298" s="9">
        <v>254</v>
      </c>
      <c r="C298" s="46">
        <v>45930</v>
      </c>
      <c r="D298" s="9" t="s">
        <v>407</v>
      </c>
      <c r="E298" s="56" t="str">
        <f>IFERROR(VLOOKUP($D298,본공사입.출고현황!$B:$H,E$2080,0),0)</f>
        <v>Steel round bar</v>
      </c>
      <c r="F298" s="18" t="str">
        <f>IFERROR(VLOOKUP($D298,본공사입.출고현황!$B:$H,F$2080,0),0)</f>
        <v>Steel round bar(rebar)</v>
      </c>
      <c r="G298" s="18" t="str">
        <f>IFERROR(VLOOKUP($D298,본공사입.출고현황!$B:$H,G$2080,0),0)</f>
        <v>CCGG</v>
      </c>
      <c r="H298" s="18" t="str">
        <f>IFERROR(VLOOKUP($D298,본공사입.출고현황!$B:$H,H$2080,0),0)</f>
        <v>ф10, 1ton=1,620.7m</v>
      </c>
      <c r="I298" s="56" t="str">
        <f>IFERROR(VLOOKUP($D298,본공사입.출고현황!$B:$H,I$2080,0),0)</f>
        <v>M</v>
      </c>
      <c r="J298" s="9">
        <v>2</v>
      </c>
      <c r="K298" s="9" t="s">
        <v>360</v>
      </c>
      <c r="L298" s="37">
        <v>50</v>
      </c>
      <c r="M298" s="64" t="s">
        <v>408</v>
      </c>
      <c r="N298" s="42"/>
    </row>
    <row r="299" spans="1:14" ht="24" customHeight="1">
      <c r="A299" s="8">
        <v>255</v>
      </c>
      <c r="B299" s="9">
        <v>255</v>
      </c>
      <c r="C299" s="46">
        <v>45930</v>
      </c>
      <c r="D299" s="9" t="s">
        <v>407</v>
      </c>
      <c r="E299" s="56" t="str">
        <f>IFERROR(VLOOKUP($D299,본공사입.출고현황!$B:$H,E$2080,0),0)</f>
        <v>Steel round bar</v>
      </c>
      <c r="F299" s="18" t="str">
        <f>IFERROR(VLOOKUP($D299,본공사입.출고현황!$B:$H,F$2080,0),0)</f>
        <v>Steel round bar(rebar)</v>
      </c>
      <c r="G299" s="18" t="str">
        <f>IFERROR(VLOOKUP($D299,본공사입.출고현황!$B:$H,G$2080,0),0)</f>
        <v>CCGG</v>
      </c>
      <c r="H299" s="18" t="str">
        <f>IFERROR(VLOOKUP($D299,본공사입.출고현황!$B:$H,H$2080,0),0)</f>
        <v>ф10, 1ton=1,620.7m</v>
      </c>
      <c r="I299" s="56" t="str">
        <f>IFERROR(VLOOKUP($D299,본공사입.출고현황!$B:$H,I$2080,0),0)</f>
        <v>M</v>
      </c>
      <c r="J299" s="9">
        <v>1</v>
      </c>
      <c r="K299" s="9" t="s">
        <v>547</v>
      </c>
      <c r="L299" s="37">
        <v>37.5</v>
      </c>
      <c r="M299" s="64" t="s">
        <v>408</v>
      </c>
      <c r="N299" s="42"/>
    </row>
    <row r="300" spans="1:14" ht="24" customHeight="1">
      <c r="A300" s="8">
        <v>256</v>
      </c>
      <c r="B300" s="9">
        <v>256</v>
      </c>
      <c r="C300" s="46">
        <v>45930</v>
      </c>
      <c r="D300" s="9" t="s">
        <v>407</v>
      </c>
      <c r="E300" s="56" t="str">
        <f>IFERROR(VLOOKUP($D300,본공사입.출고현황!$B:$H,E$2080,0),0)</f>
        <v>Steel round bar</v>
      </c>
      <c r="F300" s="18" t="str">
        <f>IFERROR(VLOOKUP($D300,본공사입.출고현황!$B:$H,F$2080,0),0)</f>
        <v>Steel round bar(rebar)</v>
      </c>
      <c r="G300" s="18" t="str">
        <f>IFERROR(VLOOKUP($D300,본공사입.출고현황!$B:$H,G$2080,0),0)</f>
        <v>CCGG</v>
      </c>
      <c r="H300" s="18" t="str">
        <f>IFERROR(VLOOKUP($D300,본공사입.출고현황!$B:$H,H$2080,0),0)</f>
        <v>ф10, 1ton=1,620.7m</v>
      </c>
      <c r="I300" s="56" t="str">
        <f>IFERROR(VLOOKUP($D300,본공사입.출고현황!$B:$H,I$2080,0),0)</f>
        <v>M</v>
      </c>
      <c r="J300" s="9">
        <v>1</v>
      </c>
      <c r="K300" s="9" t="s">
        <v>545</v>
      </c>
      <c r="L300" s="37">
        <v>25</v>
      </c>
      <c r="M300" s="64" t="s">
        <v>408</v>
      </c>
      <c r="N300" s="42"/>
    </row>
    <row r="301" spans="1:14" ht="24" customHeight="1">
      <c r="A301" s="8">
        <v>257</v>
      </c>
      <c r="B301" s="9">
        <v>257</v>
      </c>
      <c r="C301" s="46">
        <v>45931</v>
      </c>
      <c r="D301" s="9" t="s">
        <v>407</v>
      </c>
      <c r="E301" s="56" t="str">
        <f>IFERROR(VLOOKUP($D301,본공사입.출고현황!$B:$H,E$2080,0),0)</f>
        <v>Steel round bar</v>
      </c>
      <c r="F301" s="18" t="str">
        <f>IFERROR(VLOOKUP($D301,본공사입.출고현황!$B:$H,F$2080,0),0)</f>
        <v>Steel round bar(rebar)</v>
      </c>
      <c r="G301" s="18" t="str">
        <f>IFERROR(VLOOKUP($D301,본공사입.출고현황!$B:$H,G$2080,0),0)</f>
        <v>CCGG</v>
      </c>
      <c r="H301" s="18" t="str">
        <f>IFERROR(VLOOKUP($D301,본공사입.출고현황!$B:$H,H$2080,0),0)</f>
        <v>ф10, 1ton=1,620.7m</v>
      </c>
      <c r="I301" s="56" t="str">
        <f>IFERROR(VLOOKUP($D301,본공사입.출고현황!$B:$H,I$2080,0),0)</f>
        <v>M</v>
      </c>
      <c r="J301" s="9">
        <v>1</v>
      </c>
      <c r="K301" s="9" t="s">
        <v>545</v>
      </c>
      <c r="L301" s="37">
        <v>50</v>
      </c>
      <c r="M301" s="64" t="s">
        <v>408</v>
      </c>
      <c r="N301" s="42"/>
    </row>
    <row r="302" spans="1:14" ht="24" customHeight="1">
      <c r="A302" s="8">
        <v>258</v>
      </c>
      <c r="B302" s="9">
        <v>258</v>
      </c>
      <c r="C302" s="46">
        <v>45931</v>
      </c>
      <c r="D302" s="9" t="s">
        <v>407</v>
      </c>
      <c r="E302" s="56" t="str">
        <f>IFERROR(VLOOKUP($D302,본공사입.출고현황!$B:$H,E$2080,0),0)</f>
        <v>Steel round bar</v>
      </c>
      <c r="F302" s="18" t="str">
        <f>IFERROR(VLOOKUP($D302,본공사입.출고현황!$B:$H,F$2080,0),0)</f>
        <v>Steel round bar(rebar)</v>
      </c>
      <c r="G302" s="18" t="str">
        <f>IFERROR(VLOOKUP($D302,본공사입.출고현황!$B:$H,G$2080,0),0)</f>
        <v>CCGG</v>
      </c>
      <c r="H302" s="18" t="str">
        <f>IFERROR(VLOOKUP($D302,본공사입.출고현황!$B:$H,H$2080,0),0)</f>
        <v>ф10, 1ton=1,620.7m</v>
      </c>
      <c r="I302" s="56" t="str">
        <f>IFERROR(VLOOKUP($D302,본공사입.출고현황!$B:$H,I$2080,0),0)</f>
        <v>M</v>
      </c>
      <c r="J302" s="9">
        <v>1</v>
      </c>
      <c r="K302" s="9" t="s">
        <v>352</v>
      </c>
      <c r="L302" s="37">
        <v>175</v>
      </c>
      <c r="M302" s="64" t="s">
        <v>408</v>
      </c>
      <c r="N302" s="42"/>
    </row>
    <row r="303" spans="1:14" ht="24" customHeight="1">
      <c r="A303" s="8">
        <v>259</v>
      </c>
      <c r="B303" s="9">
        <v>259</v>
      </c>
      <c r="C303" s="46">
        <v>45931</v>
      </c>
      <c r="D303" s="9" t="s">
        <v>407</v>
      </c>
      <c r="E303" s="56" t="str">
        <f>IFERROR(VLOOKUP($D303,본공사입.출고현황!$B:$H,E$2080,0),0)</f>
        <v>Steel round bar</v>
      </c>
      <c r="F303" s="18" t="str">
        <f>IFERROR(VLOOKUP($D303,본공사입.출고현황!$B:$H,F$2080,0),0)</f>
        <v>Steel round bar(rebar)</v>
      </c>
      <c r="G303" s="18" t="str">
        <f>IFERROR(VLOOKUP($D303,본공사입.출고현황!$B:$H,G$2080,0),0)</f>
        <v>CCGG</v>
      </c>
      <c r="H303" s="18" t="str">
        <f>IFERROR(VLOOKUP($D303,본공사입.출고현황!$B:$H,H$2080,0),0)</f>
        <v>ф10, 1ton=1,620.7m</v>
      </c>
      <c r="I303" s="56" t="str">
        <f>IFERROR(VLOOKUP($D303,본공사입.출고현황!$B:$H,I$2080,0),0)</f>
        <v>M</v>
      </c>
      <c r="J303" s="9">
        <v>2</v>
      </c>
      <c r="K303" s="9" t="s">
        <v>360</v>
      </c>
      <c r="L303" s="37">
        <v>50</v>
      </c>
      <c r="M303" s="64" t="s">
        <v>408</v>
      </c>
      <c r="N303" s="42"/>
    </row>
    <row r="304" spans="1:14" ht="24" customHeight="1">
      <c r="A304" s="8">
        <v>260</v>
      </c>
      <c r="B304" s="9">
        <v>260</v>
      </c>
      <c r="C304" s="46">
        <v>45931</v>
      </c>
      <c r="D304" s="9" t="s">
        <v>407</v>
      </c>
      <c r="E304" s="56" t="str">
        <f>IFERROR(VLOOKUP($D304,본공사입.출고현황!$B:$H,E$2080,0),0)</f>
        <v>Steel round bar</v>
      </c>
      <c r="F304" s="18" t="str">
        <f>IFERROR(VLOOKUP($D304,본공사입.출고현황!$B:$H,F$2080,0),0)</f>
        <v>Steel round bar(rebar)</v>
      </c>
      <c r="G304" s="18" t="str">
        <f>IFERROR(VLOOKUP($D304,본공사입.출고현황!$B:$H,G$2080,0),0)</f>
        <v>CCGG</v>
      </c>
      <c r="H304" s="18" t="str">
        <f>IFERROR(VLOOKUP($D304,본공사입.출고현황!$B:$H,H$2080,0),0)</f>
        <v>ф10, 1ton=1,620.7m</v>
      </c>
      <c r="I304" s="56" t="str">
        <f>IFERROR(VLOOKUP($D304,본공사입.출고현황!$B:$H,I$2080,0),0)</f>
        <v>M</v>
      </c>
      <c r="J304" s="9">
        <v>2</v>
      </c>
      <c r="K304" s="9" t="s">
        <v>241</v>
      </c>
      <c r="L304" s="37">
        <v>10</v>
      </c>
      <c r="M304" s="64" t="s">
        <v>408</v>
      </c>
      <c r="N304" s="42"/>
    </row>
    <row r="305" spans="1:14" ht="24" customHeight="1">
      <c r="A305" s="8">
        <v>261</v>
      </c>
      <c r="B305" s="9">
        <v>261</v>
      </c>
      <c r="C305" s="46">
        <v>45932</v>
      </c>
      <c r="D305" s="9" t="s">
        <v>407</v>
      </c>
      <c r="E305" s="56" t="str">
        <f>IFERROR(VLOOKUP($D305,본공사입.출고현황!$B:$H,E$2080,0),0)</f>
        <v>Steel round bar</v>
      </c>
      <c r="F305" s="18" t="str">
        <f>IFERROR(VLOOKUP($D305,본공사입.출고현황!$B:$H,F$2080,0),0)</f>
        <v>Steel round bar(rebar)</v>
      </c>
      <c r="G305" s="18" t="str">
        <f>IFERROR(VLOOKUP($D305,본공사입.출고현황!$B:$H,G$2080,0),0)</f>
        <v>CCGG</v>
      </c>
      <c r="H305" s="18" t="str">
        <f>IFERROR(VLOOKUP($D305,본공사입.출고현황!$B:$H,H$2080,0),0)</f>
        <v>ф10, 1ton=1,620.7m</v>
      </c>
      <c r="I305" s="56" t="str">
        <f>IFERROR(VLOOKUP($D305,본공사입.출고현황!$B:$H,I$2080,0),0)</f>
        <v>M</v>
      </c>
      <c r="J305" s="9">
        <v>2</v>
      </c>
      <c r="K305" s="9" t="s">
        <v>241</v>
      </c>
      <c r="L305" s="37">
        <v>10</v>
      </c>
      <c r="M305" s="64" t="s">
        <v>358</v>
      </c>
      <c r="N305" s="42"/>
    </row>
    <row r="306" spans="1:14" ht="24" customHeight="1">
      <c r="A306" s="8">
        <v>262</v>
      </c>
      <c r="B306" s="9">
        <v>262</v>
      </c>
      <c r="C306" s="46">
        <v>45932</v>
      </c>
      <c r="D306" s="9" t="s">
        <v>407</v>
      </c>
      <c r="E306" s="56" t="str">
        <f>IFERROR(VLOOKUP($D306,본공사입.출고현황!$B:$H,E$2080,0),0)</f>
        <v>Steel round bar</v>
      </c>
      <c r="F306" s="18" t="str">
        <f>IFERROR(VLOOKUP($D306,본공사입.출고현황!$B:$H,F$2080,0),0)</f>
        <v>Steel round bar(rebar)</v>
      </c>
      <c r="G306" s="18" t="str">
        <f>IFERROR(VLOOKUP($D306,본공사입.출고현황!$B:$H,G$2080,0),0)</f>
        <v>CCGG</v>
      </c>
      <c r="H306" s="18" t="str">
        <f>IFERROR(VLOOKUP($D306,본공사입.출고현황!$B:$H,H$2080,0),0)</f>
        <v>ф10, 1ton=1,620.7m</v>
      </c>
      <c r="I306" s="56" t="str">
        <f>IFERROR(VLOOKUP($D306,본공사입.출고현황!$B:$H,I$2080,0),0)</f>
        <v>M</v>
      </c>
      <c r="J306" s="9">
        <v>2</v>
      </c>
      <c r="K306" s="9" t="s">
        <v>360</v>
      </c>
      <c r="L306" s="37">
        <v>75</v>
      </c>
      <c r="M306" s="64" t="s">
        <v>358</v>
      </c>
      <c r="N306" s="42"/>
    </row>
    <row r="307" spans="1:14" ht="24" customHeight="1">
      <c r="A307" s="8">
        <v>263</v>
      </c>
      <c r="B307" s="9">
        <v>263</v>
      </c>
      <c r="C307" s="46">
        <v>45932</v>
      </c>
      <c r="D307" s="9" t="s">
        <v>407</v>
      </c>
      <c r="E307" s="56" t="str">
        <f>IFERROR(VLOOKUP($D307,본공사입.출고현황!$B:$H,E$2080,0),0)</f>
        <v>Steel round bar</v>
      </c>
      <c r="F307" s="18" t="str">
        <f>IFERROR(VLOOKUP($D307,본공사입.출고현황!$B:$H,F$2080,0),0)</f>
        <v>Steel round bar(rebar)</v>
      </c>
      <c r="G307" s="18" t="str">
        <f>IFERROR(VLOOKUP($D307,본공사입.출고현황!$B:$H,G$2080,0),0)</f>
        <v>CCGG</v>
      </c>
      <c r="H307" s="18" t="str">
        <f>IFERROR(VLOOKUP($D307,본공사입.출고현황!$B:$H,H$2080,0),0)</f>
        <v>ф10, 1ton=1,620.7m</v>
      </c>
      <c r="I307" s="56" t="str">
        <f>IFERROR(VLOOKUP($D307,본공사입.출고현황!$B:$H,I$2080,0),0)</f>
        <v>M</v>
      </c>
      <c r="J307" s="9">
        <v>4</v>
      </c>
      <c r="K307" s="9" t="s">
        <v>359</v>
      </c>
      <c r="L307" s="37">
        <v>25</v>
      </c>
      <c r="M307" s="64" t="s">
        <v>358</v>
      </c>
      <c r="N307" s="42"/>
    </row>
    <row r="308" spans="1:14" ht="24" customHeight="1">
      <c r="A308" s="8">
        <v>264</v>
      </c>
      <c r="B308" s="9">
        <v>264</v>
      </c>
      <c r="C308" s="46">
        <v>45932</v>
      </c>
      <c r="D308" s="9" t="s">
        <v>407</v>
      </c>
      <c r="E308" s="56" t="str">
        <f>IFERROR(VLOOKUP($D308,본공사입.출고현황!$B:$H,E$2080,0),0)</f>
        <v>Steel round bar</v>
      </c>
      <c r="F308" s="18" t="str">
        <f>IFERROR(VLOOKUP($D308,본공사입.출고현황!$B:$H,F$2080,0),0)</f>
        <v>Steel round bar(rebar)</v>
      </c>
      <c r="G308" s="18" t="str">
        <f>IFERROR(VLOOKUP($D308,본공사입.출고현황!$B:$H,G$2080,0),0)</f>
        <v>CCGG</v>
      </c>
      <c r="H308" s="18" t="str">
        <f>IFERROR(VLOOKUP($D308,본공사입.출고현황!$B:$H,H$2080,0),0)</f>
        <v>ф10, 1ton=1,620.7m</v>
      </c>
      <c r="I308" s="56" t="str">
        <f>IFERROR(VLOOKUP($D308,본공사입.출고현황!$B:$H,I$2080,0),0)</f>
        <v>M</v>
      </c>
      <c r="J308" s="9">
        <v>1</v>
      </c>
      <c r="K308" s="9" t="s">
        <v>545</v>
      </c>
      <c r="L308" s="37">
        <v>30</v>
      </c>
      <c r="M308" s="64" t="s">
        <v>358</v>
      </c>
      <c r="N308" s="42"/>
    </row>
    <row r="309" spans="1:14" ht="24" customHeight="1">
      <c r="A309" s="8">
        <v>265</v>
      </c>
      <c r="B309" s="9">
        <v>265</v>
      </c>
      <c r="C309" s="46">
        <v>45932</v>
      </c>
      <c r="D309" s="9" t="s">
        <v>407</v>
      </c>
      <c r="E309" s="56" t="str">
        <f>IFERROR(VLOOKUP($D309,본공사입.출고현황!$B:$H,E$2080,0),0)</f>
        <v>Steel round bar</v>
      </c>
      <c r="F309" s="18" t="str">
        <f>IFERROR(VLOOKUP($D309,본공사입.출고현황!$B:$H,F$2080,0),0)</f>
        <v>Steel round bar(rebar)</v>
      </c>
      <c r="G309" s="18" t="str">
        <f>IFERROR(VLOOKUP($D309,본공사입.출고현황!$B:$H,G$2080,0),0)</f>
        <v>CCGG</v>
      </c>
      <c r="H309" s="18" t="str">
        <f>IFERROR(VLOOKUP($D309,본공사입.출고현황!$B:$H,H$2080,0),0)</f>
        <v>ф10, 1ton=1,620.7m</v>
      </c>
      <c r="I309" s="56" t="str">
        <f>IFERROR(VLOOKUP($D309,본공사입.출고현황!$B:$H,I$2080,0),0)</f>
        <v>M</v>
      </c>
      <c r="J309" s="9">
        <v>3</v>
      </c>
      <c r="K309" s="9" t="s">
        <v>237</v>
      </c>
      <c r="L309" s="37">
        <v>20</v>
      </c>
      <c r="M309" s="64" t="s">
        <v>358</v>
      </c>
      <c r="N309" s="42"/>
    </row>
    <row r="310" spans="1:14" ht="24" customHeight="1">
      <c r="A310" s="8">
        <v>266</v>
      </c>
      <c r="B310" s="9">
        <v>266</v>
      </c>
      <c r="C310" s="46">
        <v>45932</v>
      </c>
      <c r="D310" s="9" t="s">
        <v>407</v>
      </c>
      <c r="E310" s="56" t="str">
        <f>IFERROR(VLOOKUP($D310,본공사입.출고현황!$B:$H,E$2080,0),0)</f>
        <v>Steel round bar</v>
      </c>
      <c r="F310" s="18" t="str">
        <f>IFERROR(VLOOKUP($D310,본공사입.출고현황!$B:$H,F$2080,0),0)</f>
        <v>Steel round bar(rebar)</v>
      </c>
      <c r="G310" s="18" t="str">
        <f>IFERROR(VLOOKUP($D310,본공사입.출고현황!$B:$H,G$2080,0),0)</f>
        <v>CCGG</v>
      </c>
      <c r="H310" s="18" t="str">
        <f>IFERROR(VLOOKUP($D310,본공사입.출고현황!$B:$H,H$2080,0),0)</f>
        <v>ф10, 1ton=1,620.7m</v>
      </c>
      <c r="I310" s="56" t="str">
        <f>IFERROR(VLOOKUP($D310,본공사입.출고현황!$B:$H,I$2080,0),0)</f>
        <v>M</v>
      </c>
      <c r="J310" s="9">
        <v>1</v>
      </c>
      <c r="K310" s="9" t="s">
        <v>352</v>
      </c>
      <c r="L310" s="37">
        <v>205</v>
      </c>
      <c r="M310" s="64" t="s">
        <v>358</v>
      </c>
      <c r="N310" s="42"/>
    </row>
    <row r="311" spans="1:14" ht="24" customHeight="1">
      <c r="A311" s="8">
        <v>267</v>
      </c>
      <c r="B311" s="9">
        <v>267</v>
      </c>
      <c r="C311" s="46">
        <v>45933</v>
      </c>
      <c r="D311" s="9" t="s">
        <v>407</v>
      </c>
      <c r="E311" s="56" t="str">
        <f>IFERROR(VLOOKUP($D311,본공사입.출고현황!$B:$H,E$2080,0),0)</f>
        <v>Steel round bar</v>
      </c>
      <c r="F311" s="18" t="str">
        <f>IFERROR(VLOOKUP($D311,본공사입.출고현황!$B:$H,F$2080,0),0)</f>
        <v>Steel round bar(rebar)</v>
      </c>
      <c r="G311" s="18" t="str">
        <f>IFERROR(VLOOKUP($D311,본공사입.출고현황!$B:$H,G$2080,0),0)</f>
        <v>CCGG</v>
      </c>
      <c r="H311" s="18" t="str">
        <f>IFERROR(VLOOKUP($D311,본공사입.출고현황!$B:$H,H$2080,0),0)</f>
        <v>ф10, 1ton=1,620.7m</v>
      </c>
      <c r="I311" s="56" t="str">
        <f>IFERROR(VLOOKUP($D311,본공사입.출고현황!$B:$H,I$2080,0),0)</f>
        <v>M</v>
      </c>
      <c r="J311" s="9">
        <v>1</v>
      </c>
      <c r="K311" s="9" t="s">
        <v>363</v>
      </c>
      <c r="L311" s="37">
        <v>62.5</v>
      </c>
      <c r="M311" s="64" t="s">
        <v>358</v>
      </c>
      <c r="N311" s="42"/>
    </row>
    <row r="312" spans="1:14" ht="24" customHeight="1">
      <c r="A312" s="8">
        <v>268</v>
      </c>
      <c r="B312" s="9">
        <v>268</v>
      </c>
      <c r="C312" s="46">
        <v>45933</v>
      </c>
      <c r="D312" s="9" t="s">
        <v>407</v>
      </c>
      <c r="E312" s="56" t="str">
        <f>IFERROR(VLOOKUP($D312,본공사입.출고현황!$B:$H,E$2080,0),0)</f>
        <v>Steel round bar</v>
      </c>
      <c r="F312" s="18" t="str">
        <f>IFERROR(VLOOKUP($D312,본공사입.출고현황!$B:$H,F$2080,0),0)</f>
        <v>Steel round bar(rebar)</v>
      </c>
      <c r="G312" s="18" t="str">
        <f>IFERROR(VLOOKUP($D312,본공사입.출고현황!$B:$H,G$2080,0),0)</f>
        <v>CCGG</v>
      </c>
      <c r="H312" s="18" t="str">
        <f>IFERROR(VLOOKUP($D312,본공사입.출고현황!$B:$H,H$2080,0),0)</f>
        <v>ф10, 1ton=1,620.7m</v>
      </c>
      <c r="I312" s="56" t="str">
        <f>IFERROR(VLOOKUP($D312,본공사입.출고현황!$B:$H,I$2080,0),0)</f>
        <v>M</v>
      </c>
      <c r="J312" s="9">
        <v>1</v>
      </c>
      <c r="K312" s="9" t="s">
        <v>352</v>
      </c>
      <c r="L312" s="37">
        <v>55</v>
      </c>
      <c r="M312" s="64" t="s">
        <v>358</v>
      </c>
      <c r="N312" s="42"/>
    </row>
    <row r="313" spans="1:14" ht="24" customHeight="1">
      <c r="A313" s="8">
        <v>269</v>
      </c>
      <c r="B313" s="9">
        <v>269</v>
      </c>
      <c r="C313" s="46">
        <v>45933</v>
      </c>
      <c r="D313" s="9" t="s">
        <v>407</v>
      </c>
      <c r="E313" s="56" t="str">
        <f>IFERROR(VLOOKUP($D313,본공사입.출고현황!$B:$H,E$2080,0),0)</f>
        <v>Steel round bar</v>
      </c>
      <c r="F313" s="18" t="str">
        <f>IFERROR(VLOOKUP($D313,본공사입.출고현황!$B:$H,F$2080,0),0)</f>
        <v>Steel round bar(rebar)</v>
      </c>
      <c r="G313" s="18" t="str">
        <f>IFERROR(VLOOKUP($D313,본공사입.출고현황!$B:$H,G$2080,0),0)</f>
        <v>CCGG</v>
      </c>
      <c r="H313" s="18" t="str">
        <f>IFERROR(VLOOKUP($D313,본공사입.출고현황!$B:$H,H$2080,0),0)</f>
        <v>ф10, 1ton=1,620.7m</v>
      </c>
      <c r="I313" s="56" t="str">
        <f>IFERROR(VLOOKUP($D313,본공사입.출고현황!$B:$H,I$2080,0),0)</f>
        <v>M</v>
      </c>
      <c r="J313" s="9">
        <v>2</v>
      </c>
      <c r="K313" s="9" t="s">
        <v>360</v>
      </c>
      <c r="L313" s="37">
        <v>50</v>
      </c>
      <c r="M313" s="64" t="s">
        <v>358</v>
      </c>
      <c r="N313" s="42"/>
    </row>
    <row r="314" spans="1:14" ht="24" customHeight="1">
      <c r="A314" s="8">
        <v>270</v>
      </c>
      <c r="B314" s="9">
        <v>270</v>
      </c>
      <c r="C314" s="46">
        <v>45933</v>
      </c>
      <c r="D314" s="9" t="s">
        <v>407</v>
      </c>
      <c r="E314" s="56" t="str">
        <f>IFERROR(VLOOKUP($D314,본공사입.출고현황!$B:$H,E$2080,0),0)</f>
        <v>Steel round bar</v>
      </c>
      <c r="F314" s="18" t="str">
        <f>IFERROR(VLOOKUP($D314,본공사입.출고현황!$B:$H,F$2080,0),0)</f>
        <v>Steel round bar(rebar)</v>
      </c>
      <c r="G314" s="18" t="str">
        <f>IFERROR(VLOOKUP($D314,본공사입.출고현황!$B:$H,G$2080,0),0)</f>
        <v>CCGG</v>
      </c>
      <c r="H314" s="18" t="str">
        <f>IFERROR(VLOOKUP($D314,본공사입.출고현황!$B:$H,H$2080,0),0)</f>
        <v>ф10, 1ton=1,620.7m</v>
      </c>
      <c r="I314" s="56" t="str">
        <f>IFERROR(VLOOKUP($D314,본공사입.출고현황!$B:$H,I$2080,0),0)</f>
        <v>M</v>
      </c>
      <c r="J314" s="9">
        <v>1</v>
      </c>
      <c r="K314" s="9" t="s">
        <v>547</v>
      </c>
      <c r="L314" s="37">
        <v>37.5</v>
      </c>
      <c r="M314" s="64" t="s">
        <v>358</v>
      </c>
      <c r="N314" s="42"/>
    </row>
    <row r="315" spans="1:14" ht="24" customHeight="1">
      <c r="A315" s="8">
        <v>271</v>
      </c>
      <c r="B315" s="9">
        <v>271</v>
      </c>
      <c r="C315" s="46">
        <v>45933</v>
      </c>
      <c r="D315" s="9" t="s">
        <v>407</v>
      </c>
      <c r="E315" s="56" t="str">
        <f>IFERROR(VLOOKUP($D315,본공사입.출고현황!$B:$H,E$2080,0),0)</f>
        <v>Steel round bar</v>
      </c>
      <c r="F315" s="18" t="str">
        <f>IFERROR(VLOOKUP($D315,본공사입.출고현황!$B:$H,F$2080,0),0)</f>
        <v>Steel round bar(rebar)</v>
      </c>
      <c r="G315" s="18" t="str">
        <f>IFERROR(VLOOKUP($D315,본공사입.출고현황!$B:$H,G$2080,0),0)</f>
        <v>CCGG</v>
      </c>
      <c r="H315" s="18" t="str">
        <f>IFERROR(VLOOKUP($D315,본공사입.출고현황!$B:$H,H$2080,0),0)</f>
        <v>ф10, 1ton=1,620.7m</v>
      </c>
      <c r="I315" s="56" t="str">
        <f>IFERROR(VLOOKUP($D315,본공사입.출고현황!$B:$H,I$2080,0),0)</f>
        <v>M</v>
      </c>
      <c r="J315" s="9">
        <v>1</v>
      </c>
      <c r="K315" s="9" t="s">
        <v>545</v>
      </c>
      <c r="L315" s="37">
        <v>25</v>
      </c>
      <c r="M315" s="64" t="s">
        <v>358</v>
      </c>
      <c r="N315" s="42"/>
    </row>
    <row r="316" spans="1:14" ht="24" customHeight="1">
      <c r="A316" s="8">
        <v>272</v>
      </c>
      <c r="B316" s="9">
        <v>272</v>
      </c>
      <c r="C316" s="46">
        <v>45933</v>
      </c>
      <c r="D316" s="9" t="s">
        <v>407</v>
      </c>
      <c r="E316" s="56" t="str">
        <f>IFERROR(VLOOKUP($D316,본공사입.출고현황!$B:$H,E$2080,0),0)</f>
        <v>Steel round bar</v>
      </c>
      <c r="F316" s="18" t="str">
        <f>IFERROR(VLOOKUP($D316,본공사입.출고현황!$B:$H,F$2080,0),0)</f>
        <v>Steel round bar(rebar)</v>
      </c>
      <c r="G316" s="18" t="str">
        <f>IFERROR(VLOOKUP($D316,본공사입.출고현황!$B:$H,G$2080,0),0)</f>
        <v>CCGG</v>
      </c>
      <c r="H316" s="18" t="str">
        <f>IFERROR(VLOOKUP($D316,본공사입.출고현황!$B:$H,H$2080,0),0)</f>
        <v>ф10, 1ton=1,620.7m</v>
      </c>
      <c r="I316" s="56" t="str">
        <f>IFERROR(VLOOKUP($D316,본공사입.출고현황!$B:$H,I$2080,0),0)</f>
        <v>M</v>
      </c>
      <c r="J316" s="9">
        <v>1</v>
      </c>
      <c r="K316" s="9" t="s">
        <v>545</v>
      </c>
      <c r="L316" s="37">
        <v>50</v>
      </c>
      <c r="M316" s="64" t="s">
        <v>358</v>
      </c>
      <c r="N316" s="42"/>
    </row>
    <row r="317" spans="1:14" ht="24" customHeight="1">
      <c r="A317" s="8">
        <v>273</v>
      </c>
      <c r="B317" s="9">
        <v>273</v>
      </c>
      <c r="C317" s="46">
        <v>45933</v>
      </c>
      <c r="D317" s="9" t="s">
        <v>407</v>
      </c>
      <c r="E317" s="56" t="str">
        <f>IFERROR(VLOOKUP($D317,본공사입.출고현황!$B:$H,E$2080,0),0)</f>
        <v>Steel round bar</v>
      </c>
      <c r="F317" s="18" t="str">
        <f>IFERROR(VLOOKUP($D317,본공사입.출고현황!$B:$H,F$2080,0),0)</f>
        <v>Steel round bar(rebar)</v>
      </c>
      <c r="G317" s="18" t="str">
        <f>IFERROR(VLOOKUP($D317,본공사입.출고현황!$B:$H,G$2080,0),0)</f>
        <v>CCGG</v>
      </c>
      <c r="H317" s="18" t="str">
        <f>IFERROR(VLOOKUP($D317,본공사입.출고현황!$B:$H,H$2080,0),0)</f>
        <v>ф10, 1ton=1,620.7m</v>
      </c>
      <c r="I317" s="56" t="str">
        <f>IFERROR(VLOOKUP($D317,본공사입.출고현황!$B:$H,I$2080,0),0)</f>
        <v>M</v>
      </c>
      <c r="J317" s="9">
        <v>2</v>
      </c>
      <c r="K317" s="9" t="s">
        <v>360</v>
      </c>
      <c r="L317" s="37">
        <v>50</v>
      </c>
      <c r="M317" s="64" t="s">
        <v>358</v>
      </c>
      <c r="N317" s="42"/>
    </row>
    <row r="318" spans="1:14" ht="24" customHeight="1">
      <c r="A318" s="8">
        <v>274</v>
      </c>
      <c r="B318" s="9">
        <v>274</v>
      </c>
      <c r="C318" s="46">
        <v>45934</v>
      </c>
      <c r="D318" s="9" t="s">
        <v>407</v>
      </c>
      <c r="E318" s="56" t="str">
        <f>IFERROR(VLOOKUP($D318,본공사입.출고현황!$B:$H,E$2080,0),0)</f>
        <v>Steel round bar</v>
      </c>
      <c r="F318" s="18" t="str">
        <f>IFERROR(VLOOKUP($D318,본공사입.출고현황!$B:$H,F$2080,0),0)</f>
        <v>Steel round bar(rebar)</v>
      </c>
      <c r="G318" s="18" t="str">
        <f>IFERROR(VLOOKUP($D318,본공사입.출고현황!$B:$H,G$2080,0),0)</f>
        <v>CCGG</v>
      </c>
      <c r="H318" s="18" t="str">
        <f>IFERROR(VLOOKUP($D318,본공사입.출고현황!$B:$H,H$2080,0),0)</f>
        <v>ф10, 1ton=1,620.7m</v>
      </c>
      <c r="I318" s="56" t="str">
        <f>IFERROR(VLOOKUP($D318,본공사입.출고현황!$B:$H,I$2080,0),0)</f>
        <v>M</v>
      </c>
      <c r="J318" s="9">
        <v>1</v>
      </c>
      <c r="K318" s="9" t="s">
        <v>545</v>
      </c>
      <c r="L318" s="37">
        <v>25</v>
      </c>
      <c r="M318" s="64" t="s">
        <v>358</v>
      </c>
      <c r="N318" s="42"/>
    </row>
    <row r="319" spans="1:14" ht="24" customHeight="1">
      <c r="A319" s="8">
        <v>275</v>
      </c>
      <c r="B319" s="9">
        <v>275</v>
      </c>
      <c r="C319" s="46">
        <v>45934</v>
      </c>
      <c r="D319" s="9" t="s">
        <v>407</v>
      </c>
      <c r="E319" s="56" t="str">
        <f>IFERROR(VLOOKUP($D319,본공사입.출고현황!$B:$H,E$2080,0),0)</f>
        <v>Steel round bar</v>
      </c>
      <c r="F319" s="18" t="str">
        <f>IFERROR(VLOOKUP($D319,본공사입.출고현황!$B:$H,F$2080,0),0)</f>
        <v>Steel round bar(rebar)</v>
      </c>
      <c r="G319" s="18" t="str">
        <f>IFERROR(VLOOKUP($D319,본공사입.출고현황!$B:$H,G$2080,0),0)</f>
        <v>CCGG</v>
      </c>
      <c r="H319" s="18" t="str">
        <f>IFERROR(VLOOKUP($D319,본공사입.출고현황!$B:$H,H$2080,0),0)</f>
        <v>ф10, 1ton=1,620.7m</v>
      </c>
      <c r="I319" s="56" t="str">
        <f>IFERROR(VLOOKUP($D319,본공사입.출고현황!$B:$H,I$2080,0),0)</f>
        <v>M</v>
      </c>
      <c r="J319" s="9">
        <v>2</v>
      </c>
      <c r="K319" s="9" t="s">
        <v>546</v>
      </c>
      <c r="L319" s="37">
        <v>45</v>
      </c>
      <c r="M319" s="64" t="s">
        <v>358</v>
      </c>
      <c r="N319" s="42"/>
    </row>
    <row r="320" spans="1:14" ht="24" customHeight="1">
      <c r="A320" s="8">
        <v>276</v>
      </c>
      <c r="B320" s="9">
        <v>276</v>
      </c>
      <c r="C320" s="46">
        <v>45934</v>
      </c>
      <c r="D320" s="9" t="s">
        <v>407</v>
      </c>
      <c r="E320" s="56" t="str">
        <f>IFERROR(VLOOKUP($D320,본공사입.출고현황!$B:$H,E$2080,0),0)</f>
        <v>Steel round bar</v>
      </c>
      <c r="F320" s="18" t="str">
        <f>IFERROR(VLOOKUP($D320,본공사입.출고현황!$B:$H,F$2080,0),0)</f>
        <v>Steel round bar(rebar)</v>
      </c>
      <c r="G320" s="18" t="str">
        <f>IFERROR(VLOOKUP($D320,본공사입.출고현황!$B:$H,G$2080,0),0)</f>
        <v>CCGG</v>
      </c>
      <c r="H320" s="18" t="str">
        <f>IFERROR(VLOOKUP($D320,본공사입.출고현황!$B:$H,H$2080,0),0)</f>
        <v>ф10, 1ton=1,620.7m</v>
      </c>
      <c r="I320" s="56" t="str">
        <f>IFERROR(VLOOKUP($D320,본공사입.출고현황!$B:$H,I$2080,0),0)</f>
        <v>M</v>
      </c>
      <c r="J320" s="9">
        <v>2</v>
      </c>
      <c r="K320" s="9" t="s">
        <v>360</v>
      </c>
      <c r="L320" s="37">
        <v>45</v>
      </c>
      <c r="M320" s="64" t="s">
        <v>358</v>
      </c>
      <c r="N320" s="42"/>
    </row>
    <row r="321" spans="1:14" ht="24" customHeight="1">
      <c r="A321" s="8">
        <v>277</v>
      </c>
      <c r="B321" s="9">
        <v>277</v>
      </c>
      <c r="C321" s="46">
        <v>45934</v>
      </c>
      <c r="D321" s="9" t="s">
        <v>407</v>
      </c>
      <c r="E321" s="56" t="str">
        <f>IFERROR(VLOOKUP($D321,본공사입.출고현황!$B:$H,E$2080,0),0)</f>
        <v>Steel round bar</v>
      </c>
      <c r="F321" s="18" t="str">
        <f>IFERROR(VLOOKUP($D321,본공사입.출고현황!$B:$H,F$2080,0),0)</f>
        <v>Steel round bar(rebar)</v>
      </c>
      <c r="G321" s="18" t="str">
        <f>IFERROR(VLOOKUP($D321,본공사입.출고현황!$B:$H,G$2080,0),0)</f>
        <v>CCGG</v>
      </c>
      <c r="H321" s="18" t="str">
        <f>IFERROR(VLOOKUP($D321,본공사입.출고현황!$B:$H,H$2080,0),0)</f>
        <v>ф10, 1ton=1,620.7m</v>
      </c>
      <c r="I321" s="56" t="str">
        <f>IFERROR(VLOOKUP($D321,본공사입.출고현황!$B:$H,I$2080,0),0)</f>
        <v>M</v>
      </c>
      <c r="J321" s="9">
        <v>4</v>
      </c>
      <c r="K321" s="9" t="s">
        <v>359</v>
      </c>
      <c r="L321" s="37">
        <v>25</v>
      </c>
      <c r="M321" s="64" t="s">
        <v>358</v>
      </c>
      <c r="N321" s="42"/>
    </row>
    <row r="322" spans="1:14" ht="24" customHeight="1">
      <c r="A322" s="8">
        <v>278</v>
      </c>
      <c r="B322" s="9">
        <v>278</v>
      </c>
      <c r="C322" s="46">
        <v>45934</v>
      </c>
      <c r="D322" s="9" t="s">
        <v>407</v>
      </c>
      <c r="E322" s="56" t="str">
        <f>IFERROR(VLOOKUP($D322,본공사입.출고현황!$B:$H,E$2080,0),0)</f>
        <v>Steel round bar</v>
      </c>
      <c r="F322" s="18" t="str">
        <f>IFERROR(VLOOKUP($D322,본공사입.출고현황!$B:$H,F$2080,0),0)</f>
        <v>Steel round bar(rebar)</v>
      </c>
      <c r="G322" s="18" t="str">
        <f>IFERROR(VLOOKUP($D322,본공사입.출고현황!$B:$H,G$2080,0),0)</f>
        <v>CCGG</v>
      </c>
      <c r="H322" s="18" t="str">
        <f>IFERROR(VLOOKUP($D322,본공사입.출고현황!$B:$H,H$2080,0),0)</f>
        <v>ф10, 1ton=1,620.7m</v>
      </c>
      <c r="I322" s="56" t="str">
        <f>IFERROR(VLOOKUP($D322,본공사입.출고현황!$B:$H,I$2080,0),0)</f>
        <v>M</v>
      </c>
      <c r="J322" s="9">
        <v>1</v>
      </c>
      <c r="K322" s="9" t="s">
        <v>547</v>
      </c>
      <c r="L322" s="37">
        <v>45</v>
      </c>
      <c r="M322" s="64" t="s">
        <v>358</v>
      </c>
      <c r="N322" s="42"/>
    </row>
    <row r="323" spans="1:14" ht="24" customHeight="1">
      <c r="A323" s="8">
        <v>279</v>
      </c>
      <c r="B323" s="9">
        <v>279</v>
      </c>
      <c r="C323" s="46">
        <v>45934</v>
      </c>
      <c r="D323" s="9" t="s">
        <v>407</v>
      </c>
      <c r="E323" s="56" t="str">
        <f>IFERROR(VLOOKUP($D323,본공사입.출고현황!$B:$H,E$2080,0),0)</f>
        <v>Steel round bar</v>
      </c>
      <c r="F323" s="18" t="str">
        <f>IFERROR(VLOOKUP($D323,본공사입.출고현황!$B:$H,F$2080,0),0)</f>
        <v>Steel round bar(rebar)</v>
      </c>
      <c r="G323" s="18" t="str">
        <f>IFERROR(VLOOKUP($D323,본공사입.출고현황!$B:$H,G$2080,0),0)</f>
        <v>CCGG</v>
      </c>
      <c r="H323" s="18" t="str">
        <f>IFERROR(VLOOKUP($D323,본공사입.출고현황!$B:$H,H$2080,0),0)</f>
        <v>ф10, 1ton=1,620.7m</v>
      </c>
      <c r="I323" s="56" t="str">
        <f>IFERROR(VLOOKUP($D323,본공사입.출고현황!$B:$H,I$2080,0),0)</f>
        <v>M</v>
      </c>
      <c r="J323" s="9">
        <v>2</v>
      </c>
      <c r="K323" s="9" t="s">
        <v>241</v>
      </c>
      <c r="L323" s="37">
        <v>32.5</v>
      </c>
      <c r="M323" s="64" t="s">
        <v>358</v>
      </c>
      <c r="N323" s="42"/>
    </row>
    <row r="324" spans="1:14" ht="24" customHeight="1">
      <c r="A324" s="8">
        <v>280</v>
      </c>
      <c r="B324" s="9">
        <v>280</v>
      </c>
      <c r="C324" s="46">
        <v>45935</v>
      </c>
      <c r="D324" s="9" t="s">
        <v>407</v>
      </c>
      <c r="E324" s="56" t="str">
        <f>IFERROR(VLOOKUP($D324,본공사입.출고현황!$B:$H,E$2080,0),0)</f>
        <v>Steel round bar</v>
      </c>
      <c r="F324" s="18" t="str">
        <f>IFERROR(VLOOKUP($D324,본공사입.출고현황!$B:$H,F$2080,0),0)</f>
        <v>Steel round bar(rebar)</v>
      </c>
      <c r="G324" s="18" t="str">
        <f>IFERROR(VLOOKUP($D324,본공사입.출고현황!$B:$H,G$2080,0),0)</f>
        <v>CCGG</v>
      </c>
      <c r="H324" s="18" t="str">
        <f>IFERROR(VLOOKUP($D324,본공사입.출고현황!$B:$H,H$2080,0),0)</f>
        <v>ф10, 1ton=1,620.7m</v>
      </c>
      <c r="I324" s="56" t="str">
        <f>IFERROR(VLOOKUP($D324,본공사입.출고현황!$B:$H,I$2080,0),0)</f>
        <v>M</v>
      </c>
      <c r="J324" s="9">
        <v>4</v>
      </c>
      <c r="K324" s="9" t="s">
        <v>359</v>
      </c>
      <c r="L324" s="37">
        <v>25</v>
      </c>
      <c r="M324" s="64" t="s">
        <v>358</v>
      </c>
      <c r="N324" s="42"/>
    </row>
    <row r="325" spans="1:14" ht="24" customHeight="1">
      <c r="A325" s="8">
        <v>281</v>
      </c>
      <c r="B325" s="9">
        <v>281</v>
      </c>
      <c r="C325" s="46">
        <v>45935</v>
      </c>
      <c r="D325" s="9" t="s">
        <v>407</v>
      </c>
      <c r="E325" s="56" t="str">
        <f>IFERROR(VLOOKUP($D325,본공사입.출고현황!$B:$H,E$2080,0),0)</f>
        <v>Steel round bar</v>
      </c>
      <c r="F325" s="18" t="str">
        <f>IFERROR(VLOOKUP($D325,본공사입.출고현황!$B:$H,F$2080,0),0)</f>
        <v>Steel round bar(rebar)</v>
      </c>
      <c r="G325" s="18" t="str">
        <f>IFERROR(VLOOKUP($D325,본공사입.출고현황!$B:$H,G$2080,0),0)</f>
        <v>CCGG</v>
      </c>
      <c r="H325" s="18" t="str">
        <f>IFERROR(VLOOKUP($D325,본공사입.출고현황!$B:$H,H$2080,0),0)</f>
        <v>ф10, 1ton=1,620.7m</v>
      </c>
      <c r="I325" s="56" t="str">
        <f>IFERROR(VLOOKUP($D325,본공사입.출고현황!$B:$H,I$2080,0),0)</f>
        <v>M</v>
      </c>
      <c r="J325" s="9">
        <v>1</v>
      </c>
      <c r="K325" s="9" t="s">
        <v>545</v>
      </c>
      <c r="L325" s="37">
        <v>30</v>
      </c>
      <c r="M325" s="64" t="s">
        <v>358</v>
      </c>
      <c r="N325" s="42"/>
    </row>
    <row r="326" spans="1:14" ht="24" customHeight="1">
      <c r="A326" s="8">
        <v>282</v>
      </c>
      <c r="B326" s="9">
        <v>282</v>
      </c>
      <c r="C326" s="46">
        <v>45935</v>
      </c>
      <c r="D326" s="9" t="s">
        <v>407</v>
      </c>
      <c r="E326" s="56" t="str">
        <f>IFERROR(VLOOKUP($D326,본공사입.출고현황!$B:$H,E$2080,0),0)</f>
        <v>Steel round bar</v>
      </c>
      <c r="F326" s="18" t="str">
        <f>IFERROR(VLOOKUP($D326,본공사입.출고현황!$B:$H,F$2080,0),0)</f>
        <v>Steel round bar(rebar)</v>
      </c>
      <c r="G326" s="18" t="str">
        <f>IFERROR(VLOOKUP($D326,본공사입.출고현황!$B:$H,G$2080,0),0)</f>
        <v>CCGG</v>
      </c>
      <c r="H326" s="18" t="str">
        <f>IFERROR(VLOOKUP($D326,본공사입.출고현황!$B:$H,H$2080,0),0)</f>
        <v>ф10, 1ton=1,620.7m</v>
      </c>
      <c r="I326" s="56" t="str">
        <f>IFERROR(VLOOKUP($D326,본공사입.출고현황!$B:$H,I$2080,0),0)</f>
        <v>M</v>
      </c>
      <c r="J326" s="9">
        <v>3</v>
      </c>
      <c r="K326" s="9" t="s">
        <v>237</v>
      </c>
      <c r="L326" s="37">
        <v>20</v>
      </c>
      <c r="M326" s="64" t="s">
        <v>358</v>
      </c>
      <c r="N326" s="42"/>
    </row>
    <row r="327" spans="1:14" ht="24" customHeight="1">
      <c r="A327" s="8">
        <v>283</v>
      </c>
      <c r="B327" s="9">
        <v>283</v>
      </c>
      <c r="C327" s="46">
        <v>45935</v>
      </c>
      <c r="D327" s="9" t="s">
        <v>407</v>
      </c>
      <c r="E327" s="56" t="str">
        <f>IFERROR(VLOOKUP($D327,본공사입.출고현황!$B:$H,E$2080,0),0)</f>
        <v>Steel round bar</v>
      </c>
      <c r="F327" s="18" t="str">
        <f>IFERROR(VLOOKUP($D327,본공사입.출고현황!$B:$H,F$2080,0),0)</f>
        <v>Steel round bar(rebar)</v>
      </c>
      <c r="G327" s="18" t="str">
        <f>IFERROR(VLOOKUP($D327,본공사입.출고현황!$B:$H,G$2080,0),0)</f>
        <v>CCGG</v>
      </c>
      <c r="H327" s="18" t="str">
        <f>IFERROR(VLOOKUP($D327,본공사입.출고현황!$B:$H,H$2080,0),0)</f>
        <v>ф10, 1ton=1,620.7m</v>
      </c>
      <c r="I327" s="56" t="str">
        <f>IFERROR(VLOOKUP($D327,본공사입.출고현황!$B:$H,I$2080,0),0)</f>
        <v>M</v>
      </c>
      <c r="J327" s="9">
        <v>1</v>
      </c>
      <c r="K327" s="9" t="s">
        <v>352</v>
      </c>
      <c r="L327" s="37">
        <v>205</v>
      </c>
      <c r="M327" s="64" t="s">
        <v>358</v>
      </c>
      <c r="N327" s="42"/>
    </row>
    <row r="328" spans="1:14" ht="24" customHeight="1">
      <c r="A328" s="8">
        <v>284</v>
      </c>
      <c r="B328" s="9">
        <v>284</v>
      </c>
      <c r="C328" s="46">
        <v>45935</v>
      </c>
      <c r="D328" s="9" t="s">
        <v>407</v>
      </c>
      <c r="E328" s="56" t="str">
        <f>IFERROR(VLOOKUP($D328,본공사입.출고현황!$B:$H,E$2080,0),0)</f>
        <v>Steel round bar</v>
      </c>
      <c r="F328" s="18" t="str">
        <f>IFERROR(VLOOKUP($D328,본공사입.출고현황!$B:$H,F$2080,0),0)</f>
        <v>Steel round bar(rebar)</v>
      </c>
      <c r="G328" s="18" t="str">
        <f>IFERROR(VLOOKUP($D328,본공사입.출고현황!$B:$H,G$2080,0),0)</f>
        <v>CCGG</v>
      </c>
      <c r="H328" s="18" t="str">
        <f>IFERROR(VLOOKUP($D328,본공사입.출고현황!$B:$H,H$2080,0),0)</f>
        <v>ф10, 1ton=1,620.7m</v>
      </c>
      <c r="I328" s="56" t="str">
        <f>IFERROR(VLOOKUP($D328,본공사입.출고현황!$B:$H,I$2080,0),0)</f>
        <v>M</v>
      </c>
      <c r="J328" s="9">
        <v>1</v>
      </c>
      <c r="K328" s="9" t="s">
        <v>363</v>
      </c>
      <c r="L328" s="37">
        <v>62.5</v>
      </c>
      <c r="M328" s="64" t="s">
        <v>358</v>
      </c>
      <c r="N328" s="42"/>
    </row>
    <row r="329" spans="1:14" ht="24" customHeight="1">
      <c r="A329" s="8">
        <v>285</v>
      </c>
      <c r="B329" s="9">
        <v>285</v>
      </c>
      <c r="C329" s="46">
        <v>45935</v>
      </c>
      <c r="D329" s="9" t="s">
        <v>407</v>
      </c>
      <c r="E329" s="56" t="str">
        <f>IFERROR(VLOOKUP($D329,본공사입.출고현황!$B:$H,E$2080,0),0)</f>
        <v>Steel round bar</v>
      </c>
      <c r="F329" s="18" t="str">
        <f>IFERROR(VLOOKUP($D329,본공사입.출고현황!$B:$H,F$2080,0),0)</f>
        <v>Steel round bar(rebar)</v>
      </c>
      <c r="G329" s="18" t="str">
        <f>IFERROR(VLOOKUP($D329,본공사입.출고현황!$B:$H,G$2080,0),0)</f>
        <v>CCGG</v>
      </c>
      <c r="H329" s="18" t="str">
        <f>IFERROR(VLOOKUP($D329,본공사입.출고현황!$B:$H,H$2080,0),0)</f>
        <v>ф10, 1ton=1,620.7m</v>
      </c>
      <c r="I329" s="56" t="str">
        <f>IFERROR(VLOOKUP($D329,본공사입.출고현황!$B:$H,I$2080,0),0)</f>
        <v>M</v>
      </c>
      <c r="J329" s="9">
        <v>1</v>
      </c>
      <c r="K329" s="9" t="s">
        <v>352</v>
      </c>
      <c r="L329" s="37">
        <v>55</v>
      </c>
      <c r="M329" s="64" t="s">
        <v>358</v>
      </c>
      <c r="N329" s="42"/>
    </row>
    <row r="330" spans="1:14" ht="24" customHeight="1">
      <c r="A330" s="8">
        <v>286</v>
      </c>
      <c r="B330" s="9">
        <v>286</v>
      </c>
      <c r="C330" s="46">
        <v>45935</v>
      </c>
      <c r="D330" s="9" t="s">
        <v>407</v>
      </c>
      <c r="E330" s="56" t="str">
        <f>IFERROR(VLOOKUP($D330,본공사입.출고현황!$B:$H,E$2080,0),0)</f>
        <v>Steel round bar</v>
      </c>
      <c r="F330" s="18" t="str">
        <f>IFERROR(VLOOKUP($D330,본공사입.출고현황!$B:$H,F$2080,0),0)</f>
        <v>Steel round bar(rebar)</v>
      </c>
      <c r="G330" s="18" t="str">
        <f>IFERROR(VLOOKUP($D330,본공사입.출고현황!$B:$H,G$2080,0),0)</f>
        <v>CCGG</v>
      </c>
      <c r="H330" s="18" t="str">
        <f>IFERROR(VLOOKUP($D330,본공사입.출고현황!$B:$H,H$2080,0),0)</f>
        <v>ф10, 1ton=1,620.7m</v>
      </c>
      <c r="I330" s="56" t="str">
        <f>IFERROR(VLOOKUP($D330,본공사입.출고현황!$B:$H,I$2080,0),0)</f>
        <v>M</v>
      </c>
      <c r="J330" s="9">
        <v>2</v>
      </c>
      <c r="K330" s="9" t="s">
        <v>360</v>
      </c>
      <c r="L330" s="37">
        <v>50</v>
      </c>
      <c r="M330" s="64" t="s">
        <v>358</v>
      </c>
      <c r="N330" s="42"/>
    </row>
    <row r="331" spans="1:14" ht="24" customHeight="1">
      <c r="A331" s="8">
        <v>287</v>
      </c>
      <c r="B331" s="9">
        <v>287</v>
      </c>
      <c r="C331" s="46">
        <v>45935</v>
      </c>
      <c r="D331" s="9" t="s">
        <v>407</v>
      </c>
      <c r="E331" s="56" t="str">
        <f>IFERROR(VLOOKUP($D331,본공사입.출고현황!$B:$H,E$2080,0),0)</f>
        <v>Steel round bar</v>
      </c>
      <c r="F331" s="18" t="str">
        <f>IFERROR(VLOOKUP($D331,본공사입.출고현황!$B:$H,F$2080,0),0)</f>
        <v>Steel round bar(rebar)</v>
      </c>
      <c r="G331" s="18" t="str">
        <f>IFERROR(VLOOKUP($D331,본공사입.출고현황!$B:$H,G$2080,0),0)</f>
        <v>CCGG</v>
      </c>
      <c r="H331" s="18" t="str">
        <f>IFERROR(VLOOKUP($D331,본공사입.출고현황!$B:$H,H$2080,0),0)</f>
        <v>ф10, 1ton=1,620.7m</v>
      </c>
      <c r="I331" s="56" t="str">
        <f>IFERROR(VLOOKUP($D331,본공사입.출고현황!$B:$H,I$2080,0),0)</f>
        <v>M</v>
      </c>
      <c r="J331" s="9">
        <v>1</v>
      </c>
      <c r="K331" s="9" t="s">
        <v>547</v>
      </c>
      <c r="L331" s="37">
        <v>37.5</v>
      </c>
      <c r="M331" s="64" t="s">
        <v>358</v>
      </c>
      <c r="N331" s="42"/>
    </row>
    <row r="332" spans="1:14" ht="24" customHeight="1">
      <c r="A332" s="8">
        <v>288</v>
      </c>
      <c r="B332" s="9">
        <v>288</v>
      </c>
      <c r="C332" s="46">
        <v>45935</v>
      </c>
      <c r="D332" s="9" t="s">
        <v>407</v>
      </c>
      <c r="E332" s="56" t="str">
        <f>IFERROR(VLOOKUP($D332,본공사입.출고현황!$B:$H,E$2080,0),0)</f>
        <v>Steel round bar</v>
      </c>
      <c r="F332" s="18" t="str">
        <f>IFERROR(VLOOKUP($D332,본공사입.출고현황!$B:$H,F$2080,0),0)</f>
        <v>Steel round bar(rebar)</v>
      </c>
      <c r="G332" s="18" t="str">
        <f>IFERROR(VLOOKUP($D332,본공사입.출고현황!$B:$H,G$2080,0),0)</f>
        <v>CCGG</v>
      </c>
      <c r="H332" s="18" t="str">
        <f>IFERROR(VLOOKUP($D332,본공사입.출고현황!$B:$H,H$2080,0),0)</f>
        <v>ф10, 1ton=1,620.7m</v>
      </c>
      <c r="I332" s="56" t="str">
        <f>IFERROR(VLOOKUP($D332,본공사입.출고현황!$B:$H,I$2080,0),0)</f>
        <v>M</v>
      </c>
      <c r="J332" s="9">
        <v>1</v>
      </c>
      <c r="K332" s="9" t="s">
        <v>545</v>
      </c>
      <c r="L332" s="37">
        <v>25</v>
      </c>
      <c r="M332" s="64" t="s">
        <v>358</v>
      </c>
      <c r="N332" s="42"/>
    </row>
    <row r="333" spans="1:14" ht="24" customHeight="1">
      <c r="A333" s="8">
        <v>289</v>
      </c>
      <c r="B333" s="9">
        <v>289</v>
      </c>
      <c r="C333" s="46">
        <v>45936</v>
      </c>
      <c r="D333" s="9" t="s">
        <v>407</v>
      </c>
      <c r="E333" s="56" t="str">
        <f>IFERROR(VLOOKUP($D333,본공사입.출고현황!$B:$H,E$2080,0),0)</f>
        <v>Steel round bar</v>
      </c>
      <c r="F333" s="18" t="str">
        <f>IFERROR(VLOOKUP($D333,본공사입.출고현황!$B:$H,F$2080,0),0)</f>
        <v>Steel round bar(rebar)</v>
      </c>
      <c r="G333" s="18" t="str">
        <f>IFERROR(VLOOKUP($D333,본공사입.출고현황!$B:$H,G$2080,0),0)</f>
        <v>CCGG</v>
      </c>
      <c r="H333" s="18" t="str">
        <f>IFERROR(VLOOKUP($D333,본공사입.출고현황!$B:$H,H$2080,0),0)</f>
        <v>ф10, 1ton=1,620.7m</v>
      </c>
      <c r="I333" s="56" t="str">
        <f>IFERROR(VLOOKUP($D333,본공사입.출고현황!$B:$H,I$2080,0),0)</f>
        <v>M</v>
      </c>
      <c r="J333" s="9">
        <v>2</v>
      </c>
      <c r="K333" s="9" t="s">
        <v>241</v>
      </c>
      <c r="L333" s="37">
        <v>15</v>
      </c>
      <c r="M333" s="64" t="s">
        <v>358</v>
      </c>
      <c r="N333" s="42"/>
    </row>
    <row r="334" spans="1:14" ht="24" customHeight="1">
      <c r="A334" s="8">
        <v>290</v>
      </c>
      <c r="B334" s="9">
        <v>290</v>
      </c>
      <c r="C334" s="46">
        <v>45936</v>
      </c>
      <c r="D334" s="9" t="s">
        <v>407</v>
      </c>
      <c r="E334" s="56" t="str">
        <f>IFERROR(VLOOKUP($D334,본공사입.출고현황!$B:$H,E$2080,0),0)</f>
        <v>Steel round bar</v>
      </c>
      <c r="F334" s="18" t="str">
        <f>IFERROR(VLOOKUP($D334,본공사입.출고현황!$B:$H,F$2080,0),0)</f>
        <v>Steel round bar(rebar)</v>
      </c>
      <c r="G334" s="18" t="str">
        <f>IFERROR(VLOOKUP($D334,본공사입.출고현황!$B:$H,G$2080,0),0)</f>
        <v>CCGG</v>
      </c>
      <c r="H334" s="18" t="str">
        <f>IFERROR(VLOOKUP($D334,본공사입.출고현황!$B:$H,H$2080,0),0)</f>
        <v>ф10, 1ton=1,620.7m</v>
      </c>
      <c r="I334" s="56" t="str">
        <f>IFERROR(VLOOKUP($D334,본공사입.출고현황!$B:$H,I$2080,0),0)</f>
        <v>M</v>
      </c>
      <c r="J334" s="9">
        <v>4</v>
      </c>
      <c r="K334" s="9" t="s">
        <v>351</v>
      </c>
      <c r="L334" s="37">
        <v>10</v>
      </c>
      <c r="M334" s="64" t="s">
        <v>358</v>
      </c>
      <c r="N334" s="42"/>
    </row>
    <row r="335" spans="1:14" ht="24" customHeight="1">
      <c r="A335" s="8">
        <v>291</v>
      </c>
      <c r="B335" s="9">
        <v>291</v>
      </c>
      <c r="C335" s="46">
        <v>45936</v>
      </c>
      <c r="D335" s="9" t="s">
        <v>424</v>
      </c>
      <c r="E335" s="56" t="str">
        <f>IFERROR(VLOOKUP($D335,본공사입.출고현황!$B:$H,E$2080,0),0)</f>
        <v>Angle</v>
      </c>
      <c r="F335" s="18" t="str">
        <f>IFERROR(VLOOKUP($D335,본공사입.출고현황!$B:$H,F$2080,0),0)</f>
        <v>Angle 100x100x10</v>
      </c>
      <c r="G335" s="18" t="str">
        <f>IFERROR(VLOOKUP($D335,본공사입.출고현황!$B:$H,G$2080,0),0)</f>
        <v>CCGG</v>
      </c>
      <c r="H335" s="18" t="str">
        <f>IFERROR(VLOOKUP($D335,본공사입.출고현황!$B:$H,H$2080,0),0)</f>
        <v>100x100x10 (12m)</v>
      </c>
      <c r="I335" s="56" t="str">
        <f>IFERROR(VLOOKUP($D335,본공사입.출고현황!$B:$H,I$2080,0),0)</f>
        <v>M</v>
      </c>
      <c r="J335" s="9">
        <v>4</v>
      </c>
      <c r="K335" s="9" t="s">
        <v>351</v>
      </c>
      <c r="L335" s="37">
        <v>2</v>
      </c>
      <c r="M335" s="64" t="s">
        <v>358</v>
      </c>
      <c r="N335" s="42"/>
    </row>
    <row r="336" spans="1:14" ht="24" customHeight="1">
      <c r="A336" s="8">
        <v>292</v>
      </c>
      <c r="B336" s="9">
        <v>292</v>
      </c>
      <c r="C336" s="46">
        <v>45936</v>
      </c>
      <c r="D336" s="9" t="s">
        <v>407</v>
      </c>
      <c r="E336" s="56" t="str">
        <f>IFERROR(VLOOKUP($D336,본공사입.출고현황!$B:$H,E$2080,0),0)</f>
        <v>Steel round bar</v>
      </c>
      <c r="F336" s="18" t="str">
        <f>IFERROR(VLOOKUP($D336,본공사입.출고현황!$B:$H,F$2080,0),0)</f>
        <v>Steel round bar(rebar)</v>
      </c>
      <c r="G336" s="18" t="str">
        <f>IFERROR(VLOOKUP($D336,본공사입.출고현황!$B:$H,G$2080,0),0)</f>
        <v>CCGG</v>
      </c>
      <c r="H336" s="18" t="str">
        <f>IFERROR(VLOOKUP($D336,본공사입.출고현황!$B:$H,H$2080,0),0)</f>
        <v>ф10, 1ton=1,620.7m</v>
      </c>
      <c r="I336" s="56" t="str">
        <f>IFERROR(VLOOKUP($D336,본공사입.출고현황!$B:$H,I$2080,0),0)</f>
        <v>M</v>
      </c>
      <c r="J336" s="9">
        <v>1</v>
      </c>
      <c r="K336" s="9" t="s">
        <v>545</v>
      </c>
      <c r="L336" s="37">
        <v>25</v>
      </c>
      <c r="M336" s="64" t="s">
        <v>358</v>
      </c>
      <c r="N336" s="42"/>
    </row>
    <row r="337" spans="1:14" ht="24" customHeight="1">
      <c r="A337" s="8">
        <v>293</v>
      </c>
      <c r="B337" s="9">
        <v>293</v>
      </c>
      <c r="C337" s="46">
        <v>45936</v>
      </c>
      <c r="D337" s="9" t="s">
        <v>407</v>
      </c>
      <c r="E337" s="56" t="str">
        <f>IFERROR(VLOOKUP($D337,본공사입.출고현황!$B:$H,E$2080,0),0)</f>
        <v>Steel round bar</v>
      </c>
      <c r="F337" s="18" t="str">
        <f>IFERROR(VLOOKUP($D337,본공사입.출고현황!$B:$H,F$2080,0),0)</f>
        <v>Steel round bar(rebar)</v>
      </c>
      <c r="G337" s="18" t="str">
        <f>IFERROR(VLOOKUP($D337,본공사입.출고현황!$B:$H,G$2080,0),0)</f>
        <v>CCGG</v>
      </c>
      <c r="H337" s="18" t="str">
        <f>IFERROR(VLOOKUP($D337,본공사입.출고현황!$B:$H,H$2080,0),0)</f>
        <v>ф10, 1ton=1,620.7m</v>
      </c>
      <c r="I337" s="56" t="str">
        <f>IFERROR(VLOOKUP($D337,본공사입.출고현황!$B:$H,I$2080,0),0)</f>
        <v>M</v>
      </c>
      <c r="J337" s="9">
        <v>3</v>
      </c>
      <c r="K337" s="9" t="s">
        <v>237</v>
      </c>
      <c r="L337" s="37">
        <v>20</v>
      </c>
      <c r="M337" s="64" t="s">
        <v>358</v>
      </c>
      <c r="N337" s="42"/>
    </row>
    <row r="338" spans="1:14" ht="24" customHeight="1">
      <c r="A338" s="8">
        <v>294</v>
      </c>
      <c r="B338" s="9">
        <v>294</v>
      </c>
      <c r="C338" s="46">
        <v>45936</v>
      </c>
      <c r="D338" s="9" t="s">
        <v>407</v>
      </c>
      <c r="E338" s="56" t="str">
        <f>IFERROR(VLOOKUP($D338,본공사입.출고현황!$B:$H,E$2080,0),0)</f>
        <v>Steel round bar</v>
      </c>
      <c r="F338" s="18" t="str">
        <f>IFERROR(VLOOKUP($D338,본공사입.출고현황!$B:$H,F$2080,0),0)</f>
        <v>Steel round bar(rebar)</v>
      </c>
      <c r="G338" s="18" t="str">
        <f>IFERROR(VLOOKUP($D338,본공사입.출고현황!$B:$H,G$2080,0),0)</f>
        <v>CCGG</v>
      </c>
      <c r="H338" s="18" t="str">
        <f>IFERROR(VLOOKUP($D338,본공사입.출고현황!$B:$H,H$2080,0),0)</f>
        <v>ф10, 1ton=1,620.7m</v>
      </c>
      <c r="I338" s="56" t="str">
        <f>IFERROR(VLOOKUP($D338,본공사입.출고현황!$B:$H,I$2080,0),0)</f>
        <v>M</v>
      </c>
      <c r="J338" s="9">
        <v>1</v>
      </c>
      <c r="K338" s="9" t="s">
        <v>352</v>
      </c>
      <c r="L338" s="37">
        <v>125</v>
      </c>
      <c r="M338" s="64" t="s">
        <v>358</v>
      </c>
      <c r="N338" s="42"/>
    </row>
    <row r="339" spans="1:14" ht="24" customHeight="1">
      <c r="A339" s="8">
        <v>295</v>
      </c>
      <c r="B339" s="9">
        <v>295</v>
      </c>
      <c r="C339" s="46">
        <v>45937</v>
      </c>
      <c r="D339" s="9" t="s">
        <v>407</v>
      </c>
      <c r="E339" s="56" t="str">
        <f>IFERROR(VLOOKUP($D339,본공사입.출고현황!$B:$H,E$2080,0),0)</f>
        <v>Steel round bar</v>
      </c>
      <c r="F339" s="18" t="str">
        <f>IFERROR(VLOOKUP($D339,본공사입.출고현황!$B:$H,F$2080,0),0)</f>
        <v>Steel round bar(rebar)</v>
      </c>
      <c r="G339" s="18" t="str">
        <f>IFERROR(VLOOKUP($D339,본공사입.출고현황!$B:$H,G$2080,0),0)</f>
        <v>CCGG</v>
      </c>
      <c r="H339" s="18" t="str">
        <f>IFERROR(VLOOKUP($D339,본공사입.출고현황!$B:$H,H$2080,0),0)</f>
        <v>ф10, 1ton=1,620.7m</v>
      </c>
      <c r="I339" s="56" t="str">
        <f>IFERROR(VLOOKUP($D339,본공사입.출고현황!$B:$H,I$2080,0),0)</f>
        <v>M</v>
      </c>
      <c r="J339" s="9">
        <v>1</v>
      </c>
      <c r="K339" s="9" t="s">
        <v>363</v>
      </c>
      <c r="L339" s="37">
        <v>55</v>
      </c>
      <c r="M339" s="64" t="s">
        <v>358</v>
      </c>
      <c r="N339" s="42"/>
    </row>
    <row r="340" spans="1:14" ht="24" customHeight="1">
      <c r="A340" s="8">
        <v>296</v>
      </c>
      <c r="B340" s="9">
        <v>296</v>
      </c>
      <c r="C340" s="46">
        <v>45937</v>
      </c>
      <c r="D340" s="9" t="s">
        <v>407</v>
      </c>
      <c r="E340" s="56" t="str">
        <f>IFERROR(VLOOKUP($D340,본공사입.출고현황!$B:$H,E$2080,0),0)</f>
        <v>Steel round bar</v>
      </c>
      <c r="F340" s="18" t="str">
        <f>IFERROR(VLOOKUP($D340,본공사입.출고현황!$B:$H,F$2080,0),0)</f>
        <v>Steel round bar(rebar)</v>
      </c>
      <c r="G340" s="18" t="str">
        <f>IFERROR(VLOOKUP($D340,본공사입.출고현황!$B:$H,G$2080,0),0)</f>
        <v>CCGG</v>
      </c>
      <c r="H340" s="18" t="str">
        <f>IFERROR(VLOOKUP($D340,본공사입.출고현황!$B:$H,H$2080,0),0)</f>
        <v>ф10, 1ton=1,620.7m</v>
      </c>
      <c r="I340" s="56" t="str">
        <f>IFERROR(VLOOKUP($D340,본공사입.출고현황!$B:$H,I$2080,0),0)</f>
        <v>M</v>
      </c>
      <c r="J340" s="9">
        <v>2</v>
      </c>
      <c r="K340" s="9" t="s">
        <v>241</v>
      </c>
      <c r="L340" s="37">
        <v>15</v>
      </c>
      <c r="M340" s="64" t="s">
        <v>358</v>
      </c>
      <c r="N340" s="42"/>
    </row>
    <row r="341" spans="1:14" ht="24" customHeight="1">
      <c r="A341" s="8">
        <v>297</v>
      </c>
      <c r="B341" s="9">
        <v>297</v>
      </c>
      <c r="C341" s="46">
        <v>45937</v>
      </c>
      <c r="D341" s="9" t="s">
        <v>407</v>
      </c>
      <c r="E341" s="56" t="str">
        <f>IFERROR(VLOOKUP($D341,본공사입.출고현황!$B:$H,E$2080,0),0)</f>
        <v>Steel round bar</v>
      </c>
      <c r="F341" s="18" t="str">
        <f>IFERROR(VLOOKUP($D341,본공사입.출고현황!$B:$H,F$2080,0),0)</f>
        <v>Steel round bar(rebar)</v>
      </c>
      <c r="G341" s="18" t="str">
        <f>IFERROR(VLOOKUP($D341,본공사입.출고현황!$B:$H,G$2080,0),0)</f>
        <v>CCGG</v>
      </c>
      <c r="H341" s="18" t="str">
        <f>IFERROR(VLOOKUP($D341,본공사입.출고현황!$B:$H,H$2080,0),0)</f>
        <v>ф10, 1ton=1,620.7m</v>
      </c>
      <c r="I341" s="56" t="str">
        <f>IFERROR(VLOOKUP($D341,본공사입.출고현황!$B:$H,I$2080,0),0)</f>
        <v>M</v>
      </c>
      <c r="J341" s="9">
        <v>3</v>
      </c>
      <c r="K341" s="9" t="s">
        <v>237</v>
      </c>
      <c r="L341" s="37">
        <v>20</v>
      </c>
      <c r="M341" s="64" t="s">
        <v>358</v>
      </c>
      <c r="N341" s="42"/>
    </row>
    <row r="342" spans="1:14" ht="24" customHeight="1">
      <c r="A342" s="8">
        <v>298</v>
      </c>
      <c r="B342" s="9">
        <v>298</v>
      </c>
      <c r="C342" s="46">
        <v>45937</v>
      </c>
      <c r="D342" s="9" t="s">
        <v>407</v>
      </c>
      <c r="E342" s="56" t="str">
        <f>IFERROR(VLOOKUP($D342,본공사입.출고현황!$B:$H,E$2080,0),0)</f>
        <v>Steel round bar</v>
      </c>
      <c r="F342" s="18" t="str">
        <f>IFERROR(VLOOKUP($D342,본공사입.출고현황!$B:$H,F$2080,0),0)</f>
        <v>Steel round bar(rebar)</v>
      </c>
      <c r="G342" s="18" t="str">
        <f>IFERROR(VLOOKUP($D342,본공사입.출고현황!$B:$H,G$2080,0),0)</f>
        <v>CCGG</v>
      </c>
      <c r="H342" s="18" t="str">
        <f>IFERROR(VLOOKUP($D342,본공사입.출고현황!$B:$H,H$2080,0),0)</f>
        <v>ф10, 1ton=1,620.7m</v>
      </c>
      <c r="I342" s="56" t="str">
        <f>IFERROR(VLOOKUP($D342,본공사입.출고현황!$B:$H,I$2080,0),0)</f>
        <v>M</v>
      </c>
      <c r="J342" s="9">
        <v>1</v>
      </c>
      <c r="K342" s="9" t="s">
        <v>545</v>
      </c>
      <c r="L342" s="37">
        <v>5</v>
      </c>
      <c r="M342" s="64" t="s">
        <v>358</v>
      </c>
      <c r="N342" s="42"/>
    </row>
    <row r="343" spans="1:14" ht="24" customHeight="1">
      <c r="A343" s="8">
        <v>299</v>
      </c>
      <c r="B343" s="9">
        <v>299</v>
      </c>
      <c r="C343" s="46">
        <v>45937</v>
      </c>
      <c r="D343" s="9" t="s">
        <v>407</v>
      </c>
      <c r="E343" s="56" t="str">
        <f>IFERROR(VLOOKUP($D343,본공사입.출고현황!$B:$H,E$2080,0),0)</f>
        <v>Steel round bar</v>
      </c>
      <c r="F343" s="18" t="str">
        <f>IFERROR(VLOOKUP($D343,본공사입.출고현황!$B:$H,F$2080,0),0)</f>
        <v>Steel round bar(rebar)</v>
      </c>
      <c r="G343" s="18" t="str">
        <f>IFERROR(VLOOKUP($D343,본공사입.출고현황!$B:$H,G$2080,0),0)</f>
        <v>CCGG</v>
      </c>
      <c r="H343" s="18" t="str">
        <f>IFERROR(VLOOKUP($D343,본공사입.출고현황!$B:$H,H$2080,0),0)</f>
        <v>ф10, 1ton=1,620.7m</v>
      </c>
      <c r="I343" s="56" t="str">
        <f>IFERROR(VLOOKUP($D343,본공사입.출고현황!$B:$H,I$2080,0),0)</f>
        <v>M</v>
      </c>
      <c r="J343" s="9">
        <v>2</v>
      </c>
      <c r="K343" s="9" t="s">
        <v>360</v>
      </c>
      <c r="L343" s="37">
        <v>50</v>
      </c>
      <c r="M343" s="64" t="s">
        <v>358</v>
      </c>
      <c r="N343" s="42"/>
    </row>
    <row r="344" spans="1:14" ht="24" customHeight="1">
      <c r="A344" s="8">
        <v>300</v>
      </c>
      <c r="B344" s="9">
        <v>300</v>
      </c>
      <c r="C344" s="46">
        <v>45937</v>
      </c>
      <c r="D344" s="9" t="s">
        <v>407</v>
      </c>
      <c r="E344" s="56" t="str">
        <f>IFERROR(VLOOKUP($D344,본공사입.출고현황!$B:$H,E$2080,0),0)</f>
        <v>Steel round bar</v>
      </c>
      <c r="F344" s="18" t="str">
        <f>IFERROR(VLOOKUP($D344,본공사입.출고현황!$B:$H,F$2080,0),0)</f>
        <v>Steel round bar(rebar)</v>
      </c>
      <c r="G344" s="18" t="str">
        <f>IFERROR(VLOOKUP($D344,본공사입.출고현황!$B:$H,G$2080,0),0)</f>
        <v>CCGG</v>
      </c>
      <c r="H344" s="18" t="str">
        <f>IFERROR(VLOOKUP($D344,본공사입.출고현황!$B:$H,H$2080,0),0)</f>
        <v>ф10, 1ton=1,620.7m</v>
      </c>
      <c r="I344" s="56" t="str">
        <f>IFERROR(VLOOKUP($D344,본공사입.출고현황!$B:$H,I$2080,0),0)</f>
        <v>M</v>
      </c>
      <c r="J344" s="9">
        <v>1</v>
      </c>
      <c r="K344" s="9" t="s">
        <v>547</v>
      </c>
      <c r="L344" s="37">
        <v>15</v>
      </c>
      <c r="M344" s="64" t="s">
        <v>358</v>
      </c>
      <c r="N344" s="42"/>
    </row>
    <row r="345" spans="1:14" ht="24" customHeight="1">
      <c r="A345" s="8">
        <v>301</v>
      </c>
      <c r="B345" s="9">
        <v>301</v>
      </c>
      <c r="C345" s="46">
        <v>45937</v>
      </c>
      <c r="D345" s="9" t="s">
        <v>407</v>
      </c>
      <c r="E345" s="56" t="str">
        <f>IFERROR(VLOOKUP($D345,본공사입.출고현황!$B:$H,E$2080,0),0)</f>
        <v>Steel round bar</v>
      </c>
      <c r="F345" s="18" t="str">
        <f>IFERROR(VLOOKUP($D345,본공사입.출고현황!$B:$H,F$2080,0),0)</f>
        <v>Steel round bar(rebar)</v>
      </c>
      <c r="G345" s="18" t="str">
        <f>IFERROR(VLOOKUP($D345,본공사입.출고현황!$B:$H,G$2080,0),0)</f>
        <v>CCGG</v>
      </c>
      <c r="H345" s="18" t="str">
        <f>IFERROR(VLOOKUP($D345,본공사입.출고현황!$B:$H,H$2080,0),0)</f>
        <v>ф10, 1ton=1,620.7m</v>
      </c>
      <c r="I345" s="56" t="str">
        <f>IFERROR(VLOOKUP($D345,본공사입.출고현황!$B:$H,I$2080,0),0)</f>
        <v>M</v>
      </c>
      <c r="J345" s="9">
        <v>3</v>
      </c>
      <c r="K345" s="9" t="s">
        <v>550</v>
      </c>
      <c r="L345" s="37">
        <v>25</v>
      </c>
      <c r="M345" s="64" t="s">
        <v>358</v>
      </c>
      <c r="N345" s="42"/>
    </row>
    <row r="346" spans="1:14" ht="24" customHeight="1">
      <c r="A346" s="8">
        <v>302</v>
      </c>
      <c r="B346" s="9">
        <v>302</v>
      </c>
      <c r="C346" s="46">
        <v>45938</v>
      </c>
      <c r="D346" s="9" t="s">
        <v>407</v>
      </c>
      <c r="E346" s="56" t="str">
        <f>IFERROR(VLOOKUP($D346,본공사입.출고현황!$B:$H,E$2080,0),0)</f>
        <v>Steel round bar</v>
      </c>
      <c r="F346" s="18" t="str">
        <f>IFERROR(VLOOKUP($D346,본공사입.출고현황!$B:$H,F$2080,0),0)</f>
        <v>Steel round bar(rebar)</v>
      </c>
      <c r="G346" s="18" t="str">
        <f>IFERROR(VLOOKUP($D346,본공사입.출고현황!$B:$H,G$2080,0),0)</f>
        <v>CCGG</v>
      </c>
      <c r="H346" s="18" t="str">
        <f>IFERROR(VLOOKUP($D346,본공사입.출고현황!$B:$H,H$2080,0),0)</f>
        <v>ф10, 1ton=1,620.7m</v>
      </c>
      <c r="I346" s="56" t="str">
        <f>IFERROR(VLOOKUP($D346,본공사입.출고현황!$B:$H,I$2080,0),0)</f>
        <v>M</v>
      </c>
      <c r="J346" s="9">
        <v>3</v>
      </c>
      <c r="K346" s="9" t="s">
        <v>550</v>
      </c>
      <c r="L346" s="37">
        <v>30</v>
      </c>
      <c r="M346" s="64" t="s">
        <v>358</v>
      </c>
      <c r="N346" s="42"/>
    </row>
    <row r="347" spans="1:14" ht="24" customHeight="1">
      <c r="A347" s="8">
        <v>303</v>
      </c>
      <c r="B347" s="9">
        <v>303</v>
      </c>
      <c r="C347" s="46">
        <v>45938</v>
      </c>
      <c r="D347" s="9" t="s">
        <v>407</v>
      </c>
      <c r="E347" s="56" t="str">
        <f>IFERROR(VLOOKUP($D347,본공사입.출고현황!$B:$H,E$2080,0),0)</f>
        <v>Steel round bar</v>
      </c>
      <c r="F347" s="18" t="str">
        <f>IFERROR(VLOOKUP($D347,본공사입.출고현황!$B:$H,F$2080,0),0)</f>
        <v>Steel round bar(rebar)</v>
      </c>
      <c r="G347" s="18" t="str">
        <f>IFERROR(VLOOKUP($D347,본공사입.출고현황!$B:$H,G$2080,0),0)</f>
        <v>CCGG</v>
      </c>
      <c r="H347" s="18" t="str">
        <f>IFERROR(VLOOKUP($D347,본공사입.출고현황!$B:$H,H$2080,0),0)</f>
        <v>ф10, 1ton=1,620.7m</v>
      </c>
      <c r="I347" s="56" t="str">
        <f>IFERROR(VLOOKUP($D347,본공사입.출고현황!$B:$H,I$2080,0),0)</f>
        <v>M</v>
      </c>
      <c r="J347" s="9">
        <v>4</v>
      </c>
      <c r="K347" s="9" t="s">
        <v>351</v>
      </c>
      <c r="L347" s="37">
        <v>50</v>
      </c>
      <c r="M347" s="64" t="s">
        <v>358</v>
      </c>
      <c r="N347" s="42"/>
    </row>
    <row r="348" spans="1:14" ht="24" customHeight="1">
      <c r="A348" s="8">
        <v>304</v>
      </c>
      <c r="B348" s="9">
        <v>304</v>
      </c>
      <c r="C348" s="46">
        <v>45938</v>
      </c>
      <c r="D348" s="9" t="s">
        <v>407</v>
      </c>
      <c r="E348" s="56" t="str">
        <f>IFERROR(VLOOKUP($D348,본공사입.출고현황!$B:$H,E$2080,0),0)</f>
        <v>Steel round bar</v>
      </c>
      <c r="F348" s="18" t="str">
        <f>IFERROR(VLOOKUP($D348,본공사입.출고현황!$B:$H,F$2080,0),0)</f>
        <v>Steel round bar(rebar)</v>
      </c>
      <c r="G348" s="18" t="str">
        <f>IFERROR(VLOOKUP($D348,본공사입.출고현황!$B:$H,G$2080,0),0)</f>
        <v>CCGG</v>
      </c>
      <c r="H348" s="18" t="str">
        <f>IFERROR(VLOOKUP($D348,본공사입.출고현황!$B:$H,H$2080,0),0)</f>
        <v>ф10, 1ton=1,620.7m</v>
      </c>
      <c r="I348" s="56" t="str">
        <f>IFERROR(VLOOKUP($D348,본공사입.출고현황!$B:$H,I$2080,0),0)</f>
        <v>M</v>
      </c>
      <c r="J348" s="9">
        <v>2</v>
      </c>
      <c r="K348" s="9" t="s">
        <v>546</v>
      </c>
      <c r="L348" s="37">
        <v>45</v>
      </c>
      <c r="M348" s="64" t="s">
        <v>358</v>
      </c>
      <c r="N348" s="42"/>
    </row>
    <row r="349" spans="1:14" ht="24" customHeight="1">
      <c r="A349" s="8">
        <v>305</v>
      </c>
      <c r="B349" s="9">
        <v>305</v>
      </c>
      <c r="C349" s="46">
        <v>45938</v>
      </c>
      <c r="D349" s="9" t="s">
        <v>407</v>
      </c>
      <c r="E349" s="56" t="str">
        <f>IFERROR(VLOOKUP($D349,본공사입.출고현황!$B:$H,E$2080,0),0)</f>
        <v>Steel round bar</v>
      </c>
      <c r="F349" s="18" t="str">
        <f>IFERROR(VLOOKUP($D349,본공사입.출고현황!$B:$H,F$2080,0),0)</f>
        <v>Steel round bar(rebar)</v>
      </c>
      <c r="G349" s="18" t="str">
        <f>IFERROR(VLOOKUP($D349,본공사입.출고현황!$B:$H,G$2080,0),0)</f>
        <v>CCGG</v>
      </c>
      <c r="H349" s="18" t="str">
        <f>IFERROR(VLOOKUP($D349,본공사입.출고현황!$B:$H,H$2080,0),0)</f>
        <v>ф10, 1ton=1,620.7m</v>
      </c>
      <c r="I349" s="56" t="str">
        <f>IFERROR(VLOOKUP($D349,본공사입.출고현황!$B:$H,I$2080,0),0)</f>
        <v>M</v>
      </c>
      <c r="J349" s="9">
        <v>1</v>
      </c>
      <c r="K349" s="9" t="s">
        <v>363</v>
      </c>
      <c r="L349" s="37">
        <v>15</v>
      </c>
      <c r="M349" s="64" t="s">
        <v>358</v>
      </c>
      <c r="N349" s="42"/>
    </row>
    <row r="350" spans="1:14" ht="24" customHeight="1">
      <c r="A350" s="8">
        <v>306</v>
      </c>
      <c r="B350" s="9">
        <v>306</v>
      </c>
      <c r="C350" s="46">
        <v>45938</v>
      </c>
      <c r="D350" s="9" t="s">
        <v>407</v>
      </c>
      <c r="E350" s="56" t="str">
        <f>IFERROR(VLOOKUP($D350,본공사입.출고현황!$B:$H,E$2080,0),0)</f>
        <v>Steel round bar</v>
      </c>
      <c r="F350" s="18" t="str">
        <f>IFERROR(VLOOKUP($D350,본공사입.출고현황!$B:$H,F$2080,0),0)</f>
        <v>Steel round bar(rebar)</v>
      </c>
      <c r="G350" s="18" t="str">
        <f>IFERROR(VLOOKUP($D350,본공사입.출고현황!$B:$H,G$2080,0),0)</f>
        <v>CCGG</v>
      </c>
      <c r="H350" s="18" t="str">
        <f>IFERROR(VLOOKUP($D350,본공사입.출고현황!$B:$H,H$2080,0),0)</f>
        <v>ф10, 1ton=1,620.7m</v>
      </c>
      <c r="I350" s="56" t="str">
        <f>IFERROR(VLOOKUP($D350,본공사입.출고현황!$B:$H,I$2080,0),0)</f>
        <v>M</v>
      </c>
      <c r="J350" s="9">
        <v>1</v>
      </c>
      <c r="K350" s="9" t="s">
        <v>352</v>
      </c>
      <c r="L350" s="37">
        <v>20</v>
      </c>
      <c r="M350" s="64" t="s">
        <v>358</v>
      </c>
      <c r="N350" s="42"/>
    </row>
    <row r="351" spans="1:14" ht="24" customHeight="1">
      <c r="A351" s="8">
        <v>307</v>
      </c>
      <c r="B351" s="9">
        <v>307</v>
      </c>
      <c r="C351" s="46">
        <v>45938</v>
      </c>
      <c r="D351" s="9" t="s">
        <v>424</v>
      </c>
      <c r="E351" s="56" t="str">
        <f>IFERROR(VLOOKUP($D351,본공사입.출고현황!$B:$H,E$2080,0),0)</f>
        <v>Angle</v>
      </c>
      <c r="F351" s="18" t="str">
        <f>IFERROR(VLOOKUP($D351,본공사입.출고현황!$B:$H,F$2080,0),0)</f>
        <v>Angle 100x100x10</v>
      </c>
      <c r="G351" s="18" t="str">
        <f>IFERROR(VLOOKUP($D351,본공사입.출고현황!$B:$H,G$2080,0),0)</f>
        <v>CCGG</v>
      </c>
      <c r="H351" s="18" t="str">
        <f>IFERROR(VLOOKUP($D351,본공사입.출고현황!$B:$H,H$2080,0),0)</f>
        <v>100x100x10 (12m)</v>
      </c>
      <c r="I351" s="56" t="str">
        <f>IFERROR(VLOOKUP($D351,본공사입.출고현황!$B:$H,I$2080,0),0)</f>
        <v>M</v>
      </c>
      <c r="J351" s="9">
        <v>1</v>
      </c>
      <c r="K351" s="9" t="s">
        <v>352</v>
      </c>
      <c r="L351" s="37">
        <v>2</v>
      </c>
      <c r="M351" s="64" t="s">
        <v>358</v>
      </c>
      <c r="N351" s="42"/>
    </row>
    <row r="352" spans="1:14" ht="24" customHeight="1">
      <c r="A352" s="8">
        <v>308</v>
      </c>
      <c r="B352" s="9">
        <v>308</v>
      </c>
      <c r="C352" s="46">
        <v>45939</v>
      </c>
      <c r="D352" s="9" t="s">
        <v>407</v>
      </c>
      <c r="E352" s="56" t="str">
        <f>IFERROR(VLOOKUP($D352,본공사입.출고현황!$B:$H,E$2080,0),0)</f>
        <v>Steel round bar</v>
      </c>
      <c r="F352" s="18" t="str">
        <f>IFERROR(VLOOKUP($D352,본공사입.출고현황!$B:$H,F$2080,0),0)</f>
        <v>Steel round bar(rebar)</v>
      </c>
      <c r="G352" s="18" t="str">
        <f>IFERROR(VLOOKUP($D352,본공사입.출고현황!$B:$H,G$2080,0),0)</f>
        <v>CCGG</v>
      </c>
      <c r="H352" s="18" t="str">
        <f>IFERROR(VLOOKUP($D352,본공사입.출고현황!$B:$H,H$2080,0),0)</f>
        <v>ф10, 1ton=1,620.7m</v>
      </c>
      <c r="I352" s="56" t="str">
        <f>IFERROR(VLOOKUP($D352,본공사입.출고현황!$B:$H,I$2080,0),0)</f>
        <v>M</v>
      </c>
      <c r="J352" s="9">
        <v>4</v>
      </c>
      <c r="K352" s="9" t="s">
        <v>351</v>
      </c>
      <c r="L352" s="37">
        <v>45</v>
      </c>
      <c r="M352" s="64" t="s">
        <v>358</v>
      </c>
      <c r="N352" s="42"/>
    </row>
    <row r="353" spans="1:14" ht="24" customHeight="1">
      <c r="A353" s="8">
        <v>309</v>
      </c>
      <c r="B353" s="9">
        <v>309</v>
      </c>
      <c r="C353" s="46">
        <v>45939</v>
      </c>
      <c r="D353" s="9" t="s">
        <v>407</v>
      </c>
      <c r="E353" s="56" t="str">
        <f>IFERROR(VLOOKUP($D353,본공사입.출고현황!$B:$H,E$2080,0),0)</f>
        <v>Steel round bar</v>
      </c>
      <c r="F353" s="18" t="str">
        <f>IFERROR(VLOOKUP($D353,본공사입.출고현황!$B:$H,F$2080,0),0)</f>
        <v>Steel round bar(rebar)</v>
      </c>
      <c r="G353" s="18" t="str">
        <f>IFERROR(VLOOKUP($D353,본공사입.출고현황!$B:$H,G$2080,0),0)</f>
        <v>CCGG</v>
      </c>
      <c r="H353" s="18" t="str">
        <f>IFERROR(VLOOKUP($D353,본공사입.출고현황!$B:$H,H$2080,0),0)</f>
        <v>ф10, 1ton=1,620.7m</v>
      </c>
      <c r="I353" s="56" t="str">
        <f>IFERROR(VLOOKUP($D353,본공사입.출고현황!$B:$H,I$2080,0),0)</f>
        <v>M</v>
      </c>
      <c r="J353" s="9">
        <v>1</v>
      </c>
      <c r="K353" s="9" t="s">
        <v>352</v>
      </c>
      <c r="L353" s="37">
        <v>30</v>
      </c>
      <c r="M353" s="64" t="s">
        <v>358</v>
      </c>
      <c r="N353" s="42"/>
    </row>
    <row r="354" spans="1:14" ht="24" customHeight="1">
      <c r="A354" s="8">
        <v>310</v>
      </c>
      <c r="B354" s="9">
        <v>310</v>
      </c>
      <c r="C354" s="46">
        <v>45939</v>
      </c>
      <c r="D354" s="9" t="s">
        <v>407</v>
      </c>
      <c r="E354" s="56" t="str">
        <f>IFERROR(VLOOKUP($D354,본공사입.출고현황!$B:$H,E$2080,0),0)</f>
        <v>Steel round bar</v>
      </c>
      <c r="F354" s="18" t="str">
        <f>IFERROR(VLOOKUP($D354,본공사입.출고현황!$B:$H,F$2080,0),0)</f>
        <v>Steel round bar(rebar)</v>
      </c>
      <c r="G354" s="18" t="str">
        <f>IFERROR(VLOOKUP($D354,본공사입.출고현황!$B:$H,G$2080,0),0)</f>
        <v>CCGG</v>
      </c>
      <c r="H354" s="18" t="str">
        <f>IFERROR(VLOOKUP($D354,본공사입.출고현황!$B:$H,H$2080,0),0)</f>
        <v>ф10, 1ton=1,620.7m</v>
      </c>
      <c r="I354" s="56" t="str">
        <f>IFERROR(VLOOKUP($D354,본공사입.출고현황!$B:$H,I$2080,0),0)</f>
        <v>M</v>
      </c>
      <c r="J354" s="9">
        <v>1</v>
      </c>
      <c r="K354" s="9" t="s">
        <v>363</v>
      </c>
      <c r="L354" s="37">
        <v>25</v>
      </c>
      <c r="M354" s="64" t="s">
        <v>358</v>
      </c>
      <c r="N354" s="42"/>
    </row>
    <row r="355" spans="1:14" ht="24" customHeight="1">
      <c r="A355" s="8">
        <v>311</v>
      </c>
      <c r="B355" s="9">
        <v>311</v>
      </c>
      <c r="C355" s="46">
        <v>45939</v>
      </c>
      <c r="D355" s="9" t="s">
        <v>407</v>
      </c>
      <c r="E355" s="56" t="str">
        <f>IFERROR(VLOOKUP($D355,본공사입.출고현황!$B:$H,E$2080,0),0)</f>
        <v>Steel round bar</v>
      </c>
      <c r="F355" s="18" t="str">
        <f>IFERROR(VLOOKUP($D355,본공사입.출고현황!$B:$H,F$2080,0),0)</f>
        <v>Steel round bar(rebar)</v>
      </c>
      <c r="G355" s="18" t="str">
        <f>IFERROR(VLOOKUP($D355,본공사입.출고현황!$B:$H,G$2080,0),0)</f>
        <v>CCGG</v>
      </c>
      <c r="H355" s="18" t="str">
        <f>IFERROR(VLOOKUP($D355,본공사입.출고현황!$B:$H,H$2080,0),0)</f>
        <v>ф10, 1ton=1,620.7m</v>
      </c>
      <c r="I355" s="56" t="str">
        <f>IFERROR(VLOOKUP($D355,본공사입.출고현황!$B:$H,I$2080,0),0)</f>
        <v>M</v>
      </c>
      <c r="J355" s="9">
        <v>3</v>
      </c>
      <c r="K355" s="9" t="s">
        <v>550</v>
      </c>
      <c r="L355" s="37">
        <v>12</v>
      </c>
      <c r="M355" s="64" t="s">
        <v>358</v>
      </c>
      <c r="N355" s="42"/>
    </row>
    <row r="356" spans="1:14" ht="24" customHeight="1">
      <c r="A356" s="8">
        <v>312</v>
      </c>
      <c r="B356" s="9">
        <v>312</v>
      </c>
      <c r="C356" s="46">
        <v>45940</v>
      </c>
      <c r="D356" s="9" t="s">
        <v>407</v>
      </c>
      <c r="E356" s="56" t="str">
        <f>IFERROR(VLOOKUP($D356,본공사입.출고현황!$B:$H,E$2080,0),0)</f>
        <v>Steel round bar</v>
      </c>
      <c r="F356" s="18" t="str">
        <f>IFERROR(VLOOKUP($D356,본공사입.출고현황!$B:$H,F$2080,0),0)</f>
        <v>Steel round bar(rebar)</v>
      </c>
      <c r="G356" s="18" t="str">
        <f>IFERROR(VLOOKUP($D356,본공사입.출고현황!$B:$H,G$2080,0),0)</f>
        <v>CCGG</v>
      </c>
      <c r="H356" s="18" t="str">
        <f>IFERROR(VLOOKUP($D356,본공사입.출고현황!$B:$H,H$2080,0),0)</f>
        <v>ф10, 1ton=1,620.7m</v>
      </c>
      <c r="I356" s="56" t="str">
        <f>IFERROR(VLOOKUP($D356,본공사입.출고현황!$B:$H,I$2080,0),0)</f>
        <v>M</v>
      </c>
      <c r="J356" s="9">
        <v>2</v>
      </c>
      <c r="K356" s="9" t="s">
        <v>241</v>
      </c>
      <c r="L356" s="37">
        <v>10</v>
      </c>
      <c r="M356" s="64" t="s">
        <v>358</v>
      </c>
      <c r="N356" s="42"/>
    </row>
    <row r="357" spans="1:14" ht="24" customHeight="1">
      <c r="A357" s="8">
        <v>313</v>
      </c>
      <c r="B357" s="9">
        <v>313</v>
      </c>
      <c r="C357" s="46">
        <v>45940</v>
      </c>
      <c r="D357" s="9" t="s">
        <v>407</v>
      </c>
      <c r="E357" s="56" t="str">
        <f>IFERROR(VLOOKUP($D357,본공사입.출고현황!$B:$H,E$2080,0),0)</f>
        <v>Steel round bar</v>
      </c>
      <c r="F357" s="18" t="str">
        <f>IFERROR(VLOOKUP($D357,본공사입.출고현황!$B:$H,F$2080,0),0)</f>
        <v>Steel round bar(rebar)</v>
      </c>
      <c r="G357" s="18" t="str">
        <f>IFERROR(VLOOKUP($D357,본공사입.출고현황!$B:$H,G$2080,0),0)</f>
        <v>CCGG</v>
      </c>
      <c r="H357" s="18" t="str">
        <f>IFERROR(VLOOKUP($D357,본공사입.출고현황!$B:$H,H$2080,0),0)</f>
        <v>ф10, 1ton=1,620.7m</v>
      </c>
      <c r="I357" s="56" t="str">
        <f>IFERROR(VLOOKUP($D357,본공사입.출고현황!$B:$H,I$2080,0),0)</f>
        <v>M</v>
      </c>
      <c r="J357" s="9">
        <v>2</v>
      </c>
      <c r="K357" s="9" t="s">
        <v>241</v>
      </c>
      <c r="L357" s="37">
        <v>10</v>
      </c>
      <c r="M357" s="64" t="s">
        <v>358</v>
      </c>
      <c r="N357" s="42"/>
    </row>
    <row r="358" spans="1:14" ht="24" customHeight="1">
      <c r="A358" s="8">
        <v>314</v>
      </c>
      <c r="B358" s="9">
        <v>314</v>
      </c>
      <c r="C358" s="46">
        <v>45940</v>
      </c>
      <c r="D358" s="9" t="s">
        <v>407</v>
      </c>
      <c r="E358" s="56" t="str">
        <f>IFERROR(VLOOKUP($D358,본공사입.출고현황!$B:$H,E$2080,0),0)</f>
        <v>Steel round bar</v>
      </c>
      <c r="F358" s="18" t="str">
        <f>IFERROR(VLOOKUP($D358,본공사입.출고현황!$B:$H,F$2080,0),0)</f>
        <v>Steel round bar(rebar)</v>
      </c>
      <c r="G358" s="18" t="str">
        <f>IFERROR(VLOOKUP($D358,본공사입.출고현황!$B:$H,G$2080,0),0)</f>
        <v>CCGG</v>
      </c>
      <c r="H358" s="18" t="str">
        <f>IFERROR(VLOOKUP($D358,본공사입.출고현황!$B:$H,H$2080,0),0)</f>
        <v>ф10, 1ton=1,620.7m</v>
      </c>
      <c r="I358" s="56" t="str">
        <f>IFERROR(VLOOKUP($D358,본공사입.출고현황!$B:$H,I$2080,0),0)</f>
        <v>M</v>
      </c>
      <c r="J358" s="9">
        <v>2</v>
      </c>
      <c r="K358" s="9" t="s">
        <v>360</v>
      </c>
      <c r="L358" s="37">
        <v>75</v>
      </c>
      <c r="M358" s="64" t="s">
        <v>358</v>
      </c>
      <c r="N358" s="42"/>
    </row>
    <row r="359" spans="1:14" ht="24" customHeight="1">
      <c r="A359" s="8">
        <v>315</v>
      </c>
      <c r="B359" s="9">
        <v>315</v>
      </c>
      <c r="C359" s="46">
        <v>45940</v>
      </c>
      <c r="D359" s="9" t="s">
        <v>407</v>
      </c>
      <c r="E359" s="56" t="str">
        <f>IFERROR(VLOOKUP($D359,본공사입.출고현황!$B:$H,E$2080,0),0)</f>
        <v>Steel round bar</v>
      </c>
      <c r="F359" s="18" t="str">
        <f>IFERROR(VLOOKUP($D359,본공사입.출고현황!$B:$H,F$2080,0),0)</f>
        <v>Steel round bar(rebar)</v>
      </c>
      <c r="G359" s="18" t="str">
        <f>IFERROR(VLOOKUP($D359,본공사입.출고현황!$B:$H,G$2080,0),0)</f>
        <v>CCGG</v>
      </c>
      <c r="H359" s="18" t="str">
        <f>IFERROR(VLOOKUP($D359,본공사입.출고현황!$B:$H,H$2080,0),0)</f>
        <v>ф10, 1ton=1,620.7m</v>
      </c>
      <c r="I359" s="56" t="str">
        <f>IFERROR(VLOOKUP($D359,본공사입.출고현황!$B:$H,I$2080,0),0)</f>
        <v>M</v>
      </c>
      <c r="J359" s="9">
        <v>4</v>
      </c>
      <c r="K359" s="9" t="s">
        <v>359</v>
      </c>
      <c r="L359" s="37">
        <v>25</v>
      </c>
      <c r="M359" s="64" t="s">
        <v>358</v>
      </c>
      <c r="N359" s="42"/>
    </row>
    <row r="360" spans="1:14" ht="24" customHeight="1">
      <c r="A360" s="8">
        <v>316</v>
      </c>
      <c r="B360" s="9">
        <v>316</v>
      </c>
      <c r="C360" s="46">
        <v>45940</v>
      </c>
      <c r="D360" s="9" t="s">
        <v>407</v>
      </c>
      <c r="E360" s="56" t="str">
        <f>IFERROR(VLOOKUP($D360,본공사입.출고현황!$B:$H,E$2080,0),0)</f>
        <v>Steel round bar</v>
      </c>
      <c r="F360" s="18" t="str">
        <f>IFERROR(VLOOKUP($D360,본공사입.출고현황!$B:$H,F$2080,0),0)</f>
        <v>Steel round bar(rebar)</v>
      </c>
      <c r="G360" s="18" t="str">
        <f>IFERROR(VLOOKUP($D360,본공사입.출고현황!$B:$H,G$2080,0),0)</f>
        <v>CCGG</v>
      </c>
      <c r="H360" s="18" t="str">
        <f>IFERROR(VLOOKUP($D360,본공사입.출고현황!$B:$H,H$2080,0),0)</f>
        <v>ф10, 1ton=1,620.7m</v>
      </c>
      <c r="I360" s="56" t="str">
        <f>IFERROR(VLOOKUP($D360,본공사입.출고현황!$B:$H,I$2080,0),0)</f>
        <v>M</v>
      </c>
      <c r="J360" s="9">
        <v>1</v>
      </c>
      <c r="K360" s="9" t="s">
        <v>545</v>
      </c>
      <c r="L360" s="37">
        <v>30</v>
      </c>
      <c r="M360" s="64" t="s">
        <v>358</v>
      </c>
      <c r="N360" s="42"/>
    </row>
    <row r="361" spans="1:14" ht="24" customHeight="1">
      <c r="A361" s="8">
        <v>317</v>
      </c>
      <c r="B361" s="9">
        <v>317</v>
      </c>
      <c r="C361" s="46">
        <v>45940</v>
      </c>
      <c r="D361" s="9" t="s">
        <v>407</v>
      </c>
      <c r="E361" s="56" t="str">
        <f>IFERROR(VLOOKUP($D361,본공사입.출고현황!$B:$H,E$2080,0),0)</f>
        <v>Steel round bar</v>
      </c>
      <c r="F361" s="18" t="str">
        <f>IFERROR(VLOOKUP($D361,본공사입.출고현황!$B:$H,F$2080,0),0)</f>
        <v>Steel round bar(rebar)</v>
      </c>
      <c r="G361" s="18" t="str">
        <f>IFERROR(VLOOKUP($D361,본공사입.출고현황!$B:$H,G$2080,0),0)</f>
        <v>CCGG</v>
      </c>
      <c r="H361" s="18" t="str">
        <f>IFERROR(VLOOKUP($D361,본공사입.출고현황!$B:$H,H$2080,0),0)</f>
        <v>ф10, 1ton=1,620.7m</v>
      </c>
      <c r="I361" s="56" t="str">
        <f>IFERROR(VLOOKUP($D361,본공사입.출고현황!$B:$H,I$2080,0),0)</f>
        <v>M</v>
      </c>
      <c r="J361" s="9">
        <v>3</v>
      </c>
      <c r="K361" s="9" t="s">
        <v>237</v>
      </c>
      <c r="L361" s="37">
        <v>20</v>
      </c>
      <c r="M361" s="64" t="s">
        <v>358</v>
      </c>
      <c r="N361" s="42"/>
    </row>
    <row r="362" spans="1:14" ht="24" customHeight="1">
      <c r="A362" s="8">
        <v>318</v>
      </c>
      <c r="B362" s="9">
        <v>318</v>
      </c>
      <c r="C362" s="46">
        <v>45941</v>
      </c>
      <c r="D362" s="9" t="s">
        <v>407</v>
      </c>
      <c r="E362" s="56" t="str">
        <f>IFERROR(VLOOKUP($D362,본공사입.출고현황!$B:$H,E$2080,0),0)</f>
        <v>Steel round bar</v>
      </c>
      <c r="F362" s="18" t="str">
        <f>IFERROR(VLOOKUP($D362,본공사입.출고현황!$B:$H,F$2080,0),0)</f>
        <v>Steel round bar(rebar)</v>
      </c>
      <c r="G362" s="18" t="str">
        <f>IFERROR(VLOOKUP($D362,본공사입.출고현황!$B:$H,G$2080,0),0)</f>
        <v>CCGG</v>
      </c>
      <c r="H362" s="18" t="str">
        <f>IFERROR(VLOOKUP($D362,본공사입.출고현황!$B:$H,H$2080,0),0)</f>
        <v>ф10, 1ton=1,620.7m</v>
      </c>
      <c r="I362" s="56" t="str">
        <f>IFERROR(VLOOKUP($D362,본공사입.출고현황!$B:$H,I$2080,0),0)</f>
        <v>M</v>
      </c>
      <c r="J362" s="9">
        <v>1</v>
      </c>
      <c r="K362" s="9" t="s">
        <v>363</v>
      </c>
      <c r="L362" s="37">
        <v>55</v>
      </c>
      <c r="M362" s="64" t="s">
        <v>408</v>
      </c>
      <c r="N362" s="42"/>
    </row>
    <row r="363" spans="1:14" ht="24" customHeight="1">
      <c r="A363" s="8">
        <v>319</v>
      </c>
      <c r="B363" s="9">
        <v>319</v>
      </c>
      <c r="C363" s="46">
        <v>45941</v>
      </c>
      <c r="D363" s="9" t="s">
        <v>407</v>
      </c>
      <c r="E363" s="56" t="str">
        <f>IFERROR(VLOOKUP($D363,본공사입.출고현황!$B:$H,E$2080,0),0)</f>
        <v>Steel round bar</v>
      </c>
      <c r="F363" s="18" t="str">
        <f>IFERROR(VLOOKUP($D363,본공사입.출고현황!$B:$H,F$2080,0),0)</f>
        <v>Steel round bar(rebar)</v>
      </c>
      <c r="G363" s="18" t="str">
        <f>IFERROR(VLOOKUP($D363,본공사입.출고현황!$B:$H,G$2080,0),0)</f>
        <v>CCGG</v>
      </c>
      <c r="H363" s="18" t="str">
        <f>IFERROR(VLOOKUP($D363,본공사입.출고현황!$B:$H,H$2080,0),0)</f>
        <v>ф10, 1ton=1,620.7m</v>
      </c>
      <c r="I363" s="56" t="str">
        <f>IFERROR(VLOOKUP($D363,본공사입.출고현황!$B:$H,I$2080,0),0)</f>
        <v>M</v>
      </c>
      <c r="J363" s="9">
        <v>2</v>
      </c>
      <c r="K363" s="9" t="s">
        <v>241</v>
      </c>
      <c r="L363" s="37">
        <v>15</v>
      </c>
      <c r="M363" s="64" t="s">
        <v>408</v>
      </c>
      <c r="N363" s="42"/>
    </row>
    <row r="364" spans="1:14" ht="24" customHeight="1">
      <c r="A364" s="8">
        <v>320</v>
      </c>
      <c r="B364" s="9">
        <v>320</v>
      </c>
      <c r="C364" s="46">
        <v>45941</v>
      </c>
      <c r="D364" s="9" t="s">
        <v>407</v>
      </c>
      <c r="E364" s="56" t="str">
        <f>IFERROR(VLOOKUP($D364,본공사입.출고현황!$B:$H,E$2080,0),0)</f>
        <v>Steel round bar</v>
      </c>
      <c r="F364" s="18" t="str">
        <f>IFERROR(VLOOKUP($D364,본공사입.출고현황!$B:$H,F$2080,0),0)</f>
        <v>Steel round bar(rebar)</v>
      </c>
      <c r="G364" s="18" t="str">
        <f>IFERROR(VLOOKUP($D364,본공사입.출고현황!$B:$H,G$2080,0),0)</f>
        <v>CCGG</v>
      </c>
      <c r="H364" s="18" t="str">
        <f>IFERROR(VLOOKUP($D364,본공사입.출고현황!$B:$H,H$2080,0),0)</f>
        <v>ф10, 1ton=1,620.7m</v>
      </c>
      <c r="I364" s="56" t="str">
        <f>IFERROR(VLOOKUP($D364,본공사입.출고현황!$B:$H,I$2080,0),0)</f>
        <v>M</v>
      </c>
      <c r="J364" s="9">
        <v>3</v>
      </c>
      <c r="K364" s="9" t="s">
        <v>237</v>
      </c>
      <c r="L364" s="37">
        <v>20</v>
      </c>
      <c r="M364" s="64" t="s">
        <v>408</v>
      </c>
      <c r="N364" s="42"/>
    </row>
    <row r="365" spans="1:14" ht="24" customHeight="1">
      <c r="A365" s="8">
        <v>321</v>
      </c>
      <c r="B365" s="9">
        <v>321</v>
      </c>
      <c r="C365" s="46">
        <v>45941</v>
      </c>
      <c r="D365" s="9" t="s">
        <v>407</v>
      </c>
      <c r="E365" s="56" t="str">
        <f>IFERROR(VLOOKUP($D365,본공사입.출고현황!$B:$H,E$2080,0),0)</f>
        <v>Steel round bar</v>
      </c>
      <c r="F365" s="18" t="str">
        <f>IFERROR(VLOOKUP($D365,본공사입.출고현황!$B:$H,F$2080,0),0)</f>
        <v>Steel round bar(rebar)</v>
      </c>
      <c r="G365" s="18" t="str">
        <f>IFERROR(VLOOKUP($D365,본공사입.출고현황!$B:$H,G$2080,0),0)</f>
        <v>CCGG</v>
      </c>
      <c r="H365" s="18" t="str">
        <f>IFERROR(VLOOKUP($D365,본공사입.출고현황!$B:$H,H$2080,0),0)</f>
        <v>ф10, 1ton=1,620.7m</v>
      </c>
      <c r="I365" s="56" t="str">
        <f>IFERROR(VLOOKUP($D365,본공사입.출고현황!$B:$H,I$2080,0),0)</f>
        <v>M</v>
      </c>
      <c r="J365" s="9">
        <v>1</v>
      </c>
      <c r="K365" s="9" t="s">
        <v>545</v>
      </c>
      <c r="L365" s="37">
        <v>5</v>
      </c>
      <c r="M365" s="64" t="s">
        <v>408</v>
      </c>
      <c r="N365" s="42"/>
    </row>
    <row r="366" spans="1:14" ht="24" customHeight="1">
      <c r="A366" s="8">
        <v>322</v>
      </c>
      <c r="B366" s="9">
        <v>322</v>
      </c>
      <c r="C366" s="46">
        <v>45942</v>
      </c>
      <c r="D366" s="9" t="s">
        <v>407</v>
      </c>
      <c r="E366" s="56" t="str">
        <f>IFERROR(VLOOKUP($D366,본공사입.출고현황!$B:$H,E$2080,0),0)</f>
        <v>Steel round bar</v>
      </c>
      <c r="F366" s="18" t="str">
        <f>IFERROR(VLOOKUP($D366,본공사입.출고현황!$B:$H,F$2080,0),0)</f>
        <v>Steel round bar(rebar)</v>
      </c>
      <c r="G366" s="18" t="str">
        <f>IFERROR(VLOOKUP($D366,본공사입.출고현황!$B:$H,G$2080,0),0)</f>
        <v>CCGG</v>
      </c>
      <c r="H366" s="18" t="str">
        <f>IFERROR(VLOOKUP($D366,본공사입.출고현황!$B:$H,H$2080,0),0)</f>
        <v>ф10, 1ton=1,620.7m</v>
      </c>
      <c r="I366" s="56" t="str">
        <f>IFERROR(VLOOKUP($D366,본공사입.출고현황!$B:$H,I$2080,0),0)</f>
        <v>M</v>
      </c>
      <c r="J366" s="9">
        <v>1</v>
      </c>
      <c r="K366" s="9" t="s">
        <v>363</v>
      </c>
      <c r="L366" s="37">
        <v>25</v>
      </c>
      <c r="M366" s="64" t="s">
        <v>408</v>
      </c>
      <c r="N366" s="42"/>
    </row>
    <row r="367" spans="1:14" ht="24" customHeight="1">
      <c r="A367" s="8">
        <v>323</v>
      </c>
      <c r="B367" s="9">
        <v>323</v>
      </c>
      <c r="C367" s="46">
        <v>45942</v>
      </c>
      <c r="D367" s="9" t="s">
        <v>407</v>
      </c>
      <c r="E367" s="56" t="str">
        <f>IFERROR(VLOOKUP($D367,본공사입.출고현황!$B:$H,E$2080,0),0)</f>
        <v>Steel round bar</v>
      </c>
      <c r="F367" s="18" t="str">
        <f>IFERROR(VLOOKUP($D367,본공사입.출고현황!$B:$H,F$2080,0),0)</f>
        <v>Steel round bar(rebar)</v>
      </c>
      <c r="G367" s="18" t="str">
        <f>IFERROR(VLOOKUP($D367,본공사입.출고현황!$B:$H,G$2080,0),0)</f>
        <v>CCGG</v>
      </c>
      <c r="H367" s="18" t="str">
        <f>IFERROR(VLOOKUP($D367,본공사입.출고현황!$B:$H,H$2080,0),0)</f>
        <v>ф10, 1ton=1,620.7m</v>
      </c>
      <c r="I367" s="56" t="str">
        <f>IFERROR(VLOOKUP($D367,본공사입.출고현황!$B:$H,I$2080,0),0)</f>
        <v>M</v>
      </c>
      <c r="J367" s="9">
        <v>3</v>
      </c>
      <c r="K367" s="9" t="s">
        <v>550</v>
      </c>
      <c r="L367" s="37">
        <v>25</v>
      </c>
      <c r="M367" s="64" t="s">
        <v>408</v>
      </c>
      <c r="N367" s="42"/>
    </row>
    <row r="368" spans="1:14" ht="24" customHeight="1">
      <c r="A368" s="8">
        <v>324</v>
      </c>
      <c r="B368" s="9">
        <v>324</v>
      </c>
      <c r="C368" s="46">
        <v>45942</v>
      </c>
      <c r="D368" s="9" t="s">
        <v>407</v>
      </c>
      <c r="E368" s="56" t="str">
        <f>IFERROR(VLOOKUP($D368,본공사입.출고현황!$B:$H,E$2080,0),0)</f>
        <v>Steel round bar</v>
      </c>
      <c r="F368" s="18" t="str">
        <f>IFERROR(VLOOKUP($D368,본공사입.출고현황!$B:$H,F$2080,0),0)</f>
        <v>Steel round bar(rebar)</v>
      </c>
      <c r="G368" s="18" t="str">
        <f>IFERROR(VLOOKUP($D368,본공사입.출고현황!$B:$H,G$2080,0),0)</f>
        <v>CCGG</v>
      </c>
      <c r="H368" s="18" t="str">
        <f>IFERROR(VLOOKUP($D368,본공사입.출고현황!$B:$H,H$2080,0),0)</f>
        <v>ф10, 1ton=1,620.7m</v>
      </c>
      <c r="I368" s="56" t="str">
        <f>IFERROR(VLOOKUP($D368,본공사입.출고현황!$B:$H,I$2080,0),0)</f>
        <v>M</v>
      </c>
      <c r="J368" s="9">
        <v>2</v>
      </c>
      <c r="K368" s="9" t="s">
        <v>546</v>
      </c>
      <c r="L368" s="37">
        <v>40</v>
      </c>
      <c r="M368" s="64" t="s">
        <v>408</v>
      </c>
      <c r="N368" s="42"/>
    </row>
    <row r="369" spans="1:14" ht="24" customHeight="1">
      <c r="A369" s="8">
        <v>325</v>
      </c>
      <c r="B369" s="9">
        <v>325</v>
      </c>
      <c r="C369" s="46">
        <v>45942</v>
      </c>
      <c r="D369" s="9" t="s">
        <v>407</v>
      </c>
      <c r="E369" s="56" t="str">
        <f>IFERROR(VLOOKUP($D369,본공사입.출고현황!$B:$H,E$2080,0),0)</f>
        <v>Steel round bar</v>
      </c>
      <c r="F369" s="18" t="str">
        <f>IFERROR(VLOOKUP($D369,본공사입.출고현황!$B:$H,F$2080,0),0)</f>
        <v>Steel round bar(rebar)</v>
      </c>
      <c r="G369" s="18" t="str">
        <f>IFERROR(VLOOKUP($D369,본공사입.출고현황!$B:$H,G$2080,0),0)</f>
        <v>CCGG</v>
      </c>
      <c r="H369" s="18" t="str">
        <f>IFERROR(VLOOKUP($D369,본공사입.출고현황!$B:$H,H$2080,0),0)</f>
        <v>ф10, 1ton=1,620.7m</v>
      </c>
      <c r="I369" s="56" t="str">
        <f>IFERROR(VLOOKUP($D369,본공사입.출고현황!$B:$H,I$2080,0),0)</f>
        <v>M</v>
      </c>
      <c r="J369" s="9">
        <v>4</v>
      </c>
      <c r="K369" s="9" t="s">
        <v>351</v>
      </c>
      <c r="L369" s="37">
        <v>40</v>
      </c>
      <c r="M369" s="64" t="s">
        <v>408</v>
      </c>
      <c r="N369" s="42"/>
    </row>
    <row r="370" spans="1:14" ht="24" customHeight="1">
      <c r="A370" s="8">
        <v>326</v>
      </c>
      <c r="B370" s="9">
        <v>326</v>
      </c>
      <c r="C370" s="46">
        <v>45942</v>
      </c>
      <c r="D370" s="9" t="s">
        <v>407</v>
      </c>
      <c r="E370" s="56" t="str">
        <f>IFERROR(VLOOKUP($D370,본공사입.출고현황!$B:$H,E$2080,0),0)</f>
        <v>Steel round bar</v>
      </c>
      <c r="F370" s="18" t="str">
        <f>IFERROR(VLOOKUP($D370,본공사입.출고현황!$B:$H,F$2080,0),0)</f>
        <v>Steel round bar(rebar)</v>
      </c>
      <c r="G370" s="18" t="str">
        <f>IFERROR(VLOOKUP($D370,본공사입.출고현황!$B:$H,G$2080,0),0)</f>
        <v>CCGG</v>
      </c>
      <c r="H370" s="18" t="str">
        <f>IFERROR(VLOOKUP($D370,본공사입.출고현황!$B:$H,H$2080,0),0)</f>
        <v>ф10, 1ton=1,620.7m</v>
      </c>
      <c r="I370" s="56" t="str">
        <f>IFERROR(VLOOKUP($D370,본공사입.출고현황!$B:$H,I$2080,0),0)</f>
        <v>M</v>
      </c>
      <c r="J370" s="9">
        <v>1</v>
      </c>
      <c r="K370" s="9" t="s">
        <v>352</v>
      </c>
      <c r="L370" s="37">
        <v>25</v>
      </c>
      <c r="M370" s="64" t="s">
        <v>408</v>
      </c>
      <c r="N370" s="42"/>
    </row>
    <row r="371" spans="1:14" ht="24" customHeight="1">
      <c r="A371" s="8">
        <v>327</v>
      </c>
      <c r="B371" s="9">
        <v>327</v>
      </c>
      <c r="C371" s="46">
        <v>45942</v>
      </c>
      <c r="D371" s="9" t="s">
        <v>407</v>
      </c>
      <c r="E371" s="56" t="str">
        <f>IFERROR(VLOOKUP($D371,본공사입.출고현황!$B:$H,E$2080,0),0)</f>
        <v>Steel round bar</v>
      </c>
      <c r="F371" s="18" t="str">
        <f>IFERROR(VLOOKUP($D371,본공사입.출고현황!$B:$H,F$2080,0),0)</f>
        <v>Steel round bar(rebar)</v>
      </c>
      <c r="G371" s="18" t="str">
        <f>IFERROR(VLOOKUP($D371,본공사입.출고현황!$B:$H,G$2080,0),0)</f>
        <v>CCGG</v>
      </c>
      <c r="H371" s="18" t="str">
        <f>IFERROR(VLOOKUP($D371,본공사입.출고현황!$B:$H,H$2080,0),0)</f>
        <v>ф10, 1ton=1,620.7m</v>
      </c>
      <c r="I371" s="56" t="str">
        <f>IFERROR(VLOOKUP($D371,본공사입.출고현황!$B:$H,I$2080,0),0)</f>
        <v>M</v>
      </c>
      <c r="J371" s="9">
        <v>1</v>
      </c>
      <c r="K371" s="9" t="s">
        <v>545</v>
      </c>
      <c r="L371" s="37">
        <v>30</v>
      </c>
      <c r="M371" s="64" t="s">
        <v>408</v>
      </c>
      <c r="N371" s="42"/>
    </row>
    <row r="372" spans="1:14" ht="24" customHeight="1">
      <c r="A372" s="8">
        <v>328</v>
      </c>
      <c r="B372" s="9">
        <v>328</v>
      </c>
      <c r="C372" s="46">
        <v>45943</v>
      </c>
      <c r="D372" s="9" t="s">
        <v>407</v>
      </c>
      <c r="E372" s="56" t="str">
        <f>IFERROR(VLOOKUP($D372,본공사입.출고현황!$B:$H,E$2080,0),0)</f>
        <v>Steel round bar</v>
      </c>
      <c r="F372" s="18" t="str">
        <f>IFERROR(VLOOKUP($D372,본공사입.출고현황!$B:$H,F$2080,0),0)</f>
        <v>Steel round bar(rebar)</v>
      </c>
      <c r="G372" s="18" t="str">
        <f>IFERROR(VLOOKUP($D372,본공사입.출고현황!$B:$H,G$2080,0),0)</f>
        <v>CCGG</v>
      </c>
      <c r="H372" s="18" t="str">
        <f>IFERROR(VLOOKUP($D372,본공사입.출고현황!$B:$H,H$2080,0),0)</f>
        <v>ф10, 1ton=1,620.7m</v>
      </c>
      <c r="I372" s="56" t="str">
        <f>IFERROR(VLOOKUP($D372,본공사입.출고현황!$B:$H,I$2080,0),0)</f>
        <v>M</v>
      </c>
      <c r="J372" s="9">
        <v>2</v>
      </c>
      <c r="K372" s="9" t="s">
        <v>546</v>
      </c>
      <c r="L372" s="37">
        <v>50</v>
      </c>
      <c r="M372" s="64" t="s">
        <v>408</v>
      </c>
      <c r="N372" s="42"/>
    </row>
    <row r="373" spans="1:14" ht="24" customHeight="1">
      <c r="A373" s="8">
        <v>329</v>
      </c>
      <c r="B373" s="9">
        <v>329</v>
      </c>
      <c r="C373" s="46">
        <v>45943</v>
      </c>
      <c r="D373" s="9" t="s">
        <v>407</v>
      </c>
      <c r="E373" s="56" t="str">
        <f>IFERROR(VLOOKUP($D373,본공사입.출고현황!$B:$H,E$2080,0),0)</f>
        <v>Steel round bar</v>
      </c>
      <c r="F373" s="18" t="str">
        <f>IFERROR(VLOOKUP($D373,본공사입.출고현황!$B:$H,F$2080,0),0)</f>
        <v>Steel round bar(rebar)</v>
      </c>
      <c r="G373" s="18" t="str">
        <f>IFERROR(VLOOKUP($D373,본공사입.출고현황!$B:$H,G$2080,0),0)</f>
        <v>CCGG</v>
      </c>
      <c r="H373" s="18" t="str">
        <f>IFERROR(VLOOKUP($D373,본공사입.출고현황!$B:$H,H$2080,0),0)</f>
        <v>ф10, 1ton=1,620.7m</v>
      </c>
      <c r="I373" s="56" t="str">
        <f>IFERROR(VLOOKUP($D373,본공사입.출고현황!$B:$H,I$2080,0),0)</f>
        <v>M</v>
      </c>
      <c r="J373" s="9">
        <v>1</v>
      </c>
      <c r="K373" s="9" t="s">
        <v>545</v>
      </c>
      <c r="L373" s="37">
        <v>30</v>
      </c>
      <c r="M373" s="64" t="s">
        <v>408</v>
      </c>
      <c r="N373" s="42"/>
    </row>
    <row r="374" spans="1:14" ht="24" customHeight="1">
      <c r="A374" s="8">
        <v>330</v>
      </c>
      <c r="B374" s="9">
        <v>330</v>
      </c>
      <c r="C374" s="46">
        <v>45943</v>
      </c>
      <c r="D374" s="9" t="s">
        <v>407</v>
      </c>
      <c r="E374" s="56" t="str">
        <f>IFERROR(VLOOKUP($D374,본공사입.출고현황!$B:$H,E$2080,0),0)</f>
        <v>Steel round bar</v>
      </c>
      <c r="F374" s="18" t="str">
        <f>IFERROR(VLOOKUP($D374,본공사입.출고현황!$B:$H,F$2080,0),0)</f>
        <v>Steel round bar(rebar)</v>
      </c>
      <c r="G374" s="18" t="str">
        <f>IFERROR(VLOOKUP($D374,본공사입.출고현황!$B:$H,G$2080,0),0)</f>
        <v>CCGG</v>
      </c>
      <c r="H374" s="18" t="str">
        <f>IFERROR(VLOOKUP($D374,본공사입.출고현황!$B:$H,H$2080,0),0)</f>
        <v>ф10, 1ton=1,620.7m</v>
      </c>
      <c r="I374" s="56" t="str">
        <f>IFERROR(VLOOKUP($D374,본공사입.출고현황!$B:$H,I$2080,0),0)</f>
        <v>M</v>
      </c>
      <c r="J374" s="9">
        <v>1</v>
      </c>
      <c r="K374" s="9" t="s">
        <v>363</v>
      </c>
      <c r="L374" s="37">
        <v>25</v>
      </c>
      <c r="M374" s="64" t="s">
        <v>408</v>
      </c>
      <c r="N374" s="42"/>
    </row>
    <row r="375" spans="1:14" ht="24" customHeight="1">
      <c r="A375" s="8">
        <v>331</v>
      </c>
      <c r="B375" s="9">
        <v>331</v>
      </c>
      <c r="C375" s="46">
        <v>45943</v>
      </c>
      <c r="D375" s="9" t="s">
        <v>407</v>
      </c>
      <c r="E375" s="56" t="str">
        <f>IFERROR(VLOOKUP($D375,본공사입.출고현황!$B:$H,E$2080,0),0)</f>
        <v>Steel round bar</v>
      </c>
      <c r="F375" s="18" t="str">
        <f>IFERROR(VLOOKUP($D375,본공사입.출고현황!$B:$H,F$2080,0),0)</f>
        <v>Steel round bar(rebar)</v>
      </c>
      <c r="G375" s="18" t="str">
        <f>IFERROR(VLOOKUP($D375,본공사입.출고현황!$B:$H,G$2080,0),0)</f>
        <v>CCGG</v>
      </c>
      <c r="H375" s="18" t="str">
        <f>IFERROR(VLOOKUP($D375,본공사입.출고현황!$B:$H,H$2080,0),0)</f>
        <v>ф10, 1ton=1,620.7m</v>
      </c>
      <c r="I375" s="56" t="str">
        <f>IFERROR(VLOOKUP($D375,본공사입.출고현황!$B:$H,I$2080,0),0)</f>
        <v>M</v>
      </c>
      <c r="J375" s="9">
        <v>2</v>
      </c>
      <c r="K375" s="9" t="s">
        <v>241</v>
      </c>
      <c r="L375" s="37">
        <v>20</v>
      </c>
      <c r="M375" s="64" t="s">
        <v>408</v>
      </c>
      <c r="N375" s="42"/>
    </row>
    <row r="376" spans="1:14" ht="24" customHeight="1">
      <c r="A376" s="8">
        <v>332</v>
      </c>
      <c r="B376" s="9">
        <v>332</v>
      </c>
      <c r="C376" s="46">
        <v>45943</v>
      </c>
      <c r="D376" s="9" t="s">
        <v>407</v>
      </c>
      <c r="E376" s="56" t="str">
        <f>IFERROR(VLOOKUP($D376,본공사입.출고현황!$B:$H,E$2080,0),0)</f>
        <v>Steel round bar</v>
      </c>
      <c r="F376" s="18" t="str">
        <f>IFERROR(VLOOKUP($D376,본공사입.출고현황!$B:$H,F$2080,0),0)</f>
        <v>Steel round bar(rebar)</v>
      </c>
      <c r="G376" s="18" t="str">
        <f>IFERROR(VLOOKUP($D376,본공사입.출고현황!$B:$H,G$2080,0),0)</f>
        <v>CCGG</v>
      </c>
      <c r="H376" s="18" t="str">
        <f>IFERROR(VLOOKUP($D376,본공사입.출고현황!$B:$H,H$2080,0),0)</f>
        <v>ф10, 1ton=1,620.7m</v>
      </c>
      <c r="I376" s="56" t="str">
        <f>IFERROR(VLOOKUP($D376,본공사입.출고현황!$B:$H,I$2080,0),0)</f>
        <v>M</v>
      </c>
      <c r="J376" s="9">
        <v>3</v>
      </c>
      <c r="K376" s="9" t="s">
        <v>237</v>
      </c>
      <c r="L376" s="37">
        <v>20</v>
      </c>
      <c r="M376" s="64" t="s">
        <v>408</v>
      </c>
      <c r="N376" s="42"/>
    </row>
    <row r="377" spans="1:14" ht="24" customHeight="1">
      <c r="A377" s="8">
        <v>333</v>
      </c>
      <c r="B377" s="9">
        <v>333</v>
      </c>
      <c r="C377" s="46">
        <v>45943</v>
      </c>
      <c r="D377" s="9" t="s">
        <v>407</v>
      </c>
      <c r="E377" s="56" t="str">
        <f>IFERROR(VLOOKUP($D377,본공사입.출고현황!$B:$H,E$2080,0),0)</f>
        <v>Steel round bar</v>
      </c>
      <c r="F377" s="18" t="str">
        <f>IFERROR(VLOOKUP($D377,본공사입.출고현황!$B:$H,F$2080,0),0)</f>
        <v>Steel round bar(rebar)</v>
      </c>
      <c r="G377" s="18" t="str">
        <f>IFERROR(VLOOKUP($D377,본공사입.출고현황!$B:$H,G$2080,0),0)</f>
        <v>CCGG</v>
      </c>
      <c r="H377" s="18" t="str">
        <f>IFERROR(VLOOKUP($D377,본공사입.출고현황!$B:$H,H$2080,0),0)</f>
        <v>ф10, 1ton=1,620.7m</v>
      </c>
      <c r="I377" s="56" t="str">
        <f>IFERROR(VLOOKUP($D377,본공사입.출고현황!$B:$H,I$2080,0),0)</f>
        <v>M</v>
      </c>
      <c r="J377" s="9"/>
      <c r="K377" s="9" t="s">
        <v>553</v>
      </c>
      <c r="L377" s="37">
        <v>50</v>
      </c>
      <c r="M377" s="64" t="s">
        <v>408</v>
      </c>
      <c r="N377" s="42"/>
    </row>
    <row r="378" spans="1:14" ht="24" customHeight="1">
      <c r="A378" s="8">
        <v>334</v>
      </c>
      <c r="B378" s="9">
        <v>334</v>
      </c>
      <c r="C378" s="46">
        <v>45944</v>
      </c>
      <c r="D378" s="9" t="s">
        <v>407</v>
      </c>
      <c r="E378" s="56" t="str">
        <f>IFERROR(VLOOKUP($D378,본공사입.출고현황!$B:$H,E$2080,0),0)</f>
        <v>Steel round bar</v>
      </c>
      <c r="F378" s="18" t="str">
        <f>IFERROR(VLOOKUP($D378,본공사입.출고현황!$B:$H,F$2080,0),0)</f>
        <v>Steel round bar(rebar)</v>
      </c>
      <c r="G378" s="18" t="str">
        <f>IFERROR(VLOOKUP($D378,본공사입.출고현황!$B:$H,G$2080,0),0)</f>
        <v>CCGG</v>
      </c>
      <c r="H378" s="18" t="str">
        <f>IFERROR(VLOOKUP($D378,본공사입.출고현황!$B:$H,H$2080,0),0)</f>
        <v>ф10, 1ton=1,620.7m</v>
      </c>
      <c r="I378" s="56" t="str">
        <f>IFERROR(VLOOKUP($D378,본공사입.출고현황!$B:$H,I$2080,0),0)</f>
        <v>M</v>
      </c>
      <c r="J378" s="9">
        <v>4</v>
      </c>
      <c r="K378" s="9" t="s">
        <v>359</v>
      </c>
      <c r="L378" s="37">
        <v>30</v>
      </c>
      <c r="M378" s="64" t="s">
        <v>408</v>
      </c>
      <c r="N378" s="42"/>
    </row>
    <row r="379" spans="1:14" ht="24" customHeight="1">
      <c r="A379" s="8">
        <v>335</v>
      </c>
      <c r="B379" s="9">
        <v>335</v>
      </c>
      <c r="C379" s="46">
        <v>45944</v>
      </c>
      <c r="D379" s="9" t="s">
        <v>407</v>
      </c>
      <c r="E379" s="56" t="str">
        <f>IFERROR(VLOOKUP($D379,본공사입.출고현황!$B:$H,E$2080,0),0)</f>
        <v>Steel round bar</v>
      </c>
      <c r="F379" s="18" t="str">
        <f>IFERROR(VLOOKUP($D379,본공사입.출고현황!$B:$H,F$2080,0),0)</f>
        <v>Steel round bar(rebar)</v>
      </c>
      <c r="G379" s="18" t="str">
        <f>IFERROR(VLOOKUP($D379,본공사입.출고현황!$B:$H,G$2080,0),0)</f>
        <v>CCGG</v>
      </c>
      <c r="H379" s="18" t="str">
        <f>IFERROR(VLOOKUP($D379,본공사입.출고현황!$B:$H,H$2080,0),0)</f>
        <v>ф10, 1ton=1,620.7m</v>
      </c>
      <c r="I379" s="56" t="str">
        <f>IFERROR(VLOOKUP($D379,본공사입.출고현황!$B:$H,I$2080,0),0)</f>
        <v>M</v>
      </c>
      <c r="J379" s="9">
        <v>2</v>
      </c>
      <c r="K379" s="9" t="s">
        <v>546</v>
      </c>
      <c r="L379" s="37">
        <v>40</v>
      </c>
      <c r="M379" s="64" t="s">
        <v>408</v>
      </c>
      <c r="N379" s="42"/>
    </row>
    <row r="380" spans="1:14" ht="24" customHeight="1">
      <c r="A380" s="8">
        <v>336</v>
      </c>
      <c r="B380" s="9">
        <v>336</v>
      </c>
      <c r="C380" s="46">
        <v>45944</v>
      </c>
      <c r="D380" s="9" t="s">
        <v>407</v>
      </c>
      <c r="E380" s="56" t="str">
        <f>IFERROR(VLOOKUP($D380,본공사입.출고현황!$B:$H,E$2080,0),0)</f>
        <v>Steel round bar</v>
      </c>
      <c r="F380" s="18" t="str">
        <f>IFERROR(VLOOKUP($D380,본공사입.출고현황!$B:$H,F$2080,0),0)</f>
        <v>Steel round bar(rebar)</v>
      </c>
      <c r="G380" s="18" t="str">
        <f>IFERROR(VLOOKUP($D380,본공사입.출고현황!$B:$H,G$2080,0),0)</f>
        <v>CCGG</v>
      </c>
      <c r="H380" s="18" t="str">
        <f>IFERROR(VLOOKUP($D380,본공사입.출고현황!$B:$H,H$2080,0),0)</f>
        <v>ф10, 1ton=1,620.7m</v>
      </c>
      <c r="I380" s="56" t="str">
        <f>IFERROR(VLOOKUP($D380,본공사입.출고현황!$B:$H,I$2080,0),0)</f>
        <v>M</v>
      </c>
      <c r="J380" s="9">
        <v>1</v>
      </c>
      <c r="K380" s="9" t="s">
        <v>352</v>
      </c>
      <c r="L380" s="37">
        <v>25</v>
      </c>
      <c r="M380" s="64" t="s">
        <v>408</v>
      </c>
      <c r="N380" s="42"/>
    </row>
    <row r="381" spans="1:14" ht="24" customHeight="1">
      <c r="A381" s="8">
        <v>337</v>
      </c>
      <c r="B381" s="9">
        <v>337</v>
      </c>
      <c r="C381" s="46">
        <v>45944</v>
      </c>
      <c r="D381" s="9" t="s">
        <v>407</v>
      </c>
      <c r="E381" s="56" t="str">
        <f>IFERROR(VLOOKUP($D381,본공사입.출고현황!$B:$H,E$2080,0),0)</f>
        <v>Steel round bar</v>
      </c>
      <c r="F381" s="18" t="str">
        <f>IFERROR(VLOOKUP($D381,본공사입.출고현황!$B:$H,F$2080,0),0)</f>
        <v>Steel round bar(rebar)</v>
      </c>
      <c r="G381" s="18" t="str">
        <f>IFERROR(VLOOKUP($D381,본공사입.출고현황!$B:$H,G$2080,0),0)</f>
        <v>CCGG</v>
      </c>
      <c r="H381" s="18" t="str">
        <f>IFERROR(VLOOKUP($D381,본공사입.출고현황!$B:$H,H$2080,0),0)</f>
        <v>ф10, 1ton=1,620.7m</v>
      </c>
      <c r="I381" s="56" t="str">
        <f>IFERROR(VLOOKUP($D381,본공사입.출고현황!$B:$H,I$2080,0),0)</f>
        <v>M</v>
      </c>
      <c r="J381" s="9">
        <v>3</v>
      </c>
      <c r="K381" s="9" t="s">
        <v>550</v>
      </c>
      <c r="L381" s="37">
        <v>25</v>
      </c>
      <c r="M381" s="64" t="s">
        <v>408</v>
      </c>
      <c r="N381" s="42"/>
    </row>
    <row r="382" spans="1:14" ht="24" customHeight="1">
      <c r="A382" s="8">
        <v>338</v>
      </c>
      <c r="B382" s="9">
        <v>338</v>
      </c>
      <c r="C382" s="46">
        <v>45944</v>
      </c>
      <c r="D382" s="9" t="s">
        <v>407</v>
      </c>
      <c r="E382" s="56" t="str">
        <f>IFERROR(VLOOKUP($D382,본공사입.출고현황!$B:$H,E$2080,0),0)</f>
        <v>Steel round bar</v>
      </c>
      <c r="F382" s="18" t="str">
        <f>IFERROR(VLOOKUP($D382,본공사입.출고현황!$B:$H,F$2080,0),0)</f>
        <v>Steel round bar(rebar)</v>
      </c>
      <c r="G382" s="18" t="str">
        <f>IFERROR(VLOOKUP($D382,본공사입.출고현황!$B:$H,G$2080,0),0)</f>
        <v>CCGG</v>
      </c>
      <c r="H382" s="18" t="str">
        <f>IFERROR(VLOOKUP($D382,본공사입.출고현황!$B:$H,H$2080,0),0)</f>
        <v>ф10, 1ton=1,620.7m</v>
      </c>
      <c r="I382" s="56" t="str">
        <f>IFERROR(VLOOKUP($D382,본공사입.출고현황!$B:$H,I$2080,0),0)</f>
        <v>M</v>
      </c>
      <c r="J382" s="9">
        <v>3</v>
      </c>
      <c r="K382" s="9" t="s">
        <v>237</v>
      </c>
      <c r="L382" s="37">
        <v>10</v>
      </c>
      <c r="M382" s="64" t="s">
        <v>408</v>
      </c>
      <c r="N382" s="42"/>
    </row>
    <row r="383" spans="1:14" ht="24" customHeight="1">
      <c r="A383" s="8">
        <v>339</v>
      </c>
      <c r="B383" s="9">
        <v>339</v>
      </c>
      <c r="C383" s="46">
        <v>45944</v>
      </c>
      <c r="D383" s="9" t="s">
        <v>407</v>
      </c>
      <c r="E383" s="56" t="str">
        <f>IFERROR(VLOOKUP($D383,본공사입.출고현황!$B:$H,E$2080,0),0)</f>
        <v>Steel round bar</v>
      </c>
      <c r="F383" s="18" t="str">
        <f>IFERROR(VLOOKUP($D383,본공사입.출고현황!$B:$H,F$2080,0),0)</f>
        <v>Steel round bar(rebar)</v>
      </c>
      <c r="G383" s="18" t="str">
        <f>IFERROR(VLOOKUP($D383,본공사입.출고현황!$B:$H,G$2080,0),0)</f>
        <v>CCGG</v>
      </c>
      <c r="H383" s="18" t="str">
        <f>IFERROR(VLOOKUP($D383,본공사입.출고현황!$B:$H,H$2080,0),0)</f>
        <v>ф10, 1ton=1,620.7m</v>
      </c>
      <c r="I383" s="56" t="str">
        <f>IFERROR(VLOOKUP($D383,본공사입.출고현황!$B:$H,I$2080,0),0)</f>
        <v>M</v>
      </c>
      <c r="J383" s="9">
        <v>1</v>
      </c>
      <c r="K383" s="9" t="s">
        <v>352</v>
      </c>
      <c r="L383" s="37">
        <v>50</v>
      </c>
      <c r="M383" s="64" t="s">
        <v>408</v>
      </c>
      <c r="N383" s="42"/>
    </row>
    <row r="384" spans="1:14" ht="24" customHeight="1">
      <c r="A384" s="8">
        <v>340</v>
      </c>
      <c r="B384" s="9">
        <v>340</v>
      </c>
      <c r="C384" s="46">
        <v>45945</v>
      </c>
      <c r="D384" s="9" t="s">
        <v>407</v>
      </c>
      <c r="E384" s="56" t="str">
        <f>IFERROR(VLOOKUP($D384,본공사입.출고현황!$B:$H,E$2080,0),0)</f>
        <v>Steel round bar</v>
      </c>
      <c r="F384" s="18" t="str">
        <f>IFERROR(VLOOKUP($D384,본공사입.출고현황!$B:$H,F$2080,0),0)</f>
        <v>Steel round bar(rebar)</v>
      </c>
      <c r="G384" s="18" t="str">
        <f>IFERROR(VLOOKUP($D384,본공사입.출고현황!$B:$H,G$2080,0),0)</f>
        <v>CCGG</v>
      </c>
      <c r="H384" s="18" t="str">
        <f>IFERROR(VLOOKUP($D384,본공사입.출고현황!$B:$H,H$2080,0),0)</f>
        <v>ф10, 1ton=1,620.7m</v>
      </c>
      <c r="I384" s="56" t="str">
        <f>IFERROR(VLOOKUP($D384,본공사입.출고현황!$B:$H,I$2080,0),0)</f>
        <v>M</v>
      </c>
      <c r="J384" s="9">
        <v>4</v>
      </c>
      <c r="K384" s="9" t="s">
        <v>351</v>
      </c>
      <c r="L384" s="37">
        <v>40</v>
      </c>
      <c r="M384" s="64" t="s">
        <v>408</v>
      </c>
      <c r="N384" s="42"/>
    </row>
    <row r="385" spans="1:14" ht="24" customHeight="1">
      <c r="A385" s="8">
        <v>341</v>
      </c>
      <c r="B385" s="9">
        <v>341</v>
      </c>
      <c r="C385" s="46">
        <v>45945</v>
      </c>
      <c r="D385" s="9" t="s">
        <v>407</v>
      </c>
      <c r="E385" s="56" t="str">
        <f>IFERROR(VLOOKUP($D385,본공사입.출고현황!$B:$H,E$2080,0),0)</f>
        <v>Steel round bar</v>
      </c>
      <c r="F385" s="18" t="str">
        <f>IFERROR(VLOOKUP($D385,본공사입.출고현황!$B:$H,F$2080,0),0)</f>
        <v>Steel round bar(rebar)</v>
      </c>
      <c r="G385" s="18" t="str">
        <f>IFERROR(VLOOKUP($D385,본공사입.출고현황!$B:$H,G$2080,0),0)</f>
        <v>CCGG</v>
      </c>
      <c r="H385" s="18" t="str">
        <f>IFERROR(VLOOKUP($D385,본공사입.출고현황!$B:$H,H$2080,0),0)</f>
        <v>ф10, 1ton=1,620.7m</v>
      </c>
      <c r="I385" s="56" t="str">
        <f>IFERROR(VLOOKUP($D385,본공사입.출고현황!$B:$H,I$2080,0),0)</f>
        <v>M</v>
      </c>
      <c r="J385" s="9" t="s">
        <v>554</v>
      </c>
      <c r="K385" s="9" t="s">
        <v>553</v>
      </c>
      <c r="L385" s="37">
        <v>25</v>
      </c>
      <c r="M385" s="64" t="s">
        <v>408</v>
      </c>
      <c r="N385" s="42"/>
    </row>
    <row r="386" spans="1:14" ht="24" customHeight="1">
      <c r="A386" s="8">
        <v>342</v>
      </c>
      <c r="B386" s="9">
        <v>342</v>
      </c>
      <c r="C386" s="46">
        <v>45945</v>
      </c>
      <c r="D386" s="9" t="s">
        <v>407</v>
      </c>
      <c r="E386" s="56" t="str">
        <f>IFERROR(VLOOKUP($D386,본공사입.출고현황!$B:$H,E$2080,0),0)</f>
        <v>Steel round bar</v>
      </c>
      <c r="F386" s="18" t="str">
        <f>IFERROR(VLOOKUP($D386,본공사입.출고현황!$B:$H,F$2080,0),0)</f>
        <v>Steel round bar(rebar)</v>
      </c>
      <c r="G386" s="18" t="str">
        <f>IFERROR(VLOOKUP($D386,본공사입.출고현황!$B:$H,G$2080,0),0)</f>
        <v>CCGG</v>
      </c>
      <c r="H386" s="18" t="str">
        <f>IFERROR(VLOOKUP($D386,본공사입.출고현황!$B:$H,H$2080,0),0)</f>
        <v>ф10, 1ton=1,620.7m</v>
      </c>
      <c r="I386" s="56" t="str">
        <f>IFERROR(VLOOKUP($D386,본공사입.출고현황!$B:$H,I$2080,0),0)</f>
        <v>M</v>
      </c>
      <c r="J386" s="9">
        <v>1</v>
      </c>
      <c r="K386" s="9" t="s">
        <v>352</v>
      </c>
      <c r="L386" s="37">
        <v>210</v>
      </c>
      <c r="M386" s="64" t="s">
        <v>408</v>
      </c>
      <c r="N386" s="42"/>
    </row>
    <row r="387" spans="1:14" ht="24" customHeight="1">
      <c r="A387" s="8">
        <v>343</v>
      </c>
      <c r="B387" s="9">
        <v>343</v>
      </c>
      <c r="C387" s="46">
        <v>45945</v>
      </c>
      <c r="D387" s="9" t="s">
        <v>407</v>
      </c>
      <c r="E387" s="56" t="str">
        <f>IFERROR(VLOOKUP($D387,본공사입.출고현황!$B:$H,E$2080,0),0)</f>
        <v>Steel round bar</v>
      </c>
      <c r="F387" s="18" t="str">
        <f>IFERROR(VLOOKUP($D387,본공사입.출고현황!$B:$H,F$2080,0),0)</f>
        <v>Steel round bar(rebar)</v>
      </c>
      <c r="G387" s="18" t="str">
        <f>IFERROR(VLOOKUP($D387,본공사입.출고현황!$B:$H,G$2080,0),0)</f>
        <v>CCGG</v>
      </c>
      <c r="H387" s="18" t="str">
        <f>IFERROR(VLOOKUP($D387,본공사입.출고현황!$B:$H,H$2080,0),0)</f>
        <v>ф10, 1ton=1,620.7m</v>
      </c>
      <c r="I387" s="56" t="str">
        <f>IFERROR(VLOOKUP($D387,본공사입.출고현황!$B:$H,I$2080,0),0)</f>
        <v>M</v>
      </c>
      <c r="J387" s="9">
        <v>2</v>
      </c>
      <c r="K387" s="9" t="s">
        <v>546</v>
      </c>
      <c r="L387" s="37">
        <v>25</v>
      </c>
      <c r="M387" s="64" t="s">
        <v>408</v>
      </c>
      <c r="N387" s="42"/>
    </row>
    <row r="388" spans="1:14" ht="24" customHeight="1">
      <c r="A388" s="8">
        <v>344</v>
      </c>
      <c r="B388" s="9">
        <v>344</v>
      </c>
      <c r="C388" s="46">
        <v>45945</v>
      </c>
      <c r="D388" s="9" t="s">
        <v>407</v>
      </c>
      <c r="E388" s="56" t="str">
        <f>IFERROR(VLOOKUP($D388,본공사입.출고현황!$B:$H,E$2080,0),0)</f>
        <v>Steel round bar</v>
      </c>
      <c r="F388" s="18" t="str">
        <f>IFERROR(VLOOKUP($D388,본공사입.출고현황!$B:$H,F$2080,0),0)</f>
        <v>Steel round bar(rebar)</v>
      </c>
      <c r="G388" s="18" t="str">
        <f>IFERROR(VLOOKUP($D388,본공사입.출고현황!$B:$H,G$2080,0),0)</f>
        <v>CCGG</v>
      </c>
      <c r="H388" s="18" t="str">
        <f>IFERROR(VLOOKUP($D388,본공사입.출고현황!$B:$H,H$2080,0),0)</f>
        <v>ф10, 1ton=1,620.7m</v>
      </c>
      <c r="I388" s="56" t="str">
        <f>IFERROR(VLOOKUP($D388,본공사입.출고현황!$B:$H,I$2080,0),0)</f>
        <v>M</v>
      </c>
      <c r="J388" s="9">
        <v>1</v>
      </c>
      <c r="K388" s="9" t="s">
        <v>363</v>
      </c>
      <c r="L388" s="37">
        <v>45</v>
      </c>
      <c r="M388" s="64" t="s">
        <v>408</v>
      </c>
      <c r="N388" s="42"/>
    </row>
    <row r="389" spans="1:14" ht="24" customHeight="1">
      <c r="A389" s="8">
        <v>345</v>
      </c>
      <c r="B389" s="9">
        <v>345</v>
      </c>
      <c r="C389" s="46">
        <v>45946</v>
      </c>
      <c r="D389" s="9" t="s">
        <v>407</v>
      </c>
      <c r="E389" s="56" t="str">
        <f>IFERROR(VLOOKUP($D389,본공사입.출고현황!$B:$H,E$2080,0),0)</f>
        <v>Steel round bar</v>
      </c>
      <c r="F389" s="18" t="str">
        <f>IFERROR(VLOOKUP($D389,본공사입.출고현황!$B:$H,F$2080,0),0)</f>
        <v>Steel round bar(rebar)</v>
      </c>
      <c r="G389" s="18" t="str">
        <f>IFERROR(VLOOKUP($D389,본공사입.출고현황!$B:$H,G$2080,0),0)</f>
        <v>CCGG</v>
      </c>
      <c r="H389" s="18" t="str">
        <f>IFERROR(VLOOKUP($D389,본공사입.출고현황!$B:$H,H$2080,0),0)</f>
        <v>ф10, 1ton=1,620.7m</v>
      </c>
      <c r="I389" s="56" t="str">
        <f>IFERROR(VLOOKUP($D389,본공사입.출고현황!$B:$H,I$2080,0),0)</f>
        <v>M</v>
      </c>
      <c r="J389" s="9">
        <v>4</v>
      </c>
      <c r="K389" s="9" t="s">
        <v>351</v>
      </c>
      <c r="L389" s="37">
        <v>25</v>
      </c>
      <c r="M389" s="64" t="s">
        <v>408</v>
      </c>
      <c r="N389" s="42"/>
    </row>
    <row r="390" spans="1:14" ht="24" customHeight="1">
      <c r="A390" s="8">
        <v>346</v>
      </c>
      <c r="B390" s="9">
        <v>346</v>
      </c>
      <c r="C390" s="46">
        <v>45946</v>
      </c>
      <c r="D390" s="9" t="s">
        <v>407</v>
      </c>
      <c r="E390" s="56" t="str">
        <f>IFERROR(VLOOKUP($D390,본공사입.출고현황!$B:$H,E$2080,0),0)</f>
        <v>Steel round bar</v>
      </c>
      <c r="F390" s="18" t="str">
        <f>IFERROR(VLOOKUP($D390,본공사입.출고현황!$B:$H,F$2080,0),0)</f>
        <v>Steel round bar(rebar)</v>
      </c>
      <c r="G390" s="18" t="str">
        <f>IFERROR(VLOOKUP($D390,본공사입.출고현황!$B:$H,G$2080,0),0)</f>
        <v>CCGG</v>
      </c>
      <c r="H390" s="18" t="str">
        <f>IFERROR(VLOOKUP($D390,본공사입.출고현황!$B:$H,H$2080,0),0)</f>
        <v>ф10, 1ton=1,620.7m</v>
      </c>
      <c r="I390" s="56" t="str">
        <f>IFERROR(VLOOKUP($D390,본공사입.출고현황!$B:$H,I$2080,0),0)</f>
        <v>M</v>
      </c>
      <c r="J390" s="9" t="s">
        <v>554</v>
      </c>
      <c r="K390" s="9" t="s">
        <v>553</v>
      </c>
      <c r="L390" s="37">
        <v>55</v>
      </c>
      <c r="M390" s="64" t="s">
        <v>408</v>
      </c>
      <c r="N390" s="42"/>
    </row>
    <row r="391" spans="1:14" ht="24" customHeight="1">
      <c r="A391" s="8">
        <v>347</v>
      </c>
      <c r="B391" s="9">
        <v>347</v>
      </c>
      <c r="C391" s="46">
        <v>45946</v>
      </c>
      <c r="D391" s="9" t="s">
        <v>407</v>
      </c>
      <c r="E391" s="56" t="str">
        <f>IFERROR(VLOOKUP($D391,본공사입.출고현황!$B:$H,E$2080,0),0)</f>
        <v>Steel round bar</v>
      </c>
      <c r="F391" s="18" t="str">
        <f>IFERROR(VLOOKUP($D391,본공사입.출고현황!$B:$H,F$2080,0),0)</f>
        <v>Steel round bar(rebar)</v>
      </c>
      <c r="G391" s="18" t="str">
        <f>IFERROR(VLOOKUP($D391,본공사입.출고현황!$B:$H,G$2080,0),0)</f>
        <v>CCGG</v>
      </c>
      <c r="H391" s="18" t="str">
        <f>IFERROR(VLOOKUP($D391,본공사입.출고현황!$B:$H,H$2080,0),0)</f>
        <v>ф10, 1ton=1,620.7m</v>
      </c>
      <c r="I391" s="56" t="str">
        <f>IFERROR(VLOOKUP($D391,본공사입.출고현황!$B:$H,I$2080,0),0)</f>
        <v>M</v>
      </c>
      <c r="J391" s="9">
        <v>1</v>
      </c>
      <c r="K391" s="9" t="s">
        <v>352</v>
      </c>
      <c r="L391" s="37">
        <v>90</v>
      </c>
      <c r="M391" s="64" t="s">
        <v>408</v>
      </c>
      <c r="N391" s="42"/>
    </row>
    <row r="392" spans="1:14" ht="24" customHeight="1">
      <c r="A392" s="8">
        <v>348</v>
      </c>
      <c r="B392" s="9">
        <v>348</v>
      </c>
      <c r="C392" s="46">
        <v>45947</v>
      </c>
      <c r="D392" s="9" t="s">
        <v>407</v>
      </c>
      <c r="E392" s="56" t="str">
        <f>IFERROR(VLOOKUP($D392,본공사입.출고현황!$B:$H,E$2080,0),0)</f>
        <v>Steel round bar</v>
      </c>
      <c r="F392" s="18" t="str">
        <f>IFERROR(VLOOKUP($D392,본공사입.출고현황!$B:$H,F$2080,0),0)</f>
        <v>Steel round bar(rebar)</v>
      </c>
      <c r="G392" s="18" t="str">
        <f>IFERROR(VLOOKUP($D392,본공사입.출고현황!$B:$H,G$2080,0),0)</f>
        <v>CCGG</v>
      </c>
      <c r="H392" s="18" t="str">
        <f>IFERROR(VLOOKUP($D392,본공사입.출고현황!$B:$H,H$2080,0),0)</f>
        <v>ф10, 1ton=1,620.7m</v>
      </c>
      <c r="I392" s="56" t="str">
        <f>IFERROR(VLOOKUP($D392,본공사입.출고현황!$B:$H,I$2080,0),0)</f>
        <v>M</v>
      </c>
      <c r="J392" s="9">
        <v>3</v>
      </c>
      <c r="K392" s="9" t="s">
        <v>237</v>
      </c>
      <c r="L392" s="37">
        <v>20</v>
      </c>
      <c r="M392" s="64" t="s">
        <v>408</v>
      </c>
      <c r="N392" s="42"/>
    </row>
    <row r="393" spans="1:14" ht="24" customHeight="1">
      <c r="A393" s="8">
        <v>349</v>
      </c>
      <c r="B393" s="9">
        <v>349</v>
      </c>
      <c r="C393" s="46">
        <v>45947</v>
      </c>
      <c r="D393" s="9" t="s">
        <v>407</v>
      </c>
      <c r="E393" s="56" t="str">
        <f>IFERROR(VLOOKUP($D393,본공사입.출고현황!$B:$H,E$2080,0),0)</f>
        <v>Steel round bar</v>
      </c>
      <c r="F393" s="18" t="str">
        <f>IFERROR(VLOOKUP($D393,본공사입.출고현황!$B:$H,F$2080,0),0)</f>
        <v>Steel round bar(rebar)</v>
      </c>
      <c r="G393" s="18" t="str">
        <f>IFERROR(VLOOKUP($D393,본공사입.출고현황!$B:$H,G$2080,0),0)</f>
        <v>CCGG</v>
      </c>
      <c r="H393" s="18" t="str">
        <f>IFERROR(VLOOKUP($D393,본공사입.출고현황!$B:$H,H$2080,0),0)</f>
        <v>ф10, 1ton=1,620.7m</v>
      </c>
      <c r="I393" s="56" t="str">
        <f>IFERROR(VLOOKUP($D393,본공사입.출고현황!$B:$H,I$2080,0),0)</f>
        <v>M</v>
      </c>
      <c r="J393" s="9">
        <v>1</v>
      </c>
      <c r="K393" s="9" t="s">
        <v>545</v>
      </c>
      <c r="L393" s="37">
        <v>5</v>
      </c>
      <c r="M393" s="64" t="s">
        <v>408</v>
      </c>
      <c r="N393" s="42"/>
    </row>
    <row r="394" spans="1:14" ht="24" customHeight="1">
      <c r="A394" s="8">
        <v>350</v>
      </c>
      <c r="B394" s="9">
        <v>350</v>
      </c>
      <c r="C394" s="46">
        <v>45947</v>
      </c>
      <c r="D394" s="9" t="s">
        <v>407</v>
      </c>
      <c r="E394" s="56" t="str">
        <f>IFERROR(VLOOKUP($D394,본공사입.출고현황!$B:$H,E$2080,0),0)</f>
        <v>Steel round bar</v>
      </c>
      <c r="F394" s="18" t="str">
        <f>IFERROR(VLOOKUP($D394,본공사입.출고현황!$B:$H,F$2080,0),0)</f>
        <v>Steel round bar(rebar)</v>
      </c>
      <c r="G394" s="18" t="str">
        <f>IFERROR(VLOOKUP($D394,본공사입.출고현황!$B:$H,G$2080,0),0)</f>
        <v>CCGG</v>
      </c>
      <c r="H394" s="18" t="str">
        <f>IFERROR(VLOOKUP($D394,본공사입.출고현황!$B:$H,H$2080,0),0)</f>
        <v>ф10, 1ton=1,620.7m</v>
      </c>
      <c r="I394" s="56" t="str">
        <f>IFERROR(VLOOKUP($D394,본공사입.출고현황!$B:$H,I$2080,0),0)</f>
        <v>M</v>
      </c>
      <c r="J394" s="9">
        <v>1</v>
      </c>
      <c r="K394" s="9" t="s">
        <v>363</v>
      </c>
      <c r="L394" s="37">
        <v>25</v>
      </c>
      <c r="M394" s="64" t="s">
        <v>408</v>
      </c>
      <c r="N394" s="42"/>
    </row>
    <row r="395" spans="1:14" ht="24" customHeight="1">
      <c r="A395" s="8">
        <v>351</v>
      </c>
      <c r="B395" s="9">
        <v>351</v>
      </c>
      <c r="C395" s="46">
        <v>45947</v>
      </c>
      <c r="D395" s="9" t="s">
        <v>407</v>
      </c>
      <c r="E395" s="56" t="str">
        <f>IFERROR(VLOOKUP($D395,본공사입.출고현황!$B:$H,E$2080,0),0)</f>
        <v>Steel round bar</v>
      </c>
      <c r="F395" s="18" t="str">
        <f>IFERROR(VLOOKUP($D395,본공사입.출고현황!$B:$H,F$2080,0),0)</f>
        <v>Steel round bar(rebar)</v>
      </c>
      <c r="G395" s="18" t="str">
        <f>IFERROR(VLOOKUP($D395,본공사입.출고현황!$B:$H,G$2080,0),0)</f>
        <v>CCGG</v>
      </c>
      <c r="H395" s="18" t="str">
        <f>IFERROR(VLOOKUP($D395,본공사입.출고현황!$B:$H,H$2080,0),0)</f>
        <v>ф10, 1ton=1,620.7m</v>
      </c>
      <c r="I395" s="56" t="str">
        <f>IFERROR(VLOOKUP($D395,본공사입.출고현황!$B:$H,I$2080,0),0)</f>
        <v>M</v>
      </c>
      <c r="J395" s="9">
        <v>3</v>
      </c>
      <c r="K395" s="9" t="s">
        <v>550</v>
      </c>
      <c r="L395" s="37">
        <v>25</v>
      </c>
      <c r="M395" s="64" t="s">
        <v>408</v>
      </c>
      <c r="N395" s="42"/>
    </row>
    <row r="396" spans="1:14" ht="24" customHeight="1">
      <c r="A396" s="8">
        <v>352</v>
      </c>
      <c r="B396" s="9">
        <v>352</v>
      </c>
      <c r="C396" s="46">
        <v>45948</v>
      </c>
      <c r="D396" s="9" t="s">
        <v>407</v>
      </c>
      <c r="E396" s="56" t="str">
        <f>IFERROR(VLOOKUP($D396,본공사입.출고현황!$B:$H,E$2080,0),0)</f>
        <v>Steel round bar</v>
      </c>
      <c r="F396" s="18" t="str">
        <f>IFERROR(VLOOKUP($D396,본공사입.출고현황!$B:$H,F$2080,0),0)</f>
        <v>Steel round bar(rebar)</v>
      </c>
      <c r="G396" s="18" t="str">
        <f>IFERROR(VLOOKUP($D396,본공사입.출고현황!$B:$H,G$2080,0),0)</f>
        <v>CCGG</v>
      </c>
      <c r="H396" s="18" t="str">
        <f>IFERROR(VLOOKUP($D396,본공사입.출고현황!$B:$H,H$2080,0),0)</f>
        <v>ф10, 1ton=1,620.7m</v>
      </c>
      <c r="I396" s="56" t="str">
        <f>IFERROR(VLOOKUP($D396,본공사입.출고현황!$B:$H,I$2080,0),0)</f>
        <v>M</v>
      </c>
      <c r="J396" s="9">
        <v>3</v>
      </c>
      <c r="K396" s="9" t="s">
        <v>550</v>
      </c>
      <c r="L396" s="37">
        <v>20</v>
      </c>
      <c r="M396" s="64" t="s">
        <v>358</v>
      </c>
      <c r="N396" s="42"/>
    </row>
    <row r="397" spans="1:14" ht="24" customHeight="1">
      <c r="A397" s="8">
        <v>353</v>
      </c>
      <c r="B397" s="9">
        <v>353</v>
      </c>
      <c r="C397" s="46">
        <v>45948</v>
      </c>
      <c r="D397" s="9" t="s">
        <v>407</v>
      </c>
      <c r="E397" s="56" t="str">
        <f>IFERROR(VLOOKUP($D397,본공사입.출고현황!$B:$H,E$2080,0),0)</f>
        <v>Steel round bar</v>
      </c>
      <c r="F397" s="18" t="str">
        <f>IFERROR(VLOOKUP($D397,본공사입.출고현황!$B:$H,F$2080,0),0)</f>
        <v>Steel round bar(rebar)</v>
      </c>
      <c r="G397" s="18" t="str">
        <f>IFERROR(VLOOKUP($D397,본공사입.출고현황!$B:$H,G$2080,0),0)</f>
        <v>CCGG</v>
      </c>
      <c r="H397" s="18" t="str">
        <f>IFERROR(VLOOKUP($D397,본공사입.출고현황!$B:$H,H$2080,0),0)</f>
        <v>ф10, 1ton=1,620.7m</v>
      </c>
      <c r="I397" s="56" t="str">
        <f>IFERROR(VLOOKUP($D397,본공사입.출고현황!$B:$H,I$2080,0),0)</f>
        <v>M</v>
      </c>
      <c r="J397" s="9">
        <v>1</v>
      </c>
      <c r="K397" s="9" t="s">
        <v>352</v>
      </c>
      <c r="L397" s="37">
        <v>55</v>
      </c>
      <c r="M397" s="64" t="s">
        <v>358</v>
      </c>
      <c r="N397" s="42"/>
    </row>
    <row r="398" spans="1:14" ht="24" customHeight="1">
      <c r="A398" s="8">
        <v>354</v>
      </c>
      <c r="B398" s="9">
        <v>354</v>
      </c>
      <c r="C398" s="46">
        <v>45948</v>
      </c>
      <c r="D398" s="9" t="s">
        <v>407</v>
      </c>
      <c r="E398" s="56" t="str">
        <f>IFERROR(VLOOKUP($D398,본공사입.출고현황!$B:$H,E$2080,0),0)</f>
        <v>Steel round bar</v>
      </c>
      <c r="F398" s="18" t="str">
        <f>IFERROR(VLOOKUP($D398,본공사입.출고현황!$B:$H,F$2080,0),0)</f>
        <v>Steel round bar(rebar)</v>
      </c>
      <c r="G398" s="18" t="str">
        <f>IFERROR(VLOOKUP($D398,본공사입.출고현황!$B:$H,G$2080,0),0)</f>
        <v>CCGG</v>
      </c>
      <c r="H398" s="18" t="str">
        <f>IFERROR(VLOOKUP($D398,본공사입.출고현황!$B:$H,H$2080,0),0)</f>
        <v>ф10, 1ton=1,620.7m</v>
      </c>
      <c r="I398" s="56" t="str">
        <f>IFERROR(VLOOKUP($D398,본공사입.출고현황!$B:$H,I$2080,0),0)</f>
        <v>M</v>
      </c>
      <c r="J398" s="9">
        <v>4</v>
      </c>
      <c r="K398" s="9" t="s">
        <v>351</v>
      </c>
      <c r="L398" s="37">
        <v>30</v>
      </c>
      <c r="M398" s="64" t="s">
        <v>358</v>
      </c>
      <c r="N398" s="42"/>
    </row>
    <row r="399" spans="1:14" ht="24" customHeight="1">
      <c r="A399" s="8">
        <v>355</v>
      </c>
      <c r="B399" s="9">
        <v>355</v>
      </c>
      <c r="C399" s="46">
        <v>45948</v>
      </c>
      <c r="D399" s="9" t="s">
        <v>407</v>
      </c>
      <c r="E399" s="56" t="str">
        <f>IFERROR(VLOOKUP($D399,본공사입.출고현황!$B:$H,E$2080,0),0)</f>
        <v>Steel round bar</v>
      </c>
      <c r="F399" s="18" t="str">
        <f>IFERROR(VLOOKUP($D399,본공사입.출고현황!$B:$H,F$2080,0),0)</f>
        <v>Steel round bar(rebar)</v>
      </c>
      <c r="G399" s="18" t="str">
        <f>IFERROR(VLOOKUP($D399,본공사입.출고현황!$B:$H,G$2080,0),0)</f>
        <v>CCGG</v>
      </c>
      <c r="H399" s="18" t="str">
        <f>IFERROR(VLOOKUP($D399,본공사입.출고현황!$B:$H,H$2080,0),0)</f>
        <v>ф10, 1ton=1,620.7m</v>
      </c>
      <c r="I399" s="56" t="str">
        <f>IFERROR(VLOOKUP($D399,본공사입.출고현황!$B:$H,I$2080,0),0)</f>
        <v>M</v>
      </c>
      <c r="J399" s="9">
        <v>1</v>
      </c>
      <c r="K399" s="9" t="s">
        <v>363</v>
      </c>
      <c r="L399" s="37">
        <v>35</v>
      </c>
      <c r="M399" s="64" t="s">
        <v>358</v>
      </c>
      <c r="N399" s="42"/>
    </row>
    <row r="400" spans="1:14" ht="24" customHeight="1">
      <c r="A400" s="8">
        <v>356</v>
      </c>
      <c r="B400" s="9">
        <v>356</v>
      </c>
      <c r="C400" s="46">
        <v>45948</v>
      </c>
      <c r="D400" s="9" t="s">
        <v>407</v>
      </c>
      <c r="E400" s="56" t="str">
        <f>IFERROR(VLOOKUP($D400,본공사입.출고현황!$B:$H,E$2080,0),0)</f>
        <v>Steel round bar</v>
      </c>
      <c r="F400" s="18" t="str">
        <f>IFERROR(VLOOKUP($D400,본공사입.출고현황!$B:$H,F$2080,0),0)</f>
        <v>Steel round bar(rebar)</v>
      </c>
      <c r="G400" s="18" t="str">
        <f>IFERROR(VLOOKUP($D400,본공사입.출고현황!$B:$H,G$2080,0),0)</f>
        <v>CCGG</v>
      </c>
      <c r="H400" s="18" t="str">
        <f>IFERROR(VLOOKUP($D400,본공사입.출고현황!$B:$H,H$2080,0),0)</f>
        <v>ф10, 1ton=1,620.7m</v>
      </c>
      <c r="I400" s="56" t="str">
        <f>IFERROR(VLOOKUP($D400,본공사입.출고현황!$B:$H,I$2080,0),0)</f>
        <v>M</v>
      </c>
      <c r="J400" s="9">
        <v>1</v>
      </c>
      <c r="K400" s="9" t="s">
        <v>547</v>
      </c>
      <c r="L400" s="37">
        <v>25</v>
      </c>
      <c r="M400" s="64" t="s">
        <v>358</v>
      </c>
      <c r="N400" s="42"/>
    </row>
    <row r="401" spans="1:14" ht="24" customHeight="1">
      <c r="A401" s="8">
        <v>357</v>
      </c>
      <c r="B401" s="9">
        <v>357</v>
      </c>
      <c r="C401" s="46">
        <v>45948</v>
      </c>
      <c r="D401" s="9" t="s">
        <v>407</v>
      </c>
      <c r="E401" s="56" t="str">
        <f>IFERROR(VLOOKUP($D401,본공사입.출고현황!$B:$H,E$2080,0),0)</f>
        <v>Steel round bar</v>
      </c>
      <c r="F401" s="18" t="str">
        <f>IFERROR(VLOOKUP($D401,본공사입.출고현황!$B:$H,F$2080,0),0)</f>
        <v>Steel round bar(rebar)</v>
      </c>
      <c r="G401" s="18" t="str">
        <f>IFERROR(VLOOKUP($D401,본공사입.출고현황!$B:$H,G$2080,0),0)</f>
        <v>CCGG</v>
      </c>
      <c r="H401" s="18" t="str">
        <f>IFERROR(VLOOKUP($D401,본공사입.출고현황!$B:$H,H$2080,0),0)</f>
        <v>ф10, 1ton=1,620.7m</v>
      </c>
      <c r="I401" s="56" t="str">
        <f>IFERROR(VLOOKUP($D401,본공사입.출고현황!$B:$H,I$2080,0),0)</f>
        <v>M</v>
      </c>
      <c r="J401" s="9" t="s">
        <v>557</v>
      </c>
      <c r="K401" s="9" t="s">
        <v>553</v>
      </c>
      <c r="L401" s="37">
        <v>40</v>
      </c>
      <c r="M401" s="64" t="s">
        <v>358</v>
      </c>
      <c r="N401" s="42"/>
    </row>
    <row r="402" spans="1:14" ht="24" customHeight="1">
      <c r="A402" s="8">
        <v>358</v>
      </c>
      <c r="B402" s="9">
        <v>358</v>
      </c>
      <c r="C402" s="46">
        <v>45948</v>
      </c>
      <c r="D402" s="9" t="s">
        <v>407</v>
      </c>
      <c r="E402" s="56" t="str">
        <f>IFERROR(VLOOKUP($D402,본공사입.출고현황!$B:$H,E$2080,0),0)</f>
        <v>Steel round bar</v>
      </c>
      <c r="F402" s="18" t="str">
        <f>IFERROR(VLOOKUP($D402,본공사입.출고현황!$B:$H,F$2080,0),0)</f>
        <v>Steel round bar(rebar)</v>
      </c>
      <c r="G402" s="18" t="str">
        <f>IFERROR(VLOOKUP($D402,본공사입.출고현황!$B:$H,G$2080,0),0)</f>
        <v>CCGG</v>
      </c>
      <c r="H402" s="18" t="str">
        <f>IFERROR(VLOOKUP($D402,본공사입.출고현황!$B:$H,H$2080,0),0)</f>
        <v>ф10, 1ton=1,620.7m</v>
      </c>
      <c r="I402" s="56" t="str">
        <f>IFERROR(VLOOKUP($D402,본공사입.출고현황!$B:$H,I$2080,0),0)</f>
        <v>M</v>
      </c>
      <c r="J402" s="9">
        <v>2</v>
      </c>
      <c r="K402" s="9" t="s">
        <v>360</v>
      </c>
      <c r="L402" s="37">
        <v>100</v>
      </c>
      <c r="M402" s="64" t="s">
        <v>358</v>
      </c>
      <c r="N402" s="42"/>
    </row>
    <row r="403" spans="1:14" ht="24" customHeight="1">
      <c r="A403" s="8">
        <v>359</v>
      </c>
      <c r="B403" s="9">
        <v>359</v>
      </c>
      <c r="C403" s="46">
        <v>45948</v>
      </c>
      <c r="D403" s="9" t="s">
        <v>407</v>
      </c>
      <c r="E403" s="56" t="str">
        <f>IFERROR(VLOOKUP($D403,본공사입.출고현황!$B:$H,E$2080,0),0)</f>
        <v>Steel round bar</v>
      </c>
      <c r="F403" s="18" t="str">
        <f>IFERROR(VLOOKUP($D403,본공사입.출고현황!$B:$H,F$2080,0),0)</f>
        <v>Steel round bar(rebar)</v>
      </c>
      <c r="G403" s="18" t="str">
        <f>IFERROR(VLOOKUP($D403,본공사입.출고현황!$B:$H,G$2080,0),0)</f>
        <v>CCGG</v>
      </c>
      <c r="H403" s="18" t="str">
        <f>IFERROR(VLOOKUP($D403,본공사입.출고현황!$B:$H,H$2080,0),0)</f>
        <v>ф10, 1ton=1,620.7m</v>
      </c>
      <c r="I403" s="56" t="str">
        <f>IFERROR(VLOOKUP($D403,본공사입.출고현황!$B:$H,I$2080,0),0)</f>
        <v>M</v>
      </c>
      <c r="J403" s="9">
        <v>2</v>
      </c>
      <c r="K403" s="9" t="s">
        <v>546</v>
      </c>
      <c r="L403" s="37">
        <v>25</v>
      </c>
      <c r="M403" s="64" t="s">
        <v>358</v>
      </c>
      <c r="N403" s="42"/>
    </row>
    <row r="404" spans="1:14" ht="24" customHeight="1">
      <c r="A404" s="8">
        <v>360</v>
      </c>
      <c r="B404" s="9">
        <v>360</v>
      </c>
      <c r="C404" s="46">
        <v>45949</v>
      </c>
      <c r="D404" s="9" t="s">
        <v>407</v>
      </c>
      <c r="E404" s="56" t="str">
        <f>IFERROR(VLOOKUP($D404,본공사입.출고현황!$B:$H,E$2080,0),0)</f>
        <v>Steel round bar</v>
      </c>
      <c r="F404" s="18" t="str">
        <f>IFERROR(VLOOKUP($D404,본공사입.출고현황!$B:$H,F$2080,0),0)</f>
        <v>Steel round bar(rebar)</v>
      </c>
      <c r="G404" s="18" t="str">
        <f>IFERROR(VLOOKUP($D404,본공사입.출고현황!$B:$H,G$2080,0),0)</f>
        <v>CCGG</v>
      </c>
      <c r="H404" s="18" t="str">
        <f>IFERROR(VLOOKUP($D404,본공사입.출고현황!$B:$H,H$2080,0),0)</f>
        <v>ф10, 1ton=1,620.7m</v>
      </c>
      <c r="I404" s="56" t="str">
        <f>IFERROR(VLOOKUP($D404,본공사입.출고현황!$B:$H,I$2080,0),0)</f>
        <v>M</v>
      </c>
      <c r="J404" s="9">
        <v>3</v>
      </c>
      <c r="K404" s="9" t="s">
        <v>550</v>
      </c>
      <c r="L404" s="37">
        <v>20</v>
      </c>
      <c r="M404" s="64" t="s">
        <v>408</v>
      </c>
      <c r="N404" s="42"/>
    </row>
    <row r="405" spans="1:14" ht="24" customHeight="1">
      <c r="A405" s="8">
        <v>361</v>
      </c>
      <c r="B405" s="9">
        <v>361</v>
      </c>
      <c r="C405" s="46">
        <v>45949</v>
      </c>
      <c r="D405" s="9" t="s">
        <v>407</v>
      </c>
      <c r="E405" s="56" t="str">
        <f>IFERROR(VLOOKUP($D405,본공사입.출고현황!$B:$H,E$2080,0),0)</f>
        <v>Steel round bar</v>
      </c>
      <c r="F405" s="18" t="str">
        <f>IFERROR(VLOOKUP($D405,본공사입.출고현황!$B:$H,F$2080,0),0)</f>
        <v>Steel round bar(rebar)</v>
      </c>
      <c r="G405" s="18" t="str">
        <f>IFERROR(VLOOKUP($D405,본공사입.출고현황!$B:$H,G$2080,0),0)</f>
        <v>CCGG</v>
      </c>
      <c r="H405" s="18" t="str">
        <f>IFERROR(VLOOKUP($D405,본공사입.출고현황!$B:$H,H$2080,0),0)</f>
        <v>ф10, 1ton=1,620.7m</v>
      </c>
      <c r="I405" s="56" t="str">
        <f>IFERROR(VLOOKUP($D405,본공사입.출고현황!$B:$H,I$2080,0),0)</f>
        <v>M</v>
      </c>
      <c r="J405" s="9">
        <v>1</v>
      </c>
      <c r="K405" s="9" t="s">
        <v>352</v>
      </c>
      <c r="L405" s="37">
        <v>25</v>
      </c>
      <c r="M405" s="64" t="s">
        <v>408</v>
      </c>
      <c r="N405" s="42"/>
    </row>
    <row r="406" spans="1:14" ht="24" customHeight="1">
      <c r="A406" s="8">
        <v>362</v>
      </c>
      <c r="B406" s="9">
        <v>362</v>
      </c>
      <c r="C406" s="46">
        <v>45949</v>
      </c>
      <c r="D406" s="9" t="s">
        <v>407</v>
      </c>
      <c r="E406" s="56" t="str">
        <f>IFERROR(VLOOKUP($D406,본공사입.출고현황!$B:$H,E$2080,0),0)</f>
        <v>Steel round bar</v>
      </c>
      <c r="F406" s="18" t="str">
        <f>IFERROR(VLOOKUP($D406,본공사입.출고현황!$B:$H,F$2080,0),0)</f>
        <v>Steel round bar(rebar)</v>
      </c>
      <c r="G406" s="18" t="str">
        <f>IFERROR(VLOOKUP($D406,본공사입.출고현황!$B:$H,G$2080,0),0)</f>
        <v>CCGG</v>
      </c>
      <c r="H406" s="18" t="str">
        <f>IFERROR(VLOOKUP($D406,본공사입.출고현황!$B:$H,H$2080,0),0)</f>
        <v>ф10, 1ton=1,620.7m</v>
      </c>
      <c r="I406" s="56" t="str">
        <f>IFERROR(VLOOKUP($D406,본공사입.출고현황!$B:$H,I$2080,0),0)</f>
        <v>M</v>
      </c>
      <c r="J406" s="9" t="s">
        <v>557</v>
      </c>
      <c r="K406" s="9" t="s">
        <v>553</v>
      </c>
      <c r="L406" s="37">
        <v>40</v>
      </c>
      <c r="M406" s="64" t="s">
        <v>408</v>
      </c>
      <c r="N406" s="42"/>
    </row>
    <row r="407" spans="1:14" ht="24" customHeight="1">
      <c r="A407" s="8">
        <v>363</v>
      </c>
      <c r="B407" s="9">
        <v>363</v>
      </c>
      <c r="C407" s="46">
        <v>45949</v>
      </c>
      <c r="D407" s="9" t="s">
        <v>407</v>
      </c>
      <c r="E407" s="56" t="str">
        <f>IFERROR(VLOOKUP($D407,본공사입.출고현황!$B:$H,E$2080,0),0)</f>
        <v>Steel round bar</v>
      </c>
      <c r="F407" s="18" t="str">
        <f>IFERROR(VLOOKUP($D407,본공사입.출고현황!$B:$H,F$2080,0),0)</f>
        <v>Steel round bar(rebar)</v>
      </c>
      <c r="G407" s="18" t="str">
        <f>IFERROR(VLOOKUP($D407,본공사입.출고현황!$B:$H,G$2080,0),0)</f>
        <v>CCGG</v>
      </c>
      <c r="H407" s="18" t="str">
        <f>IFERROR(VLOOKUP($D407,본공사입.출고현황!$B:$H,H$2080,0),0)</f>
        <v>ф10, 1ton=1,620.7m</v>
      </c>
      <c r="I407" s="56" t="str">
        <f>IFERROR(VLOOKUP($D407,본공사입.출고현황!$B:$H,I$2080,0),0)</f>
        <v>M</v>
      </c>
      <c r="J407" s="9">
        <v>1</v>
      </c>
      <c r="K407" s="9" t="s">
        <v>363</v>
      </c>
      <c r="L407" s="37">
        <v>15</v>
      </c>
      <c r="M407" s="64" t="s">
        <v>408</v>
      </c>
      <c r="N407" s="42"/>
    </row>
    <row r="408" spans="1:14" ht="24" customHeight="1">
      <c r="A408" s="8">
        <v>364</v>
      </c>
      <c r="B408" s="9">
        <v>364</v>
      </c>
      <c r="C408" s="46">
        <v>45950</v>
      </c>
      <c r="D408" s="9" t="s">
        <v>238</v>
      </c>
      <c r="E408" s="56" t="str">
        <f>IFERROR(VLOOKUP($D408,본공사입.출고현황!$B:$H,E$2080,0),0)</f>
        <v>Steel round bar</v>
      </c>
      <c r="F408" s="18" t="str">
        <f>IFERROR(VLOOKUP($D408,본공사입.출고현황!$B:$H,F$2080,0),0)</f>
        <v>Steel round bar(rebar)</v>
      </c>
      <c r="G408" s="18" t="str">
        <f>IFERROR(VLOOKUP($D408,본공사입.출고현황!$B:$H,G$2080,0),0)</f>
        <v>CCGG</v>
      </c>
      <c r="H408" s="18" t="str">
        <f>IFERROR(VLOOKUP($D408,본공사입.출고현황!$B:$H,H$2080,0),0)</f>
        <v>ф10, 1ton=1,620.7m</v>
      </c>
      <c r="I408" s="56" t="str">
        <f>IFERROR(VLOOKUP($D408,본공사입.출고현황!$B:$H,I$2080,0),0)</f>
        <v>M</v>
      </c>
      <c r="J408" s="9">
        <v>3</v>
      </c>
      <c r="K408" s="9" t="s">
        <v>550</v>
      </c>
      <c r="L408" s="37">
        <v>5</v>
      </c>
      <c r="M408" s="64" t="s">
        <v>408</v>
      </c>
      <c r="N408" s="42"/>
    </row>
    <row r="409" spans="1:14" ht="24" customHeight="1">
      <c r="A409" s="8">
        <v>365</v>
      </c>
      <c r="B409" s="9">
        <v>365</v>
      </c>
      <c r="C409" s="46">
        <v>45950</v>
      </c>
      <c r="D409" s="9" t="s">
        <v>238</v>
      </c>
      <c r="E409" s="56" t="str">
        <f>IFERROR(VLOOKUP($D409,본공사입.출고현황!$B:$H,E$2080,0),0)</f>
        <v>Steel round bar</v>
      </c>
      <c r="F409" s="18" t="str">
        <f>IFERROR(VLOOKUP($D409,본공사입.출고현황!$B:$H,F$2080,0),0)</f>
        <v>Steel round bar(rebar)</v>
      </c>
      <c r="G409" s="18" t="str">
        <f>IFERROR(VLOOKUP($D409,본공사입.출고현황!$B:$H,G$2080,0),0)</f>
        <v>CCGG</v>
      </c>
      <c r="H409" s="18" t="str">
        <f>IFERROR(VLOOKUP($D409,본공사입.출고현황!$B:$H,H$2080,0),0)</f>
        <v>ф10, 1ton=1,620.7m</v>
      </c>
      <c r="I409" s="56" t="str">
        <f>IFERROR(VLOOKUP($D409,본공사입.출고현황!$B:$H,I$2080,0),0)</f>
        <v>M</v>
      </c>
      <c r="J409" s="9" t="s">
        <v>557</v>
      </c>
      <c r="K409" s="9" t="s">
        <v>553</v>
      </c>
      <c r="L409" s="37">
        <v>115</v>
      </c>
      <c r="M409" s="64" t="s">
        <v>408</v>
      </c>
      <c r="N409" s="42"/>
    </row>
    <row r="410" spans="1:14" ht="24" customHeight="1">
      <c r="A410" s="8">
        <v>366</v>
      </c>
      <c r="B410" s="9">
        <v>366</v>
      </c>
      <c r="C410" s="46">
        <v>45950</v>
      </c>
      <c r="D410" s="9" t="s">
        <v>238</v>
      </c>
      <c r="E410" s="56" t="str">
        <f>IFERROR(VLOOKUP($D410,본공사입.출고현황!$B:$H,E$2080,0),0)</f>
        <v>Steel round bar</v>
      </c>
      <c r="F410" s="18" t="str">
        <f>IFERROR(VLOOKUP($D410,본공사입.출고현황!$B:$H,F$2080,0),0)</f>
        <v>Steel round bar(rebar)</v>
      </c>
      <c r="G410" s="18" t="str">
        <f>IFERROR(VLOOKUP($D410,본공사입.출고현황!$B:$H,G$2080,0),0)</f>
        <v>CCGG</v>
      </c>
      <c r="H410" s="18" t="str">
        <f>IFERROR(VLOOKUP($D410,본공사입.출고현황!$B:$H,H$2080,0),0)</f>
        <v>ф10, 1ton=1,620.7m</v>
      </c>
      <c r="I410" s="56" t="str">
        <f>IFERROR(VLOOKUP($D410,본공사입.출고현황!$B:$H,I$2080,0),0)</f>
        <v>M</v>
      </c>
      <c r="J410" s="9">
        <v>1</v>
      </c>
      <c r="K410" s="9" t="s">
        <v>352</v>
      </c>
      <c r="L410" s="37">
        <v>40</v>
      </c>
      <c r="M410" s="64" t="s">
        <v>408</v>
      </c>
      <c r="N410" s="42"/>
    </row>
    <row r="411" spans="1:14" ht="24" customHeight="1">
      <c r="A411" s="8">
        <v>367</v>
      </c>
      <c r="B411" s="9">
        <v>367</v>
      </c>
      <c r="C411" s="46">
        <v>45950</v>
      </c>
      <c r="D411" s="9" t="s">
        <v>238</v>
      </c>
      <c r="E411" s="56" t="str">
        <f>IFERROR(VLOOKUP($D411,본공사입.출고현황!$B:$H,E$2080,0),0)</f>
        <v>Steel round bar</v>
      </c>
      <c r="F411" s="18" t="str">
        <f>IFERROR(VLOOKUP($D411,본공사입.출고현황!$B:$H,F$2080,0),0)</f>
        <v>Steel round bar(rebar)</v>
      </c>
      <c r="G411" s="18" t="str">
        <f>IFERROR(VLOOKUP($D411,본공사입.출고현황!$B:$H,G$2080,0),0)</f>
        <v>CCGG</v>
      </c>
      <c r="H411" s="18" t="str">
        <f>IFERROR(VLOOKUP($D411,본공사입.출고현황!$B:$H,H$2080,0),0)</f>
        <v>ф10, 1ton=1,620.7m</v>
      </c>
      <c r="I411" s="56" t="str">
        <f>IFERROR(VLOOKUP($D411,본공사입.출고현황!$B:$H,I$2080,0),0)</f>
        <v>M</v>
      </c>
      <c r="J411" s="9">
        <v>4</v>
      </c>
      <c r="K411" s="9" t="s">
        <v>351</v>
      </c>
      <c r="L411" s="37">
        <v>20</v>
      </c>
      <c r="M411" s="64" t="s">
        <v>408</v>
      </c>
      <c r="N411" s="42"/>
    </row>
    <row r="412" spans="1:14" ht="24" customHeight="1">
      <c r="A412" s="8">
        <v>368</v>
      </c>
      <c r="B412" s="9">
        <v>368</v>
      </c>
      <c r="C412" s="46">
        <v>45950</v>
      </c>
      <c r="D412" s="9" t="s">
        <v>61</v>
      </c>
      <c r="E412" s="56" t="str">
        <f>IFERROR(VLOOKUP($D412,본공사입.출고현황!$B:$H,E$2080,0),0)</f>
        <v>Angle</v>
      </c>
      <c r="F412" s="18" t="str">
        <f>IFERROR(VLOOKUP($D412,본공사입.출고현황!$B:$H,F$2080,0),0)</f>
        <v>Angle 100x100x10</v>
      </c>
      <c r="G412" s="18" t="str">
        <f>IFERROR(VLOOKUP($D412,본공사입.출고현황!$B:$H,G$2080,0),0)</f>
        <v>CCGG</v>
      </c>
      <c r="H412" s="18" t="str">
        <f>IFERROR(VLOOKUP($D412,본공사입.출고현황!$B:$H,H$2080,0),0)</f>
        <v>100x100x10 (12m)</v>
      </c>
      <c r="I412" s="56" t="str">
        <f>IFERROR(VLOOKUP($D412,본공사입.출고현황!$B:$H,I$2080,0),0)</f>
        <v>M</v>
      </c>
      <c r="J412" s="9">
        <v>4</v>
      </c>
      <c r="K412" s="9" t="s">
        <v>351</v>
      </c>
      <c r="L412" s="37">
        <v>1</v>
      </c>
      <c r="M412" s="64" t="s">
        <v>408</v>
      </c>
      <c r="N412" s="42"/>
    </row>
    <row r="413" spans="1:14" ht="24" customHeight="1">
      <c r="A413" s="8">
        <v>369</v>
      </c>
      <c r="B413" s="9">
        <v>369</v>
      </c>
      <c r="C413" s="46">
        <v>45951</v>
      </c>
      <c r="D413" s="9" t="s">
        <v>238</v>
      </c>
      <c r="E413" s="56" t="str">
        <f>IFERROR(VLOOKUP($D413,본공사입.출고현황!$B:$H,E$2080,0),0)</f>
        <v>Steel round bar</v>
      </c>
      <c r="F413" s="18" t="str">
        <f>IFERROR(VLOOKUP($D413,본공사입.출고현황!$B:$H,F$2080,0),0)</f>
        <v>Steel round bar(rebar)</v>
      </c>
      <c r="G413" s="18" t="str">
        <f>IFERROR(VLOOKUP($D413,본공사입.출고현황!$B:$H,G$2080,0),0)</f>
        <v>CCGG</v>
      </c>
      <c r="H413" s="18" t="str">
        <f>IFERROR(VLOOKUP($D413,본공사입.출고현황!$B:$H,H$2080,0),0)</f>
        <v>ф10, 1ton=1,620.7m</v>
      </c>
      <c r="I413" s="56" t="str">
        <f>IFERROR(VLOOKUP($D413,본공사입.출고현황!$B:$H,I$2080,0),0)</f>
        <v>M</v>
      </c>
      <c r="J413" s="9">
        <v>1</v>
      </c>
      <c r="K413" s="9" t="s">
        <v>352</v>
      </c>
      <c r="L413" s="37">
        <v>55</v>
      </c>
      <c r="M413" s="64" t="s">
        <v>408</v>
      </c>
      <c r="N413" s="42"/>
    </row>
    <row r="414" spans="1:14" ht="24" customHeight="1">
      <c r="A414" s="8">
        <v>370</v>
      </c>
      <c r="B414" s="9">
        <v>370</v>
      </c>
      <c r="C414" s="46">
        <v>45951</v>
      </c>
      <c r="D414" s="9" t="s">
        <v>238</v>
      </c>
      <c r="E414" s="56" t="str">
        <f>IFERROR(VLOOKUP($D414,본공사입.출고현황!$B:$H,E$2080,0),0)</f>
        <v>Steel round bar</v>
      </c>
      <c r="F414" s="18" t="str">
        <f>IFERROR(VLOOKUP($D414,본공사입.출고현황!$B:$H,F$2080,0),0)</f>
        <v>Steel round bar(rebar)</v>
      </c>
      <c r="G414" s="18" t="str">
        <f>IFERROR(VLOOKUP($D414,본공사입.출고현황!$B:$H,G$2080,0),0)</f>
        <v>CCGG</v>
      </c>
      <c r="H414" s="18" t="str">
        <f>IFERROR(VLOOKUP($D414,본공사입.출고현황!$B:$H,H$2080,0),0)</f>
        <v>ф10, 1ton=1,620.7m</v>
      </c>
      <c r="I414" s="56" t="str">
        <f>IFERROR(VLOOKUP($D414,본공사입.출고현황!$B:$H,I$2080,0),0)</f>
        <v>M</v>
      </c>
      <c r="J414" s="9" t="s">
        <v>557</v>
      </c>
      <c r="K414" s="9" t="s">
        <v>553</v>
      </c>
      <c r="L414" s="37">
        <v>195</v>
      </c>
      <c r="M414" s="64" t="s">
        <v>408</v>
      </c>
      <c r="N414" s="42"/>
    </row>
    <row r="415" spans="1:14" ht="24" customHeight="1">
      <c r="A415" s="8">
        <v>371</v>
      </c>
      <c r="B415" s="9">
        <v>371</v>
      </c>
      <c r="C415" s="46">
        <v>45951</v>
      </c>
      <c r="D415" s="9" t="s">
        <v>238</v>
      </c>
      <c r="E415" s="56" t="str">
        <f>IFERROR(VLOOKUP($D415,본공사입.출고현황!$B:$H,E$2080,0),0)</f>
        <v>Steel round bar</v>
      </c>
      <c r="F415" s="18" t="str">
        <f>IFERROR(VLOOKUP($D415,본공사입.출고현황!$B:$H,F$2080,0),0)</f>
        <v>Steel round bar(rebar)</v>
      </c>
      <c r="G415" s="18" t="str">
        <f>IFERROR(VLOOKUP($D415,본공사입.출고현황!$B:$H,G$2080,0),0)</f>
        <v>CCGG</v>
      </c>
      <c r="H415" s="18" t="str">
        <f>IFERROR(VLOOKUP($D415,본공사입.출고현황!$B:$H,H$2080,0),0)</f>
        <v>ф10, 1ton=1,620.7m</v>
      </c>
      <c r="I415" s="56" t="str">
        <f>IFERROR(VLOOKUP($D415,본공사입.출고현황!$B:$H,I$2080,0),0)</f>
        <v>M</v>
      </c>
      <c r="J415" s="9">
        <v>1</v>
      </c>
      <c r="K415" s="9" t="s">
        <v>545</v>
      </c>
      <c r="L415" s="37">
        <v>25</v>
      </c>
      <c r="M415" s="64" t="s">
        <v>408</v>
      </c>
      <c r="N415" s="42"/>
    </row>
    <row r="416" spans="1:14" ht="24" customHeight="1">
      <c r="A416" s="8">
        <v>372</v>
      </c>
      <c r="B416" s="9">
        <v>372</v>
      </c>
      <c r="C416" s="46">
        <v>45951</v>
      </c>
      <c r="D416" s="9" t="s">
        <v>238</v>
      </c>
      <c r="E416" s="56" t="str">
        <f>IFERROR(VLOOKUP($D416,본공사입.출고현황!$B:$H,E$2080,0),0)</f>
        <v>Steel round bar</v>
      </c>
      <c r="F416" s="18" t="str">
        <f>IFERROR(VLOOKUP($D416,본공사입.출고현황!$B:$H,F$2080,0),0)</f>
        <v>Steel round bar(rebar)</v>
      </c>
      <c r="G416" s="18" t="str">
        <f>IFERROR(VLOOKUP($D416,본공사입.출고현황!$B:$H,G$2080,0),0)</f>
        <v>CCGG</v>
      </c>
      <c r="H416" s="18" t="str">
        <f>IFERROR(VLOOKUP($D416,본공사입.출고현황!$B:$H,H$2080,0),0)</f>
        <v>ф10, 1ton=1,620.7m</v>
      </c>
      <c r="I416" s="56" t="str">
        <f>IFERROR(VLOOKUP($D416,본공사입.출고현황!$B:$H,I$2080,0),0)</f>
        <v>M</v>
      </c>
      <c r="J416" s="9">
        <v>2</v>
      </c>
      <c r="K416" s="9" t="s">
        <v>360</v>
      </c>
      <c r="L416" s="37">
        <v>30</v>
      </c>
      <c r="M416" s="64" t="s">
        <v>408</v>
      </c>
      <c r="N416" s="42"/>
    </row>
    <row r="417" spans="1:14" ht="24" customHeight="1">
      <c r="A417" s="8">
        <v>373</v>
      </c>
      <c r="B417" s="9">
        <v>373</v>
      </c>
      <c r="C417" s="46">
        <v>45952</v>
      </c>
      <c r="D417" s="9" t="s">
        <v>238</v>
      </c>
      <c r="E417" s="56" t="str">
        <f>IFERROR(VLOOKUP($D417,본공사입.출고현황!$B:$H,E$2080,0),0)</f>
        <v>Steel round bar</v>
      </c>
      <c r="F417" s="18" t="str">
        <f>IFERROR(VLOOKUP($D417,본공사입.출고현황!$B:$H,F$2080,0),0)</f>
        <v>Steel round bar(rebar)</v>
      </c>
      <c r="G417" s="18" t="str">
        <f>IFERROR(VLOOKUP($D417,본공사입.출고현황!$B:$H,G$2080,0),0)</f>
        <v>CCGG</v>
      </c>
      <c r="H417" s="18" t="str">
        <f>IFERROR(VLOOKUP($D417,본공사입.출고현황!$B:$H,H$2080,0),0)</f>
        <v>ф10, 1ton=1,620.7m</v>
      </c>
      <c r="I417" s="56" t="str">
        <f>IFERROR(VLOOKUP($D417,본공사입.출고현황!$B:$H,I$2080,0),0)</f>
        <v>M</v>
      </c>
      <c r="J417" s="9">
        <v>1</v>
      </c>
      <c r="K417" s="9" t="s">
        <v>352</v>
      </c>
      <c r="L417" s="37">
        <v>30</v>
      </c>
      <c r="M417" s="64" t="s">
        <v>408</v>
      </c>
      <c r="N417" s="42"/>
    </row>
    <row r="418" spans="1:14" ht="24" customHeight="1">
      <c r="A418" s="8">
        <v>374</v>
      </c>
      <c r="B418" s="9">
        <v>374</v>
      </c>
      <c r="C418" s="46">
        <v>45952</v>
      </c>
      <c r="D418" s="9" t="s">
        <v>238</v>
      </c>
      <c r="E418" s="56" t="str">
        <f>IFERROR(VLOOKUP($D418,본공사입.출고현황!$B:$H,E$2080,0),0)</f>
        <v>Steel round bar</v>
      </c>
      <c r="F418" s="18" t="str">
        <f>IFERROR(VLOOKUP($D418,본공사입.출고현황!$B:$H,F$2080,0),0)</f>
        <v>Steel round bar(rebar)</v>
      </c>
      <c r="G418" s="18" t="str">
        <f>IFERROR(VLOOKUP($D418,본공사입.출고현황!$B:$H,G$2080,0),0)</f>
        <v>CCGG</v>
      </c>
      <c r="H418" s="18" t="str">
        <f>IFERROR(VLOOKUP($D418,본공사입.출고현황!$B:$H,H$2080,0),0)</f>
        <v>ф10, 1ton=1,620.7m</v>
      </c>
      <c r="I418" s="56" t="str">
        <f>IFERROR(VLOOKUP($D418,본공사입.출고현황!$B:$H,I$2080,0),0)</f>
        <v>M</v>
      </c>
      <c r="J418" s="9">
        <v>1</v>
      </c>
      <c r="K418" s="9" t="s">
        <v>363</v>
      </c>
      <c r="L418" s="37">
        <v>15</v>
      </c>
      <c r="M418" s="64" t="s">
        <v>408</v>
      </c>
      <c r="N418" s="42"/>
    </row>
    <row r="419" spans="1:14" ht="24" customHeight="1">
      <c r="A419" s="8">
        <v>375</v>
      </c>
      <c r="B419" s="9">
        <v>375</v>
      </c>
      <c r="C419" s="46">
        <v>45952</v>
      </c>
      <c r="D419" s="9" t="s">
        <v>238</v>
      </c>
      <c r="E419" s="56" t="str">
        <f>IFERROR(VLOOKUP($D419,본공사입.출고현황!$B:$H,E$2080,0),0)</f>
        <v>Steel round bar</v>
      </c>
      <c r="F419" s="18" t="str">
        <f>IFERROR(VLOOKUP($D419,본공사입.출고현황!$B:$H,F$2080,0),0)</f>
        <v>Steel round bar(rebar)</v>
      </c>
      <c r="G419" s="18" t="str">
        <f>IFERROR(VLOOKUP($D419,본공사입.출고현황!$B:$H,G$2080,0),0)</f>
        <v>CCGG</v>
      </c>
      <c r="H419" s="18" t="str">
        <f>IFERROR(VLOOKUP($D419,본공사입.출고현황!$B:$H,H$2080,0),0)</f>
        <v>ф10, 1ton=1,620.7m</v>
      </c>
      <c r="I419" s="56" t="str">
        <f>IFERROR(VLOOKUP($D419,본공사입.출고현황!$B:$H,I$2080,0),0)</f>
        <v>M</v>
      </c>
      <c r="J419" s="9">
        <v>1</v>
      </c>
      <c r="K419" s="9" t="s">
        <v>545</v>
      </c>
      <c r="L419" s="37">
        <v>15</v>
      </c>
      <c r="M419" s="64" t="s">
        <v>408</v>
      </c>
      <c r="N419" s="42"/>
    </row>
    <row r="420" spans="1:14" ht="24" customHeight="1">
      <c r="A420" s="8">
        <v>376</v>
      </c>
      <c r="B420" s="9">
        <v>376</v>
      </c>
      <c r="C420" s="46">
        <v>45952</v>
      </c>
      <c r="D420" s="9" t="s">
        <v>238</v>
      </c>
      <c r="E420" s="56" t="str">
        <f>IFERROR(VLOOKUP($D420,본공사입.출고현황!$B:$H,E$2080,0),0)</f>
        <v>Steel round bar</v>
      </c>
      <c r="F420" s="18" t="str">
        <f>IFERROR(VLOOKUP($D420,본공사입.출고현황!$B:$H,F$2080,0),0)</f>
        <v>Steel round bar(rebar)</v>
      </c>
      <c r="G420" s="18" t="str">
        <f>IFERROR(VLOOKUP($D420,본공사입.출고현황!$B:$H,G$2080,0),0)</f>
        <v>CCGG</v>
      </c>
      <c r="H420" s="18" t="str">
        <f>IFERROR(VLOOKUP($D420,본공사입.출고현황!$B:$H,H$2080,0),0)</f>
        <v>ф10, 1ton=1,620.7m</v>
      </c>
      <c r="I420" s="56" t="str">
        <f>IFERROR(VLOOKUP($D420,본공사입.출고현황!$B:$H,I$2080,0),0)</f>
        <v>M</v>
      </c>
      <c r="J420" s="9" t="s">
        <v>557</v>
      </c>
      <c r="K420" s="9" t="s">
        <v>553</v>
      </c>
      <c r="L420" s="37">
        <v>125</v>
      </c>
      <c r="M420" s="64" t="s">
        <v>408</v>
      </c>
      <c r="N420" s="42"/>
    </row>
    <row r="421" spans="1:14" ht="24" customHeight="1">
      <c r="A421" s="8">
        <v>377</v>
      </c>
      <c r="B421" s="9">
        <v>377</v>
      </c>
      <c r="C421" s="46">
        <v>45952</v>
      </c>
      <c r="D421" s="9" t="s">
        <v>238</v>
      </c>
      <c r="E421" s="56" t="str">
        <f>IFERROR(VLOOKUP($D421,본공사입.출고현황!$B:$H,E$2080,0),0)</f>
        <v>Steel round bar</v>
      </c>
      <c r="F421" s="18" t="str">
        <f>IFERROR(VLOOKUP($D421,본공사입.출고현황!$B:$H,F$2080,0),0)</f>
        <v>Steel round bar(rebar)</v>
      </c>
      <c r="G421" s="18" t="str">
        <f>IFERROR(VLOOKUP($D421,본공사입.출고현황!$B:$H,G$2080,0),0)</f>
        <v>CCGG</v>
      </c>
      <c r="H421" s="18" t="str">
        <f>IFERROR(VLOOKUP($D421,본공사입.출고현황!$B:$H,H$2080,0),0)</f>
        <v>ф10, 1ton=1,620.7m</v>
      </c>
      <c r="I421" s="56" t="str">
        <f>IFERROR(VLOOKUP($D421,본공사입.출고현황!$B:$H,I$2080,0),0)</f>
        <v>M</v>
      </c>
      <c r="J421" s="9">
        <v>3</v>
      </c>
      <c r="K421" s="9" t="s">
        <v>237</v>
      </c>
      <c r="L421" s="37">
        <v>25</v>
      </c>
      <c r="M421" s="64" t="s">
        <v>408</v>
      </c>
      <c r="N421" s="42"/>
    </row>
    <row r="422" spans="1:14" ht="24" customHeight="1">
      <c r="A422" s="8">
        <v>378</v>
      </c>
      <c r="B422" s="9">
        <v>378</v>
      </c>
      <c r="C422" s="46">
        <v>45953</v>
      </c>
      <c r="D422" s="9" t="s">
        <v>238</v>
      </c>
      <c r="E422" s="56" t="str">
        <f>IFERROR(VLOOKUP($D422,본공사입.출고현황!$B:$H,E$2080,0),0)</f>
        <v>Steel round bar</v>
      </c>
      <c r="F422" s="18" t="str">
        <f>IFERROR(VLOOKUP($D422,본공사입.출고현황!$B:$H,F$2080,0),0)</f>
        <v>Steel round bar(rebar)</v>
      </c>
      <c r="G422" s="18" t="str">
        <f>IFERROR(VLOOKUP($D422,본공사입.출고현황!$B:$H,G$2080,0),0)</f>
        <v>CCGG</v>
      </c>
      <c r="H422" s="18" t="str">
        <f>IFERROR(VLOOKUP($D422,본공사입.출고현황!$B:$H,H$2080,0),0)</f>
        <v>ф10, 1ton=1,620.7m</v>
      </c>
      <c r="I422" s="56" t="str">
        <f>IFERROR(VLOOKUP($D422,본공사입.출고현황!$B:$H,I$2080,0),0)</f>
        <v>M</v>
      </c>
      <c r="J422" s="9">
        <v>1</v>
      </c>
      <c r="K422" s="9" t="s">
        <v>352</v>
      </c>
      <c r="L422" s="37">
        <v>55</v>
      </c>
      <c r="M422" s="64" t="s">
        <v>408</v>
      </c>
      <c r="N422" s="42"/>
    </row>
    <row r="423" spans="1:14" ht="24" customHeight="1">
      <c r="A423" s="8">
        <v>379</v>
      </c>
      <c r="B423" s="9">
        <v>379</v>
      </c>
      <c r="C423" s="46">
        <v>45953</v>
      </c>
      <c r="D423" s="9" t="s">
        <v>238</v>
      </c>
      <c r="E423" s="56" t="str">
        <f>IFERROR(VLOOKUP($D423,본공사입.출고현황!$B:$H,E$2080,0),0)</f>
        <v>Steel round bar</v>
      </c>
      <c r="F423" s="18" t="str">
        <f>IFERROR(VLOOKUP($D423,본공사입.출고현황!$B:$H,F$2080,0),0)</f>
        <v>Steel round bar(rebar)</v>
      </c>
      <c r="G423" s="18" t="str">
        <f>IFERROR(VLOOKUP($D423,본공사입.출고현황!$B:$H,G$2080,0),0)</f>
        <v>CCGG</v>
      </c>
      <c r="H423" s="18" t="str">
        <f>IFERROR(VLOOKUP($D423,본공사입.출고현황!$B:$H,H$2080,0),0)</f>
        <v>ф10, 1ton=1,620.7m</v>
      </c>
      <c r="I423" s="56" t="str">
        <f>IFERROR(VLOOKUP($D423,본공사입.출고현황!$B:$H,I$2080,0),0)</f>
        <v>M</v>
      </c>
      <c r="J423" s="9">
        <v>1</v>
      </c>
      <c r="K423" s="9" t="s">
        <v>545</v>
      </c>
      <c r="L423" s="37">
        <v>30</v>
      </c>
      <c r="M423" s="64" t="s">
        <v>408</v>
      </c>
      <c r="N423" s="42"/>
    </row>
    <row r="424" spans="1:14" ht="24" customHeight="1">
      <c r="A424" s="8">
        <v>380</v>
      </c>
      <c r="B424" s="9">
        <v>380</v>
      </c>
      <c r="C424" s="46">
        <v>45953</v>
      </c>
      <c r="D424" s="9" t="s">
        <v>238</v>
      </c>
      <c r="E424" s="56" t="str">
        <f>IFERROR(VLOOKUP($D424,본공사입.출고현황!$B:$H,E$2080,0),0)</f>
        <v>Steel round bar</v>
      </c>
      <c r="F424" s="18" t="str">
        <f>IFERROR(VLOOKUP($D424,본공사입.출고현황!$B:$H,F$2080,0),0)</f>
        <v>Steel round bar(rebar)</v>
      </c>
      <c r="G424" s="18" t="str">
        <f>IFERROR(VLOOKUP($D424,본공사입.출고현황!$B:$H,G$2080,0),0)</f>
        <v>CCGG</v>
      </c>
      <c r="H424" s="18" t="str">
        <f>IFERROR(VLOOKUP($D424,본공사입.출고현황!$B:$H,H$2080,0),0)</f>
        <v>ф10, 1ton=1,620.7m</v>
      </c>
      <c r="I424" s="56" t="str">
        <f>IFERROR(VLOOKUP($D424,본공사입.출고현황!$B:$H,I$2080,0),0)</f>
        <v>M</v>
      </c>
      <c r="J424" s="9">
        <v>2</v>
      </c>
      <c r="K424" s="9" t="s">
        <v>360</v>
      </c>
      <c r="L424" s="37">
        <v>25</v>
      </c>
      <c r="M424" s="64" t="s">
        <v>408</v>
      </c>
      <c r="N424" s="42"/>
    </row>
    <row r="425" spans="1:14" ht="24" customHeight="1">
      <c r="A425" s="8">
        <v>381</v>
      </c>
      <c r="B425" s="9">
        <v>381</v>
      </c>
      <c r="C425" s="46">
        <v>45954</v>
      </c>
      <c r="D425" s="9" t="s">
        <v>238</v>
      </c>
      <c r="E425" s="56" t="str">
        <f>IFERROR(VLOOKUP($D425,본공사입.출고현황!$B:$H,E$2080,0),0)</f>
        <v>Steel round bar</v>
      </c>
      <c r="F425" s="18" t="str">
        <f>IFERROR(VLOOKUP($D425,본공사입.출고현황!$B:$H,F$2080,0),0)</f>
        <v>Steel round bar(rebar)</v>
      </c>
      <c r="G425" s="18" t="str">
        <f>IFERROR(VLOOKUP($D425,본공사입.출고현황!$B:$H,G$2080,0),0)</f>
        <v>CCGG</v>
      </c>
      <c r="H425" s="18" t="str">
        <f>IFERROR(VLOOKUP($D425,본공사입.출고현황!$B:$H,H$2080,0),0)</f>
        <v>ф10, 1ton=1,620.7m</v>
      </c>
      <c r="I425" s="56" t="str">
        <f>IFERROR(VLOOKUP($D425,본공사입.출고현황!$B:$H,I$2080,0),0)</f>
        <v>M</v>
      </c>
      <c r="J425" s="9">
        <v>1</v>
      </c>
      <c r="K425" s="9" t="s">
        <v>352</v>
      </c>
      <c r="L425" s="37">
        <v>60</v>
      </c>
      <c r="M425" s="64" t="s">
        <v>408</v>
      </c>
      <c r="N425" s="42"/>
    </row>
    <row r="426" spans="1:14" ht="24" customHeight="1">
      <c r="A426" s="8">
        <v>382</v>
      </c>
      <c r="B426" s="9">
        <v>382</v>
      </c>
      <c r="C426" s="46">
        <v>45955</v>
      </c>
      <c r="D426" s="9" t="s">
        <v>238</v>
      </c>
      <c r="E426" s="56" t="str">
        <f>IFERROR(VLOOKUP($D426,본공사입.출고현황!$B:$H,E$2080,0),0)</f>
        <v>Steel round bar</v>
      </c>
      <c r="F426" s="18" t="str">
        <f>IFERROR(VLOOKUP($D426,본공사입.출고현황!$B:$H,F$2080,0),0)</f>
        <v>Steel round bar(rebar)</v>
      </c>
      <c r="G426" s="18" t="str">
        <f>IFERROR(VLOOKUP($D426,본공사입.출고현황!$B:$H,G$2080,0),0)</f>
        <v>CCGG</v>
      </c>
      <c r="H426" s="18" t="str">
        <f>IFERROR(VLOOKUP($D426,본공사입.출고현황!$B:$H,H$2080,0),0)</f>
        <v>ф10, 1ton=1,620.7m</v>
      </c>
      <c r="I426" s="56" t="str">
        <f>IFERROR(VLOOKUP($D426,본공사입.출고현황!$B:$H,I$2080,0),0)</f>
        <v>M</v>
      </c>
      <c r="J426" s="9">
        <v>1</v>
      </c>
      <c r="K426" s="9" t="s">
        <v>363</v>
      </c>
      <c r="L426" s="37">
        <v>50</v>
      </c>
      <c r="M426" s="64" t="s">
        <v>408</v>
      </c>
      <c r="N426" s="42"/>
    </row>
    <row r="427" spans="1:14" ht="24" customHeight="1">
      <c r="A427" s="8">
        <v>383</v>
      </c>
      <c r="B427" s="9">
        <v>383</v>
      </c>
      <c r="C427" s="46">
        <v>45955</v>
      </c>
      <c r="D427" s="9" t="s">
        <v>238</v>
      </c>
      <c r="E427" s="56" t="str">
        <f>IFERROR(VLOOKUP($D427,본공사입.출고현황!$B:$H,E$2080,0),0)</f>
        <v>Steel round bar</v>
      </c>
      <c r="F427" s="18" t="str">
        <f>IFERROR(VLOOKUP($D427,본공사입.출고현황!$B:$H,F$2080,0),0)</f>
        <v>Steel round bar(rebar)</v>
      </c>
      <c r="G427" s="18" t="str">
        <f>IFERROR(VLOOKUP($D427,본공사입.출고현황!$B:$H,G$2080,0),0)</f>
        <v>CCGG</v>
      </c>
      <c r="H427" s="18" t="str">
        <f>IFERROR(VLOOKUP($D427,본공사입.출고현황!$B:$H,H$2080,0),0)</f>
        <v>ф10, 1ton=1,620.7m</v>
      </c>
      <c r="I427" s="56" t="str">
        <f>IFERROR(VLOOKUP($D427,본공사입.출고현황!$B:$H,I$2080,0),0)</f>
        <v>M</v>
      </c>
      <c r="J427" s="9">
        <v>1</v>
      </c>
      <c r="K427" s="9" t="s">
        <v>545</v>
      </c>
      <c r="L427" s="37">
        <v>50</v>
      </c>
      <c r="M427" s="64" t="s">
        <v>408</v>
      </c>
      <c r="N427" s="42"/>
    </row>
    <row r="428" spans="1:14" ht="24" customHeight="1">
      <c r="A428" s="8">
        <v>384</v>
      </c>
      <c r="B428" s="9">
        <v>384</v>
      </c>
      <c r="C428" s="46">
        <v>45955</v>
      </c>
      <c r="D428" s="9" t="s">
        <v>238</v>
      </c>
      <c r="E428" s="56" t="str">
        <f>IFERROR(VLOOKUP($D428,본공사입.출고현황!$B:$H,E$2080,0),0)</f>
        <v>Steel round bar</v>
      </c>
      <c r="F428" s="18" t="str">
        <f>IFERROR(VLOOKUP($D428,본공사입.출고현황!$B:$H,F$2080,0),0)</f>
        <v>Steel round bar(rebar)</v>
      </c>
      <c r="G428" s="18" t="str">
        <f>IFERROR(VLOOKUP($D428,본공사입.출고현황!$B:$H,G$2080,0),0)</f>
        <v>CCGG</v>
      </c>
      <c r="H428" s="18" t="str">
        <f>IFERROR(VLOOKUP($D428,본공사입.출고현황!$B:$H,H$2080,0),0)</f>
        <v>ф10, 1ton=1,620.7m</v>
      </c>
      <c r="I428" s="56" t="str">
        <f>IFERROR(VLOOKUP($D428,본공사입.출고현황!$B:$H,I$2080,0),0)</f>
        <v>M</v>
      </c>
      <c r="J428" s="9" t="s">
        <v>557</v>
      </c>
      <c r="K428" s="9" t="s">
        <v>553</v>
      </c>
      <c r="L428" s="37">
        <v>100</v>
      </c>
      <c r="M428" s="64" t="s">
        <v>408</v>
      </c>
      <c r="N428" s="42"/>
    </row>
    <row r="429" spans="1:14" ht="24" customHeight="1">
      <c r="A429" s="8">
        <v>385</v>
      </c>
      <c r="B429" s="9">
        <v>385</v>
      </c>
      <c r="C429" s="46">
        <v>45956</v>
      </c>
      <c r="D429" s="9" t="s">
        <v>238</v>
      </c>
      <c r="E429" s="56" t="str">
        <f>IFERROR(VLOOKUP($D429,본공사입.출고현황!$B:$H,E$2080,0),0)</f>
        <v>Steel round bar</v>
      </c>
      <c r="F429" s="18" t="str">
        <f>IFERROR(VLOOKUP($D429,본공사입.출고현황!$B:$H,F$2080,0),0)</f>
        <v>Steel round bar(rebar)</v>
      </c>
      <c r="G429" s="18" t="str">
        <f>IFERROR(VLOOKUP($D429,본공사입.출고현황!$B:$H,G$2080,0),0)</f>
        <v>CCGG</v>
      </c>
      <c r="H429" s="18" t="str">
        <f>IFERROR(VLOOKUP($D429,본공사입.출고현황!$B:$H,H$2080,0),0)</f>
        <v>ф10, 1ton=1,620.7m</v>
      </c>
      <c r="I429" s="56" t="str">
        <f>IFERROR(VLOOKUP($D429,본공사입.출고현황!$B:$H,I$2080,0),0)</f>
        <v>M</v>
      </c>
      <c r="J429" s="9">
        <v>1</v>
      </c>
      <c r="K429" s="9" t="s">
        <v>352</v>
      </c>
      <c r="L429" s="37">
        <v>80</v>
      </c>
      <c r="M429" s="64" t="s">
        <v>408</v>
      </c>
      <c r="N429" s="42"/>
    </row>
    <row r="430" spans="1:14" ht="24" customHeight="1">
      <c r="A430" s="8">
        <v>386</v>
      </c>
      <c r="B430" s="9">
        <v>386</v>
      </c>
      <c r="C430" s="46">
        <v>45956</v>
      </c>
      <c r="D430" s="9" t="s">
        <v>238</v>
      </c>
      <c r="E430" s="56" t="str">
        <f>IFERROR(VLOOKUP($D430,본공사입.출고현황!$B:$H,E$2080,0),0)</f>
        <v>Steel round bar</v>
      </c>
      <c r="F430" s="18" t="str">
        <f>IFERROR(VLOOKUP($D430,본공사입.출고현황!$B:$H,F$2080,0),0)</f>
        <v>Steel round bar(rebar)</v>
      </c>
      <c r="G430" s="18" t="str">
        <f>IFERROR(VLOOKUP($D430,본공사입.출고현황!$B:$H,G$2080,0),0)</f>
        <v>CCGG</v>
      </c>
      <c r="H430" s="18" t="str">
        <f>IFERROR(VLOOKUP($D430,본공사입.출고현황!$B:$H,H$2080,0),0)</f>
        <v>ф10, 1ton=1,620.7m</v>
      </c>
      <c r="I430" s="56" t="str">
        <f>IFERROR(VLOOKUP($D430,본공사입.출고현황!$B:$H,I$2080,0),0)</f>
        <v>M</v>
      </c>
      <c r="J430" s="9">
        <v>2</v>
      </c>
      <c r="K430" s="9" t="s">
        <v>360</v>
      </c>
      <c r="L430" s="37">
        <v>35</v>
      </c>
      <c r="M430" s="64" t="s">
        <v>408</v>
      </c>
      <c r="N430" s="42"/>
    </row>
    <row r="431" spans="1:14" ht="24" customHeight="1">
      <c r="A431" s="8">
        <v>387</v>
      </c>
      <c r="B431" s="9">
        <v>387</v>
      </c>
      <c r="C431" s="46">
        <v>45956</v>
      </c>
      <c r="D431" s="9" t="s">
        <v>238</v>
      </c>
      <c r="E431" s="56" t="str">
        <f>IFERROR(VLOOKUP($D431,본공사입.출고현황!$B:$H,E$2080,0),0)</f>
        <v>Steel round bar</v>
      </c>
      <c r="F431" s="18" t="str">
        <f>IFERROR(VLOOKUP($D431,본공사입.출고현황!$B:$H,F$2080,0),0)</f>
        <v>Steel round bar(rebar)</v>
      </c>
      <c r="G431" s="18" t="str">
        <f>IFERROR(VLOOKUP($D431,본공사입.출고현황!$B:$H,G$2080,0),0)</f>
        <v>CCGG</v>
      </c>
      <c r="H431" s="18" t="str">
        <f>IFERROR(VLOOKUP($D431,본공사입.출고현황!$B:$H,H$2080,0),0)</f>
        <v>ф10, 1ton=1,620.7m</v>
      </c>
      <c r="I431" s="56" t="str">
        <f>IFERROR(VLOOKUP($D431,본공사입.출고현황!$B:$H,I$2080,0),0)</f>
        <v>M</v>
      </c>
      <c r="J431" s="9">
        <v>1</v>
      </c>
      <c r="K431" s="9" t="s">
        <v>545</v>
      </c>
      <c r="L431" s="37">
        <v>15</v>
      </c>
      <c r="M431" s="64" t="s">
        <v>408</v>
      </c>
      <c r="N431" s="42"/>
    </row>
    <row r="432" spans="1:14" ht="24" customHeight="1">
      <c r="A432" s="8">
        <v>388</v>
      </c>
      <c r="B432" s="9">
        <v>388</v>
      </c>
      <c r="C432" s="46">
        <v>45956</v>
      </c>
      <c r="D432" s="9" t="s">
        <v>238</v>
      </c>
      <c r="E432" s="56" t="str">
        <f>IFERROR(VLOOKUP($D432,본공사입.출고현황!$B:$H,E$2080,0),0)</f>
        <v>Steel round bar</v>
      </c>
      <c r="F432" s="18" t="str">
        <f>IFERROR(VLOOKUP($D432,본공사입.출고현황!$B:$H,F$2080,0),0)</f>
        <v>Steel round bar(rebar)</v>
      </c>
      <c r="G432" s="18" t="str">
        <f>IFERROR(VLOOKUP($D432,본공사입.출고현황!$B:$H,G$2080,0),0)</f>
        <v>CCGG</v>
      </c>
      <c r="H432" s="18" t="str">
        <f>IFERROR(VLOOKUP($D432,본공사입.출고현황!$B:$H,H$2080,0),0)</f>
        <v>ф10, 1ton=1,620.7m</v>
      </c>
      <c r="I432" s="56" t="str">
        <f>IFERROR(VLOOKUP($D432,본공사입.출고현황!$B:$H,I$2080,0),0)</f>
        <v>M</v>
      </c>
      <c r="J432" s="9">
        <v>1</v>
      </c>
      <c r="K432" s="9" t="s">
        <v>547</v>
      </c>
      <c r="L432" s="37">
        <v>20</v>
      </c>
      <c r="M432" s="64" t="s">
        <v>408</v>
      </c>
      <c r="N432" s="42"/>
    </row>
    <row r="433" spans="1:14" ht="24" customHeight="1">
      <c r="A433" s="8">
        <v>389</v>
      </c>
      <c r="B433" s="9">
        <v>389</v>
      </c>
      <c r="C433" s="46">
        <v>45956</v>
      </c>
      <c r="D433" s="9" t="s">
        <v>238</v>
      </c>
      <c r="E433" s="56" t="str">
        <f>IFERROR(VLOOKUP($D433,본공사입.출고현황!$B:$H,E$2080,0),0)</f>
        <v>Steel round bar</v>
      </c>
      <c r="F433" s="18" t="str">
        <f>IFERROR(VLOOKUP($D433,본공사입.출고현황!$B:$H,F$2080,0),0)</f>
        <v>Steel round bar(rebar)</v>
      </c>
      <c r="G433" s="18" t="str">
        <f>IFERROR(VLOOKUP($D433,본공사입.출고현황!$B:$H,G$2080,0),0)</f>
        <v>CCGG</v>
      </c>
      <c r="H433" s="18" t="str">
        <f>IFERROR(VLOOKUP($D433,본공사입.출고현황!$B:$H,H$2080,0),0)</f>
        <v>ф10, 1ton=1,620.7m</v>
      </c>
      <c r="I433" s="56" t="str">
        <f>IFERROR(VLOOKUP($D433,본공사입.출고현황!$B:$H,I$2080,0),0)</f>
        <v>M</v>
      </c>
      <c r="J433" s="9">
        <v>1</v>
      </c>
      <c r="K433" s="9" t="s">
        <v>363</v>
      </c>
      <c r="L433" s="37">
        <v>15</v>
      </c>
      <c r="M433" s="64" t="s">
        <v>408</v>
      </c>
      <c r="N433" s="42"/>
    </row>
    <row r="434" spans="1:14" ht="24" customHeight="1">
      <c r="A434" s="8">
        <v>390</v>
      </c>
      <c r="B434" s="9">
        <v>390</v>
      </c>
      <c r="C434" s="46">
        <v>45957</v>
      </c>
      <c r="D434" s="9" t="s">
        <v>238</v>
      </c>
      <c r="E434" s="56" t="str">
        <f>IFERROR(VLOOKUP($D434,본공사입.출고현황!$B:$H,E$2080,0),0)</f>
        <v>Steel round bar</v>
      </c>
      <c r="F434" s="18" t="str">
        <f>IFERROR(VLOOKUP($D434,본공사입.출고현황!$B:$H,F$2080,0),0)</f>
        <v>Steel round bar(rebar)</v>
      </c>
      <c r="G434" s="18" t="str">
        <f>IFERROR(VLOOKUP($D434,본공사입.출고현황!$B:$H,G$2080,0),0)</f>
        <v>CCGG</v>
      </c>
      <c r="H434" s="18" t="str">
        <f>IFERROR(VLOOKUP($D434,본공사입.출고현황!$B:$H,H$2080,0),0)</f>
        <v>ф10, 1ton=1,620.7m</v>
      </c>
      <c r="I434" s="56" t="str">
        <f>IFERROR(VLOOKUP($D434,본공사입.출고현황!$B:$H,I$2080,0),0)</f>
        <v>M</v>
      </c>
      <c r="J434" s="9">
        <v>1</v>
      </c>
      <c r="K434" s="9" t="s">
        <v>352</v>
      </c>
      <c r="L434" s="37">
        <v>210</v>
      </c>
      <c r="M434" s="64" t="s">
        <v>408</v>
      </c>
      <c r="N434" s="42"/>
    </row>
    <row r="435" spans="1:14" ht="24" customHeight="1">
      <c r="A435" s="8">
        <v>391</v>
      </c>
      <c r="B435" s="9">
        <v>391</v>
      </c>
      <c r="C435" s="46">
        <v>45957</v>
      </c>
      <c r="D435" s="9" t="s">
        <v>238</v>
      </c>
      <c r="E435" s="56" t="str">
        <f>IFERROR(VLOOKUP($D435,본공사입.출고현황!$B:$H,E$2080,0),0)</f>
        <v>Steel round bar</v>
      </c>
      <c r="F435" s="18" t="str">
        <f>IFERROR(VLOOKUP($D435,본공사입.출고현황!$B:$H,F$2080,0),0)</f>
        <v>Steel round bar(rebar)</v>
      </c>
      <c r="G435" s="18" t="str">
        <f>IFERROR(VLOOKUP($D435,본공사입.출고현황!$B:$H,G$2080,0),0)</f>
        <v>CCGG</v>
      </c>
      <c r="H435" s="18" t="str">
        <f>IFERROR(VLOOKUP($D435,본공사입.출고현황!$B:$H,H$2080,0),0)</f>
        <v>ф10, 1ton=1,620.7m</v>
      </c>
      <c r="I435" s="56" t="str">
        <f>IFERROR(VLOOKUP($D435,본공사입.출고현황!$B:$H,I$2080,0),0)</f>
        <v>M</v>
      </c>
      <c r="J435" s="9">
        <v>10</v>
      </c>
      <c r="K435" s="9" t="s">
        <v>363</v>
      </c>
      <c r="L435" s="37">
        <v>35</v>
      </c>
      <c r="M435" s="64" t="s">
        <v>408</v>
      </c>
      <c r="N435" s="42"/>
    </row>
    <row r="436" spans="1:14" ht="24" customHeight="1">
      <c r="A436" s="8">
        <v>392</v>
      </c>
      <c r="B436" s="9">
        <v>392</v>
      </c>
      <c r="C436" s="46">
        <v>45957</v>
      </c>
      <c r="D436" s="9" t="s">
        <v>238</v>
      </c>
      <c r="E436" s="56" t="str">
        <f>IFERROR(VLOOKUP($D436,본공사입.출고현황!$B:$H,E$2080,0),0)</f>
        <v>Steel round bar</v>
      </c>
      <c r="F436" s="18" t="str">
        <f>IFERROR(VLOOKUP($D436,본공사입.출고현황!$B:$H,F$2080,0),0)</f>
        <v>Steel round bar(rebar)</v>
      </c>
      <c r="G436" s="18" t="str">
        <f>IFERROR(VLOOKUP($D436,본공사입.출고현황!$B:$H,G$2080,0),0)</f>
        <v>CCGG</v>
      </c>
      <c r="H436" s="18" t="str">
        <f>IFERROR(VLOOKUP($D436,본공사입.출고현황!$B:$H,H$2080,0),0)</f>
        <v>ф10, 1ton=1,620.7m</v>
      </c>
      <c r="I436" s="56" t="str">
        <f>IFERROR(VLOOKUP($D436,본공사입.출고현황!$B:$H,I$2080,0),0)</f>
        <v>M</v>
      </c>
      <c r="J436" s="9">
        <v>1</v>
      </c>
      <c r="K436" s="9" t="s">
        <v>547</v>
      </c>
      <c r="L436" s="37">
        <v>15</v>
      </c>
      <c r="M436" s="64" t="s">
        <v>408</v>
      </c>
      <c r="N436" s="42"/>
    </row>
    <row r="437" spans="1:14" ht="24" customHeight="1">
      <c r="A437" s="8">
        <v>393</v>
      </c>
      <c r="B437" s="9">
        <v>393</v>
      </c>
      <c r="C437" s="46">
        <v>45957</v>
      </c>
      <c r="D437" s="9" t="s">
        <v>238</v>
      </c>
      <c r="E437" s="56" t="str">
        <f>IFERROR(VLOOKUP($D437,본공사입.출고현황!$B:$H,E$2080,0),0)</f>
        <v>Steel round bar</v>
      </c>
      <c r="F437" s="18" t="str">
        <f>IFERROR(VLOOKUP($D437,본공사입.출고현황!$B:$H,F$2080,0),0)</f>
        <v>Steel round bar(rebar)</v>
      </c>
      <c r="G437" s="18" t="str">
        <f>IFERROR(VLOOKUP($D437,본공사입.출고현황!$B:$H,G$2080,0),0)</f>
        <v>CCGG</v>
      </c>
      <c r="H437" s="18" t="str">
        <f>IFERROR(VLOOKUP($D437,본공사입.출고현황!$B:$H,H$2080,0),0)</f>
        <v>ф10, 1ton=1,620.7m</v>
      </c>
      <c r="I437" s="56" t="str">
        <f>IFERROR(VLOOKUP($D437,본공사입.출고현황!$B:$H,I$2080,0),0)</f>
        <v>M</v>
      </c>
      <c r="J437" s="9">
        <v>1</v>
      </c>
      <c r="K437" s="9" t="s">
        <v>545</v>
      </c>
      <c r="L437" s="37">
        <v>75</v>
      </c>
      <c r="M437" s="64" t="s">
        <v>408</v>
      </c>
      <c r="N437" s="42"/>
    </row>
    <row r="438" spans="1:14" ht="24" customHeight="1">
      <c r="A438" s="8">
        <v>394</v>
      </c>
      <c r="B438" s="9">
        <v>394</v>
      </c>
      <c r="C438" s="46">
        <v>45957</v>
      </c>
      <c r="D438" s="9" t="s">
        <v>238</v>
      </c>
      <c r="E438" s="56" t="str">
        <f>IFERROR(VLOOKUP($D438,본공사입.출고현황!$B:$H,E$2080,0),0)</f>
        <v>Steel round bar</v>
      </c>
      <c r="F438" s="18" t="str">
        <f>IFERROR(VLOOKUP($D438,본공사입.출고현황!$B:$H,F$2080,0),0)</f>
        <v>Steel round bar(rebar)</v>
      </c>
      <c r="G438" s="18" t="str">
        <f>IFERROR(VLOOKUP($D438,본공사입.출고현황!$B:$H,G$2080,0),0)</f>
        <v>CCGG</v>
      </c>
      <c r="H438" s="18" t="str">
        <f>IFERROR(VLOOKUP($D438,본공사입.출고현황!$B:$H,H$2080,0),0)</f>
        <v>ф10, 1ton=1,620.7m</v>
      </c>
      <c r="I438" s="56" t="str">
        <f>IFERROR(VLOOKUP($D438,본공사입.출고현황!$B:$H,I$2080,0),0)</f>
        <v>M</v>
      </c>
      <c r="J438" s="9">
        <v>2</v>
      </c>
      <c r="K438" s="9" t="s">
        <v>360</v>
      </c>
      <c r="L438" s="37">
        <v>125</v>
      </c>
      <c r="M438" s="64" t="s">
        <v>408</v>
      </c>
      <c r="N438" s="42"/>
    </row>
    <row r="439" spans="1:14" ht="24" customHeight="1">
      <c r="A439" s="8">
        <v>395</v>
      </c>
      <c r="B439" s="9">
        <v>395</v>
      </c>
      <c r="C439" s="46">
        <v>45958</v>
      </c>
      <c r="D439" s="9" t="s">
        <v>238</v>
      </c>
      <c r="E439" s="56" t="str">
        <f>IFERROR(VLOOKUP($D439,본공사입.출고현황!$B:$H,E$2080,0),0)</f>
        <v>Steel round bar</v>
      </c>
      <c r="F439" s="18" t="str">
        <f>IFERROR(VLOOKUP($D439,본공사입.출고현황!$B:$H,F$2080,0),0)</f>
        <v>Steel round bar(rebar)</v>
      </c>
      <c r="G439" s="18" t="str">
        <f>IFERROR(VLOOKUP($D439,본공사입.출고현황!$B:$H,G$2080,0),0)</f>
        <v>CCGG</v>
      </c>
      <c r="H439" s="18" t="str">
        <f>IFERROR(VLOOKUP($D439,본공사입.출고현황!$B:$H,H$2080,0),0)</f>
        <v>ф10, 1ton=1,620.7m</v>
      </c>
      <c r="I439" s="56" t="str">
        <f>IFERROR(VLOOKUP($D439,본공사입.출고현황!$B:$H,I$2080,0),0)</f>
        <v>M</v>
      </c>
      <c r="J439" s="9">
        <v>2</v>
      </c>
      <c r="K439" s="9" t="s">
        <v>241</v>
      </c>
      <c r="L439" s="37">
        <v>45</v>
      </c>
      <c r="M439" s="64" t="s">
        <v>408</v>
      </c>
      <c r="N439" s="42"/>
    </row>
    <row r="440" spans="1:14" ht="24" customHeight="1">
      <c r="A440" s="8">
        <v>396</v>
      </c>
      <c r="B440" s="9">
        <v>396</v>
      </c>
      <c r="C440" s="46">
        <v>45958</v>
      </c>
      <c r="D440" s="9" t="s">
        <v>238</v>
      </c>
      <c r="E440" s="56" t="str">
        <f>IFERROR(VLOOKUP($D440,본공사입.출고현황!$B:$H,E$2080,0),0)</f>
        <v>Steel round bar</v>
      </c>
      <c r="F440" s="18" t="str">
        <f>IFERROR(VLOOKUP($D440,본공사입.출고현황!$B:$H,F$2080,0),0)</f>
        <v>Steel round bar(rebar)</v>
      </c>
      <c r="G440" s="18" t="str">
        <f>IFERROR(VLOOKUP($D440,본공사입.출고현황!$B:$H,G$2080,0),0)</f>
        <v>CCGG</v>
      </c>
      <c r="H440" s="18" t="str">
        <f>IFERROR(VLOOKUP($D440,본공사입.출고현황!$B:$H,H$2080,0),0)</f>
        <v>ф10, 1ton=1,620.7m</v>
      </c>
      <c r="I440" s="56" t="str">
        <f>IFERROR(VLOOKUP($D440,본공사입.출고현황!$B:$H,I$2080,0),0)</f>
        <v>M</v>
      </c>
      <c r="J440" s="9">
        <v>1</v>
      </c>
      <c r="K440" s="9" t="s">
        <v>363</v>
      </c>
      <c r="L440" s="37">
        <v>20</v>
      </c>
      <c r="M440" s="64" t="s">
        <v>408</v>
      </c>
      <c r="N440" s="42"/>
    </row>
    <row r="441" spans="1:14" ht="24" customHeight="1">
      <c r="A441" s="8">
        <v>397</v>
      </c>
      <c r="B441" s="9">
        <v>397</v>
      </c>
      <c r="C441" s="46">
        <v>45958</v>
      </c>
      <c r="D441" s="9" t="s">
        <v>238</v>
      </c>
      <c r="E441" s="56" t="str">
        <f>IFERROR(VLOOKUP($D441,본공사입.출고현황!$B:$H,E$2080,0),0)</f>
        <v>Steel round bar</v>
      </c>
      <c r="F441" s="18" t="str">
        <f>IFERROR(VLOOKUP($D441,본공사입.출고현황!$B:$H,F$2080,0),0)</f>
        <v>Steel round bar(rebar)</v>
      </c>
      <c r="G441" s="18" t="str">
        <f>IFERROR(VLOOKUP($D441,본공사입.출고현황!$B:$H,G$2080,0),0)</f>
        <v>CCGG</v>
      </c>
      <c r="H441" s="18" t="str">
        <f>IFERROR(VLOOKUP($D441,본공사입.출고현황!$B:$H,H$2080,0),0)</f>
        <v>ф10, 1ton=1,620.7m</v>
      </c>
      <c r="I441" s="56" t="str">
        <f>IFERROR(VLOOKUP($D441,본공사입.출고현황!$B:$H,I$2080,0),0)</f>
        <v>M</v>
      </c>
      <c r="J441" s="9">
        <v>2</v>
      </c>
      <c r="K441" s="9" t="s">
        <v>360</v>
      </c>
      <c r="L441" s="37">
        <v>125</v>
      </c>
      <c r="M441" s="64" t="s">
        <v>408</v>
      </c>
      <c r="N441" s="42"/>
    </row>
    <row r="442" spans="1:14" ht="24" customHeight="1">
      <c r="A442" s="8">
        <v>398</v>
      </c>
      <c r="B442" s="9">
        <v>398</v>
      </c>
      <c r="C442" s="46">
        <v>45958</v>
      </c>
      <c r="D442" s="9" t="s">
        <v>238</v>
      </c>
      <c r="E442" s="56" t="str">
        <f>IFERROR(VLOOKUP($D442,본공사입.출고현황!$B:$H,E$2080,0),0)</f>
        <v>Steel round bar</v>
      </c>
      <c r="F442" s="18" t="str">
        <f>IFERROR(VLOOKUP($D442,본공사입.출고현황!$B:$H,F$2080,0),0)</f>
        <v>Steel round bar(rebar)</v>
      </c>
      <c r="G442" s="18" t="str">
        <f>IFERROR(VLOOKUP($D442,본공사입.출고현황!$B:$H,G$2080,0),0)</f>
        <v>CCGG</v>
      </c>
      <c r="H442" s="18" t="str">
        <f>IFERROR(VLOOKUP($D442,본공사입.출고현황!$B:$H,H$2080,0),0)</f>
        <v>ф10, 1ton=1,620.7m</v>
      </c>
      <c r="I442" s="56" t="str">
        <f>IFERROR(VLOOKUP($D442,본공사입.출고현황!$B:$H,I$2080,0),0)</f>
        <v>M</v>
      </c>
      <c r="J442" s="9">
        <v>1</v>
      </c>
      <c r="K442" s="9" t="s">
        <v>352</v>
      </c>
      <c r="L442" s="37">
        <v>125</v>
      </c>
      <c r="M442" s="64" t="s">
        <v>408</v>
      </c>
      <c r="N442" s="42"/>
    </row>
    <row r="443" spans="1:14" ht="24" customHeight="1">
      <c r="A443" s="8">
        <v>399</v>
      </c>
      <c r="B443" s="9">
        <v>399</v>
      </c>
      <c r="C443" s="46">
        <v>45958</v>
      </c>
      <c r="D443" s="9" t="s">
        <v>238</v>
      </c>
      <c r="E443" s="56" t="str">
        <f>IFERROR(VLOOKUP($D443,본공사입.출고현황!$B:$H,E$2080,0),0)</f>
        <v>Steel round bar</v>
      </c>
      <c r="F443" s="18" t="str">
        <f>IFERROR(VLOOKUP($D443,본공사입.출고현황!$B:$H,F$2080,0),0)</f>
        <v>Steel round bar(rebar)</v>
      </c>
      <c r="G443" s="18" t="str">
        <f>IFERROR(VLOOKUP($D443,본공사입.출고현황!$B:$H,G$2080,0),0)</f>
        <v>CCGG</v>
      </c>
      <c r="H443" s="18" t="str">
        <f>IFERROR(VLOOKUP($D443,본공사입.출고현황!$B:$H,H$2080,0),0)</f>
        <v>ф10, 1ton=1,620.7m</v>
      </c>
      <c r="I443" s="56" t="str">
        <f>IFERROR(VLOOKUP($D443,본공사입.출고현황!$B:$H,I$2080,0),0)</f>
        <v>M</v>
      </c>
      <c r="J443" s="9">
        <v>1</v>
      </c>
      <c r="K443" s="9" t="s">
        <v>363</v>
      </c>
      <c r="L443" s="37">
        <v>25</v>
      </c>
      <c r="M443" s="64" t="s">
        <v>408</v>
      </c>
      <c r="N443" s="42"/>
    </row>
    <row r="444" spans="1:14" ht="24" customHeight="1">
      <c r="A444" s="8">
        <v>400</v>
      </c>
      <c r="B444" s="9">
        <v>400</v>
      </c>
      <c r="C444" s="46">
        <v>45959</v>
      </c>
      <c r="D444" s="9" t="s">
        <v>238</v>
      </c>
      <c r="E444" s="56" t="str">
        <f>IFERROR(VLOOKUP($D444,본공사입.출고현황!$B:$H,E$2080,0),0)</f>
        <v>Steel round bar</v>
      </c>
      <c r="F444" s="18" t="str">
        <f>IFERROR(VLOOKUP($D444,본공사입.출고현황!$B:$H,F$2080,0),0)</f>
        <v>Steel round bar(rebar)</v>
      </c>
      <c r="G444" s="18" t="str">
        <f>IFERROR(VLOOKUP($D444,본공사입.출고현황!$B:$H,G$2080,0),0)</f>
        <v>CCGG</v>
      </c>
      <c r="H444" s="18" t="str">
        <f>IFERROR(VLOOKUP($D444,본공사입.출고현황!$B:$H,H$2080,0),0)</f>
        <v>ф10, 1ton=1,620.7m</v>
      </c>
      <c r="I444" s="56" t="str">
        <f>IFERROR(VLOOKUP($D444,본공사입.출고현황!$B:$H,I$2080,0),0)</f>
        <v>M</v>
      </c>
      <c r="J444" s="9">
        <v>1</v>
      </c>
      <c r="K444" s="9" t="s">
        <v>545</v>
      </c>
      <c r="L444" s="37">
        <v>15</v>
      </c>
      <c r="M444" s="64" t="s">
        <v>408</v>
      </c>
      <c r="N444" s="42"/>
    </row>
    <row r="445" spans="1:14" ht="24" customHeight="1">
      <c r="A445" s="8">
        <v>401</v>
      </c>
      <c r="B445" s="9">
        <v>401</v>
      </c>
      <c r="C445" s="46">
        <v>45959</v>
      </c>
      <c r="D445" s="9" t="s">
        <v>238</v>
      </c>
      <c r="E445" s="56" t="str">
        <f>IFERROR(VLOOKUP($D445,본공사입.출고현황!$B:$H,E$2080,0),0)</f>
        <v>Steel round bar</v>
      </c>
      <c r="F445" s="18" t="str">
        <f>IFERROR(VLOOKUP($D445,본공사입.출고현황!$B:$H,F$2080,0),0)</f>
        <v>Steel round bar(rebar)</v>
      </c>
      <c r="G445" s="18" t="str">
        <f>IFERROR(VLOOKUP($D445,본공사입.출고현황!$B:$H,G$2080,0),0)</f>
        <v>CCGG</v>
      </c>
      <c r="H445" s="18" t="str">
        <f>IFERROR(VLOOKUP($D445,본공사입.출고현황!$B:$H,H$2080,0),0)</f>
        <v>ф10, 1ton=1,620.7m</v>
      </c>
      <c r="I445" s="56" t="str">
        <f>IFERROR(VLOOKUP($D445,본공사입.출고현황!$B:$H,I$2080,0),0)</f>
        <v>M</v>
      </c>
      <c r="J445" s="9">
        <v>2</v>
      </c>
      <c r="K445" s="9" t="s">
        <v>241</v>
      </c>
      <c r="L445" s="37">
        <v>50</v>
      </c>
      <c r="M445" s="64" t="s">
        <v>408</v>
      </c>
      <c r="N445" s="42"/>
    </row>
    <row r="446" spans="1:14" ht="24" customHeight="1">
      <c r="A446" s="8">
        <v>402</v>
      </c>
      <c r="B446" s="9">
        <v>402</v>
      </c>
      <c r="C446" s="46">
        <v>45959</v>
      </c>
      <c r="D446" s="9" t="s">
        <v>238</v>
      </c>
      <c r="E446" s="56" t="str">
        <f>IFERROR(VLOOKUP($D446,본공사입.출고현황!$B:$H,E$2080,0),0)</f>
        <v>Steel round bar</v>
      </c>
      <c r="F446" s="18" t="str">
        <f>IFERROR(VLOOKUP($D446,본공사입.출고현황!$B:$H,F$2080,0),0)</f>
        <v>Steel round bar(rebar)</v>
      </c>
      <c r="G446" s="18" t="str">
        <f>IFERROR(VLOOKUP($D446,본공사입.출고현황!$B:$H,G$2080,0),0)</f>
        <v>CCGG</v>
      </c>
      <c r="H446" s="18" t="str">
        <f>IFERROR(VLOOKUP($D446,본공사입.출고현황!$B:$H,H$2080,0),0)</f>
        <v>ф10, 1ton=1,620.7m</v>
      </c>
      <c r="I446" s="56" t="str">
        <f>IFERROR(VLOOKUP($D446,본공사입.출고현황!$B:$H,I$2080,0),0)</f>
        <v>M</v>
      </c>
      <c r="J446" s="9">
        <v>2</v>
      </c>
      <c r="K446" s="9" t="s">
        <v>546</v>
      </c>
      <c r="L446" s="37">
        <v>30</v>
      </c>
      <c r="M446" s="64" t="s">
        <v>408</v>
      </c>
      <c r="N446" s="42"/>
    </row>
    <row r="447" spans="1:14" ht="24" customHeight="1">
      <c r="A447" s="8">
        <v>403</v>
      </c>
      <c r="B447" s="9">
        <v>403</v>
      </c>
      <c r="C447" s="46">
        <v>45959</v>
      </c>
      <c r="D447" s="9" t="s">
        <v>238</v>
      </c>
      <c r="E447" s="56" t="str">
        <f>IFERROR(VLOOKUP($D447,본공사입.출고현황!$B:$H,E$2080,0),0)</f>
        <v>Steel round bar</v>
      </c>
      <c r="F447" s="18" t="str">
        <f>IFERROR(VLOOKUP($D447,본공사입.출고현황!$B:$H,F$2080,0),0)</f>
        <v>Steel round bar(rebar)</v>
      </c>
      <c r="G447" s="18" t="str">
        <f>IFERROR(VLOOKUP($D447,본공사입.출고현황!$B:$H,G$2080,0),0)</f>
        <v>CCGG</v>
      </c>
      <c r="H447" s="18" t="str">
        <f>IFERROR(VLOOKUP($D447,본공사입.출고현황!$B:$H,H$2080,0),0)</f>
        <v>ф10, 1ton=1,620.7m</v>
      </c>
      <c r="I447" s="56" t="str">
        <f>IFERROR(VLOOKUP($D447,본공사입.출고현황!$B:$H,I$2080,0),0)</f>
        <v>M</v>
      </c>
      <c r="J447" s="9">
        <v>1</v>
      </c>
      <c r="K447" s="9" t="s">
        <v>363</v>
      </c>
      <c r="L447" s="37">
        <v>65</v>
      </c>
      <c r="M447" s="64" t="s">
        <v>408</v>
      </c>
      <c r="N447" s="42"/>
    </row>
    <row r="448" spans="1:14" ht="24" customHeight="1">
      <c r="A448" s="8">
        <v>404</v>
      </c>
      <c r="B448" s="9">
        <v>404</v>
      </c>
      <c r="C448" s="46">
        <v>45960</v>
      </c>
      <c r="D448" s="9" t="s">
        <v>238</v>
      </c>
      <c r="E448" s="56" t="str">
        <f>IFERROR(VLOOKUP($D448,본공사입.출고현황!$B:$H,E$2080,0),0)</f>
        <v>Steel round bar</v>
      </c>
      <c r="F448" s="18" t="str">
        <f>IFERROR(VLOOKUP($D448,본공사입.출고현황!$B:$H,F$2080,0),0)</f>
        <v>Steel round bar(rebar)</v>
      </c>
      <c r="G448" s="18" t="str">
        <f>IFERROR(VLOOKUP($D448,본공사입.출고현황!$B:$H,G$2080,0),0)</f>
        <v>CCGG</v>
      </c>
      <c r="H448" s="18" t="str">
        <f>IFERROR(VLOOKUP($D448,본공사입.출고현황!$B:$H,H$2080,0),0)</f>
        <v>ф10, 1ton=1,620.7m</v>
      </c>
      <c r="I448" s="56" t="str">
        <f>IFERROR(VLOOKUP($D448,본공사입.출고현황!$B:$H,I$2080,0),0)</f>
        <v>M</v>
      </c>
      <c r="J448" s="9">
        <v>1</v>
      </c>
      <c r="K448" s="9" t="s">
        <v>363</v>
      </c>
      <c r="L448" s="37">
        <v>20</v>
      </c>
      <c r="M448" s="64" t="s">
        <v>408</v>
      </c>
      <c r="N448" s="42"/>
    </row>
    <row r="449" spans="1:14" ht="24" customHeight="1">
      <c r="A449" s="8">
        <v>405</v>
      </c>
      <c r="B449" s="9">
        <v>405</v>
      </c>
      <c r="C449" s="46">
        <v>45960</v>
      </c>
      <c r="D449" s="9" t="s">
        <v>238</v>
      </c>
      <c r="E449" s="56" t="str">
        <f>IFERROR(VLOOKUP($D449,본공사입.출고현황!$B:$H,E$2080,0),0)</f>
        <v>Steel round bar</v>
      </c>
      <c r="F449" s="18" t="str">
        <f>IFERROR(VLOOKUP($D449,본공사입.출고현황!$B:$H,F$2080,0),0)</f>
        <v>Steel round bar(rebar)</v>
      </c>
      <c r="G449" s="18" t="str">
        <f>IFERROR(VLOOKUP($D449,본공사입.출고현황!$B:$H,G$2080,0),0)</f>
        <v>CCGG</v>
      </c>
      <c r="H449" s="18" t="str">
        <f>IFERROR(VLOOKUP($D449,본공사입.출고현황!$B:$H,H$2080,0),0)</f>
        <v>ф10, 1ton=1,620.7m</v>
      </c>
      <c r="I449" s="56" t="str">
        <f>IFERROR(VLOOKUP($D449,본공사입.출고현황!$B:$H,I$2080,0),0)</f>
        <v>M</v>
      </c>
      <c r="J449" s="9">
        <v>2</v>
      </c>
      <c r="K449" s="9" t="s">
        <v>360</v>
      </c>
      <c r="L449" s="37">
        <v>125</v>
      </c>
      <c r="M449" s="64" t="s">
        <v>408</v>
      </c>
      <c r="N449" s="42"/>
    </row>
    <row r="450" spans="1:14" ht="24" customHeight="1">
      <c r="A450" s="8">
        <v>406</v>
      </c>
      <c r="B450" s="9">
        <v>406</v>
      </c>
      <c r="C450" s="46">
        <v>45960</v>
      </c>
      <c r="D450" s="9" t="s">
        <v>238</v>
      </c>
      <c r="E450" s="56" t="str">
        <f>IFERROR(VLOOKUP($D450,본공사입.출고현황!$B:$H,E$2080,0),0)</f>
        <v>Steel round bar</v>
      </c>
      <c r="F450" s="18" t="str">
        <f>IFERROR(VLOOKUP($D450,본공사입.출고현황!$B:$H,F$2080,0),0)</f>
        <v>Steel round bar(rebar)</v>
      </c>
      <c r="G450" s="18" t="str">
        <f>IFERROR(VLOOKUP($D450,본공사입.출고현황!$B:$H,G$2080,0),0)</f>
        <v>CCGG</v>
      </c>
      <c r="H450" s="18" t="str">
        <f>IFERROR(VLOOKUP($D450,본공사입.출고현황!$B:$H,H$2080,0),0)</f>
        <v>ф10, 1ton=1,620.7m</v>
      </c>
      <c r="I450" s="56" t="str">
        <f>IFERROR(VLOOKUP($D450,본공사입.출고현황!$B:$H,I$2080,0),0)</f>
        <v>M</v>
      </c>
      <c r="J450" s="9">
        <v>1</v>
      </c>
      <c r="K450" s="9" t="s">
        <v>352</v>
      </c>
      <c r="L450" s="37">
        <v>125</v>
      </c>
      <c r="M450" s="64" t="s">
        <v>408</v>
      </c>
      <c r="N450" s="42"/>
    </row>
    <row r="451" spans="1:14" ht="24" customHeight="1">
      <c r="A451" s="8">
        <v>407</v>
      </c>
      <c r="B451" s="9">
        <v>407</v>
      </c>
      <c r="C451" s="46">
        <v>45960</v>
      </c>
      <c r="D451" s="9" t="s">
        <v>238</v>
      </c>
      <c r="E451" s="56" t="str">
        <f>IFERROR(VLOOKUP($D451,본공사입.출고현황!$B:$H,E$2080,0),0)</f>
        <v>Steel round bar</v>
      </c>
      <c r="F451" s="18" t="str">
        <f>IFERROR(VLOOKUP($D451,본공사입.출고현황!$B:$H,F$2080,0),0)</f>
        <v>Steel round bar(rebar)</v>
      </c>
      <c r="G451" s="18" t="str">
        <f>IFERROR(VLOOKUP($D451,본공사입.출고현황!$B:$H,G$2080,0),0)</f>
        <v>CCGG</v>
      </c>
      <c r="H451" s="18" t="str">
        <f>IFERROR(VLOOKUP($D451,본공사입.출고현황!$B:$H,H$2080,0),0)</f>
        <v>ф10, 1ton=1,620.7m</v>
      </c>
      <c r="I451" s="56" t="str">
        <f>IFERROR(VLOOKUP($D451,본공사입.출고현황!$B:$H,I$2080,0),0)</f>
        <v>M</v>
      </c>
      <c r="J451" s="9">
        <v>1</v>
      </c>
      <c r="K451" s="9" t="s">
        <v>363</v>
      </c>
      <c r="L451" s="37">
        <v>25</v>
      </c>
      <c r="M451" s="64" t="s">
        <v>408</v>
      </c>
      <c r="N451" s="42"/>
    </row>
    <row r="452" spans="1:14" ht="24" customHeight="1">
      <c r="A452" s="8">
        <v>408</v>
      </c>
      <c r="B452" s="9">
        <v>408</v>
      </c>
      <c r="C452" s="46">
        <v>45960</v>
      </c>
      <c r="D452" s="9" t="s">
        <v>238</v>
      </c>
      <c r="E452" s="56" t="str">
        <f>IFERROR(VLOOKUP($D452,본공사입.출고현황!$B:$H,E$2080,0),0)</f>
        <v>Steel round bar</v>
      </c>
      <c r="F452" s="18" t="str">
        <f>IFERROR(VLOOKUP($D452,본공사입.출고현황!$B:$H,F$2080,0),0)</f>
        <v>Steel round bar(rebar)</v>
      </c>
      <c r="G452" s="18" t="str">
        <f>IFERROR(VLOOKUP($D452,본공사입.출고현황!$B:$H,G$2080,0),0)</f>
        <v>CCGG</v>
      </c>
      <c r="H452" s="18" t="str">
        <f>IFERROR(VLOOKUP($D452,본공사입.출고현황!$B:$H,H$2080,0),0)</f>
        <v>ф10, 1ton=1,620.7m</v>
      </c>
      <c r="I452" s="56" t="str">
        <f>IFERROR(VLOOKUP($D452,본공사입.출고현황!$B:$H,I$2080,0),0)</f>
        <v>M</v>
      </c>
      <c r="J452" s="9">
        <v>1</v>
      </c>
      <c r="K452" s="9" t="s">
        <v>545</v>
      </c>
      <c r="L452" s="37">
        <v>15</v>
      </c>
      <c r="M452" s="64" t="s">
        <v>408</v>
      </c>
      <c r="N452" s="42"/>
    </row>
    <row r="453" spans="1:14" ht="24" customHeight="1">
      <c r="A453" s="8">
        <v>409</v>
      </c>
      <c r="B453" s="9">
        <v>409</v>
      </c>
      <c r="C453" s="46">
        <v>45961</v>
      </c>
      <c r="D453" s="9" t="s">
        <v>238</v>
      </c>
      <c r="E453" s="56" t="str">
        <f>IFERROR(VLOOKUP($D453,본공사입.출고현황!$B:$H,E$2080,0),0)</f>
        <v>Steel round bar</v>
      </c>
      <c r="F453" s="18" t="str">
        <f>IFERROR(VLOOKUP($D453,본공사입.출고현황!$B:$H,F$2080,0),0)</f>
        <v>Steel round bar(rebar)</v>
      </c>
      <c r="G453" s="18" t="str">
        <f>IFERROR(VLOOKUP($D453,본공사입.출고현황!$B:$H,G$2080,0),0)</f>
        <v>CCGG</v>
      </c>
      <c r="H453" s="18" t="str">
        <f>IFERROR(VLOOKUP($D453,본공사입.출고현황!$B:$H,H$2080,0),0)</f>
        <v>ф10, 1ton=1,620.7m</v>
      </c>
      <c r="I453" s="56" t="str">
        <f>IFERROR(VLOOKUP($D453,본공사입.출고현황!$B:$H,I$2080,0),0)</f>
        <v>M</v>
      </c>
      <c r="J453" s="9">
        <v>2</v>
      </c>
      <c r="K453" s="9" t="s">
        <v>241</v>
      </c>
      <c r="L453" s="37">
        <v>50</v>
      </c>
      <c r="M453" s="64" t="s">
        <v>408</v>
      </c>
      <c r="N453" s="42"/>
    </row>
    <row r="454" spans="1:14" ht="24" customHeight="1">
      <c r="A454" s="8">
        <v>410</v>
      </c>
      <c r="B454" s="9">
        <v>410</v>
      </c>
      <c r="C454" s="46">
        <v>45961</v>
      </c>
      <c r="D454" s="9" t="s">
        <v>238</v>
      </c>
      <c r="E454" s="56" t="str">
        <f>IFERROR(VLOOKUP($D454,본공사입.출고현황!$B:$H,E$2080,0),0)</f>
        <v>Steel round bar</v>
      </c>
      <c r="F454" s="18" t="str">
        <f>IFERROR(VLOOKUP($D454,본공사입.출고현황!$B:$H,F$2080,0),0)</f>
        <v>Steel round bar(rebar)</v>
      </c>
      <c r="G454" s="18" t="str">
        <f>IFERROR(VLOOKUP($D454,본공사입.출고현황!$B:$H,G$2080,0),0)</f>
        <v>CCGG</v>
      </c>
      <c r="H454" s="18" t="str">
        <f>IFERROR(VLOOKUP($D454,본공사입.출고현황!$B:$H,H$2080,0),0)</f>
        <v>ф10, 1ton=1,620.7m</v>
      </c>
      <c r="I454" s="56" t="str">
        <f>IFERROR(VLOOKUP($D454,본공사입.출고현황!$B:$H,I$2080,0),0)</f>
        <v>M</v>
      </c>
      <c r="J454" s="9">
        <v>2</v>
      </c>
      <c r="K454" s="9" t="s">
        <v>546</v>
      </c>
      <c r="L454" s="37">
        <v>30</v>
      </c>
      <c r="M454" s="64" t="s">
        <v>408</v>
      </c>
      <c r="N454" s="42"/>
    </row>
    <row r="455" spans="1:14" ht="24" customHeight="1">
      <c r="A455" s="8">
        <v>411</v>
      </c>
      <c r="B455" s="9">
        <v>411</v>
      </c>
      <c r="C455" s="46">
        <v>45961</v>
      </c>
      <c r="D455" s="9" t="s">
        <v>238</v>
      </c>
      <c r="E455" s="56" t="str">
        <f>IFERROR(VLOOKUP($D455,본공사입.출고현황!$B:$H,E$2080,0),0)</f>
        <v>Steel round bar</v>
      </c>
      <c r="F455" s="18" t="str">
        <f>IFERROR(VLOOKUP($D455,본공사입.출고현황!$B:$H,F$2080,0),0)</f>
        <v>Steel round bar(rebar)</v>
      </c>
      <c r="G455" s="18" t="str">
        <f>IFERROR(VLOOKUP($D455,본공사입.출고현황!$B:$H,G$2080,0),0)</f>
        <v>CCGG</v>
      </c>
      <c r="H455" s="18" t="str">
        <f>IFERROR(VLOOKUP($D455,본공사입.출고현황!$B:$H,H$2080,0),0)</f>
        <v>ф10, 1ton=1,620.7m</v>
      </c>
      <c r="I455" s="56" t="str">
        <f>IFERROR(VLOOKUP($D455,본공사입.출고현황!$B:$H,I$2080,0),0)</f>
        <v>M</v>
      </c>
      <c r="J455" s="9">
        <v>1</v>
      </c>
      <c r="K455" s="9" t="s">
        <v>363</v>
      </c>
      <c r="L455" s="37">
        <v>65</v>
      </c>
      <c r="M455" s="64" t="s">
        <v>408</v>
      </c>
      <c r="N455" s="42"/>
    </row>
    <row r="456" spans="1:14" ht="24" customHeight="1">
      <c r="A456" s="8">
        <v>412</v>
      </c>
      <c r="B456" s="9">
        <v>412</v>
      </c>
      <c r="C456" s="46">
        <v>45961</v>
      </c>
      <c r="D456" s="9" t="s">
        <v>238</v>
      </c>
      <c r="E456" s="56" t="str">
        <f>IFERROR(VLOOKUP($D456,본공사입.출고현황!$B:$H,E$2080,0),0)</f>
        <v>Steel round bar</v>
      </c>
      <c r="F456" s="18" t="str">
        <f>IFERROR(VLOOKUP($D456,본공사입.출고현황!$B:$H,F$2080,0),0)</f>
        <v>Steel round bar(rebar)</v>
      </c>
      <c r="G456" s="18" t="str">
        <f>IFERROR(VLOOKUP($D456,본공사입.출고현황!$B:$H,G$2080,0),0)</f>
        <v>CCGG</v>
      </c>
      <c r="H456" s="18" t="str">
        <f>IFERROR(VLOOKUP($D456,본공사입.출고현황!$B:$H,H$2080,0),0)</f>
        <v>ф10, 1ton=1,620.7m</v>
      </c>
      <c r="I456" s="56" t="str">
        <f>IFERROR(VLOOKUP($D456,본공사입.출고현황!$B:$H,I$2080,0),0)</f>
        <v>M</v>
      </c>
      <c r="J456" s="9">
        <v>1</v>
      </c>
      <c r="K456" s="9" t="s">
        <v>363</v>
      </c>
      <c r="L456" s="37">
        <v>20</v>
      </c>
      <c r="M456" s="64" t="s">
        <v>408</v>
      </c>
      <c r="N456" s="42"/>
    </row>
    <row r="457" spans="1:14" ht="24" customHeight="1">
      <c r="A457" s="8">
        <v>413</v>
      </c>
      <c r="B457" s="9">
        <v>413</v>
      </c>
      <c r="C457" s="46">
        <v>45961</v>
      </c>
      <c r="D457" s="9" t="s">
        <v>238</v>
      </c>
      <c r="E457" s="56" t="str">
        <f>IFERROR(VLOOKUP($D457,본공사입.출고현황!$B:$H,E$2080,0),0)</f>
        <v>Steel round bar</v>
      </c>
      <c r="F457" s="18" t="str">
        <f>IFERROR(VLOOKUP($D457,본공사입.출고현황!$B:$H,F$2080,0),0)</f>
        <v>Steel round bar(rebar)</v>
      </c>
      <c r="G457" s="18" t="str">
        <f>IFERROR(VLOOKUP($D457,본공사입.출고현황!$B:$H,G$2080,0),0)</f>
        <v>CCGG</v>
      </c>
      <c r="H457" s="18" t="str">
        <f>IFERROR(VLOOKUP($D457,본공사입.출고현황!$B:$H,H$2080,0),0)</f>
        <v>ф10, 1ton=1,620.7m</v>
      </c>
      <c r="I457" s="56" t="str">
        <f>IFERROR(VLOOKUP($D457,본공사입.출고현황!$B:$H,I$2080,0),0)</f>
        <v>M</v>
      </c>
      <c r="J457" s="9">
        <v>2</v>
      </c>
      <c r="K457" s="9" t="s">
        <v>360</v>
      </c>
      <c r="L457" s="37">
        <v>125</v>
      </c>
      <c r="M457" s="64" t="s">
        <v>408</v>
      </c>
      <c r="N457" s="42"/>
    </row>
    <row r="458" spans="1:14" ht="24" customHeight="1">
      <c r="A458" s="8">
        <v>414</v>
      </c>
      <c r="B458" s="9">
        <v>414</v>
      </c>
      <c r="C458" s="46">
        <v>45962</v>
      </c>
      <c r="D458" s="9" t="s">
        <v>238</v>
      </c>
      <c r="E458" s="56" t="str">
        <f>IFERROR(VLOOKUP($D458,본공사입.출고현황!$B:$H,E$2080,0),0)</f>
        <v>Steel round bar</v>
      </c>
      <c r="F458" s="18" t="str">
        <f>IFERROR(VLOOKUP($D458,본공사입.출고현황!$B:$H,F$2080,0),0)</f>
        <v>Steel round bar(rebar)</v>
      </c>
      <c r="G458" s="18" t="str">
        <f>IFERROR(VLOOKUP($D458,본공사입.출고현황!$B:$H,G$2080,0),0)</f>
        <v>CCGG</v>
      </c>
      <c r="H458" s="18" t="str">
        <f>IFERROR(VLOOKUP($D458,본공사입.출고현황!$B:$H,H$2080,0),0)</f>
        <v>ф10, 1ton=1,620.7m</v>
      </c>
      <c r="I458" s="56" t="str">
        <f>IFERROR(VLOOKUP($D458,본공사입.출고현황!$B:$H,I$2080,0),0)</f>
        <v>M</v>
      </c>
      <c r="J458" s="9">
        <v>2</v>
      </c>
      <c r="K458" s="9" t="s">
        <v>241</v>
      </c>
      <c r="L458" s="37">
        <v>40</v>
      </c>
      <c r="M458" s="64" t="s">
        <v>408</v>
      </c>
      <c r="N458" s="42"/>
    </row>
    <row r="459" spans="1:14" ht="24" customHeight="1">
      <c r="A459" s="8">
        <v>415</v>
      </c>
      <c r="B459" s="9">
        <v>415</v>
      </c>
      <c r="C459" s="46">
        <v>45962</v>
      </c>
      <c r="D459" s="9" t="s">
        <v>61</v>
      </c>
      <c r="E459" s="56" t="str">
        <f>IFERROR(VLOOKUP($D459,본공사입.출고현황!$B:$H,E$2080,0),0)</f>
        <v>Angle</v>
      </c>
      <c r="F459" s="18" t="str">
        <f>IFERROR(VLOOKUP($D459,본공사입.출고현황!$B:$H,F$2080,0),0)</f>
        <v>Angle 100x100x10</v>
      </c>
      <c r="G459" s="18" t="str">
        <f>IFERROR(VLOOKUP($D459,본공사입.출고현황!$B:$H,G$2080,0),0)</f>
        <v>CCGG</v>
      </c>
      <c r="H459" s="18" t="str">
        <f>IFERROR(VLOOKUP($D459,본공사입.출고현황!$B:$H,H$2080,0),0)</f>
        <v>100x100x10 (12m)</v>
      </c>
      <c r="I459" s="56" t="str">
        <f>IFERROR(VLOOKUP($D459,본공사입.출고현황!$B:$H,I$2080,0),0)</f>
        <v>M</v>
      </c>
      <c r="J459" s="9" t="s">
        <v>557</v>
      </c>
      <c r="K459" s="9" t="s">
        <v>553</v>
      </c>
      <c r="L459" s="37">
        <v>3</v>
      </c>
      <c r="M459" s="64" t="s">
        <v>408</v>
      </c>
      <c r="N459" s="42"/>
    </row>
    <row r="460" spans="1:14" ht="24" customHeight="1">
      <c r="A460" s="8">
        <v>416</v>
      </c>
      <c r="B460" s="9">
        <v>416</v>
      </c>
      <c r="C460" s="46">
        <v>45962</v>
      </c>
      <c r="D460" s="9" t="s">
        <v>238</v>
      </c>
      <c r="E460" s="56" t="str">
        <f>IFERROR(VLOOKUP($D460,본공사입.출고현황!$B:$H,E$2080,0),0)</f>
        <v>Steel round bar</v>
      </c>
      <c r="F460" s="18" t="str">
        <f>IFERROR(VLOOKUP($D460,본공사입.출고현황!$B:$H,F$2080,0),0)</f>
        <v>Steel round bar(rebar)</v>
      </c>
      <c r="G460" s="18" t="str">
        <f>IFERROR(VLOOKUP($D460,본공사입.출고현황!$B:$H,G$2080,0),0)</f>
        <v>CCGG</v>
      </c>
      <c r="H460" s="18" t="str">
        <f>IFERROR(VLOOKUP($D460,본공사입.출고현황!$B:$H,H$2080,0),0)</f>
        <v>ф10, 1ton=1,620.7m</v>
      </c>
      <c r="I460" s="56" t="str">
        <f>IFERROR(VLOOKUP($D460,본공사입.출고현황!$B:$H,I$2080,0),0)</f>
        <v>M</v>
      </c>
      <c r="J460" s="9">
        <v>1</v>
      </c>
      <c r="K460" s="9" t="s">
        <v>545</v>
      </c>
      <c r="L460" s="37">
        <v>15</v>
      </c>
      <c r="M460" s="64" t="s">
        <v>408</v>
      </c>
      <c r="N460" s="42"/>
    </row>
    <row r="461" spans="1:14" ht="24" customHeight="1">
      <c r="A461" s="8">
        <v>417</v>
      </c>
      <c r="B461" s="9">
        <v>417</v>
      </c>
      <c r="C461" s="46">
        <v>45962</v>
      </c>
      <c r="D461" s="9" t="s">
        <v>238</v>
      </c>
      <c r="E461" s="56" t="str">
        <f>IFERROR(VLOOKUP($D461,본공사입.출고현황!$B:$H,E$2080,0),0)</f>
        <v>Steel round bar</v>
      </c>
      <c r="F461" s="18" t="str">
        <f>IFERROR(VLOOKUP($D461,본공사입.출고현황!$B:$H,F$2080,0),0)</f>
        <v>Steel round bar(rebar)</v>
      </c>
      <c r="G461" s="18" t="str">
        <f>IFERROR(VLOOKUP($D461,본공사입.출고현황!$B:$H,G$2080,0),0)</f>
        <v>CCGG</v>
      </c>
      <c r="H461" s="18" t="str">
        <f>IFERROR(VLOOKUP($D461,본공사입.출고현황!$B:$H,H$2080,0),0)</f>
        <v>ф10, 1ton=1,620.7m</v>
      </c>
      <c r="I461" s="56" t="str">
        <f>IFERROR(VLOOKUP($D461,본공사입.출고현황!$B:$H,I$2080,0),0)</f>
        <v>M</v>
      </c>
      <c r="J461" s="9">
        <v>1</v>
      </c>
      <c r="K461" s="9" t="s">
        <v>352</v>
      </c>
      <c r="L461" s="37">
        <v>40</v>
      </c>
      <c r="M461" s="64" t="s">
        <v>408</v>
      </c>
      <c r="N461" s="42"/>
    </row>
    <row r="462" spans="1:14" ht="24" customHeight="1">
      <c r="A462" s="8">
        <v>418</v>
      </c>
      <c r="B462" s="9">
        <v>418</v>
      </c>
      <c r="C462" s="46">
        <v>45963</v>
      </c>
      <c r="D462" s="9" t="s">
        <v>61</v>
      </c>
      <c r="E462" s="56" t="str">
        <f>IFERROR(VLOOKUP($D462,본공사입.출고현황!$B:$H,E$2080,0),0)</f>
        <v>Angle</v>
      </c>
      <c r="F462" s="18" t="str">
        <f>IFERROR(VLOOKUP($D462,본공사입.출고현황!$B:$H,F$2080,0),0)</f>
        <v>Angle 100x100x10</v>
      </c>
      <c r="G462" s="18" t="str">
        <f>IFERROR(VLOOKUP($D462,본공사입.출고현황!$B:$H,G$2080,0),0)</f>
        <v>CCGG</v>
      </c>
      <c r="H462" s="18" t="str">
        <f>IFERROR(VLOOKUP($D462,본공사입.출고현황!$B:$H,H$2080,0),0)</f>
        <v>100x100x10 (12m)</v>
      </c>
      <c r="I462" s="56" t="str">
        <f>IFERROR(VLOOKUP($D462,본공사입.출고현황!$B:$H,I$2080,0),0)</f>
        <v>M</v>
      </c>
      <c r="J462" s="9" t="s">
        <v>557</v>
      </c>
      <c r="K462" s="9" t="s">
        <v>553</v>
      </c>
      <c r="L462" s="37">
        <v>3</v>
      </c>
      <c r="M462" s="64" t="s">
        <v>408</v>
      </c>
      <c r="N462" s="42"/>
    </row>
    <row r="463" spans="1:14" ht="24" customHeight="1">
      <c r="A463" s="8">
        <v>419</v>
      </c>
      <c r="B463" s="9">
        <v>419</v>
      </c>
      <c r="C463" s="46">
        <v>45963</v>
      </c>
      <c r="D463" s="9" t="s">
        <v>238</v>
      </c>
      <c r="E463" s="56" t="str">
        <f>IFERROR(VLOOKUP($D463,본공사입.출고현황!$B:$H,E$2080,0),0)</f>
        <v>Steel round bar</v>
      </c>
      <c r="F463" s="18" t="str">
        <f>IFERROR(VLOOKUP($D463,본공사입.출고현황!$B:$H,F$2080,0),0)</f>
        <v>Steel round bar(rebar)</v>
      </c>
      <c r="G463" s="18" t="str">
        <f>IFERROR(VLOOKUP($D463,본공사입.출고현황!$B:$H,G$2080,0),0)</f>
        <v>CCGG</v>
      </c>
      <c r="H463" s="18" t="str">
        <f>IFERROR(VLOOKUP($D463,본공사입.출고현황!$B:$H,H$2080,0),0)</f>
        <v>ф10, 1ton=1,620.7m</v>
      </c>
      <c r="I463" s="56" t="str">
        <f>IFERROR(VLOOKUP($D463,본공사입.출고현황!$B:$H,I$2080,0),0)</f>
        <v>M</v>
      </c>
      <c r="J463" s="9">
        <v>4</v>
      </c>
      <c r="K463" s="9" t="s">
        <v>359</v>
      </c>
      <c r="L463" s="37">
        <v>30</v>
      </c>
      <c r="M463" s="64" t="s">
        <v>408</v>
      </c>
      <c r="N463" s="42"/>
    </row>
    <row r="464" spans="1:14" ht="24" customHeight="1">
      <c r="A464" s="8">
        <v>420</v>
      </c>
      <c r="B464" s="9">
        <v>420</v>
      </c>
      <c r="C464" s="46">
        <v>45963</v>
      </c>
      <c r="D464" s="9" t="s">
        <v>238</v>
      </c>
      <c r="E464" s="56" t="str">
        <f>IFERROR(VLOOKUP($D464,본공사입.출고현황!$B:$H,E$2080,0),0)</f>
        <v>Steel round bar</v>
      </c>
      <c r="F464" s="18" t="str">
        <f>IFERROR(VLOOKUP($D464,본공사입.출고현황!$B:$H,F$2080,0),0)</f>
        <v>Steel round bar(rebar)</v>
      </c>
      <c r="G464" s="18" t="str">
        <f>IFERROR(VLOOKUP($D464,본공사입.출고현황!$B:$H,G$2080,0),0)</f>
        <v>CCGG</v>
      </c>
      <c r="H464" s="18" t="str">
        <f>IFERROR(VLOOKUP($D464,본공사입.출고현황!$B:$H,H$2080,0),0)</f>
        <v>ф10, 1ton=1,620.7m</v>
      </c>
      <c r="I464" s="56" t="str">
        <f>IFERROR(VLOOKUP($D464,본공사입.출고현황!$B:$H,I$2080,0),0)</f>
        <v>M</v>
      </c>
      <c r="J464" s="9">
        <v>2</v>
      </c>
      <c r="K464" s="9" t="s">
        <v>546</v>
      </c>
      <c r="L464" s="37">
        <v>40</v>
      </c>
      <c r="M464" s="64" t="s">
        <v>408</v>
      </c>
      <c r="N464" s="42"/>
    </row>
    <row r="465" spans="1:14" ht="24" customHeight="1">
      <c r="A465" s="8">
        <v>421</v>
      </c>
      <c r="B465" s="9">
        <v>421</v>
      </c>
      <c r="C465" s="46">
        <v>45963</v>
      </c>
      <c r="D465" s="9" t="s">
        <v>238</v>
      </c>
      <c r="E465" s="56" t="str">
        <f>IFERROR(VLOOKUP($D465,본공사입.출고현황!$B:$H,E$2080,0),0)</f>
        <v>Steel round bar</v>
      </c>
      <c r="F465" s="18" t="str">
        <f>IFERROR(VLOOKUP($D465,본공사입.출고현황!$B:$H,F$2080,0),0)</f>
        <v>Steel round bar(rebar)</v>
      </c>
      <c r="G465" s="18" t="str">
        <f>IFERROR(VLOOKUP($D465,본공사입.출고현황!$B:$H,G$2080,0),0)</f>
        <v>CCGG</v>
      </c>
      <c r="H465" s="18" t="str">
        <f>IFERROR(VLOOKUP($D465,본공사입.출고현황!$B:$H,H$2080,0),0)</f>
        <v>ф10, 1ton=1,620.7m</v>
      </c>
      <c r="I465" s="56" t="str">
        <f>IFERROR(VLOOKUP($D465,본공사입.출고현황!$B:$H,I$2080,0),0)</f>
        <v>M</v>
      </c>
      <c r="J465" s="9">
        <v>1</v>
      </c>
      <c r="K465" s="9" t="s">
        <v>352</v>
      </c>
      <c r="L465" s="37">
        <v>115</v>
      </c>
      <c r="M465" s="64" t="s">
        <v>408</v>
      </c>
      <c r="N465" s="42"/>
    </row>
    <row r="466" spans="1:14" ht="24" customHeight="1">
      <c r="A466" s="8">
        <v>422</v>
      </c>
      <c r="B466" s="9">
        <v>422</v>
      </c>
      <c r="C466" s="46">
        <v>45963</v>
      </c>
      <c r="D466" s="9" t="s">
        <v>238</v>
      </c>
      <c r="E466" s="56" t="str">
        <f>IFERROR(VLOOKUP($D466,본공사입.출고현황!$B:$H,E$2080,0),0)</f>
        <v>Steel round bar</v>
      </c>
      <c r="F466" s="18" t="str">
        <f>IFERROR(VLOOKUP($D466,본공사입.출고현황!$B:$H,F$2080,0),0)</f>
        <v>Steel round bar(rebar)</v>
      </c>
      <c r="G466" s="18" t="str">
        <f>IFERROR(VLOOKUP($D466,본공사입.출고현황!$B:$H,G$2080,0),0)</f>
        <v>CCGG</v>
      </c>
      <c r="H466" s="18" t="str">
        <f>IFERROR(VLOOKUP($D466,본공사입.출고현황!$B:$H,H$2080,0),0)</f>
        <v>ф10, 1ton=1,620.7m</v>
      </c>
      <c r="I466" s="56" t="str">
        <f>IFERROR(VLOOKUP($D466,본공사입.출고현황!$B:$H,I$2080,0),0)</f>
        <v>M</v>
      </c>
      <c r="J466" s="9">
        <v>2</v>
      </c>
      <c r="K466" s="9" t="s">
        <v>360</v>
      </c>
      <c r="L466" s="37">
        <v>40</v>
      </c>
      <c r="M466" s="64" t="s">
        <v>408</v>
      </c>
      <c r="N466" s="42"/>
    </row>
    <row r="467" spans="1:14" ht="24" customHeight="1">
      <c r="A467" s="8">
        <v>423</v>
      </c>
      <c r="B467" s="9">
        <v>423</v>
      </c>
      <c r="C467" s="46">
        <v>45963</v>
      </c>
      <c r="D467" s="9" t="s">
        <v>238</v>
      </c>
      <c r="E467" s="56" t="str">
        <f>IFERROR(VLOOKUP($D467,본공사입.출고현황!$B:$H,E$2080,0),0)</f>
        <v>Steel round bar</v>
      </c>
      <c r="F467" s="18" t="str">
        <f>IFERROR(VLOOKUP($D467,본공사입.출고현황!$B:$H,F$2080,0),0)</f>
        <v>Steel round bar(rebar)</v>
      </c>
      <c r="G467" s="18" t="str">
        <f>IFERROR(VLOOKUP($D467,본공사입.출고현황!$B:$H,G$2080,0),0)</f>
        <v>CCGG</v>
      </c>
      <c r="H467" s="18" t="str">
        <f>IFERROR(VLOOKUP($D467,본공사입.출고현황!$B:$H,H$2080,0),0)</f>
        <v>ф10, 1ton=1,620.7m</v>
      </c>
      <c r="I467" s="56" t="str">
        <f>IFERROR(VLOOKUP($D467,본공사입.출고현황!$B:$H,I$2080,0),0)</f>
        <v>M</v>
      </c>
      <c r="J467" s="9">
        <v>3</v>
      </c>
      <c r="K467" s="9" t="s">
        <v>550</v>
      </c>
      <c r="L467" s="37">
        <v>15</v>
      </c>
      <c r="M467" s="64" t="s">
        <v>408</v>
      </c>
      <c r="N467" s="42"/>
    </row>
    <row r="468" spans="1:14" ht="24" customHeight="1">
      <c r="A468" s="8">
        <v>424</v>
      </c>
      <c r="B468" s="9">
        <v>424</v>
      </c>
      <c r="C468" s="46">
        <v>45963</v>
      </c>
      <c r="D468" s="9" t="s">
        <v>238</v>
      </c>
      <c r="E468" s="56" t="str">
        <f>IFERROR(VLOOKUP($D468,본공사입.출고현황!$B:$H,E$2080,0),0)</f>
        <v>Steel round bar</v>
      </c>
      <c r="F468" s="18" t="str">
        <f>IFERROR(VLOOKUP($D468,본공사입.출고현황!$B:$H,F$2080,0),0)</f>
        <v>Steel round bar(rebar)</v>
      </c>
      <c r="G468" s="18" t="str">
        <f>IFERROR(VLOOKUP($D468,본공사입.출고현황!$B:$H,G$2080,0),0)</f>
        <v>CCGG</v>
      </c>
      <c r="H468" s="18" t="str">
        <f>IFERROR(VLOOKUP($D468,본공사입.출고현황!$B:$H,H$2080,0),0)</f>
        <v>ф10, 1ton=1,620.7m</v>
      </c>
      <c r="I468" s="56" t="str">
        <f>IFERROR(VLOOKUP($D468,본공사입.출고현황!$B:$H,I$2080,0),0)</f>
        <v>M</v>
      </c>
      <c r="J468" s="9">
        <v>1</v>
      </c>
      <c r="K468" s="9" t="s">
        <v>363</v>
      </c>
      <c r="L468" s="37">
        <v>40</v>
      </c>
      <c r="M468" s="64" t="s">
        <v>408</v>
      </c>
      <c r="N468" s="42"/>
    </row>
    <row r="469" spans="1:14" ht="24" customHeight="1">
      <c r="A469" s="8">
        <v>425</v>
      </c>
      <c r="B469" s="9">
        <v>425</v>
      </c>
      <c r="C469" s="46">
        <v>45963</v>
      </c>
      <c r="D469" s="9" t="s">
        <v>238</v>
      </c>
      <c r="E469" s="56" t="str">
        <f>IFERROR(VLOOKUP($D469,본공사입.출고현황!$B:$H,E$2080,0),0)</f>
        <v>Steel round bar</v>
      </c>
      <c r="F469" s="18" t="str">
        <f>IFERROR(VLOOKUP($D469,본공사입.출고현황!$B:$H,F$2080,0),0)</f>
        <v>Steel round bar(rebar)</v>
      </c>
      <c r="G469" s="18" t="str">
        <f>IFERROR(VLOOKUP($D469,본공사입.출고현황!$B:$H,G$2080,0),0)</f>
        <v>CCGG</v>
      </c>
      <c r="H469" s="18" t="str">
        <f>IFERROR(VLOOKUP($D469,본공사입.출고현황!$B:$H,H$2080,0),0)</f>
        <v>ф10, 1ton=1,620.7m</v>
      </c>
      <c r="I469" s="56" t="str">
        <f>IFERROR(VLOOKUP($D469,본공사입.출고현황!$B:$H,I$2080,0),0)</f>
        <v>M</v>
      </c>
      <c r="J469" s="9">
        <v>1</v>
      </c>
      <c r="K469" s="9" t="s">
        <v>547</v>
      </c>
      <c r="L469" s="37">
        <v>20</v>
      </c>
      <c r="M469" s="64" t="s">
        <v>408</v>
      </c>
      <c r="N469" s="42"/>
    </row>
    <row r="470" spans="1:14" ht="24" customHeight="1">
      <c r="A470" s="8">
        <v>426</v>
      </c>
      <c r="B470" s="9">
        <v>426</v>
      </c>
      <c r="C470" s="46">
        <v>45964</v>
      </c>
      <c r="D470" s="9" t="s">
        <v>238</v>
      </c>
      <c r="E470" s="56" t="str">
        <f>IFERROR(VLOOKUP($D470,본공사입.출고현황!$B:$H,E$2080,0),0)</f>
        <v>Steel round bar</v>
      </c>
      <c r="F470" s="18" t="str">
        <f>IFERROR(VLOOKUP($D470,본공사입.출고현황!$B:$H,F$2080,0),0)</f>
        <v>Steel round bar(rebar)</v>
      </c>
      <c r="G470" s="18" t="str">
        <f>IFERROR(VLOOKUP($D470,본공사입.출고현황!$B:$H,G$2080,0),0)</f>
        <v>CCGG</v>
      </c>
      <c r="H470" s="18" t="str">
        <f>IFERROR(VLOOKUP($D470,본공사입.출고현황!$B:$H,H$2080,0),0)</f>
        <v>ф10, 1ton=1,620.7m</v>
      </c>
      <c r="I470" s="56" t="str">
        <f>IFERROR(VLOOKUP($D470,본공사입.출고현황!$B:$H,I$2080,0),0)</f>
        <v>M</v>
      </c>
      <c r="J470" s="9">
        <v>1</v>
      </c>
      <c r="K470" s="9" t="s">
        <v>363</v>
      </c>
      <c r="L470" s="37">
        <v>20</v>
      </c>
      <c r="M470" s="64" t="s">
        <v>408</v>
      </c>
      <c r="N470" s="42"/>
    </row>
    <row r="471" spans="1:14" ht="24" customHeight="1">
      <c r="A471" s="8">
        <v>427</v>
      </c>
      <c r="B471" s="9">
        <v>427</v>
      </c>
      <c r="C471" s="46">
        <v>45964</v>
      </c>
      <c r="D471" s="9" t="s">
        <v>238</v>
      </c>
      <c r="E471" s="56" t="str">
        <f>IFERROR(VLOOKUP($D471,본공사입.출고현황!$B:$H,E$2080,0),0)</f>
        <v>Steel round bar</v>
      </c>
      <c r="F471" s="18" t="str">
        <f>IFERROR(VLOOKUP($D471,본공사입.출고현황!$B:$H,F$2080,0),0)</f>
        <v>Steel round bar(rebar)</v>
      </c>
      <c r="G471" s="18" t="str">
        <f>IFERROR(VLOOKUP($D471,본공사입.출고현황!$B:$H,G$2080,0),0)</f>
        <v>CCGG</v>
      </c>
      <c r="H471" s="18" t="str">
        <f>IFERROR(VLOOKUP($D471,본공사입.출고현황!$B:$H,H$2080,0),0)</f>
        <v>ф10, 1ton=1,620.7m</v>
      </c>
      <c r="I471" s="56" t="str">
        <f>IFERROR(VLOOKUP($D471,본공사입.출고현황!$B:$H,I$2080,0),0)</f>
        <v>M</v>
      </c>
      <c r="J471" s="9">
        <v>3</v>
      </c>
      <c r="K471" s="9" t="s">
        <v>550</v>
      </c>
      <c r="L471" s="37">
        <v>20</v>
      </c>
      <c r="M471" s="64" t="s">
        <v>408</v>
      </c>
      <c r="N471" s="42"/>
    </row>
    <row r="472" spans="1:14" ht="24" customHeight="1">
      <c r="A472" s="8">
        <v>428</v>
      </c>
      <c r="B472" s="9">
        <v>428</v>
      </c>
      <c r="C472" s="46">
        <v>45964</v>
      </c>
      <c r="D472" s="9" t="s">
        <v>238</v>
      </c>
      <c r="E472" s="56" t="str">
        <f>IFERROR(VLOOKUP($D472,본공사입.출고현황!$B:$H,E$2080,0),0)</f>
        <v>Steel round bar</v>
      </c>
      <c r="F472" s="18" t="str">
        <f>IFERROR(VLOOKUP($D472,본공사입.출고현황!$B:$H,F$2080,0),0)</f>
        <v>Steel round bar(rebar)</v>
      </c>
      <c r="G472" s="18" t="str">
        <f>IFERROR(VLOOKUP($D472,본공사입.출고현황!$B:$H,G$2080,0),0)</f>
        <v>CCGG</v>
      </c>
      <c r="H472" s="18" t="str">
        <f>IFERROR(VLOOKUP($D472,본공사입.출고현황!$B:$H,H$2080,0),0)</f>
        <v>ф10, 1ton=1,620.7m</v>
      </c>
      <c r="I472" s="56" t="str">
        <f>IFERROR(VLOOKUP($D472,본공사입.출고현황!$B:$H,I$2080,0),0)</f>
        <v>M</v>
      </c>
      <c r="J472" s="9">
        <v>2</v>
      </c>
      <c r="K472" s="9" t="s">
        <v>360</v>
      </c>
      <c r="L472" s="37">
        <v>25</v>
      </c>
      <c r="M472" s="64" t="s">
        <v>408</v>
      </c>
      <c r="N472" s="42"/>
    </row>
    <row r="473" spans="1:14" ht="24" customHeight="1">
      <c r="A473" s="8">
        <v>429</v>
      </c>
      <c r="B473" s="9">
        <v>429</v>
      </c>
      <c r="C473" s="46">
        <v>45964</v>
      </c>
      <c r="D473" s="9" t="s">
        <v>238</v>
      </c>
      <c r="E473" s="56" t="str">
        <f>IFERROR(VLOOKUP($D473,본공사입.출고현황!$B:$H,E$2080,0),0)</f>
        <v>Steel round bar</v>
      </c>
      <c r="F473" s="18" t="str">
        <f>IFERROR(VLOOKUP($D473,본공사입.출고현황!$B:$H,F$2080,0),0)</f>
        <v>Steel round bar(rebar)</v>
      </c>
      <c r="G473" s="18" t="str">
        <f>IFERROR(VLOOKUP($D473,본공사입.출고현황!$B:$H,G$2080,0),0)</f>
        <v>CCGG</v>
      </c>
      <c r="H473" s="18" t="str">
        <f>IFERROR(VLOOKUP($D473,본공사입.출고현황!$B:$H,H$2080,0),0)</f>
        <v>ф10, 1ton=1,620.7m</v>
      </c>
      <c r="I473" s="56" t="str">
        <f>IFERROR(VLOOKUP($D473,본공사입.출고현황!$B:$H,I$2080,0),0)</f>
        <v>M</v>
      </c>
      <c r="J473" s="9">
        <v>1</v>
      </c>
      <c r="K473" s="9" t="s">
        <v>352</v>
      </c>
      <c r="L473" s="37">
        <v>25</v>
      </c>
      <c r="M473" s="64" t="s">
        <v>408</v>
      </c>
      <c r="N473" s="42"/>
    </row>
    <row r="474" spans="1:14" ht="24" customHeight="1">
      <c r="A474" s="8">
        <v>430</v>
      </c>
      <c r="B474" s="9">
        <v>430</v>
      </c>
      <c r="C474" s="46">
        <v>45964</v>
      </c>
      <c r="D474" s="9" t="s">
        <v>238</v>
      </c>
      <c r="E474" s="56" t="str">
        <f>IFERROR(VLOOKUP($D474,본공사입.출고현황!$B:$H,E$2080,0),0)</f>
        <v>Steel round bar</v>
      </c>
      <c r="F474" s="18" t="str">
        <f>IFERROR(VLOOKUP($D474,본공사입.출고현황!$B:$H,F$2080,0),0)</f>
        <v>Steel round bar(rebar)</v>
      </c>
      <c r="G474" s="18" t="str">
        <f>IFERROR(VLOOKUP($D474,본공사입.출고현황!$B:$H,G$2080,0),0)</f>
        <v>CCGG</v>
      </c>
      <c r="H474" s="18" t="str">
        <f>IFERROR(VLOOKUP($D474,본공사입.출고현황!$B:$H,H$2080,0),0)</f>
        <v>ф10, 1ton=1,620.7m</v>
      </c>
      <c r="I474" s="56" t="str">
        <f>IFERROR(VLOOKUP($D474,본공사입.출고현황!$B:$H,I$2080,0),0)</f>
        <v>M</v>
      </c>
      <c r="J474" s="9" t="s">
        <v>557</v>
      </c>
      <c r="K474" s="9" t="s">
        <v>553</v>
      </c>
      <c r="L474" s="37">
        <v>5</v>
      </c>
      <c r="M474" s="64" t="s">
        <v>408</v>
      </c>
      <c r="N474" s="42"/>
    </row>
    <row r="475" spans="1:14" ht="24" customHeight="1">
      <c r="A475" s="8">
        <v>431</v>
      </c>
      <c r="B475" s="9">
        <v>431</v>
      </c>
      <c r="C475" s="46">
        <v>45964</v>
      </c>
      <c r="D475" s="9" t="s">
        <v>238</v>
      </c>
      <c r="E475" s="56" t="str">
        <f>IFERROR(VLOOKUP($D475,본공사입.출고현황!$B:$H,E$2080,0),0)</f>
        <v>Steel round bar</v>
      </c>
      <c r="F475" s="18" t="str">
        <f>IFERROR(VLOOKUP($D475,본공사입.출고현황!$B:$H,F$2080,0),0)</f>
        <v>Steel round bar(rebar)</v>
      </c>
      <c r="G475" s="18" t="str">
        <f>IFERROR(VLOOKUP($D475,본공사입.출고현황!$B:$H,G$2080,0),0)</f>
        <v>CCGG</v>
      </c>
      <c r="H475" s="18" t="str">
        <f>IFERROR(VLOOKUP($D475,본공사입.출고현황!$B:$H,H$2080,0),0)</f>
        <v>ф10, 1ton=1,620.7m</v>
      </c>
      <c r="I475" s="56" t="str">
        <f>IFERROR(VLOOKUP($D475,본공사입.출고현황!$B:$H,I$2080,0),0)</f>
        <v>M</v>
      </c>
      <c r="J475" s="9" t="s">
        <v>557</v>
      </c>
      <c r="K475" s="9" t="s">
        <v>553</v>
      </c>
      <c r="L475" s="37">
        <v>2</v>
      </c>
      <c r="M475" s="64" t="s">
        <v>408</v>
      </c>
      <c r="N475" s="42"/>
    </row>
    <row r="476" spans="1:14" ht="24" customHeight="1">
      <c r="A476" s="8">
        <v>432</v>
      </c>
      <c r="B476" s="9">
        <v>432</v>
      </c>
      <c r="C476" s="46">
        <v>45965</v>
      </c>
      <c r="D476" s="9" t="s">
        <v>238</v>
      </c>
      <c r="E476" s="56" t="str">
        <f>IFERROR(VLOOKUP($D476,본공사입.출고현황!$B:$H,E$2080,0),0)</f>
        <v>Steel round bar</v>
      </c>
      <c r="F476" s="18" t="str">
        <f>IFERROR(VLOOKUP($D476,본공사입.출고현황!$B:$H,F$2080,0),0)</f>
        <v>Steel round bar(rebar)</v>
      </c>
      <c r="G476" s="18" t="str">
        <f>IFERROR(VLOOKUP($D476,본공사입.출고현황!$B:$H,G$2080,0),0)</f>
        <v>CCGG</v>
      </c>
      <c r="H476" s="18" t="str">
        <f>IFERROR(VLOOKUP($D476,본공사입.출고현황!$B:$H,H$2080,0),0)</f>
        <v>ф10, 1ton=1,620.7m</v>
      </c>
      <c r="I476" s="56" t="str">
        <f>IFERROR(VLOOKUP($D476,본공사입.출고현황!$B:$H,I$2080,0),0)</f>
        <v>M</v>
      </c>
      <c r="J476" s="9">
        <v>2</v>
      </c>
      <c r="K476" s="9" t="s">
        <v>360</v>
      </c>
      <c r="L476" s="37">
        <v>25</v>
      </c>
      <c r="M476" s="64" t="s">
        <v>408</v>
      </c>
      <c r="N476" s="42"/>
    </row>
    <row r="477" spans="1:14" ht="24" customHeight="1">
      <c r="A477" s="8">
        <v>433</v>
      </c>
      <c r="B477" s="9">
        <v>433</v>
      </c>
      <c r="C477" s="46">
        <v>45965</v>
      </c>
      <c r="D477" s="9" t="s">
        <v>238</v>
      </c>
      <c r="E477" s="56" t="str">
        <f>IFERROR(VLOOKUP($D477,본공사입.출고현황!$B:$H,E$2080,0),0)</f>
        <v>Steel round bar</v>
      </c>
      <c r="F477" s="18" t="str">
        <f>IFERROR(VLOOKUP($D477,본공사입.출고현황!$B:$H,F$2080,0),0)</f>
        <v>Steel round bar(rebar)</v>
      </c>
      <c r="G477" s="18" t="str">
        <f>IFERROR(VLOOKUP($D477,본공사입.출고현황!$B:$H,G$2080,0),0)</f>
        <v>CCGG</v>
      </c>
      <c r="H477" s="18" t="str">
        <f>IFERROR(VLOOKUP($D477,본공사입.출고현황!$B:$H,H$2080,0),0)</f>
        <v>ф10, 1ton=1,620.7m</v>
      </c>
      <c r="I477" s="56" t="str">
        <f>IFERROR(VLOOKUP($D477,본공사입.출고현황!$B:$H,I$2080,0),0)</f>
        <v>M</v>
      </c>
      <c r="J477" s="9">
        <v>3</v>
      </c>
      <c r="K477" s="9" t="s">
        <v>550</v>
      </c>
      <c r="L477" s="37">
        <v>30</v>
      </c>
      <c r="M477" s="64" t="s">
        <v>408</v>
      </c>
      <c r="N477" s="42"/>
    </row>
    <row r="478" spans="1:14" ht="24" customHeight="1">
      <c r="A478" s="8">
        <v>434</v>
      </c>
      <c r="B478" s="9">
        <v>434</v>
      </c>
      <c r="C478" s="46">
        <v>45965</v>
      </c>
      <c r="D478" s="9" t="s">
        <v>238</v>
      </c>
      <c r="E478" s="56" t="str">
        <f>IFERROR(VLOOKUP($D478,본공사입.출고현황!$B:$H,E$2080,0),0)</f>
        <v>Steel round bar</v>
      </c>
      <c r="F478" s="18" t="str">
        <f>IFERROR(VLOOKUP($D478,본공사입.출고현황!$B:$H,F$2080,0),0)</f>
        <v>Steel round bar(rebar)</v>
      </c>
      <c r="G478" s="18" t="str">
        <f>IFERROR(VLOOKUP($D478,본공사입.출고현황!$B:$H,G$2080,0),0)</f>
        <v>CCGG</v>
      </c>
      <c r="H478" s="18" t="str">
        <f>IFERROR(VLOOKUP($D478,본공사입.출고현황!$B:$H,H$2080,0),0)</f>
        <v>ф10, 1ton=1,620.7m</v>
      </c>
      <c r="I478" s="56" t="str">
        <f>IFERROR(VLOOKUP($D478,본공사입.출고현황!$B:$H,I$2080,0),0)</f>
        <v>M</v>
      </c>
      <c r="J478" s="9">
        <v>1</v>
      </c>
      <c r="K478" s="9" t="s">
        <v>352</v>
      </c>
      <c r="L478" s="37">
        <v>80</v>
      </c>
      <c r="M478" s="64" t="s">
        <v>408</v>
      </c>
      <c r="N478" s="42"/>
    </row>
    <row r="479" spans="1:14" ht="24" customHeight="1">
      <c r="A479" s="8">
        <v>435</v>
      </c>
      <c r="B479" s="9">
        <v>435</v>
      </c>
      <c r="C479" s="46">
        <v>45965</v>
      </c>
      <c r="D479" s="9" t="s">
        <v>238</v>
      </c>
      <c r="E479" s="56" t="str">
        <f>IFERROR(VLOOKUP($D479,본공사입.출고현황!$B:$H,E$2080,0),0)</f>
        <v>Steel round bar</v>
      </c>
      <c r="F479" s="18" t="str">
        <f>IFERROR(VLOOKUP($D479,본공사입.출고현황!$B:$H,F$2080,0),0)</f>
        <v>Steel round bar(rebar)</v>
      </c>
      <c r="G479" s="18" t="str">
        <f>IFERROR(VLOOKUP($D479,본공사입.출고현황!$B:$H,G$2080,0),0)</f>
        <v>CCGG</v>
      </c>
      <c r="H479" s="18" t="str">
        <f>IFERROR(VLOOKUP($D479,본공사입.출고현황!$B:$H,H$2080,0),0)</f>
        <v>ф10, 1ton=1,620.7m</v>
      </c>
      <c r="I479" s="56" t="str">
        <f>IFERROR(VLOOKUP($D479,본공사입.출고현황!$B:$H,I$2080,0),0)</f>
        <v>M</v>
      </c>
      <c r="J479" s="9">
        <v>3</v>
      </c>
      <c r="K479" s="9" t="s">
        <v>237</v>
      </c>
      <c r="L479" s="37">
        <v>20</v>
      </c>
      <c r="M479" s="64" t="s">
        <v>408</v>
      </c>
      <c r="N479" s="42"/>
    </row>
    <row r="480" spans="1:14" ht="24" customHeight="1">
      <c r="A480" s="8">
        <v>436</v>
      </c>
      <c r="B480" s="9">
        <v>436</v>
      </c>
      <c r="C480" s="46">
        <v>45965</v>
      </c>
      <c r="D480" s="9" t="s">
        <v>238</v>
      </c>
      <c r="E480" s="56" t="str">
        <f>IFERROR(VLOOKUP($D480,본공사입.출고현황!$B:$H,E$2080,0),0)</f>
        <v>Steel round bar</v>
      </c>
      <c r="F480" s="18" t="str">
        <f>IFERROR(VLOOKUP($D480,본공사입.출고현황!$B:$H,F$2080,0),0)</f>
        <v>Steel round bar(rebar)</v>
      </c>
      <c r="G480" s="18" t="str">
        <f>IFERROR(VLOOKUP($D480,본공사입.출고현황!$B:$H,G$2080,0),0)</f>
        <v>CCGG</v>
      </c>
      <c r="H480" s="18" t="str">
        <f>IFERROR(VLOOKUP($D480,본공사입.출고현황!$B:$H,H$2080,0),0)</f>
        <v>ф10, 1ton=1,620.7m</v>
      </c>
      <c r="I480" s="56" t="str">
        <f>IFERROR(VLOOKUP($D480,본공사입.출고현황!$B:$H,I$2080,0),0)</f>
        <v>M</v>
      </c>
      <c r="J480" s="9">
        <v>1</v>
      </c>
      <c r="K480" s="9" t="s">
        <v>363</v>
      </c>
      <c r="L480" s="37">
        <v>40</v>
      </c>
      <c r="M480" s="64" t="s">
        <v>408</v>
      </c>
      <c r="N480" s="42"/>
    </row>
    <row r="481" spans="1:14" ht="24" customHeight="1">
      <c r="A481" s="8">
        <v>437</v>
      </c>
      <c r="B481" s="9">
        <v>437</v>
      </c>
      <c r="C481" s="46">
        <v>45966</v>
      </c>
      <c r="D481" s="9" t="s">
        <v>238</v>
      </c>
      <c r="E481" s="56" t="str">
        <f>IFERROR(VLOOKUP($D481,본공사입.출고현황!$B:$H,E$2080,0),0)</f>
        <v>Steel round bar</v>
      </c>
      <c r="F481" s="18" t="str">
        <f>IFERROR(VLOOKUP($D481,본공사입.출고현황!$B:$H,F$2080,0),0)</f>
        <v>Steel round bar(rebar)</v>
      </c>
      <c r="G481" s="18" t="str">
        <f>IFERROR(VLOOKUP($D481,본공사입.출고현황!$B:$H,G$2080,0),0)</f>
        <v>CCGG</v>
      </c>
      <c r="H481" s="18" t="str">
        <f>IFERROR(VLOOKUP($D481,본공사입.출고현황!$B:$H,H$2080,0),0)</f>
        <v>ф10, 1ton=1,620.7m</v>
      </c>
      <c r="I481" s="56" t="str">
        <f>IFERROR(VLOOKUP($D481,본공사입.출고현황!$B:$H,I$2080,0),0)</f>
        <v>M</v>
      </c>
      <c r="J481" s="9">
        <v>1</v>
      </c>
      <c r="K481" s="9" t="s">
        <v>363</v>
      </c>
      <c r="L481" s="37">
        <v>20</v>
      </c>
      <c r="M481" s="64" t="s">
        <v>408</v>
      </c>
      <c r="N481" s="42"/>
    </row>
    <row r="482" spans="1:14" ht="24" customHeight="1">
      <c r="A482" s="8">
        <v>438</v>
      </c>
      <c r="B482" s="9">
        <v>438</v>
      </c>
      <c r="C482" s="46">
        <v>45966</v>
      </c>
      <c r="D482" s="9" t="s">
        <v>238</v>
      </c>
      <c r="E482" s="56" t="str">
        <f>IFERROR(VLOOKUP($D482,본공사입.출고현황!$B:$H,E$2080,0),0)</f>
        <v>Steel round bar</v>
      </c>
      <c r="F482" s="18" t="str">
        <f>IFERROR(VLOOKUP($D482,본공사입.출고현황!$B:$H,F$2080,0),0)</f>
        <v>Steel round bar(rebar)</v>
      </c>
      <c r="G482" s="18" t="str">
        <f>IFERROR(VLOOKUP($D482,본공사입.출고현황!$B:$H,G$2080,0),0)</f>
        <v>CCGG</v>
      </c>
      <c r="H482" s="18" t="str">
        <f>IFERROR(VLOOKUP($D482,본공사입.출고현황!$B:$H,H$2080,0),0)</f>
        <v>ф10, 1ton=1,620.7m</v>
      </c>
      <c r="I482" s="56" t="str">
        <f>IFERROR(VLOOKUP($D482,본공사입.출고현황!$B:$H,I$2080,0),0)</f>
        <v>M</v>
      </c>
      <c r="J482" s="9">
        <v>2</v>
      </c>
      <c r="K482" s="9" t="s">
        <v>360</v>
      </c>
      <c r="L482" s="37">
        <v>60</v>
      </c>
      <c r="M482" s="64" t="s">
        <v>408</v>
      </c>
      <c r="N482" s="42"/>
    </row>
    <row r="483" spans="1:14" ht="24" customHeight="1">
      <c r="A483" s="8">
        <v>439</v>
      </c>
      <c r="B483" s="9">
        <v>439</v>
      </c>
      <c r="C483" s="46">
        <v>45966</v>
      </c>
      <c r="D483" s="9" t="s">
        <v>238</v>
      </c>
      <c r="E483" s="56" t="str">
        <f>IFERROR(VLOOKUP($D483,본공사입.출고현황!$B:$H,E$2080,0),0)</f>
        <v>Steel round bar</v>
      </c>
      <c r="F483" s="18" t="str">
        <f>IFERROR(VLOOKUP($D483,본공사입.출고현황!$B:$H,F$2080,0),0)</f>
        <v>Steel round bar(rebar)</v>
      </c>
      <c r="G483" s="18" t="str">
        <f>IFERROR(VLOOKUP($D483,본공사입.출고현황!$B:$H,G$2080,0),0)</f>
        <v>CCGG</v>
      </c>
      <c r="H483" s="18" t="str">
        <f>IFERROR(VLOOKUP($D483,본공사입.출고현황!$B:$H,H$2080,0),0)</f>
        <v>ф10, 1ton=1,620.7m</v>
      </c>
      <c r="I483" s="56" t="str">
        <f>IFERROR(VLOOKUP($D483,본공사입.출고현황!$B:$H,I$2080,0),0)</f>
        <v>M</v>
      </c>
      <c r="J483" s="9">
        <v>1</v>
      </c>
      <c r="K483" s="9" t="s">
        <v>352</v>
      </c>
      <c r="L483" s="37">
        <v>55</v>
      </c>
      <c r="M483" s="64" t="s">
        <v>408</v>
      </c>
      <c r="N483" s="42"/>
    </row>
    <row r="484" spans="1:14" ht="24" customHeight="1">
      <c r="A484" s="8">
        <v>440</v>
      </c>
      <c r="B484" s="9">
        <v>440</v>
      </c>
      <c r="C484" s="46">
        <v>45966</v>
      </c>
      <c r="D484" s="9" t="s">
        <v>238</v>
      </c>
      <c r="E484" s="56" t="str">
        <f>IFERROR(VLOOKUP($D484,본공사입.출고현황!$B:$H,E$2080,0),0)</f>
        <v>Steel round bar</v>
      </c>
      <c r="F484" s="18" t="str">
        <f>IFERROR(VLOOKUP($D484,본공사입.출고현황!$B:$H,F$2080,0),0)</f>
        <v>Steel round bar(rebar)</v>
      </c>
      <c r="G484" s="18" t="str">
        <f>IFERROR(VLOOKUP($D484,본공사입.출고현황!$B:$H,G$2080,0),0)</f>
        <v>CCGG</v>
      </c>
      <c r="H484" s="18" t="str">
        <f>IFERROR(VLOOKUP($D484,본공사입.출고현황!$B:$H,H$2080,0),0)</f>
        <v>ф10, 1ton=1,620.7m</v>
      </c>
      <c r="I484" s="56" t="str">
        <f>IFERROR(VLOOKUP($D484,본공사입.출고현황!$B:$H,I$2080,0),0)</f>
        <v>M</v>
      </c>
      <c r="J484" s="9">
        <v>1</v>
      </c>
      <c r="K484" s="9" t="s">
        <v>363</v>
      </c>
      <c r="L484" s="37">
        <v>25</v>
      </c>
      <c r="M484" s="64" t="s">
        <v>408</v>
      </c>
      <c r="N484" s="42"/>
    </row>
    <row r="485" spans="1:14" ht="24" customHeight="1">
      <c r="A485" s="8">
        <v>441</v>
      </c>
      <c r="B485" s="9">
        <v>441</v>
      </c>
      <c r="C485" s="46">
        <v>45966</v>
      </c>
      <c r="D485" s="9" t="s">
        <v>238</v>
      </c>
      <c r="E485" s="56" t="str">
        <f>IFERROR(VLOOKUP($D485,본공사입.출고현황!$B:$H,E$2080,0),0)</f>
        <v>Steel round bar</v>
      </c>
      <c r="F485" s="18" t="str">
        <f>IFERROR(VLOOKUP($D485,본공사입.출고현황!$B:$H,F$2080,0),0)</f>
        <v>Steel round bar(rebar)</v>
      </c>
      <c r="G485" s="18" t="str">
        <f>IFERROR(VLOOKUP($D485,본공사입.출고현황!$B:$H,G$2080,0),0)</f>
        <v>CCGG</v>
      </c>
      <c r="H485" s="18" t="str">
        <f>IFERROR(VLOOKUP($D485,본공사입.출고현황!$B:$H,H$2080,0),0)</f>
        <v>ф10, 1ton=1,620.7m</v>
      </c>
      <c r="I485" s="56" t="str">
        <f>IFERROR(VLOOKUP($D485,본공사입.출고현황!$B:$H,I$2080,0),0)</f>
        <v>M</v>
      </c>
      <c r="J485" s="9">
        <v>1</v>
      </c>
      <c r="K485" s="9" t="s">
        <v>545</v>
      </c>
      <c r="L485" s="37">
        <v>15</v>
      </c>
      <c r="M485" s="64" t="s">
        <v>408</v>
      </c>
      <c r="N485" s="42"/>
    </row>
    <row r="486" spans="1:14" ht="24" customHeight="1">
      <c r="A486" s="8">
        <v>442</v>
      </c>
      <c r="B486" s="9">
        <v>442</v>
      </c>
      <c r="C486" s="46">
        <v>45967</v>
      </c>
      <c r="D486" s="9" t="s">
        <v>238</v>
      </c>
      <c r="E486" s="56" t="str">
        <f>IFERROR(VLOOKUP($D486,본공사입.출고현황!$B:$H,E$2080,0),0)</f>
        <v>Steel round bar</v>
      </c>
      <c r="F486" s="18" t="str">
        <f>IFERROR(VLOOKUP($D486,본공사입.출고현황!$B:$H,F$2080,0),0)</f>
        <v>Steel round bar(rebar)</v>
      </c>
      <c r="G486" s="18" t="str">
        <f>IFERROR(VLOOKUP($D486,본공사입.출고현황!$B:$H,G$2080,0),0)</f>
        <v>CCGG</v>
      </c>
      <c r="H486" s="18" t="str">
        <f>IFERROR(VLOOKUP($D486,본공사입.출고현황!$B:$H,H$2080,0),0)</f>
        <v>ф10, 1ton=1,620.7m</v>
      </c>
      <c r="I486" s="56" t="str">
        <f>IFERROR(VLOOKUP($D486,본공사입.출고현황!$B:$H,I$2080,0),0)</f>
        <v>M</v>
      </c>
      <c r="J486" s="9">
        <v>2</v>
      </c>
      <c r="K486" s="9" t="s">
        <v>360</v>
      </c>
      <c r="L486" s="37">
        <v>70</v>
      </c>
      <c r="M486" s="64" t="s">
        <v>408</v>
      </c>
      <c r="N486" s="42"/>
    </row>
    <row r="487" spans="1:14" ht="24" customHeight="1">
      <c r="A487" s="8">
        <v>443</v>
      </c>
      <c r="B487" s="9">
        <v>443</v>
      </c>
      <c r="C487" s="46">
        <v>45967</v>
      </c>
      <c r="D487" s="9" t="s">
        <v>238</v>
      </c>
      <c r="E487" s="56" t="str">
        <f>IFERROR(VLOOKUP($D487,본공사입.출고현황!$B:$H,E$2080,0),0)</f>
        <v>Steel round bar</v>
      </c>
      <c r="F487" s="18" t="str">
        <f>IFERROR(VLOOKUP($D487,본공사입.출고현황!$B:$H,F$2080,0),0)</f>
        <v>Steel round bar(rebar)</v>
      </c>
      <c r="G487" s="18" t="str">
        <f>IFERROR(VLOOKUP($D487,본공사입.출고현황!$B:$H,G$2080,0),0)</f>
        <v>CCGG</v>
      </c>
      <c r="H487" s="18" t="str">
        <f>IFERROR(VLOOKUP($D487,본공사입.출고현황!$B:$H,H$2080,0),0)</f>
        <v>ф10, 1ton=1,620.7m</v>
      </c>
      <c r="I487" s="56" t="str">
        <f>IFERROR(VLOOKUP($D487,본공사입.출고현황!$B:$H,I$2080,0),0)</f>
        <v>M</v>
      </c>
      <c r="J487" s="9">
        <v>1</v>
      </c>
      <c r="K487" s="9" t="s">
        <v>352</v>
      </c>
      <c r="L487" s="37">
        <v>30</v>
      </c>
      <c r="M487" s="64" t="s">
        <v>408</v>
      </c>
      <c r="N487" s="42"/>
    </row>
    <row r="488" spans="1:14" ht="24" customHeight="1">
      <c r="A488" s="8">
        <v>444</v>
      </c>
      <c r="B488" s="9">
        <v>444</v>
      </c>
      <c r="C488" s="46">
        <v>45967</v>
      </c>
      <c r="D488" s="9" t="s">
        <v>238</v>
      </c>
      <c r="E488" s="56" t="str">
        <f>IFERROR(VLOOKUP($D488,본공사입.출고현황!$B:$H,E$2080,0),0)</f>
        <v>Steel round bar</v>
      </c>
      <c r="F488" s="18" t="str">
        <f>IFERROR(VLOOKUP($D488,본공사입.출고현황!$B:$H,F$2080,0),0)</f>
        <v>Steel round bar(rebar)</v>
      </c>
      <c r="G488" s="18" t="str">
        <f>IFERROR(VLOOKUP($D488,본공사입.출고현황!$B:$H,G$2080,0),0)</f>
        <v>CCGG</v>
      </c>
      <c r="H488" s="18" t="str">
        <f>IFERROR(VLOOKUP($D488,본공사입.출고현황!$B:$H,H$2080,0),0)</f>
        <v>ф10, 1ton=1,620.7m</v>
      </c>
      <c r="I488" s="56" t="str">
        <f>IFERROR(VLOOKUP($D488,본공사입.출고현황!$B:$H,I$2080,0),0)</f>
        <v>M</v>
      </c>
      <c r="J488" s="9">
        <v>1</v>
      </c>
      <c r="K488" s="9" t="s">
        <v>363</v>
      </c>
      <c r="L488" s="37">
        <v>25</v>
      </c>
      <c r="M488" s="64" t="s">
        <v>408</v>
      </c>
      <c r="N488" s="42"/>
    </row>
    <row r="489" spans="1:14" ht="24" customHeight="1">
      <c r="A489" s="8">
        <v>445</v>
      </c>
      <c r="B489" s="9">
        <v>445</v>
      </c>
      <c r="C489" s="46">
        <v>45967</v>
      </c>
      <c r="D489" s="9" t="s">
        <v>238</v>
      </c>
      <c r="E489" s="56" t="str">
        <f>IFERROR(VLOOKUP($D489,본공사입.출고현황!$B:$H,E$2080,0),0)</f>
        <v>Steel round bar</v>
      </c>
      <c r="F489" s="18" t="str">
        <f>IFERROR(VLOOKUP($D489,본공사입.출고현황!$B:$H,F$2080,0),0)</f>
        <v>Steel round bar(rebar)</v>
      </c>
      <c r="G489" s="18" t="str">
        <f>IFERROR(VLOOKUP($D489,본공사입.출고현황!$B:$H,G$2080,0),0)</f>
        <v>CCGG</v>
      </c>
      <c r="H489" s="18" t="str">
        <f>IFERROR(VLOOKUP($D489,본공사입.출고현황!$B:$H,H$2080,0),0)</f>
        <v>ф10, 1ton=1,620.7m</v>
      </c>
      <c r="I489" s="56" t="str">
        <f>IFERROR(VLOOKUP($D489,본공사입.출고현황!$B:$H,I$2080,0),0)</f>
        <v>M</v>
      </c>
      <c r="J489" s="9">
        <v>3</v>
      </c>
      <c r="K489" s="9" t="s">
        <v>550</v>
      </c>
      <c r="L489" s="37">
        <v>20</v>
      </c>
      <c r="M489" s="64" t="s">
        <v>408</v>
      </c>
      <c r="N489" s="42"/>
    </row>
    <row r="490" spans="1:14" ht="24" customHeight="1">
      <c r="A490" s="8">
        <v>446</v>
      </c>
      <c r="B490" s="9">
        <v>446</v>
      </c>
      <c r="C490" s="46">
        <v>45968</v>
      </c>
      <c r="D490" s="9" t="s">
        <v>238</v>
      </c>
      <c r="E490" s="56" t="str">
        <f>IFERROR(VLOOKUP($D490,본공사입.출고현황!$B:$H,E$2080,0),0)</f>
        <v>Steel round bar</v>
      </c>
      <c r="F490" s="18" t="str">
        <f>IFERROR(VLOOKUP($D490,본공사입.출고현황!$B:$H,F$2080,0),0)</f>
        <v>Steel round bar(rebar)</v>
      </c>
      <c r="G490" s="18" t="str">
        <f>IFERROR(VLOOKUP($D490,본공사입.출고현황!$B:$H,G$2080,0),0)</f>
        <v>CCGG</v>
      </c>
      <c r="H490" s="18" t="str">
        <f>IFERROR(VLOOKUP($D490,본공사입.출고현황!$B:$H,H$2080,0),0)</f>
        <v>ф10, 1ton=1,620.7m</v>
      </c>
      <c r="I490" s="56" t="str">
        <f>IFERROR(VLOOKUP($D490,본공사입.출고현황!$B:$H,I$2080,0),0)</f>
        <v>M</v>
      </c>
      <c r="J490" s="9">
        <v>1</v>
      </c>
      <c r="K490" s="9" t="s">
        <v>363</v>
      </c>
      <c r="L490" s="37">
        <v>20</v>
      </c>
      <c r="M490" s="64" t="s">
        <v>358</v>
      </c>
      <c r="N490" s="42"/>
    </row>
    <row r="491" spans="1:14" ht="24" customHeight="1">
      <c r="A491" s="8">
        <v>447</v>
      </c>
      <c r="B491" s="9">
        <v>447</v>
      </c>
      <c r="C491" s="46">
        <v>45968</v>
      </c>
      <c r="D491" s="9" t="s">
        <v>238</v>
      </c>
      <c r="E491" s="56" t="str">
        <f>IFERROR(VLOOKUP($D491,본공사입.출고현황!$B:$H,E$2080,0),0)</f>
        <v>Steel round bar</v>
      </c>
      <c r="F491" s="18" t="str">
        <f>IFERROR(VLOOKUP($D491,본공사입.출고현황!$B:$H,F$2080,0),0)</f>
        <v>Steel round bar(rebar)</v>
      </c>
      <c r="G491" s="18" t="str">
        <f>IFERROR(VLOOKUP($D491,본공사입.출고현황!$B:$H,G$2080,0),0)</f>
        <v>CCGG</v>
      </c>
      <c r="H491" s="18" t="str">
        <f>IFERROR(VLOOKUP($D491,본공사입.출고현황!$B:$H,H$2080,0),0)</f>
        <v>ф10, 1ton=1,620.7m</v>
      </c>
      <c r="I491" s="56" t="str">
        <f>IFERROR(VLOOKUP($D491,본공사입.출고현황!$B:$H,I$2080,0),0)</f>
        <v>M</v>
      </c>
      <c r="J491" s="9">
        <v>2</v>
      </c>
      <c r="K491" s="9" t="s">
        <v>360</v>
      </c>
      <c r="L491" s="37">
        <v>125</v>
      </c>
      <c r="M491" s="64" t="s">
        <v>358</v>
      </c>
      <c r="N491" s="42"/>
    </row>
    <row r="492" spans="1:14" ht="24" customHeight="1">
      <c r="A492" s="8">
        <v>448</v>
      </c>
      <c r="B492" s="9">
        <v>448</v>
      </c>
      <c r="C492" s="46">
        <v>45968</v>
      </c>
      <c r="D492" s="9" t="s">
        <v>238</v>
      </c>
      <c r="E492" s="56" t="str">
        <f>IFERROR(VLOOKUP($D492,본공사입.출고현황!$B:$H,E$2080,0),0)</f>
        <v>Steel round bar</v>
      </c>
      <c r="F492" s="18" t="str">
        <f>IFERROR(VLOOKUP($D492,본공사입.출고현황!$B:$H,F$2080,0),0)</f>
        <v>Steel round bar(rebar)</v>
      </c>
      <c r="G492" s="18" t="str">
        <f>IFERROR(VLOOKUP($D492,본공사입.출고현황!$B:$H,G$2080,0),0)</f>
        <v>CCGG</v>
      </c>
      <c r="H492" s="18" t="str">
        <f>IFERROR(VLOOKUP($D492,본공사입.출고현황!$B:$H,H$2080,0),0)</f>
        <v>ф10, 1ton=1,620.7m</v>
      </c>
      <c r="I492" s="56" t="str">
        <f>IFERROR(VLOOKUP($D492,본공사입.출고현황!$B:$H,I$2080,0),0)</f>
        <v>M</v>
      </c>
      <c r="J492" s="9">
        <v>1</v>
      </c>
      <c r="K492" s="9" t="s">
        <v>352</v>
      </c>
      <c r="L492" s="37">
        <v>125</v>
      </c>
      <c r="M492" s="64" t="s">
        <v>358</v>
      </c>
      <c r="N492" s="42"/>
    </row>
    <row r="493" spans="1:14" ht="24" customHeight="1">
      <c r="A493" s="8">
        <v>449</v>
      </c>
      <c r="B493" s="9">
        <v>449</v>
      </c>
      <c r="C493" s="46">
        <v>45968</v>
      </c>
      <c r="D493" s="9" t="s">
        <v>238</v>
      </c>
      <c r="E493" s="56" t="str">
        <f>IFERROR(VLOOKUP($D493,본공사입.출고현황!$B:$H,E$2080,0),0)</f>
        <v>Steel round bar</v>
      </c>
      <c r="F493" s="18" t="str">
        <f>IFERROR(VLOOKUP($D493,본공사입.출고현황!$B:$H,F$2080,0),0)</f>
        <v>Steel round bar(rebar)</v>
      </c>
      <c r="G493" s="18" t="str">
        <f>IFERROR(VLOOKUP($D493,본공사입.출고현황!$B:$H,G$2080,0),0)</f>
        <v>CCGG</v>
      </c>
      <c r="H493" s="18" t="str">
        <f>IFERROR(VLOOKUP($D493,본공사입.출고현황!$B:$H,H$2080,0),0)</f>
        <v>ф10, 1ton=1,620.7m</v>
      </c>
      <c r="I493" s="56" t="str">
        <f>IFERROR(VLOOKUP($D493,본공사입.출고현황!$B:$H,I$2080,0),0)</f>
        <v>M</v>
      </c>
      <c r="J493" s="9">
        <v>1</v>
      </c>
      <c r="K493" s="9" t="s">
        <v>363</v>
      </c>
      <c r="L493" s="37">
        <v>25</v>
      </c>
      <c r="M493" s="64" t="s">
        <v>358</v>
      </c>
      <c r="N493" s="42"/>
    </row>
    <row r="494" spans="1:14" ht="24" customHeight="1">
      <c r="A494" s="8">
        <v>450</v>
      </c>
      <c r="B494" s="9">
        <v>450</v>
      </c>
      <c r="C494" s="46">
        <v>45969</v>
      </c>
      <c r="D494" s="9" t="s">
        <v>238</v>
      </c>
      <c r="E494" s="56" t="str">
        <f>IFERROR(VLOOKUP($D494,본공사입.출고현황!$B:$H,E$2080,0),0)</f>
        <v>Steel round bar</v>
      </c>
      <c r="F494" s="18" t="str">
        <f>IFERROR(VLOOKUP($D494,본공사입.출고현황!$B:$H,F$2080,0),0)</f>
        <v>Steel round bar(rebar)</v>
      </c>
      <c r="G494" s="18" t="str">
        <f>IFERROR(VLOOKUP($D494,본공사입.출고현황!$B:$H,G$2080,0),0)</f>
        <v>CCGG</v>
      </c>
      <c r="H494" s="18" t="str">
        <f>IFERROR(VLOOKUP($D494,본공사입.출고현황!$B:$H,H$2080,0),0)</f>
        <v>ф10, 1ton=1,620.7m</v>
      </c>
      <c r="I494" s="56" t="str">
        <f>IFERROR(VLOOKUP($D494,본공사입.출고현황!$B:$H,I$2080,0),0)</f>
        <v>M</v>
      </c>
      <c r="J494" s="9">
        <v>1</v>
      </c>
      <c r="K494" s="9" t="s">
        <v>352</v>
      </c>
      <c r="L494" s="37">
        <v>15</v>
      </c>
      <c r="M494" s="64" t="s">
        <v>358</v>
      </c>
      <c r="N494" s="42"/>
    </row>
    <row r="495" spans="1:14" ht="24" customHeight="1">
      <c r="A495" s="8">
        <v>451</v>
      </c>
      <c r="B495" s="9">
        <v>451</v>
      </c>
      <c r="C495" s="46">
        <v>45969</v>
      </c>
      <c r="D495" s="9" t="s">
        <v>238</v>
      </c>
      <c r="E495" s="56" t="str">
        <f>IFERROR(VLOOKUP($D495,본공사입.출고현황!$B:$H,E$2080,0),0)</f>
        <v>Steel round bar</v>
      </c>
      <c r="F495" s="18" t="str">
        <f>IFERROR(VLOOKUP($D495,본공사입.출고현황!$B:$H,F$2080,0),0)</f>
        <v>Steel round bar(rebar)</v>
      </c>
      <c r="G495" s="18" t="str">
        <f>IFERROR(VLOOKUP($D495,본공사입.출고현황!$B:$H,G$2080,0),0)</f>
        <v>CCGG</v>
      </c>
      <c r="H495" s="18" t="str">
        <f>IFERROR(VLOOKUP($D495,본공사입.출고현황!$B:$H,H$2080,0),0)</f>
        <v>ф10, 1ton=1,620.7m</v>
      </c>
      <c r="I495" s="56" t="str">
        <f>IFERROR(VLOOKUP($D495,본공사입.출고현황!$B:$H,I$2080,0),0)</f>
        <v>M</v>
      </c>
      <c r="J495" s="9">
        <v>1</v>
      </c>
      <c r="K495" s="9" t="s">
        <v>547</v>
      </c>
      <c r="L495" s="37">
        <v>75</v>
      </c>
      <c r="M495" s="64" t="s">
        <v>358</v>
      </c>
      <c r="N495" s="42"/>
    </row>
    <row r="496" spans="1:14" ht="24" customHeight="1">
      <c r="A496" s="8">
        <v>452</v>
      </c>
      <c r="B496" s="9">
        <v>452</v>
      </c>
      <c r="C496" s="46">
        <v>45969</v>
      </c>
      <c r="D496" s="9" t="s">
        <v>238</v>
      </c>
      <c r="E496" s="56" t="str">
        <f>IFERROR(VLOOKUP($D496,본공사입.출고현황!$B:$H,E$2080,0),0)</f>
        <v>Steel round bar</v>
      </c>
      <c r="F496" s="18" t="str">
        <f>IFERROR(VLOOKUP($D496,본공사입.출고현황!$B:$H,F$2080,0),0)</f>
        <v>Steel round bar(rebar)</v>
      </c>
      <c r="G496" s="18" t="str">
        <f>IFERROR(VLOOKUP($D496,본공사입.출고현황!$B:$H,G$2080,0),0)</f>
        <v>CCGG</v>
      </c>
      <c r="H496" s="18" t="str">
        <f>IFERROR(VLOOKUP($D496,본공사입.출고현황!$B:$H,H$2080,0),0)</f>
        <v>ф10, 1ton=1,620.7m</v>
      </c>
      <c r="I496" s="56" t="str">
        <f>IFERROR(VLOOKUP($D496,본공사입.출고현황!$B:$H,I$2080,0),0)</f>
        <v>M</v>
      </c>
      <c r="J496" s="9">
        <v>2</v>
      </c>
      <c r="K496" s="9" t="s">
        <v>360</v>
      </c>
      <c r="L496" s="37">
        <v>20</v>
      </c>
      <c r="M496" s="64" t="s">
        <v>358</v>
      </c>
      <c r="N496" s="42"/>
    </row>
    <row r="497" spans="1:14" ht="24" customHeight="1">
      <c r="A497" s="8">
        <v>453</v>
      </c>
      <c r="B497" s="9">
        <v>453</v>
      </c>
      <c r="C497" s="46">
        <v>45969</v>
      </c>
      <c r="D497" s="9" t="s">
        <v>238</v>
      </c>
      <c r="E497" s="56" t="str">
        <f>IFERROR(VLOOKUP($D497,본공사입.출고현황!$B:$H,E$2080,0),0)</f>
        <v>Steel round bar</v>
      </c>
      <c r="F497" s="18" t="str">
        <f>IFERROR(VLOOKUP($D497,본공사입.출고현황!$B:$H,F$2080,0),0)</f>
        <v>Steel round bar(rebar)</v>
      </c>
      <c r="G497" s="18" t="str">
        <f>IFERROR(VLOOKUP($D497,본공사입.출고현황!$B:$H,G$2080,0),0)</f>
        <v>CCGG</v>
      </c>
      <c r="H497" s="18" t="str">
        <f>IFERROR(VLOOKUP($D497,본공사입.출고현황!$B:$H,H$2080,0),0)</f>
        <v>ф10, 1ton=1,620.7m</v>
      </c>
      <c r="I497" s="56" t="str">
        <f>IFERROR(VLOOKUP($D497,본공사입.출고현황!$B:$H,I$2080,0),0)</f>
        <v>M</v>
      </c>
      <c r="J497" s="9">
        <v>2</v>
      </c>
      <c r="K497" s="9" t="s">
        <v>546</v>
      </c>
      <c r="L497" s="37">
        <v>20</v>
      </c>
      <c r="M497" s="64" t="s">
        <v>358</v>
      </c>
      <c r="N497" s="42"/>
    </row>
    <row r="498" spans="1:14" ht="24" customHeight="1">
      <c r="A498" s="8">
        <v>454</v>
      </c>
      <c r="B498" s="9">
        <v>454</v>
      </c>
      <c r="C498" s="46">
        <v>45969</v>
      </c>
      <c r="D498" s="9" t="s">
        <v>238</v>
      </c>
      <c r="E498" s="56" t="str">
        <f>IFERROR(VLOOKUP($D498,본공사입.출고현황!$B:$H,E$2080,0),0)</f>
        <v>Steel round bar</v>
      </c>
      <c r="F498" s="18" t="str">
        <f>IFERROR(VLOOKUP($D498,본공사입.출고현황!$B:$H,F$2080,0),0)</f>
        <v>Steel round bar(rebar)</v>
      </c>
      <c r="G498" s="18" t="str">
        <f>IFERROR(VLOOKUP($D498,본공사입.출고현황!$B:$H,G$2080,0),0)</f>
        <v>CCGG</v>
      </c>
      <c r="H498" s="18" t="str">
        <f>IFERROR(VLOOKUP($D498,본공사입.출고현황!$B:$H,H$2080,0),0)</f>
        <v>ф10, 1ton=1,620.7m</v>
      </c>
      <c r="I498" s="56" t="str">
        <f>IFERROR(VLOOKUP($D498,본공사입.출고현황!$B:$H,I$2080,0),0)</f>
        <v>M</v>
      </c>
      <c r="J498" s="9">
        <v>1</v>
      </c>
      <c r="K498" s="9" t="s">
        <v>545</v>
      </c>
      <c r="L498" s="37">
        <v>20</v>
      </c>
      <c r="M498" s="64" t="s">
        <v>358</v>
      </c>
      <c r="N498" s="42"/>
    </row>
    <row r="499" spans="1:14" ht="24" customHeight="1">
      <c r="A499" s="8">
        <v>455</v>
      </c>
      <c r="B499" s="9">
        <v>455</v>
      </c>
      <c r="C499" s="46">
        <v>45970</v>
      </c>
      <c r="D499" s="9" t="s">
        <v>238</v>
      </c>
      <c r="E499" s="56" t="str">
        <f>IFERROR(VLOOKUP($D499,본공사입.출고현황!$B:$H,E$2080,0),0)</f>
        <v>Steel round bar</v>
      </c>
      <c r="F499" s="18" t="str">
        <f>IFERROR(VLOOKUP($D499,본공사입.출고현황!$B:$H,F$2080,0),0)</f>
        <v>Steel round bar(rebar)</v>
      </c>
      <c r="G499" s="18" t="str">
        <f>IFERROR(VLOOKUP($D499,본공사입.출고현황!$B:$H,G$2080,0),0)</f>
        <v>CCGG</v>
      </c>
      <c r="H499" s="18" t="str">
        <f>IFERROR(VLOOKUP($D499,본공사입.출고현황!$B:$H,H$2080,0),0)</f>
        <v>ф10, 1ton=1,620.7m</v>
      </c>
      <c r="I499" s="56" t="str">
        <f>IFERROR(VLOOKUP($D499,본공사입.출고현황!$B:$H,I$2080,0),0)</f>
        <v>M</v>
      </c>
      <c r="J499" s="9">
        <v>2</v>
      </c>
      <c r="K499" s="9" t="s">
        <v>360</v>
      </c>
      <c r="L499" s="37">
        <v>115</v>
      </c>
      <c r="M499" s="64" t="s">
        <v>408</v>
      </c>
      <c r="N499" s="42"/>
    </row>
    <row r="500" spans="1:14" ht="24" customHeight="1">
      <c r="A500" s="8">
        <v>456</v>
      </c>
      <c r="B500" s="9">
        <v>456</v>
      </c>
      <c r="C500" s="46">
        <v>45970</v>
      </c>
      <c r="D500" s="9" t="s">
        <v>238</v>
      </c>
      <c r="E500" s="56" t="str">
        <f>IFERROR(VLOOKUP($D500,본공사입.출고현황!$B:$H,E$2080,0),0)</f>
        <v>Steel round bar</v>
      </c>
      <c r="F500" s="18" t="str">
        <f>IFERROR(VLOOKUP($D500,본공사입.출고현황!$B:$H,F$2080,0),0)</f>
        <v>Steel round bar(rebar)</v>
      </c>
      <c r="G500" s="18" t="str">
        <f>IFERROR(VLOOKUP($D500,본공사입.출고현황!$B:$H,G$2080,0),0)</f>
        <v>CCGG</v>
      </c>
      <c r="H500" s="18" t="str">
        <f>IFERROR(VLOOKUP($D500,본공사입.출고현황!$B:$H,H$2080,0),0)</f>
        <v>ф10, 1ton=1,620.7m</v>
      </c>
      <c r="I500" s="56" t="str">
        <f>IFERROR(VLOOKUP($D500,본공사입.출고현황!$B:$H,I$2080,0),0)</f>
        <v>M</v>
      </c>
      <c r="J500" s="9" t="s">
        <v>557</v>
      </c>
      <c r="K500" s="9" t="s">
        <v>553</v>
      </c>
      <c r="L500" s="37">
        <v>30</v>
      </c>
      <c r="M500" s="64" t="s">
        <v>408</v>
      </c>
      <c r="N500" s="42"/>
    </row>
    <row r="501" spans="1:14" ht="24" customHeight="1">
      <c r="A501" s="8">
        <v>457</v>
      </c>
      <c r="B501" s="9">
        <v>457</v>
      </c>
      <c r="C501" s="46">
        <v>45970</v>
      </c>
      <c r="D501" s="9" t="s">
        <v>238</v>
      </c>
      <c r="E501" s="56" t="str">
        <f>IFERROR(VLOOKUP($D501,본공사입.출고현황!$B:$H,E$2080,0),0)</f>
        <v>Steel round bar</v>
      </c>
      <c r="F501" s="18" t="str">
        <f>IFERROR(VLOOKUP($D501,본공사입.출고현황!$B:$H,F$2080,0),0)</f>
        <v>Steel round bar(rebar)</v>
      </c>
      <c r="G501" s="18" t="str">
        <f>IFERROR(VLOOKUP($D501,본공사입.출고현황!$B:$H,G$2080,0),0)</f>
        <v>CCGG</v>
      </c>
      <c r="H501" s="18" t="str">
        <f>IFERROR(VLOOKUP($D501,본공사입.출고현황!$B:$H,H$2080,0),0)</f>
        <v>ф10, 1ton=1,620.7m</v>
      </c>
      <c r="I501" s="56" t="str">
        <f>IFERROR(VLOOKUP($D501,본공사입.출고현황!$B:$H,I$2080,0),0)</f>
        <v>M</v>
      </c>
      <c r="J501" s="9">
        <v>1</v>
      </c>
      <c r="K501" s="9" t="s">
        <v>352</v>
      </c>
      <c r="L501" s="37">
        <v>50</v>
      </c>
      <c r="M501" s="64" t="s">
        <v>408</v>
      </c>
      <c r="N501" s="42"/>
    </row>
    <row r="502" spans="1:14" ht="24" customHeight="1">
      <c r="A502" s="8">
        <v>458</v>
      </c>
      <c r="B502" s="9">
        <v>458</v>
      </c>
      <c r="C502" s="46">
        <v>45971</v>
      </c>
      <c r="D502" s="9" t="s">
        <v>238</v>
      </c>
      <c r="E502" s="56" t="str">
        <f>IFERROR(VLOOKUP($D502,본공사입.출고현황!$B:$H,E$2080,0),0)</f>
        <v>Steel round bar</v>
      </c>
      <c r="F502" s="18" t="str">
        <f>IFERROR(VLOOKUP($D502,본공사입.출고현황!$B:$H,F$2080,0),0)</f>
        <v>Steel round bar(rebar)</v>
      </c>
      <c r="G502" s="18" t="str">
        <f>IFERROR(VLOOKUP($D502,본공사입.출고현황!$B:$H,G$2080,0),0)</f>
        <v>CCGG</v>
      </c>
      <c r="H502" s="18" t="str">
        <f>IFERROR(VLOOKUP($D502,본공사입.출고현황!$B:$H,H$2080,0),0)</f>
        <v>ф10, 1ton=1,620.7m</v>
      </c>
      <c r="I502" s="56" t="str">
        <f>IFERROR(VLOOKUP($D502,본공사입.출고현황!$B:$H,I$2080,0),0)</f>
        <v>M</v>
      </c>
      <c r="J502" s="9">
        <v>3</v>
      </c>
      <c r="K502" s="9" t="s">
        <v>237</v>
      </c>
      <c r="L502" s="37">
        <v>20</v>
      </c>
      <c r="M502" s="64" t="s">
        <v>408</v>
      </c>
      <c r="N502" s="42"/>
    </row>
    <row r="503" spans="1:14" ht="24" customHeight="1">
      <c r="A503" s="8">
        <v>459</v>
      </c>
      <c r="B503" s="9">
        <v>459</v>
      </c>
      <c r="C503" s="46">
        <v>45971</v>
      </c>
      <c r="D503" s="9" t="s">
        <v>238</v>
      </c>
      <c r="E503" s="56" t="str">
        <f>IFERROR(VLOOKUP($D503,본공사입.출고현황!$B:$H,E$2080,0),0)</f>
        <v>Steel round bar</v>
      </c>
      <c r="F503" s="18" t="str">
        <f>IFERROR(VLOOKUP($D503,본공사입.출고현황!$B:$H,F$2080,0),0)</f>
        <v>Steel round bar(rebar)</v>
      </c>
      <c r="G503" s="18" t="str">
        <f>IFERROR(VLOOKUP($D503,본공사입.출고현황!$B:$H,G$2080,0),0)</f>
        <v>CCGG</v>
      </c>
      <c r="H503" s="18" t="str">
        <f>IFERROR(VLOOKUP($D503,본공사입.출고현황!$B:$H,H$2080,0),0)</f>
        <v>ф10, 1ton=1,620.7m</v>
      </c>
      <c r="I503" s="56" t="str">
        <f>IFERROR(VLOOKUP($D503,본공사입.출고현황!$B:$H,I$2080,0),0)</f>
        <v>M</v>
      </c>
      <c r="J503" s="9">
        <v>1</v>
      </c>
      <c r="K503" s="9" t="s">
        <v>547</v>
      </c>
      <c r="L503" s="37">
        <v>35</v>
      </c>
      <c r="M503" s="64" t="s">
        <v>408</v>
      </c>
      <c r="N503" s="42"/>
    </row>
    <row r="504" spans="1:14" ht="24" customHeight="1">
      <c r="A504" s="8">
        <v>460</v>
      </c>
      <c r="B504" s="9">
        <v>460</v>
      </c>
      <c r="C504" s="46">
        <v>45971</v>
      </c>
      <c r="D504" s="9" t="s">
        <v>238</v>
      </c>
      <c r="E504" s="56" t="str">
        <f>IFERROR(VLOOKUP($D504,본공사입.출고현황!$B:$H,E$2080,0),0)</f>
        <v>Steel round bar</v>
      </c>
      <c r="F504" s="18" t="str">
        <f>IFERROR(VLOOKUP($D504,본공사입.출고현황!$B:$H,F$2080,0),0)</f>
        <v>Steel round bar(rebar)</v>
      </c>
      <c r="G504" s="18" t="str">
        <f>IFERROR(VLOOKUP($D504,본공사입.출고현황!$B:$H,G$2080,0),0)</f>
        <v>CCGG</v>
      </c>
      <c r="H504" s="18" t="str">
        <f>IFERROR(VLOOKUP($D504,본공사입.출고현황!$B:$H,H$2080,0),0)</f>
        <v>ф10, 1ton=1,620.7m</v>
      </c>
      <c r="I504" s="56" t="str">
        <f>IFERROR(VLOOKUP($D504,본공사입.출고현황!$B:$H,I$2080,0),0)</f>
        <v>M</v>
      </c>
      <c r="J504" s="9">
        <v>1</v>
      </c>
      <c r="K504" s="9" t="s">
        <v>352</v>
      </c>
      <c r="L504" s="37">
        <v>115</v>
      </c>
      <c r="M504" s="64" t="s">
        <v>408</v>
      </c>
      <c r="N504" s="42"/>
    </row>
    <row r="505" spans="1:14" ht="24" customHeight="1">
      <c r="A505" s="8">
        <v>461</v>
      </c>
      <c r="B505" s="9">
        <v>461</v>
      </c>
      <c r="C505" s="46">
        <v>45971</v>
      </c>
      <c r="D505" s="9" t="s">
        <v>238</v>
      </c>
      <c r="E505" s="56" t="str">
        <f>IFERROR(VLOOKUP($D505,본공사입.출고현황!$B:$H,E$2080,0),0)</f>
        <v>Steel round bar</v>
      </c>
      <c r="F505" s="18" t="str">
        <f>IFERROR(VLOOKUP($D505,본공사입.출고현황!$B:$H,F$2080,0),0)</f>
        <v>Steel round bar(rebar)</v>
      </c>
      <c r="G505" s="18" t="str">
        <f>IFERROR(VLOOKUP($D505,본공사입.출고현황!$B:$H,G$2080,0),0)</f>
        <v>CCGG</v>
      </c>
      <c r="H505" s="18" t="str">
        <f>IFERROR(VLOOKUP($D505,본공사입.출고현황!$B:$H,H$2080,0),0)</f>
        <v>ф10, 1ton=1,620.7m</v>
      </c>
      <c r="I505" s="56" t="str">
        <f>IFERROR(VLOOKUP($D505,본공사입.출고현황!$B:$H,I$2080,0),0)</f>
        <v>M</v>
      </c>
      <c r="J505" s="9">
        <v>2</v>
      </c>
      <c r="K505" s="9" t="s">
        <v>360</v>
      </c>
      <c r="L505" s="37">
        <v>25</v>
      </c>
      <c r="M505" s="64" t="s">
        <v>408</v>
      </c>
      <c r="N505" s="42"/>
    </row>
    <row r="506" spans="1:14" ht="24" customHeight="1">
      <c r="A506" s="8">
        <v>462</v>
      </c>
      <c r="B506" s="9">
        <v>462</v>
      </c>
      <c r="C506" s="46">
        <v>45971</v>
      </c>
      <c r="D506" s="9" t="s">
        <v>238</v>
      </c>
      <c r="E506" s="56" t="str">
        <f>IFERROR(VLOOKUP($D506,본공사입.출고현황!$B:$H,E$2080,0),0)</f>
        <v>Steel round bar</v>
      </c>
      <c r="F506" s="18" t="str">
        <f>IFERROR(VLOOKUP($D506,본공사입.출고현황!$B:$H,F$2080,0),0)</f>
        <v>Steel round bar(rebar)</v>
      </c>
      <c r="G506" s="18" t="str">
        <f>IFERROR(VLOOKUP($D506,본공사입.출고현황!$B:$H,G$2080,0),0)</f>
        <v>CCGG</v>
      </c>
      <c r="H506" s="18" t="str">
        <f>IFERROR(VLOOKUP($D506,본공사입.출고현황!$B:$H,H$2080,0),0)</f>
        <v>ф10, 1ton=1,620.7m</v>
      </c>
      <c r="I506" s="56" t="str">
        <f>IFERROR(VLOOKUP($D506,본공사입.출고현황!$B:$H,I$2080,0),0)</f>
        <v>M</v>
      </c>
      <c r="J506" s="9" t="s">
        <v>557</v>
      </c>
      <c r="K506" s="9" t="s">
        <v>569</v>
      </c>
      <c r="L506" s="37">
        <v>20</v>
      </c>
      <c r="M506" s="64" t="s">
        <v>408</v>
      </c>
      <c r="N506" s="42"/>
    </row>
    <row r="507" spans="1:14" ht="24" customHeight="1">
      <c r="A507" s="8">
        <v>463</v>
      </c>
      <c r="B507" s="9">
        <v>463</v>
      </c>
      <c r="C507" s="46">
        <v>45971</v>
      </c>
      <c r="D507" s="9" t="s">
        <v>238</v>
      </c>
      <c r="E507" s="56" t="str">
        <f>IFERROR(VLOOKUP($D507,본공사입.출고현황!$B:$H,E$2080,0),0)</f>
        <v>Steel round bar</v>
      </c>
      <c r="F507" s="18" t="str">
        <f>IFERROR(VLOOKUP($D507,본공사입.출고현황!$B:$H,F$2080,0),0)</f>
        <v>Steel round bar(rebar)</v>
      </c>
      <c r="G507" s="18" t="str">
        <f>IFERROR(VLOOKUP($D507,본공사입.출고현황!$B:$H,G$2080,0),0)</f>
        <v>CCGG</v>
      </c>
      <c r="H507" s="18" t="str">
        <f>IFERROR(VLOOKUP($D507,본공사입.출고현황!$B:$H,H$2080,0),0)</f>
        <v>ф10, 1ton=1,620.7m</v>
      </c>
      <c r="I507" s="56" t="str">
        <f>IFERROR(VLOOKUP($D507,본공사입.출고현황!$B:$H,I$2080,0),0)</f>
        <v>M</v>
      </c>
      <c r="J507" s="9">
        <v>3</v>
      </c>
      <c r="K507" s="9" t="s">
        <v>550</v>
      </c>
      <c r="L507" s="37">
        <v>15</v>
      </c>
      <c r="M507" s="64" t="s">
        <v>408</v>
      </c>
      <c r="N507" s="42"/>
    </row>
    <row r="508" spans="1:14" ht="24" customHeight="1">
      <c r="A508" s="8">
        <v>464</v>
      </c>
      <c r="B508" s="9">
        <v>464</v>
      </c>
      <c r="C508" s="46">
        <v>45971</v>
      </c>
      <c r="D508" s="9" t="s">
        <v>238</v>
      </c>
      <c r="E508" s="56" t="str">
        <f>IFERROR(VLOOKUP($D508,본공사입.출고현황!$B:$H,E$2080,0),0)</f>
        <v>Steel round bar</v>
      </c>
      <c r="F508" s="18" t="str">
        <f>IFERROR(VLOOKUP($D508,본공사입.출고현황!$B:$H,F$2080,0),0)</f>
        <v>Steel round bar(rebar)</v>
      </c>
      <c r="G508" s="18" t="str">
        <f>IFERROR(VLOOKUP($D508,본공사입.출고현황!$B:$H,G$2080,0),0)</f>
        <v>CCGG</v>
      </c>
      <c r="H508" s="18" t="str">
        <f>IFERROR(VLOOKUP($D508,본공사입.출고현황!$B:$H,H$2080,0),0)</f>
        <v>ф10, 1ton=1,620.7m</v>
      </c>
      <c r="I508" s="56" t="str">
        <f>IFERROR(VLOOKUP($D508,본공사입.출고현황!$B:$H,I$2080,0),0)</f>
        <v>M</v>
      </c>
      <c r="J508" s="9">
        <v>3</v>
      </c>
      <c r="K508" s="9" t="s">
        <v>361</v>
      </c>
      <c r="L508" s="37">
        <v>40</v>
      </c>
      <c r="M508" s="64" t="s">
        <v>408</v>
      </c>
      <c r="N508" s="42"/>
    </row>
    <row r="509" spans="1:14" ht="24" customHeight="1">
      <c r="A509" s="8">
        <v>465</v>
      </c>
      <c r="B509" s="9">
        <v>465</v>
      </c>
      <c r="C509" s="46">
        <v>45971</v>
      </c>
      <c r="D509" s="9" t="s">
        <v>61</v>
      </c>
      <c r="E509" s="56" t="str">
        <f>IFERROR(VLOOKUP($D509,본공사입.출고현황!$B:$H,E$2080,0),0)</f>
        <v>Angle</v>
      </c>
      <c r="F509" s="18" t="str">
        <f>IFERROR(VLOOKUP($D509,본공사입.출고현황!$B:$H,F$2080,0),0)</f>
        <v>Angle 100x100x10</v>
      </c>
      <c r="G509" s="18" t="str">
        <f>IFERROR(VLOOKUP($D509,본공사입.출고현황!$B:$H,G$2080,0),0)</f>
        <v>CCGG</v>
      </c>
      <c r="H509" s="18" t="str">
        <f>IFERROR(VLOOKUP($D509,본공사입.출고현황!$B:$H,H$2080,0),0)</f>
        <v>100x100x10 (12m)</v>
      </c>
      <c r="I509" s="56" t="str">
        <f>IFERROR(VLOOKUP($D509,본공사입.출고현황!$B:$H,I$2080,0),0)</f>
        <v>M</v>
      </c>
      <c r="J509" s="9" t="s">
        <v>557</v>
      </c>
      <c r="K509" s="9" t="s">
        <v>569</v>
      </c>
      <c r="L509" s="37">
        <v>1</v>
      </c>
      <c r="M509" s="64" t="s">
        <v>408</v>
      </c>
      <c r="N509" s="42"/>
    </row>
    <row r="510" spans="1:14" ht="24" customHeight="1">
      <c r="A510" s="8">
        <v>466</v>
      </c>
      <c r="B510" s="9">
        <v>466</v>
      </c>
      <c r="C510" s="46">
        <v>45972</v>
      </c>
      <c r="D510" s="9" t="s">
        <v>238</v>
      </c>
      <c r="E510" s="56" t="str">
        <f>IFERROR(VLOOKUP($D510,본공사입.출고현황!$B:$H,E$2080,0),0)</f>
        <v>Steel round bar</v>
      </c>
      <c r="F510" s="18" t="str">
        <f>IFERROR(VLOOKUP($D510,본공사입.출고현황!$B:$H,F$2080,0),0)</f>
        <v>Steel round bar(rebar)</v>
      </c>
      <c r="G510" s="18" t="str">
        <f>IFERROR(VLOOKUP($D510,본공사입.출고현황!$B:$H,G$2080,0),0)</f>
        <v>CCGG</v>
      </c>
      <c r="H510" s="18" t="str">
        <f>IFERROR(VLOOKUP($D510,본공사입.출고현황!$B:$H,H$2080,0),0)</f>
        <v>ф10, 1ton=1,620.7m</v>
      </c>
      <c r="I510" s="56" t="str">
        <f>IFERROR(VLOOKUP($D510,본공사입.출고현황!$B:$H,I$2080,0),0)</f>
        <v>M</v>
      </c>
      <c r="J510" s="9">
        <v>1</v>
      </c>
      <c r="K510" s="9" t="s">
        <v>352</v>
      </c>
      <c r="L510" s="37">
        <v>75</v>
      </c>
      <c r="M510" s="64" t="s">
        <v>408</v>
      </c>
      <c r="N510" s="42"/>
    </row>
    <row r="511" spans="1:14" ht="24" customHeight="1">
      <c r="A511" s="8">
        <v>467</v>
      </c>
      <c r="B511" s="9">
        <v>467</v>
      </c>
      <c r="C511" s="46">
        <v>45972</v>
      </c>
      <c r="D511" s="9" t="s">
        <v>238</v>
      </c>
      <c r="E511" s="56" t="str">
        <f>IFERROR(VLOOKUP($D511,본공사입.출고현황!$B:$H,E$2080,0),0)</f>
        <v>Steel round bar</v>
      </c>
      <c r="F511" s="18" t="str">
        <f>IFERROR(VLOOKUP($D511,본공사입.출고현황!$B:$H,F$2080,0),0)</f>
        <v>Steel round bar(rebar)</v>
      </c>
      <c r="G511" s="18" t="str">
        <f>IFERROR(VLOOKUP($D511,본공사입.출고현황!$B:$H,G$2080,0),0)</f>
        <v>CCGG</v>
      </c>
      <c r="H511" s="18" t="str">
        <f>IFERROR(VLOOKUP($D511,본공사입.출고현황!$B:$H,H$2080,0),0)</f>
        <v>ф10, 1ton=1,620.7m</v>
      </c>
      <c r="I511" s="56" t="str">
        <f>IFERROR(VLOOKUP($D511,본공사입.출고현황!$B:$H,I$2080,0),0)</f>
        <v>M</v>
      </c>
      <c r="J511" s="9">
        <v>3</v>
      </c>
      <c r="K511" s="9" t="s">
        <v>550</v>
      </c>
      <c r="L511" s="37">
        <v>20</v>
      </c>
      <c r="M511" s="64" t="s">
        <v>408</v>
      </c>
      <c r="N511" s="42"/>
    </row>
    <row r="512" spans="1:14" ht="24" customHeight="1">
      <c r="A512" s="8">
        <v>468</v>
      </c>
      <c r="B512" s="9">
        <v>468</v>
      </c>
      <c r="C512" s="46">
        <v>45972</v>
      </c>
      <c r="D512" s="9" t="s">
        <v>238</v>
      </c>
      <c r="E512" s="56" t="str">
        <f>IFERROR(VLOOKUP($D512,본공사입.출고현황!$B:$H,E$2080,0),0)</f>
        <v>Steel round bar</v>
      </c>
      <c r="F512" s="18" t="str">
        <f>IFERROR(VLOOKUP($D512,본공사입.출고현황!$B:$H,F$2080,0),0)</f>
        <v>Steel round bar(rebar)</v>
      </c>
      <c r="G512" s="18" t="str">
        <f>IFERROR(VLOOKUP($D512,본공사입.출고현황!$B:$H,G$2080,0),0)</f>
        <v>CCGG</v>
      </c>
      <c r="H512" s="18" t="str">
        <f>IFERROR(VLOOKUP($D512,본공사입.출고현황!$B:$H,H$2080,0),0)</f>
        <v>ф10, 1ton=1,620.7m</v>
      </c>
      <c r="I512" s="56" t="str">
        <f>IFERROR(VLOOKUP($D512,본공사입.출고현황!$B:$H,I$2080,0),0)</f>
        <v>M</v>
      </c>
      <c r="J512" s="9">
        <v>2</v>
      </c>
      <c r="K512" s="9" t="s">
        <v>360</v>
      </c>
      <c r="L512" s="37">
        <v>30</v>
      </c>
      <c r="M512" s="64" t="s">
        <v>408</v>
      </c>
      <c r="N512" s="42"/>
    </row>
    <row r="513" spans="1:14" ht="24" customHeight="1">
      <c r="A513" s="8">
        <v>469</v>
      </c>
      <c r="B513" s="9">
        <v>469</v>
      </c>
      <c r="C513" s="46">
        <v>45972</v>
      </c>
      <c r="D513" s="9" t="s">
        <v>238</v>
      </c>
      <c r="E513" s="56" t="str">
        <f>IFERROR(VLOOKUP($D513,본공사입.출고현황!$B:$H,E$2080,0),0)</f>
        <v>Steel round bar</v>
      </c>
      <c r="F513" s="18" t="str">
        <f>IFERROR(VLOOKUP($D513,본공사입.출고현황!$B:$H,F$2080,0),0)</f>
        <v>Steel round bar(rebar)</v>
      </c>
      <c r="G513" s="18" t="str">
        <f>IFERROR(VLOOKUP($D513,본공사입.출고현황!$B:$H,G$2080,0),0)</f>
        <v>CCGG</v>
      </c>
      <c r="H513" s="18" t="str">
        <f>IFERROR(VLOOKUP($D513,본공사입.출고현황!$B:$H,H$2080,0),0)</f>
        <v>ф10, 1ton=1,620.7m</v>
      </c>
      <c r="I513" s="56" t="str">
        <f>IFERROR(VLOOKUP($D513,본공사입.출고현황!$B:$H,I$2080,0),0)</f>
        <v>M</v>
      </c>
      <c r="J513" s="9">
        <v>3</v>
      </c>
      <c r="K513" s="9" t="s">
        <v>237</v>
      </c>
      <c r="L513" s="37">
        <v>25</v>
      </c>
      <c r="M513" s="64" t="s">
        <v>408</v>
      </c>
      <c r="N513" s="42"/>
    </row>
    <row r="514" spans="1:14" ht="24" customHeight="1">
      <c r="A514" s="8">
        <v>470</v>
      </c>
      <c r="B514" s="9">
        <v>470</v>
      </c>
      <c r="C514" s="46">
        <v>45973</v>
      </c>
      <c r="D514" s="9" t="s">
        <v>238</v>
      </c>
      <c r="E514" s="56" t="str">
        <f>IFERROR(VLOOKUP($D514,본공사입.출고현황!$B:$H,E$2080,0),0)</f>
        <v>Steel round bar</v>
      </c>
      <c r="F514" s="18" t="str">
        <f>IFERROR(VLOOKUP($D514,본공사입.출고현황!$B:$H,F$2080,0),0)</f>
        <v>Steel round bar(rebar)</v>
      </c>
      <c r="G514" s="18" t="str">
        <f>IFERROR(VLOOKUP($D514,본공사입.출고현황!$B:$H,G$2080,0),0)</f>
        <v>CCGG</v>
      </c>
      <c r="H514" s="18" t="str">
        <f>IFERROR(VLOOKUP($D514,본공사입.출고현황!$B:$H,H$2080,0),0)</f>
        <v>ф10, 1ton=1,620.7m</v>
      </c>
      <c r="I514" s="56" t="str">
        <f>IFERROR(VLOOKUP($D514,본공사입.출고현황!$B:$H,I$2080,0),0)</f>
        <v>M</v>
      </c>
      <c r="J514" s="9">
        <v>1</v>
      </c>
      <c r="K514" s="9" t="s">
        <v>352</v>
      </c>
      <c r="L514" s="37">
        <v>105</v>
      </c>
      <c r="M514" s="64" t="s">
        <v>408</v>
      </c>
      <c r="N514" s="42"/>
    </row>
    <row r="515" spans="1:14" ht="24" customHeight="1">
      <c r="A515" s="8">
        <v>471</v>
      </c>
      <c r="B515" s="9">
        <v>471</v>
      </c>
      <c r="C515" s="46">
        <v>45973</v>
      </c>
      <c r="D515" s="9" t="s">
        <v>238</v>
      </c>
      <c r="E515" s="56" t="str">
        <f>IFERROR(VLOOKUP($D515,본공사입.출고현황!$B:$H,E$2080,0),0)</f>
        <v>Steel round bar</v>
      </c>
      <c r="F515" s="18" t="str">
        <f>IFERROR(VLOOKUP($D515,본공사입.출고현황!$B:$H,F$2080,0),0)</f>
        <v>Steel round bar(rebar)</v>
      </c>
      <c r="G515" s="18" t="str">
        <f>IFERROR(VLOOKUP($D515,본공사입.출고현황!$B:$H,G$2080,0),0)</f>
        <v>CCGG</v>
      </c>
      <c r="H515" s="18" t="str">
        <f>IFERROR(VLOOKUP($D515,본공사입.출고현황!$B:$H,H$2080,0),0)</f>
        <v>ф10, 1ton=1,620.7m</v>
      </c>
      <c r="I515" s="56" t="str">
        <f>IFERROR(VLOOKUP($D515,본공사입.출고현황!$B:$H,I$2080,0),0)</f>
        <v>M</v>
      </c>
      <c r="J515" s="9">
        <v>1</v>
      </c>
      <c r="K515" s="9" t="s">
        <v>547</v>
      </c>
      <c r="L515" s="37">
        <v>40</v>
      </c>
      <c r="M515" s="64" t="s">
        <v>408</v>
      </c>
      <c r="N515" s="42"/>
    </row>
    <row r="516" spans="1:14" ht="24" customHeight="1">
      <c r="A516" s="8">
        <v>472</v>
      </c>
      <c r="B516" s="9">
        <v>472</v>
      </c>
      <c r="C516" s="46">
        <v>45973</v>
      </c>
      <c r="D516" s="9" t="s">
        <v>238</v>
      </c>
      <c r="E516" s="56" t="str">
        <f>IFERROR(VLOOKUP($D516,본공사입.출고현황!$B:$H,E$2080,0),0)</f>
        <v>Steel round bar</v>
      </c>
      <c r="F516" s="18" t="str">
        <f>IFERROR(VLOOKUP($D516,본공사입.출고현황!$B:$H,F$2080,0),0)</f>
        <v>Steel round bar(rebar)</v>
      </c>
      <c r="G516" s="18" t="str">
        <f>IFERROR(VLOOKUP($D516,본공사입.출고현황!$B:$H,G$2080,0),0)</f>
        <v>CCGG</v>
      </c>
      <c r="H516" s="18" t="str">
        <f>IFERROR(VLOOKUP($D516,본공사입.출고현황!$B:$H,H$2080,0),0)</f>
        <v>ф10, 1ton=1,620.7m</v>
      </c>
      <c r="I516" s="56" t="str">
        <f>IFERROR(VLOOKUP($D516,본공사입.출고현황!$B:$H,I$2080,0),0)</f>
        <v>M</v>
      </c>
      <c r="J516" s="9">
        <v>2</v>
      </c>
      <c r="K516" s="9" t="s">
        <v>360</v>
      </c>
      <c r="L516" s="37">
        <v>50</v>
      </c>
      <c r="M516" s="64" t="s">
        <v>408</v>
      </c>
      <c r="N516" s="42"/>
    </row>
    <row r="517" spans="1:14" ht="24" customHeight="1">
      <c r="A517" s="8">
        <v>473</v>
      </c>
      <c r="B517" s="9">
        <v>473</v>
      </c>
      <c r="C517" s="46">
        <v>45974</v>
      </c>
      <c r="D517" s="9" t="s">
        <v>238</v>
      </c>
      <c r="E517" s="56" t="str">
        <f>IFERROR(VLOOKUP($D517,본공사입.출고현황!$B:$H,E$2080,0),0)</f>
        <v>Steel round bar</v>
      </c>
      <c r="F517" s="18" t="str">
        <f>IFERROR(VLOOKUP($D517,본공사입.출고현황!$B:$H,F$2080,0),0)</f>
        <v>Steel round bar(rebar)</v>
      </c>
      <c r="G517" s="18" t="str">
        <f>IFERROR(VLOOKUP($D517,본공사입.출고현황!$B:$H,G$2080,0),0)</f>
        <v>CCGG</v>
      </c>
      <c r="H517" s="18" t="str">
        <f>IFERROR(VLOOKUP($D517,본공사입.출고현황!$B:$H,H$2080,0),0)</f>
        <v>ф10, 1ton=1,620.7m</v>
      </c>
      <c r="I517" s="56" t="str">
        <f>IFERROR(VLOOKUP($D517,본공사입.출고현황!$B:$H,I$2080,0),0)</f>
        <v>M</v>
      </c>
      <c r="J517" s="9">
        <v>3</v>
      </c>
      <c r="K517" s="9" t="s">
        <v>237</v>
      </c>
      <c r="L517" s="37">
        <v>20</v>
      </c>
      <c r="M517" s="64" t="s">
        <v>408</v>
      </c>
      <c r="N517" s="42"/>
    </row>
    <row r="518" spans="1:14" ht="24" customHeight="1">
      <c r="A518" s="8">
        <v>474</v>
      </c>
      <c r="B518" s="9">
        <v>474</v>
      </c>
      <c r="C518" s="46">
        <v>45974</v>
      </c>
      <c r="D518" s="9" t="s">
        <v>238</v>
      </c>
      <c r="E518" s="56" t="str">
        <f>IFERROR(VLOOKUP($D518,본공사입.출고현황!$B:$H,E$2080,0),0)</f>
        <v>Steel round bar</v>
      </c>
      <c r="F518" s="18" t="str">
        <f>IFERROR(VLOOKUP($D518,본공사입.출고현황!$B:$H,F$2080,0),0)</f>
        <v>Steel round bar(rebar)</v>
      </c>
      <c r="G518" s="18" t="str">
        <f>IFERROR(VLOOKUP($D518,본공사입.출고현황!$B:$H,G$2080,0),0)</f>
        <v>CCGG</v>
      </c>
      <c r="H518" s="18" t="str">
        <f>IFERROR(VLOOKUP($D518,본공사입.출고현황!$B:$H,H$2080,0),0)</f>
        <v>ф10, 1ton=1,620.7m</v>
      </c>
      <c r="I518" s="56" t="str">
        <f>IFERROR(VLOOKUP($D518,본공사입.출고현황!$B:$H,I$2080,0),0)</f>
        <v>M</v>
      </c>
      <c r="J518" s="9">
        <v>1</v>
      </c>
      <c r="K518" s="9" t="s">
        <v>352</v>
      </c>
      <c r="L518" s="37">
        <v>125</v>
      </c>
      <c r="M518" s="64" t="s">
        <v>408</v>
      </c>
      <c r="N518" s="42"/>
    </row>
    <row r="519" spans="1:14" ht="24" customHeight="1">
      <c r="A519" s="8">
        <v>475</v>
      </c>
      <c r="B519" s="9">
        <v>475</v>
      </c>
      <c r="C519" s="46">
        <v>45974</v>
      </c>
      <c r="D519" s="9" t="s">
        <v>238</v>
      </c>
      <c r="E519" s="56" t="str">
        <f>IFERROR(VLOOKUP($D519,본공사입.출고현황!$B:$H,E$2080,0),0)</f>
        <v>Steel round bar</v>
      </c>
      <c r="F519" s="18" t="str">
        <f>IFERROR(VLOOKUP($D519,본공사입.출고현황!$B:$H,F$2080,0),0)</f>
        <v>Steel round bar(rebar)</v>
      </c>
      <c r="G519" s="18" t="str">
        <f>IFERROR(VLOOKUP($D519,본공사입.출고현황!$B:$H,G$2080,0),0)</f>
        <v>CCGG</v>
      </c>
      <c r="H519" s="18" t="str">
        <f>IFERROR(VLOOKUP($D519,본공사입.출고현황!$B:$H,H$2080,0),0)</f>
        <v>ф10, 1ton=1,620.7m</v>
      </c>
      <c r="I519" s="56" t="str">
        <f>IFERROR(VLOOKUP($D519,본공사입.출고현황!$B:$H,I$2080,0),0)</f>
        <v>M</v>
      </c>
      <c r="J519" s="9">
        <v>2</v>
      </c>
      <c r="K519" s="9" t="s">
        <v>360</v>
      </c>
      <c r="L519" s="37">
        <v>125</v>
      </c>
      <c r="M519" s="64" t="s">
        <v>408</v>
      </c>
      <c r="N519" s="42"/>
    </row>
    <row r="520" spans="1:14" ht="24" customHeight="1">
      <c r="A520" s="8">
        <v>476</v>
      </c>
      <c r="B520" s="9">
        <v>476</v>
      </c>
      <c r="C520" s="46">
        <v>45974</v>
      </c>
      <c r="D520" s="9" t="s">
        <v>238</v>
      </c>
      <c r="E520" s="56" t="str">
        <f>IFERROR(VLOOKUP($D520,본공사입.출고현황!$B:$H,E$2080,0),0)</f>
        <v>Steel round bar</v>
      </c>
      <c r="F520" s="18" t="str">
        <f>IFERROR(VLOOKUP($D520,본공사입.출고현황!$B:$H,F$2080,0),0)</f>
        <v>Steel round bar(rebar)</v>
      </c>
      <c r="G520" s="18" t="str">
        <f>IFERROR(VLOOKUP($D520,본공사입.출고현황!$B:$H,G$2080,0),0)</f>
        <v>CCGG</v>
      </c>
      <c r="H520" s="18" t="str">
        <f>IFERROR(VLOOKUP($D520,본공사입.출고현황!$B:$H,H$2080,0),0)</f>
        <v>ф10, 1ton=1,620.7m</v>
      </c>
      <c r="I520" s="56" t="str">
        <f>IFERROR(VLOOKUP($D520,본공사입.출고현황!$B:$H,I$2080,0),0)</f>
        <v>M</v>
      </c>
      <c r="J520" s="9">
        <v>3</v>
      </c>
      <c r="K520" s="9" t="s">
        <v>550</v>
      </c>
      <c r="L520" s="37">
        <v>25</v>
      </c>
      <c r="M520" s="64" t="s">
        <v>408</v>
      </c>
      <c r="N520" s="42"/>
    </row>
    <row r="521" spans="1:14" ht="24" customHeight="1">
      <c r="A521" s="8">
        <v>477</v>
      </c>
      <c r="B521" s="9">
        <v>477</v>
      </c>
      <c r="C521" s="46">
        <v>45974</v>
      </c>
      <c r="D521" s="9" t="s">
        <v>238</v>
      </c>
      <c r="E521" s="56" t="str">
        <f>IFERROR(VLOOKUP($D521,본공사입.출고현황!$B:$H,E$2080,0),0)</f>
        <v>Steel round bar</v>
      </c>
      <c r="F521" s="18" t="str">
        <f>IFERROR(VLOOKUP($D521,본공사입.출고현황!$B:$H,F$2080,0),0)</f>
        <v>Steel round bar(rebar)</v>
      </c>
      <c r="G521" s="18" t="str">
        <f>IFERROR(VLOOKUP($D521,본공사입.출고현황!$B:$H,G$2080,0),0)</f>
        <v>CCGG</v>
      </c>
      <c r="H521" s="18" t="str">
        <f>IFERROR(VLOOKUP($D521,본공사입.출고현황!$B:$H,H$2080,0),0)</f>
        <v>ф10, 1ton=1,620.7m</v>
      </c>
      <c r="I521" s="56" t="str">
        <f>IFERROR(VLOOKUP($D521,본공사입.출고현황!$B:$H,I$2080,0),0)</f>
        <v>M</v>
      </c>
      <c r="J521" s="9">
        <v>1</v>
      </c>
      <c r="K521" s="9" t="s">
        <v>547</v>
      </c>
      <c r="L521" s="37">
        <v>15</v>
      </c>
      <c r="M521" s="64" t="s">
        <v>408</v>
      </c>
      <c r="N521" s="42"/>
    </row>
    <row r="522" spans="1:14" ht="24" customHeight="1">
      <c r="A522" s="8">
        <v>478</v>
      </c>
      <c r="B522" s="9">
        <v>478</v>
      </c>
      <c r="C522" s="46">
        <v>45974</v>
      </c>
      <c r="D522" s="9" t="s">
        <v>238</v>
      </c>
      <c r="E522" s="56" t="str">
        <f>IFERROR(VLOOKUP($D522,본공사입.출고현황!$B:$H,E$2080,0),0)</f>
        <v>Steel round bar</v>
      </c>
      <c r="F522" s="18" t="str">
        <f>IFERROR(VLOOKUP($D522,본공사입.출고현황!$B:$H,F$2080,0),0)</f>
        <v>Steel round bar(rebar)</v>
      </c>
      <c r="G522" s="18" t="str">
        <f>IFERROR(VLOOKUP($D522,본공사입.출고현황!$B:$H,G$2080,0),0)</f>
        <v>CCGG</v>
      </c>
      <c r="H522" s="18" t="str">
        <f>IFERROR(VLOOKUP($D522,본공사입.출고현황!$B:$H,H$2080,0),0)</f>
        <v>ф10, 1ton=1,620.7m</v>
      </c>
      <c r="I522" s="56" t="str">
        <f>IFERROR(VLOOKUP($D522,본공사입.출고현황!$B:$H,I$2080,0),0)</f>
        <v>M</v>
      </c>
      <c r="J522" s="9">
        <v>2</v>
      </c>
      <c r="K522" s="9" t="s">
        <v>546</v>
      </c>
      <c r="L522" s="37">
        <v>75</v>
      </c>
      <c r="M522" s="64" t="s">
        <v>408</v>
      </c>
      <c r="N522" s="42"/>
    </row>
    <row r="523" spans="1:14" ht="24" customHeight="1">
      <c r="A523" s="8">
        <v>479</v>
      </c>
      <c r="B523" s="9">
        <v>479</v>
      </c>
      <c r="C523" s="46">
        <v>45974</v>
      </c>
      <c r="D523" s="9" t="s">
        <v>238</v>
      </c>
      <c r="E523" s="56" t="str">
        <f>IFERROR(VLOOKUP($D523,본공사입.출고현황!$B:$H,E$2080,0),0)</f>
        <v>Steel round bar</v>
      </c>
      <c r="F523" s="18" t="str">
        <f>IFERROR(VLOOKUP($D523,본공사입.출고현황!$B:$H,F$2080,0),0)</f>
        <v>Steel round bar(rebar)</v>
      </c>
      <c r="G523" s="18" t="str">
        <f>IFERROR(VLOOKUP($D523,본공사입.출고현황!$B:$H,G$2080,0),0)</f>
        <v>CCGG</v>
      </c>
      <c r="H523" s="18" t="str">
        <f>IFERROR(VLOOKUP($D523,본공사입.출고현황!$B:$H,H$2080,0),0)</f>
        <v>ф10, 1ton=1,620.7m</v>
      </c>
      <c r="I523" s="56" t="str">
        <f>IFERROR(VLOOKUP($D523,본공사입.출고현황!$B:$H,I$2080,0),0)</f>
        <v>M</v>
      </c>
      <c r="J523" s="9" t="s">
        <v>557</v>
      </c>
      <c r="K523" s="9" t="s">
        <v>569</v>
      </c>
      <c r="L523" s="37">
        <v>15</v>
      </c>
      <c r="M523" s="64" t="s">
        <v>408</v>
      </c>
      <c r="N523" s="42"/>
    </row>
    <row r="524" spans="1:14" ht="24" customHeight="1">
      <c r="A524" s="8">
        <v>480</v>
      </c>
      <c r="B524" s="9">
        <v>480</v>
      </c>
      <c r="C524" s="46">
        <v>45975</v>
      </c>
      <c r="D524" s="9" t="s">
        <v>238</v>
      </c>
      <c r="E524" s="56" t="str">
        <f>IFERROR(VLOOKUP($D524,본공사입.출고현황!$B:$H,E$2080,0),0)</f>
        <v>Steel round bar</v>
      </c>
      <c r="F524" s="18" t="str">
        <f>IFERROR(VLOOKUP($D524,본공사입.출고현황!$B:$H,F$2080,0),0)</f>
        <v>Steel round bar(rebar)</v>
      </c>
      <c r="G524" s="18" t="str">
        <f>IFERROR(VLOOKUP($D524,본공사입.출고현황!$B:$H,G$2080,0),0)</f>
        <v>CCGG</v>
      </c>
      <c r="H524" s="18" t="str">
        <f>IFERROR(VLOOKUP($D524,본공사입.출고현황!$B:$H,H$2080,0),0)</f>
        <v>ф10, 1ton=1,620.7m</v>
      </c>
      <c r="I524" s="56" t="str">
        <f>IFERROR(VLOOKUP($D524,본공사입.출고현황!$B:$H,I$2080,0),0)</f>
        <v>M</v>
      </c>
      <c r="J524" s="9">
        <v>3</v>
      </c>
      <c r="K524" s="9" t="s">
        <v>361</v>
      </c>
      <c r="L524" s="37">
        <v>100</v>
      </c>
      <c r="M524" s="64" t="s">
        <v>358</v>
      </c>
      <c r="N524" s="42"/>
    </row>
    <row r="525" spans="1:14" ht="24" customHeight="1">
      <c r="A525" s="8">
        <v>481</v>
      </c>
      <c r="B525" s="9">
        <v>481</v>
      </c>
      <c r="C525" s="46">
        <v>45975</v>
      </c>
      <c r="D525" s="9" t="s">
        <v>238</v>
      </c>
      <c r="E525" s="56" t="str">
        <f>IFERROR(VLOOKUP($D525,본공사입.출고현황!$B:$H,E$2080,0),0)</f>
        <v>Steel round bar</v>
      </c>
      <c r="F525" s="18" t="str">
        <f>IFERROR(VLOOKUP($D525,본공사입.출고현황!$B:$H,F$2080,0),0)</f>
        <v>Steel round bar(rebar)</v>
      </c>
      <c r="G525" s="18" t="str">
        <f>IFERROR(VLOOKUP($D525,본공사입.출고현황!$B:$H,G$2080,0),0)</f>
        <v>CCGG</v>
      </c>
      <c r="H525" s="18" t="str">
        <f>IFERROR(VLOOKUP($D525,본공사입.출고현황!$B:$H,H$2080,0),0)</f>
        <v>ф10, 1ton=1,620.7m</v>
      </c>
      <c r="I525" s="56" t="str">
        <f>IFERROR(VLOOKUP($D525,본공사입.출고현황!$B:$H,I$2080,0),0)</f>
        <v>M</v>
      </c>
      <c r="J525" s="9">
        <v>1</v>
      </c>
      <c r="K525" s="9" t="s">
        <v>547</v>
      </c>
      <c r="L525" s="37">
        <v>75</v>
      </c>
      <c r="M525" s="64" t="s">
        <v>358</v>
      </c>
      <c r="N525" s="42"/>
    </row>
    <row r="526" spans="1:14" ht="24" customHeight="1">
      <c r="A526" s="8">
        <v>482</v>
      </c>
      <c r="B526" s="9">
        <v>482</v>
      </c>
      <c r="C526" s="46">
        <v>45975</v>
      </c>
      <c r="D526" s="9" t="s">
        <v>238</v>
      </c>
      <c r="E526" s="56" t="str">
        <f>IFERROR(VLOOKUP($D526,본공사입.출고현황!$B:$H,E$2080,0),0)</f>
        <v>Steel round bar</v>
      </c>
      <c r="F526" s="18" t="str">
        <f>IFERROR(VLOOKUP($D526,본공사입.출고현황!$B:$H,F$2080,0),0)</f>
        <v>Steel round bar(rebar)</v>
      </c>
      <c r="G526" s="18" t="str">
        <f>IFERROR(VLOOKUP($D526,본공사입.출고현황!$B:$H,G$2080,0),0)</f>
        <v>CCGG</v>
      </c>
      <c r="H526" s="18" t="str">
        <f>IFERROR(VLOOKUP($D526,본공사입.출고현황!$B:$H,H$2080,0),0)</f>
        <v>ф10, 1ton=1,620.7m</v>
      </c>
      <c r="I526" s="56" t="str">
        <f>IFERROR(VLOOKUP($D526,본공사입.출고현황!$B:$H,I$2080,0),0)</f>
        <v>M</v>
      </c>
      <c r="J526" s="9">
        <v>1</v>
      </c>
      <c r="K526" s="9" t="s">
        <v>352</v>
      </c>
      <c r="L526" s="37">
        <v>50</v>
      </c>
      <c r="M526" s="64" t="s">
        <v>358</v>
      </c>
      <c r="N526" s="42"/>
    </row>
    <row r="527" spans="1:14" ht="24" customHeight="1">
      <c r="A527" s="8">
        <v>483</v>
      </c>
      <c r="B527" s="9">
        <v>483</v>
      </c>
      <c r="C527" s="46">
        <v>45976</v>
      </c>
      <c r="D527" s="9" t="s">
        <v>238</v>
      </c>
      <c r="E527" s="56" t="str">
        <f>IFERROR(VLOOKUP($D527,본공사입.출고현황!$B:$H,E$2080,0),0)</f>
        <v>Steel round bar</v>
      </c>
      <c r="F527" s="18" t="str">
        <f>IFERROR(VLOOKUP($D527,본공사입.출고현황!$B:$H,F$2080,0),0)</f>
        <v>Steel round bar(rebar)</v>
      </c>
      <c r="G527" s="18" t="str">
        <f>IFERROR(VLOOKUP($D527,본공사입.출고현황!$B:$H,G$2080,0),0)</f>
        <v>CCGG</v>
      </c>
      <c r="H527" s="18" t="str">
        <f>IFERROR(VLOOKUP($D527,본공사입.출고현황!$B:$H,H$2080,0),0)</f>
        <v>ф10, 1ton=1,620.7m</v>
      </c>
      <c r="I527" s="56" t="str">
        <f>IFERROR(VLOOKUP($D527,본공사입.출고현황!$B:$H,I$2080,0),0)</f>
        <v>M</v>
      </c>
      <c r="J527" s="9">
        <v>1</v>
      </c>
      <c r="K527" s="9" t="s">
        <v>352</v>
      </c>
      <c r="L527" s="37">
        <v>200</v>
      </c>
      <c r="M527" s="64" t="s">
        <v>358</v>
      </c>
      <c r="N527" s="42"/>
    </row>
    <row r="528" spans="1:14" ht="24" customHeight="1">
      <c r="A528" s="8">
        <v>484</v>
      </c>
      <c r="B528" s="9">
        <v>484</v>
      </c>
      <c r="C528" s="46">
        <v>45976</v>
      </c>
      <c r="D528" s="9" t="s">
        <v>238</v>
      </c>
      <c r="E528" s="56" t="str">
        <f>IFERROR(VLOOKUP($D528,본공사입.출고현황!$B:$H,E$2080,0),0)</f>
        <v>Steel round bar</v>
      </c>
      <c r="F528" s="18" t="str">
        <f>IFERROR(VLOOKUP($D528,본공사입.출고현황!$B:$H,F$2080,0),0)</f>
        <v>Steel round bar(rebar)</v>
      </c>
      <c r="G528" s="18" t="str">
        <f>IFERROR(VLOOKUP($D528,본공사입.출고현황!$B:$H,G$2080,0),0)</f>
        <v>CCGG</v>
      </c>
      <c r="H528" s="18" t="str">
        <f>IFERROR(VLOOKUP($D528,본공사입.출고현황!$B:$H,H$2080,0),0)</f>
        <v>ф10, 1ton=1,620.7m</v>
      </c>
      <c r="I528" s="56" t="str">
        <f>IFERROR(VLOOKUP($D528,본공사입.출고현황!$B:$H,I$2080,0),0)</f>
        <v>M</v>
      </c>
      <c r="J528" s="9">
        <v>2</v>
      </c>
      <c r="K528" s="9" t="s">
        <v>360</v>
      </c>
      <c r="L528" s="37">
        <v>75</v>
      </c>
      <c r="M528" s="64" t="s">
        <v>358</v>
      </c>
      <c r="N528" s="42"/>
    </row>
    <row r="529" spans="1:14" ht="24" customHeight="1">
      <c r="A529" s="8">
        <v>485</v>
      </c>
      <c r="B529" s="9">
        <v>485</v>
      </c>
      <c r="C529" s="46">
        <v>45977</v>
      </c>
      <c r="D529" s="9" t="s">
        <v>238</v>
      </c>
      <c r="E529" s="56" t="str">
        <f>IFERROR(VLOOKUP($D529,본공사입.출고현황!$B:$H,E$2080,0),0)</f>
        <v>Steel round bar</v>
      </c>
      <c r="F529" s="18" t="str">
        <f>IFERROR(VLOOKUP($D529,본공사입.출고현황!$B:$H,F$2080,0),0)</f>
        <v>Steel round bar(rebar)</v>
      </c>
      <c r="G529" s="18" t="str">
        <f>IFERROR(VLOOKUP($D529,본공사입.출고현황!$B:$H,G$2080,0),0)</f>
        <v>CCGG</v>
      </c>
      <c r="H529" s="18" t="str">
        <f>IFERROR(VLOOKUP($D529,본공사입.출고현황!$B:$H,H$2080,0),0)</f>
        <v>ф10, 1ton=1,620.7m</v>
      </c>
      <c r="I529" s="56" t="str">
        <f>IFERROR(VLOOKUP($D529,본공사입.출고현황!$B:$H,I$2080,0),0)</f>
        <v>M</v>
      </c>
      <c r="J529" s="9">
        <v>1</v>
      </c>
      <c r="K529" s="9" t="s">
        <v>352</v>
      </c>
      <c r="L529" s="37">
        <v>150</v>
      </c>
      <c r="M529" s="64" t="s">
        <v>358</v>
      </c>
      <c r="N529" s="42"/>
    </row>
    <row r="530" spans="1:14" ht="24" customHeight="1">
      <c r="A530" s="8">
        <v>486</v>
      </c>
      <c r="B530" s="9">
        <v>486</v>
      </c>
      <c r="C530" s="46">
        <v>45977</v>
      </c>
      <c r="D530" s="9" t="s">
        <v>238</v>
      </c>
      <c r="E530" s="56" t="str">
        <f>IFERROR(VLOOKUP($D530,본공사입.출고현황!$B:$H,E$2080,0),0)</f>
        <v>Steel round bar</v>
      </c>
      <c r="F530" s="18" t="str">
        <f>IFERROR(VLOOKUP($D530,본공사입.출고현황!$B:$H,F$2080,0),0)</f>
        <v>Steel round bar(rebar)</v>
      </c>
      <c r="G530" s="18" t="str">
        <f>IFERROR(VLOOKUP($D530,본공사입.출고현황!$B:$H,G$2080,0),0)</f>
        <v>CCGG</v>
      </c>
      <c r="H530" s="18" t="str">
        <f>IFERROR(VLOOKUP($D530,본공사입.출고현황!$B:$H,H$2080,0),0)</f>
        <v>ф10, 1ton=1,620.7m</v>
      </c>
      <c r="I530" s="56" t="str">
        <f>IFERROR(VLOOKUP($D530,본공사입.출고현황!$B:$H,I$2080,0),0)</f>
        <v>M</v>
      </c>
      <c r="J530" s="9">
        <v>2</v>
      </c>
      <c r="K530" s="9" t="s">
        <v>360</v>
      </c>
      <c r="L530" s="37">
        <v>100</v>
      </c>
      <c r="M530" s="64" t="s">
        <v>358</v>
      </c>
      <c r="N530" s="42"/>
    </row>
    <row r="531" spans="1:14" ht="24" customHeight="1">
      <c r="A531" s="8">
        <v>487</v>
      </c>
      <c r="B531" s="9">
        <v>487</v>
      </c>
      <c r="C531" s="46">
        <v>45978</v>
      </c>
      <c r="D531" s="9" t="s">
        <v>61</v>
      </c>
      <c r="E531" s="56" t="str">
        <f>IFERROR(VLOOKUP($D531,본공사입.출고현황!$B:$H,E$2080,0),0)</f>
        <v>Angle</v>
      </c>
      <c r="F531" s="18" t="str">
        <f>IFERROR(VLOOKUP($D531,본공사입.출고현황!$B:$H,F$2080,0),0)</f>
        <v>Angle 100x100x10</v>
      </c>
      <c r="G531" s="18" t="str">
        <f>IFERROR(VLOOKUP($D531,본공사입.출고현황!$B:$H,G$2080,0),0)</f>
        <v>CCGG</v>
      </c>
      <c r="H531" s="18" t="str">
        <f>IFERROR(VLOOKUP($D531,본공사입.출고현황!$B:$H,H$2080,0),0)</f>
        <v>100x100x10 (12m)</v>
      </c>
      <c r="I531" s="56" t="str">
        <f>IFERROR(VLOOKUP($D531,본공사입.출고현황!$B:$H,I$2080,0),0)</f>
        <v>M</v>
      </c>
      <c r="J531" s="9">
        <v>1</v>
      </c>
      <c r="K531" s="9" t="s">
        <v>363</v>
      </c>
      <c r="L531" s="37">
        <v>2</v>
      </c>
      <c r="M531" s="64" t="s">
        <v>358</v>
      </c>
      <c r="N531" s="42"/>
    </row>
    <row r="532" spans="1:14" ht="24" customHeight="1">
      <c r="A532" s="8">
        <v>488</v>
      </c>
      <c r="B532" s="9">
        <v>488</v>
      </c>
      <c r="C532" s="46">
        <v>45978</v>
      </c>
      <c r="D532" s="9" t="s">
        <v>238</v>
      </c>
      <c r="E532" s="56" t="str">
        <f>IFERROR(VLOOKUP($D532,본공사입.출고현황!$B:$H,E$2080,0),0)</f>
        <v>Steel round bar</v>
      </c>
      <c r="F532" s="18" t="str">
        <f>IFERROR(VLOOKUP($D532,본공사입.출고현황!$B:$H,F$2080,0),0)</f>
        <v>Steel round bar(rebar)</v>
      </c>
      <c r="G532" s="18" t="str">
        <f>IFERROR(VLOOKUP($D532,본공사입.출고현황!$B:$H,G$2080,0),0)</f>
        <v>CCGG</v>
      </c>
      <c r="H532" s="18" t="str">
        <f>IFERROR(VLOOKUP($D532,본공사입.출고현황!$B:$H,H$2080,0),0)</f>
        <v>ф10, 1ton=1,620.7m</v>
      </c>
      <c r="I532" s="56" t="str">
        <f>IFERROR(VLOOKUP($D532,본공사입.출고현황!$B:$H,I$2080,0),0)</f>
        <v>M</v>
      </c>
      <c r="J532" s="9">
        <v>1</v>
      </c>
      <c r="K532" s="9" t="s">
        <v>363</v>
      </c>
      <c r="L532" s="37">
        <v>50</v>
      </c>
      <c r="M532" s="64" t="s">
        <v>358</v>
      </c>
      <c r="N532" s="42"/>
    </row>
    <row r="533" spans="1:14" ht="24" customHeight="1">
      <c r="A533" s="8">
        <v>489</v>
      </c>
      <c r="B533" s="9">
        <v>489</v>
      </c>
      <c r="C533" s="46">
        <v>45978</v>
      </c>
      <c r="D533" s="9" t="s">
        <v>238</v>
      </c>
      <c r="E533" s="56" t="str">
        <f>IFERROR(VLOOKUP($D533,본공사입.출고현황!$B:$H,E$2080,0),0)</f>
        <v>Steel round bar</v>
      </c>
      <c r="F533" s="18" t="str">
        <f>IFERROR(VLOOKUP($D533,본공사입.출고현황!$B:$H,F$2080,0),0)</f>
        <v>Steel round bar(rebar)</v>
      </c>
      <c r="G533" s="18" t="str">
        <f>IFERROR(VLOOKUP($D533,본공사입.출고현황!$B:$H,G$2080,0),0)</f>
        <v>CCGG</v>
      </c>
      <c r="H533" s="18" t="str">
        <f>IFERROR(VLOOKUP($D533,본공사입.출고현황!$B:$H,H$2080,0),0)</f>
        <v>ф10, 1ton=1,620.7m</v>
      </c>
      <c r="I533" s="56" t="str">
        <f>IFERROR(VLOOKUP($D533,본공사입.출고현황!$B:$H,I$2080,0),0)</f>
        <v>M</v>
      </c>
      <c r="J533" s="9">
        <v>1</v>
      </c>
      <c r="K533" s="9" t="s">
        <v>352</v>
      </c>
      <c r="L533" s="37">
        <v>100</v>
      </c>
      <c r="M533" s="64" t="s">
        <v>358</v>
      </c>
      <c r="N533" s="42"/>
    </row>
    <row r="534" spans="1:14" ht="24" customHeight="1">
      <c r="A534" s="8">
        <v>490</v>
      </c>
      <c r="B534" s="9">
        <v>490</v>
      </c>
      <c r="C534" s="46">
        <v>45978</v>
      </c>
      <c r="D534" s="9" t="s">
        <v>238</v>
      </c>
      <c r="E534" s="56" t="str">
        <f>IFERROR(VLOOKUP($D534,본공사입.출고현황!$B:$H,E$2080,0),0)</f>
        <v>Steel round bar</v>
      </c>
      <c r="F534" s="18" t="str">
        <f>IFERROR(VLOOKUP($D534,본공사입.출고현황!$B:$H,F$2080,0),0)</f>
        <v>Steel round bar(rebar)</v>
      </c>
      <c r="G534" s="18" t="str">
        <f>IFERROR(VLOOKUP($D534,본공사입.출고현황!$B:$H,G$2080,0),0)</f>
        <v>CCGG</v>
      </c>
      <c r="H534" s="18" t="str">
        <f>IFERROR(VLOOKUP($D534,본공사입.출고현황!$B:$H,H$2080,0),0)</f>
        <v>ф10, 1ton=1,620.7m</v>
      </c>
      <c r="I534" s="56" t="str">
        <f>IFERROR(VLOOKUP($D534,본공사입.출고현황!$B:$H,I$2080,0),0)</f>
        <v>M</v>
      </c>
      <c r="J534" s="9">
        <v>1</v>
      </c>
      <c r="K534" s="9" t="s">
        <v>352</v>
      </c>
      <c r="L534" s="37">
        <v>85</v>
      </c>
      <c r="M534" s="64" t="s">
        <v>358</v>
      </c>
      <c r="N534" s="42"/>
    </row>
    <row r="535" spans="1:14" ht="24" customHeight="1">
      <c r="A535" s="8">
        <v>491</v>
      </c>
      <c r="B535" s="9">
        <v>491</v>
      </c>
      <c r="C535" s="46">
        <v>45979</v>
      </c>
      <c r="D535" s="9" t="s">
        <v>61</v>
      </c>
      <c r="E535" s="56" t="str">
        <f>IFERROR(VLOOKUP($D535,본공사입.출고현황!$B:$H,E$2080,0),0)</f>
        <v>Angle</v>
      </c>
      <c r="F535" s="18" t="str">
        <f>IFERROR(VLOOKUP($D535,본공사입.출고현황!$B:$H,F$2080,0),0)</f>
        <v>Angle 100x100x10</v>
      </c>
      <c r="G535" s="18" t="str">
        <f>IFERROR(VLOOKUP($D535,본공사입.출고현황!$B:$H,G$2080,0),0)</f>
        <v>CCGG</v>
      </c>
      <c r="H535" s="18" t="str">
        <f>IFERROR(VLOOKUP($D535,본공사입.출고현황!$B:$H,H$2080,0),0)</f>
        <v>100x100x10 (12m)</v>
      </c>
      <c r="I535" s="56" t="str">
        <f>IFERROR(VLOOKUP($D535,본공사입.출고현황!$B:$H,I$2080,0),0)</f>
        <v>M</v>
      </c>
      <c r="J535" s="9">
        <v>3</v>
      </c>
      <c r="K535" s="9" t="s">
        <v>361</v>
      </c>
      <c r="L535" s="37">
        <v>1</v>
      </c>
      <c r="M535" s="64" t="s">
        <v>408</v>
      </c>
      <c r="N535" s="42"/>
    </row>
    <row r="536" spans="1:14" ht="24" customHeight="1">
      <c r="A536" s="8">
        <v>492</v>
      </c>
      <c r="B536" s="9">
        <v>492</v>
      </c>
      <c r="C536" s="46">
        <v>45979</v>
      </c>
      <c r="D536" s="9" t="s">
        <v>238</v>
      </c>
      <c r="E536" s="56" t="str">
        <f>IFERROR(VLOOKUP($D536,본공사입.출고현황!$B:$H,E$2080,0),0)</f>
        <v>Steel round bar</v>
      </c>
      <c r="F536" s="18" t="str">
        <f>IFERROR(VLOOKUP($D536,본공사입.출고현황!$B:$H,F$2080,0),0)</f>
        <v>Steel round bar(rebar)</v>
      </c>
      <c r="G536" s="18" t="str">
        <f>IFERROR(VLOOKUP($D536,본공사입.출고현황!$B:$H,G$2080,0),0)</f>
        <v>CCGG</v>
      </c>
      <c r="H536" s="18" t="str">
        <f>IFERROR(VLOOKUP($D536,본공사입.출고현황!$B:$H,H$2080,0),0)</f>
        <v>ф10, 1ton=1,620.7m</v>
      </c>
      <c r="I536" s="56" t="str">
        <f>IFERROR(VLOOKUP($D536,본공사입.출고현황!$B:$H,I$2080,0),0)</f>
        <v>M</v>
      </c>
      <c r="J536" s="9">
        <v>3</v>
      </c>
      <c r="K536" s="9" t="s">
        <v>361</v>
      </c>
      <c r="L536" s="37">
        <v>50</v>
      </c>
      <c r="M536" s="64" t="s">
        <v>408</v>
      </c>
      <c r="N536" s="42"/>
    </row>
    <row r="537" spans="1:14" ht="24" customHeight="1">
      <c r="A537" s="8">
        <v>493</v>
      </c>
      <c r="B537" s="9">
        <v>493</v>
      </c>
      <c r="C537" s="46">
        <v>45979</v>
      </c>
      <c r="D537" s="9" t="s">
        <v>238</v>
      </c>
      <c r="E537" s="56" t="str">
        <f>IFERROR(VLOOKUP($D537,본공사입.출고현황!$B:$H,E$2080,0),0)</f>
        <v>Steel round bar</v>
      </c>
      <c r="F537" s="18" t="str">
        <f>IFERROR(VLOOKUP($D537,본공사입.출고현황!$B:$H,F$2080,0),0)</f>
        <v>Steel round bar(rebar)</v>
      </c>
      <c r="G537" s="18" t="str">
        <f>IFERROR(VLOOKUP($D537,본공사입.출고현황!$B:$H,G$2080,0),0)</f>
        <v>CCGG</v>
      </c>
      <c r="H537" s="18" t="str">
        <f>IFERROR(VLOOKUP($D537,본공사입.출고현황!$B:$H,H$2080,0),0)</f>
        <v>ф10, 1ton=1,620.7m</v>
      </c>
      <c r="I537" s="56" t="str">
        <f>IFERROR(VLOOKUP($D537,본공사입.출고현황!$B:$H,I$2080,0),0)</f>
        <v>M</v>
      </c>
      <c r="J537" s="9">
        <v>2</v>
      </c>
      <c r="K537" s="9" t="s">
        <v>546</v>
      </c>
      <c r="L537" s="37">
        <v>75</v>
      </c>
      <c r="M537" s="64" t="s">
        <v>408</v>
      </c>
      <c r="N537" s="42"/>
    </row>
    <row r="538" spans="1:14" ht="24" customHeight="1">
      <c r="A538" s="8">
        <v>494</v>
      </c>
      <c r="B538" s="9">
        <v>494</v>
      </c>
      <c r="C538" s="46">
        <v>45979</v>
      </c>
      <c r="D538" s="9" t="s">
        <v>238</v>
      </c>
      <c r="E538" s="56" t="str">
        <f>IFERROR(VLOOKUP($D538,본공사입.출고현황!$B:$H,E$2080,0),0)</f>
        <v>Steel round bar</v>
      </c>
      <c r="F538" s="18" t="str">
        <f>IFERROR(VLOOKUP($D538,본공사입.출고현황!$B:$H,F$2080,0),0)</f>
        <v>Steel round bar(rebar)</v>
      </c>
      <c r="G538" s="18" t="str">
        <f>IFERROR(VLOOKUP($D538,본공사입.출고현황!$B:$H,G$2080,0),0)</f>
        <v>CCGG</v>
      </c>
      <c r="H538" s="18" t="str">
        <f>IFERROR(VLOOKUP($D538,본공사입.출고현황!$B:$H,H$2080,0),0)</f>
        <v>ф10, 1ton=1,620.7m</v>
      </c>
      <c r="I538" s="56" t="str">
        <f>IFERROR(VLOOKUP($D538,본공사입.출고현황!$B:$H,I$2080,0),0)</f>
        <v>M</v>
      </c>
      <c r="J538" s="9">
        <v>1</v>
      </c>
      <c r="K538" s="9" t="s">
        <v>363</v>
      </c>
      <c r="L538" s="37">
        <v>125</v>
      </c>
      <c r="M538" s="64" t="s">
        <v>408</v>
      </c>
      <c r="N538" s="42"/>
    </row>
    <row r="539" spans="1:14" ht="24" customHeight="1">
      <c r="A539" s="8">
        <v>495</v>
      </c>
      <c r="B539" s="9">
        <v>495</v>
      </c>
      <c r="C539" s="46">
        <v>45979</v>
      </c>
      <c r="D539" s="9" t="s">
        <v>238</v>
      </c>
      <c r="E539" s="56" t="str">
        <f>IFERROR(VLOOKUP($D539,본공사입.출고현황!$B:$H,E$2080,0),0)</f>
        <v>Steel round bar</v>
      </c>
      <c r="F539" s="18" t="str">
        <f>IFERROR(VLOOKUP($D539,본공사입.출고현황!$B:$H,F$2080,0),0)</f>
        <v>Steel round bar(rebar)</v>
      </c>
      <c r="G539" s="18" t="str">
        <f>IFERROR(VLOOKUP($D539,본공사입.출고현황!$B:$H,G$2080,0),0)</f>
        <v>CCGG</v>
      </c>
      <c r="H539" s="18" t="str">
        <f>IFERROR(VLOOKUP($D539,본공사입.출고현황!$B:$H,H$2080,0),0)</f>
        <v>ф10, 1ton=1,620.7m</v>
      </c>
      <c r="I539" s="56" t="str">
        <f>IFERROR(VLOOKUP($D539,본공사입.출고현황!$B:$H,I$2080,0),0)</f>
        <v>M</v>
      </c>
      <c r="J539" s="9">
        <v>1</v>
      </c>
      <c r="K539" s="9" t="s">
        <v>352</v>
      </c>
      <c r="L539" s="37">
        <v>75</v>
      </c>
      <c r="M539" s="64" t="s">
        <v>408</v>
      </c>
      <c r="N539" s="42"/>
    </row>
    <row r="540" spans="1:14" ht="24" customHeight="1">
      <c r="A540" s="8">
        <v>496</v>
      </c>
      <c r="B540" s="9">
        <v>496</v>
      </c>
      <c r="C540" s="46">
        <v>45979</v>
      </c>
      <c r="D540" s="9" t="s">
        <v>238</v>
      </c>
      <c r="E540" s="56" t="str">
        <f>IFERROR(VLOOKUP($D540,본공사입.출고현황!$B:$H,E$2080,0),0)</f>
        <v>Steel round bar</v>
      </c>
      <c r="F540" s="18" t="str">
        <f>IFERROR(VLOOKUP($D540,본공사입.출고현황!$B:$H,F$2080,0),0)</f>
        <v>Steel round bar(rebar)</v>
      </c>
      <c r="G540" s="18" t="str">
        <f>IFERROR(VLOOKUP($D540,본공사입.출고현황!$B:$H,G$2080,0),0)</f>
        <v>CCGG</v>
      </c>
      <c r="H540" s="18" t="str">
        <f>IFERROR(VLOOKUP($D540,본공사입.출고현황!$B:$H,H$2080,0),0)</f>
        <v>ф10, 1ton=1,620.7m</v>
      </c>
      <c r="I540" s="56" t="str">
        <f>IFERROR(VLOOKUP($D540,본공사입.출고현황!$B:$H,I$2080,0),0)</f>
        <v>M</v>
      </c>
      <c r="J540" s="9">
        <v>3</v>
      </c>
      <c r="K540" s="9" t="s">
        <v>237</v>
      </c>
      <c r="L540" s="37">
        <v>100</v>
      </c>
      <c r="M540" s="64" t="s">
        <v>408</v>
      </c>
      <c r="N540" s="42"/>
    </row>
    <row r="541" spans="1:14" ht="24" customHeight="1">
      <c r="A541" s="8">
        <v>497</v>
      </c>
      <c r="B541" s="9">
        <v>497</v>
      </c>
      <c r="C541" s="46">
        <v>45980</v>
      </c>
      <c r="D541" s="9" t="s">
        <v>61</v>
      </c>
      <c r="E541" s="56" t="str">
        <f>IFERROR(VLOOKUP($D541,본공사입.출고현황!$B:$H,E$2080,0),0)</f>
        <v>Angle</v>
      </c>
      <c r="F541" s="18" t="str">
        <f>IFERROR(VLOOKUP($D541,본공사입.출고현황!$B:$H,F$2080,0),0)</f>
        <v>Angle 100x100x10</v>
      </c>
      <c r="G541" s="18" t="str">
        <f>IFERROR(VLOOKUP($D541,본공사입.출고현황!$B:$H,G$2080,0),0)</f>
        <v>CCGG</v>
      </c>
      <c r="H541" s="18" t="str">
        <f>IFERROR(VLOOKUP($D541,본공사입.출고현황!$B:$H,H$2080,0),0)</f>
        <v>100x100x10 (12m)</v>
      </c>
      <c r="I541" s="56" t="str">
        <f>IFERROR(VLOOKUP($D541,본공사입.출고현황!$B:$H,I$2080,0),0)</f>
        <v>M</v>
      </c>
      <c r="J541" s="9">
        <v>1</v>
      </c>
      <c r="K541" s="9" t="s">
        <v>363</v>
      </c>
      <c r="L541" s="65">
        <v>2.5</v>
      </c>
      <c r="M541" s="64" t="s">
        <v>408</v>
      </c>
      <c r="N541" s="42"/>
    </row>
    <row r="542" spans="1:14" ht="24" customHeight="1">
      <c r="A542" s="8">
        <v>498</v>
      </c>
      <c r="B542" s="9">
        <v>498</v>
      </c>
      <c r="C542" s="46">
        <v>45980</v>
      </c>
      <c r="D542" s="9" t="s">
        <v>238</v>
      </c>
      <c r="E542" s="56" t="str">
        <f>IFERROR(VLOOKUP($D542,본공사입.출고현황!$B:$H,E$2080,0),0)</f>
        <v>Steel round bar</v>
      </c>
      <c r="F542" s="18" t="str">
        <f>IFERROR(VLOOKUP($D542,본공사입.출고현황!$B:$H,F$2080,0),0)</f>
        <v>Steel round bar(rebar)</v>
      </c>
      <c r="G542" s="18" t="str">
        <f>IFERROR(VLOOKUP($D542,본공사입.출고현황!$B:$H,G$2080,0),0)</f>
        <v>CCGG</v>
      </c>
      <c r="H542" s="18" t="str">
        <f>IFERROR(VLOOKUP($D542,본공사입.출고현황!$B:$H,H$2080,0),0)</f>
        <v>ф10, 1ton=1,620.7m</v>
      </c>
      <c r="I542" s="56" t="str">
        <f>IFERROR(VLOOKUP($D542,본공사입.출고현황!$B:$H,I$2080,0),0)</f>
        <v>M</v>
      </c>
      <c r="J542" s="9">
        <v>1</v>
      </c>
      <c r="K542" s="9" t="s">
        <v>363</v>
      </c>
      <c r="L542" s="37">
        <v>125</v>
      </c>
      <c r="M542" s="64" t="s">
        <v>408</v>
      </c>
      <c r="N542" s="42"/>
    </row>
    <row r="543" spans="1:14" ht="24" customHeight="1">
      <c r="A543" s="8">
        <v>499</v>
      </c>
      <c r="B543" s="9">
        <v>499</v>
      </c>
      <c r="C543" s="46">
        <v>45980</v>
      </c>
      <c r="D543" s="9" t="s">
        <v>238</v>
      </c>
      <c r="E543" s="56" t="str">
        <f>IFERROR(VLOOKUP($D543,본공사입.출고현황!$B:$H,E$2080,0),0)</f>
        <v>Steel round bar</v>
      </c>
      <c r="F543" s="18" t="str">
        <f>IFERROR(VLOOKUP($D543,본공사입.출고현황!$B:$H,F$2080,0),0)</f>
        <v>Steel round bar(rebar)</v>
      </c>
      <c r="G543" s="18" t="str">
        <f>IFERROR(VLOOKUP($D543,본공사입.출고현황!$B:$H,G$2080,0),0)</f>
        <v>CCGG</v>
      </c>
      <c r="H543" s="18" t="str">
        <f>IFERROR(VLOOKUP($D543,본공사입.출고현황!$B:$H,H$2080,0),0)</f>
        <v>ф10, 1ton=1,620.7m</v>
      </c>
      <c r="I543" s="56" t="str">
        <f>IFERROR(VLOOKUP($D543,본공사입.출고현황!$B:$H,I$2080,0),0)</f>
        <v>M</v>
      </c>
      <c r="J543" s="9">
        <v>2</v>
      </c>
      <c r="K543" s="9" t="s">
        <v>546</v>
      </c>
      <c r="L543" s="37">
        <v>75</v>
      </c>
      <c r="M543" s="64" t="s">
        <v>408</v>
      </c>
      <c r="N543" s="42"/>
    </row>
    <row r="544" spans="1:14" ht="24" customHeight="1">
      <c r="A544" s="8">
        <v>500</v>
      </c>
      <c r="B544" s="9">
        <v>500</v>
      </c>
      <c r="C544" s="46">
        <v>45980</v>
      </c>
      <c r="D544" s="9" t="s">
        <v>238</v>
      </c>
      <c r="E544" s="56" t="str">
        <f>IFERROR(VLOOKUP($D544,본공사입.출고현황!$B:$H,E$2080,0),0)</f>
        <v>Steel round bar</v>
      </c>
      <c r="F544" s="18" t="str">
        <f>IFERROR(VLOOKUP($D544,본공사입.출고현황!$B:$H,F$2080,0),0)</f>
        <v>Steel round bar(rebar)</v>
      </c>
      <c r="G544" s="18" t="str">
        <f>IFERROR(VLOOKUP($D544,본공사입.출고현황!$B:$H,G$2080,0),0)</f>
        <v>CCGG</v>
      </c>
      <c r="H544" s="18" t="str">
        <f>IFERROR(VLOOKUP($D544,본공사입.출고현황!$B:$H,H$2080,0),0)</f>
        <v>ф10, 1ton=1,620.7m</v>
      </c>
      <c r="I544" s="56" t="str">
        <f>IFERROR(VLOOKUP($D544,본공사입.출고현황!$B:$H,I$2080,0),0)</f>
        <v>M</v>
      </c>
      <c r="J544" s="9">
        <v>2</v>
      </c>
      <c r="K544" s="9" t="s">
        <v>360</v>
      </c>
      <c r="L544" s="37">
        <v>75</v>
      </c>
      <c r="M544" s="64" t="s">
        <v>408</v>
      </c>
      <c r="N544" s="42"/>
    </row>
    <row r="545" spans="1:14" ht="24" customHeight="1">
      <c r="A545" s="8">
        <v>501</v>
      </c>
      <c r="B545" s="9">
        <v>501</v>
      </c>
      <c r="C545" s="46">
        <v>45980</v>
      </c>
      <c r="D545" s="9" t="s">
        <v>238</v>
      </c>
      <c r="E545" s="56" t="str">
        <f>IFERROR(VLOOKUP($D545,본공사입.출고현황!$B:$H,E$2080,0),0)</f>
        <v>Steel round bar</v>
      </c>
      <c r="F545" s="18" t="str">
        <f>IFERROR(VLOOKUP($D545,본공사입.출고현황!$B:$H,F$2080,0),0)</f>
        <v>Steel round bar(rebar)</v>
      </c>
      <c r="G545" s="18" t="str">
        <f>IFERROR(VLOOKUP($D545,본공사입.출고현황!$B:$H,G$2080,0),0)</f>
        <v>CCGG</v>
      </c>
      <c r="H545" s="18" t="str">
        <f>IFERROR(VLOOKUP($D545,본공사입.출고현황!$B:$H,H$2080,0),0)</f>
        <v>ф10, 1ton=1,620.7m</v>
      </c>
      <c r="I545" s="56" t="str">
        <f>IFERROR(VLOOKUP($D545,본공사입.출고현황!$B:$H,I$2080,0),0)</f>
        <v>M</v>
      </c>
      <c r="J545" s="9">
        <v>1</v>
      </c>
      <c r="K545" s="9" t="s">
        <v>547</v>
      </c>
      <c r="L545" s="37">
        <v>100</v>
      </c>
      <c r="M545" s="64" t="s">
        <v>408</v>
      </c>
      <c r="N545" s="42"/>
    </row>
    <row r="546" spans="1:14" ht="24" customHeight="1">
      <c r="A546" s="8">
        <v>502</v>
      </c>
      <c r="B546" s="9">
        <v>502</v>
      </c>
      <c r="C546" s="46">
        <v>45981</v>
      </c>
      <c r="D546" s="9" t="s">
        <v>238</v>
      </c>
      <c r="E546" s="56" t="str">
        <f>IFERROR(VLOOKUP($D546,본공사입.출고현황!$B:$H,E$2080,0),0)</f>
        <v>Steel round bar</v>
      </c>
      <c r="F546" s="18" t="str">
        <f>IFERROR(VLOOKUP($D546,본공사입.출고현황!$B:$H,F$2080,0),0)</f>
        <v>Steel round bar(rebar)</v>
      </c>
      <c r="G546" s="18" t="str">
        <f>IFERROR(VLOOKUP($D546,본공사입.출고현황!$B:$H,G$2080,0),0)</f>
        <v>CCGG</v>
      </c>
      <c r="H546" s="18" t="str">
        <f>IFERROR(VLOOKUP($D546,본공사입.출고현황!$B:$H,H$2080,0),0)</f>
        <v>ф10, 1ton=1,620.7m</v>
      </c>
      <c r="I546" s="56" t="str">
        <f>IFERROR(VLOOKUP($D546,본공사입.출고현황!$B:$H,I$2080,0),0)</f>
        <v>M</v>
      </c>
      <c r="J546" s="9">
        <v>1</v>
      </c>
      <c r="K546" s="9" t="s">
        <v>352</v>
      </c>
      <c r="L546" s="37">
        <v>75</v>
      </c>
      <c r="M546" s="64" t="s">
        <v>408</v>
      </c>
      <c r="N546" s="42"/>
    </row>
    <row r="547" spans="1:14" ht="24" customHeight="1">
      <c r="A547" s="8">
        <v>503</v>
      </c>
      <c r="B547" s="9">
        <v>503</v>
      </c>
      <c r="C547" s="46">
        <v>45981</v>
      </c>
      <c r="D547" s="9" t="s">
        <v>238</v>
      </c>
      <c r="E547" s="56" t="str">
        <f>IFERROR(VLOOKUP($D547,본공사입.출고현황!$B:$H,E$2080,0),0)</f>
        <v>Steel round bar</v>
      </c>
      <c r="F547" s="18" t="str">
        <f>IFERROR(VLOOKUP($D547,본공사입.출고현황!$B:$H,F$2080,0),0)</f>
        <v>Steel round bar(rebar)</v>
      </c>
      <c r="G547" s="18" t="str">
        <f>IFERROR(VLOOKUP($D547,본공사입.출고현황!$B:$H,G$2080,0),0)</f>
        <v>CCGG</v>
      </c>
      <c r="H547" s="18" t="str">
        <f>IFERROR(VLOOKUP($D547,본공사입.출고현황!$B:$H,H$2080,0),0)</f>
        <v>ф10, 1ton=1,620.7m</v>
      </c>
      <c r="I547" s="56" t="str">
        <f>IFERROR(VLOOKUP($D547,본공사입.출고현황!$B:$H,I$2080,0),0)</f>
        <v>M</v>
      </c>
      <c r="J547" s="9">
        <v>3</v>
      </c>
      <c r="K547" s="9" t="s">
        <v>550</v>
      </c>
      <c r="L547" s="37">
        <v>50</v>
      </c>
      <c r="M547" s="64" t="s">
        <v>408</v>
      </c>
      <c r="N547" s="42"/>
    </row>
    <row r="548" spans="1:14" ht="24" customHeight="1">
      <c r="A548" s="8">
        <v>504</v>
      </c>
      <c r="B548" s="9">
        <v>504</v>
      </c>
      <c r="C548" s="46">
        <v>45981</v>
      </c>
      <c r="D548" s="9" t="s">
        <v>238</v>
      </c>
      <c r="E548" s="56" t="str">
        <f>IFERROR(VLOOKUP($D548,본공사입.출고현황!$B:$H,E$2080,0),0)</f>
        <v>Steel round bar</v>
      </c>
      <c r="F548" s="18" t="str">
        <f>IFERROR(VLOOKUP($D548,본공사입.출고현황!$B:$H,F$2080,0),0)</f>
        <v>Steel round bar(rebar)</v>
      </c>
      <c r="G548" s="18" t="str">
        <f>IFERROR(VLOOKUP($D548,본공사입.출고현황!$B:$H,G$2080,0),0)</f>
        <v>CCGG</v>
      </c>
      <c r="H548" s="18" t="str">
        <f>IFERROR(VLOOKUP($D548,본공사입.출고현황!$B:$H,H$2080,0),0)</f>
        <v>ф10, 1ton=1,620.7m</v>
      </c>
      <c r="I548" s="56" t="str">
        <f>IFERROR(VLOOKUP($D548,본공사입.출고현황!$B:$H,I$2080,0),0)</f>
        <v>M</v>
      </c>
      <c r="J548" s="9">
        <v>2</v>
      </c>
      <c r="K548" s="9" t="s">
        <v>360</v>
      </c>
      <c r="L548" s="37">
        <v>30</v>
      </c>
      <c r="M548" s="64" t="s">
        <v>408</v>
      </c>
      <c r="N548" s="42"/>
    </row>
    <row r="549" spans="1:14" ht="24" customHeight="1">
      <c r="A549" s="8">
        <v>505</v>
      </c>
      <c r="B549" s="9">
        <v>505</v>
      </c>
      <c r="C549" s="46">
        <v>45981</v>
      </c>
      <c r="D549" s="9" t="s">
        <v>238</v>
      </c>
      <c r="E549" s="56" t="str">
        <f>IFERROR(VLOOKUP($D549,본공사입.출고현황!$B:$H,E$2080,0),0)</f>
        <v>Steel round bar</v>
      </c>
      <c r="F549" s="18" t="str">
        <f>IFERROR(VLOOKUP($D549,본공사입.출고현황!$B:$H,F$2080,0),0)</f>
        <v>Steel round bar(rebar)</v>
      </c>
      <c r="G549" s="18" t="str">
        <f>IFERROR(VLOOKUP($D549,본공사입.출고현황!$B:$H,G$2080,0),0)</f>
        <v>CCGG</v>
      </c>
      <c r="H549" s="18" t="str">
        <f>IFERROR(VLOOKUP($D549,본공사입.출고현황!$B:$H,H$2080,0),0)</f>
        <v>ф10, 1ton=1,620.7m</v>
      </c>
      <c r="I549" s="56" t="str">
        <f>IFERROR(VLOOKUP($D549,본공사입.출고현황!$B:$H,I$2080,0),0)</f>
        <v>M</v>
      </c>
      <c r="J549" s="9">
        <v>3</v>
      </c>
      <c r="K549" s="9" t="s">
        <v>237</v>
      </c>
      <c r="L549" s="37">
        <v>50</v>
      </c>
      <c r="M549" s="64" t="s">
        <v>408</v>
      </c>
      <c r="N549" s="42"/>
    </row>
    <row r="550" spans="1:14" ht="24" customHeight="1">
      <c r="A550" s="8">
        <v>506</v>
      </c>
      <c r="B550" s="9">
        <v>506</v>
      </c>
      <c r="C550" s="46">
        <v>45981</v>
      </c>
      <c r="D550" s="9" t="s">
        <v>238</v>
      </c>
      <c r="E550" s="56" t="str">
        <f>IFERROR(VLOOKUP($D550,본공사입.출고현황!$B:$H,E$2080,0),0)</f>
        <v>Steel round bar</v>
      </c>
      <c r="F550" s="18" t="str">
        <f>IFERROR(VLOOKUP($D550,본공사입.출고현황!$B:$H,F$2080,0),0)</f>
        <v>Steel round bar(rebar)</v>
      </c>
      <c r="G550" s="18" t="str">
        <f>IFERROR(VLOOKUP($D550,본공사입.출고현황!$B:$H,G$2080,0),0)</f>
        <v>CCGG</v>
      </c>
      <c r="H550" s="18" t="str">
        <f>IFERROR(VLOOKUP($D550,본공사입.출고현황!$B:$H,H$2080,0),0)</f>
        <v>ф10, 1ton=1,620.7m</v>
      </c>
      <c r="I550" s="56" t="str">
        <f>IFERROR(VLOOKUP($D550,본공사입.출고현황!$B:$H,I$2080,0),0)</f>
        <v>M</v>
      </c>
      <c r="J550" s="9">
        <v>1</v>
      </c>
      <c r="K550" s="9" t="s">
        <v>352</v>
      </c>
      <c r="L550" s="37">
        <v>105</v>
      </c>
      <c r="M550" s="64" t="s">
        <v>408</v>
      </c>
      <c r="N550" s="42"/>
    </row>
    <row r="551" spans="1:14" ht="24" customHeight="1">
      <c r="A551" s="8">
        <v>507</v>
      </c>
      <c r="B551" s="9">
        <v>507</v>
      </c>
      <c r="C551" s="46">
        <v>45981</v>
      </c>
      <c r="D551" s="9" t="s">
        <v>238</v>
      </c>
      <c r="E551" s="56" t="str">
        <f>IFERROR(VLOOKUP($D551,본공사입.출고현황!$B:$H,E$2080,0),0)</f>
        <v>Steel round bar</v>
      </c>
      <c r="F551" s="18" t="str">
        <f>IFERROR(VLOOKUP($D551,본공사입.출고현황!$B:$H,F$2080,0),0)</f>
        <v>Steel round bar(rebar)</v>
      </c>
      <c r="G551" s="18" t="str">
        <f>IFERROR(VLOOKUP($D551,본공사입.출고현황!$B:$H,G$2080,0),0)</f>
        <v>CCGG</v>
      </c>
      <c r="H551" s="18" t="str">
        <f>IFERROR(VLOOKUP($D551,본공사입.출고현황!$B:$H,H$2080,0),0)</f>
        <v>ф10, 1ton=1,620.7m</v>
      </c>
      <c r="I551" s="56" t="str">
        <f>IFERROR(VLOOKUP($D551,본공사입.출고현황!$B:$H,I$2080,0),0)</f>
        <v>M</v>
      </c>
      <c r="J551" s="9">
        <v>1</v>
      </c>
      <c r="K551" s="9" t="s">
        <v>547</v>
      </c>
      <c r="L551" s="37">
        <v>50</v>
      </c>
      <c r="M551" s="64" t="s">
        <v>408</v>
      </c>
      <c r="N551" s="42"/>
    </row>
    <row r="552" spans="1:14" ht="24" customHeight="1">
      <c r="A552" s="8">
        <v>508</v>
      </c>
      <c r="B552" s="9">
        <v>508</v>
      </c>
      <c r="C552" s="46">
        <v>45981</v>
      </c>
      <c r="D552" s="9" t="s">
        <v>238</v>
      </c>
      <c r="E552" s="56" t="str">
        <f>IFERROR(VLOOKUP($D552,본공사입.출고현황!$B:$H,E$2080,0),0)</f>
        <v>Steel round bar</v>
      </c>
      <c r="F552" s="18" t="str">
        <f>IFERROR(VLOOKUP($D552,본공사입.출고현황!$B:$H,F$2080,0),0)</f>
        <v>Steel round bar(rebar)</v>
      </c>
      <c r="G552" s="18" t="str">
        <f>IFERROR(VLOOKUP($D552,본공사입.출고현황!$B:$H,G$2080,0),0)</f>
        <v>CCGG</v>
      </c>
      <c r="H552" s="18" t="str">
        <f>IFERROR(VLOOKUP($D552,본공사입.출고현황!$B:$H,H$2080,0),0)</f>
        <v>ф10, 1ton=1,620.7m</v>
      </c>
      <c r="I552" s="56" t="str">
        <f>IFERROR(VLOOKUP($D552,본공사입.출고현황!$B:$H,I$2080,0),0)</f>
        <v>M</v>
      </c>
      <c r="J552" s="9">
        <v>2</v>
      </c>
      <c r="K552" s="9" t="s">
        <v>360</v>
      </c>
      <c r="L552" s="37">
        <v>50</v>
      </c>
      <c r="M552" s="64" t="s">
        <v>408</v>
      </c>
      <c r="N552" s="42"/>
    </row>
    <row r="553" spans="1:14" ht="24" customHeight="1">
      <c r="A553" s="8">
        <v>509</v>
      </c>
      <c r="B553" s="9">
        <v>509</v>
      </c>
      <c r="C553" s="46">
        <v>45981</v>
      </c>
      <c r="D553" s="9" t="s">
        <v>238</v>
      </c>
      <c r="E553" s="56" t="str">
        <f>IFERROR(VLOOKUP($D553,본공사입.출고현황!$B:$H,E$2080,0),0)</f>
        <v>Steel round bar</v>
      </c>
      <c r="F553" s="18" t="str">
        <f>IFERROR(VLOOKUP($D553,본공사입.출고현황!$B:$H,F$2080,0),0)</f>
        <v>Steel round bar(rebar)</v>
      </c>
      <c r="G553" s="18" t="str">
        <f>IFERROR(VLOOKUP($D553,본공사입.출고현황!$B:$H,G$2080,0),0)</f>
        <v>CCGG</v>
      </c>
      <c r="H553" s="18" t="str">
        <f>IFERROR(VLOOKUP($D553,본공사입.출고현황!$B:$H,H$2080,0),0)</f>
        <v>ф10, 1ton=1,620.7m</v>
      </c>
      <c r="I553" s="56" t="str">
        <f>IFERROR(VLOOKUP($D553,본공사입.출고현황!$B:$H,I$2080,0),0)</f>
        <v>M</v>
      </c>
      <c r="J553" s="9">
        <v>3</v>
      </c>
      <c r="K553" s="9" t="s">
        <v>237</v>
      </c>
      <c r="L553" s="37">
        <v>75</v>
      </c>
      <c r="M553" s="64" t="s">
        <v>408</v>
      </c>
      <c r="N553" s="42"/>
    </row>
    <row r="554" spans="1:14" ht="24" customHeight="1">
      <c r="A554" s="8">
        <v>510</v>
      </c>
      <c r="B554" s="9">
        <v>510</v>
      </c>
      <c r="C554" s="46">
        <v>45981</v>
      </c>
      <c r="D554" s="9" t="s">
        <v>238</v>
      </c>
      <c r="E554" s="56" t="str">
        <f>IFERROR(VLOOKUP($D554,본공사입.출고현황!$B:$H,E$2080,0),0)</f>
        <v>Steel round bar</v>
      </c>
      <c r="F554" s="18" t="str">
        <f>IFERROR(VLOOKUP($D554,본공사입.출고현황!$B:$H,F$2080,0),0)</f>
        <v>Steel round bar(rebar)</v>
      </c>
      <c r="G554" s="18" t="str">
        <f>IFERROR(VLOOKUP($D554,본공사입.출고현황!$B:$H,G$2080,0),0)</f>
        <v>CCGG</v>
      </c>
      <c r="H554" s="18" t="str">
        <f>IFERROR(VLOOKUP($D554,본공사입.출고현황!$B:$H,H$2080,0),0)</f>
        <v>ф10, 1ton=1,620.7m</v>
      </c>
      <c r="I554" s="56" t="str">
        <f>IFERROR(VLOOKUP($D554,본공사입.출고현황!$B:$H,I$2080,0),0)</f>
        <v>M</v>
      </c>
      <c r="J554" s="9">
        <v>1</v>
      </c>
      <c r="K554" s="9" t="s">
        <v>352</v>
      </c>
      <c r="L554" s="37">
        <v>125</v>
      </c>
      <c r="M554" s="64" t="s">
        <v>408</v>
      </c>
      <c r="N554" s="42"/>
    </row>
    <row r="555" spans="1:14" ht="24" customHeight="1">
      <c r="A555" s="8">
        <v>511</v>
      </c>
      <c r="B555" s="9">
        <v>511</v>
      </c>
      <c r="C555" s="46">
        <v>45982</v>
      </c>
      <c r="D555" s="9" t="s">
        <v>238</v>
      </c>
      <c r="E555" s="56" t="str">
        <f>IFERROR(VLOOKUP($D555,본공사입.출고현황!$B:$H,E$2080,0),0)</f>
        <v>Steel round bar</v>
      </c>
      <c r="F555" s="18" t="str">
        <f>IFERROR(VLOOKUP($D555,본공사입.출고현황!$B:$H,F$2080,0),0)</f>
        <v>Steel round bar(rebar)</v>
      </c>
      <c r="G555" s="18" t="str">
        <f>IFERROR(VLOOKUP($D555,본공사입.출고현황!$B:$H,G$2080,0),0)</f>
        <v>CCGG</v>
      </c>
      <c r="H555" s="18" t="str">
        <f>IFERROR(VLOOKUP($D555,본공사입.출고현황!$B:$H,H$2080,0),0)</f>
        <v>ф10, 1ton=1,620.7m</v>
      </c>
      <c r="I555" s="56" t="str">
        <f>IFERROR(VLOOKUP($D555,본공사입.출고현황!$B:$H,I$2080,0),0)</f>
        <v>M</v>
      </c>
      <c r="J555" s="9">
        <v>4</v>
      </c>
      <c r="K555" s="9" t="s">
        <v>359</v>
      </c>
      <c r="L555" s="37">
        <v>50</v>
      </c>
      <c r="M555" s="64" t="s">
        <v>358</v>
      </c>
      <c r="N555" s="42"/>
    </row>
    <row r="556" spans="1:14" ht="24" customHeight="1">
      <c r="A556" s="8">
        <v>512</v>
      </c>
      <c r="B556" s="9">
        <v>512</v>
      </c>
      <c r="C556" s="46">
        <v>45982</v>
      </c>
      <c r="D556" s="9" t="s">
        <v>238</v>
      </c>
      <c r="E556" s="56" t="str">
        <f>IFERROR(VLOOKUP($D556,본공사입.출고현황!$B:$H,E$2080,0),0)</f>
        <v>Steel round bar</v>
      </c>
      <c r="F556" s="18" t="str">
        <f>IFERROR(VLOOKUP($D556,본공사입.출고현황!$B:$H,F$2080,0),0)</f>
        <v>Steel round bar(rebar)</v>
      </c>
      <c r="G556" s="18" t="str">
        <f>IFERROR(VLOOKUP($D556,본공사입.출고현황!$B:$H,G$2080,0),0)</f>
        <v>CCGG</v>
      </c>
      <c r="H556" s="18" t="str">
        <f>IFERROR(VLOOKUP($D556,본공사입.출고현황!$B:$H,H$2080,0),0)</f>
        <v>ф10, 1ton=1,620.7m</v>
      </c>
      <c r="I556" s="56" t="str">
        <f>IFERROR(VLOOKUP($D556,본공사입.출고현황!$B:$H,I$2080,0),0)</f>
        <v>M</v>
      </c>
      <c r="J556" s="9">
        <v>2</v>
      </c>
      <c r="K556" s="9" t="s">
        <v>546</v>
      </c>
      <c r="L556" s="37">
        <v>75</v>
      </c>
      <c r="M556" s="64" t="s">
        <v>358</v>
      </c>
      <c r="N556" s="42"/>
    </row>
    <row r="557" spans="1:14" ht="24" customHeight="1">
      <c r="A557" s="8">
        <v>513</v>
      </c>
      <c r="B557" s="9">
        <v>513</v>
      </c>
      <c r="C557" s="46">
        <v>45982</v>
      </c>
      <c r="D557" s="9" t="s">
        <v>238</v>
      </c>
      <c r="E557" s="56" t="str">
        <f>IFERROR(VLOOKUP($D557,본공사입.출고현황!$B:$H,E$2080,0),0)</f>
        <v>Steel round bar</v>
      </c>
      <c r="F557" s="18" t="str">
        <f>IFERROR(VLOOKUP($D557,본공사입.출고현황!$B:$H,F$2080,0),0)</f>
        <v>Steel round bar(rebar)</v>
      </c>
      <c r="G557" s="18" t="str">
        <f>IFERROR(VLOOKUP($D557,본공사입.출고현황!$B:$H,G$2080,0),0)</f>
        <v>CCGG</v>
      </c>
      <c r="H557" s="18" t="str">
        <f>IFERROR(VLOOKUP($D557,본공사입.출고현황!$B:$H,H$2080,0),0)</f>
        <v>ф10, 1ton=1,620.7m</v>
      </c>
      <c r="I557" s="56" t="str">
        <f>IFERROR(VLOOKUP($D557,본공사입.출고현황!$B:$H,I$2080,0),0)</f>
        <v>M</v>
      </c>
      <c r="J557" s="9">
        <v>1</v>
      </c>
      <c r="K557" s="9" t="s">
        <v>352</v>
      </c>
      <c r="L557" s="37">
        <v>115</v>
      </c>
      <c r="M557" s="64" t="s">
        <v>358</v>
      </c>
      <c r="N557" s="42"/>
    </row>
    <row r="558" spans="1:14" ht="24" customHeight="1">
      <c r="A558" s="8">
        <v>514</v>
      </c>
      <c r="B558" s="9">
        <v>514</v>
      </c>
      <c r="C558" s="46">
        <v>45982</v>
      </c>
      <c r="D558" s="9" t="s">
        <v>238</v>
      </c>
      <c r="E558" s="56" t="str">
        <f>IFERROR(VLOOKUP($D558,본공사입.출고현황!$B:$H,E$2080,0),0)</f>
        <v>Steel round bar</v>
      </c>
      <c r="F558" s="18" t="str">
        <f>IFERROR(VLOOKUP($D558,본공사입.출고현황!$B:$H,F$2080,0),0)</f>
        <v>Steel round bar(rebar)</v>
      </c>
      <c r="G558" s="18" t="str">
        <f>IFERROR(VLOOKUP($D558,본공사입.출고현황!$B:$H,G$2080,0),0)</f>
        <v>CCGG</v>
      </c>
      <c r="H558" s="18" t="str">
        <f>IFERROR(VLOOKUP($D558,본공사입.출고현황!$B:$H,H$2080,0),0)</f>
        <v>ф10, 1ton=1,620.7m</v>
      </c>
      <c r="I558" s="56" t="str">
        <f>IFERROR(VLOOKUP($D558,본공사입.출고현황!$B:$H,I$2080,0),0)</f>
        <v>M</v>
      </c>
      <c r="J558" s="9">
        <v>2</v>
      </c>
      <c r="K558" s="9" t="s">
        <v>360</v>
      </c>
      <c r="L558" s="37">
        <v>50</v>
      </c>
      <c r="M558" s="64" t="s">
        <v>358</v>
      </c>
      <c r="N558" s="42"/>
    </row>
    <row r="559" spans="1:14" ht="24" customHeight="1">
      <c r="A559" s="8">
        <v>515</v>
      </c>
      <c r="B559" s="9">
        <v>515</v>
      </c>
      <c r="C559" s="46">
        <v>45982</v>
      </c>
      <c r="D559" s="9" t="s">
        <v>238</v>
      </c>
      <c r="E559" s="56" t="str">
        <f>IFERROR(VLOOKUP($D559,본공사입.출고현황!$B:$H,E$2080,0),0)</f>
        <v>Steel round bar</v>
      </c>
      <c r="F559" s="18" t="str">
        <f>IFERROR(VLOOKUP($D559,본공사입.출고현황!$B:$H,F$2080,0),0)</f>
        <v>Steel round bar(rebar)</v>
      </c>
      <c r="G559" s="18" t="str">
        <f>IFERROR(VLOOKUP($D559,본공사입.출고현황!$B:$H,G$2080,0),0)</f>
        <v>CCGG</v>
      </c>
      <c r="H559" s="18" t="str">
        <f>IFERROR(VLOOKUP($D559,본공사입.출고현황!$B:$H,H$2080,0),0)</f>
        <v>ф10, 1ton=1,620.7m</v>
      </c>
      <c r="I559" s="56" t="str">
        <f>IFERROR(VLOOKUP($D559,본공사입.출고현황!$B:$H,I$2080,0),0)</f>
        <v>M</v>
      </c>
      <c r="J559" s="9">
        <v>3</v>
      </c>
      <c r="K559" s="9" t="s">
        <v>550</v>
      </c>
      <c r="L559" s="37">
        <v>15</v>
      </c>
      <c r="M559" s="64" t="s">
        <v>358</v>
      </c>
      <c r="N559" s="42"/>
    </row>
    <row r="560" spans="1:14" ht="24" customHeight="1">
      <c r="A560" s="8">
        <v>516</v>
      </c>
      <c r="B560" s="9">
        <v>516</v>
      </c>
      <c r="C560" s="46">
        <v>45982</v>
      </c>
      <c r="D560" s="9" t="s">
        <v>238</v>
      </c>
      <c r="E560" s="56" t="str">
        <f>IFERROR(VLOOKUP($D560,본공사입.출고현황!$B:$H,E$2080,0),0)</f>
        <v>Steel round bar</v>
      </c>
      <c r="F560" s="18" t="str">
        <f>IFERROR(VLOOKUP($D560,본공사입.출고현황!$B:$H,F$2080,0),0)</f>
        <v>Steel round bar(rebar)</v>
      </c>
      <c r="G560" s="18" t="str">
        <f>IFERROR(VLOOKUP($D560,본공사입.출고현황!$B:$H,G$2080,0),0)</f>
        <v>CCGG</v>
      </c>
      <c r="H560" s="18" t="str">
        <f>IFERROR(VLOOKUP($D560,본공사입.출고현황!$B:$H,H$2080,0),0)</f>
        <v>ф10, 1ton=1,620.7m</v>
      </c>
      <c r="I560" s="56" t="str">
        <f>IFERROR(VLOOKUP($D560,본공사입.출고현황!$B:$H,I$2080,0),0)</f>
        <v>M</v>
      </c>
      <c r="J560" s="9">
        <v>1</v>
      </c>
      <c r="K560" s="9" t="s">
        <v>363</v>
      </c>
      <c r="L560" s="37">
        <v>40</v>
      </c>
      <c r="M560" s="64" t="s">
        <v>358</v>
      </c>
      <c r="N560" s="42"/>
    </row>
    <row r="561" spans="1:14" ht="24" customHeight="1">
      <c r="A561" s="8">
        <v>517</v>
      </c>
      <c r="B561" s="9">
        <v>517</v>
      </c>
      <c r="C561" s="46">
        <v>45982</v>
      </c>
      <c r="D561" s="9" t="s">
        <v>238</v>
      </c>
      <c r="E561" s="56" t="str">
        <f>IFERROR(VLOOKUP($D561,본공사입.출고현황!$B:$H,E$2080,0),0)</f>
        <v>Steel round bar</v>
      </c>
      <c r="F561" s="18" t="str">
        <f>IFERROR(VLOOKUP($D561,본공사입.출고현황!$B:$H,F$2080,0),0)</f>
        <v>Steel round bar(rebar)</v>
      </c>
      <c r="G561" s="18" t="str">
        <f>IFERROR(VLOOKUP($D561,본공사입.출고현황!$B:$H,G$2080,0),0)</f>
        <v>CCGG</v>
      </c>
      <c r="H561" s="18" t="str">
        <f>IFERROR(VLOOKUP($D561,본공사입.출고현황!$B:$H,H$2080,0),0)</f>
        <v>ф10, 1ton=1,620.7m</v>
      </c>
      <c r="I561" s="56" t="str">
        <f>IFERROR(VLOOKUP($D561,본공사입.출고현황!$B:$H,I$2080,0),0)</f>
        <v>M</v>
      </c>
      <c r="J561" s="9">
        <v>1</v>
      </c>
      <c r="K561" s="9" t="s">
        <v>547</v>
      </c>
      <c r="L561" s="37">
        <v>20</v>
      </c>
      <c r="M561" s="64" t="s">
        <v>358</v>
      </c>
      <c r="N561" s="42"/>
    </row>
    <row r="562" spans="1:14" ht="24" customHeight="1">
      <c r="A562" s="8">
        <v>518</v>
      </c>
      <c r="B562" s="9">
        <v>518</v>
      </c>
      <c r="C562" s="46">
        <v>45982</v>
      </c>
      <c r="D562" s="9" t="s">
        <v>238</v>
      </c>
      <c r="E562" s="56" t="str">
        <f>IFERROR(VLOOKUP($D562,본공사입.출고현황!$B:$H,E$2080,0),0)</f>
        <v>Steel round bar</v>
      </c>
      <c r="F562" s="18" t="str">
        <f>IFERROR(VLOOKUP($D562,본공사입.출고현황!$B:$H,F$2080,0),0)</f>
        <v>Steel round bar(rebar)</v>
      </c>
      <c r="G562" s="18" t="str">
        <f>IFERROR(VLOOKUP($D562,본공사입.출고현황!$B:$H,G$2080,0),0)</f>
        <v>CCGG</v>
      </c>
      <c r="H562" s="18" t="str">
        <f>IFERROR(VLOOKUP($D562,본공사입.출고현황!$B:$H,H$2080,0),0)</f>
        <v>ф10, 1ton=1,620.7m</v>
      </c>
      <c r="I562" s="56" t="str">
        <f>IFERROR(VLOOKUP($D562,본공사입.출고현황!$B:$H,I$2080,0),0)</f>
        <v>M</v>
      </c>
      <c r="J562" s="9">
        <v>1</v>
      </c>
      <c r="K562" s="9" t="s">
        <v>363</v>
      </c>
      <c r="L562" s="37">
        <v>20</v>
      </c>
      <c r="M562" s="64" t="s">
        <v>358</v>
      </c>
      <c r="N562" s="42"/>
    </row>
    <row r="563" spans="1:14" ht="24" customHeight="1">
      <c r="A563" s="8">
        <v>519</v>
      </c>
      <c r="B563" s="9">
        <v>519</v>
      </c>
      <c r="C563" s="46">
        <v>45982</v>
      </c>
      <c r="D563" s="9" t="s">
        <v>238</v>
      </c>
      <c r="E563" s="56" t="str">
        <f>IFERROR(VLOOKUP($D563,본공사입.출고현황!$B:$H,E$2080,0),0)</f>
        <v>Steel round bar</v>
      </c>
      <c r="F563" s="18" t="str">
        <f>IFERROR(VLOOKUP($D563,본공사입.출고현황!$B:$H,F$2080,0),0)</f>
        <v>Steel round bar(rebar)</v>
      </c>
      <c r="G563" s="18" t="str">
        <f>IFERROR(VLOOKUP($D563,본공사입.출고현황!$B:$H,G$2080,0),0)</f>
        <v>CCGG</v>
      </c>
      <c r="H563" s="18" t="str">
        <f>IFERROR(VLOOKUP($D563,본공사입.출고현황!$B:$H,H$2080,0),0)</f>
        <v>ф10, 1ton=1,620.7m</v>
      </c>
      <c r="I563" s="56" t="str">
        <f>IFERROR(VLOOKUP($D563,본공사입.출고현황!$B:$H,I$2080,0),0)</f>
        <v>M</v>
      </c>
      <c r="J563" s="9">
        <v>3</v>
      </c>
      <c r="K563" s="9" t="s">
        <v>550</v>
      </c>
      <c r="L563" s="37">
        <v>20</v>
      </c>
      <c r="M563" s="64" t="s">
        <v>358</v>
      </c>
      <c r="N563" s="42"/>
    </row>
    <row r="564" spans="1:14" ht="24" customHeight="1">
      <c r="A564" s="8">
        <v>520</v>
      </c>
      <c r="B564" s="9">
        <v>520</v>
      </c>
      <c r="C564" s="46">
        <v>45982</v>
      </c>
      <c r="D564" s="9" t="s">
        <v>238</v>
      </c>
      <c r="E564" s="56" t="str">
        <f>IFERROR(VLOOKUP($D564,본공사입.출고현황!$B:$H,E$2080,0),0)</f>
        <v>Steel round bar</v>
      </c>
      <c r="F564" s="18" t="str">
        <f>IFERROR(VLOOKUP($D564,본공사입.출고현황!$B:$H,F$2080,0),0)</f>
        <v>Steel round bar(rebar)</v>
      </c>
      <c r="G564" s="18" t="str">
        <f>IFERROR(VLOOKUP($D564,본공사입.출고현황!$B:$H,G$2080,0),0)</f>
        <v>CCGG</v>
      </c>
      <c r="H564" s="18" t="str">
        <f>IFERROR(VLOOKUP($D564,본공사입.출고현황!$B:$H,H$2080,0),0)</f>
        <v>ф10, 1ton=1,620.7m</v>
      </c>
      <c r="I564" s="56" t="str">
        <f>IFERROR(VLOOKUP($D564,본공사입.출고현황!$B:$H,I$2080,0),0)</f>
        <v>M</v>
      </c>
      <c r="J564" s="9">
        <v>2</v>
      </c>
      <c r="K564" s="9" t="s">
        <v>360</v>
      </c>
      <c r="L564" s="37">
        <v>25</v>
      </c>
      <c r="M564" s="64" t="s">
        <v>358</v>
      </c>
      <c r="N564" s="42"/>
    </row>
    <row r="565" spans="1:14" ht="24" customHeight="1">
      <c r="A565" s="8">
        <v>521</v>
      </c>
      <c r="B565" s="9">
        <v>521</v>
      </c>
      <c r="C565" s="46">
        <v>45982</v>
      </c>
      <c r="D565" s="9" t="s">
        <v>238</v>
      </c>
      <c r="E565" s="56" t="str">
        <f>IFERROR(VLOOKUP($D565,본공사입.출고현황!$B:$H,E$2080,0),0)</f>
        <v>Steel round bar</v>
      </c>
      <c r="F565" s="18" t="str">
        <f>IFERROR(VLOOKUP($D565,본공사입.출고현황!$B:$H,F$2080,0),0)</f>
        <v>Steel round bar(rebar)</v>
      </c>
      <c r="G565" s="18" t="str">
        <f>IFERROR(VLOOKUP($D565,본공사입.출고현황!$B:$H,G$2080,0),0)</f>
        <v>CCGG</v>
      </c>
      <c r="H565" s="18" t="str">
        <f>IFERROR(VLOOKUP($D565,본공사입.출고현황!$B:$H,H$2080,0),0)</f>
        <v>ф10, 1ton=1,620.7m</v>
      </c>
      <c r="I565" s="56" t="str">
        <f>IFERROR(VLOOKUP($D565,본공사입.출고현황!$B:$H,I$2080,0),0)</f>
        <v>M</v>
      </c>
      <c r="J565" s="9">
        <v>1</v>
      </c>
      <c r="K565" s="9" t="s">
        <v>352</v>
      </c>
      <c r="L565" s="37">
        <v>25</v>
      </c>
      <c r="M565" s="64" t="s">
        <v>358</v>
      </c>
      <c r="N565" s="42"/>
    </row>
    <row r="566" spans="1:14" ht="24" customHeight="1">
      <c r="A566" s="8">
        <v>522</v>
      </c>
      <c r="B566" s="9">
        <v>522</v>
      </c>
      <c r="C566" s="46">
        <v>45982</v>
      </c>
      <c r="D566" s="9" t="s">
        <v>238</v>
      </c>
      <c r="E566" s="56" t="str">
        <f>IFERROR(VLOOKUP($D566,본공사입.출고현황!$B:$H,E$2080,0),0)</f>
        <v>Steel round bar</v>
      </c>
      <c r="F566" s="18" t="str">
        <f>IFERROR(VLOOKUP($D566,본공사입.출고현황!$B:$H,F$2080,0),0)</f>
        <v>Steel round bar(rebar)</v>
      </c>
      <c r="G566" s="18" t="str">
        <f>IFERROR(VLOOKUP($D566,본공사입.출고현황!$B:$H,G$2080,0),0)</f>
        <v>CCGG</v>
      </c>
      <c r="H566" s="18" t="str">
        <f>IFERROR(VLOOKUP($D566,본공사입.출고현황!$B:$H,H$2080,0),0)</f>
        <v>ф10, 1ton=1,620.7m</v>
      </c>
      <c r="I566" s="56" t="str">
        <f>IFERROR(VLOOKUP($D566,본공사입.출고현황!$B:$H,I$2080,0),0)</f>
        <v>M</v>
      </c>
      <c r="J566" s="9" t="s">
        <v>557</v>
      </c>
      <c r="K566" s="9" t="s">
        <v>553</v>
      </c>
      <c r="L566" s="37">
        <v>25</v>
      </c>
      <c r="M566" s="64" t="s">
        <v>358</v>
      </c>
      <c r="N566" s="42"/>
    </row>
    <row r="567" spans="1:14" ht="24" customHeight="1">
      <c r="A567" s="8">
        <v>523</v>
      </c>
      <c r="B567" s="9">
        <v>523</v>
      </c>
      <c r="C567" s="46">
        <v>45982</v>
      </c>
      <c r="D567" s="9" t="s">
        <v>238</v>
      </c>
      <c r="E567" s="56" t="str">
        <f>IFERROR(VLOOKUP($D567,본공사입.출고현황!$B:$H,E$2080,0),0)</f>
        <v>Steel round bar</v>
      </c>
      <c r="F567" s="18" t="str">
        <f>IFERROR(VLOOKUP($D567,본공사입.출고현황!$B:$H,F$2080,0),0)</f>
        <v>Steel round bar(rebar)</v>
      </c>
      <c r="G567" s="18" t="str">
        <f>IFERROR(VLOOKUP($D567,본공사입.출고현황!$B:$H,G$2080,0),0)</f>
        <v>CCGG</v>
      </c>
      <c r="H567" s="18" t="str">
        <f>IFERROR(VLOOKUP($D567,본공사입.출고현황!$B:$H,H$2080,0),0)</f>
        <v>ф10, 1ton=1,620.7m</v>
      </c>
      <c r="I567" s="56" t="str">
        <f>IFERROR(VLOOKUP($D567,본공사입.출고현황!$B:$H,I$2080,0),0)</f>
        <v>M</v>
      </c>
      <c r="J567" s="9" t="s">
        <v>557</v>
      </c>
      <c r="K567" s="9" t="s">
        <v>553</v>
      </c>
      <c r="L567" s="37">
        <v>25</v>
      </c>
      <c r="M567" s="64" t="s">
        <v>358</v>
      </c>
      <c r="N567" s="42"/>
    </row>
    <row r="568" spans="1:14" ht="24" customHeight="1">
      <c r="A568" s="8">
        <v>524</v>
      </c>
      <c r="B568" s="9">
        <v>524</v>
      </c>
      <c r="C568" s="46">
        <v>45982</v>
      </c>
      <c r="D568" s="9" t="s">
        <v>238</v>
      </c>
      <c r="E568" s="56" t="str">
        <f>IFERROR(VLOOKUP($D568,본공사입.출고현황!$B:$H,E$2080,0),0)</f>
        <v>Steel round bar</v>
      </c>
      <c r="F568" s="18" t="str">
        <f>IFERROR(VLOOKUP($D568,본공사입.출고현황!$B:$H,F$2080,0),0)</f>
        <v>Steel round bar(rebar)</v>
      </c>
      <c r="G568" s="18" t="str">
        <f>IFERROR(VLOOKUP($D568,본공사입.출고현황!$B:$H,G$2080,0),0)</f>
        <v>CCGG</v>
      </c>
      <c r="H568" s="18" t="str">
        <f>IFERROR(VLOOKUP($D568,본공사입.출고현황!$B:$H,H$2080,0),0)</f>
        <v>ф10, 1ton=1,620.7m</v>
      </c>
      <c r="I568" s="56" t="str">
        <f>IFERROR(VLOOKUP($D568,본공사입.출고현황!$B:$H,I$2080,0),0)</f>
        <v>M</v>
      </c>
      <c r="J568" s="9">
        <v>2</v>
      </c>
      <c r="K568" s="9" t="s">
        <v>360</v>
      </c>
      <c r="L568" s="37">
        <v>25</v>
      </c>
      <c r="M568" s="64" t="s">
        <v>358</v>
      </c>
      <c r="N568" s="42"/>
    </row>
    <row r="569" spans="1:14" ht="24" customHeight="1">
      <c r="A569" s="8">
        <v>525</v>
      </c>
      <c r="B569" s="9">
        <v>525</v>
      </c>
      <c r="C569" s="46">
        <v>45983</v>
      </c>
      <c r="D569" s="9" t="s">
        <v>238</v>
      </c>
      <c r="E569" s="56" t="str">
        <f>IFERROR(VLOOKUP($D569,본공사입.출고현황!$B:$H,E$2080,0),0)</f>
        <v>Steel round bar</v>
      </c>
      <c r="F569" s="18" t="str">
        <f>IFERROR(VLOOKUP($D569,본공사입.출고현황!$B:$H,F$2080,0),0)</f>
        <v>Steel round bar(rebar)</v>
      </c>
      <c r="G569" s="18" t="str">
        <f>IFERROR(VLOOKUP($D569,본공사입.출고현황!$B:$H,G$2080,0),0)</f>
        <v>CCGG</v>
      </c>
      <c r="H569" s="18" t="str">
        <f>IFERROR(VLOOKUP($D569,본공사입.출고현황!$B:$H,H$2080,0),0)</f>
        <v>ф10, 1ton=1,620.7m</v>
      </c>
      <c r="I569" s="56" t="str">
        <f>IFERROR(VLOOKUP($D569,본공사입.출고현황!$B:$H,I$2080,0),0)</f>
        <v>M</v>
      </c>
      <c r="J569" s="9">
        <v>3</v>
      </c>
      <c r="K569" s="9" t="s">
        <v>237</v>
      </c>
      <c r="L569" s="37">
        <v>25</v>
      </c>
      <c r="M569" s="64" t="s">
        <v>358</v>
      </c>
      <c r="N569" s="42"/>
    </row>
    <row r="570" spans="1:14" ht="24" customHeight="1">
      <c r="A570" s="8">
        <v>526</v>
      </c>
      <c r="B570" s="9">
        <v>526</v>
      </c>
      <c r="C570" s="46">
        <v>45983</v>
      </c>
      <c r="D570" s="9" t="s">
        <v>238</v>
      </c>
      <c r="E570" s="56" t="str">
        <f>IFERROR(VLOOKUP($D570,본공사입.출고현황!$B:$H,E$2080,0),0)</f>
        <v>Steel round bar</v>
      </c>
      <c r="F570" s="18" t="str">
        <f>IFERROR(VLOOKUP($D570,본공사입.출고현황!$B:$H,F$2080,0),0)</f>
        <v>Steel round bar(rebar)</v>
      </c>
      <c r="G570" s="18" t="str">
        <f>IFERROR(VLOOKUP($D570,본공사입.출고현황!$B:$H,G$2080,0),0)</f>
        <v>CCGG</v>
      </c>
      <c r="H570" s="18" t="str">
        <f>IFERROR(VLOOKUP($D570,본공사입.출고현황!$B:$H,H$2080,0),0)</f>
        <v>ф10, 1ton=1,620.7m</v>
      </c>
      <c r="I570" s="56" t="str">
        <f>IFERROR(VLOOKUP($D570,본공사입.출고현황!$B:$H,I$2080,0),0)</f>
        <v>M</v>
      </c>
      <c r="J570" s="9">
        <v>1</v>
      </c>
      <c r="K570" s="9" t="s">
        <v>352</v>
      </c>
      <c r="L570" s="37">
        <v>105</v>
      </c>
      <c r="M570" s="64" t="s">
        <v>358</v>
      </c>
      <c r="N570" s="42"/>
    </row>
    <row r="571" spans="1:14" ht="24" customHeight="1">
      <c r="A571" s="8">
        <v>527</v>
      </c>
      <c r="B571" s="9">
        <v>527</v>
      </c>
      <c r="C571" s="46">
        <v>45983</v>
      </c>
      <c r="D571" s="9" t="s">
        <v>238</v>
      </c>
      <c r="E571" s="56" t="str">
        <f>IFERROR(VLOOKUP($D571,본공사입.출고현황!$B:$H,E$2080,0),0)</f>
        <v>Steel round bar</v>
      </c>
      <c r="F571" s="18" t="str">
        <f>IFERROR(VLOOKUP($D571,본공사입.출고현황!$B:$H,F$2080,0),0)</f>
        <v>Steel round bar(rebar)</v>
      </c>
      <c r="G571" s="18" t="str">
        <f>IFERROR(VLOOKUP($D571,본공사입.출고현황!$B:$H,G$2080,0),0)</f>
        <v>CCGG</v>
      </c>
      <c r="H571" s="18" t="str">
        <f>IFERROR(VLOOKUP($D571,본공사입.출고현황!$B:$H,H$2080,0),0)</f>
        <v>ф10, 1ton=1,620.7m</v>
      </c>
      <c r="I571" s="56" t="str">
        <f>IFERROR(VLOOKUP($D571,본공사입.출고현황!$B:$H,I$2080,0),0)</f>
        <v>M</v>
      </c>
      <c r="J571" s="9">
        <v>1</v>
      </c>
      <c r="K571" s="9" t="s">
        <v>547</v>
      </c>
      <c r="L571" s="37">
        <v>40</v>
      </c>
      <c r="M571" s="64" t="s">
        <v>358</v>
      </c>
      <c r="N571" s="42"/>
    </row>
    <row r="572" spans="1:14" ht="24" customHeight="1">
      <c r="A572" s="8">
        <v>528</v>
      </c>
      <c r="B572" s="9">
        <v>528</v>
      </c>
      <c r="C572" s="46">
        <v>45983</v>
      </c>
      <c r="D572" s="9" t="s">
        <v>238</v>
      </c>
      <c r="E572" s="56" t="str">
        <f>IFERROR(VLOOKUP($D572,본공사입.출고현황!$B:$H,E$2080,0),0)</f>
        <v>Steel round bar</v>
      </c>
      <c r="F572" s="18" t="str">
        <f>IFERROR(VLOOKUP($D572,본공사입.출고현황!$B:$H,F$2080,0),0)</f>
        <v>Steel round bar(rebar)</v>
      </c>
      <c r="G572" s="18" t="str">
        <f>IFERROR(VLOOKUP($D572,본공사입.출고현황!$B:$H,G$2080,0),0)</f>
        <v>CCGG</v>
      </c>
      <c r="H572" s="18" t="str">
        <f>IFERROR(VLOOKUP($D572,본공사입.출고현황!$B:$H,H$2080,0),0)</f>
        <v>ф10, 1ton=1,620.7m</v>
      </c>
      <c r="I572" s="56" t="str">
        <f>IFERROR(VLOOKUP($D572,본공사입.출고현황!$B:$H,I$2080,0),0)</f>
        <v>M</v>
      </c>
      <c r="J572" s="9">
        <v>2</v>
      </c>
      <c r="K572" s="9" t="s">
        <v>360</v>
      </c>
      <c r="L572" s="37">
        <v>50</v>
      </c>
      <c r="M572" s="64" t="s">
        <v>358</v>
      </c>
      <c r="N572" s="42"/>
    </row>
    <row r="573" spans="1:14" ht="24" customHeight="1">
      <c r="A573" s="8">
        <v>529</v>
      </c>
      <c r="B573" s="9">
        <v>529</v>
      </c>
      <c r="C573" s="46">
        <v>45963</v>
      </c>
      <c r="D573" s="9" t="s">
        <v>238</v>
      </c>
      <c r="E573" s="56" t="str">
        <f>IFERROR(VLOOKUP($D573,본공사입.출고현황!$B:$H,E$2080,0),0)</f>
        <v>Steel round bar</v>
      </c>
      <c r="F573" s="18" t="str">
        <f>IFERROR(VLOOKUP($D573,본공사입.출고현황!$B:$H,F$2080,0),0)</f>
        <v>Steel round bar(rebar)</v>
      </c>
      <c r="G573" s="18" t="str">
        <f>IFERROR(VLOOKUP($D573,본공사입.출고현황!$B:$H,G$2080,0),0)</f>
        <v>CCGG</v>
      </c>
      <c r="H573" s="18" t="str">
        <f>IFERROR(VLOOKUP($D573,본공사입.출고현황!$B:$H,H$2080,0),0)</f>
        <v>ф10, 1ton=1,620.7m</v>
      </c>
      <c r="I573" s="56" t="str">
        <f>IFERROR(VLOOKUP($D573,본공사입.출고현황!$B:$H,I$2080,0),0)</f>
        <v>M</v>
      </c>
      <c r="J573" s="9">
        <v>4</v>
      </c>
      <c r="K573" s="9" t="s">
        <v>359</v>
      </c>
      <c r="L573" s="37">
        <v>50</v>
      </c>
      <c r="M573" s="64" t="s">
        <v>358</v>
      </c>
      <c r="N573" s="42"/>
    </row>
    <row r="574" spans="1:14" ht="24" customHeight="1">
      <c r="A574" s="8">
        <v>530</v>
      </c>
      <c r="B574" s="9">
        <v>530</v>
      </c>
      <c r="C574" s="46">
        <v>45984</v>
      </c>
      <c r="D574" s="9" t="s">
        <v>238</v>
      </c>
      <c r="E574" s="56" t="str">
        <f>IFERROR(VLOOKUP($D574,본공사입.출고현황!$B:$H,E$2080,0),0)</f>
        <v>Steel round bar</v>
      </c>
      <c r="F574" s="18" t="str">
        <f>IFERROR(VLOOKUP($D574,본공사입.출고현황!$B:$H,F$2080,0),0)</f>
        <v>Steel round bar(rebar)</v>
      </c>
      <c r="G574" s="18" t="str">
        <f>IFERROR(VLOOKUP($D574,본공사입.출고현황!$B:$H,G$2080,0),0)</f>
        <v>CCGG</v>
      </c>
      <c r="H574" s="18" t="str">
        <f>IFERROR(VLOOKUP($D574,본공사입.출고현황!$B:$H,H$2080,0),0)</f>
        <v>ф10, 1ton=1,620.7m</v>
      </c>
      <c r="I574" s="56" t="str">
        <f>IFERROR(VLOOKUP($D574,본공사입.출고현황!$B:$H,I$2080,0),0)</f>
        <v>M</v>
      </c>
      <c r="J574" s="9">
        <v>2</v>
      </c>
      <c r="K574" s="9" t="s">
        <v>546</v>
      </c>
      <c r="L574" s="37">
        <v>75</v>
      </c>
      <c r="M574" s="64" t="s">
        <v>358</v>
      </c>
      <c r="N574" s="42"/>
    </row>
    <row r="575" spans="1:14" ht="24" customHeight="1">
      <c r="A575" s="8">
        <v>531</v>
      </c>
      <c r="B575" s="9">
        <v>531</v>
      </c>
      <c r="C575" s="46">
        <v>45984</v>
      </c>
      <c r="D575" s="9" t="s">
        <v>238</v>
      </c>
      <c r="E575" s="56" t="str">
        <f>IFERROR(VLOOKUP($D575,본공사입.출고현황!$B:$H,E$2080,0),0)</f>
        <v>Steel round bar</v>
      </c>
      <c r="F575" s="18" t="str">
        <f>IFERROR(VLOOKUP($D575,본공사입.출고현황!$B:$H,F$2080,0),0)</f>
        <v>Steel round bar(rebar)</v>
      </c>
      <c r="G575" s="18" t="str">
        <f>IFERROR(VLOOKUP($D575,본공사입.출고현황!$B:$H,G$2080,0),0)</f>
        <v>CCGG</v>
      </c>
      <c r="H575" s="18" t="str">
        <f>IFERROR(VLOOKUP($D575,본공사입.출고현황!$B:$H,H$2080,0),0)</f>
        <v>ф10, 1ton=1,620.7m</v>
      </c>
      <c r="I575" s="56" t="str">
        <f>IFERROR(VLOOKUP($D575,본공사입.출고현황!$B:$H,I$2080,0),0)</f>
        <v>M</v>
      </c>
      <c r="J575" s="9">
        <v>1</v>
      </c>
      <c r="K575" s="9" t="s">
        <v>352</v>
      </c>
      <c r="L575" s="37">
        <v>115</v>
      </c>
      <c r="M575" s="64" t="s">
        <v>358</v>
      </c>
      <c r="N575" s="42"/>
    </row>
    <row r="576" spans="1:14" ht="24" customHeight="1">
      <c r="A576" s="8">
        <v>532</v>
      </c>
      <c r="B576" s="9">
        <v>532</v>
      </c>
      <c r="C576" s="46">
        <v>45984</v>
      </c>
      <c r="D576" s="9" t="s">
        <v>238</v>
      </c>
      <c r="E576" s="56" t="str">
        <f>IFERROR(VLOOKUP($D576,본공사입.출고현황!$B:$H,E$2080,0),0)</f>
        <v>Steel round bar</v>
      </c>
      <c r="F576" s="18" t="str">
        <f>IFERROR(VLOOKUP($D576,본공사입.출고현황!$B:$H,F$2080,0),0)</f>
        <v>Steel round bar(rebar)</v>
      </c>
      <c r="G576" s="18" t="str">
        <f>IFERROR(VLOOKUP($D576,본공사입.출고현황!$B:$H,G$2080,0),0)</f>
        <v>CCGG</v>
      </c>
      <c r="H576" s="18" t="str">
        <f>IFERROR(VLOOKUP($D576,본공사입.출고현황!$B:$H,H$2080,0),0)</f>
        <v>ф10, 1ton=1,620.7m</v>
      </c>
      <c r="I576" s="56" t="str">
        <f>IFERROR(VLOOKUP($D576,본공사입.출고현황!$B:$H,I$2080,0),0)</f>
        <v>M</v>
      </c>
      <c r="J576" s="9">
        <v>2</v>
      </c>
      <c r="K576" s="9" t="s">
        <v>360</v>
      </c>
      <c r="L576" s="37">
        <v>50</v>
      </c>
      <c r="M576" s="64" t="s">
        <v>358</v>
      </c>
      <c r="N576" s="42"/>
    </row>
    <row r="577" spans="1:14" ht="24" customHeight="1">
      <c r="A577" s="8">
        <v>533</v>
      </c>
      <c r="B577" s="9">
        <v>533</v>
      </c>
      <c r="C577" s="46">
        <v>45985</v>
      </c>
      <c r="D577" s="9" t="s">
        <v>238</v>
      </c>
      <c r="E577" s="56" t="str">
        <f>IFERROR(VLOOKUP($D577,본공사입.출고현황!$B:$H,E$2080,0),0)</f>
        <v>Steel round bar</v>
      </c>
      <c r="F577" s="18" t="str">
        <f>IFERROR(VLOOKUP($D577,본공사입.출고현황!$B:$H,F$2080,0),0)</f>
        <v>Steel round bar(rebar)</v>
      </c>
      <c r="G577" s="18" t="str">
        <f>IFERROR(VLOOKUP($D577,본공사입.출고현황!$B:$H,G$2080,0),0)</f>
        <v>CCGG</v>
      </c>
      <c r="H577" s="18" t="str">
        <f>IFERROR(VLOOKUP($D577,본공사입.출고현황!$B:$H,H$2080,0),0)</f>
        <v>ф10, 1ton=1,620.7m</v>
      </c>
      <c r="I577" s="56" t="str">
        <f>IFERROR(VLOOKUP($D577,본공사입.출고현황!$B:$H,I$2080,0),0)</f>
        <v>M</v>
      </c>
      <c r="J577" s="9">
        <v>1</v>
      </c>
      <c r="K577" s="9" t="s">
        <v>352</v>
      </c>
      <c r="L577" s="37">
        <v>100</v>
      </c>
      <c r="M577" s="64" t="s">
        <v>358</v>
      </c>
      <c r="N577" s="42"/>
    </row>
    <row r="578" spans="1:14" ht="24" customHeight="1">
      <c r="A578" s="8">
        <v>534</v>
      </c>
      <c r="B578" s="9">
        <v>534</v>
      </c>
      <c r="C578" s="46">
        <v>45985</v>
      </c>
      <c r="D578" s="9" t="s">
        <v>238</v>
      </c>
      <c r="E578" s="56" t="str">
        <f>IFERROR(VLOOKUP($D578,본공사입.출고현황!$B:$H,E$2080,0),0)</f>
        <v>Steel round bar</v>
      </c>
      <c r="F578" s="18" t="str">
        <f>IFERROR(VLOOKUP($D578,본공사입.출고현황!$B:$H,F$2080,0),0)</f>
        <v>Steel round bar(rebar)</v>
      </c>
      <c r="G578" s="18" t="str">
        <f>IFERROR(VLOOKUP($D578,본공사입.출고현황!$B:$H,G$2080,0),0)</f>
        <v>CCGG</v>
      </c>
      <c r="H578" s="18" t="str">
        <f>IFERROR(VLOOKUP($D578,본공사입.출고현황!$B:$H,H$2080,0),0)</f>
        <v>ф10, 1ton=1,620.7m</v>
      </c>
      <c r="I578" s="56" t="str">
        <f>IFERROR(VLOOKUP($D578,본공사입.출고현황!$B:$H,I$2080,0),0)</f>
        <v>M</v>
      </c>
      <c r="J578" s="9">
        <v>1</v>
      </c>
      <c r="K578" s="9" t="s">
        <v>363</v>
      </c>
      <c r="L578" s="37">
        <v>70</v>
      </c>
      <c r="M578" s="64" t="s">
        <v>358</v>
      </c>
      <c r="N578" s="42"/>
    </row>
    <row r="579" spans="1:14" ht="24" customHeight="1">
      <c r="A579" s="8">
        <v>535</v>
      </c>
      <c r="B579" s="9">
        <v>535</v>
      </c>
      <c r="C579" s="46">
        <v>45985</v>
      </c>
      <c r="D579" s="9" t="s">
        <v>238</v>
      </c>
      <c r="E579" s="56" t="str">
        <f>IFERROR(VLOOKUP($D579,본공사입.출고현황!$B:$H,E$2080,0),0)</f>
        <v>Steel round bar</v>
      </c>
      <c r="F579" s="18" t="str">
        <f>IFERROR(VLOOKUP($D579,본공사입.출고현황!$B:$H,F$2080,0),0)</f>
        <v>Steel round bar(rebar)</v>
      </c>
      <c r="G579" s="18" t="str">
        <f>IFERROR(VLOOKUP($D579,본공사입.출고현황!$B:$H,G$2080,0),0)</f>
        <v>CCGG</v>
      </c>
      <c r="H579" s="18" t="str">
        <f>IFERROR(VLOOKUP($D579,본공사입.출고현황!$B:$H,H$2080,0),0)</f>
        <v>ф10, 1ton=1,620.7m</v>
      </c>
      <c r="I579" s="56" t="str">
        <f>IFERROR(VLOOKUP($D579,본공사입.출고현황!$B:$H,I$2080,0),0)</f>
        <v>M</v>
      </c>
      <c r="J579" s="9">
        <v>1</v>
      </c>
      <c r="K579" s="9" t="s">
        <v>547</v>
      </c>
      <c r="L579" s="37">
        <v>20</v>
      </c>
      <c r="M579" s="64" t="s">
        <v>358</v>
      </c>
      <c r="N579" s="42"/>
    </row>
    <row r="580" spans="1:14" ht="24" customHeight="1">
      <c r="A580" s="8">
        <v>536</v>
      </c>
      <c r="B580" s="9">
        <v>536</v>
      </c>
      <c r="C580" s="46">
        <v>45985</v>
      </c>
      <c r="D580" s="9" t="s">
        <v>238</v>
      </c>
      <c r="E580" s="56" t="str">
        <f>IFERROR(VLOOKUP($D580,본공사입.출고현황!$B:$H,E$2080,0),0)</f>
        <v>Steel round bar</v>
      </c>
      <c r="F580" s="18" t="str">
        <f>IFERROR(VLOOKUP($D580,본공사입.출고현황!$B:$H,F$2080,0),0)</f>
        <v>Steel round bar(rebar)</v>
      </c>
      <c r="G580" s="18" t="str">
        <f>IFERROR(VLOOKUP($D580,본공사입.출고현황!$B:$H,G$2080,0),0)</f>
        <v>CCGG</v>
      </c>
      <c r="H580" s="18" t="str">
        <f>IFERROR(VLOOKUP($D580,본공사입.출고현황!$B:$H,H$2080,0),0)</f>
        <v>ф10, 1ton=1,620.7m</v>
      </c>
      <c r="I580" s="56" t="str">
        <f>IFERROR(VLOOKUP($D580,본공사입.출고현황!$B:$H,I$2080,0),0)</f>
        <v>M</v>
      </c>
      <c r="J580" s="9">
        <v>2</v>
      </c>
      <c r="K580" s="9" t="s">
        <v>360</v>
      </c>
      <c r="L580" s="37">
        <v>25</v>
      </c>
      <c r="M580" s="64" t="s">
        <v>358</v>
      </c>
      <c r="N580" s="42"/>
    </row>
    <row r="581" spans="1:14" ht="24" customHeight="1">
      <c r="A581" s="8">
        <v>537</v>
      </c>
      <c r="B581" s="9">
        <v>537</v>
      </c>
      <c r="C581" s="46">
        <v>45985</v>
      </c>
      <c r="D581" s="9" t="s">
        <v>238</v>
      </c>
      <c r="E581" s="56" t="str">
        <f>IFERROR(VLOOKUP($D581,본공사입.출고현황!$B:$H,E$2080,0),0)</f>
        <v>Steel round bar</v>
      </c>
      <c r="F581" s="18" t="str">
        <f>IFERROR(VLOOKUP($D581,본공사입.출고현황!$B:$H,F$2080,0),0)</f>
        <v>Steel round bar(rebar)</v>
      </c>
      <c r="G581" s="18" t="str">
        <f>IFERROR(VLOOKUP($D581,본공사입.출고현황!$B:$H,G$2080,0),0)</f>
        <v>CCGG</v>
      </c>
      <c r="H581" s="18" t="str">
        <f>IFERROR(VLOOKUP($D581,본공사입.출고현황!$B:$H,H$2080,0),0)</f>
        <v>ф10, 1ton=1,620.7m</v>
      </c>
      <c r="I581" s="56" t="str">
        <f>IFERROR(VLOOKUP($D581,본공사입.출고현황!$B:$H,I$2080,0),0)</f>
        <v>M</v>
      </c>
      <c r="J581" s="9">
        <v>4</v>
      </c>
      <c r="K581" s="9" t="s">
        <v>351</v>
      </c>
      <c r="L581" s="37">
        <v>20</v>
      </c>
      <c r="M581" s="64" t="s">
        <v>358</v>
      </c>
      <c r="N581" s="42"/>
    </row>
    <row r="582" spans="1:14" ht="24" customHeight="1">
      <c r="A582" s="8">
        <v>538</v>
      </c>
      <c r="B582" s="9">
        <v>538</v>
      </c>
      <c r="C582" s="46">
        <v>45985</v>
      </c>
      <c r="D582" s="9" t="s">
        <v>238</v>
      </c>
      <c r="E582" s="56" t="str">
        <f>IFERROR(VLOOKUP($D582,본공사입.출고현황!$B:$H,E$2080,0),0)</f>
        <v>Steel round bar</v>
      </c>
      <c r="F582" s="18" t="str">
        <f>IFERROR(VLOOKUP($D582,본공사입.출고현황!$B:$H,F$2080,0),0)</f>
        <v>Steel round bar(rebar)</v>
      </c>
      <c r="G582" s="18" t="str">
        <f>IFERROR(VLOOKUP($D582,본공사입.출고현황!$B:$H,G$2080,0),0)</f>
        <v>CCGG</v>
      </c>
      <c r="H582" s="18" t="str">
        <f>IFERROR(VLOOKUP($D582,본공사입.출고현황!$B:$H,H$2080,0),0)</f>
        <v>ф10, 1ton=1,620.7m</v>
      </c>
      <c r="I582" s="56" t="str">
        <f>IFERROR(VLOOKUP($D582,본공사입.출고현황!$B:$H,I$2080,0),0)</f>
        <v>M</v>
      </c>
      <c r="J582" s="9" t="s">
        <v>557</v>
      </c>
      <c r="K582" s="9" t="s">
        <v>553</v>
      </c>
      <c r="L582" s="37">
        <v>5</v>
      </c>
      <c r="M582" s="64" t="s">
        <v>358</v>
      </c>
      <c r="N582" s="42"/>
    </row>
    <row r="583" spans="1:14" ht="24" customHeight="1">
      <c r="A583" s="8">
        <v>539</v>
      </c>
      <c r="B583" s="9">
        <v>539</v>
      </c>
      <c r="C583" s="46">
        <v>45985</v>
      </c>
      <c r="D583" s="9" t="s">
        <v>61</v>
      </c>
      <c r="E583" s="56" t="str">
        <f>IFERROR(VLOOKUP($D583,본공사입.출고현황!$B:$H,E$2080,0),0)</f>
        <v>Angle</v>
      </c>
      <c r="F583" s="18" t="str">
        <f>IFERROR(VLOOKUP($D583,본공사입.출고현황!$B:$H,F$2080,0),0)</f>
        <v>Angle 100x100x10</v>
      </c>
      <c r="G583" s="18" t="str">
        <f>IFERROR(VLOOKUP($D583,본공사입.출고현황!$B:$H,G$2080,0),0)</f>
        <v>CCGG</v>
      </c>
      <c r="H583" s="18" t="str">
        <f>IFERROR(VLOOKUP($D583,본공사입.출고현황!$B:$H,H$2080,0),0)</f>
        <v>100x100x10 (12m)</v>
      </c>
      <c r="I583" s="56" t="str">
        <f>IFERROR(VLOOKUP($D583,본공사입.출고현황!$B:$H,I$2080,0),0)</f>
        <v>M</v>
      </c>
      <c r="J583" s="9" t="s">
        <v>557</v>
      </c>
      <c r="K583" s="9" t="s">
        <v>553</v>
      </c>
      <c r="L583" s="65">
        <v>1</v>
      </c>
      <c r="M583" s="64" t="s">
        <v>358</v>
      </c>
      <c r="N583" s="42"/>
    </row>
    <row r="584" spans="1:14" ht="24" customHeight="1">
      <c r="A584" s="8">
        <v>540</v>
      </c>
      <c r="B584" s="9">
        <v>540</v>
      </c>
      <c r="C584" s="46">
        <v>45986</v>
      </c>
      <c r="D584" s="9" t="s">
        <v>70</v>
      </c>
      <c r="E584" s="56" t="str">
        <f>IFERROR(VLOOKUP($D584,본공사입.출고현황!$B:$H,E$2080,0),0)</f>
        <v>Ground</v>
      </c>
      <c r="F584" s="18" t="str">
        <f>IFERROR(VLOOKUP($D584,본공사입.출고현황!$B:$H,F$2080,0),0)</f>
        <v>Ground Cable  70SQ</v>
      </c>
      <c r="G584" s="18" t="str">
        <f>IFERROR(VLOOKUP($D584,본공사입.출고현황!$B:$H,G$2080,0),0)</f>
        <v xml:space="preserve">Ground Cable </v>
      </c>
      <c r="H584" s="18" t="str">
        <f>IFERROR(VLOOKUP($D584,본공사입.출고현황!$B:$H,H$2080,0),0)</f>
        <v>70SQ</v>
      </c>
      <c r="I584" s="56" t="str">
        <f>IFERROR(VLOOKUP($D584,본공사입.출고현황!$B:$H,I$2080,0),0)</f>
        <v>M</v>
      </c>
      <c r="J584" s="9">
        <v>1</v>
      </c>
      <c r="K584" s="9" t="s">
        <v>363</v>
      </c>
      <c r="L584" s="37">
        <v>18</v>
      </c>
      <c r="M584" s="64" t="s">
        <v>409</v>
      </c>
      <c r="N584" s="42"/>
    </row>
    <row r="585" spans="1:14" ht="24" customHeight="1">
      <c r="A585" s="8">
        <v>541</v>
      </c>
      <c r="B585" s="9">
        <v>541</v>
      </c>
      <c r="C585" s="46">
        <v>45986</v>
      </c>
      <c r="D585" s="9" t="s">
        <v>86</v>
      </c>
      <c r="E585" s="56" t="str">
        <f>IFERROR(VLOOKUP($D585,본공사입.출고현황!$B:$H,E$2080,0),0)</f>
        <v>Ground</v>
      </c>
      <c r="F585" s="18" t="str">
        <f>IFERROR(VLOOKUP($D585,본공사입.출고현황!$B:$H,F$2080,0),0)</f>
        <v>Cadweld Powder #115</v>
      </c>
      <c r="G585" s="18" t="str">
        <f>IFERROR(VLOOKUP($D585,본공사입.출고현황!$B:$H,G$2080,0),0)</f>
        <v>Cadweld Powder</v>
      </c>
      <c r="H585" s="18" t="str">
        <f>IFERROR(VLOOKUP($D585,본공사입.출고현황!$B:$H,H$2080,0),0)</f>
        <v>#115</v>
      </c>
      <c r="I585" s="56" t="str">
        <f>IFERROR(VLOOKUP($D585,본공사입.출고현황!$B:$H,I$2080,0),0)</f>
        <v>EA</v>
      </c>
      <c r="J585" s="9">
        <v>1</v>
      </c>
      <c r="K585" s="9" t="s">
        <v>363</v>
      </c>
      <c r="L585" s="37">
        <v>5</v>
      </c>
      <c r="M585" s="64" t="s">
        <v>409</v>
      </c>
      <c r="N585" s="42"/>
    </row>
    <row r="586" spans="1:14" ht="24" customHeight="1">
      <c r="A586" s="8">
        <v>542</v>
      </c>
      <c r="B586" s="9">
        <v>542</v>
      </c>
      <c r="C586" s="46">
        <v>45986</v>
      </c>
      <c r="D586" s="9" t="s">
        <v>104</v>
      </c>
      <c r="E586" s="56" t="str">
        <f>IFERROR(VLOOKUP($D586,본공사입.출고현황!$B:$H,E$2080,0),0)</f>
        <v>Ground</v>
      </c>
      <c r="F586" s="18" t="str">
        <f>IFERROR(VLOOKUP($D586,본공사입.출고현황!$B:$H,F$2080,0),0)</f>
        <v>Cadweld PGC-Y4Y4</v>
      </c>
      <c r="G586" s="18" t="str">
        <f>IFERROR(VLOOKUP($D586,본공사입.출고현황!$B:$H,G$2080,0),0)</f>
        <v>Welding Mold</v>
      </c>
      <c r="H586" s="18" t="str">
        <f>IFERROR(VLOOKUP($D586,본공사입.출고현황!$B:$H,H$2080,0),0)</f>
        <v>Parallel (=)</v>
      </c>
      <c r="I586" s="56" t="str">
        <f>IFERROR(VLOOKUP($D586,본공사입.출고현황!$B:$H,I$2080,0),0)</f>
        <v>EA</v>
      </c>
      <c r="J586" s="9">
        <v>1</v>
      </c>
      <c r="K586" s="9" t="s">
        <v>363</v>
      </c>
      <c r="L586" s="37">
        <v>1</v>
      </c>
      <c r="M586" s="64" t="s">
        <v>409</v>
      </c>
      <c r="N586" s="42"/>
    </row>
    <row r="587" spans="1:14" ht="24" customHeight="1">
      <c r="A587" s="8">
        <v>543</v>
      </c>
      <c r="B587" s="9">
        <v>543</v>
      </c>
      <c r="C587" s="46">
        <v>45986</v>
      </c>
      <c r="D587" s="9" t="s">
        <v>111</v>
      </c>
      <c r="E587" s="56" t="str">
        <f>IFERROR(VLOOKUP($D587,본공사입.출고현황!$B:$H,E$2080,0),0)</f>
        <v>Ground Conduit</v>
      </c>
      <c r="F587" s="18" t="str">
        <f>IFERROR(VLOOKUP($D587,본공사입.출고현황!$B:$H,F$2080,0),0)</f>
        <v>Flexible Conduit 2"</v>
      </c>
      <c r="G587" s="18" t="str">
        <f>IFERROR(VLOOKUP($D587,본공사입.출고현황!$B:$H,G$2080,0),0)</f>
        <v>Ground Conduit</v>
      </c>
      <c r="H587" s="18" t="str">
        <f>IFERROR(VLOOKUP($D587,본공사입.출고현황!$B:$H,H$2080,0),0)</f>
        <v>2"</v>
      </c>
      <c r="I587" s="56" t="str">
        <f>IFERROR(VLOOKUP($D587,본공사입.출고현황!$B:$H,I$2080,0),0)</f>
        <v>M</v>
      </c>
      <c r="J587" s="9">
        <v>1</v>
      </c>
      <c r="K587" s="9" t="s">
        <v>363</v>
      </c>
      <c r="L587" s="37">
        <v>6</v>
      </c>
      <c r="M587" s="64" t="s">
        <v>409</v>
      </c>
      <c r="N587" s="42"/>
    </row>
    <row r="588" spans="1:14" ht="24" customHeight="1">
      <c r="A588" s="8">
        <v>544</v>
      </c>
      <c r="B588" s="9">
        <v>544</v>
      </c>
      <c r="C588" s="46">
        <v>45986</v>
      </c>
      <c r="D588" s="9" t="s">
        <v>238</v>
      </c>
      <c r="E588" s="56" t="str">
        <f>IFERROR(VLOOKUP($D588,본공사입.출고현황!$B:$H,E$2080,0),0)</f>
        <v>Steel round bar</v>
      </c>
      <c r="F588" s="18" t="str">
        <f>IFERROR(VLOOKUP($D588,본공사입.출고현황!$B:$H,F$2080,0),0)</f>
        <v>Steel round bar(rebar)</v>
      </c>
      <c r="G588" s="18" t="str">
        <f>IFERROR(VLOOKUP($D588,본공사입.출고현황!$B:$H,G$2080,0),0)</f>
        <v>CCGG</v>
      </c>
      <c r="H588" s="18" t="str">
        <f>IFERROR(VLOOKUP($D588,본공사입.출고현황!$B:$H,H$2080,0),0)</f>
        <v>ф10, 1ton=1,620.7m</v>
      </c>
      <c r="I588" s="56" t="str">
        <f>IFERROR(VLOOKUP($D588,본공사입.출고현황!$B:$H,I$2080,0),0)</f>
        <v>M</v>
      </c>
      <c r="J588" s="9" t="s">
        <v>557</v>
      </c>
      <c r="K588" s="9" t="s">
        <v>553</v>
      </c>
      <c r="L588" s="37">
        <v>60</v>
      </c>
      <c r="M588" s="64" t="s">
        <v>358</v>
      </c>
      <c r="N588" s="42"/>
    </row>
    <row r="589" spans="1:14" ht="24" customHeight="1">
      <c r="A589" s="8">
        <v>545</v>
      </c>
      <c r="B589" s="9">
        <v>545</v>
      </c>
      <c r="C589" s="46">
        <v>45986</v>
      </c>
      <c r="D589" s="9" t="s">
        <v>61</v>
      </c>
      <c r="E589" s="56" t="str">
        <f>IFERROR(VLOOKUP($D589,본공사입.출고현황!$B:$H,E$2080,0),0)</f>
        <v>Angle</v>
      </c>
      <c r="F589" s="18" t="str">
        <f>IFERROR(VLOOKUP($D589,본공사입.출고현황!$B:$H,F$2080,0),0)</f>
        <v>Angle 100x100x10</v>
      </c>
      <c r="G589" s="18" t="str">
        <f>IFERROR(VLOOKUP($D589,본공사입.출고현황!$B:$H,G$2080,0),0)</f>
        <v>CCGG</v>
      </c>
      <c r="H589" s="18" t="str">
        <f>IFERROR(VLOOKUP($D589,본공사입.출고현황!$B:$H,H$2080,0),0)</f>
        <v>100x100x10 (12m)</v>
      </c>
      <c r="I589" s="56" t="str">
        <f>IFERROR(VLOOKUP($D589,본공사입.출고현황!$B:$H,I$2080,0),0)</f>
        <v>M</v>
      </c>
      <c r="J589" s="9" t="s">
        <v>557</v>
      </c>
      <c r="K589" s="9" t="s">
        <v>553</v>
      </c>
      <c r="L589" s="65">
        <v>3.5</v>
      </c>
      <c r="M589" s="64" t="s">
        <v>358</v>
      </c>
      <c r="N589" s="42"/>
    </row>
    <row r="590" spans="1:14" ht="24" customHeight="1">
      <c r="A590" s="8">
        <v>546</v>
      </c>
      <c r="B590" s="9">
        <v>546</v>
      </c>
      <c r="C590" s="46">
        <v>45986</v>
      </c>
      <c r="D590" s="9" t="s">
        <v>238</v>
      </c>
      <c r="E590" s="56" t="str">
        <f>IFERROR(VLOOKUP($D590,본공사입.출고현황!$B:$H,E$2080,0),0)</f>
        <v>Steel round bar</v>
      </c>
      <c r="F590" s="18" t="str">
        <f>IFERROR(VLOOKUP($D590,본공사입.출고현황!$B:$H,F$2080,0),0)</f>
        <v>Steel round bar(rebar)</v>
      </c>
      <c r="G590" s="18" t="str">
        <f>IFERROR(VLOOKUP($D590,본공사입.출고현황!$B:$H,G$2080,0),0)</f>
        <v>CCGG</v>
      </c>
      <c r="H590" s="18" t="str">
        <f>IFERROR(VLOOKUP($D590,본공사입.출고현황!$B:$H,H$2080,0),0)</f>
        <v>ф10, 1ton=1,620.7m</v>
      </c>
      <c r="I590" s="56" t="str">
        <f>IFERROR(VLOOKUP($D590,본공사입.출고현황!$B:$H,I$2080,0),0)</f>
        <v>M</v>
      </c>
      <c r="J590" s="9">
        <v>1</v>
      </c>
      <c r="K590" s="9" t="s">
        <v>547</v>
      </c>
      <c r="L590" s="37">
        <v>30</v>
      </c>
      <c r="M590" s="64" t="s">
        <v>358</v>
      </c>
      <c r="N590" s="42"/>
    </row>
    <row r="591" spans="1:14" ht="24" customHeight="1">
      <c r="A591" s="8">
        <v>547</v>
      </c>
      <c r="B591" s="9">
        <v>547</v>
      </c>
      <c r="C591" s="46">
        <v>45986</v>
      </c>
      <c r="D591" s="9" t="s">
        <v>238</v>
      </c>
      <c r="E591" s="56" t="str">
        <f>IFERROR(VLOOKUP($D591,본공사입.출고현황!$B:$H,E$2080,0),0)</f>
        <v>Steel round bar</v>
      </c>
      <c r="F591" s="18" t="str">
        <f>IFERROR(VLOOKUP($D591,본공사입.출고현황!$B:$H,F$2080,0),0)</f>
        <v>Steel round bar(rebar)</v>
      </c>
      <c r="G591" s="18" t="str">
        <f>IFERROR(VLOOKUP($D591,본공사입.출고현황!$B:$H,G$2080,0),0)</f>
        <v>CCGG</v>
      </c>
      <c r="H591" s="18" t="str">
        <f>IFERROR(VLOOKUP($D591,본공사입.출고현황!$B:$H,H$2080,0),0)</f>
        <v>ф10, 1ton=1,620.7m</v>
      </c>
      <c r="I591" s="56" t="str">
        <f>IFERROR(VLOOKUP($D591,본공사입.출고현황!$B:$H,I$2080,0),0)</f>
        <v>M</v>
      </c>
      <c r="J591" s="9">
        <v>1</v>
      </c>
      <c r="K591" s="9" t="s">
        <v>352</v>
      </c>
      <c r="L591" s="37">
        <v>55</v>
      </c>
      <c r="M591" s="64" t="s">
        <v>358</v>
      </c>
      <c r="N591" s="42"/>
    </row>
    <row r="592" spans="1:14" ht="24" customHeight="1">
      <c r="A592" s="8">
        <v>548</v>
      </c>
      <c r="B592" s="9">
        <v>548</v>
      </c>
      <c r="C592" s="46">
        <v>45986</v>
      </c>
      <c r="D592" s="9" t="s">
        <v>61</v>
      </c>
      <c r="E592" s="56" t="str">
        <f>IFERROR(VLOOKUP($D592,본공사입.출고현황!$B:$H,E$2080,0),0)</f>
        <v>Angle</v>
      </c>
      <c r="F592" s="18" t="str">
        <f>IFERROR(VLOOKUP($D592,본공사입.출고현황!$B:$H,F$2080,0),0)</f>
        <v>Angle 100x100x10</v>
      </c>
      <c r="G592" s="18" t="str">
        <f>IFERROR(VLOOKUP($D592,본공사입.출고현황!$B:$H,G$2080,0),0)</f>
        <v>CCGG</v>
      </c>
      <c r="H592" s="18" t="str">
        <f>IFERROR(VLOOKUP($D592,본공사입.출고현황!$B:$H,H$2080,0),0)</f>
        <v>100x100x10 (12m)</v>
      </c>
      <c r="I592" s="56" t="str">
        <f>IFERROR(VLOOKUP($D592,본공사입.출고현황!$B:$H,I$2080,0),0)</f>
        <v>M</v>
      </c>
      <c r="J592" s="9">
        <v>1</v>
      </c>
      <c r="K592" s="9" t="s">
        <v>352</v>
      </c>
      <c r="L592" s="65">
        <v>1</v>
      </c>
      <c r="M592" s="64" t="s">
        <v>358</v>
      </c>
      <c r="N592" s="42"/>
    </row>
    <row r="593" spans="1:14" ht="24" customHeight="1">
      <c r="A593" s="8">
        <v>549</v>
      </c>
      <c r="B593" s="9">
        <v>549</v>
      </c>
      <c r="C593" s="46">
        <v>45986</v>
      </c>
      <c r="D593" s="9" t="s">
        <v>238</v>
      </c>
      <c r="E593" s="56" t="str">
        <f>IFERROR(VLOOKUP($D593,본공사입.출고현황!$B:$H,E$2080,0),0)</f>
        <v>Steel round bar</v>
      </c>
      <c r="F593" s="18" t="str">
        <f>IFERROR(VLOOKUP($D593,본공사입.출고현황!$B:$H,F$2080,0),0)</f>
        <v>Steel round bar(rebar)</v>
      </c>
      <c r="G593" s="18" t="str">
        <f>IFERROR(VLOOKUP($D593,본공사입.출고현황!$B:$H,G$2080,0),0)</f>
        <v>CCGG</v>
      </c>
      <c r="H593" s="18" t="str">
        <f>IFERROR(VLOOKUP($D593,본공사입.출고현황!$B:$H,H$2080,0),0)</f>
        <v>ф10, 1ton=1,620.7m</v>
      </c>
      <c r="I593" s="56" t="str">
        <f>IFERROR(VLOOKUP($D593,본공사입.출고현황!$B:$H,I$2080,0),0)</f>
        <v>M</v>
      </c>
      <c r="J593" s="9">
        <v>3</v>
      </c>
      <c r="K593" s="9" t="s">
        <v>550</v>
      </c>
      <c r="L593" s="37">
        <v>60</v>
      </c>
      <c r="M593" s="64" t="s">
        <v>358</v>
      </c>
      <c r="N593" s="42"/>
    </row>
    <row r="594" spans="1:14" ht="24" customHeight="1">
      <c r="A594" s="8">
        <v>550</v>
      </c>
      <c r="B594" s="9">
        <v>550</v>
      </c>
      <c r="C594" s="46">
        <v>45987</v>
      </c>
      <c r="D594" s="9" t="s">
        <v>61</v>
      </c>
      <c r="E594" s="56" t="str">
        <f>IFERROR(VLOOKUP($D594,본공사입.출고현황!$B:$H,E$2080,0),0)</f>
        <v>Angle</v>
      </c>
      <c r="F594" s="18" t="str">
        <f>IFERROR(VLOOKUP($D594,본공사입.출고현황!$B:$H,F$2080,0),0)</f>
        <v>Angle 100x100x10</v>
      </c>
      <c r="G594" s="18" t="str">
        <f>IFERROR(VLOOKUP($D594,본공사입.출고현황!$B:$H,G$2080,0),0)</f>
        <v>CCGG</v>
      </c>
      <c r="H594" s="18" t="str">
        <f>IFERROR(VLOOKUP($D594,본공사입.출고현황!$B:$H,H$2080,0),0)</f>
        <v>100x100x10 (12m)</v>
      </c>
      <c r="I594" s="56" t="str">
        <f>IFERROR(VLOOKUP($D594,본공사입.출고현황!$B:$H,I$2080,0),0)</f>
        <v>M</v>
      </c>
      <c r="J594" s="9" t="s">
        <v>557</v>
      </c>
      <c r="K594" s="9" t="s">
        <v>553</v>
      </c>
      <c r="L594" s="65">
        <v>3</v>
      </c>
      <c r="M594" s="64" t="s">
        <v>358</v>
      </c>
      <c r="N594" s="42"/>
    </row>
    <row r="595" spans="1:14" ht="24" customHeight="1">
      <c r="A595" s="8">
        <v>551</v>
      </c>
      <c r="B595" s="9">
        <v>551</v>
      </c>
      <c r="C595" s="46">
        <v>45987</v>
      </c>
      <c r="D595" s="9" t="s">
        <v>238</v>
      </c>
      <c r="E595" s="56" t="str">
        <f>IFERROR(VLOOKUP($D595,본공사입.출고현황!$B:$H,E$2080,0),0)</f>
        <v>Steel round bar</v>
      </c>
      <c r="F595" s="18" t="str">
        <f>IFERROR(VLOOKUP($D595,본공사입.출고현황!$B:$H,F$2080,0),0)</f>
        <v>Steel round bar(rebar)</v>
      </c>
      <c r="G595" s="18" t="str">
        <f>IFERROR(VLOOKUP($D595,본공사입.출고현황!$B:$H,G$2080,0),0)</f>
        <v>CCGG</v>
      </c>
      <c r="H595" s="18" t="str">
        <f>IFERROR(VLOOKUP($D595,본공사입.출고현황!$B:$H,H$2080,0),0)</f>
        <v>ф10, 1ton=1,620.7m</v>
      </c>
      <c r="I595" s="56" t="str">
        <f>IFERROR(VLOOKUP($D595,본공사입.출고현황!$B:$H,I$2080,0),0)</f>
        <v>M</v>
      </c>
      <c r="J595" s="9" t="s">
        <v>557</v>
      </c>
      <c r="K595" s="9" t="s">
        <v>553</v>
      </c>
      <c r="L595" s="37">
        <v>15</v>
      </c>
      <c r="M595" s="64" t="s">
        <v>358</v>
      </c>
      <c r="N595" s="42"/>
    </row>
    <row r="596" spans="1:14" ht="24" customHeight="1">
      <c r="A596" s="8">
        <v>552</v>
      </c>
      <c r="B596" s="9">
        <v>552</v>
      </c>
      <c r="C596" s="46">
        <v>45987</v>
      </c>
      <c r="D596" s="9" t="s">
        <v>238</v>
      </c>
      <c r="E596" s="56" t="str">
        <f>IFERROR(VLOOKUP($D596,본공사입.출고현황!$B:$H,E$2080,0),0)</f>
        <v>Steel round bar</v>
      </c>
      <c r="F596" s="18" t="str">
        <f>IFERROR(VLOOKUP($D596,본공사입.출고현황!$B:$H,F$2080,0),0)</f>
        <v>Steel round bar(rebar)</v>
      </c>
      <c r="G596" s="18" t="str">
        <f>IFERROR(VLOOKUP($D596,본공사입.출고현황!$B:$H,G$2080,0),0)</f>
        <v>CCGG</v>
      </c>
      <c r="H596" s="18" t="str">
        <f>IFERROR(VLOOKUP($D596,본공사입.출고현황!$B:$H,H$2080,0),0)</f>
        <v>ф10, 1ton=1,620.7m</v>
      </c>
      <c r="I596" s="56" t="str">
        <f>IFERROR(VLOOKUP($D596,본공사입.출고현황!$B:$H,I$2080,0),0)</f>
        <v>M</v>
      </c>
      <c r="J596" s="9">
        <v>1</v>
      </c>
      <c r="K596" s="9" t="s">
        <v>547</v>
      </c>
      <c r="L596" s="37">
        <v>15</v>
      </c>
      <c r="M596" s="64" t="s">
        <v>358</v>
      </c>
      <c r="N596" s="42"/>
    </row>
    <row r="597" spans="1:14" ht="24" customHeight="1">
      <c r="A597" s="8">
        <v>553</v>
      </c>
      <c r="B597" s="9">
        <v>553</v>
      </c>
      <c r="C597" s="46">
        <v>45987</v>
      </c>
      <c r="D597" s="9" t="s">
        <v>238</v>
      </c>
      <c r="E597" s="56" t="str">
        <f>IFERROR(VLOOKUP($D597,본공사입.출고현황!$B:$H,E$2080,0),0)</f>
        <v>Steel round bar</v>
      </c>
      <c r="F597" s="18" t="str">
        <f>IFERROR(VLOOKUP($D597,본공사입.출고현황!$B:$H,F$2080,0),0)</f>
        <v>Steel round bar(rebar)</v>
      </c>
      <c r="G597" s="18" t="str">
        <f>IFERROR(VLOOKUP($D597,본공사입.출고현황!$B:$H,G$2080,0),0)</f>
        <v>CCGG</v>
      </c>
      <c r="H597" s="18" t="str">
        <f>IFERROR(VLOOKUP($D597,본공사입.출고현황!$B:$H,H$2080,0),0)</f>
        <v>ф10, 1ton=1,620.7m</v>
      </c>
      <c r="I597" s="56" t="str">
        <f>IFERROR(VLOOKUP($D597,본공사입.출고현황!$B:$H,I$2080,0),0)</f>
        <v>M</v>
      </c>
      <c r="J597" s="9">
        <v>2</v>
      </c>
      <c r="K597" s="9" t="s">
        <v>360</v>
      </c>
      <c r="L597" s="37">
        <v>50</v>
      </c>
      <c r="M597" s="64" t="s">
        <v>358</v>
      </c>
      <c r="N597" s="42"/>
    </row>
    <row r="598" spans="1:14" ht="24" customHeight="1">
      <c r="A598" s="8">
        <v>554</v>
      </c>
      <c r="B598" s="9">
        <v>554</v>
      </c>
      <c r="C598" s="46">
        <v>45987</v>
      </c>
      <c r="D598" s="9" t="s">
        <v>238</v>
      </c>
      <c r="E598" s="56" t="str">
        <f>IFERROR(VLOOKUP($D598,본공사입.출고현황!$B:$H,E$2080,0),0)</f>
        <v>Steel round bar</v>
      </c>
      <c r="F598" s="18" t="str">
        <f>IFERROR(VLOOKUP($D598,본공사입.출고현황!$B:$H,F$2080,0),0)</f>
        <v>Steel round bar(rebar)</v>
      </c>
      <c r="G598" s="18" t="str">
        <f>IFERROR(VLOOKUP($D598,본공사입.출고현황!$B:$H,G$2080,0),0)</f>
        <v>CCGG</v>
      </c>
      <c r="H598" s="18" t="str">
        <f>IFERROR(VLOOKUP($D598,본공사입.출고현황!$B:$H,H$2080,0),0)</f>
        <v>ф10, 1ton=1,620.7m</v>
      </c>
      <c r="I598" s="56" t="str">
        <f>IFERROR(VLOOKUP($D598,본공사입.출고현황!$B:$H,I$2080,0),0)</f>
        <v>M</v>
      </c>
      <c r="J598" s="9">
        <v>4</v>
      </c>
      <c r="K598" s="9" t="s">
        <v>359</v>
      </c>
      <c r="L598" s="37">
        <v>25</v>
      </c>
      <c r="M598" s="64" t="s">
        <v>358</v>
      </c>
      <c r="N598" s="42"/>
    </row>
    <row r="599" spans="1:14" ht="24" customHeight="1">
      <c r="A599" s="8">
        <v>555</v>
      </c>
      <c r="B599" s="9">
        <v>555</v>
      </c>
      <c r="C599" s="46">
        <v>45987</v>
      </c>
      <c r="D599" s="9" t="s">
        <v>238</v>
      </c>
      <c r="E599" s="56" t="str">
        <f>IFERROR(VLOOKUP($D599,본공사입.출고현황!$B:$H,E$2080,0),0)</f>
        <v>Steel round bar</v>
      </c>
      <c r="F599" s="18" t="str">
        <f>IFERROR(VLOOKUP($D599,본공사입.출고현황!$B:$H,F$2080,0),0)</f>
        <v>Steel round bar(rebar)</v>
      </c>
      <c r="G599" s="18" t="str">
        <f>IFERROR(VLOOKUP($D599,본공사입.출고현황!$B:$H,G$2080,0),0)</f>
        <v>CCGG</v>
      </c>
      <c r="H599" s="18" t="str">
        <f>IFERROR(VLOOKUP($D599,본공사입.출고현황!$B:$H,H$2080,0),0)</f>
        <v>ф10, 1ton=1,620.7m</v>
      </c>
      <c r="I599" s="56" t="str">
        <f>IFERROR(VLOOKUP($D599,본공사입.출고현황!$B:$H,I$2080,0),0)</f>
        <v>M</v>
      </c>
      <c r="J599" s="9">
        <v>3</v>
      </c>
      <c r="K599" s="9" t="s">
        <v>237</v>
      </c>
      <c r="L599" s="37">
        <v>25</v>
      </c>
      <c r="M599" s="64" t="s">
        <v>358</v>
      </c>
      <c r="N599" s="42"/>
    </row>
    <row r="600" spans="1:14" ht="24" customHeight="1">
      <c r="A600" s="8">
        <v>556</v>
      </c>
      <c r="B600" s="9">
        <v>556</v>
      </c>
      <c r="C600" s="46">
        <v>45988</v>
      </c>
      <c r="D600" s="9" t="s">
        <v>238</v>
      </c>
      <c r="E600" s="56" t="str">
        <f>IFERROR(VLOOKUP($D600,본공사입.출고현황!$B:$H,E$2080,0),0)</f>
        <v>Steel round bar</v>
      </c>
      <c r="F600" s="18" t="str">
        <f>IFERROR(VLOOKUP($D600,본공사입.출고현황!$B:$H,F$2080,0),0)</f>
        <v>Steel round bar(rebar)</v>
      </c>
      <c r="G600" s="18" t="str">
        <f>IFERROR(VLOOKUP($D600,본공사입.출고현황!$B:$H,G$2080,0),0)</f>
        <v>CCGG</v>
      </c>
      <c r="H600" s="18" t="str">
        <f>IFERROR(VLOOKUP($D600,본공사입.출고현황!$B:$H,H$2080,0),0)</f>
        <v>ф10, 1ton=1,620.7m</v>
      </c>
      <c r="I600" s="56" t="str">
        <f>IFERROR(VLOOKUP($D600,본공사입.출고현황!$B:$H,I$2080,0),0)</f>
        <v>M</v>
      </c>
      <c r="J600" s="9">
        <v>4</v>
      </c>
      <c r="K600" s="9" t="s">
        <v>359</v>
      </c>
      <c r="L600" s="37">
        <v>50</v>
      </c>
      <c r="M600" s="64" t="s">
        <v>358</v>
      </c>
      <c r="N600" s="42"/>
    </row>
    <row r="601" spans="1:14" ht="24" customHeight="1">
      <c r="A601" s="8">
        <v>557</v>
      </c>
      <c r="B601" s="9">
        <v>557</v>
      </c>
      <c r="C601" s="46">
        <v>45988</v>
      </c>
      <c r="D601" s="9" t="s">
        <v>238</v>
      </c>
      <c r="E601" s="56" t="str">
        <f>IFERROR(VLOOKUP($D601,본공사입.출고현황!$B:$H,E$2080,0),0)</f>
        <v>Steel round bar</v>
      </c>
      <c r="F601" s="18" t="str">
        <f>IFERROR(VLOOKUP($D601,본공사입.출고현황!$B:$H,F$2080,0),0)</f>
        <v>Steel round bar(rebar)</v>
      </c>
      <c r="G601" s="18" t="str">
        <f>IFERROR(VLOOKUP($D601,본공사입.출고현황!$B:$H,G$2080,0),0)</f>
        <v>CCGG</v>
      </c>
      <c r="H601" s="18" t="str">
        <f>IFERROR(VLOOKUP($D601,본공사입.출고현황!$B:$H,H$2080,0),0)</f>
        <v>ф10, 1ton=1,620.7m</v>
      </c>
      <c r="I601" s="56" t="str">
        <f>IFERROR(VLOOKUP($D601,본공사입.출고현황!$B:$H,I$2080,0),0)</f>
        <v>M</v>
      </c>
      <c r="J601" s="9">
        <v>2</v>
      </c>
      <c r="K601" s="9" t="s">
        <v>546</v>
      </c>
      <c r="L601" s="37">
        <v>75</v>
      </c>
      <c r="M601" s="64" t="s">
        <v>358</v>
      </c>
      <c r="N601" s="42"/>
    </row>
    <row r="602" spans="1:14" ht="24" customHeight="1">
      <c r="A602" s="8">
        <v>558</v>
      </c>
      <c r="B602" s="9">
        <v>558</v>
      </c>
      <c r="C602" s="46">
        <v>45988</v>
      </c>
      <c r="D602" s="9" t="s">
        <v>238</v>
      </c>
      <c r="E602" s="56" t="str">
        <f>IFERROR(VLOOKUP($D602,본공사입.출고현황!$B:$H,E$2080,0),0)</f>
        <v>Steel round bar</v>
      </c>
      <c r="F602" s="18" t="str">
        <f>IFERROR(VLOOKUP($D602,본공사입.출고현황!$B:$H,F$2080,0),0)</f>
        <v>Steel round bar(rebar)</v>
      </c>
      <c r="G602" s="18" t="str">
        <f>IFERROR(VLOOKUP($D602,본공사입.출고현황!$B:$H,G$2080,0),0)</f>
        <v>CCGG</v>
      </c>
      <c r="H602" s="18" t="str">
        <f>IFERROR(VLOOKUP($D602,본공사입.출고현황!$B:$H,H$2080,0),0)</f>
        <v>ф10, 1ton=1,620.7m</v>
      </c>
      <c r="I602" s="56" t="str">
        <f>IFERROR(VLOOKUP($D602,본공사입.출고현황!$B:$H,I$2080,0),0)</f>
        <v>M</v>
      </c>
      <c r="J602" s="9">
        <v>1</v>
      </c>
      <c r="K602" s="9" t="s">
        <v>352</v>
      </c>
      <c r="L602" s="37">
        <v>115</v>
      </c>
      <c r="M602" s="64" t="s">
        <v>358</v>
      </c>
      <c r="N602" s="42"/>
    </row>
    <row r="603" spans="1:14" ht="24" customHeight="1">
      <c r="A603" s="8">
        <v>559</v>
      </c>
      <c r="B603" s="9">
        <v>559</v>
      </c>
      <c r="C603" s="46">
        <v>45988</v>
      </c>
      <c r="D603" s="9" t="s">
        <v>238</v>
      </c>
      <c r="E603" s="56" t="str">
        <f>IFERROR(VLOOKUP($D603,본공사입.출고현황!$B:$H,E$2080,0),0)</f>
        <v>Steel round bar</v>
      </c>
      <c r="F603" s="18" t="str">
        <f>IFERROR(VLOOKUP($D603,본공사입.출고현황!$B:$H,F$2080,0),0)</f>
        <v>Steel round bar(rebar)</v>
      </c>
      <c r="G603" s="18" t="str">
        <f>IFERROR(VLOOKUP($D603,본공사입.출고현황!$B:$H,G$2080,0),0)</f>
        <v>CCGG</v>
      </c>
      <c r="H603" s="18" t="str">
        <f>IFERROR(VLOOKUP($D603,본공사입.출고현황!$B:$H,H$2080,0),0)</f>
        <v>ф10, 1ton=1,620.7m</v>
      </c>
      <c r="I603" s="56" t="str">
        <f>IFERROR(VLOOKUP($D603,본공사입.출고현황!$B:$H,I$2080,0),0)</f>
        <v>M</v>
      </c>
      <c r="J603" s="9">
        <v>2</v>
      </c>
      <c r="K603" s="9" t="s">
        <v>360</v>
      </c>
      <c r="L603" s="37">
        <v>50</v>
      </c>
      <c r="M603" s="64" t="s">
        <v>358</v>
      </c>
      <c r="N603" s="42"/>
    </row>
    <row r="604" spans="1:14" ht="24" customHeight="1">
      <c r="A604" s="8">
        <v>560</v>
      </c>
      <c r="B604" s="9">
        <v>560</v>
      </c>
      <c r="C604" s="46">
        <v>45988</v>
      </c>
      <c r="D604" s="9" t="s">
        <v>238</v>
      </c>
      <c r="E604" s="56" t="str">
        <f>IFERROR(VLOOKUP($D604,본공사입.출고현황!$B:$H,E$2080,0),0)</f>
        <v>Steel round bar</v>
      </c>
      <c r="F604" s="18" t="str">
        <f>IFERROR(VLOOKUP($D604,본공사입.출고현황!$B:$H,F$2080,0),0)</f>
        <v>Steel round bar(rebar)</v>
      </c>
      <c r="G604" s="18" t="str">
        <f>IFERROR(VLOOKUP($D604,본공사입.출고현황!$B:$H,G$2080,0),0)</f>
        <v>CCGG</v>
      </c>
      <c r="H604" s="18" t="str">
        <f>IFERROR(VLOOKUP($D604,본공사입.출고현황!$B:$H,H$2080,0),0)</f>
        <v>ф10, 1ton=1,620.7m</v>
      </c>
      <c r="I604" s="56" t="str">
        <f>IFERROR(VLOOKUP($D604,본공사입.출고현황!$B:$H,I$2080,0),0)</f>
        <v>M</v>
      </c>
      <c r="J604" s="9">
        <v>3</v>
      </c>
      <c r="K604" s="9" t="s">
        <v>550</v>
      </c>
      <c r="L604" s="37">
        <v>15</v>
      </c>
      <c r="M604" s="64" t="s">
        <v>358</v>
      </c>
      <c r="N604" s="42"/>
    </row>
    <row r="605" spans="1:14" ht="24" customHeight="1">
      <c r="A605" s="8">
        <v>561</v>
      </c>
      <c r="B605" s="9">
        <v>561</v>
      </c>
      <c r="C605" s="46">
        <v>45988</v>
      </c>
      <c r="D605" s="9" t="s">
        <v>238</v>
      </c>
      <c r="E605" s="56" t="str">
        <f>IFERROR(VLOOKUP($D605,본공사입.출고현황!$B:$H,E$2080,0),0)</f>
        <v>Steel round bar</v>
      </c>
      <c r="F605" s="18" t="str">
        <f>IFERROR(VLOOKUP($D605,본공사입.출고현황!$B:$H,F$2080,0),0)</f>
        <v>Steel round bar(rebar)</v>
      </c>
      <c r="G605" s="18" t="str">
        <f>IFERROR(VLOOKUP($D605,본공사입.출고현황!$B:$H,G$2080,0),0)</f>
        <v>CCGG</v>
      </c>
      <c r="H605" s="18" t="str">
        <f>IFERROR(VLOOKUP($D605,본공사입.출고현황!$B:$H,H$2080,0),0)</f>
        <v>ф10, 1ton=1,620.7m</v>
      </c>
      <c r="I605" s="56" t="str">
        <f>IFERROR(VLOOKUP($D605,본공사입.출고현황!$B:$H,I$2080,0),0)</f>
        <v>M</v>
      </c>
      <c r="J605" s="9">
        <v>1</v>
      </c>
      <c r="K605" s="9" t="s">
        <v>363</v>
      </c>
      <c r="L605" s="37">
        <v>40</v>
      </c>
      <c r="M605" s="64" t="s">
        <v>358</v>
      </c>
      <c r="N605" s="42"/>
    </row>
    <row r="606" spans="1:14" ht="24" customHeight="1">
      <c r="A606" s="8">
        <v>562</v>
      </c>
      <c r="B606" s="9">
        <v>562</v>
      </c>
      <c r="C606" s="46">
        <v>45989</v>
      </c>
      <c r="D606" s="9" t="s">
        <v>238</v>
      </c>
      <c r="E606" s="56" t="str">
        <f>IFERROR(VLOOKUP($D606,본공사입.출고현황!$B:$H,E$2080,0),0)</f>
        <v>Steel round bar</v>
      </c>
      <c r="F606" s="18" t="str">
        <f>IFERROR(VLOOKUP($D606,본공사입.출고현황!$B:$H,F$2080,0),0)</f>
        <v>Steel round bar(rebar)</v>
      </c>
      <c r="G606" s="18" t="str">
        <f>IFERROR(VLOOKUP($D606,본공사입.출고현황!$B:$H,G$2080,0),0)</f>
        <v>CCGG</v>
      </c>
      <c r="H606" s="18" t="str">
        <f>IFERROR(VLOOKUP($D606,본공사입.출고현황!$B:$H,H$2080,0),0)</f>
        <v>ф10, 1ton=1,620.7m</v>
      </c>
      <c r="I606" s="56" t="str">
        <f>IFERROR(VLOOKUP($D606,본공사입.출고현황!$B:$H,I$2080,0),0)</f>
        <v>M</v>
      </c>
      <c r="J606" s="9">
        <v>1</v>
      </c>
      <c r="K606" s="9" t="s">
        <v>363</v>
      </c>
      <c r="L606" s="37">
        <v>125</v>
      </c>
      <c r="M606" s="64" t="s">
        <v>408</v>
      </c>
      <c r="N606" s="42"/>
    </row>
    <row r="607" spans="1:14" ht="24" customHeight="1">
      <c r="A607" s="8">
        <v>563</v>
      </c>
      <c r="B607" s="9">
        <v>563</v>
      </c>
      <c r="C607" s="46">
        <v>45989</v>
      </c>
      <c r="D607" s="9" t="s">
        <v>238</v>
      </c>
      <c r="E607" s="56" t="str">
        <f>IFERROR(VLOOKUP($D607,본공사입.출고현황!$B:$H,E$2080,0),0)</f>
        <v>Steel round bar</v>
      </c>
      <c r="F607" s="18" t="str">
        <f>IFERROR(VLOOKUP($D607,본공사입.출고현황!$B:$H,F$2080,0),0)</f>
        <v>Steel round bar(rebar)</v>
      </c>
      <c r="G607" s="18" t="str">
        <f>IFERROR(VLOOKUP($D607,본공사입.출고현황!$B:$H,G$2080,0),0)</f>
        <v>CCGG</v>
      </c>
      <c r="H607" s="18" t="str">
        <f>IFERROR(VLOOKUP($D607,본공사입.출고현황!$B:$H,H$2080,0),0)</f>
        <v>ф10, 1ton=1,620.7m</v>
      </c>
      <c r="I607" s="56" t="str">
        <f>IFERROR(VLOOKUP($D607,본공사입.출고현황!$B:$H,I$2080,0),0)</f>
        <v>M</v>
      </c>
      <c r="J607" s="9">
        <v>2</v>
      </c>
      <c r="K607" s="9" t="s">
        <v>546</v>
      </c>
      <c r="L607" s="37">
        <v>75</v>
      </c>
      <c r="M607" s="64" t="s">
        <v>408</v>
      </c>
      <c r="N607" s="42"/>
    </row>
    <row r="608" spans="1:14" ht="24" customHeight="1">
      <c r="A608" s="8">
        <v>564</v>
      </c>
      <c r="B608" s="9">
        <v>564</v>
      </c>
      <c r="C608" s="46">
        <v>45989</v>
      </c>
      <c r="D608" s="9" t="s">
        <v>238</v>
      </c>
      <c r="E608" s="56" t="str">
        <f>IFERROR(VLOOKUP($D608,본공사입.출고현황!$B:$H,E$2080,0),0)</f>
        <v>Steel round bar</v>
      </c>
      <c r="F608" s="18" t="str">
        <f>IFERROR(VLOOKUP($D608,본공사입.출고현황!$B:$H,F$2080,0),0)</f>
        <v>Steel round bar(rebar)</v>
      </c>
      <c r="G608" s="18" t="str">
        <f>IFERROR(VLOOKUP($D608,본공사입.출고현황!$B:$H,G$2080,0),0)</f>
        <v>CCGG</v>
      </c>
      <c r="H608" s="18" t="str">
        <f>IFERROR(VLOOKUP($D608,본공사입.출고현황!$B:$H,H$2080,0),0)</f>
        <v>ф10, 1ton=1,620.7m</v>
      </c>
      <c r="I608" s="56" t="str">
        <f>IFERROR(VLOOKUP($D608,본공사입.출고현황!$B:$H,I$2080,0),0)</f>
        <v>M</v>
      </c>
      <c r="J608" s="9">
        <v>2</v>
      </c>
      <c r="K608" s="9" t="s">
        <v>360</v>
      </c>
      <c r="L608" s="37">
        <v>75</v>
      </c>
      <c r="M608" s="64" t="s">
        <v>408</v>
      </c>
      <c r="N608" s="42"/>
    </row>
    <row r="609" spans="1:14" ht="24" customHeight="1">
      <c r="A609" s="8">
        <v>565</v>
      </c>
      <c r="B609" s="9">
        <v>565</v>
      </c>
      <c r="C609" s="46">
        <v>45989</v>
      </c>
      <c r="D609" s="9" t="s">
        <v>238</v>
      </c>
      <c r="E609" s="56" t="str">
        <f>IFERROR(VLOOKUP($D609,본공사입.출고현황!$B:$H,E$2080,0),0)</f>
        <v>Steel round bar</v>
      </c>
      <c r="F609" s="18" t="str">
        <f>IFERROR(VLOOKUP($D609,본공사입.출고현황!$B:$H,F$2080,0),0)</f>
        <v>Steel round bar(rebar)</v>
      </c>
      <c r="G609" s="18" t="str">
        <f>IFERROR(VLOOKUP($D609,본공사입.출고현황!$B:$H,G$2080,0),0)</f>
        <v>CCGG</v>
      </c>
      <c r="H609" s="18" t="str">
        <f>IFERROR(VLOOKUP($D609,본공사입.출고현황!$B:$H,H$2080,0),0)</f>
        <v>ф10, 1ton=1,620.7m</v>
      </c>
      <c r="I609" s="56" t="str">
        <f>IFERROR(VLOOKUP($D609,본공사입.출고현황!$B:$H,I$2080,0),0)</f>
        <v>M</v>
      </c>
      <c r="J609" s="9">
        <v>1</v>
      </c>
      <c r="K609" s="9" t="s">
        <v>547</v>
      </c>
      <c r="L609" s="37">
        <v>100</v>
      </c>
      <c r="M609" s="64" t="s">
        <v>408</v>
      </c>
      <c r="N609" s="42"/>
    </row>
    <row r="610" spans="1:14" ht="24" customHeight="1">
      <c r="A610" s="8">
        <v>566</v>
      </c>
      <c r="B610" s="9">
        <v>566</v>
      </c>
      <c r="C610" s="46">
        <v>45989</v>
      </c>
      <c r="D610" s="9" t="s">
        <v>238</v>
      </c>
      <c r="E610" s="56" t="str">
        <f>IFERROR(VLOOKUP($D610,본공사입.출고현황!$B:$H,E$2080,0),0)</f>
        <v>Steel round bar</v>
      </c>
      <c r="F610" s="18" t="str">
        <f>IFERROR(VLOOKUP($D610,본공사입.출고현황!$B:$H,F$2080,0),0)</f>
        <v>Steel round bar(rebar)</v>
      </c>
      <c r="G610" s="18" t="str">
        <f>IFERROR(VLOOKUP($D610,본공사입.출고현황!$B:$H,G$2080,0),0)</f>
        <v>CCGG</v>
      </c>
      <c r="H610" s="18" t="str">
        <f>IFERROR(VLOOKUP($D610,본공사입.출고현황!$B:$H,H$2080,0),0)</f>
        <v>ф10, 1ton=1,620.7m</v>
      </c>
      <c r="I610" s="56" t="str">
        <f>IFERROR(VLOOKUP($D610,본공사입.출고현황!$B:$H,I$2080,0),0)</f>
        <v>M</v>
      </c>
      <c r="J610" s="9">
        <v>1</v>
      </c>
      <c r="K610" s="9" t="s">
        <v>352</v>
      </c>
      <c r="L610" s="37">
        <v>75</v>
      </c>
      <c r="M610" s="64" t="s">
        <v>408</v>
      </c>
      <c r="N610" s="42"/>
    </row>
    <row r="611" spans="1:14" ht="24" customHeight="1">
      <c r="A611" s="8">
        <v>567</v>
      </c>
      <c r="B611" s="9">
        <v>567</v>
      </c>
      <c r="C611" s="46">
        <v>45989</v>
      </c>
      <c r="D611" s="9" t="s">
        <v>238</v>
      </c>
      <c r="E611" s="56" t="str">
        <f>IFERROR(VLOOKUP($D611,본공사입.출고현황!$B:$H,E$2080,0),0)</f>
        <v>Steel round bar</v>
      </c>
      <c r="F611" s="18" t="str">
        <f>IFERROR(VLOOKUP($D611,본공사입.출고현황!$B:$H,F$2080,0),0)</f>
        <v>Steel round bar(rebar)</v>
      </c>
      <c r="G611" s="18" t="str">
        <f>IFERROR(VLOOKUP($D611,본공사입.출고현황!$B:$H,G$2080,0),0)</f>
        <v>CCGG</v>
      </c>
      <c r="H611" s="18" t="str">
        <f>IFERROR(VLOOKUP($D611,본공사입.출고현황!$B:$H,H$2080,0),0)</f>
        <v>ф10, 1ton=1,620.7m</v>
      </c>
      <c r="I611" s="56" t="str">
        <f>IFERROR(VLOOKUP($D611,본공사입.출고현황!$B:$H,I$2080,0),0)</f>
        <v>M</v>
      </c>
      <c r="J611" s="9">
        <v>3</v>
      </c>
      <c r="K611" s="9" t="s">
        <v>550</v>
      </c>
      <c r="L611" s="37">
        <v>50</v>
      </c>
      <c r="M611" s="64" t="s">
        <v>408</v>
      </c>
      <c r="N611" s="42"/>
    </row>
    <row r="612" spans="1:14" ht="24" customHeight="1">
      <c r="A612" s="8">
        <v>568</v>
      </c>
      <c r="B612" s="9">
        <v>568</v>
      </c>
      <c r="C612" s="46">
        <v>45989</v>
      </c>
      <c r="D612" s="9" t="s">
        <v>238</v>
      </c>
      <c r="E612" s="56" t="str">
        <f>IFERROR(VLOOKUP($D612,본공사입.출고현황!$B:$H,E$2080,0),0)</f>
        <v>Steel round bar</v>
      </c>
      <c r="F612" s="18" t="str">
        <f>IFERROR(VLOOKUP($D612,본공사입.출고현황!$B:$H,F$2080,0),0)</f>
        <v>Steel round bar(rebar)</v>
      </c>
      <c r="G612" s="18" t="str">
        <f>IFERROR(VLOOKUP($D612,본공사입.출고현황!$B:$H,G$2080,0),0)</f>
        <v>CCGG</v>
      </c>
      <c r="H612" s="18" t="str">
        <f>IFERROR(VLOOKUP($D612,본공사입.출고현황!$B:$H,H$2080,0),0)</f>
        <v>ф10, 1ton=1,620.7m</v>
      </c>
      <c r="I612" s="56" t="str">
        <f>IFERROR(VLOOKUP($D612,본공사입.출고현황!$B:$H,I$2080,0),0)</f>
        <v>M</v>
      </c>
      <c r="J612" s="9">
        <v>2</v>
      </c>
      <c r="K612" s="9" t="s">
        <v>360</v>
      </c>
      <c r="L612" s="37">
        <v>30</v>
      </c>
      <c r="M612" s="64" t="s">
        <v>408</v>
      </c>
      <c r="N612" s="42"/>
    </row>
    <row r="613" spans="1:14" ht="24" customHeight="1">
      <c r="A613" s="8">
        <v>569</v>
      </c>
      <c r="B613" s="9">
        <v>569</v>
      </c>
      <c r="C613" s="46">
        <v>45990</v>
      </c>
      <c r="D613" s="9" t="s">
        <v>238</v>
      </c>
      <c r="E613" s="56" t="str">
        <f>IFERROR(VLOOKUP($D613,본공사입.출고현황!$B:$H,E$2080,0),0)</f>
        <v>Steel round bar</v>
      </c>
      <c r="F613" s="18" t="str">
        <f>IFERROR(VLOOKUP($D613,본공사입.출고현황!$B:$H,F$2080,0),0)</f>
        <v>Steel round bar(rebar)</v>
      </c>
      <c r="G613" s="18" t="str">
        <f>IFERROR(VLOOKUP($D613,본공사입.출고현황!$B:$H,G$2080,0),0)</f>
        <v>CCGG</v>
      </c>
      <c r="H613" s="18" t="str">
        <f>IFERROR(VLOOKUP($D613,본공사입.출고현황!$B:$H,H$2080,0),0)</f>
        <v>ф10, 1ton=1,620.7m</v>
      </c>
      <c r="I613" s="56" t="str">
        <f>IFERROR(VLOOKUP($D613,본공사입.출고현황!$B:$H,I$2080,0),0)</f>
        <v>M</v>
      </c>
      <c r="J613" s="9">
        <v>3</v>
      </c>
      <c r="K613" s="9" t="s">
        <v>237</v>
      </c>
      <c r="L613" s="37">
        <v>50</v>
      </c>
      <c r="M613" s="64" t="s">
        <v>408</v>
      </c>
      <c r="N613" s="42"/>
    </row>
    <row r="614" spans="1:14" ht="24" customHeight="1">
      <c r="A614" s="8">
        <v>570</v>
      </c>
      <c r="B614" s="9">
        <v>570</v>
      </c>
      <c r="C614" s="46">
        <v>45990</v>
      </c>
      <c r="D614" s="9" t="s">
        <v>238</v>
      </c>
      <c r="E614" s="56" t="str">
        <f>IFERROR(VLOOKUP($D614,본공사입.출고현황!$B:$H,E$2080,0),0)</f>
        <v>Steel round bar</v>
      </c>
      <c r="F614" s="18" t="str">
        <f>IFERROR(VLOOKUP($D614,본공사입.출고현황!$B:$H,F$2080,0),0)</f>
        <v>Steel round bar(rebar)</v>
      </c>
      <c r="G614" s="18" t="str">
        <f>IFERROR(VLOOKUP($D614,본공사입.출고현황!$B:$H,G$2080,0),0)</f>
        <v>CCGG</v>
      </c>
      <c r="H614" s="18" t="str">
        <f>IFERROR(VLOOKUP($D614,본공사입.출고현황!$B:$H,H$2080,0),0)</f>
        <v>ф10, 1ton=1,620.7m</v>
      </c>
      <c r="I614" s="56" t="str">
        <f>IFERROR(VLOOKUP($D614,본공사입.출고현황!$B:$H,I$2080,0),0)</f>
        <v>M</v>
      </c>
      <c r="J614" s="9">
        <v>1</v>
      </c>
      <c r="K614" s="9" t="s">
        <v>352</v>
      </c>
      <c r="L614" s="37">
        <v>105</v>
      </c>
      <c r="M614" s="64" t="s">
        <v>408</v>
      </c>
      <c r="N614" s="42"/>
    </row>
    <row r="615" spans="1:14" ht="24" customHeight="1">
      <c r="A615" s="8">
        <v>571</v>
      </c>
      <c r="B615" s="9">
        <v>571</v>
      </c>
      <c r="C615" s="46">
        <v>45990</v>
      </c>
      <c r="D615" s="9" t="s">
        <v>238</v>
      </c>
      <c r="E615" s="56" t="str">
        <f>IFERROR(VLOOKUP($D615,본공사입.출고현황!$B:$H,E$2080,0),0)</f>
        <v>Steel round bar</v>
      </c>
      <c r="F615" s="18" t="str">
        <f>IFERROR(VLOOKUP($D615,본공사입.출고현황!$B:$H,F$2080,0),0)</f>
        <v>Steel round bar(rebar)</v>
      </c>
      <c r="G615" s="18" t="str">
        <f>IFERROR(VLOOKUP($D615,본공사입.출고현황!$B:$H,G$2080,0),0)</f>
        <v>CCGG</v>
      </c>
      <c r="H615" s="18" t="str">
        <f>IFERROR(VLOOKUP($D615,본공사입.출고현황!$B:$H,H$2080,0),0)</f>
        <v>ф10, 1ton=1,620.7m</v>
      </c>
      <c r="I615" s="56" t="str">
        <f>IFERROR(VLOOKUP($D615,본공사입.출고현황!$B:$H,I$2080,0),0)</f>
        <v>M</v>
      </c>
      <c r="J615" s="9">
        <v>1</v>
      </c>
      <c r="K615" s="9" t="s">
        <v>547</v>
      </c>
      <c r="L615" s="37">
        <v>50</v>
      </c>
      <c r="M615" s="64" t="s">
        <v>408</v>
      </c>
      <c r="N615" s="42"/>
    </row>
    <row r="616" spans="1:14" ht="24" customHeight="1">
      <c r="A616" s="8">
        <v>572</v>
      </c>
      <c r="B616" s="9">
        <v>572</v>
      </c>
      <c r="C616" s="46">
        <v>45990</v>
      </c>
      <c r="D616" s="9" t="s">
        <v>238</v>
      </c>
      <c r="E616" s="56" t="str">
        <f>IFERROR(VLOOKUP($D616,본공사입.출고현황!$B:$H,E$2080,0),0)</f>
        <v>Steel round bar</v>
      </c>
      <c r="F616" s="18" t="str">
        <f>IFERROR(VLOOKUP($D616,본공사입.출고현황!$B:$H,F$2080,0),0)</f>
        <v>Steel round bar(rebar)</v>
      </c>
      <c r="G616" s="18" t="str">
        <f>IFERROR(VLOOKUP($D616,본공사입.출고현황!$B:$H,G$2080,0),0)</f>
        <v>CCGG</v>
      </c>
      <c r="H616" s="18" t="str">
        <f>IFERROR(VLOOKUP($D616,본공사입.출고현황!$B:$H,H$2080,0),0)</f>
        <v>ф10, 1ton=1,620.7m</v>
      </c>
      <c r="I616" s="56" t="str">
        <f>IFERROR(VLOOKUP($D616,본공사입.출고현황!$B:$H,I$2080,0),0)</f>
        <v>M</v>
      </c>
      <c r="J616" s="9">
        <v>2</v>
      </c>
      <c r="K616" s="9" t="s">
        <v>360</v>
      </c>
      <c r="L616" s="37">
        <v>50</v>
      </c>
      <c r="M616" s="64" t="s">
        <v>408</v>
      </c>
      <c r="N616" s="42"/>
    </row>
    <row r="617" spans="1:14" ht="24" customHeight="1">
      <c r="A617" s="8">
        <v>573</v>
      </c>
      <c r="B617" s="9">
        <v>573</v>
      </c>
      <c r="C617" s="46">
        <v>45990</v>
      </c>
      <c r="D617" s="9" t="s">
        <v>238</v>
      </c>
      <c r="E617" s="56" t="str">
        <f>IFERROR(VLOOKUP($D617,본공사입.출고현황!$B:$H,E$2080,0),0)</f>
        <v>Steel round bar</v>
      </c>
      <c r="F617" s="18" t="str">
        <f>IFERROR(VLOOKUP($D617,본공사입.출고현황!$B:$H,F$2080,0),0)</f>
        <v>Steel round bar(rebar)</v>
      </c>
      <c r="G617" s="18" t="str">
        <f>IFERROR(VLOOKUP($D617,본공사입.출고현황!$B:$H,G$2080,0),0)</f>
        <v>CCGG</v>
      </c>
      <c r="H617" s="18" t="str">
        <f>IFERROR(VLOOKUP($D617,본공사입.출고현황!$B:$H,H$2080,0),0)</f>
        <v>ф10, 1ton=1,620.7m</v>
      </c>
      <c r="I617" s="56" t="str">
        <f>IFERROR(VLOOKUP($D617,본공사입.출고현황!$B:$H,I$2080,0),0)</f>
        <v>M</v>
      </c>
      <c r="J617" s="9">
        <v>3</v>
      </c>
      <c r="K617" s="9" t="s">
        <v>237</v>
      </c>
      <c r="L617" s="37">
        <v>75</v>
      </c>
      <c r="M617" s="64" t="s">
        <v>408</v>
      </c>
      <c r="N617" s="42"/>
    </row>
    <row r="618" spans="1:14" ht="24" customHeight="1">
      <c r="A618" s="8">
        <v>574</v>
      </c>
      <c r="B618" s="9">
        <v>574</v>
      </c>
      <c r="C618" s="46">
        <v>45990</v>
      </c>
      <c r="D618" s="9" t="s">
        <v>238</v>
      </c>
      <c r="E618" s="56" t="str">
        <f>IFERROR(VLOOKUP($D618,본공사입.출고현황!$B:$H,E$2080,0),0)</f>
        <v>Steel round bar</v>
      </c>
      <c r="F618" s="18" t="str">
        <f>IFERROR(VLOOKUP($D618,본공사입.출고현황!$B:$H,F$2080,0),0)</f>
        <v>Steel round bar(rebar)</v>
      </c>
      <c r="G618" s="18" t="str">
        <f>IFERROR(VLOOKUP($D618,본공사입.출고현황!$B:$H,G$2080,0),0)</f>
        <v>CCGG</v>
      </c>
      <c r="H618" s="18" t="str">
        <f>IFERROR(VLOOKUP($D618,본공사입.출고현황!$B:$H,H$2080,0),0)</f>
        <v>ф10, 1ton=1,620.7m</v>
      </c>
      <c r="I618" s="56" t="str">
        <f>IFERROR(VLOOKUP($D618,본공사입.출고현황!$B:$H,I$2080,0),0)</f>
        <v>M</v>
      </c>
      <c r="J618" s="9">
        <v>1</v>
      </c>
      <c r="K618" s="9" t="s">
        <v>352</v>
      </c>
      <c r="L618" s="37">
        <v>125</v>
      </c>
      <c r="M618" s="64" t="s">
        <v>408</v>
      </c>
      <c r="N618" s="42"/>
    </row>
    <row r="619" spans="1:14" ht="24" customHeight="1">
      <c r="A619" s="8">
        <v>575</v>
      </c>
      <c r="B619" s="9">
        <v>575</v>
      </c>
      <c r="C619" s="46">
        <v>45991</v>
      </c>
      <c r="D619" s="9" t="s">
        <v>238</v>
      </c>
      <c r="E619" s="56" t="str">
        <f>IFERROR(VLOOKUP($D619,본공사입.출고현황!$B:$H,E$2080,0),0)</f>
        <v>Steel round bar</v>
      </c>
      <c r="F619" s="18" t="str">
        <f>IFERROR(VLOOKUP($D619,본공사입.출고현황!$B:$H,F$2080,0),0)</f>
        <v>Steel round bar(rebar)</v>
      </c>
      <c r="G619" s="18" t="str">
        <f>IFERROR(VLOOKUP($D619,본공사입.출고현황!$B:$H,G$2080,0),0)</f>
        <v>CCGG</v>
      </c>
      <c r="H619" s="18" t="str">
        <f>IFERROR(VLOOKUP($D619,본공사입.출고현황!$B:$H,H$2080,0),0)</f>
        <v>ф10, 1ton=1,620.7m</v>
      </c>
      <c r="I619" s="56" t="str">
        <f>IFERROR(VLOOKUP($D619,본공사입.출고현황!$B:$H,I$2080,0),0)</f>
        <v>M</v>
      </c>
      <c r="J619" s="9">
        <v>4</v>
      </c>
      <c r="K619" s="9" t="s">
        <v>359</v>
      </c>
      <c r="L619" s="37">
        <v>50</v>
      </c>
      <c r="M619" s="64" t="s">
        <v>358</v>
      </c>
      <c r="N619" s="42"/>
    </row>
    <row r="620" spans="1:14" ht="24" customHeight="1">
      <c r="A620" s="8">
        <v>576</v>
      </c>
      <c r="B620" s="9">
        <v>576</v>
      </c>
      <c r="C620" s="46">
        <v>45991</v>
      </c>
      <c r="D620" s="9" t="s">
        <v>238</v>
      </c>
      <c r="E620" s="56" t="str">
        <f>IFERROR(VLOOKUP($D620,본공사입.출고현황!$B:$H,E$2080,0),0)</f>
        <v>Steel round bar</v>
      </c>
      <c r="F620" s="18" t="str">
        <f>IFERROR(VLOOKUP($D620,본공사입.출고현황!$B:$H,F$2080,0),0)</f>
        <v>Steel round bar(rebar)</v>
      </c>
      <c r="G620" s="18" t="str">
        <f>IFERROR(VLOOKUP($D620,본공사입.출고현황!$B:$H,G$2080,0),0)</f>
        <v>CCGG</v>
      </c>
      <c r="H620" s="18" t="str">
        <f>IFERROR(VLOOKUP($D620,본공사입.출고현황!$B:$H,H$2080,0),0)</f>
        <v>ф10, 1ton=1,620.7m</v>
      </c>
      <c r="I620" s="56" t="str">
        <f>IFERROR(VLOOKUP($D620,본공사입.출고현황!$B:$H,I$2080,0),0)</f>
        <v>M</v>
      </c>
      <c r="J620" s="9">
        <v>2</v>
      </c>
      <c r="K620" s="9" t="s">
        <v>546</v>
      </c>
      <c r="L620" s="37">
        <v>75</v>
      </c>
      <c r="M620" s="64" t="s">
        <v>358</v>
      </c>
      <c r="N620" s="42"/>
    </row>
    <row r="621" spans="1:14" ht="24" customHeight="1">
      <c r="A621" s="8">
        <v>577</v>
      </c>
      <c r="B621" s="9">
        <v>577</v>
      </c>
      <c r="C621" s="46">
        <v>45991</v>
      </c>
      <c r="D621" s="9" t="s">
        <v>238</v>
      </c>
      <c r="E621" s="56" t="str">
        <f>IFERROR(VLOOKUP($D621,본공사입.출고현황!$B:$H,E$2080,0),0)</f>
        <v>Steel round bar</v>
      </c>
      <c r="F621" s="18" t="str">
        <f>IFERROR(VLOOKUP($D621,본공사입.출고현황!$B:$H,F$2080,0),0)</f>
        <v>Steel round bar(rebar)</v>
      </c>
      <c r="G621" s="18" t="str">
        <f>IFERROR(VLOOKUP($D621,본공사입.출고현황!$B:$H,G$2080,0),0)</f>
        <v>CCGG</v>
      </c>
      <c r="H621" s="18" t="str">
        <f>IFERROR(VLOOKUP($D621,본공사입.출고현황!$B:$H,H$2080,0),0)</f>
        <v>ф10, 1ton=1,620.7m</v>
      </c>
      <c r="I621" s="56" t="str">
        <f>IFERROR(VLOOKUP($D621,본공사입.출고현황!$B:$H,I$2080,0),0)</f>
        <v>M</v>
      </c>
      <c r="J621" s="9">
        <v>1</v>
      </c>
      <c r="K621" s="9" t="s">
        <v>352</v>
      </c>
      <c r="L621" s="37">
        <v>115</v>
      </c>
      <c r="M621" s="64" t="s">
        <v>358</v>
      </c>
      <c r="N621" s="42"/>
    </row>
    <row r="622" spans="1:14" ht="24" customHeight="1">
      <c r="A622" s="8">
        <v>578</v>
      </c>
      <c r="B622" s="9">
        <v>578</v>
      </c>
      <c r="C622" s="46">
        <v>45991</v>
      </c>
      <c r="D622" s="9" t="s">
        <v>238</v>
      </c>
      <c r="E622" s="56" t="str">
        <f>IFERROR(VLOOKUP($D622,본공사입.출고현황!$B:$H,E$2080,0),0)</f>
        <v>Steel round bar</v>
      </c>
      <c r="F622" s="18" t="str">
        <f>IFERROR(VLOOKUP($D622,본공사입.출고현황!$B:$H,F$2080,0),0)</f>
        <v>Steel round bar(rebar)</v>
      </c>
      <c r="G622" s="18" t="str">
        <f>IFERROR(VLOOKUP($D622,본공사입.출고현황!$B:$H,G$2080,0),0)</f>
        <v>CCGG</v>
      </c>
      <c r="H622" s="18" t="str">
        <f>IFERROR(VLOOKUP($D622,본공사입.출고현황!$B:$H,H$2080,0),0)</f>
        <v>ф10, 1ton=1,620.7m</v>
      </c>
      <c r="I622" s="56" t="str">
        <f>IFERROR(VLOOKUP($D622,본공사입.출고현황!$B:$H,I$2080,0),0)</f>
        <v>M</v>
      </c>
      <c r="J622" s="9">
        <v>2</v>
      </c>
      <c r="K622" s="9" t="s">
        <v>360</v>
      </c>
      <c r="L622" s="37">
        <v>50</v>
      </c>
      <c r="M622" s="64" t="s">
        <v>358</v>
      </c>
      <c r="N622" s="42"/>
    </row>
    <row r="623" spans="1:14" ht="24" customHeight="1">
      <c r="A623" s="8">
        <v>579</v>
      </c>
      <c r="B623" s="9">
        <v>579</v>
      </c>
      <c r="C623" s="46">
        <v>45991</v>
      </c>
      <c r="D623" s="9" t="s">
        <v>238</v>
      </c>
      <c r="E623" s="56" t="str">
        <f>IFERROR(VLOOKUP($D623,본공사입.출고현황!$B:$H,E$2080,0),0)</f>
        <v>Steel round bar</v>
      </c>
      <c r="F623" s="18" t="str">
        <f>IFERROR(VLOOKUP($D623,본공사입.출고현황!$B:$H,F$2080,0),0)</f>
        <v>Steel round bar(rebar)</v>
      </c>
      <c r="G623" s="18" t="str">
        <f>IFERROR(VLOOKUP($D623,본공사입.출고현황!$B:$H,G$2080,0),0)</f>
        <v>CCGG</v>
      </c>
      <c r="H623" s="18" t="str">
        <f>IFERROR(VLOOKUP($D623,본공사입.출고현황!$B:$H,H$2080,0),0)</f>
        <v>ф10, 1ton=1,620.7m</v>
      </c>
      <c r="I623" s="56" t="str">
        <f>IFERROR(VLOOKUP($D623,본공사입.출고현황!$B:$H,I$2080,0),0)</f>
        <v>M</v>
      </c>
      <c r="J623" s="9">
        <v>3</v>
      </c>
      <c r="K623" s="9" t="s">
        <v>550</v>
      </c>
      <c r="L623" s="37">
        <v>15</v>
      </c>
      <c r="M623" s="64" t="s">
        <v>358</v>
      </c>
      <c r="N623" s="42"/>
    </row>
    <row r="624" spans="1:14" ht="24" customHeight="1">
      <c r="A624" s="8">
        <v>580</v>
      </c>
      <c r="B624" s="9">
        <v>580</v>
      </c>
      <c r="C624" s="46">
        <v>45991</v>
      </c>
      <c r="D624" s="9" t="s">
        <v>238</v>
      </c>
      <c r="E624" s="56" t="str">
        <f>IFERROR(VLOOKUP($D624,본공사입.출고현황!$B:$H,E$2080,0),0)</f>
        <v>Steel round bar</v>
      </c>
      <c r="F624" s="18" t="str">
        <f>IFERROR(VLOOKUP($D624,본공사입.출고현황!$B:$H,F$2080,0),0)</f>
        <v>Steel round bar(rebar)</v>
      </c>
      <c r="G624" s="18" t="str">
        <f>IFERROR(VLOOKUP($D624,본공사입.출고현황!$B:$H,G$2080,0),0)</f>
        <v>CCGG</v>
      </c>
      <c r="H624" s="18" t="str">
        <f>IFERROR(VLOOKUP($D624,본공사입.출고현황!$B:$H,H$2080,0),0)</f>
        <v>ф10, 1ton=1,620.7m</v>
      </c>
      <c r="I624" s="56" t="str">
        <f>IFERROR(VLOOKUP($D624,본공사입.출고현황!$B:$H,I$2080,0),0)</f>
        <v>M</v>
      </c>
      <c r="J624" s="9">
        <v>1</v>
      </c>
      <c r="K624" s="9" t="s">
        <v>363</v>
      </c>
      <c r="L624" s="37">
        <v>40</v>
      </c>
      <c r="M624" s="64" t="s">
        <v>358</v>
      </c>
      <c r="N624" s="42"/>
    </row>
    <row r="625" spans="1:14" ht="24" customHeight="1">
      <c r="A625" s="8">
        <v>581</v>
      </c>
      <c r="B625" s="9">
        <v>581</v>
      </c>
      <c r="C625" s="46">
        <v>45991</v>
      </c>
      <c r="D625" s="9" t="s">
        <v>238</v>
      </c>
      <c r="E625" s="56" t="str">
        <f>IFERROR(VLOOKUP($D625,본공사입.출고현황!$B:$H,E$2080,0),0)</f>
        <v>Steel round bar</v>
      </c>
      <c r="F625" s="18" t="str">
        <f>IFERROR(VLOOKUP($D625,본공사입.출고현황!$B:$H,F$2080,0),0)</f>
        <v>Steel round bar(rebar)</v>
      </c>
      <c r="G625" s="18" t="str">
        <f>IFERROR(VLOOKUP($D625,본공사입.출고현황!$B:$H,G$2080,0),0)</f>
        <v>CCGG</v>
      </c>
      <c r="H625" s="18" t="str">
        <f>IFERROR(VLOOKUP($D625,본공사입.출고현황!$B:$H,H$2080,0),0)</f>
        <v>ф10, 1ton=1,620.7m</v>
      </c>
      <c r="I625" s="56" t="str">
        <f>IFERROR(VLOOKUP($D625,본공사입.출고현황!$B:$H,I$2080,0),0)</f>
        <v>M</v>
      </c>
      <c r="J625" s="9">
        <v>1</v>
      </c>
      <c r="K625" s="9" t="s">
        <v>547</v>
      </c>
      <c r="L625" s="37">
        <v>20</v>
      </c>
      <c r="M625" s="64" t="s">
        <v>358</v>
      </c>
      <c r="N625" s="42"/>
    </row>
    <row r="626" spans="1:14" ht="24" customHeight="1">
      <c r="A626" s="8">
        <v>582</v>
      </c>
      <c r="B626" s="9">
        <v>582</v>
      </c>
      <c r="C626" s="46">
        <v>45991</v>
      </c>
      <c r="D626" s="9" t="s">
        <v>238</v>
      </c>
      <c r="E626" s="56" t="str">
        <f>IFERROR(VLOOKUP($D626,본공사입.출고현황!$B:$H,E$2080,0),0)</f>
        <v>Steel round bar</v>
      </c>
      <c r="F626" s="18" t="str">
        <f>IFERROR(VLOOKUP($D626,본공사입.출고현황!$B:$H,F$2080,0),0)</f>
        <v>Steel round bar(rebar)</v>
      </c>
      <c r="G626" s="18" t="str">
        <f>IFERROR(VLOOKUP($D626,본공사입.출고현황!$B:$H,G$2080,0),0)</f>
        <v>CCGG</v>
      </c>
      <c r="H626" s="18" t="str">
        <f>IFERROR(VLOOKUP($D626,본공사입.출고현황!$B:$H,H$2080,0),0)</f>
        <v>ф10, 1ton=1,620.7m</v>
      </c>
      <c r="I626" s="56" t="str">
        <f>IFERROR(VLOOKUP($D626,본공사입.출고현황!$B:$H,I$2080,0),0)</f>
        <v>M</v>
      </c>
      <c r="J626" s="9">
        <v>1</v>
      </c>
      <c r="K626" s="9" t="s">
        <v>363</v>
      </c>
      <c r="L626" s="37">
        <v>20</v>
      </c>
      <c r="M626" s="64" t="s">
        <v>358</v>
      </c>
      <c r="N626" s="42"/>
    </row>
    <row r="627" spans="1:14" ht="24" customHeight="1">
      <c r="A627" s="8">
        <v>583</v>
      </c>
      <c r="B627" s="9">
        <v>583</v>
      </c>
      <c r="C627" s="46">
        <v>45992</v>
      </c>
      <c r="D627" s="9" t="s">
        <v>238</v>
      </c>
      <c r="E627" s="56" t="str">
        <f>IFERROR(VLOOKUP($D627,본공사입.출고현황!$B:$H,E$2080,0),0)</f>
        <v>Steel round bar</v>
      </c>
      <c r="F627" s="18" t="str">
        <f>IFERROR(VLOOKUP($D627,본공사입.출고현황!$B:$H,F$2080,0),0)</f>
        <v>Steel round bar(rebar)</v>
      </c>
      <c r="G627" s="18" t="str">
        <f>IFERROR(VLOOKUP($D627,본공사입.출고현황!$B:$H,G$2080,0),0)</f>
        <v>CCGG</v>
      </c>
      <c r="H627" s="18" t="str">
        <f>IFERROR(VLOOKUP($D627,본공사입.출고현황!$B:$H,H$2080,0),0)</f>
        <v>ф10, 1ton=1,620.7m</v>
      </c>
      <c r="I627" s="56" t="str">
        <f>IFERROR(VLOOKUP($D627,본공사입.출고현황!$B:$H,I$2080,0),0)</f>
        <v>M</v>
      </c>
      <c r="J627" s="9">
        <v>3</v>
      </c>
      <c r="K627" s="9" t="s">
        <v>550</v>
      </c>
      <c r="L627" s="37">
        <v>20</v>
      </c>
      <c r="M627" s="64" t="s">
        <v>358</v>
      </c>
      <c r="N627" s="42"/>
    </row>
    <row r="628" spans="1:14" ht="24" customHeight="1">
      <c r="A628" s="8">
        <v>584</v>
      </c>
      <c r="B628" s="9">
        <v>584</v>
      </c>
      <c r="C628" s="46">
        <v>45992</v>
      </c>
      <c r="D628" s="9" t="s">
        <v>238</v>
      </c>
      <c r="E628" s="56" t="str">
        <f>IFERROR(VLOOKUP($D628,본공사입.출고현황!$B:$H,E$2080,0),0)</f>
        <v>Steel round bar</v>
      </c>
      <c r="F628" s="18" t="str">
        <f>IFERROR(VLOOKUP($D628,본공사입.출고현황!$B:$H,F$2080,0),0)</f>
        <v>Steel round bar(rebar)</v>
      </c>
      <c r="G628" s="18" t="str">
        <f>IFERROR(VLOOKUP($D628,본공사입.출고현황!$B:$H,G$2080,0),0)</f>
        <v>CCGG</v>
      </c>
      <c r="H628" s="18" t="str">
        <f>IFERROR(VLOOKUP($D628,본공사입.출고현황!$B:$H,H$2080,0),0)</f>
        <v>ф10, 1ton=1,620.7m</v>
      </c>
      <c r="I628" s="56" t="str">
        <f>IFERROR(VLOOKUP($D628,본공사입.출고현황!$B:$H,I$2080,0),0)</f>
        <v>M</v>
      </c>
      <c r="J628" s="9">
        <v>2</v>
      </c>
      <c r="K628" s="9" t="s">
        <v>360</v>
      </c>
      <c r="L628" s="37">
        <v>25</v>
      </c>
      <c r="M628" s="64" t="s">
        <v>358</v>
      </c>
      <c r="N628" s="42"/>
    </row>
    <row r="629" spans="1:14" ht="24" customHeight="1">
      <c r="A629" s="8">
        <v>585</v>
      </c>
      <c r="B629" s="9">
        <v>585</v>
      </c>
      <c r="C629" s="46">
        <v>45992</v>
      </c>
      <c r="D629" s="9" t="s">
        <v>238</v>
      </c>
      <c r="E629" s="56" t="str">
        <f>IFERROR(VLOOKUP($D629,본공사입.출고현황!$B:$H,E$2080,0),0)</f>
        <v>Steel round bar</v>
      </c>
      <c r="F629" s="18" t="str">
        <f>IFERROR(VLOOKUP($D629,본공사입.출고현황!$B:$H,F$2080,0),0)</f>
        <v>Steel round bar(rebar)</v>
      </c>
      <c r="G629" s="18" t="str">
        <f>IFERROR(VLOOKUP($D629,본공사입.출고현황!$B:$H,G$2080,0),0)</f>
        <v>CCGG</v>
      </c>
      <c r="H629" s="18" t="str">
        <f>IFERROR(VLOOKUP($D629,본공사입.출고현황!$B:$H,H$2080,0),0)</f>
        <v>ф10, 1ton=1,620.7m</v>
      </c>
      <c r="I629" s="56" t="str">
        <f>IFERROR(VLOOKUP($D629,본공사입.출고현황!$B:$H,I$2080,0),0)</f>
        <v>M</v>
      </c>
      <c r="J629" s="9">
        <v>1</v>
      </c>
      <c r="K629" s="9" t="s">
        <v>352</v>
      </c>
      <c r="L629" s="37">
        <v>25</v>
      </c>
      <c r="M629" s="64" t="s">
        <v>358</v>
      </c>
      <c r="N629" s="42"/>
    </row>
    <row r="630" spans="1:14" ht="24" customHeight="1">
      <c r="A630" s="8">
        <v>586</v>
      </c>
      <c r="B630" s="9">
        <v>586</v>
      </c>
      <c r="C630" s="46">
        <v>45992</v>
      </c>
      <c r="D630" s="9" t="s">
        <v>238</v>
      </c>
      <c r="E630" s="56" t="str">
        <f>IFERROR(VLOOKUP($D630,본공사입.출고현황!$B:$H,E$2080,0),0)</f>
        <v>Steel round bar</v>
      </c>
      <c r="F630" s="18" t="str">
        <f>IFERROR(VLOOKUP($D630,본공사입.출고현황!$B:$H,F$2080,0),0)</f>
        <v>Steel round bar(rebar)</v>
      </c>
      <c r="G630" s="18" t="str">
        <f>IFERROR(VLOOKUP($D630,본공사입.출고현황!$B:$H,G$2080,0),0)</f>
        <v>CCGG</v>
      </c>
      <c r="H630" s="18" t="str">
        <f>IFERROR(VLOOKUP($D630,본공사입.출고현황!$B:$H,H$2080,0),0)</f>
        <v>ф10, 1ton=1,620.7m</v>
      </c>
      <c r="I630" s="56" t="str">
        <f>IFERROR(VLOOKUP($D630,본공사입.출고현황!$B:$H,I$2080,0),0)</f>
        <v>M</v>
      </c>
      <c r="J630" s="9" t="s">
        <v>557</v>
      </c>
      <c r="K630" s="9" t="s">
        <v>553</v>
      </c>
      <c r="L630" s="37">
        <v>25</v>
      </c>
      <c r="M630" s="64" t="s">
        <v>358</v>
      </c>
      <c r="N630" s="42"/>
    </row>
    <row r="631" spans="1:14" ht="24" customHeight="1">
      <c r="A631" s="8">
        <v>587</v>
      </c>
      <c r="B631" s="9">
        <v>587</v>
      </c>
      <c r="C631" s="46">
        <v>45992</v>
      </c>
      <c r="D631" s="9" t="s">
        <v>238</v>
      </c>
      <c r="E631" s="56" t="str">
        <f>IFERROR(VLOOKUP($D631,본공사입.출고현황!$B:$H,E$2080,0),0)</f>
        <v>Steel round bar</v>
      </c>
      <c r="F631" s="18" t="str">
        <f>IFERROR(VLOOKUP($D631,본공사입.출고현황!$B:$H,F$2080,0),0)</f>
        <v>Steel round bar(rebar)</v>
      </c>
      <c r="G631" s="18" t="str">
        <f>IFERROR(VLOOKUP($D631,본공사입.출고현황!$B:$H,G$2080,0),0)</f>
        <v>CCGG</v>
      </c>
      <c r="H631" s="18" t="str">
        <f>IFERROR(VLOOKUP($D631,본공사입.출고현황!$B:$H,H$2080,0),0)</f>
        <v>ф10, 1ton=1,620.7m</v>
      </c>
      <c r="I631" s="56" t="str">
        <f>IFERROR(VLOOKUP($D631,본공사입.출고현황!$B:$H,I$2080,0),0)</f>
        <v>M</v>
      </c>
      <c r="J631" s="9" t="s">
        <v>557</v>
      </c>
      <c r="K631" s="9" t="s">
        <v>553</v>
      </c>
      <c r="L631" s="37">
        <v>25</v>
      </c>
      <c r="M631" s="64" t="s">
        <v>358</v>
      </c>
      <c r="N631" s="42"/>
    </row>
    <row r="632" spans="1:14" ht="24" customHeight="1">
      <c r="A632" s="8">
        <v>588</v>
      </c>
      <c r="B632" s="9">
        <v>588</v>
      </c>
      <c r="C632" s="46">
        <v>45993</v>
      </c>
      <c r="D632" s="9" t="s">
        <v>238</v>
      </c>
      <c r="E632" s="56" t="str">
        <f>IFERROR(VLOOKUP($D632,본공사입.출고현황!$B:$H,E$2080,0),0)</f>
        <v>Steel round bar</v>
      </c>
      <c r="F632" s="18" t="str">
        <f>IFERROR(VLOOKUP($D632,본공사입.출고현황!$B:$H,F$2080,0),0)</f>
        <v>Steel round bar(rebar)</v>
      </c>
      <c r="G632" s="18" t="str">
        <f>IFERROR(VLOOKUP($D632,본공사입.출고현황!$B:$H,G$2080,0),0)</f>
        <v>CCGG</v>
      </c>
      <c r="H632" s="18" t="str">
        <f>IFERROR(VLOOKUP($D632,본공사입.출고현황!$B:$H,H$2080,0),0)</f>
        <v>ф10, 1ton=1,620.7m</v>
      </c>
      <c r="I632" s="56" t="str">
        <f>IFERROR(VLOOKUP($D632,본공사입.출고현황!$B:$H,I$2080,0),0)</f>
        <v>M</v>
      </c>
      <c r="J632" s="9">
        <v>1</v>
      </c>
      <c r="K632" s="9" t="s">
        <v>352</v>
      </c>
      <c r="L632" s="37">
        <v>125</v>
      </c>
      <c r="M632" s="64" t="s">
        <v>408</v>
      </c>
      <c r="N632" s="42"/>
    </row>
    <row r="633" spans="1:14" ht="24" customHeight="1">
      <c r="A633" s="8">
        <v>589</v>
      </c>
      <c r="B633" s="9">
        <v>589</v>
      </c>
      <c r="C633" s="46">
        <v>45993</v>
      </c>
      <c r="D633" s="9" t="s">
        <v>238</v>
      </c>
      <c r="E633" s="56" t="str">
        <f>IFERROR(VLOOKUP($D633,본공사입.출고현황!$B:$H,E$2080,0),0)</f>
        <v>Steel round bar</v>
      </c>
      <c r="F633" s="18" t="str">
        <f>IFERROR(VLOOKUP($D633,본공사입.출고현황!$B:$H,F$2080,0),0)</f>
        <v>Steel round bar(rebar)</v>
      </c>
      <c r="G633" s="18" t="str">
        <f>IFERROR(VLOOKUP($D633,본공사입.출고현황!$B:$H,G$2080,0),0)</f>
        <v>CCGG</v>
      </c>
      <c r="H633" s="18" t="str">
        <f>IFERROR(VLOOKUP($D633,본공사입.출고현황!$B:$H,H$2080,0),0)</f>
        <v>ф10, 1ton=1,620.7m</v>
      </c>
      <c r="I633" s="56" t="str">
        <f>IFERROR(VLOOKUP($D633,본공사입.출고현황!$B:$H,I$2080,0),0)</f>
        <v>M</v>
      </c>
      <c r="J633" s="9">
        <v>1</v>
      </c>
      <c r="K633" s="9" t="s">
        <v>363</v>
      </c>
      <c r="L633" s="37">
        <v>25</v>
      </c>
      <c r="M633" s="64" t="s">
        <v>408</v>
      </c>
      <c r="N633" s="42"/>
    </row>
    <row r="634" spans="1:14" ht="24" customHeight="1">
      <c r="A634" s="8">
        <v>590</v>
      </c>
      <c r="B634" s="9">
        <v>590</v>
      </c>
      <c r="C634" s="46">
        <v>45993</v>
      </c>
      <c r="D634" s="9" t="s">
        <v>238</v>
      </c>
      <c r="E634" s="56" t="str">
        <f>IFERROR(VLOOKUP($D634,본공사입.출고현황!$B:$H,E$2080,0),0)</f>
        <v>Steel round bar</v>
      </c>
      <c r="F634" s="18" t="str">
        <f>IFERROR(VLOOKUP($D634,본공사입.출고현황!$B:$H,F$2080,0),0)</f>
        <v>Steel round bar(rebar)</v>
      </c>
      <c r="G634" s="18" t="str">
        <f>IFERROR(VLOOKUP($D634,본공사입.출고현황!$B:$H,G$2080,0),0)</f>
        <v>CCGG</v>
      </c>
      <c r="H634" s="18" t="str">
        <f>IFERROR(VLOOKUP($D634,본공사입.출고현황!$B:$H,H$2080,0),0)</f>
        <v>ф10, 1ton=1,620.7m</v>
      </c>
      <c r="I634" s="56" t="str">
        <f>IFERROR(VLOOKUP($D634,본공사입.출고현황!$B:$H,I$2080,0),0)</f>
        <v>M</v>
      </c>
      <c r="J634" s="9">
        <v>1</v>
      </c>
      <c r="K634" s="9" t="s">
        <v>545</v>
      </c>
      <c r="L634" s="37">
        <v>15</v>
      </c>
      <c r="M634" s="64" t="s">
        <v>408</v>
      </c>
      <c r="N634" s="42"/>
    </row>
    <row r="635" spans="1:14" ht="24" customHeight="1">
      <c r="A635" s="8">
        <v>591</v>
      </c>
      <c r="B635" s="9">
        <v>591</v>
      </c>
      <c r="C635" s="46">
        <v>45993</v>
      </c>
      <c r="D635" s="9" t="s">
        <v>238</v>
      </c>
      <c r="E635" s="56" t="str">
        <f>IFERROR(VLOOKUP($D635,본공사입.출고현황!$B:$H,E$2080,0),0)</f>
        <v>Steel round bar</v>
      </c>
      <c r="F635" s="18" t="str">
        <f>IFERROR(VLOOKUP($D635,본공사입.출고현황!$B:$H,F$2080,0),0)</f>
        <v>Steel round bar(rebar)</v>
      </c>
      <c r="G635" s="18" t="str">
        <f>IFERROR(VLOOKUP($D635,본공사입.출고현황!$B:$H,G$2080,0),0)</f>
        <v>CCGG</v>
      </c>
      <c r="H635" s="18" t="str">
        <f>IFERROR(VLOOKUP($D635,본공사입.출고현황!$B:$H,H$2080,0),0)</f>
        <v>ф10, 1ton=1,620.7m</v>
      </c>
      <c r="I635" s="56" t="str">
        <f>IFERROR(VLOOKUP($D635,본공사입.출고현황!$B:$H,I$2080,0),0)</f>
        <v>M</v>
      </c>
      <c r="J635" s="9">
        <v>2</v>
      </c>
      <c r="K635" s="9" t="s">
        <v>241</v>
      </c>
      <c r="L635" s="37">
        <v>50</v>
      </c>
      <c r="M635" s="64" t="s">
        <v>408</v>
      </c>
      <c r="N635" s="42"/>
    </row>
    <row r="636" spans="1:14" ht="24" customHeight="1">
      <c r="A636" s="8">
        <v>592</v>
      </c>
      <c r="B636" s="9">
        <v>592</v>
      </c>
      <c r="C636" s="46">
        <v>45993</v>
      </c>
      <c r="D636" s="9" t="s">
        <v>238</v>
      </c>
      <c r="E636" s="56" t="str">
        <f>IFERROR(VLOOKUP($D636,본공사입.출고현황!$B:$H,E$2080,0),0)</f>
        <v>Steel round bar</v>
      </c>
      <c r="F636" s="18" t="str">
        <f>IFERROR(VLOOKUP($D636,본공사입.출고현황!$B:$H,F$2080,0),0)</f>
        <v>Steel round bar(rebar)</v>
      </c>
      <c r="G636" s="18" t="str">
        <f>IFERROR(VLOOKUP($D636,본공사입.출고현황!$B:$H,G$2080,0),0)</f>
        <v>CCGG</v>
      </c>
      <c r="H636" s="18" t="str">
        <f>IFERROR(VLOOKUP($D636,본공사입.출고현황!$B:$H,H$2080,0),0)</f>
        <v>ф10, 1ton=1,620.7m</v>
      </c>
      <c r="I636" s="56" t="str">
        <f>IFERROR(VLOOKUP($D636,본공사입.출고현황!$B:$H,I$2080,0),0)</f>
        <v>M</v>
      </c>
      <c r="J636" s="9">
        <v>2</v>
      </c>
      <c r="K636" s="9" t="s">
        <v>546</v>
      </c>
      <c r="L636" s="37">
        <v>30</v>
      </c>
      <c r="M636" s="64" t="s">
        <v>408</v>
      </c>
      <c r="N636" s="42"/>
    </row>
    <row r="637" spans="1:14" ht="24" customHeight="1">
      <c r="A637" s="8">
        <v>593</v>
      </c>
      <c r="B637" s="9">
        <v>593</v>
      </c>
      <c r="C637" s="46">
        <v>45994</v>
      </c>
      <c r="D637" s="9" t="s">
        <v>238</v>
      </c>
      <c r="E637" s="56" t="str">
        <f>IFERROR(VLOOKUP($D637,본공사입.출고현황!$B:$H,E$2080,0),0)</f>
        <v>Steel round bar</v>
      </c>
      <c r="F637" s="18" t="str">
        <f>IFERROR(VLOOKUP($D637,본공사입.출고현황!$B:$H,F$2080,0),0)</f>
        <v>Steel round bar(rebar)</v>
      </c>
      <c r="G637" s="18" t="str">
        <f>IFERROR(VLOOKUP($D637,본공사입.출고현황!$B:$H,G$2080,0),0)</f>
        <v>CCGG</v>
      </c>
      <c r="H637" s="18" t="str">
        <f>IFERROR(VLOOKUP($D637,본공사입.출고현황!$B:$H,H$2080,0),0)</f>
        <v>ф10, 1ton=1,620.7m</v>
      </c>
      <c r="I637" s="56" t="str">
        <f>IFERROR(VLOOKUP($D637,본공사입.출고현황!$B:$H,I$2080,0),0)</f>
        <v>M</v>
      </c>
      <c r="J637" s="9">
        <v>1</v>
      </c>
      <c r="K637" s="9" t="s">
        <v>363</v>
      </c>
      <c r="L637" s="37">
        <v>65</v>
      </c>
      <c r="M637" s="64" t="s">
        <v>408</v>
      </c>
      <c r="N637" s="42"/>
    </row>
    <row r="638" spans="1:14" ht="24" customHeight="1">
      <c r="A638" s="8">
        <v>594</v>
      </c>
      <c r="B638" s="9">
        <v>594</v>
      </c>
      <c r="C638" s="46">
        <v>45994</v>
      </c>
      <c r="D638" s="9" t="s">
        <v>238</v>
      </c>
      <c r="E638" s="56" t="str">
        <f>IFERROR(VLOOKUP($D638,본공사입.출고현황!$B:$H,E$2080,0),0)</f>
        <v>Steel round bar</v>
      </c>
      <c r="F638" s="18" t="str">
        <f>IFERROR(VLOOKUP($D638,본공사입.출고현황!$B:$H,F$2080,0),0)</f>
        <v>Steel round bar(rebar)</v>
      </c>
      <c r="G638" s="18" t="str">
        <f>IFERROR(VLOOKUP($D638,본공사입.출고현황!$B:$H,G$2080,0),0)</f>
        <v>CCGG</v>
      </c>
      <c r="H638" s="18" t="str">
        <f>IFERROR(VLOOKUP($D638,본공사입.출고현황!$B:$H,H$2080,0),0)</f>
        <v>ф10, 1ton=1,620.7m</v>
      </c>
      <c r="I638" s="56" t="str">
        <f>IFERROR(VLOOKUP($D638,본공사입.출고현황!$B:$H,I$2080,0),0)</f>
        <v>M</v>
      </c>
      <c r="J638" s="9">
        <v>1</v>
      </c>
      <c r="K638" s="9" t="s">
        <v>363</v>
      </c>
      <c r="L638" s="37">
        <v>20</v>
      </c>
      <c r="M638" s="64" t="s">
        <v>408</v>
      </c>
      <c r="N638" s="42"/>
    </row>
    <row r="639" spans="1:14" ht="24" customHeight="1">
      <c r="A639" s="8">
        <v>595</v>
      </c>
      <c r="B639" s="9">
        <v>595</v>
      </c>
      <c r="C639" s="46">
        <v>45994</v>
      </c>
      <c r="D639" s="9" t="s">
        <v>238</v>
      </c>
      <c r="E639" s="56" t="str">
        <f>IFERROR(VLOOKUP($D639,본공사입.출고현황!$B:$H,E$2080,0),0)</f>
        <v>Steel round bar</v>
      </c>
      <c r="F639" s="18" t="str">
        <f>IFERROR(VLOOKUP($D639,본공사입.출고현황!$B:$H,F$2080,0),0)</f>
        <v>Steel round bar(rebar)</v>
      </c>
      <c r="G639" s="18" t="str">
        <f>IFERROR(VLOOKUP($D639,본공사입.출고현황!$B:$H,G$2080,0),0)</f>
        <v>CCGG</v>
      </c>
      <c r="H639" s="18" t="str">
        <f>IFERROR(VLOOKUP($D639,본공사입.출고현황!$B:$H,H$2080,0),0)</f>
        <v>ф10, 1ton=1,620.7m</v>
      </c>
      <c r="I639" s="56" t="str">
        <f>IFERROR(VLOOKUP($D639,본공사입.출고현황!$B:$H,I$2080,0),0)</f>
        <v>M</v>
      </c>
      <c r="J639" s="9">
        <v>2</v>
      </c>
      <c r="K639" s="9" t="s">
        <v>360</v>
      </c>
      <c r="L639" s="37">
        <v>125</v>
      </c>
      <c r="M639" s="64" t="s">
        <v>408</v>
      </c>
      <c r="N639" s="42"/>
    </row>
    <row r="640" spans="1:14" ht="24" customHeight="1">
      <c r="A640" s="8">
        <v>596</v>
      </c>
      <c r="B640" s="9">
        <v>596</v>
      </c>
      <c r="C640" s="46">
        <v>45994</v>
      </c>
      <c r="D640" s="9" t="s">
        <v>238</v>
      </c>
      <c r="E640" s="56" t="str">
        <f>IFERROR(VLOOKUP($D640,본공사입.출고현황!$B:$H,E$2080,0),0)</f>
        <v>Steel round bar</v>
      </c>
      <c r="F640" s="18" t="str">
        <f>IFERROR(VLOOKUP($D640,본공사입.출고현황!$B:$H,F$2080,0),0)</f>
        <v>Steel round bar(rebar)</v>
      </c>
      <c r="G640" s="18" t="str">
        <f>IFERROR(VLOOKUP($D640,본공사입.출고현황!$B:$H,G$2080,0),0)</f>
        <v>CCGG</v>
      </c>
      <c r="H640" s="18" t="str">
        <f>IFERROR(VLOOKUP($D640,본공사입.출고현황!$B:$H,H$2080,0),0)</f>
        <v>ф10, 1ton=1,620.7m</v>
      </c>
      <c r="I640" s="56" t="str">
        <f>IFERROR(VLOOKUP($D640,본공사입.출고현황!$B:$H,I$2080,0),0)</f>
        <v>M</v>
      </c>
      <c r="J640" s="9">
        <v>1</v>
      </c>
      <c r="K640" s="9" t="s">
        <v>352</v>
      </c>
      <c r="L640" s="37">
        <v>125</v>
      </c>
      <c r="M640" s="64" t="s">
        <v>408</v>
      </c>
      <c r="N640" s="42"/>
    </row>
    <row r="641" spans="1:14" ht="24" customHeight="1">
      <c r="A641" s="8">
        <v>597</v>
      </c>
      <c r="B641" s="9">
        <v>597</v>
      </c>
      <c r="C641" s="46">
        <v>45994</v>
      </c>
      <c r="D641" s="9" t="s">
        <v>238</v>
      </c>
      <c r="E641" s="56" t="str">
        <f>IFERROR(VLOOKUP($D641,본공사입.출고현황!$B:$H,E$2080,0),0)</f>
        <v>Steel round bar</v>
      </c>
      <c r="F641" s="18" t="str">
        <f>IFERROR(VLOOKUP($D641,본공사입.출고현황!$B:$H,F$2080,0),0)</f>
        <v>Steel round bar(rebar)</v>
      </c>
      <c r="G641" s="18" t="str">
        <f>IFERROR(VLOOKUP($D641,본공사입.출고현황!$B:$H,G$2080,0),0)</f>
        <v>CCGG</v>
      </c>
      <c r="H641" s="18" t="str">
        <f>IFERROR(VLOOKUP($D641,본공사입.출고현황!$B:$H,H$2080,0),0)</f>
        <v>ф10, 1ton=1,620.7m</v>
      </c>
      <c r="I641" s="56" t="str">
        <f>IFERROR(VLOOKUP($D641,본공사입.출고현황!$B:$H,I$2080,0),0)</f>
        <v>M</v>
      </c>
      <c r="J641" s="9">
        <v>1</v>
      </c>
      <c r="K641" s="9" t="s">
        <v>363</v>
      </c>
      <c r="L641" s="37">
        <v>25</v>
      </c>
      <c r="M641" s="64" t="s">
        <v>408</v>
      </c>
      <c r="N641" s="42"/>
    </row>
    <row r="642" spans="1:14" ht="24" customHeight="1">
      <c r="A642" s="8">
        <v>598</v>
      </c>
      <c r="B642" s="9">
        <v>598</v>
      </c>
      <c r="C642" s="46">
        <v>45994</v>
      </c>
      <c r="D642" s="9" t="s">
        <v>238</v>
      </c>
      <c r="E642" s="56" t="str">
        <f>IFERROR(VLOOKUP($D642,본공사입.출고현황!$B:$H,E$2080,0),0)</f>
        <v>Steel round bar</v>
      </c>
      <c r="F642" s="18" t="str">
        <f>IFERROR(VLOOKUP($D642,본공사입.출고현황!$B:$H,F$2080,0),0)</f>
        <v>Steel round bar(rebar)</v>
      </c>
      <c r="G642" s="18" t="str">
        <f>IFERROR(VLOOKUP($D642,본공사입.출고현황!$B:$H,G$2080,0),0)</f>
        <v>CCGG</v>
      </c>
      <c r="H642" s="18" t="str">
        <f>IFERROR(VLOOKUP($D642,본공사입.출고현황!$B:$H,H$2080,0),0)</f>
        <v>ф10, 1ton=1,620.7m</v>
      </c>
      <c r="I642" s="56" t="str">
        <f>IFERROR(VLOOKUP($D642,본공사입.출고현황!$B:$H,I$2080,0),0)</f>
        <v>M</v>
      </c>
      <c r="J642" s="9">
        <v>1</v>
      </c>
      <c r="K642" s="9" t="s">
        <v>545</v>
      </c>
      <c r="L642" s="37">
        <v>15</v>
      </c>
      <c r="M642" s="64" t="s">
        <v>408</v>
      </c>
      <c r="N642" s="42"/>
    </row>
    <row r="643" spans="1:14" ht="24" customHeight="1">
      <c r="A643" s="8">
        <v>599</v>
      </c>
      <c r="B643" s="9">
        <v>599</v>
      </c>
      <c r="C643" s="46">
        <v>45995</v>
      </c>
      <c r="D643" s="9" t="s">
        <v>238</v>
      </c>
      <c r="E643" s="56" t="str">
        <f>IFERROR(VLOOKUP($D643,본공사입.출고현황!$B:$H,E$2080,0),0)</f>
        <v>Steel round bar</v>
      </c>
      <c r="F643" s="18" t="str">
        <f>IFERROR(VLOOKUP($D643,본공사입.출고현황!$B:$H,F$2080,0),0)</f>
        <v>Steel round bar(rebar)</v>
      </c>
      <c r="G643" s="18" t="str">
        <f>IFERROR(VLOOKUP($D643,본공사입.출고현황!$B:$H,G$2080,0),0)</f>
        <v>CCGG</v>
      </c>
      <c r="H643" s="18" t="str">
        <f>IFERROR(VLOOKUP($D643,본공사입.출고현황!$B:$H,H$2080,0),0)</f>
        <v>ф10, 1ton=1,620.7m</v>
      </c>
      <c r="I643" s="56" t="str">
        <f>IFERROR(VLOOKUP($D643,본공사입.출고현황!$B:$H,I$2080,0),0)</f>
        <v>M</v>
      </c>
      <c r="J643" s="9">
        <v>2</v>
      </c>
      <c r="K643" s="9" t="s">
        <v>241</v>
      </c>
      <c r="L643" s="37">
        <v>50</v>
      </c>
      <c r="M643" s="64" t="s">
        <v>408</v>
      </c>
      <c r="N643" s="42"/>
    </row>
    <row r="644" spans="1:14" ht="24" customHeight="1">
      <c r="A644" s="8">
        <v>600</v>
      </c>
      <c r="B644" s="9">
        <v>600</v>
      </c>
      <c r="C644" s="46">
        <v>45995</v>
      </c>
      <c r="D644" s="9" t="s">
        <v>238</v>
      </c>
      <c r="E644" s="56" t="str">
        <f>IFERROR(VLOOKUP($D644,본공사입.출고현황!$B:$H,E$2080,0),0)</f>
        <v>Steel round bar</v>
      </c>
      <c r="F644" s="18" t="str">
        <f>IFERROR(VLOOKUP($D644,본공사입.출고현황!$B:$H,F$2080,0),0)</f>
        <v>Steel round bar(rebar)</v>
      </c>
      <c r="G644" s="18" t="str">
        <f>IFERROR(VLOOKUP($D644,본공사입.출고현황!$B:$H,G$2080,0),0)</f>
        <v>CCGG</v>
      </c>
      <c r="H644" s="18" t="str">
        <f>IFERROR(VLOOKUP($D644,본공사입.출고현황!$B:$H,H$2080,0),0)</f>
        <v>ф10, 1ton=1,620.7m</v>
      </c>
      <c r="I644" s="56" t="str">
        <f>IFERROR(VLOOKUP($D644,본공사입.출고현황!$B:$H,I$2080,0),0)</f>
        <v>M</v>
      </c>
      <c r="J644" s="9">
        <v>2</v>
      </c>
      <c r="K644" s="9" t="s">
        <v>546</v>
      </c>
      <c r="L644" s="37">
        <v>30</v>
      </c>
      <c r="M644" s="64" t="s">
        <v>408</v>
      </c>
      <c r="N644" s="42"/>
    </row>
    <row r="645" spans="1:14" ht="24" customHeight="1">
      <c r="A645" s="8">
        <v>601</v>
      </c>
      <c r="B645" s="9">
        <v>601</v>
      </c>
      <c r="C645" s="46">
        <v>45995</v>
      </c>
      <c r="D645" s="9" t="s">
        <v>238</v>
      </c>
      <c r="E645" s="56" t="str">
        <f>IFERROR(VLOOKUP($D645,본공사입.출고현황!$B:$H,E$2080,0),0)</f>
        <v>Steel round bar</v>
      </c>
      <c r="F645" s="18" t="str">
        <f>IFERROR(VLOOKUP($D645,본공사입.출고현황!$B:$H,F$2080,0),0)</f>
        <v>Steel round bar(rebar)</v>
      </c>
      <c r="G645" s="18" t="str">
        <f>IFERROR(VLOOKUP($D645,본공사입.출고현황!$B:$H,G$2080,0),0)</f>
        <v>CCGG</v>
      </c>
      <c r="H645" s="18" t="str">
        <f>IFERROR(VLOOKUP($D645,본공사입.출고현황!$B:$H,H$2080,0),0)</f>
        <v>ф10, 1ton=1,620.7m</v>
      </c>
      <c r="I645" s="56" t="str">
        <f>IFERROR(VLOOKUP($D645,본공사입.출고현황!$B:$H,I$2080,0),0)</f>
        <v>M</v>
      </c>
      <c r="J645" s="9">
        <v>1</v>
      </c>
      <c r="K645" s="9" t="s">
        <v>363</v>
      </c>
      <c r="L645" s="37">
        <v>65</v>
      </c>
      <c r="M645" s="64" t="s">
        <v>408</v>
      </c>
      <c r="N645" s="42"/>
    </row>
    <row r="646" spans="1:14" ht="24" customHeight="1">
      <c r="A646" s="8">
        <v>602</v>
      </c>
      <c r="B646" s="9">
        <v>602</v>
      </c>
      <c r="C646" s="46">
        <v>45995</v>
      </c>
      <c r="D646" s="9" t="s">
        <v>238</v>
      </c>
      <c r="E646" s="56" t="str">
        <f>IFERROR(VLOOKUP($D646,본공사입.출고현황!$B:$H,E$2080,0),0)</f>
        <v>Steel round bar</v>
      </c>
      <c r="F646" s="18" t="str">
        <f>IFERROR(VLOOKUP($D646,본공사입.출고현황!$B:$H,F$2080,0),0)</f>
        <v>Steel round bar(rebar)</v>
      </c>
      <c r="G646" s="18" t="str">
        <f>IFERROR(VLOOKUP($D646,본공사입.출고현황!$B:$H,G$2080,0),0)</f>
        <v>CCGG</v>
      </c>
      <c r="H646" s="18" t="str">
        <f>IFERROR(VLOOKUP($D646,본공사입.출고현황!$B:$H,H$2080,0),0)</f>
        <v>ф10, 1ton=1,620.7m</v>
      </c>
      <c r="I646" s="56" t="str">
        <f>IFERROR(VLOOKUP($D646,본공사입.출고현황!$B:$H,I$2080,0),0)</f>
        <v>M</v>
      </c>
      <c r="J646" s="9">
        <v>1</v>
      </c>
      <c r="K646" s="9" t="s">
        <v>363</v>
      </c>
      <c r="L646" s="37">
        <v>20</v>
      </c>
      <c r="M646" s="64" t="s">
        <v>408</v>
      </c>
      <c r="N646" s="42"/>
    </row>
    <row r="647" spans="1:14" ht="24" customHeight="1">
      <c r="A647" s="8">
        <v>603</v>
      </c>
      <c r="B647" s="9">
        <v>603</v>
      </c>
      <c r="C647" s="46">
        <v>45996</v>
      </c>
      <c r="D647" s="9" t="s">
        <v>238</v>
      </c>
      <c r="E647" s="56" t="str">
        <f>IFERROR(VLOOKUP($D647,본공사입.출고현황!$B:$H,E$2080,0),0)</f>
        <v>Steel round bar</v>
      </c>
      <c r="F647" s="18" t="str">
        <f>IFERROR(VLOOKUP($D647,본공사입.출고현황!$B:$H,F$2080,0),0)</f>
        <v>Steel round bar(rebar)</v>
      </c>
      <c r="G647" s="18" t="str">
        <f>IFERROR(VLOOKUP($D647,본공사입.출고현황!$B:$H,G$2080,0),0)</f>
        <v>CCGG</v>
      </c>
      <c r="H647" s="18" t="str">
        <f>IFERROR(VLOOKUP($D647,본공사입.출고현황!$B:$H,H$2080,0),0)</f>
        <v>ф10, 1ton=1,620.7m</v>
      </c>
      <c r="I647" s="56" t="str">
        <f>IFERROR(VLOOKUP($D647,본공사입.출고현황!$B:$H,I$2080,0),0)</f>
        <v>M</v>
      </c>
      <c r="J647" s="9">
        <v>2</v>
      </c>
      <c r="K647" s="9" t="s">
        <v>360</v>
      </c>
      <c r="L647" s="37">
        <v>50</v>
      </c>
      <c r="M647" s="64" t="s">
        <v>358</v>
      </c>
      <c r="N647" s="42"/>
    </row>
    <row r="648" spans="1:14" ht="24" customHeight="1">
      <c r="A648" s="8">
        <v>604</v>
      </c>
      <c r="B648" s="9">
        <v>604</v>
      </c>
      <c r="C648" s="46">
        <v>45996</v>
      </c>
      <c r="D648" s="9" t="s">
        <v>238</v>
      </c>
      <c r="E648" s="56" t="str">
        <f>IFERROR(VLOOKUP($D648,본공사입.출고현황!$B:$H,E$2080,0),0)</f>
        <v>Steel round bar</v>
      </c>
      <c r="F648" s="18" t="str">
        <f>IFERROR(VLOOKUP($D648,본공사입.출고현황!$B:$H,F$2080,0),0)</f>
        <v>Steel round bar(rebar)</v>
      </c>
      <c r="G648" s="18" t="str">
        <f>IFERROR(VLOOKUP($D648,본공사입.출고현황!$B:$H,G$2080,0),0)</f>
        <v>CCGG</v>
      </c>
      <c r="H648" s="18" t="str">
        <f>IFERROR(VLOOKUP($D648,본공사입.출고현황!$B:$H,H$2080,0),0)</f>
        <v>ф10, 1ton=1,620.7m</v>
      </c>
      <c r="I648" s="56" t="str">
        <f>IFERROR(VLOOKUP($D648,본공사입.출고현황!$B:$H,I$2080,0),0)</f>
        <v>M</v>
      </c>
      <c r="J648" s="9">
        <v>4</v>
      </c>
      <c r="K648" s="9" t="s">
        <v>359</v>
      </c>
      <c r="L648" s="37">
        <v>50</v>
      </c>
      <c r="M648" s="64" t="s">
        <v>358</v>
      </c>
      <c r="N648" s="42"/>
    </row>
    <row r="649" spans="1:14" ht="24" customHeight="1">
      <c r="A649" s="8">
        <v>605</v>
      </c>
      <c r="B649" s="9">
        <v>605</v>
      </c>
      <c r="C649" s="46">
        <v>45996</v>
      </c>
      <c r="D649" s="9" t="s">
        <v>238</v>
      </c>
      <c r="E649" s="56" t="str">
        <f>IFERROR(VLOOKUP($D649,본공사입.출고현황!$B:$H,E$2080,0),0)</f>
        <v>Steel round bar</v>
      </c>
      <c r="F649" s="18" t="str">
        <f>IFERROR(VLOOKUP($D649,본공사입.출고현황!$B:$H,F$2080,0),0)</f>
        <v>Steel round bar(rebar)</v>
      </c>
      <c r="G649" s="18" t="str">
        <f>IFERROR(VLOOKUP($D649,본공사입.출고현황!$B:$H,G$2080,0),0)</f>
        <v>CCGG</v>
      </c>
      <c r="H649" s="18" t="str">
        <f>IFERROR(VLOOKUP($D649,본공사입.출고현황!$B:$H,H$2080,0),0)</f>
        <v>ф10, 1ton=1,620.7m</v>
      </c>
      <c r="I649" s="56" t="str">
        <f>IFERROR(VLOOKUP($D649,본공사입.출고현황!$B:$H,I$2080,0),0)</f>
        <v>M</v>
      </c>
      <c r="J649" s="9">
        <v>2</v>
      </c>
      <c r="K649" s="9" t="s">
        <v>546</v>
      </c>
      <c r="L649" s="37">
        <v>75</v>
      </c>
      <c r="M649" s="64" t="s">
        <v>358</v>
      </c>
      <c r="N649" s="42"/>
    </row>
    <row r="650" spans="1:14" ht="24" customHeight="1">
      <c r="A650" s="8">
        <v>606</v>
      </c>
      <c r="B650" s="9">
        <v>606</v>
      </c>
      <c r="C650" s="46">
        <v>45996</v>
      </c>
      <c r="D650" s="9" t="s">
        <v>238</v>
      </c>
      <c r="E650" s="56" t="str">
        <f>IFERROR(VLOOKUP($D650,본공사입.출고현황!$B:$H,E$2080,0),0)</f>
        <v>Steel round bar</v>
      </c>
      <c r="F650" s="18" t="str">
        <f>IFERROR(VLOOKUP($D650,본공사입.출고현황!$B:$H,F$2080,0),0)</f>
        <v>Steel round bar(rebar)</v>
      </c>
      <c r="G650" s="18" t="str">
        <f>IFERROR(VLOOKUP($D650,본공사입.출고현황!$B:$H,G$2080,0),0)</f>
        <v>CCGG</v>
      </c>
      <c r="H650" s="18" t="str">
        <f>IFERROR(VLOOKUP($D650,본공사입.출고현황!$B:$H,H$2080,0),0)</f>
        <v>ф10, 1ton=1,620.7m</v>
      </c>
      <c r="I650" s="56" t="str">
        <f>IFERROR(VLOOKUP($D650,본공사입.출고현황!$B:$H,I$2080,0),0)</f>
        <v>M</v>
      </c>
      <c r="J650" s="9">
        <v>1</v>
      </c>
      <c r="K650" s="9" t="s">
        <v>352</v>
      </c>
      <c r="L650" s="37">
        <v>115</v>
      </c>
      <c r="M650" s="64" t="s">
        <v>358</v>
      </c>
      <c r="N650" s="42"/>
    </row>
    <row r="651" spans="1:14" ht="24" customHeight="1">
      <c r="A651" s="8">
        <v>607</v>
      </c>
      <c r="B651" s="9">
        <v>607</v>
      </c>
      <c r="C651" s="46">
        <v>45996</v>
      </c>
      <c r="D651" s="9" t="s">
        <v>238</v>
      </c>
      <c r="E651" s="56" t="str">
        <f>IFERROR(VLOOKUP($D651,본공사입.출고현황!$B:$H,E$2080,0),0)</f>
        <v>Steel round bar</v>
      </c>
      <c r="F651" s="18" t="str">
        <f>IFERROR(VLOOKUP($D651,본공사입.출고현황!$B:$H,F$2080,0),0)</f>
        <v>Steel round bar(rebar)</v>
      </c>
      <c r="G651" s="18" t="str">
        <f>IFERROR(VLOOKUP($D651,본공사입.출고현황!$B:$H,G$2080,0),0)</f>
        <v>CCGG</v>
      </c>
      <c r="H651" s="18" t="str">
        <f>IFERROR(VLOOKUP($D651,본공사입.출고현황!$B:$H,H$2080,0),0)</f>
        <v>ф10, 1ton=1,620.7m</v>
      </c>
      <c r="I651" s="56" t="str">
        <f>IFERROR(VLOOKUP($D651,본공사입.출고현황!$B:$H,I$2080,0),0)</f>
        <v>M</v>
      </c>
      <c r="J651" s="9">
        <v>2</v>
      </c>
      <c r="K651" s="9" t="s">
        <v>360</v>
      </c>
      <c r="L651" s="37">
        <v>50</v>
      </c>
      <c r="M651" s="64" t="s">
        <v>358</v>
      </c>
      <c r="N651" s="42"/>
    </row>
    <row r="652" spans="1:14" ht="24" customHeight="1">
      <c r="A652" s="8">
        <v>608</v>
      </c>
      <c r="B652" s="9">
        <v>608</v>
      </c>
      <c r="C652" s="46">
        <v>45997</v>
      </c>
      <c r="D652" s="9" t="s">
        <v>238</v>
      </c>
      <c r="E652" s="56" t="str">
        <f>IFERROR(VLOOKUP($D652,본공사입.출고현황!$B:$H,E$2080,0),0)</f>
        <v>Steel round bar</v>
      </c>
      <c r="F652" s="18" t="str">
        <f>IFERROR(VLOOKUP($D652,본공사입.출고현황!$B:$H,F$2080,0),0)</f>
        <v>Steel round bar(rebar)</v>
      </c>
      <c r="G652" s="18" t="str">
        <f>IFERROR(VLOOKUP($D652,본공사입.출고현황!$B:$H,G$2080,0),0)</f>
        <v>CCGG</v>
      </c>
      <c r="H652" s="18" t="str">
        <f>IFERROR(VLOOKUP($D652,본공사입.출고현황!$B:$H,H$2080,0),0)</f>
        <v>ф10, 1ton=1,620.7m</v>
      </c>
      <c r="I652" s="56" t="str">
        <f>IFERROR(VLOOKUP($D652,본공사입.출고현황!$B:$H,I$2080,0),0)</f>
        <v>M</v>
      </c>
      <c r="J652" s="9">
        <v>1</v>
      </c>
      <c r="K652" s="9" t="s">
        <v>352</v>
      </c>
      <c r="L652" s="37">
        <v>100</v>
      </c>
      <c r="M652" s="64" t="s">
        <v>358</v>
      </c>
      <c r="N652" s="42"/>
    </row>
    <row r="653" spans="1:14" ht="24" customHeight="1">
      <c r="A653" s="8">
        <v>609</v>
      </c>
      <c r="B653" s="9">
        <v>609</v>
      </c>
      <c r="C653" s="46">
        <v>45997</v>
      </c>
      <c r="D653" s="9" t="s">
        <v>238</v>
      </c>
      <c r="E653" s="56" t="str">
        <f>IFERROR(VLOOKUP($D653,본공사입.출고현황!$B:$H,E$2080,0),0)</f>
        <v>Steel round bar</v>
      </c>
      <c r="F653" s="18" t="str">
        <f>IFERROR(VLOOKUP($D653,본공사입.출고현황!$B:$H,F$2080,0),0)</f>
        <v>Steel round bar(rebar)</v>
      </c>
      <c r="G653" s="18" t="str">
        <f>IFERROR(VLOOKUP($D653,본공사입.출고현황!$B:$H,G$2080,0),0)</f>
        <v>CCGG</v>
      </c>
      <c r="H653" s="18" t="str">
        <f>IFERROR(VLOOKUP($D653,본공사입.출고현황!$B:$H,H$2080,0),0)</f>
        <v>ф10, 1ton=1,620.7m</v>
      </c>
      <c r="I653" s="56" t="str">
        <f>IFERROR(VLOOKUP($D653,본공사입.출고현황!$B:$H,I$2080,0),0)</f>
        <v>M</v>
      </c>
      <c r="J653" s="9">
        <v>1</v>
      </c>
      <c r="K653" s="9" t="s">
        <v>363</v>
      </c>
      <c r="L653" s="37">
        <v>70</v>
      </c>
      <c r="M653" s="64" t="s">
        <v>358</v>
      </c>
      <c r="N653" s="42"/>
    </row>
    <row r="654" spans="1:14" ht="24" customHeight="1">
      <c r="A654" s="8">
        <v>610</v>
      </c>
      <c r="B654" s="9">
        <v>610</v>
      </c>
      <c r="C654" s="46">
        <v>45997</v>
      </c>
      <c r="D654" s="9" t="s">
        <v>238</v>
      </c>
      <c r="E654" s="56" t="str">
        <f>IFERROR(VLOOKUP($D654,본공사입.출고현황!$B:$H,E$2080,0),0)</f>
        <v>Steel round bar</v>
      </c>
      <c r="F654" s="18" t="str">
        <f>IFERROR(VLOOKUP($D654,본공사입.출고현황!$B:$H,F$2080,0),0)</f>
        <v>Steel round bar(rebar)</v>
      </c>
      <c r="G654" s="18" t="str">
        <f>IFERROR(VLOOKUP($D654,본공사입.출고현황!$B:$H,G$2080,0),0)</f>
        <v>CCGG</v>
      </c>
      <c r="H654" s="18" t="str">
        <f>IFERROR(VLOOKUP($D654,본공사입.출고현황!$B:$H,H$2080,0),0)</f>
        <v>ф10, 1ton=1,620.7m</v>
      </c>
      <c r="I654" s="56" t="str">
        <f>IFERROR(VLOOKUP($D654,본공사입.출고현황!$B:$H,I$2080,0),0)</f>
        <v>M</v>
      </c>
      <c r="J654" s="9">
        <v>1</v>
      </c>
      <c r="K654" s="9" t="s">
        <v>547</v>
      </c>
      <c r="L654" s="37">
        <v>20</v>
      </c>
      <c r="M654" s="64" t="s">
        <v>358</v>
      </c>
      <c r="N654" s="42"/>
    </row>
    <row r="655" spans="1:14" ht="24" customHeight="1">
      <c r="A655" s="8">
        <v>611</v>
      </c>
      <c r="B655" s="9">
        <v>611</v>
      </c>
      <c r="C655" s="46">
        <v>45997</v>
      </c>
      <c r="D655" s="9" t="s">
        <v>238</v>
      </c>
      <c r="E655" s="56" t="str">
        <f>IFERROR(VLOOKUP($D655,본공사입.출고현황!$B:$H,E$2080,0),0)</f>
        <v>Steel round bar</v>
      </c>
      <c r="F655" s="18" t="str">
        <f>IFERROR(VLOOKUP($D655,본공사입.출고현황!$B:$H,F$2080,0),0)</f>
        <v>Steel round bar(rebar)</v>
      </c>
      <c r="G655" s="18" t="str">
        <f>IFERROR(VLOOKUP($D655,본공사입.출고현황!$B:$H,G$2080,0),0)</f>
        <v>CCGG</v>
      </c>
      <c r="H655" s="18" t="str">
        <f>IFERROR(VLOOKUP($D655,본공사입.출고현황!$B:$H,H$2080,0),0)</f>
        <v>ф10, 1ton=1,620.7m</v>
      </c>
      <c r="I655" s="56" t="str">
        <f>IFERROR(VLOOKUP($D655,본공사입.출고현황!$B:$H,I$2080,0),0)</f>
        <v>M</v>
      </c>
      <c r="J655" s="9">
        <v>2</v>
      </c>
      <c r="K655" s="9" t="s">
        <v>360</v>
      </c>
      <c r="L655" s="37">
        <v>25</v>
      </c>
      <c r="M655" s="64" t="s">
        <v>358</v>
      </c>
      <c r="N655" s="42"/>
    </row>
    <row r="656" spans="1:14" ht="24" customHeight="1">
      <c r="A656" s="8">
        <v>612</v>
      </c>
      <c r="B656" s="9">
        <v>612</v>
      </c>
      <c r="C656" s="46">
        <v>45997</v>
      </c>
      <c r="D656" s="9" t="s">
        <v>238</v>
      </c>
      <c r="E656" s="56" t="str">
        <f>IFERROR(VLOOKUP($D656,본공사입.출고현황!$B:$H,E$2080,0),0)</f>
        <v>Steel round bar</v>
      </c>
      <c r="F656" s="18" t="str">
        <f>IFERROR(VLOOKUP($D656,본공사입.출고현황!$B:$H,F$2080,0),0)</f>
        <v>Steel round bar(rebar)</v>
      </c>
      <c r="G656" s="18" t="str">
        <f>IFERROR(VLOOKUP($D656,본공사입.출고현황!$B:$H,G$2080,0),0)</f>
        <v>CCGG</v>
      </c>
      <c r="H656" s="18" t="str">
        <f>IFERROR(VLOOKUP($D656,본공사입.출고현황!$B:$H,H$2080,0),0)</f>
        <v>ф10, 1ton=1,620.7m</v>
      </c>
      <c r="I656" s="56" t="str">
        <f>IFERROR(VLOOKUP($D656,본공사입.출고현황!$B:$H,I$2080,0),0)</f>
        <v>M</v>
      </c>
      <c r="J656" s="9">
        <v>4</v>
      </c>
      <c r="K656" s="9" t="s">
        <v>351</v>
      </c>
      <c r="L656" s="37">
        <v>20</v>
      </c>
      <c r="M656" s="64" t="s">
        <v>358</v>
      </c>
      <c r="N656" s="42"/>
    </row>
    <row r="657" spans="1:14" ht="24" customHeight="1">
      <c r="A657" s="8">
        <v>613</v>
      </c>
      <c r="B657" s="9">
        <v>613</v>
      </c>
      <c r="C657" s="46">
        <v>45997</v>
      </c>
      <c r="D657" s="9" t="s">
        <v>238</v>
      </c>
      <c r="E657" s="56" t="str">
        <f>IFERROR(VLOOKUP($D657,본공사입.출고현황!$B:$H,E$2080,0),0)</f>
        <v>Steel round bar</v>
      </c>
      <c r="F657" s="18" t="str">
        <f>IFERROR(VLOOKUP($D657,본공사입.출고현황!$B:$H,F$2080,0),0)</f>
        <v>Steel round bar(rebar)</v>
      </c>
      <c r="G657" s="18" t="str">
        <f>IFERROR(VLOOKUP($D657,본공사입.출고현황!$B:$H,G$2080,0),0)</f>
        <v>CCGG</v>
      </c>
      <c r="H657" s="18" t="str">
        <f>IFERROR(VLOOKUP($D657,본공사입.출고현황!$B:$H,H$2080,0),0)</f>
        <v>ф10, 1ton=1,620.7m</v>
      </c>
      <c r="I657" s="56" t="str">
        <f>IFERROR(VLOOKUP($D657,본공사입.출고현황!$B:$H,I$2080,0),0)</f>
        <v>M</v>
      </c>
      <c r="J657" s="9" t="s">
        <v>557</v>
      </c>
      <c r="K657" s="9" t="s">
        <v>553</v>
      </c>
      <c r="L657" s="37">
        <v>5</v>
      </c>
      <c r="M657" s="64" t="s">
        <v>358</v>
      </c>
      <c r="N657" s="42"/>
    </row>
    <row r="658" spans="1:14" ht="24" customHeight="1">
      <c r="A658" s="8">
        <v>614</v>
      </c>
      <c r="B658" s="9">
        <v>614</v>
      </c>
      <c r="C658" s="46">
        <v>45998</v>
      </c>
      <c r="D658" s="9" t="s">
        <v>238</v>
      </c>
      <c r="E658" s="56" t="str">
        <f>IFERROR(VLOOKUP($D658,본공사입.출고현황!$B:$H,E$2080,0),0)</f>
        <v>Steel round bar</v>
      </c>
      <c r="F658" s="18" t="str">
        <f>IFERROR(VLOOKUP($D658,본공사입.출고현황!$B:$H,F$2080,0),0)</f>
        <v>Steel round bar(rebar)</v>
      </c>
      <c r="G658" s="18" t="str">
        <f>IFERROR(VLOOKUP($D658,본공사입.출고현황!$B:$H,G$2080,0),0)</f>
        <v>CCGG</v>
      </c>
      <c r="H658" s="18" t="str">
        <f>IFERROR(VLOOKUP($D658,본공사입.출고현황!$B:$H,H$2080,0),0)</f>
        <v>ф10, 1ton=1,620.7m</v>
      </c>
      <c r="I658" s="56" t="str">
        <f>IFERROR(VLOOKUP($D658,본공사입.출고현황!$B:$H,I$2080,0),0)</f>
        <v>M</v>
      </c>
      <c r="J658" s="9" t="s">
        <v>557</v>
      </c>
      <c r="K658" s="9" t="s">
        <v>553</v>
      </c>
      <c r="L658" s="37">
        <v>15</v>
      </c>
      <c r="M658" s="64" t="s">
        <v>358</v>
      </c>
      <c r="N658" s="42"/>
    </row>
    <row r="659" spans="1:14" ht="24" customHeight="1">
      <c r="A659" s="8">
        <v>615</v>
      </c>
      <c r="B659" s="9">
        <v>615</v>
      </c>
      <c r="C659" s="46">
        <v>45998</v>
      </c>
      <c r="D659" s="9" t="s">
        <v>238</v>
      </c>
      <c r="E659" s="56" t="str">
        <f>IFERROR(VLOOKUP($D659,본공사입.출고현황!$B:$H,E$2080,0),0)</f>
        <v>Steel round bar</v>
      </c>
      <c r="F659" s="18" t="str">
        <f>IFERROR(VLOOKUP($D659,본공사입.출고현황!$B:$H,F$2080,0),0)</f>
        <v>Steel round bar(rebar)</v>
      </c>
      <c r="G659" s="18" t="str">
        <f>IFERROR(VLOOKUP($D659,본공사입.출고현황!$B:$H,G$2080,0),0)</f>
        <v>CCGG</v>
      </c>
      <c r="H659" s="18" t="str">
        <f>IFERROR(VLOOKUP($D659,본공사입.출고현황!$B:$H,H$2080,0),0)</f>
        <v>ф10, 1ton=1,620.7m</v>
      </c>
      <c r="I659" s="56" t="str">
        <f>IFERROR(VLOOKUP($D659,본공사입.출고현황!$B:$H,I$2080,0),0)</f>
        <v>M</v>
      </c>
      <c r="J659" s="9">
        <v>1</v>
      </c>
      <c r="K659" s="9" t="s">
        <v>547</v>
      </c>
      <c r="L659" s="37">
        <v>15</v>
      </c>
      <c r="M659" s="64" t="s">
        <v>358</v>
      </c>
      <c r="N659" s="42"/>
    </row>
    <row r="660" spans="1:14" ht="24" customHeight="1">
      <c r="A660" s="8">
        <v>616</v>
      </c>
      <c r="B660" s="9">
        <v>616</v>
      </c>
      <c r="C660" s="46">
        <v>45998</v>
      </c>
      <c r="D660" s="9" t="s">
        <v>238</v>
      </c>
      <c r="E660" s="56" t="str">
        <f>IFERROR(VLOOKUP($D660,본공사입.출고현황!$B:$H,E$2080,0),0)</f>
        <v>Steel round bar</v>
      </c>
      <c r="F660" s="18" t="str">
        <f>IFERROR(VLOOKUP($D660,본공사입.출고현황!$B:$H,F$2080,0),0)</f>
        <v>Steel round bar(rebar)</v>
      </c>
      <c r="G660" s="18" t="str">
        <f>IFERROR(VLOOKUP($D660,본공사입.출고현황!$B:$H,G$2080,0),0)</f>
        <v>CCGG</v>
      </c>
      <c r="H660" s="18" t="str">
        <f>IFERROR(VLOOKUP($D660,본공사입.출고현황!$B:$H,H$2080,0),0)</f>
        <v>ф10, 1ton=1,620.7m</v>
      </c>
      <c r="I660" s="56" t="str">
        <f>IFERROR(VLOOKUP($D660,본공사입.출고현황!$B:$H,I$2080,0),0)</f>
        <v>M</v>
      </c>
      <c r="J660" s="9">
        <v>2</v>
      </c>
      <c r="K660" s="9" t="s">
        <v>360</v>
      </c>
      <c r="L660" s="37">
        <v>50</v>
      </c>
      <c r="M660" s="64" t="s">
        <v>358</v>
      </c>
      <c r="N660" s="42"/>
    </row>
    <row r="661" spans="1:14" ht="24" customHeight="1">
      <c r="A661" s="8">
        <v>617</v>
      </c>
      <c r="B661" s="9">
        <v>617</v>
      </c>
      <c r="C661" s="46">
        <v>45998</v>
      </c>
      <c r="D661" s="9" t="s">
        <v>238</v>
      </c>
      <c r="E661" s="56" t="str">
        <f>IFERROR(VLOOKUP($D661,본공사입.출고현황!$B:$H,E$2080,0),0)</f>
        <v>Steel round bar</v>
      </c>
      <c r="F661" s="18" t="str">
        <f>IFERROR(VLOOKUP($D661,본공사입.출고현황!$B:$H,F$2080,0),0)</f>
        <v>Steel round bar(rebar)</v>
      </c>
      <c r="G661" s="18" t="str">
        <f>IFERROR(VLOOKUP($D661,본공사입.출고현황!$B:$H,G$2080,0),0)</f>
        <v>CCGG</v>
      </c>
      <c r="H661" s="18" t="str">
        <f>IFERROR(VLOOKUP($D661,본공사입.출고현황!$B:$H,H$2080,0),0)</f>
        <v>ф10, 1ton=1,620.7m</v>
      </c>
      <c r="I661" s="56" t="str">
        <f>IFERROR(VLOOKUP($D661,본공사입.출고현황!$B:$H,I$2080,0),0)</f>
        <v>M</v>
      </c>
      <c r="J661" s="9">
        <v>4</v>
      </c>
      <c r="K661" s="9" t="s">
        <v>359</v>
      </c>
      <c r="L661" s="37">
        <v>25</v>
      </c>
      <c r="M661" s="64" t="s">
        <v>358</v>
      </c>
      <c r="N661" s="42"/>
    </row>
    <row r="662" spans="1:14" ht="24" customHeight="1">
      <c r="A662" s="8">
        <v>618</v>
      </c>
      <c r="B662" s="9">
        <v>618</v>
      </c>
      <c r="C662" s="46">
        <v>45998</v>
      </c>
      <c r="D662" s="9" t="s">
        <v>238</v>
      </c>
      <c r="E662" s="56" t="str">
        <f>IFERROR(VLOOKUP($D662,본공사입.출고현황!$B:$H,E$2080,0),0)</f>
        <v>Steel round bar</v>
      </c>
      <c r="F662" s="18" t="str">
        <f>IFERROR(VLOOKUP($D662,본공사입.출고현황!$B:$H,F$2080,0),0)</f>
        <v>Steel round bar(rebar)</v>
      </c>
      <c r="G662" s="18" t="str">
        <f>IFERROR(VLOOKUP($D662,본공사입.출고현황!$B:$H,G$2080,0),0)</f>
        <v>CCGG</v>
      </c>
      <c r="H662" s="18" t="str">
        <f>IFERROR(VLOOKUP($D662,본공사입.출고현황!$B:$H,H$2080,0),0)</f>
        <v>ф10, 1ton=1,620.7m</v>
      </c>
      <c r="I662" s="56" t="str">
        <f>IFERROR(VLOOKUP($D662,본공사입.출고현황!$B:$H,I$2080,0),0)</f>
        <v>M</v>
      </c>
      <c r="J662" s="9">
        <v>3</v>
      </c>
      <c r="K662" s="9" t="s">
        <v>237</v>
      </c>
      <c r="L662" s="37">
        <v>25</v>
      </c>
      <c r="M662" s="64" t="s">
        <v>358</v>
      </c>
      <c r="N662" s="42"/>
    </row>
    <row r="663" spans="1:14" ht="24" customHeight="1">
      <c r="A663" s="8">
        <v>619</v>
      </c>
      <c r="B663" s="9">
        <v>619</v>
      </c>
      <c r="C663" s="46">
        <v>45998</v>
      </c>
      <c r="D663" s="9" t="s">
        <v>238</v>
      </c>
      <c r="E663" s="56" t="str">
        <f>IFERROR(VLOOKUP($D663,본공사입.출고현황!$B:$H,E$2080,0),0)</f>
        <v>Steel round bar</v>
      </c>
      <c r="F663" s="18" t="str">
        <f>IFERROR(VLOOKUP($D663,본공사입.출고현황!$B:$H,F$2080,0),0)</f>
        <v>Steel round bar(rebar)</v>
      </c>
      <c r="G663" s="18" t="str">
        <f>IFERROR(VLOOKUP($D663,본공사입.출고현황!$B:$H,G$2080,0),0)</f>
        <v>CCGG</v>
      </c>
      <c r="H663" s="18" t="str">
        <f>IFERROR(VLOOKUP($D663,본공사입.출고현황!$B:$H,H$2080,0),0)</f>
        <v>ф10, 1ton=1,620.7m</v>
      </c>
      <c r="I663" s="56" t="str">
        <f>IFERROR(VLOOKUP($D663,본공사입.출고현황!$B:$H,I$2080,0),0)</f>
        <v>M</v>
      </c>
      <c r="J663" s="9">
        <v>4</v>
      </c>
      <c r="K663" s="9" t="s">
        <v>359</v>
      </c>
      <c r="L663" s="37">
        <v>50</v>
      </c>
      <c r="M663" s="64" t="s">
        <v>358</v>
      </c>
      <c r="N663" s="42"/>
    </row>
    <row r="664" spans="1:14" ht="24" customHeight="1">
      <c r="A664" s="8">
        <v>620</v>
      </c>
      <c r="B664" s="9">
        <v>620</v>
      </c>
      <c r="C664" s="46">
        <v>45998</v>
      </c>
      <c r="D664" s="9" t="s">
        <v>238</v>
      </c>
      <c r="E664" s="56" t="str">
        <f>IFERROR(VLOOKUP($D664,본공사입.출고현황!$B:$H,E$2080,0),0)</f>
        <v>Steel round bar</v>
      </c>
      <c r="F664" s="18" t="str">
        <f>IFERROR(VLOOKUP($D664,본공사입.출고현황!$B:$H,F$2080,0),0)</f>
        <v>Steel round bar(rebar)</v>
      </c>
      <c r="G664" s="18" t="str">
        <f>IFERROR(VLOOKUP($D664,본공사입.출고현황!$B:$H,G$2080,0),0)</f>
        <v>CCGG</v>
      </c>
      <c r="H664" s="18" t="str">
        <f>IFERROR(VLOOKUP($D664,본공사입.출고현황!$B:$H,H$2080,0),0)</f>
        <v>ф10, 1ton=1,620.7m</v>
      </c>
      <c r="I664" s="56" t="str">
        <f>IFERROR(VLOOKUP($D664,본공사입.출고현황!$B:$H,I$2080,0),0)</f>
        <v>M</v>
      </c>
      <c r="J664" s="9">
        <v>2</v>
      </c>
      <c r="K664" s="9" t="s">
        <v>546</v>
      </c>
      <c r="L664" s="37">
        <v>75</v>
      </c>
      <c r="M664" s="64" t="s">
        <v>358</v>
      </c>
      <c r="N664" s="42"/>
    </row>
    <row r="665" spans="1:14" ht="24" customHeight="1">
      <c r="A665" s="8">
        <v>621</v>
      </c>
      <c r="B665" s="9">
        <v>621</v>
      </c>
      <c r="C665" s="46">
        <v>45998</v>
      </c>
      <c r="D665" s="9" t="s">
        <v>238</v>
      </c>
      <c r="E665" s="56" t="str">
        <f>IFERROR(VLOOKUP($D665,본공사입.출고현황!$B:$H,E$2080,0),0)</f>
        <v>Steel round bar</v>
      </c>
      <c r="F665" s="18" t="str">
        <f>IFERROR(VLOOKUP($D665,본공사입.출고현황!$B:$H,F$2080,0),0)</f>
        <v>Steel round bar(rebar)</v>
      </c>
      <c r="G665" s="18" t="str">
        <f>IFERROR(VLOOKUP($D665,본공사입.출고현황!$B:$H,G$2080,0),0)</f>
        <v>CCGG</v>
      </c>
      <c r="H665" s="18" t="str">
        <f>IFERROR(VLOOKUP($D665,본공사입.출고현황!$B:$H,H$2080,0),0)</f>
        <v>ф10, 1ton=1,620.7m</v>
      </c>
      <c r="I665" s="56" t="str">
        <f>IFERROR(VLOOKUP($D665,본공사입.출고현황!$B:$H,I$2080,0),0)</f>
        <v>M</v>
      </c>
      <c r="J665" s="9">
        <v>1</v>
      </c>
      <c r="K665" s="9" t="s">
        <v>352</v>
      </c>
      <c r="L665" s="37">
        <v>115</v>
      </c>
      <c r="M665" s="64" t="s">
        <v>358</v>
      </c>
      <c r="N665" s="42"/>
    </row>
    <row r="666" spans="1:14" ht="24" customHeight="1">
      <c r="A666" s="8">
        <v>622</v>
      </c>
      <c r="B666" s="9">
        <v>622</v>
      </c>
      <c r="C666" s="46">
        <v>45998</v>
      </c>
      <c r="D666" s="9" t="s">
        <v>238</v>
      </c>
      <c r="E666" s="56" t="str">
        <f>IFERROR(VLOOKUP($D666,본공사입.출고현황!$B:$H,E$2080,0),0)</f>
        <v>Steel round bar</v>
      </c>
      <c r="F666" s="18" t="str">
        <f>IFERROR(VLOOKUP($D666,본공사입.출고현황!$B:$H,F$2080,0),0)</f>
        <v>Steel round bar(rebar)</v>
      </c>
      <c r="G666" s="18" t="str">
        <f>IFERROR(VLOOKUP($D666,본공사입.출고현황!$B:$H,G$2080,0),0)</f>
        <v>CCGG</v>
      </c>
      <c r="H666" s="18" t="str">
        <f>IFERROR(VLOOKUP($D666,본공사입.출고현황!$B:$H,H$2080,0),0)</f>
        <v>ф10, 1ton=1,620.7m</v>
      </c>
      <c r="I666" s="56" t="str">
        <f>IFERROR(VLOOKUP($D666,본공사입.출고현황!$B:$H,I$2080,0),0)</f>
        <v>M</v>
      </c>
      <c r="J666" s="9">
        <v>2</v>
      </c>
      <c r="K666" s="9" t="s">
        <v>360</v>
      </c>
      <c r="L666" s="37">
        <v>50</v>
      </c>
      <c r="M666" s="64" t="s">
        <v>358</v>
      </c>
      <c r="N666" s="42"/>
    </row>
    <row r="667" spans="1:14" ht="24" customHeight="1">
      <c r="A667" s="8">
        <v>623</v>
      </c>
      <c r="B667" s="9">
        <v>623</v>
      </c>
      <c r="C667" s="46">
        <v>45998</v>
      </c>
      <c r="D667" s="9" t="s">
        <v>238</v>
      </c>
      <c r="E667" s="56" t="str">
        <f>IFERROR(VLOOKUP($D667,본공사입.출고현황!$B:$H,E$2080,0),0)</f>
        <v>Steel round bar</v>
      </c>
      <c r="F667" s="18" t="str">
        <f>IFERROR(VLOOKUP($D667,본공사입.출고현황!$B:$H,F$2080,0),0)</f>
        <v>Steel round bar(rebar)</v>
      </c>
      <c r="G667" s="18" t="str">
        <f>IFERROR(VLOOKUP($D667,본공사입.출고현황!$B:$H,G$2080,0),0)</f>
        <v>CCGG</v>
      </c>
      <c r="H667" s="18" t="str">
        <f>IFERROR(VLOOKUP($D667,본공사입.출고현황!$B:$H,H$2080,0),0)</f>
        <v>ф10, 1ton=1,620.7m</v>
      </c>
      <c r="I667" s="56" t="str">
        <f>IFERROR(VLOOKUP($D667,본공사입.출고현황!$B:$H,I$2080,0),0)</f>
        <v>M</v>
      </c>
      <c r="J667" s="9">
        <v>3</v>
      </c>
      <c r="K667" s="9" t="s">
        <v>550</v>
      </c>
      <c r="L667" s="37">
        <v>15</v>
      </c>
      <c r="M667" s="64" t="s">
        <v>358</v>
      </c>
      <c r="N667" s="42"/>
    </row>
    <row r="668" spans="1:14" ht="24" customHeight="1">
      <c r="A668" s="8">
        <v>624</v>
      </c>
      <c r="B668" s="9">
        <v>624</v>
      </c>
      <c r="C668" s="46">
        <v>45998</v>
      </c>
      <c r="D668" s="9" t="s">
        <v>238</v>
      </c>
      <c r="E668" s="56" t="str">
        <f>IFERROR(VLOOKUP($D668,본공사입.출고현황!$B:$H,E$2080,0),0)</f>
        <v>Steel round bar</v>
      </c>
      <c r="F668" s="18" t="str">
        <f>IFERROR(VLOOKUP($D668,본공사입.출고현황!$B:$H,F$2080,0),0)</f>
        <v>Steel round bar(rebar)</v>
      </c>
      <c r="G668" s="18" t="str">
        <f>IFERROR(VLOOKUP($D668,본공사입.출고현황!$B:$H,G$2080,0),0)</f>
        <v>CCGG</v>
      </c>
      <c r="H668" s="18" t="str">
        <f>IFERROR(VLOOKUP($D668,본공사입.출고현황!$B:$H,H$2080,0),0)</f>
        <v>ф10, 1ton=1,620.7m</v>
      </c>
      <c r="I668" s="56" t="str">
        <f>IFERROR(VLOOKUP($D668,본공사입.출고현황!$B:$H,I$2080,0),0)</f>
        <v>M</v>
      </c>
      <c r="J668" s="9">
        <v>1</v>
      </c>
      <c r="K668" s="9" t="s">
        <v>363</v>
      </c>
      <c r="L668" s="37">
        <v>40</v>
      </c>
      <c r="M668" s="64" t="s">
        <v>358</v>
      </c>
      <c r="N668" s="42"/>
    </row>
    <row r="669" spans="1:14" ht="24" customHeight="1">
      <c r="A669" s="8">
        <v>625</v>
      </c>
      <c r="B669" s="9">
        <v>625</v>
      </c>
      <c r="C669" s="46">
        <v>45999</v>
      </c>
      <c r="D669" s="9" t="s">
        <v>238</v>
      </c>
      <c r="E669" s="56" t="str">
        <f>IFERROR(VLOOKUP($D669,본공사입.출고현황!$B:$H,E$2080,0),0)</f>
        <v>Steel round bar</v>
      </c>
      <c r="F669" s="18" t="str">
        <f>IFERROR(VLOOKUP($D669,본공사입.출고현황!$B:$H,F$2080,0),0)</f>
        <v>Steel round bar(rebar)</v>
      </c>
      <c r="G669" s="18" t="str">
        <f>IFERROR(VLOOKUP($D669,본공사입.출고현황!$B:$H,G$2080,0),0)</f>
        <v>CCGG</v>
      </c>
      <c r="H669" s="18" t="str">
        <f>IFERROR(VLOOKUP($D669,본공사입.출고현황!$B:$H,H$2080,0),0)</f>
        <v>ф10, 1ton=1,620.7m</v>
      </c>
      <c r="I669" s="56" t="str">
        <f>IFERROR(VLOOKUP($D669,본공사입.출고현황!$B:$H,I$2080,0),0)</f>
        <v>M</v>
      </c>
      <c r="J669" s="9">
        <v>1</v>
      </c>
      <c r="K669" s="9" t="s">
        <v>363</v>
      </c>
      <c r="L669" s="37">
        <v>125</v>
      </c>
      <c r="M669" s="64" t="s">
        <v>358</v>
      </c>
      <c r="N669" s="42"/>
    </row>
    <row r="670" spans="1:14" ht="24" customHeight="1">
      <c r="A670" s="8">
        <v>626</v>
      </c>
      <c r="B670" s="9">
        <v>626</v>
      </c>
      <c r="C670" s="46">
        <v>45999</v>
      </c>
      <c r="D670" s="9" t="s">
        <v>238</v>
      </c>
      <c r="E670" s="56" t="str">
        <f>IFERROR(VLOOKUP($D670,본공사입.출고현황!$B:$H,E$2080,0),0)</f>
        <v>Steel round bar</v>
      </c>
      <c r="F670" s="18" t="str">
        <f>IFERROR(VLOOKUP($D670,본공사입.출고현황!$B:$H,F$2080,0),0)</f>
        <v>Steel round bar(rebar)</v>
      </c>
      <c r="G670" s="18" t="str">
        <f>IFERROR(VLOOKUP($D670,본공사입.출고현황!$B:$H,G$2080,0),0)</f>
        <v>CCGG</v>
      </c>
      <c r="H670" s="18" t="str">
        <f>IFERROR(VLOOKUP($D670,본공사입.출고현황!$B:$H,H$2080,0),0)</f>
        <v>ф10, 1ton=1,620.7m</v>
      </c>
      <c r="I670" s="56" t="str">
        <f>IFERROR(VLOOKUP($D670,본공사입.출고현황!$B:$H,I$2080,0),0)</f>
        <v>M</v>
      </c>
      <c r="J670" s="9">
        <v>2</v>
      </c>
      <c r="K670" s="9" t="s">
        <v>546</v>
      </c>
      <c r="L670" s="37">
        <v>75</v>
      </c>
      <c r="M670" s="64" t="s">
        <v>358</v>
      </c>
      <c r="N670" s="42"/>
    </row>
    <row r="671" spans="1:14" ht="24" customHeight="1">
      <c r="A671" s="8">
        <v>627</v>
      </c>
      <c r="B671" s="9">
        <v>627</v>
      </c>
      <c r="C671" s="46">
        <v>45999</v>
      </c>
      <c r="D671" s="9" t="s">
        <v>238</v>
      </c>
      <c r="E671" s="56" t="str">
        <f>IFERROR(VLOOKUP($D671,본공사입.출고현황!$B:$H,E$2080,0),0)</f>
        <v>Steel round bar</v>
      </c>
      <c r="F671" s="18" t="str">
        <f>IFERROR(VLOOKUP($D671,본공사입.출고현황!$B:$H,F$2080,0),0)</f>
        <v>Steel round bar(rebar)</v>
      </c>
      <c r="G671" s="18" t="str">
        <f>IFERROR(VLOOKUP($D671,본공사입.출고현황!$B:$H,G$2080,0),0)</f>
        <v>CCGG</v>
      </c>
      <c r="H671" s="18" t="str">
        <f>IFERROR(VLOOKUP($D671,본공사입.출고현황!$B:$H,H$2080,0),0)</f>
        <v>ф10, 1ton=1,620.7m</v>
      </c>
      <c r="I671" s="56" t="str">
        <f>IFERROR(VLOOKUP($D671,본공사입.출고현황!$B:$H,I$2080,0),0)</f>
        <v>M</v>
      </c>
      <c r="J671" s="9">
        <v>2</v>
      </c>
      <c r="K671" s="9" t="s">
        <v>360</v>
      </c>
      <c r="L671" s="37">
        <v>75</v>
      </c>
      <c r="M671" s="64" t="s">
        <v>358</v>
      </c>
      <c r="N671" s="42"/>
    </row>
    <row r="672" spans="1:14" ht="24" customHeight="1">
      <c r="A672" s="8">
        <v>628</v>
      </c>
      <c r="B672" s="9">
        <v>628</v>
      </c>
      <c r="C672" s="46">
        <v>45999</v>
      </c>
      <c r="D672" s="9" t="s">
        <v>238</v>
      </c>
      <c r="E672" s="56" t="str">
        <f>IFERROR(VLOOKUP($D672,본공사입.출고현황!$B:$H,E$2080,0),0)</f>
        <v>Steel round bar</v>
      </c>
      <c r="F672" s="18" t="str">
        <f>IFERROR(VLOOKUP($D672,본공사입.출고현황!$B:$H,F$2080,0),0)</f>
        <v>Steel round bar(rebar)</v>
      </c>
      <c r="G672" s="18" t="str">
        <f>IFERROR(VLOOKUP($D672,본공사입.출고현황!$B:$H,G$2080,0),0)</f>
        <v>CCGG</v>
      </c>
      <c r="H672" s="18" t="str">
        <f>IFERROR(VLOOKUP($D672,본공사입.출고현황!$B:$H,H$2080,0),0)</f>
        <v>ф10, 1ton=1,620.7m</v>
      </c>
      <c r="I672" s="56" t="str">
        <f>IFERROR(VLOOKUP($D672,본공사입.출고현황!$B:$H,I$2080,0),0)</f>
        <v>M</v>
      </c>
      <c r="J672" s="9">
        <v>1</v>
      </c>
      <c r="K672" s="9" t="s">
        <v>547</v>
      </c>
      <c r="L672" s="37">
        <v>100</v>
      </c>
      <c r="M672" s="64" t="s">
        <v>358</v>
      </c>
      <c r="N672" s="42"/>
    </row>
    <row r="673" spans="1:14" ht="24" customHeight="1">
      <c r="A673" s="8">
        <v>629</v>
      </c>
      <c r="B673" s="9">
        <v>629</v>
      </c>
      <c r="C673" s="46">
        <v>45999</v>
      </c>
      <c r="D673" s="9" t="s">
        <v>238</v>
      </c>
      <c r="E673" s="56" t="str">
        <f>IFERROR(VLOOKUP($D673,본공사입.출고현황!$B:$H,E$2080,0),0)</f>
        <v>Steel round bar</v>
      </c>
      <c r="F673" s="18" t="str">
        <f>IFERROR(VLOOKUP($D673,본공사입.출고현황!$B:$H,F$2080,0),0)</f>
        <v>Steel round bar(rebar)</v>
      </c>
      <c r="G673" s="18" t="str">
        <f>IFERROR(VLOOKUP($D673,본공사입.출고현황!$B:$H,G$2080,0),0)</f>
        <v>CCGG</v>
      </c>
      <c r="H673" s="18" t="str">
        <f>IFERROR(VLOOKUP($D673,본공사입.출고현황!$B:$H,H$2080,0),0)</f>
        <v>ф10, 1ton=1,620.7m</v>
      </c>
      <c r="I673" s="56" t="str">
        <f>IFERROR(VLOOKUP($D673,본공사입.출고현황!$B:$H,I$2080,0),0)</f>
        <v>M</v>
      </c>
      <c r="J673" s="9">
        <v>1</v>
      </c>
      <c r="K673" s="9" t="s">
        <v>352</v>
      </c>
      <c r="L673" s="37">
        <v>75</v>
      </c>
      <c r="M673" s="64" t="s">
        <v>358</v>
      </c>
      <c r="N673" s="42"/>
    </row>
    <row r="674" spans="1:14" ht="24" customHeight="1">
      <c r="A674" s="8">
        <v>630</v>
      </c>
      <c r="B674" s="9">
        <v>630</v>
      </c>
      <c r="C674" s="46">
        <v>45999</v>
      </c>
      <c r="D674" s="9" t="s">
        <v>238</v>
      </c>
      <c r="E674" s="56" t="str">
        <f>IFERROR(VLOOKUP($D674,본공사입.출고현황!$B:$H,E$2080,0),0)</f>
        <v>Steel round bar</v>
      </c>
      <c r="F674" s="18" t="str">
        <f>IFERROR(VLOOKUP($D674,본공사입.출고현황!$B:$H,F$2080,0),0)</f>
        <v>Steel round bar(rebar)</v>
      </c>
      <c r="G674" s="18" t="str">
        <f>IFERROR(VLOOKUP($D674,본공사입.출고현황!$B:$H,G$2080,0),0)</f>
        <v>CCGG</v>
      </c>
      <c r="H674" s="18" t="str">
        <f>IFERROR(VLOOKUP($D674,본공사입.출고현황!$B:$H,H$2080,0),0)</f>
        <v>ф10, 1ton=1,620.7m</v>
      </c>
      <c r="I674" s="56" t="str">
        <f>IFERROR(VLOOKUP($D674,본공사입.출고현황!$B:$H,I$2080,0),0)</f>
        <v>M</v>
      </c>
      <c r="J674" s="9">
        <v>3</v>
      </c>
      <c r="K674" s="9" t="s">
        <v>550</v>
      </c>
      <c r="L674" s="37">
        <v>50</v>
      </c>
      <c r="M674" s="64" t="s">
        <v>358</v>
      </c>
      <c r="N674" s="42"/>
    </row>
    <row r="675" spans="1:14" ht="24" customHeight="1">
      <c r="A675" s="8">
        <v>631</v>
      </c>
      <c r="B675" s="9">
        <v>631</v>
      </c>
      <c r="C675" s="46">
        <v>45999</v>
      </c>
      <c r="D675" s="9" t="s">
        <v>238</v>
      </c>
      <c r="E675" s="56" t="str">
        <f>IFERROR(VLOOKUP($D675,본공사입.출고현황!$B:$H,E$2080,0),0)</f>
        <v>Steel round bar</v>
      </c>
      <c r="F675" s="18" t="str">
        <f>IFERROR(VLOOKUP($D675,본공사입.출고현황!$B:$H,F$2080,0),0)</f>
        <v>Steel round bar(rebar)</v>
      </c>
      <c r="G675" s="18" t="str">
        <f>IFERROR(VLOOKUP($D675,본공사입.출고현황!$B:$H,G$2080,0),0)</f>
        <v>CCGG</v>
      </c>
      <c r="H675" s="18" t="str">
        <f>IFERROR(VLOOKUP($D675,본공사입.출고현황!$B:$H,H$2080,0),0)</f>
        <v>ф10, 1ton=1,620.7m</v>
      </c>
      <c r="I675" s="56" t="str">
        <f>IFERROR(VLOOKUP($D675,본공사입.출고현황!$B:$H,I$2080,0),0)</f>
        <v>M</v>
      </c>
      <c r="J675" s="9">
        <v>2</v>
      </c>
      <c r="K675" s="9" t="s">
        <v>360</v>
      </c>
      <c r="L675" s="37">
        <v>30</v>
      </c>
      <c r="M675" s="64" t="s">
        <v>358</v>
      </c>
      <c r="N675" s="42"/>
    </row>
    <row r="676" spans="1:14" ht="24" customHeight="1">
      <c r="A676" s="8">
        <v>632</v>
      </c>
      <c r="B676" s="9">
        <v>632</v>
      </c>
      <c r="C676" s="46">
        <v>45999</v>
      </c>
      <c r="D676" s="9" t="s">
        <v>238</v>
      </c>
      <c r="E676" s="56" t="str">
        <f>IFERROR(VLOOKUP($D676,본공사입.출고현황!$B:$H,E$2080,0),0)</f>
        <v>Steel round bar</v>
      </c>
      <c r="F676" s="18" t="str">
        <f>IFERROR(VLOOKUP($D676,본공사입.출고현황!$B:$H,F$2080,0),0)</f>
        <v>Steel round bar(rebar)</v>
      </c>
      <c r="G676" s="18" t="str">
        <f>IFERROR(VLOOKUP($D676,본공사입.출고현황!$B:$H,G$2080,0),0)</f>
        <v>CCGG</v>
      </c>
      <c r="H676" s="18" t="str">
        <f>IFERROR(VLOOKUP($D676,본공사입.출고현황!$B:$H,H$2080,0),0)</f>
        <v>ф10, 1ton=1,620.7m</v>
      </c>
      <c r="I676" s="56" t="str">
        <f>IFERROR(VLOOKUP($D676,본공사입.출고현황!$B:$H,I$2080,0),0)</f>
        <v>M</v>
      </c>
      <c r="J676" s="9">
        <v>3</v>
      </c>
      <c r="K676" s="9" t="s">
        <v>237</v>
      </c>
      <c r="L676" s="37">
        <v>50</v>
      </c>
      <c r="M676" s="64" t="s">
        <v>358</v>
      </c>
      <c r="N676" s="42"/>
    </row>
    <row r="677" spans="1:14" ht="24" customHeight="1">
      <c r="A677" s="8">
        <v>633</v>
      </c>
      <c r="B677" s="9">
        <v>633</v>
      </c>
      <c r="C677" s="46">
        <v>45999</v>
      </c>
      <c r="D677" s="9" t="s">
        <v>238</v>
      </c>
      <c r="E677" s="56" t="str">
        <f>IFERROR(VLOOKUP($D677,본공사입.출고현황!$B:$H,E$2080,0),0)</f>
        <v>Steel round bar</v>
      </c>
      <c r="F677" s="18" t="str">
        <f>IFERROR(VLOOKUP($D677,본공사입.출고현황!$B:$H,F$2080,0),0)</f>
        <v>Steel round bar(rebar)</v>
      </c>
      <c r="G677" s="18" t="str">
        <f>IFERROR(VLOOKUP($D677,본공사입.출고현황!$B:$H,G$2080,0),0)</f>
        <v>CCGG</v>
      </c>
      <c r="H677" s="18" t="str">
        <f>IFERROR(VLOOKUP($D677,본공사입.출고현황!$B:$H,H$2080,0),0)</f>
        <v>ф10, 1ton=1,620.7m</v>
      </c>
      <c r="I677" s="56" t="str">
        <f>IFERROR(VLOOKUP($D677,본공사입.출고현황!$B:$H,I$2080,0),0)</f>
        <v>M</v>
      </c>
      <c r="J677" s="9">
        <v>1</v>
      </c>
      <c r="K677" s="9" t="s">
        <v>352</v>
      </c>
      <c r="L677" s="37">
        <v>105</v>
      </c>
      <c r="M677" s="64" t="s">
        <v>358</v>
      </c>
      <c r="N677" s="42"/>
    </row>
    <row r="678" spans="1:14" ht="24" customHeight="1">
      <c r="A678" s="8">
        <v>634</v>
      </c>
      <c r="B678" s="9">
        <v>634</v>
      </c>
      <c r="C678" s="46">
        <v>45999</v>
      </c>
      <c r="D678" s="9" t="s">
        <v>238</v>
      </c>
      <c r="E678" s="56" t="str">
        <f>IFERROR(VLOOKUP($D678,본공사입.출고현황!$B:$H,E$2080,0),0)</f>
        <v>Steel round bar</v>
      </c>
      <c r="F678" s="18" t="str">
        <f>IFERROR(VLOOKUP($D678,본공사입.출고현황!$B:$H,F$2080,0),0)</f>
        <v>Steel round bar(rebar)</v>
      </c>
      <c r="G678" s="18" t="str">
        <f>IFERROR(VLOOKUP($D678,본공사입.출고현황!$B:$H,G$2080,0),0)</f>
        <v>CCGG</v>
      </c>
      <c r="H678" s="18" t="str">
        <f>IFERROR(VLOOKUP($D678,본공사입.출고현황!$B:$H,H$2080,0),0)</f>
        <v>ф10, 1ton=1,620.7m</v>
      </c>
      <c r="I678" s="56" t="str">
        <f>IFERROR(VLOOKUP($D678,본공사입.출고현황!$B:$H,I$2080,0),0)</f>
        <v>M</v>
      </c>
      <c r="J678" s="9">
        <v>1</v>
      </c>
      <c r="K678" s="9" t="s">
        <v>547</v>
      </c>
      <c r="L678" s="37">
        <v>50</v>
      </c>
      <c r="M678" s="64" t="s">
        <v>358</v>
      </c>
      <c r="N678" s="42"/>
    </row>
    <row r="679" spans="1:14" ht="24" customHeight="1">
      <c r="A679" s="8">
        <v>635</v>
      </c>
      <c r="B679" s="9">
        <v>635</v>
      </c>
      <c r="C679" s="46">
        <v>45999</v>
      </c>
      <c r="D679" s="9" t="s">
        <v>238</v>
      </c>
      <c r="E679" s="56" t="str">
        <f>IFERROR(VLOOKUP($D679,본공사입.출고현황!$B:$H,E$2080,0),0)</f>
        <v>Steel round bar</v>
      </c>
      <c r="F679" s="18" t="str">
        <f>IFERROR(VLOOKUP($D679,본공사입.출고현황!$B:$H,F$2080,0),0)</f>
        <v>Steel round bar(rebar)</v>
      </c>
      <c r="G679" s="18" t="str">
        <f>IFERROR(VLOOKUP($D679,본공사입.출고현황!$B:$H,G$2080,0),0)</f>
        <v>CCGG</v>
      </c>
      <c r="H679" s="18" t="str">
        <f>IFERROR(VLOOKUP($D679,본공사입.출고현황!$B:$H,H$2080,0),0)</f>
        <v>ф10, 1ton=1,620.7m</v>
      </c>
      <c r="I679" s="56" t="str">
        <f>IFERROR(VLOOKUP($D679,본공사입.출고현황!$B:$H,I$2080,0),0)</f>
        <v>M</v>
      </c>
      <c r="J679" s="9">
        <v>2</v>
      </c>
      <c r="K679" s="9" t="s">
        <v>360</v>
      </c>
      <c r="L679" s="37">
        <v>50</v>
      </c>
      <c r="M679" s="64" t="s">
        <v>358</v>
      </c>
      <c r="N679" s="42"/>
    </row>
    <row r="680" spans="1:14" ht="24" customHeight="1">
      <c r="A680" s="8">
        <v>636</v>
      </c>
      <c r="B680" s="9">
        <v>636</v>
      </c>
      <c r="C680" s="46">
        <v>45999</v>
      </c>
      <c r="D680" s="9" t="s">
        <v>238</v>
      </c>
      <c r="E680" s="56" t="str">
        <f>IFERROR(VLOOKUP($D680,본공사입.출고현황!$B:$H,E$2080,0),0)</f>
        <v>Steel round bar</v>
      </c>
      <c r="F680" s="18" t="str">
        <f>IFERROR(VLOOKUP($D680,본공사입.출고현황!$B:$H,F$2080,0),0)</f>
        <v>Steel round bar(rebar)</v>
      </c>
      <c r="G680" s="18" t="str">
        <f>IFERROR(VLOOKUP($D680,본공사입.출고현황!$B:$H,G$2080,0),0)</f>
        <v>CCGG</v>
      </c>
      <c r="H680" s="18" t="str">
        <f>IFERROR(VLOOKUP($D680,본공사입.출고현황!$B:$H,H$2080,0),0)</f>
        <v>ф10, 1ton=1,620.7m</v>
      </c>
      <c r="I680" s="56" t="str">
        <f>IFERROR(VLOOKUP($D680,본공사입.출고현황!$B:$H,I$2080,0),0)</f>
        <v>M</v>
      </c>
      <c r="J680" s="9">
        <v>3</v>
      </c>
      <c r="K680" s="9" t="s">
        <v>237</v>
      </c>
      <c r="L680" s="37">
        <v>75</v>
      </c>
      <c r="M680" s="64" t="s">
        <v>358</v>
      </c>
      <c r="N680" s="42"/>
    </row>
    <row r="681" spans="1:14" ht="24" customHeight="1">
      <c r="A681" s="8">
        <v>637</v>
      </c>
      <c r="B681" s="9">
        <v>637</v>
      </c>
      <c r="C681" s="46">
        <v>46000</v>
      </c>
      <c r="D681" s="9" t="s">
        <v>238</v>
      </c>
      <c r="E681" s="56" t="str">
        <f>IFERROR(VLOOKUP($D681,본공사입.출고현황!$B:$H,E$2080,0),0)</f>
        <v>Steel round bar</v>
      </c>
      <c r="F681" s="18" t="str">
        <f>IFERROR(VLOOKUP($D681,본공사입.출고현황!$B:$H,F$2080,0),0)</f>
        <v>Steel round bar(rebar)</v>
      </c>
      <c r="G681" s="18" t="str">
        <f>IFERROR(VLOOKUP($D681,본공사입.출고현황!$B:$H,G$2080,0),0)</f>
        <v>CCGG</v>
      </c>
      <c r="H681" s="18" t="str">
        <f>IFERROR(VLOOKUP($D681,본공사입.출고현황!$B:$H,H$2080,0),0)</f>
        <v>ф10, 1ton=1,620.7m</v>
      </c>
      <c r="I681" s="56" t="str">
        <f>IFERROR(VLOOKUP($D681,본공사입.출고현황!$B:$H,I$2080,0),0)</f>
        <v>M</v>
      </c>
      <c r="J681" s="9">
        <v>1</v>
      </c>
      <c r="K681" s="9" t="s">
        <v>352</v>
      </c>
      <c r="L681" s="37">
        <v>125</v>
      </c>
      <c r="M681" s="64" t="s">
        <v>358</v>
      </c>
      <c r="N681" s="42"/>
    </row>
    <row r="682" spans="1:14" ht="24" customHeight="1">
      <c r="A682" s="8">
        <v>638</v>
      </c>
      <c r="B682" s="9">
        <v>638</v>
      </c>
      <c r="C682" s="46">
        <v>46000</v>
      </c>
      <c r="D682" s="9" t="s">
        <v>238</v>
      </c>
      <c r="E682" s="56" t="str">
        <f>IFERROR(VLOOKUP($D682,본공사입.출고현황!$B:$H,E$2080,0),0)</f>
        <v>Steel round bar</v>
      </c>
      <c r="F682" s="18" t="str">
        <f>IFERROR(VLOOKUP($D682,본공사입.출고현황!$B:$H,F$2080,0),0)</f>
        <v>Steel round bar(rebar)</v>
      </c>
      <c r="G682" s="18" t="str">
        <f>IFERROR(VLOOKUP($D682,본공사입.출고현황!$B:$H,G$2080,0),0)</f>
        <v>CCGG</v>
      </c>
      <c r="H682" s="18" t="str">
        <f>IFERROR(VLOOKUP($D682,본공사입.출고현황!$B:$H,H$2080,0),0)</f>
        <v>ф10, 1ton=1,620.7m</v>
      </c>
      <c r="I682" s="56" t="str">
        <f>IFERROR(VLOOKUP($D682,본공사입.출고현황!$B:$H,I$2080,0),0)</f>
        <v>M</v>
      </c>
      <c r="J682" s="9">
        <v>4</v>
      </c>
      <c r="K682" s="9" t="s">
        <v>359</v>
      </c>
      <c r="L682" s="37">
        <v>50</v>
      </c>
      <c r="M682" s="64" t="s">
        <v>358</v>
      </c>
      <c r="N682" s="42"/>
    </row>
    <row r="683" spans="1:14" ht="24" customHeight="1">
      <c r="A683" s="8">
        <v>639</v>
      </c>
      <c r="B683" s="9">
        <v>639</v>
      </c>
      <c r="C683" s="46">
        <v>46000</v>
      </c>
      <c r="D683" s="9" t="s">
        <v>238</v>
      </c>
      <c r="E683" s="56" t="str">
        <f>IFERROR(VLOOKUP($D683,본공사입.출고현황!$B:$H,E$2080,0),0)</f>
        <v>Steel round bar</v>
      </c>
      <c r="F683" s="18" t="str">
        <f>IFERROR(VLOOKUP($D683,본공사입.출고현황!$B:$H,F$2080,0),0)</f>
        <v>Steel round bar(rebar)</v>
      </c>
      <c r="G683" s="18" t="str">
        <f>IFERROR(VLOOKUP($D683,본공사입.출고현황!$B:$H,G$2080,0),0)</f>
        <v>CCGG</v>
      </c>
      <c r="H683" s="18" t="str">
        <f>IFERROR(VLOOKUP($D683,본공사입.출고현황!$B:$H,H$2080,0),0)</f>
        <v>ф10, 1ton=1,620.7m</v>
      </c>
      <c r="I683" s="56" t="str">
        <f>IFERROR(VLOOKUP($D683,본공사입.출고현황!$B:$H,I$2080,0),0)</f>
        <v>M</v>
      </c>
      <c r="J683" s="9">
        <v>2</v>
      </c>
      <c r="K683" s="9" t="s">
        <v>546</v>
      </c>
      <c r="L683" s="37">
        <v>75</v>
      </c>
      <c r="M683" s="64" t="s">
        <v>358</v>
      </c>
      <c r="N683" s="42"/>
    </row>
    <row r="684" spans="1:14" ht="24" customHeight="1">
      <c r="A684" s="8">
        <v>640</v>
      </c>
      <c r="B684" s="9">
        <v>640</v>
      </c>
      <c r="C684" s="46">
        <v>46000</v>
      </c>
      <c r="D684" s="9" t="s">
        <v>238</v>
      </c>
      <c r="E684" s="56" t="str">
        <f>IFERROR(VLOOKUP($D684,본공사입.출고현황!$B:$H,E$2080,0),0)</f>
        <v>Steel round bar</v>
      </c>
      <c r="F684" s="18" t="str">
        <f>IFERROR(VLOOKUP($D684,본공사입.출고현황!$B:$H,F$2080,0),0)</f>
        <v>Steel round bar(rebar)</v>
      </c>
      <c r="G684" s="18" t="str">
        <f>IFERROR(VLOOKUP($D684,본공사입.출고현황!$B:$H,G$2080,0),0)</f>
        <v>CCGG</v>
      </c>
      <c r="H684" s="18" t="str">
        <f>IFERROR(VLOOKUP($D684,본공사입.출고현황!$B:$H,H$2080,0),0)</f>
        <v>ф10, 1ton=1,620.7m</v>
      </c>
      <c r="I684" s="56" t="str">
        <f>IFERROR(VLOOKUP($D684,본공사입.출고현황!$B:$H,I$2080,0),0)</f>
        <v>M</v>
      </c>
      <c r="J684" s="9">
        <v>1</v>
      </c>
      <c r="K684" s="9" t="s">
        <v>352</v>
      </c>
      <c r="L684" s="37">
        <v>115</v>
      </c>
      <c r="M684" s="64" t="s">
        <v>358</v>
      </c>
      <c r="N684" s="42"/>
    </row>
    <row r="685" spans="1:14" ht="24" customHeight="1">
      <c r="A685" s="8">
        <v>641</v>
      </c>
      <c r="B685" s="9">
        <v>641</v>
      </c>
      <c r="C685" s="46">
        <v>46000</v>
      </c>
      <c r="D685" s="9" t="s">
        <v>238</v>
      </c>
      <c r="E685" s="56" t="str">
        <f>IFERROR(VLOOKUP($D685,본공사입.출고현황!$B:$H,E$2080,0),0)</f>
        <v>Steel round bar</v>
      </c>
      <c r="F685" s="18" t="str">
        <f>IFERROR(VLOOKUP($D685,본공사입.출고현황!$B:$H,F$2080,0),0)</f>
        <v>Steel round bar(rebar)</v>
      </c>
      <c r="G685" s="18" t="str">
        <f>IFERROR(VLOOKUP($D685,본공사입.출고현황!$B:$H,G$2080,0),0)</f>
        <v>CCGG</v>
      </c>
      <c r="H685" s="18" t="str">
        <f>IFERROR(VLOOKUP($D685,본공사입.출고현황!$B:$H,H$2080,0),0)</f>
        <v>ф10, 1ton=1,620.7m</v>
      </c>
      <c r="I685" s="56" t="str">
        <f>IFERROR(VLOOKUP($D685,본공사입.출고현황!$B:$H,I$2080,0),0)</f>
        <v>M</v>
      </c>
      <c r="J685" s="9">
        <v>2</v>
      </c>
      <c r="K685" s="9" t="s">
        <v>360</v>
      </c>
      <c r="L685" s="37">
        <v>50</v>
      </c>
      <c r="M685" s="64" t="s">
        <v>358</v>
      </c>
      <c r="N685" s="42"/>
    </row>
    <row r="686" spans="1:14" ht="24" customHeight="1">
      <c r="A686" s="8">
        <v>642</v>
      </c>
      <c r="B686" s="9">
        <v>642</v>
      </c>
      <c r="C686" s="46">
        <v>46000</v>
      </c>
      <c r="D686" s="9" t="s">
        <v>238</v>
      </c>
      <c r="E686" s="56" t="str">
        <f>IFERROR(VLOOKUP($D686,본공사입.출고현황!$B:$H,E$2080,0),0)</f>
        <v>Steel round bar</v>
      </c>
      <c r="F686" s="18" t="str">
        <f>IFERROR(VLOOKUP($D686,본공사입.출고현황!$B:$H,F$2080,0),0)</f>
        <v>Steel round bar(rebar)</v>
      </c>
      <c r="G686" s="18" t="str">
        <f>IFERROR(VLOOKUP($D686,본공사입.출고현황!$B:$H,G$2080,0),0)</f>
        <v>CCGG</v>
      </c>
      <c r="H686" s="18" t="str">
        <f>IFERROR(VLOOKUP($D686,본공사입.출고현황!$B:$H,H$2080,0),0)</f>
        <v>ф10, 1ton=1,620.7m</v>
      </c>
      <c r="I686" s="56" t="str">
        <f>IFERROR(VLOOKUP($D686,본공사입.출고현황!$B:$H,I$2080,0),0)</f>
        <v>M</v>
      </c>
      <c r="J686" s="9">
        <v>3</v>
      </c>
      <c r="K686" s="9" t="s">
        <v>550</v>
      </c>
      <c r="L686" s="37">
        <v>15</v>
      </c>
      <c r="M686" s="64" t="s">
        <v>358</v>
      </c>
      <c r="N686" s="42"/>
    </row>
    <row r="687" spans="1:14" ht="24" customHeight="1">
      <c r="A687" s="8">
        <v>643</v>
      </c>
      <c r="B687" s="9">
        <v>643</v>
      </c>
      <c r="C687" s="46">
        <v>46000</v>
      </c>
      <c r="D687" s="9" t="s">
        <v>238</v>
      </c>
      <c r="E687" s="56" t="str">
        <f>IFERROR(VLOOKUP($D687,본공사입.출고현황!$B:$H,E$2080,0),0)</f>
        <v>Steel round bar</v>
      </c>
      <c r="F687" s="18" t="str">
        <f>IFERROR(VLOOKUP($D687,본공사입.출고현황!$B:$H,F$2080,0),0)</f>
        <v>Steel round bar(rebar)</v>
      </c>
      <c r="G687" s="18" t="str">
        <f>IFERROR(VLOOKUP($D687,본공사입.출고현황!$B:$H,G$2080,0),0)</f>
        <v>CCGG</v>
      </c>
      <c r="H687" s="18" t="str">
        <f>IFERROR(VLOOKUP($D687,본공사입.출고현황!$B:$H,H$2080,0),0)</f>
        <v>ф10, 1ton=1,620.7m</v>
      </c>
      <c r="I687" s="56" t="str">
        <f>IFERROR(VLOOKUP($D687,본공사입.출고현황!$B:$H,I$2080,0),0)</f>
        <v>M</v>
      </c>
      <c r="J687" s="9">
        <v>1</v>
      </c>
      <c r="K687" s="9" t="s">
        <v>363</v>
      </c>
      <c r="L687" s="37">
        <v>40</v>
      </c>
      <c r="M687" s="64" t="s">
        <v>358</v>
      </c>
      <c r="N687" s="42"/>
    </row>
    <row r="688" spans="1:14" ht="24" customHeight="1">
      <c r="A688" s="8">
        <v>644</v>
      </c>
      <c r="B688" s="9">
        <v>644</v>
      </c>
      <c r="C688" s="46">
        <v>46000</v>
      </c>
      <c r="D688" s="9" t="s">
        <v>238</v>
      </c>
      <c r="E688" s="56" t="str">
        <f>IFERROR(VLOOKUP($D688,본공사입.출고현황!$B:$H,E$2080,0),0)</f>
        <v>Steel round bar</v>
      </c>
      <c r="F688" s="18" t="str">
        <f>IFERROR(VLOOKUP($D688,본공사입.출고현황!$B:$H,F$2080,0),0)</f>
        <v>Steel round bar(rebar)</v>
      </c>
      <c r="G688" s="18" t="str">
        <f>IFERROR(VLOOKUP($D688,본공사입.출고현황!$B:$H,G$2080,0),0)</f>
        <v>CCGG</v>
      </c>
      <c r="H688" s="18" t="str">
        <f>IFERROR(VLOOKUP($D688,본공사입.출고현황!$B:$H,H$2080,0),0)</f>
        <v>ф10, 1ton=1,620.7m</v>
      </c>
      <c r="I688" s="56" t="str">
        <f>IFERROR(VLOOKUP($D688,본공사입.출고현황!$B:$H,I$2080,0),0)</f>
        <v>M</v>
      </c>
      <c r="J688" s="9">
        <v>1</v>
      </c>
      <c r="K688" s="9" t="s">
        <v>547</v>
      </c>
      <c r="L688" s="37">
        <v>20</v>
      </c>
      <c r="M688" s="64" t="s">
        <v>358</v>
      </c>
      <c r="N688" s="42"/>
    </row>
    <row r="689" spans="1:14" ht="24" customHeight="1">
      <c r="A689" s="8">
        <v>645</v>
      </c>
      <c r="B689" s="9">
        <v>645</v>
      </c>
      <c r="C689" s="46">
        <v>46000</v>
      </c>
      <c r="D689" s="9" t="s">
        <v>238</v>
      </c>
      <c r="E689" s="56" t="str">
        <f>IFERROR(VLOOKUP($D689,본공사입.출고현황!$B:$H,E$2080,0),0)</f>
        <v>Steel round bar</v>
      </c>
      <c r="F689" s="18" t="str">
        <f>IFERROR(VLOOKUP($D689,본공사입.출고현황!$B:$H,F$2080,0),0)</f>
        <v>Steel round bar(rebar)</v>
      </c>
      <c r="G689" s="18" t="str">
        <f>IFERROR(VLOOKUP($D689,본공사입.출고현황!$B:$H,G$2080,0),0)</f>
        <v>CCGG</v>
      </c>
      <c r="H689" s="18" t="str">
        <f>IFERROR(VLOOKUP($D689,본공사입.출고현황!$B:$H,H$2080,0),0)</f>
        <v>ф10, 1ton=1,620.7m</v>
      </c>
      <c r="I689" s="56" t="str">
        <f>IFERROR(VLOOKUP($D689,본공사입.출고현황!$B:$H,I$2080,0),0)</f>
        <v>M</v>
      </c>
      <c r="J689" s="9">
        <v>1</v>
      </c>
      <c r="K689" s="9" t="s">
        <v>363</v>
      </c>
      <c r="L689" s="37">
        <v>20</v>
      </c>
      <c r="M689" s="64" t="s">
        <v>358</v>
      </c>
      <c r="N689" s="42"/>
    </row>
    <row r="690" spans="1:14" ht="24" customHeight="1">
      <c r="A690" s="8">
        <v>646</v>
      </c>
      <c r="B690" s="9">
        <v>646</v>
      </c>
      <c r="C690" s="46">
        <v>46000</v>
      </c>
      <c r="D690" s="9" t="s">
        <v>68</v>
      </c>
      <c r="E690" s="56" t="str">
        <f>IFERROR(VLOOKUP($D690,본공사입.출고현황!$B:$H,E$2080,0),0)</f>
        <v>Ground</v>
      </c>
      <c r="F690" s="18" t="str">
        <f>IFERROR(VLOOKUP($D690,본공사입.출고현황!$B:$H,F$2080,0),0)</f>
        <v>Ground Cable  78SQ</v>
      </c>
      <c r="G690" s="18" t="str">
        <f>IFERROR(VLOOKUP($D690,본공사입.출고현황!$B:$H,G$2080,0),0)</f>
        <v xml:space="preserve">Ground Cable </v>
      </c>
      <c r="H690" s="18" t="str">
        <f>IFERROR(VLOOKUP($D690,본공사입.출고현황!$B:$H,H$2080,0),0)</f>
        <v>78SQ</v>
      </c>
      <c r="I690" s="56" t="str">
        <f>IFERROR(VLOOKUP($D690,본공사입.출고현황!$B:$H,I$2080,0),0)</f>
        <v>M</v>
      </c>
      <c r="J690" s="9">
        <v>1</v>
      </c>
      <c r="K690" s="9" t="s">
        <v>352</v>
      </c>
      <c r="L690" s="37">
        <v>2</v>
      </c>
      <c r="M690" s="64" t="s">
        <v>409</v>
      </c>
      <c r="N690" s="42"/>
    </row>
    <row r="691" spans="1:14" ht="24" customHeight="1">
      <c r="A691" s="8">
        <v>647</v>
      </c>
      <c r="B691" s="9">
        <v>647</v>
      </c>
      <c r="C691" s="46">
        <v>46000</v>
      </c>
      <c r="D691" s="9" t="s">
        <v>86</v>
      </c>
      <c r="E691" s="56" t="str">
        <f>IFERROR(VLOOKUP($D691,본공사입.출고현황!$B:$H,E$2080,0),0)</f>
        <v>Ground</v>
      </c>
      <c r="F691" s="18" t="str">
        <f>IFERROR(VLOOKUP($D691,본공사입.출고현황!$B:$H,F$2080,0),0)</f>
        <v>Cadweld Powder #115</v>
      </c>
      <c r="G691" s="18" t="str">
        <f>IFERROR(VLOOKUP($D691,본공사입.출고현황!$B:$H,G$2080,0),0)</f>
        <v>Cadweld Powder</v>
      </c>
      <c r="H691" s="18" t="str">
        <f>IFERROR(VLOOKUP($D691,본공사입.출고현황!$B:$H,H$2080,0),0)</f>
        <v>#115</v>
      </c>
      <c r="I691" s="56" t="str">
        <f>IFERROR(VLOOKUP($D691,본공사입.출고현황!$B:$H,I$2080,0),0)</f>
        <v>EA</v>
      </c>
      <c r="J691" s="9">
        <v>1</v>
      </c>
      <c r="K691" s="9" t="s">
        <v>352</v>
      </c>
      <c r="L691" s="37">
        <v>14</v>
      </c>
      <c r="M691" s="64" t="s">
        <v>409</v>
      </c>
      <c r="N691" s="42"/>
    </row>
    <row r="692" spans="1:14" ht="24" customHeight="1">
      <c r="A692" s="8">
        <v>648</v>
      </c>
      <c r="B692" s="9">
        <v>648</v>
      </c>
      <c r="C692" s="46">
        <v>46001</v>
      </c>
      <c r="D692" s="9" t="s">
        <v>238</v>
      </c>
      <c r="E692" s="56" t="str">
        <f>IFERROR(VLOOKUP($D692,본공사입.출고현황!$B:$H,E$2080,0),0)</f>
        <v>Steel round bar</v>
      </c>
      <c r="F692" s="18" t="str">
        <f>IFERROR(VLOOKUP($D692,본공사입.출고현황!$B:$H,F$2080,0),0)</f>
        <v>Steel round bar(rebar)</v>
      </c>
      <c r="G692" s="18" t="str">
        <f>IFERROR(VLOOKUP($D692,본공사입.출고현황!$B:$H,G$2080,0),0)</f>
        <v>CCGG</v>
      </c>
      <c r="H692" s="18" t="str">
        <f>IFERROR(VLOOKUP($D692,본공사입.출고현황!$B:$H,H$2080,0),0)</f>
        <v>ф10, 1ton=1,620.7m</v>
      </c>
      <c r="I692" s="56" t="str">
        <f>IFERROR(VLOOKUP($D692,본공사입.출고현황!$B:$H,I$2080,0),0)</f>
        <v>M</v>
      </c>
      <c r="J692" s="9">
        <v>1</v>
      </c>
      <c r="K692" s="9" t="s">
        <v>352</v>
      </c>
      <c r="L692" s="37">
        <v>25</v>
      </c>
      <c r="M692" s="64" t="s">
        <v>358</v>
      </c>
      <c r="N692" s="42"/>
    </row>
    <row r="693" spans="1:14" ht="24" customHeight="1">
      <c r="A693" s="8">
        <v>649</v>
      </c>
      <c r="B693" s="9">
        <v>649</v>
      </c>
      <c r="C693" s="46">
        <v>46001</v>
      </c>
      <c r="D693" s="9" t="s">
        <v>238</v>
      </c>
      <c r="E693" s="56" t="str">
        <f>IFERROR(VLOOKUP($D693,본공사입.출고현황!$B:$H,E$2080,0),0)</f>
        <v>Steel round bar</v>
      </c>
      <c r="F693" s="18" t="str">
        <f>IFERROR(VLOOKUP($D693,본공사입.출고현황!$B:$H,F$2080,0),0)</f>
        <v>Steel round bar(rebar)</v>
      </c>
      <c r="G693" s="18" t="str">
        <f>IFERROR(VLOOKUP($D693,본공사입.출고현황!$B:$H,G$2080,0),0)</f>
        <v>CCGG</v>
      </c>
      <c r="H693" s="18" t="str">
        <f>IFERROR(VLOOKUP($D693,본공사입.출고현황!$B:$H,H$2080,0),0)</f>
        <v>ф10, 1ton=1,620.7m</v>
      </c>
      <c r="I693" s="56" t="str">
        <f>IFERROR(VLOOKUP($D693,본공사입.출고현황!$B:$H,I$2080,0),0)</f>
        <v>M</v>
      </c>
      <c r="J693" s="9" t="s">
        <v>557</v>
      </c>
      <c r="K693" s="9" t="s">
        <v>553</v>
      </c>
      <c r="L693" s="37">
        <v>25</v>
      </c>
      <c r="M693" s="64" t="s">
        <v>358</v>
      </c>
      <c r="N693" s="42"/>
    </row>
    <row r="694" spans="1:14" ht="24" customHeight="1">
      <c r="A694" s="8">
        <v>650</v>
      </c>
      <c r="B694" s="9">
        <v>650</v>
      </c>
      <c r="C694" s="46">
        <v>46001</v>
      </c>
      <c r="D694" s="9" t="s">
        <v>238</v>
      </c>
      <c r="E694" s="56" t="str">
        <f>IFERROR(VLOOKUP($D694,본공사입.출고현황!$B:$H,E$2080,0),0)</f>
        <v>Steel round bar</v>
      </c>
      <c r="F694" s="18" t="str">
        <f>IFERROR(VLOOKUP($D694,본공사입.출고현황!$B:$H,F$2080,0),0)</f>
        <v>Steel round bar(rebar)</v>
      </c>
      <c r="G694" s="18" t="str">
        <f>IFERROR(VLOOKUP($D694,본공사입.출고현황!$B:$H,G$2080,0),0)</f>
        <v>CCGG</v>
      </c>
      <c r="H694" s="18" t="str">
        <f>IFERROR(VLOOKUP($D694,본공사입.출고현황!$B:$H,H$2080,0),0)</f>
        <v>ф10, 1ton=1,620.7m</v>
      </c>
      <c r="I694" s="56" t="str">
        <f>IFERROR(VLOOKUP($D694,본공사입.출고현황!$B:$H,I$2080,0),0)</f>
        <v>M</v>
      </c>
      <c r="J694" s="9" t="s">
        <v>557</v>
      </c>
      <c r="K694" s="9" t="s">
        <v>553</v>
      </c>
      <c r="L694" s="37">
        <v>25</v>
      </c>
      <c r="M694" s="64" t="s">
        <v>358</v>
      </c>
      <c r="N694" s="42"/>
    </row>
    <row r="695" spans="1:14" ht="24" customHeight="1">
      <c r="A695" s="8">
        <v>651</v>
      </c>
      <c r="B695" s="9">
        <v>651</v>
      </c>
      <c r="C695" s="46">
        <v>46001</v>
      </c>
      <c r="D695" s="9" t="s">
        <v>238</v>
      </c>
      <c r="E695" s="56" t="str">
        <f>IFERROR(VLOOKUP($D695,본공사입.출고현황!$B:$H,E$2080,0),0)</f>
        <v>Steel round bar</v>
      </c>
      <c r="F695" s="18" t="str">
        <f>IFERROR(VLOOKUP($D695,본공사입.출고현황!$B:$H,F$2080,0),0)</f>
        <v>Steel round bar(rebar)</v>
      </c>
      <c r="G695" s="18" t="str">
        <f>IFERROR(VLOOKUP($D695,본공사입.출고현황!$B:$H,G$2080,0),0)</f>
        <v>CCGG</v>
      </c>
      <c r="H695" s="18" t="str">
        <f>IFERROR(VLOOKUP($D695,본공사입.출고현황!$B:$H,H$2080,0),0)</f>
        <v>ф10, 1ton=1,620.7m</v>
      </c>
      <c r="I695" s="56" t="str">
        <f>IFERROR(VLOOKUP($D695,본공사입.출고현황!$B:$H,I$2080,0),0)</f>
        <v>M</v>
      </c>
      <c r="J695" s="9">
        <v>1</v>
      </c>
      <c r="K695" s="9" t="s">
        <v>352</v>
      </c>
      <c r="L695" s="37">
        <v>125</v>
      </c>
      <c r="M695" s="64" t="s">
        <v>358</v>
      </c>
      <c r="N695" s="42"/>
    </row>
    <row r="696" spans="1:14" ht="24" customHeight="1">
      <c r="A696" s="8">
        <v>652</v>
      </c>
      <c r="B696" s="9">
        <v>652</v>
      </c>
      <c r="C696" s="46">
        <v>46001</v>
      </c>
      <c r="D696" s="9" t="s">
        <v>238</v>
      </c>
      <c r="E696" s="56" t="str">
        <f>IFERROR(VLOOKUP($D696,본공사입.출고현황!$B:$H,E$2080,0),0)</f>
        <v>Steel round bar</v>
      </c>
      <c r="F696" s="18" t="str">
        <f>IFERROR(VLOOKUP($D696,본공사입.출고현황!$B:$H,F$2080,0),0)</f>
        <v>Steel round bar(rebar)</v>
      </c>
      <c r="G696" s="18" t="str">
        <f>IFERROR(VLOOKUP($D696,본공사입.출고현황!$B:$H,G$2080,0),0)</f>
        <v>CCGG</v>
      </c>
      <c r="H696" s="18" t="str">
        <f>IFERROR(VLOOKUP($D696,본공사입.출고현황!$B:$H,H$2080,0),0)</f>
        <v>ф10, 1ton=1,620.7m</v>
      </c>
      <c r="I696" s="56" t="str">
        <f>IFERROR(VLOOKUP($D696,본공사입.출고현황!$B:$H,I$2080,0),0)</f>
        <v>M</v>
      </c>
      <c r="J696" s="9">
        <v>1</v>
      </c>
      <c r="K696" s="9" t="s">
        <v>363</v>
      </c>
      <c r="L696" s="37">
        <v>25</v>
      </c>
      <c r="M696" s="64" t="s">
        <v>358</v>
      </c>
      <c r="N696" s="42"/>
    </row>
    <row r="697" spans="1:14" ht="24" customHeight="1">
      <c r="A697" s="8">
        <v>653</v>
      </c>
      <c r="B697" s="9">
        <v>653</v>
      </c>
      <c r="C697" s="46">
        <v>46001</v>
      </c>
      <c r="D697" s="9" t="s">
        <v>238</v>
      </c>
      <c r="E697" s="56" t="str">
        <f>IFERROR(VLOOKUP($D697,본공사입.출고현황!$B:$H,E$2080,0),0)</f>
        <v>Steel round bar</v>
      </c>
      <c r="F697" s="18" t="str">
        <f>IFERROR(VLOOKUP($D697,본공사입.출고현황!$B:$H,F$2080,0),0)</f>
        <v>Steel round bar(rebar)</v>
      </c>
      <c r="G697" s="18" t="str">
        <f>IFERROR(VLOOKUP($D697,본공사입.출고현황!$B:$H,G$2080,0),0)</f>
        <v>CCGG</v>
      </c>
      <c r="H697" s="18" t="str">
        <f>IFERROR(VLOOKUP($D697,본공사입.출고현황!$B:$H,H$2080,0),0)</f>
        <v>ф10, 1ton=1,620.7m</v>
      </c>
      <c r="I697" s="56" t="str">
        <f>IFERROR(VLOOKUP($D697,본공사입.출고현황!$B:$H,I$2080,0),0)</f>
        <v>M</v>
      </c>
      <c r="J697" s="9">
        <v>1</v>
      </c>
      <c r="K697" s="9" t="s">
        <v>545</v>
      </c>
      <c r="L697" s="37">
        <v>15</v>
      </c>
      <c r="M697" s="64" t="s">
        <v>358</v>
      </c>
      <c r="N697" s="42"/>
    </row>
    <row r="698" spans="1:14" ht="24" customHeight="1">
      <c r="A698" s="8">
        <v>654</v>
      </c>
      <c r="B698" s="9">
        <v>654</v>
      </c>
      <c r="C698" s="46">
        <v>46001</v>
      </c>
      <c r="D698" s="9" t="s">
        <v>238</v>
      </c>
      <c r="E698" s="56" t="str">
        <f>IFERROR(VLOOKUP($D698,본공사입.출고현황!$B:$H,E$2080,0),0)</f>
        <v>Steel round bar</v>
      </c>
      <c r="F698" s="18" t="str">
        <f>IFERROR(VLOOKUP($D698,본공사입.출고현황!$B:$H,F$2080,0),0)</f>
        <v>Steel round bar(rebar)</v>
      </c>
      <c r="G698" s="18" t="str">
        <f>IFERROR(VLOOKUP($D698,본공사입.출고현황!$B:$H,G$2080,0),0)</f>
        <v>CCGG</v>
      </c>
      <c r="H698" s="18" t="str">
        <f>IFERROR(VLOOKUP($D698,본공사입.출고현황!$B:$H,H$2080,0),0)</f>
        <v>ф10, 1ton=1,620.7m</v>
      </c>
      <c r="I698" s="56" t="str">
        <f>IFERROR(VLOOKUP($D698,본공사입.출고현황!$B:$H,I$2080,0),0)</f>
        <v>M</v>
      </c>
      <c r="J698" s="9">
        <v>2</v>
      </c>
      <c r="K698" s="9" t="s">
        <v>241</v>
      </c>
      <c r="L698" s="37">
        <v>50</v>
      </c>
      <c r="M698" s="64" t="s">
        <v>358</v>
      </c>
      <c r="N698" s="42"/>
    </row>
    <row r="699" spans="1:14" ht="24" customHeight="1">
      <c r="A699" s="8">
        <v>655</v>
      </c>
      <c r="B699" s="9">
        <v>655</v>
      </c>
      <c r="C699" s="46">
        <v>46001</v>
      </c>
      <c r="D699" s="9" t="s">
        <v>238</v>
      </c>
      <c r="E699" s="56" t="str">
        <f>IFERROR(VLOOKUP($D699,본공사입.출고현황!$B:$H,E$2080,0),0)</f>
        <v>Steel round bar</v>
      </c>
      <c r="F699" s="18" t="str">
        <f>IFERROR(VLOOKUP($D699,본공사입.출고현황!$B:$H,F$2080,0),0)</f>
        <v>Steel round bar(rebar)</v>
      </c>
      <c r="G699" s="18" t="str">
        <f>IFERROR(VLOOKUP($D699,본공사입.출고현황!$B:$H,G$2080,0),0)</f>
        <v>CCGG</v>
      </c>
      <c r="H699" s="18" t="str">
        <f>IFERROR(VLOOKUP($D699,본공사입.출고현황!$B:$H,H$2080,0),0)</f>
        <v>ф10, 1ton=1,620.7m</v>
      </c>
      <c r="I699" s="56" t="str">
        <f>IFERROR(VLOOKUP($D699,본공사입.출고현황!$B:$H,I$2080,0),0)</f>
        <v>M</v>
      </c>
      <c r="J699" s="9">
        <v>2</v>
      </c>
      <c r="K699" s="9" t="s">
        <v>546</v>
      </c>
      <c r="L699" s="37">
        <v>30</v>
      </c>
      <c r="M699" s="64" t="s">
        <v>358</v>
      </c>
      <c r="N699" s="42"/>
    </row>
    <row r="700" spans="1:14" ht="24" customHeight="1">
      <c r="A700" s="8">
        <v>656</v>
      </c>
      <c r="B700" s="9">
        <v>656</v>
      </c>
      <c r="C700" s="46">
        <v>46001</v>
      </c>
      <c r="D700" s="9" t="s">
        <v>238</v>
      </c>
      <c r="E700" s="56" t="str">
        <f>IFERROR(VLOOKUP($D700,본공사입.출고현황!$B:$H,E$2080,0),0)</f>
        <v>Steel round bar</v>
      </c>
      <c r="F700" s="18" t="str">
        <f>IFERROR(VLOOKUP($D700,본공사입.출고현황!$B:$H,F$2080,0),0)</f>
        <v>Steel round bar(rebar)</v>
      </c>
      <c r="G700" s="18" t="str">
        <f>IFERROR(VLOOKUP($D700,본공사입.출고현황!$B:$H,G$2080,0),0)</f>
        <v>CCGG</v>
      </c>
      <c r="H700" s="18" t="str">
        <f>IFERROR(VLOOKUP($D700,본공사입.출고현황!$B:$H,H$2080,0),0)</f>
        <v>ф10, 1ton=1,620.7m</v>
      </c>
      <c r="I700" s="56" t="str">
        <f>IFERROR(VLOOKUP($D700,본공사입.출고현황!$B:$H,I$2080,0),0)</f>
        <v>M</v>
      </c>
      <c r="J700" s="9">
        <v>1</v>
      </c>
      <c r="K700" s="9" t="s">
        <v>363</v>
      </c>
      <c r="L700" s="37">
        <v>65</v>
      </c>
      <c r="M700" s="64" t="s">
        <v>358</v>
      </c>
      <c r="N700" s="42"/>
    </row>
    <row r="701" spans="1:14" ht="24" customHeight="1">
      <c r="A701" s="8">
        <v>657</v>
      </c>
      <c r="B701" s="9">
        <v>657</v>
      </c>
      <c r="C701" s="46">
        <v>46001</v>
      </c>
      <c r="D701" s="9" t="s">
        <v>238</v>
      </c>
      <c r="E701" s="56" t="str">
        <f>IFERROR(VLOOKUP($D701,본공사입.출고현황!$B:$H,E$2080,0),0)</f>
        <v>Steel round bar</v>
      </c>
      <c r="F701" s="18" t="str">
        <f>IFERROR(VLOOKUP($D701,본공사입.출고현황!$B:$H,F$2080,0),0)</f>
        <v>Steel round bar(rebar)</v>
      </c>
      <c r="G701" s="18" t="str">
        <f>IFERROR(VLOOKUP($D701,본공사입.출고현황!$B:$H,G$2080,0),0)</f>
        <v>CCGG</v>
      </c>
      <c r="H701" s="18" t="str">
        <f>IFERROR(VLOOKUP($D701,본공사입.출고현황!$B:$H,H$2080,0),0)</f>
        <v>ф10, 1ton=1,620.7m</v>
      </c>
      <c r="I701" s="56" t="str">
        <f>IFERROR(VLOOKUP($D701,본공사입.출고현황!$B:$H,I$2080,0),0)</f>
        <v>M</v>
      </c>
      <c r="J701" s="9">
        <v>1</v>
      </c>
      <c r="K701" s="9" t="s">
        <v>363</v>
      </c>
      <c r="L701" s="37">
        <v>20</v>
      </c>
      <c r="M701" s="64" t="s">
        <v>358</v>
      </c>
      <c r="N701" s="42"/>
    </row>
    <row r="702" spans="1:14" ht="24" customHeight="1">
      <c r="A702" s="8">
        <v>658</v>
      </c>
      <c r="B702" s="9">
        <v>658</v>
      </c>
      <c r="C702" s="46">
        <v>46001</v>
      </c>
      <c r="D702" s="9" t="s">
        <v>238</v>
      </c>
      <c r="E702" s="56" t="str">
        <f>IFERROR(VLOOKUP($D702,본공사입.출고현황!$B:$H,E$2080,0),0)</f>
        <v>Steel round bar</v>
      </c>
      <c r="F702" s="18" t="str">
        <f>IFERROR(VLOOKUP($D702,본공사입.출고현황!$B:$H,F$2080,0),0)</f>
        <v>Steel round bar(rebar)</v>
      </c>
      <c r="G702" s="18" t="str">
        <f>IFERROR(VLOOKUP($D702,본공사입.출고현황!$B:$H,G$2080,0),0)</f>
        <v>CCGG</v>
      </c>
      <c r="H702" s="18" t="str">
        <f>IFERROR(VLOOKUP($D702,본공사입.출고현황!$B:$H,H$2080,0),0)</f>
        <v>ф10, 1ton=1,620.7m</v>
      </c>
      <c r="I702" s="56" t="str">
        <f>IFERROR(VLOOKUP($D702,본공사입.출고현황!$B:$H,I$2080,0),0)</f>
        <v>M</v>
      </c>
      <c r="J702" s="9">
        <v>2</v>
      </c>
      <c r="K702" s="9" t="s">
        <v>360</v>
      </c>
      <c r="L702" s="37">
        <v>125</v>
      </c>
      <c r="M702" s="64" t="s">
        <v>358</v>
      </c>
      <c r="N702" s="42"/>
    </row>
    <row r="703" spans="1:14" ht="24" customHeight="1">
      <c r="A703" s="8">
        <v>659</v>
      </c>
      <c r="B703" s="9">
        <v>659</v>
      </c>
      <c r="C703" s="46">
        <v>46001</v>
      </c>
      <c r="D703" s="9" t="s">
        <v>238</v>
      </c>
      <c r="E703" s="56" t="str">
        <f>IFERROR(VLOOKUP($D703,본공사입.출고현황!$B:$H,E$2080,0),0)</f>
        <v>Steel round bar</v>
      </c>
      <c r="F703" s="18" t="str">
        <f>IFERROR(VLOOKUP($D703,본공사입.출고현황!$B:$H,F$2080,0),0)</f>
        <v>Steel round bar(rebar)</v>
      </c>
      <c r="G703" s="18" t="str">
        <f>IFERROR(VLOOKUP($D703,본공사입.출고현황!$B:$H,G$2080,0),0)</f>
        <v>CCGG</v>
      </c>
      <c r="H703" s="18" t="str">
        <f>IFERROR(VLOOKUP($D703,본공사입.출고현황!$B:$H,H$2080,0),0)</f>
        <v>ф10, 1ton=1,620.7m</v>
      </c>
      <c r="I703" s="56" t="str">
        <f>IFERROR(VLOOKUP($D703,본공사입.출고현황!$B:$H,I$2080,0),0)</f>
        <v>M</v>
      </c>
      <c r="J703" s="9">
        <v>1</v>
      </c>
      <c r="K703" s="9" t="s">
        <v>352</v>
      </c>
      <c r="L703" s="37">
        <v>125</v>
      </c>
      <c r="M703" s="64" t="s">
        <v>358</v>
      </c>
      <c r="N703" s="42"/>
    </row>
    <row r="704" spans="1:14" ht="24" customHeight="1">
      <c r="A704" s="8">
        <v>660</v>
      </c>
      <c r="B704" s="9">
        <v>660</v>
      </c>
      <c r="C704" s="46">
        <v>46002</v>
      </c>
      <c r="D704" s="9" t="s">
        <v>238</v>
      </c>
      <c r="E704" s="56" t="str">
        <f>IFERROR(VLOOKUP($D704,본공사입.출고현황!$B:$H,E$2080,0),0)</f>
        <v>Steel round bar</v>
      </c>
      <c r="F704" s="18" t="str">
        <f>IFERROR(VLOOKUP($D704,본공사입.출고현황!$B:$H,F$2080,0),0)</f>
        <v>Steel round bar(rebar)</v>
      </c>
      <c r="G704" s="18" t="str">
        <f>IFERROR(VLOOKUP($D704,본공사입.출고현황!$B:$H,G$2080,0),0)</f>
        <v>CCGG</v>
      </c>
      <c r="H704" s="18" t="str">
        <f>IFERROR(VLOOKUP($D704,본공사입.출고현황!$B:$H,H$2080,0),0)</f>
        <v>ф10, 1ton=1,620.7m</v>
      </c>
      <c r="I704" s="56" t="str">
        <f>IFERROR(VLOOKUP($D704,본공사입.출고현황!$B:$H,I$2080,0),0)</f>
        <v>M</v>
      </c>
      <c r="J704" s="9">
        <v>1</v>
      </c>
      <c r="K704" s="9" t="s">
        <v>363</v>
      </c>
      <c r="L704" s="37">
        <v>25</v>
      </c>
      <c r="M704" s="64" t="s">
        <v>408</v>
      </c>
      <c r="N704" s="42"/>
    </row>
    <row r="705" spans="1:14" ht="24" customHeight="1">
      <c r="A705" s="8">
        <v>661</v>
      </c>
      <c r="B705" s="9">
        <v>661</v>
      </c>
      <c r="C705" s="46">
        <v>46002</v>
      </c>
      <c r="D705" s="9" t="s">
        <v>238</v>
      </c>
      <c r="E705" s="56" t="str">
        <f>IFERROR(VLOOKUP($D705,본공사입.출고현황!$B:$H,E$2080,0),0)</f>
        <v>Steel round bar</v>
      </c>
      <c r="F705" s="18" t="str">
        <f>IFERROR(VLOOKUP($D705,본공사입.출고현황!$B:$H,F$2080,0),0)</f>
        <v>Steel round bar(rebar)</v>
      </c>
      <c r="G705" s="18" t="str">
        <f>IFERROR(VLOOKUP($D705,본공사입.출고현황!$B:$H,G$2080,0),0)</f>
        <v>CCGG</v>
      </c>
      <c r="H705" s="18" t="str">
        <f>IFERROR(VLOOKUP($D705,본공사입.출고현황!$B:$H,H$2080,0),0)</f>
        <v>ф10, 1ton=1,620.7m</v>
      </c>
      <c r="I705" s="56" t="str">
        <f>IFERROR(VLOOKUP($D705,본공사입.출고현황!$B:$H,I$2080,0),0)</f>
        <v>M</v>
      </c>
      <c r="J705" s="9">
        <v>1</v>
      </c>
      <c r="K705" s="9" t="s">
        <v>545</v>
      </c>
      <c r="L705" s="37">
        <v>15</v>
      </c>
      <c r="M705" s="64" t="s">
        <v>408</v>
      </c>
      <c r="N705" s="42"/>
    </row>
    <row r="706" spans="1:14" ht="24" customHeight="1">
      <c r="A706" s="8">
        <v>662</v>
      </c>
      <c r="B706" s="9">
        <v>662</v>
      </c>
      <c r="C706" s="46">
        <v>46002</v>
      </c>
      <c r="D706" s="9" t="s">
        <v>238</v>
      </c>
      <c r="E706" s="56" t="str">
        <f>IFERROR(VLOOKUP($D706,본공사입.출고현황!$B:$H,E$2080,0),0)</f>
        <v>Steel round bar</v>
      </c>
      <c r="F706" s="18" t="str">
        <f>IFERROR(VLOOKUP($D706,본공사입.출고현황!$B:$H,F$2080,0),0)</f>
        <v>Steel round bar(rebar)</v>
      </c>
      <c r="G706" s="18" t="str">
        <f>IFERROR(VLOOKUP($D706,본공사입.출고현황!$B:$H,G$2080,0),0)</f>
        <v>CCGG</v>
      </c>
      <c r="H706" s="18" t="str">
        <f>IFERROR(VLOOKUP($D706,본공사입.출고현황!$B:$H,H$2080,0),0)</f>
        <v>ф10, 1ton=1,620.7m</v>
      </c>
      <c r="I706" s="56" t="str">
        <f>IFERROR(VLOOKUP($D706,본공사입.출고현황!$B:$H,I$2080,0),0)</f>
        <v>M</v>
      </c>
      <c r="J706" s="9">
        <v>2</v>
      </c>
      <c r="K706" s="9" t="s">
        <v>241</v>
      </c>
      <c r="L706" s="37">
        <v>50</v>
      </c>
      <c r="M706" s="64" t="s">
        <v>408</v>
      </c>
      <c r="N706" s="42"/>
    </row>
    <row r="707" spans="1:14" ht="24" customHeight="1">
      <c r="A707" s="8">
        <v>663</v>
      </c>
      <c r="B707" s="9">
        <v>663</v>
      </c>
      <c r="C707" s="46">
        <v>46002</v>
      </c>
      <c r="D707" s="9" t="s">
        <v>238</v>
      </c>
      <c r="E707" s="56" t="str">
        <f>IFERROR(VLOOKUP($D707,본공사입.출고현황!$B:$H,E$2080,0),0)</f>
        <v>Steel round bar</v>
      </c>
      <c r="F707" s="18" t="str">
        <f>IFERROR(VLOOKUP($D707,본공사입.출고현황!$B:$H,F$2080,0),0)</f>
        <v>Steel round bar(rebar)</v>
      </c>
      <c r="G707" s="18" t="str">
        <f>IFERROR(VLOOKUP($D707,본공사입.출고현황!$B:$H,G$2080,0),0)</f>
        <v>CCGG</v>
      </c>
      <c r="H707" s="18" t="str">
        <f>IFERROR(VLOOKUP($D707,본공사입.출고현황!$B:$H,H$2080,0),0)</f>
        <v>ф10, 1ton=1,620.7m</v>
      </c>
      <c r="I707" s="56" t="str">
        <f>IFERROR(VLOOKUP($D707,본공사입.출고현황!$B:$H,I$2080,0),0)</f>
        <v>M</v>
      </c>
      <c r="J707" s="9">
        <v>2</v>
      </c>
      <c r="K707" s="9" t="s">
        <v>546</v>
      </c>
      <c r="L707" s="37">
        <v>30</v>
      </c>
      <c r="M707" s="64" t="s">
        <v>408</v>
      </c>
      <c r="N707" s="42"/>
    </row>
    <row r="708" spans="1:14" ht="24" customHeight="1">
      <c r="A708" s="8">
        <v>664</v>
      </c>
      <c r="B708" s="9">
        <v>664</v>
      </c>
      <c r="C708" s="46">
        <v>46002</v>
      </c>
      <c r="D708" s="9" t="s">
        <v>238</v>
      </c>
      <c r="E708" s="56" t="str">
        <f>IFERROR(VLOOKUP($D708,본공사입.출고현황!$B:$H,E$2080,0),0)</f>
        <v>Steel round bar</v>
      </c>
      <c r="F708" s="18" t="str">
        <f>IFERROR(VLOOKUP($D708,본공사입.출고현황!$B:$H,F$2080,0),0)</f>
        <v>Steel round bar(rebar)</v>
      </c>
      <c r="G708" s="18" t="str">
        <f>IFERROR(VLOOKUP($D708,본공사입.출고현황!$B:$H,G$2080,0),0)</f>
        <v>CCGG</v>
      </c>
      <c r="H708" s="18" t="str">
        <f>IFERROR(VLOOKUP($D708,본공사입.출고현황!$B:$H,H$2080,0),0)</f>
        <v>ф10, 1ton=1,620.7m</v>
      </c>
      <c r="I708" s="56" t="str">
        <f>IFERROR(VLOOKUP($D708,본공사입.출고현황!$B:$H,I$2080,0),0)</f>
        <v>M</v>
      </c>
      <c r="J708" s="9">
        <v>1</v>
      </c>
      <c r="K708" s="9" t="s">
        <v>363</v>
      </c>
      <c r="L708" s="37">
        <v>65</v>
      </c>
      <c r="M708" s="64" t="s">
        <v>408</v>
      </c>
      <c r="N708" s="42"/>
    </row>
    <row r="709" spans="1:14" ht="24" customHeight="1">
      <c r="A709" s="8">
        <v>665</v>
      </c>
      <c r="B709" s="9">
        <v>665</v>
      </c>
      <c r="C709" s="46">
        <v>46002</v>
      </c>
      <c r="D709" s="9" t="s">
        <v>238</v>
      </c>
      <c r="E709" s="56" t="str">
        <f>IFERROR(VLOOKUP($D709,본공사입.출고현황!$B:$H,E$2080,0),0)</f>
        <v>Steel round bar</v>
      </c>
      <c r="F709" s="18" t="str">
        <f>IFERROR(VLOOKUP($D709,본공사입.출고현황!$B:$H,F$2080,0),0)</f>
        <v>Steel round bar(rebar)</v>
      </c>
      <c r="G709" s="18" t="str">
        <f>IFERROR(VLOOKUP($D709,본공사입.출고현황!$B:$H,G$2080,0),0)</f>
        <v>CCGG</v>
      </c>
      <c r="H709" s="18" t="str">
        <f>IFERROR(VLOOKUP($D709,본공사입.출고현황!$B:$H,H$2080,0),0)</f>
        <v>ф10, 1ton=1,620.7m</v>
      </c>
      <c r="I709" s="56" t="str">
        <f>IFERROR(VLOOKUP($D709,본공사입.출고현황!$B:$H,I$2080,0),0)</f>
        <v>M</v>
      </c>
      <c r="J709" s="9">
        <v>1</v>
      </c>
      <c r="K709" s="9" t="s">
        <v>363</v>
      </c>
      <c r="L709" s="37">
        <v>20</v>
      </c>
      <c r="M709" s="64" t="s">
        <v>408</v>
      </c>
      <c r="N709" s="42"/>
    </row>
    <row r="710" spans="1:14" ht="24" customHeight="1">
      <c r="A710" s="8">
        <v>666</v>
      </c>
      <c r="B710" s="9">
        <v>666</v>
      </c>
      <c r="C710" s="254">
        <v>46003</v>
      </c>
      <c r="D710" s="253" t="s">
        <v>238</v>
      </c>
      <c r="E710" s="56" t="str">
        <f>IFERROR(VLOOKUP($D710,본공사입.출고현황!$B:$H,E$2080,0),0)</f>
        <v>Steel round bar</v>
      </c>
      <c r="F710" s="18" t="str">
        <f>IFERROR(VLOOKUP($D710,본공사입.출고현황!$B:$H,F$2080,0),0)</f>
        <v>Steel round bar(rebar)</v>
      </c>
      <c r="G710" s="18" t="str">
        <f>IFERROR(VLOOKUP($D710,본공사입.출고현황!$B:$H,G$2080,0),0)</f>
        <v>CCGG</v>
      </c>
      <c r="H710" s="18" t="str">
        <f>IFERROR(VLOOKUP($D710,본공사입.출고현황!$B:$H,H$2080,0),0)</f>
        <v>ф10, 1ton=1,620.7m</v>
      </c>
      <c r="I710" s="56" t="str">
        <f>IFERROR(VLOOKUP($D710,본공사입.출고현황!$B:$H,I$2080,0),0)</f>
        <v>M</v>
      </c>
      <c r="J710" s="253">
        <v>1</v>
      </c>
      <c r="K710" s="253" t="s">
        <v>363</v>
      </c>
      <c r="L710" s="255">
        <v>125</v>
      </c>
      <c r="M710" s="256" t="s">
        <v>408</v>
      </c>
      <c r="N710" s="257"/>
    </row>
    <row r="711" spans="1:14" ht="24" customHeight="1">
      <c r="A711" s="8">
        <v>667</v>
      </c>
      <c r="B711" s="9">
        <v>667</v>
      </c>
      <c r="C711" s="254">
        <v>46003</v>
      </c>
      <c r="D711" s="253" t="s">
        <v>238</v>
      </c>
      <c r="E711" s="56" t="str">
        <f>IFERROR(VLOOKUP($D711,본공사입.출고현황!$B:$H,E$2080,0),0)</f>
        <v>Steel round bar</v>
      </c>
      <c r="F711" s="18" t="str">
        <f>IFERROR(VLOOKUP($D711,본공사입.출고현황!$B:$H,F$2080,0),0)</f>
        <v>Steel round bar(rebar)</v>
      </c>
      <c r="G711" s="18" t="str">
        <f>IFERROR(VLOOKUP($D711,본공사입.출고현황!$B:$H,G$2080,0),0)</f>
        <v>CCGG</v>
      </c>
      <c r="H711" s="18" t="str">
        <f>IFERROR(VLOOKUP($D711,본공사입.출고현황!$B:$H,H$2080,0),0)</f>
        <v>ф10, 1ton=1,620.7m</v>
      </c>
      <c r="I711" s="56" t="str">
        <f>IFERROR(VLOOKUP($D711,본공사입.출고현황!$B:$H,I$2080,0),0)</f>
        <v>M</v>
      </c>
      <c r="J711" s="253">
        <v>2</v>
      </c>
      <c r="K711" s="253" t="s">
        <v>546</v>
      </c>
      <c r="L711" s="255">
        <v>75</v>
      </c>
      <c r="M711" s="256" t="s">
        <v>408</v>
      </c>
      <c r="N711" s="257"/>
    </row>
    <row r="712" spans="1:14" ht="24" customHeight="1">
      <c r="A712" s="8">
        <v>668</v>
      </c>
      <c r="B712" s="9">
        <v>668</v>
      </c>
      <c r="C712" s="254">
        <v>46003</v>
      </c>
      <c r="D712" s="253" t="s">
        <v>238</v>
      </c>
      <c r="E712" s="56" t="str">
        <f>IFERROR(VLOOKUP($D712,본공사입.출고현황!$B:$H,E$2080,0),0)</f>
        <v>Steel round bar</v>
      </c>
      <c r="F712" s="18" t="str">
        <f>IFERROR(VLOOKUP($D712,본공사입.출고현황!$B:$H,F$2080,0),0)</f>
        <v>Steel round bar(rebar)</v>
      </c>
      <c r="G712" s="18" t="str">
        <f>IFERROR(VLOOKUP($D712,본공사입.출고현황!$B:$H,G$2080,0),0)</f>
        <v>CCGG</v>
      </c>
      <c r="H712" s="18" t="str">
        <f>IFERROR(VLOOKUP($D712,본공사입.출고현황!$B:$H,H$2080,0),0)</f>
        <v>ф10, 1ton=1,620.7m</v>
      </c>
      <c r="I712" s="56" t="str">
        <f>IFERROR(VLOOKUP($D712,본공사입.출고현황!$B:$H,I$2080,0),0)</f>
        <v>M</v>
      </c>
      <c r="J712" s="253">
        <v>2</v>
      </c>
      <c r="K712" s="253" t="s">
        <v>360</v>
      </c>
      <c r="L712" s="255">
        <v>75</v>
      </c>
      <c r="M712" s="256" t="s">
        <v>408</v>
      </c>
      <c r="N712" s="257"/>
    </row>
    <row r="713" spans="1:14" ht="24" customHeight="1">
      <c r="A713" s="8">
        <v>669</v>
      </c>
      <c r="B713" s="9">
        <v>669</v>
      </c>
      <c r="C713" s="254">
        <v>46003</v>
      </c>
      <c r="D713" s="253" t="s">
        <v>238</v>
      </c>
      <c r="E713" s="56" t="str">
        <f>IFERROR(VLOOKUP($D713,본공사입.출고현황!$B:$H,E$2080,0),0)</f>
        <v>Steel round bar</v>
      </c>
      <c r="F713" s="18" t="str">
        <f>IFERROR(VLOOKUP($D713,본공사입.출고현황!$B:$H,F$2080,0),0)</f>
        <v>Steel round bar(rebar)</v>
      </c>
      <c r="G713" s="18" t="str">
        <f>IFERROR(VLOOKUP($D713,본공사입.출고현황!$B:$H,G$2080,0),0)</f>
        <v>CCGG</v>
      </c>
      <c r="H713" s="18" t="str">
        <f>IFERROR(VLOOKUP($D713,본공사입.출고현황!$B:$H,H$2080,0),0)</f>
        <v>ф10, 1ton=1,620.7m</v>
      </c>
      <c r="I713" s="56" t="str">
        <f>IFERROR(VLOOKUP($D713,본공사입.출고현황!$B:$H,I$2080,0),0)</f>
        <v>M</v>
      </c>
      <c r="J713" s="253">
        <v>1</v>
      </c>
      <c r="K713" s="253" t="s">
        <v>547</v>
      </c>
      <c r="L713" s="255">
        <v>100</v>
      </c>
      <c r="M713" s="256" t="s">
        <v>408</v>
      </c>
      <c r="N713" s="257"/>
    </row>
    <row r="714" spans="1:14" ht="24" customHeight="1">
      <c r="A714" s="8">
        <v>670</v>
      </c>
      <c r="B714" s="9">
        <v>670</v>
      </c>
      <c r="C714" s="254">
        <v>46003</v>
      </c>
      <c r="D714" s="253" t="s">
        <v>238</v>
      </c>
      <c r="E714" s="56" t="str">
        <f>IFERROR(VLOOKUP($D714,본공사입.출고현황!$B:$H,E$2080,0),0)</f>
        <v>Steel round bar</v>
      </c>
      <c r="F714" s="18" t="str">
        <f>IFERROR(VLOOKUP($D714,본공사입.출고현황!$B:$H,F$2080,0),0)</f>
        <v>Steel round bar(rebar)</v>
      </c>
      <c r="G714" s="18" t="str">
        <f>IFERROR(VLOOKUP($D714,본공사입.출고현황!$B:$H,G$2080,0),0)</f>
        <v>CCGG</v>
      </c>
      <c r="H714" s="18" t="str">
        <f>IFERROR(VLOOKUP($D714,본공사입.출고현황!$B:$H,H$2080,0),0)</f>
        <v>ф10, 1ton=1,620.7m</v>
      </c>
      <c r="I714" s="56" t="str">
        <f>IFERROR(VLOOKUP($D714,본공사입.출고현황!$B:$H,I$2080,0),0)</f>
        <v>M</v>
      </c>
      <c r="J714" s="253">
        <v>1</v>
      </c>
      <c r="K714" s="253" t="s">
        <v>352</v>
      </c>
      <c r="L714" s="255">
        <v>75</v>
      </c>
      <c r="M714" s="256" t="s">
        <v>408</v>
      </c>
      <c r="N714" s="257"/>
    </row>
    <row r="715" spans="1:14" ht="24" customHeight="1">
      <c r="A715" s="8">
        <v>671</v>
      </c>
      <c r="B715" s="9">
        <v>671</v>
      </c>
      <c r="C715" s="254">
        <v>46003</v>
      </c>
      <c r="D715" s="253" t="s">
        <v>238</v>
      </c>
      <c r="E715" s="56" t="str">
        <f>IFERROR(VLOOKUP($D715,본공사입.출고현황!$B:$H,E$2080,0),0)</f>
        <v>Steel round bar</v>
      </c>
      <c r="F715" s="18" t="str">
        <f>IFERROR(VLOOKUP($D715,본공사입.출고현황!$B:$H,F$2080,0),0)</f>
        <v>Steel round bar(rebar)</v>
      </c>
      <c r="G715" s="18" t="str">
        <f>IFERROR(VLOOKUP($D715,본공사입.출고현황!$B:$H,G$2080,0),0)</f>
        <v>CCGG</v>
      </c>
      <c r="H715" s="18" t="str">
        <f>IFERROR(VLOOKUP($D715,본공사입.출고현황!$B:$H,H$2080,0),0)</f>
        <v>ф10, 1ton=1,620.7m</v>
      </c>
      <c r="I715" s="56" t="str">
        <f>IFERROR(VLOOKUP($D715,본공사입.출고현황!$B:$H,I$2080,0),0)</f>
        <v>M</v>
      </c>
      <c r="J715" s="253">
        <v>3</v>
      </c>
      <c r="K715" s="253" t="s">
        <v>550</v>
      </c>
      <c r="L715" s="255">
        <v>50</v>
      </c>
      <c r="M715" s="256" t="s">
        <v>408</v>
      </c>
      <c r="N715" s="257"/>
    </row>
    <row r="716" spans="1:14" ht="24" customHeight="1">
      <c r="A716" s="8">
        <v>672</v>
      </c>
      <c r="B716" s="9">
        <v>672</v>
      </c>
      <c r="C716" s="254">
        <v>46003</v>
      </c>
      <c r="D716" s="253" t="s">
        <v>238</v>
      </c>
      <c r="E716" s="56" t="str">
        <f>IFERROR(VLOOKUP($D716,본공사입.출고현황!$B:$H,E$2080,0),0)</f>
        <v>Steel round bar</v>
      </c>
      <c r="F716" s="18" t="str">
        <f>IFERROR(VLOOKUP($D716,본공사입.출고현황!$B:$H,F$2080,0),0)</f>
        <v>Steel round bar(rebar)</v>
      </c>
      <c r="G716" s="18" t="str">
        <f>IFERROR(VLOOKUP($D716,본공사입.출고현황!$B:$H,G$2080,0),0)</f>
        <v>CCGG</v>
      </c>
      <c r="H716" s="18" t="str">
        <f>IFERROR(VLOOKUP($D716,본공사입.출고현황!$B:$H,H$2080,0),0)</f>
        <v>ф10, 1ton=1,620.7m</v>
      </c>
      <c r="I716" s="56" t="str">
        <f>IFERROR(VLOOKUP($D716,본공사입.출고현황!$B:$H,I$2080,0),0)</f>
        <v>M</v>
      </c>
      <c r="J716" s="253">
        <v>2</v>
      </c>
      <c r="K716" s="253" t="s">
        <v>360</v>
      </c>
      <c r="L716" s="255">
        <v>30</v>
      </c>
      <c r="M716" s="256" t="s">
        <v>408</v>
      </c>
      <c r="N716" s="257"/>
    </row>
    <row r="717" spans="1:14" ht="24" customHeight="1">
      <c r="A717" s="8">
        <v>673</v>
      </c>
      <c r="B717" s="9">
        <v>673</v>
      </c>
      <c r="C717" s="254">
        <v>46004</v>
      </c>
      <c r="D717" s="253" t="s">
        <v>238</v>
      </c>
      <c r="E717" s="56" t="str">
        <f>IFERROR(VLOOKUP($D717,본공사입.출고현황!$B:$H,E$2080,0),0)</f>
        <v>Steel round bar</v>
      </c>
      <c r="F717" s="18" t="str">
        <f>IFERROR(VLOOKUP($D717,본공사입.출고현황!$B:$H,F$2080,0),0)</f>
        <v>Steel round bar(rebar)</v>
      </c>
      <c r="G717" s="18" t="str">
        <f>IFERROR(VLOOKUP($D717,본공사입.출고현황!$B:$H,G$2080,0),0)</f>
        <v>CCGG</v>
      </c>
      <c r="H717" s="18" t="str">
        <f>IFERROR(VLOOKUP($D717,본공사입.출고현황!$B:$H,H$2080,0),0)</f>
        <v>ф10, 1ton=1,620.7m</v>
      </c>
      <c r="I717" s="56" t="str">
        <f>IFERROR(VLOOKUP($D717,본공사입.출고현황!$B:$H,I$2080,0),0)</f>
        <v>M</v>
      </c>
      <c r="J717" s="253">
        <v>3</v>
      </c>
      <c r="K717" s="253" t="s">
        <v>237</v>
      </c>
      <c r="L717" s="255">
        <v>50</v>
      </c>
      <c r="M717" s="256" t="s">
        <v>408</v>
      </c>
      <c r="N717" s="257"/>
    </row>
    <row r="718" spans="1:14" ht="24" customHeight="1">
      <c r="A718" s="8">
        <v>674</v>
      </c>
      <c r="B718" s="9">
        <v>674</v>
      </c>
      <c r="C718" s="254">
        <v>46004</v>
      </c>
      <c r="D718" s="253" t="s">
        <v>238</v>
      </c>
      <c r="E718" s="56" t="str">
        <f>IFERROR(VLOOKUP($D718,본공사입.출고현황!$B:$H,E$2080,0),0)</f>
        <v>Steel round bar</v>
      </c>
      <c r="F718" s="18" t="str">
        <f>IFERROR(VLOOKUP($D718,본공사입.출고현황!$B:$H,F$2080,0),0)</f>
        <v>Steel round bar(rebar)</v>
      </c>
      <c r="G718" s="18" t="str">
        <f>IFERROR(VLOOKUP($D718,본공사입.출고현황!$B:$H,G$2080,0),0)</f>
        <v>CCGG</v>
      </c>
      <c r="H718" s="18" t="str">
        <f>IFERROR(VLOOKUP($D718,본공사입.출고현황!$B:$H,H$2080,0),0)</f>
        <v>ф10, 1ton=1,620.7m</v>
      </c>
      <c r="I718" s="56" t="str">
        <f>IFERROR(VLOOKUP($D718,본공사입.출고현황!$B:$H,I$2080,0),0)</f>
        <v>M</v>
      </c>
      <c r="J718" s="253">
        <v>1</v>
      </c>
      <c r="K718" s="253" t="s">
        <v>352</v>
      </c>
      <c r="L718" s="255">
        <v>105</v>
      </c>
      <c r="M718" s="256" t="s">
        <v>408</v>
      </c>
      <c r="N718" s="257"/>
    </row>
    <row r="719" spans="1:14" ht="24" customHeight="1">
      <c r="A719" s="8">
        <v>675</v>
      </c>
      <c r="B719" s="9">
        <v>675</v>
      </c>
      <c r="C719" s="254">
        <v>46004</v>
      </c>
      <c r="D719" s="253" t="s">
        <v>238</v>
      </c>
      <c r="E719" s="56" t="str">
        <f>IFERROR(VLOOKUP($D719,본공사입.출고현황!$B:$H,E$2080,0),0)</f>
        <v>Steel round bar</v>
      </c>
      <c r="F719" s="18" t="str">
        <f>IFERROR(VLOOKUP($D719,본공사입.출고현황!$B:$H,F$2080,0),0)</f>
        <v>Steel round bar(rebar)</v>
      </c>
      <c r="G719" s="18" t="str">
        <f>IFERROR(VLOOKUP($D719,본공사입.출고현황!$B:$H,G$2080,0),0)</f>
        <v>CCGG</v>
      </c>
      <c r="H719" s="18" t="str">
        <f>IFERROR(VLOOKUP($D719,본공사입.출고현황!$B:$H,H$2080,0),0)</f>
        <v>ф10, 1ton=1,620.7m</v>
      </c>
      <c r="I719" s="56" t="str">
        <f>IFERROR(VLOOKUP($D719,본공사입.출고현황!$B:$H,I$2080,0),0)</f>
        <v>M</v>
      </c>
      <c r="J719" s="253">
        <v>1</v>
      </c>
      <c r="K719" s="253" t="s">
        <v>547</v>
      </c>
      <c r="L719" s="255">
        <v>50</v>
      </c>
      <c r="M719" s="256" t="s">
        <v>408</v>
      </c>
      <c r="N719" s="257"/>
    </row>
    <row r="720" spans="1:14" ht="24" customHeight="1">
      <c r="A720" s="8">
        <v>676</v>
      </c>
      <c r="B720" s="9">
        <v>676</v>
      </c>
      <c r="C720" s="254">
        <v>46004</v>
      </c>
      <c r="D720" s="253" t="s">
        <v>238</v>
      </c>
      <c r="E720" s="56" t="str">
        <f>IFERROR(VLOOKUP($D720,본공사입.출고현황!$B:$H,E$2080,0),0)</f>
        <v>Steel round bar</v>
      </c>
      <c r="F720" s="18" t="str">
        <f>IFERROR(VLOOKUP($D720,본공사입.출고현황!$B:$H,F$2080,0),0)</f>
        <v>Steel round bar(rebar)</v>
      </c>
      <c r="G720" s="18" t="str">
        <f>IFERROR(VLOOKUP($D720,본공사입.출고현황!$B:$H,G$2080,0),0)</f>
        <v>CCGG</v>
      </c>
      <c r="H720" s="18" t="str">
        <f>IFERROR(VLOOKUP($D720,본공사입.출고현황!$B:$H,H$2080,0),0)</f>
        <v>ф10, 1ton=1,620.7m</v>
      </c>
      <c r="I720" s="56" t="str">
        <f>IFERROR(VLOOKUP($D720,본공사입.출고현황!$B:$H,I$2080,0),0)</f>
        <v>M</v>
      </c>
      <c r="J720" s="253">
        <v>2</v>
      </c>
      <c r="K720" s="253" t="s">
        <v>360</v>
      </c>
      <c r="L720" s="255">
        <v>50</v>
      </c>
      <c r="M720" s="256" t="s">
        <v>408</v>
      </c>
      <c r="N720" s="257"/>
    </row>
    <row r="721" spans="1:14" ht="24" customHeight="1">
      <c r="A721" s="8">
        <v>677</v>
      </c>
      <c r="B721" s="9">
        <v>677</v>
      </c>
      <c r="C721" s="254">
        <v>46004</v>
      </c>
      <c r="D721" s="253" t="s">
        <v>238</v>
      </c>
      <c r="E721" s="56" t="str">
        <f>IFERROR(VLOOKUP($D721,본공사입.출고현황!$B:$H,E$2080,0),0)</f>
        <v>Steel round bar</v>
      </c>
      <c r="F721" s="18" t="str">
        <f>IFERROR(VLOOKUP($D721,본공사입.출고현황!$B:$H,F$2080,0),0)</f>
        <v>Steel round bar(rebar)</v>
      </c>
      <c r="G721" s="18" t="str">
        <f>IFERROR(VLOOKUP($D721,본공사입.출고현황!$B:$H,G$2080,0),0)</f>
        <v>CCGG</v>
      </c>
      <c r="H721" s="18" t="str">
        <f>IFERROR(VLOOKUP($D721,본공사입.출고현황!$B:$H,H$2080,0),0)</f>
        <v>ф10, 1ton=1,620.7m</v>
      </c>
      <c r="I721" s="56" t="str">
        <f>IFERROR(VLOOKUP($D721,본공사입.출고현황!$B:$H,I$2080,0),0)</f>
        <v>M</v>
      </c>
      <c r="J721" s="253">
        <v>3</v>
      </c>
      <c r="K721" s="253" t="s">
        <v>237</v>
      </c>
      <c r="L721" s="255">
        <v>75</v>
      </c>
      <c r="M721" s="256" t="s">
        <v>408</v>
      </c>
      <c r="N721" s="257"/>
    </row>
    <row r="722" spans="1:14" ht="24" customHeight="1">
      <c r="A722" s="8">
        <v>678</v>
      </c>
      <c r="B722" s="9">
        <v>678</v>
      </c>
      <c r="C722" s="254">
        <v>46004</v>
      </c>
      <c r="D722" s="253" t="s">
        <v>238</v>
      </c>
      <c r="E722" s="56" t="str">
        <f>IFERROR(VLOOKUP($D722,본공사입.출고현황!$B:$H,E$2080,0),0)</f>
        <v>Steel round bar</v>
      </c>
      <c r="F722" s="18" t="str">
        <f>IFERROR(VLOOKUP($D722,본공사입.출고현황!$B:$H,F$2080,0),0)</f>
        <v>Steel round bar(rebar)</v>
      </c>
      <c r="G722" s="18" t="str">
        <f>IFERROR(VLOOKUP($D722,본공사입.출고현황!$B:$H,G$2080,0),0)</f>
        <v>CCGG</v>
      </c>
      <c r="H722" s="18" t="str">
        <f>IFERROR(VLOOKUP($D722,본공사입.출고현황!$B:$H,H$2080,0),0)</f>
        <v>ф10, 1ton=1,620.7m</v>
      </c>
      <c r="I722" s="56" t="str">
        <f>IFERROR(VLOOKUP($D722,본공사입.출고현황!$B:$H,I$2080,0),0)</f>
        <v>M</v>
      </c>
      <c r="J722" s="253">
        <v>1</v>
      </c>
      <c r="K722" s="253" t="s">
        <v>352</v>
      </c>
      <c r="L722" s="255">
        <v>125</v>
      </c>
      <c r="M722" s="256" t="s">
        <v>408</v>
      </c>
      <c r="N722" s="257"/>
    </row>
    <row r="723" spans="1:14" ht="24" customHeight="1">
      <c r="A723" s="8">
        <v>679</v>
      </c>
      <c r="B723" s="9">
        <v>679</v>
      </c>
      <c r="C723" s="254">
        <v>46004</v>
      </c>
      <c r="D723" s="253" t="s">
        <v>238</v>
      </c>
      <c r="E723" s="56" t="str">
        <f>IFERROR(VLOOKUP($D723,본공사입.출고현황!$B:$H,E$2080,0),0)</f>
        <v>Steel round bar</v>
      </c>
      <c r="F723" s="18" t="str">
        <f>IFERROR(VLOOKUP($D723,본공사입.출고현황!$B:$H,F$2080,0),0)</f>
        <v>Steel round bar(rebar)</v>
      </c>
      <c r="G723" s="18" t="str">
        <f>IFERROR(VLOOKUP($D723,본공사입.출고현황!$B:$H,G$2080,0),0)</f>
        <v>CCGG</v>
      </c>
      <c r="H723" s="18" t="str">
        <f>IFERROR(VLOOKUP($D723,본공사입.출고현황!$B:$H,H$2080,0),0)</f>
        <v>ф10, 1ton=1,620.7m</v>
      </c>
      <c r="I723" s="56" t="str">
        <f>IFERROR(VLOOKUP($D723,본공사입.출고현황!$B:$H,I$2080,0),0)</f>
        <v>M</v>
      </c>
      <c r="J723" s="253">
        <v>4</v>
      </c>
      <c r="K723" s="253" t="s">
        <v>359</v>
      </c>
      <c r="L723" s="255">
        <v>50</v>
      </c>
      <c r="M723" s="256" t="s">
        <v>358</v>
      </c>
      <c r="N723" s="257"/>
    </row>
    <row r="724" spans="1:14" ht="24" customHeight="1">
      <c r="A724" s="8">
        <v>680</v>
      </c>
      <c r="B724" s="9">
        <v>680</v>
      </c>
      <c r="C724" s="254">
        <v>46005</v>
      </c>
      <c r="D724" s="253" t="s">
        <v>238</v>
      </c>
      <c r="E724" s="56" t="str">
        <f>IFERROR(VLOOKUP($D724,본공사입.출고현황!$B:$H,E$2080,0),0)</f>
        <v>Steel round bar</v>
      </c>
      <c r="F724" s="18" t="str">
        <f>IFERROR(VLOOKUP($D724,본공사입.출고현황!$B:$H,F$2080,0),0)</f>
        <v>Steel round bar(rebar)</v>
      </c>
      <c r="G724" s="18" t="str">
        <f>IFERROR(VLOOKUP($D724,본공사입.출고현황!$B:$H,G$2080,0),0)</f>
        <v>CCGG</v>
      </c>
      <c r="H724" s="18" t="str">
        <f>IFERROR(VLOOKUP($D724,본공사입.출고현황!$B:$H,H$2080,0),0)</f>
        <v>ф10, 1ton=1,620.7m</v>
      </c>
      <c r="I724" s="56" t="str">
        <f>IFERROR(VLOOKUP($D724,본공사입.출고현황!$B:$H,I$2080,0),0)</f>
        <v>M</v>
      </c>
      <c r="J724" s="253">
        <v>2</v>
      </c>
      <c r="K724" s="253" t="s">
        <v>546</v>
      </c>
      <c r="L724" s="255">
        <v>75</v>
      </c>
      <c r="M724" s="256" t="s">
        <v>358</v>
      </c>
      <c r="N724" s="257"/>
    </row>
    <row r="725" spans="1:14" ht="24" customHeight="1">
      <c r="A725" s="8">
        <v>681</v>
      </c>
      <c r="B725" s="9">
        <v>681</v>
      </c>
      <c r="C725" s="254">
        <v>46005</v>
      </c>
      <c r="D725" s="253" t="s">
        <v>238</v>
      </c>
      <c r="E725" s="56" t="str">
        <f>IFERROR(VLOOKUP($D725,본공사입.출고현황!$B:$H,E$2080,0),0)</f>
        <v>Steel round bar</v>
      </c>
      <c r="F725" s="18" t="str">
        <f>IFERROR(VLOOKUP($D725,본공사입.출고현황!$B:$H,F$2080,0),0)</f>
        <v>Steel round bar(rebar)</v>
      </c>
      <c r="G725" s="18" t="str">
        <f>IFERROR(VLOOKUP($D725,본공사입.출고현황!$B:$H,G$2080,0),0)</f>
        <v>CCGG</v>
      </c>
      <c r="H725" s="18" t="str">
        <f>IFERROR(VLOOKUP($D725,본공사입.출고현황!$B:$H,H$2080,0),0)</f>
        <v>ф10, 1ton=1,620.7m</v>
      </c>
      <c r="I725" s="56" t="str">
        <f>IFERROR(VLOOKUP($D725,본공사입.출고현황!$B:$H,I$2080,0),0)</f>
        <v>M</v>
      </c>
      <c r="J725" s="253">
        <v>1</v>
      </c>
      <c r="K725" s="253" t="s">
        <v>352</v>
      </c>
      <c r="L725" s="255">
        <v>115</v>
      </c>
      <c r="M725" s="256" t="s">
        <v>358</v>
      </c>
      <c r="N725" s="257"/>
    </row>
    <row r="726" spans="1:14" ht="24" customHeight="1">
      <c r="A726" s="8">
        <v>682</v>
      </c>
      <c r="B726" s="9">
        <v>682</v>
      </c>
      <c r="C726" s="254">
        <v>46005</v>
      </c>
      <c r="D726" s="253" t="s">
        <v>238</v>
      </c>
      <c r="E726" s="56" t="str">
        <f>IFERROR(VLOOKUP($D726,본공사입.출고현황!$B:$H,E$2080,0),0)</f>
        <v>Steel round bar</v>
      </c>
      <c r="F726" s="18" t="str">
        <f>IFERROR(VLOOKUP($D726,본공사입.출고현황!$B:$H,F$2080,0),0)</f>
        <v>Steel round bar(rebar)</v>
      </c>
      <c r="G726" s="18" t="str">
        <f>IFERROR(VLOOKUP($D726,본공사입.출고현황!$B:$H,G$2080,0),0)</f>
        <v>CCGG</v>
      </c>
      <c r="H726" s="18" t="str">
        <f>IFERROR(VLOOKUP($D726,본공사입.출고현황!$B:$H,H$2080,0),0)</f>
        <v>ф10, 1ton=1,620.7m</v>
      </c>
      <c r="I726" s="56" t="str">
        <f>IFERROR(VLOOKUP($D726,본공사입.출고현황!$B:$H,I$2080,0),0)</f>
        <v>M</v>
      </c>
      <c r="J726" s="253">
        <v>2</v>
      </c>
      <c r="K726" s="253" t="s">
        <v>360</v>
      </c>
      <c r="L726" s="255">
        <v>50</v>
      </c>
      <c r="M726" s="256" t="s">
        <v>358</v>
      </c>
      <c r="N726" s="257"/>
    </row>
    <row r="727" spans="1:14" ht="24" customHeight="1">
      <c r="A727" s="8">
        <v>683</v>
      </c>
      <c r="B727" s="9">
        <v>683</v>
      </c>
      <c r="C727" s="254">
        <v>46005</v>
      </c>
      <c r="D727" s="253" t="s">
        <v>238</v>
      </c>
      <c r="E727" s="56" t="str">
        <f>IFERROR(VLOOKUP($D727,본공사입.출고현황!$B:$H,E$2080,0),0)</f>
        <v>Steel round bar</v>
      </c>
      <c r="F727" s="18" t="str">
        <f>IFERROR(VLOOKUP($D727,본공사입.출고현황!$B:$H,F$2080,0),0)</f>
        <v>Steel round bar(rebar)</v>
      </c>
      <c r="G727" s="18" t="str">
        <f>IFERROR(VLOOKUP($D727,본공사입.출고현황!$B:$H,G$2080,0),0)</f>
        <v>CCGG</v>
      </c>
      <c r="H727" s="18" t="str">
        <f>IFERROR(VLOOKUP($D727,본공사입.출고현황!$B:$H,H$2080,0),0)</f>
        <v>ф10, 1ton=1,620.7m</v>
      </c>
      <c r="I727" s="56" t="str">
        <f>IFERROR(VLOOKUP($D727,본공사입.출고현황!$B:$H,I$2080,0),0)</f>
        <v>M</v>
      </c>
      <c r="J727" s="253">
        <v>3</v>
      </c>
      <c r="K727" s="253" t="s">
        <v>550</v>
      </c>
      <c r="L727" s="255">
        <v>15</v>
      </c>
      <c r="M727" s="256" t="s">
        <v>358</v>
      </c>
      <c r="N727" s="257"/>
    </row>
    <row r="728" spans="1:14" ht="24" customHeight="1">
      <c r="A728" s="8">
        <v>684</v>
      </c>
      <c r="B728" s="9">
        <v>684</v>
      </c>
      <c r="C728" s="254">
        <v>46005</v>
      </c>
      <c r="D728" s="253" t="s">
        <v>238</v>
      </c>
      <c r="E728" s="56" t="str">
        <f>IFERROR(VLOOKUP($D728,본공사입.출고현황!$B:$H,E$2080,0),0)</f>
        <v>Steel round bar</v>
      </c>
      <c r="F728" s="18" t="str">
        <f>IFERROR(VLOOKUP($D728,본공사입.출고현황!$B:$H,F$2080,0),0)</f>
        <v>Steel round bar(rebar)</v>
      </c>
      <c r="G728" s="18" t="str">
        <f>IFERROR(VLOOKUP($D728,본공사입.출고현황!$B:$H,G$2080,0),0)</f>
        <v>CCGG</v>
      </c>
      <c r="H728" s="18" t="str">
        <f>IFERROR(VLOOKUP($D728,본공사입.출고현황!$B:$H,H$2080,0),0)</f>
        <v>ф10, 1ton=1,620.7m</v>
      </c>
      <c r="I728" s="56" t="str">
        <f>IFERROR(VLOOKUP($D728,본공사입.출고현황!$B:$H,I$2080,0),0)</f>
        <v>M</v>
      </c>
      <c r="J728" s="253">
        <v>1</v>
      </c>
      <c r="K728" s="253" t="s">
        <v>363</v>
      </c>
      <c r="L728" s="255">
        <v>40</v>
      </c>
      <c r="M728" s="256" t="s">
        <v>358</v>
      </c>
      <c r="N728" s="257"/>
    </row>
    <row r="729" spans="1:14" ht="24" customHeight="1">
      <c r="A729" s="8">
        <v>685</v>
      </c>
      <c r="B729" s="9">
        <v>685</v>
      </c>
      <c r="C729" s="254">
        <v>46005</v>
      </c>
      <c r="D729" s="253" t="s">
        <v>238</v>
      </c>
      <c r="E729" s="56" t="str">
        <f>IFERROR(VLOOKUP($D729,본공사입.출고현황!$B:$H,E$2080,0),0)</f>
        <v>Steel round bar</v>
      </c>
      <c r="F729" s="18" t="str">
        <f>IFERROR(VLOOKUP($D729,본공사입.출고현황!$B:$H,F$2080,0),0)</f>
        <v>Steel round bar(rebar)</v>
      </c>
      <c r="G729" s="18" t="str">
        <f>IFERROR(VLOOKUP($D729,본공사입.출고현황!$B:$H,G$2080,0),0)</f>
        <v>CCGG</v>
      </c>
      <c r="H729" s="18" t="str">
        <f>IFERROR(VLOOKUP($D729,본공사입.출고현황!$B:$H,H$2080,0),0)</f>
        <v>ф10, 1ton=1,620.7m</v>
      </c>
      <c r="I729" s="56" t="str">
        <f>IFERROR(VLOOKUP($D729,본공사입.출고현황!$B:$H,I$2080,0),0)</f>
        <v>M</v>
      </c>
      <c r="J729" s="253">
        <v>1</v>
      </c>
      <c r="K729" s="253" t="s">
        <v>547</v>
      </c>
      <c r="L729" s="255">
        <v>20</v>
      </c>
      <c r="M729" s="256" t="s">
        <v>358</v>
      </c>
      <c r="N729" s="257"/>
    </row>
    <row r="730" spans="1:14" ht="24" customHeight="1">
      <c r="A730" s="8">
        <v>686</v>
      </c>
      <c r="B730" s="9">
        <v>686</v>
      </c>
      <c r="C730" s="254">
        <v>46005</v>
      </c>
      <c r="D730" s="253" t="s">
        <v>238</v>
      </c>
      <c r="E730" s="56" t="str">
        <f>IFERROR(VLOOKUP($D730,본공사입.출고현황!$B:$H,E$2080,0),0)</f>
        <v>Steel round bar</v>
      </c>
      <c r="F730" s="18" t="str">
        <f>IFERROR(VLOOKUP($D730,본공사입.출고현황!$B:$H,F$2080,0),0)</f>
        <v>Steel round bar(rebar)</v>
      </c>
      <c r="G730" s="18" t="str">
        <f>IFERROR(VLOOKUP($D730,본공사입.출고현황!$B:$H,G$2080,0),0)</f>
        <v>CCGG</v>
      </c>
      <c r="H730" s="18" t="str">
        <f>IFERROR(VLOOKUP($D730,본공사입.출고현황!$B:$H,H$2080,0),0)</f>
        <v>ф10, 1ton=1,620.7m</v>
      </c>
      <c r="I730" s="56" t="str">
        <f>IFERROR(VLOOKUP($D730,본공사입.출고현황!$B:$H,I$2080,0),0)</f>
        <v>M</v>
      </c>
      <c r="J730" s="253">
        <v>1</v>
      </c>
      <c r="K730" s="253" t="s">
        <v>363</v>
      </c>
      <c r="L730" s="255">
        <v>20</v>
      </c>
      <c r="M730" s="256" t="s">
        <v>358</v>
      </c>
      <c r="N730" s="257"/>
    </row>
    <row r="731" spans="1:14" ht="24" customHeight="1">
      <c r="A731" s="8">
        <v>687</v>
      </c>
      <c r="B731" s="9">
        <v>687</v>
      </c>
      <c r="C731" s="254">
        <v>46005</v>
      </c>
      <c r="D731" s="253" t="s">
        <v>238</v>
      </c>
      <c r="E731" s="56" t="str">
        <f>IFERROR(VLOOKUP($D731,본공사입.출고현황!$B:$H,E$2080,0),0)</f>
        <v>Steel round bar</v>
      </c>
      <c r="F731" s="18" t="str">
        <f>IFERROR(VLOOKUP($D731,본공사입.출고현황!$B:$H,F$2080,0),0)</f>
        <v>Steel round bar(rebar)</v>
      </c>
      <c r="G731" s="18" t="str">
        <f>IFERROR(VLOOKUP($D731,본공사입.출고현황!$B:$H,G$2080,0),0)</f>
        <v>CCGG</v>
      </c>
      <c r="H731" s="18" t="str">
        <f>IFERROR(VLOOKUP($D731,본공사입.출고현황!$B:$H,H$2080,0),0)</f>
        <v>ф10, 1ton=1,620.7m</v>
      </c>
      <c r="I731" s="56" t="str">
        <f>IFERROR(VLOOKUP($D731,본공사입.출고현황!$B:$H,I$2080,0),0)</f>
        <v>M</v>
      </c>
      <c r="J731" s="253">
        <v>3</v>
      </c>
      <c r="K731" s="253" t="s">
        <v>550</v>
      </c>
      <c r="L731" s="255">
        <v>20</v>
      </c>
      <c r="M731" s="256" t="s">
        <v>358</v>
      </c>
      <c r="N731" s="257"/>
    </row>
    <row r="732" spans="1:14" ht="24" customHeight="1">
      <c r="A732" s="8">
        <v>688</v>
      </c>
      <c r="B732" s="9">
        <v>688</v>
      </c>
      <c r="C732" s="254">
        <v>46005</v>
      </c>
      <c r="D732" s="253" t="s">
        <v>238</v>
      </c>
      <c r="E732" s="56" t="str">
        <f>IFERROR(VLOOKUP($D732,본공사입.출고현황!$B:$H,E$2080,0),0)</f>
        <v>Steel round bar</v>
      </c>
      <c r="F732" s="18" t="str">
        <f>IFERROR(VLOOKUP($D732,본공사입.출고현황!$B:$H,F$2080,0),0)</f>
        <v>Steel round bar(rebar)</v>
      </c>
      <c r="G732" s="18" t="str">
        <f>IFERROR(VLOOKUP($D732,본공사입.출고현황!$B:$H,G$2080,0),0)</f>
        <v>CCGG</v>
      </c>
      <c r="H732" s="18" t="str">
        <f>IFERROR(VLOOKUP($D732,본공사입.출고현황!$B:$H,H$2080,0),0)</f>
        <v>ф10, 1ton=1,620.7m</v>
      </c>
      <c r="I732" s="56" t="str">
        <f>IFERROR(VLOOKUP($D732,본공사입.출고현황!$B:$H,I$2080,0),0)</f>
        <v>M</v>
      </c>
      <c r="J732" s="253">
        <v>2</v>
      </c>
      <c r="K732" s="253" t="s">
        <v>360</v>
      </c>
      <c r="L732" s="255">
        <v>25</v>
      </c>
      <c r="M732" s="256" t="s">
        <v>358</v>
      </c>
      <c r="N732" s="257"/>
    </row>
    <row r="733" spans="1:14" ht="24" customHeight="1">
      <c r="A733" s="8">
        <v>689</v>
      </c>
      <c r="B733" s="9">
        <v>689</v>
      </c>
      <c r="C733" s="254">
        <v>46006</v>
      </c>
      <c r="D733" s="253" t="s">
        <v>180</v>
      </c>
      <c r="E733" s="56" t="str">
        <f>IFERROR(VLOOKUP($D733,본공사입.출고현황!$B:$H,E$2080,0),0)</f>
        <v>Ground</v>
      </c>
      <c r="F733" s="18" t="str">
        <f>IFERROR(VLOOKUP($D733,본공사입.출고현황!$B:$H,F$2080,0),0)</f>
        <v>Ground Cable  78SQ</v>
      </c>
      <c r="G733" s="18" t="str">
        <f>IFERROR(VLOOKUP($D733,본공사입.출고현황!$B:$H,G$2080,0),0)</f>
        <v xml:space="preserve">Ground Cable </v>
      </c>
      <c r="H733" s="18" t="str">
        <f>IFERROR(VLOOKUP($D733,본공사입.출고현황!$B:$H,H$2080,0),0)</f>
        <v>78SQ</v>
      </c>
      <c r="I733" s="56" t="str">
        <f>IFERROR(VLOOKUP($D733,본공사입.출고현황!$B:$H,I$2080,0),0)</f>
        <v>M</v>
      </c>
      <c r="J733" s="253">
        <v>4</v>
      </c>
      <c r="K733" s="253" t="s">
        <v>359</v>
      </c>
      <c r="L733" s="281">
        <v>31.5</v>
      </c>
      <c r="M733" s="256" t="s">
        <v>358</v>
      </c>
      <c r="N733" s="257"/>
    </row>
    <row r="734" spans="1:14" ht="24" customHeight="1">
      <c r="A734" s="8">
        <v>690</v>
      </c>
      <c r="B734" s="9">
        <v>690</v>
      </c>
      <c r="C734" s="254">
        <v>46006</v>
      </c>
      <c r="D734" s="253" t="s">
        <v>86</v>
      </c>
      <c r="E734" s="56" t="str">
        <f>IFERROR(VLOOKUP($D734,본공사입.출고현황!$B:$H,E$2080,0),0)</f>
        <v>Ground</v>
      </c>
      <c r="F734" s="18" t="str">
        <f>IFERROR(VLOOKUP($D734,본공사입.출고현황!$B:$H,F$2080,0),0)</f>
        <v>Cadweld Powder #115</v>
      </c>
      <c r="G734" s="18" t="str">
        <f>IFERROR(VLOOKUP($D734,본공사입.출고현황!$B:$H,G$2080,0),0)</f>
        <v>Cadweld Powder</v>
      </c>
      <c r="H734" s="18" t="str">
        <f>IFERROR(VLOOKUP($D734,본공사입.출고현황!$B:$H,H$2080,0),0)</f>
        <v>#115</v>
      </c>
      <c r="I734" s="56" t="str">
        <f>IFERROR(VLOOKUP($D734,본공사입.출고현황!$B:$H,I$2080,0),0)</f>
        <v>EA</v>
      </c>
      <c r="J734" s="253">
        <v>4</v>
      </c>
      <c r="K734" s="253" t="s">
        <v>359</v>
      </c>
      <c r="L734" s="255">
        <v>10</v>
      </c>
      <c r="M734" s="256" t="s">
        <v>358</v>
      </c>
      <c r="N734" s="257"/>
    </row>
    <row r="735" spans="1:14" ht="24" customHeight="1">
      <c r="A735" s="8">
        <v>691</v>
      </c>
      <c r="B735" s="9">
        <v>691</v>
      </c>
      <c r="C735" s="254">
        <v>46006</v>
      </c>
      <c r="D735" s="253" t="s">
        <v>94</v>
      </c>
      <c r="E735" s="56" t="str">
        <f>IFERROR(VLOOKUP($D735,본공사입.출고현황!$B:$H,E$2080,0),0)</f>
        <v>Ground</v>
      </c>
      <c r="F735" s="18" t="str">
        <f>IFERROR(VLOOKUP($D735,본공사입.출고현황!$B:$H,F$2080,0),0)</f>
        <v>Cadweld Powder #200</v>
      </c>
      <c r="G735" s="18" t="str">
        <f>IFERROR(VLOOKUP($D735,본공사입.출고현황!$B:$H,G$2080,0),0)</f>
        <v>Cadweld Powder</v>
      </c>
      <c r="H735" s="18" t="str">
        <f>IFERROR(VLOOKUP($D735,본공사입.출고현황!$B:$H,H$2080,0),0)</f>
        <v>#200</v>
      </c>
      <c r="I735" s="56" t="str">
        <f>IFERROR(VLOOKUP($D735,본공사입.출고현황!$B:$H,I$2080,0),0)</f>
        <v>EA</v>
      </c>
      <c r="J735" s="253">
        <v>4</v>
      </c>
      <c r="K735" s="253" t="s">
        <v>359</v>
      </c>
      <c r="L735" s="255">
        <v>2</v>
      </c>
      <c r="M735" s="256" t="s">
        <v>358</v>
      </c>
      <c r="N735" s="257"/>
    </row>
    <row r="736" spans="1:14" ht="24" customHeight="1">
      <c r="A736" s="8">
        <v>692</v>
      </c>
      <c r="B736" s="9">
        <v>692</v>
      </c>
      <c r="C736" s="254">
        <v>46006</v>
      </c>
      <c r="D736" s="253" t="s">
        <v>111</v>
      </c>
      <c r="E736" s="56" t="str">
        <f>IFERROR(VLOOKUP($D736,본공사입.출고현황!$B:$H,E$2080,0),0)</f>
        <v>Ground Conduit</v>
      </c>
      <c r="F736" s="18" t="str">
        <f>IFERROR(VLOOKUP($D736,본공사입.출고현황!$B:$H,F$2080,0),0)</f>
        <v>Flexible Conduit 2"</v>
      </c>
      <c r="G736" s="18" t="str">
        <f>IFERROR(VLOOKUP($D736,본공사입.출고현황!$B:$H,G$2080,0),0)</f>
        <v>Ground Conduit</v>
      </c>
      <c r="H736" s="18" t="str">
        <f>IFERROR(VLOOKUP($D736,본공사입.출고현황!$B:$H,H$2080,0),0)</f>
        <v>2"</v>
      </c>
      <c r="I736" s="56" t="str">
        <f>IFERROR(VLOOKUP($D736,본공사입.출고현황!$B:$H,I$2080,0),0)</f>
        <v>M</v>
      </c>
      <c r="J736" s="253">
        <v>4</v>
      </c>
      <c r="K736" s="253" t="s">
        <v>359</v>
      </c>
      <c r="L736" s="281">
        <v>29</v>
      </c>
      <c r="M736" s="256" t="s">
        <v>408</v>
      </c>
      <c r="N736" s="257"/>
    </row>
    <row r="737" spans="1:14" ht="24" customHeight="1">
      <c r="A737" s="8">
        <v>693</v>
      </c>
      <c r="B737" s="9">
        <v>693</v>
      </c>
      <c r="C737" s="254">
        <v>46006</v>
      </c>
      <c r="D737" s="253" t="s">
        <v>238</v>
      </c>
      <c r="E737" s="56" t="str">
        <f>IFERROR(VLOOKUP($D737,본공사입.출고현황!$B:$H,E$2080,0),0)</f>
        <v>Steel round bar</v>
      </c>
      <c r="F737" s="18" t="str">
        <f>IFERROR(VLOOKUP($D737,본공사입.출고현황!$B:$H,F$2080,0),0)</f>
        <v>Steel round bar(rebar)</v>
      </c>
      <c r="G737" s="18" t="str">
        <f>IFERROR(VLOOKUP($D737,본공사입.출고현황!$B:$H,G$2080,0),0)</f>
        <v>CCGG</v>
      </c>
      <c r="H737" s="18" t="str">
        <f>IFERROR(VLOOKUP($D737,본공사입.출고현황!$B:$H,H$2080,0),0)</f>
        <v>ф10, 1ton=1,620.7m</v>
      </c>
      <c r="I737" s="56" t="str">
        <f>IFERROR(VLOOKUP($D737,본공사입.출고현황!$B:$H,I$2080,0),0)</f>
        <v>M</v>
      </c>
      <c r="J737" s="253">
        <v>1</v>
      </c>
      <c r="K737" s="253" t="s">
        <v>363</v>
      </c>
      <c r="L737" s="255">
        <v>25</v>
      </c>
      <c r="M737" s="256" t="s">
        <v>408</v>
      </c>
      <c r="N737" s="257"/>
    </row>
    <row r="738" spans="1:14" ht="24" customHeight="1">
      <c r="A738" s="8">
        <v>694</v>
      </c>
      <c r="B738" s="9">
        <v>694</v>
      </c>
      <c r="C738" s="254">
        <v>46006</v>
      </c>
      <c r="D738" s="253" t="s">
        <v>238</v>
      </c>
      <c r="E738" s="56" t="str">
        <f>IFERROR(VLOOKUP($D738,본공사입.출고현황!$B:$H,E$2080,0),0)</f>
        <v>Steel round bar</v>
      </c>
      <c r="F738" s="18" t="str">
        <f>IFERROR(VLOOKUP($D738,본공사입.출고현황!$B:$H,F$2080,0),0)</f>
        <v>Steel round bar(rebar)</v>
      </c>
      <c r="G738" s="18" t="str">
        <f>IFERROR(VLOOKUP($D738,본공사입.출고현황!$B:$H,G$2080,0),0)</f>
        <v>CCGG</v>
      </c>
      <c r="H738" s="18" t="str">
        <f>IFERROR(VLOOKUP($D738,본공사입.출고현황!$B:$H,H$2080,0),0)</f>
        <v>ф10, 1ton=1,620.7m</v>
      </c>
      <c r="I738" s="56" t="str">
        <f>IFERROR(VLOOKUP($D738,본공사입.출고현황!$B:$H,I$2080,0),0)</f>
        <v>M</v>
      </c>
      <c r="J738" s="253">
        <v>1</v>
      </c>
      <c r="K738" s="253" t="s">
        <v>545</v>
      </c>
      <c r="L738" s="255">
        <v>15</v>
      </c>
      <c r="M738" s="256" t="s">
        <v>408</v>
      </c>
      <c r="N738" s="257"/>
    </row>
    <row r="739" spans="1:14" ht="24" customHeight="1">
      <c r="A739" s="8">
        <v>695</v>
      </c>
      <c r="B739" s="9">
        <v>695</v>
      </c>
      <c r="C739" s="254">
        <v>46006</v>
      </c>
      <c r="D739" s="253" t="s">
        <v>238</v>
      </c>
      <c r="E739" s="56" t="str">
        <f>IFERROR(VLOOKUP($D739,본공사입.출고현황!$B:$H,E$2080,0),0)</f>
        <v>Steel round bar</v>
      </c>
      <c r="F739" s="18" t="str">
        <f>IFERROR(VLOOKUP($D739,본공사입.출고현황!$B:$H,F$2080,0),0)</f>
        <v>Steel round bar(rebar)</v>
      </c>
      <c r="G739" s="18" t="str">
        <f>IFERROR(VLOOKUP($D739,본공사입.출고현황!$B:$H,G$2080,0),0)</f>
        <v>CCGG</v>
      </c>
      <c r="H739" s="18" t="str">
        <f>IFERROR(VLOOKUP($D739,본공사입.출고현황!$B:$H,H$2080,0),0)</f>
        <v>ф10, 1ton=1,620.7m</v>
      </c>
      <c r="I739" s="56" t="str">
        <f>IFERROR(VLOOKUP($D739,본공사입.출고현황!$B:$H,I$2080,0),0)</f>
        <v>M</v>
      </c>
      <c r="J739" s="253">
        <v>2</v>
      </c>
      <c r="K739" s="253" t="s">
        <v>241</v>
      </c>
      <c r="L739" s="255">
        <v>50</v>
      </c>
      <c r="M739" s="256" t="s">
        <v>408</v>
      </c>
      <c r="N739" s="257"/>
    </row>
    <row r="740" spans="1:14" ht="24" customHeight="1">
      <c r="A740" s="8">
        <v>696</v>
      </c>
      <c r="B740" s="9">
        <v>696</v>
      </c>
      <c r="C740" s="254">
        <v>46006</v>
      </c>
      <c r="D740" s="253" t="s">
        <v>238</v>
      </c>
      <c r="E740" s="56" t="str">
        <f>IFERROR(VLOOKUP($D740,본공사입.출고현황!$B:$H,E$2080,0),0)</f>
        <v>Steel round bar</v>
      </c>
      <c r="F740" s="18" t="str">
        <f>IFERROR(VLOOKUP($D740,본공사입.출고현황!$B:$H,F$2080,0),0)</f>
        <v>Steel round bar(rebar)</v>
      </c>
      <c r="G740" s="18" t="str">
        <f>IFERROR(VLOOKUP($D740,본공사입.출고현황!$B:$H,G$2080,0),0)</f>
        <v>CCGG</v>
      </c>
      <c r="H740" s="18" t="str">
        <f>IFERROR(VLOOKUP($D740,본공사입.출고현황!$B:$H,H$2080,0),0)</f>
        <v>ф10, 1ton=1,620.7m</v>
      </c>
      <c r="I740" s="56" t="str">
        <f>IFERROR(VLOOKUP($D740,본공사입.출고현황!$B:$H,I$2080,0),0)</f>
        <v>M</v>
      </c>
      <c r="J740" s="253">
        <v>2</v>
      </c>
      <c r="K740" s="253" t="s">
        <v>546</v>
      </c>
      <c r="L740" s="255">
        <v>30</v>
      </c>
      <c r="M740" s="256" t="s">
        <v>408</v>
      </c>
      <c r="N740" s="257"/>
    </row>
    <row r="741" spans="1:14" ht="24" customHeight="1">
      <c r="A741" s="8">
        <v>697</v>
      </c>
      <c r="B741" s="9">
        <v>697</v>
      </c>
      <c r="C741" s="254">
        <v>46006</v>
      </c>
      <c r="D741" s="253" t="s">
        <v>238</v>
      </c>
      <c r="E741" s="56" t="str">
        <f>IFERROR(VLOOKUP($D741,본공사입.출고현황!$B:$H,E$2080,0),0)</f>
        <v>Steel round bar</v>
      </c>
      <c r="F741" s="18" t="str">
        <f>IFERROR(VLOOKUP($D741,본공사입.출고현황!$B:$H,F$2080,0),0)</f>
        <v>Steel round bar(rebar)</v>
      </c>
      <c r="G741" s="18" t="str">
        <f>IFERROR(VLOOKUP($D741,본공사입.출고현황!$B:$H,G$2080,0),0)</f>
        <v>CCGG</v>
      </c>
      <c r="H741" s="18" t="str">
        <f>IFERROR(VLOOKUP($D741,본공사입.출고현황!$B:$H,H$2080,0),0)</f>
        <v>ф10, 1ton=1,620.7m</v>
      </c>
      <c r="I741" s="56" t="str">
        <f>IFERROR(VLOOKUP($D741,본공사입.출고현황!$B:$H,I$2080,0),0)</f>
        <v>M</v>
      </c>
      <c r="J741" s="253">
        <v>1</v>
      </c>
      <c r="K741" s="253" t="s">
        <v>363</v>
      </c>
      <c r="L741" s="255">
        <v>65</v>
      </c>
      <c r="M741" s="256" t="s">
        <v>408</v>
      </c>
      <c r="N741" s="257"/>
    </row>
    <row r="742" spans="1:14" ht="24" customHeight="1">
      <c r="A742" s="8">
        <v>698</v>
      </c>
      <c r="B742" s="9">
        <v>698</v>
      </c>
      <c r="C742" s="254">
        <v>46007</v>
      </c>
      <c r="D742" s="253" t="s">
        <v>238</v>
      </c>
      <c r="E742" s="56" t="str">
        <f>IFERROR(VLOOKUP($D742,본공사입.출고현황!$B:$H,E$2080,0),0)</f>
        <v>Steel round bar</v>
      </c>
      <c r="F742" s="18" t="str">
        <f>IFERROR(VLOOKUP($D742,본공사입.출고현황!$B:$H,F$2080,0),0)</f>
        <v>Steel round bar(rebar)</v>
      </c>
      <c r="G742" s="18" t="str">
        <f>IFERROR(VLOOKUP($D742,본공사입.출고현황!$B:$H,G$2080,0),0)</f>
        <v>CCGG</v>
      </c>
      <c r="H742" s="18" t="str">
        <f>IFERROR(VLOOKUP($D742,본공사입.출고현황!$B:$H,H$2080,0),0)</f>
        <v>ф10, 1ton=1,620.7m</v>
      </c>
      <c r="I742" s="56" t="str">
        <f>IFERROR(VLOOKUP($D742,본공사입.출고현황!$B:$H,I$2080,0),0)</f>
        <v>M</v>
      </c>
      <c r="J742" s="253">
        <v>1</v>
      </c>
      <c r="K742" s="253" t="s">
        <v>363</v>
      </c>
      <c r="L742" s="255">
        <v>20</v>
      </c>
      <c r="M742" s="256" t="s">
        <v>408</v>
      </c>
      <c r="N742" s="257"/>
    </row>
    <row r="743" spans="1:14" ht="24" customHeight="1">
      <c r="A743" s="8">
        <v>699</v>
      </c>
      <c r="B743" s="9">
        <v>699</v>
      </c>
      <c r="C743" s="254">
        <v>46007</v>
      </c>
      <c r="D743" s="253" t="s">
        <v>238</v>
      </c>
      <c r="E743" s="56" t="str">
        <f>IFERROR(VLOOKUP($D743,본공사입.출고현황!$B:$H,E$2080,0),0)</f>
        <v>Steel round bar</v>
      </c>
      <c r="F743" s="18" t="str">
        <f>IFERROR(VLOOKUP($D743,본공사입.출고현황!$B:$H,F$2080,0),0)</f>
        <v>Steel round bar(rebar)</v>
      </c>
      <c r="G743" s="18" t="str">
        <f>IFERROR(VLOOKUP($D743,본공사입.출고현황!$B:$H,G$2080,0),0)</f>
        <v>CCGG</v>
      </c>
      <c r="H743" s="18" t="str">
        <f>IFERROR(VLOOKUP($D743,본공사입.출고현황!$B:$H,H$2080,0),0)</f>
        <v>ф10, 1ton=1,620.7m</v>
      </c>
      <c r="I743" s="56" t="str">
        <f>IFERROR(VLOOKUP($D743,본공사입.출고현황!$B:$H,I$2080,0),0)</f>
        <v>M</v>
      </c>
      <c r="J743" s="253">
        <v>2</v>
      </c>
      <c r="K743" s="253" t="s">
        <v>360</v>
      </c>
      <c r="L743" s="255">
        <v>125</v>
      </c>
      <c r="M743" s="256" t="s">
        <v>408</v>
      </c>
      <c r="N743" s="257"/>
    </row>
    <row r="744" spans="1:14" ht="24" customHeight="1">
      <c r="A744" s="8">
        <v>700</v>
      </c>
      <c r="B744" s="9">
        <v>700</v>
      </c>
      <c r="C744" s="254">
        <v>46007</v>
      </c>
      <c r="D744" s="253" t="s">
        <v>238</v>
      </c>
      <c r="E744" s="56" t="str">
        <f>IFERROR(VLOOKUP($D744,본공사입.출고현황!$B:$H,E$2080,0),0)</f>
        <v>Steel round bar</v>
      </c>
      <c r="F744" s="18" t="str">
        <f>IFERROR(VLOOKUP($D744,본공사입.출고현황!$B:$H,F$2080,0),0)</f>
        <v>Steel round bar(rebar)</v>
      </c>
      <c r="G744" s="18" t="str">
        <f>IFERROR(VLOOKUP($D744,본공사입.출고현황!$B:$H,G$2080,0),0)</f>
        <v>CCGG</v>
      </c>
      <c r="H744" s="18" t="str">
        <f>IFERROR(VLOOKUP($D744,본공사입.출고현황!$B:$H,H$2080,0),0)</f>
        <v>ф10, 1ton=1,620.7m</v>
      </c>
      <c r="I744" s="56" t="str">
        <f>IFERROR(VLOOKUP($D744,본공사입.출고현황!$B:$H,I$2080,0),0)</f>
        <v>M</v>
      </c>
      <c r="J744" s="253">
        <v>1</v>
      </c>
      <c r="K744" s="253" t="s">
        <v>352</v>
      </c>
      <c r="L744" s="255">
        <v>125</v>
      </c>
      <c r="M744" s="256" t="s">
        <v>408</v>
      </c>
      <c r="N744" s="257"/>
    </row>
    <row r="745" spans="1:14" ht="24" customHeight="1">
      <c r="A745" s="8">
        <v>701</v>
      </c>
      <c r="B745" s="9">
        <v>701</v>
      </c>
      <c r="C745" s="254">
        <v>46007</v>
      </c>
      <c r="D745" s="253" t="s">
        <v>238</v>
      </c>
      <c r="E745" s="56" t="str">
        <f>IFERROR(VLOOKUP($D745,본공사입.출고현황!$B:$H,E$2080,0),0)</f>
        <v>Steel round bar</v>
      </c>
      <c r="F745" s="18" t="str">
        <f>IFERROR(VLOOKUP($D745,본공사입.출고현황!$B:$H,F$2080,0),0)</f>
        <v>Steel round bar(rebar)</v>
      </c>
      <c r="G745" s="18" t="str">
        <f>IFERROR(VLOOKUP($D745,본공사입.출고현황!$B:$H,G$2080,0),0)</f>
        <v>CCGG</v>
      </c>
      <c r="H745" s="18" t="str">
        <f>IFERROR(VLOOKUP($D745,본공사입.출고현황!$B:$H,H$2080,0),0)</f>
        <v>ф10, 1ton=1,620.7m</v>
      </c>
      <c r="I745" s="56" t="str">
        <f>IFERROR(VLOOKUP($D745,본공사입.출고현황!$B:$H,I$2080,0),0)</f>
        <v>M</v>
      </c>
      <c r="J745" s="253">
        <v>1</v>
      </c>
      <c r="K745" s="253" t="s">
        <v>363</v>
      </c>
      <c r="L745" s="255">
        <v>25</v>
      </c>
      <c r="M745" s="256" t="s">
        <v>408</v>
      </c>
      <c r="N745" s="257"/>
    </row>
    <row r="746" spans="1:14" ht="24" customHeight="1">
      <c r="A746" s="8">
        <v>702</v>
      </c>
      <c r="B746" s="9">
        <v>702</v>
      </c>
      <c r="C746" s="254">
        <v>46007</v>
      </c>
      <c r="D746" s="253" t="s">
        <v>238</v>
      </c>
      <c r="E746" s="56" t="str">
        <f>IFERROR(VLOOKUP($D746,본공사입.출고현황!$B:$H,E$2080,0),0)</f>
        <v>Steel round bar</v>
      </c>
      <c r="F746" s="18" t="str">
        <f>IFERROR(VLOOKUP($D746,본공사입.출고현황!$B:$H,F$2080,0),0)</f>
        <v>Steel round bar(rebar)</v>
      </c>
      <c r="G746" s="18" t="str">
        <f>IFERROR(VLOOKUP($D746,본공사입.출고현황!$B:$H,G$2080,0),0)</f>
        <v>CCGG</v>
      </c>
      <c r="H746" s="18" t="str">
        <f>IFERROR(VLOOKUP($D746,본공사입.출고현황!$B:$H,H$2080,0),0)</f>
        <v>ф10, 1ton=1,620.7m</v>
      </c>
      <c r="I746" s="56" t="str">
        <f>IFERROR(VLOOKUP($D746,본공사입.출고현황!$B:$H,I$2080,0),0)</f>
        <v>M</v>
      </c>
      <c r="J746" s="253">
        <v>1</v>
      </c>
      <c r="K746" s="253" t="s">
        <v>545</v>
      </c>
      <c r="L746" s="255">
        <v>15</v>
      </c>
      <c r="M746" s="256" t="s">
        <v>408</v>
      </c>
      <c r="N746" s="257"/>
    </row>
    <row r="747" spans="1:14" ht="24" customHeight="1">
      <c r="A747" s="8">
        <v>703</v>
      </c>
      <c r="B747" s="9">
        <v>703</v>
      </c>
      <c r="C747" s="254">
        <v>46007</v>
      </c>
      <c r="D747" s="253" t="s">
        <v>238</v>
      </c>
      <c r="E747" s="56" t="str">
        <f>IFERROR(VLOOKUP($D747,본공사입.출고현황!$B:$H,E$2080,0),0)</f>
        <v>Steel round bar</v>
      </c>
      <c r="F747" s="18" t="str">
        <f>IFERROR(VLOOKUP($D747,본공사입.출고현황!$B:$H,F$2080,0),0)</f>
        <v>Steel round bar(rebar)</v>
      </c>
      <c r="G747" s="18" t="str">
        <f>IFERROR(VLOOKUP($D747,본공사입.출고현황!$B:$H,G$2080,0),0)</f>
        <v>CCGG</v>
      </c>
      <c r="H747" s="18" t="str">
        <f>IFERROR(VLOOKUP($D747,본공사입.출고현황!$B:$H,H$2080,0),0)</f>
        <v>ф10, 1ton=1,620.7m</v>
      </c>
      <c r="I747" s="56" t="str">
        <f>IFERROR(VLOOKUP($D747,본공사입.출고현황!$B:$H,I$2080,0),0)</f>
        <v>M</v>
      </c>
      <c r="J747" s="253">
        <v>2</v>
      </c>
      <c r="K747" s="253" t="s">
        <v>241</v>
      </c>
      <c r="L747" s="255">
        <v>50</v>
      </c>
      <c r="M747" s="256" t="s">
        <v>408</v>
      </c>
      <c r="N747" s="257"/>
    </row>
    <row r="748" spans="1:14" ht="24" customHeight="1">
      <c r="A748" s="8">
        <v>704</v>
      </c>
      <c r="B748" s="9">
        <v>704</v>
      </c>
      <c r="C748" s="254">
        <v>46008</v>
      </c>
      <c r="D748" s="253" t="s">
        <v>238</v>
      </c>
      <c r="E748" s="56" t="str">
        <f>IFERROR(VLOOKUP($D748,본공사입.출고현황!$B:$H,E$2080,0),0)</f>
        <v>Steel round bar</v>
      </c>
      <c r="F748" s="18" t="str">
        <f>IFERROR(VLOOKUP($D748,본공사입.출고현황!$B:$H,F$2080,0),0)</f>
        <v>Steel round bar(rebar)</v>
      </c>
      <c r="G748" s="18" t="str">
        <f>IFERROR(VLOOKUP($D748,본공사입.출고현황!$B:$H,G$2080,0),0)</f>
        <v>CCGG</v>
      </c>
      <c r="H748" s="18" t="str">
        <f>IFERROR(VLOOKUP($D748,본공사입.출고현황!$B:$H,H$2080,0),0)</f>
        <v>ф10, 1ton=1,620.7m</v>
      </c>
      <c r="I748" s="56" t="str">
        <f>IFERROR(VLOOKUP($D748,본공사입.출고현황!$B:$H,I$2080,0),0)</f>
        <v>M</v>
      </c>
      <c r="J748" s="253">
        <v>2</v>
      </c>
      <c r="K748" s="253" t="s">
        <v>546</v>
      </c>
      <c r="L748" s="255">
        <v>30</v>
      </c>
      <c r="M748" s="256" t="s">
        <v>408</v>
      </c>
      <c r="N748" s="257"/>
    </row>
    <row r="749" spans="1:14" ht="24" customHeight="1">
      <c r="A749" s="8">
        <v>705</v>
      </c>
      <c r="B749" s="9">
        <v>705</v>
      </c>
      <c r="C749" s="254">
        <v>46008</v>
      </c>
      <c r="D749" s="253" t="s">
        <v>238</v>
      </c>
      <c r="E749" s="56" t="str">
        <f>IFERROR(VLOOKUP($D749,본공사입.출고현황!$B:$H,E$2080,0),0)</f>
        <v>Steel round bar</v>
      </c>
      <c r="F749" s="18" t="str">
        <f>IFERROR(VLOOKUP($D749,본공사입.출고현황!$B:$H,F$2080,0),0)</f>
        <v>Steel round bar(rebar)</v>
      </c>
      <c r="G749" s="18" t="str">
        <f>IFERROR(VLOOKUP($D749,본공사입.출고현황!$B:$H,G$2080,0),0)</f>
        <v>CCGG</v>
      </c>
      <c r="H749" s="18" t="str">
        <f>IFERROR(VLOOKUP($D749,본공사입.출고현황!$B:$H,H$2080,0),0)</f>
        <v>ф10, 1ton=1,620.7m</v>
      </c>
      <c r="I749" s="56" t="str">
        <f>IFERROR(VLOOKUP($D749,본공사입.출고현황!$B:$H,I$2080,0),0)</f>
        <v>M</v>
      </c>
      <c r="J749" s="253">
        <v>1</v>
      </c>
      <c r="K749" s="253" t="s">
        <v>363</v>
      </c>
      <c r="L749" s="255">
        <v>65</v>
      </c>
      <c r="M749" s="256" t="s">
        <v>408</v>
      </c>
      <c r="N749" s="257"/>
    </row>
    <row r="750" spans="1:14" ht="24" customHeight="1">
      <c r="A750" s="8">
        <v>706</v>
      </c>
      <c r="B750" s="9">
        <v>706</v>
      </c>
      <c r="C750" s="254">
        <v>46008</v>
      </c>
      <c r="D750" s="253" t="s">
        <v>238</v>
      </c>
      <c r="E750" s="56" t="str">
        <f>IFERROR(VLOOKUP($D750,본공사입.출고현황!$B:$H,E$2080,0),0)</f>
        <v>Steel round bar</v>
      </c>
      <c r="F750" s="18" t="str">
        <f>IFERROR(VLOOKUP($D750,본공사입.출고현황!$B:$H,F$2080,0),0)</f>
        <v>Steel round bar(rebar)</v>
      </c>
      <c r="G750" s="18" t="str">
        <f>IFERROR(VLOOKUP($D750,본공사입.출고현황!$B:$H,G$2080,0),0)</f>
        <v>CCGG</v>
      </c>
      <c r="H750" s="18" t="str">
        <f>IFERROR(VLOOKUP($D750,본공사입.출고현황!$B:$H,H$2080,0),0)</f>
        <v>ф10, 1ton=1,620.7m</v>
      </c>
      <c r="I750" s="56" t="str">
        <f>IFERROR(VLOOKUP($D750,본공사입.출고현황!$B:$H,I$2080,0),0)</f>
        <v>M</v>
      </c>
      <c r="J750" s="253">
        <v>1</v>
      </c>
      <c r="K750" s="253" t="s">
        <v>363</v>
      </c>
      <c r="L750" s="255">
        <v>20</v>
      </c>
      <c r="M750" s="256" t="s">
        <v>408</v>
      </c>
      <c r="N750" s="257"/>
    </row>
    <row r="751" spans="1:14" ht="24" customHeight="1">
      <c r="A751" s="8">
        <v>707</v>
      </c>
      <c r="B751" s="9">
        <v>707</v>
      </c>
      <c r="C751" s="254">
        <v>46008</v>
      </c>
      <c r="D751" s="253" t="s">
        <v>238</v>
      </c>
      <c r="E751" s="56" t="str">
        <f>IFERROR(VLOOKUP($D751,본공사입.출고현황!$B:$H,E$2080,0),0)</f>
        <v>Steel round bar</v>
      </c>
      <c r="F751" s="18" t="str">
        <f>IFERROR(VLOOKUP($D751,본공사입.출고현황!$B:$H,F$2080,0),0)</f>
        <v>Steel round bar(rebar)</v>
      </c>
      <c r="G751" s="18" t="str">
        <f>IFERROR(VLOOKUP($D751,본공사입.출고현황!$B:$H,G$2080,0),0)</f>
        <v>CCGG</v>
      </c>
      <c r="H751" s="18" t="str">
        <f>IFERROR(VLOOKUP($D751,본공사입.출고현황!$B:$H,H$2080,0),0)</f>
        <v>ф10, 1ton=1,620.7m</v>
      </c>
      <c r="I751" s="56" t="str">
        <f>IFERROR(VLOOKUP($D751,본공사입.출고현황!$B:$H,I$2080,0),0)</f>
        <v>M</v>
      </c>
      <c r="J751" s="253">
        <v>2</v>
      </c>
      <c r="K751" s="253" t="s">
        <v>360</v>
      </c>
      <c r="L751" s="255">
        <v>50</v>
      </c>
      <c r="M751" s="256" t="s">
        <v>358</v>
      </c>
      <c r="N751" s="257"/>
    </row>
    <row r="752" spans="1:14" ht="24" customHeight="1">
      <c r="A752" s="8">
        <v>708</v>
      </c>
      <c r="B752" s="9">
        <v>708</v>
      </c>
      <c r="C752" s="254">
        <v>46008</v>
      </c>
      <c r="D752" s="253" t="s">
        <v>238</v>
      </c>
      <c r="E752" s="56" t="str">
        <f>IFERROR(VLOOKUP($D752,본공사입.출고현황!$B:$H,E$2080,0),0)</f>
        <v>Steel round bar</v>
      </c>
      <c r="F752" s="18" t="str">
        <f>IFERROR(VLOOKUP($D752,본공사입.출고현황!$B:$H,F$2080,0),0)</f>
        <v>Steel round bar(rebar)</v>
      </c>
      <c r="G752" s="18" t="str">
        <f>IFERROR(VLOOKUP($D752,본공사입.출고현황!$B:$H,G$2080,0),0)</f>
        <v>CCGG</v>
      </c>
      <c r="H752" s="18" t="str">
        <f>IFERROR(VLOOKUP($D752,본공사입.출고현황!$B:$H,H$2080,0),0)</f>
        <v>ф10, 1ton=1,620.7m</v>
      </c>
      <c r="I752" s="56" t="str">
        <f>IFERROR(VLOOKUP($D752,본공사입.출고현황!$B:$H,I$2080,0),0)</f>
        <v>M</v>
      </c>
      <c r="J752" s="253">
        <v>4</v>
      </c>
      <c r="K752" s="253" t="s">
        <v>359</v>
      </c>
      <c r="L752" s="255">
        <v>50</v>
      </c>
      <c r="M752" s="256" t="s">
        <v>358</v>
      </c>
      <c r="N752" s="257"/>
    </row>
    <row r="753" spans="1:14" ht="24" customHeight="1">
      <c r="A753" s="8">
        <v>709</v>
      </c>
      <c r="B753" s="9">
        <v>709</v>
      </c>
      <c r="C753" s="254">
        <v>46008</v>
      </c>
      <c r="D753" s="253" t="s">
        <v>238</v>
      </c>
      <c r="E753" s="56" t="str">
        <f>IFERROR(VLOOKUP($D753,본공사입.출고현황!$B:$H,E$2080,0),0)</f>
        <v>Steel round bar</v>
      </c>
      <c r="F753" s="18" t="str">
        <f>IFERROR(VLOOKUP($D753,본공사입.출고현황!$B:$H,F$2080,0),0)</f>
        <v>Steel round bar(rebar)</v>
      </c>
      <c r="G753" s="18" t="str">
        <f>IFERROR(VLOOKUP($D753,본공사입.출고현황!$B:$H,G$2080,0),0)</f>
        <v>CCGG</v>
      </c>
      <c r="H753" s="18" t="str">
        <f>IFERROR(VLOOKUP($D753,본공사입.출고현황!$B:$H,H$2080,0),0)</f>
        <v>ф10, 1ton=1,620.7m</v>
      </c>
      <c r="I753" s="56" t="str">
        <f>IFERROR(VLOOKUP($D753,본공사입.출고현황!$B:$H,I$2080,0),0)</f>
        <v>M</v>
      </c>
      <c r="J753" s="253">
        <v>2</v>
      </c>
      <c r="K753" s="253" t="s">
        <v>546</v>
      </c>
      <c r="L753" s="255">
        <v>75</v>
      </c>
      <c r="M753" s="256" t="s">
        <v>358</v>
      </c>
      <c r="N753" s="257"/>
    </row>
    <row r="754" spans="1:14" ht="24" customHeight="1">
      <c r="A754" s="8">
        <v>710</v>
      </c>
      <c r="B754" s="9">
        <v>710</v>
      </c>
      <c r="C754" s="254">
        <v>46008</v>
      </c>
      <c r="D754" s="253" t="s">
        <v>238</v>
      </c>
      <c r="E754" s="56" t="str">
        <f>IFERROR(VLOOKUP($D754,본공사입.출고현황!$B:$H,E$2080,0),0)</f>
        <v>Steel round bar</v>
      </c>
      <c r="F754" s="18" t="str">
        <f>IFERROR(VLOOKUP($D754,본공사입.출고현황!$B:$H,F$2080,0),0)</f>
        <v>Steel round bar(rebar)</v>
      </c>
      <c r="G754" s="18" t="str">
        <f>IFERROR(VLOOKUP($D754,본공사입.출고현황!$B:$H,G$2080,0),0)</f>
        <v>CCGG</v>
      </c>
      <c r="H754" s="18" t="str">
        <f>IFERROR(VLOOKUP($D754,본공사입.출고현황!$B:$H,H$2080,0),0)</f>
        <v>ф10, 1ton=1,620.7m</v>
      </c>
      <c r="I754" s="56" t="str">
        <f>IFERROR(VLOOKUP($D754,본공사입.출고현황!$B:$H,I$2080,0),0)</f>
        <v>M</v>
      </c>
      <c r="J754" s="253">
        <v>1</v>
      </c>
      <c r="K754" s="253" t="s">
        <v>352</v>
      </c>
      <c r="L754" s="255">
        <v>115</v>
      </c>
      <c r="M754" s="256" t="s">
        <v>358</v>
      </c>
      <c r="N754" s="257"/>
    </row>
    <row r="755" spans="1:14" ht="24" customHeight="1">
      <c r="A755" s="8">
        <v>711</v>
      </c>
      <c r="B755" s="9">
        <v>711</v>
      </c>
      <c r="C755" s="254">
        <v>46009</v>
      </c>
      <c r="D755" s="253" t="s">
        <v>238</v>
      </c>
      <c r="E755" s="56" t="str">
        <f>IFERROR(VLOOKUP($D755,본공사입.출고현황!$B:$H,E$2080,0),0)</f>
        <v>Steel round bar</v>
      </c>
      <c r="F755" s="18" t="str">
        <f>IFERROR(VLOOKUP($D755,본공사입.출고현황!$B:$H,F$2080,0),0)</f>
        <v>Steel round bar(rebar)</v>
      </c>
      <c r="G755" s="18" t="str">
        <f>IFERROR(VLOOKUP($D755,본공사입.출고현황!$B:$H,G$2080,0),0)</f>
        <v>CCGG</v>
      </c>
      <c r="H755" s="18" t="str">
        <f>IFERROR(VLOOKUP($D755,본공사입.출고현황!$B:$H,H$2080,0),0)</f>
        <v>ф10, 1ton=1,620.7m</v>
      </c>
      <c r="I755" s="56" t="str">
        <f>IFERROR(VLOOKUP($D755,본공사입.출고현황!$B:$H,I$2080,0),0)</f>
        <v>M</v>
      </c>
      <c r="J755" s="253">
        <v>2</v>
      </c>
      <c r="K755" s="253" t="s">
        <v>360</v>
      </c>
      <c r="L755" s="255">
        <v>50</v>
      </c>
      <c r="M755" s="256" t="s">
        <v>358</v>
      </c>
      <c r="N755" s="257"/>
    </row>
    <row r="756" spans="1:14" ht="24" customHeight="1">
      <c r="A756" s="8">
        <v>712</v>
      </c>
      <c r="B756" s="9">
        <v>712</v>
      </c>
      <c r="C756" s="254">
        <v>46009</v>
      </c>
      <c r="D756" s="253" t="s">
        <v>238</v>
      </c>
      <c r="E756" s="56" t="str">
        <f>IFERROR(VLOOKUP($D756,본공사입.출고현황!$B:$H,E$2080,0),0)</f>
        <v>Steel round bar</v>
      </c>
      <c r="F756" s="18" t="str">
        <f>IFERROR(VLOOKUP($D756,본공사입.출고현황!$B:$H,F$2080,0),0)</f>
        <v>Steel round bar(rebar)</v>
      </c>
      <c r="G756" s="18" t="str">
        <f>IFERROR(VLOOKUP($D756,본공사입.출고현황!$B:$H,G$2080,0),0)</f>
        <v>CCGG</v>
      </c>
      <c r="H756" s="18" t="str">
        <f>IFERROR(VLOOKUP($D756,본공사입.출고현황!$B:$H,H$2080,0),0)</f>
        <v>ф10, 1ton=1,620.7m</v>
      </c>
      <c r="I756" s="56" t="str">
        <f>IFERROR(VLOOKUP($D756,본공사입.출고현황!$B:$H,I$2080,0),0)</f>
        <v>M</v>
      </c>
      <c r="J756" s="253">
        <v>1</v>
      </c>
      <c r="K756" s="253" t="s">
        <v>352</v>
      </c>
      <c r="L756" s="255">
        <v>100</v>
      </c>
      <c r="M756" s="256" t="s">
        <v>358</v>
      </c>
      <c r="N756" s="257"/>
    </row>
    <row r="757" spans="1:14" ht="24" customHeight="1">
      <c r="A757" s="8">
        <v>713</v>
      </c>
      <c r="B757" s="9">
        <v>713</v>
      </c>
      <c r="C757" s="254">
        <v>46009</v>
      </c>
      <c r="D757" s="253" t="s">
        <v>238</v>
      </c>
      <c r="E757" s="56" t="str">
        <f>IFERROR(VLOOKUP($D757,본공사입.출고현황!$B:$H,E$2080,0),0)</f>
        <v>Steel round bar</v>
      </c>
      <c r="F757" s="18" t="str">
        <f>IFERROR(VLOOKUP($D757,본공사입.출고현황!$B:$H,F$2080,0),0)</f>
        <v>Steel round bar(rebar)</v>
      </c>
      <c r="G757" s="18" t="str">
        <f>IFERROR(VLOOKUP($D757,본공사입.출고현황!$B:$H,G$2080,0),0)</f>
        <v>CCGG</v>
      </c>
      <c r="H757" s="18" t="str">
        <f>IFERROR(VLOOKUP($D757,본공사입.출고현황!$B:$H,H$2080,0),0)</f>
        <v>ф10, 1ton=1,620.7m</v>
      </c>
      <c r="I757" s="56" t="str">
        <f>IFERROR(VLOOKUP($D757,본공사입.출고현황!$B:$H,I$2080,0),0)</f>
        <v>M</v>
      </c>
      <c r="J757" s="253">
        <v>1</v>
      </c>
      <c r="K757" s="253" t="s">
        <v>363</v>
      </c>
      <c r="L757" s="255">
        <v>70</v>
      </c>
      <c r="M757" s="256" t="s">
        <v>358</v>
      </c>
      <c r="N757" s="257"/>
    </row>
    <row r="758" spans="1:14" ht="24" customHeight="1">
      <c r="A758" s="8">
        <v>714</v>
      </c>
      <c r="B758" s="9">
        <v>714</v>
      </c>
      <c r="C758" s="254">
        <v>46009</v>
      </c>
      <c r="D758" s="253" t="s">
        <v>238</v>
      </c>
      <c r="E758" s="56" t="str">
        <f>IFERROR(VLOOKUP($D758,본공사입.출고현황!$B:$H,E$2080,0),0)</f>
        <v>Steel round bar</v>
      </c>
      <c r="F758" s="18" t="str">
        <f>IFERROR(VLOOKUP($D758,본공사입.출고현황!$B:$H,F$2080,0),0)</f>
        <v>Steel round bar(rebar)</v>
      </c>
      <c r="G758" s="18" t="str">
        <f>IFERROR(VLOOKUP($D758,본공사입.출고현황!$B:$H,G$2080,0),0)</f>
        <v>CCGG</v>
      </c>
      <c r="H758" s="18" t="str">
        <f>IFERROR(VLOOKUP($D758,본공사입.출고현황!$B:$H,H$2080,0),0)</f>
        <v>ф10, 1ton=1,620.7m</v>
      </c>
      <c r="I758" s="56" t="str">
        <f>IFERROR(VLOOKUP($D758,본공사입.출고현황!$B:$H,I$2080,0),0)</f>
        <v>M</v>
      </c>
      <c r="J758" s="253">
        <v>1</v>
      </c>
      <c r="K758" s="253" t="s">
        <v>547</v>
      </c>
      <c r="L758" s="255">
        <v>20</v>
      </c>
      <c r="M758" s="256" t="s">
        <v>358</v>
      </c>
      <c r="N758" s="257"/>
    </row>
    <row r="759" spans="1:14" ht="24" customHeight="1">
      <c r="A759" s="8">
        <v>715</v>
      </c>
      <c r="B759" s="9">
        <v>715</v>
      </c>
      <c r="C759" s="254">
        <v>46009</v>
      </c>
      <c r="D759" s="253" t="s">
        <v>238</v>
      </c>
      <c r="E759" s="56" t="str">
        <f>IFERROR(VLOOKUP($D759,본공사입.출고현황!$B:$H,E$2080,0),0)</f>
        <v>Steel round bar</v>
      </c>
      <c r="F759" s="18" t="str">
        <f>IFERROR(VLOOKUP($D759,본공사입.출고현황!$B:$H,F$2080,0),0)</f>
        <v>Steel round bar(rebar)</v>
      </c>
      <c r="G759" s="18" t="str">
        <f>IFERROR(VLOOKUP($D759,본공사입.출고현황!$B:$H,G$2080,0),0)</f>
        <v>CCGG</v>
      </c>
      <c r="H759" s="18" t="str">
        <f>IFERROR(VLOOKUP($D759,본공사입.출고현황!$B:$H,H$2080,0),0)</f>
        <v>ф10, 1ton=1,620.7m</v>
      </c>
      <c r="I759" s="56" t="str">
        <f>IFERROR(VLOOKUP($D759,본공사입.출고현황!$B:$H,I$2080,0),0)</f>
        <v>M</v>
      </c>
      <c r="J759" s="253">
        <v>2</v>
      </c>
      <c r="K759" s="253" t="s">
        <v>360</v>
      </c>
      <c r="L759" s="255">
        <v>25</v>
      </c>
      <c r="M759" s="256" t="s">
        <v>358</v>
      </c>
      <c r="N759" s="257"/>
    </row>
    <row r="760" spans="1:14" ht="24" customHeight="1">
      <c r="A760" s="8">
        <v>716</v>
      </c>
      <c r="B760" s="9">
        <v>716</v>
      </c>
      <c r="C760" s="254">
        <v>46011</v>
      </c>
      <c r="D760" s="253" t="s">
        <v>238</v>
      </c>
      <c r="E760" s="56" t="str">
        <f>IFERROR(VLOOKUP($D760,본공사입.출고현황!$B:$H,E$2080,0),0)</f>
        <v>Steel round bar</v>
      </c>
      <c r="F760" s="18" t="str">
        <f>IFERROR(VLOOKUP($D760,본공사입.출고현황!$B:$H,F$2080,0),0)</f>
        <v>Steel round bar(rebar)</v>
      </c>
      <c r="G760" s="18" t="str">
        <f>IFERROR(VLOOKUP($D760,본공사입.출고현황!$B:$H,G$2080,0),0)</f>
        <v>CCGG</v>
      </c>
      <c r="H760" s="18" t="str">
        <f>IFERROR(VLOOKUP($D760,본공사입.출고현황!$B:$H,H$2080,0),0)</f>
        <v>ф10, 1ton=1,620.7m</v>
      </c>
      <c r="I760" s="56" t="str">
        <f>IFERROR(VLOOKUP($D760,본공사입.출고현황!$B:$H,I$2080,0),0)</f>
        <v>M</v>
      </c>
      <c r="J760" s="253">
        <v>2</v>
      </c>
      <c r="K760" s="253" t="s">
        <v>360</v>
      </c>
      <c r="L760" s="255">
        <v>50</v>
      </c>
      <c r="M760" s="256" t="s">
        <v>358</v>
      </c>
      <c r="N760" s="257"/>
    </row>
    <row r="761" spans="1:14" ht="24" customHeight="1">
      <c r="A761" s="8">
        <v>717</v>
      </c>
      <c r="B761" s="9">
        <v>717</v>
      </c>
      <c r="C761" s="254">
        <v>46011</v>
      </c>
      <c r="D761" s="253" t="s">
        <v>238</v>
      </c>
      <c r="E761" s="56" t="str">
        <f>IFERROR(VLOOKUP($D761,본공사입.출고현황!$B:$H,E$2080,0),0)</f>
        <v>Steel round bar</v>
      </c>
      <c r="F761" s="18" t="str">
        <f>IFERROR(VLOOKUP($D761,본공사입.출고현황!$B:$H,F$2080,0),0)</f>
        <v>Steel round bar(rebar)</v>
      </c>
      <c r="G761" s="18" t="str">
        <f>IFERROR(VLOOKUP($D761,본공사입.출고현황!$B:$H,G$2080,0),0)</f>
        <v>CCGG</v>
      </c>
      <c r="H761" s="18" t="str">
        <f>IFERROR(VLOOKUP($D761,본공사입.출고현황!$B:$H,H$2080,0),0)</f>
        <v>ф10, 1ton=1,620.7m</v>
      </c>
      <c r="I761" s="56" t="str">
        <f>IFERROR(VLOOKUP($D761,본공사입.출고현황!$B:$H,I$2080,0),0)</f>
        <v>M</v>
      </c>
      <c r="J761" s="253">
        <v>3</v>
      </c>
      <c r="K761" s="253" t="s">
        <v>550</v>
      </c>
      <c r="L761" s="255">
        <v>15</v>
      </c>
      <c r="M761" s="256" t="s">
        <v>358</v>
      </c>
      <c r="N761" s="257"/>
    </row>
    <row r="762" spans="1:14" ht="24" customHeight="1">
      <c r="A762" s="8">
        <v>718</v>
      </c>
      <c r="B762" s="9">
        <v>718</v>
      </c>
      <c r="C762" s="254">
        <v>46011</v>
      </c>
      <c r="D762" s="253" t="s">
        <v>238</v>
      </c>
      <c r="E762" s="56" t="str">
        <f>IFERROR(VLOOKUP($D762,본공사입.출고현황!$B:$H,E$2080,0),0)</f>
        <v>Steel round bar</v>
      </c>
      <c r="F762" s="18" t="str">
        <f>IFERROR(VLOOKUP($D762,본공사입.출고현황!$B:$H,F$2080,0),0)</f>
        <v>Steel round bar(rebar)</v>
      </c>
      <c r="G762" s="18" t="str">
        <f>IFERROR(VLOOKUP($D762,본공사입.출고현황!$B:$H,G$2080,0),0)</f>
        <v>CCGG</v>
      </c>
      <c r="H762" s="18" t="str">
        <f>IFERROR(VLOOKUP($D762,본공사입.출고현황!$B:$H,H$2080,0),0)</f>
        <v>ф10, 1ton=1,620.7m</v>
      </c>
      <c r="I762" s="56" t="str">
        <f>IFERROR(VLOOKUP($D762,본공사입.출고현황!$B:$H,I$2080,0),0)</f>
        <v>M</v>
      </c>
      <c r="J762" s="253">
        <v>1</v>
      </c>
      <c r="K762" s="253" t="s">
        <v>363</v>
      </c>
      <c r="L762" s="255">
        <v>40</v>
      </c>
      <c r="M762" s="256" t="s">
        <v>358</v>
      </c>
      <c r="N762" s="257"/>
    </row>
    <row r="763" spans="1:14" ht="24" customHeight="1">
      <c r="A763" s="8">
        <v>719</v>
      </c>
      <c r="B763" s="9">
        <v>719</v>
      </c>
      <c r="C763" s="254">
        <v>46011</v>
      </c>
      <c r="D763" s="253" t="s">
        <v>238</v>
      </c>
      <c r="E763" s="56" t="str">
        <f>IFERROR(VLOOKUP($D763,본공사입.출고현황!$B:$H,E$2080,0),0)</f>
        <v>Steel round bar</v>
      </c>
      <c r="F763" s="18" t="str">
        <f>IFERROR(VLOOKUP($D763,본공사입.출고현황!$B:$H,F$2080,0),0)</f>
        <v>Steel round bar(rebar)</v>
      </c>
      <c r="G763" s="18" t="str">
        <f>IFERROR(VLOOKUP($D763,본공사입.출고현황!$B:$H,G$2080,0),0)</f>
        <v>CCGG</v>
      </c>
      <c r="H763" s="18" t="str">
        <f>IFERROR(VLOOKUP($D763,본공사입.출고현황!$B:$H,H$2080,0),0)</f>
        <v>ф10, 1ton=1,620.7m</v>
      </c>
      <c r="I763" s="56" t="str">
        <f>IFERROR(VLOOKUP($D763,본공사입.출고현황!$B:$H,I$2080,0),0)</f>
        <v>M</v>
      </c>
      <c r="J763" s="253">
        <v>1</v>
      </c>
      <c r="K763" s="253" t="s">
        <v>547</v>
      </c>
      <c r="L763" s="255">
        <v>20</v>
      </c>
      <c r="M763" s="256" t="s">
        <v>358</v>
      </c>
      <c r="N763" s="257"/>
    </row>
    <row r="764" spans="1:14" ht="24" customHeight="1">
      <c r="A764" s="8">
        <v>720</v>
      </c>
      <c r="B764" s="9">
        <v>720</v>
      </c>
      <c r="C764" s="254">
        <v>46011</v>
      </c>
      <c r="D764" s="253" t="s">
        <v>238</v>
      </c>
      <c r="E764" s="56" t="str">
        <f>IFERROR(VLOOKUP($D764,본공사입.출고현황!$B:$H,E$2080,0),0)</f>
        <v>Steel round bar</v>
      </c>
      <c r="F764" s="18" t="str">
        <f>IFERROR(VLOOKUP($D764,본공사입.출고현황!$B:$H,F$2080,0),0)</f>
        <v>Steel round bar(rebar)</v>
      </c>
      <c r="G764" s="18" t="str">
        <f>IFERROR(VLOOKUP($D764,본공사입.출고현황!$B:$H,G$2080,0),0)</f>
        <v>CCGG</v>
      </c>
      <c r="H764" s="18" t="str">
        <f>IFERROR(VLOOKUP($D764,본공사입.출고현황!$B:$H,H$2080,0),0)</f>
        <v>ф10, 1ton=1,620.7m</v>
      </c>
      <c r="I764" s="56" t="str">
        <f>IFERROR(VLOOKUP($D764,본공사입.출고현황!$B:$H,I$2080,0),0)</f>
        <v>M</v>
      </c>
      <c r="J764" s="253">
        <v>1</v>
      </c>
      <c r="K764" s="253" t="s">
        <v>363</v>
      </c>
      <c r="L764" s="255">
        <v>20</v>
      </c>
      <c r="M764" s="256" t="s">
        <v>358</v>
      </c>
      <c r="N764" s="257"/>
    </row>
    <row r="765" spans="1:14" ht="24" customHeight="1">
      <c r="A765" s="8">
        <v>721</v>
      </c>
      <c r="B765" s="9">
        <v>721</v>
      </c>
      <c r="C765" s="254">
        <v>46011</v>
      </c>
      <c r="D765" s="253" t="s">
        <v>238</v>
      </c>
      <c r="E765" s="56" t="str">
        <f>IFERROR(VLOOKUP($D765,본공사입.출고현황!$B:$H,E$2080,0),0)</f>
        <v>Steel round bar</v>
      </c>
      <c r="F765" s="18" t="str">
        <f>IFERROR(VLOOKUP($D765,본공사입.출고현황!$B:$H,F$2080,0),0)</f>
        <v>Steel round bar(rebar)</v>
      </c>
      <c r="G765" s="18" t="str">
        <f>IFERROR(VLOOKUP($D765,본공사입.출고현황!$B:$H,G$2080,0),0)</f>
        <v>CCGG</v>
      </c>
      <c r="H765" s="18" t="str">
        <f>IFERROR(VLOOKUP($D765,본공사입.출고현황!$B:$H,H$2080,0),0)</f>
        <v>ф10, 1ton=1,620.7m</v>
      </c>
      <c r="I765" s="56" t="str">
        <f>IFERROR(VLOOKUP($D765,본공사입.출고현황!$B:$H,I$2080,0),0)</f>
        <v>M</v>
      </c>
      <c r="J765" s="253">
        <v>3</v>
      </c>
      <c r="K765" s="253" t="s">
        <v>550</v>
      </c>
      <c r="L765" s="255">
        <v>20</v>
      </c>
      <c r="M765" s="256" t="s">
        <v>358</v>
      </c>
      <c r="N765" s="257"/>
    </row>
    <row r="766" spans="1:14" ht="24" customHeight="1">
      <c r="A766" s="8">
        <v>722</v>
      </c>
      <c r="B766" s="9">
        <v>722</v>
      </c>
      <c r="C766" s="254">
        <v>46011</v>
      </c>
      <c r="D766" s="253" t="s">
        <v>238</v>
      </c>
      <c r="E766" s="56" t="str">
        <f>IFERROR(VLOOKUP($D766,본공사입.출고현황!$B:$H,E$2080,0),0)</f>
        <v>Steel round bar</v>
      </c>
      <c r="F766" s="18" t="str">
        <f>IFERROR(VLOOKUP($D766,본공사입.출고현황!$B:$H,F$2080,0),0)</f>
        <v>Steel round bar(rebar)</v>
      </c>
      <c r="G766" s="18" t="str">
        <f>IFERROR(VLOOKUP($D766,본공사입.출고현황!$B:$H,G$2080,0),0)</f>
        <v>CCGG</v>
      </c>
      <c r="H766" s="18" t="str">
        <f>IFERROR(VLOOKUP($D766,본공사입.출고현황!$B:$H,H$2080,0),0)</f>
        <v>ф10, 1ton=1,620.7m</v>
      </c>
      <c r="I766" s="56" t="str">
        <f>IFERROR(VLOOKUP($D766,본공사입.출고현황!$B:$H,I$2080,0),0)</f>
        <v>M</v>
      </c>
      <c r="J766" s="253">
        <v>2</v>
      </c>
      <c r="K766" s="253" t="s">
        <v>360</v>
      </c>
      <c r="L766" s="255">
        <v>25</v>
      </c>
      <c r="M766" s="256" t="s">
        <v>358</v>
      </c>
      <c r="N766" s="257"/>
    </row>
    <row r="767" spans="1:14" s="258" customFormat="1" ht="24" customHeight="1">
      <c r="A767" s="8">
        <v>723</v>
      </c>
      <c r="B767" s="9">
        <v>723</v>
      </c>
      <c r="C767" s="46">
        <v>46012</v>
      </c>
      <c r="D767" s="9" t="s">
        <v>238</v>
      </c>
      <c r="E767" s="56" t="str">
        <f>IFERROR(VLOOKUP($D767,본공사입.출고현황!$B:$H,E$2080,0),0)</f>
        <v>Steel round bar</v>
      </c>
      <c r="F767" s="18" t="str">
        <f>IFERROR(VLOOKUP($D767,본공사입.출고현황!$B:$H,F$2080,0),0)</f>
        <v>Steel round bar(rebar)</v>
      </c>
      <c r="G767" s="18" t="str">
        <f>IFERROR(VLOOKUP($D767,본공사입.출고현황!$B:$H,G$2080,0),0)</f>
        <v>CCGG</v>
      </c>
      <c r="H767" s="18" t="str">
        <f>IFERROR(VLOOKUP($D767,본공사입.출고현황!$B:$H,H$2080,0),0)</f>
        <v>ф10, 1ton=1,620.7m</v>
      </c>
      <c r="I767" s="56" t="str">
        <f>IFERROR(VLOOKUP($D767,본공사입.출고현황!$B:$H,I$2080,0),0)</f>
        <v>M</v>
      </c>
      <c r="J767" s="9">
        <v>2</v>
      </c>
      <c r="K767" s="9" t="s">
        <v>360</v>
      </c>
      <c r="L767" s="37">
        <v>40</v>
      </c>
      <c r="M767" s="64" t="s">
        <v>408</v>
      </c>
      <c r="N767" s="257"/>
    </row>
    <row r="768" spans="1:14" s="258" customFormat="1" ht="24" customHeight="1">
      <c r="A768" s="8">
        <v>724</v>
      </c>
      <c r="B768" s="9">
        <v>724</v>
      </c>
      <c r="C768" s="46">
        <v>46012</v>
      </c>
      <c r="D768" s="9" t="s">
        <v>238</v>
      </c>
      <c r="E768" s="56" t="str">
        <f>IFERROR(VLOOKUP($D768,본공사입.출고현황!$B:$H,E$2080,0),0)</f>
        <v>Steel round bar</v>
      </c>
      <c r="F768" s="18" t="str">
        <f>IFERROR(VLOOKUP($D768,본공사입.출고현황!$B:$H,F$2080,0),0)</f>
        <v>Steel round bar(rebar)</v>
      </c>
      <c r="G768" s="18" t="str">
        <f>IFERROR(VLOOKUP($D768,본공사입.출고현황!$B:$H,G$2080,0),0)</f>
        <v>CCGG</v>
      </c>
      <c r="H768" s="18" t="str">
        <f>IFERROR(VLOOKUP($D768,본공사입.출고현황!$B:$H,H$2080,0),0)</f>
        <v>ф10, 1ton=1,620.7m</v>
      </c>
      <c r="I768" s="56" t="str">
        <f>IFERROR(VLOOKUP($D768,본공사입.출고현황!$B:$H,I$2080,0),0)</f>
        <v>M</v>
      </c>
      <c r="J768" s="9">
        <v>3</v>
      </c>
      <c r="K768" s="9" t="s">
        <v>550</v>
      </c>
      <c r="L768" s="37">
        <v>15</v>
      </c>
      <c r="M768" s="64" t="s">
        <v>408</v>
      </c>
      <c r="N768" s="257"/>
    </row>
    <row r="769" spans="1:14" s="258" customFormat="1" ht="24" customHeight="1">
      <c r="A769" s="8">
        <v>725</v>
      </c>
      <c r="B769" s="9">
        <v>725</v>
      </c>
      <c r="C769" s="46">
        <v>46012</v>
      </c>
      <c r="D769" s="9" t="s">
        <v>238</v>
      </c>
      <c r="E769" s="56" t="str">
        <f>IFERROR(VLOOKUP($D769,본공사입.출고현황!$B:$H,E$2080,0),0)</f>
        <v>Steel round bar</v>
      </c>
      <c r="F769" s="18" t="str">
        <f>IFERROR(VLOOKUP($D769,본공사입.출고현황!$B:$H,F$2080,0),0)</f>
        <v>Steel round bar(rebar)</v>
      </c>
      <c r="G769" s="18" t="str">
        <f>IFERROR(VLOOKUP($D769,본공사입.출고현황!$B:$H,G$2080,0),0)</f>
        <v>CCGG</v>
      </c>
      <c r="H769" s="18" t="str">
        <f>IFERROR(VLOOKUP($D769,본공사입.출고현황!$B:$H,H$2080,0),0)</f>
        <v>ф10, 1ton=1,620.7m</v>
      </c>
      <c r="I769" s="56" t="str">
        <f>IFERROR(VLOOKUP($D769,본공사입.출고현황!$B:$H,I$2080,0),0)</f>
        <v>M</v>
      </c>
      <c r="J769" s="9">
        <v>1</v>
      </c>
      <c r="K769" s="9" t="s">
        <v>363</v>
      </c>
      <c r="L769" s="37">
        <v>40</v>
      </c>
      <c r="M769" s="64" t="s">
        <v>408</v>
      </c>
      <c r="N769" s="257"/>
    </row>
    <row r="770" spans="1:14" s="258" customFormat="1" ht="24" customHeight="1">
      <c r="A770" s="8">
        <v>726</v>
      </c>
      <c r="B770" s="9">
        <v>726</v>
      </c>
      <c r="C770" s="46">
        <v>46012</v>
      </c>
      <c r="D770" s="9" t="s">
        <v>238</v>
      </c>
      <c r="E770" s="56" t="str">
        <f>IFERROR(VLOOKUP($D770,본공사입.출고현황!$B:$H,E$2080,0),0)</f>
        <v>Steel round bar</v>
      </c>
      <c r="F770" s="18" t="str">
        <f>IFERROR(VLOOKUP($D770,본공사입.출고현황!$B:$H,F$2080,0),0)</f>
        <v>Steel round bar(rebar)</v>
      </c>
      <c r="G770" s="18" t="str">
        <f>IFERROR(VLOOKUP($D770,본공사입.출고현황!$B:$H,G$2080,0),0)</f>
        <v>CCGG</v>
      </c>
      <c r="H770" s="18" t="str">
        <f>IFERROR(VLOOKUP($D770,본공사입.출고현황!$B:$H,H$2080,0),0)</f>
        <v>ф10, 1ton=1,620.7m</v>
      </c>
      <c r="I770" s="56" t="str">
        <f>IFERROR(VLOOKUP($D770,본공사입.출고현황!$B:$H,I$2080,0),0)</f>
        <v>M</v>
      </c>
      <c r="J770" s="9">
        <v>1</v>
      </c>
      <c r="K770" s="9" t="s">
        <v>547</v>
      </c>
      <c r="L770" s="37">
        <v>20</v>
      </c>
      <c r="M770" s="64" t="s">
        <v>408</v>
      </c>
      <c r="N770" s="257"/>
    </row>
    <row r="771" spans="1:14" s="258" customFormat="1" ht="24" customHeight="1">
      <c r="A771" s="8">
        <v>727</v>
      </c>
      <c r="B771" s="9">
        <v>727</v>
      </c>
      <c r="C771" s="46">
        <v>46012</v>
      </c>
      <c r="D771" s="9" t="s">
        <v>238</v>
      </c>
      <c r="E771" s="56" t="str">
        <f>IFERROR(VLOOKUP($D771,본공사입.출고현황!$B:$H,E$2080,0),0)</f>
        <v>Steel round bar</v>
      </c>
      <c r="F771" s="18" t="str">
        <f>IFERROR(VLOOKUP($D771,본공사입.출고현황!$B:$H,F$2080,0),0)</f>
        <v>Steel round bar(rebar)</v>
      </c>
      <c r="G771" s="18" t="str">
        <f>IFERROR(VLOOKUP($D771,본공사입.출고현황!$B:$H,G$2080,0),0)</f>
        <v>CCGG</v>
      </c>
      <c r="H771" s="18" t="str">
        <f>IFERROR(VLOOKUP($D771,본공사입.출고현황!$B:$H,H$2080,0),0)</f>
        <v>ф10, 1ton=1,620.7m</v>
      </c>
      <c r="I771" s="56" t="str">
        <f>IFERROR(VLOOKUP($D771,본공사입.출고현황!$B:$H,I$2080,0),0)</f>
        <v>M</v>
      </c>
      <c r="J771" s="9">
        <v>1</v>
      </c>
      <c r="K771" s="9" t="s">
        <v>363</v>
      </c>
      <c r="L771" s="37">
        <v>20</v>
      </c>
      <c r="M771" s="64" t="s">
        <v>408</v>
      </c>
      <c r="N771" s="257"/>
    </row>
    <row r="772" spans="1:14" s="258" customFormat="1" ht="24" customHeight="1">
      <c r="A772" s="8">
        <v>728</v>
      </c>
      <c r="B772" s="9">
        <v>728</v>
      </c>
      <c r="C772" s="46">
        <v>46012</v>
      </c>
      <c r="D772" s="9" t="s">
        <v>238</v>
      </c>
      <c r="E772" s="56" t="str">
        <f>IFERROR(VLOOKUP($D772,본공사입.출고현황!$B:$H,E$2080,0),0)</f>
        <v>Steel round bar</v>
      </c>
      <c r="F772" s="18" t="str">
        <f>IFERROR(VLOOKUP($D772,본공사입.출고현황!$B:$H,F$2080,0),0)</f>
        <v>Steel round bar(rebar)</v>
      </c>
      <c r="G772" s="18" t="str">
        <f>IFERROR(VLOOKUP($D772,본공사입.출고현황!$B:$H,G$2080,0),0)</f>
        <v>CCGG</v>
      </c>
      <c r="H772" s="18" t="str">
        <f>IFERROR(VLOOKUP($D772,본공사입.출고현황!$B:$H,H$2080,0),0)</f>
        <v>ф10, 1ton=1,620.7m</v>
      </c>
      <c r="I772" s="56" t="str">
        <f>IFERROR(VLOOKUP($D772,본공사입.출고현황!$B:$H,I$2080,0),0)</f>
        <v>M</v>
      </c>
      <c r="J772" s="9">
        <v>3</v>
      </c>
      <c r="K772" s="9" t="s">
        <v>550</v>
      </c>
      <c r="L772" s="37">
        <v>20</v>
      </c>
      <c r="M772" s="64" t="s">
        <v>408</v>
      </c>
      <c r="N772" s="257"/>
    </row>
    <row r="773" spans="1:14" s="258" customFormat="1" ht="24" customHeight="1">
      <c r="A773" s="8">
        <v>729</v>
      </c>
      <c r="B773" s="9">
        <v>729</v>
      </c>
      <c r="C773" s="46">
        <v>46012</v>
      </c>
      <c r="D773" s="9" t="s">
        <v>238</v>
      </c>
      <c r="E773" s="56" t="str">
        <f>IFERROR(VLOOKUP($D773,본공사입.출고현황!$B:$H,E$2080,0),0)</f>
        <v>Steel round bar</v>
      </c>
      <c r="F773" s="18" t="str">
        <f>IFERROR(VLOOKUP($D773,본공사입.출고현황!$B:$H,F$2080,0),0)</f>
        <v>Steel round bar(rebar)</v>
      </c>
      <c r="G773" s="18" t="str">
        <f>IFERROR(VLOOKUP($D773,본공사입.출고현황!$B:$H,G$2080,0),0)</f>
        <v>CCGG</v>
      </c>
      <c r="H773" s="18" t="str">
        <f>IFERROR(VLOOKUP($D773,본공사입.출고현황!$B:$H,H$2080,0),0)</f>
        <v>ф10, 1ton=1,620.7m</v>
      </c>
      <c r="I773" s="56" t="str">
        <f>IFERROR(VLOOKUP($D773,본공사입.출고현황!$B:$H,I$2080,0),0)</f>
        <v>M</v>
      </c>
      <c r="J773" s="9">
        <v>2</v>
      </c>
      <c r="K773" s="9" t="s">
        <v>360</v>
      </c>
      <c r="L773" s="37">
        <v>25</v>
      </c>
      <c r="M773" s="64" t="s">
        <v>408</v>
      </c>
      <c r="N773" s="257"/>
    </row>
    <row r="774" spans="1:14" s="258" customFormat="1" ht="24" customHeight="1">
      <c r="A774" s="8">
        <v>730</v>
      </c>
      <c r="B774" s="9">
        <v>730</v>
      </c>
      <c r="C774" s="46">
        <v>46012</v>
      </c>
      <c r="D774" s="9" t="s">
        <v>238</v>
      </c>
      <c r="E774" s="56" t="str">
        <f>IFERROR(VLOOKUP($D774,본공사입.출고현황!$B:$H,E$2080,0),0)</f>
        <v>Steel round bar</v>
      </c>
      <c r="F774" s="18" t="str">
        <f>IFERROR(VLOOKUP($D774,본공사입.출고현황!$B:$H,F$2080,0),0)</f>
        <v>Steel round bar(rebar)</v>
      </c>
      <c r="G774" s="18" t="str">
        <f>IFERROR(VLOOKUP($D774,본공사입.출고현황!$B:$H,G$2080,0),0)</f>
        <v>CCGG</v>
      </c>
      <c r="H774" s="18" t="str">
        <f>IFERROR(VLOOKUP($D774,본공사입.출고현황!$B:$H,H$2080,0),0)</f>
        <v>ф10, 1ton=1,620.7m</v>
      </c>
      <c r="I774" s="56" t="str">
        <f>IFERROR(VLOOKUP($D774,본공사입.출고현황!$B:$H,I$2080,0),0)</f>
        <v>M</v>
      </c>
      <c r="J774" s="9">
        <v>1</v>
      </c>
      <c r="K774" s="9" t="s">
        <v>352</v>
      </c>
      <c r="L774" s="37">
        <v>25</v>
      </c>
      <c r="M774" s="64" t="s">
        <v>408</v>
      </c>
      <c r="N774" s="257"/>
    </row>
    <row r="775" spans="1:14" s="258" customFormat="1" ht="24" customHeight="1">
      <c r="A775" s="8">
        <v>731</v>
      </c>
      <c r="B775" s="9">
        <v>731</v>
      </c>
      <c r="C775" s="46">
        <v>46012</v>
      </c>
      <c r="D775" s="9" t="s">
        <v>238</v>
      </c>
      <c r="E775" s="56" t="str">
        <f>IFERROR(VLOOKUP($D775,본공사입.출고현황!$B:$H,E$2080,0),0)</f>
        <v>Steel round bar</v>
      </c>
      <c r="F775" s="18" t="str">
        <f>IFERROR(VLOOKUP($D775,본공사입.출고현황!$B:$H,F$2080,0),0)</f>
        <v>Steel round bar(rebar)</v>
      </c>
      <c r="G775" s="18" t="str">
        <f>IFERROR(VLOOKUP($D775,본공사입.출고현황!$B:$H,G$2080,0),0)</f>
        <v>CCGG</v>
      </c>
      <c r="H775" s="18" t="str">
        <f>IFERROR(VLOOKUP($D775,본공사입.출고현황!$B:$H,H$2080,0),0)</f>
        <v>ф10, 1ton=1,620.7m</v>
      </c>
      <c r="I775" s="56" t="str">
        <f>IFERROR(VLOOKUP($D775,본공사입.출고현황!$B:$H,I$2080,0),0)</f>
        <v>M</v>
      </c>
      <c r="J775" s="9" t="s">
        <v>557</v>
      </c>
      <c r="K775" s="9" t="s">
        <v>553</v>
      </c>
      <c r="L775" s="37">
        <v>5</v>
      </c>
      <c r="M775" s="64" t="s">
        <v>408</v>
      </c>
      <c r="N775" s="257"/>
    </row>
    <row r="776" spans="1:14" s="258" customFormat="1" ht="24" customHeight="1">
      <c r="A776" s="8">
        <v>732</v>
      </c>
      <c r="B776" s="9">
        <v>732</v>
      </c>
      <c r="C776" s="46">
        <v>46012</v>
      </c>
      <c r="D776" s="9" t="s">
        <v>238</v>
      </c>
      <c r="E776" s="56" t="str">
        <f>IFERROR(VLOOKUP($D776,본공사입.출고현황!$B:$H,E$2080,0),0)</f>
        <v>Steel round bar</v>
      </c>
      <c r="F776" s="18" t="str">
        <f>IFERROR(VLOOKUP($D776,본공사입.출고현황!$B:$H,F$2080,0),0)</f>
        <v>Steel round bar(rebar)</v>
      </c>
      <c r="G776" s="18" t="str">
        <f>IFERROR(VLOOKUP($D776,본공사입.출고현황!$B:$H,G$2080,0),0)</f>
        <v>CCGG</v>
      </c>
      <c r="H776" s="18" t="str">
        <f>IFERROR(VLOOKUP($D776,본공사입.출고현황!$B:$H,H$2080,0),0)</f>
        <v>ф10, 1ton=1,620.7m</v>
      </c>
      <c r="I776" s="56" t="str">
        <f>IFERROR(VLOOKUP($D776,본공사입.출고현황!$B:$H,I$2080,0),0)</f>
        <v>M</v>
      </c>
      <c r="J776" s="9" t="s">
        <v>557</v>
      </c>
      <c r="K776" s="9" t="s">
        <v>553</v>
      </c>
      <c r="L776" s="37">
        <v>2</v>
      </c>
      <c r="M776" s="64" t="s">
        <v>408</v>
      </c>
      <c r="N776" s="257"/>
    </row>
    <row r="777" spans="1:14" s="258" customFormat="1" ht="24" customHeight="1">
      <c r="A777" s="8">
        <v>733</v>
      </c>
      <c r="B777" s="9">
        <v>733</v>
      </c>
      <c r="C777" s="46">
        <v>46012</v>
      </c>
      <c r="D777" s="9" t="s">
        <v>238</v>
      </c>
      <c r="E777" s="56" t="str">
        <f>IFERROR(VLOOKUP($D777,본공사입.출고현황!$B:$H,E$2080,0),0)</f>
        <v>Steel round bar</v>
      </c>
      <c r="F777" s="18" t="str">
        <f>IFERROR(VLOOKUP($D777,본공사입.출고현황!$B:$H,F$2080,0),0)</f>
        <v>Steel round bar(rebar)</v>
      </c>
      <c r="G777" s="18" t="str">
        <f>IFERROR(VLOOKUP($D777,본공사입.출고현황!$B:$H,G$2080,0),0)</f>
        <v>CCGG</v>
      </c>
      <c r="H777" s="18" t="str">
        <f>IFERROR(VLOOKUP($D777,본공사입.출고현황!$B:$H,H$2080,0),0)</f>
        <v>ф10, 1ton=1,620.7m</v>
      </c>
      <c r="I777" s="56" t="str">
        <f>IFERROR(VLOOKUP($D777,본공사입.출고현황!$B:$H,I$2080,0),0)</f>
        <v>M</v>
      </c>
      <c r="J777" s="9">
        <v>2</v>
      </c>
      <c r="K777" s="9" t="s">
        <v>360</v>
      </c>
      <c r="L777" s="37">
        <v>25</v>
      </c>
      <c r="M777" s="64" t="s">
        <v>408</v>
      </c>
      <c r="N777" s="257"/>
    </row>
    <row r="778" spans="1:14" s="258" customFormat="1" ht="24" customHeight="1">
      <c r="A778" s="8">
        <v>734</v>
      </c>
      <c r="B778" s="9">
        <v>734</v>
      </c>
      <c r="C778" s="46">
        <v>46012</v>
      </c>
      <c r="D778" s="9" t="s">
        <v>238</v>
      </c>
      <c r="E778" s="56" t="str">
        <f>IFERROR(VLOOKUP($D778,본공사입.출고현황!$B:$H,E$2080,0),0)</f>
        <v>Steel round bar</v>
      </c>
      <c r="F778" s="18" t="str">
        <f>IFERROR(VLOOKUP($D778,본공사입.출고현황!$B:$H,F$2080,0),0)</f>
        <v>Steel round bar(rebar)</v>
      </c>
      <c r="G778" s="18" t="str">
        <f>IFERROR(VLOOKUP($D778,본공사입.출고현황!$B:$H,G$2080,0),0)</f>
        <v>CCGG</v>
      </c>
      <c r="H778" s="18" t="str">
        <f>IFERROR(VLOOKUP($D778,본공사입.출고현황!$B:$H,H$2080,0),0)</f>
        <v>ф10, 1ton=1,620.7m</v>
      </c>
      <c r="I778" s="56" t="str">
        <f>IFERROR(VLOOKUP($D778,본공사입.출고현황!$B:$H,I$2080,0),0)</f>
        <v>M</v>
      </c>
      <c r="J778" s="9">
        <v>3</v>
      </c>
      <c r="K778" s="9" t="s">
        <v>550</v>
      </c>
      <c r="L778" s="37">
        <v>30</v>
      </c>
      <c r="M778" s="64" t="s">
        <v>408</v>
      </c>
      <c r="N778" s="257"/>
    </row>
    <row r="779" spans="1:14" s="258" customFormat="1" ht="24" customHeight="1">
      <c r="A779" s="8">
        <v>735</v>
      </c>
      <c r="B779" s="9">
        <v>735</v>
      </c>
      <c r="C779" s="46">
        <v>46013</v>
      </c>
      <c r="D779" s="9" t="s">
        <v>238</v>
      </c>
      <c r="E779" s="56" t="str">
        <f>IFERROR(VLOOKUP($D779,본공사입.출고현황!$B:$H,E$2080,0),0)</f>
        <v>Steel round bar</v>
      </c>
      <c r="F779" s="18" t="str">
        <f>IFERROR(VLOOKUP($D779,본공사입.출고현황!$B:$H,F$2080,0),0)</f>
        <v>Steel round bar(rebar)</v>
      </c>
      <c r="G779" s="18" t="str">
        <f>IFERROR(VLOOKUP($D779,본공사입.출고현황!$B:$H,G$2080,0),0)</f>
        <v>CCGG</v>
      </c>
      <c r="H779" s="18" t="str">
        <f>IFERROR(VLOOKUP($D779,본공사입.출고현황!$B:$H,H$2080,0),0)</f>
        <v>ф10, 1ton=1,620.7m</v>
      </c>
      <c r="I779" s="56" t="str">
        <f>IFERROR(VLOOKUP($D779,본공사입.출고현황!$B:$H,I$2080,0),0)</f>
        <v>M</v>
      </c>
      <c r="J779" s="9">
        <v>1</v>
      </c>
      <c r="K779" s="9" t="s">
        <v>352</v>
      </c>
      <c r="L779" s="37">
        <v>80</v>
      </c>
      <c r="M779" s="64" t="s">
        <v>408</v>
      </c>
      <c r="N779" s="257"/>
    </row>
    <row r="780" spans="1:14" ht="24" customHeight="1">
      <c r="A780" s="8">
        <v>736</v>
      </c>
      <c r="B780" s="9">
        <v>736</v>
      </c>
      <c r="C780" s="46">
        <v>46013</v>
      </c>
      <c r="D780" s="9" t="s">
        <v>238</v>
      </c>
      <c r="E780" s="56" t="str">
        <f>IFERROR(VLOOKUP($D780,본공사입.출고현황!$B:$H,E$2080,0),0)</f>
        <v>Steel round bar</v>
      </c>
      <c r="F780" s="18" t="str">
        <f>IFERROR(VLOOKUP($D780,본공사입.출고현황!$B:$H,F$2080,0),0)</f>
        <v>Steel round bar(rebar)</v>
      </c>
      <c r="G780" s="18" t="str">
        <f>IFERROR(VLOOKUP($D780,본공사입.출고현황!$B:$H,G$2080,0),0)</f>
        <v>CCGG</v>
      </c>
      <c r="H780" s="18" t="str">
        <f>IFERROR(VLOOKUP($D780,본공사입.출고현황!$B:$H,H$2080,0),0)</f>
        <v>ф10, 1ton=1,620.7m</v>
      </c>
      <c r="I780" s="56" t="str">
        <f>IFERROR(VLOOKUP($D780,본공사입.출고현황!$B:$H,I$2080,0),0)</f>
        <v>M</v>
      </c>
      <c r="J780" s="9">
        <v>3</v>
      </c>
      <c r="K780" s="9" t="s">
        <v>237</v>
      </c>
      <c r="L780" s="37">
        <v>20</v>
      </c>
      <c r="M780" s="64" t="s">
        <v>408</v>
      </c>
      <c r="N780" s="257"/>
    </row>
    <row r="781" spans="1:14" ht="24" customHeight="1">
      <c r="A781" s="8">
        <v>737</v>
      </c>
      <c r="B781" s="9">
        <v>737</v>
      </c>
      <c r="C781" s="46">
        <v>46013</v>
      </c>
      <c r="D781" s="9" t="s">
        <v>238</v>
      </c>
      <c r="E781" s="56" t="str">
        <f>IFERROR(VLOOKUP($D781,본공사입.출고현황!$B:$H,E$2080,0),0)</f>
        <v>Steel round bar</v>
      </c>
      <c r="F781" s="18" t="str">
        <f>IFERROR(VLOOKUP($D781,본공사입.출고현황!$B:$H,F$2080,0),0)</f>
        <v>Steel round bar(rebar)</v>
      </c>
      <c r="G781" s="18" t="str">
        <f>IFERROR(VLOOKUP($D781,본공사입.출고현황!$B:$H,G$2080,0),0)</f>
        <v>CCGG</v>
      </c>
      <c r="H781" s="18" t="str">
        <f>IFERROR(VLOOKUP($D781,본공사입.출고현황!$B:$H,H$2080,0),0)</f>
        <v>ф10, 1ton=1,620.7m</v>
      </c>
      <c r="I781" s="56" t="str">
        <f>IFERROR(VLOOKUP($D781,본공사입.출고현황!$B:$H,I$2080,0),0)</f>
        <v>M</v>
      </c>
      <c r="J781" s="9">
        <v>1</v>
      </c>
      <c r="K781" s="9" t="s">
        <v>363</v>
      </c>
      <c r="L781" s="37">
        <v>40</v>
      </c>
      <c r="M781" s="64" t="s">
        <v>408</v>
      </c>
      <c r="N781" s="257"/>
    </row>
    <row r="782" spans="1:14" ht="24" customHeight="1">
      <c r="A782" s="8">
        <v>738</v>
      </c>
      <c r="B782" s="9">
        <v>738</v>
      </c>
      <c r="C782" s="46">
        <v>46013</v>
      </c>
      <c r="D782" s="9" t="s">
        <v>238</v>
      </c>
      <c r="E782" s="56" t="str">
        <f>IFERROR(VLOOKUP($D782,본공사입.출고현황!$B:$H,E$2080,0),0)</f>
        <v>Steel round bar</v>
      </c>
      <c r="F782" s="18" t="str">
        <f>IFERROR(VLOOKUP($D782,본공사입.출고현황!$B:$H,F$2080,0),0)</f>
        <v>Steel round bar(rebar)</v>
      </c>
      <c r="G782" s="18" t="str">
        <f>IFERROR(VLOOKUP($D782,본공사입.출고현황!$B:$H,G$2080,0),0)</f>
        <v>CCGG</v>
      </c>
      <c r="H782" s="18" t="str">
        <f>IFERROR(VLOOKUP($D782,본공사입.출고현황!$B:$H,H$2080,0),0)</f>
        <v>ф10, 1ton=1,620.7m</v>
      </c>
      <c r="I782" s="56" t="str">
        <f>IFERROR(VLOOKUP($D782,본공사입.출고현황!$B:$H,I$2080,0),0)</f>
        <v>M</v>
      </c>
      <c r="J782" s="9">
        <v>1</v>
      </c>
      <c r="K782" s="9" t="s">
        <v>363</v>
      </c>
      <c r="L782" s="37">
        <v>20</v>
      </c>
      <c r="M782" s="64" t="s">
        <v>408</v>
      </c>
      <c r="N782" s="257"/>
    </row>
    <row r="783" spans="1:14" ht="24" customHeight="1">
      <c r="A783" s="8">
        <v>739</v>
      </c>
      <c r="B783" s="9">
        <v>739</v>
      </c>
      <c r="C783" s="46">
        <v>46013</v>
      </c>
      <c r="D783" s="9" t="s">
        <v>238</v>
      </c>
      <c r="E783" s="56" t="str">
        <f>IFERROR(VLOOKUP($D783,본공사입.출고현황!$B:$H,E$2080,0),0)</f>
        <v>Steel round bar</v>
      </c>
      <c r="F783" s="18" t="str">
        <f>IFERROR(VLOOKUP($D783,본공사입.출고현황!$B:$H,F$2080,0),0)</f>
        <v>Steel round bar(rebar)</v>
      </c>
      <c r="G783" s="18" t="str">
        <f>IFERROR(VLOOKUP($D783,본공사입.출고현황!$B:$H,G$2080,0),0)</f>
        <v>CCGG</v>
      </c>
      <c r="H783" s="18" t="str">
        <f>IFERROR(VLOOKUP($D783,본공사입.출고현황!$B:$H,H$2080,0),0)</f>
        <v>ф10, 1ton=1,620.7m</v>
      </c>
      <c r="I783" s="56" t="str">
        <f>IFERROR(VLOOKUP($D783,본공사입.출고현황!$B:$H,I$2080,0),0)</f>
        <v>M</v>
      </c>
      <c r="J783" s="9">
        <v>2</v>
      </c>
      <c r="K783" s="9" t="s">
        <v>360</v>
      </c>
      <c r="L783" s="37">
        <v>60</v>
      </c>
      <c r="M783" s="64" t="s">
        <v>408</v>
      </c>
      <c r="N783" s="42"/>
    </row>
    <row r="784" spans="1:14" ht="24" customHeight="1">
      <c r="A784" s="8">
        <v>740</v>
      </c>
      <c r="B784" s="9">
        <v>740</v>
      </c>
      <c r="C784" s="46">
        <v>46013</v>
      </c>
      <c r="D784" s="9" t="s">
        <v>238</v>
      </c>
      <c r="E784" s="56" t="str">
        <f>IFERROR(VLOOKUP($D784,본공사입.출고현황!$B:$H,E$2080,0),0)</f>
        <v>Steel round bar</v>
      </c>
      <c r="F784" s="18" t="str">
        <f>IFERROR(VLOOKUP($D784,본공사입.출고현황!$B:$H,F$2080,0),0)</f>
        <v>Steel round bar(rebar)</v>
      </c>
      <c r="G784" s="18" t="str">
        <f>IFERROR(VLOOKUP($D784,본공사입.출고현황!$B:$H,G$2080,0),0)</f>
        <v>CCGG</v>
      </c>
      <c r="H784" s="18" t="str">
        <f>IFERROR(VLOOKUP($D784,본공사입.출고현황!$B:$H,H$2080,0),0)</f>
        <v>ф10, 1ton=1,620.7m</v>
      </c>
      <c r="I784" s="56" t="str">
        <f>IFERROR(VLOOKUP($D784,본공사입.출고현황!$B:$H,I$2080,0),0)</f>
        <v>M</v>
      </c>
      <c r="J784" s="9">
        <v>1</v>
      </c>
      <c r="K784" s="9" t="s">
        <v>352</v>
      </c>
      <c r="L784" s="37">
        <v>55</v>
      </c>
      <c r="M784" s="64" t="s">
        <v>408</v>
      </c>
      <c r="N784" s="42"/>
    </row>
    <row r="785" spans="1:14" ht="24" customHeight="1">
      <c r="A785" s="8">
        <v>741</v>
      </c>
      <c r="B785" s="9">
        <v>741</v>
      </c>
      <c r="C785" s="46">
        <v>46013</v>
      </c>
      <c r="D785" s="9" t="s">
        <v>238</v>
      </c>
      <c r="E785" s="56" t="str">
        <f>IFERROR(VLOOKUP($D785,본공사입.출고현황!$B:$H,E$2080,0),0)</f>
        <v>Steel round bar</v>
      </c>
      <c r="F785" s="18" t="str">
        <f>IFERROR(VLOOKUP($D785,본공사입.출고현황!$B:$H,F$2080,0),0)</f>
        <v>Steel round bar(rebar)</v>
      </c>
      <c r="G785" s="18" t="str">
        <f>IFERROR(VLOOKUP($D785,본공사입.출고현황!$B:$H,G$2080,0),0)</f>
        <v>CCGG</v>
      </c>
      <c r="H785" s="18" t="str">
        <f>IFERROR(VLOOKUP($D785,본공사입.출고현황!$B:$H,H$2080,0),0)</f>
        <v>ф10, 1ton=1,620.7m</v>
      </c>
      <c r="I785" s="56" t="str">
        <f>IFERROR(VLOOKUP($D785,본공사입.출고현황!$B:$H,I$2080,0),0)</f>
        <v>M</v>
      </c>
      <c r="J785" s="9">
        <v>1</v>
      </c>
      <c r="K785" s="9" t="s">
        <v>363</v>
      </c>
      <c r="L785" s="37">
        <v>25</v>
      </c>
      <c r="M785" s="64" t="s">
        <v>408</v>
      </c>
      <c r="N785" s="42"/>
    </row>
    <row r="786" spans="1:14" ht="24" customHeight="1">
      <c r="A786" s="8">
        <v>742</v>
      </c>
      <c r="B786" s="9">
        <v>742</v>
      </c>
      <c r="C786" s="46">
        <v>46013</v>
      </c>
      <c r="D786" s="9" t="s">
        <v>238</v>
      </c>
      <c r="E786" s="56" t="str">
        <f>IFERROR(VLOOKUP($D786,본공사입.출고현황!$B:$H,E$2080,0),0)</f>
        <v>Steel round bar</v>
      </c>
      <c r="F786" s="18" t="str">
        <f>IFERROR(VLOOKUP($D786,본공사입.출고현황!$B:$H,F$2080,0),0)</f>
        <v>Steel round bar(rebar)</v>
      </c>
      <c r="G786" s="18" t="str">
        <f>IFERROR(VLOOKUP($D786,본공사입.출고현황!$B:$H,G$2080,0),0)</f>
        <v>CCGG</v>
      </c>
      <c r="H786" s="18" t="str">
        <f>IFERROR(VLOOKUP($D786,본공사입.출고현황!$B:$H,H$2080,0),0)</f>
        <v>ф10, 1ton=1,620.7m</v>
      </c>
      <c r="I786" s="56" t="str">
        <f>IFERROR(VLOOKUP($D786,본공사입.출고현황!$B:$H,I$2080,0),0)</f>
        <v>M</v>
      </c>
      <c r="J786" s="9">
        <v>1</v>
      </c>
      <c r="K786" s="9" t="s">
        <v>545</v>
      </c>
      <c r="L786" s="37">
        <v>15</v>
      </c>
      <c r="M786" s="64" t="s">
        <v>408</v>
      </c>
      <c r="N786" s="42"/>
    </row>
    <row r="787" spans="1:14" ht="24" customHeight="1">
      <c r="A787" s="8">
        <v>743</v>
      </c>
      <c r="B787" s="9">
        <v>743</v>
      </c>
      <c r="C787" s="46">
        <v>46014</v>
      </c>
      <c r="D787" s="9" t="s">
        <v>238</v>
      </c>
      <c r="E787" s="56" t="str">
        <f>IFERROR(VLOOKUP($D787,본공사입.출고현황!$B:$H,E$2080,0),0)</f>
        <v>Steel round bar</v>
      </c>
      <c r="F787" s="18" t="str">
        <f>IFERROR(VLOOKUP($D787,본공사입.출고현황!$B:$H,F$2080,0),0)</f>
        <v>Steel round bar(rebar)</v>
      </c>
      <c r="G787" s="18" t="str">
        <f>IFERROR(VLOOKUP($D787,본공사입.출고현황!$B:$H,G$2080,0),0)</f>
        <v>CCGG</v>
      </c>
      <c r="H787" s="18" t="str">
        <f>IFERROR(VLOOKUP($D787,본공사입.출고현황!$B:$H,H$2080,0),0)</f>
        <v>ф10, 1ton=1,620.7m</v>
      </c>
      <c r="I787" s="56" t="str">
        <f>IFERROR(VLOOKUP($D787,본공사입.출고현황!$B:$H,I$2080,0),0)</f>
        <v>M</v>
      </c>
      <c r="J787" s="9">
        <v>2</v>
      </c>
      <c r="K787" s="9" t="s">
        <v>360</v>
      </c>
      <c r="L787" s="37">
        <v>70</v>
      </c>
      <c r="M787" s="64" t="s">
        <v>408</v>
      </c>
      <c r="N787" s="42"/>
    </row>
    <row r="788" spans="1:14" ht="24" customHeight="1">
      <c r="A788" s="8">
        <v>744</v>
      </c>
      <c r="B788" s="9">
        <v>744</v>
      </c>
      <c r="C788" s="46">
        <v>46014</v>
      </c>
      <c r="D788" s="9" t="s">
        <v>238</v>
      </c>
      <c r="E788" s="56" t="str">
        <f>IFERROR(VLOOKUP($D788,본공사입.출고현황!$B:$H,E$2080,0),0)</f>
        <v>Steel round bar</v>
      </c>
      <c r="F788" s="18" t="str">
        <f>IFERROR(VLOOKUP($D788,본공사입.출고현황!$B:$H,F$2080,0),0)</f>
        <v>Steel round bar(rebar)</v>
      </c>
      <c r="G788" s="18" t="str">
        <f>IFERROR(VLOOKUP($D788,본공사입.출고현황!$B:$H,G$2080,0),0)</f>
        <v>CCGG</v>
      </c>
      <c r="H788" s="18" t="str">
        <f>IFERROR(VLOOKUP($D788,본공사입.출고현황!$B:$H,H$2080,0),0)</f>
        <v>ф10, 1ton=1,620.7m</v>
      </c>
      <c r="I788" s="56" t="str">
        <f>IFERROR(VLOOKUP($D788,본공사입.출고현황!$B:$H,I$2080,0),0)</f>
        <v>M</v>
      </c>
      <c r="J788" s="9">
        <v>1</v>
      </c>
      <c r="K788" s="9" t="s">
        <v>352</v>
      </c>
      <c r="L788" s="37">
        <v>30</v>
      </c>
      <c r="M788" s="64" t="s">
        <v>408</v>
      </c>
      <c r="N788" s="42"/>
    </row>
    <row r="789" spans="1:14" ht="24" customHeight="1">
      <c r="A789" s="8">
        <v>745</v>
      </c>
      <c r="B789" s="9">
        <v>745</v>
      </c>
      <c r="C789" s="46">
        <v>46014</v>
      </c>
      <c r="D789" s="9" t="s">
        <v>238</v>
      </c>
      <c r="E789" s="56" t="str">
        <f>IFERROR(VLOOKUP($D789,본공사입.출고현황!$B:$H,E$2080,0),0)</f>
        <v>Steel round bar</v>
      </c>
      <c r="F789" s="18" t="str">
        <f>IFERROR(VLOOKUP($D789,본공사입.출고현황!$B:$H,F$2080,0),0)</f>
        <v>Steel round bar(rebar)</v>
      </c>
      <c r="G789" s="18" t="str">
        <f>IFERROR(VLOOKUP($D789,본공사입.출고현황!$B:$H,G$2080,0),0)</f>
        <v>CCGG</v>
      </c>
      <c r="H789" s="18" t="str">
        <f>IFERROR(VLOOKUP($D789,본공사입.출고현황!$B:$H,H$2080,0),0)</f>
        <v>ф10, 1ton=1,620.7m</v>
      </c>
      <c r="I789" s="56" t="str">
        <f>IFERROR(VLOOKUP($D789,본공사입.출고현황!$B:$H,I$2080,0),0)</f>
        <v>M</v>
      </c>
      <c r="J789" s="9">
        <v>1</v>
      </c>
      <c r="K789" s="9" t="s">
        <v>363</v>
      </c>
      <c r="L789" s="37">
        <v>25</v>
      </c>
      <c r="M789" s="64" t="s">
        <v>408</v>
      </c>
      <c r="N789" s="42"/>
    </row>
    <row r="790" spans="1:14" ht="24" customHeight="1">
      <c r="A790" s="8">
        <v>746</v>
      </c>
      <c r="B790" s="9">
        <v>746</v>
      </c>
      <c r="C790" s="46">
        <v>46014</v>
      </c>
      <c r="D790" s="9" t="s">
        <v>238</v>
      </c>
      <c r="E790" s="56" t="str">
        <f>IFERROR(VLOOKUP($D790,본공사입.출고현황!$B:$H,E$2080,0),0)</f>
        <v>Steel round bar</v>
      </c>
      <c r="F790" s="18" t="str">
        <f>IFERROR(VLOOKUP($D790,본공사입.출고현황!$B:$H,F$2080,0),0)</f>
        <v>Steel round bar(rebar)</v>
      </c>
      <c r="G790" s="18" t="str">
        <f>IFERROR(VLOOKUP($D790,본공사입.출고현황!$B:$H,G$2080,0),0)</f>
        <v>CCGG</v>
      </c>
      <c r="H790" s="18" t="str">
        <f>IFERROR(VLOOKUP($D790,본공사입.출고현황!$B:$H,H$2080,0),0)</f>
        <v>ф10, 1ton=1,620.7m</v>
      </c>
      <c r="I790" s="56" t="str">
        <f>IFERROR(VLOOKUP($D790,본공사입.출고현황!$B:$H,I$2080,0),0)</f>
        <v>M</v>
      </c>
      <c r="J790" s="9">
        <v>3</v>
      </c>
      <c r="K790" s="9" t="s">
        <v>550</v>
      </c>
      <c r="L790" s="37">
        <v>20</v>
      </c>
      <c r="M790" s="64" t="s">
        <v>408</v>
      </c>
      <c r="N790" s="42"/>
    </row>
    <row r="791" spans="1:14" ht="24" customHeight="1">
      <c r="A791" s="8">
        <v>747</v>
      </c>
      <c r="B791" s="9">
        <v>747</v>
      </c>
      <c r="C791" s="46">
        <v>46014</v>
      </c>
      <c r="D791" s="9" t="s">
        <v>238</v>
      </c>
      <c r="E791" s="56" t="str">
        <f>IFERROR(VLOOKUP($D791,본공사입.출고현황!$B:$H,E$2080,0),0)</f>
        <v>Steel round bar</v>
      </c>
      <c r="F791" s="18" t="str">
        <f>IFERROR(VLOOKUP($D791,본공사입.출고현황!$B:$H,F$2080,0),0)</f>
        <v>Steel round bar(rebar)</v>
      </c>
      <c r="G791" s="18" t="str">
        <f>IFERROR(VLOOKUP($D791,본공사입.출고현황!$B:$H,G$2080,0),0)</f>
        <v>CCGG</v>
      </c>
      <c r="H791" s="18" t="str">
        <f>IFERROR(VLOOKUP($D791,본공사입.출고현황!$B:$H,H$2080,0),0)</f>
        <v>ф10, 1ton=1,620.7m</v>
      </c>
      <c r="I791" s="56" t="str">
        <f>IFERROR(VLOOKUP($D791,본공사입.출고현황!$B:$H,I$2080,0),0)</f>
        <v>M</v>
      </c>
      <c r="J791" s="9">
        <v>1</v>
      </c>
      <c r="K791" s="9" t="s">
        <v>363</v>
      </c>
      <c r="L791" s="37">
        <v>20</v>
      </c>
      <c r="M791" s="64" t="s">
        <v>358</v>
      </c>
      <c r="N791" s="42"/>
    </row>
    <row r="792" spans="1:14" ht="24" customHeight="1">
      <c r="A792" s="8">
        <v>748</v>
      </c>
      <c r="B792" s="9">
        <v>748</v>
      </c>
      <c r="C792" s="46">
        <v>46014</v>
      </c>
      <c r="D792" s="9" t="s">
        <v>238</v>
      </c>
      <c r="E792" s="56" t="str">
        <f>IFERROR(VLOOKUP($D792,본공사입.출고현황!$B:$H,E$2080,0),0)</f>
        <v>Steel round bar</v>
      </c>
      <c r="F792" s="18" t="str">
        <f>IFERROR(VLOOKUP($D792,본공사입.출고현황!$B:$H,F$2080,0),0)</f>
        <v>Steel round bar(rebar)</v>
      </c>
      <c r="G792" s="18" t="str">
        <f>IFERROR(VLOOKUP($D792,본공사입.출고현황!$B:$H,G$2080,0),0)</f>
        <v>CCGG</v>
      </c>
      <c r="H792" s="18" t="str">
        <f>IFERROR(VLOOKUP($D792,본공사입.출고현황!$B:$H,H$2080,0),0)</f>
        <v>ф10, 1ton=1,620.7m</v>
      </c>
      <c r="I792" s="56" t="str">
        <f>IFERROR(VLOOKUP($D792,본공사입.출고현황!$B:$H,I$2080,0),0)</f>
        <v>M</v>
      </c>
      <c r="J792" s="9">
        <v>2</v>
      </c>
      <c r="K792" s="9" t="s">
        <v>360</v>
      </c>
      <c r="L792" s="37">
        <v>125</v>
      </c>
      <c r="M792" s="64" t="s">
        <v>358</v>
      </c>
      <c r="N792" s="42"/>
    </row>
    <row r="793" spans="1:14" ht="24" customHeight="1">
      <c r="A793" s="8">
        <v>749</v>
      </c>
      <c r="B793" s="9">
        <v>749</v>
      </c>
      <c r="C793" s="46">
        <v>46014</v>
      </c>
      <c r="D793" s="9" t="s">
        <v>238</v>
      </c>
      <c r="E793" s="56" t="str">
        <f>IFERROR(VLOOKUP($D793,본공사입.출고현황!$B:$H,E$2080,0),0)</f>
        <v>Steel round bar</v>
      </c>
      <c r="F793" s="18" t="str">
        <f>IFERROR(VLOOKUP($D793,본공사입.출고현황!$B:$H,F$2080,0),0)</f>
        <v>Steel round bar(rebar)</v>
      </c>
      <c r="G793" s="18" t="str">
        <f>IFERROR(VLOOKUP($D793,본공사입.출고현황!$B:$H,G$2080,0),0)</f>
        <v>CCGG</v>
      </c>
      <c r="H793" s="18" t="str">
        <f>IFERROR(VLOOKUP($D793,본공사입.출고현황!$B:$H,H$2080,0),0)</f>
        <v>ф10, 1ton=1,620.7m</v>
      </c>
      <c r="I793" s="56" t="str">
        <f>IFERROR(VLOOKUP($D793,본공사입.출고현황!$B:$H,I$2080,0),0)</f>
        <v>M</v>
      </c>
      <c r="J793" s="9">
        <v>1</v>
      </c>
      <c r="K793" s="9" t="s">
        <v>352</v>
      </c>
      <c r="L793" s="37">
        <v>125</v>
      </c>
      <c r="M793" s="64" t="s">
        <v>358</v>
      </c>
      <c r="N793" s="42"/>
    </row>
    <row r="794" spans="1:14" ht="24" customHeight="1">
      <c r="A794" s="8">
        <v>750</v>
      </c>
      <c r="B794" s="9">
        <v>750</v>
      </c>
      <c r="C794" s="46">
        <v>46014</v>
      </c>
      <c r="D794" s="9" t="s">
        <v>238</v>
      </c>
      <c r="E794" s="56" t="str">
        <f>IFERROR(VLOOKUP($D794,본공사입.출고현황!$B:$H,E$2080,0),0)</f>
        <v>Steel round bar</v>
      </c>
      <c r="F794" s="18" t="str">
        <f>IFERROR(VLOOKUP($D794,본공사입.출고현황!$B:$H,F$2080,0),0)</f>
        <v>Steel round bar(rebar)</v>
      </c>
      <c r="G794" s="18" t="str">
        <f>IFERROR(VLOOKUP($D794,본공사입.출고현황!$B:$H,G$2080,0),0)</f>
        <v>CCGG</v>
      </c>
      <c r="H794" s="18" t="str">
        <f>IFERROR(VLOOKUP($D794,본공사입.출고현황!$B:$H,H$2080,0),0)</f>
        <v>ф10, 1ton=1,620.7m</v>
      </c>
      <c r="I794" s="56" t="str">
        <f>IFERROR(VLOOKUP($D794,본공사입.출고현황!$B:$H,I$2080,0),0)</f>
        <v>M</v>
      </c>
      <c r="J794" s="9">
        <v>1</v>
      </c>
      <c r="K794" s="9" t="s">
        <v>363</v>
      </c>
      <c r="L794" s="37">
        <v>25</v>
      </c>
      <c r="M794" s="64" t="s">
        <v>358</v>
      </c>
      <c r="N794" s="42"/>
    </row>
    <row r="795" spans="1:14" ht="24" customHeight="1">
      <c r="A795" s="8">
        <v>751</v>
      </c>
      <c r="B795" s="9">
        <v>751</v>
      </c>
      <c r="C795" s="46">
        <v>46015</v>
      </c>
      <c r="D795" s="9" t="s">
        <v>238</v>
      </c>
      <c r="E795" s="56" t="str">
        <f>IFERROR(VLOOKUP($D795,본공사입.출고현황!$B:$H,E$2080,0),0)</f>
        <v>Steel round bar</v>
      </c>
      <c r="F795" s="18" t="str">
        <f>IFERROR(VLOOKUP($D795,본공사입.출고현황!$B:$H,F$2080,0),0)</f>
        <v>Steel round bar(rebar)</v>
      </c>
      <c r="G795" s="18" t="str">
        <f>IFERROR(VLOOKUP($D795,본공사입.출고현황!$B:$H,G$2080,0),0)</f>
        <v>CCGG</v>
      </c>
      <c r="H795" s="18" t="str">
        <f>IFERROR(VLOOKUP($D795,본공사입.출고현황!$B:$H,H$2080,0),0)</f>
        <v>ф10, 1ton=1,620.7m</v>
      </c>
      <c r="I795" s="56" t="str">
        <f>IFERROR(VLOOKUP($D795,본공사입.출고현황!$B:$H,I$2080,0),0)</f>
        <v>M</v>
      </c>
      <c r="J795" s="9">
        <v>1</v>
      </c>
      <c r="K795" s="9" t="s">
        <v>352</v>
      </c>
      <c r="L795" s="37">
        <v>15</v>
      </c>
      <c r="M795" s="64" t="s">
        <v>358</v>
      </c>
      <c r="N795" s="42"/>
    </row>
    <row r="796" spans="1:14" ht="24" customHeight="1">
      <c r="A796" s="8">
        <v>752</v>
      </c>
      <c r="B796" s="9">
        <v>752</v>
      </c>
      <c r="C796" s="46">
        <v>46015</v>
      </c>
      <c r="D796" s="9" t="s">
        <v>238</v>
      </c>
      <c r="E796" s="56" t="str">
        <f>IFERROR(VLOOKUP($D796,본공사입.출고현황!$B:$H,E$2080,0),0)</f>
        <v>Steel round bar</v>
      </c>
      <c r="F796" s="18" t="str">
        <f>IFERROR(VLOOKUP($D796,본공사입.출고현황!$B:$H,F$2080,0),0)</f>
        <v>Steel round bar(rebar)</v>
      </c>
      <c r="G796" s="18" t="str">
        <f>IFERROR(VLOOKUP($D796,본공사입.출고현황!$B:$H,G$2080,0),0)</f>
        <v>CCGG</v>
      </c>
      <c r="H796" s="18" t="str">
        <f>IFERROR(VLOOKUP($D796,본공사입.출고현황!$B:$H,H$2080,0),0)</f>
        <v>ф10, 1ton=1,620.7m</v>
      </c>
      <c r="I796" s="56" t="str">
        <f>IFERROR(VLOOKUP($D796,본공사입.출고현황!$B:$H,I$2080,0),0)</f>
        <v>M</v>
      </c>
      <c r="J796" s="9">
        <v>1</v>
      </c>
      <c r="K796" s="9" t="s">
        <v>547</v>
      </c>
      <c r="L796" s="37">
        <v>75</v>
      </c>
      <c r="M796" s="64" t="s">
        <v>358</v>
      </c>
      <c r="N796" s="42"/>
    </row>
    <row r="797" spans="1:14" ht="24" customHeight="1">
      <c r="A797" s="8">
        <v>753</v>
      </c>
      <c r="B797" s="9">
        <v>753</v>
      </c>
      <c r="C797" s="46">
        <v>46015</v>
      </c>
      <c r="D797" s="9" t="s">
        <v>238</v>
      </c>
      <c r="E797" s="56" t="str">
        <f>IFERROR(VLOOKUP($D797,본공사입.출고현황!$B:$H,E$2080,0),0)</f>
        <v>Steel round bar</v>
      </c>
      <c r="F797" s="18" t="str">
        <f>IFERROR(VLOOKUP($D797,본공사입.출고현황!$B:$H,F$2080,0),0)</f>
        <v>Steel round bar(rebar)</v>
      </c>
      <c r="G797" s="18" t="str">
        <f>IFERROR(VLOOKUP($D797,본공사입.출고현황!$B:$H,G$2080,0),0)</f>
        <v>CCGG</v>
      </c>
      <c r="H797" s="18" t="str">
        <f>IFERROR(VLOOKUP($D797,본공사입.출고현황!$B:$H,H$2080,0),0)</f>
        <v>ф10, 1ton=1,620.7m</v>
      </c>
      <c r="I797" s="56" t="str">
        <f>IFERROR(VLOOKUP($D797,본공사입.출고현황!$B:$H,I$2080,0),0)</f>
        <v>M</v>
      </c>
      <c r="J797" s="9">
        <v>2</v>
      </c>
      <c r="K797" s="9" t="s">
        <v>360</v>
      </c>
      <c r="L797" s="37">
        <v>20</v>
      </c>
      <c r="M797" s="64" t="s">
        <v>358</v>
      </c>
      <c r="N797" s="42"/>
    </row>
    <row r="798" spans="1:14" ht="24" customHeight="1">
      <c r="A798" s="8">
        <v>754</v>
      </c>
      <c r="B798" s="9">
        <v>754</v>
      </c>
      <c r="C798" s="46">
        <v>46015</v>
      </c>
      <c r="D798" s="9" t="s">
        <v>238</v>
      </c>
      <c r="E798" s="56" t="str">
        <f>IFERROR(VLOOKUP($D798,본공사입.출고현황!$B:$H,E$2080,0),0)</f>
        <v>Steel round bar</v>
      </c>
      <c r="F798" s="18" t="str">
        <f>IFERROR(VLOOKUP($D798,본공사입.출고현황!$B:$H,F$2080,0),0)</f>
        <v>Steel round bar(rebar)</v>
      </c>
      <c r="G798" s="18" t="str">
        <f>IFERROR(VLOOKUP($D798,본공사입.출고현황!$B:$H,G$2080,0),0)</f>
        <v>CCGG</v>
      </c>
      <c r="H798" s="18" t="str">
        <f>IFERROR(VLOOKUP($D798,본공사입.출고현황!$B:$H,H$2080,0),0)</f>
        <v>ф10, 1ton=1,620.7m</v>
      </c>
      <c r="I798" s="56" t="str">
        <f>IFERROR(VLOOKUP($D798,본공사입.출고현황!$B:$H,I$2080,0),0)</f>
        <v>M</v>
      </c>
      <c r="J798" s="9">
        <v>2</v>
      </c>
      <c r="K798" s="9" t="s">
        <v>546</v>
      </c>
      <c r="L798" s="37">
        <v>20</v>
      </c>
      <c r="M798" s="64" t="s">
        <v>358</v>
      </c>
      <c r="N798" s="42"/>
    </row>
    <row r="799" spans="1:14" ht="24" customHeight="1">
      <c r="A799" s="8">
        <v>755</v>
      </c>
      <c r="B799" s="9">
        <v>755</v>
      </c>
      <c r="C799" s="46">
        <v>46015</v>
      </c>
      <c r="D799" s="9" t="s">
        <v>238</v>
      </c>
      <c r="E799" s="56" t="str">
        <f>IFERROR(VLOOKUP($D799,본공사입.출고현황!$B:$H,E$2080,0),0)</f>
        <v>Steel round bar</v>
      </c>
      <c r="F799" s="18" t="str">
        <f>IFERROR(VLOOKUP($D799,본공사입.출고현황!$B:$H,F$2080,0),0)</f>
        <v>Steel round bar(rebar)</v>
      </c>
      <c r="G799" s="18" t="str">
        <f>IFERROR(VLOOKUP($D799,본공사입.출고현황!$B:$H,G$2080,0),0)</f>
        <v>CCGG</v>
      </c>
      <c r="H799" s="18" t="str">
        <f>IFERROR(VLOOKUP($D799,본공사입.출고현황!$B:$H,H$2080,0),0)</f>
        <v>ф10, 1ton=1,620.7m</v>
      </c>
      <c r="I799" s="56" t="str">
        <f>IFERROR(VLOOKUP($D799,본공사입.출고현황!$B:$H,I$2080,0),0)</f>
        <v>M</v>
      </c>
      <c r="J799" s="9">
        <v>1</v>
      </c>
      <c r="K799" s="9" t="s">
        <v>545</v>
      </c>
      <c r="L799" s="37">
        <v>20</v>
      </c>
      <c r="M799" s="64" t="s">
        <v>358</v>
      </c>
      <c r="N799" s="42"/>
    </row>
    <row r="800" spans="1:14" ht="24" customHeight="1">
      <c r="A800" s="8">
        <v>756</v>
      </c>
      <c r="B800" s="9">
        <v>756</v>
      </c>
      <c r="C800" s="46">
        <v>46015</v>
      </c>
      <c r="D800" s="9" t="s">
        <v>238</v>
      </c>
      <c r="E800" s="56" t="str">
        <f>IFERROR(VLOOKUP($D800,본공사입.출고현황!$B:$H,E$2080,0),0)</f>
        <v>Steel round bar</v>
      </c>
      <c r="F800" s="18" t="str">
        <f>IFERROR(VLOOKUP($D800,본공사입.출고현황!$B:$H,F$2080,0),0)</f>
        <v>Steel round bar(rebar)</v>
      </c>
      <c r="G800" s="18" t="str">
        <f>IFERROR(VLOOKUP($D800,본공사입.출고현황!$B:$H,G$2080,0),0)</f>
        <v>CCGG</v>
      </c>
      <c r="H800" s="18" t="str">
        <f>IFERROR(VLOOKUP($D800,본공사입.출고현황!$B:$H,H$2080,0),0)</f>
        <v>ф10, 1ton=1,620.7m</v>
      </c>
      <c r="I800" s="56" t="str">
        <f>IFERROR(VLOOKUP($D800,본공사입.출고현황!$B:$H,I$2080,0),0)</f>
        <v>M</v>
      </c>
      <c r="J800" s="9">
        <v>2</v>
      </c>
      <c r="K800" s="9" t="s">
        <v>360</v>
      </c>
      <c r="L800" s="37">
        <v>115</v>
      </c>
      <c r="M800" s="64" t="s">
        <v>408</v>
      </c>
      <c r="N800" s="42"/>
    </row>
    <row r="801" spans="1:14" ht="24" customHeight="1">
      <c r="A801" s="8">
        <v>757</v>
      </c>
      <c r="B801" s="9">
        <v>757</v>
      </c>
      <c r="C801" s="46">
        <v>46015</v>
      </c>
      <c r="D801" s="9" t="s">
        <v>238</v>
      </c>
      <c r="E801" s="56" t="str">
        <f>IFERROR(VLOOKUP($D801,본공사입.출고현황!$B:$H,E$2080,0),0)</f>
        <v>Steel round bar</v>
      </c>
      <c r="F801" s="18" t="str">
        <f>IFERROR(VLOOKUP($D801,본공사입.출고현황!$B:$H,F$2080,0),0)</f>
        <v>Steel round bar(rebar)</v>
      </c>
      <c r="G801" s="18" t="str">
        <f>IFERROR(VLOOKUP($D801,본공사입.출고현황!$B:$H,G$2080,0),0)</f>
        <v>CCGG</v>
      </c>
      <c r="H801" s="18" t="str">
        <f>IFERROR(VLOOKUP($D801,본공사입.출고현황!$B:$H,H$2080,0),0)</f>
        <v>ф10, 1ton=1,620.7m</v>
      </c>
      <c r="I801" s="56" t="str">
        <f>IFERROR(VLOOKUP($D801,본공사입.출고현황!$B:$H,I$2080,0),0)</f>
        <v>M</v>
      </c>
      <c r="J801" s="9" t="s">
        <v>557</v>
      </c>
      <c r="K801" s="9" t="s">
        <v>553</v>
      </c>
      <c r="L801" s="37">
        <v>30</v>
      </c>
      <c r="M801" s="64" t="s">
        <v>408</v>
      </c>
      <c r="N801" s="42"/>
    </row>
    <row r="802" spans="1:14" ht="24" customHeight="1">
      <c r="A802" s="8">
        <v>758</v>
      </c>
      <c r="B802" s="9">
        <v>758</v>
      </c>
      <c r="C802" s="46">
        <v>46015</v>
      </c>
      <c r="D802" s="9" t="s">
        <v>238</v>
      </c>
      <c r="E802" s="56" t="str">
        <f>IFERROR(VLOOKUP($D802,본공사입.출고현황!$B:$H,E$2080,0),0)</f>
        <v>Steel round bar</v>
      </c>
      <c r="F802" s="18" t="str">
        <f>IFERROR(VLOOKUP($D802,본공사입.출고현황!$B:$H,F$2080,0),0)</f>
        <v>Steel round bar(rebar)</v>
      </c>
      <c r="G802" s="18" t="str">
        <f>IFERROR(VLOOKUP($D802,본공사입.출고현황!$B:$H,G$2080,0),0)</f>
        <v>CCGG</v>
      </c>
      <c r="H802" s="18" t="str">
        <f>IFERROR(VLOOKUP($D802,본공사입.출고현황!$B:$H,H$2080,0),0)</f>
        <v>ф10, 1ton=1,620.7m</v>
      </c>
      <c r="I802" s="56" t="str">
        <f>IFERROR(VLOOKUP($D802,본공사입.출고현황!$B:$H,I$2080,0),0)</f>
        <v>M</v>
      </c>
      <c r="J802" s="9">
        <v>1</v>
      </c>
      <c r="K802" s="9" t="s">
        <v>352</v>
      </c>
      <c r="L802" s="37">
        <v>50</v>
      </c>
      <c r="M802" s="64" t="s">
        <v>408</v>
      </c>
      <c r="N802" s="42"/>
    </row>
    <row r="803" spans="1:14" ht="24" customHeight="1">
      <c r="A803" s="8">
        <v>759</v>
      </c>
      <c r="B803" s="9">
        <v>759</v>
      </c>
      <c r="C803" s="46">
        <v>46015</v>
      </c>
      <c r="D803" s="9" t="s">
        <v>238</v>
      </c>
      <c r="E803" s="56" t="str">
        <f>IFERROR(VLOOKUP($D803,본공사입.출고현황!$B:$H,E$2080,0),0)</f>
        <v>Steel round bar</v>
      </c>
      <c r="F803" s="18" t="str">
        <f>IFERROR(VLOOKUP($D803,본공사입.출고현황!$B:$H,F$2080,0),0)</f>
        <v>Steel round bar(rebar)</v>
      </c>
      <c r="G803" s="18" t="str">
        <f>IFERROR(VLOOKUP($D803,본공사입.출고현황!$B:$H,G$2080,0),0)</f>
        <v>CCGG</v>
      </c>
      <c r="H803" s="18" t="str">
        <f>IFERROR(VLOOKUP($D803,본공사입.출고현황!$B:$H,H$2080,0),0)</f>
        <v>ф10, 1ton=1,620.7m</v>
      </c>
      <c r="I803" s="56" t="str">
        <f>IFERROR(VLOOKUP($D803,본공사입.출고현황!$B:$H,I$2080,0),0)</f>
        <v>M</v>
      </c>
      <c r="J803" s="9">
        <v>3</v>
      </c>
      <c r="K803" s="9" t="s">
        <v>237</v>
      </c>
      <c r="L803" s="37">
        <v>20</v>
      </c>
      <c r="M803" s="64" t="s">
        <v>408</v>
      </c>
      <c r="N803" s="42"/>
    </row>
    <row r="804" spans="1:14" ht="24" customHeight="1">
      <c r="A804" s="8">
        <v>760</v>
      </c>
      <c r="B804" s="9">
        <v>760</v>
      </c>
      <c r="C804" s="46">
        <v>46016</v>
      </c>
      <c r="D804" s="9" t="s">
        <v>238</v>
      </c>
      <c r="E804" s="56" t="str">
        <f>IFERROR(VLOOKUP($D804,본공사입.출고현황!$B:$H,E$2080,0),0)</f>
        <v>Steel round bar</v>
      </c>
      <c r="F804" s="18" t="str">
        <f>IFERROR(VLOOKUP($D804,본공사입.출고현황!$B:$H,F$2080,0),0)</f>
        <v>Steel round bar(rebar)</v>
      </c>
      <c r="G804" s="18" t="str">
        <f>IFERROR(VLOOKUP($D804,본공사입.출고현황!$B:$H,G$2080,0),0)</f>
        <v>CCGG</v>
      </c>
      <c r="H804" s="18" t="str">
        <f>IFERROR(VLOOKUP($D804,본공사입.출고현황!$B:$H,H$2080,0),0)</f>
        <v>ф10, 1ton=1,620.7m</v>
      </c>
      <c r="I804" s="56" t="str">
        <f>IFERROR(VLOOKUP($D804,본공사입.출고현황!$B:$H,I$2080,0),0)</f>
        <v>M</v>
      </c>
      <c r="J804" s="9">
        <v>1</v>
      </c>
      <c r="K804" s="9" t="s">
        <v>547</v>
      </c>
      <c r="L804" s="37">
        <v>35</v>
      </c>
      <c r="M804" s="64" t="s">
        <v>408</v>
      </c>
      <c r="N804" s="42"/>
    </row>
    <row r="805" spans="1:14" ht="24" customHeight="1">
      <c r="A805" s="8">
        <v>761</v>
      </c>
      <c r="B805" s="9">
        <v>761</v>
      </c>
      <c r="C805" s="46">
        <v>46016</v>
      </c>
      <c r="D805" s="9" t="s">
        <v>238</v>
      </c>
      <c r="E805" s="56" t="str">
        <f>IFERROR(VLOOKUP($D805,본공사입.출고현황!$B:$H,E$2080,0),0)</f>
        <v>Steel round bar</v>
      </c>
      <c r="F805" s="18" t="str">
        <f>IFERROR(VLOOKUP($D805,본공사입.출고현황!$B:$H,F$2080,0),0)</f>
        <v>Steel round bar(rebar)</v>
      </c>
      <c r="G805" s="18" t="str">
        <f>IFERROR(VLOOKUP($D805,본공사입.출고현황!$B:$H,G$2080,0),0)</f>
        <v>CCGG</v>
      </c>
      <c r="H805" s="18" t="str">
        <f>IFERROR(VLOOKUP($D805,본공사입.출고현황!$B:$H,H$2080,0),0)</f>
        <v>ф10, 1ton=1,620.7m</v>
      </c>
      <c r="I805" s="56" t="str">
        <f>IFERROR(VLOOKUP($D805,본공사입.출고현황!$B:$H,I$2080,0),0)</f>
        <v>M</v>
      </c>
      <c r="J805" s="9">
        <v>1</v>
      </c>
      <c r="K805" s="9" t="s">
        <v>352</v>
      </c>
      <c r="L805" s="37">
        <v>115</v>
      </c>
      <c r="M805" s="64" t="s">
        <v>408</v>
      </c>
      <c r="N805" s="42"/>
    </row>
    <row r="806" spans="1:14" ht="24" customHeight="1">
      <c r="A806" s="8">
        <v>762</v>
      </c>
      <c r="B806" s="9">
        <v>762</v>
      </c>
      <c r="C806" s="46">
        <v>46016</v>
      </c>
      <c r="D806" s="9" t="s">
        <v>238</v>
      </c>
      <c r="E806" s="56" t="str">
        <f>IFERROR(VLOOKUP($D806,본공사입.출고현황!$B:$H,E$2080,0),0)</f>
        <v>Steel round bar</v>
      </c>
      <c r="F806" s="18" t="str">
        <f>IFERROR(VLOOKUP($D806,본공사입.출고현황!$B:$H,F$2080,0),0)</f>
        <v>Steel round bar(rebar)</v>
      </c>
      <c r="G806" s="18" t="str">
        <f>IFERROR(VLOOKUP($D806,본공사입.출고현황!$B:$H,G$2080,0),0)</f>
        <v>CCGG</v>
      </c>
      <c r="H806" s="18" t="str">
        <f>IFERROR(VLOOKUP($D806,본공사입.출고현황!$B:$H,H$2080,0),0)</f>
        <v>ф10, 1ton=1,620.7m</v>
      </c>
      <c r="I806" s="56" t="str">
        <f>IFERROR(VLOOKUP($D806,본공사입.출고현황!$B:$H,I$2080,0),0)</f>
        <v>M</v>
      </c>
      <c r="J806" s="9">
        <v>2</v>
      </c>
      <c r="K806" s="9" t="s">
        <v>360</v>
      </c>
      <c r="L806" s="37">
        <v>25</v>
      </c>
      <c r="M806" s="64" t="s">
        <v>408</v>
      </c>
      <c r="N806" s="42"/>
    </row>
    <row r="807" spans="1:14" ht="24" customHeight="1">
      <c r="A807" s="8">
        <v>763</v>
      </c>
      <c r="B807" s="9">
        <v>763</v>
      </c>
      <c r="C807" s="46">
        <v>46017</v>
      </c>
      <c r="D807" s="9" t="s">
        <v>238</v>
      </c>
      <c r="E807" s="56" t="str">
        <f>IFERROR(VLOOKUP($D807,본공사입.출고현황!$B:$H,E$2080,0),0)</f>
        <v>Steel round bar</v>
      </c>
      <c r="F807" s="18" t="str">
        <f>IFERROR(VLOOKUP($D807,본공사입.출고현황!$B:$H,F$2080,0),0)</f>
        <v>Steel round bar(rebar)</v>
      </c>
      <c r="G807" s="18" t="str">
        <f>IFERROR(VLOOKUP($D807,본공사입.출고현황!$B:$H,G$2080,0),0)</f>
        <v>CCGG</v>
      </c>
      <c r="H807" s="18" t="str">
        <f>IFERROR(VLOOKUP($D807,본공사입.출고현황!$B:$H,H$2080,0),0)</f>
        <v>ф10, 1ton=1,620.7m</v>
      </c>
      <c r="I807" s="56" t="str">
        <f>IFERROR(VLOOKUP($D807,본공사입.출고현황!$B:$H,I$2080,0),0)</f>
        <v>M</v>
      </c>
      <c r="J807" s="9">
        <v>1</v>
      </c>
      <c r="K807" s="9" t="s">
        <v>363</v>
      </c>
      <c r="L807" s="37">
        <v>25</v>
      </c>
      <c r="M807" s="64" t="s">
        <v>408</v>
      </c>
      <c r="N807" s="42"/>
    </row>
    <row r="808" spans="1:14" ht="24" customHeight="1">
      <c r="A808" s="8">
        <v>764</v>
      </c>
      <c r="B808" s="9">
        <v>764</v>
      </c>
      <c r="C808" s="46">
        <v>46017</v>
      </c>
      <c r="D808" s="9" t="s">
        <v>238</v>
      </c>
      <c r="E808" s="56" t="str">
        <f>IFERROR(VLOOKUP($D808,본공사입.출고현황!$B:$H,E$2080,0),0)</f>
        <v>Steel round bar</v>
      </c>
      <c r="F808" s="18" t="str">
        <f>IFERROR(VLOOKUP($D808,본공사입.출고현황!$B:$H,F$2080,0),0)</f>
        <v>Steel round bar(rebar)</v>
      </c>
      <c r="G808" s="18" t="str">
        <f>IFERROR(VLOOKUP($D808,본공사입.출고현황!$B:$H,G$2080,0),0)</f>
        <v>CCGG</v>
      </c>
      <c r="H808" s="18" t="str">
        <f>IFERROR(VLOOKUP($D808,본공사입.출고현황!$B:$H,H$2080,0),0)</f>
        <v>ф10, 1ton=1,620.7m</v>
      </c>
      <c r="I808" s="56" t="str">
        <f>IFERROR(VLOOKUP($D808,본공사입.출고현황!$B:$H,I$2080,0),0)</f>
        <v>M</v>
      </c>
      <c r="J808" s="9">
        <v>1</v>
      </c>
      <c r="K808" s="9" t="s">
        <v>545</v>
      </c>
      <c r="L808" s="37">
        <v>15</v>
      </c>
      <c r="M808" s="64" t="s">
        <v>408</v>
      </c>
      <c r="N808" s="42"/>
    </row>
    <row r="809" spans="1:14" ht="24" customHeight="1">
      <c r="A809" s="8">
        <v>765</v>
      </c>
      <c r="B809" s="9">
        <v>765</v>
      </c>
      <c r="C809" s="46">
        <v>46017</v>
      </c>
      <c r="D809" s="9" t="s">
        <v>238</v>
      </c>
      <c r="E809" s="56" t="str">
        <f>IFERROR(VLOOKUP($D809,본공사입.출고현황!$B:$H,E$2080,0),0)</f>
        <v>Steel round bar</v>
      </c>
      <c r="F809" s="18" t="str">
        <f>IFERROR(VLOOKUP($D809,본공사입.출고현황!$B:$H,F$2080,0),0)</f>
        <v>Steel round bar(rebar)</v>
      </c>
      <c r="G809" s="18" t="str">
        <f>IFERROR(VLOOKUP($D809,본공사입.출고현황!$B:$H,G$2080,0),0)</f>
        <v>CCGG</v>
      </c>
      <c r="H809" s="18" t="str">
        <f>IFERROR(VLOOKUP($D809,본공사입.출고현황!$B:$H,H$2080,0),0)</f>
        <v>ф10, 1ton=1,620.7m</v>
      </c>
      <c r="I809" s="56" t="str">
        <f>IFERROR(VLOOKUP($D809,본공사입.출고현황!$B:$H,I$2080,0),0)</f>
        <v>M</v>
      </c>
      <c r="J809" s="9">
        <v>2</v>
      </c>
      <c r="K809" s="9" t="s">
        <v>241</v>
      </c>
      <c r="L809" s="37">
        <v>50</v>
      </c>
      <c r="M809" s="64" t="s">
        <v>408</v>
      </c>
      <c r="N809" s="42"/>
    </row>
    <row r="810" spans="1:14" ht="24" customHeight="1">
      <c r="A810" s="8">
        <v>766</v>
      </c>
      <c r="B810" s="9">
        <v>766</v>
      </c>
      <c r="C810" s="46">
        <v>46017</v>
      </c>
      <c r="D810" s="9" t="s">
        <v>238</v>
      </c>
      <c r="E810" s="56" t="str">
        <f>IFERROR(VLOOKUP($D810,본공사입.출고현황!$B:$H,E$2080,0),0)</f>
        <v>Steel round bar</v>
      </c>
      <c r="F810" s="18" t="str">
        <f>IFERROR(VLOOKUP($D810,본공사입.출고현황!$B:$H,F$2080,0),0)</f>
        <v>Steel round bar(rebar)</v>
      </c>
      <c r="G810" s="18" t="str">
        <f>IFERROR(VLOOKUP($D810,본공사입.출고현황!$B:$H,G$2080,0),0)</f>
        <v>CCGG</v>
      </c>
      <c r="H810" s="18" t="str">
        <f>IFERROR(VLOOKUP($D810,본공사입.출고현황!$B:$H,H$2080,0),0)</f>
        <v>ф10, 1ton=1,620.7m</v>
      </c>
      <c r="I810" s="56" t="str">
        <f>IFERROR(VLOOKUP($D810,본공사입.출고현황!$B:$H,I$2080,0),0)</f>
        <v>M</v>
      </c>
      <c r="J810" s="9">
        <v>2</v>
      </c>
      <c r="K810" s="9" t="s">
        <v>546</v>
      </c>
      <c r="L810" s="37">
        <v>30</v>
      </c>
      <c r="M810" s="64" t="s">
        <v>408</v>
      </c>
      <c r="N810" s="42"/>
    </row>
    <row r="811" spans="1:14" ht="24" customHeight="1">
      <c r="A811" s="8">
        <v>767</v>
      </c>
      <c r="B811" s="9">
        <v>767</v>
      </c>
      <c r="C811" s="46">
        <v>46017</v>
      </c>
      <c r="D811" s="9" t="s">
        <v>238</v>
      </c>
      <c r="E811" s="56" t="str">
        <f>IFERROR(VLOOKUP($D811,본공사입.출고현황!$B:$H,E$2080,0),0)</f>
        <v>Steel round bar</v>
      </c>
      <c r="F811" s="18" t="str">
        <f>IFERROR(VLOOKUP($D811,본공사입.출고현황!$B:$H,F$2080,0),0)</f>
        <v>Steel round bar(rebar)</v>
      </c>
      <c r="G811" s="18" t="str">
        <f>IFERROR(VLOOKUP($D811,본공사입.출고현황!$B:$H,G$2080,0),0)</f>
        <v>CCGG</v>
      </c>
      <c r="H811" s="18" t="str">
        <f>IFERROR(VLOOKUP($D811,본공사입.출고현황!$B:$H,H$2080,0),0)</f>
        <v>ф10, 1ton=1,620.7m</v>
      </c>
      <c r="I811" s="56" t="str">
        <f>IFERROR(VLOOKUP($D811,본공사입.출고현황!$B:$H,I$2080,0),0)</f>
        <v>M</v>
      </c>
      <c r="J811" s="9">
        <v>1</v>
      </c>
      <c r="K811" s="9" t="s">
        <v>363</v>
      </c>
      <c r="L811" s="37">
        <v>65</v>
      </c>
      <c r="M811" s="64" t="s">
        <v>408</v>
      </c>
      <c r="N811" s="42"/>
    </row>
    <row r="812" spans="1:14" ht="24" customHeight="1">
      <c r="A812" s="8">
        <v>768</v>
      </c>
      <c r="B812" s="9">
        <v>768</v>
      </c>
      <c r="C812" s="46">
        <v>46017</v>
      </c>
      <c r="D812" s="9" t="s">
        <v>238</v>
      </c>
      <c r="E812" s="56" t="str">
        <f>IFERROR(VLOOKUP($D812,본공사입.출고현황!$B:$H,E$2080,0),0)</f>
        <v>Steel round bar</v>
      </c>
      <c r="F812" s="18" t="str">
        <f>IFERROR(VLOOKUP($D812,본공사입.출고현황!$B:$H,F$2080,0),0)</f>
        <v>Steel round bar(rebar)</v>
      </c>
      <c r="G812" s="18" t="str">
        <f>IFERROR(VLOOKUP($D812,본공사입.출고현황!$B:$H,G$2080,0),0)</f>
        <v>CCGG</v>
      </c>
      <c r="H812" s="18" t="str">
        <f>IFERROR(VLOOKUP($D812,본공사입.출고현황!$B:$H,H$2080,0),0)</f>
        <v>ф10, 1ton=1,620.7m</v>
      </c>
      <c r="I812" s="56" t="str">
        <f>IFERROR(VLOOKUP($D812,본공사입.출고현황!$B:$H,I$2080,0),0)</f>
        <v>M</v>
      </c>
      <c r="J812" s="9">
        <v>1</v>
      </c>
      <c r="K812" s="9" t="s">
        <v>363</v>
      </c>
      <c r="L812" s="37">
        <v>20</v>
      </c>
      <c r="M812" s="64" t="s">
        <v>408</v>
      </c>
      <c r="N812" s="42"/>
    </row>
    <row r="813" spans="1:14" ht="24" customHeight="1">
      <c r="A813" s="8">
        <v>769</v>
      </c>
      <c r="B813" s="9">
        <v>769</v>
      </c>
      <c r="C813" s="46">
        <v>46017</v>
      </c>
      <c r="D813" s="9" t="s">
        <v>238</v>
      </c>
      <c r="E813" s="56" t="str">
        <f>IFERROR(VLOOKUP($D813,본공사입.출고현황!$B:$H,E$2080,0),0)</f>
        <v>Steel round bar</v>
      </c>
      <c r="F813" s="18" t="str">
        <f>IFERROR(VLOOKUP($D813,본공사입.출고현황!$B:$H,F$2080,0),0)</f>
        <v>Steel round bar(rebar)</v>
      </c>
      <c r="G813" s="18" t="str">
        <f>IFERROR(VLOOKUP($D813,본공사입.출고현황!$B:$H,G$2080,0),0)</f>
        <v>CCGG</v>
      </c>
      <c r="H813" s="18" t="str">
        <f>IFERROR(VLOOKUP($D813,본공사입.출고현황!$B:$H,H$2080,0),0)</f>
        <v>ф10, 1ton=1,620.7m</v>
      </c>
      <c r="I813" s="56" t="str">
        <f>IFERROR(VLOOKUP($D813,본공사입.출고현황!$B:$H,I$2080,0),0)</f>
        <v>M</v>
      </c>
      <c r="J813" s="9">
        <v>2</v>
      </c>
      <c r="K813" s="9" t="s">
        <v>360</v>
      </c>
      <c r="L813" s="37">
        <v>125</v>
      </c>
      <c r="M813" s="64" t="s">
        <v>408</v>
      </c>
      <c r="N813" s="42"/>
    </row>
    <row r="814" spans="1:14" ht="24" customHeight="1">
      <c r="A814" s="8">
        <v>770</v>
      </c>
      <c r="B814" s="9">
        <v>770</v>
      </c>
      <c r="C814" s="46">
        <v>46017</v>
      </c>
      <c r="D814" s="9" t="s">
        <v>238</v>
      </c>
      <c r="E814" s="56" t="str">
        <f>IFERROR(VLOOKUP($D814,본공사입.출고현황!$B:$H,E$2080,0),0)</f>
        <v>Steel round bar</v>
      </c>
      <c r="F814" s="18" t="str">
        <f>IFERROR(VLOOKUP($D814,본공사입.출고현황!$B:$H,F$2080,0),0)</f>
        <v>Steel round bar(rebar)</v>
      </c>
      <c r="G814" s="18" t="str">
        <f>IFERROR(VLOOKUP($D814,본공사입.출고현황!$B:$H,G$2080,0),0)</f>
        <v>CCGG</v>
      </c>
      <c r="H814" s="18" t="str">
        <f>IFERROR(VLOOKUP($D814,본공사입.출고현황!$B:$H,H$2080,0),0)</f>
        <v>ф10, 1ton=1,620.7m</v>
      </c>
      <c r="I814" s="56" t="str">
        <f>IFERROR(VLOOKUP($D814,본공사입.출고현황!$B:$H,I$2080,0),0)</f>
        <v>M</v>
      </c>
      <c r="J814" s="9">
        <v>1</v>
      </c>
      <c r="K814" s="9" t="s">
        <v>352</v>
      </c>
      <c r="L814" s="37">
        <v>125</v>
      </c>
      <c r="M814" s="64" t="s">
        <v>408</v>
      </c>
      <c r="N814" s="42"/>
    </row>
    <row r="815" spans="1:14" ht="24" customHeight="1">
      <c r="A815" s="8">
        <v>771</v>
      </c>
      <c r="B815" s="9">
        <v>771</v>
      </c>
      <c r="C815" s="46">
        <v>46017</v>
      </c>
      <c r="D815" s="9" t="s">
        <v>238</v>
      </c>
      <c r="E815" s="56" t="str">
        <f>IFERROR(VLOOKUP($D815,본공사입.출고현황!$B:$H,E$2080,0),0)</f>
        <v>Steel round bar</v>
      </c>
      <c r="F815" s="18" t="str">
        <f>IFERROR(VLOOKUP($D815,본공사입.출고현황!$B:$H,F$2080,0),0)</f>
        <v>Steel round bar(rebar)</v>
      </c>
      <c r="G815" s="18" t="str">
        <f>IFERROR(VLOOKUP($D815,본공사입.출고현황!$B:$H,G$2080,0),0)</f>
        <v>CCGG</v>
      </c>
      <c r="H815" s="18" t="str">
        <f>IFERROR(VLOOKUP($D815,본공사입.출고현황!$B:$H,H$2080,0),0)</f>
        <v>ф10, 1ton=1,620.7m</v>
      </c>
      <c r="I815" s="56" t="str">
        <f>IFERROR(VLOOKUP($D815,본공사입.출고현황!$B:$H,I$2080,0),0)</f>
        <v>M</v>
      </c>
      <c r="J815" s="9">
        <v>1</v>
      </c>
      <c r="K815" s="9" t="s">
        <v>363</v>
      </c>
      <c r="L815" s="37">
        <v>25</v>
      </c>
      <c r="M815" s="64" t="s">
        <v>408</v>
      </c>
      <c r="N815" s="42"/>
    </row>
    <row r="816" spans="1:14" ht="24" customHeight="1">
      <c r="A816" s="8">
        <v>772</v>
      </c>
      <c r="B816" s="9">
        <v>772</v>
      </c>
      <c r="C816" s="46">
        <v>46017</v>
      </c>
      <c r="D816" s="9" t="s">
        <v>238</v>
      </c>
      <c r="E816" s="56" t="str">
        <f>IFERROR(VLOOKUP($D816,본공사입.출고현황!$B:$H,E$2080,0),0)</f>
        <v>Steel round bar</v>
      </c>
      <c r="F816" s="18" t="str">
        <f>IFERROR(VLOOKUP($D816,본공사입.출고현황!$B:$H,F$2080,0),0)</f>
        <v>Steel round bar(rebar)</v>
      </c>
      <c r="G816" s="18" t="str">
        <f>IFERROR(VLOOKUP($D816,본공사입.출고현황!$B:$H,G$2080,0),0)</f>
        <v>CCGG</v>
      </c>
      <c r="H816" s="18" t="str">
        <f>IFERROR(VLOOKUP($D816,본공사입.출고현황!$B:$H,H$2080,0),0)</f>
        <v>ф10, 1ton=1,620.7m</v>
      </c>
      <c r="I816" s="56" t="str">
        <f>IFERROR(VLOOKUP($D816,본공사입.출고현황!$B:$H,I$2080,0),0)</f>
        <v>M</v>
      </c>
      <c r="J816" s="9">
        <v>1</v>
      </c>
      <c r="K816" s="9" t="s">
        <v>545</v>
      </c>
      <c r="L816" s="37">
        <v>15</v>
      </c>
      <c r="M816" s="64" t="s">
        <v>408</v>
      </c>
      <c r="N816" s="42"/>
    </row>
    <row r="817" spans="1:14" ht="24" customHeight="1">
      <c r="A817" s="8">
        <v>773</v>
      </c>
      <c r="B817" s="9">
        <v>773</v>
      </c>
      <c r="C817" s="46">
        <v>46017</v>
      </c>
      <c r="D817" s="9" t="s">
        <v>238</v>
      </c>
      <c r="E817" s="56" t="str">
        <f>IFERROR(VLOOKUP($D817,본공사입.출고현황!$B:$H,E$2080,0),0)</f>
        <v>Steel round bar</v>
      </c>
      <c r="F817" s="18" t="str">
        <f>IFERROR(VLOOKUP($D817,본공사입.출고현황!$B:$H,F$2080,0),0)</f>
        <v>Steel round bar(rebar)</v>
      </c>
      <c r="G817" s="18" t="str">
        <f>IFERROR(VLOOKUP($D817,본공사입.출고현황!$B:$H,G$2080,0),0)</f>
        <v>CCGG</v>
      </c>
      <c r="H817" s="18" t="str">
        <f>IFERROR(VLOOKUP($D817,본공사입.출고현황!$B:$H,H$2080,0),0)</f>
        <v>ф10, 1ton=1,620.7m</v>
      </c>
      <c r="I817" s="56" t="str">
        <f>IFERROR(VLOOKUP($D817,본공사입.출고현황!$B:$H,I$2080,0),0)</f>
        <v>M</v>
      </c>
      <c r="J817" s="9">
        <v>2</v>
      </c>
      <c r="K817" s="9" t="s">
        <v>241</v>
      </c>
      <c r="L817" s="37">
        <v>50</v>
      </c>
      <c r="M817" s="64" t="s">
        <v>408</v>
      </c>
      <c r="N817" s="42"/>
    </row>
    <row r="818" spans="1:14" ht="24" customHeight="1">
      <c r="A818" s="8">
        <v>774</v>
      </c>
      <c r="B818" s="9">
        <v>774</v>
      </c>
      <c r="C818" s="46">
        <v>46017</v>
      </c>
      <c r="D818" s="9" t="s">
        <v>238</v>
      </c>
      <c r="E818" s="56" t="str">
        <f>IFERROR(VLOOKUP($D818,본공사입.출고현황!$B:$H,E$2080,0),0)</f>
        <v>Steel round bar</v>
      </c>
      <c r="F818" s="18" t="str">
        <f>IFERROR(VLOOKUP($D818,본공사입.출고현황!$B:$H,F$2080,0),0)</f>
        <v>Steel round bar(rebar)</v>
      </c>
      <c r="G818" s="18" t="str">
        <f>IFERROR(VLOOKUP($D818,본공사입.출고현황!$B:$H,G$2080,0),0)</f>
        <v>CCGG</v>
      </c>
      <c r="H818" s="18" t="str">
        <f>IFERROR(VLOOKUP($D818,본공사입.출고현황!$B:$H,H$2080,0),0)</f>
        <v>ф10, 1ton=1,620.7m</v>
      </c>
      <c r="I818" s="56" t="str">
        <f>IFERROR(VLOOKUP($D818,본공사입.출고현황!$B:$H,I$2080,0),0)</f>
        <v>M</v>
      </c>
      <c r="J818" s="9">
        <v>2</v>
      </c>
      <c r="K818" s="9" t="s">
        <v>546</v>
      </c>
      <c r="L818" s="37">
        <v>30</v>
      </c>
      <c r="M818" s="64" t="s">
        <v>408</v>
      </c>
      <c r="N818" s="42"/>
    </row>
    <row r="819" spans="1:14" ht="24" customHeight="1">
      <c r="A819" s="8">
        <v>775</v>
      </c>
      <c r="B819" s="9">
        <v>775</v>
      </c>
      <c r="C819" s="46">
        <v>46017</v>
      </c>
      <c r="D819" s="9" t="s">
        <v>238</v>
      </c>
      <c r="E819" s="56" t="str">
        <f>IFERROR(VLOOKUP($D819,본공사입.출고현황!$B:$H,E$2080,0),0)</f>
        <v>Steel round bar</v>
      </c>
      <c r="F819" s="18" t="str">
        <f>IFERROR(VLOOKUP($D819,본공사입.출고현황!$B:$H,F$2080,0),0)</f>
        <v>Steel round bar(rebar)</v>
      </c>
      <c r="G819" s="18" t="str">
        <f>IFERROR(VLOOKUP($D819,본공사입.출고현황!$B:$H,G$2080,0),0)</f>
        <v>CCGG</v>
      </c>
      <c r="H819" s="18" t="str">
        <f>IFERROR(VLOOKUP($D819,본공사입.출고현황!$B:$H,H$2080,0),0)</f>
        <v>ф10, 1ton=1,620.7m</v>
      </c>
      <c r="I819" s="56" t="str">
        <f>IFERROR(VLOOKUP($D819,본공사입.출고현황!$B:$H,I$2080,0),0)</f>
        <v>M</v>
      </c>
      <c r="J819" s="9">
        <v>1</v>
      </c>
      <c r="K819" s="9" t="s">
        <v>363</v>
      </c>
      <c r="L819" s="37">
        <v>65</v>
      </c>
      <c r="M819" s="64" t="s">
        <v>408</v>
      </c>
      <c r="N819" s="42"/>
    </row>
    <row r="820" spans="1:14" ht="24" customHeight="1">
      <c r="A820" s="8">
        <v>776</v>
      </c>
      <c r="B820" s="9">
        <v>776</v>
      </c>
      <c r="C820" s="46">
        <v>46018</v>
      </c>
      <c r="D820" s="9" t="s">
        <v>238</v>
      </c>
      <c r="E820" s="56" t="str">
        <f>IFERROR(VLOOKUP($D820,본공사입.출고현황!$B:$H,E$2080,0),0)</f>
        <v>Steel round bar</v>
      </c>
      <c r="F820" s="18" t="str">
        <f>IFERROR(VLOOKUP($D820,본공사입.출고현황!$B:$H,F$2080,0),0)</f>
        <v>Steel round bar(rebar)</v>
      </c>
      <c r="G820" s="18" t="str">
        <f>IFERROR(VLOOKUP($D820,본공사입.출고현황!$B:$H,G$2080,0),0)</f>
        <v>CCGG</v>
      </c>
      <c r="H820" s="18" t="str">
        <f>IFERROR(VLOOKUP($D820,본공사입.출고현황!$B:$H,H$2080,0),0)</f>
        <v>ф10, 1ton=1,620.7m</v>
      </c>
      <c r="I820" s="56" t="str">
        <f>IFERROR(VLOOKUP($D820,본공사입.출고현황!$B:$H,I$2080,0),0)</f>
        <v>M</v>
      </c>
      <c r="J820" s="9">
        <v>1</v>
      </c>
      <c r="K820" s="9" t="s">
        <v>363</v>
      </c>
      <c r="L820" s="37">
        <v>20</v>
      </c>
      <c r="M820" s="64" t="s">
        <v>408</v>
      </c>
      <c r="N820" s="42"/>
    </row>
    <row r="821" spans="1:14" ht="24" customHeight="1">
      <c r="A821" s="8">
        <v>777</v>
      </c>
      <c r="B821" s="9">
        <v>777</v>
      </c>
      <c r="C821" s="46">
        <v>46018</v>
      </c>
      <c r="D821" s="9" t="s">
        <v>238</v>
      </c>
      <c r="E821" s="56" t="str">
        <f>IFERROR(VLOOKUP($D821,본공사입.출고현황!$B:$H,E$2080,0),0)</f>
        <v>Steel round bar</v>
      </c>
      <c r="F821" s="18" t="str">
        <f>IFERROR(VLOOKUP($D821,본공사입.출고현황!$B:$H,F$2080,0),0)</f>
        <v>Steel round bar(rebar)</v>
      </c>
      <c r="G821" s="18" t="str">
        <f>IFERROR(VLOOKUP($D821,본공사입.출고현황!$B:$H,G$2080,0),0)</f>
        <v>CCGG</v>
      </c>
      <c r="H821" s="18" t="str">
        <f>IFERROR(VLOOKUP($D821,본공사입.출고현황!$B:$H,H$2080,0),0)</f>
        <v>ф10, 1ton=1,620.7m</v>
      </c>
      <c r="I821" s="56" t="str">
        <f>IFERROR(VLOOKUP($D821,본공사입.출고현황!$B:$H,I$2080,0),0)</f>
        <v>M</v>
      </c>
      <c r="J821" s="9">
        <v>2</v>
      </c>
      <c r="K821" s="9" t="s">
        <v>360</v>
      </c>
      <c r="L821" s="37">
        <v>50</v>
      </c>
      <c r="M821" s="64" t="s">
        <v>358</v>
      </c>
      <c r="N821" s="42"/>
    </row>
    <row r="822" spans="1:14" ht="24" customHeight="1">
      <c r="A822" s="8">
        <v>778</v>
      </c>
      <c r="B822" s="9">
        <v>778</v>
      </c>
      <c r="C822" s="46">
        <v>46018</v>
      </c>
      <c r="D822" s="9" t="s">
        <v>238</v>
      </c>
      <c r="E822" s="56" t="str">
        <f>IFERROR(VLOOKUP($D822,본공사입.출고현황!$B:$H,E$2080,0),0)</f>
        <v>Steel round bar</v>
      </c>
      <c r="F822" s="18" t="str">
        <f>IFERROR(VLOOKUP($D822,본공사입.출고현황!$B:$H,F$2080,0),0)</f>
        <v>Steel round bar(rebar)</v>
      </c>
      <c r="G822" s="18" t="str">
        <f>IFERROR(VLOOKUP($D822,본공사입.출고현황!$B:$H,G$2080,0),0)</f>
        <v>CCGG</v>
      </c>
      <c r="H822" s="18" t="str">
        <f>IFERROR(VLOOKUP($D822,본공사입.출고현황!$B:$H,H$2080,0),0)</f>
        <v>ф10, 1ton=1,620.7m</v>
      </c>
      <c r="I822" s="56" t="str">
        <f>IFERROR(VLOOKUP($D822,본공사입.출고현황!$B:$H,I$2080,0),0)</f>
        <v>M</v>
      </c>
      <c r="J822" s="9">
        <v>4</v>
      </c>
      <c r="K822" s="9" t="s">
        <v>359</v>
      </c>
      <c r="L822" s="37">
        <v>50</v>
      </c>
      <c r="M822" s="64" t="s">
        <v>358</v>
      </c>
      <c r="N822" s="42"/>
    </row>
    <row r="823" spans="1:14" ht="24" customHeight="1">
      <c r="A823" s="8">
        <v>779</v>
      </c>
      <c r="B823" s="9">
        <v>779</v>
      </c>
      <c r="C823" s="46">
        <v>46018</v>
      </c>
      <c r="D823" s="9" t="s">
        <v>238</v>
      </c>
      <c r="E823" s="56" t="str">
        <f>IFERROR(VLOOKUP($D823,본공사입.출고현황!$B:$H,E$2080,0),0)</f>
        <v>Steel round bar</v>
      </c>
      <c r="F823" s="18" t="str">
        <f>IFERROR(VLOOKUP($D823,본공사입.출고현황!$B:$H,F$2080,0),0)</f>
        <v>Steel round bar(rebar)</v>
      </c>
      <c r="G823" s="18" t="str">
        <f>IFERROR(VLOOKUP($D823,본공사입.출고현황!$B:$H,G$2080,0),0)</f>
        <v>CCGG</v>
      </c>
      <c r="H823" s="18" t="str">
        <f>IFERROR(VLOOKUP($D823,본공사입.출고현황!$B:$H,H$2080,0),0)</f>
        <v>ф10, 1ton=1,620.7m</v>
      </c>
      <c r="I823" s="56" t="str">
        <f>IFERROR(VLOOKUP($D823,본공사입.출고현황!$B:$H,I$2080,0),0)</f>
        <v>M</v>
      </c>
      <c r="J823" s="9">
        <v>2</v>
      </c>
      <c r="K823" s="9" t="s">
        <v>546</v>
      </c>
      <c r="L823" s="37">
        <v>75</v>
      </c>
      <c r="M823" s="64" t="s">
        <v>358</v>
      </c>
      <c r="N823" s="42"/>
    </row>
    <row r="824" spans="1:14" ht="24" customHeight="1">
      <c r="A824" s="8">
        <v>780</v>
      </c>
      <c r="B824" s="9">
        <v>780</v>
      </c>
      <c r="C824" s="46">
        <v>46018</v>
      </c>
      <c r="D824" s="9" t="s">
        <v>238</v>
      </c>
      <c r="E824" s="56" t="str">
        <f>IFERROR(VLOOKUP($D824,본공사입.출고현황!$B:$H,E$2080,0),0)</f>
        <v>Steel round bar</v>
      </c>
      <c r="F824" s="18" t="str">
        <f>IFERROR(VLOOKUP($D824,본공사입.출고현황!$B:$H,F$2080,0),0)</f>
        <v>Steel round bar(rebar)</v>
      </c>
      <c r="G824" s="18" t="str">
        <f>IFERROR(VLOOKUP($D824,본공사입.출고현황!$B:$H,G$2080,0),0)</f>
        <v>CCGG</v>
      </c>
      <c r="H824" s="18" t="str">
        <f>IFERROR(VLOOKUP($D824,본공사입.출고현황!$B:$H,H$2080,0),0)</f>
        <v>ф10, 1ton=1,620.7m</v>
      </c>
      <c r="I824" s="56" t="str">
        <f>IFERROR(VLOOKUP($D824,본공사입.출고현황!$B:$H,I$2080,0),0)</f>
        <v>M</v>
      </c>
      <c r="J824" s="9">
        <v>1</v>
      </c>
      <c r="K824" s="9" t="s">
        <v>352</v>
      </c>
      <c r="L824" s="37">
        <v>115</v>
      </c>
      <c r="M824" s="64" t="s">
        <v>358</v>
      </c>
      <c r="N824" s="42"/>
    </row>
    <row r="825" spans="1:14" ht="24" customHeight="1">
      <c r="A825" s="8">
        <v>781</v>
      </c>
      <c r="B825" s="9">
        <v>781</v>
      </c>
      <c r="C825" s="46">
        <v>46018</v>
      </c>
      <c r="D825" s="9" t="s">
        <v>238</v>
      </c>
      <c r="E825" s="56" t="str">
        <f>IFERROR(VLOOKUP($D825,본공사입.출고현황!$B:$H,E$2080,0),0)</f>
        <v>Steel round bar</v>
      </c>
      <c r="F825" s="18" t="str">
        <f>IFERROR(VLOOKUP($D825,본공사입.출고현황!$B:$H,F$2080,0),0)</f>
        <v>Steel round bar(rebar)</v>
      </c>
      <c r="G825" s="18" t="str">
        <f>IFERROR(VLOOKUP($D825,본공사입.출고현황!$B:$H,G$2080,0),0)</f>
        <v>CCGG</v>
      </c>
      <c r="H825" s="18" t="str">
        <f>IFERROR(VLOOKUP($D825,본공사입.출고현황!$B:$H,H$2080,0),0)</f>
        <v>ф10, 1ton=1,620.7m</v>
      </c>
      <c r="I825" s="56" t="str">
        <f>IFERROR(VLOOKUP($D825,본공사입.출고현황!$B:$H,I$2080,0),0)</f>
        <v>M</v>
      </c>
      <c r="J825" s="9">
        <v>2</v>
      </c>
      <c r="K825" s="9" t="s">
        <v>360</v>
      </c>
      <c r="L825" s="37">
        <v>50</v>
      </c>
      <c r="M825" s="64" t="s">
        <v>358</v>
      </c>
      <c r="N825" s="42"/>
    </row>
    <row r="826" spans="1:14" ht="24" customHeight="1">
      <c r="A826" s="8">
        <v>782</v>
      </c>
      <c r="B826" s="9">
        <v>782</v>
      </c>
      <c r="C826" s="46">
        <v>46018</v>
      </c>
      <c r="D826" s="9" t="s">
        <v>238</v>
      </c>
      <c r="E826" s="56" t="str">
        <f>IFERROR(VLOOKUP($D826,본공사입.출고현황!$B:$H,E$2080,0),0)</f>
        <v>Steel round bar</v>
      </c>
      <c r="F826" s="18" t="str">
        <f>IFERROR(VLOOKUP($D826,본공사입.출고현황!$B:$H,F$2080,0),0)</f>
        <v>Steel round bar(rebar)</v>
      </c>
      <c r="G826" s="18" t="str">
        <f>IFERROR(VLOOKUP($D826,본공사입.출고현황!$B:$H,G$2080,0),0)</f>
        <v>CCGG</v>
      </c>
      <c r="H826" s="18" t="str">
        <f>IFERROR(VLOOKUP($D826,본공사입.출고현황!$B:$H,H$2080,0),0)</f>
        <v>ф10, 1ton=1,620.7m</v>
      </c>
      <c r="I826" s="56" t="str">
        <f>IFERROR(VLOOKUP($D826,본공사입.출고현황!$B:$H,I$2080,0),0)</f>
        <v>M</v>
      </c>
      <c r="J826" s="9">
        <v>1</v>
      </c>
      <c r="K826" s="9" t="s">
        <v>352</v>
      </c>
      <c r="L826" s="37">
        <v>100</v>
      </c>
      <c r="M826" s="64" t="s">
        <v>358</v>
      </c>
      <c r="N826" s="42"/>
    </row>
    <row r="827" spans="1:14" ht="24" customHeight="1">
      <c r="A827" s="8">
        <v>783</v>
      </c>
      <c r="B827" s="9">
        <v>783</v>
      </c>
      <c r="C827" s="46">
        <v>46018</v>
      </c>
      <c r="D827" s="9" t="s">
        <v>238</v>
      </c>
      <c r="E827" s="56" t="str">
        <f>IFERROR(VLOOKUP($D827,본공사입.출고현황!$B:$H,E$2080,0),0)</f>
        <v>Steel round bar</v>
      </c>
      <c r="F827" s="18" t="str">
        <f>IFERROR(VLOOKUP($D827,본공사입.출고현황!$B:$H,F$2080,0),0)</f>
        <v>Steel round bar(rebar)</v>
      </c>
      <c r="G827" s="18" t="str">
        <f>IFERROR(VLOOKUP($D827,본공사입.출고현황!$B:$H,G$2080,0),0)</f>
        <v>CCGG</v>
      </c>
      <c r="H827" s="18" t="str">
        <f>IFERROR(VLOOKUP($D827,본공사입.출고현황!$B:$H,H$2080,0),0)</f>
        <v>ф10, 1ton=1,620.7m</v>
      </c>
      <c r="I827" s="56" t="str">
        <f>IFERROR(VLOOKUP($D827,본공사입.출고현황!$B:$H,I$2080,0),0)</f>
        <v>M</v>
      </c>
      <c r="J827" s="9">
        <v>1</v>
      </c>
      <c r="K827" s="9" t="s">
        <v>363</v>
      </c>
      <c r="L827" s="37">
        <v>70</v>
      </c>
      <c r="M827" s="64" t="s">
        <v>358</v>
      </c>
      <c r="N827" s="42"/>
    </row>
    <row r="828" spans="1:14" ht="24" customHeight="1">
      <c r="A828" s="8">
        <v>784</v>
      </c>
      <c r="B828" s="9">
        <v>784</v>
      </c>
      <c r="C828" s="46">
        <v>46018</v>
      </c>
      <c r="D828" s="9" t="s">
        <v>238</v>
      </c>
      <c r="E828" s="56" t="str">
        <f>IFERROR(VLOOKUP($D828,본공사입.출고현황!$B:$H,E$2080,0),0)</f>
        <v>Steel round bar</v>
      </c>
      <c r="F828" s="18" t="str">
        <f>IFERROR(VLOOKUP($D828,본공사입.출고현황!$B:$H,F$2080,0),0)</f>
        <v>Steel round bar(rebar)</v>
      </c>
      <c r="G828" s="18" t="str">
        <f>IFERROR(VLOOKUP($D828,본공사입.출고현황!$B:$H,G$2080,0),0)</f>
        <v>CCGG</v>
      </c>
      <c r="H828" s="18" t="str">
        <f>IFERROR(VLOOKUP($D828,본공사입.출고현황!$B:$H,H$2080,0),0)</f>
        <v>ф10, 1ton=1,620.7m</v>
      </c>
      <c r="I828" s="56" t="str">
        <f>IFERROR(VLOOKUP($D828,본공사입.출고현황!$B:$H,I$2080,0),0)</f>
        <v>M</v>
      </c>
      <c r="J828" s="9">
        <v>1</v>
      </c>
      <c r="K828" s="9" t="s">
        <v>547</v>
      </c>
      <c r="L828" s="37">
        <v>20</v>
      </c>
      <c r="M828" s="64" t="s">
        <v>358</v>
      </c>
      <c r="N828" s="42"/>
    </row>
    <row r="829" spans="1:14" ht="24" customHeight="1">
      <c r="A829" s="8">
        <v>785</v>
      </c>
      <c r="B829" s="9">
        <v>785</v>
      </c>
      <c r="C829" s="46">
        <v>46018</v>
      </c>
      <c r="D829" s="9" t="s">
        <v>238</v>
      </c>
      <c r="E829" s="56" t="str">
        <f>IFERROR(VLOOKUP($D829,본공사입.출고현황!$B:$H,E$2080,0),0)</f>
        <v>Steel round bar</v>
      </c>
      <c r="F829" s="18" t="str">
        <f>IFERROR(VLOOKUP($D829,본공사입.출고현황!$B:$H,F$2080,0),0)</f>
        <v>Steel round bar(rebar)</v>
      </c>
      <c r="G829" s="18" t="str">
        <f>IFERROR(VLOOKUP($D829,본공사입.출고현황!$B:$H,G$2080,0),0)</f>
        <v>CCGG</v>
      </c>
      <c r="H829" s="18" t="str">
        <f>IFERROR(VLOOKUP($D829,본공사입.출고현황!$B:$H,H$2080,0),0)</f>
        <v>ф10, 1ton=1,620.7m</v>
      </c>
      <c r="I829" s="56" t="str">
        <f>IFERROR(VLOOKUP($D829,본공사입.출고현황!$B:$H,I$2080,0),0)</f>
        <v>M</v>
      </c>
      <c r="J829" s="9">
        <v>2</v>
      </c>
      <c r="K829" s="9" t="s">
        <v>360</v>
      </c>
      <c r="L829" s="37">
        <v>25</v>
      </c>
      <c r="M829" s="64" t="s">
        <v>358</v>
      </c>
      <c r="N829" s="42"/>
    </row>
    <row r="830" spans="1:14" ht="24" customHeight="1">
      <c r="A830" s="8">
        <v>786</v>
      </c>
      <c r="B830" s="9">
        <v>786</v>
      </c>
      <c r="C830" s="46">
        <v>46018</v>
      </c>
      <c r="D830" s="9" t="s">
        <v>238</v>
      </c>
      <c r="E830" s="56" t="str">
        <f>IFERROR(VLOOKUP($D830,본공사입.출고현황!$B:$H,E$2080,0),0)</f>
        <v>Steel round bar</v>
      </c>
      <c r="F830" s="18" t="str">
        <f>IFERROR(VLOOKUP($D830,본공사입.출고현황!$B:$H,F$2080,0),0)</f>
        <v>Steel round bar(rebar)</v>
      </c>
      <c r="G830" s="18" t="str">
        <f>IFERROR(VLOOKUP($D830,본공사입.출고현황!$B:$H,G$2080,0),0)</f>
        <v>CCGG</v>
      </c>
      <c r="H830" s="18" t="str">
        <f>IFERROR(VLOOKUP($D830,본공사입.출고현황!$B:$H,H$2080,0),0)</f>
        <v>ф10, 1ton=1,620.7m</v>
      </c>
      <c r="I830" s="56" t="str">
        <f>IFERROR(VLOOKUP($D830,본공사입.출고현황!$B:$H,I$2080,0),0)</f>
        <v>M</v>
      </c>
      <c r="J830" s="9">
        <v>2</v>
      </c>
      <c r="K830" s="9" t="s">
        <v>360</v>
      </c>
      <c r="L830" s="37">
        <v>50</v>
      </c>
      <c r="M830" s="64" t="s">
        <v>358</v>
      </c>
      <c r="N830" s="42"/>
    </row>
    <row r="831" spans="1:14" ht="24" customHeight="1">
      <c r="A831" s="8">
        <v>787</v>
      </c>
      <c r="B831" s="9">
        <v>787</v>
      </c>
      <c r="C831" s="46">
        <v>46018</v>
      </c>
      <c r="D831" s="9" t="s">
        <v>238</v>
      </c>
      <c r="E831" s="56" t="str">
        <f>IFERROR(VLOOKUP($D831,본공사입.출고현황!$B:$H,E$2080,0),0)</f>
        <v>Steel round bar</v>
      </c>
      <c r="F831" s="18" t="str">
        <f>IFERROR(VLOOKUP($D831,본공사입.출고현황!$B:$H,F$2080,0),0)</f>
        <v>Steel round bar(rebar)</v>
      </c>
      <c r="G831" s="18" t="str">
        <f>IFERROR(VLOOKUP($D831,본공사입.출고현황!$B:$H,G$2080,0),0)</f>
        <v>CCGG</v>
      </c>
      <c r="H831" s="18" t="str">
        <f>IFERROR(VLOOKUP($D831,본공사입.출고현황!$B:$H,H$2080,0),0)</f>
        <v>ф10, 1ton=1,620.7m</v>
      </c>
      <c r="I831" s="56" t="str">
        <f>IFERROR(VLOOKUP($D831,본공사입.출고현황!$B:$H,I$2080,0),0)</f>
        <v>M</v>
      </c>
      <c r="J831" s="9">
        <v>3</v>
      </c>
      <c r="K831" s="9" t="s">
        <v>550</v>
      </c>
      <c r="L831" s="37">
        <v>15</v>
      </c>
      <c r="M831" s="64" t="s">
        <v>358</v>
      </c>
      <c r="N831" s="42"/>
    </row>
    <row r="832" spans="1:14" ht="24" customHeight="1">
      <c r="A832" s="8">
        <v>788</v>
      </c>
      <c r="B832" s="9">
        <v>788</v>
      </c>
      <c r="C832" s="46">
        <v>46018</v>
      </c>
      <c r="D832" s="9" t="s">
        <v>238</v>
      </c>
      <c r="E832" s="56" t="str">
        <f>IFERROR(VLOOKUP($D832,본공사입.출고현황!$B:$H,E$2080,0),0)</f>
        <v>Steel round bar</v>
      </c>
      <c r="F832" s="18" t="str">
        <f>IFERROR(VLOOKUP($D832,본공사입.출고현황!$B:$H,F$2080,0),0)</f>
        <v>Steel round bar(rebar)</v>
      </c>
      <c r="G832" s="18" t="str">
        <f>IFERROR(VLOOKUP($D832,본공사입.출고현황!$B:$H,G$2080,0),0)</f>
        <v>CCGG</v>
      </c>
      <c r="H832" s="18" t="str">
        <f>IFERROR(VLOOKUP($D832,본공사입.출고현황!$B:$H,H$2080,0),0)</f>
        <v>ф10, 1ton=1,620.7m</v>
      </c>
      <c r="I832" s="56" t="str">
        <f>IFERROR(VLOOKUP($D832,본공사입.출고현황!$B:$H,I$2080,0),0)</f>
        <v>M</v>
      </c>
      <c r="J832" s="9">
        <v>1</v>
      </c>
      <c r="K832" s="9" t="s">
        <v>363</v>
      </c>
      <c r="L832" s="37">
        <v>40</v>
      </c>
      <c r="M832" s="64" t="s">
        <v>358</v>
      </c>
      <c r="N832" s="42"/>
    </row>
    <row r="833" spans="1:14" ht="24" customHeight="1">
      <c r="A833" s="8">
        <v>789</v>
      </c>
      <c r="B833" s="9">
        <v>789</v>
      </c>
      <c r="C833" s="46">
        <v>46018</v>
      </c>
      <c r="D833" s="9" t="s">
        <v>238</v>
      </c>
      <c r="E833" s="56" t="str">
        <f>IFERROR(VLOOKUP($D833,본공사입.출고현황!$B:$H,E$2080,0),0)</f>
        <v>Steel round bar</v>
      </c>
      <c r="F833" s="18" t="str">
        <f>IFERROR(VLOOKUP($D833,본공사입.출고현황!$B:$H,F$2080,0),0)</f>
        <v>Steel round bar(rebar)</v>
      </c>
      <c r="G833" s="18" t="str">
        <f>IFERROR(VLOOKUP($D833,본공사입.출고현황!$B:$H,G$2080,0),0)</f>
        <v>CCGG</v>
      </c>
      <c r="H833" s="18" t="str">
        <f>IFERROR(VLOOKUP($D833,본공사입.출고현황!$B:$H,H$2080,0),0)</f>
        <v>ф10, 1ton=1,620.7m</v>
      </c>
      <c r="I833" s="56" t="str">
        <f>IFERROR(VLOOKUP($D833,본공사입.출고현황!$B:$H,I$2080,0),0)</f>
        <v>M</v>
      </c>
      <c r="J833" s="9">
        <v>1</v>
      </c>
      <c r="K833" s="9" t="s">
        <v>547</v>
      </c>
      <c r="L833" s="37">
        <v>20</v>
      </c>
      <c r="M833" s="64" t="s">
        <v>358</v>
      </c>
      <c r="N833" s="42"/>
    </row>
    <row r="834" spans="1:14" ht="24" customHeight="1">
      <c r="A834" s="8">
        <v>790</v>
      </c>
      <c r="B834" s="9">
        <v>790</v>
      </c>
      <c r="C834" s="46">
        <v>46019</v>
      </c>
      <c r="D834" s="9" t="s">
        <v>238</v>
      </c>
      <c r="E834" s="56" t="str">
        <f>IFERROR(VLOOKUP($D834,본공사입.출고현황!$B:$H,E$2080,0),0)</f>
        <v>Steel round bar</v>
      </c>
      <c r="F834" s="18" t="str">
        <f>IFERROR(VLOOKUP($D834,본공사입.출고현황!$B:$H,F$2080,0),0)</f>
        <v>Steel round bar(rebar)</v>
      </c>
      <c r="G834" s="18" t="str">
        <f>IFERROR(VLOOKUP($D834,본공사입.출고현황!$B:$H,G$2080,0),0)</f>
        <v>CCGG</v>
      </c>
      <c r="H834" s="18" t="str">
        <f>IFERROR(VLOOKUP($D834,본공사입.출고현황!$B:$H,H$2080,0),0)</f>
        <v>ф10, 1ton=1,620.7m</v>
      </c>
      <c r="I834" s="56" t="str">
        <f>IFERROR(VLOOKUP($D834,본공사입.출고현황!$B:$H,I$2080,0),0)</f>
        <v>M</v>
      </c>
      <c r="J834" s="9">
        <v>1</v>
      </c>
      <c r="K834" s="9" t="s">
        <v>363</v>
      </c>
      <c r="L834" s="37">
        <v>20</v>
      </c>
      <c r="M834" s="64" t="s">
        <v>358</v>
      </c>
      <c r="N834" s="42"/>
    </row>
    <row r="835" spans="1:14" ht="24" customHeight="1">
      <c r="A835" s="8">
        <v>791</v>
      </c>
      <c r="B835" s="9">
        <v>791</v>
      </c>
      <c r="C835" s="46">
        <v>46019</v>
      </c>
      <c r="D835" s="9" t="s">
        <v>238</v>
      </c>
      <c r="E835" s="56" t="str">
        <f>IFERROR(VLOOKUP($D835,본공사입.출고현황!$B:$H,E$2080,0),0)</f>
        <v>Steel round bar</v>
      </c>
      <c r="F835" s="18" t="str">
        <f>IFERROR(VLOOKUP($D835,본공사입.출고현황!$B:$H,F$2080,0),0)</f>
        <v>Steel round bar(rebar)</v>
      </c>
      <c r="G835" s="18" t="str">
        <f>IFERROR(VLOOKUP($D835,본공사입.출고현황!$B:$H,G$2080,0),0)</f>
        <v>CCGG</v>
      </c>
      <c r="H835" s="18" t="str">
        <f>IFERROR(VLOOKUP($D835,본공사입.출고현황!$B:$H,H$2080,0),0)</f>
        <v>ф10, 1ton=1,620.7m</v>
      </c>
      <c r="I835" s="56" t="str">
        <f>IFERROR(VLOOKUP($D835,본공사입.출고현황!$B:$H,I$2080,0),0)</f>
        <v>M</v>
      </c>
      <c r="J835" s="9">
        <v>3</v>
      </c>
      <c r="K835" s="9" t="s">
        <v>550</v>
      </c>
      <c r="L835" s="37">
        <v>20</v>
      </c>
      <c r="M835" s="64" t="s">
        <v>358</v>
      </c>
      <c r="N835" s="42"/>
    </row>
    <row r="836" spans="1:14" ht="24" customHeight="1">
      <c r="A836" s="8">
        <v>792</v>
      </c>
      <c r="B836" s="9">
        <v>792</v>
      </c>
      <c r="C836" s="46">
        <v>46019</v>
      </c>
      <c r="D836" s="9" t="s">
        <v>238</v>
      </c>
      <c r="E836" s="56" t="str">
        <f>IFERROR(VLOOKUP($D836,본공사입.출고현황!$B:$H,E$2080,0),0)</f>
        <v>Steel round bar</v>
      </c>
      <c r="F836" s="18" t="str">
        <f>IFERROR(VLOOKUP($D836,본공사입.출고현황!$B:$H,F$2080,0),0)</f>
        <v>Steel round bar(rebar)</v>
      </c>
      <c r="G836" s="18" t="str">
        <f>IFERROR(VLOOKUP($D836,본공사입.출고현황!$B:$H,G$2080,0),0)</f>
        <v>CCGG</v>
      </c>
      <c r="H836" s="18" t="str">
        <f>IFERROR(VLOOKUP($D836,본공사입.출고현황!$B:$H,H$2080,0),0)</f>
        <v>ф10, 1ton=1,620.7m</v>
      </c>
      <c r="I836" s="56" t="str">
        <f>IFERROR(VLOOKUP($D836,본공사입.출고현황!$B:$H,I$2080,0),0)</f>
        <v>M</v>
      </c>
      <c r="J836" s="9">
        <v>2</v>
      </c>
      <c r="K836" s="9" t="s">
        <v>360</v>
      </c>
      <c r="L836" s="37">
        <v>25</v>
      </c>
      <c r="M836" s="64" t="s">
        <v>358</v>
      </c>
      <c r="N836" s="42"/>
    </row>
    <row r="837" spans="1:14" ht="24" customHeight="1">
      <c r="A837" s="8">
        <v>793</v>
      </c>
      <c r="B837" s="9">
        <v>793</v>
      </c>
      <c r="C837" s="46">
        <v>46019</v>
      </c>
      <c r="D837" s="9" t="s">
        <v>238</v>
      </c>
      <c r="E837" s="56" t="str">
        <f>IFERROR(VLOOKUP($D837,본공사입.출고현황!$B:$H,E$2080,0),0)</f>
        <v>Steel round bar</v>
      </c>
      <c r="F837" s="18" t="str">
        <f>IFERROR(VLOOKUP($D837,본공사입.출고현황!$B:$H,F$2080,0),0)</f>
        <v>Steel round bar(rebar)</v>
      </c>
      <c r="G837" s="18" t="str">
        <f>IFERROR(VLOOKUP($D837,본공사입.출고현황!$B:$H,G$2080,0),0)</f>
        <v>CCGG</v>
      </c>
      <c r="H837" s="18" t="str">
        <f>IFERROR(VLOOKUP($D837,본공사입.출고현황!$B:$H,H$2080,0),0)</f>
        <v>ф10, 1ton=1,620.7m</v>
      </c>
      <c r="I837" s="56" t="str">
        <f>IFERROR(VLOOKUP($D837,본공사입.출고현황!$B:$H,I$2080,0),0)</f>
        <v>M</v>
      </c>
      <c r="J837" s="9">
        <v>2</v>
      </c>
      <c r="K837" s="9" t="s">
        <v>360</v>
      </c>
      <c r="L837" s="37">
        <v>40</v>
      </c>
      <c r="M837" s="64" t="s">
        <v>408</v>
      </c>
      <c r="N837" s="42"/>
    </row>
    <row r="838" spans="1:14" ht="24" customHeight="1">
      <c r="A838" s="8">
        <v>794</v>
      </c>
      <c r="B838" s="9">
        <v>794</v>
      </c>
      <c r="C838" s="46">
        <v>46019</v>
      </c>
      <c r="D838" s="9" t="s">
        <v>238</v>
      </c>
      <c r="E838" s="56" t="str">
        <f>IFERROR(VLOOKUP($D838,본공사입.출고현황!$B:$H,E$2080,0),0)</f>
        <v>Steel round bar</v>
      </c>
      <c r="F838" s="18" t="str">
        <f>IFERROR(VLOOKUP($D838,본공사입.출고현황!$B:$H,F$2080,0),0)</f>
        <v>Steel round bar(rebar)</v>
      </c>
      <c r="G838" s="18" t="str">
        <f>IFERROR(VLOOKUP($D838,본공사입.출고현황!$B:$H,G$2080,0),0)</f>
        <v>CCGG</v>
      </c>
      <c r="H838" s="18" t="str">
        <f>IFERROR(VLOOKUP($D838,본공사입.출고현황!$B:$H,H$2080,0),0)</f>
        <v>ф10, 1ton=1,620.7m</v>
      </c>
      <c r="I838" s="56" t="str">
        <f>IFERROR(VLOOKUP($D838,본공사입.출고현황!$B:$H,I$2080,0),0)</f>
        <v>M</v>
      </c>
      <c r="J838" s="9" t="s">
        <v>557</v>
      </c>
      <c r="K838" s="9" t="s">
        <v>553</v>
      </c>
      <c r="L838" s="37">
        <v>25</v>
      </c>
      <c r="M838" s="64" t="s">
        <v>358</v>
      </c>
      <c r="N838" s="42"/>
    </row>
    <row r="839" spans="1:14" ht="24" customHeight="1">
      <c r="A839" s="8">
        <v>795</v>
      </c>
      <c r="B839" s="9">
        <v>795</v>
      </c>
      <c r="C839" s="46">
        <v>46019</v>
      </c>
      <c r="D839" s="9" t="s">
        <v>238</v>
      </c>
      <c r="E839" s="56" t="str">
        <f>IFERROR(VLOOKUP($D839,본공사입.출고현황!$B:$H,E$2080,0),0)</f>
        <v>Steel round bar</v>
      </c>
      <c r="F839" s="18" t="str">
        <f>IFERROR(VLOOKUP($D839,본공사입.출고현황!$B:$H,F$2080,0),0)</f>
        <v>Steel round bar(rebar)</v>
      </c>
      <c r="G839" s="18" t="str">
        <f>IFERROR(VLOOKUP($D839,본공사입.출고현황!$B:$H,G$2080,0),0)</f>
        <v>CCGG</v>
      </c>
      <c r="H839" s="18" t="str">
        <f>IFERROR(VLOOKUP($D839,본공사입.출고현황!$B:$H,H$2080,0),0)</f>
        <v>ф10, 1ton=1,620.7m</v>
      </c>
      <c r="I839" s="56" t="str">
        <f>IFERROR(VLOOKUP($D839,본공사입.출고현황!$B:$H,I$2080,0),0)</f>
        <v>M</v>
      </c>
      <c r="J839" s="9" t="s">
        <v>557</v>
      </c>
      <c r="K839" s="9" t="s">
        <v>553</v>
      </c>
      <c r="L839" s="37">
        <v>25</v>
      </c>
      <c r="M839" s="64" t="s">
        <v>358</v>
      </c>
      <c r="N839" s="42"/>
    </row>
    <row r="840" spans="1:14" ht="24" customHeight="1">
      <c r="A840" s="8">
        <v>796</v>
      </c>
      <c r="B840" s="9">
        <v>796</v>
      </c>
      <c r="C840" s="46">
        <v>46019</v>
      </c>
      <c r="D840" s="9" t="s">
        <v>238</v>
      </c>
      <c r="E840" s="56" t="str">
        <f>IFERROR(VLOOKUP($D840,본공사입.출고현황!$B:$H,E$2080,0),0)</f>
        <v>Steel round bar</v>
      </c>
      <c r="F840" s="18" t="str">
        <f>IFERROR(VLOOKUP($D840,본공사입.출고현황!$B:$H,F$2080,0),0)</f>
        <v>Steel round bar(rebar)</v>
      </c>
      <c r="G840" s="18" t="str">
        <f>IFERROR(VLOOKUP($D840,본공사입.출고현황!$B:$H,G$2080,0),0)</f>
        <v>CCGG</v>
      </c>
      <c r="H840" s="18" t="str">
        <f>IFERROR(VLOOKUP($D840,본공사입.출고현황!$B:$H,H$2080,0),0)</f>
        <v>ф10, 1ton=1,620.7m</v>
      </c>
      <c r="I840" s="56" t="str">
        <f>IFERROR(VLOOKUP($D840,본공사입.출고현황!$B:$H,I$2080,0),0)</f>
        <v>M</v>
      </c>
      <c r="J840" s="9">
        <v>1</v>
      </c>
      <c r="K840" s="9" t="s">
        <v>352</v>
      </c>
      <c r="L840" s="37">
        <v>125</v>
      </c>
      <c r="M840" s="64" t="s">
        <v>408</v>
      </c>
      <c r="N840" s="42"/>
    </row>
    <row r="841" spans="1:14" ht="24" customHeight="1">
      <c r="A841" s="8">
        <v>797</v>
      </c>
      <c r="B841" s="9">
        <v>797</v>
      </c>
      <c r="C841" s="46">
        <v>46019</v>
      </c>
      <c r="D841" s="9" t="s">
        <v>238</v>
      </c>
      <c r="E841" s="56" t="str">
        <f>IFERROR(VLOOKUP($D841,본공사입.출고현황!$B:$H,E$2080,0),0)</f>
        <v>Steel round bar</v>
      </c>
      <c r="F841" s="18" t="str">
        <f>IFERROR(VLOOKUP($D841,본공사입.출고현황!$B:$H,F$2080,0),0)</f>
        <v>Steel round bar(rebar)</v>
      </c>
      <c r="G841" s="18" t="str">
        <f>IFERROR(VLOOKUP($D841,본공사입.출고현황!$B:$H,G$2080,0),0)</f>
        <v>CCGG</v>
      </c>
      <c r="H841" s="18" t="str">
        <f>IFERROR(VLOOKUP($D841,본공사입.출고현황!$B:$H,H$2080,0),0)</f>
        <v>ф10, 1ton=1,620.7m</v>
      </c>
      <c r="I841" s="56" t="str">
        <f>IFERROR(VLOOKUP($D841,본공사입.출고현황!$B:$H,I$2080,0),0)</f>
        <v>M</v>
      </c>
      <c r="J841" s="9">
        <v>1</v>
      </c>
      <c r="K841" s="9" t="s">
        <v>363</v>
      </c>
      <c r="L841" s="37">
        <v>25</v>
      </c>
      <c r="M841" s="64" t="s">
        <v>408</v>
      </c>
      <c r="N841" s="42"/>
    </row>
    <row r="842" spans="1:14" ht="24" customHeight="1">
      <c r="A842" s="8">
        <v>798</v>
      </c>
      <c r="B842" s="9">
        <v>798</v>
      </c>
      <c r="C842" s="46">
        <v>46019</v>
      </c>
      <c r="D842" s="9" t="s">
        <v>238</v>
      </c>
      <c r="E842" s="56" t="str">
        <f>IFERROR(VLOOKUP($D842,본공사입.출고현황!$B:$H,E$2080,0),0)</f>
        <v>Steel round bar</v>
      </c>
      <c r="F842" s="18" t="str">
        <f>IFERROR(VLOOKUP($D842,본공사입.출고현황!$B:$H,F$2080,0),0)</f>
        <v>Steel round bar(rebar)</v>
      </c>
      <c r="G842" s="18" t="str">
        <f>IFERROR(VLOOKUP($D842,본공사입.출고현황!$B:$H,G$2080,0),0)</f>
        <v>CCGG</v>
      </c>
      <c r="H842" s="18" t="str">
        <f>IFERROR(VLOOKUP($D842,본공사입.출고현황!$B:$H,H$2080,0),0)</f>
        <v>ф10, 1ton=1,620.7m</v>
      </c>
      <c r="I842" s="56" t="str">
        <f>IFERROR(VLOOKUP($D842,본공사입.출고현황!$B:$H,I$2080,0),0)</f>
        <v>M</v>
      </c>
      <c r="J842" s="9">
        <v>1</v>
      </c>
      <c r="K842" s="9" t="s">
        <v>545</v>
      </c>
      <c r="L842" s="37">
        <v>15</v>
      </c>
      <c r="M842" s="64" t="s">
        <v>408</v>
      </c>
      <c r="N842" s="42"/>
    </row>
    <row r="843" spans="1:14" ht="24" customHeight="1">
      <c r="A843" s="8">
        <v>799</v>
      </c>
      <c r="B843" s="9">
        <v>799</v>
      </c>
      <c r="C843" s="46">
        <v>46020</v>
      </c>
      <c r="D843" s="9" t="s">
        <v>238</v>
      </c>
      <c r="E843" s="56" t="str">
        <f>IFERROR(VLOOKUP($D843,본공사입.출고현황!$B:$H,E$2080,0),0)</f>
        <v>Steel round bar</v>
      </c>
      <c r="F843" s="18" t="str">
        <f>IFERROR(VLOOKUP($D843,본공사입.출고현황!$B:$H,F$2080,0),0)</f>
        <v>Steel round bar(rebar)</v>
      </c>
      <c r="G843" s="18" t="str">
        <f>IFERROR(VLOOKUP($D843,본공사입.출고현황!$B:$H,G$2080,0),0)</f>
        <v>CCGG</v>
      </c>
      <c r="H843" s="18" t="str">
        <f>IFERROR(VLOOKUP($D843,본공사입.출고현황!$B:$H,H$2080,0),0)</f>
        <v>ф10, 1ton=1,620.7m</v>
      </c>
      <c r="I843" s="56" t="str">
        <f>IFERROR(VLOOKUP($D843,본공사입.출고현황!$B:$H,I$2080,0),0)</f>
        <v>M</v>
      </c>
      <c r="J843" s="9">
        <v>2</v>
      </c>
      <c r="K843" s="9" t="s">
        <v>241</v>
      </c>
      <c r="L843" s="37">
        <v>50</v>
      </c>
      <c r="M843" s="64" t="s">
        <v>408</v>
      </c>
      <c r="N843" s="42"/>
    </row>
    <row r="844" spans="1:14" ht="24" customHeight="1">
      <c r="A844" s="8">
        <v>800</v>
      </c>
      <c r="B844" s="9">
        <v>800</v>
      </c>
      <c r="C844" s="46">
        <v>46020</v>
      </c>
      <c r="D844" s="9" t="s">
        <v>238</v>
      </c>
      <c r="E844" s="56" t="str">
        <f>IFERROR(VLOOKUP($D844,본공사입.출고현황!$B:$H,E$2080,0),0)</f>
        <v>Steel round bar</v>
      </c>
      <c r="F844" s="18" t="str">
        <f>IFERROR(VLOOKUP($D844,본공사입.출고현황!$B:$H,F$2080,0),0)</f>
        <v>Steel round bar(rebar)</v>
      </c>
      <c r="G844" s="18" t="str">
        <f>IFERROR(VLOOKUP($D844,본공사입.출고현황!$B:$H,G$2080,0),0)</f>
        <v>CCGG</v>
      </c>
      <c r="H844" s="18" t="str">
        <f>IFERROR(VLOOKUP($D844,본공사입.출고현황!$B:$H,H$2080,0),0)</f>
        <v>ф10, 1ton=1,620.7m</v>
      </c>
      <c r="I844" s="56" t="str">
        <f>IFERROR(VLOOKUP($D844,본공사입.출고현황!$B:$H,I$2080,0),0)</f>
        <v>M</v>
      </c>
      <c r="J844" s="9">
        <v>2</v>
      </c>
      <c r="K844" s="9" t="s">
        <v>546</v>
      </c>
      <c r="L844" s="37">
        <v>30</v>
      </c>
      <c r="M844" s="64" t="s">
        <v>408</v>
      </c>
      <c r="N844" s="42"/>
    </row>
    <row r="845" spans="1:14" ht="24" customHeight="1">
      <c r="A845" s="8">
        <v>801</v>
      </c>
      <c r="B845" s="9">
        <v>801</v>
      </c>
      <c r="C845" s="46">
        <v>46020</v>
      </c>
      <c r="D845" s="9" t="s">
        <v>238</v>
      </c>
      <c r="E845" s="56" t="str">
        <f>IFERROR(VLOOKUP($D845,본공사입.출고현황!$B:$H,E$2080,0),0)</f>
        <v>Steel round bar</v>
      </c>
      <c r="F845" s="18" t="str">
        <f>IFERROR(VLOOKUP($D845,본공사입.출고현황!$B:$H,F$2080,0),0)</f>
        <v>Steel round bar(rebar)</v>
      </c>
      <c r="G845" s="18" t="str">
        <f>IFERROR(VLOOKUP($D845,본공사입.출고현황!$B:$H,G$2080,0),0)</f>
        <v>CCGG</v>
      </c>
      <c r="H845" s="18" t="str">
        <f>IFERROR(VLOOKUP($D845,본공사입.출고현황!$B:$H,H$2080,0),0)</f>
        <v>ф10, 1ton=1,620.7m</v>
      </c>
      <c r="I845" s="56" t="str">
        <f>IFERROR(VLOOKUP($D845,본공사입.출고현황!$B:$H,I$2080,0),0)</f>
        <v>M</v>
      </c>
      <c r="J845" s="9">
        <v>1</v>
      </c>
      <c r="K845" s="9" t="s">
        <v>363</v>
      </c>
      <c r="L845" s="37">
        <v>65</v>
      </c>
      <c r="M845" s="64" t="s">
        <v>408</v>
      </c>
      <c r="N845" s="42"/>
    </row>
    <row r="846" spans="1:14" ht="24" customHeight="1">
      <c r="A846" s="8">
        <v>802</v>
      </c>
      <c r="B846" s="9">
        <v>802</v>
      </c>
      <c r="C846" s="46">
        <v>46020</v>
      </c>
      <c r="D846" s="9" t="s">
        <v>238</v>
      </c>
      <c r="E846" s="56" t="str">
        <f>IFERROR(VLOOKUP($D846,본공사입.출고현황!$B:$H,E$2080,0),0)</f>
        <v>Steel round bar</v>
      </c>
      <c r="F846" s="18" t="str">
        <f>IFERROR(VLOOKUP($D846,본공사입.출고현황!$B:$H,F$2080,0),0)</f>
        <v>Steel round bar(rebar)</v>
      </c>
      <c r="G846" s="18" t="str">
        <f>IFERROR(VLOOKUP($D846,본공사입.출고현황!$B:$H,G$2080,0),0)</f>
        <v>CCGG</v>
      </c>
      <c r="H846" s="18" t="str">
        <f>IFERROR(VLOOKUP($D846,본공사입.출고현황!$B:$H,H$2080,0),0)</f>
        <v>ф10, 1ton=1,620.7m</v>
      </c>
      <c r="I846" s="56" t="str">
        <f>IFERROR(VLOOKUP($D846,본공사입.출고현황!$B:$H,I$2080,0),0)</f>
        <v>M</v>
      </c>
      <c r="J846" s="9">
        <v>1</v>
      </c>
      <c r="K846" s="9" t="s">
        <v>363</v>
      </c>
      <c r="L846" s="37">
        <v>20</v>
      </c>
      <c r="M846" s="64" t="s">
        <v>408</v>
      </c>
      <c r="N846" s="42"/>
    </row>
    <row r="847" spans="1:14" ht="24" customHeight="1">
      <c r="A847" s="8">
        <v>803</v>
      </c>
      <c r="B847" s="9">
        <v>803</v>
      </c>
      <c r="C847" s="46">
        <v>46020</v>
      </c>
      <c r="D847" s="9" t="s">
        <v>238</v>
      </c>
      <c r="E847" s="56" t="str">
        <f>IFERROR(VLOOKUP($D847,본공사입.출고현황!$B:$H,E$2080,0),0)</f>
        <v>Steel round bar</v>
      </c>
      <c r="F847" s="18" t="str">
        <f>IFERROR(VLOOKUP($D847,본공사입.출고현황!$B:$H,F$2080,0),0)</f>
        <v>Steel round bar(rebar)</v>
      </c>
      <c r="G847" s="18" t="str">
        <f>IFERROR(VLOOKUP($D847,본공사입.출고현황!$B:$H,G$2080,0),0)</f>
        <v>CCGG</v>
      </c>
      <c r="H847" s="18" t="str">
        <f>IFERROR(VLOOKUP($D847,본공사입.출고현황!$B:$H,H$2080,0),0)</f>
        <v>ф10, 1ton=1,620.7m</v>
      </c>
      <c r="I847" s="56" t="str">
        <f>IFERROR(VLOOKUP($D847,본공사입.출고현황!$B:$H,I$2080,0),0)</f>
        <v>M</v>
      </c>
      <c r="J847" s="9">
        <v>2</v>
      </c>
      <c r="K847" s="9" t="s">
        <v>360</v>
      </c>
      <c r="L847" s="37">
        <v>125</v>
      </c>
      <c r="M847" s="64" t="s">
        <v>408</v>
      </c>
      <c r="N847" s="42"/>
    </row>
    <row r="848" spans="1:14" ht="24" customHeight="1">
      <c r="A848" s="8">
        <v>804</v>
      </c>
      <c r="B848" s="9">
        <v>804</v>
      </c>
      <c r="C848" s="46">
        <v>46020</v>
      </c>
      <c r="D848" s="9" t="s">
        <v>238</v>
      </c>
      <c r="E848" s="56" t="str">
        <f>IFERROR(VLOOKUP($D848,본공사입.출고현황!$B:$H,E$2080,0),0)</f>
        <v>Steel round bar</v>
      </c>
      <c r="F848" s="18" t="str">
        <f>IFERROR(VLOOKUP($D848,본공사입.출고현황!$B:$H,F$2080,0),0)</f>
        <v>Steel round bar(rebar)</v>
      </c>
      <c r="G848" s="18" t="str">
        <f>IFERROR(VLOOKUP($D848,본공사입.출고현황!$B:$H,G$2080,0),0)</f>
        <v>CCGG</v>
      </c>
      <c r="H848" s="18" t="str">
        <f>IFERROR(VLOOKUP($D848,본공사입.출고현황!$B:$H,H$2080,0),0)</f>
        <v>ф10, 1ton=1,620.7m</v>
      </c>
      <c r="I848" s="56" t="str">
        <f>IFERROR(VLOOKUP($D848,본공사입.출고현황!$B:$H,I$2080,0),0)</f>
        <v>M</v>
      </c>
      <c r="J848" s="9">
        <v>1</v>
      </c>
      <c r="K848" s="9" t="s">
        <v>352</v>
      </c>
      <c r="L848" s="37">
        <v>125</v>
      </c>
      <c r="M848" s="64" t="s">
        <v>408</v>
      </c>
      <c r="N848" s="42"/>
    </row>
    <row r="849" spans="1:14" ht="24" customHeight="1">
      <c r="A849" s="8">
        <v>805</v>
      </c>
      <c r="B849" s="9">
        <v>805</v>
      </c>
      <c r="C849" s="46">
        <v>46020</v>
      </c>
      <c r="D849" s="9" t="s">
        <v>238</v>
      </c>
      <c r="E849" s="56" t="str">
        <f>IFERROR(VLOOKUP($D849,본공사입.출고현황!$B:$H,E$2080,0),0)</f>
        <v>Steel round bar</v>
      </c>
      <c r="F849" s="18" t="str">
        <f>IFERROR(VLOOKUP($D849,본공사입.출고현황!$B:$H,F$2080,0),0)</f>
        <v>Steel round bar(rebar)</v>
      </c>
      <c r="G849" s="18" t="str">
        <f>IFERROR(VLOOKUP($D849,본공사입.출고현황!$B:$H,G$2080,0),0)</f>
        <v>CCGG</v>
      </c>
      <c r="H849" s="18" t="str">
        <f>IFERROR(VLOOKUP($D849,본공사입.출고현황!$B:$H,H$2080,0),0)</f>
        <v>ф10, 1ton=1,620.7m</v>
      </c>
      <c r="I849" s="56" t="str">
        <f>IFERROR(VLOOKUP($D849,본공사입.출고현황!$B:$H,I$2080,0),0)</f>
        <v>M</v>
      </c>
      <c r="J849" s="9">
        <v>1</v>
      </c>
      <c r="K849" s="9" t="s">
        <v>363</v>
      </c>
      <c r="L849" s="37">
        <v>25</v>
      </c>
      <c r="M849" s="64" t="s">
        <v>408</v>
      </c>
      <c r="N849" s="42"/>
    </row>
    <row r="850" spans="1:14" ht="24" customHeight="1">
      <c r="A850" s="8">
        <v>806</v>
      </c>
      <c r="B850" s="9">
        <v>806</v>
      </c>
      <c r="C850" s="46">
        <v>46020</v>
      </c>
      <c r="D850" s="9" t="s">
        <v>238</v>
      </c>
      <c r="E850" s="56" t="str">
        <f>IFERROR(VLOOKUP($D850,본공사입.출고현황!$B:$H,E$2080,0),0)</f>
        <v>Steel round bar</v>
      </c>
      <c r="F850" s="18" t="str">
        <f>IFERROR(VLOOKUP($D850,본공사입.출고현황!$B:$H,F$2080,0),0)</f>
        <v>Steel round bar(rebar)</v>
      </c>
      <c r="G850" s="18" t="str">
        <f>IFERROR(VLOOKUP($D850,본공사입.출고현황!$B:$H,G$2080,0),0)</f>
        <v>CCGG</v>
      </c>
      <c r="H850" s="18" t="str">
        <f>IFERROR(VLOOKUP($D850,본공사입.출고현황!$B:$H,H$2080,0),0)</f>
        <v>ф10, 1ton=1,620.7m</v>
      </c>
      <c r="I850" s="56" t="str">
        <f>IFERROR(VLOOKUP($D850,본공사입.출고현황!$B:$H,I$2080,0),0)</f>
        <v>M</v>
      </c>
      <c r="J850" s="9">
        <v>1</v>
      </c>
      <c r="K850" s="9" t="s">
        <v>545</v>
      </c>
      <c r="L850" s="37">
        <v>15</v>
      </c>
      <c r="M850" s="64" t="s">
        <v>408</v>
      </c>
      <c r="N850" s="42"/>
    </row>
    <row r="851" spans="1:14" ht="24" customHeight="1">
      <c r="A851" s="8">
        <v>807</v>
      </c>
      <c r="B851" s="9">
        <v>807</v>
      </c>
      <c r="C851" s="46">
        <v>46020</v>
      </c>
      <c r="D851" s="9" t="s">
        <v>238</v>
      </c>
      <c r="E851" s="56" t="str">
        <f>IFERROR(VLOOKUP($D851,본공사입.출고현황!$B:$H,E$2080,0),0)</f>
        <v>Steel round bar</v>
      </c>
      <c r="F851" s="18" t="str">
        <f>IFERROR(VLOOKUP($D851,본공사입.출고현황!$B:$H,F$2080,0),0)</f>
        <v>Steel round bar(rebar)</v>
      </c>
      <c r="G851" s="18" t="str">
        <f>IFERROR(VLOOKUP($D851,본공사입.출고현황!$B:$H,G$2080,0),0)</f>
        <v>CCGG</v>
      </c>
      <c r="H851" s="18" t="str">
        <f>IFERROR(VLOOKUP($D851,본공사입.출고현황!$B:$H,H$2080,0),0)</f>
        <v>ф10, 1ton=1,620.7m</v>
      </c>
      <c r="I851" s="56" t="str">
        <f>IFERROR(VLOOKUP($D851,본공사입.출고현황!$B:$H,I$2080,0),0)</f>
        <v>M</v>
      </c>
      <c r="J851" s="9">
        <v>2</v>
      </c>
      <c r="K851" s="9" t="s">
        <v>241</v>
      </c>
      <c r="L851" s="37">
        <v>50</v>
      </c>
      <c r="M851" s="64" t="s">
        <v>408</v>
      </c>
      <c r="N851" s="42"/>
    </row>
    <row r="852" spans="1:14" ht="24" customHeight="1">
      <c r="A852" s="8">
        <v>808</v>
      </c>
      <c r="B852" s="9">
        <v>808</v>
      </c>
      <c r="C852" s="46">
        <v>46020</v>
      </c>
      <c r="D852" s="9" t="s">
        <v>238</v>
      </c>
      <c r="E852" s="56" t="str">
        <f>IFERROR(VLOOKUP($D852,본공사입.출고현황!$B:$H,E$2080,0),0)</f>
        <v>Steel round bar</v>
      </c>
      <c r="F852" s="18" t="str">
        <f>IFERROR(VLOOKUP($D852,본공사입.출고현황!$B:$H,F$2080,0),0)</f>
        <v>Steel round bar(rebar)</v>
      </c>
      <c r="G852" s="18" t="str">
        <f>IFERROR(VLOOKUP($D852,본공사입.출고현황!$B:$H,G$2080,0),0)</f>
        <v>CCGG</v>
      </c>
      <c r="H852" s="18" t="str">
        <f>IFERROR(VLOOKUP($D852,본공사입.출고현황!$B:$H,H$2080,0),0)</f>
        <v>ф10, 1ton=1,620.7m</v>
      </c>
      <c r="I852" s="56" t="str">
        <f>IFERROR(VLOOKUP($D852,본공사입.출고현황!$B:$H,I$2080,0),0)</f>
        <v>M</v>
      </c>
      <c r="J852" s="9">
        <v>2</v>
      </c>
      <c r="K852" s="9" t="s">
        <v>546</v>
      </c>
      <c r="L852" s="37">
        <v>30</v>
      </c>
      <c r="M852" s="64" t="s">
        <v>408</v>
      </c>
      <c r="N852" s="42"/>
    </row>
    <row r="853" spans="1:14" ht="24" customHeight="1">
      <c r="A853" s="8">
        <v>809</v>
      </c>
      <c r="B853" s="9">
        <v>809</v>
      </c>
      <c r="C853" s="46">
        <v>46020</v>
      </c>
      <c r="D853" s="9" t="s">
        <v>238</v>
      </c>
      <c r="E853" s="56" t="str">
        <f>IFERROR(VLOOKUP($D853,본공사입.출고현황!$B:$H,E$2080,0),0)</f>
        <v>Steel round bar</v>
      </c>
      <c r="F853" s="18" t="str">
        <f>IFERROR(VLOOKUP($D853,본공사입.출고현황!$B:$H,F$2080,0),0)</f>
        <v>Steel round bar(rebar)</v>
      </c>
      <c r="G853" s="18" t="str">
        <f>IFERROR(VLOOKUP($D853,본공사입.출고현황!$B:$H,G$2080,0),0)</f>
        <v>CCGG</v>
      </c>
      <c r="H853" s="18" t="str">
        <f>IFERROR(VLOOKUP($D853,본공사입.출고현황!$B:$H,H$2080,0),0)</f>
        <v>ф10, 1ton=1,620.7m</v>
      </c>
      <c r="I853" s="56" t="str">
        <f>IFERROR(VLOOKUP($D853,본공사입.출고현황!$B:$H,I$2080,0),0)</f>
        <v>M</v>
      </c>
      <c r="J853" s="9">
        <v>1</v>
      </c>
      <c r="K853" s="9" t="s">
        <v>363</v>
      </c>
      <c r="L853" s="37">
        <v>65</v>
      </c>
      <c r="M853" s="64" t="s">
        <v>408</v>
      </c>
      <c r="N853" s="42"/>
    </row>
    <row r="854" spans="1:14" ht="24" customHeight="1">
      <c r="A854" s="8">
        <v>810</v>
      </c>
      <c r="B854" s="9">
        <v>810</v>
      </c>
      <c r="C854" s="46">
        <v>46020</v>
      </c>
      <c r="D854" s="9" t="s">
        <v>238</v>
      </c>
      <c r="E854" s="56" t="str">
        <f>IFERROR(VLOOKUP($D854,본공사입.출고현황!$B:$H,E$2080,0),0)</f>
        <v>Steel round bar</v>
      </c>
      <c r="F854" s="18" t="str">
        <f>IFERROR(VLOOKUP($D854,본공사입.출고현황!$B:$H,F$2080,0),0)</f>
        <v>Steel round bar(rebar)</v>
      </c>
      <c r="G854" s="18" t="str">
        <f>IFERROR(VLOOKUP($D854,본공사입.출고현황!$B:$H,G$2080,0),0)</f>
        <v>CCGG</v>
      </c>
      <c r="H854" s="18" t="str">
        <f>IFERROR(VLOOKUP($D854,본공사입.출고현황!$B:$H,H$2080,0),0)</f>
        <v>ф10, 1ton=1,620.7m</v>
      </c>
      <c r="I854" s="56" t="str">
        <f>IFERROR(VLOOKUP($D854,본공사입.출고현황!$B:$H,I$2080,0),0)</f>
        <v>M</v>
      </c>
      <c r="J854" s="9">
        <v>1</v>
      </c>
      <c r="K854" s="9" t="s">
        <v>363</v>
      </c>
      <c r="L854" s="37">
        <v>20</v>
      </c>
      <c r="M854" s="64" t="s">
        <v>408</v>
      </c>
      <c r="N854" s="42"/>
    </row>
    <row r="855" spans="1:14" ht="24" customHeight="1">
      <c r="A855" s="8">
        <v>811</v>
      </c>
      <c r="B855" s="9">
        <v>811</v>
      </c>
      <c r="C855" s="46">
        <v>46020</v>
      </c>
      <c r="D855" s="9" t="s">
        <v>238</v>
      </c>
      <c r="E855" s="56" t="str">
        <f>IFERROR(VLOOKUP($D855,본공사입.출고현황!$B:$H,E$2080,0),0)</f>
        <v>Steel round bar</v>
      </c>
      <c r="F855" s="18" t="str">
        <f>IFERROR(VLOOKUP($D855,본공사입.출고현황!$B:$H,F$2080,0),0)</f>
        <v>Steel round bar(rebar)</v>
      </c>
      <c r="G855" s="18" t="str">
        <f>IFERROR(VLOOKUP($D855,본공사입.출고현황!$B:$H,G$2080,0),0)</f>
        <v>CCGG</v>
      </c>
      <c r="H855" s="18" t="str">
        <f>IFERROR(VLOOKUP($D855,본공사입.출고현황!$B:$H,H$2080,0),0)</f>
        <v>ф10, 1ton=1,620.7m</v>
      </c>
      <c r="I855" s="56" t="str">
        <f>IFERROR(VLOOKUP($D855,본공사입.출고현황!$B:$H,I$2080,0),0)</f>
        <v>M</v>
      </c>
      <c r="J855" s="9">
        <v>2</v>
      </c>
      <c r="K855" s="9" t="s">
        <v>360</v>
      </c>
      <c r="L855" s="37">
        <v>50</v>
      </c>
      <c r="M855" s="64" t="s">
        <v>358</v>
      </c>
      <c r="N855" s="42"/>
    </row>
    <row r="856" spans="1:14" ht="24" customHeight="1">
      <c r="A856" s="8">
        <v>812</v>
      </c>
      <c r="B856" s="9">
        <v>812</v>
      </c>
      <c r="C856" s="46">
        <v>46020</v>
      </c>
      <c r="D856" s="9" t="s">
        <v>238</v>
      </c>
      <c r="E856" s="56" t="str">
        <f>IFERROR(VLOOKUP($D856,본공사입.출고현황!$B:$H,E$2080,0),0)</f>
        <v>Steel round bar</v>
      </c>
      <c r="F856" s="18" t="str">
        <f>IFERROR(VLOOKUP($D856,본공사입.출고현황!$B:$H,F$2080,0),0)</f>
        <v>Steel round bar(rebar)</v>
      </c>
      <c r="G856" s="18" t="str">
        <f>IFERROR(VLOOKUP($D856,본공사입.출고현황!$B:$H,G$2080,0),0)</f>
        <v>CCGG</v>
      </c>
      <c r="H856" s="18" t="str">
        <f>IFERROR(VLOOKUP($D856,본공사입.출고현황!$B:$H,H$2080,0),0)</f>
        <v>ф10, 1ton=1,620.7m</v>
      </c>
      <c r="I856" s="56" t="str">
        <f>IFERROR(VLOOKUP($D856,본공사입.출고현황!$B:$H,I$2080,0),0)</f>
        <v>M</v>
      </c>
      <c r="J856" s="9">
        <v>4</v>
      </c>
      <c r="K856" s="9" t="s">
        <v>359</v>
      </c>
      <c r="L856" s="37">
        <v>50</v>
      </c>
      <c r="M856" s="64" t="s">
        <v>358</v>
      </c>
      <c r="N856" s="42"/>
    </row>
    <row r="857" spans="1:14" ht="24" customHeight="1">
      <c r="A857" s="8">
        <v>813</v>
      </c>
      <c r="B857" s="9">
        <v>813</v>
      </c>
      <c r="C857" s="46">
        <v>46021</v>
      </c>
      <c r="D857" s="9" t="s">
        <v>238</v>
      </c>
      <c r="E857" s="56" t="str">
        <f>IFERROR(VLOOKUP($D857,본공사입.출고현황!$B:$H,E$2080,0),0)</f>
        <v>Steel round bar</v>
      </c>
      <c r="F857" s="18" t="str">
        <f>IFERROR(VLOOKUP($D857,본공사입.출고현황!$B:$H,F$2080,0),0)</f>
        <v>Steel round bar(rebar)</v>
      </c>
      <c r="G857" s="18" t="str">
        <f>IFERROR(VLOOKUP($D857,본공사입.출고현황!$B:$H,G$2080,0),0)</f>
        <v>CCGG</v>
      </c>
      <c r="H857" s="18" t="str">
        <f>IFERROR(VLOOKUP($D857,본공사입.출고현황!$B:$H,H$2080,0),0)</f>
        <v>ф10, 1ton=1,620.7m</v>
      </c>
      <c r="I857" s="56" t="str">
        <f>IFERROR(VLOOKUP($D857,본공사입.출고현황!$B:$H,I$2080,0),0)</f>
        <v>M</v>
      </c>
      <c r="J857" s="9">
        <v>2</v>
      </c>
      <c r="K857" s="9" t="s">
        <v>546</v>
      </c>
      <c r="L857" s="37">
        <v>75</v>
      </c>
      <c r="M857" s="64" t="s">
        <v>358</v>
      </c>
      <c r="N857" s="42"/>
    </row>
    <row r="858" spans="1:14" ht="24" customHeight="1">
      <c r="A858" s="8">
        <v>814</v>
      </c>
      <c r="B858" s="9">
        <v>814</v>
      </c>
      <c r="C858" s="46">
        <v>46021</v>
      </c>
      <c r="D858" s="9" t="s">
        <v>238</v>
      </c>
      <c r="E858" s="56" t="str">
        <f>IFERROR(VLOOKUP($D858,본공사입.출고현황!$B:$H,E$2080,0),0)</f>
        <v>Steel round bar</v>
      </c>
      <c r="F858" s="18" t="str">
        <f>IFERROR(VLOOKUP($D858,본공사입.출고현황!$B:$H,F$2080,0),0)</f>
        <v>Steel round bar(rebar)</v>
      </c>
      <c r="G858" s="18" t="str">
        <f>IFERROR(VLOOKUP($D858,본공사입.출고현황!$B:$H,G$2080,0),0)</f>
        <v>CCGG</v>
      </c>
      <c r="H858" s="18" t="str">
        <f>IFERROR(VLOOKUP($D858,본공사입.출고현황!$B:$H,H$2080,0),0)</f>
        <v>ф10, 1ton=1,620.7m</v>
      </c>
      <c r="I858" s="56" t="str">
        <f>IFERROR(VLOOKUP($D858,본공사입.출고현황!$B:$H,I$2080,0),0)</f>
        <v>M</v>
      </c>
      <c r="J858" s="9">
        <v>1</v>
      </c>
      <c r="K858" s="9" t="s">
        <v>352</v>
      </c>
      <c r="L858" s="37">
        <v>115</v>
      </c>
      <c r="M858" s="64" t="s">
        <v>358</v>
      </c>
      <c r="N858" s="42"/>
    </row>
    <row r="859" spans="1:14" ht="24" customHeight="1">
      <c r="A859" s="8">
        <v>815</v>
      </c>
      <c r="B859" s="9">
        <v>815</v>
      </c>
      <c r="C859" s="46">
        <v>46021</v>
      </c>
      <c r="D859" s="9" t="s">
        <v>238</v>
      </c>
      <c r="E859" s="56" t="str">
        <f>IFERROR(VLOOKUP($D859,본공사입.출고현황!$B:$H,E$2080,0),0)</f>
        <v>Steel round bar</v>
      </c>
      <c r="F859" s="18" t="str">
        <f>IFERROR(VLOOKUP($D859,본공사입.출고현황!$B:$H,F$2080,0),0)</f>
        <v>Steel round bar(rebar)</v>
      </c>
      <c r="G859" s="18" t="str">
        <f>IFERROR(VLOOKUP($D859,본공사입.출고현황!$B:$H,G$2080,0),0)</f>
        <v>CCGG</v>
      </c>
      <c r="H859" s="18" t="str">
        <f>IFERROR(VLOOKUP($D859,본공사입.출고현황!$B:$H,H$2080,0),0)</f>
        <v>ф10, 1ton=1,620.7m</v>
      </c>
      <c r="I859" s="56" t="str">
        <f>IFERROR(VLOOKUP($D859,본공사입.출고현황!$B:$H,I$2080,0),0)</f>
        <v>M</v>
      </c>
      <c r="J859" s="9">
        <v>2</v>
      </c>
      <c r="K859" s="9" t="s">
        <v>360</v>
      </c>
      <c r="L859" s="37">
        <v>50</v>
      </c>
      <c r="M859" s="64" t="s">
        <v>358</v>
      </c>
      <c r="N859" s="42"/>
    </row>
    <row r="860" spans="1:14" ht="24" customHeight="1">
      <c r="A860" s="8">
        <v>816</v>
      </c>
      <c r="B860" s="9">
        <v>816</v>
      </c>
      <c r="C860" s="46">
        <v>46021</v>
      </c>
      <c r="D860" s="9" t="s">
        <v>238</v>
      </c>
      <c r="E860" s="56" t="str">
        <f>IFERROR(VLOOKUP($D860,본공사입.출고현황!$B:$H,E$2080,0),0)</f>
        <v>Steel round bar</v>
      </c>
      <c r="F860" s="18" t="str">
        <f>IFERROR(VLOOKUP($D860,본공사입.출고현황!$B:$H,F$2080,0),0)</f>
        <v>Steel round bar(rebar)</v>
      </c>
      <c r="G860" s="18" t="str">
        <f>IFERROR(VLOOKUP($D860,본공사입.출고현황!$B:$H,G$2080,0),0)</f>
        <v>CCGG</v>
      </c>
      <c r="H860" s="18" t="str">
        <f>IFERROR(VLOOKUP($D860,본공사입.출고현황!$B:$H,H$2080,0),0)</f>
        <v>ф10, 1ton=1,620.7m</v>
      </c>
      <c r="I860" s="56" t="str">
        <f>IFERROR(VLOOKUP($D860,본공사입.출고현황!$B:$H,I$2080,0),0)</f>
        <v>M</v>
      </c>
      <c r="J860" s="9">
        <v>1</v>
      </c>
      <c r="K860" s="9" t="s">
        <v>352</v>
      </c>
      <c r="L860" s="37">
        <v>100</v>
      </c>
      <c r="M860" s="64" t="s">
        <v>358</v>
      </c>
      <c r="N860" s="42"/>
    </row>
    <row r="861" spans="1:14" ht="24" customHeight="1">
      <c r="A861" s="8">
        <v>817</v>
      </c>
      <c r="B861" s="9">
        <v>817</v>
      </c>
      <c r="C861" s="46">
        <v>46021</v>
      </c>
      <c r="D861" s="9" t="s">
        <v>238</v>
      </c>
      <c r="E861" s="56" t="str">
        <f>IFERROR(VLOOKUP($D861,본공사입.출고현황!$B:$H,E$2080,0),0)</f>
        <v>Steel round bar</v>
      </c>
      <c r="F861" s="18" t="str">
        <f>IFERROR(VLOOKUP($D861,본공사입.출고현황!$B:$H,F$2080,0),0)</f>
        <v>Steel round bar(rebar)</v>
      </c>
      <c r="G861" s="18" t="str">
        <f>IFERROR(VLOOKUP($D861,본공사입.출고현황!$B:$H,G$2080,0),0)</f>
        <v>CCGG</v>
      </c>
      <c r="H861" s="18" t="str">
        <f>IFERROR(VLOOKUP($D861,본공사입.출고현황!$B:$H,H$2080,0),0)</f>
        <v>ф10, 1ton=1,620.7m</v>
      </c>
      <c r="I861" s="56" t="str">
        <f>IFERROR(VLOOKUP($D861,본공사입.출고현황!$B:$H,I$2080,0),0)</f>
        <v>M</v>
      </c>
      <c r="J861" s="9">
        <v>1</v>
      </c>
      <c r="K861" s="9" t="s">
        <v>363</v>
      </c>
      <c r="L861" s="37">
        <v>70</v>
      </c>
      <c r="M861" s="64" t="s">
        <v>358</v>
      </c>
      <c r="N861" s="42"/>
    </row>
    <row r="862" spans="1:14" ht="24" customHeight="1">
      <c r="A862" s="8">
        <v>818</v>
      </c>
      <c r="B862" s="9">
        <v>818</v>
      </c>
      <c r="C862" s="46">
        <v>46021</v>
      </c>
      <c r="D862" s="9" t="s">
        <v>238</v>
      </c>
      <c r="E862" s="56" t="str">
        <f>IFERROR(VLOOKUP($D862,본공사입.출고현황!$B:$H,E$2080,0),0)</f>
        <v>Steel round bar</v>
      </c>
      <c r="F862" s="18" t="str">
        <f>IFERROR(VLOOKUP($D862,본공사입.출고현황!$B:$H,F$2080,0),0)</f>
        <v>Steel round bar(rebar)</v>
      </c>
      <c r="G862" s="18" t="str">
        <f>IFERROR(VLOOKUP($D862,본공사입.출고현황!$B:$H,G$2080,0),0)</f>
        <v>CCGG</v>
      </c>
      <c r="H862" s="18" t="str">
        <f>IFERROR(VLOOKUP($D862,본공사입.출고현황!$B:$H,H$2080,0),0)</f>
        <v>ф10, 1ton=1,620.7m</v>
      </c>
      <c r="I862" s="56" t="str">
        <f>IFERROR(VLOOKUP($D862,본공사입.출고현황!$B:$H,I$2080,0),0)</f>
        <v>M</v>
      </c>
      <c r="J862" s="9">
        <v>1</v>
      </c>
      <c r="K862" s="9" t="s">
        <v>547</v>
      </c>
      <c r="L862" s="37">
        <v>20</v>
      </c>
      <c r="M862" s="64" t="s">
        <v>358</v>
      </c>
      <c r="N862" s="42"/>
    </row>
    <row r="863" spans="1:14" ht="24" customHeight="1">
      <c r="A863" s="8">
        <v>819</v>
      </c>
      <c r="B863" s="9">
        <v>819</v>
      </c>
      <c r="C863" s="46">
        <v>46021</v>
      </c>
      <c r="D863" s="9" t="s">
        <v>238</v>
      </c>
      <c r="E863" s="56" t="str">
        <f>IFERROR(VLOOKUP($D863,본공사입.출고현황!$B:$H,E$2080,0),0)</f>
        <v>Steel round bar</v>
      </c>
      <c r="F863" s="18" t="str">
        <f>IFERROR(VLOOKUP($D863,본공사입.출고현황!$B:$H,F$2080,0),0)</f>
        <v>Steel round bar(rebar)</v>
      </c>
      <c r="G863" s="18" t="str">
        <f>IFERROR(VLOOKUP($D863,본공사입.출고현황!$B:$H,G$2080,0),0)</f>
        <v>CCGG</v>
      </c>
      <c r="H863" s="18" t="str">
        <f>IFERROR(VLOOKUP($D863,본공사입.출고현황!$B:$H,H$2080,0),0)</f>
        <v>ф10, 1ton=1,620.7m</v>
      </c>
      <c r="I863" s="56" t="str">
        <f>IFERROR(VLOOKUP($D863,본공사입.출고현황!$B:$H,I$2080,0),0)</f>
        <v>M</v>
      </c>
      <c r="J863" s="9">
        <v>2</v>
      </c>
      <c r="K863" s="9" t="s">
        <v>360</v>
      </c>
      <c r="L863" s="37">
        <v>25</v>
      </c>
      <c r="M863" s="64" t="s">
        <v>358</v>
      </c>
      <c r="N863" s="42"/>
    </row>
    <row r="864" spans="1:14" ht="24" customHeight="1">
      <c r="A864" s="8">
        <v>820</v>
      </c>
      <c r="B864" s="9">
        <v>820</v>
      </c>
      <c r="C864" s="46">
        <v>46021</v>
      </c>
      <c r="D864" s="9" t="s">
        <v>238</v>
      </c>
      <c r="E864" s="56" t="str">
        <f>IFERROR(VLOOKUP($D864,본공사입.출고현황!$B:$H,E$2080,0),0)</f>
        <v>Steel round bar</v>
      </c>
      <c r="F864" s="18" t="str">
        <f>IFERROR(VLOOKUP($D864,본공사입.출고현황!$B:$H,F$2080,0),0)</f>
        <v>Steel round bar(rebar)</v>
      </c>
      <c r="G864" s="18" t="str">
        <f>IFERROR(VLOOKUP($D864,본공사입.출고현황!$B:$H,G$2080,0),0)</f>
        <v>CCGG</v>
      </c>
      <c r="H864" s="18" t="str">
        <f>IFERROR(VLOOKUP($D864,본공사입.출고현황!$B:$H,H$2080,0),0)</f>
        <v>ф10, 1ton=1,620.7m</v>
      </c>
      <c r="I864" s="56" t="str">
        <f>IFERROR(VLOOKUP($D864,본공사입.출고현황!$B:$H,I$2080,0),0)</f>
        <v>M</v>
      </c>
      <c r="J864" s="9">
        <v>4</v>
      </c>
      <c r="K864" s="9" t="s">
        <v>351</v>
      </c>
      <c r="L864" s="37">
        <v>20</v>
      </c>
      <c r="M864" s="64" t="s">
        <v>358</v>
      </c>
      <c r="N864" s="42"/>
    </row>
    <row r="865" spans="1:14" ht="24" customHeight="1">
      <c r="A865" s="8">
        <v>821</v>
      </c>
      <c r="B865" s="9">
        <v>821</v>
      </c>
      <c r="C865" s="46">
        <v>46022</v>
      </c>
      <c r="D865" s="9" t="s">
        <v>238</v>
      </c>
      <c r="E865" s="56" t="str">
        <f>IFERROR(VLOOKUP($D865,본공사입.출고현황!$B:$H,E$2080,0),0)</f>
        <v>Steel round bar</v>
      </c>
      <c r="F865" s="18" t="str">
        <f>IFERROR(VLOOKUP($D865,본공사입.출고현황!$B:$H,F$2080,0),0)</f>
        <v>Steel round bar(rebar)</v>
      </c>
      <c r="G865" s="18" t="str">
        <f>IFERROR(VLOOKUP($D865,본공사입.출고현황!$B:$H,G$2080,0),0)</f>
        <v>CCGG</v>
      </c>
      <c r="H865" s="18" t="str">
        <f>IFERROR(VLOOKUP($D865,본공사입.출고현황!$B:$H,H$2080,0),0)</f>
        <v>ф10, 1ton=1,620.7m</v>
      </c>
      <c r="I865" s="56" t="str">
        <f>IFERROR(VLOOKUP($D865,본공사입.출고현황!$B:$H,I$2080,0),0)</f>
        <v>M</v>
      </c>
      <c r="J865" s="9" t="s">
        <v>557</v>
      </c>
      <c r="K865" s="9" t="s">
        <v>553</v>
      </c>
      <c r="L865" s="37">
        <v>5</v>
      </c>
      <c r="M865" s="64" t="s">
        <v>358</v>
      </c>
      <c r="N865" s="42"/>
    </row>
    <row r="866" spans="1:14" ht="24" customHeight="1">
      <c r="A866" s="8">
        <v>822</v>
      </c>
      <c r="B866" s="9">
        <v>822</v>
      </c>
      <c r="C866" s="46">
        <v>46022</v>
      </c>
      <c r="D866" s="9" t="s">
        <v>238</v>
      </c>
      <c r="E866" s="56" t="str">
        <f>IFERROR(VLOOKUP($D866,본공사입.출고현황!$B:$H,E$2080,0),0)</f>
        <v>Steel round bar</v>
      </c>
      <c r="F866" s="18" t="str">
        <f>IFERROR(VLOOKUP($D866,본공사입.출고현황!$B:$H,F$2080,0),0)</f>
        <v>Steel round bar(rebar)</v>
      </c>
      <c r="G866" s="18" t="str">
        <f>IFERROR(VLOOKUP($D866,본공사입.출고현황!$B:$H,G$2080,0),0)</f>
        <v>CCGG</v>
      </c>
      <c r="H866" s="18" t="str">
        <f>IFERROR(VLOOKUP($D866,본공사입.출고현황!$B:$H,H$2080,0),0)</f>
        <v>ф10, 1ton=1,620.7m</v>
      </c>
      <c r="I866" s="56" t="str">
        <f>IFERROR(VLOOKUP($D866,본공사입.출고현황!$B:$H,I$2080,0),0)</f>
        <v>M</v>
      </c>
      <c r="J866" s="9" t="s">
        <v>557</v>
      </c>
      <c r="K866" s="9" t="s">
        <v>553</v>
      </c>
      <c r="L866" s="37">
        <v>15</v>
      </c>
      <c r="M866" s="64" t="s">
        <v>358</v>
      </c>
      <c r="N866" s="42"/>
    </row>
    <row r="867" spans="1:14" ht="24" customHeight="1">
      <c r="A867" s="8">
        <v>823</v>
      </c>
      <c r="B867" s="9">
        <v>823</v>
      </c>
      <c r="C867" s="46">
        <v>46022</v>
      </c>
      <c r="D867" s="9" t="s">
        <v>238</v>
      </c>
      <c r="E867" s="56" t="str">
        <f>IFERROR(VLOOKUP($D867,본공사입.출고현황!$B:$H,E$2080,0),0)</f>
        <v>Steel round bar</v>
      </c>
      <c r="F867" s="18" t="str">
        <f>IFERROR(VLOOKUP($D867,본공사입.출고현황!$B:$H,F$2080,0),0)</f>
        <v>Steel round bar(rebar)</v>
      </c>
      <c r="G867" s="18" t="str">
        <f>IFERROR(VLOOKUP($D867,본공사입.출고현황!$B:$H,G$2080,0),0)</f>
        <v>CCGG</v>
      </c>
      <c r="H867" s="18" t="str">
        <f>IFERROR(VLOOKUP($D867,본공사입.출고현황!$B:$H,H$2080,0),0)</f>
        <v>ф10, 1ton=1,620.7m</v>
      </c>
      <c r="I867" s="56" t="str">
        <f>IFERROR(VLOOKUP($D867,본공사입.출고현황!$B:$H,I$2080,0),0)</f>
        <v>M</v>
      </c>
      <c r="J867" s="9">
        <v>1</v>
      </c>
      <c r="K867" s="9" t="s">
        <v>547</v>
      </c>
      <c r="L867" s="37">
        <v>15</v>
      </c>
      <c r="M867" s="64" t="s">
        <v>358</v>
      </c>
      <c r="N867" s="42"/>
    </row>
    <row r="868" spans="1:14" ht="24" customHeight="1">
      <c r="A868" s="8">
        <v>824</v>
      </c>
      <c r="B868" s="9">
        <v>824</v>
      </c>
      <c r="C868" s="46">
        <v>46022</v>
      </c>
      <c r="D868" s="9" t="s">
        <v>238</v>
      </c>
      <c r="E868" s="56" t="str">
        <f>IFERROR(VLOOKUP($D868,본공사입.출고현황!$B:$H,E$2080,0),0)</f>
        <v>Steel round bar</v>
      </c>
      <c r="F868" s="18" t="str">
        <f>IFERROR(VLOOKUP($D868,본공사입.출고현황!$B:$H,F$2080,0),0)</f>
        <v>Steel round bar(rebar)</v>
      </c>
      <c r="G868" s="18" t="str">
        <f>IFERROR(VLOOKUP($D868,본공사입.출고현황!$B:$H,G$2080,0),0)</f>
        <v>CCGG</v>
      </c>
      <c r="H868" s="18" t="str">
        <f>IFERROR(VLOOKUP($D868,본공사입.출고현황!$B:$H,H$2080,0),0)</f>
        <v>ф10, 1ton=1,620.7m</v>
      </c>
      <c r="I868" s="56" t="str">
        <f>IFERROR(VLOOKUP($D868,본공사입.출고현황!$B:$H,I$2080,0),0)</f>
        <v>M</v>
      </c>
      <c r="J868" s="9">
        <v>2</v>
      </c>
      <c r="K868" s="9" t="s">
        <v>360</v>
      </c>
      <c r="L868" s="37">
        <v>50</v>
      </c>
      <c r="M868" s="64" t="s">
        <v>358</v>
      </c>
      <c r="N868" s="42"/>
    </row>
    <row r="869" spans="1:14" ht="24" customHeight="1">
      <c r="A869" s="8">
        <v>825</v>
      </c>
      <c r="B869" s="9">
        <v>825</v>
      </c>
      <c r="C869" s="46">
        <v>46022</v>
      </c>
      <c r="D869" s="9" t="s">
        <v>238</v>
      </c>
      <c r="E869" s="56" t="str">
        <f>IFERROR(VLOOKUP($D869,본공사입.출고현황!$B:$H,E$2080,0),0)</f>
        <v>Steel round bar</v>
      </c>
      <c r="F869" s="18" t="str">
        <f>IFERROR(VLOOKUP($D869,본공사입.출고현황!$B:$H,F$2080,0),0)</f>
        <v>Steel round bar(rebar)</v>
      </c>
      <c r="G869" s="18" t="str">
        <f>IFERROR(VLOOKUP($D869,본공사입.출고현황!$B:$H,G$2080,0),0)</f>
        <v>CCGG</v>
      </c>
      <c r="H869" s="18" t="str">
        <f>IFERROR(VLOOKUP($D869,본공사입.출고현황!$B:$H,H$2080,0),0)</f>
        <v>ф10, 1ton=1,620.7m</v>
      </c>
      <c r="I869" s="56" t="str">
        <f>IFERROR(VLOOKUP($D869,본공사입.출고현황!$B:$H,I$2080,0),0)</f>
        <v>M</v>
      </c>
      <c r="J869" s="9">
        <v>4</v>
      </c>
      <c r="K869" s="9" t="s">
        <v>359</v>
      </c>
      <c r="L869" s="37">
        <v>25</v>
      </c>
      <c r="M869" s="64" t="s">
        <v>358</v>
      </c>
      <c r="N869" s="42"/>
    </row>
    <row r="870" spans="1:14" ht="24" customHeight="1">
      <c r="A870" s="8">
        <v>826</v>
      </c>
      <c r="B870" s="9">
        <v>826</v>
      </c>
      <c r="C870" s="46">
        <v>46023</v>
      </c>
      <c r="D870" s="9" t="s">
        <v>238</v>
      </c>
      <c r="E870" s="56" t="str">
        <f>IFERROR(VLOOKUP($D870,본공사입.출고현황!$B:$H,E$2080,0),0)</f>
        <v>Steel round bar</v>
      </c>
      <c r="F870" s="18" t="str">
        <f>IFERROR(VLOOKUP($D870,본공사입.출고현황!$B:$H,F$2080,0),0)</f>
        <v>Steel round bar(rebar)</v>
      </c>
      <c r="G870" s="18" t="str">
        <f>IFERROR(VLOOKUP($D870,본공사입.출고현황!$B:$H,G$2080,0),0)</f>
        <v>CCGG</v>
      </c>
      <c r="H870" s="18" t="str">
        <f>IFERROR(VLOOKUP($D870,본공사입.출고현황!$B:$H,H$2080,0),0)</f>
        <v>ф10, 1ton=1,620.7m</v>
      </c>
      <c r="I870" s="56" t="str">
        <f>IFERROR(VLOOKUP($D870,본공사입.출고현황!$B:$H,I$2080,0),0)</f>
        <v>M</v>
      </c>
      <c r="J870" s="9">
        <v>3</v>
      </c>
      <c r="K870" s="9" t="s">
        <v>237</v>
      </c>
      <c r="L870" s="37">
        <v>25</v>
      </c>
      <c r="M870" s="64" t="s">
        <v>358</v>
      </c>
      <c r="N870" s="42"/>
    </row>
    <row r="871" spans="1:14" ht="24" customHeight="1">
      <c r="A871" s="8">
        <v>827</v>
      </c>
      <c r="B871" s="9">
        <v>827</v>
      </c>
      <c r="C871" s="46">
        <v>46023</v>
      </c>
      <c r="D871" s="9" t="s">
        <v>238</v>
      </c>
      <c r="E871" s="56" t="str">
        <f>IFERROR(VLOOKUP($D871,본공사입.출고현황!$B:$H,E$2080,0),0)</f>
        <v>Steel round bar</v>
      </c>
      <c r="F871" s="18" t="str">
        <f>IFERROR(VLOOKUP($D871,본공사입.출고현황!$B:$H,F$2080,0),0)</f>
        <v>Steel round bar(rebar)</v>
      </c>
      <c r="G871" s="18" t="str">
        <f>IFERROR(VLOOKUP($D871,본공사입.출고현황!$B:$H,G$2080,0),0)</f>
        <v>CCGG</v>
      </c>
      <c r="H871" s="18" t="str">
        <f>IFERROR(VLOOKUP($D871,본공사입.출고현황!$B:$H,H$2080,0),0)</f>
        <v>ф10, 1ton=1,620.7m</v>
      </c>
      <c r="I871" s="56" t="str">
        <f>IFERROR(VLOOKUP($D871,본공사입.출고현황!$B:$H,I$2080,0),0)</f>
        <v>M</v>
      </c>
      <c r="J871" s="9">
        <v>4</v>
      </c>
      <c r="K871" s="9" t="s">
        <v>359</v>
      </c>
      <c r="L871" s="37">
        <v>50</v>
      </c>
      <c r="M871" s="64" t="s">
        <v>358</v>
      </c>
      <c r="N871" s="42"/>
    </row>
    <row r="872" spans="1:14" ht="24" customHeight="1">
      <c r="A872" s="8">
        <v>828</v>
      </c>
      <c r="B872" s="9">
        <v>828</v>
      </c>
      <c r="C872" s="46">
        <v>46023</v>
      </c>
      <c r="D872" s="9" t="s">
        <v>238</v>
      </c>
      <c r="E872" s="56" t="str">
        <f>IFERROR(VLOOKUP($D872,본공사입.출고현황!$B:$H,E$2080,0),0)</f>
        <v>Steel round bar</v>
      </c>
      <c r="F872" s="18" t="str">
        <f>IFERROR(VLOOKUP($D872,본공사입.출고현황!$B:$H,F$2080,0),0)</f>
        <v>Steel round bar(rebar)</v>
      </c>
      <c r="G872" s="18" t="str">
        <f>IFERROR(VLOOKUP($D872,본공사입.출고현황!$B:$H,G$2080,0),0)</f>
        <v>CCGG</v>
      </c>
      <c r="H872" s="18" t="str">
        <f>IFERROR(VLOOKUP($D872,본공사입.출고현황!$B:$H,H$2080,0),0)</f>
        <v>ф10, 1ton=1,620.7m</v>
      </c>
      <c r="I872" s="56" t="str">
        <f>IFERROR(VLOOKUP($D872,본공사입.출고현황!$B:$H,I$2080,0),0)</f>
        <v>M</v>
      </c>
      <c r="J872" s="9">
        <v>2</v>
      </c>
      <c r="K872" s="9" t="s">
        <v>546</v>
      </c>
      <c r="L872" s="37">
        <v>75</v>
      </c>
      <c r="M872" s="64" t="s">
        <v>358</v>
      </c>
      <c r="N872" s="42"/>
    </row>
    <row r="873" spans="1:14" ht="24" customHeight="1">
      <c r="A873" s="8">
        <v>829</v>
      </c>
      <c r="B873" s="9">
        <v>829</v>
      </c>
      <c r="C873" s="46">
        <v>46023</v>
      </c>
      <c r="D873" s="9" t="s">
        <v>238</v>
      </c>
      <c r="E873" s="56" t="str">
        <f>IFERROR(VLOOKUP($D873,본공사입.출고현황!$B:$H,E$2080,0),0)</f>
        <v>Steel round bar</v>
      </c>
      <c r="F873" s="18" t="str">
        <f>IFERROR(VLOOKUP($D873,본공사입.출고현황!$B:$H,F$2080,0),0)</f>
        <v>Steel round bar(rebar)</v>
      </c>
      <c r="G873" s="18" t="str">
        <f>IFERROR(VLOOKUP($D873,본공사입.출고현황!$B:$H,G$2080,0),0)</f>
        <v>CCGG</v>
      </c>
      <c r="H873" s="18" t="str">
        <f>IFERROR(VLOOKUP($D873,본공사입.출고현황!$B:$H,H$2080,0),0)</f>
        <v>ф10, 1ton=1,620.7m</v>
      </c>
      <c r="I873" s="56" t="str">
        <f>IFERROR(VLOOKUP($D873,본공사입.출고현황!$B:$H,I$2080,0),0)</f>
        <v>M</v>
      </c>
      <c r="J873" s="9">
        <v>1</v>
      </c>
      <c r="K873" s="9" t="s">
        <v>352</v>
      </c>
      <c r="L873" s="37">
        <v>115</v>
      </c>
      <c r="M873" s="64" t="s">
        <v>358</v>
      </c>
      <c r="N873" s="42"/>
    </row>
    <row r="874" spans="1:14" ht="24" customHeight="1">
      <c r="A874" s="8">
        <v>830</v>
      </c>
      <c r="B874" s="9">
        <v>830</v>
      </c>
      <c r="C874" s="46">
        <v>46023</v>
      </c>
      <c r="D874" s="9" t="s">
        <v>238</v>
      </c>
      <c r="E874" s="56" t="str">
        <f>IFERROR(VLOOKUP($D874,본공사입.출고현황!$B:$H,E$2080,0),0)</f>
        <v>Steel round bar</v>
      </c>
      <c r="F874" s="18" t="str">
        <f>IFERROR(VLOOKUP($D874,본공사입.출고현황!$B:$H,F$2080,0),0)</f>
        <v>Steel round bar(rebar)</v>
      </c>
      <c r="G874" s="18" t="str">
        <f>IFERROR(VLOOKUP($D874,본공사입.출고현황!$B:$H,G$2080,0),0)</f>
        <v>CCGG</v>
      </c>
      <c r="H874" s="18" t="str">
        <f>IFERROR(VLOOKUP($D874,본공사입.출고현황!$B:$H,H$2080,0),0)</f>
        <v>ф10, 1ton=1,620.7m</v>
      </c>
      <c r="I874" s="56" t="str">
        <f>IFERROR(VLOOKUP($D874,본공사입.출고현황!$B:$H,I$2080,0),0)</f>
        <v>M</v>
      </c>
      <c r="J874" s="9">
        <v>2</v>
      </c>
      <c r="K874" s="9" t="s">
        <v>360</v>
      </c>
      <c r="L874" s="37">
        <v>50</v>
      </c>
      <c r="M874" s="64" t="s">
        <v>358</v>
      </c>
      <c r="N874" s="42"/>
    </row>
    <row r="875" spans="1:14" ht="24" customHeight="1">
      <c r="A875" s="8">
        <v>831</v>
      </c>
      <c r="B875" s="9">
        <v>831</v>
      </c>
      <c r="C875" s="46">
        <v>46024</v>
      </c>
      <c r="D875" s="9" t="s">
        <v>238</v>
      </c>
      <c r="E875" s="56" t="str">
        <f>IFERROR(VLOOKUP($D875,본공사입.출고현황!$B:$H,E$2080,0),0)</f>
        <v>Steel round bar</v>
      </c>
      <c r="F875" s="18" t="str">
        <f>IFERROR(VLOOKUP($D875,본공사입.출고현황!$B:$H,F$2080,0),0)</f>
        <v>Steel round bar(rebar)</v>
      </c>
      <c r="G875" s="18" t="str">
        <f>IFERROR(VLOOKUP($D875,본공사입.출고현황!$B:$H,G$2080,0),0)</f>
        <v>CCGG</v>
      </c>
      <c r="H875" s="18" t="str">
        <f>IFERROR(VLOOKUP($D875,본공사입.출고현황!$B:$H,H$2080,0),0)</f>
        <v>ф10, 1ton=1,620.7m</v>
      </c>
      <c r="I875" s="56" t="str">
        <f>IFERROR(VLOOKUP($D875,본공사입.출고현황!$B:$H,I$2080,0),0)</f>
        <v>M</v>
      </c>
      <c r="J875" s="9">
        <v>1</v>
      </c>
      <c r="K875" s="9" t="s">
        <v>363</v>
      </c>
      <c r="L875" s="37">
        <v>40</v>
      </c>
      <c r="M875" s="64" t="s">
        <v>358</v>
      </c>
      <c r="N875" s="42"/>
    </row>
    <row r="876" spans="1:14" ht="24" customHeight="1">
      <c r="A876" s="8">
        <v>832</v>
      </c>
      <c r="B876" s="9">
        <v>832</v>
      </c>
      <c r="C876" s="46">
        <v>46024</v>
      </c>
      <c r="D876" s="9" t="s">
        <v>238</v>
      </c>
      <c r="E876" s="56" t="str">
        <f>IFERROR(VLOOKUP($D876,본공사입.출고현황!$B:$H,E$2080,0),0)</f>
        <v>Steel round bar</v>
      </c>
      <c r="F876" s="18" t="str">
        <f>IFERROR(VLOOKUP($D876,본공사입.출고현황!$B:$H,F$2080,0),0)</f>
        <v>Steel round bar(rebar)</v>
      </c>
      <c r="G876" s="18" t="str">
        <f>IFERROR(VLOOKUP($D876,본공사입.출고현황!$B:$H,G$2080,0),0)</f>
        <v>CCGG</v>
      </c>
      <c r="H876" s="18" t="str">
        <f>IFERROR(VLOOKUP($D876,본공사입.출고현황!$B:$H,H$2080,0),0)</f>
        <v>ф10, 1ton=1,620.7m</v>
      </c>
      <c r="I876" s="56" t="str">
        <f>IFERROR(VLOOKUP($D876,본공사입.출고현황!$B:$H,I$2080,0),0)</f>
        <v>M</v>
      </c>
      <c r="J876" s="9">
        <v>1</v>
      </c>
      <c r="K876" s="9" t="s">
        <v>547</v>
      </c>
      <c r="L876" s="37">
        <v>20</v>
      </c>
      <c r="M876" s="64" t="s">
        <v>358</v>
      </c>
      <c r="N876" s="42"/>
    </row>
    <row r="877" spans="1:14" ht="24" customHeight="1">
      <c r="A877" s="8">
        <v>833</v>
      </c>
      <c r="B877" s="9">
        <v>833</v>
      </c>
      <c r="C877" s="46">
        <v>46024</v>
      </c>
      <c r="D877" s="9" t="s">
        <v>238</v>
      </c>
      <c r="E877" s="56" t="str">
        <f>IFERROR(VLOOKUP($D877,본공사입.출고현황!$B:$H,E$2080,0),0)</f>
        <v>Steel round bar</v>
      </c>
      <c r="F877" s="18" t="str">
        <f>IFERROR(VLOOKUP($D877,본공사입.출고현황!$B:$H,F$2080,0),0)</f>
        <v>Steel round bar(rebar)</v>
      </c>
      <c r="G877" s="18" t="str">
        <f>IFERROR(VLOOKUP($D877,본공사입.출고현황!$B:$H,G$2080,0),0)</f>
        <v>CCGG</v>
      </c>
      <c r="H877" s="18" t="str">
        <f>IFERROR(VLOOKUP($D877,본공사입.출고현황!$B:$H,H$2080,0),0)</f>
        <v>ф10, 1ton=1,620.7m</v>
      </c>
      <c r="I877" s="56" t="str">
        <f>IFERROR(VLOOKUP($D877,본공사입.출고현황!$B:$H,I$2080,0),0)</f>
        <v>M</v>
      </c>
      <c r="J877" s="9">
        <v>1</v>
      </c>
      <c r="K877" s="9" t="s">
        <v>363</v>
      </c>
      <c r="L877" s="37">
        <v>20</v>
      </c>
      <c r="M877" s="64" t="s">
        <v>358</v>
      </c>
      <c r="N877" s="42"/>
    </row>
    <row r="878" spans="1:14" ht="24" customHeight="1">
      <c r="A878" s="8">
        <v>834</v>
      </c>
      <c r="B878" s="9">
        <v>834</v>
      </c>
      <c r="C878" s="46">
        <v>46024</v>
      </c>
      <c r="D878" s="9" t="s">
        <v>238</v>
      </c>
      <c r="E878" s="56" t="str">
        <f>IFERROR(VLOOKUP($D878,본공사입.출고현황!$B:$H,E$2080,0),0)</f>
        <v>Steel round bar</v>
      </c>
      <c r="F878" s="18" t="str">
        <f>IFERROR(VLOOKUP($D878,본공사입.출고현황!$B:$H,F$2080,0),0)</f>
        <v>Steel round bar(rebar)</v>
      </c>
      <c r="G878" s="18" t="str">
        <f>IFERROR(VLOOKUP($D878,본공사입.출고현황!$B:$H,G$2080,0),0)</f>
        <v>CCGG</v>
      </c>
      <c r="H878" s="18" t="str">
        <f>IFERROR(VLOOKUP($D878,본공사입.출고현황!$B:$H,H$2080,0),0)</f>
        <v>ф10, 1ton=1,620.7m</v>
      </c>
      <c r="I878" s="56" t="str">
        <f>IFERROR(VLOOKUP($D878,본공사입.출고현황!$B:$H,I$2080,0),0)</f>
        <v>M</v>
      </c>
      <c r="J878" s="9">
        <v>3</v>
      </c>
      <c r="K878" s="9" t="s">
        <v>550</v>
      </c>
      <c r="L878" s="37">
        <v>20</v>
      </c>
      <c r="M878" s="64" t="s">
        <v>358</v>
      </c>
      <c r="N878" s="42"/>
    </row>
    <row r="879" spans="1:14" ht="24" customHeight="1">
      <c r="A879" s="8">
        <v>835</v>
      </c>
      <c r="B879" s="9">
        <v>835</v>
      </c>
      <c r="C879" s="46">
        <v>46024</v>
      </c>
      <c r="D879" s="9" t="s">
        <v>238</v>
      </c>
      <c r="E879" s="56" t="str">
        <f>IFERROR(VLOOKUP($D879,본공사입.출고현황!$B:$H,E$2080,0),0)</f>
        <v>Steel round bar</v>
      </c>
      <c r="F879" s="18" t="str">
        <f>IFERROR(VLOOKUP($D879,본공사입.출고현황!$B:$H,F$2080,0),0)</f>
        <v>Steel round bar(rebar)</v>
      </c>
      <c r="G879" s="18" t="str">
        <f>IFERROR(VLOOKUP($D879,본공사입.출고현황!$B:$H,G$2080,0),0)</f>
        <v>CCGG</v>
      </c>
      <c r="H879" s="18" t="str">
        <f>IFERROR(VLOOKUP($D879,본공사입.출고현황!$B:$H,H$2080,0),0)</f>
        <v>ф10, 1ton=1,620.7m</v>
      </c>
      <c r="I879" s="56" t="str">
        <f>IFERROR(VLOOKUP($D879,본공사입.출고현황!$B:$H,I$2080,0),0)</f>
        <v>M</v>
      </c>
      <c r="J879" s="9">
        <v>2</v>
      </c>
      <c r="K879" s="9" t="s">
        <v>360</v>
      </c>
      <c r="L879" s="37">
        <v>25</v>
      </c>
      <c r="M879" s="64" t="s">
        <v>358</v>
      </c>
      <c r="N879" s="42"/>
    </row>
    <row r="880" spans="1:14" ht="24" customHeight="1">
      <c r="A880" s="8">
        <v>836</v>
      </c>
      <c r="B880" s="9">
        <v>836</v>
      </c>
      <c r="C880" s="46">
        <v>46024</v>
      </c>
      <c r="D880" s="9" t="s">
        <v>238</v>
      </c>
      <c r="E880" s="56" t="str">
        <f>IFERROR(VLOOKUP($D880,본공사입.출고현황!$B:$H,E$2080,0),0)</f>
        <v>Steel round bar</v>
      </c>
      <c r="F880" s="18" t="str">
        <f>IFERROR(VLOOKUP($D880,본공사입.출고현황!$B:$H,F$2080,0),0)</f>
        <v>Steel round bar(rebar)</v>
      </c>
      <c r="G880" s="18" t="str">
        <f>IFERROR(VLOOKUP($D880,본공사입.출고현황!$B:$H,G$2080,0),0)</f>
        <v>CCGG</v>
      </c>
      <c r="H880" s="18" t="str">
        <f>IFERROR(VLOOKUP($D880,본공사입.출고현황!$B:$H,H$2080,0),0)</f>
        <v>ф10, 1ton=1,620.7m</v>
      </c>
      <c r="I880" s="56" t="str">
        <f>IFERROR(VLOOKUP($D880,본공사입.출고현황!$B:$H,I$2080,0),0)</f>
        <v>M</v>
      </c>
      <c r="J880" s="9">
        <v>2</v>
      </c>
      <c r="K880" s="9" t="s">
        <v>360</v>
      </c>
      <c r="L880" s="37">
        <v>40</v>
      </c>
      <c r="M880" s="64" t="s">
        <v>358</v>
      </c>
      <c r="N880" s="42"/>
    </row>
    <row r="881" spans="1:14" ht="24" customHeight="1">
      <c r="A881" s="8">
        <v>837</v>
      </c>
      <c r="B881" s="9">
        <v>837</v>
      </c>
      <c r="C881" s="46">
        <v>46024</v>
      </c>
      <c r="D881" s="9" t="s">
        <v>238</v>
      </c>
      <c r="E881" s="56" t="str">
        <f>IFERROR(VLOOKUP($D881,본공사입.출고현황!$B:$H,E$2080,0),0)</f>
        <v>Steel round bar</v>
      </c>
      <c r="F881" s="18" t="str">
        <f>IFERROR(VLOOKUP($D881,본공사입.출고현황!$B:$H,F$2080,0),0)</f>
        <v>Steel round bar(rebar)</v>
      </c>
      <c r="G881" s="18" t="str">
        <f>IFERROR(VLOOKUP($D881,본공사입.출고현황!$B:$H,G$2080,0),0)</f>
        <v>CCGG</v>
      </c>
      <c r="H881" s="18" t="str">
        <f>IFERROR(VLOOKUP($D881,본공사입.출고현황!$B:$H,H$2080,0),0)</f>
        <v>ф10, 1ton=1,620.7m</v>
      </c>
      <c r="I881" s="56" t="str">
        <f>IFERROR(VLOOKUP($D881,본공사입.출고현황!$B:$H,I$2080,0),0)</f>
        <v>M</v>
      </c>
      <c r="J881" s="9">
        <v>3</v>
      </c>
      <c r="K881" s="9" t="s">
        <v>550</v>
      </c>
      <c r="L881" s="37">
        <v>15</v>
      </c>
      <c r="M881" s="64" t="s">
        <v>358</v>
      </c>
      <c r="N881" s="42"/>
    </row>
    <row r="882" spans="1:14" ht="24" customHeight="1">
      <c r="A882" s="8">
        <v>838</v>
      </c>
      <c r="B882" s="9">
        <v>838</v>
      </c>
      <c r="C882" s="46">
        <v>46024</v>
      </c>
      <c r="D882" s="9" t="s">
        <v>238</v>
      </c>
      <c r="E882" s="56" t="str">
        <f>IFERROR(VLOOKUP($D882,본공사입.출고현황!$B:$H,E$2080,0),0)</f>
        <v>Steel round bar</v>
      </c>
      <c r="F882" s="18" t="str">
        <f>IFERROR(VLOOKUP($D882,본공사입.출고현황!$B:$H,F$2080,0),0)</f>
        <v>Steel round bar(rebar)</v>
      </c>
      <c r="G882" s="18" t="str">
        <f>IFERROR(VLOOKUP($D882,본공사입.출고현황!$B:$H,G$2080,0),0)</f>
        <v>CCGG</v>
      </c>
      <c r="H882" s="18" t="str">
        <f>IFERROR(VLOOKUP($D882,본공사입.출고현황!$B:$H,H$2080,0),0)</f>
        <v>ф10, 1ton=1,620.7m</v>
      </c>
      <c r="I882" s="56" t="str">
        <f>IFERROR(VLOOKUP($D882,본공사입.출고현황!$B:$H,I$2080,0),0)</f>
        <v>M</v>
      </c>
      <c r="J882" s="9">
        <v>1</v>
      </c>
      <c r="K882" s="9" t="s">
        <v>363</v>
      </c>
      <c r="L882" s="37">
        <v>40</v>
      </c>
      <c r="M882" s="64" t="s">
        <v>358</v>
      </c>
      <c r="N882" s="42"/>
    </row>
    <row r="883" spans="1:14" ht="24" customHeight="1">
      <c r="A883" s="8">
        <v>839</v>
      </c>
      <c r="B883" s="9">
        <v>839</v>
      </c>
      <c r="C883" s="46">
        <v>46024</v>
      </c>
      <c r="D883" s="9" t="s">
        <v>238</v>
      </c>
      <c r="E883" s="56" t="str">
        <f>IFERROR(VLOOKUP($D883,본공사입.출고현황!$B:$H,E$2080,0),0)</f>
        <v>Steel round bar</v>
      </c>
      <c r="F883" s="18" t="str">
        <f>IFERROR(VLOOKUP($D883,본공사입.출고현황!$B:$H,F$2080,0),0)</f>
        <v>Steel round bar(rebar)</v>
      </c>
      <c r="G883" s="18" t="str">
        <f>IFERROR(VLOOKUP($D883,본공사입.출고현황!$B:$H,G$2080,0),0)</f>
        <v>CCGG</v>
      </c>
      <c r="H883" s="18" t="str">
        <f>IFERROR(VLOOKUP($D883,본공사입.출고현황!$B:$H,H$2080,0),0)</f>
        <v>ф10, 1ton=1,620.7m</v>
      </c>
      <c r="I883" s="56" t="str">
        <f>IFERROR(VLOOKUP($D883,본공사입.출고현황!$B:$H,I$2080,0),0)</f>
        <v>M</v>
      </c>
      <c r="J883" s="9">
        <v>1</v>
      </c>
      <c r="K883" s="9" t="s">
        <v>547</v>
      </c>
      <c r="L883" s="37">
        <v>20</v>
      </c>
      <c r="M883" s="64" t="s">
        <v>358</v>
      </c>
      <c r="N883" s="42"/>
    </row>
    <row r="884" spans="1:14" ht="24" customHeight="1">
      <c r="A884" s="8">
        <v>840</v>
      </c>
      <c r="B884" s="9">
        <v>840</v>
      </c>
      <c r="C884" s="46">
        <v>46024</v>
      </c>
      <c r="D884" s="9" t="s">
        <v>238</v>
      </c>
      <c r="E884" s="56" t="str">
        <f>IFERROR(VLOOKUP($D884,본공사입.출고현황!$B:$H,E$2080,0),0)</f>
        <v>Steel round bar</v>
      </c>
      <c r="F884" s="18" t="str">
        <f>IFERROR(VLOOKUP($D884,본공사입.출고현황!$B:$H,F$2080,0),0)</f>
        <v>Steel round bar(rebar)</v>
      </c>
      <c r="G884" s="18" t="str">
        <f>IFERROR(VLOOKUP($D884,본공사입.출고현황!$B:$H,G$2080,0),0)</f>
        <v>CCGG</v>
      </c>
      <c r="H884" s="18" t="str">
        <f>IFERROR(VLOOKUP($D884,본공사입.출고현황!$B:$H,H$2080,0),0)</f>
        <v>ф10, 1ton=1,620.7m</v>
      </c>
      <c r="I884" s="56" t="str">
        <f>IFERROR(VLOOKUP($D884,본공사입.출고현황!$B:$H,I$2080,0),0)</f>
        <v>M</v>
      </c>
      <c r="J884" s="9">
        <v>1</v>
      </c>
      <c r="K884" s="9" t="s">
        <v>363</v>
      </c>
      <c r="L884" s="37">
        <v>20</v>
      </c>
      <c r="M884" s="64" t="s">
        <v>358</v>
      </c>
      <c r="N884" s="42"/>
    </row>
    <row r="885" spans="1:14" ht="24" customHeight="1">
      <c r="A885" s="8">
        <v>841</v>
      </c>
      <c r="B885" s="9">
        <v>841</v>
      </c>
      <c r="C885" s="46">
        <v>46024</v>
      </c>
      <c r="D885" s="9" t="s">
        <v>238</v>
      </c>
      <c r="E885" s="56" t="str">
        <f>IFERROR(VLOOKUP($D885,본공사입.출고현황!$B:$H,E$2080,0),0)</f>
        <v>Steel round bar</v>
      </c>
      <c r="F885" s="18" t="str">
        <f>IFERROR(VLOOKUP($D885,본공사입.출고현황!$B:$H,F$2080,0),0)</f>
        <v>Steel round bar(rebar)</v>
      </c>
      <c r="G885" s="18" t="str">
        <f>IFERROR(VLOOKUP($D885,본공사입.출고현황!$B:$H,G$2080,0),0)</f>
        <v>CCGG</v>
      </c>
      <c r="H885" s="18" t="str">
        <f>IFERROR(VLOOKUP($D885,본공사입.출고현황!$B:$H,H$2080,0),0)</f>
        <v>ф10, 1ton=1,620.7m</v>
      </c>
      <c r="I885" s="56" t="str">
        <f>IFERROR(VLOOKUP($D885,본공사입.출고현황!$B:$H,I$2080,0),0)</f>
        <v>M</v>
      </c>
      <c r="J885" s="9">
        <v>3</v>
      </c>
      <c r="K885" s="9" t="s">
        <v>550</v>
      </c>
      <c r="L885" s="37">
        <v>20</v>
      </c>
      <c r="M885" s="64" t="s">
        <v>358</v>
      </c>
      <c r="N885" s="42"/>
    </row>
    <row r="886" spans="1:14" ht="24" customHeight="1">
      <c r="A886" s="8">
        <v>842</v>
      </c>
      <c r="B886" s="9">
        <v>842</v>
      </c>
      <c r="C886" s="46">
        <v>46024</v>
      </c>
      <c r="D886" s="9" t="s">
        <v>238</v>
      </c>
      <c r="E886" s="56" t="str">
        <f>IFERROR(VLOOKUP($D886,본공사입.출고현황!$B:$H,E$2080,0),0)</f>
        <v>Steel round bar</v>
      </c>
      <c r="F886" s="18" t="str">
        <f>IFERROR(VLOOKUP($D886,본공사입.출고현황!$B:$H,F$2080,0),0)</f>
        <v>Steel round bar(rebar)</v>
      </c>
      <c r="G886" s="18" t="str">
        <f>IFERROR(VLOOKUP($D886,본공사입.출고현황!$B:$H,G$2080,0),0)</f>
        <v>CCGG</v>
      </c>
      <c r="H886" s="18" t="str">
        <f>IFERROR(VLOOKUP($D886,본공사입.출고현황!$B:$H,H$2080,0),0)</f>
        <v>ф10, 1ton=1,620.7m</v>
      </c>
      <c r="I886" s="56" t="str">
        <f>IFERROR(VLOOKUP($D886,본공사입.출고현황!$B:$H,I$2080,0),0)</f>
        <v>M</v>
      </c>
      <c r="J886" s="9">
        <v>2</v>
      </c>
      <c r="K886" s="9" t="s">
        <v>360</v>
      </c>
      <c r="L886" s="37">
        <v>25</v>
      </c>
      <c r="M886" s="64" t="s">
        <v>358</v>
      </c>
      <c r="N886" s="42"/>
    </row>
    <row r="887" spans="1:14" ht="24" customHeight="1">
      <c r="A887" s="8">
        <v>843</v>
      </c>
      <c r="B887" s="9">
        <v>843</v>
      </c>
      <c r="C887" s="46">
        <v>46024</v>
      </c>
      <c r="D887" s="9" t="s">
        <v>238</v>
      </c>
      <c r="E887" s="56" t="str">
        <f>IFERROR(VLOOKUP($D887,본공사입.출고현황!$B:$H,E$2080,0),0)</f>
        <v>Steel round bar</v>
      </c>
      <c r="F887" s="18" t="str">
        <f>IFERROR(VLOOKUP($D887,본공사입.출고현황!$B:$H,F$2080,0),0)</f>
        <v>Steel round bar(rebar)</v>
      </c>
      <c r="G887" s="18" t="str">
        <f>IFERROR(VLOOKUP($D887,본공사입.출고현황!$B:$H,G$2080,0),0)</f>
        <v>CCGG</v>
      </c>
      <c r="H887" s="18" t="str">
        <f>IFERROR(VLOOKUP($D887,본공사입.출고현황!$B:$H,H$2080,0),0)</f>
        <v>ф10, 1ton=1,620.7m</v>
      </c>
      <c r="I887" s="56" t="str">
        <f>IFERROR(VLOOKUP($D887,본공사입.출고현황!$B:$H,I$2080,0),0)</f>
        <v>M</v>
      </c>
      <c r="J887" s="9">
        <v>1</v>
      </c>
      <c r="K887" s="9" t="s">
        <v>352</v>
      </c>
      <c r="L887" s="37">
        <v>25</v>
      </c>
      <c r="M887" s="64" t="s">
        <v>358</v>
      </c>
      <c r="N887" s="42"/>
    </row>
    <row r="888" spans="1:14" ht="24" customHeight="1">
      <c r="A888" s="8">
        <v>844</v>
      </c>
      <c r="B888" s="9">
        <v>844</v>
      </c>
      <c r="C888" s="46">
        <v>46025</v>
      </c>
      <c r="D888" s="9" t="s">
        <v>238</v>
      </c>
      <c r="E888" s="56" t="str">
        <f>IFERROR(VLOOKUP($D888,본공사입.출고현황!$B:$H,E$2080,0),0)</f>
        <v>Steel round bar</v>
      </c>
      <c r="F888" s="18" t="str">
        <f>IFERROR(VLOOKUP($D888,본공사입.출고현황!$B:$H,F$2080,0),0)</f>
        <v>Steel round bar(rebar)</v>
      </c>
      <c r="G888" s="18" t="str">
        <f>IFERROR(VLOOKUP($D888,본공사입.출고현황!$B:$H,G$2080,0),0)</f>
        <v>CCGG</v>
      </c>
      <c r="H888" s="18" t="str">
        <f>IFERROR(VLOOKUP($D888,본공사입.출고현황!$B:$H,H$2080,0),0)</f>
        <v>ф10, 1ton=1,620.7m</v>
      </c>
      <c r="I888" s="56" t="str">
        <f>IFERROR(VLOOKUP($D888,본공사입.출고현황!$B:$H,I$2080,0),0)</f>
        <v>M</v>
      </c>
      <c r="J888" s="9" t="s">
        <v>557</v>
      </c>
      <c r="K888" s="9" t="s">
        <v>553</v>
      </c>
      <c r="L888" s="37">
        <v>5</v>
      </c>
      <c r="M888" s="64" t="s">
        <v>358</v>
      </c>
      <c r="N888" s="42"/>
    </row>
    <row r="889" spans="1:14" ht="24" customHeight="1">
      <c r="A889" s="8">
        <v>845</v>
      </c>
      <c r="B889" s="9">
        <v>845</v>
      </c>
      <c r="C889" s="46">
        <v>46025</v>
      </c>
      <c r="D889" s="9" t="s">
        <v>238</v>
      </c>
      <c r="E889" s="56" t="str">
        <f>IFERROR(VLOOKUP($D889,본공사입.출고현황!$B:$H,E$2080,0),0)</f>
        <v>Steel round bar</v>
      </c>
      <c r="F889" s="18" t="str">
        <f>IFERROR(VLOOKUP($D889,본공사입.출고현황!$B:$H,F$2080,0),0)</f>
        <v>Steel round bar(rebar)</v>
      </c>
      <c r="G889" s="18" t="str">
        <f>IFERROR(VLOOKUP($D889,본공사입.출고현황!$B:$H,G$2080,0),0)</f>
        <v>CCGG</v>
      </c>
      <c r="H889" s="18" t="str">
        <f>IFERROR(VLOOKUP($D889,본공사입.출고현황!$B:$H,H$2080,0),0)</f>
        <v>ф10, 1ton=1,620.7m</v>
      </c>
      <c r="I889" s="56" t="str">
        <f>IFERROR(VLOOKUP($D889,본공사입.출고현황!$B:$H,I$2080,0),0)</f>
        <v>M</v>
      </c>
      <c r="J889" s="9" t="s">
        <v>557</v>
      </c>
      <c r="K889" s="9" t="s">
        <v>553</v>
      </c>
      <c r="L889" s="37">
        <v>2</v>
      </c>
      <c r="M889" s="64" t="s">
        <v>358</v>
      </c>
      <c r="N889" s="42"/>
    </row>
    <row r="890" spans="1:14" ht="24" customHeight="1">
      <c r="A890" s="8">
        <v>846</v>
      </c>
      <c r="B890" s="9">
        <v>846</v>
      </c>
      <c r="C890" s="46">
        <v>46025</v>
      </c>
      <c r="D890" s="9" t="s">
        <v>238</v>
      </c>
      <c r="E890" s="56" t="str">
        <f>IFERROR(VLOOKUP($D890,본공사입.출고현황!$B:$H,E$2080,0),0)</f>
        <v>Steel round bar</v>
      </c>
      <c r="F890" s="18" t="str">
        <f>IFERROR(VLOOKUP($D890,본공사입.출고현황!$B:$H,F$2080,0),0)</f>
        <v>Steel round bar(rebar)</v>
      </c>
      <c r="G890" s="18" t="str">
        <f>IFERROR(VLOOKUP($D890,본공사입.출고현황!$B:$H,G$2080,0),0)</f>
        <v>CCGG</v>
      </c>
      <c r="H890" s="18" t="str">
        <f>IFERROR(VLOOKUP($D890,본공사입.출고현황!$B:$H,H$2080,0),0)</f>
        <v>ф10, 1ton=1,620.7m</v>
      </c>
      <c r="I890" s="56" t="str">
        <f>IFERROR(VLOOKUP($D890,본공사입.출고현황!$B:$H,I$2080,0),0)</f>
        <v>M</v>
      </c>
      <c r="J890" s="9">
        <v>2</v>
      </c>
      <c r="K890" s="9" t="s">
        <v>360</v>
      </c>
      <c r="L890" s="37">
        <v>25</v>
      </c>
      <c r="M890" s="64" t="s">
        <v>358</v>
      </c>
      <c r="N890" s="42"/>
    </row>
    <row r="891" spans="1:14" ht="24" customHeight="1">
      <c r="A891" s="8">
        <v>847</v>
      </c>
      <c r="B891" s="9">
        <v>847</v>
      </c>
      <c r="C891" s="46">
        <v>46025</v>
      </c>
      <c r="D891" s="9" t="s">
        <v>238</v>
      </c>
      <c r="E891" s="56" t="str">
        <f>IFERROR(VLOOKUP($D891,본공사입.출고현황!$B:$H,E$2080,0),0)</f>
        <v>Steel round bar</v>
      </c>
      <c r="F891" s="18" t="str">
        <f>IFERROR(VLOOKUP($D891,본공사입.출고현황!$B:$H,F$2080,0),0)</f>
        <v>Steel round bar(rebar)</v>
      </c>
      <c r="G891" s="18" t="str">
        <f>IFERROR(VLOOKUP($D891,본공사입.출고현황!$B:$H,G$2080,0),0)</f>
        <v>CCGG</v>
      </c>
      <c r="H891" s="18" t="str">
        <f>IFERROR(VLOOKUP($D891,본공사입.출고현황!$B:$H,H$2080,0),0)</f>
        <v>ф10, 1ton=1,620.7m</v>
      </c>
      <c r="I891" s="56" t="str">
        <f>IFERROR(VLOOKUP($D891,본공사입.출고현황!$B:$H,I$2080,0),0)</f>
        <v>M</v>
      </c>
      <c r="J891" s="9">
        <v>3</v>
      </c>
      <c r="K891" s="9" t="s">
        <v>550</v>
      </c>
      <c r="L891" s="37">
        <v>30</v>
      </c>
      <c r="M891" s="64" t="s">
        <v>358</v>
      </c>
      <c r="N891" s="42"/>
    </row>
    <row r="892" spans="1:14" ht="24" customHeight="1">
      <c r="A892" s="8">
        <v>848</v>
      </c>
      <c r="B892" s="9">
        <v>848</v>
      </c>
      <c r="C892" s="46">
        <v>46025</v>
      </c>
      <c r="D892" s="9" t="s">
        <v>238</v>
      </c>
      <c r="E892" s="56" t="str">
        <f>IFERROR(VLOOKUP($D892,본공사입.출고현황!$B:$H,E$2080,0),0)</f>
        <v>Steel round bar</v>
      </c>
      <c r="F892" s="18" t="str">
        <f>IFERROR(VLOOKUP($D892,본공사입.출고현황!$B:$H,F$2080,0),0)</f>
        <v>Steel round bar(rebar)</v>
      </c>
      <c r="G892" s="18" t="str">
        <f>IFERROR(VLOOKUP($D892,본공사입.출고현황!$B:$H,G$2080,0),0)</f>
        <v>CCGG</v>
      </c>
      <c r="H892" s="18" t="str">
        <f>IFERROR(VLOOKUP($D892,본공사입.출고현황!$B:$H,H$2080,0),0)</f>
        <v>ф10, 1ton=1,620.7m</v>
      </c>
      <c r="I892" s="56" t="str">
        <f>IFERROR(VLOOKUP($D892,본공사입.출고현황!$B:$H,I$2080,0),0)</f>
        <v>M</v>
      </c>
      <c r="J892" s="9">
        <v>1</v>
      </c>
      <c r="K892" s="9" t="s">
        <v>352</v>
      </c>
      <c r="L892" s="37">
        <v>80</v>
      </c>
      <c r="M892" s="64" t="s">
        <v>358</v>
      </c>
      <c r="N892" s="42"/>
    </row>
    <row r="893" spans="1:14" ht="24" customHeight="1">
      <c r="A893" s="8">
        <v>849</v>
      </c>
      <c r="B893" s="9">
        <v>849</v>
      </c>
      <c r="C893" s="46">
        <v>46025</v>
      </c>
      <c r="D893" s="9" t="s">
        <v>238</v>
      </c>
      <c r="E893" s="56" t="str">
        <f>IFERROR(VLOOKUP($D893,본공사입.출고현황!$B:$H,E$2080,0),0)</f>
        <v>Steel round bar</v>
      </c>
      <c r="F893" s="18" t="str">
        <f>IFERROR(VLOOKUP($D893,본공사입.출고현황!$B:$H,F$2080,0),0)</f>
        <v>Steel round bar(rebar)</v>
      </c>
      <c r="G893" s="18" t="str">
        <f>IFERROR(VLOOKUP($D893,본공사입.출고현황!$B:$H,G$2080,0),0)</f>
        <v>CCGG</v>
      </c>
      <c r="H893" s="18" t="str">
        <f>IFERROR(VLOOKUP($D893,본공사입.출고현황!$B:$H,H$2080,0),0)</f>
        <v>ф10, 1ton=1,620.7m</v>
      </c>
      <c r="I893" s="56" t="str">
        <f>IFERROR(VLOOKUP($D893,본공사입.출고현황!$B:$H,I$2080,0),0)</f>
        <v>M</v>
      </c>
      <c r="J893" s="9">
        <v>3</v>
      </c>
      <c r="K893" s="9" t="s">
        <v>237</v>
      </c>
      <c r="L893" s="37">
        <v>20</v>
      </c>
      <c r="M893" s="64" t="s">
        <v>408</v>
      </c>
      <c r="N893" s="42"/>
    </row>
    <row r="894" spans="1:14" ht="24" customHeight="1">
      <c r="A894" s="8">
        <v>850</v>
      </c>
      <c r="B894" s="9">
        <v>850</v>
      </c>
      <c r="C894" s="46">
        <v>46025</v>
      </c>
      <c r="D894" s="9" t="s">
        <v>238</v>
      </c>
      <c r="E894" s="56" t="str">
        <f>IFERROR(VLOOKUP($D894,본공사입.출고현황!$B:$H,E$2080,0),0)</f>
        <v>Steel round bar</v>
      </c>
      <c r="F894" s="18" t="str">
        <f>IFERROR(VLOOKUP($D894,본공사입.출고현황!$B:$H,F$2080,0),0)</f>
        <v>Steel round bar(rebar)</v>
      </c>
      <c r="G894" s="18" t="str">
        <f>IFERROR(VLOOKUP($D894,본공사입.출고현황!$B:$H,G$2080,0),0)</f>
        <v>CCGG</v>
      </c>
      <c r="H894" s="18" t="str">
        <f>IFERROR(VLOOKUP($D894,본공사입.출고현황!$B:$H,H$2080,0),0)</f>
        <v>ф10, 1ton=1,620.7m</v>
      </c>
      <c r="I894" s="56" t="str">
        <f>IFERROR(VLOOKUP($D894,본공사입.출고현황!$B:$H,I$2080,0),0)</f>
        <v>M</v>
      </c>
      <c r="J894" s="9">
        <v>1</v>
      </c>
      <c r="K894" s="9" t="s">
        <v>363</v>
      </c>
      <c r="L894" s="37">
        <v>40</v>
      </c>
      <c r="M894" s="64" t="s">
        <v>408</v>
      </c>
      <c r="N894" s="42"/>
    </row>
    <row r="895" spans="1:14" ht="24" customHeight="1">
      <c r="A895" s="8">
        <v>851</v>
      </c>
      <c r="B895" s="9">
        <v>851</v>
      </c>
      <c r="C895" s="46">
        <v>46025</v>
      </c>
      <c r="D895" s="9" t="s">
        <v>238</v>
      </c>
      <c r="E895" s="56" t="str">
        <f>IFERROR(VLOOKUP($D895,본공사입.출고현황!$B:$H,E$2080,0),0)</f>
        <v>Steel round bar</v>
      </c>
      <c r="F895" s="18" t="str">
        <f>IFERROR(VLOOKUP($D895,본공사입.출고현황!$B:$H,F$2080,0),0)</f>
        <v>Steel round bar(rebar)</v>
      </c>
      <c r="G895" s="18" t="str">
        <f>IFERROR(VLOOKUP($D895,본공사입.출고현황!$B:$H,G$2080,0),0)</f>
        <v>CCGG</v>
      </c>
      <c r="H895" s="18" t="str">
        <f>IFERROR(VLOOKUP($D895,본공사입.출고현황!$B:$H,H$2080,0),0)</f>
        <v>ф10, 1ton=1,620.7m</v>
      </c>
      <c r="I895" s="56" t="str">
        <f>IFERROR(VLOOKUP($D895,본공사입.출고현황!$B:$H,I$2080,0),0)</f>
        <v>M</v>
      </c>
      <c r="J895" s="9">
        <v>1</v>
      </c>
      <c r="K895" s="9" t="s">
        <v>363</v>
      </c>
      <c r="L895" s="37">
        <v>20</v>
      </c>
      <c r="M895" s="64" t="s">
        <v>408</v>
      </c>
      <c r="N895" s="42"/>
    </row>
    <row r="896" spans="1:14" ht="24" customHeight="1">
      <c r="A896" s="8">
        <v>852</v>
      </c>
      <c r="B896" s="9">
        <v>852</v>
      </c>
      <c r="C896" s="46">
        <v>46025</v>
      </c>
      <c r="D896" s="9" t="s">
        <v>238</v>
      </c>
      <c r="E896" s="56" t="str">
        <f>IFERROR(VLOOKUP($D896,본공사입.출고현황!$B:$H,E$2080,0),0)</f>
        <v>Steel round bar</v>
      </c>
      <c r="F896" s="18" t="str">
        <f>IFERROR(VLOOKUP($D896,본공사입.출고현황!$B:$H,F$2080,0),0)</f>
        <v>Steel round bar(rebar)</v>
      </c>
      <c r="G896" s="18" t="str">
        <f>IFERROR(VLOOKUP($D896,본공사입.출고현황!$B:$H,G$2080,0),0)</f>
        <v>CCGG</v>
      </c>
      <c r="H896" s="18" t="str">
        <f>IFERROR(VLOOKUP($D896,본공사입.출고현황!$B:$H,H$2080,0),0)</f>
        <v>ф10, 1ton=1,620.7m</v>
      </c>
      <c r="I896" s="56" t="str">
        <f>IFERROR(VLOOKUP($D896,본공사입.출고현황!$B:$H,I$2080,0),0)</f>
        <v>M</v>
      </c>
      <c r="J896" s="9">
        <v>2</v>
      </c>
      <c r="K896" s="9" t="s">
        <v>360</v>
      </c>
      <c r="L896" s="37">
        <v>60</v>
      </c>
      <c r="M896" s="64" t="s">
        <v>408</v>
      </c>
      <c r="N896" s="42"/>
    </row>
    <row r="897" spans="1:14" ht="24" customHeight="1">
      <c r="A897" s="8">
        <v>853</v>
      </c>
      <c r="B897" s="9">
        <v>853</v>
      </c>
      <c r="C897" s="46">
        <v>46025</v>
      </c>
      <c r="D897" s="9" t="s">
        <v>238</v>
      </c>
      <c r="E897" s="56" t="str">
        <f>IFERROR(VLOOKUP($D897,본공사입.출고현황!$B:$H,E$2080,0),0)</f>
        <v>Steel round bar</v>
      </c>
      <c r="F897" s="18" t="str">
        <f>IFERROR(VLOOKUP($D897,본공사입.출고현황!$B:$H,F$2080,0),0)</f>
        <v>Steel round bar(rebar)</v>
      </c>
      <c r="G897" s="18" t="str">
        <f>IFERROR(VLOOKUP($D897,본공사입.출고현황!$B:$H,G$2080,0),0)</f>
        <v>CCGG</v>
      </c>
      <c r="H897" s="18" t="str">
        <f>IFERROR(VLOOKUP($D897,본공사입.출고현황!$B:$H,H$2080,0),0)</f>
        <v>ф10, 1ton=1,620.7m</v>
      </c>
      <c r="I897" s="56" t="str">
        <f>IFERROR(VLOOKUP($D897,본공사입.출고현황!$B:$H,I$2080,0),0)</f>
        <v>M</v>
      </c>
      <c r="J897" s="9">
        <v>1</v>
      </c>
      <c r="K897" s="9" t="s">
        <v>352</v>
      </c>
      <c r="L897" s="37">
        <v>55</v>
      </c>
      <c r="M897" s="64" t="s">
        <v>408</v>
      </c>
      <c r="N897" s="42"/>
    </row>
    <row r="898" spans="1:14" ht="24" customHeight="1">
      <c r="A898" s="8">
        <v>854</v>
      </c>
      <c r="B898" s="9">
        <v>854</v>
      </c>
      <c r="C898" s="46">
        <v>46026</v>
      </c>
      <c r="D898" s="9" t="s">
        <v>238</v>
      </c>
      <c r="E898" s="56" t="str">
        <f>IFERROR(VLOOKUP($D898,본공사입.출고현황!$B:$H,E$2080,0),0)</f>
        <v>Steel round bar</v>
      </c>
      <c r="F898" s="18" t="str">
        <f>IFERROR(VLOOKUP($D898,본공사입.출고현황!$B:$H,F$2080,0),0)</f>
        <v>Steel round bar(rebar)</v>
      </c>
      <c r="G898" s="18" t="str">
        <f>IFERROR(VLOOKUP($D898,본공사입.출고현황!$B:$H,G$2080,0),0)</f>
        <v>CCGG</v>
      </c>
      <c r="H898" s="18" t="str">
        <f>IFERROR(VLOOKUP($D898,본공사입.출고현황!$B:$H,H$2080,0),0)</f>
        <v>ф10, 1ton=1,620.7m</v>
      </c>
      <c r="I898" s="56" t="str">
        <f>IFERROR(VLOOKUP($D898,본공사입.출고현황!$B:$H,I$2080,0),0)</f>
        <v>M</v>
      </c>
      <c r="J898" s="9">
        <v>1</v>
      </c>
      <c r="K898" s="9" t="s">
        <v>363</v>
      </c>
      <c r="L898" s="37">
        <v>25</v>
      </c>
      <c r="M898" s="64" t="s">
        <v>408</v>
      </c>
      <c r="N898" s="42"/>
    </row>
    <row r="899" spans="1:14" ht="24" customHeight="1">
      <c r="A899" s="8">
        <v>855</v>
      </c>
      <c r="B899" s="9">
        <v>855</v>
      </c>
      <c r="C899" s="46">
        <v>46026</v>
      </c>
      <c r="D899" s="9" t="s">
        <v>238</v>
      </c>
      <c r="E899" s="56" t="str">
        <f>IFERROR(VLOOKUP($D899,본공사입.출고현황!$B:$H,E$2080,0),0)</f>
        <v>Steel round bar</v>
      </c>
      <c r="F899" s="18" t="str">
        <f>IFERROR(VLOOKUP($D899,본공사입.출고현황!$B:$H,F$2080,0),0)</f>
        <v>Steel round bar(rebar)</v>
      </c>
      <c r="G899" s="18" t="str">
        <f>IFERROR(VLOOKUP($D899,본공사입.출고현황!$B:$H,G$2080,0),0)</f>
        <v>CCGG</v>
      </c>
      <c r="H899" s="18" t="str">
        <f>IFERROR(VLOOKUP($D899,본공사입.출고현황!$B:$H,H$2080,0),0)</f>
        <v>ф10, 1ton=1,620.7m</v>
      </c>
      <c r="I899" s="56" t="str">
        <f>IFERROR(VLOOKUP($D899,본공사입.출고현황!$B:$H,I$2080,0),0)</f>
        <v>M</v>
      </c>
      <c r="J899" s="9">
        <v>1</v>
      </c>
      <c r="K899" s="9" t="s">
        <v>545</v>
      </c>
      <c r="L899" s="37">
        <v>15</v>
      </c>
      <c r="M899" s="64" t="s">
        <v>408</v>
      </c>
      <c r="N899" s="42"/>
    </row>
    <row r="900" spans="1:14" ht="24" customHeight="1">
      <c r="A900" s="8">
        <v>856</v>
      </c>
      <c r="B900" s="9">
        <v>856</v>
      </c>
      <c r="C900" s="46">
        <v>46026</v>
      </c>
      <c r="D900" s="9" t="s">
        <v>238</v>
      </c>
      <c r="E900" s="56" t="str">
        <f>IFERROR(VLOOKUP($D900,본공사입.출고현황!$B:$H,E$2080,0),0)</f>
        <v>Steel round bar</v>
      </c>
      <c r="F900" s="18" t="str">
        <f>IFERROR(VLOOKUP($D900,본공사입.출고현황!$B:$H,F$2080,0),0)</f>
        <v>Steel round bar(rebar)</v>
      </c>
      <c r="G900" s="18" t="str">
        <f>IFERROR(VLOOKUP($D900,본공사입.출고현황!$B:$H,G$2080,0),0)</f>
        <v>CCGG</v>
      </c>
      <c r="H900" s="18" t="str">
        <f>IFERROR(VLOOKUP($D900,본공사입.출고현황!$B:$H,H$2080,0),0)</f>
        <v>ф10, 1ton=1,620.7m</v>
      </c>
      <c r="I900" s="56" t="str">
        <f>IFERROR(VLOOKUP($D900,본공사입.출고현황!$B:$H,I$2080,0),0)</f>
        <v>M</v>
      </c>
      <c r="J900" s="9">
        <v>2</v>
      </c>
      <c r="K900" s="9" t="s">
        <v>241</v>
      </c>
      <c r="L900" s="37">
        <v>50</v>
      </c>
      <c r="M900" s="64" t="s">
        <v>408</v>
      </c>
      <c r="N900" s="42"/>
    </row>
    <row r="901" spans="1:14" ht="24" customHeight="1">
      <c r="A901" s="8">
        <v>857</v>
      </c>
      <c r="B901" s="9">
        <v>857</v>
      </c>
      <c r="C901" s="46">
        <v>46026</v>
      </c>
      <c r="D901" s="9" t="s">
        <v>238</v>
      </c>
      <c r="E901" s="56" t="str">
        <f>IFERROR(VLOOKUP($D901,본공사입.출고현황!$B:$H,E$2080,0),0)</f>
        <v>Steel round bar</v>
      </c>
      <c r="F901" s="18" t="str">
        <f>IFERROR(VLOOKUP($D901,본공사입.출고현황!$B:$H,F$2080,0),0)</f>
        <v>Steel round bar(rebar)</v>
      </c>
      <c r="G901" s="18" t="str">
        <f>IFERROR(VLOOKUP($D901,본공사입.출고현황!$B:$H,G$2080,0),0)</f>
        <v>CCGG</v>
      </c>
      <c r="H901" s="18" t="str">
        <f>IFERROR(VLOOKUP($D901,본공사입.출고현황!$B:$H,H$2080,0),0)</f>
        <v>ф10, 1ton=1,620.7m</v>
      </c>
      <c r="I901" s="56" t="str">
        <f>IFERROR(VLOOKUP($D901,본공사입.출고현황!$B:$H,I$2080,0),0)</f>
        <v>M</v>
      </c>
      <c r="J901" s="9">
        <v>2</v>
      </c>
      <c r="K901" s="9" t="s">
        <v>546</v>
      </c>
      <c r="L901" s="37">
        <v>30</v>
      </c>
      <c r="M901" s="64" t="s">
        <v>408</v>
      </c>
      <c r="N901" s="42"/>
    </row>
    <row r="902" spans="1:14" ht="24" customHeight="1">
      <c r="A902" s="8">
        <v>858</v>
      </c>
      <c r="B902" s="9">
        <v>858</v>
      </c>
      <c r="C902" s="46">
        <v>46026</v>
      </c>
      <c r="D902" s="9" t="s">
        <v>238</v>
      </c>
      <c r="E902" s="56" t="str">
        <f>IFERROR(VLOOKUP($D902,본공사입.출고현황!$B:$H,E$2080,0),0)</f>
        <v>Steel round bar</v>
      </c>
      <c r="F902" s="18" t="str">
        <f>IFERROR(VLOOKUP($D902,본공사입.출고현황!$B:$H,F$2080,0),0)</f>
        <v>Steel round bar(rebar)</v>
      </c>
      <c r="G902" s="18" t="str">
        <f>IFERROR(VLOOKUP($D902,본공사입.출고현황!$B:$H,G$2080,0),0)</f>
        <v>CCGG</v>
      </c>
      <c r="H902" s="18" t="str">
        <f>IFERROR(VLOOKUP($D902,본공사입.출고현황!$B:$H,H$2080,0),0)</f>
        <v>ф10, 1ton=1,620.7m</v>
      </c>
      <c r="I902" s="56" t="str">
        <f>IFERROR(VLOOKUP($D902,본공사입.출고현황!$B:$H,I$2080,0),0)</f>
        <v>M</v>
      </c>
      <c r="J902" s="9">
        <v>1</v>
      </c>
      <c r="K902" s="9" t="s">
        <v>363</v>
      </c>
      <c r="L902" s="37">
        <v>65</v>
      </c>
      <c r="M902" s="64" t="s">
        <v>408</v>
      </c>
      <c r="N902" s="42"/>
    </row>
    <row r="903" spans="1:14" ht="24" customHeight="1">
      <c r="A903" s="8">
        <v>859</v>
      </c>
      <c r="B903" s="9">
        <v>859</v>
      </c>
      <c r="C903" s="46">
        <v>46026</v>
      </c>
      <c r="D903" s="9" t="s">
        <v>238</v>
      </c>
      <c r="E903" s="56" t="str">
        <f>IFERROR(VLOOKUP($D903,본공사입.출고현황!$B:$H,E$2080,0),0)</f>
        <v>Steel round bar</v>
      </c>
      <c r="F903" s="18" t="str">
        <f>IFERROR(VLOOKUP($D903,본공사입.출고현황!$B:$H,F$2080,0),0)</f>
        <v>Steel round bar(rebar)</v>
      </c>
      <c r="G903" s="18" t="str">
        <f>IFERROR(VLOOKUP($D903,본공사입.출고현황!$B:$H,G$2080,0),0)</f>
        <v>CCGG</v>
      </c>
      <c r="H903" s="18" t="str">
        <f>IFERROR(VLOOKUP($D903,본공사입.출고현황!$B:$H,H$2080,0),0)</f>
        <v>ф10, 1ton=1,620.7m</v>
      </c>
      <c r="I903" s="56" t="str">
        <f>IFERROR(VLOOKUP($D903,본공사입.출고현황!$B:$H,I$2080,0),0)</f>
        <v>M</v>
      </c>
      <c r="J903" s="9">
        <v>1</v>
      </c>
      <c r="K903" s="9" t="s">
        <v>363</v>
      </c>
      <c r="L903" s="37">
        <v>20</v>
      </c>
      <c r="M903" s="64" t="s">
        <v>408</v>
      </c>
      <c r="N903" s="42"/>
    </row>
    <row r="904" spans="1:14" ht="24" customHeight="1">
      <c r="A904" s="8">
        <v>860</v>
      </c>
      <c r="B904" s="9">
        <v>860</v>
      </c>
      <c r="C904" s="46">
        <v>46026</v>
      </c>
      <c r="D904" s="9" t="s">
        <v>238</v>
      </c>
      <c r="E904" s="56" t="str">
        <f>IFERROR(VLOOKUP($D904,본공사입.출고현황!$B:$H,E$2080,0),0)</f>
        <v>Steel round bar</v>
      </c>
      <c r="F904" s="18" t="str">
        <f>IFERROR(VLOOKUP($D904,본공사입.출고현황!$B:$H,F$2080,0),0)</f>
        <v>Steel round bar(rebar)</v>
      </c>
      <c r="G904" s="18" t="str">
        <f>IFERROR(VLOOKUP($D904,본공사입.출고현황!$B:$H,G$2080,0),0)</f>
        <v>CCGG</v>
      </c>
      <c r="H904" s="18" t="str">
        <f>IFERROR(VLOOKUP($D904,본공사입.출고현황!$B:$H,H$2080,0),0)</f>
        <v>ф10, 1ton=1,620.7m</v>
      </c>
      <c r="I904" s="56" t="str">
        <f>IFERROR(VLOOKUP($D904,본공사입.출고현황!$B:$H,I$2080,0),0)</f>
        <v>M</v>
      </c>
      <c r="J904" s="9">
        <v>2</v>
      </c>
      <c r="K904" s="9" t="s">
        <v>360</v>
      </c>
      <c r="L904" s="37">
        <v>125</v>
      </c>
      <c r="M904" s="64" t="s">
        <v>408</v>
      </c>
      <c r="N904" s="42"/>
    </row>
    <row r="905" spans="1:14" ht="24" customHeight="1">
      <c r="A905" s="8">
        <v>861</v>
      </c>
      <c r="B905" s="9">
        <v>861</v>
      </c>
      <c r="C905" s="46">
        <v>46026</v>
      </c>
      <c r="D905" s="9" t="s">
        <v>238</v>
      </c>
      <c r="E905" s="56" t="str">
        <f>IFERROR(VLOOKUP($D905,본공사입.출고현황!$B:$H,E$2080,0),0)</f>
        <v>Steel round bar</v>
      </c>
      <c r="F905" s="18" t="str">
        <f>IFERROR(VLOOKUP($D905,본공사입.출고현황!$B:$H,F$2080,0),0)</f>
        <v>Steel round bar(rebar)</v>
      </c>
      <c r="G905" s="18" t="str">
        <f>IFERROR(VLOOKUP($D905,본공사입.출고현황!$B:$H,G$2080,0),0)</f>
        <v>CCGG</v>
      </c>
      <c r="H905" s="18" t="str">
        <f>IFERROR(VLOOKUP($D905,본공사입.출고현황!$B:$H,H$2080,0),0)</f>
        <v>ф10, 1ton=1,620.7m</v>
      </c>
      <c r="I905" s="56" t="str">
        <f>IFERROR(VLOOKUP($D905,본공사입.출고현황!$B:$H,I$2080,0),0)</f>
        <v>M</v>
      </c>
      <c r="J905" s="9">
        <v>1</v>
      </c>
      <c r="K905" s="9" t="s">
        <v>352</v>
      </c>
      <c r="L905" s="37">
        <v>125</v>
      </c>
      <c r="M905" s="64" t="s">
        <v>408</v>
      </c>
      <c r="N905" s="42"/>
    </row>
    <row r="906" spans="1:14" ht="24" customHeight="1">
      <c r="A906" s="8">
        <v>862</v>
      </c>
      <c r="B906" s="9">
        <v>862</v>
      </c>
      <c r="C906" s="46">
        <v>46026</v>
      </c>
      <c r="D906" s="9" t="s">
        <v>238</v>
      </c>
      <c r="E906" s="56" t="str">
        <f>IFERROR(VLOOKUP($D906,본공사입.출고현황!$B:$H,E$2080,0),0)</f>
        <v>Steel round bar</v>
      </c>
      <c r="F906" s="18" t="str">
        <f>IFERROR(VLOOKUP($D906,본공사입.출고현황!$B:$H,F$2080,0),0)</f>
        <v>Steel round bar(rebar)</v>
      </c>
      <c r="G906" s="18" t="str">
        <f>IFERROR(VLOOKUP($D906,본공사입.출고현황!$B:$H,G$2080,0),0)</f>
        <v>CCGG</v>
      </c>
      <c r="H906" s="18" t="str">
        <f>IFERROR(VLOOKUP($D906,본공사입.출고현황!$B:$H,H$2080,0),0)</f>
        <v>ф10, 1ton=1,620.7m</v>
      </c>
      <c r="I906" s="56" t="str">
        <f>IFERROR(VLOOKUP($D906,본공사입.출고현황!$B:$H,I$2080,0),0)</f>
        <v>M</v>
      </c>
      <c r="J906" s="9">
        <v>1</v>
      </c>
      <c r="K906" s="9" t="s">
        <v>363</v>
      </c>
      <c r="L906" s="37">
        <v>25</v>
      </c>
      <c r="M906" s="64" t="s">
        <v>408</v>
      </c>
      <c r="N906" s="42"/>
    </row>
    <row r="907" spans="1:14" ht="24" customHeight="1">
      <c r="A907" s="8">
        <v>863</v>
      </c>
      <c r="B907" s="9">
        <v>863</v>
      </c>
      <c r="C907" s="46">
        <v>46026</v>
      </c>
      <c r="D907" s="9" t="s">
        <v>238</v>
      </c>
      <c r="E907" s="56" t="str">
        <f>IFERROR(VLOOKUP($D907,본공사입.출고현황!$B:$H,E$2080,0),0)</f>
        <v>Steel round bar</v>
      </c>
      <c r="F907" s="18" t="str">
        <f>IFERROR(VLOOKUP($D907,본공사입.출고현황!$B:$H,F$2080,0),0)</f>
        <v>Steel round bar(rebar)</v>
      </c>
      <c r="G907" s="18" t="str">
        <f>IFERROR(VLOOKUP($D907,본공사입.출고현황!$B:$H,G$2080,0),0)</f>
        <v>CCGG</v>
      </c>
      <c r="H907" s="18" t="str">
        <f>IFERROR(VLOOKUP($D907,본공사입.출고현황!$B:$H,H$2080,0),0)</f>
        <v>ф10, 1ton=1,620.7m</v>
      </c>
      <c r="I907" s="56" t="str">
        <f>IFERROR(VLOOKUP($D907,본공사입.출고현황!$B:$H,I$2080,0),0)</f>
        <v>M</v>
      </c>
      <c r="J907" s="9">
        <v>1</v>
      </c>
      <c r="K907" s="9" t="s">
        <v>545</v>
      </c>
      <c r="L907" s="37">
        <v>15</v>
      </c>
      <c r="M907" s="64" t="s">
        <v>408</v>
      </c>
      <c r="N907" s="42"/>
    </row>
    <row r="908" spans="1:14" ht="24" customHeight="1">
      <c r="A908" s="8">
        <v>864</v>
      </c>
      <c r="B908" s="9">
        <v>864</v>
      </c>
      <c r="C908" s="46">
        <v>46027</v>
      </c>
      <c r="D908" s="9" t="s">
        <v>238</v>
      </c>
      <c r="E908" s="56" t="str">
        <f>IFERROR(VLOOKUP($D908,본공사입.출고현황!$B:$H,E$2080,0),0)</f>
        <v>Steel round bar</v>
      </c>
      <c r="F908" s="18" t="str">
        <f>IFERROR(VLOOKUP($D908,본공사입.출고현황!$B:$H,F$2080,0),0)</f>
        <v>Steel round bar(rebar)</v>
      </c>
      <c r="G908" s="18" t="str">
        <f>IFERROR(VLOOKUP($D908,본공사입.출고현황!$B:$H,G$2080,0),0)</f>
        <v>CCGG</v>
      </c>
      <c r="H908" s="18" t="str">
        <f>IFERROR(VLOOKUP($D908,본공사입.출고현황!$B:$H,H$2080,0),0)</f>
        <v>ф10, 1ton=1,620.7m</v>
      </c>
      <c r="I908" s="56" t="str">
        <f>IFERROR(VLOOKUP($D908,본공사입.출고현황!$B:$H,I$2080,0),0)</f>
        <v>M</v>
      </c>
      <c r="J908" s="9">
        <v>2</v>
      </c>
      <c r="K908" s="9" t="s">
        <v>241</v>
      </c>
      <c r="L908" s="37">
        <v>50</v>
      </c>
      <c r="M908" s="64" t="s">
        <v>408</v>
      </c>
      <c r="N908" s="42"/>
    </row>
    <row r="909" spans="1:14" ht="24" customHeight="1">
      <c r="A909" s="8">
        <v>865</v>
      </c>
      <c r="B909" s="9">
        <v>865</v>
      </c>
      <c r="C909" s="46">
        <v>46027</v>
      </c>
      <c r="D909" s="9" t="s">
        <v>238</v>
      </c>
      <c r="E909" s="56" t="str">
        <f>IFERROR(VLOOKUP($D909,본공사입.출고현황!$B:$H,E$2080,0),0)</f>
        <v>Steel round bar</v>
      </c>
      <c r="F909" s="18" t="str">
        <f>IFERROR(VLOOKUP($D909,본공사입.출고현황!$B:$H,F$2080,0),0)</f>
        <v>Steel round bar(rebar)</v>
      </c>
      <c r="G909" s="18" t="str">
        <f>IFERROR(VLOOKUP($D909,본공사입.출고현황!$B:$H,G$2080,0),0)</f>
        <v>CCGG</v>
      </c>
      <c r="H909" s="18" t="str">
        <f>IFERROR(VLOOKUP($D909,본공사입.출고현황!$B:$H,H$2080,0),0)</f>
        <v>ф10, 1ton=1,620.7m</v>
      </c>
      <c r="I909" s="56" t="str">
        <f>IFERROR(VLOOKUP($D909,본공사입.출고현황!$B:$H,I$2080,0),0)</f>
        <v>M</v>
      </c>
      <c r="J909" s="9" t="s">
        <v>557</v>
      </c>
      <c r="K909" s="9" t="s">
        <v>623</v>
      </c>
      <c r="L909" s="37">
        <v>30</v>
      </c>
      <c r="M909" s="64" t="s">
        <v>408</v>
      </c>
      <c r="N909" s="42"/>
    </row>
    <row r="910" spans="1:14" ht="24" customHeight="1">
      <c r="A910" s="8">
        <v>866</v>
      </c>
      <c r="B910" s="9">
        <v>866</v>
      </c>
      <c r="C910" s="46">
        <v>46027</v>
      </c>
      <c r="D910" s="9" t="s">
        <v>238</v>
      </c>
      <c r="E910" s="56" t="str">
        <f>IFERROR(VLOOKUP($D910,본공사입.출고현황!$B:$H,E$2080,0),0)</f>
        <v>Steel round bar</v>
      </c>
      <c r="F910" s="18" t="str">
        <f>IFERROR(VLOOKUP($D910,본공사입.출고현황!$B:$H,F$2080,0),0)</f>
        <v>Steel round bar(rebar)</v>
      </c>
      <c r="G910" s="18" t="str">
        <f>IFERROR(VLOOKUP($D910,본공사입.출고현황!$B:$H,G$2080,0),0)</f>
        <v>CCGG</v>
      </c>
      <c r="H910" s="18" t="str">
        <f>IFERROR(VLOOKUP($D910,본공사입.출고현황!$B:$H,H$2080,0),0)</f>
        <v>ф10, 1ton=1,620.7m</v>
      </c>
      <c r="I910" s="56" t="str">
        <f>IFERROR(VLOOKUP($D910,본공사입.출고현황!$B:$H,I$2080,0),0)</f>
        <v>M</v>
      </c>
      <c r="J910" s="9">
        <v>1</v>
      </c>
      <c r="K910" s="9" t="s">
        <v>363</v>
      </c>
      <c r="L910" s="37">
        <v>65</v>
      </c>
      <c r="M910" s="64" t="s">
        <v>408</v>
      </c>
      <c r="N910" s="42"/>
    </row>
    <row r="911" spans="1:14" ht="24" customHeight="1">
      <c r="A911" s="8">
        <v>867</v>
      </c>
      <c r="B911" s="9">
        <v>867</v>
      </c>
      <c r="C911" s="46">
        <v>46027</v>
      </c>
      <c r="D911" s="9" t="s">
        <v>238</v>
      </c>
      <c r="E911" s="56" t="str">
        <f>IFERROR(VLOOKUP($D911,본공사입.출고현황!$B:$H,E$2080,0),0)</f>
        <v>Steel round bar</v>
      </c>
      <c r="F911" s="18" t="str">
        <f>IFERROR(VLOOKUP($D911,본공사입.출고현황!$B:$H,F$2080,0),0)</f>
        <v>Steel round bar(rebar)</v>
      </c>
      <c r="G911" s="18" t="str">
        <f>IFERROR(VLOOKUP($D911,본공사입.출고현황!$B:$H,G$2080,0),0)</f>
        <v>CCGG</v>
      </c>
      <c r="H911" s="18" t="str">
        <f>IFERROR(VLOOKUP($D911,본공사입.출고현황!$B:$H,H$2080,0),0)</f>
        <v>ф10, 1ton=1,620.7m</v>
      </c>
      <c r="I911" s="56" t="str">
        <f>IFERROR(VLOOKUP($D911,본공사입.출고현황!$B:$H,I$2080,0),0)</f>
        <v>M</v>
      </c>
      <c r="J911" s="9">
        <v>1</v>
      </c>
      <c r="K911" s="9" t="s">
        <v>363</v>
      </c>
      <c r="L911" s="37">
        <v>20</v>
      </c>
      <c r="M911" s="64" t="s">
        <v>408</v>
      </c>
      <c r="N911" s="42"/>
    </row>
    <row r="912" spans="1:14" ht="24" customHeight="1">
      <c r="A912" s="8">
        <v>868</v>
      </c>
      <c r="B912" s="9">
        <v>868</v>
      </c>
      <c r="C912" s="46">
        <v>46027</v>
      </c>
      <c r="D912" s="9" t="s">
        <v>238</v>
      </c>
      <c r="E912" s="56" t="str">
        <f>IFERROR(VLOOKUP($D912,본공사입.출고현황!$B:$H,E$2080,0),0)</f>
        <v>Steel round bar</v>
      </c>
      <c r="F912" s="18" t="str">
        <f>IFERROR(VLOOKUP($D912,본공사입.출고현황!$B:$H,F$2080,0),0)</f>
        <v>Steel round bar(rebar)</v>
      </c>
      <c r="G912" s="18" t="str">
        <f>IFERROR(VLOOKUP($D912,본공사입.출고현황!$B:$H,G$2080,0),0)</f>
        <v>CCGG</v>
      </c>
      <c r="H912" s="18" t="str">
        <f>IFERROR(VLOOKUP($D912,본공사입.출고현황!$B:$H,H$2080,0),0)</f>
        <v>ф10, 1ton=1,620.7m</v>
      </c>
      <c r="I912" s="56" t="str">
        <f>IFERROR(VLOOKUP($D912,본공사입.출고현황!$B:$H,I$2080,0),0)</f>
        <v>M</v>
      </c>
      <c r="J912" s="9">
        <v>2</v>
      </c>
      <c r="K912" s="9" t="s">
        <v>360</v>
      </c>
      <c r="L912" s="37">
        <v>50</v>
      </c>
      <c r="M912" s="64" t="s">
        <v>358</v>
      </c>
      <c r="N912" s="42"/>
    </row>
    <row r="913" spans="1:14" ht="24" customHeight="1">
      <c r="A913" s="8">
        <v>869</v>
      </c>
      <c r="B913" s="9">
        <v>869</v>
      </c>
      <c r="C913" s="46">
        <v>46027</v>
      </c>
      <c r="D913" s="9" t="s">
        <v>238</v>
      </c>
      <c r="E913" s="56" t="str">
        <f>IFERROR(VLOOKUP($D913,본공사입.출고현황!$B:$H,E$2080,0),0)</f>
        <v>Steel round bar</v>
      </c>
      <c r="F913" s="18" t="str">
        <f>IFERROR(VLOOKUP($D913,본공사입.출고현황!$B:$H,F$2080,0),0)</f>
        <v>Steel round bar(rebar)</v>
      </c>
      <c r="G913" s="18" t="str">
        <f>IFERROR(VLOOKUP($D913,본공사입.출고현황!$B:$H,G$2080,0),0)</f>
        <v>CCGG</v>
      </c>
      <c r="H913" s="18" t="str">
        <f>IFERROR(VLOOKUP($D913,본공사입.출고현황!$B:$H,H$2080,0),0)</f>
        <v>ф10, 1ton=1,620.7m</v>
      </c>
      <c r="I913" s="56" t="str">
        <f>IFERROR(VLOOKUP($D913,본공사입.출고현황!$B:$H,I$2080,0),0)</f>
        <v>M</v>
      </c>
      <c r="J913" s="9">
        <v>4</v>
      </c>
      <c r="K913" s="9" t="s">
        <v>359</v>
      </c>
      <c r="L913" s="37">
        <v>50</v>
      </c>
      <c r="M913" s="64" t="s">
        <v>358</v>
      </c>
      <c r="N913" s="42"/>
    </row>
    <row r="914" spans="1:14" ht="24" customHeight="1">
      <c r="A914" s="8">
        <v>870</v>
      </c>
      <c r="B914" s="9">
        <v>870</v>
      </c>
      <c r="C914" s="46">
        <v>46027</v>
      </c>
      <c r="D914" s="9" t="s">
        <v>238</v>
      </c>
      <c r="E914" s="56" t="str">
        <f>IFERROR(VLOOKUP($D914,본공사입.출고현황!$B:$H,E$2080,0),0)</f>
        <v>Steel round bar</v>
      </c>
      <c r="F914" s="18" t="str">
        <f>IFERROR(VLOOKUP($D914,본공사입.출고현황!$B:$H,F$2080,0),0)</f>
        <v>Steel round bar(rebar)</v>
      </c>
      <c r="G914" s="18" t="str">
        <f>IFERROR(VLOOKUP($D914,본공사입.출고현황!$B:$H,G$2080,0),0)</f>
        <v>CCGG</v>
      </c>
      <c r="H914" s="18" t="str">
        <f>IFERROR(VLOOKUP($D914,본공사입.출고현황!$B:$H,H$2080,0),0)</f>
        <v>ф10, 1ton=1,620.7m</v>
      </c>
      <c r="I914" s="56" t="str">
        <f>IFERROR(VLOOKUP($D914,본공사입.출고현황!$B:$H,I$2080,0),0)</f>
        <v>M</v>
      </c>
      <c r="J914" s="9">
        <v>2</v>
      </c>
      <c r="K914" s="9" t="s">
        <v>546</v>
      </c>
      <c r="L914" s="37">
        <v>75</v>
      </c>
      <c r="M914" s="64" t="s">
        <v>358</v>
      </c>
      <c r="N914" s="42"/>
    </row>
    <row r="915" spans="1:14" ht="24" customHeight="1">
      <c r="A915" s="8">
        <v>871</v>
      </c>
      <c r="B915" s="9">
        <v>871</v>
      </c>
      <c r="C915" s="46">
        <v>46027</v>
      </c>
      <c r="D915" s="9" t="s">
        <v>238</v>
      </c>
      <c r="E915" s="56" t="str">
        <f>IFERROR(VLOOKUP($D915,본공사입.출고현황!$B:$H,E$2080,0),0)</f>
        <v>Steel round bar</v>
      </c>
      <c r="F915" s="18" t="str">
        <f>IFERROR(VLOOKUP($D915,본공사입.출고현황!$B:$H,F$2080,0),0)</f>
        <v>Steel round bar(rebar)</v>
      </c>
      <c r="G915" s="18" t="str">
        <f>IFERROR(VLOOKUP($D915,본공사입.출고현황!$B:$H,G$2080,0),0)</f>
        <v>CCGG</v>
      </c>
      <c r="H915" s="18" t="str">
        <f>IFERROR(VLOOKUP($D915,본공사입.출고현황!$B:$H,H$2080,0),0)</f>
        <v>ф10, 1ton=1,620.7m</v>
      </c>
      <c r="I915" s="56" t="str">
        <f>IFERROR(VLOOKUP($D915,본공사입.출고현황!$B:$H,I$2080,0),0)</f>
        <v>M</v>
      </c>
      <c r="J915" s="9">
        <v>1</v>
      </c>
      <c r="K915" s="9" t="s">
        <v>352</v>
      </c>
      <c r="L915" s="37">
        <v>115</v>
      </c>
      <c r="M915" s="64" t="s">
        <v>358</v>
      </c>
      <c r="N915" s="42"/>
    </row>
    <row r="916" spans="1:14" ht="24" customHeight="1">
      <c r="A916" s="8">
        <v>872</v>
      </c>
      <c r="B916" s="9">
        <v>872</v>
      </c>
      <c r="C916" s="46">
        <v>46027</v>
      </c>
      <c r="D916" s="9" t="s">
        <v>238</v>
      </c>
      <c r="E916" s="56" t="str">
        <f>IFERROR(VLOOKUP($D916,본공사입.출고현황!$B:$H,E$2080,0),0)</f>
        <v>Steel round bar</v>
      </c>
      <c r="F916" s="18" t="str">
        <f>IFERROR(VLOOKUP($D916,본공사입.출고현황!$B:$H,F$2080,0),0)</f>
        <v>Steel round bar(rebar)</v>
      </c>
      <c r="G916" s="18" t="str">
        <f>IFERROR(VLOOKUP($D916,본공사입.출고현황!$B:$H,G$2080,0),0)</f>
        <v>CCGG</v>
      </c>
      <c r="H916" s="18" t="str">
        <f>IFERROR(VLOOKUP($D916,본공사입.출고현황!$B:$H,H$2080,0),0)</f>
        <v>ф10, 1ton=1,620.7m</v>
      </c>
      <c r="I916" s="56" t="str">
        <f>IFERROR(VLOOKUP($D916,본공사입.출고현황!$B:$H,I$2080,0),0)</f>
        <v>M</v>
      </c>
      <c r="J916" s="9">
        <v>2</v>
      </c>
      <c r="K916" s="9" t="s">
        <v>360</v>
      </c>
      <c r="L916" s="37">
        <v>50</v>
      </c>
      <c r="M916" s="64" t="s">
        <v>358</v>
      </c>
      <c r="N916" s="42"/>
    </row>
    <row r="917" spans="1:14" ht="24" customHeight="1">
      <c r="A917" s="8">
        <v>873</v>
      </c>
      <c r="B917" s="9">
        <v>873</v>
      </c>
      <c r="C917" s="46">
        <v>46027</v>
      </c>
      <c r="D917" s="9" t="s">
        <v>238</v>
      </c>
      <c r="E917" s="56" t="str">
        <f>IFERROR(VLOOKUP($D917,본공사입.출고현황!$B:$H,E$2080,0),0)</f>
        <v>Steel round bar</v>
      </c>
      <c r="F917" s="18" t="str">
        <f>IFERROR(VLOOKUP($D917,본공사입.출고현황!$B:$H,F$2080,0),0)</f>
        <v>Steel round bar(rebar)</v>
      </c>
      <c r="G917" s="18" t="str">
        <f>IFERROR(VLOOKUP($D917,본공사입.출고현황!$B:$H,G$2080,0),0)</f>
        <v>CCGG</v>
      </c>
      <c r="H917" s="18" t="str">
        <f>IFERROR(VLOOKUP($D917,본공사입.출고현황!$B:$H,H$2080,0),0)</f>
        <v>ф10, 1ton=1,620.7m</v>
      </c>
      <c r="I917" s="56" t="str">
        <f>IFERROR(VLOOKUP($D917,본공사입.출고현황!$B:$H,I$2080,0),0)</f>
        <v>M</v>
      </c>
      <c r="J917" s="9">
        <v>1</v>
      </c>
      <c r="K917" s="9" t="s">
        <v>352</v>
      </c>
      <c r="L917" s="37">
        <v>100</v>
      </c>
      <c r="M917" s="64" t="s">
        <v>358</v>
      </c>
      <c r="N917" s="42"/>
    </row>
    <row r="918" spans="1:14" ht="24" customHeight="1">
      <c r="A918" s="8">
        <v>874</v>
      </c>
      <c r="B918" s="9">
        <v>874</v>
      </c>
      <c r="C918" s="46">
        <v>46027</v>
      </c>
      <c r="D918" s="9" t="s">
        <v>238</v>
      </c>
      <c r="E918" s="56" t="str">
        <f>IFERROR(VLOOKUP($D918,본공사입.출고현황!$B:$H,E$2080,0),0)</f>
        <v>Steel round bar</v>
      </c>
      <c r="F918" s="18" t="str">
        <f>IFERROR(VLOOKUP($D918,본공사입.출고현황!$B:$H,F$2080,0),0)</f>
        <v>Steel round bar(rebar)</v>
      </c>
      <c r="G918" s="18" t="str">
        <f>IFERROR(VLOOKUP($D918,본공사입.출고현황!$B:$H,G$2080,0),0)</f>
        <v>CCGG</v>
      </c>
      <c r="H918" s="18" t="str">
        <f>IFERROR(VLOOKUP($D918,본공사입.출고현황!$B:$H,H$2080,0),0)</f>
        <v>ф10, 1ton=1,620.7m</v>
      </c>
      <c r="I918" s="56" t="str">
        <f>IFERROR(VLOOKUP($D918,본공사입.출고현황!$B:$H,I$2080,0),0)</f>
        <v>M</v>
      </c>
      <c r="J918" s="9">
        <v>1</v>
      </c>
      <c r="K918" s="9" t="s">
        <v>363</v>
      </c>
      <c r="L918" s="37">
        <v>70</v>
      </c>
      <c r="M918" s="64" t="s">
        <v>358</v>
      </c>
      <c r="N918" s="42"/>
    </row>
    <row r="919" spans="1:14" ht="24" customHeight="1">
      <c r="A919" s="8">
        <v>875</v>
      </c>
      <c r="B919" s="9">
        <v>875</v>
      </c>
      <c r="C919" s="46">
        <v>46027</v>
      </c>
      <c r="D919" s="9" t="s">
        <v>238</v>
      </c>
      <c r="E919" s="56" t="str">
        <f>IFERROR(VLOOKUP($D919,본공사입.출고현황!$B:$H,E$2080,0),0)</f>
        <v>Steel round bar</v>
      </c>
      <c r="F919" s="18" t="str">
        <f>IFERROR(VLOOKUP($D919,본공사입.출고현황!$B:$H,F$2080,0),0)</f>
        <v>Steel round bar(rebar)</v>
      </c>
      <c r="G919" s="18" t="str">
        <f>IFERROR(VLOOKUP($D919,본공사입.출고현황!$B:$H,G$2080,0),0)</f>
        <v>CCGG</v>
      </c>
      <c r="H919" s="18" t="str">
        <f>IFERROR(VLOOKUP($D919,본공사입.출고현황!$B:$H,H$2080,0),0)</f>
        <v>ф10, 1ton=1,620.7m</v>
      </c>
      <c r="I919" s="56" t="str">
        <f>IFERROR(VLOOKUP($D919,본공사입.출고현황!$B:$H,I$2080,0),0)</f>
        <v>M</v>
      </c>
      <c r="J919" s="9">
        <v>1</v>
      </c>
      <c r="K919" s="9" t="s">
        <v>547</v>
      </c>
      <c r="L919" s="37">
        <v>20</v>
      </c>
      <c r="M919" s="64" t="s">
        <v>358</v>
      </c>
      <c r="N919" s="42"/>
    </row>
    <row r="920" spans="1:14" ht="24" customHeight="1">
      <c r="A920" s="8">
        <v>876</v>
      </c>
      <c r="B920" s="9">
        <v>876</v>
      </c>
      <c r="C920" s="46">
        <v>46027</v>
      </c>
      <c r="D920" s="9" t="s">
        <v>238</v>
      </c>
      <c r="E920" s="56" t="str">
        <f>IFERROR(VLOOKUP($D920,본공사입.출고현황!$B:$H,E$2080,0),0)</f>
        <v>Steel round bar</v>
      </c>
      <c r="F920" s="18" t="str">
        <f>IFERROR(VLOOKUP($D920,본공사입.출고현황!$B:$H,F$2080,0),0)</f>
        <v>Steel round bar(rebar)</v>
      </c>
      <c r="G920" s="18" t="str">
        <f>IFERROR(VLOOKUP($D920,본공사입.출고현황!$B:$H,G$2080,0),0)</f>
        <v>CCGG</v>
      </c>
      <c r="H920" s="18" t="str">
        <f>IFERROR(VLOOKUP($D920,본공사입.출고현황!$B:$H,H$2080,0),0)</f>
        <v>ф10, 1ton=1,620.7m</v>
      </c>
      <c r="I920" s="56" t="str">
        <f>IFERROR(VLOOKUP($D920,본공사입.출고현황!$B:$H,I$2080,0),0)</f>
        <v>M</v>
      </c>
      <c r="J920" s="9">
        <v>2</v>
      </c>
      <c r="K920" s="9" t="s">
        <v>360</v>
      </c>
      <c r="L920" s="37">
        <v>25</v>
      </c>
      <c r="M920" s="64" t="s">
        <v>358</v>
      </c>
      <c r="N920" s="42"/>
    </row>
    <row r="921" spans="1:14" ht="24" customHeight="1">
      <c r="A921" s="8">
        <v>877</v>
      </c>
      <c r="B921" s="9">
        <v>877</v>
      </c>
      <c r="C921" s="46">
        <v>46027</v>
      </c>
      <c r="D921" s="9" t="s">
        <v>238</v>
      </c>
      <c r="E921" s="56" t="str">
        <f>IFERROR(VLOOKUP($D921,본공사입.출고현황!$B:$H,E$2080,0),0)</f>
        <v>Steel round bar</v>
      </c>
      <c r="F921" s="18" t="str">
        <f>IFERROR(VLOOKUP($D921,본공사입.출고현황!$B:$H,F$2080,0),0)</f>
        <v>Steel round bar(rebar)</v>
      </c>
      <c r="G921" s="18" t="str">
        <f>IFERROR(VLOOKUP($D921,본공사입.출고현황!$B:$H,G$2080,0),0)</f>
        <v>CCGG</v>
      </c>
      <c r="H921" s="18" t="str">
        <f>IFERROR(VLOOKUP($D921,본공사입.출고현황!$B:$H,H$2080,0),0)</f>
        <v>ф10, 1ton=1,620.7m</v>
      </c>
      <c r="I921" s="56" t="str">
        <f>IFERROR(VLOOKUP($D921,본공사입.출고현황!$B:$H,I$2080,0),0)</f>
        <v>M</v>
      </c>
      <c r="J921" s="9">
        <v>2</v>
      </c>
      <c r="K921" s="9" t="s">
        <v>360</v>
      </c>
      <c r="L921" s="37">
        <v>50</v>
      </c>
      <c r="M921" s="64" t="s">
        <v>358</v>
      </c>
      <c r="N921" s="42"/>
    </row>
    <row r="922" spans="1:14" ht="24" customHeight="1">
      <c r="A922" s="8">
        <v>878</v>
      </c>
      <c r="B922" s="9">
        <v>878</v>
      </c>
      <c r="C922" s="46">
        <v>46027</v>
      </c>
      <c r="D922" s="9" t="s">
        <v>238</v>
      </c>
      <c r="E922" s="56" t="str">
        <f>IFERROR(VLOOKUP($D922,본공사입.출고현황!$B:$H,E$2080,0),0)</f>
        <v>Steel round bar</v>
      </c>
      <c r="F922" s="18" t="str">
        <f>IFERROR(VLOOKUP($D922,본공사입.출고현황!$B:$H,F$2080,0),0)</f>
        <v>Steel round bar(rebar)</v>
      </c>
      <c r="G922" s="18" t="str">
        <f>IFERROR(VLOOKUP($D922,본공사입.출고현황!$B:$H,G$2080,0),0)</f>
        <v>CCGG</v>
      </c>
      <c r="H922" s="18" t="str">
        <f>IFERROR(VLOOKUP($D922,본공사입.출고현황!$B:$H,H$2080,0),0)</f>
        <v>ф10, 1ton=1,620.7m</v>
      </c>
      <c r="I922" s="56" t="str">
        <f>IFERROR(VLOOKUP($D922,본공사입.출고현황!$B:$H,I$2080,0),0)</f>
        <v>M</v>
      </c>
      <c r="J922" s="9">
        <v>3</v>
      </c>
      <c r="K922" s="9" t="s">
        <v>550</v>
      </c>
      <c r="L922" s="37">
        <v>15</v>
      </c>
      <c r="M922" s="64" t="s">
        <v>358</v>
      </c>
      <c r="N922" s="42"/>
    </row>
    <row r="923" spans="1:14" ht="24" customHeight="1">
      <c r="A923" s="8">
        <v>879</v>
      </c>
      <c r="B923" s="9">
        <v>879</v>
      </c>
      <c r="C923" s="46">
        <v>46028</v>
      </c>
      <c r="D923" s="9" t="s">
        <v>238</v>
      </c>
      <c r="E923" s="56" t="str">
        <f>IFERROR(VLOOKUP($D923,본공사입.출고현황!$B:$H,E$2080,0),0)</f>
        <v>Steel round bar</v>
      </c>
      <c r="F923" s="18" t="str">
        <f>IFERROR(VLOOKUP($D923,본공사입.출고현황!$B:$H,F$2080,0),0)</f>
        <v>Steel round bar(rebar)</v>
      </c>
      <c r="G923" s="18" t="str">
        <f>IFERROR(VLOOKUP($D923,본공사입.출고현황!$B:$H,G$2080,0),0)</f>
        <v>CCGG</v>
      </c>
      <c r="H923" s="18" t="str">
        <f>IFERROR(VLOOKUP($D923,본공사입.출고현황!$B:$H,H$2080,0),0)</f>
        <v>ф10, 1ton=1,620.7m</v>
      </c>
      <c r="I923" s="56" t="str">
        <f>IFERROR(VLOOKUP($D923,본공사입.출고현황!$B:$H,I$2080,0),0)</f>
        <v>M</v>
      </c>
      <c r="J923" s="9">
        <v>1</v>
      </c>
      <c r="K923" s="9" t="s">
        <v>363</v>
      </c>
      <c r="L923" s="37">
        <v>40</v>
      </c>
      <c r="M923" s="64" t="s">
        <v>408</v>
      </c>
      <c r="N923" s="42"/>
    </row>
    <row r="924" spans="1:14" ht="24" customHeight="1">
      <c r="A924" s="8">
        <v>880</v>
      </c>
      <c r="B924" s="9">
        <v>880</v>
      </c>
      <c r="C924" s="46">
        <v>46028</v>
      </c>
      <c r="D924" s="9" t="s">
        <v>238</v>
      </c>
      <c r="E924" s="56" t="str">
        <f>IFERROR(VLOOKUP($D924,본공사입.출고현황!$B:$H,E$2080,0),0)</f>
        <v>Steel round bar</v>
      </c>
      <c r="F924" s="18" t="str">
        <f>IFERROR(VLOOKUP($D924,본공사입.출고현황!$B:$H,F$2080,0),0)</f>
        <v>Steel round bar(rebar)</v>
      </c>
      <c r="G924" s="18" t="str">
        <f>IFERROR(VLOOKUP($D924,본공사입.출고현황!$B:$H,G$2080,0),0)</f>
        <v>CCGG</v>
      </c>
      <c r="H924" s="18" t="str">
        <f>IFERROR(VLOOKUP($D924,본공사입.출고현황!$B:$H,H$2080,0),0)</f>
        <v>ф10, 1ton=1,620.7m</v>
      </c>
      <c r="I924" s="56" t="str">
        <f>IFERROR(VLOOKUP($D924,본공사입.출고현황!$B:$H,I$2080,0),0)</f>
        <v>M</v>
      </c>
      <c r="J924" s="9">
        <v>1</v>
      </c>
      <c r="K924" s="9" t="s">
        <v>547</v>
      </c>
      <c r="L924" s="37">
        <v>20</v>
      </c>
      <c r="M924" s="64" t="s">
        <v>408</v>
      </c>
      <c r="N924" s="42"/>
    </row>
    <row r="925" spans="1:14" ht="24" customHeight="1">
      <c r="A925" s="8">
        <v>881</v>
      </c>
      <c r="B925" s="9">
        <v>881</v>
      </c>
      <c r="C925" s="46">
        <v>46028</v>
      </c>
      <c r="D925" s="9" t="s">
        <v>238</v>
      </c>
      <c r="E925" s="56" t="str">
        <f>IFERROR(VLOOKUP($D925,본공사입.출고현황!$B:$H,E$2080,0),0)</f>
        <v>Steel round bar</v>
      </c>
      <c r="F925" s="18" t="str">
        <f>IFERROR(VLOOKUP($D925,본공사입.출고현황!$B:$H,F$2080,0),0)</f>
        <v>Steel round bar(rebar)</v>
      </c>
      <c r="G925" s="18" t="str">
        <f>IFERROR(VLOOKUP($D925,본공사입.출고현황!$B:$H,G$2080,0),0)</f>
        <v>CCGG</v>
      </c>
      <c r="H925" s="18" t="str">
        <f>IFERROR(VLOOKUP($D925,본공사입.출고현황!$B:$H,H$2080,0),0)</f>
        <v>ф10, 1ton=1,620.7m</v>
      </c>
      <c r="I925" s="56" t="str">
        <f>IFERROR(VLOOKUP($D925,본공사입.출고현황!$B:$H,I$2080,0),0)</f>
        <v>M</v>
      </c>
      <c r="J925" s="9">
        <v>1</v>
      </c>
      <c r="K925" s="9" t="s">
        <v>363</v>
      </c>
      <c r="L925" s="37">
        <v>20</v>
      </c>
      <c r="M925" s="64" t="s">
        <v>408</v>
      </c>
      <c r="N925" s="42"/>
    </row>
    <row r="926" spans="1:14" ht="24" customHeight="1">
      <c r="A926" s="8">
        <v>882</v>
      </c>
      <c r="B926" s="9">
        <v>882</v>
      </c>
      <c r="C926" s="46">
        <v>46028</v>
      </c>
      <c r="D926" s="9" t="s">
        <v>238</v>
      </c>
      <c r="E926" s="56" t="str">
        <f>IFERROR(VLOOKUP($D926,본공사입.출고현황!$B:$H,E$2080,0),0)</f>
        <v>Steel round bar</v>
      </c>
      <c r="F926" s="18" t="str">
        <f>IFERROR(VLOOKUP($D926,본공사입.출고현황!$B:$H,F$2080,0),0)</f>
        <v>Steel round bar(rebar)</v>
      </c>
      <c r="G926" s="18" t="str">
        <f>IFERROR(VLOOKUP($D926,본공사입.출고현황!$B:$H,G$2080,0),0)</f>
        <v>CCGG</v>
      </c>
      <c r="H926" s="18" t="str">
        <f>IFERROR(VLOOKUP($D926,본공사입.출고현황!$B:$H,H$2080,0),0)</f>
        <v>ф10, 1ton=1,620.7m</v>
      </c>
      <c r="I926" s="56" t="str">
        <f>IFERROR(VLOOKUP($D926,본공사입.출고현황!$B:$H,I$2080,0),0)</f>
        <v>M</v>
      </c>
      <c r="J926" s="9">
        <v>3</v>
      </c>
      <c r="K926" s="9" t="s">
        <v>550</v>
      </c>
      <c r="L926" s="37">
        <v>20</v>
      </c>
      <c r="M926" s="64" t="s">
        <v>408</v>
      </c>
      <c r="N926" s="42"/>
    </row>
    <row r="927" spans="1:14" ht="24" customHeight="1">
      <c r="A927" s="8">
        <v>883</v>
      </c>
      <c r="B927" s="9">
        <v>883</v>
      </c>
      <c r="C927" s="46">
        <v>46028</v>
      </c>
      <c r="D927" s="9" t="s">
        <v>238</v>
      </c>
      <c r="E927" s="56" t="str">
        <f>IFERROR(VLOOKUP($D927,본공사입.출고현황!$B:$H,E$2080,0),0)</f>
        <v>Steel round bar</v>
      </c>
      <c r="F927" s="18" t="str">
        <f>IFERROR(VLOOKUP($D927,본공사입.출고현황!$B:$H,F$2080,0),0)</f>
        <v>Steel round bar(rebar)</v>
      </c>
      <c r="G927" s="18" t="str">
        <f>IFERROR(VLOOKUP($D927,본공사입.출고현황!$B:$H,G$2080,0),0)</f>
        <v>CCGG</v>
      </c>
      <c r="H927" s="18" t="str">
        <f>IFERROR(VLOOKUP($D927,본공사입.출고현황!$B:$H,H$2080,0),0)</f>
        <v>ф10, 1ton=1,620.7m</v>
      </c>
      <c r="I927" s="56" t="str">
        <f>IFERROR(VLOOKUP($D927,본공사입.출고현황!$B:$H,I$2080,0),0)</f>
        <v>M</v>
      </c>
      <c r="J927" s="9">
        <v>2</v>
      </c>
      <c r="K927" s="9" t="s">
        <v>360</v>
      </c>
      <c r="L927" s="37">
        <v>25</v>
      </c>
      <c r="M927" s="64" t="s">
        <v>408</v>
      </c>
      <c r="N927" s="42"/>
    </row>
    <row r="928" spans="1:14" ht="24" customHeight="1">
      <c r="A928" s="8">
        <v>884</v>
      </c>
      <c r="B928" s="9">
        <v>884</v>
      </c>
      <c r="C928" s="46">
        <v>46028</v>
      </c>
      <c r="D928" s="9" t="s">
        <v>238</v>
      </c>
      <c r="E928" s="56" t="str">
        <f>IFERROR(VLOOKUP($D928,본공사입.출고현황!$B:$H,E$2080,0),0)</f>
        <v>Steel round bar</v>
      </c>
      <c r="F928" s="18" t="str">
        <f>IFERROR(VLOOKUP($D928,본공사입.출고현황!$B:$H,F$2080,0),0)</f>
        <v>Steel round bar(rebar)</v>
      </c>
      <c r="G928" s="18" t="str">
        <f>IFERROR(VLOOKUP($D928,본공사입.출고현황!$B:$H,G$2080,0),0)</f>
        <v>CCGG</v>
      </c>
      <c r="H928" s="18" t="str">
        <f>IFERROR(VLOOKUP($D928,본공사입.출고현황!$B:$H,H$2080,0),0)</f>
        <v>ф10, 1ton=1,620.7m</v>
      </c>
      <c r="I928" s="56" t="str">
        <f>IFERROR(VLOOKUP($D928,본공사입.출고현황!$B:$H,I$2080,0),0)</f>
        <v>M</v>
      </c>
      <c r="J928" s="9">
        <v>2</v>
      </c>
      <c r="K928" s="9" t="s">
        <v>360</v>
      </c>
      <c r="L928" s="37">
        <v>40</v>
      </c>
      <c r="M928" s="64" t="s">
        <v>408</v>
      </c>
      <c r="N928" s="42"/>
    </row>
    <row r="929" spans="1:14" ht="24" customHeight="1">
      <c r="A929" s="8">
        <v>885</v>
      </c>
      <c r="B929" s="9">
        <v>885</v>
      </c>
      <c r="C929" s="46">
        <v>46028</v>
      </c>
      <c r="D929" s="9" t="s">
        <v>238</v>
      </c>
      <c r="E929" s="56" t="str">
        <f>IFERROR(VLOOKUP($D929,본공사입.출고현황!$B:$H,E$2080,0),0)</f>
        <v>Steel round bar</v>
      </c>
      <c r="F929" s="18" t="str">
        <f>IFERROR(VLOOKUP($D929,본공사입.출고현황!$B:$H,F$2080,0),0)</f>
        <v>Steel round bar(rebar)</v>
      </c>
      <c r="G929" s="18" t="str">
        <f>IFERROR(VLOOKUP($D929,본공사입.출고현황!$B:$H,G$2080,0),0)</f>
        <v>CCGG</v>
      </c>
      <c r="H929" s="18" t="str">
        <f>IFERROR(VLOOKUP($D929,본공사입.출고현황!$B:$H,H$2080,0),0)</f>
        <v>ф10, 1ton=1,620.7m</v>
      </c>
      <c r="I929" s="56" t="str">
        <f>IFERROR(VLOOKUP($D929,본공사입.출고현황!$B:$H,I$2080,0),0)</f>
        <v>M</v>
      </c>
      <c r="J929" s="9">
        <v>3</v>
      </c>
      <c r="K929" s="9" t="s">
        <v>550</v>
      </c>
      <c r="L929" s="37">
        <v>15</v>
      </c>
      <c r="M929" s="64" t="s">
        <v>408</v>
      </c>
      <c r="N929" s="42"/>
    </row>
    <row r="930" spans="1:14" ht="24" customHeight="1">
      <c r="A930" s="8">
        <v>886</v>
      </c>
      <c r="B930" s="9">
        <v>886</v>
      </c>
      <c r="C930" s="46">
        <v>46028</v>
      </c>
      <c r="D930" s="9" t="s">
        <v>238</v>
      </c>
      <c r="E930" s="56" t="str">
        <f>IFERROR(VLOOKUP($D930,본공사입.출고현황!$B:$H,E$2080,0),0)</f>
        <v>Steel round bar</v>
      </c>
      <c r="F930" s="18" t="str">
        <f>IFERROR(VLOOKUP($D930,본공사입.출고현황!$B:$H,F$2080,0),0)</f>
        <v>Steel round bar(rebar)</v>
      </c>
      <c r="G930" s="18" t="str">
        <f>IFERROR(VLOOKUP($D930,본공사입.출고현황!$B:$H,G$2080,0),0)</f>
        <v>CCGG</v>
      </c>
      <c r="H930" s="18" t="str">
        <f>IFERROR(VLOOKUP($D930,본공사입.출고현황!$B:$H,H$2080,0),0)</f>
        <v>ф10, 1ton=1,620.7m</v>
      </c>
      <c r="I930" s="56" t="str">
        <f>IFERROR(VLOOKUP($D930,본공사입.출고현황!$B:$H,I$2080,0),0)</f>
        <v>M</v>
      </c>
      <c r="J930" s="9">
        <v>1</v>
      </c>
      <c r="K930" s="9" t="s">
        <v>363</v>
      </c>
      <c r="L930" s="37">
        <v>40</v>
      </c>
      <c r="M930" s="64" t="s">
        <v>408</v>
      </c>
      <c r="N930" s="42"/>
    </row>
    <row r="931" spans="1:14" ht="24" customHeight="1">
      <c r="A931" s="8">
        <v>887</v>
      </c>
      <c r="B931" s="9">
        <v>887</v>
      </c>
      <c r="C931" s="46">
        <v>46028</v>
      </c>
      <c r="D931" s="9" t="s">
        <v>238</v>
      </c>
      <c r="E931" s="56" t="str">
        <f>IFERROR(VLOOKUP($D931,본공사입.출고현황!$B:$H,E$2080,0),0)</f>
        <v>Steel round bar</v>
      </c>
      <c r="F931" s="18" t="str">
        <f>IFERROR(VLOOKUP($D931,본공사입.출고현황!$B:$H,F$2080,0),0)</f>
        <v>Steel round bar(rebar)</v>
      </c>
      <c r="G931" s="18" t="str">
        <f>IFERROR(VLOOKUP($D931,본공사입.출고현황!$B:$H,G$2080,0),0)</f>
        <v>CCGG</v>
      </c>
      <c r="H931" s="18" t="str">
        <f>IFERROR(VLOOKUP($D931,본공사입.출고현황!$B:$H,H$2080,0),0)</f>
        <v>ф10, 1ton=1,620.7m</v>
      </c>
      <c r="I931" s="56" t="str">
        <f>IFERROR(VLOOKUP($D931,본공사입.출고현황!$B:$H,I$2080,0),0)</f>
        <v>M</v>
      </c>
      <c r="J931" s="9">
        <v>1</v>
      </c>
      <c r="K931" s="9" t="s">
        <v>547</v>
      </c>
      <c r="L931" s="37">
        <v>20</v>
      </c>
      <c r="M931" s="64" t="s">
        <v>408</v>
      </c>
      <c r="N931" s="42"/>
    </row>
    <row r="932" spans="1:14" s="258" customFormat="1" ht="24" customHeight="1">
      <c r="A932" s="8">
        <v>888</v>
      </c>
      <c r="B932" s="9">
        <v>888</v>
      </c>
      <c r="C932" s="254">
        <v>46029</v>
      </c>
      <c r="D932" s="253" t="s">
        <v>238</v>
      </c>
      <c r="E932" s="56" t="str">
        <f>IFERROR(VLOOKUP($D932,본공사입.출고현황!$B:$H,E$2080,0),0)</f>
        <v>Steel round bar</v>
      </c>
      <c r="F932" s="18" t="str">
        <f>IFERROR(VLOOKUP($D932,본공사입.출고현황!$B:$H,F$2080,0),0)</f>
        <v>Steel round bar(rebar)</v>
      </c>
      <c r="G932" s="18" t="str">
        <f>IFERROR(VLOOKUP($D932,본공사입.출고현황!$B:$H,G$2080,0),0)</f>
        <v>CCGG</v>
      </c>
      <c r="H932" s="18" t="str">
        <f>IFERROR(VLOOKUP($D932,본공사입.출고현황!$B:$H,H$2080,0),0)</f>
        <v>ф10, 1ton=1,620.7m</v>
      </c>
      <c r="I932" s="56" t="str">
        <f>IFERROR(VLOOKUP($D932,본공사입.출고현황!$B:$H,I$2080,0),0)</f>
        <v>M</v>
      </c>
      <c r="J932" s="253">
        <v>1</v>
      </c>
      <c r="K932" s="253" t="s">
        <v>545</v>
      </c>
      <c r="L932" s="255">
        <v>20</v>
      </c>
      <c r="M932" s="256" t="s">
        <v>408</v>
      </c>
      <c r="N932" s="257"/>
    </row>
    <row r="933" spans="1:14" s="258" customFormat="1" ht="24" customHeight="1">
      <c r="A933" s="8">
        <v>889</v>
      </c>
      <c r="B933" s="9">
        <v>889</v>
      </c>
      <c r="C933" s="254">
        <v>46029</v>
      </c>
      <c r="D933" s="253" t="s">
        <v>238</v>
      </c>
      <c r="E933" s="56" t="str">
        <f>IFERROR(VLOOKUP($D933,본공사입.출고현황!$B:$H,E$2080,0),0)</f>
        <v>Steel round bar</v>
      </c>
      <c r="F933" s="18" t="str">
        <f>IFERROR(VLOOKUP($D933,본공사입.출고현황!$B:$H,F$2080,0),0)</f>
        <v>Steel round bar(rebar)</v>
      </c>
      <c r="G933" s="18" t="str">
        <f>IFERROR(VLOOKUP($D933,본공사입.출고현황!$B:$H,G$2080,0),0)</f>
        <v>CCGG</v>
      </c>
      <c r="H933" s="18" t="str">
        <f>IFERROR(VLOOKUP($D933,본공사입.출고현황!$B:$H,H$2080,0),0)</f>
        <v>ф10, 1ton=1,620.7m</v>
      </c>
      <c r="I933" s="56" t="str">
        <f>IFERROR(VLOOKUP($D933,본공사입.출고현황!$B:$H,I$2080,0),0)</f>
        <v>M</v>
      </c>
      <c r="J933" s="253">
        <v>2</v>
      </c>
      <c r="K933" s="253" t="s">
        <v>360</v>
      </c>
      <c r="L933" s="255">
        <v>115</v>
      </c>
      <c r="M933" s="256" t="s">
        <v>408</v>
      </c>
      <c r="N933" s="257"/>
    </row>
    <row r="934" spans="1:14" s="258" customFormat="1" ht="24" customHeight="1">
      <c r="A934" s="8">
        <v>890</v>
      </c>
      <c r="B934" s="9">
        <v>890</v>
      </c>
      <c r="C934" s="254">
        <v>46029</v>
      </c>
      <c r="D934" s="253" t="s">
        <v>238</v>
      </c>
      <c r="E934" s="56" t="str">
        <f>IFERROR(VLOOKUP($D934,본공사입.출고현황!$B:$H,E$2080,0),0)</f>
        <v>Steel round bar</v>
      </c>
      <c r="F934" s="18" t="str">
        <f>IFERROR(VLOOKUP($D934,본공사입.출고현황!$B:$H,F$2080,0),0)</f>
        <v>Steel round bar(rebar)</v>
      </c>
      <c r="G934" s="18" t="str">
        <f>IFERROR(VLOOKUP($D934,본공사입.출고현황!$B:$H,G$2080,0),0)</f>
        <v>CCGG</v>
      </c>
      <c r="H934" s="18" t="str">
        <f>IFERROR(VLOOKUP($D934,본공사입.출고현황!$B:$H,H$2080,0),0)</f>
        <v>ф10, 1ton=1,620.7m</v>
      </c>
      <c r="I934" s="56" t="str">
        <f>IFERROR(VLOOKUP($D934,본공사입.출고현황!$B:$H,I$2080,0),0)</f>
        <v>M</v>
      </c>
      <c r="J934" s="253" t="s">
        <v>557</v>
      </c>
      <c r="K934" s="253" t="s">
        <v>553</v>
      </c>
      <c r="L934" s="255">
        <v>30</v>
      </c>
      <c r="M934" s="256" t="s">
        <v>408</v>
      </c>
      <c r="N934" s="257"/>
    </row>
    <row r="935" spans="1:14" s="258" customFormat="1" ht="24" customHeight="1">
      <c r="A935" s="8">
        <v>891</v>
      </c>
      <c r="B935" s="9">
        <v>891</v>
      </c>
      <c r="C935" s="254">
        <v>46029</v>
      </c>
      <c r="D935" s="253" t="s">
        <v>238</v>
      </c>
      <c r="E935" s="56" t="str">
        <f>IFERROR(VLOOKUP($D935,본공사입.출고현황!$B:$H,E$2080,0),0)</f>
        <v>Steel round bar</v>
      </c>
      <c r="F935" s="18" t="str">
        <f>IFERROR(VLOOKUP($D935,본공사입.출고현황!$B:$H,F$2080,0),0)</f>
        <v>Steel round bar(rebar)</v>
      </c>
      <c r="G935" s="18" t="str">
        <f>IFERROR(VLOOKUP($D935,본공사입.출고현황!$B:$H,G$2080,0),0)</f>
        <v>CCGG</v>
      </c>
      <c r="H935" s="18" t="str">
        <f>IFERROR(VLOOKUP($D935,본공사입.출고현황!$B:$H,H$2080,0),0)</f>
        <v>ф10, 1ton=1,620.7m</v>
      </c>
      <c r="I935" s="56" t="str">
        <f>IFERROR(VLOOKUP($D935,본공사입.출고현황!$B:$H,I$2080,0),0)</f>
        <v>M</v>
      </c>
      <c r="J935" s="253">
        <v>1</v>
      </c>
      <c r="K935" s="253" t="s">
        <v>352</v>
      </c>
      <c r="L935" s="255">
        <v>50</v>
      </c>
      <c r="M935" s="256" t="s">
        <v>408</v>
      </c>
      <c r="N935" s="257"/>
    </row>
    <row r="936" spans="1:14" s="258" customFormat="1" ht="24" customHeight="1">
      <c r="A936" s="8">
        <v>892</v>
      </c>
      <c r="B936" s="9">
        <v>892</v>
      </c>
      <c r="C936" s="254">
        <v>46029</v>
      </c>
      <c r="D936" s="253" t="s">
        <v>238</v>
      </c>
      <c r="E936" s="56" t="str">
        <f>IFERROR(VLOOKUP($D936,본공사입.출고현황!$B:$H,E$2080,0),0)</f>
        <v>Steel round bar</v>
      </c>
      <c r="F936" s="18" t="str">
        <f>IFERROR(VLOOKUP($D936,본공사입.출고현황!$B:$H,F$2080,0),0)</f>
        <v>Steel round bar(rebar)</v>
      </c>
      <c r="G936" s="18" t="str">
        <f>IFERROR(VLOOKUP($D936,본공사입.출고현황!$B:$H,G$2080,0),0)</f>
        <v>CCGG</v>
      </c>
      <c r="H936" s="18" t="str">
        <f>IFERROR(VLOOKUP($D936,본공사입.출고현황!$B:$H,H$2080,0),0)</f>
        <v>ф10, 1ton=1,620.7m</v>
      </c>
      <c r="I936" s="56" t="str">
        <f>IFERROR(VLOOKUP($D936,본공사입.출고현황!$B:$H,I$2080,0),0)</f>
        <v>M</v>
      </c>
      <c r="J936" s="253">
        <v>3</v>
      </c>
      <c r="K936" s="253" t="s">
        <v>237</v>
      </c>
      <c r="L936" s="255">
        <v>20</v>
      </c>
      <c r="M936" s="256" t="s">
        <v>408</v>
      </c>
      <c r="N936" s="257"/>
    </row>
    <row r="937" spans="1:14" s="258" customFormat="1" ht="24" customHeight="1">
      <c r="A937" s="8">
        <v>893</v>
      </c>
      <c r="B937" s="9">
        <v>893</v>
      </c>
      <c r="C937" s="254">
        <v>46029</v>
      </c>
      <c r="D937" s="253" t="s">
        <v>238</v>
      </c>
      <c r="E937" s="56" t="str">
        <f>IFERROR(VLOOKUP($D937,본공사입.출고현황!$B:$H,E$2080,0),0)</f>
        <v>Steel round bar</v>
      </c>
      <c r="F937" s="18" t="str">
        <f>IFERROR(VLOOKUP($D937,본공사입.출고현황!$B:$H,F$2080,0),0)</f>
        <v>Steel round bar(rebar)</v>
      </c>
      <c r="G937" s="18" t="str">
        <f>IFERROR(VLOOKUP($D937,본공사입.출고현황!$B:$H,G$2080,0),0)</f>
        <v>CCGG</v>
      </c>
      <c r="H937" s="18" t="str">
        <f>IFERROR(VLOOKUP($D937,본공사입.출고현황!$B:$H,H$2080,0),0)</f>
        <v>ф10, 1ton=1,620.7m</v>
      </c>
      <c r="I937" s="56" t="str">
        <f>IFERROR(VLOOKUP($D937,본공사입.출고현황!$B:$H,I$2080,0),0)</f>
        <v>M</v>
      </c>
      <c r="J937" s="253">
        <v>1</v>
      </c>
      <c r="K937" s="253" t="s">
        <v>547</v>
      </c>
      <c r="L937" s="255">
        <v>35</v>
      </c>
      <c r="M937" s="256" t="s">
        <v>408</v>
      </c>
      <c r="N937" s="257"/>
    </row>
    <row r="938" spans="1:14" s="258" customFormat="1" ht="24" customHeight="1">
      <c r="A938" s="8">
        <v>894</v>
      </c>
      <c r="B938" s="9">
        <v>894</v>
      </c>
      <c r="C938" s="254">
        <v>46029</v>
      </c>
      <c r="D938" s="253" t="s">
        <v>238</v>
      </c>
      <c r="E938" s="56" t="str">
        <f>IFERROR(VLOOKUP($D938,본공사입.출고현황!$B:$H,E$2080,0),0)</f>
        <v>Steel round bar</v>
      </c>
      <c r="F938" s="18" t="str">
        <f>IFERROR(VLOOKUP($D938,본공사입.출고현황!$B:$H,F$2080,0),0)</f>
        <v>Steel round bar(rebar)</v>
      </c>
      <c r="G938" s="18" t="str">
        <f>IFERROR(VLOOKUP($D938,본공사입.출고현황!$B:$H,G$2080,0),0)</f>
        <v>CCGG</v>
      </c>
      <c r="H938" s="18" t="str">
        <f>IFERROR(VLOOKUP($D938,본공사입.출고현황!$B:$H,H$2080,0),0)</f>
        <v>ф10, 1ton=1,620.7m</v>
      </c>
      <c r="I938" s="56" t="str">
        <f>IFERROR(VLOOKUP($D938,본공사입.출고현황!$B:$H,I$2080,0),0)</f>
        <v>M</v>
      </c>
      <c r="J938" s="253">
        <v>1</v>
      </c>
      <c r="K938" s="253" t="s">
        <v>352</v>
      </c>
      <c r="L938" s="255">
        <v>115</v>
      </c>
      <c r="M938" s="256" t="s">
        <v>408</v>
      </c>
      <c r="N938" s="257"/>
    </row>
    <row r="939" spans="1:14" s="258" customFormat="1" ht="24" customHeight="1">
      <c r="A939" s="8">
        <v>895</v>
      </c>
      <c r="B939" s="9">
        <v>895</v>
      </c>
      <c r="C939" s="254">
        <v>46029</v>
      </c>
      <c r="D939" s="253" t="s">
        <v>238</v>
      </c>
      <c r="E939" s="56" t="str">
        <f>IFERROR(VLOOKUP($D939,본공사입.출고현황!$B:$H,E$2080,0),0)</f>
        <v>Steel round bar</v>
      </c>
      <c r="F939" s="18" t="str">
        <f>IFERROR(VLOOKUP($D939,본공사입.출고현황!$B:$H,F$2080,0),0)</f>
        <v>Steel round bar(rebar)</v>
      </c>
      <c r="G939" s="18" t="str">
        <f>IFERROR(VLOOKUP($D939,본공사입.출고현황!$B:$H,G$2080,0),0)</f>
        <v>CCGG</v>
      </c>
      <c r="H939" s="18" t="str">
        <f>IFERROR(VLOOKUP($D939,본공사입.출고현황!$B:$H,H$2080,0),0)</f>
        <v>ф10, 1ton=1,620.7m</v>
      </c>
      <c r="I939" s="56" t="str">
        <f>IFERROR(VLOOKUP($D939,본공사입.출고현황!$B:$H,I$2080,0),0)</f>
        <v>M</v>
      </c>
      <c r="J939" s="253">
        <v>2</v>
      </c>
      <c r="K939" s="253" t="s">
        <v>360</v>
      </c>
      <c r="L939" s="255">
        <v>25</v>
      </c>
      <c r="M939" s="256" t="s">
        <v>408</v>
      </c>
      <c r="N939" s="257"/>
    </row>
    <row r="940" spans="1:14" s="258" customFormat="1" ht="24" customHeight="1">
      <c r="A940" s="8">
        <v>896</v>
      </c>
      <c r="B940" s="9">
        <v>896</v>
      </c>
      <c r="C940" s="254">
        <v>46029</v>
      </c>
      <c r="D940" s="253" t="s">
        <v>238</v>
      </c>
      <c r="E940" s="56" t="str">
        <f>IFERROR(VLOOKUP($D940,본공사입.출고현황!$B:$H,E$2080,0),0)</f>
        <v>Steel round bar</v>
      </c>
      <c r="F940" s="18" t="str">
        <f>IFERROR(VLOOKUP($D940,본공사입.출고현황!$B:$H,F$2080,0),0)</f>
        <v>Steel round bar(rebar)</v>
      </c>
      <c r="G940" s="18" t="str">
        <f>IFERROR(VLOOKUP($D940,본공사입.출고현황!$B:$H,G$2080,0),0)</f>
        <v>CCGG</v>
      </c>
      <c r="H940" s="18" t="str">
        <f>IFERROR(VLOOKUP($D940,본공사입.출고현황!$B:$H,H$2080,0),0)</f>
        <v>ф10, 1ton=1,620.7m</v>
      </c>
      <c r="I940" s="56" t="str">
        <f>IFERROR(VLOOKUP($D940,본공사입.출고현황!$B:$H,I$2080,0),0)</f>
        <v>M</v>
      </c>
      <c r="J940" s="253" t="s">
        <v>557</v>
      </c>
      <c r="K940" s="253" t="s">
        <v>553</v>
      </c>
      <c r="L940" s="255">
        <v>20</v>
      </c>
      <c r="M940" s="256" t="s">
        <v>408</v>
      </c>
      <c r="N940" s="257"/>
    </row>
    <row r="941" spans="1:14" s="258" customFormat="1" ht="24" customHeight="1">
      <c r="A941" s="8">
        <v>897</v>
      </c>
      <c r="B941" s="9">
        <v>897</v>
      </c>
      <c r="C941" s="254">
        <v>46029</v>
      </c>
      <c r="D941" s="253" t="s">
        <v>238</v>
      </c>
      <c r="E941" s="56" t="str">
        <f>IFERROR(VLOOKUP($D941,본공사입.출고현황!$B:$H,E$2080,0),0)</f>
        <v>Steel round bar</v>
      </c>
      <c r="F941" s="18" t="str">
        <f>IFERROR(VLOOKUP($D941,본공사입.출고현황!$B:$H,F$2080,0),0)</f>
        <v>Steel round bar(rebar)</v>
      </c>
      <c r="G941" s="18" t="str">
        <f>IFERROR(VLOOKUP($D941,본공사입.출고현황!$B:$H,G$2080,0),0)</f>
        <v>CCGG</v>
      </c>
      <c r="H941" s="18" t="str">
        <f>IFERROR(VLOOKUP($D941,본공사입.출고현황!$B:$H,H$2080,0),0)</f>
        <v>ф10, 1ton=1,620.7m</v>
      </c>
      <c r="I941" s="56" t="str">
        <f>IFERROR(VLOOKUP($D941,본공사입.출고현황!$B:$H,I$2080,0),0)</f>
        <v>M</v>
      </c>
      <c r="J941" s="253">
        <v>3</v>
      </c>
      <c r="K941" s="253" t="s">
        <v>550</v>
      </c>
      <c r="L941" s="255">
        <v>15</v>
      </c>
      <c r="M941" s="256" t="s">
        <v>408</v>
      </c>
      <c r="N941" s="257"/>
    </row>
    <row r="942" spans="1:14" s="258" customFormat="1" ht="24" customHeight="1">
      <c r="A942" s="8">
        <v>898</v>
      </c>
      <c r="B942" s="9">
        <v>898</v>
      </c>
      <c r="C942" s="254">
        <v>46030</v>
      </c>
      <c r="D942" s="253" t="s">
        <v>238</v>
      </c>
      <c r="E942" s="56" t="str">
        <f>IFERROR(VLOOKUP($D942,본공사입.출고현황!$B:$H,E$2080,0),0)</f>
        <v>Steel round bar</v>
      </c>
      <c r="F942" s="18" t="str">
        <f>IFERROR(VLOOKUP($D942,본공사입.출고현황!$B:$H,F$2080,0),0)</f>
        <v>Steel round bar(rebar)</v>
      </c>
      <c r="G942" s="18" t="str">
        <f>IFERROR(VLOOKUP($D942,본공사입.출고현황!$B:$H,G$2080,0),0)</f>
        <v>CCGG</v>
      </c>
      <c r="H942" s="18" t="str">
        <f>IFERROR(VLOOKUP($D942,본공사입.출고현황!$B:$H,H$2080,0),0)</f>
        <v>ф10, 1ton=1,620.7m</v>
      </c>
      <c r="I942" s="56" t="str">
        <f>IFERROR(VLOOKUP($D942,본공사입.출고현황!$B:$H,I$2080,0),0)</f>
        <v>M</v>
      </c>
      <c r="J942" s="253">
        <v>3</v>
      </c>
      <c r="K942" s="253" t="s">
        <v>361</v>
      </c>
      <c r="L942" s="255">
        <v>40</v>
      </c>
      <c r="M942" s="256" t="s">
        <v>408</v>
      </c>
      <c r="N942" s="257"/>
    </row>
    <row r="943" spans="1:14" s="258" customFormat="1" ht="24" customHeight="1">
      <c r="A943" s="8">
        <v>899</v>
      </c>
      <c r="B943" s="9">
        <v>899</v>
      </c>
      <c r="C943" s="254">
        <v>46030</v>
      </c>
      <c r="D943" s="253" t="s">
        <v>61</v>
      </c>
      <c r="E943" s="56" t="str">
        <f>IFERROR(VLOOKUP($D943,본공사입.출고현황!$B:$H,E$2080,0),0)</f>
        <v>Angle</v>
      </c>
      <c r="F943" s="18" t="str">
        <f>IFERROR(VLOOKUP($D943,본공사입.출고현황!$B:$H,F$2080,0),0)</f>
        <v>Angle 100x100x10</v>
      </c>
      <c r="G943" s="18" t="str">
        <f>IFERROR(VLOOKUP($D943,본공사입.출고현황!$B:$H,G$2080,0),0)</f>
        <v>CCGG</v>
      </c>
      <c r="H943" s="18" t="str">
        <f>IFERROR(VLOOKUP($D943,본공사입.출고현황!$B:$H,H$2080,0),0)</f>
        <v>100x100x10 (12m)</v>
      </c>
      <c r="I943" s="56" t="str">
        <f>IFERROR(VLOOKUP($D943,본공사입.출고현황!$B:$H,I$2080,0),0)</f>
        <v>M</v>
      </c>
      <c r="J943" s="253" t="s">
        <v>557</v>
      </c>
      <c r="K943" s="253" t="s">
        <v>553</v>
      </c>
      <c r="L943" s="255">
        <v>5</v>
      </c>
      <c r="M943" s="256" t="s">
        <v>408</v>
      </c>
      <c r="N943" s="257"/>
    </row>
    <row r="944" spans="1:14" s="258" customFormat="1" ht="24" customHeight="1">
      <c r="A944" s="8">
        <v>900</v>
      </c>
      <c r="B944" s="9">
        <v>900</v>
      </c>
      <c r="C944" s="254">
        <v>46030</v>
      </c>
      <c r="D944" s="253" t="s">
        <v>238</v>
      </c>
      <c r="E944" s="56" t="str">
        <f>IFERROR(VLOOKUP($D944,본공사입.출고현황!$B:$H,E$2080,0),0)</f>
        <v>Steel round bar</v>
      </c>
      <c r="F944" s="18" t="str">
        <f>IFERROR(VLOOKUP($D944,본공사입.출고현황!$B:$H,F$2080,0),0)</f>
        <v>Steel round bar(rebar)</v>
      </c>
      <c r="G944" s="18" t="str">
        <f>IFERROR(VLOOKUP($D944,본공사입.출고현황!$B:$H,G$2080,0),0)</f>
        <v>CCGG</v>
      </c>
      <c r="H944" s="18" t="str">
        <f>IFERROR(VLOOKUP($D944,본공사입.출고현황!$B:$H,H$2080,0),0)</f>
        <v>ф10, 1ton=1,620.7m</v>
      </c>
      <c r="I944" s="56" t="str">
        <f>IFERROR(VLOOKUP($D944,본공사입.출고현황!$B:$H,I$2080,0),0)</f>
        <v>M</v>
      </c>
      <c r="J944" s="253">
        <v>1</v>
      </c>
      <c r="K944" s="253" t="s">
        <v>352</v>
      </c>
      <c r="L944" s="255">
        <v>75</v>
      </c>
      <c r="M944" s="256" t="s">
        <v>408</v>
      </c>
      <c r="N944" s="257"/>
    </row>
    <row r="945" spans="1:14" s="258" customFormat="1" ht="24" customHeight="1">
      <c r="A945" s="8">
        <v>901</v>
      </c>
      <c r="B945" s="9">
        <v>901</v>
      </c>
      <c r="C945" s="254">
        <v>46030</v>
      </c>
      <c r="D945" s="253" t="s">
        <v>238</v>
      </c>
      <c r="E945" s="56" t="str">
        <f>IFERROR(VLOOKUP($D945,본공사입.출고현황!$B:$H,E$2080,0),0)</f>
        <v>Steel round bar</v>
      </c>
      <c r="F945" s="18" t="str">
        <f>IFERROR(VLOOKUP($D945,본공사입.출고현황!$B:$H,F$2080,0),0)</f>
        <v>Steel round bar(rebar)</v>
      </c>
      <c r="G945" s="18" t="str">
        <f>IFERROR(VLOOKUP($D945,본공사입.출고현황!$B:$H,G$2080,0),0)</f>
        <v>CCGG</v>
      </c>
      <c r="H945" s="18" t="str">
        <f>IFERROR(VLOOKUP($D945,본공사입.출고현황!$B:$H,H$2080,0),0)</f>
        <v>ф10, 1ton=1,620.7m</v>
      </c>
      <c r="I945" s="56" t="str">
        <f>IFERROR(VLOOKUP($D945,본공사입.출고현황!$B:$H,I$2080,0),0)</f>
        <v>M</v>
      </c>
      <c r="J945" s="253">
        <v>3</v>
      </c>
      <c r="K945" s="253" t="s">
        <v>550</v>
      </c>
      <c r="L945" s="255">
        <v>20</v>
      </c>
      <c r="M945" s="256" t="s">
        <v>408</v>
      </c>
      <c r="N945" s="257"/>
    </row>
    <row r="946" spans="1:14" s="258" customFormat="1" ht="24" customHeight="1">
      <c r="A946" s="8">
        <v>902</v>
      </c>
      <c r="B946" s="9">
        <v>902</v>
      </c>
      <c r="C946" s="254">
        <v>46030</v>
      </c>
      <c r="D946" s="253" t="s">
        <v>238</v>
      </c>
      <c r="E946" s="56" t="str">
        <f>IFERROR(VLOOKUP($D946,본공사입.출고현황!$B:$H,E$2080,0),0)</f>
        <v>Steel round bar</v>
      </c>
      <c r="F946" s="18" t="str">
        <f>IFERROR(VLOOKUP($D946,본공사입.출고현황!$B:$H,F$2080,0),0)</f>
        <v>Steel round bar(rebar)</v>
      </c>
      <c r="G946" s="18" t="str">
        <f>IFERROR(VLOOKUP($D946,본공사입.출고현황!$B:$H,G$2080,0),0)</f>
        <v>CCGG</v>
      </c>
      <c r="H946" s="18" t="str">
        <f>IFERROR(VLOOKUP($D946,본공사입.출고현황!$B:$H,H$2080,0),0)</f>
        <v>ф10, 1ton=1,620.7m</v>
      </c>
      <c r="I946" s="56" t="str">
        <f>IFERROR(VLOOKUP($D946,본공사입.출고현황!$B:$H,I$2080,0),0)</f>
        <v>M</v>
      </c>
      <c r="J946" s="253">
        <v>2</v>
      </c>
      <c r="K946" s="253" t="s">
        <v>360</v>
      </c>
      <c r="L946" s="255">
        <v>30</v>
      </c>
      <c r="M946" s="256" t="s">
        <v>408</v>
      </c>
      <c r="N946" s="257"/>
    </row>
    <row r="947" spans="1:14" s="258" customFormat="1" ht="24" customHeight="1">
      <c r="A947" s="8">
        <v>903</v>
      </c>
      <c r="B947" s="9">
        <v>903</v>
      </c>
      <c r="C947" s="254">
        <v>46030</v>
      </c>
      <c r="D947" s="253" t="s">
        <v>238</v>
      </c>
      <c r="E947" s="56" t="str">
        <f>IFERROR(VLOOKUP($D947,본공사입.출고현황!$B:$H,E$2080,0),0)</f>
        <v>Steel round bar</v>
      </c>
      <c r="F947" s="18" t="str">
        <f>IFERROR(VLOOKUP($D947,본공사입.출고현황!$B:$H,F$2080,0),0)</f>
        <v>Steel round bar(rebar)</v>
      </c>
      <c r="G947" s="18" t="str">
        <f>IFERROR(VLOOKUP($D947,본공사입.출고현황!$B:$H,G$2080,0),0)</f>
        <v>CCGG</v>
      </c>
      <c r="H947" s="18" t="str">
        <f>IFERROR(VLOOKUP($D947,본공사입.출고현황!$B:$H,H$2080,0),0)</f>
        <v>ф10, 1ton=1,620.7m</v>
      </c>
      <c r="I947" s="56" t="str">
        <f>IFERROR(VLOOKUP($D947,본공사입.출고현황!$B:$H,I$2080,0),0)</f>
        <v>M</v>
      </c>
      <c r="J947" s="253">
        <v>3</v>
      </c>
      <c r="K947" s="253" t="s">
        <v>237</v>
      </c>
      <c r="L947" s="255">
        <v>25</v>
      </c>
      <c r="M947" s="256" t="s">
        <v>408</v>
      </c>
      <c r="N947" s="257"/>
    </row>
    <row r="948" spans="1:14" s="258" customFormat="1" ht="24" customHeight="1">
      <c r="A948" s="8">
        <v>904</v>
      </c>
      <c r="B948" s="9">
        <v>904</v>
      </c>
      <c r="C948" s="254">
        <v>46030</v>
      </c>
      <c r="D948" s="253" t="s">
        <v>238</v>
      </c>
      <c r="E948" s="56" t="str">
        <f>IFERROR(VLOOKUP($D948,본공사입.출고현황!$B:$H,E$2080,0),0)</f>
        <v>Steel round bar</v>
      </c>
      <c r="F948" s="18" t="str">
        <f>IFERROR(VLOOKUP($D948,본공사입.출고현황!$B:$H,F$2080,0),0)</f>
        <v>Steel round bar(rebar)</v>
      </c>
      <c r="G948" s="18" t="str">
        <f>IFERROR(VLOOKUP($D948,본공사입.출고현황!$B:$H,G$2080,0),0)</f>
        <v>CCGG</v>
      </c>
      <c r="H948" s="18" t="str">
        <f>IFERROR(VLOOKUP($D948,본공사입.출고현황!$B:$H,H$2080,0),0)</f>
        <v>ф10, 1ton=1,620.7m</v>
      </c>
      <c r="I948" s="56" t="str">
        <f>IFERROR(VLOOKUP($D948,본공사입.출고현황!$B:$H,I$2080,0),0)</f>
        <v>M</v>
      </c>
      <c r="J948" s="253">
        <v>1</v>
      </c>
      <c r="K948" s="253" t="s">
        <v>352</v>
      </c>
      <c r="L948" s="255">
        <v>105</v>
      </c>
      <c r="M948" s="256" t="s">
        <v>408</v>
      </c>
      <c r="N948" s="257"/>
    </row>
    <row r="949" spans="1:14" s="258" customFormat="1" ht="24" customHeight="1">
      <c r="A949" s="8">
        <v>905</v>
      </c>
      <c r="B949" s="9">
        <v>905</v>
      </c>
      <c r="C949" s="254">
        <v>46030</v>
      </c>
      <c r="D949" s="253" t="s">
        <v>238</v>
      </c>
      <c r="E949" s="56" t="str">
        <f>IFERROR(VLOOKUP($D949,본공사입.출고현황!$B:$H,E$2080,0),0)</f>
        <v>Steel round bar</v>
      </c>
      <c r="F949" s="18" t="str">
        <f>IFERROR(VLOOKUP($D949,본공사입.출고현황!$B:$H,F$2080,0),0)</f>
        <v>Steel round bar(rebar)</v>
      </c>
      <c r="G949" s="18" t="str">
        <f>IFERROR(VLOOKUP($D949,본공사입.출고현황!$B:$H,G$2080,0),0)</f>
        <v>CCGG</v>
      </c>
      <c r="H949" s="18" t="str">
        <f>IFERROR(VLOOKUP($D949,본공사입.출고현황!$B:$H,H$2080,0),0)</f>
        <v>ф10, 1ton=1,620.7m</v>
      </c>
      <c r="I949" s="56" t="str">
        <f>IFERROR(VLOOKUP($D949,본공사입.출고현황!$B:$H,I$2080,0),0)</f>
        <v>M</v>
      </c>
      <c r="J949" s="253">
        <v>1</v>
      </c>
      <c r="K949" s="253" t="s">
        <v>547</v>
      </c>
      <c r="L949" s="255">
        <v>40</v>
      </c>
      <c r="M949" s="256" t="s">
        <v>408</v>
      </c>
      <c r="N949" s="257"/>
    </row>
    <row r="950" spans="1:14" s="258" customFormat="1" ht="24" customHeight="1">
      <c r="A950" s="8">
        <v>906</v>
      </c>
      <c r="B950" s="9">
        <v>906</v>
      </c>
      <c r="C950" s="254">
        <v>46030</v>
      </c>
      <c r="D950" s="253" t="s">
        <v>238</v>
      </c>
      <c r="E950" s="56" t="str">
        <f>IFERROR(VLOOKUP($D950,본공사입.출고현황!$B:$H,E$2080,0),0)</f>
        <v>Steel round bar</v>
      </c>
      <c r="F950" s="18" t="str">
        <f>IFERROR(VLOOKUP($D950,본공사입.출고현황!$B:$H,F$2080,0),0)</f>
        <v>Steel round bar(rebar)</v>
      </c>
      <c r="G950" s="18" t="str">
        <f>IFERROR(VLOOKUP($D950,본공사입.출고현황!$B:$H,G$2080,0),0)</f>
        <v>CCGG</v>
      </c>
      <c r="H950" s="18" t="str">
        <f>IFERROR(VLOOKUP($D950,본공사입.출고현황!$B:$H,H$2080,0),0)</f>
        <v>ф10, 1ton=1,620.7m</v>
      </c>
      <c r="I950" s="56" t="str">
        <f>IFERROR(VLOOKUP($D950,본공사입.출고현황!$B:$H,I$2080,0),0)</f>
        <v>M</v>
      </c>
      <c r="J950" s="253">
        <v>2</v>
      </c>
      <c r="K950" s="253" t="s">
        <v>360</v>
      </c>
      <c r="L950" s="255">
        <v>50</v>
      </c>
      <c r="M950" s="256" t="s">
        <v>408</v>
      </c>
      <c r="N950" s="257"/>
    </row>
    <row r="951" spans="1:14" s="258" customFormat="1" ht="24" customHeight="1">
      <c r="A951" s="8">
        <v>907</v>
      </c>
      <c r="B951" s="9">
        <v>907</v>
      </c>
      <c r="C951" s="254">
        <v>46030</v>
      </c>
      <c r="D951" s="253" t="s">
        <v>238</v>
      </c>
      <c r="E951" s="56" t="str">
        <f>IFERROR(VLOOKUP($D951,본공사입.출고현황!$B:$H,E$2080,0),0)</f>
        <v>Steel round bar</v>
      </c>
      <c r="F951" s="18" t="str">
        <f>IFERROR(VLOOKUP($D951,본공사입.출고현황!$B:$H,F$2080,0),0)</f>
        <v>Steel round bar(rebar)</v>
      </c>
      <c r="G951" s="18" t="str">
        <f>IFERROR(VLOOKUP($D951,본공사입.출고현황!$B:$H,G$2080,0),0)</f>
        <v>CCGG</v>
      </c>
      <c r="H951" s="18" t="str">
        <f>IFERROR(VLOOKUP($D951,본공사입.출고현황!$B:$H,H$2080,0),0)</f>
        <v>ф10, 1ton=1,620.7m</v>
      </c>
      <c r="I951" s="56" t="str">
        <f>IFERROR(VLOOKUP($D951,본공사입.출고현황!$B:$H,I$2080,0),0)</f>
        <v>M</v>
      </c>
      <c r="J951" s="253">
        <v>3</v>
      </c>
      <c r="K951" s="253" t="s">
        <v>237</v>
      </c>
      <c r="L951" s="255">
        <v>20</v>
      </c>
      <c r="M951" s="256" t="s">
        <v>408</v>
      </c>
      <c r="N951" s="257"/>
    </row>
    <row r="952" spans="1:14" s="258" customFormat="1" ht="24" customHeight="1">
      <c r="A952" s="8">
        <v>908</v>
      </c>
      <c r="B952" s="9">
        <v>908</v>
      </c>
      <c r="C952" s="254">
        <v>46030</v>
      </c>
      <c r="D952" s="253" t="s">
        <v>238</v>
      </c>
      <c r="E952" s="56" t="str">
        <f>IFERROR(VLOOKUP($D952,본공사입.출고현황!$B:$H,E$2080,0),0)</f>
        <v>Steel round bar</v>
      </c>
      <c r="F952" s="18" t="str">
        <f>IFERROR(VLOOKUP($D952,본공사입.출고현황!$B:$H,F$2080,0),0)</f>
        <v>Steel round bar(rebar)</v>
      </c>
      <c r="G952" s="18" t="str">
        <f>IFERROR(VLOOKUP($D952,본공사입.출고현황!$B:$H,G$2080,0),0)</f>
        <v>CCGG</v>
      </c>
      <c r="H952" s="18" t="str">
        <f>IFERROR(VLOOKUP($D952,본공사입.출고현황!$B:$H,H$2080,0),0)</f>
        <v>ф10, 1ton=1,620.7m</v>
      </c>
      <c r="I952" s="56" t="str">
        <f>IFERROR(VLOOKUP($D952,본공사입.출고현황!$B:$H,I$2080,0),0)</f>
        <v>M</v>
      </c>
      <c r="J952" s="253">
        <v>1</v>
      </c>
      <c r="K952" s="253" t="s">
        <v>352</v>
      </c>
      <c r="L952" s="255">
        <v>125</v>
      </c>
      <c r="M952" s="256" t="s">
        <v>408</v>
      </c>
      <c r="N952" s="257"/>
    </row>
    <row r="953" spans="1:14" s="258" customFormat="1" ht="24" customHeight="1">
      <c r="A953" s="8">
        <v>909</v>
      </c>
      <c r="B953" s="9">
        <v>909</v>
      </c>
      <c r="C953" s="254">
        <v>46031</v>
      </c>
      <c r="D953" s="253" t="s">
        <v>238</v>
      </c>
      <c r="E953" s="56" t="str">
        <f>IFERROR(VLOOKUP($D953,본공사입.출고현황!$B:$H,E$2080,0),0)</f>
        <v>Steel round bar</v>
      </c>
      <c r="F953" s="18" t="str">
        <f>IFERROR(VLOOKUP($D953,본공사입.출고현황!$B:$H,F$2080,0),0)</f>
        <v>Steel round bar(rebar)</v>
      </c>
      <c r="G953" s="18" t="str">
        <f>IFERROR(VLOOKUP($D953,본공사입.출고현황!$B:$H,G$2080,0),0)</f>
        <v>CCGG</v>
      </c>
      <c r="H953" s="18" t="str">
        <f>IFERROR(VLOOKUP($D953,본공사입.출고현황!$B:$H,H$2080,0),0)</f>
        <v>ф10, 1ton=1,620.7m</v>
      </c>
      <c r="I953" s="56" t="str">
        <f>IFERROR(VLOOKUP($D953,본공사입.출고현황!$B:$H,I$2080,0),0)</f>
        <v>M</v>
      </c>
      <c r="J953" s="253">
        <v>2</v>
      </c>
      <c r="K953" s="253" t="s">
        <v>360</v>
      </c>
      <c r="L953" s="255">
        <v>125</v>
      </c>
      <c r="M953" s="256" t="s">
        <v>408</v>
      </c>
      <c r="N953" s="257"/>
    </row>
    <row r="954" spans="1:14" s="258" customFormat="1" ht="24" customHeight="1">
      <c r="A954" s="8">
        <v>910</v>
      </c>
      <c r="B954" s="9">
        <v>910</v>
      </c>
      <c r="C954" s="254">
        <v>46031</v>
      </c>
      <c r="D954" s="253" t="s">
        <v>238</v>
      </c>
      <c r="E954" s="56" t="str">
        <f>IFERROR(VLOOKUP($D954,본공사입.출고현황!$B:$H,E$2080,0),0)</f>
        <v>Steel round bar</v>
      </c>
      <c r="F954" s="18" t="str">
        <f>IFERROR(VLOOKUP($D954,본공사입.출고현황!$B:$H,F$2080,0),0)</f>
        <v>Steel round bar(rebar)</v>
      </c>
      <c r="G954" s="18" t="str">
        <f>IFERROR(VLOOKUP($D954,본공사입.출고현황!$B:$H,G$2080,0),0)</f>
        <v>CCGG</v>
      </c>
      <c r="H954" s="18" t="str">
        <f>IFERROR(VLOOKUP($D954,본공사입.출고현황!$B:$H,H$2080,0),0)</f>
        <v>ф10, 1ton=1,620.7m</v>
      </c>
      <c r="I954" s="56" t="str">
        <f>IFERROR(VLOOKUP($D954,본공사입.출고현황!$B:$H,I$2080,0),0)</f>
        <v>M</v>
      </c>
      <c r="J954" s="253">
        <v>3</v>
      </c>
      <c r="K954" s="253" t="s">
        <v>550</v>
      </c>
      <c r="L954" s="255">
        <v>25</v>
      </c>
      <c r="M954" s="256" t="s">
        <v>408</v>
      </c>
      <c r="N954" s="257"/>
    </row>
    <row r="955" spans="1:14" s="258" customFormat="1" ht="24" customHeight="1">
      <c r="A955" s="8">
        <v>911</v>
      </c>
      <c r="B955" s="9">
        <v>911</v>
      </c>
      <c r="C955" s="254">
        <v>46031</v>
      </c>
      <c r="D955" s="253" t="s">
        <v>238</v>
      </c>
      <c r="E955" s="56" t="str">
        <f>IFERROR(VLOOKUP($D955,본공사입.출고현황!$B:$H,E$2080,0),0)</f>
        <v>Steel round bar</v>
      </c>
      <c r="F955" s="18" t="str">
        <f>IFERROR(VLOOKUP($D955,본공사입.출고현황!$B:$H,F$2080,0),0)</f>
        <v>Steel round bar(rebar)</v>
      </c>
      <c r="G955" s="18" t="str">
        <f>IFERROR(VLOOKUP($D955,본공사입.출고현황!$B:$H,G$2080,0),0)</f>
        <v>CCGG</v>
      </c>
      <c r="H955" s="18" t="str">
        <f>IFERROR(VLOOKUP($D955,본공사입.출고현황!$B:$H,H$2080,0),0)</f>
        <v>ф10, 1ton=1,620.7m</v>
      </c>
      <c r="I955" s="56" t="str">
        <f>IFERROR(VLOOKUP($D955,본공사입.출고현황!$B:$H,I$2080,0),0)</f>
        <v>M</v>
      </c>
      <c r="J955" s="253">
        <v>1</v>
      </c>
      <c r="K955" s="253" t="s">
        <v>547</v>
      </c>
      <c r="L955" s="255">
        <v>15</v>
      </c>
      <c r="M955" s="256" t="s">
        <v>408</v>
      </c>
      <c r="N955" s="257"/>
    </row>
    <row r="956" spans="1:14" s="258" customFormat="1" ht="24" customHeight="1">
      <c r="A956" s="8">
        <v>912</v>
      </c>
      <c r="B956" s="9">
        <v>912</v>
      </c>
      <c r="C956" s="254">
        <v>46031</v>
      </c>
      <c r="D956" s="253" t="s">
        <v>238</v>
      </c>
      <c r="E956" s="56" t="str">
        <f>IFERROR(VLOOKUP($D956,본공사입.출고현황!$B:$H,E$2080,0),0)</f>
        <v>Steel round bar</v>
      </c>
      <c r="F956" s="18" t="str">
        <f>IFERROR(VLOOKUP($D956,본공사입.출고현황!$B:$H,F$2080,0),0)</f>
        <v>Steel round bar(rebar)</v>
      </c>
      <c r="G956" s="18" t="str">
        <f>IFERROR(VLOOKUP($D956,본공사입.출고현황!$B:$H,G$2080,0),0)</f>
        <v>CCGG</v>
      </c>
      <c r="H956" s="18" t="str">
        <f>IFERROR(VLOOKUP($D956,본공사입.출고현황!$B:$H,H$2080,0),0)</f>
        <v>ф10, 1ton=1,620.7m</v>
      </c>
      <c r="I956" s="56" t="str">
        <f>IFERROR(VLOOKUP($D956,본공사입.출고현황!$B:$H,I$2080,0),0)</f>
        <v>M</v>
      </c>
      <c r="J956" s="253">
        <v>2</v>
      </c>
      <c r="K956" s="253" t="s">
        <v>546</v>
      </c>
      <c r="L956" s="255">
        <v>75</v>
      </c>
      <c r="M956" s="256" t="s">
        <v>408</v>
      </c>
      <c r="N956" s="257"/>
    </row>
    <row r="957" spans="1:14" s="258" customFormat="1" ht="24" customHeight="1">
      <c r="A957" s="8">
        <v>913</v>
      </c>
      <c r="B957" s="9">
        <v>913</v>
      </c>
      <c r="C957" s="254">
        <v>46031</v>
      </c>
      <c r="D957" s="253" t="s">
        <v>238</v>
      </c>
      <c r="E957" s="56" t="str">
        <f>IFERROR(VLOOKUP($D957,본공사입.출고현황!$B:$H,E$2080,0),0)</f>
        <v>Steel round bar</v>
      </c>
      <c r="F957" s="18" t="str">
        <f>IFERROR(VLOOKUP($D957,본공사입.출고현황!$B:$H,F$2080,0),0)</f>
        <v>Steel round bar(rebar)</v>
      </c>
      <c r="G957" s="18" t="str">
        <f>IFERROR(VLOOKUP($D957,본공사입.출고현황!$B:$H,G$2080,0),0)</f>
        <v>CCGG</v>
      </c>
      <c r="H957" s="18" t="str">
        <f>IFERROR(VLOOKUP($D957,본공사입.출고현황!$B:$H,H$2080,0),0)</f>
        <v>ф10, 1ton=1,620.7m</v>
      </c>
      <c r="I957" s="56" t="str">
        <f>IFERROR(VLOOKUP($D957,본공사입.출고현황!$B:$H,I$2080,0),0)</f>
        <v>M</v>
      </c>
      <c r="J957" s="253" t="s">
        <v>557</v>
      </c>
      <c r="K957" s="253" t="s">
        <v>553</v>
      </c>
      <c r="L957" s="255">
        <v>15</v>
      </c>
      <c r="M957" s="256" t="s">
        <v>408</v>
      </c>
      <c r="N957" s="257"/>
    </row>
    <row r="958" spans="1:14" s="258" customFormat="1" ht="24" customHeight="1">
      <c r="A958" s="8">
        <v>914</v>
      </c>
      <c r="B958" s="9">
        <v>914</v>
      </c>
      <c r="C958" s="254">
        <v>46031</v>
      </c>
      <c r="D958" s="253" t="s">
        <v>238</v>
      </c>
      <c r="E958" s="56" t="str">
        <f>IFERROR(VLOOKUP($D958,본공사입.출고현황!$B:$H,E$2080,0),0)</f>
        <v>Steel round bar</v>
      </c>
      <c r="F958" s="18" t="str">
        <f>IFERROR(VLOOKUP($D958,본공사입.출고현황!$B:$H,F$2080,0),0)</f>
        <v>Steel round bar(rebar)</v>
      </c>
      <c r="G958" s="18" t="str">
        <f>IFERROR(VLOOKUP($D958,본공사입.출고현황!$B:$H,G$2080,0),0)</f>
        <v>CCGG</v>
      </c>
      <c r="H958" s="18" t="str">
        <f>IFERROR(VLOOKUP($D958,본공사입.출고현황!$B:$H,H$2080,0),0)</f>
        <v>ф10, 1ton=1,620.7m</v>
      </c>
      <c r="I958" s="56" t="str">
        <f>IFERROR(VLOOKUP($D958,본공사입.출고현황!$B:$H,I$2080,0),0)</f>
        <v>M</v>
      </c>
      <c r="J958" s="253">
        <v>3</v>
      </c>
      <c r="K958" s="253" t="s">
        <v>361</v>
      </c>
      <c r="L958" s="255">
        <v>100</v>
      </c>
      <c r="M958" s="256" t="s">
        <v>408</v>
      </c>
      <c r="N958" s="257"/>
    </row>
    <row r="959" spans="1:14" s="258" customFormat="1" ht="24" customHeight="1">
      <c r="A959" s="8">
        <v>915</v>
      </c>
      <c r="B959" s="9">
        <v>915</v>
      </c>
      <c r="C959" s="254">
        <v>46031</v>
      </c>
      <c r="D959" s="253" t="s">
        <v>238</v>
      </c>
      <c r="E959" s="56" t="str">
        <f>IFERROR(VLOOKUP($D959,본공사입.출고현황!$B:$H,E$2080,0),0)</f>
        <v>Steel round bar</v>
      </c>
      <c r="F959" s="18" t="str">
        <f>IFERROR(VLOOKUP($D959,본공사입.출고현황!$B:$H,F$2080,0),0)</f>
        <v>Steel round bar(rebar)</v>
      </c>
      <c r="G959" s="18" t="str">
        <f>IFERROR(VLOOKUP($D959,본공사입.출고현황!$B:$H,G$2080,0),0)</f>
        <v>CCGG</v>
      </c>
      <c r="H959" s="18" t="str">
        <f>IFERROR(VLOOKUP($D959,본공사입.출고현황!$B:$H,H$2080,0),0)</f>
        <v>ф10, 1ton=1,620.7m</v>
      </c>
      <c r="I959" s="56" t="str">
        <f>IFERROR(VLOOKUP($D959,본공사입.출고현황!$B:$H,I$2080,0),0)</f>
        <v>M</v>
      </c>
      <c r="J959" s="253">
        <v>1</v>
      </c>
      <c r="K959" s="253" t="s">
        <v>547</v>
      </c>
      <c r="L959" s="255">
        <v>75</v>
      </c>
      <c r="M959" s="256" t="s">
        <v>408</v>
      </c>
      <c r="N959" s="257"/>
    </row>
    <row r="960" spans="1:14" s="258" customFormat="1" ht="24" customHeight="1">
      <c r="A960" s="8">
        <v>916</v>
      </c>
      <c r="B960" s="9">
        <v>916</v>
      </c>
      <c r="C960" s="254">
        <v>46031</v>
      </c>
      <c r="D960" s="253" t="s">
        <v>238</v>
      </c>
      <c r="E960" s="56" t="str">
        <f>IFERROR(VLOOKUP($D960,본공사입.출고현황!$B:$H,E$2080,0),0)</f>
        <v>Steel round bar</v>
      </c>
      <c r="F960" s="18" t="str">
        <f>IFERROR(VLOOKUP($D960,본공사입.출고현황!$B:$H,F$2080,0),0)</f>
        <v>Steel round bar(rebar)</v>
      </c>
      <c r="G960" s="18" t="str">
        <f>IFERROR(VLOOKUP($D960,본공사입.출고현황!$B:$H,G$2080,0),0)</f>
        <v>CCGG</v>
      </c>
      <c r="H960" s="18" t="str">
        <f>IFERROR(VLOOKUP($D960,본공사입.출고현황!$B:$H,H$2080,0),0)</f>
        <v>ф10, 1ton=1,620.7m</v>
      </c>
      <c r="I960" s="56" t="str">
        <f>IFERROR(VLOOKUP($D960,본공사입.출고현황!$B:$H,I$2080,0),0)</f>
        <v>M</v>
      </c>
      <c r="J960" s="253">
        <v>1</v>
      </c>
      <c r="K960" s="253" t="s">
        <v>352</v>
      </c>
      <c r="L960" s="255">
        <v>50</v>
      </c>
      <c r="M960" s="256" t="s">
        <v>408</v>
      </c>
      <c r="N960" s="257"/>
    </row>
    <row r="961" spans="1:14" s="258" customFormat="1" ht="24" customHeight="1">
      <c r="A961" s="8">
        <v>917</v>
      </c>
      <c r="B961" s="9">
        <v>917</v>
      </c>
      <c r="C961" s="254">
        <v>46032</v>
      </c>
      <c r="D961" s="253" t="s">
        <v>238</v>
      </c>
      <c r="E961" s="56" t="str">
        <f>IFERROR(VLOOKUP($D961,본공사입.출고현황!$B:$H,E$2080,0),0)</f>
        <v>Steel round bar</v>
      </c>
      <c r="F961" s="18" t="str">
        <f>IFERROR(VLOOKUP($D961,본공사입.출고현황!$B:$H,F$2080,0),0)</f>
        <v>Steel round bar(rebar)</v>
      </c>
      <c r="G961" s="18" t="str">
        <f>IFERROR(VLOOKUP($D961,본공사입.출고현황!$B:$H,G$2080,0),0)</f>
        <v>CCGG</v>
      </c>
      <c r="H961" s="18" t="str">
        <f>IFERROR(VLOOKUP($D961,본공사입.출고현황!$B:$H,H$2080,0),0)</f>
        <v>ф10, 1ton=1,620.7m</v>
      </c>
      <c r="I961" s="56" t="str">
        <f>IFERROR(VLOOKUP($D961,본공사입.출고현황!$B:$H,I$2080,0),0)</f>
        <v>M</v>
      </c>
      <c r="J961" s="253">
        <v>1</v>
      </c>
      <c r="K961" s="253" t="s">
        <v>352</v>
      </c>
      <c r="L961" s="255">
        <v>20</v>
      </c>
      <c r="M961" s="256" t="s">
        <v>408</v>
      </c>
      <c r="N961" s="257"/>
    </row>
    <row r="962" spans="1:14" s="258" customFormat="1" ht="24" customHeight="1">
      <c r="A962" s="8">
        <v>918</v>
      </c>
      <c r="B962" s="9">
        <v>918</v>
      </c>
      <c r="C962" s="254">
        <v>46032</v>
      </c>
      <c r="D962" s="253" t="s">
        <v>238</v>
      </c>
      <c r="E962" s="56" t="str">
        <f>IFERROR(VLOOKUP($D962,본공사입.출고현황!$B:$H,E$2080,0),0)</f>
        <v>Steel round bar</v>
      </c>
      <c r="F962" s="18" t="str">
        <f>IFERROR(VLOOKUP($D962,본공사입.출고현황!$B:$H,F$2080,0),0)</f>
        <v>Steel round bar(rebar)</v>
      </c>
      <c r="G962" s="18" t="str">
        <f>IFERROR(VLOOKUP($D962,본공사입.출고현황!$B:$H,G$2080,0),0)</f>
        <v>CCGG</v>
      </c>
      <c r="H962" s="18" t="str">
        <f>IFERROR(VLOOKUP($D962,본공사입.출고현황!$B:$H,H$2080,0),0)</f>
        <v>ф10, 1ton=1,620.7m</v>
      </c>
      <c r="I962" s="56" t="str">
        <f>IFERROR(VLOOKUP($D962,본공사입.출고현황!$B:$H,I$2080,0),0)</f>
        <v>M</v>
      </c>
      <c r="J962" s="253">
        <v>2</v>
      </c>
      <c r="K962" s="253" t="s">
        <v>360</v>
      </c>
      <c r="L962" s="255">
        <v>75</v>
      </c>
      <c r="M962" s="256" t="s">
        <v>408</v>
      </c>
      <c r="N962" s="257"/>
    </row>
    <row r="963" spans="1:14" s="258" customFormat="1" ht="24" customHeight="1">
      <c r="A963" s="8">
        <v>919</v>
      </c>
      <c r="B963" s="9">
        <v>919</v>
      </c>
      <c r="C963" s="254">
        <v>46032</v>
      </c>
      <c r="D963" s="253" t="s">
        <v>238</v>
      </c>
      <c r="E963" s="56" t="str">
        <f>IFERROR(VLOOKUP($D963,본공사입.출고현황!$B:$H,E$2080,0),0)</f>
        <v>Steel round bar</v>
      </c>
      <c r="F963" s="18" t="str">
        <f>IFERROR(VLOOKUP($D963,본공사입.출고현황!$B:$H,F$2080,0),0)</f>
        <v>Steel round bar(rebar)</v>
      </c>
      <c r="G963" s="18" t="str">
        <f>IFERROR(VLOOKUP($D963,본공사입.출고현황!$B:$H,G$2080,0),0)</f>
        <v>CCGG</v>
      </c>
      <c r="H963" s="18" t="str">
        <f>IFERROR(VLOOKUP($D963,본공사입.출고현황!$B:$H,H$2080,0),0)</f>
        <v>ф10, 1ton=1,620.7m</v>
      </c>
      <c r="I963" s="56" t="str">
        <f>IFERROR(VLOOKUP($D963,본공사입.출고현황!$B:$H,I$2080,0),0)</f>
        <v>M</v>
      </c>
      <c r="J963" s="253">
        <v>1</v>
      </c>
      <c r="K963" s="253" t="s">
        <v>352</v>
      </c>
      <c r="L963" s="255">
        <v>150</v>
      </c>
      <c r="M963" s="256" t="s">
        <v>408</v>
      </c>
      <c r="N963" s="257"/>
    </row>
    <row r="964" spans="1:14" s="258" customFormat="1" ht="24" customHeight="1">
      <c r="A964" s="8">
        <v>920</v>
      </c>
      <c r="B964" s="9">
        <v>920</v>
      </c>
      <c r="C964" s="254">
        <v>46032</v>
      </c>
      <c r="D964" s="253" t="s">
        <v>238</v>
      </c>
      <c r="E964" s="56" t="str">
        <f>IFERROR(VLOOKUP($D964,본공사입.출고현황!$B:$H,E$2080,0),0)</f>
        <v>Steel round bar</v>
      </c>
      <c r="F964" s="18" t="str">
        <f>IFERROR(VLOOKUP($D964,본공사입.출고현황!$B:$H,F$2080,0),0)</f>
        <v>Steel round bar(rebar)</v>
      </c>
      <c r="G964" s="18" t="str">
        <f>IFERROR(VLOOKUP($D964,본공사입.출고현황!$B:$H,G$2080,0),0)</f>
        <v>CCGG</v>
      </c>
      <c r="H964" s="18" t="str">
        <f>IFERROR(VLOOKUP($D964,본공사입.출고현황!$B:$H,H$2080,0),0)</f>
        <v>ф10, 1ton=1,620.7m</v>
      </c>
      <c r="I964" s="56" t="str">
        <f>IFERROR(VLOOKUP($D964,본공사입.출고현황!$B:$H,I$2080,0),0)</f>
        <v>M</v>
      </c>
      <c r="J964" s="253">
        <v>2</v>
      </c>
      <c r="K964" s="253" t="s">
        <v>360</v>
      </c>
      <c r="L964" s="255">
        <v>100</v>
      </c>
      <c r="M964" s="256" t="s">
        <v>408</v>
      </c>
      <c r="N964" s="257"/>
    </row>
    <row r="965" spans="1:14" s="258" customFormat="1" ht="24" customHeight="1">
      <c r="A965" s="8">
        <v>921</v>
      </c>
      <c r="B965" s="9">
        <v>921</v>
      </c>
      <c r="C965" s="254">
        <v>46032</v>
      </c>
      <c r="D965" s="253" t="s">
        <v>61</v>
      </c>
      <c r="E965" s="56" t="str">
        <f>IFERROR(VLOOKUP($D965,본공사입.출고현황!$B:$H,E$2080,0),0)</f>
        <v>Angle</v>
      </c>
      <c r="F965" s="18" t="str">
        <f>IFERROR(VLOOKUP($D965,본공사입.출고현황!$B:$H,F$2080,0),0)</f>
        <v>Angle 100x100x10</v>
      </c>
      <c r="G965" s="18" t="str">
        <f>IFERROR(VLOOKUP($D965,본공사입.출고현황!$B:$H,G$2080,0),0)</f>
        <v>CCGG</v>
      </c>
      <c r="H965" s="18" t="str">
        <f>IFERROR(VLOOKUP($D965,본공사입.출고현황!$B:$H,H$2080,0),0)</f>
        <v>100x100x10 (12m)</v>
      </c>
      <c r="I965" s="56" t="str">
        <f>IFERROR(VLOOKUP($D965,본공사입.출고현황!$B:$H,I$2080,0),0)</f>
        <v>M</v>
      </c>
      <c r="J965" s="253">
        <v>1</v>
      </c>
      <c r="K965" s="253" t="s">
        <v>363</v>
      </c>
      <c r="L965" s="255">
        <v>5</v>
      </c>
      <c r="M965" s="256" t="s">
        <v>408</v>
      </c>
      <c r="N965" s="257"/>
    </row>
    <row r="966" spans="1:14" s="258" customFormat="1" ht="24" customHeight="1">
      <c r="A966" s="8">
        <v>922</v>
      </c>
      <c r="B966" s="9">
        <v>922</v>
      </c>
      <c r="C966" s="254">
        <v>46032</v>
      </c>
      <c r="D966" s="253" t="s">
        <v>238</v>
      </c>
      <c r="E966" s="56" t="str">
        <f>IFERROR(VLOOKUP($D966,본공사입.출고현황!$B:$H,E$2080,0),0)</f>
        <v>Steel round bar</v>
      </c>
      <c r="F966" s="18" t="str">
        <f>IFERROR(VLOOKUP($D966,본공사입.출고현황!$B:$H,F$2080,0),0)</f>
        <v>Steel round bar(rebar)</v>
      </c>
      <c r="G966" s="18" t="str">
        <f>IFERROR(VLOOKUP($D966,본공사입.출고현황!$B:$H,G$2080,0),0)</f>
        <v>CCGG</v>
      </c>
      <c r="H966" s="18" t="str">
        <f>IFERROR(VLOOKUP($D966,본공사입.출고현황!$B:$H,H$2080,0),0)</f>
        <v>ф10, 1ton=1,620.7m</v>
      </c>
      <c r="I966" s="56" t="str">
        <f>IFERROR(VLOOKUP($D966,본공사입.출고현황!$B:$H,I$2080,0),0)</f>
        <v>M</v>
      </c>
      <c r="J966" s="253">
        <v>1</v>
      </c>
      <c r="K966" s="253" t="s">
        <v>363</v>
      </c>
      <c r="L966" s="255">
        <v>50</v>
      </c>
      <c r="M966" s="256" t="s">
        <v>408</v>
      </c>
      <c r="N966" s="257"/>
    </row>
    <row r="967" spans="1:14" s="258" customFormat="1" ht="24" customHeight="1">
      <c r="A967" s="8">
        <v>923</v>
      </c>
      <c r="B967" s="9">
        <v>923</v>
      </c>
      <c r="C967" s="254">
        <v>46032</v>
      </c>
      <c r="D967" s="253" t="s">
        <v>238</v>
      </c>
      <c r="E967" s="56" t="str">
        <f>IFERROR(VLOOKUP($D967,본공사입.출고현황!$B:$H,E$2080,0),0)</f>
        <v>Steel round bar</v>
      </c>
      <c r="F967" s="18" t="str">
        <f>IFERROR(VLOOKUP($D967,본공사입.출고현황!$B:$H,F$2080,0),0)</f>
        <v>Steel round bar(rebar)</v>
      </c>
      <c r="G967" s="18" t="str">
        <f>IFERROR(VLOOKUP($D967,본공사입.출고현황!$B:$H,G$2080,0),0)</f>
        <v>CCGG</v>
      </c>
      <c r="H967" s="18" t="str">
        <f>IFERROR(VLOOKUP($D967,본공사입.출고현황!$B:$H,H$2080,0),0)</f>
        <v>ф10, 1ton=1,620.7m</v>
      </c>
      <c r="I967" s="56" t="str">
        <f>IFERROR(VLOOKUP($D967,본공사입.출고현황!$B:$H,I$2080,0),0)</f>
        <v>M</v>
      </c>
      <c r="J967" s="253">
        <v>1</v>
      </c>
      <c r="K967" s="253" t="s">
        <v>352</v>
      </c>
      <c r="L967" s="255">
        <v>100</v>
      </c>
      <c r="M967" s="256" t="s">
        <v>408</v>
      </c>
      <c r="N967" s="257"/>
    </row>
    <row r="968" spans="1:14" s="258" customFormat="1" ht="24" customHeight="1">
      <c r="A968" s="8">
        <v>924</v>
      </c>
      <c r="B968" s="9">
        <v>924</v>
      </c>
      <c r="C968" s="254">
        <v>46032</v>
      </c>
      <c r="D968" s="253" t="s">
        <v>238</v>
      </c>
      <c r="E968" s="56" t="str">
        <f>IFERROR(VLOOKUP($D968,본공사입.출고현황!$B:$H,E$2080,0),0)</f>
        <v>Steel round bar</v>
      </c>
      <c r="F968" s="18" t="str">
        <f>IFERROR(VLOOKUP($D968,본공사입.출고현황!$B:$H,F$2080,0),0)</f>
        <v>Steel round bar(rebar)</v>
      </c>
      <c r="G968" s="18" t="str">
        <f>IFERROR(VLOOKUP($D968,본공사입.출고현황!$B:$H,G$2080,0),0)</f>
        <v>CCGG</v>
      </c>
      <c r="H968" s="18" t="str">
        <f>IFERROR(VLOOKUP($D968,본공사입.출고현황!$B:$H,H$2080,0),0)</f>
        <v>ф10, 1ton=1,620.7m</v>
      </c>
      <c r="I968" s="56" t="str">
        <f>IFERROR(VLOOKUP($D968,본공사입.출고현황!$B:$H,I$2080,0),0)</f>
        <v>M</v>
      </c>
      <c r="J968" s="253">
        <v>1</v>
      </c>
      <c r="K968" s="253" t="s">
        <v>352</v>
      </c>
      <c r="L968" s="255">
        <v>85</v>
      </c>
      <c r="M968" s="256" t="s">
        <v>408</v>
      </c>
      <c r="N968" s="257"/>
    </row>
    <row r="969" spans="1:14" s="258" customFormat="1" ht="24" customHeight="1">
      <c r="A969" s="8">
        <v>925</v>
      </c>
      <c r="B969" s="9">
        <v>925</v>
      </c>
      <c r="C969" s="254">
        <v>46032</v>
      </c>
      <c r="D969" s="253" t="s">
        <v>61</v>
      </c>
      <c r="E969" s="56" t="str">
        <f>IFERROR(VLOOKUP($D969,본공사입.출고현황!$B:$H,E$2080,0),0)</f>
        <v>Angle</v>
      </c>
      <c r="F969" s="18" t="str">
        <f>IFERROR(VLOOKUP($D969,본공사입.출고현황!$B:$H,F$2080,0),0)</f>
        <v>Angle 100x100x10</v>
      </c>
      <c r="G969" s="18" t="str">
        <f>IFERROR(VLOOKUP($D969,본공사입.출고현황!$B:$H,G$2080,0),0)</f>
        <v>CCGG</v>
      </c>
      <c r="H969" s="18" t="str">
        <f>IFERROR(VLOOKUP($D969,본공사입.출고현황!$B:$H,H$2080,0),0)</f>
        <v>100x100x10 (12m)</v>
      </c>
      <c r="I969" s="56" t="str">
        <f>IFERROR(VLOOKUP($D969,본공사입.출고현황!$B:$H,I$2080,0),0)</f>
        <v>M</v>
      </c>
      <c r="J969" s="253">
        <v>3</v>
      </c>
      <c r="K969" s="253" t="s">
        <v>361</v>
      </c>
      <c r="L969" s="255">
        <v>5</v>
      </c>
      <c r="M969" s="256" t="s">
        <v>408</v>
      </c>
      <c r="N969" s="257"/>
    </row>
    <row r="970" spans="1:14" s="258" customFormat="1" ht="24" customHeight="1">
      <c r="A970" s="8">
        <v>926</v>
      </c>
      <c r="B970" s="9">
        <v>926</v>
      </c>
      <c r="C970" s="254">
        <v>46032</v>
      </c>
      <c r="D970" s="253" t="s">
        <v>238</v>
      </c>
      <c r="E970" s="56" t="str">
        <f>IFERROR(VLOOKUP($D970,본공사입.출고현황!$B:$H,E$2080,0),0)</f>
        <v>Steel round bar</v>
      </c>
      <c r="F970" s="18" t="str">
        <f>IFERROR(VLOOKUP($D970,본공사입.출고현황!$B:$H,F$2080,0),0)</f>
        <v>Steel round bar(rebar)</v>
      </c>
      <c r="G970" s="18" t="str">
        <f>IFERROR(VLOOKUP($D970,본공사입.출고현황!$B:$H,G$2080,0),0)</f>
        <v>CCGG</v>
      </c>
      <c r="H970" s="18" t="str">
        <f>IFERROR(VLOOKUP($D970,본공사입.출고현황!$B:$H,H$2080,0),0)</f>
        <v>ф10, 1ton=1,620.7m</v>
      </c>
      <c r="I970" s="56" t="str">
        <f>IFERROR(VLOOKUP($D970,본공사입.출고현황!$B:$H,I$2080,0),0)</f>
        <v>M</v>
      </c>
      <c r="J970" s="253">
        <v>3</v>
      </c>
      <c r="K970" s="253" t="s">
        <v>361</v>
      </c>
      <c r="L970" s="255">
        <v>50</v>
      </c>
      <c r="M970" s="256" t="s">
        <v>408</v>
      </c>
      <c r="N970" s="257"/>
    </row>
    <row r="971" spans="1:14" s="258" customFormat="1" ht="24" customHeight="1">
      <c r="A971" s="8">
        <v>927</v>
      </c>
      <c r="B971" s="9">
        <v>927</v>
      </c>
      <c r="C971" s="254">
        <v>46033</v>
      </c>
      <c r="D971" s="253" t="s">
        <v>238</v>
      </c>
      <c r="E971" s="56" t="str">
        <f>IFERROR(VLOOKUP($D971,본공사입.출고현황!$B:$H,E$2080,0),0)</f>
        <v>Steel round bar</v>
      </c>
      <c r="F971" s="18" t="str">
        <f>IFERROR(VLOOKUP($D971,본공사입.출고현황!$B:$H,F$2080,0),0)</f>
        <v>Steel round bar(rebar)</v>
      </c>
      <c r="G971" s="18" t="str">
        <f>IFERROR(VLOOKUP($D971,본공사입.출고현황!$B:$H,G$2080,0),0)</f>
        <v>CCGG</v>
      </c>
      <c r="H971" s="18" t="str">
        <f>IFERROR(VLOOKUP($D971,본공사입.출고현황!$B:$H,H$2080,0),0)</f>
        <v>ф10, 1ton=1,620.7m</v>
      </c>
      <c r="I971" s="56" t="str">
        <f>IFERROR(VLOOKUP($D971,본공사입.출고현황!$B:$H,I$2080,0),0)</f>
        <v>M</v>
      </c>
      <c r="J971" s="253">
        <v>2</v>
      </c>
      <c r="K971" s="253" t="s">
        <v>546</v>
      </c>
      <c r="L971" s="255">
        <v>75</v>
      </c>
      <c r="M971" s="256" t="s">
        <v>408</v>
      </c>
      <c r="N971" s="257"/>
    </row>
    <row r="972" spans="1:14" s="258" customFormat="1" ht="24" customHeight="1">
      <c r="A972" s="8">
        <v>928</v>
      </c>
      <c r="B972" s="9">
        <v>928</v>
      </c>
      <c r="C972" s="254">
        <v>46033</v>
      </c>
      <c r="D972" s="253" t="s">
        <v>238</v>
      </c>
      <c r="E972" s="56" t="str">
        <f>IFERROR(VLOOKUP($D972,본공사입.출고현황!$B:$H,E$2080,0),0)</f>
        <v>Steel round bar</v>
      </c>
      <c r="F972" s="18" t="str">
        <f>IFERROR(VLOOKUP($D972,본공사입.출고현황!$B:$H,F$2080,0),0)</f>
        <v>Steel round bar(rebar)</v>
      </c>
      <c r="G972" s="18" t="str">
        <f>IFERROR(VLOOKUP($D972,본공사입.출고현황!$B:$H,G$2080,0),0)</f>
        <v>CCGG</v>
      </c>
      <c r="H972" s="18" t="str">
        <f>IFERROR(VLOOKUP($D972,본공사입.출고현황!$B:$H,H$2080,0),0)</f>
        <v>ф10, 1ton=1,620.7m</v>
      </c>
      <c r="I972" s="56" t="str">
        <f>IFERROR(VLOOKUP($D972,본공사입.출고현황!$B:$H,I$2080,0),0)</f>
        <v>M</v>
      </c>
      <c r="J972" s="253">
        <v>1</v>
      </c>
      <c r="K972" s="253" t="s">
        <v>363</v>
      </c>
      <c r="L972" s="255">
        <v>25</v>
      </c>
      <c r="M972" s="256" t="s">
        <v>408</v>
      </c>
      <c r="N972" s="257"/>
    </row>
    <row r="973" spans="1:14" s="258" customFormat="1" ht="24" customHeight="1">
      <c r="A973" s="8">
        <v>929</v>
      </c>
      <c r="B973" s="9">
        <v>929</v>
      </c>
      <c r="C973" s="254">
        <v>46033</v>
      </c>
      <c r="D973" s="253" t="s">
        <v>238</v>
      </c>
      <c r="E973" s="56" t="str">
        <f>IFERROR(VLOOKUP($D973,본공사입.출고현황!$B:$H,E$2080,0),0)</f>
        <v>Steel round bar</v>
      </c>
      <c r="F973" s="18" t="str">
        <f>IFERROR(VLOOKUP($D973,본공사입.출고현황!$B:$H,F$2080,0),0)</f>
        <v>Steel round bar(rebar)</v>
      </c>
      <c r="G973" s="18" t="str">
        <f>IFERROR(VLOOKUP($D973,본공사입.출고현황!$B:$H,G$2080,0),0)</f>
        <v>CCGG</v>
      </c>
      <c r="H973" s="18" t="str">
        <f>IFERROR(VLOOKUP($D973,본공사입.출고현황!$B:$H,H$2080,0),0)</f>
        <v>ф10, 1ton=1,620.7m</v>
      </c>
      <c r="I973" s="56" t="str">
        <f>IFERROR(VLOOKUP($D973,본공사입.출고현황!$B:$H,I$2080,0),0)</f>
        <v>M</v>
      </c>
      <c r="J973" s="253">
        <v>1</v>
      </c>
      <c r="K973" s="253" t="s">
        <v>352</v>
      </c>
      <c r="L973" s="255">
        <v>75</v>
      </c>
      <c r="M973" s="256" t="s">
        <v>408</v>
      </c>
      <c r="N973" s="257"/>
    </row>
    <row r="974" spans="1:14" s="258" customFormat="1" ht="24" customHeight="1">
      <c r="A974" s="8">
        <v>930</v>
      </c>
      <c r="B974" s="9">
        <v>930</v>
      </c>
      <c r="C974" s="254">
        <v>46033</v>
      </c>
      <c r="D974" s="253" t="s">
        <v>238</v>
      </c>
      <c r="E974" s="56" t="str">
        <f>IFERROR(VLOOKUP($D974,본공사입.출고현황!$B:$H,E$2080,0),0)</f>
        <v>Steel round bar</v>
      </c>
      <c r="F974" s="18" t="str">
        <f>IFERROR(VLOOKUP($D974,본공사입.출고현황!$B:$H,F$2080,0),0)</f>
        <v>Steel round bar(rebar)</v>
      </c>
      <c r="G974" s="18" t="str">
        <f>IFERROR(VLOOKUP($D974,본공사입.출고현황!$B:$H,G$2080,0),0)</f>
        <v>CCGG</v>
      </c>
      <c r="H974" s="18" t="str">
        <f>IFERROR(VLOOKUP($D974,본공사입.출고현황!$B:$H,H$2080,0),0)</f>
        <v>ф10, 1ton=1,620.7m</v>
      </c>
      <c r="I974" s="56" t="str">
        <f>IFERROR(VLOOKUP($D974,본공사입.출고현황!$B:$H,I$2080,0),0)</f>
        <v>M</v>
      </c>
      <c r="J974" s="253">
        <v>3</v>
      </c>
      <c r="K974" s="253" t="s">
        <v>237</v>
      </c>
      <c r="L974" s="255">
        <v>20</v>
      </c>
      <c r="M974" s="256" t="s">
        <v>408</v>
      </c>
      <c r="N974" s="257"/>
    </row>
    <row r="975" spans="1:14" s="258" customFormat="1" ht="24" customHeight="1">
      <c r="A975" s="8">
        <v>931</v>
      </c>
      <c r="B975" s="9">
        <v>931</v>
      </c>
      <c r="C975" s="254">
        <v>46033</v>
      </c>
      <c r="D975" s="253" t="s">
        <v>61</v>
      </c>
      <c r="E975" s="56" t="str">
        <f>IFERROR(VLOOKUP($D975,본공사입.출고현황!$B:$H,E$2080,0),0)</f>
        <v>Angle</v>
      </c>
      <c r="F975" s="18" t="str">
        <f>IFERROR(VLOOKUP($D975,본공사입.출고현황!$B:$H,F$2080,0),0)</f>
        <v>Angle 100x100x10</v>
      </c>
      <c r="G975" s="18" t="str">
        <f>IFERROR(VLOOKUP($D975,본공사입.출고현황!$B:$H,G$2080,0),0)</f>
        <v>CCGG</v>
      </c>
      <c r="H975" s="18" t="str">
        <f>IFERROR(VLOOKUP($D975,본공사입.출고현황!$B:$H,H$2080,0),0)</f>
        <v>100x100x10 (12m)</v>
      </c>
      <c r="I975" s="56" t="str">
        <f>IFERROR(VLOOKUP($D975,본공사입.출고현황!$B:$H,I$2080,0),0)</f>
        <v>M</v>
      </c>
      <c r="J975" s="253">
        <v>1</v>
      </c>
      <c r="K975" s="253" t="s">
        <v>363</v>
      </c>
      <c r="L975" s="255">
        <v>15</v>
      </c>
      <c r="M975" s="256" t="s">
        <v>408</v>
      </c>
      <c r="N975" s="257"/>
    </row>
    <row r="976" spans="1:14" s="258" customFormat="1" ht="24" customHeight="1">
      <c r="A976" s="8">
        <v>932</v>
      </c>
      <c r="B976" s="9">
        <v>932</v>
      </c>
      <c r="C976" s="254">
        <v>46033</v>
      </c>
      <c r="D976" s="253" t="s">
        <v>238</v>
      </c>
      <c r="E976" s="56" t="str">
        <f>IFERROR(VLOOKUP($D976,본공사입.출고현황!$B:$H,E$2080,0),0)</f>
        <v>Steel round bar</v>
      </c>
      <c r="F976" s="18" t="str">
        <f>IFERROR(VLOOKUP($D976,본공사입.출고현황!$B:$H,F$2080,0),0)</f>
        <v>Steel round bar(rebar)</v>
      </c>
      <c r="G976" s="18" t="str">
        <f>IFERROR(VLOOKUP($D976,본공사입.출고현황!$B:$H,G$2080,0),0)</f>
        <v>CCGG</v>
      </c>
      <c r="H976" s="18" t="str">
        <f>IFERROR(VLOOKUP($D976,본공사입.출고현황!$B:$H,H$2080,0),0)</f>
        <v>ф10, 1ton=1,620.7m</v>
      </c>
      <c r="I976" s="56" t="str">
        <f>IFERROR(VLOOKUP($D976,본공사입.출고현황!$B:$H,I$2080,0),0)</f>
        <v>M</v>
      </c>
      <c r="J976" s="253">
        <v>1</v>
      </c>
      <c r="K976" s="253" t="s">
        <v>363</v>
      </c>
      <c r="L976" s="255">
        <v>15</v>
      </c>
      <c r="M976" s="256" t="s">
        <v>408</v>
      </c>
      <c r="N976" s="257"/>
    </row>
    <row r="977" spans="1:14" s="258" customFormat="1" ht="24" customHeight="1">
      <c r="A977" s="8">
        <v>933</v>
      </c>
      <c r="B977" s="9">
        <v>933</v>
      </c>
      <c r="C977" s="254">
        <v>46033</v>
      </c>
      <c r="D977" s="253" t="s">
        <v>238</v>
      </c>
      <c r="E977" s="56" t="str">
        <f>IFERROR(VLOOKUP($D977,본공사입.출고현황!$B:$H,E$2080,0),0)</f>
        <v>Steel round bar</v>
      </c>
      <c r="F977" s="18" t="str">
        <f>IFERROR(VLOOKUP($D977,본공사입.출고현황!$B:$H,F$2080,0),0)</f>
        <v>Steel round bar(rebar)</v>
      </c>
      <c r="G977" s="18" t="str">
        <f>IFERROR(VLOOKUP($D977,본공사입.출고현황!$B:$H,G$2080,0),0)</f>
        <v>CCGG</v>
      </c>
      <c r="H977" s="18" t="str">
        <f>IFERROR(VLOOKUP($D977,본공사입.출고현황!$B:$H,H$2080,0),0)</f>
        <v>ф10, 1ton=1,620.7m</v>
      </c>
      <c r="I977" s="56" t="str">
        <f>IFERROR(VLOOKUP($D977,본공사입.출고현황!$B:$H,I$2080,0),0)</f>
        <v>M</v>
      </c>
      <c r="J977" s="253">
        <v>2</v>
      </c>
      <c r="K977" s="253" t="s">
        <v>546</v>
      </c>
      <c r="L977" s="255">
        <v>25</v>
      </c>
      <c r="M977" s="256" t="s">
        <v>408</v>
      </c>
      <c r="N977" s="257"/>
    </row>
    <row r="978" spans="1:14" s="258" customFormat="1" ht="24" customHeight="1">
      <c r="A978" s="8">
        <v>934</v>
      </c>
      <c r="B978" s="9">
        <v>934</v>
      </c>
      <c r="C978" s="254">
        <v>46033</v>
      </c>
      <c r="D978" s="253" t="s">
        <v>238</v>
      </c>
      <c r="E978" s="56" t="str">
        <f>IFERROR(VLOOKUP($D978,본공사입.출고현황!$B:$H,E$2080,0),0)</f>
        <v>Steel round bar</v>
      </c>
      <c r="F978" s="18" t="str">
        <f>IFERROR(VLOOKUP($D978,본공사입.출고현황!$B:$H,F$2080,0),0)</f>
        <v>Steel round bar(rebar)</v>
      </c>
      <c r="G978" s="18" t="str">
        <f>IFERROR(VLOOKUP($D978,본공사입.출고현황!$B:$H,G$2080,0),0)</f>
        <v>CCGG</v>
      </c>
      <c r="H978" s="18" t="str">
        <f>IFERROR(VLOOKUP($D978,본공사입.출고현황!$B:$H,H$2080,0),0)</f>
        <v>ф10, 1ton=1,620.7m</v>
      </c>
      <c r="I978" s="56" t="str">
        <f>IFERROR(VLOOKUP($D978,본공사입.출고현황!$B:$H,I$2080,0),0)</f>
        <v>M</v>
      </c>
      <c r="J978" s="253">
        <v>2</v>
      </c>
      <c r="K978" s="253" t="s">
        <v>360</v>
      </c>
      <c r="L978" s="255">
        <v>15</v>
      </c>
      <c r="M978" s="256" t="s">
        <v>408</v>
      </c>
      <c r="N978" s="257"/>
    </row>
    <row r="979" spans="1:14" s="258" customFormat="1" ht="24" customHeight="1">
      <c r="A979" s="8">
        <v>935</v>
      </c>
      <c r="B979" s="9">
        <v>935</v>
      </c>
      <c r="C979" s="254">
        <v>46033</v>
      </c>
      <c r="D979" s="253" t="s">
        <v>238</v>
      </c>
      <c r="E979" s="56" t="str">
        <f>IFERROR(VLOOKUP($D979,본공사입.출고현황!$B:$H,E$2080,0),0)</f>
        <v>Steel round bar</v>
      </c>
      <c r="F979" s="18" t="str">
        <f>IFERROR(VLOOKUP($D979,본공사입.출고현황!$B:$H,F$2080,0),0)</f>
        <v>Steel round bar(rebar)</v>
      </c>
      <c r="G979" s="18" t="str">
        <f>IFERROR(VLOOKUP($D979,본공사입.출고현황!$B:$H,G$2080,0),0)</f>
        <v>CCGG</v>
      </c>
      <c r="H979" s="18" t="str">
        <f>IFERROR(VLOOKUP($D979,본공사입.출고현황!$B:$H,H$2080,0),0)</f>
        <v>ф10, 1ton=1,620.7m</v>
      </c>
      <c r="I979" s="56" t="str">
        <f>IFERROR(VLOOKUP($D979,본공사입.출고현황!$B:$H,I$2080,0),0)</f>
        <v>M</v>
      </c>
      <c r="J979" s="253">
        <v>1</v>
      </c>
      <c r="K979" s="253" t="s">
        <v>547</v>
      </c>
      <c r="L979" s="255">
        <v>25</v>
      </c>
      <c r="M979" s="256" t="s">
        <v>408</v>
      </c>
      <c r="N979" s="257"/>
    </row>
    <row r="980" spans="1:14" s="258" customFormat="1" ht="24" customHeight="1">
      <c r="A980" s="8">
        <v>936</v>
      </c>
      <c r="B980" s="9">
        <v>936</v>
      </c>
      <c r="C980" s="254">
        <v>46033</v>
      </c>
      <c r="D980" s="253" t="s">
        <v>238</v>
      </c>
      <c r="E980" s="56" t="str">
        <f>IFERROR(VLOOKUP($D980,본공사입.출고현황!$B:$H,E$2080,0),0)</f>
        <v>Steel round bar</v>
      </c>
      <c r="F980" s="18" t="str">
        <f>IFERROR(VLOOKUP($D980,본공사입.출고현황!$B:$H,F$2080,0),0)</f>
        <v>Steel round bar(rebar)</v>
      </c>
      <c r="G980" s="18" t="str">
        <f>IFERROR(VLOOKUP($D980,본공사입.출고현황!$B:$H,G$2080,0),0)</f>
        <v>CCGG</v>
      </c>
      <c r="H980" s="18" t="str">
        <f>IFERROR(VLOOKUP($D980,본공사입.출고현황!$B:$H,H$2080,0),0)</f>
        <v>ф10, 1ton=1,620.7m</v>
      </c>
      <c r="I980" s="56" t="str">
        <f>IFERROR(VLOOKUP($D980,본공사입.출고현황!$B:$H,I$2080,0),0)</f>
        <v>M</v>
      </c>
      <c r="J980" s="253">
        <v>1</v>
      </c>
      <c r="K980" s="253" t="s">
        <v>352</v>
      </c>
      <c r="L980" s="255">
        <v>75</v>
      </c>
      <c r="M980" s="256" t="s">
        <v>408</v>
      </c>
      <c r="N980" s="257"/>
    </row>
    <row r="981" spans="1:14" s="258" customFormat="1" ht="24" customHeight="1">
      <c r="A981" s="8">
        <v>937</v>
      </c>
      <c r="B981" s="9">
        <v>937</v>
      </c>
      <c r="C981" s="254">
        <v>46034</v>
      </c>
      <c r="D981" s="253" t="s">
        <v>238</v>
      </c>
      <c r="E981" s="56" t="str">
        <f>IFERROR(VLOOKUP($D981,본공사입.출고현황!$B:$H,E$2080,0),0)</f>
        <v>Steel round bar</v>
      </c>
      <c r="F981" s="18" t="str">
        <f>IFERROR(VLOOKUP($D981,본공사입.출고현황!$B:$H,F$2080,0),0)</f>
        <v>Steel round bar(rebar)</v>
      </c>
      <c r="G981" s="18" t="str">
        <f>IFERROR(VLOOKUP($D981,본공사입.출고현황!$B:$H,G$2080,0),0)</f>
        <v>CCGG</v>
      </c>
      <c r="H981" s="18" t="str">
        <f>IFERROR(VLOOKUP($D981,본공사입.출고현황!$B:$H,H$2080,0),0)</f>
        <v>ф10, 1ton=1,620.7m</v>
      </c>
      <c r="I981" s="56" t="str">
        <f>IFERROR(VLOOKUP($D981,본공사입.출고현황!$B:$H,I$2080,0),0)</f>
        <v>M</v>
      </c>
      <c r="J981" s="253">
        <v>3</v>
      </c>
      <c r="K981" s="253" t="s">
        <v>550</v>
      </c>
      <c r="L981" s="255">
        <v>50</v>
      </c>
      <c r="M981" s="256" t="s">
        <v>408</v>
      </c>
      <c r="N981" s="257"/>
    </row>
    <row r="982" spans="1:14" s="258" customFormat="1" ht="24" customHeight="1">
      <c r="A982" s="8">
        <v>938</v>
      </c>
      <c r="B982" s="9">
        <v>938</v>
      </c>
      <c r="C982" s="254">
        <v>46034</v>
      </c>
      <c r="D982" s="253" t="s">
        <v>238</v>
      </c>
      <c r="E982" s="56" t="str">
        <f>IFERROR(VLOOKUP($D982,본공사입.출고현황!$B:$H,E$2080,0),0)</f>
        <v>Steel round bar</v>
      </c>
      <c r="F982" s="18" t="str">
        <f>IFERROR(VLOOKUP($D982,본공사입.출고현황!$B:$H,F$2080,0),0)</f>
        <v>Steel round bar(rebar)</v>
      </c>
      <c r="G982" s="18" t="str">
        <f>IFERROR(VLOOKUP($D982,본공사입.출고현황!$B:$H,G$2080,0),0)</f>
        <v>CCGG</v>
      </c>
      <c r="H982" s="18" t="str">
        <f>IFERROR(VLOOKUP($D982,본공사입.출고현황!$B:$H,H$2080,0),0)</f>
        <v>ф10, 1ton=1,620.7m</v>
      </c>
      <c r="I982" s="56" t="str">
        <f>IFERROR(VLOOKUP($D982,본공사입.출고현황!$B:$H,I$2080,0),0)</f>
        <v>M</v>
      </c>
      <c r="J982" s="253">
        <v>2</v>
      </c>
      <c r="K982" s="253" t="s">
        <v>360</v>
      </c>
      <c r="L982" s="255">
        <v>25</v>
      </c>
      <c r="M982" s="256" t="s">
        <v>408</v>
      </c>
      <c r="N982" s="257"/>
    </row>
    <row r="983" spans="1:14" s="258" customFormat="1" ht="24" customHeight="1">
      <c r="A983" s="8">
        <v>939</v>
      </c>
      <c r="B983" s="9">
        <v>939</v>
      </c>
      <c r="C983" s="254">
        <v>46034</v>
      </c>
      <c r="D983" s="253" t="s">
        <v>238</v>
      </c>
      <c r="E983" s="56" t="str">
        <f>IFERROR(VLOOKUP($D983,본공사입.출고현황!$B:$H,E$2080,0),0)</f>
        <v>Steel round bar</v>
      </c>
      <c r="F983" s="18" t="str">
        <f>IFERROR(VLOOKUP($D983,본공사입.출고현황!$B:$H,F$2080,0),0)</f>
        <v>Steel round bar(rebar)</v>
      </c>
      <c r="G983" s="18" t="str">
        <f>IFERROR(VLOOKUP($D983,본공사입.출고현황!$B:$H,G$2080,0),0)</f>
        <v>CCGG</v>
      </c>
      <c r="H983" s="18" t="str">
        <f>IFERROR(VLOOKUP($D983,본공사입.출고현황!$B:$H,H$2080,0),0)</f>
        <v>ф10, 1ton=1,620.7m</v>
      </c>
      <c r="I983" s="56" t="str">
        <f>IFERROR(VLOOKUP($D983,본공사입.출고현황!$B:$H,I$2080,0),0)</f>
        <v>M</v>
      </c>
      <c r="J983" s="253">
        <v>3</v>
      </c>
      <c r="K983" s="253" t="s">
        <v>237</v>
      </c>
      <c r="L983" s="255">
        <v>25</v>
      </c>
      <c r="M983" s="256" t="s">
        <v>408</v>
      </c>
      <c r="N983" s="257"/>
    </row>
    <row r="984" spans="1:14" s="258" customFormat="1" ht="24" customHeight="1">
      <c r="A984" s="8">
        <v>940</v>
      </c>
      <c r="B984" s="9">
        <v>940</v>
      </c>
      <c r="C984" s="254">
        <v>46034</v>
      </c>
      <c r="D984" s="253" t="s">
        <v>238</v>
      </c>
      <c r="E984" s="56" t="str">
        <f>IFERROR(VLOOKUP($D984,본공사입.출고현황!$B:$H,E$2080,0),0)</f>
        <v>Steel round bar</v>
      </c>
      <c r="F984" s="18" t="str">
        <f>IFERROR(VLOOKUP($D984,본공사입.출고현황!$B:$H,F$2080,0),0)</f>
        <v>Steel round bar(rebar)</v>
      </c>
      <c r="G984" s="18" t="str">
        <f>IFERROR(VLOOKUP($D984,본공사입.출고현황!$B:$H,G$2080,0),0)</f>
        <v>CCGG</v>
      </c>
      <c r="H984" s="18" t="str">
        <f>IFERROR(VLOOKUP($D984,본공사입.출고현황!$B:$H,H$2080,0),0)</f>
        <v>ф10, 1ton=1,620.7m</v>
      </c>
      <c r="I984" s="56" t="str">
        <f>IFERROR(VLOOKUP($D984,본공사입.출고현황!$B:$H,I$2080,0),0)</f>
        <v>M</v>
      </c>
      <c r="J984" s="253">
        <v>1</v>
      </c>
      <c r="K984" s="253" t="s">
        <v>352</v>
      </c>
      <c r="L984" s="255">
        <v>25</v>
      </c>
      <c r="M984" s="256" t="s">
        <v>408</v>
      </c>
      <c r="N984" s="257"/>
    </row>
    <row r="985" spans="1:14" s="258" customFormat="1" ht="24" customHeight="1">
      <c r="A985" s="8">
        <v>941</v>
      </c>
      <c r="B985" s="9">
        <v>941</v>
      </c>
      <c r="C985" s="254">
        <v>46034</v>
      </c>
      <c r="D985" s="253" t="s">
        <v>238</v>
      </c>
      <c r="E985" s="56" t="str">
        <f>IFERROR(VLOOKUP($D985,본공사입.출고현황!$B:$H,E$2080,0),0)</f>
        <v>Steel round bar</v>
      </c>
      <c r="F985" s="18" t="str">
        <f>IFERROR(VLOOKUP($D985,본공사입.출고현황!$B:$H,F$2080,0),0)</f>
        <v>Steel round bar(rebar)</v>
      </c>
      <c r="G985" s="18" t="str">
        <f>IFERROR(VLOOKUP($D985,본공사입.출고현황!$B:$H,G$2080,0),0)</f>
        <v>CCGG</v>
      </c>
      <c r="H985" s="18" t="str">
        <f>IFERROR(VLOOKUP($D985,본공사입.출고현황!$B:$H,H$2080,0),0)</f>
        <v>ф10, 1ton=1,620.7m</v>
      </c>
      <c r="I985" s="56" t="str">
        <f>IFERROR(VLOOKUP($D985,본공사입.출고현황!$B:$H,I$2080,0),0)</f>
        <v>M</v>
      </c>
      <c r="J985" s="253">
        <v>1</v>
      </c>
      <c r="K985" s="253" t="s">
        <v>547</v>
      </c>
      <c r="L985" s="255">
        <v>25</v>
      </c>
      <c r="M985" s="256" t="s">
        <v>408</v>
      </c>
      <c r="N985" s="257"/>
    </row>
    <row r="986" spans="1:14" s="258" customFormat="1" ht="24" customHeight="1">
      <c r="A986" s="8">
        <v>942</v>
      </c>
      <c r="B986" s="9">
        <v>942</v>
      </c>
      <c r="C986" s="254">
        <v>46034</v>
      </c>
      <c r="D986" s="253" t="s">
        <v>238</v>
      </c>
      <c r="E986" s="56" t="str">
        <f>IFERROR(VLOOKUP($D986,본공사입.출고현황!$B:$H,E$2080,0),0)</f>
        <v>Steel round bar</v>
      </c>
      <c r="F986" s="18" t="str">
        <f>IFERROR(VLOOKUP($D986,본공사입.출고현황!$B:$H,F$2080,0),0)</f>
        <v>Steel round bar(rebar)</v>
      </c>
      <c r="G986" s="18" t="str">
        <f>IFERROR(VLOOKUP($D986,본공사입.출고현황!$B:$H,G$2080,0),0)</f>
        <v>CCGG</v>
      </c>
      <c r="H986" s="18" t="str">
        <f>IFERROR(VLOOKUP($D986,본공사입.출고현황!$B:$H,H$2080,0),0)</f>
        <v>ф10, 1ton=1,620.7m</v>
      </c>
      <c r="I986" s="56" t="str">
        <f>IFERROR(VLOOKUP($D986,본공사입.출고현황!$B:$H,I$2080,0),0)</f>
        <v>M</v>
      </c>
      <c r="J986" s="253">
        <v>2</v>
      </c>
      <c r="K986" s="253" t="s">
        <v>360</v>
      </c>
      <c r="L986" s="255">
        <v>25</v>
      </c>
      <c r="M986" s="256" t="s">
        <v>408</v>
      </c>
      <c r="N986" s="257"/>
    </row>
    <row r="987" spans="1:14" s="258" customFormat="1" ht="24" customHeight="1">
      <c r="A987" s="8">
        <v>943</v>
      </c>
      <c r="B987" s="9">
        <v>943</v>
      </c>
      <c r="C987" s="254">
        <v>46034</v>
      </c>
      <c r="D987" s="253" t="s">
        <v>238</v>
      </c>
      <c r="E987" s="56" t="str">
        <f>IFERROR(VLOOKUP($D987,본공사입.출고현황!$B:$H,E$2080,0),0)</f>
        <v>Steel round bar</v>
      </c>
      <c r="F987" s="18" t="str">
        <f>IFERROR(VLOOKUP($D987,본공사입.출고현황!$B:$H,F$2080,0),0)</f>
        <v>Steel round bar(rebar)</v>
      </c>
      <c r="G987" s="18" t="str">
        <f>IFERROR(VLOOKUP($D987,본공사입.출고현황!$B:$H,G$2080,0),0)</f>
        <v>CCGG</v>
      </c>
      <c r="H987" s="18" t="str">
        <f>IFERROR(VLOOKUP($D987,본공사입.출고현황!$B:$H,H$2080,0),0)</f>
        <v>ф10, 1ton=1,620.7m</v>
      </c>
      <c r="I987" s="56" t="str">
        <f>IFERROR(VLOOKUP($D987,본공사입.출고현황!$B:$H,I$2080,0),0)</f>
        <v>M</v>
      </c>
      <c r="J987" s="253">
        <v>3</v>
      </c>
      <c r="K987" s="253" t="s">
        <v>237</v>
      </c>
      <c r="L987" s="255">
        <v>25</v>
      </c>
      <c r="M987" s="256" t="s">
        <v>408</v>
      </c>
      <c r="N987" s="257"/>
    </row>
    <row r="988" spans="1:14" s="258" customFormat="1" ht="24" customHeight="1">
      <c r="A988" s="8">
        <v>944</v>
      </c>
      <c r="B988" s="9">
        <v>944</v>
      </c>
      <c r="C988" s="254">
        <v>46034</v>
      </c>
      <c r="D988" s="253" t="s">
        <v>238</v>
      </c>
      <c r="E988" s="56" t="str">
        <f>IFERROR(VLOOKUP($D988,본공사입.출고현황!$B:$H,E$2080,0),0)</f>
        <v>Steel round bar</v>
      </c>
      <c r="F988" s="18" t="str">
        <f>IFERROR(VLOOKUP($D988,본공사입.출고현황!$B:$H,F$2080,0),0)</f>
        <v>Steel round bar(rebar)</v>
      </c>
      <c r="G988" s="18" t="str">
        <f>IFERROR(VLOOKUP($D988,본공사입.출고현황!$B:$H,G$2080,0),0)</f>
        <v>CCGG</v>
      </c>
      <c r="H988" s="18" t="str">
        <f>IFERROR(VLOOKUP($D988,본공사입.출고현황!$B:$H,H$2080,0),0)</f>
        <v>ф10, 1ton=1,620.7m</v>
      </c>
      <c r="I988" s="56" t="str">
        <f>IFERROR(VLOOKUP($D988,본공사입.출고현황!$B:$H,I$2080,0),0)</f>
        <v>M</v>
      </c>
      <c r="J988" s="253">
        <v>1</v>
      </c>
      <c r="K988" s="253" t="s">
        <v>352</v>
      </c>
      <c r="L988" s="255">
        <v>20</v>
      </c>
      <c r="M988" s="256" t="s">
        <v>408</v>
      </c>
      <c r="N988" s="257"/>
    </row>
    <row r="989" spans="1:14" s="258" customFormat="1" ht="24" customHeight="1">
      <c r="A989" s="8">
        <v>945</v>
      </c>
      <c r="B989" s="9">
        <v>945</v>
      </c>
      <c r="C989" s="254">
        <v>46035</v>
      </c>
      <c r="D989" s="253" t="s">
        <v>238</v>
      </c>
      <c r="E989" s="56" t="str">
        <f>IFERROR(VLOOKUP($D989,본공사입.출고현황!$B:$H,E$2080,0),0)</f>
        <v>Steel round bar</v>
      </c>
      <c r="F989" s="18" t="str">
        <f>IFERROR(VLOOKUP($D989,본공사입.출고현황!$B:$H,F$2080,0),0)</f>
        <v>Steel round bar(rebar)</v>
      </c>
      <c r="G989" s="18" t="str">
        <f>IFERROR(VLOOKUP($D989,본공사입.출고현황!$B:$H,G$2080,0),0)</f>
        <v>CCGG</v>
      </c>
      <c r="H989" s="18" t="str">
        <f>IFERROR(VLOOKUP($D989,본공사입.출고현황!$B:$H,H$2080,0),0)</f>
        <v>ф10, 1ton=1,620.7m</v>
      </c>
      <c r="I989" s="56" t="str">
        <f>IFERROR(VLOOKUP($D989,본공사입.출고현황!$B:$H,I$2080,0),0)</f>
        <v>M</v>
      </c>
      <c r="J989" s="253">
        <v>4</v>
      </c>
      <c r="K989" s="253" t="s">
        <v>359</v>
      </c>
      <c r="L989" s="255">
        <v>50</v>
      </c>
      <c r="M989" s="256" t="s">
        <v>408</v>
      </c>
      <c r="N989" s="257"/>
    </row>
    <row r="990" spans="1:14" s="258" customFormat="1" ht="24" customHeight="1">
      <c r="A990" s="8">
        <v>946</v>
      </c>
      <c r="B990" s="9">
        <v>946</v>
      </c>
      <c r="C990" s="254">
        <v>46035</v>
      </c>
      <c r="D990" s="253" t="s">
        <v>238</v>
      </c>
      <c r="E990" s="56" t="str">
        <f>IFERROR(VLOOKUP($D990,본공사입.출고현황!$B:$H,E$2080,0),0)</f>
        <v>Steel round bar</v>
      </c>
      <c r="F990" s="18" t="str">
        <f>IFERROR(VLOOKUP($D990,본공사입.출고현황!$B:$H,F$2080,0),0)</f>
        <v>Steel round bar(rebar)</v>
      </c>
      <c r="G990" s="18" t="str">
        <f>IFERROR(VLOOKUP($D990,본공사입.출고현황!$B:$H,G$2080,0),0)</f>
        <v>CCGG</v>
      </c>
      <c r="H990" s="18" t="str">
        <f>IFERROR(VLOOKUP($D990,본공사입.출고현황!$B:$H,H$2080,0),0)</f>
        <v>ф10, 1ton=1,620.7m</v>
      </c>
      <c r="I990" s="56" t="str">
        <f>IFERROR(VLOOKUP($D990,본공사입.출고현황!$B:$H,I$2080,0),0)</f>
        <v>M</v>
      </c>
      <c r="J990" s="253">
        <v>2</v>
      </c>
      <c r="K990" s="253" t="s">
        <v>546</v>
      </c>
      <c r="L990" s="255">
        <v>25</v>
      </c>
      <c r="M990" s="256" t="s">
        <v>408</v>
      </c>
      <c r="N990" s="257"/>
    </row>
    <row r="991" spans="1:14" s="258" customFormat="1" ht="24" customHeight="1">
      <c r="A991" s="8">
        <v>947</v>
      </c>
      <c r="B991" s="9">
        <v>947</v>
      </c>
      <c r="C991" s="254">
        <v>46035</v>
      </c>
      <c r="D991" s="253" t="s">
        <v>238</v>
      </c>
      <c r="E991" s="56" t="str">
        <f>IFERROR(VLOOKUP($D991,본공사입.출고현황!$B:$H,E$2080,0),0)</f>
        <v>Steel round bar</v>
      </c>
      <c r="F991" s="18" t="str">
        <f>IFERROR(VLOOKUP($D991,본공사입.출고현황!$B:$H,F$2080,0),0)</f>
        <v>Steel round bar(rebar)</v>
      </c>
      <c r="G991" s="18" t="str">
        <f>IFERROR(VLOOKUP($D991,본공사입.출고현황!$B:$H,G$2080,0),0)</f>
        <v>CCGG</v>
      </c>
      <c r="H991" s="18" t="str">
        <f>IFERROR(VLOOKUP($D991,본공사입.출고현황!$B:$H,H$2080,0),0)</f>
        <v>ф10, 1ton=1,620.7m</v>
      </c>
      <c r="I991" s="56" t="str">
        <f>IFERROR(VLOOKUP($D991,본공사입.출고현황!$B:$H,I$2080,0),0)</f>
        <v>M</v>
      </c>
      <c r="J991" s="253">
        <v>1</v>
      </c>
      <c r="K991" s="253" t="s">
        <v>352</v>
      </c>
      <c r="L991" s="255">
        <v>25</v>
      </c>
      <c r="M991" s="256" t="s">
        <v>408</v>
      </c>
      <c r="N991" s="257"/>
    </row>
    <row r="992" spans="1:14" s="258" customFormat="1" ht="24" customHeight="1">
      <c r="A992" s="8">
        <v>948</v>
      </c>
      <c r="B992" s="9">
        <v>948</v>
      </c>
      <c r="C992" s="254">
        <v>46035</v>
      </c>
      <c r="D992" s="253" t="s">
        <v>238</v>
      </c>
      <c r="E992" s="56" t="str">
        <f>IFERROR(VLOOKUP($D992,본공사입.출고현황!$B:$H,E$2080,0),0)</f>
        <v>Steel round bar</v>
      </c>
      <c r="F992" s="18" t="str">
        <f>IFERROR(VLOOKUP($D992,본공사입.출고현황!$B:$H,F$2080,0),0)</f>
        <v>Steel round bar(rebar)</v>
      </c>
      <c r="G992" s="18" t="str">
        <f>IFERROR(VLOOKUP($D992,본공사입.출고현황!$B:$H,G$2080,0),0)</f>
        <v>CCGG</v>
      </c>
      <c r="H992" s="18" t="str">
        <f>IFERROR(VLOOKUP($D992,본공사입.출고현황!$B:$H,H$2080,0),0)</f>
        <v>ф10, 1ton=1,620.7m</v>
      </c>
      <c r="I992" s="56" t="str">
        <f>IFERROR(VLOOKUP($D992,본공사입.출고현황!$B:$H,I$2080,0),0)</f>
        <v>M</v>
      </c>
      <c r="J992" s="253">
        <v>2</v>
      </c>
      <c r="K992" s="253" t="s">
        <v>360</v>
      </c>
      <c r="L992" s="255">
        <v>50</v>
      </c>
      <c r="M992" s="256" t="s">
        <v>408</v>
      </c>
      <c r="N992" s="257"/>
    </row>
    <row r="993" spans="1:14" s="258" customFormat="1" ht="24" customHeight="1">
      <c r="A993" s="8">
        <v>949</v>
      </c>
      <c r="B993" s="9">
        <v>949</v>
      </c>
      <c r="C993" s="254">
        <v>46035</v>
      </c>
      <c r="D993" s="253" t="s">
        <v>238</v>
      </c>
      <c r="E993" s="56" t="str">
        <f>IFERROR(VLOOKUP($D993,본공사입.출고현황!$B:$H,E$2080,0),0)</f>
        <v>Steel round bar</v>
      </c>
      <c r="F993" s="18" t="str">
        <f>IFERROR(VLOOKUP($D993,본공사입.출고현황!$B:$H,F$2080,0),0)</f>
        <v>Steel round bar(rebar)</v>
      </c>
      <c r="G993" s="18" t="str">
        <f>IFERROR(VLOOKUP($D993,본공사입.출고현황!$B:$H,G$2080,0),0)</f>
        <v>CCGG</v>
      </c>
      <c r="H993" s="18" t="str">
        <f>IFERROR(VLOOKUP($D993,본공사입.출고현황!$B:$H,H$2080,0),0)</f>
        <v>ф10, 1ton=1,620.7m</v>
      </c>
      <c r="I993" s="56" t="str">
        <f>IFERROR(VLOOKUP($D993,본공사입.출고현황!$B:$H,I$2080,0),0)</f>
        <v>M</v>
      </c>
      <c r="J993" s="253">
        <v>3</v>
      </c>
      <c r="K993" s="253" t="s">
        <v>550</v>
      </c>
      <c r="L993" s="255">
        <v>15</v>
      </c>
      <c r="M993" s="256" t="s">
        <v>408</v>
      </c>
      <c r="N993" s="257"/>
    </row>
    <row r="994" spans="1:14" s="258" customFormat="1" ht="24" customHeight="1">
      <c r="A994" s="8">
        <v>950</v>
      </c>
      <c r="B994" s="9">
        <v>950</v>
      </c>
      <c r="C994" s="254">
        <v>46035</v>
      </c>
      <c r="D994" s="253" t="s">
        <v>238</v>
      </c>
      <c r="E994" s="56" t="str">
        <f>IFERROR(VLOOKUP($D994,본공사입.출고현황!$B:$H,E$2080,0),0)</f>
        <v>Steel round bar</v>
      </c>
      <c r="F994" s="18" t="str">
        <f>IFERROR(VLOOKUP($D994,본공사입.출고현황!$B:$H,F$2080,0),0)</f>
        <v>Steel round bar(rebar)</v>
      </c>
      <c r="G994" s="18" t="str">
        <f>IFERROR(VLOOKUP($D994,본공사입.출고현황!$B:$H,G$2080,0),0)</f>
        <v>CCGG</v>
      </c>
      <c r="H994" s="18" t="str">
        <f>IFERROR(VLOOKUP($D994,본공사입.출고현황!$B:$H,H$2080,0),0)</f>
        <v>ф10, 1ton=1,620.7m</v>
      </c>
      <c r="I994" s="56" t="str">
        <f>IFERROR(VLOOKUP($D994,본공사입.출고현황!$B:$H,I$2080,0),0)</f>
        <v>M</v>
      </c>
      <c r="J994" s="253">
        <v>1</v>
      </c>
      <c r="K994" s="253" t="s">
        <v>363</v>
      </c>
      <c r="L994" s="255">
        <v>40</v>
      </c>
      <c r="M994" s="256" t="s">
        <v>408</v>
      </c>
      <c r="N994" s="257"/>
    </row>
    <row r="995" spans="1:14" s="258" customFormat="1" ht="24" customHeight="1">
      <c r="A995" s="8">
        <v>951</v>
      </c>
      <c r="B995" s="9">
        <v>951</v>
      </c>
      <c r="C995" s="254">
        <v>46035</v>
      </c>
      <c r="D995" s="253" t="s">
        <v>238</v>
      </c>
      <c r="E995" s="56" t="str">
        <f>IFERROR(VLOOKUP($D995,본공사입.출고현황!$B:$H,E$2080,0),0)</f>
        <v>Steel round bar</v>
      </c>
      <c r="F995" s="18" t="str">
        <f>IFERROR(VLOOKUP($D995,본공사입.출고현황!$B:$H,F$2080,0),0)</f>
        <v>Steel round bar(rebar)</v>
      </c>
      <c r="G995" s="18" t="str">
        <f>IFERROR(VLOOKUP($D995,본공사입.출고현황!$B:$H,G$2080,0),0)</f>
        <v>CCGG</v>
      </c>
      <c r="H995" s="18" t="str">
        <f>IFERROR(VLOOKUP($D995,본공사입.출고현황!$B:$H,H$2080,0),0)</f>
        <v>ф10, 1ton=1,620.7m</v>
      </c>
      <c r="I995" s="56" t="str">
        <f>IFERROR(VLOOKUP($D995,본공사입.출고현황!$B:$H,I$2080,0),0)</f>
        <v>M</v>
      </c>
      <c r="J995" s="253">
        <v>1</v>
      </c>
      <c r="K995" s="253" t="s">
        <v>547</v>
      </c>
      <c r="L995" s="255">
        <v>20</v>
      </c>
      <c r="M995" s="256" t="s">
        <v>408</v>
      </c>
      <c r="N995" s="257"/>
    </row>
    <row r="996" spans="1:14" s="258" customFormat="1" ht="24" customHeight="1">
      <c r="A996" s="8">
        <v>952</v>
      </c>
      <c r="B996" s="9">
        <v>952</v>
      </c>
      <c r="C996" s="254">
        <v>46035</v>
      </c>
      <c r="D996" s="253" t="s">
        <v>238</v>
      </c>
      <c r="E996" s="56" t="str">
        <f>IFERROR(VLOOKUP($D996,본공사입.출고현황!$B:$H,E$2080,0),0)</f>
        <v>Steel round bar</v>
      </c>
      <c r="F996" s="18" t="str">
        <f>IFERROR(VLOOKUP($D996,본공사입.출고현황!$B:$H,F$2080,0),0)</f>
        <v>Steel round bar(rebar)</v>
      </c>
      <c r="G996" s="18" t="str">
        <f>IFERROR(VLOOKUP($D996,본공사입.출고현황!$B:$H,G$2080,0),0)</f>
        <v>CCGG</v>
      </c>
      <c r="H996" s="18" t="str">
        <f>IFERROR(VLOOKUP($D996,본공사입.출고현황!$B:$H,H$2080,0),0)</f>
        <v>ф10, 1ton=1,620.7m</v>
      </c>
      <c r="I996" s="56" t="str">
        <f>IFERROR(VLOOKUP($D996,본공사입.출고현황!$B:$H,I$2080,0),0)</f>
        <v>M</v>
      </c>
      <c r="J996" s="253">
        <v>1</v>
      </c>
      <c r="K996" s="253" t="s">
        <v>363</v>
      </c>
      <c r="L996" s="255">
        <v>20</v>
      </c>
      <c r="M996" s="256" t="s">
        <v>408</v>
      </c>
      <c r="N996" s="257"/>
    </row>
    <row r="997" spans="1:14" s="258" customFormat="1" ht="24" customHeight="1">
      <c r="A997" s="8">
        <v>953</v>
      </c>
      <c r="B997" s="9">
        <v>953</v>
      </c>
      <c r="C997" s="254">
        <v>46035</v>
      </c>
      <c r="D997" s="253" t="s">
        <v>238</v>
      </c>
      <c r="E997" s="56" t="str">
        <f>IFERROR(VLOOKUP($D997,본공사입.출고현황!$B:$H,E$2080,0),0)</f>
        <v>Steel round bar</v>
      </c>
      <c r="F997" s="18" t="str">
        <f>IFERROR(VLOOKUP($D997,본공사입.출고현황!$B:$H,F$2080,0),0)</f>
        <v>Steel round bar(rebar)</v>
      </c>
      <c r="G997" s="18" t="str">
        <f>IFERROR(VLOOKUP($D997,본공사입.출고현황!$B:$H,G$2080,0),0)</f>
        <v>CCGG</v>
      </c>
      <c r="H997" s="18" t="str">
        <f>IFERROR(VLOOKUP($D997,본공사입.출고현황!$B:$H,H$2080,0),0)</f>
        <v>ф10, 1ton=1,620.7m</v>
      </c>
      <c r="I997" s="56" t="str">
        <f>IFERROR(VLOOKUP($D997,본공사입.출고현황!$B:$H,I$2080,0),0)</f>
        <v>M</v>
      </c>
      <c r="J997" s="253">
        <v>3</v>
      </c>
      <c r="K997" s="253" t="s">
        <v>550</v>
      </c>
      <c r="L997" s="255">
        <v>20</v>
      </c>
      <c r="M997" s="256" t="s">
        <v>408</v>
      </c>
      <c r="N997" s="257"/>
    </row>
    <row r="998" spans="1:14" s="258" customFormat="1" ht="24" customHeight="1">
      <c r="A998" s="8">
        <v>954</v>
      </c>
      <c r="B998" s="9">
        <v>954</v>
      </c>
      <c r="C998" s="254">
        <v>46036</v>
      </c>
      <c r="D998" s="253" t="s">
        <v>238</v>
      </c>
      <c r="E998" s="56" t="str">
        <f>IFERROR(VLOOKUP($D998,본공사입.출고현황!$B:$H,E$2080,0),0)</f>
        <v>Steel round bar</v>
      </c>
      <c r="F998" s="18" t="str">
        <f>IFERROR(VLOOKUP($D998,본공사입.출고현황!$B:$H,F$2080,0),0)</f>
        <v>Steel round bar(rebar)</v>
      </c>
      <c r="G998" s="18" t="str">
        <f>IFERROR(VLOOKUP($D998,본공사입.출고현황!$B:$H,G$2080,0),0)</f>
        <v>CCGG</v>
      </c>
      <c r="H998" s="18" t="str">
        <f>IFERROR(VLOOKUP($D998,본공사입.출고현황!$B:$H,H$2080,0),0)</f>
        <v>ф10, 1ton=1,620.7m</v>
      </c>
      <c r="I998" s="56" t="str">
        <f>IFERROR(VLOOKUP($D998,본공사입.출고현황!$B:$H,I$2080,0),0)</f>
        <v>M</v>
      </c>
      <c r="J998" s="253">
        <v>2</v>
      </c>
      <c r="K998" s="253" t="s">
        <v>360</v>
      </c>
      <c r="L998" s="255">
        <v>25</v>
      </c>
      <c r="M998" s="256" t="s">
        <v>408</v>
      </c>
      <c r="N998" s="257"/>
    </row>
    <row r="999" spans="1:14" s="258" customFormat="1" ht="24" customHeight="1">
      <c r="A999" s="8">
        <v>955</v>
      </c>
      <c r="B999" s="9">
        <v>955</v>
      </c>
      <c r="C999" s="254">
        <v>46036</v>
      </c>
      <c r="D999" s="253" t="s">
        <v>238</v>
      </c>
      <c r="E999" s="56" t="str">
        <f>IFERROR(VLOOKUP($D999,본공사입.출고현황!$B:$H,E$2080,0),0)</f>
        <v>Steel round bar</v>
      </c>
      <c r="F999" s="18" t="str">
        <f>IFERROR(VLOOKUP($D999,본공사입.출고현황!$B:$H,F$2080,0),0)</f>
        <v>Steel round bar(rebar)</v>
      </c>
      <c r="G999" s="18" t="str">
        <f>IFERROR(VLOOKUP($D999,본공사입.출고현황!$B:$H,G$2080,0),0)</f>
        <v>CCGG</v>
      </c>
      <c r="H999" s="18" t="str">
        <f>IFERROR(VLOOKUP($D999,본공사입.출고현황!$B:$H,H$2080,0),0)</f>
        <v>ф10, 1ton=1,620.7m</v>
      </c>
      <c r="I999" s="56" t="str">
        <f>IFERROR(VLOOKUP($D999,본공사입.출고현황!$B:$H,I$2080,0),0)</f>
        <v>M</v>
      </c>
      <c r="J999" s="253">
        <v>1</v>
      </c>
      <c r="K999" s="253" t="s">
        <v>352</v>
      </c>
      <c r="L999" s="255">
        <v>25</v>
      </c>
      <c r="M999" s="256" t="s">
        <v>408</v>
      </c>
      <c r="N999" s="257"/>
    </row>
    <row r="1000" spans="1:14" s="258" customFormat="1" ht="24" customHeight="1">
      <c r="A1000" s="8">
        <v>956</v>
      </c>
      <c r="B1000" s="9">
        <v>956</v>
      </c>
      <c r="C1000" s="254">
        <v>46036</v>
      </c>
      <c r="D1000" s="253" t="s">
        <v>238</v>
      </c>
      <c r="E1000" s="56" t="str">
        <f>IFERROR(VLOOKUP($D1000,본공사입.출고현황!$B:$H,E$2080,0),0)</f>
        <v>Steel round bar</v>
      </c>
      <c r="F1000" s="18" t="str">
        <f>IFERROR(VLOOKUP($D1000,본공사입.출고현황!$B:$H,F$2080,0),0)</f>
        <v>Steel round bar(rebar)</v>
      </c>
      <c r="G1000" s="18" t="str">
        <f>IFERROR(VLOOKUP($D1000,본공사입.출고현황!$B:$H,G$2080,0),0)</f>
        <v>CCGG</v>
      </c>
      <c r="H1000" s="18" t="str">
        <f>IFERROR(VLOOKUP($D1000,본공사입.출고현황!$B:$H,H$2080,0),0)</f>
        <v>ф10, 1ton=1,620.7m</v>
      </c>
      <c r="I1000" s="56" t="str">
        <f>IFERROR(VLOOKUP($D1000,본공사입.출고현황!$B:$H,I$2080,0),0)</f>
        <v>M</v>
      </c>
      <c r="J1000" s="253" t="s">
        <v>557</v>
      </c>
      <c r="K1000" s="253" t="s">
        <v>553</v>
      </c>
      <c r="L1000" s="255">
        <v>25</v>
      </c>
      <c r="M1000" s="256" t="s">
        <v>408</v>
      </c>
      <c r="N1000" s="257"/>
    </row>
    <row r="1001" spans="1:14" s="258" customFormat="1" ht="24" customHeight="1">
      <c r="A1001" s="8">
        <v>957</v>
      </c>
      <c r="B1001" s="9">
        <v>957</v>
      </c>
      <c r="C1001" s="254">
        <v>46036</v>
      </c>
      <c r="D1001" s="253" t="s">
        <v>238</v>
      </c>
      <c r="E1001" s="56" t="str">
        <f>IFERROR(VLOOKUP($D1001,본공사입.출고현황!$B:$H,E$2080,0),0)</f>
        <v>Steel round bar</v>
      </c>
      <c r="F1001" s="18" t="str">
        <f>IFERROR(VLOOKUP($D1001,본공사입.출고현황!$B:$H,F$2080,0),0)</f>
        <v>Steel round bar(rebar)</v>
      </c>
      <c r="G1001" s="18" t="str">
        <f>IFERROR(VLOOKUP($D1001,본공사입.출고현황!$B:$H,G$2080,0),0)</f>
        <v>CCGG</v>
      </c>
      <c r="H1001" s="18" t="str">
        <f>IFERROR(VLOOKUP($D1001,본공사입.출고현황!$B:$H,H$2080,0),0)</f>
        <v>ф10, 1ton=1,620.7m</v>
      </c>
      <c r="I1001" s="56" t="str">
        <f>IFERROR(VLOOKUP($D1001,본공사입.출고현황!$B:$H,I$2080,0),0)</f>
        <v>M</v>
      </c>
      <c r="J1001" s="253" t="s">
        <v>557</v>
      </c>
      <c r="K1001" s="253" t="s">
        <v>553</v>
      </c>
      <c r="L1001" s="255">
        <v>25</v>
      </c>
      <c r="M1001" s="256" t="s">
        <v>408</v>
      </c>
      <c r="N1001" s="257"/>
    </row>
    <row r="1002" spans="1:14" s="258" customFormat="1" ht="24" customHeight="1">
      <c r="A1002" s="8">
        <v>958</v>
      </c>
      <c r="B1002" s="9">
        <v>958</v>
      </c>
      <c r="C1002" s="254">
        <v>46036</v>
      </c>
      <c r="D1002" s="253" t="s">
        <v>238</v>
      </c>
      <c r="E1002" s="56" t="str">
        <f>IFERROR(VLOOKUP($D1002,본공사입.출고현황!$B:$H,E$2080,0),0)</f>
        <v>Steel round bar</v>
      </c>
      <c r="F1002" s="18" t="str">
        <f>IFERROR(VLOOKUP($D1002,본공사입.출고현황!$B:$H,F$2080,0),0)</f>
        <v>Steel round bar(rebar)</v>
      </c>
      <c r="G1002" s="18" t="str">
        <f>IFERROR(VLOOKUP($D1002,본공사입.출고현황!$B:$H,G$2080,0),0)</f>
        <v>CCGG</v>
      </c>
      <c r="H1002" s="18" t="str">
        <f>IFERROR(VLOOKUP($D1002,본공사입.출고현황!$B:$H,H$2080,0),0)</f>
        <v>ф10, 1ton=1,620.7m</v>
      </c>
      <c r="I1002" s="56" t="str">
        <f>IFERROR(VLOOKUP($D1002,본공사입.출고현황!$B:$H,I$2080,0),0)</f>
        <v>M</v>
      </c>
      <c r="J1002" s="253">
        <v>2</v>
      </c>
      <c r="K1002" s="253" t="s">
        <v>360</v>
      </c>
      <c r="L1002" s="255">
        <v>25</v>
      </c>
      <c r="M1002" s="256" t="s">
        <v>408</v>
      </c>
      <c r="N1002" s="257"/>
    </row>
    <row r="1003" spans="1:14" s="258" customFormat="1" ht="24" customHeight="1">
      <c r="A1003" s="8">
        <v>959</v>
      </c>
      <c r="B1003" s="9">
        <v>959</v>
      </c>
      <c r="C1003" s="254">
        <v>46036</v>
      </c>
      <c r="D1003" s="253" t="s">
        <v>238</v>
      </c>
      <c r="E1003" s="56" t="str">
        <f>IFERROR(VLOOKUP($D1003,본공사입.출고현황!$B:$H,E$2080,0),0)</f>
        <v>Steel round bar</v>
      </c>
      <c r="F1003" s="18" t="str">
        <f>IFERROR(VLOOKUP($D1003,본공사입.출고현황!$B:$H,F$2080,0),0)</f>
        <v>Steel round bar(rebar)</v>
      </c>
      <c r="G1003" s="18" t="str">
        <f>IFERROR(VLOOKUP($D1003,본공사입.출고현황!$B:$H,G$2080,0),0)</f>
        <v>CCGG</v>
      </c>
      <c r="H1003" s="18" t="str">
        <f>IFERROR(VLOOKUP($D1003,본공사입.출고현황!$B:$H,H$2080,0),0)</f>
        <v>ф10, 1ton=1,620.7m</v>
      </c>
      <c r="I1003" s="56" t="str">
        <f>IFERROR(VLOOKUP($D1003,본공사입.출고현황!$B:$H,I$2080,0),0)</f>
        <v>M</v>
      </c>
      <c r="J1003" s="253">
        <v>3</v>
      </c>
      <c r="K1003" s="253" t="s">
        <v>237</v>
      </c>
      <c r="L1003" s="255">
        <v>25</v>
      </c>
      <c r="M1003" s="256" t="s">
        <v>408</v>
      </c>
      <c r="N1003" s="257"/>
    </row>
    <row r="1004" spans="1:14" s="258" customFormat="1" ht="24" customHeight="1">
      <c r="A1004" s="8">
        <v>960</v>
      </c>
      <c r="B1004" s="9">
        <v>960</v>
      </c>
      <c r="C1004" s="254">
        <v>46036</v>
      </c>
      <c r="D1004" s="253" t="s">
        <v>238</v>
      </c>
      <c r="E1004" s="56" t="str">
        <f>IFERROR(VLOOKUP($D1004,본공사입.출고현황!$B:$H,E$2080,0),0)</f>
        <v>Steel round bar</v>
      </c>
      <c r="F1004" s="18" t="str">
        <f>IFERROR(VLOOKUP($D1004,본공사입.출고현황!$B:$H,F$2080,0),0)</f>
        <v>Steel round bar(rebar)</v>
      </c>
      <c r="G1004" s="18" t="str">
        <f>IFERROR(VLOOKUP($D1004,본공사입.출고현황!$B:$H,G$2080,0),0)</f>
        <v>CCGG</v>
      </c>
      <c r="H1004" s="18" t="str">
        <f>IFERROR(VLOOKUP($D1004,본공사입.출고현황!$B:$H,H$2080,0),0)</f>
        <v>ф10, 1ton=1,620.7m</v>
      </c>
      <c r="I1004" s="56" t="str">
        <f>IFERROR(VLOOKUP($D1004,본공사입.출고현황!$B:$H,I$2080,0),0)</f>
        <v>M</v>
      </c>
      <c r="J1004" s="253">
        <v>1</v>
      </c>
      <c r="K1004" s="253" t="s">
        <v>352</v>
      </c>
      <c r="L1004" s="255">
        <v>25</v>
      </c>
      <c r="M1004" s="256" t="s">
        <v>408</v>
      </c>
      <c r="N1004" s="257"/>
    </row>
    <row r="1005" spans="1:14" s="258" customFormat="1" ht="24" customHeight="1">
      <c r="A1005" s="8">
        <v>961</v>
      </c>
      <c r="B1005" s="9">
        <v>961</v>
      </c>
      <c r="C1005" s="254">
        <v>46036</v>
      </c>
      <c r="D1005" s="253" t="s">
        <v>238</v>
      </c>
      <c r="E1005" s="56" t="str">
        <f>IFERROR(VLOOKUP($D1005,본공사입.출고현황!$B:$H,E$2080,0),0)</f>
        <v>Steel round bar</v>
      </c>
      <c r="F1005" s="18" t="str">
        <f>IFERROR(VLOOKUP($D1005,본공사입.출고현황!$B:$H,F$2080,0),0)</f>
        <v>Steel round bar(rebar)</v>
      </c>
      <c r="G1005" s="18" t="str">
        <f>IFERROR(VLOOKUP($D1005,본공사입.출고현황!$B:$H,G$2080,0),0)</f>
        <v>CCGG</v>
      </c>
      <c r="H1005" s="18" t="str">
        <f>IFERROR(VLOOKUP($D1005,본공사입.출고현황!$B:$H,H$2080,0),0)</f>
        <v>ф10, 1ton=1,620.7m</v>
      </c>
      <c r="I1005" s="56" t="str">
        <f>IFERROR(VLOOKUP($D1005,본공사입.출고현황!$B:$H,I$2080,0),0)</f>
        <v>M</v>
      </c>
      <c r="J1005" s="253">
        <v>1</v>
      </c>
      <c r="K1005" s="253" t="s">
        <v>547</v>
      </c>
      <c r="L1005" s="255">
        <v>20</v>
      </c>
      <c r="M1005" s="256" t="s">
        <v>408</v>
      </c>
      <c r="N1005" s="257"/>
    </row>
    <row r="1006" spans="1:14" s="258" customFormat="1" ht="24" customHeight="1">
      <c r="A1006" s="8">
        <v>962</v>
      </c>
      <c r="B1006" s="9">
        <v>962</v>
      </c>
      <c r="C1006" s="254">
        <v>46036</v>
      </c>
      <c r="D1006" s="253" t="s">
        <v>238</v>
      </c>
      <c r="E1006" s="56" t="str">
        <f>IFERROR(VLOOKUP($D1006,본공사입.출고현황!$B:$H,E$2080,0),0)</f>
        <v>Steel round bar</v>
      </c>
      <c r="F1006" s="18" t="str">
        <f>IFERROR(VLOOKUP($D1006,본공사입.출고현황!$B:$H,F$2080,0),0)</f>
        <v>Steel round bar(rebar)</v>
      </c>
      <c r="G1006" s="18" t="str">
        <f>IFERROR(VLOOKUP($D1006,본공사입.출고현황!$B:$H,G$2080,0),0)</f>
        <v>CCGG</v>
      </c>
      <c r="H1006" s="18" t="str">
        <f>IFERROR(VLOOKUP($D1006,본공사입.출고현황!$B:$H,H$2080,0),0)</f>
        <v>ф10, 1ton=1,620.7m</v>
      </c>
      <c r="I1006" s="56" t="str">
        <f>IFERROR(VLOOKUP($D1006,본공사입.출고현황!$B:$H,I$2080,0),0)</f>
        <v>M</v>
      </c>
      <c r="J1006" s="253">
        <v>2</v>
      </c>
      <c r="K1006" s="253" t="s">
        <v>360</v>
      </c>
      <c r="L1006" s="255">
        <v>25</v>
      </c>
      <c r="M1006" s="256" t="s">
        <v>408</v>
      </c>
      <c r="N1006" s="257"/>
    </row>
    <row r="1007" spans="1:14" s="258" customFormat="1" ht="24" customHeight="1">
      <c r="A1007" s="8">
        <v>963</v>
      </c>
      <c r="B1007" s="9">
        <v>963</v>
      </c>
      <c r="C1007" s="254">
        <v>46036</v>
      </c>
      <c r="D1007" s="253" t="s">
        <v>238</v>
      </c>
      <c r="E1007" s="56" t="str">
        <f>IFERROR(VLOOKUP($D1007,본공사입.출고현황!$B:$H,E$2080,0),0)</f>
        <v>Steel round bar</v>
      </c>
      <c r="F1007" s="18" t="str">
        <f>IFERROR(VLOOKUP($D1007,본공사입.출고현황!$B:$H,F$2080,0),0)</f>
        <v>Steel round bar(rebar)</v>
      </c>
      <c r="G1007" s="18" t="str">
        <f>IFERROR(VLOOKUP($D1007,본공사입.출고현황!$B:$H,G$2080,0),0)</f>
        <v>CCGG</v>
      </c>
      <c r="H1007" s="18" t="str">
        <f>IFERROR(VLOOKUP($D1007,본공사입.출고현황!$B:$H,H$2080,0),0)</f>
        <v>ф10, 1ton=1,620.7m</v>
      </c>
      <c r="I1007" s="56" t="str">
        <f>IFERROR(VLOOKUP($D1007,본공사입.출고현황!$B:$H,I$2080,0),0)</f>
        <v>M</v>
      </c>
      <c r="J1007" s="253">
        <v>4</v>
      </c>
      <c r="K1007" s="253" t="s">
        <v>359</v>
      </c>
      <c r="L1007" s="255">
        <v>20</v>
      </c>
      <c r="M1007" s="256" t="s">
        <v>408</v>
      </c>
      <c r="N1007" s="257"/>
    </row>
    <row r="1008" spans="1:14" s="258" customFormat="1" ht="24" customHeight="1">
      <c r="A1008" s="8">
        <v>964</v>
      </c>
      <c r="B1008" s="9">
        <v>964</v>
      </c>
      <c r="C1008" s="254">
        <v>46036</v>
      </c>
      <c r="D1008" s="253" t="s">
        <v>238</v>
      </c>
      <c r="E1008" s="56" t="str">
        <f>IFERROR(VLOOKUP($D1008,본공사입.출고현황!$B:$H,E$2080,0),0)</f>
        <v>Steel round bar</v>
      </c>
      <c r="F1008" s="18" t="str">
        <f>IFERROR(VLOOKUP($D1008,본공사입.출고현황!$B:$H,F$2080,0),0)</f>
        <v>Steel round bar(rebar)</v>
      </c>
      <c r="G1008" s="18" t="str">
        <f>IFERROR(VLOOKUP($D1008,본공사입.출고현황!$B:$H,G$2080,0),0)</f>
        <v>CCGG</v>
      </c>
      <c r="H1008" s="18" t="str">
        <f>IFERROR(VLOOKUP($D1008,본공사입.출고현황!$B:$H,H$2080,0),0)</f>
        <v>ф10, 1ton=1,620.7m</v>
      </c>
      <c r="I1008" s="56" t="str">
        <f>IFERROR(VLOOKUP($D1008,본공사입.출고현황!$B:$H,I$2080,0),0)</f>
        <v>M</v>
      </c>
      <c r="J1008" s="253">
        <v>2</v>
      </c>
      <c r="K1008" s="253" t="s">
        <v>546</v>
      </c>
      <c r="L1008" s="255">
        <v>25</v>
      </c>
      <c r="M1008" s="256" t="s">
        <v>408</v>
      </c>
      <c r="N1008" s="257"/>
    </row>
    <row r="1009" spans="1:14" s="258" customFormat="1" ht="24" customHeight="1">
      <c r="A1009" s="8">
        <v>965</v>
      </c>
      <c r="B1009" s="9">
        <v>965</v>
      </c>
      <c r="C1009" s="254">
        <v>46037</v>
      </c>
      <c r="D1009" s="253" t="s">
        <v>238</v>
      </c>
      <c r="E1009" s="56" t="str">
        <f>IFERROR(VLOOKUP($D1009,본공사입.출고현황!$B:$H,E$2080,0),0)</f>
        <v>Steel round bar</v>
      </c>
      <c r="F1009" s="18" t="str">
        <f>IFERROR(VLOOKUP($D1009,본공사입.출고현황!$B:$H,F$2080,0),0)</f>
        <v>Steel round bar(rebar)</v>
      </c>
      <c r="G1009" s="18" t="str">
        <f>IFERROR(VLOOKUP($D1009,본공사입.출고현황!$B:$H,G$2080,0),0)</f>
        <v>CCGG</v>
      </c>
      <c r="H1009" s="18" t="str">
        <f>IFERROR(VLOOKUP($D1009,본공사입.출고현황!$B:$H,H$2080,0),0)</f>
        <v>ф10, 1ton=1,620.7m</v>
      </c>
      <c r="I1009" s="56" t="str">
        <f>IFERROR(VLOOKUP($D1009,본공사입.출고현황!$B:$H,I$2080,0),0)</f>
        <v>M</v>
      </c>
      <c r="J1009" s="253">
        <v>1</v>
      </c>
      <c r="K1009" s="253" t="s">
        <v>545</v>
      </c>
      <c r="L1009" s="255">
        <v>15</v>
      </c>
      <c r="M1009" s="256" t="s">
        <v>408</v>
      </c>
      <c r="N1009" s="257"/>
    </row>
    <row r="1010" spans="1:14" ht="24" customHeight="1">
      <c r="A1010" s="8">
        <v>966</v>
      </c>
      <c r="B1010" s="9">
        <v>966</v>
      </c>
      <c r="C1010" s="254">
        <v>46037</v>
      </c>
      <c r="D1010" s="253" t="s">
        <v>238</v>
      </c>
      <c r="E1010" s="56" t="str">
        <f>IFERROR(VLOOKUP($D1010,본공사입.출고현황!$B:$H,E$2080,0),0)</f>
        <v>Steel round bar</v>
      </c>
      <c r="F1010" s="18" t="str">
        <f>IFERROR(VLOOKUP($D1010,본공사입.출고현황!$B:$H,F$2080,0),0)</f>
        <v>Steel round bar(rebar)</v>
      </c>
      <c r="G1010" s="18" t="str">
        <f>IFERROR(VLOOKUP($D1010,본공사입.출고현황!$B:$H,G$2080,0),0)</f>
        <v>CCGG</v>
      </c>
      <c r="H1010" s="18" t="str">
        <f>IFERROR(VLOOKUP($D1010,본공사입.출고현황!$B:$H,H$2080,0),0)</f>
        <v>ф10, 1ton=1,620.7m</v>
      </c>
      <c r="I1010" s="56" t="str">
        <f>IFERROR(VLOOKUP($D1010,본공사입.출고현황!$B:$H,I$2080,0),0)</f>
        <v>M</v>
      </c>
      <c r="J1010" s="253">
        <v>2</v>
      </c>
      <c r="K1010" s="253" t="s">
        <v>241</v>
      </c>
      <c r="L1010" s="255">
        <v>50</v>
      </c>
      <c r="M1010" s="256" t="s">
        <v>408</v>
      </c>
      <c r="N1010" s="257"/>
    </row>
    <row r="1011" spans="1:14" ht="24" customHeight="1">
      <c r="A1011" s="8">
        <v>967</v>
      </c>
      <c r="B1011" s="9">
        <v>967</v>
      </c>
      <c r="C1011" s="254">
        <v>46037</v>
      </c>
      <c r="D1011" s="253" t="s">
        <v>238</v>
      </c>
      <c r="E1011" s="56" t="str">
        <f>IFERROR(VLOOKUP($D1011,본공사입.출고현황!$B:$H,E$2080,0),0)</f>
        <v>Steel round bar</v>
      </c>
      <c r="F1011" s="18" t="str">
        <f>IFERROR(VLOOKUP($D1011,본공사입.출고현황!$B:$H,F$2080,0),0)</f>
        <v>Steel round bar(rebar)</v>
      </c>
      <c r="G1011" s="18" t="str">
        <f>IFERROR(VLOOKUP($D1011,본공사입.출고현황!$B:$H,G$2080,0),0)</f>
        <v>CCGG</v>
      </c>
      <c r="H1011" s="18" t="str">
        <f>IFERROR(VLOOKUP($D1011,본공사입.출고현황!$B:$H,H$2080,0),0)</f>
        <v>ф10, 1ton=1,620.7m</v>
      </c>
      <c r="I1011" s="56" t="str">
        <f>IFERROR(VLOOKUP($D1011,본공사입.출고현황!$B:$H,I$2080,0),0)</f>
        <v>M</v>
      </c>
      <c r="J1011" s="253" t="s">
        <v>557</v>
      </c>
      <c r="K1011" s="253" t="s">
        <v>623</v>
      </c>
      <c r="L1011" s="255">
        <v>30</v>
      </c>
      <c r="M1011" s="256" t="s">
        <v>408</v>
      </c>
      <c r="N1011" s="257"/>
    </row>
    <row r="1012" spans="1:14" ht="24" customHeight="1">
      <c r="A1012" s="8">
        <v>968</v>
      </c>
      <c r="B1012" s="9">
        <v>968</v>
      </c>
      <c r="C1012" s="254">
        <v>46037</v>
      </c>
      <c r="D1012" s="253" t="s">
        <v>238</v>
      </c>
      <c r="E1012" s="56" t="str">
        <f>IFERROR(VLOOKUP($D1012,본공사입.출고현황!$B:$H,E$2080,0),0)</f>
        <v>Steel round bar</v>
      </c>
      <c r="F1012" s="18" t="str">
        <f>IFERROR(VLOOKUP($D1012,본공사입.출고현황!$B:$H,F$2080,0),0)</f>
        <v>Steel round bar(rebar)</v>
      </c>
      <c r="G1012" s="18" t="str">
        <f>IFERROR(VLOOKUP($D1012,본공사입.출고현황!$B:$H,G$2080,0),0)</f>
        <v>CCGG</v>
      </c>
      <c r="H1012" s="18" t="str">
        <f>IFERROR(VLOOKUP($D1012,본공사입.출고현황!$B:$H,H$2080,0),0)</f>
        <v>ф10, 1ton=1,620.7m</v>
      </c>
      <c r="I1012" s="56" t="str">
        <f>IFERROR(VLOOKUP($D1012,본공사입.출고현황!$B:$H,I$2080,0),0)</f>
        <v>M</v>
      </c>
      <c r="J1012" s="253">
        <v>1</v>
      </c>
      <c r="K1012" s="253" t="s">
        <v>363</v>
      </c>
      <c r="L1012" s="255">
        <v>65</v>
      </c>
      <c r="M1012" s="256" t="s">
        <v>408</v>
      </c>
      <c r="N1012" s="257"/>
    </row>
    <row r="1013" spans="1:14" ht="24" customHeight="1">
      <c r="A1013" s="8">
        <v>969</v>
      </c>
      <c r="B1013" s="9">
        <v>969</v>
      </c>
      <c r="C1013" s="254">
        <v>46037</v>
      </c>
      <c r="D1013" s="253" t="s">
        <v>238</v>
      </c>
      <c r="E1013" s="56" t="str">
        <f>IFERROR(VLOOKUP($D1013,본공사입.출고현황!$B:$H,E$2080,0),0)</f>
        <v>Steel round bar</v>
      </c>
      <c r="F1013" s="18" t="str">
        <f>IFERROR(VLOOKUP($D1013,본공사입.출고현황!$B:$H,F$2080,0),0)</f>
        <v>Steel round bar(rebar)</v>
      </c>
      <c r="G1013" s="18" t="str">
        <f>IFERROR(VLOOKUP($D1013,본공사입.출고현황!$B:$H,G$2080,0),0)</f>
        <v>CCGG</v>
      </c>
      <c r="H1013" s="18" t="str">
        <f>IFERROR(VLOOKUP($D1013,본공사입.출고현황!$B:$H,H$2080,0),0)</f>
        <v>ф10, 1ton=1,620.7m</v>
      </c>
      <c r="I1013" s="56" t="str">
        <f>IFERROR(VLOOKUP($D1013,본공사입.출고현황!$B:$H,I$2080,0),0)</f>
        <v>M</v>
      </c>
      <c r="J1013" s="253">
        <v>1</v>
      </c>
      <c r="K1013" s="253" t="s">
        <v>363</v>
      </c>
      <c r="L1013" s="255">
        <v>20</v>
      </c>
      <c r="M1013" s="256" t="s">
        <v>408</v>
      </c>
      <c r="N1013" s="257"/>
    </row>
    <row r="1014" spans="1:14" ht="24" customHeight="1">
      <c r="A1014" s="8">
        <v>970</v>
      </c>
      <c r="B1014" s="9">
        <v>970</v>
      </c>
      <c r="C1014" s="254">
        <v>46037</v>
      </c>
      <c r="D1014" s="253" t="s">
        <v>238</v>
      </c>
      <c r="E1014" s="56" t="str">
        <f>IFERROR(VLOOKUP($D1014,본공사입.출고현황!$B:$H,E$2080,0),0)</f>
        <v>Steel round bar</v>
      </c>
      <c r="F1014" s="18" t="str">
        <f>IFERROR(VLOOKUP($D1014,본공사입.출고현황!$B:$H,F$2080,0),0)</f>
        <v>Steel round bar(rebar)</v>
      </c>
      <c r="G1014" s="18" t="str">
        <f>IFERROR(VLOOKUP($D1014,본공사입.출고현황!$B:$H,G$2080,0),0)</f>
        <v>CCGG</v>
      </c>
      <c r="H1014" s="18" t="str">
        <f>IFERROR(VLOOKUP($D1014,본공사입.출고현황!$B:$H,H$2080,0),0)</f>
        <v>ф10, 1ton=1,620.7m</v>
      </c>
      <c r="I1014" s="56" t="str">
        <f>IFERROR(VLOOKUP($D1014,본공사입.출고현황!$B:$H,I$2080,0),0)</f>
        <v>M</v>
      </c>
      <c r="J1014" s="253">
        <v>2</v>
      </c>
      <c r="K1014" s="253" t="s">
        <v>360</v>
      </c>
      <c r="L1014" s="255">
        <v>50</v>
      </c>
      <c r="M1014" s="256" t="s">
        <v>358</v>
      </c>
      <c r="N1014" s="257"/>
    </row>
    <row r="1015" spans="1:14" ht="24" customHeight="1">
      <c r="A1015" s="8">
        <v>971</v>
      </c>
      <c r="B1015" s="9">
        <v>971</v>
      </c>
      <c r="C1015" s="254">
        <v>46037</v>
      </c>
      <c r="D1015" s="253" t="s">
        <v>238</v>
      </c>
      <c r="E1015" s="56" t="str">
        <f>IFERROR(VLOOKUP($D1015,본공사입.출고현황!$B:$H,E$2080,0),0)</f>
        <v>Steel round bar</v>
      </c>
      <c r="F1015" s="18" t="str">
        <f>IFERROR(VLOOKUP($D1015,본공사입.출고현황!$B:$H,F$2080,0),0)</f>
        <v>Steel round bar(rebar)</v>
      </c>
      <c r="G1015" s="18" t="str">
        <f>IFERROR(VLOOKUP($D1015,본공사입.출고현황!$B:$H,G$2080,0),0)</f>
        <v>CCGG</v>
      </c>
      <c r="H1015" s="18" t="str">
        <f>IFERROR(VLOOKUP($D1015,본공사입.출고현황!$B:$H,H$2080,0),0)</f>
        <v>ф10, 1ton=1,620.7m</v>
      </c>
      <c r="I1015" s="56" t="str">
        <f>IFERROR(VLOOKUP($D1015,본공사입.출고현황!$B:$H,I$2080,0),0)</f>
        <v>M</v>
      </c>
      <c r="J1015" s="253">
        <v>4</v>
      </c>
      <c r="K1015" s="253" t="s">
        <v>359</v>
      </c>
      <c r="L1015" s="255">
        <v>50</v>
      </c>
      <c r="M1015" s="256" t="s">
        <v>358</v>
      </c>
      <c r="N1015" s="257"/>
    </row>
    <row r="1016" spans="1:14" ht="24" customHeight="1">
      <c r="A1016" s="8">
        <v>972</v>
      </c>
      <c r="B1016" s="9">
        <v>972</v>
      </c>
      <c r="C1016" s="254">
        <v>46037</v>
      </c>
      <c r="D1016" s="253" t="s">
        <v>238</v>
      </c>
      <c r="E1016" s="56" t="str">
        <f>IFERROR(VLOOKUP($D1016,본공사입.출고현황!$B:$H,E$2080,0),0)</f>
        <v>Steel round bar</v>
      </c>
      <c r="F1016" s="18" t="str">
        <f>IFERROR(VLOOKUP($D1016,본공사입.출고현황!$B:$H,F$2080,0),0)</f>
        <v>Steel round bar(rebar)</v>
      </c>
      <c r="G1016" s="18" t="str">
        <f>IFERROR(VLOOKUP($D1016,본공사입.출고현황!$B:$H,G$2080,0),0)</f>
        <v>CCGG</v>
      </c>
      <c r="H1016" s="18" t="str">
        <f>IFERROR(VLOOKUP($D1016,본공사입.출고현황!$B:$H,H$2080,0),0)</f>
        <v>ф10, 1ton=1,620.7m</v>
      </c>
      <c r="I1016" s="56" t="str">
        <f>IFERROR(VLOOKUP($D1016,본공사입.출고현황!$B:$H,I$2080,0),0)</f>
        <v>M</v>
      </c>
      <c r="J1016" s="253">
        <v>2</v>
      </c>
      <c r="K1016" s="253" t="s">
        <v>546</v>
      </c>
      <c r="L1016" s="255">
        <v>75</v>
      </c>
      <c r="M1016" s="256" t="s">
        <v>358</v>
      </c>
      <c r="N1016" s="257"/>
    </row>
    <row r="1017" spans="1:14" ht="24" customHeight="1">
      <c r="A1017" s="8">
        <v>973</v>
      </c>
      <c r="B1017" s="9">
        <v>973</v>
      </c>
      <c r="C1017" s="254">
        <v>46037</v>
      </c>
      <c r="D1017" s="253" t="s">
        <v>238</v>
      </c>
      <c r="E1017" s="56" t="str">
        <f>IFERROR(VLOOKUP($D1017,본공사입.출고현황!$B:$H,E$2080,0),0)</f>
        <v>Steel round bar</v>
      </c>
      <c r="F1017" s="18" t="str">
        <f>IFERROR(VLOOKUP($D1017,본공사입.출고현황!$B:$H,F$2080,0),0)</f>
        <v>Steel round bar(rebar)</v>
      </c>
      <c r="G1017" s="18" t="str">
        <f>IFERROR(VLOOKUP($D1017,본공사입.출고현황!$B:$H,G$2080,0),0)</f>
        <v>CCGG</v>
      </c>
      <c r="H1017" s="18" t="str">
        <f>IFERROR(VLOOKUP($D1017,본공사입.출고현황!$B:$H,H$2080,0),0)</f>
        <v>ф10, 1ton=1,620.7m</v>
      </c>
      <c r="I1017" s="56" t="str">
        <f>IFERROR(VLOOKUP($D1017,본공사입.출고현황!$B:$H,I$2080,0),0)</f>
        <v>M</v>
      </c>
      <c r="J1017" s="253">
        <v>1</v>
      </c>
      <c r="K1017" s="253" t="s">
        <v>352</v>
      </c>
      <c r="L1017" s="255">
        <v>115</v>
      </c>
      <c r="M1017" s="256" t="s">
        <v>358</v>
      </c>
      <c r="N1017" s="257"/>
    </row>
    <row r="1018" spans="1:14" ht="24" customHeight="1">
      <c r="A1018" s="8">
        <v>974</v>
      </c>
      <c r="B1018" s="9">
        <v>974</v>
      </c>
      <c r="C1018" s="254">
        <v>46038</v>
      </c>
      <c r="D1018" s="253" t="s">
        <v>238</v>
      </c>
      <c r="E1018" s="56" t="str">
        <f>IFERROR(VLOOKUP($D1018,본공사입.출고현황!$B:$H,E$2080,0),0)</f>
        <v>Steel round bar</v>
      </c>
      <c r="F1018" s="18" t="str">
        <f>IFERROR(VLOOKUP($D1018,본공사입.출고현황!$B:$H,F$2080,0),0)</f>
        <v>Steel round bar(rebar)</v>
      </c>
      <c r="G1018" s="18" t="str">
        <f>IFERROR(VLOOKUP($D1018,본공사입.출고현황!$B:$H,G$2080,0),0)</f>
        <v>CCGG</v>
      </c>
      <c r="H1018" s="18" t="str">
        <f>IFERROR(VLOOKUP($D1018,본공사입.출고현황!$B:$H,H$2080,0),0)</f>
        <v>ф10, 1ton=1,620.7m</v>
      </c>
      <c r="I1018" s="56" t="str">
        <f>IFERROR(VLOOKUP($D1018,본공사입.출고현황!$B:$H,I$2080,0),0)</f>
        <v>M</v>
      </c>
      <c r="J1018" s="253">
        <v>2</v>
      </c>
      <c r="K1018" s="253" t="s">
        <v>360</v>
      </c>
      <c r="L1018" s="255">
        <v>50</v>
      </c>
      <c r="M1018" s="256" t="s">
        <v>358</v>
      </c>
      <c r="N1018" s="257"/>
    </row>
    <row r="1019" spans="1:14" ht="24" customHeight="1">
      <c r="A1019" s="8">
        <v>975</v>
      </c>
      <c r="B1019" s="9">
        <v>975</v>
      </c>
      <c r="C1019" s="254">
        <v>46038</v>
      </c>
      <c r="D1019" s="253" t="s">
        <v>238</v>
      </c>
      <c r="E1019" s="56" t="str">
        <f>IFERROR(VLOOKUP($D1019,본공사입.출고현황!$B:$H,E$2080,0),0)</f>
        <v>Steel round bar</v>
      </c>
      <c r="F1019" s="18" t="str">
        <f>IFERROR(VLOOKUP($D1019,본공사입.출고현황!$B:$H,F$2080,0),0)</f>
        <v>Steel round bar(rebar)</v>
      </c>
      <c r="G1019" s="18" t="str">
        <f>IFERROR(VLOOKUP($D1019,본공사입.출고현황!$B:$H,G$2080,0),0)</f>
        <v>CCGG</v>
      </c>
      <c r="H1019" s="18" t="str">
        <f>IFERROR(VLOOKUP($D1019,본공사입.출고현황!$B:$H,H$2080,0),0)</f>
        <v>ф10, 1ton=1,620.7m</v>
      </c>
      <c r="I1019" s="56" t="str">
        <f>IFERROR(VLOOKUP($D1019,본공사입.출고현황!$B:$H,I$2080,0),0)</f>
        <v>M</v>
      </c>
      <c r="J1019" s="253">
        <v>1</v>
      </c>
      <c r="K1019" s="253" t="s">
        <v>352</v>
      </c>
      <c r="L1019" s="255">
        <v>100</v>
      </c>
      <c r="M1019" s="256" t="s">
        <v>358</v>
      </c>
      <c r="N1019" s="257"/>
    </row>
    <row r="1020" spans="1:14" ht="24" customHeight="1">
      <c r="A1020" s="8">
        <v>976</v>
      </c>
      <c r="B1020" s="9">
        <v>976</v>
      </c>
      <c r="C1020" s="254">
        <v>46038</v>
      </c>
      <c r="D1020" s="253" t="s">
        <v>238</v>
      </c>
      <c r="E1020" s="56" t="str">
        <f>IFERROR(VLOOKUP($D1020,본공사입.출고현황!$B:$H,E$2080,0),0)</f>
        <v>Steel round bar</v>
      </c>
      <c r="F1020" s="18" t="str">
        <f>IFERROR(VLOOKUP($D1020,본공사입.출고현황!$B:$H,F$2080,0),0)</f>
        <v>Steel round bar(rebar)</v>
      </c>
      <c r="G1020" s="18" t="str">
        <f>IFERROR(VLOOKUP($D1020,본공사입.출고현황!$B:$H,G$2080,0),0)</f>
        <v>CCGG</v>
      </c>
      <c r="H1020" s="18" t="str">
        <f>IFERROR(VLOOKUP($D1020,본공사입.출고현황!$B:$H,H$2080,0),0)</f>
        <v>ф10, 1ton=1,620.7m</v>
      </c>
      <c r="I1020" s="56" t="str">
        <f>IFERROR(VLOOKUP($D1020,본공사입.출고현황!$B:$H,I$2080,0),0)</f>
        <v>M</v>
      </c>
      <c r="J1020" s="253">
        <v>1</v>
      </c>
      <c r="K1020" s="253" t="s">
        <v>363</v>
      </c>
      <c r="L1020" s="255">
        <v>70</v>
      </c>
      <c r="M1020" s="256" t="s">
        <v>358</v>
      </c>
      <c r="N1020" s="257"/>
    </row>
    <row r="1021" spans="1:14" ht="24" customHeight="1">
      <c r="A1021" s="8">
        <v>977</v>
      </c>
      <c r="B1021" s="9">
        <v>977</v>
      </c>
      <c r="C1021" s="254">
        <v>46038</v>
      </c>
      <c r="D1021" s="253" t="s">
        <v>238</v>
      </c>
      <c r="E1021" s="56" t="str">
        <f>IFERROR(VLOOKUP($D1021,본공사입.출고현황!$B:$H,E$2080,0),0)</f>
        <v>Steel round bar</v>
      </c>
      <c r="F1021" s="18" t="str">
        <f>IFERROR(VLOOKUP($D1021,본공사입.출고현황!$B:$H,F$2080,0),0)</f>
        <v>Steel round bar(rebar)</v>
      </c>
      <c r="G1021" s="18" t="str">
        <f>IFERROR(VLOOKUP($D1021,본공사입.출고현황!$B:$H,G$2080,0),0)</f>
        <v>CCGG</v>
      </c>
      <c r="H1021" s="18" t="str">
        <f>IFERROR(VLOOKUP($D1021,본공사입.출고현황!$B:$H,H$2080,0),0)</f>
        <v>ф10, 1ton=1,620.7m</v>
      </c>
      <c r="I1021" s="56" t="str">
        <f>IFERROR(VLOOKUP($D1021,본공사입.출고현황!$B:$H,I$2080,0),0)</f>
        <v>M</v>
      </c>
      <c r="J1021" s="253">
        <v>1</v>
      </c>
      <c r="K1021" s="253" t="s">
        <v>547</v>
      </c>
      <c r="L1021" s="255">
        <v>20</v>
      </c>
      <c r="M1021" s="256" t="s">
        <v>358</v>
      </c>
      <c r="N1021" s="257"/>
    </row>
    <row r="1022" spans="1:14" ht="24" customHeight="1">
      <c r="A1022" s="8">
        <v>978</v>
      </c>
      <c r="B1022" s="9">
        <v>978</v>
      </c>
      <c r="C1022" s="254">
        <v>46038</v>
      </c>
      <c r="D1022" s="253" t="s">
        <v>238</v>
      </c>
      <c r="E1022" s="56" t="str">
        <f>IFERROR(VLOOKUP($D1022,본공사입.출고현황!$B:$H,E$2080,0),0)</f>
        <v>Steel round bar</v>
      </c>
      <c r="F1022" s="18" t="str">
        <f>IFERROR(VLOOKUP($D1022,본공사입.출고현황!$B:$H,F$2080,0),0)</f>
        <v>Steel round bar(rebar)</v>
      </c>
      <c r="G1022" s="18" t="str">
        <f>IFERROR(VLOOKUP($D1022,본공사입.출고현황!$B:$H,G$2080,0),0)</f>
        <v>CCGG</v>
      </c>
      <c r="H1022" s="18" t="str">
        <f>IFERROR(VLOOKUP($D1022,본공사입.출고현황!$B:$H,H$2080,0),0)</f>
        <v>ф10, 1ton=1,620.7m</v>
      </c>
      <c r="I1022" s="56" t="str">
        <f>IFERROR(VLOOKUP($D1022,본공사입.출고현황!$B:$H,I$2080,0),0)</f>
        <v>M</v>
      </c>
      <c r="J1022" s="253">
        <v>2</v>
      </c>
      <c r="K1022" s="253" t="s">
        <v>360</v>
      </c>
      <c r="L1022" s="255">
        <v>25</v>
      </c>
      <c r="M1022" s="256" t="s">
        <v>358</v>
      </c>
      <c r="N1022" s="257"/>
    </row>
    <row r="1023" spans="1:14" ht="24" customHeight="1">
      <c r="A1023" s="8">
        <v>979</v>
      </c>
      <c r="B1023" s="9">
        <v>979</v>
      </c>
      <c r="C1023" s="254">
        <v>46038</v>
      </c>
      <c r="D1023" s="253" t="s">
        <v>238</v>
      </c>
      <c r="E1023" s="56" t="str">
        <f>IFERROR(VLOOKUP($D1023,본공사입.출고현황!$B:$H,E$2080,0),0)</f>
        <v>Steel round bar</v>
      </c>
      <c r="F1023" s="18" t="str">
        <f>IFERROR(VLOOKUP($D1023,본공사입.출고현황!$B:$H,F$2080,0),0)</f>
        <v>Steel round bar(rebar)</v>
      </c>
      <c r="G1023" s="18" t="str">
        <f>IFERROR(VLOOKUP($D1023,본공사입.출고현황!$B:$H,G$2080,0),0)</f>
        <v>CCGG</v>
      </c>
      <c r="H1023" s="18" t="str">
        <f>IFERROR(VLOOKUP($D1023,본공사입.출고현황!$B:$H,H$2080,0),0)</f>
        <v>ф10, 1ton=1,620.7m</v>
      </c>
      <c r="I1023" s="56" t="str">
        <f>IFERROR(VLOOKUP($D1023,본공사입.출고현황!$B:$H,I$2080,0),0)</f>
        <v>M</v>
      </c>
      <c r="J1023" s="253">
        <v>2</v>
      </c>
      <c r="K1023" s="253" t="s">
        <v>360</v>
      </c>
      <c r="L1023" s="255">
        <v>50</v>
      </c>
      <c r="M1023" s="256" t="s">
        <v>358</v>
      </c>
      <c r="N1023" s="257"/>
    </row>
    <row r="1024" spans="1:14" ht="24" customHeight="1">
      <c r="A1024" s="8">
        <v>980</v>
      </c>
      <c r="B1024" s="9">
        <v>980</v>
      </c>
      <c r="C1024" s="254">
        <v>46038</v>
      </c>
      <c r="D1024" s="253" t="s">
        <v>238</v>
      </c>
      <c r="E1024" s="56" t="str">
        <f>IFERROR(VLOOKUP($D1024,본공사입.출고현황!$B:$H,E$2080,0),0)</f>
        <v>Steel round bar</v>
      </c>
      <c r="F1024" s="18" t="str">
        <f>IFERROR(VLOOKUP($D1024,본공사입.출고현황!$B:$H,F$2080,0),0)</f>
        <v>Steel round bar(rebar)</v>
      </c>
      <c r="G1024" s="18" t="str">
        <f>IFERROR(VLOOKUP($D1024,본공사입.출고현황!$B:$H,G$2080,0),0)</f>
        <v>CCGG</v>
      </c>
      <c r="H1024" s="18" t="str">
        <f>IFERROR(VLOOKUP($D1024,본공사입.출고현황!$B:$H,H$2080,0),0)</f>
        <v>ф10, 1ton=1,620.7m</v>
      </c>
      <c r="I1024" s="56" t="str">
        <f>IFERROR(VLOOKUP($D1024,본공사입.출고현황!$B:$H,I$2080,0),0)</f>
        <v>M</v>
      </c>
      <c r="J1024" s="253">
        <v>3</v>
      </c>
      <c r="K1024" s="253" t="s">
        <v>550</v>
      </c>
      <c r="L1024" s="255">
        <v>15</v>
      </c>
      <c r="M1024" s="256" t="s">
        <v>358</v>
      </c>
      <c r="N1024" s="257"/>
    </row>
    <row r="1025" spans="1:14" ht="24" customHeight="1">
      <c r="A1025" s="8">
        <v>981</v>
      </c>
      <c r="B1025" s="9">
        <v>981</v>
      </c>
      <c r="C1025" s="254">
        <v>46038</v>
      </c>
      <c r="D1025" s="253" t="s">
        <v>238</v>
      </c>
      <c r="E1025" s="56" t="str">
        <f>IFERROR(VLOOKUP($D1025,본공사입.출고현황!$B:$H,E$2080,0),0)</f>
        <v>Steel round bar</v>
      </c>
      <c r="F1025" s="18" t="str">
        <f>IFERROR(VLOOKUP($D1025,본공사입.출고현황!$B:$H,F$2080,0),0)</f>
        <v>Steel round bar(rebar)</v>
      </c>
      <c r="G1025" s="18" t="str">
        <f>IFERROR(VLOOKUP($D1025,본공사입.출고현황!$B:$H,G$2080,0),0)</f>
        <v>CCGG</v>
      </c>
      <c r="H1025" s="18" t="str">
        <f>IFERROR(VLOOKUP($D1025,본공사입.출고현황!$B:$H,H$2080,0),0)</f>
        <v>ф10, 1ton=1,620.7m</v>
      </c>
      <c r="I1025" s="56" t="str">
        <f>IFERROR(VLOOKUP($D1025,본공사입.출고현황!$B:$H,I$2080,0),0)</f>
        <v>M</v>
      </c>
      <c r="J1025" s="253">
        <v>1</v>
      </c>
      <c r="K1025" s="253" t="s">
        <v>363</v>
      </c>
      <c r="L1025" s="255">
        <v>40</v>
      </c>
      <c r="M1025" s="256" t="s">
        <v>408</v>
      </c>
      <c r="N1025" s="257"/>
    </row>
    <row r="1026" spans="1:14" ht="24" customHeight="1">
      <c r="A1026" s="8">
        <v>982</v>
      </c>
      <c r="B1026" s="9">
        <v>982</v>
      </c>
      <c r="C1026" s="254">
        <v>46039</v>
      </c>
      <c r="D1026" s="253" t="s">
        <v>238</v>
      </c>
      <c r="E1026" s="56" t="str">
        <f>IFERROR(VLOOKUP($D1026,본공사입.출고현황!$B:$H,E$2080,0),0)</f>
        <v>Steel round bar</v>
      </c>
      <c r="F1026" s="18" t="str">
        <f>IFERROR(VLOOKUP($D1026,본공사입.출고현황!$B:$H,F$2080,0),0)</f>
        <v>Steel round bar(rebar)</v>
      </c>
      <c r="G1026" s="18" t="str">
        <f>IFERROR(VLOOKUP($D1026,본공사입.출고현황!$B:$H,G$2080,0),0)</f>
        <v>CCGG</v>
      </c>
      <c r="H1026" s="18" t="str">
        <f>IFERROR(VLOOKUP($D1026,본공사입.출고현황!$B:$H,H$2080,0),0)</f>
        <v>ф10, 1ton=1,620.7m</v>
      </c>
      <c r="I1026" s="56" t="str">
        <f>IFERROR(VLOOKUP($D1026,본공사입.출고현황!$B:$H,I$2080,0),0)</f>
        <v>M</v>
      </c>
      <c r="J1026" s="253">
        <v>1</v>
      </c>
      <c r="K1026" s="253" t="s">
        <v>547</v>
      </c>
      <c r="L1026" s="255">
        <v>20</v>
      </c>
      <c r="M1026" s="256" t="s">
        <v>408</v>
      </c>
      <c r="N1026" s="257"/>
    </row>
    <row r="1027" spans="1:14" ht="24" customHeight="1">
      <c r="A1027" s="8">
        <v>983</v>
      </c>
      <c r="B1027" s="9">
        <v>983</v>
      </c>
      <c r="C1027" s="254">
        <v>46039</v>
      </c>
      <c r="D1027" s="253" t="s">
        <v>238</v>
      </c>
      <c r="E1027" s="56" t="str">
        <f>IFERROR(VLOOKUP($D1027,본공사입.출고현황!$B:$H,E$2080,0),0)</f>
        <v>Steel round bar</v>
      </c>
      <c r="F1027" s="18" t="str">
        <f>IFERROR(VLOOKUP($D1027,본공사입.출고현황!$B:$H,F$2080,0),0)</f>
        <v>Steel round bar(rebar)</v>
      </c>
      <c r="G1027" s="18" t="str">
        <f>IFERROR(VLOOKUP($D1027,본공사입.출고현황!$B:$H,G$2080,0),0)</f>
        <v>CCGG</v>
      </c>
      <c r="H1027" s="18" t="str">
        <f>IFERROR(VLOOKUP($D1027,본공사입.출고현황!$B:$H,H$2080,0),0)</f>
        <v>ф10, 1ton=1,620.7m</v>
      </c>
      <c r="I1027" s="56" t="str">
        <f>IFERROR(VLOOKUP($D1027,본공사입.출고현황!$B:$H,I$2080,0),0)</f>
        <v>M</v>
      </c>
      <c r="J1027" s="253">
        <v>1</v>
      </c>
      <c r="K1027" s="253" t="s">
        <v>363</v>
      </c>
      <c r="L1027" s="255">
        <v>20</v>
      </c>
      <c r="M1027" s="256" t="s">
        <v>408</v>
      </c>
      <c r="N1027" s="257"/>
    </row>
    <row r="1028" spans="1:14" ht="24" customHeight="1">
      <c r="A1028" s="8">
        <v>984</v>
      </c>
      <c r="B1028" s="9">
        <v>984</v>
      </c>
      <c r="C1028" s="254">
        <v>46039</v>
      </c>
      <c r="D1028" s="253" t="s">
        <v>238</v>
      </c>
      <c r="E1028" s="56" t="str">
        <f>IFERROR(VLOOKUP($D1028,본공사입.출고현황!$B:$H,E$2080,0),0)</f>
        <v>Steel round bar</v>
      </c>
      <c r="F1028" s="18" t="str">
        <f>IFERROR(VLOOKUP($D1028,본공사입.출고현황!$B:$H,F$2080,0),0)</f>
        <v>Steel round bar(rebar)</v>
      </c>
      <c r="G1028" s="18" t="str">
        <f>IFERROR(VLOOKUP($D1028,본공사입.출고현황!$B:$H,G$2080,0),0)</f>
        <v>CCGG</v>
      </c>
      <c r="H1028" s="18" t="str">
        <f>IFERROR(VLOOKUP($D1028,본공사입.출고현황!$B:$H,H$2080,0),0)</f>
        <v>ф10, 1ton=1,620.7m</v>
      </c>
      <c r="I1028" s="56" t="str">
        <f>IFERROR(VLOOKUP($D1028,본공사입.출고현황!$B:$H,I$2080,0),0)</f>
        <v>M</v>
      </c>
      <c r="J1028" s="253">
        <v>3</v>
      </c>
      <c r="K1028" s="253" t="s">
        <v>550</v>
      </c>
      <c r="L1028" s="255">
        <v>20</v>
      </c>
      <c r="M1028" s="256" t="s">
        <v>408</v>
      </c>
      <c r="N1028" s="257"/>
    </row>
    <row r="1029" spans="1:14" ht="24" customHeight="1">
      <c r="A1029" s="8">
        <v>985</v>
      </c>
      <c r="B1029" s="9">
        <v>985</v>
      </c>
      <c r="C1029" s="254">
        <v>46039</v>
      </c>
      <c r="D1029" s="253" t="s">
        <v>238</v>
      </c>
      <c r="E1029" s="56" t="str">
        <f>IFERROR(VLOOKUP($D1029,본공사입.출고현황!$B:$H,E$2080,0),0)</f>
        <v>Steel round bar</v>
      </c>
      <c r="F1029" s="18" t="str">
        <f>IFERROR(VLOOKUP($D1029,본공사입.출고현황!$B:$H,F$2080,0),0)</f>
        <v>Steel round bar(rebar)</v>
      </c>
      <c r="G1029" s="18" t="str">
        <f>IFERROR(VLOOKUP($D1029,본공사입.출고현황!$B:$H,G$2080,0),0)</f>
        <v>CCGG</v>
      </c>
      <c r="H1029" s="18" t="str">
        <f>IFERROR(VLOOKUP($D1029,본공사입.출고현황!$B:$H,H$2080,0),0)</f>
        <v>ф10, 1ton=1,620.7m</v>
      </c>
      <c r="I1029" s="56" t="str">
        <f>IFERROR(VLOOKUP($D1029,본공사입.출고현황!$B:$H,I$2080,0),0)</f>
        <v>M</v>
      </c>
      <c r="J1029" s="253">
        <v>2</v>
      </c>
      <c r="K1029" s="253" t="s">
        <v>360</v>
      </c>
      <c r="L1029" s="255">
        <v>25</v>
      </c>
      <c r="M1029" s="256" t="s">
        <v>408</v>
      </c>
      <c r="N1029" s="257"/>
    </row>
    <row r="1030" spans="1:14" ht="24" customHeight="1">
      <c r="A1030" s="8">
        <v>986</v>
      </c>
      <c r="B1030" s="9">
        <v>986</v>
      </c>
      <c r="C1030" s="254">
        <v>46039</v>
      </c>
      <c r="D1030" s="253" t="s">
        <v>238</v>
      </c>
      <c r="E1030" s="56" t="str">
        <f>IFERROR(VLOOKUP($D1030,본공사입.출고현황!$B:$H,E$2080,0),0)</f>
        <v>Steel round bar</v>
      </c>
      <c r="F1030" s="18" t="str">
        <f>IFERROR(VLOOKUP($D1030,본공사입.출고현황!$B:$H,F$2080,0),0)</f>
        <v>Steel round bar(rebar)</v>
      </c>
      <c r="G1030" s="18" t="str">
        <f>IFERROR(VLOOKUP($D1030,본공사입.출고현황!$B:$H,G$2080,0),0)</f>
        <v>CCGG</v>
      </c>
      <c r="H1030" s="18" t="str">
        <f>IFERROR(VLOOKUP($D1030,본공사입.출고현황!$B:$H,H$2080,0),0)</f>
        <v>ф10, 1ton=1,620.7m</v>
      </c>
      <c r="I1030" s="56" t="str">
        <f>IFERROR(VLOOKUP($D1030,본공사입.출고현황!$B:$H,I$2080,0),0)</f>
        <v>M</v>
      </c>
      <c r="J1030" s="253">
        <v>2</v>
      </c>
      <c r="K1030" s="253" t="s">
        <v>360</v>
      </c>
      <c r="L1030" s="255">
        <v>40</v>
      </c>
      <c r="M1030" s="256" t="s">
        <v>408</v>
      </c>
      <c r="N1030" s="257"/>
    </row>
    <row r="1031" spans="1:14" ht="24" customHeight="1">
      <c r="A1031" s="8">
        <v>987</v>
      </c>
      <c r="B1031" s="9">
        <v>987</v>
      </c>
      <c r="C1031" s="254">
        <v>46039</v>
      </c>
      <c r="D1031" s="253" t="s">
        <v>238</v>
      </c>
      <c r="E1031" s="56" t="str">
        <f>IFERROR(VLOOKUP($D1031,본공사입.출고현황!$B:$H,E$2080,0),0)</f>
        <v>Steel round bar</v>
      </c>
      <c r="F1031" s="18" t="str">
        <f>IFERROR(VLOOKUP($D1031,본공사입.출고현황!$B:$H,F$2080,0),0)</f>
        <v>Steel round bar(rebar)</v>
      </c>
      <c r="G1031" s="18" t="str">
        <f>IFERROR(VLOOKUP($D1031,본공사입.출고현황!$B:$H,G$2080,0),0)</f>
        <v>CCGG</v>
      </c>
      <c r="H1031" s="18" t="str">
        <f>IFERROR(VLOOKUP($D1031,본공사입.출고현황!$B:$H,H$2080,0),0)</f>
        <v>ф10, 1ton=1,620.7m</v>
      </c>
      <c r="I1031" s="56" t="str">
        <f>IFERROR(VLOOKUP($D1031,본공사입.출고현황!$B:$H,I$2080,0),0)</f>
        <v>M</v>
      </c>
      <c r="J1031" s="253">
        <v>3</v>
      </c>
      <c r="K1031" s="253" t="s">
        <v>550</v>
      </c>
      <c r="L1031" s="255">
        <v>15</v>
      </c>
      <c r="M1031" s="256" t="s">
        <v>408</v>
      </c>
      <c r="N1031" s="257"/>
    </row>
    <row r="1032" spans="1:14" ht="24" customHeight="1">
      <c r="A1032" s="8">
        <v>988</v>
      </c>
      <c r="B1032" s="9">
        <v>988</v>
      </c>
      <c r="C1032" s="254">
        <v>46040</v>
      </c>
      <c r="D1032" s="253" t="s">
        <v>238</v>
      </c>
      <c r="E1032" s="56" t="str">
        <f>IFERROR(VLOOKUP($D1032,본공사입.출고현황!$B:$H,E$2080,0),0)</f>
        <v>Steel round bar</v>
      </c>
      <c r="F1032" s="18" t="str">
        <f>IFERROR(VLOOKUP($D1032,본공사입.출고현황!$B:$H,F$2080,0),0)</f>
        <v>Steel round bar(rebar)</v>
      </c>
      <c r="G1032" s="18" t="str">
        <f>IFERROR(VLOOKUP($D1032,본공사입.출고현황!$B:$H,G$2080,0),0)</f>
        <v>CCGG</v>
      </c>
      <c r="H1032" s="18" t="str">
        <f>IFERROR(VLOOKUP($D1032,본공사입.출고현황!$B:$H,H$2080,0),0)</f>
        <v>ф10, 1ton=1,620.7m</v>
      </c>
      <c r="I1032" s="56" t="str">
        <f>IFERROR(VLOOKUP($D1032,본공사입.출고현황!$B:$H,I$2080,0),0)</f>
        <v>M</v>
      </c>
      <c r="J1032" s="253">
        <v>1</v>
      </c>
      <c r="K1032" s="253" t="s">
        <v>363</v>
      </c>
      <c r="L1032" s="255">
        <v>40</v>
      </c>
      <c r="M1032" s="256" t="s">
        <v>408</v>
      </c>
      <c r="N1032" s="257"/>
    </row>
    <row r="1033" spans="1:14" ht="24" customHeight="1">
      <c r="A1033" s="8">
        <v>989</v>
      </c>
      <c r="B1033" s="9">
        <v>989</v>
      </c>
      <c r="C1033" s="254">
        <v>46040</v>
      </c>
      <c r="D1033" s="253" t="s">
        <v>238</v>
      </c>
      <c r="E1033" s="56" t="str">
        <f>IFERROR(VLOOKUP($D1033,본공사입.출고현황!$B:$H,E$2080,0),0)</f>
        <v>Steel round bar</v>
      </c>
      <c r="F1033" s="18" t="str">
        <f>IFERROR(VLOOKUP($D1033,본공사입.출고현황!$B:$H,F$2080,0),0)</f>
        <v>Steel round bar(rebar)</v>
      </c>
      <c r="G1033" s="18" t="str">
        <f>IFERROR(VLOOKUP($D1033,본공사입.출고현황!$B:$H,G$2080,0),0)</f>
        <v>CCGG</v>
      </c>
      <c r="H1033" s="18" t="str">
        <f>IFERROR(VLOOKUP($D1033,본공사입.출고현황!$B:$H,H$2080,0),0)</f>
        <v>ф10, 1ton=1,620.7m</v>
      </c>
      <c r="I1033" s="56" t="str">
        <f>IFERROR(VLOOKUP($D1033,본공사입.출고현황!$B:$H,I$2080,0),0)</f>
        <v>M</v>
      </c>
      <c r="J1033" s="253">
        <v>1</v>
      </c>
      <c r="K1033" s="253" t="s">
        <v>547</v>
      </c>
      <c r="L1033" s="255">
        <v>20</v>
      </c>
      <c r="M1033" s="256" t="s">
        <v>408</v>
      </c>
      <c r="N1033" s="257"/>
    </row>
    <row r="1034" spans="1:14" ht="24" customHeight="1">
      <c r="A1034" s="8">
        <v>990</v>
      </c>
      <c r="B1034" s="9">
        <v>990</v>
      </c>
      <c r="C1034" s="254">
        <v>46040</v>
      </c>
      <c r="D1034" s="253" t="s">
        <v>238</v>
      </c>
      <c r="E1034" s="56" t="str">
        <f>IFERROR(VLOOKUP($D1034,본공사입.출고현황!$B:$H,E$2080,0),0)</f>
        <v>Steel round bar</v>
      </c>
      <c r="F1034" s="18" t="str">
        <f>IFERROR(VLOOKUP($D1034,본공사입.출고현황!$B:$H,F$2080,0),0)</f>
        <v>Steel round bar(rebar)</v>
      </c>
      <c r="G1034" s="18" t="str">
        <f>IFERROR(VLOOKUP($D1034,본공사입.출고현황!$B:$H,G$2080,0),0)</f>
        <v>CCGG</v>
      </c>
      <c r="H1034" s="18" t="str">
        <f>IFERROR(VLOOKUP($D1034,본공사입.출고현황!$B:$H,H$2080,0),0)</f>
        <v>ф10, 1ton=1,620.7m</v>
      </c>
      <c r="I1034" s="56" t="str">
        <f>IFERROR(VLOOKUP($D1034,본공사입.출고현황!$B:$H,I$2080,0),0)</f>
        <v>M</v>
      </c>
      <c r="J1034" s="253">
        <v>1</v>
      </c>
      <c r="K1034" s="253" t="s">
        <v>545</v>
      </c>
      <c r="L1034" s="255">
        <v>20</v>
      </c>
      <c r="M1034" s="256" t="s">
        <v>408</v>
      </c>
      <c r="N1034" s="257"/>
    </row>
    <row r="1035" spans="1:14" ht="24" customHeight="1">
      <c r="A1035" s="8">
        <v>991</v>
      </c>
      <c r="B1035" s="9">
        <v>991</v>
      </c>
      <c r="C1035" s="254">
        <v>46040</v>
      </c>
      <c r="D1035" s="253" t="s">
        <v>238</v>
      </c>
      <c r="E1035" s="56" t="str">
        <f>IFERROR(VLOOKUP($D1035,본공사입.출고현황!$B:$H,E$2080,0),0)</f>
        <v>Steel round bar</v>
      </c>
      <c r="F1035" s="18" t="str">
        <f>IFERROR(VLOOKUP($D1035,본공사입.출고현황!$B:$H,F$2080,0),0)</f>
        <v>Steel round bar(rebar)</v>
      </c>
      <c r="G1035" s="18" t="str">
        <f>IFERROR(VLOOKUP($D1035,본공사입.출고현황!$B:$H,G$2080,0),0)</f>
        <v>CCGG</v>
      </c>
      <c r="H1035" s="18" t="str">
        <f>IFERROR(VLOOKUP($D1035,본공사입.출고현황!$B:$H,H$2080,0),0)</f>
        <v>ф10, 1ton=1,620.7m</v>
      </c>
      <c r="I1035" s="56" t="str">
        <f>IFERROR(VLOOKUP($D1035,본공사입.출고현황!$B:$H,I$2080,0),0)</f>
        <v>M</v>
      </c>
      <c r="J1035" s="253">
        <v>2</v>
      </c>
      <c r="K1035" s="253" t="s">
        <v>360</v>
      </c>
      <c r="L1035" s="255">
        <v>115</v>
      </c>
      <c r="M1035" s="256" t="s">
        <v>408</v>
      </c>
      <c r="N1035" s="257"/>
    </row>
    <row r="1036" spans="1:14" ht="24" customHeight="1">
      <c r="A1036" s="8">
        <v>992</v>
      </c>
      <c r="B1036" s="9">
        <v>992</v>
      </c>
      <c r="C1036" s="254">
        <v>46040</v>
      </c>
      <c r="D1036" s="253" t="s">
        <v>238</v>
      </c>
      <c r="E1036" s="56" t="str">
        <f>IFERROR(VLOOKUP($D1036,본공사입.출고현황!$B:$H,E$2080,0),0)</f>
        <v>Steel round bar</v>
      </c>
      <c r="F1036" s="18" t="str">
        <f>IFERROR(VLOOKUP($D1036,본공사입.출고현황!$B:$H,F$2080,0),0)</f>
        <v>Steel round bar(rebar)</v>
      </c>
      <c r="G1036" s="18" t="str">
        <f>IFERROR(VLOOKUP($D1036,본공사입.출고현황!$B:$H,G$2080,0),0)</f>
        <v>CCGG</v>
      </c>
      <c r="H1036" s="18" t="str">
        <f>IFERROR(VLOOKUP($D1036,본공사입.출고현황!$B:$H,H$2080,0),0)</f>
        <v>ф10, 1ton=1,620.7m</v>
      </c>
      <c r="I1036" s="56" t="str">
        <f>IFERROR(VLOOKUP($D1036,본공사입.출고현황!$B:$H,I$2080,0),0)</f>
        <v>M</v>
      </c>
      <c r="J1036" s="253" t="s">
        <v>557</v>
      </c>
      <c r="K1036" s="253" t="s">
        <v>553</v>
      </c>
      <c r="L1036" s="255">
        <v>30</v>
      </c>
      <c r="M1036" s="256" t="s">
        <v>408</v>
      </c>
      <c r="N1036" s="257"/>
    </row>
    <row r="1037" spans="1:14" ht="24" customHeight="1">
      <c r="A1037" s="8">
        <v>993</v>
      </c>
      <c r="B1037" s="9">
        <v>993</v>
      </c>
      <c r="C1037" s="254">
        <v>46040</v>
      </c>
      <c r="D1037" s="253" t="s">
        <v>238</v>
      </c>
      <c r="E1037" s="56" t="str">
        <f>IFERROR(VLOOKUP($D1037,본공사입.출고현황!$B:$H,E$2080,0),0)</f>
        <v>Steel round bar</v>
      </c>
      <c r="F1037" s="18" t="str">
        <f>IFERROR(VLOOKUP($D1037,본공사입.출고현황!$B:$H,F$2080,0),0)</f>
        <v>Steel round bar(rebar)</v>
      </c>
      <c r="G1037" s="18" t="str">
        <f>IFERROR(VLOOKUP($D1037,본공사입.출고현황!$B:$H,G$2080,0),0)</f>
        <v>CCGG</v>
      </c>
      <c r="H1037" s="18" t="str">
        <f>IFERROR(VLOOKUP($D1037,본공사입.출고현황!$B:$H,H$2080,0),0)</f>
        <v>ф10, 1ton=1,620.7m</v>
      </c>
      <c r="I1037" s="56" t="str">
        <f>IFERROR(VLOOKUP($D1037,본공사입.출고현황!$B:$H,I$2080,0),0)</f>
        <v>M</v>
      </c>
      <c r="J1037" s="253">
        <v>1</v>
      </c>
      <c r="K1037" s="253" t="s">
        <v>352</v>
      </c>
      <c r="L1037" s="255">
        <v>50</v>
      </c>
      <c r="M1037" s="256" t="s">
        <v>408</v>
      </c>
      <c r="N1037" s="257"/>
    </row>
    <row r="1038" spans="1:14" ht="24" customHeight="1">
      <c r="A1038" s="8">
        <v>994</v>
      </c>
      <c r="B1038" s="9">
        <v>994</v>
      </c>
      <c r="C1038" s="254">
        <v>46040</v>
      </c>
      <c r="D1038" s="253" t="s">
        <v>238</v>
      </c>
      <c r="E1038" s="56" t="str">
        <f>IFERROR(VLOOKUP($D1038,본공사입.출고현황!$B:$H,E$2080,0),0)</f>
        <v>Steel round bar</v>
      </c>
      <c r="F1038" s="18" t="str">
        <f>IFERROR(VLOOKUP($D1038,본공사입.출고현황!$B:$H,F$2080,0),0)</f>
        <v>Steel round bar(rebar)</v>
      </c>
      <c r="G1038" s="18" t="str">
        <f>IFERROR(VLOOKUP($D1038,본공사입.출고현황!$B:$H,G$2080,0),0)</f>
        <v>CCGG</v>
      </c>
      <c r="H1038" s="18" t="str">
        <f>IFERROR(VLOOKUP($D1038,본공사입.출고현황!$B:$H,H$2080,0),0)</f>
        <v>ф10, 1ton=1,620.7m</v>
      </c>
      <c r="I1038" s="56" t="str">
        <f>IFERROR(VLOOKUP($D1038,본공사입.출고현황!$B:$H,I$2080,0),0)</f>
        <v>M</v>
      </c>
      <c r="J1038" s="253">
        <v>3</v>
      </c>
      <c r="K1038" s="253" t="s">
        <v>237</v>
      </c>
      <c r="L1038" s="255">
        <v>20</v>
      </c>
      <c r="M1038" s="256" t="s">
        <v>408</v>
      </c>
      <c r="N1038" s="257"/>
    </row>
    <row r="1039" spans="1:14" ht="24" customHeight="1">
      <c r="A1039" s="8">
        <v>995</v>
      </c>
      <c r="B1039" s="9">
        <v>995</v>
      </c>
      <c r="C1039" s="254">
        <v>46040</v>
      </c>
      <c r="D1039" s="253" t="s">
        <v>238</v>
      </c>
      <c r="E1039" s="56" t="str">
        <f>IFERROR(VLOOKUP($D1039,본공사입.출고현황!$B:$H,E$2080,0),0)</f>
        <v>Steel round bar</v>
      </c>
      <c r="F1039" s="18" t="str">
        <f>IFERROR(VLOOKUP($D1039,본공사입.출고현황!$B:$H,F$2080,0),0)</f>
        <v>Steel round bar(rebar)</v>
      </c>
      <c r="G1039" s="18" t="str">
        <f>IFERROR(VLOOKUP($D1039,본공사입.출고현황!$B:$H,G$2080,0),0)</f>
        <v>CCGG</v>
      </c>
      <c r="H1039" s="18" t="str">
        <f>IFERROR(VLOOKUP($D1039,본공사입.출고현황!$B:$H,H$2080,0),0)</f>
        <v>ф10, 1ton=1,620.7m</v>
      </c>
      <c r="I1039" s="56" t="str">
        <f>IFERROR(VLOOKUP($D1039,본공사입.출고현황!$B:$H,I$2080,0),0)</f>
        <v>M</v>
      </c>
      <c r="J1039" s="253">
        <v>1</v>
      </c>
      <c r="K1039" s="253" t="s">
        <v>547</v>
      </c>
      <c r="L1039" s="255">
        <v>35</v>
      </c>
      <c r="M1039" s="256" t="s">
        <v>408</v>
      </c>
      <c r="N1039" s="257"/>
    </row>
    <row r="1040" spans="1:14" ht="24" customHeight="1">
      <c r="A1040" s="8">
        <v>996</v>
      </c>
      <c r="B1040" s="9">
        <v>996</v>
      </c>
      <c r="C1040" s="254">
        <v>46040</v>
      </c>
      <c r="D1040" s="253" t="s">
        <v>238</v>
      </c>
      <c r="E1040" s="56" t="str">
        <f>IFERROR(VLOOKUP($D1040,본공사입.출고현황!$B:$H,E$2080,0),0)</f>
        <v>Steel round bar</v>
      </c>
      <c r="F1040" s="18" t="str">
        <f>IFERROR(VLOOKUP($D1040,본공사입.출고현황!$B:$H,F$2080,0),0)</f>
        <v>Steel round bar(rebar)</v>
      </c>
      <c r="G1040" s="18" t="str">
        <f>IFERROR(VLOOKUP($D1040,본공사입.출고현황!$B:$H,G$2080,0),0)</f>
        <v>CCGG</v>
      </c>
      <c r="H1040" s="18" t="str">
        <f>IFERROR(VLOOKUP($D1040,본공사입.출고현황!$B:$H,H$2080,0),0)</f>
        <v>ф10, 1ton=1,620.7m</v>
      </c>
      <c r="I1040" s="56" t="str">
        <f>IFERROR(VLOOKUP($D1040,본공사입.출고현황!$B:$H,I$2080,0),0)</f>
        <v>M</v>
      </c>
      <c r="J1040" s="253">
        <v>1</v>
      </c>
      <c r="K1040" s="253" t="s">
        <v>352</v>
      </c>
      <c r="L1040" s="255">
        <v>115</v>
      </c>
      <c r="M1040" s="256" t="s">
        <v>408</v>
      </c>
      <c r="N1040" s="257"/>
    </row>
    <row r="1041" spans="1:14" ht="24" customHeight="1">
      <c r="A1041" s="8">
        <v>997</v>
      </c>
      <c r="B1041" s="9">
        <v>997</v>
      </c>
      <c r="C1041" s="254">
        <v>46041</v>
      </c>
      <c r="D1041" s="253" t="s">
        <v>238</v>
      </c>
      <c r="E1041" s="56" t="str">
        <f>IFERROR(VLOOKUP($D1041,본공사입.출고현황!$B:$H,E$2080,0),0)</f>
        <v>Steel round bar</v>
      </c>
      <c r="F1041" s="18" t="str">
        <f>IFERROR(VLOOKUP($D1041,본공사입.출고현황!$B:$H,F$2080,0),0)</f>
        <v>Steel round bar(rebar)</v>
      </c>
      <c r="G1041" s="18" t="str">
        <f>IFERROR(VLOOKUP($D1041,본공사입.출고현황!$B:$H,G$2080,0),0)</f>
        <v>CCGG</v>
      </c>
      <c r="H1041" s="18" t="str">
        <f>IFERROR(VLOOKUP($D1041,본공사입.출고현황!$B:$H,H$2080,0),0)</f>
        <v>ф10, 1ton=1,620.7m</v>
      </c>
      <c r="I1041" s="56" t="str">
        <f>IFERROR(VLOOKUP($D1041,본공사입.출고현황!$B:$H,I$2080,0),0)</f>
        <v>M</v>
      </c>
      <c r="J1041" s="253">
        <v>2</v>
      </c>
      <c r="K1041" s="253" t="s">
        <v>360</v>
      </c>
      <c r="L1041" s="255">
        <v>25</v>
      </c>
      <c r="M1041" s="256" t="s">
        <v>408</v>
      </c>
      <c r="N1041" s="257"/>
    </row>
    <row r="1042" spans="1:14" ht="24" customHeight="1">
      <c r="A1042" s="8">
        <v>998</v>
      </c>
      <c r="B1042" s="9">
        <v>998</v>
      </c>
      <c r="C1042" s="254">
        <v>46041</v>
      </c>
      <c r="D1042" s="253" t="s">
        <v>238</v>
      </c>
      <c r="E1042" s="56" t="str">
        <f>IFERROR(VLOOKUP($D1042,본공사입.출고현황!$B:$H,E$2080,0),0)</f>
        <v>Steel round bar</v>
      </c>
      <c r="F1042" s="18" t="str">
        <f>IFERROR(VLOOKUP($D1042,본공사입.출고현황!$B:$H,F$2080,0),0)</f>
        <v>Steel round bar(rebar)</v>
      </c>
      <c r="G1042" s="18" t="str">
        <f>IFERROR(VLOOKUP($D1042,본공사입.출고현황!$B:$H,G$2080,0),0)</f>
        <v>CCGG</v>
      </c>
      <c r="H1042" s="18" t="str">
        <f>IFERROR(VLOOKUP($D1042,본공사입.출고현황!$B:$H,H$2080,0),0)</f>
        <v>ф10, 1ton=1,620.7m</v>
      </c>
      <c r="I1042" s="56" t="str">
        <f>IFERROR(VLOOKUP($D1042,본공사입.출고현황!$B:$H,I$2080,0),0)</f>
        <v>M</v>
      </c>
      <c r="J1042" s="253" t="s">
        <v>557</v>
      </c>
      <c r="K1042" s="253" t="s">
        <v>553</v>
      </c>
      <c r="L1042" s="255">
        <v>20</v>
      </c>
      <c r="M1042" s="256" t="s">
        <v>408</v>
      </c>
      <c r="N1042" s="257"/>
    </row>
    <row r="1043" spans="1:14" ht="24" customHeight="1">
      <c r="A1043" s="8">
        <v>999</v>
      </c>
      <c r="B1043" s="9">
        <v>999</v>
      </c>
      <c r="C1043" s="254">
        <v>46041</v>
      </c>
      <c r="D1043" s="253" t="s">
        <v>238</v>
      </c>
      <c r="E1043" s="56" t="str">
        <f>IFERROR(VLOOKUP($D1043,본공사입.출고현황!$B:$H,E$2080,0),0)</f>
        <v>Steel round bar</v>
      </c>
      <c r="F1043" s="18" t="str">
        <f>IFERROR(VLOOKUP($D1043,본공사입.출고현황!$B:$H,F$2080,0),0)</f>
        <v>Steel round bar(rebar)</v>
      </c>
      <c r="G1043" s="18" t="str">
        <f>IFERROR(VLOOKUP($D1043,본공사입.출고현황!$B:$H,G$2080,0),0)</f>
        <v>CCGG</v>
      </c>
      <c r="H1043" s="18" t="str">
        <f>IFERROR(VLOOKUP($D1043,본공사입.출고현황!$B:$H,H$2080,0),0)</f>
        <v>ф10, 1ton=1,620.7m</v>
      </c>
      <c r="I1043" s="56" t="str">
        <f>IFERROR(VLOOKUP($D1043,본공사입.출고현황!$B:$H,I$2080,0),0)</f>
        <v>M</v>
      </c>
      <c r="J1043" s="253">
        <v>3</v>
      </c>
      <c r="K1043" s="253" t="s">
        <v>550</v>
      </c>
      <c r="L1043" s="255">
        <v>15</v>
      </c>
      <c r="M1043" s="256" t="s">
        <v>408</v>
      </c>
      <c r="N1043" s="257"/>
    </row>
    <row r="1044" spans="1:14" ht="24" customHeight="1">
      <c r="A1044" s="8">
        <v>1000</v>
      </c>
      <c r="B1044" s="9">
        <v>1000</v>
      </c>
      <c r="C1044" s="254">
        <v>46041</v>
      </c>
      <c r="D1044" s="253" t="s">
        <v>238</v>
      </c>
      <c r="E1044" s="56" t="str">
        <f>IFERROR(VLOOKUP($D1044,본공사입.출고현황!$B:$H,E$2080,0),0)</f>
        <v>Steel round bar</v>
      </c>
      <c r="F1044" s="18" t="str">
        <f>IFERROR(VLOOKUP($D1044,본공사입.출고현황!$B:$H,F$2080,0),0)</f>
        <v>Steel round bar(rebar)</v>
      </c>
      <c r="G1044" s="18" t="str">
        <f>IFERROR(VLOOKUP($D1044,본공사입.출고현황!$B:$H,G$2080,0),0)</f>
        <v>CCGG</v>
      </c>
      <c r="H1044" s="18" t="str">
        <f>IFERROR(VLOOKUP($D1044,본공사입.출고현황!$B:$H,H$2080,0),0)</f>
        <v>ф10, 1ton=1,620.7m</v>
      </c>
      <c r="I1044" s="56" t="str">
        <f>IFERROR(VLOOKUP($D1044,본공사입.출고현황!$B:$H,I$2080,0),0)</f>
        <v>M</v>
      </c>
      <c r="J1044" s="253">
        <v>3</v>
      </c>
      <c r="K1044" s="253" t="s">
        <v>361</v>
      </c>
      <c r="L1044" s="255">
        <v>40</v>
      </c>
      <c r="M1044" s="256" t="s">
        <v>408</v>
      </c>
      <c r="N1044" s="257"/>
    </row>
    <row r="1045" spans="1:14" ht="24" customHeight="1">
      <c r="A1045" s="8">
        <v>1001</v>
      </c>
      <c r="B1045" s="9">
        <v>1001</v>
      </c>
      <c r="C1045" s="254">
        <v>46041</v>
      </c>
      <c r="D1045" s="253" t="s">
        <v>61</v>
      </c>
      <c r="E1045" s="56" t="str">
        <f>IFERROR(VLOOKUP($D1045,본공사입.출고현황!$B:$H,E$2080,0),0)</f>
        <v>Angle</v>
      </c>
      <c r="F1045" s="18" t="str">
        <f>IFERROR(VLOOKUP($D1045,본공사입.출고현황!$B:$H,F$2080,0),0)</f>
        <v>Angle 100x100x10</v>
      </c>
      <c r="G1045" s="18" t="str">
        <f>IFERROR(VLOOKUP($D1045,본공사입.출고현황!$B:$H,G$2080,0),0)</f>
        <v>CCGG</v>
      </c>
      <c r="H1045" s="18" t="str">
        <f>IFERROR(VLOOKUP($D1045,본공사입.출고현황!$B:$H,H$2080,0),0)</f>
        <v>100x100x10 (12m)</v>
      </c>
      <c r="I1045" s="56" t="str">
        <f>IFERROR(VLOOKUP($D1045,본공사입.출고현황!$B:$H,I$2080,0),0)</f>
        <v>M</v>
      </c>
      <c r="J1045" s="253" t="s">
        <v>557</v>
      </c>
      <c r="K1045" s="253" t="s">
        <v>553</v>
      </c>
      <c r="L1045" s="255">
        <v>5</v>
      </c>
      <c r="M1045" s="256" t="s">
        <v>408</v>
      </c>
      <c r="N1045" s="257"/>
    </row>
    <row r="1046" spans="1:14" ht="24" customHeight="1">
      <c r="A1046" s="8">
        <v>1002</v>
      </c>
      <c r="B1046" s="9">
        <v>1002</v>
      </c>
      <c r="C1046" s="254">
        <v>46041</v>
      </c>
      <c r="D1046" s="253" t="s">
        <v>238</v>
      </c>
      <c r="E1046" s="56" t="str">
        <f>IFERROR(VLOOKUP($D1046,본공사입.출고현황!$B:$H,E$2080,0),0)</f>
        <v>Steel round bar</v>
      </c>
      <c r="F1046" s="18" t="str">
        <f>IFERROR(VLOOKUP($D1046,본공사입.출고현황!$B:$H,F$2080,0),0)</f>
        <v>Steel round bar(rebar)</v>
      </c>
      <c r="G1046" s="18" t="str">
        <f>IFERROR(VLOOKUP($D1046,본공사입.출고현황!$B:$H,G$2080,0),0)</f>
        <v>CCGG</v>
      </c>
      <c r="H1046" s="18" t="str">
        <f>IFERROR(VLOOKUP($D1046,본공사입.출고현황!$B:$H,H$2080,0),0)</f>
        <v>ф10, 1ton=1,620.7m</v>
      </c>
      <c r="I1046" s="56" t="str">
        <f>IFERROR(VLOOKUP($D1046,본공사입.출고현황!$B:$H,I$2080,0),0)</f>
        <v>M</v>
      </c>
      <c r="J1046" s="253">
        <v>1</v>
      </c>
      <c r="K1046" s="253" t="s">
        <v>352</v>
      </c>
      <c r="L1046" s="255">
        <v>75</v>
      </c>
      <c r="M1046" s="256" t="s">
        <v>408</v>
      </c>
      <c r="N1046" s="257"/>
    </row>
    <row r="1047" spans="1:14" ht="24" customHeight="1">
      <c r="A1047" s="8">
        <v>1003</v>
      </c>
      <c r="B1047" s="9">
        <v>1003</v>
      </c>
      <c r="C1047" s="254">
        <v>46041</v>
      </c>
      <c r="D1047" s="253" t="s">
        <v>238</v>
      </c>
      <c r="E1047" s="56" t="str">
        <f>IFERROR(VLOOKUP($D1047,본공사입.출고현황!$B:$H,E$2080,0),0)</f>
        <v>Steel round bar</v>
      </c>
      <c r="F1047" s="18" t="str">
        <f>IFERROR(VLOOKUP($D1047,본공사입.출고현황!$B:$H,F$2080,0),0)</f>
        <v>Steel round bar(rebar)</v>
      </c>
      <c r="G1047" s="18" t="str">
        <f>IFERROR(VLOOKUP($D1047,본공사입.출고현황!$B:$H,G$2080,0),0)</f>
        <v>CCGG</v>
      </c>
      <c r="H1047" s="18" t="str">
        <f>IFERROR(VLOOKUP($D1047,본공사입.출고현황!$B:$H,H$2080,0),0)</f>
        <v>ф10, 1ton=1,620.7m</v>
      </c>
      <c r="I1047" s="56" t="str">
        <f>IFERROR(VLOOKUP($D1047,본공사입.출고현황!$B:$H,I$2080,0),0)</f>
        <v>M</v>
      </c>
      <c r="J1047" s="253">
        <v>3</v>
      </c>
      <c r="K1047" s="253" t="s">
        <v>550</v>
      </c>
      <c r="L1047" s="255">
        <v>20</v>
      </c>
      <c r="M1047" s="256" t="s">
        <v>408</v>
      </c>
      <c r="N1047" s="257"/>
    </row>
    <row r="1048" spans="1:14" ht="24" customHeight="1">
      <c r="A1048" s="8">
        <v>1004</v>
      </c>
      <c r="B1048" s="9">
        <v>1004</v>
      </c>
      <c r="C1048" s="254">
        <v>46042</v>
      </c>
      <c r="D1048" s="253" t="s">
        <v>238</v>
      </c>
      <c r="E1048" s="56" t="str">
        <f>IFERROR(VLOOKUP($D1048,본공사입.출고현황!$B:$H,E$2080,0),0)</f>
        <v>Steel round bar</v>
      </c>
      <c r="F1048" s="18" t="str">
        <f>IFERROR(VLOOKUP($D1048,본공사입.출고현황!$B:$H,F$2080,0),0)</f>
        <v>Steel round bar(rebar)</v>
      </c>
      <c r="G1048" s="18" t="str">
        <f>IFERROR(VLOOKUP($D1048,본공사입.출고현황!$B:$H,G$2080,0),0)</f>
        <v>CCGG</v>
      </c>
      <c r="H1048" s="18" t="str">
        <f>IFERROR(VLOOKUP($D1048,본공사입.출고현황!$B:$H,H$2080,0),0)</f>
        <v>ф10, 1ton=1,620.7m</v>
      </c>
      <c r="I1048" s="56" t="str">
        <f>IFERROR(VLOOKUP($D1048,본공사입.출고현황!$B:$H,I$2080,0),0)</f>
        <v>M</v>
      </c>
      <c r="J1048" s="253">
        <v>2</v>
      </c>
      <c r="K1048" s="253" t="s">
        <v>360</v>
      </c>
      <c r="L1048" s="255">
        <v>30</v>
      </c>
      <c r="M1048" s="256" t="s">
        <v>408</v>
      </c>
      <c r="N1048" s="257"/>
    </row>
    <row r="1049" spans="1:14" ht="24" customHeight="1">
      <c r="A1049" s="8">
        <v>1005</v>
      </c>
      <c r="B1049" s="9">
        <v>1005</v>
      </c>
      <c r="C1049" s="254">
        <v>46042</v>
      </c>
      <c r="D1049" s="253" t="s">
        <v>238</v>
      </c>
      <c r="E1049" s="56" t="str">
        <f>IFERROR(VLOOKUP($D1049,본공사입.출고현황!$B:$H,E$2080,0),0)</f>
        <v>Steel round bar</v>
      </c>
      <c r="F1049" s="18" t="str">
        <f>IFERROR(VLOOKUP($D1049,본공사입.출고현황!$B:$H,F$2080,0),0)</f>
        <v>Steel round bar(rebar)</v>
      </c>
      <c r="G1049" s="18" t="str">
        <f>IFERROR(VLOOKUP($D1049,본공사입.출고현황!$B:$H,G$2080,0),0)</f>
        <v>CCGG</v>
      </c>
      <c r="H1049" s="18" t="str">
        <f>IFERROR(VLOOKUP($D1049,본공사입.출고현황!$B:$H,H$2080,0),0)</f>
        <v>ф10, 1ton=1,620.7m</v>
      </c>
      <c r="I1049" s="56" t="str">
        <f>IFERROR(VLOOKUP($D1049,본공사입.출고현황!$B:$H,I$2080,0),0)</f>
        <v>M</v>
      </c>
      <c r="J1049" s="253">
        <v>3</v>
      </c>
      <c r="K1049" s="253" t="s">
        <v>237</v>
      </c>
      <c r="L1049" s="255">
        <v>25</v>
      </c>
      <c r="M1049" s="256" t="s">
        <v>408</v>
      </c>
      <c r="N1049" s="257"/>
    </row>
    <row r="1050" spans="1:14" ht="24" customHeight="1">
      <c r="A1050" s="8">
        <v>1006</v>
      </c>
      <c r="B1050" s="9">
        <v>1006</v>
      </c>
      <c r="C1050" s="254">
        <v>46042</v>
      </c>
      <c r="D1050" s="253" t="s">
        <v>238</v>
      </c>
      <c r="E1050" s="56" t="str">
        <f>IFERROR(VLOOKUP($D1050,본공사입.출고현황!$B:$H,E$2080,0),0)</f>
        <v>Steel round bar</v>
      </c>
      <c r="F1050" s="18" t="str">
        <f>IFERROR(VLOOKUP($D1050,본공사입.출고현황!$B:$H,F$2080,0),0)</f>
        <v>Steel round bar(rebar)</v>
      </c>
      <c r="G1050" s="18" t="str">
        <f>IFERROR(VLOOKUP($D1050,본공사입.출고현황!$B:$H,G$2080,0),0)</f>
        <v>CCGG</v>
      </c>
      <c r="H1050" s="18" t="str">
        <f>IFERROR(VLOOKUP($D1050,본공사입.출고현황!$B:$H,H$2080,0),0)</f>
        <v>ф10, 1ton=1,620.7m</v>
      </c>
      <c r="I1050" s="56" t="str">
        <f>IFERROR(VLOOKUP($D1050,본공사입.출고현황!$B:$H,I$2080,0),0)</f>
        <v>M</v>
      </c>
      <c r="J1050" s="253">
        <v>1</v>
      </c>
      <c r="K1050" s="253" t="s">
        <v>352</v>
      </c>
      <c r="L1050" s="255">
        <v>105</v>
      </c>
      <c r="M1050" s="256" t="s">
        <v>408</v>
      </c>
      <c r="N1050" s="257"/>
    </row>
    <row r="1051" spans="1:14" ht="24" customHeight="1">
      <c r="A1051" s="8">
        <v>1007</v>
      </c>
      <c r="B1051" s="9">
        <v>1007</v>
      </c>
      <c r="C1051" s="254">
        <v>46042</v>
      </c>
      <c r="D1051" s="253" t="s">
        <v>238</v>
      </c>
      <c r="E1051" s="56" t="str">
        <f>IFERROR(VLOOKUP($D1051,본공사입.출고현황!$B:$H,E$2080,0),0)</f>
        <v>Steel round bar</v>
      </c>
      <c r="F1051" s="18" t="str">
        <f>IFERROR(VLOOKUP($D1051,본공사입.출고현황!$B:$H,F$2080,0),0)</f>
        <v>Steel round bar(rebar)</v>
      </c>
      <c r="G1051" s="18" t="str">
        <f>IFERROR(VLOOKUP($D1051,본공사입.출고현황!$B:$H,G$2080,0),0)</f>
        <v>CCGG</v>
      </c>
      <c r="H1051" s="18" t="str">
        <f>IFERROR(VLOOKUP($D1051,본공사입.출고현황!$B:$H,H$2080,0),0)</f>
        <v>ф10, 1ton=1,620.7m</v>
      </c>
      <c r="I1051" s="56" t="str">
        <f>IFERROR(VLOOKUP($D1051,본공사입.출고현황!$B:$H,I$2080,0),0)</f>
        <v>M</v>
      </c>
      <c r="J1051" s="253">
        <v>1</v>
      </c>
      <c r="K1051" s="253" t="s">
        <v>547</v>
      </c>
      <c r="L1051" s="255">
        <v>40</v>
      </c>
      <c r="M1051" s="256" t="s">
        <v>408</v>
      </c>
      <c r="N1051" s="257"/>
    </row>
    <row r="1052" spans="1:14" ht="24" customHeight="1">
      <c r="A1052" s="8">
        <v>1008</v>
      </c>
      <c r="B1052" s="9">
        <v>1008</v>
      </c>
      <c r="C1052" s="254">
        <v>46043</v>
      </c>
      <c r="D1052" s="253" t="s">
        <v>238</v>
      </c>
      <c r="E1052" s="56" t="str">
        <f>IFERROR(VLOOKUP($D1052,본공사입.출고현황!$B:$H,E$2080,0),0)</f>
        <v>Steel round bar</v>
      </c>
      <c r="F1052" s="18" t="str">
        <f>IFERROR(VLOOKUP($D1052,본공사입.출고현황!$B:$H,F$2080,0),0)</f>
        <v>Steel round bar(rebar)</v>
      </c>
      <c r="G1052" s="18" t="str">
        <f>IFERROR(VLOOKUP($D1052,본공사입.출고현황!$B:$H,G$2080,0),0)</f>
        <v>CCGG</v>
      </c>
      <c r="H1052" s="18" t="str">
        <f>IFERROR(VLOOKUP($D1052,본공사입.출고현황!$B:$H,H$2080,0),0)</f>
        <v>ф10, 1ton=1,620.7m</v>
      </c>
      <c r="I1052" s="56" t="str">
        <f>IFERROR(VLOOKUP($D1052,본공사입.출고현황!$B:$H,I$2080,0),0)</f>
        <v>M</v>
      </c>
      <c r="J1052" s="253">
        <v>3</v>
      </c>
      <c r="K1052" s="253" t="s">
        <v>550</v>
      </c>
      <c r="L1052" s="255">
        <v>50</v>
      </c>
      <c r="M1052" s="256" t="s">
        <v>408</v>
      </c>
      <c r="N1052" s="257"/>
    </row>
    <row r="1053" spans="1:14" ht="24" customHeight="1">
      <c r="A1053" s="8">
        <v>1009</v>
      </c>
      <c r="B1053" s="9">
        <v>1009</v>
      </c>
      <c r="C1053" s="254">
        <v>46043</v>
      </c>
      <c r="D1053" s="253" t="s">
        <v>238</v>
      </c>
      <c r="E1053" s="56" t="str">
        <f>IFERROR(VLOOKUP($D1053,본공사입.출고현황!$B:$H,E$2080,0),0)</f>
        <v>Steel round bar</v>
      </c>
      <c r="F1053" s="18" t="str">
        <f>IFERROR(VLOOKUP($D1053,본공사입.출고현황!$B:$H,F$2080,0),0)</f>
        <v>Steel round bar(rebar)</v>
      </c>
      <c r="G1053" s="18" t="str">
        <f>IFERROR(VLOOKUP($D1053,본공사입.출고현황!$B:$H,G$2080,0),0)</f>
        <v>CCGG</v>
      </c>
      <c r="H1053" s="18" t="str">
        <f>IFERROR(VLOOKUP($D1053,본공사입.출고현황!$B:$H,H$2080,0),0)</f>
        <v>ф10, 1ton=1,620.7m</v>
      </c>
      <c r="I1053" s="56" t="str">
        <f>IFERROR(VLOOKUP($D1053,본공사입.출고현황!$B:$H,I$2080,0),0)</f>
        <v>M</v>
      </c>
      <c r="J1053" s="253">
        <v>2</v>
      </c>
      <c r="K1053" s="253" t="s">
        <v>360</v>
      </c>
      <c r="L1053" s="255">
        <v>25</v>
      </c>
      <c r="M1053" s="256" t="s">
        <v>408</v>
      </c>
      <c r="N1053" s="257"/>
    </row>
    <row r="1054" spans="1:14" ht="24" customHeight="1">
      <c r="A1054" s="8">
        <v>1010</v>
      </c>
      <c r="B1054" s="9">
        <v>1010</v>
      </c>
      <c r="C1054" s="254">
        <v>46043</v>
      </c>
      <c r="D1054" s="253" t="s">
        <v>238</v>
      </c>
      <c r="E1054" s="56" t="str">
        <f>IFERROR(VLOOKUP($D1054,본공사입.출고현황!$B:$H,E$2080,0),0)</f>
        <v>Steel round bar</v>
      </c>
      <c r="F1054" s="18" t="str">
        <f>IFERROR(VLOOKUP($D1054,본공사입.출고현황!$B:$H,F$2080,0),0)</f>
        <v>Steel round bar(rebar)</v>
      </c>
      <c r="G1054" s="18" t="str">
        <f>IFERROR(VLOOKUP($D1054,본공사입.출고현황!$B:$H,G$2080,0),0)</f>
        <v>CCGG</v>
      </c>
      <c r="H1054" s="18" t="str">
        <f>IFERROR(VLOOKUP($D1054,본공사입.출고현황!$B:$H,H$2080,0),0)</f>
        <v>ф10, 1ton=1,620.7m</v>
      </c>
      <c r="I1054" s="56" t="str">
        <f>IFERROR(VLOOKUP($D1054,본공사입.출고현황!$B:$H,I$2080,0),0)</f>
        <v>M</v>
      </c>
      <c r="J1054" s="253">
        <v>3</v>
      </c>
      <c r="K1054" s="253" t="s">
        <v>237</v>
      </c>
      <c r="L1054" s="255">
        <v>25</v>
      </c>
      <c r="M1054" s="256" t="s">
        <v>408</v>
      </c>
      <c r="N1054" s="257"/>
    </row>
    <row r="1055" spans="1:14" ht="24" customHeight="1">
      <c r="A1055" s="8">
        <v>1011</v>
      </c>
      <c r="B1055" s="9">
        <v>1011</v>
      </c>
      <c r="C1055" s="254">
        <v>46043</v>
      </c>
      <c r="D1055" s="253" t="s">
        <v>238</v>
      </c>
      <c r="E1055" s="56" t="str">
        <f>IFERROR(VLOOKUP($D1055,본공사입.출고현황!$B:$H,E$2080,0),0)</f>
        <v>Steel round bar</v>
      </c>
      <c r="F1055" s="18" t="str">
        <f>IFERROR(VLOOKUP($D1055,본공사입.출고현황!$B:$H,F$2080,0),0)</f>
        <v>Steel round bar(rebar)</v>
      </c>
      <c r="G1055" s="18" t="str">
        <f>IFERROR(VLOOKUP($D1055,본공사입.출고현황!$B:$H,G$2080,0),0)</f>
        <v>CCGG</v>
      </c>
      <c r="H1055" s="18" t="str">
        <f>IFERROR(VLOOKUP($D1055,본공사입.출고현황!$B:$H,H$2080,0),0)</f>
        <v>ф10, 1ton=1,620.7m</v>
      </c>
      <c r="I1055" s="56" t="str">
        <f>IFERROR(VLOOKUP($D1055,본공사입.출고현황!$B:$H,I$2080,0),0)</f>
        <v>M</v>
      </c>
      <c r="J1055" s="253">
        <v>1</v>
      </c>
      <c r="K1055" s="253" t="s">
        <v>352</v>
      </c>
      <c r="L1055" s="255">
        <v>25</v>
      </c>
      <c r="M1055" s="256" t="s">
        <v>408</v>
      </c>
      <c r="N1055" s="257"/>
    </row>
    <row r="1056" spans="1:14" ht="24" customHeight="1">
      <c r="A1056" s="8">
        <v>1012</v>
      </c>
      <c r="B1056" s="9">
        <v>1012</v>
      </c>
      <c r="C1056" s="254">
        <v>46043</v>
      </c>
      <c r="D1056" s="253" t="s">
        <v>238</v>
      </c>
      <c r="E1056" s="56" t="str">
        <f>IFERROR(VLOOKUP($D1056,본공사입.출고현황!$B:$H,E$2080,0),0)</f>
        <v>Steel round bar</v>
      </c>
      <c r="F1056" s="18" t="str">
        <f>IFERROR(VLOOKUP($D1056,본공사입.출고현황!$B:$H,F$2080,0),0)</f>
        <v>Steel round bar(rebar)</v>
      </c>
      <c r="G1056" s="18" t="str">
        <f>IFERROR(VLOOKUP($D1056,본공사입.출고현황!$B:$H,G$2080,0),0)</f>
        <v>CCGG</v>
      </c>
      <c r="H1056" s="18" t="str">
        <f>IFERROR(VLOOKUP($D1056,본공사입.출고현황!$B:$H,H$2080,0),0)</f>
        <v>ф10, 1ton=1,620.7m</v>
      </c>
      <c r="I1056" s="56" t="str">
        <f>IFERROR(VLOOKUP($D1056,본공사입.출고현황!$B:$H,I$2080,0),0)</f>
        <v>M</v>
      </c>
      <c r="J1056" s="253">
        <v>1</v>
      </c>
      <c r="K1056" s="253" t="s">
        <v>547</v>
      </c>
      <c r="L1056" s="255">
        <v>25</v>
      </c>
      <c r="M1056" s="256" t="s">
        <v>408</v>
      </c>
      <c r="N1056" s="257"/>
    </row>
    <row r="1057" spans="1:14" ht="24" customHeight="1">
      <c r="A1057" s="8">
        <v>1013</v>
      </c>
      <c r="B1057" s="9">
        <v>1013</v>
      </c>
      <c r="C1057" s="254">
        <v>46043</v>
      </c>
      <c r="D1057" s="253" t="s">
        <v>238</v>
      </c>
      <c r="E1057" s="56" t="str">
        <f>IFERROR(VLOOKUP($D1057,본공사입.출고현황!$B:$H,E$2080,0),0)</f>
        <v>Steel round bar</v>
      </c>
      <c r="F1057" s="18" t="str">
        <f>IFERROR(VLOOKUP($D1057,본공사입.출고현황!$B:$H,F$2080,0),0)</f>
        <v>Steel round bar(rebar)</v>
      </c>
      <c r="G1057" s="18" t="str">
        <f>IFERROR(VLOOKUP($D1057,본공사입.출고현황!$B:$H,G$2080,0),0)</f>
        <v>CCGG</v>
      </c>
      <c r="H1057" s="18" t="str">
        <f>IFERROR(VLOOKUP($D1057,본공사입.출고현황!$B:$H,H$2080,0),0)</f>
        <v>ф10, 1ton=1,620.7m</v>
      </c>
      <c r="I1057" s="56" t="str">
        <f>IFERROR(VLOOKUP($D1057,본공사입.출고현황!$B:$H,I$2080,0),0)</f>
        <v>M</v>
      </c>
      <c r="J1057" s="253">
        <v>2</v>
      </c>
      <c r="K1057" s="253" t="s">
        <v>360</v>
      </c>
      <c r="L1057" s="255">
        <v>25</v>
      </c>
      <c r="M1057" s="256" t="s">
        <v>408</v>
      </c>
      <c r="N1057" s="257"/>
    </row>
    <row r="1058" spans="1:14" ht="24" customHeight="1">
      <c r="A1058" s="8">
        <v>1014</v>
      </c>
      <c r="B1058" s="9">
        <v>1014</v>
      </c>
      <c r="C1058" s="254">
        <v>46043</v>
      </c>
      <c r="D1058" s="253" t="s">
        <v>238</v>
      </c>
      <c r="E1058" s="56" t="str">
        <f>IFERROR(VLOOKUP($D1058,본공사입.출고현황!$B:$H,E$2080,0),0)</f>
        <v>Steel round bar</v>
      </c>
      <c r="F1058" s="18" t="str">
        <f>IFERROR(VLOOKUP($D1058,본공사입.출고현황!$B:$H,F$2080,0),0)</f>
        <v>Steel round bar(rebar)</v>
      </c>
      <c r="G1058" s="18" t="str">
        <f>IFERROR(VLOOKUP($D1058,본공사입.출고현황!$B:$H,G$2080,0),0)</f>
        <v>CCGG</v>
      </c>
      <c r="H1058" s="18" t="str">
        <f>IFERROR(VLOOKUP($D1058,본공사입.출고현황!$B:$H,H$2080,0),0)</f>
        <v>ф10, 1ton=1,620.7m</v>
      </c>
      <c r="I1058" s="56" t="str">
        <f>IFERROR(VLOOKUP($D1058,본공사입.출고현황!$B:$H,I$2080,0),0)</f>
        <v>M</v>
      </c>
      <c r="J1058" s="253">
        <v>3</v>
      </c>
      <c r="K1058" s="253" t="s">
        <v>237</v>
      </c>
      <c r="L1058" s="255">
        <v>25</v>
      </c>
      <c r="M1058" s="256" t="s">
        <v>408</v>
      </c>
      <c r="N1058" s="257"/>
    </row>
    <row r="1059" spans="1:14" ht="24" customHeight="1">
      <c r="A1059" s="8">
        <v>1015</v>
      </c>
      <c r="B1059" s="9">
        <v>1015</v>
      </c>
      <c r="C1059" s="254">
        <v>46043</v>
      </c>
      <c r="D1059" s="253" t="s">
        <v>238</v>
      </c>
      <c r="E1059" s="56" t="str">
        <f>IFERROR(VLOOKUP($D1059,본공사입.출고현황!$B:$H,E$2080,0),0)</f>
        <v>Steel round bar</v>
      </c>
      <c r="F1059" s="18" t="str">
        <f>IFERROR(VLOOKUP($D1059,본공사입.출고현황!$B:$H,F$2080,0),0)</f>
        <v>Steel round bar(rebar)</v>
      </c>
      <c r="G1059" s="18" t="str">
        <f>IFERROR(VLOOKUP($D1059,본공사입.출고현황!$B:$H,G$2080,0),0)</f>
        <v>CCGG</v>
      </c>
      <c r="H1059" s="18" t="str">
        <f>IFERROR(VLOOKUP($D1059,본공사입.출고현황!$B:$H,H$2080,0),0)</f>
        <v>ф10, 1ton=1,620.7m</v>
      </c>
      <c r="I1059" s="56" t="str">
        <f>IFERROR(VLOOKUP($D1059,본공사입.출고현황!$B:$H,I$2080,0),0)</f>
        <v>M</v>
      </c>
      <c r="J1059" s="253">
        <v>1</v>
      </c>
      <c r="K1059" s="253" t="s">
        <v>352</v>
      </c>
      <c r="L1059" s="255">
        <v>20</v>
      </c>
      <c r="M1059" s="256" t="s">
        <v>408</v>
      </c>
      <c r="N1059" s="257"/>
    </row>
    <row r="1060" spans="1:14" ht="24" customHeight="1">
      <c r="A1060" s="8">
        <v>1016</v>
      </c>
      <c r="B1060" s="9">
        <v>1016</v>
      </c>
      <c r="C1060" s="254">
        <v>46043</v>
      </c>
      <c r="D1060" s="253" t="s">
        <v>238</v>
      </c>
      <c r="E1060" s="56" t="str">
        <f>IFERROR(VLOOKUP($D1060,본공사입.출고현황!$B:$H,E$2080,0),0)</f>
        <v>Steel round bar</v>
      </c>
      <c r="F1060" s="18" t="str">
        <f>IFERROR(VLOOKUP($D1060,본공사입.출고현황!$B:$H,F$2080,0),0)</f>
        <v>Steel round bar(rebar)</v>
      </c>
      <c r="G1060" s="18" t="str">
        <f>IFERROR(VLOOKUP($D1060,본공사입.출고현황!$B:$H,G$2080,0),0)</f>
        <v>CCGG</v>
      </c>
      <c r="H1060" s="18" t="str">
        <f>IFERROR(VLOOKUP($D1060,본공사입.출고현황!$B:$H,H$2080,0),0)</f>
        <v>ф10, 1ton=1,620.7m</v>
      </c>
      <c r="I1060" s="56" t="str">
        <f>IFERROR(VLOOKUP($D1060,본공사입.출고현황!$B:$H,I$2080,0),0)</f>
        <v>M</v>
      </c>
      <c r="J1060" s="253">
        <v>4</v>
      </c>
      <c r="K1060" s="253" t="s">
        <v>359</v>
      </c>
      <c r="L1060" s="255">
        <v>50</v>
      </c>
      <c r="M1060" s="256" t="s">
        <v>408</v>
      </c>
      <c r="N1060" s="257"/>
    </row>
    <row r="1061" spans="1:14" ht="24" customHeight="1">
      <c r="A1061" s="8">
        <v>1017</v>
      </c>
      <c r="B1061" s="9">
        <v>1017</v>
      </c>
      <c r="C1061" s="254">
        <v>46043</v>
      </c>
      <c r="D1061" s="253" t="s">
        <v>238</v>
      </c>
      <c r="E1061" s="56" t="str">
        <f>IFERROR(VLOOKUP($D1061,본공사입.출고현황!$B:$H,E$2080,0),0)</f>
        <v>Steel round bar</v>
      </c>
      <c r="F1061" s="18" t="str">
        <f>IFERROR(VLOOKUP($D1061,본공사입.출고현황!$B:$H,F$2080,0),0)</f>
        <v>Steel round bar(rebar)</v>
      </c>
      <c r="G1061" s="18" t="str">
        <f>IFERROR(VLOOKUP($D1061,본공사입.출고현황!$B:$H,G$2080,0),0)</f>
        <v>CCGG</v>
      </c>
      <c r="H1061" s="18" t="str">
        <f>IFERROR(VLOOKUP($D1061,본공사입.출고현황!$B:$H,H$2080,0),0)</f>
        <v>ф10, 1ton=1,620.7m</v>
      </c>
      <c r="I1061" s="56" t="str">
        <f>IFERROR(VLOOKUP($D1061,본공사입.출고현황!$B:$H,I$2080,0),0)</f>
        <v>M</v>
      </c>
      <c r="J1061" s="253">
        <v>2</v>
      </c>
      <c r="K1061" s="253" t="s">
        <v>546</v>
      </c>
      <c r="L1061" s="255">
        <v>25</v>
      </c>
      <c r="M1061" s="256" t="s">
        <v>408</v>
      </c>
      <c r="N1061" s="257"/>
    </row>
    <row r="1062" spans="1:14" ht="24" customHeight="1">
      <c r="A1062" s="8">
        <v>1018</v>
      </c>
      <c r="B1062" s="9">
        <v>1018</v>
      </c>
      <c r="C1062" s="254">
        <v>46043</v>
      </c>
      <c r="D1062" s="253" t="s">
        <v>238</v>
      </c>
      <c r="E1062" s="56" t="str">
        <f>IFERROR(VLOOKUP($D1062,본공사입.출고현황!$B:$H,E$2080,0),0)</f>
        <v>Steel round bar</v>
      </c>
      <c r="F1062" s="18" t="str">
        <f>IFERROR(VLOOKUP($D1062,본공사입.출고현황!$B:$H,F$2080,0),0)</f>
        <v>Steel round bar(rebar)</v>
      </c>
      <c r="G1062" s="18" t="str">
        <f>IFERROR(VLOOKUP($D1062,본공사입.출고현황!$B:$H,G$2080,0),0)</f>
        <v>CCGG</v>
      </c>
      <c r="H1062" s="18" t="str">
        <f>IFERROR(VLOOKUP($D1062,본공사입.출고현황!$B:$H,H$2080,0),0)</f>
        <v>ф10, 1ton=1,620.7m</v>
      </c>
      <c r="I1062" s="56" t="str">
        <f>IFERROR(VLOOKUP($D1062,본공사입.출고현황!$B:$H,I$2080,0),0)</f>
        <v>M</v>
      </c>
      <c r="J1062" s="253">
        <v>1</v>
      </c>
      <c r="K1062" s="253" t="s">
        <v>352</v>
      </c>
      <c r="L1062" s="255">
        <v>25</v>
      </c>
      <c r="M1062" s="256" t="s">
        <v>408</v>
      </c>
      <c r="N1062" s="257"/>
    </row>
    <row r="1063" spans="1:14" ht="24" customHeight="1">
      <c r="A1063" s="8">
        <v>1019</v>
      </c>
      <c r="B1063" s="9">
        <v>1019</v>
      </c>
      <c r="C1063" s="254">
        <v>46043</v>
      </c>
      <c r="D1063" s="253" t="s">
        <v>238</v>
      </c>
      <c r="E1063" s="56" t="str">
        <f>IFERROR(VLOOKUP($D1063,본공사입.출고현황!$B:$H,E$2080,0),0)</f>
        <v>Steel round bar</v>
      </c>
      <c r="F1063" s="18" t="str">
        <f>IFERROR(VLOOKUP($D1063,본공사입.출고현황!$B:$H,F$2080,0),0)</f>
        <v>Steel round bar(rebar)</v>
      </c>
      <c r="G1063" s="18" t="str">
        <f>IFERROR(VLOOKUP($D1063,본공사입.출고현황!$B:$H,G$2080,0),0)</f>
        <v>CCGG</v>
      </c>
      <c r="H1063" s="18" t="str">
        <f>IFERROR(VLOOKUP($D1063,본공사입.출고현황!$B:$H,H$2080,0),0)</f>
        <v>ф10, 1ton=1,620.7m</v>
      </c>
      <c r="I1063" s="56" t="str">
        <f>IFERROR(VLOOKUP($D1063,본공사입.출고현황!$B:$H,I$2080,0),0)</f>
        <v>M</v>
      </c>
      <c r="J1063" s="253">
        <v>2</v>
      </c>
      <c r="K1063" s="253" t="s">
        <v>360</v>
      </c>
      <c r="L1063" s="255">
        <v>50</v>
      </c>
      <c r="M1063" s="256" t="s">
        <v>408</v>
      </c>
      <c r="N1063" s="257"/>
    </row>
    <row r="1064" spans="1:14" ht="24" customHeight="1">
      <c r="A1064" s="8">
        <v>1020</v>
      </c>
      <c r="B1064" s="9">
        <v>1020</v>
      </c>
      <c r="C1064" s="254">
        <v>46044</v>
      </c>
      <c r="D1064" s="253" t="s">
        <v>238</v>
      </c>
      <c r="E1064" s="56" t="str">
        <f>IFERROR(VLOOKUP($D1064,본공사입.출고현황!$B:$H,E$2080,0),0)</f>
        <v>Steel round bar</v>
      </c>
      <c r="F1064" s="18" t="str">
        <f>IFERROR(VLOOKUP($D1064,본공사입.출고현황!$B:$H,F$2080,0),0)</f>
        <v>Steel round bar(rebar)</v>
      </c>
      <c r="G1064" s="18" t="str">
        <f>IFERROR(VLOOKUP($D1064,본공사입.출고현황!$B:$H,G$2080,0),0)</f>
        <v>CCGG</v>
      </c>
      <c r="H1064" s="18" t="str">
        <f>IFERROR(VLOOKUP($D1064,본공사입.출고현황!$B:$H,H$2080,0),0)</f>
        <v>ф10, 1ton=1,620.7m</v>
      </c>
      <c r="I1064" s="56" t="str">
        <f>IFERROR(VLOOKUP($D1064,본공사입.출고현황!$B:$H,I$2080,0),0)</f>
        <v>M</v>
      </c>
      <c r="J1064" s="253">
        <v>3</v>
      </c>
      <c r="K1064" s="253" t="s">
        <v>550</v>
      </c>
      <c r="L1064" s="255">
        <v>15</v>
      </c>
      <c r="M1064" s="256" t="s">
        <v>408</v>
      </c>
      <c r="N1064" s="257"/>
    </row>
    <row r="1065" spans="1:14" ht="24" customHeight="1">
      <c r="A1065" s="8">
        <v>1021</v>
      </c>
      <c r="B1065" s="9">
        <v>1021</v>
      </c>
      <c r="C1065" s="254">
        <v>46044</v>
      </c>
      <c r="D1065" s="253" t="s">
        <v>238</v>
      </c>
      <c r="E1065" s="56" t="str">
        <f>IFERROR(VLOOKUP($D1065,본공사입.출고현황!$B:$H,E$2080,0),0)</f>
        <v>Steel round bar</v>
      </c>
      <c r="F1065" s="18" t="str">
        <f>IFERROR(VLOOKUP($D1065,본공사입.출고현황!$B:$H,F$2080,0),0)</f>
        <v>Steel round bar(rebar)</v>
      </c>
      <c r="G1065" s="18" t="str">
        <f>IFERROR(VLOOKUP($D1065,본공사입.출고현황!$B:$H,G$2080,0),0)</f>
        <v>CCGG</v>
      </c>
      <c r="H1065" s="18" t="str">
        <f>IFERROR(VLOOKUP($D1065,본공사입.출고현황!$B:$H,H$2080,0),0)</f>
        <v>ф10, 1ton=1,620.7m</v>
      </c>
      <c r="I1065" s="56" t="str">
        <f>IFERROR(VLOOKUP($D1065,본공사입.출고현황!$B:$H,I$2080,0),0)</f>
        <v>M</v>
      </c>
      <c r="J1065" s="253">
        <v>1</v>
      </c>
      <c r="K1065" s="253" t="s">
        <v>363</v>
      </c>
      <c r="L1065" s="255">
        <v>40</v>
      </c>
      <c r="M1065" s="256" t="s">
        <v>408</v>
      </c>
      <c r="N1065" s="257"/>
    </row>
    <row r="1066" spans="1:14" ht="24" customHeight="1">
      <c r="A1066" s="8">
        <v>1022</v>
      </c>
      <c r="B1066" s="9">
        <v>1022</v>
      </c>
      <c r="C1066" s="254">
        <v>46044</v>
      </c>
      <c r="D1066" s="253" t="s">
        <v>238</v>
      </c>
      <c r="E1066" s="56" t="str">
        <f>IFERROR(VLOOKUP($D1066,본공사입.출고현황!$B:$H,E$2080,0),0)</f>
        <v>Steel round bar</v>
      </c>
      <c r="F1066" s="18" t="str">
        <f>IFERROR(VLOOKUP($D1066,본공사입.출고현황!$B:$H,F$2080,0),0)</f>
        <v>Steel round bar(rebar)</v>
      </c>
      <c r="G1066" s="18" t="str">
        <f>IFERROR(VLOOKUP($D1066,본공사입.출고현황!$B:$H,G$2080,0),0)</f>
        <v>CCGG</v>
      </c>
      <c r="H1066" s="18" t="str">
        <f>IFERROR(VLOOKUP($D1066,본공사입.출고현황!$B:$H,H$2080,0),0)</f>
        <v>ф10, 1ton=1,620.7m</v>
      </c>
      <c r="I1066" s="56" t="str">
        <f>IFERROR(VLOOKUP($D1066,본공사입.출고현황!$B:$H,I$2080,0),0)</f>
        <v>M</v>
      </c>
      <c r="J1066" s="253">
        <v>1</v>
      </c>
      <c r="K1066" s="253" t="s">
        <v>547</v>
      </c>
      <c r="L1066" s="255">
        <v>20</v>
      </c>
      <c r="M1066" s="256" t="s">
        <v>408</v>
      </c>
      <c r="N1066" s="257"/>
    </row>
    <row r="1067" spans="1:14" ht="24" customHeight="1">
      <c r="A1067" s="8">
        <v>1023</v>
      </c>
      <c r="B1067" s="9">
        <v>1023</v>
      </c>
      <c r="C1067" s="254">
        <v>46044</v>
      </c>
      <c r="D1067" s="253" t="s">
        <v>238</v>
      </c>
      <c r="E1067" s="56" t="str">
        <f>IFERROR(VLOOKUP($D1067,본공사입.출고현황!$B:$H,E$2080,0),0)</f>
        <v>Steel round bar</v>
      </c>
      <c r="F1067" s="18" t="str">
        <f>IFERROR(VLOOKUP($D1067,본공사입.출고현황!$B:$H,F$2080,0),0)</f>
        <v>Steel round bar(rebar)</v>
      </c>
      <c r="G1067" s="18" t="str">
        <f>IFERROR(VLOOKUP($D1067,본공사입.출고현황!$B:$H,G$2080,0),0)</f>
        <v>CCGG</v>
      </c>
      <c r="H1067" s="18" t="str">
        <f>IFERROR(VLOOKUP($D1067,본공사입.출고현황!$B:$H,H$2080,0),0)</f>
        <v>ф10, 1ton=1,620.7m</v>
      </c>
      <c r="I1067" s="56" t="str">
        <f>IFERROR(VLOOKUP($D1067,본공사입.출고현황!$B:$H,I$2080,0),0)</f>
        <v>M</v>
      </c>
      <c r="J1067" s="253">
        <v>1</v>
      </c>
      <c r="K1067" s="253" t="s">
        <v>363</v>
      </c>
      <c r="L1067" s="255">
        <v>20</v>
      </c>
      <c r="M1067" s="256" t="s">
        <v>408</v>
      </c>
      <c r="N1067" s="257"/>
    </row>
    <row r="1068" spans="1:14" ht="24" customHeight="1">
      <c r="A1068" s="8">
        <v>1024</v>
      </c>
      <c r="B1068" s="9">
        <v>1024</v>
      </c>
      <c r="C1068" s="254">
        <v>46044</v>
      </c>
      <c r="D1068" s="253" t="s">
        <v>238</v>
      </c>
      <c r="E1068" s="56" t="str">
        <f>IFERROR(VLOOKUP($D1068,본공사입.출고현황!$B:$H,E$2080,0),0)</f>
        <v>Steel round bar</v>
      </c>
      <c r="F1068" s="18" t="str">
        <f>IFERROR(VLOOKUP($D1068,본공사입.출고현황!$B:$H,F$2080,0),0)</f>
        <v>Steel round bar(rebar)</v>
      </c>
      <c r="G1068" s="18" t="str">
        <f>IFERROR(VLOOKUP($D1068,본공사입.출고현황!$B:$H,G$2080,0),0)</f>
        <v>CCGG</v>
      </c>
      <c r="H1068" s="18" t="str">
        <f>IFERROR(VLOOKUP($D1068,본공사입.출고현황!$B:$H,H$2080,0),0)</f>
        <v>ф10, 1ton=1,620.7m</v>
      </c>
      <c r="I1068" s="56" t="str">
        <f>IFERROR(VLOOKUP($D1068,본공사입.출고현황!$B:$H,I$2080,0),0)</f>
        <v>M</v>
      </c>
      <c r="J1068" s="253">
        <v>3</v>
      </c>
      <c r="K1068" s="253" t="s">
        <v>550</v>
      </c>
      <c r="L1068" s="255">
        <v>20</v>
      </c>
      <c r="M1068" s="256" t="s">
        <v>408</v>
      </c>
      <c r="N1068" s="257"/>
    </row>
    <row r="1069" spans="1:14" ht="24" customHeight="1">
      <c r="A1069" s="8">
        <v>1025</v>
      </c>
      <c r="B1069" s="9">
        <v>1025</v>
      </c>
      <c r="C1069" s="254">
        <v>46044</v>
      </c>
      <c r="D1069" s="253" t="s">
        <v>238</v>
      </c>
      <c r="E1069" s="56" t="str">
        <f>IFERROR(VLOOKUP($D1069,본공사입.출고현황!$B:$H,E$2080,0),0)</f>
        <v>Steel round bar</v>
      </c>
      <c r="F1069" s="18" t="str">
        <f>IFERROR(VLOOKUP($D1069,본공사입.출고현황!$B:$H,F$2080,0),0)</f>
        <v>Steel round bar(rebar)</v>
      </c>
      <c r="G1069" s="18" t="str">
        <f>IFERROR(VLOOKUP($D1069,본공사입.출고현황!$B:$H,G$2080,0),0)</f>
        <v>CCGG</v>
      </c>
      <c r="H1069" s="18" t="str">
        <f>IFERROR(VLOOKUP($D1069,본공사입.출고현황!$B:$H,H$2080,0),0)</f>
        <v>ф10, 1ton=1,620.7m</v>
      </c>
      <c r="I1069" s="56" t="str">
        <f>IFERROR(VLOOKUP($D1069,본공사입.출고현황!$B:$H,I$2080,0),0)</f>
        <v>M</v>
      </c>
      <c r="J1069" s="253">
        <v>2</v>
      </c>
      <c r="K1069" s="253" t="s">
        <v>360</v>
      </c>
      <c r="L1069" s="255">
        <v>25</v>
      </c>
      <c r="M1069" s="256" t="s">
        <v>408</v>
      </c>
      <c r="N1069" s="257"/>
    </row>
    <row r="1070" spans="1:14" ht="24" customHeight="1">
      <c r="A1070" s="8">
        <v>1026</v>
      </c>
      <c r="B1070" s="9">
        <v>1026</v>
      </c>
      <c r="C1070" s="254">
        <v>46044</v>
      </c>
      <c r="D1070" s="253" t="s">
        <v>238</v>
      </c>
      <c r="E1070" s="56" t="str">
        <f>IFERROR(VLOOKUP($D1070,본공사입.출고현황!$B:$H,E$2080,0),0)</f>
        <v>Steel round bar</v>
      </c>
      <c r="F1070" s="18" t="str">
        <f>IFERROR(VLOOKUP($D1070,본공사입.출고현황!$B:$H,F$2080,0),0)</f>
        <v>Steel round bar(rebar)</v>
      </c>
      <c r="G1070" s="18" t="str">
        <f>IFERROR(VLOOKUP($D1070,본공사입.출고현황!$B:$H,G$2080,0),0)</f>
        <v>CCGG</v>
      </c>
      <c r="H1070" s="18" t="str">
        <f>IFERROR(VLOOKUP($D1070,본공사입.출고현황!$B:$H,H$2080,0),0)</f>
        <v>ф10, 1ton=1,620.7m</v>
      </c>
      <c r="I1070" s="56" t="str">
        <f>IFERROR(VLOOKUP($D1070,본공사입.출고현황!$B:$H,I$2080,0),0)</f>
        <v>M</v>
      </c>
      <c r="J1070" s="253">
        <v>1</v>
      </c>
      <c r="K1070" s="253" t="s">
        <v>352</v>
      </c>
      <c r="L1070" s="255">
        <v>25</v>
      </c>
      <c r="M1070" s="256" t="s">
        <v>408</v>
      </c>
      <c r="N1070" s="257"/>
    </row>
    <row r="1071" spans="1:14" ht="24" customHeight="1">
      <c r="A1071" s="8">
        <v>1027</v>
      </c>
      <c r="B1071" s="9">
        <v>1027</v>
      </c>
      <c r="C1071" s="254">
        <v>46044</v>
      </c>
      <c r="D1071" s="253" t="s">
        <v>238</v>
      </c>
      <c r="E1071" s="56" t="str">
        <f>IFERROR(VLOOKUP($D1071,본공사입.출고현황!$B:$H,E$2080,0),0)</f>
        <v>Steel round bar</v>
      </c>
      <c r="F1071" s="18" t="str">
        <f>IFERROR(VLOOKUP($D1071,본공사입.출고현황!$B:$H,F$2080,0),0)</f>
        <v>Steel round bar(rebar)</v>
      </c>
      <c r="G1071" s="18" t="str">
        <f>IFERROR(VLOOKUP($D1071,본공사입.출고현황!$B:$H,G$2080,0),0)</f>
        <v>CCGG</v>
      </c>
      <c r="H1071" s="18" t="str">
        <f>IFERROR(VLOOKUP($D1071,본공사입.출고현황!$B:$H,H$2080,0),0)</f>
        <v>ф10, 1ton=1,620.7m</v>
      </c>
      <c r="I1071" s="56" t="str">
        <f>IFERROR(VLOOKUP($D1071,본공사입.출고현황!$B:$H,I$2080,0),0)</f>
        <v>M</v>
      </c>
      <c r="J1071" s="253">
        <v>1</v>
      </c>
      <c r="K1071" s="253" t="s">
        <v>352</v>
      </c>
      <c r="L1071" s="255">
        <v>25</v>
      </c>
      <c r="M1071" s="256" t="s">
        <v>408</v>
      </c>
      <c r="N1071" s="257"/>
    </row>
    <row r="1072" spans="1:14" ht="24" customHeight="1">
      <c r="A1072" s="8">
        <v>1028</v>
      </c>
      <c r="B1072" s="9">
        <v>1028</v>
      </c>
      <c r="C1072" s="254">
        <v>46044</v>
      </c>
      <c r="D1072" s="253" t="s">
        <v>238</v>
      </c>
      <c r="E1072" s="56" t="str">
        <f>IFERROR(VLOOKUP($D1072,본공사입.출고현황!$B:$H,E$2080,0),0)</f>
        <v>Steel round bar</v>
      </c>
      <c r="F1072" s="18" t="str">
        <f>IFERROR(VLOOKUP($D1072,본공사입.출고현황!$B:$H,F$2080,0),0)</f>
        <v>Steel round bar(rebar)</v>
      </c>
      <c r="G1072" s="18" t="str">
        <f>IFERROR(VLOOKUP($D1072,본공사입.출고현황!$B:$H,G$2080,0),0)</f>
        <v>CCGG</v>
      </c>
      <c r="H1072" s="18" t="str">
        <f>IFERROR(VLOOKUP($D1072,본공사입.출고현황!$B:$H,H$2080,0),0)</f>
        <v>ф10, 1ton=1,620.7m</v>
      </c>
      <c r="I1072" s="56" t="str">
        <f>IFERROR(VLOOKUP($D1072,본공사입.출고현황!$B:$H,I$2080,0),0)</f>
        <v>M</v>
      </c>
      <c r="J1072" s="253">
        <v>1</v>
      </c>
      <c r="K1072" s="253" t="s">
        <v>363</v>
      </c>
      <c r="L1072" s="255">
        <v>25</v>
      </c>
      <c r="M1072" s="256" t="s">
        <v>408</v>
      </c>
      <c r="N1072" s="257"/>
    </row>
    <row r="1073" spans="1:14" ht="24" customHeight="1">
      <c r="A1073" s="8">
        <v>1029</v>
      </c>
      <c r="B1073" s="9">
        <v>1029</v>
      </c>
      <c r="C1073" s="254">
        <v>46044</v>
      </c>
      <c r="D1073" s="253" t="s">
        <v>238</v>
      </c>
      <c r="E1073" s="56" t="str">
        <f>IFERROR(VLOOKUP($D1073,본공사입.출고현황!$B:$H,E$2080,0),0)</f>
        <v>Steel round bar</v>
      </c>
      <c r="F1073" s="18" t="str">
        <f>IFERROR(VLOOKUP($D1073,본공사입.출고현황!$B:$H,F$2080,0),0)</f>
        <v>Steel round bar(rebar)</v>
      </c>
      <c r="G1073" s="18" t="str">
        <f>IFERROR(VLOOKUP($D1073,본공사입.출고현황!$B:$H,G$2080,0),0)</f>
        <v>CCGG</v>
      </c>
      <c r="H1073" s="18" t="str">
        <f>IFERROR(VLOOKUP($D1073,본공사입.출고현황!$B:$H,H$2080,0),0)</f>
        <v>ф10, 1ton=1,620.7m</v>
      </c>
      <c r="I1073" s="56" t="str">
        <f>IFERROR(VLOOKUP($D1073,본공사입.출고현황!$B:$H,I$2080,0),0)</f>
        <v>M</v>
      </c>
      <c r="J1073" s="253">
        <v>2</v>
      </c>
      <c r="K1073" s="253" t="s">
        <v>360</v>
      </c>
      <c r="L1073" s="255">
        <v>25</v>
      </c>
      <c r="M1073" s="256" t="s">
        <v>408</v>
      </c>
      <c r="N1073" s="257"/>
    </row>
    <row r="1074" spans="1:14" ht="24" customHeight="1">
      <c r="A1074" s="8">
        <v>1030</v>
      </c>
      <c r="B1074" s="9">
        <v>1030</v>
      </c>
      <c r="C1074" s="254">
        <v>46044</v>
      </c>
      <c r="D1074" s="253" t="s">
        <v>238</v>
      </c>
      <c r="E1074" s="56" t="str">
        <f>IFERROR(VLOOKUP($D1074,본공사입.출고현황!$B:$H,E$2080,0),0)</f>
        <v>Steel round bar</v>
      </c>
      <c r="F1074" s="18" t="str">
        <f>IFERROR(VLOOKUP($D1074,본공사입.출고현황!$B:$H,F$2080,0),0)</f>
        <v>Steel round bar(rebar)</v>
      </c>
      <c r="G1074" s="18" t="str">
        <f>IFERROR(VLOOKUP($D1074,본공사입.출고현황!$B:$H,G$2080,0),0)</f>
        <v>CCGG</v>
      </c>
      <c r="H1074" s="18" t="str">
        <f>IFERROR(VLOOKUP($D1074,본공사입.출고현황!$B:$H,H$2080,0),0)</f>
        <v>ф10, 1ton=1,620.7m</v>
      </c>
      <c r="I1074" s="56" t="str">
        <f>IFERROR(VLOOKUP($D1074,본공사입.출고현황!$B:$H,I$2080,0),0)</f>
        <v>M</v>
      </c>
      <c r="J1074" s="253">
        <v>3</v>
      </c>
      <c r="K1074" s="253" t="s">
        <v>237</v>
      </c>
      <c r="L1074" s="255">
        <v>25</v>
      </c>
      <c r="M1074" s="256" t="s">
        <v>408</v>
      </c>
      <c r="N1074" s="257"/>
    </row>
    <row r="1075" spans="1:14" ht="24" customHeight="1">
      <c r="A1075" s="8">
        <v>1031</v>
      </c>
      <c r="B1075" s="9">
        <v>1031</v>
      </c>
      <c r="C1075" s="254">
        <v>46044</v>
      </c>
      <c r="D1075" s="253" t="s">
        <v>238</v>
      </c>
      <c r="E1075" s="56" t="str">
        <f>IFERROR(VLOOKUP($D1075,본공사입.출고현황!$B:$H,E$2080,0),0)</f>
        <v>Steel round bar</v>
      </c>
      <c r="F1075" s="18" t="str">
        <f>IFERROR(VLOOKUP($D1075,본공사입.출고현황!$B:$H,F$2080,0),0)</f>
        <v>Steel round bar(rebar)</v>
      </c>
      <c r="G1075" s="18" t="str">
        <f>IFERROR(VLOOKUP($D1075,본공사입.출고현황!$B:$H,G$2080,0),0)</f>
        <v>CCGG</v>
      </c>
      <c r="H1075" s="18" t="str">
        <f>IFERROR(VLOOKUP($D1075,본공사입.출고현황!$B:$H,H$2080,0),0)</f>
        <v>ф10, 1ton=1,620.7m</v>
      </c>
      <c r="I1075" s="56" t="str">
        <f>IFERROR(VLOOKUP($D1075,본공사입.출고현황!$B:$H,I$2080,0),0)</f>
        <v>M</v>
      </c>
      <c r="J1075" s="253">
        <v>1</v>
      </c>
      <c r="K1075" s="253" t="s">
        <v>352</v>
      </c>
      <c r="L1075" s="255">
        <v>25</v>
      </c>
      <c r="M1075" s="256" t="s">
        <v>408</v>
      </c>
      <c r="N1075" s="257"/>
    </row>
    <row r="1076" spans="1:14" ht="24" customHeight="1">
      <c r="A1076" s="8">
        <v>1032</v>
      </c>
      <c r="B1076" s="9">
        <v>1032</v>
      </c>
      <c r="C1076" s="254">
        <v>46045</v>
      </c>
      <c r="D1076" s="253" t="s">
        <v>238</v>
      </c>
      <c r="E1076" s="56" t="str">
        <f>IFERROR(VLOOKUP($D1076,본공사입.출고현황!$B:$H,E$2080,0),0)</f>
        <v>Steel round bar</v>
      </c>
      <c r="F1076" s="18" t="str">
        <f>IFERROR(VLOOKUP($D1076,본공사입.출고현황!$B:$H,F$2080,0),0)</f>
        <v>Steel round bar(rebar)</v>
      </c>
      <c r="G1076" s="18" t="str">
        <f>IFERROR(VLOOKUP($D1076,본공사입.출고현황!$B:$H,G$2080,0),0)</f>
        <v>CCGG</v>
      </c>
      <c r="H1076" s="18" t="str">
        <f>IFERROR(VLOOKUP($D1076,본공사입.출고현황!$B:$H,H$2080,0),0)</f>
        <v>ф10, 1ton=1,620.7m</v>
      </c>
      <c r="I1076" s="56" t="str">
        <f>IFERROR(VLOOKUP($D1076,본공사입.출고현황!$B:$H,I$2080,0),0)</f>
        <v>M</v>
      </c>
      <c r="J1076" s="253">
        <v>1</v>
      </c>
      <c r="K1076" s="253" t="s">
        <v>547</v>
      </c>
      <c r="L1076" s="255">
        <v>20</v>
      </c>
      <c r="M1076" s="256" t="s">
        <v>408</v>
      </c>
      <c r="N1076" s="257"/>
    </row>
    <row r="1077" spans="1:14" ht="24" customHeight="1">
      <c r="A1077" s="8">
        <v>1033</v>
      </c>
      <c r="B1077" s="9">
        <v>1033</v>
      </c>
      <c r="C1077" s="254">
        <v>46045</v>
      </c>
      <c r="D1077" s="253" t="s">
        <v>238</v>
      </c>
      <c r="E1077" s="56" t="str">
        <f>IFERROR(VLOOKUP($D1077,본공사입.출고현황!$B:$H,E$2080,0),0)</f>
        <v>Steel round bar</v>
      </c>
      <c r="F1077" s="18" t="str">
        <f>IFERROR(VLOOKUP($D1077,본공사입.출고현황!$B:$H,F$2080,0),0)</f>
        <v>Steel round bar(rebar)</v>
      </c>
      <c r="G1077" s="18" t="str">
        <f>IFERROR(VLOOKUP($D1077,본공사입.출고현황!$B:$H,G$2080,0),0)</f>
        <v>CCGG</v>
      </c>
      <c r="H1077" s="18" t="str">
        <f>IFERROR(VLOOKUP($D1077,본공사입.출고현황!$B:$H,H$2080,0),0)</f>
        <v>ф10, 1ton=1,620.7m</v>
      </c>
      <c r="I1077" s="56" t="str">
        <f>IFERROR(VLOOKUP($D1077,본공사입.출고현황!$B:$H,I$2080,0),0)</f>
        <v>M</v>
      </c>
      <c r="J1077" s="253">
        <v>2</v>
      </c>
      <c r="K1077" s="253" t="s">
        <v>360</v>
      </c>
      <c r="L1077" s="255">
        <v>25</v>
      </c>
      <c r="M1077" s="256" t="s">
        <v>408</v>
      </c>
      <c r="N1077" s="257"/>
    </row>
    <row r="1078" spans="1:14" ht="24" customHeight="1">
      <c r="A1078" s="8">
        <v>1034</v>
      </c>
      <c r="B1078" s="9">
        <v>1034</v>
      </c>
      <c r="C1078" s="254">
        <v>46045</v>
      </c>
      <c r="D1078" s="253" t="s">
        <v>238</v>
      </c>
      <c r="E1078" s="56" t="str">
        <f>IFERROR(VLOOKUP($D1078,본공사입.출고현황!$B:$H,E$2080,0),0)</f>
        <v>Steel round bar</v>
      </c>
      <c r="F1078" s="18" t="str">
        <f>IFERROR(VLOOKUP($D1078,본공사입.출고현황!$B:$H,F$2080,0),0)</f>
        <v>Steel round bar(rebar)</v>
      </c>
      <c r="G1078" s="18" t="str">
        <f>IFERROR(VLOOKUP($D1078,본공사입.출고현황!$B:$H,G$2080,0),0)</f>
        <v>CCGG</v>
      </c>
      <c r="H1078" s="18" t="str">
        <f>IFERROR(VLOOKUP($D1078,본공사입.출고현황!$B:$H,H$2080,0),0)</f>
        <v>ф10, 1ton=1,620.7m</v>
      </c>
      <c r="I1078" s="56" t="str">
        <f>IFERROR(VLOOKUP($D1078,본공사입.출고현황!$B:$H,I$2080,0),0)</f>
        <v>M</v>
      </c>
      <c r="J1078" s="253">
        <v>4</v>
      </c>
      <c r="K1078" s="253" t="s">
        <v>359</v>
      </c>
      <c r="L1078" s="255">
        <v>20</v>
      </c>
      <c r="M1078" s="256" t="s">
        <v>408</v>
      </c>
      <c r="N1078" s="257"/>
    </row>
    <row r="1079" spans="1:14" ht="24" customHeight="1">
      <c r="A1079" s="8">
        <v>1035</v>
      </c>
      <c r="B1079" s="9">
        <v>1035</v>
      </c>
      <c r="C1079" s="254">
        <v>46045</v>
      </c>
      <c r="D1079" s="253" t="s">
        <v>238</v>
      </c>
      <c r="E1079" s="56" t="str">
        <f>IFERROR(VLOOKUP($D1079,본공사입.출고현황!$B:$H,E$2080,0),0)</f>
        <v>Steel round bar</v>
      </c>
      <c r="F1079" s="18" t="str">
        <f>IFERROR(VLOOKUP($D1079,본공사입.출고현황!$B:$H,F$2080,0),0)</f>
        <v>Steel round bar(rebar)</v>
      </c>
      <c r="G1079" s="18" t="str">
        <f>IFERROR(VLOOKUP($D1079,본공사입.출고현황!$B:$H,G$2080,0),0)</f>
        <v>CCGG</v>
      </c>
      <c r="H1079" s="18" t="str">
        <f>IFERROR(VLOOKUP($D1079,본공사입.출고현황!$B:$H,H$2080,0),0)</f>
        <v>ф10, 1ton=1,620.7m</v>
      </c>
      <c r="I1079" s="56" t="str">
        <f>IFERROR(VLOOKUP($D1079,본공사입.출고현황!$B:$H,I$2080,0),0)</f>
        <v>M</v>
      </c>
      <c r="J1079" s="253">
        <v>2</v>
      </c>
      <c r="K1079" s="253" t="s">
        <v>546</v>
      </c>
      <c r="L1079" s="255">
        <v>25</v>
      </c>
      <c r="M1079" s="256" t="s">
        <v>408</v>
      </c>
      <c r="N1079" s="257"/>
    </row>
    <row r="1080" spans="1:14" ht="24" customHeight="1">
      <c r="A1080" s="8">
        <v>1036</v>
      </c>
      <c r="B1080" s="9">
        <v>1036</v>
      </c>
      <c r="C1080" s="254">
        <v>46045</v>
      </c>
      <c r="D1080" s="253" t="s">
        <v>238</v>
      </c>
      <c r="E1080" s="56" t="str">
        <f>IFERROR(VLOOKUP($D1080,본공사입.출고현황!$B:$H,E$2080,0),0)</f>
        <v>Steel round bar</v>
      </c>
      <c r="F1080" s="18" t="str">
        <f>IFERROR(VLOOKUP($D1080,본공사입.출고현황!$B:$H,F$2080,0),0)</f>
        <v>Steel round bar(rebar)</v>
      </c>
      <c r="G1080" s="18" t="str">
        <f>IFERROR(VLOOKUP($D1080,본공사입.출고현황!$B:$H,G$2080,0),0)</f>
        <v>CCGG</v>
      </c>
      <c r="H1080" s="18" t="str">
        <f>IFERROR(VLOOKUP($D1080,본공사입.출고현황!$B:$H,H$2080,0),0)</f>
        <v>ф10, 1ton=1,620.7m</v>
      </c>
      <c r="I1080" s="56" t="str">
        <f>IFERROR(VLOOKUP($D1080,본공사입.출고현황!$B:$H,I$2080,0),0)</f>
        <v>M</v>
      </c>
      <c r="J1080" s="253">
        <v>1</v>
      </c>
      <c r="K1080" s="253" t="s">
        <v>545</v>
      </c>
      <c r="L1080" s="255">
        <v>15</v>
      </c>
      <c r="M1080" s="256" t="s">
        <v>408</v>
      </c>
      <c r="N1080" s="257"/>
    </row>
    <row r="1081" spans="1:14" ht="24" customHeight="1">
      <c r="A1081" s="8">
        <v>1037</v>
      </c>
      <c r="B1081" s="9">
        <v>1037</v>
      </c>
      <c r="C1081" s="254">
        <v>46045</v>
      </c>
      <c r="D1081" s="253" t="s">
        <v>238</v>
      </c>
      <c r="E1081" s="56" t="str">
        <f>IFERROR(VLOOKUP($D1081,본공사입.출고현황!$B:$H,E$2080,0),0)</f>
        <v>Steel round bar</v>
      </c>
      <c r="F1081" s="18" t="str">
        <f>IFERROR(VLOOKUP($D1081,본공사입.출고현황!$B:$H,F$2080,0),0)</f>
        <v>Steel round bar(rebar)</v>
      </c>
      <c r="G1081" s="18" t="str">
        <f>IFERROR(VLOOKUP($D1081,본공사입.출고현황!$B:$H,G$2080,0),0)</f>
        <v>CCGG</v>
      </c>
      <c r="H1081" s="18" t="str">
        <f>IFERROR(VLOOKUP($D1081,본공사입.출고현황!$B:$H,H$2080,0),0)</f>
        <v>ф10, 1ton=1,620.7m</v>
      </c>
      <c r="I1081" s="56" t="str">
        <f>IFERROR(VLOOKUP($D1081,본공사입.출고현황!$B:$H,I$2080,0),0)</f>
        <v>M</v>
      </c>
      <c r="J1081" s="253">
        <v>2</v>
      </c>
      <c r="K1081" s="253" t="s">
        <v>241</v>
      </c>
      <c r="L1081" s="255">
        <v>50</v>
      </c>
      <c r="M1081" s="256" t="s">
        <v>408</v>
      </c>
      <c r="N1081" s="257"/>
    </row>
    <row r="1082" spans="1:14" ht="24" customHeight="1">
      <c r="A1082" s="8">
        <v>1038</v>
      </c>
      <c r="B1082" s="9">
        <v>1038</v>
      </c>
      <c r="C1082" s="254">
        <v>46046</v>
      </c>
      <c r="D1082" s="253" t="s">
        <v>238</v>
      </c>
      <c r="E1082" s="56" t="str">
        <f>IFERROR(VLOOKUP($D1082,본공사입.출고현황!$B:$H,E$2080,0),0)</f>
        <v>Steel round bar</v>
      </c>
      <c r="F1082" s="18" t="str">
        <f>IFERROR(VLOOKUP($D1082,본공사입.출고현황!$B:$H,F$2080,0),0)</f>
        <v>Steel round bar(rebar)</v>
      </c>
      <c r="G1082" s="18" t="str">
        <f>IFERROR(VLOOKUP($D1082,본공사입.출고현황!$B:$H,G$2080,0),0)</f>
        <v>CCGG</v>
      </c>
      <c r="H1082" s="18" t="str">
        <f>IFERROR(VLOOKUP($D1082,본공사입.출고현황!$B:$H,H$2080,0),0)</f>
        <v>ф10, 1ton=1,620.7m</v>
      </c>
      <c r="I1082" s="56" t="str">
        <f>IFERROR(VLOOKUP($D1082,본공사입.출고현황!$B:$H,I$2080,0),0)</f>
        <v>M</v>
      </c>
      <c r="J1082" s="253">
        <v>2</v>
      </c>
      <c r="K1082" s="253" t="s">
        <v>360</v>
      </c>
      <c r="L1082" s="255">
        <v>30</v>
      </c>
      <c r="M1082" s="256" t="s">
        <v>408</v>
      </c>
      <c r="N1082" s="257"/>
    </row>
    <row r="1083" spans="1:14" ht="24" customHeight="1">
      <c r="A1083" s="8">
        <v>1039</v>
      </c>
      <c r="B1083" s="9">
        <v>1039</v>
      </c>
      <c r="C1083" s="254">
        <v>46046</v>
      </c>
      <c r="D1083" s="253" t="s">
        <v>238</v>
      </c>
      <c r="E1083" s="56" t="str">
        <f>IFERROR(VLOOKUP($D1083,본공사입.출고현황!$B:$H,E$2080,0),0)</f>
        <v>Steel round bar</v>
      </c>
      <c r="F1083" s="18" t="str">
        <f>IFERROR(VLOOKUP($D1083,본공사입.출고현황!$B:$H,F$2080,0),0)</f>
        <v>Steel round bar(rebar)</v>
      </c>
      <c r="G1083" s="18" t="str">
        <f>IFERROR(VLOOKUP($D1083,본공사입.출고현황!$B:$H,G$2080,0),0)</f>
        <v>CCGG</v>
      </c>
      <c r="H1083" s="18" t="str">
        <f>IFERROR(VLOOKUP($D1083,본공사입.출고현황!$B:$H,H$2080,0),0)</f>
        <v>ф10, 1ton=1,620.7m</v>
      </c>
      <c r="I1083" s="56" t="str">
        <f>IFERROR(VLOOKUP($D1083,본공사입.출고현황!$B:$H,I$2080,0),0)</f>
        <v>M</v>
      </c>
      <c r="J1083" s="253">
        <v>1</v>
      </c>
      <c r="K1083" s="253" t="s">
        <v>363</v>
      </c>
      <c r="L1083" s="255">
        <v>65</v>
      </c>
      <c r="M1083" s="256" t="s">
        <v>408</v>
      </c>
      <c r="N1083" s="257"/>
    </row>
    <row r="1084" spans="1:14" ht="24" customHeight="1">
      <c r="A1084" s="8">
        <v>1040</v>
      </c>
      <c r="B1084" s="9">
        <v>1040</v>
      </c>
      <c r="C1084" s="254">
        <v>46046</v>
      </c>
      <c r="D1084" s="253" t="s">
        <v>238</v>
      </c>
      <c r="E1084" s="56" t="str">
        <f>IFERROR(VLOOKUP($D1084,본공사입.출고현황!$B:$H,E$2080,0),0)</f>
        <v>Steel round bar</v>
      </c>
      <c r="F1084" s="18" t="str">
        <f>IFERROR(VLOOKUP($D1084,본공사입.출고현황!$B:$H,F$2080,0),0)</f>
        <v>Steel round bar(rebar)</v>
      </c>
      <c r="G1084" s="18" t="str">
        <f>IFERROR(VLOOKUP($D1084,본공사입.출고현황!$B:$H,G$2080,0),0)</f>
        <v>CCGG</v>
      </c>
      <c r="H1084" s="18" t="str">
        <f>IFERROR(VLOOKUP($D1084,본공사입.출고현황!$B:$H,H$2080,0),0)</f>
        <v>ф10, 1ton=1,620.7m</v>
      </c>
      <c r="I1084" s="56" t="str">
        <f>IFERROR(VLOOKUP($D1084,본공사입.출고현황!$B:$H,I$2080,0),0)</f>
        <v>M</v>
      </c>
      <c r="J1084" s="253">
        <v>1</v>
      </c>
      <c r="K1084" s="253" t="s">
        <v>363</v>
      </c>
      <c r="L1084" s="255">
        <v>20</v>
      </c>
      <c r="M1084" s="256" t="s">
        <v>408</v>
      </c>
      <c r="N1084" s="257"/>
    </row>
    <row r="1085" spans="1:14" ht="24" customHeight="1">
      <c r="A1085" s="8">
        <v>1041</v>
      </c>
      <c r="B1085" s="9">
        <v>1041</v>
      </c>
      <c r="C1085" s="254">
        <v>46046</v>
      </c>
      <c r="D1085" s="253" t="s">
        <v>238</v>
      </c>
      <c r="E1085" s="56" t="str">
        <f>IFERROR(VLOOKUP($D1085,본공사입.출고현황!$B:$H,E$2080,0),0)</f>
        <v>Steel round bar</v>
      </c>
      <c r="F1085" s="18" t="str">
        <f>IFERROR(VLOOKUP($D1085,본공사입.출고현황!$B:$H,F$2080,0),0)</f>
        <v>Steel round bar(rebar)</v>
      </c>
      <c r="G1085" s="18" t="str">
        <f>IFERROR(VLOOKUP($D1085,본공사입.출고현황!$B:$H,G$2080,0),0)</f>
        <v>CCGG</v>
      </c>
      <c r="H1085" s="18" t="str">
        <f>IFERROR(VLOOKUP($D1085,본공사입.출고현황!$B:$H,H$2080,0),0)</f>
        <v>ф10, 1ton=1,620.7m</v>
      </c>
      <c r="I1085" s="56" t="str">
        <f>IFERROR(VLOOKUP($D1085,본공사입.출고현황!$B:$H,I$2080,0),0)</f>
        <v>M</v>
      </c>
      <c r="J1085" s="253">
        <v>2</v>
      </c>
      <c r="K1085" s="253" t="s">
        <v>360</v>
      </c>
      <c r="L1085" s="255">
        <v>50</v>
      </c>
      <c r="M1085" s="256" t="s">
        <v>408</v>
      </c>
      <c r="N1085" s="257"/>
    </row>
    <row r="1086" spans="1:14" ht="24" customHeight="1">
      <c r="A1086" s="8">
        <v>1042</v>
      </c>
      <c r="B1086" s="9">
        <v>1042</v>
      </c>
      <c r="C1086" s="254">
        <v>46046</v>
      </c>
      <c r="D1086" s="253" t="s">
        <v>238</v>
      </c>
      <c r="E1086" s="56" t="str">
        <f>IFERROR(VLOOKUP($D1086,본공사입.출고현황!$B:$H,E$2080,0),0)</f>
        <v>Steel round bar</v>
      </c>
      <c r="F1086" s="18" t="str">
        <f>IFERROR(VLOOKUP($D1086,본공사입.출고현황!$B:$H,F$2080,0),0)</f>
        <v>Steel round bar(rebar)</v>
      </c>
      <c r="G1086" s="18" t="str">
        <f>IFERROR(VLOOKUP($D1086,본공사입.출고현황!$B:$H,G$2080,0),0)</f>
        <v>CCGG</v>
      </c>
      <c r="H1086" s="18" t="str">
        <f>IFERROR(VLOOKUP($D1086,본공사입.출고현황!$B:$H,H$2080,0),0)</f>
        <v>ф10, 1ton=1,620.7m</v>
      </c>
      <c r="I1086" s="56" t="str">
        <f>IFERROR(VLOOKUP($D1086,본공사입.출고현황!$B:$H,I$2080,0),0)</f>
        <v>M</v>
      </c>
      <c r="J1086" s="253">
        <v>3</v>
      </c>
      <c r="K1086" s="253" t="s">
        <v>550</v>
      </c>
      <c r="L1086" s="255">
        <v>15</v>
      </c>
      <c r="M1086" s="256" t="s">
        <v>408</v>
      </c>
      <c r="N1086" s="257"/>
    </row>
    <row r="1087" spans="1:14" ht="24" customHeight="1">
      <c r="A1087" s="8">
        <v>1043</v>
      </c>
      <c r="B1087" s="9">
        <v>1043</v>
      </c>
      <c r="C1087" s="254">
        <v>46046</v>
      </c>
      <c r="D1087" s="253" t="s">
        <v>238</v>
      </c>
      <c r="E1087" s="56" t="str">
        <f>IFERROR(VLOOKUP($D1087,본공사입.출고현황!$B:$H,E$2080,0),0)</f>
        <v>Steel round bar</v>
      </c>
      <c r="F1087" s="18" t="str">
        <f>IFERROR(VLOOKUP($D1087,본공사입.출고현황!$B:$H,F$2080,0),0)</f>
        <v>Steel round bar(rebar)</v>
      </c>
      <c r="G1087" s="18" t="str">
        <f>IFERROR(VLOOKUP($D1087,본공사입.출고현황!$B:$H,G$2080,0),0)</f>
        <v>CCGG</v>
      </c>
      <c r="H1087" s="18" t="str">
        <f>IFERROR(VLOOKUP($D1087,본공사입.출고현황!$B:$H,H$2080,0),0)</f>
        <v>ф10, 1ton=1,620.7m</v>
      </c>
      <c r="I1087" s="56" t="str">
        <f>IFERROR(VLOOKUP($D1087,본공사입.출고현황!$B:$H,I$2080,0),0)</f>
        <v>M</v>
      </c>
      <c r="J1087" s="253">
        <v>1</v>
      </c>
      <c r="K1087" s="253" t="s">
        <v>363</v>
      </c>
      <c r="L1087" s="255">
        <v>40</v>
      </c>
      <c r="M1087" s="256" t="s">
        <v>408</v>
      </c>
      <c r="N1087" s="257"/>
    </row>
    <row r="1088" spans="1:14" ht="24" customHeight="1">
      <c r="A1088" s="8">
        <v>1044</v>
      </c>
      <c r="B1088" s="9">
        <v>1044</v>
      </c>
      <c r="C1088" s="254">
        <v>46046</v>
      </c>
      <c r="D1088" s="253" t="s">
        <v>238</v>
      </c>
      <c r="E1088" s="56" t="str">
        <f>IFERROR(VLOOKUP($D1088,본공사입.출고현황!$B:$H,E$2080,0),0)</f>
        <v>Steel round bar</v>
      </c>
      <c r="F1088" s="18" t="str">
        <f>IFERROR(VLOOKUP($D1088,본공사입.출고현황!$B:$H,F$2080,0),0)</f>
        <v>Steel round bar(rebar)</v>
      </c>
      <c r="G1088" s="18" t="str">
        <f>IFERROR(VLOOKUP($D1088,본공사입.출고현황!$B:$H,G$2080,0),0)</f>
        <v>CCGG</v>
      </c>
      <c r="H1088" s="18" t="str">
        <f>IFERROR(VLOOKUP($D1088,본공사입.출고현황!$B:$H,H$2080,0),0)</f>
        <v>ф10, 1ton=1,620.7m</v>
      </c>
      <c r="I1088" s="56" t="str">
        <f>IFERROR(VLOOKUP($D1088,본공사입.출고현황!$B:$H,I$2080,0),0)</f>
        <v>M</v>
      </c>
      <c r="J1088" s="253">
        <v>1</v>
      </c>
      <c r="K1088" s="253" t="s">
        <v>547</v>
      </c>
      <c r="L1088" s="255">
        <v>20</v>
      </c>
      <c r="M1088" s="256" t="s">
        <v>408</v>
      </c>
      <c r="N1088" s="257"/>
    </row>
    <row r="1089" spans="1:14" ht="24" customHeight="1">
      <c r="A1089" s="8">
        <v>1045</v>
      </c>
      <c r="B1089" s="9">
        <v>1045</v>
      </c>
      <c r="C1089" s="254">
        <v>46047</v>
      </c>
      <c r="D1089" s="253" t="s">
        <v>238</v>
      </c>
      <c r="E1089" s="56" t="str">
        <f>IFERROR(VLOOKUP($D1089,본공사입.출고현황!$B:$H,E$2080,0),0)</f>
        <v>Steel round bar</v>
      </c>
      <c r="F1089" s="18" t="str">
        <f>IFERROR(VLOOKUP($D1089,본공사입.출고현황!$B:$H,F$2080,0),0)</f>
        <v>Steel round bar(rebar)</v>
      </c>
      <c r="G1089" s="18" t="str">
        <f>IFERROR(VLOOKUP($D1089,본공사입.출고현황!$B:$H,G$2080,0),0)</f>
        <v>CCGG</v>
      </c>
      <c r="H1089" s="18" t="str">
        <f>IFERROR(VLOOKUP($D1089,본공사입.출고현황!$B:$H,H$2080,0),0)</f>
        <v>ф10, 1ton=1,620.7m</v>
      </c>
      <c r="I1089" s="56" t="str">
        <f>IFERROR(VLOOKUP($D1089,본공사입.출고현황!$B:$H,I$2080,0),0)</f>
        <v>M</v>
      </c>
      <c r="J1089" s="253">
        <v>1</v>
      </c>
      <c r="K1089" s="253" t="s">
        <v>363</v>
      </c>
      <c r="L1089" s="255">
        <v>20</v>
      </c>
      <c r="M1089" s="256" t="s">
        <v>408</v>
      </c>
      <c r="N1089" s="257"/>
    </row>
    <row r="1090" spans="1:14" ht="24" customHeight="1">
      <c r="A1090" s="8">
        <v>1046</v>
      </c>
      <c r="B1090" s="9">
        <v>1046</v>
      </c>
      <c r="C1090" s="254">
        <v>46047</v>
      </c>
      <c r="D1090" s="253" t="s">
        <v>238</v>
      </c>
      <c r="E1090" s="56" t="str">
        <f>IFERROR(VLOOKUP($D1090,본공사입.출고현황!$B:$H,E$2080,0),0)</f>
        <v>Steel round bar</v>
      </c>
      <c r="F1090" s="18" t="str">
        <f>IFERROR(VLOOKUP($D1090,본공사입.출고현황!$B:$H,F$2080,0),0)</f>
        <v>Steel round bar(rebar)</v>
      </c>
      <c r="G1090" s="18" t="str">
        <f>IFERROR(VLOOKUP($D1090,본공사입.출고현황!$B:$H,G$2080,0),0)</f>
        <v>CCGG</v>
      </c>
      <c r="H1090" s="18" t="str">
        <f>IFERROR(VLOOKUP($D1090,본공사입.출고현황!$B:$H,H$2080,0),0)</f>
        <v>ф10, 1ton=1,620.7m</v>
      </c>
      <c r="I1090" s="56" t="str">
        <f>IFERROR(VLOOKUP($D1090,본공사입.출고현황!$B:$H,I$2080,0),0)</f>
        <v>M</v>
      </c>
      <c r="J1090" s="253">
        <v>3</v>
      </c>
      <c r="K1090" s="253" t="s">
        <v>550</v>
      </c>
      <c r="L1090" s="255">
        <v>20</v>
      </c>
      <c r="M1090" s="256" t="s">
        <v>408</v>
      </c>
      <c r="N1090" s="257"/>
    </row>
    <row r="1091" spans="1:14" ht="24" customHeight="1">
      <c r="A1091" s="8">
        <v>1047</v>
      </c>
      <c r="B1091" s="9">
        <v>1047</v>
      </c>
      <c r="C1091" s="254">
        <v>46047</v>
      </c>
      <c r="D1091" s="253" t="s">
        <v>238</v>
      </c>
      <c r="E1091" s="56" t="str">
        <f>IFERROR(VLOOKUP($D1091,본공사입.출고현황!$B:$H,E$2080,0),0)</f>
        <v>Steel round bar</v>
      </c>
      <c r="F1091" s="18" t="str">
        <f>IFERROR(VLOOKUP($D1091,본공사입.출고현황!$B:$H,F$2080,0),0)</f>
        <v>Steel round bar(rebar)</v>
      </c>
      <c r="G1091" s="18" t="str">
        <f>IFERROR(VLOOKUP($D1091,본공사입.출고현황!$B:$H,G$2080,0),0)</f>
        <v>CCGG</v>
      </c>
      <c r="H1091" s="18" t="str">
        <f>IFERROR(VLOOKUP($D1091,본공사입.출고현황!$B:$H,H$2080,0),0)</f>
        <v>ф10, 1ton=1,620.7m</v>
      </c>
      <c r="I1091" s="56" t="str">
        <f>IFERROR(VLOOKUP($D1091,본공사입.출고현황!$B:$H,I$2080,0),0)</f>
        <v>M</v>
      </c>
      <c r="J1091" s="253">
        <v>2</v>
      </c>
      <c r="K1091" s="253" t="s">
        <v>360</v>
      </c>
      <c r="L1091" s="255">
        <v>25</v>
      </c>
      <c r="M1091" s="256" t="s">
        <v>408</v>
      </c>
      <c r="N1091" s="257"/>
    </row>
    <row r="1092" spans="1:14" ht="24" customHeight="1">
      <c r="A1092" s="8">
        <v>1048</v>
      </c>
      <c r="B1092" s="9">
        <v>1048</v>
      </c>
      <c r="C1092" s="254">
        <v>46047</v>
      </c>
      <c r="D1092" s="253" t="s">
        <v>238</v>
      </c>
      <c r="E1092" s="56" t="str">
        <f>IFERROR(VLOOKUP($D1092,본공사입.출고현황!$B:$H,E$2080,0),0)</f>
        <v>Steel round bar</v>
      </c>
      <c r="F1092" s="18" t="str">
        <f>IFERROR(VLOOKUP($D1092,본공사입.출고현황!$B:$H,F$2080,0),0)</f>
        <v>Steel round bar(rebar)</v>
      </c>
      <c r="G1092" s="18" t="str">
        <f>IFERROR(VLOOKUP($D1092,본공사입.출고현황!$B:$H,G$2080,0),0)</f>
        <v>CCGG</v>
      </c>
      <c r="H1092" s="18" t="str">
        <f>IFERROR(VLOOKUP($D1092,본공사입.출고현황!$B:$H,H$2080,0),0)</f>
        <v>ф10, 1ton=1,620.7m</v>
      </c>
      <c r="I1092" s="56" t="str">
        <f>IFERROR(VLOOKUP($D1092,본공사입.출고현황!$B:$H,I$2080,0),0)</f>
        <v>M</v>
      </c>
      <c r="J1092" s="253">
        <v>1</v>
      </c>
      <c r="K1092" s="253" t="s">
        <v>352</v>
      </c>
      <c r="L1092" s="255">
        <v>25</v>
      </c>
      <c r="M1092" s="256" t="s">
        <v>408</v>
      </c>
      <c r="N1092" s="257"/>
    </row>
    <row r="1093" spans="1:14" ht="24" customHeight="1">
      <c r="A1093" s="8">
        <v>1049</v>
      </c>
      <c r="B1093" s="9">
        <v>1049</v>
      </c>
      <c r="C1093" s="254">
        <v>46047</v>
      </c>
      <c r="D1093" s="253" t="s">
        <v>238</v>
      </c>
      <c r="E1093" s="56" t="str">
        <f>IFERROR(VLOOKUP($D1093,본공사입.출고현황!$B:$H,E$2080,0),0)</f>
        <v>Steel round bar</v>
      </c>
      <c r="F1093" s="18" t="str">
        <f>IFERROR(VLOOKUP($D1093,본공사입.출고현황!$B:$H,F$2080,0),0)</f>
        <v>Steel round bar(rebar)</v>
      </c>
      <c r="G1093" s="18" t="str">
        <f>IFERROR(VLOOKUP($D1093,본공사입.출고현황!$B:$H,G$2080,0),0)</f>
        <v>CCGG</v>
      </c>
      <c r="H1093" s="18" t="str">
        <f>IFERROR(VLOOKUP($D1093,본공사입.출고현황!$B:$H,H$2080,0),0)</f>
        <v>ф10, 1ton=1,620.7m</v>
      </c>
      <c r="I1093" s="56" t="str">
        <f>IFERROR(VLOOKUP($D1093,본공사입.출고현황!$B:$H,I$2080,0),0)</f>
        <v>M</v>
      </c>
      <c r="J1093" s="253">
        <v>2</v>
      </c>
      <c r="K1093" s="253" t="s">
        <v>546</v>
      </c>
      <c r="L1093" s="255">
        <v>25</v>
      </c>
      <c r="M1093" s="256" t="s">
        <v>408</v>
      </c>
      <c r="N1093" s="257"/>
    </row>
    <row r="1094" spans="1:14" ht="24" customHeight="1">
      <c r="A1094" s="8">
        <v>1050</v>
      </c>
      <c r="B1094" s="9">
        <v>1050</v>
      </c>
      <c r="C1094" s="254">
        <v>46047</v>
      </c>
      <c r="D1094" s="253" t="s">
        <v>238</v>
      </c>
      <c r="E1094" s="56" t="str">
        <f>IFERROR(VLOOKUP($D1094,본공사입.출고현황!$B:$H,E$2080,0),0)</f>
        <v>Steel round bar</v>
      </c>
      <c r="F1094" s="18" t="str">
        <f>IFERROR(VLOOKUP($D1094,본공사입.출고현황!$B:$H,F$2080,0),0)</f>
        <v>Steel round bar(rebar)</v>
      </c>
      <c r="G1094" s="18" t="str">
        <f>IFERROR(VLOOKUP($D1094,본공사입.출고현황!$B:$H,G$2080,0),0)</f>
        <v>CCGG</v>
      </c>
      <c r="H1094" s="18" t="str">
        <f>IFERROR(VLOOKUP($D1094,본공사입.출고현황!$B:$H,H$2080,0),0)</f>
        <v>ф10, 1ton=1,620.7m</v>
      </c>
      <c r="I1094" s="56" t="str">
        <f>IFERROR(VLOOKUP($D1094,본공사입.출고현황!$B:$H,I$2080,0),0)</f>
        <v>M</v>
      </c>
      <c r="J1094" s="253">
        <v>4</v>
      </c>
      <c r="K1094" s="253" t="s">
        <v>359</v>
      </c>
      <c r="L1094" s="255">
        <v>25</v>
      </c>
      <c r="M1094" s="256" t="s">
        <v>408</v>
      </c>
      <c r="N1094" s="257"/>
    </row>
    <row r="1095" spans="1:14" ht="24" customHeight="1">
      <c r="A1095" s="8">
        <v>1051</v>
      </c>
      <c r="B1095" s="9">
        <v>1051</v>
      </c>
      <c r="C1095" s="254">
        <v>46048</v>
      </c>
      <c r="D1095" s="253" t="s">
        <v>238</v>
      </c>
      <c r="E1095" s="56" t="str">
        <f>IFERROR(VLOOKUP($D1095,본공사입.출고현황!$B:$H,E$2080,0),0)</f>
        <v>Steel round bar</v>
      </c>
      <c r="F1095" s="18" t="str">
        <f>IFERROR(VLOOKUP($D1095,본공사입.출고현황!$B:$H,F$2080,0),0)</f>
        <v>Steel round bar(rebar)</v>
      </c>
      <c r="G1095" s="18" t="str">
        <f>IFERROR(VLOOKUP($D1095,본공사입.출고현황!$B:$H,G$2080,0),0)</f>
        <v>CCGG</v>
      </c>
      <c r="H1095" s="18" t="str">
        <f>IFERROR(VLOOKUP($D1095,본공사입.출고현황!$B:$H,H$2080,0),0)</f>
        <v>ф10, 1ton=1,620.7m</v>
      </c>
      <c r="I1095" s="56" t="str">
        <f>IFERROR(VLOOKUP($D1095,본공사입.출고현황!$B:$H,I$2080,0),0)</f>
        <v>M</v>
      </c>
      <c r="J1095" s="253">
        <v>2</v>
      </c>
      <c r="K1095" s="253" t="s">
        <v>360</v>
      </c>
      <c r="L1095" s="255">
        <v>25</v>
      </c>
      <c r="M1095" s="256" t="s">
        <v>408</v>
      </c>
      <c r="N1095" s="257"/>
    </row>
    <row r="1096" spans="1:14" ht="24" customHeight="1">
      <c r="A1096" s="8">
        <v>1052</v>
      </c>
      <c r="B1096" s="9">
        <v>1052</v>
      </c>
      <c r="C1096" s="254">
        <v>46048</v>
      </c>
      <c r="D1096" s="253" t="s">
        <v>238</v>
      </c>
      <c r="E1096" s="56" t="str">
        <f>IFERROR(VLOOKUP($D1096,본공사입.출고현황!$B:$H,E$2080,0),0)</f>
        <v>Steel round bar</v>
      </c>
      <c r="F1096" s="18" t="str">
        <f>IFERROR(VLOOKUP($D1096,본공사입.출고현황!$B:$H,F$2080,0),0)</f>
        <v>Steel round bar(rebar)</v>
      </c>
      <c r="G1096" s="18" t="str">
        <f>IFERROR(VLOOKUP($D1096,본공사입.출고현황!$B:$H,G$2080,0),0)</f>
        <v>CCGG</v>
      </c>
      <c r="H1096" s="18" t="str">
        <f>IFERROR(VLOOKUP($D1096,본공사입.출고현황!$B:$H,H$2080,0),0)</f>
        <v>ф10, 1ton=1,620.7m</v>
      </c>
      <c r="I1096" s="56" t="str">
        <f>IFERROR(VLOOKUP($D1096,본공사입.출고현황!$B:$H,I$2080,0),0)</f>
        <v>M</v>
      </c>
      <c r="J1096" s="253">
        <v>3</v>
      </c>
      <c r="K1096" s="253" t="s">
        <v>237</v>
      </c>
      <c r="L1096" s="255">
        <v>25</v>
      </c>
      <c r="M1096" s="256" t="s">
        <v>408</v>
      </c>
      <c r="N1096" s="257"/>
    </row>
    <row r="1097" spans="1:14" ht="24" customHeight="1">
      <c r="A1097" s="8">
        <v>1053</v>
      </c>
      <c r="B1097" s="9">
        <v>1053</v>
      </c>
      <c r="C1097" s="254">
        <v>46048</v>
      </c>
      <c r="D1097" s="253" t="s">
        <v>238</v>
      </c>
      <c r="E1097" s="56" t="str">
        <f>IFERROR(VLOOKUP($D1097,본공사입.출고현황!$B:$H,E$2080,0),0)</f>
        <v>Steel round bar</v>
      </c>
      <c r="F1097" s="18" t="str">
        <f>IFERROR(VLOOKUP($D1097,본공사입.출고현황!$B:$H,F$2080,0),0)</f>
        <v>Steel round bar(rebar)</v>
      </c>
      <c r="G1097" s="18" t="str">
        <f>IFERROR(VLOOKUP($D1097,본공사입.출고현황!$B:$H,G$2080,0),0)</f>
        <v>CCGG</v>
      </c>
      <c r="H1097" s="18" t="str">
        <f>IFERROR(VLOOKUP($D1097,본공사입.출고현황!$B:$H,H$2080,0),0)</f>
        <v>ф10, 1ton=1,620.7m</v>
      </c>
      <c r="I1097" s="56" t="str">
        <f>IFERROR(VLOOKUP($D1097,본공사입.출고현황!$B:$H,I$2080,0),0)</f>
        <v>M</v>
      </c>
      <c r="J1097" s="253">
        <v>1</v>
      </c>
      <c r="K1097" s="253" t="s">
        <v>352</v>
      </c>
      <c r="L1097" s="255">
        <v>25</v>
      </c>
      <c r="M1097" s="256" t="s">
        <v>408</v>
      </c>
      <c r="N1097" s="257"/>
    </row>
    <row r="1098" spans="1:14" ht="24" customHeight="1">
      <c r="A1098" s="8">
        <v>1054</v>
      </c>
      <c r="B1098" s="9">
        <v>1054</v>
      </c>
      <c r="C1098" s="254">
        <v>46048</v>
      </c>
      <c r="D1098" s="253" t="s">
        <v>238</v>
      </c>
      <c r="E1098" s="56" t="str">
        <f>IFERROR(VLOOKUP($D1098,본공사입.출고현황!$B:$H,E$2080,0),0)</f>
        <v>Steel round bar</v>
      </c>
      <c r="F1098" s="18" t="str">
        <f>IFERROR(VLOOKUP($D1098,본공사입.출고현황!$B:$H,F$2080,0),0)</f>
        <v>Steel round bar(rebar)</v>
      </c>
      <c r="G1098" s="18" t="str">
        <f>IFERROR(VLOOKUP($D1098,본공사입.출고현황!$B:$H,G$2080,0),0)</f>
        <v>CCGG</v>
      </c>
      <c r="H1098" s="18" t="str">
        <f>IFERROR(VLOOKUP($D1098,본공사입.출고현황!$B:$H,H$2080,0),0)</f>
        <v>ф10, 1ton=1,620.7m</v>
      </c>
      <c r="I1098" s="56" t="str">
        <f>IFERROR(VLOOKUP($D1098,본공사입.출고현황!$B:$H,I$2080,0),0)</f>
        <v>M</v>
      </c>
      <c r="J1098" s="253">
        <v>1</v>
      </c>
      <c r="K1098" s="253" t="s">
        <v>547</v>
      </c>
      <c r="L1098" s="255">
        <v>20</v>
      </c>
      <c r="M1098" s="256" t="s">
        <v>408</v>
      </c>
      <c r="N1098" s="257"/>
    </row>
    <row r="1099" spans="1:14" ht="24" customHeight="1">
      <c r="A1099" s="8">
        <v>1055</v>
      </c>
      <c r="B1099" s="9">
        <v>1055</v>
      </c>
      <c r="C1099" s="254">
        <v>46048</v>
      </c>
      <c r="D1099" s="253" t="s">
        <v>238</v>
      </c>
      <c r="E1099" s="56" t="str">
        <f>IFERROR(VLOOKUP($D1099,본공사입.출고현황!$B:$H,E$2080,0),0)</f>
        <v>Steel round bar</v>
      </c>
      <c r="F1099" s="18" t="str">
        <f>IFERROR(VLOOKUP($D1099,본공사입.출고현황!$B:$H,F$2080,0),0)</f>
        <v>Steel round bar(rebar)</v>
      </c>
      <c r="G1099" s="18" t="str">
        <f>IFERROR(VLOOKUP($D1099,본공사입.출고현황!$B:$H,G$2080,0),0)</f>
        <v>CCGG</v>
      </c>
      <c r="H1099" s="18" t="str">
        <f>IFERROR(VLOOKUP($D1099,본공사입.출고현황!$B:$H,H$2080,0),0)</f>
        <v>ф10, 1ton=1,620.7m</v>
      </c>
      <c r="I1099" s="56" t="str">
        <f>IFERROR(VLOOKUP($D1099,본공사입.출고현황!$B:$H,I$2080,0),0)</f>
        <v>M</v>
      </c>
      <c r="J1099" s="253">
        <v>2</v>
      </c>
      <c r="K1099" s="253" t="s">
        <v>360</v>
      </c>
      <c r="L1099" s="255">
        <v>25</v>
      </c>
      <c r="M1099" s="256" t="s">
        <v>408</v>
      </c>
      <c r="N1099" s="257"/>
    </row>
    <row r="1100" spans="1:14" ht="24" customHeight="1">
      <c r="A1100" s="8">
        <v>1056</v>
      </c>
      <c r="B1100" s="9">
        <v>1056</v>
      </c>
      <c r="C1100" s="254">
        <v>46048</v>
      </c>
      <c r="D1100" s="253" t="s">
        <v>238</v>
      </c>
      <c r="E1100" s="56" t="str">
        <f>IFERROR(VLOOKUP($D1100,본공사입.출고현황!$B:$H,E$2080,0),0)</f>
        <v>Steel round bar</v>
      </c>
      <c r="F1100" s="18" t="str">
        <f>IFERROR(VLOOKUP($D1100,본공사입.출고현황!$B:$H,F$2080,0),0)</f>
        <v>Steel round bar(rebar)</v>
      </c>
      <c r="G1100" s="18" t="str">
        <f>IFERROR(VLOOKUP($D1100,본공사입.출고현황!$B:$H,G$2080,0),0)</f>
        <v>CCGG</v>
      </c>
      <c r="H1100" s="18" t="str">
        <f>IFERROR(VLOOKUP($D1100,본공사입.출고현황!$B:$H,H$2080,0),0)</f>
        <v>ф10, 1ton=1,620.7m</v>
      </c>
      <c r="I1100" s="56" t="str">
        <f>IFERROR(VLOOKUP($D1100,본공사입.출고현황!$B:$H,I$2080,0),0)</f>
        <v>M</v>
      </c>
      <c r="J1100" s="253">
        <v>4</v>
      </c>
      <c r="K1100" s="253" t="s">
        <v>359</v>
      </c>
      <c r="L1100" s="255">
        <v>20</v>
      </c>
      <c r="M1100" s="256" t="s">
        <v>408</v>
      </c>
      <c r="N1100" s="257"/>
    </row>
    <row r="1101" spans="1:14" ht="24" customHeight="1">
      <c r="A1101" s="8">
        <v>1057</v>
      </c>
      <c r="B1101" s="9">
        <v>1057</v>
      </c>
      <c r="C1101" s="254">
        <v>46048</v>
      </c>
      <c r="D1101" s="253" t="s">
        <v>238</v>
      </c>
      <c r="E1101" s="56" t="str">
        <f>IFERROR(VLOOKUP($D1101,본공사입.출고현황!$B:$H,E$2080,0),0)</f>
        <v>Steel round bar</v>
      </c>
      <c r="F1101" s="18" t="str">
        <f>IFERROR(VLOOKUP($D1101,본공사입.출고현황!$B:$H,F$2080,0),0)</f>
        <v>Steel round bar(rebar)</v>
      </c>
      <c r="G1101" s="18" t="str">
        <f>IFERROR(VLOOKUP($D1101,본공사입.출고현황!$B:$H,G$2080,0),0)</f>
        <v>CCGG</v>
      </c>
      <c r="H1101" s="18" t="str">
        <f>IFERROR(VLOOKUP($D1101,본공사입.출고현황!$B:$H,H$2080,0),0)</f>
        <v>ф10, 1ton=1,620.7m</v>
      </c>
      <c r="I1101" s="56" t="str">
        <f>IFERROR(VLOOKUP($D1101,본공사입.출고현황!$B:$H,I$2080,0),0)</f>
        <v>M</v>
      </c>
      <c r="J1101" s="253">
        <v>2</v>
      </c>
      <c r="K1101" s="253" t="s">
        <v>546</v>
      </c>
      <c r="L1101" s="255">
        <v>25</v>
      </c>
      <c r="M1101" s="256" t="s">
        <v>408</v>
      </c>
      <c r="N1101" s="257"/>
    </row>
    <row r="1102" spans="1:14" ht="24" customHeight="1">
      <c r="A1102" s="8">
        <v>1058</v>
      </c>
      <c r="B1102" s="9">
        <v>1058</v>
      </c>
      <c r="C1102" s="254">
        <v>46048</v>
      </c>
      <c r="D1102" s="253" t="s">
        <v>238</v>
      </c>
      <c r="E1102" s="56" t="str">
        <f>IFERROR(VLOOKUP($D1102,본공사입.출고현황!$B:$H,E$2080,0),0)</f>
        <v>Steel round bar</v>
      </c>
      <c r="F1102" s="18" t="str">
        <f>IFERROR(VLOOKUP($D1102,본공사입.출고현황!$B:$H,F$2080,0),0)</f>
        <v>Steel round bar(rebar)</v>
      </c>
      <c r="G1102" s="18" t="str">
        <f>IFERROR(VLOOKUP($D1102,본공사입.출고현황!$B:$H,G$2080,0),0)</f>
        <v>CCGG</v>
      </c>
      <c r="H1102" s="18" t="str">
        <f>IFERROR(VLOOKUP($D1102,본공사입.출고현황!$B:$H,H$2080,0),0)</f>
        <v>ф10, 1ton=1,620.7m</v>
      </c>
      <c r="I1102" s="56" t="str">
        <f>IFERROR(VLOOKUP($D1102,본공사입.출고현황!$B:$H,I$2080,0),0)</f>
        <v>M</v>
      </c>
      <c r="J1102" s="253">
        <v>1</v>
      </c>
      <c r="K1102" s="253" t="s">
        <v>545</v>
      </c>
      <c r="L1102" s="255">
        <v>15</v>
      </c>
      <c r="M1102" s="256" t="s">
        <v>408</v>
      </c>
      <c r="N1102" s="257"/>
    </row>
    <row r="1103" spans="1:14" ht="24" customHeight="1">
      <c r="A1103" s="8">
        <v>1059</v>
      </c>
      <c r="B1103" s="9">
        <v>1059</v>
      </c>
      <c r="C1103" s="254">
        <v>46048</v>
      </c>
      <c r="D1103" s="253" t="s">
        <v>238</v>
      </c>
      <c r="E1103" s="56" t="str">
        <f>IFERROR(VLOOKUP($D1103,본공사입.출고현황!$B:$H,E$2080,0),0)</f>
        <v>Steel round bar</v>
      </c>
      <c r="F1103" s="18" t="str">
        <f>IFERROR(VLOOKUP($D1103,본공사입.출고현황!$B:$H,F$2080,0),0)</f>
        <v>Steel round bar(rebar)</v>
      </c>
      <c r="G1103" s="18" t="str">
        <f>IFERROR(VLOOKUP($D1103,본공사입.출고현황!$B:$H,G$2080,0),0)</f>
        <v>CCGG</v>
      </c>
      <c r="H1103" s="18" t="str">
        <f>IFERROR(VLOOKUP($D1103,본공사입.출고현황!$B:$H,H$2080,0),0)</f>
        <v>ф10, 1ton=1,620.7m</v>
      </c>
      <c r="I1103" s="56" t="str">
        <f>IFERROR(VLOOKUP($D1103,본공사입.출고현황!$B:$H,I$2080,0),0)</f>
        <v>M</v>
      </c>
      <c r="J1103" s="253">
        <v>2</v>
      </c>
      <c r="K1103" s="253" t="s">
        <v>241</v>
      </c>
      <c r="L1103" s="255">
        <v>50</v>
      </c>
      <c r="M1103" s="256" t="s">
        <v>408</v>
      </c>
      <c r="N1103" s="257"/>
    </row>
    <row r="1104" spans="1:14" ht="24" customHeight="1">
      <c r="A1104" s="8">
        <v>1060</v>
      </c>
      <c r="B1104" s="9">
        <v>1060</v>
      </c>
      <c r="C1104" s="254">
        <v>46048</v>
      </c>
      <c r="D1104" s="253" t="s">
        <v>238</v>
      </c>
      <c r="E1104" s="56" t="str">
        <f>IFERROR(VLOOKUP($D1104,본공사입.출고현황!$B:$H,E$2080,0),0)</f>
        <v>Steel round bar</v>
      </c>
      <c r="F1104" s="18" t="str">
        <f>IFERROR(VLOOKUP($D1104,본공사입.출고현황!$B:$H,F$2080,0),0)</f>
        <v>Steel round bar(rebar)</v>
      </c>
      <c r="G1104" s="18" t="str">
        <f>IFERROR(VLOOKUP($D1104,본공사입.출고현황!$B:$H,G$2080,0),0)</f>
        <v>CCGG</v>
      </c>
      <c r="H1104" s="18" t="str">
        <f>IFERROR(VLOOKUP($D1104,본공사입.출고현황!$B:$H,H$2080,0),0)</f>
        <v>ф10, 1ton=1,620.7m</v>
      </c>
      <c r="I1104" s="56" t="str">
        <f>IFERROR(VLOOKUP($D1104,본공사입.출고현황!$B:$H,I$2080,0),0)</f>
        <v>M</v>
      </c>
      <c r="J1104" s="253">
        <v>3</v>
      </c>
      <c r="K1104" s="253" t="s">
        <v>550</v>
      </c>
      <c r="L1104" s="255">
        <v>30</v>
      </c>
      <c r="M1104" s="256" t="s">
        <v>408</v>
      </c>
      <c r="N1104" s="257"/>
    </row>
    <row r="1105" spans="1:14" ht="24" customHeight="1">
      <c r="A1105" s="8">
        <v>1061</v>
      </c>
      <c r="B1105" s="9">
        <v>1061</v>
      </c>
      <c r="C1105" s="254">
        <v>46048</v>
      </c>
      <c r="D1105" s="253" t="s">
        <v>180</v>
      </c>
      <c r="E1105" s="56" t="str">
        <f>IFERROR(VLOOKUP($D1105,본공사입.출고현황!$B:$H,E$2080,0),0)</f>
        <v>Ground</v>
      </c>
      <c r="F1105" s="18" t="str">
        <f>IFERROR(VLOOKUP($D1105,본공사입.출고현황!$B:$H,F$2080,0),0)</f>
        <v>Ground Cable  78SQ</v>
      </c>
      <c r="G1105" s="18" t="str">
        <f>IFERROR(VLOOKUP($D1105,본공사입.출고현황!$B:$H,G$2080,0),0)</f>
        <v xml:space="preserve">Ground Cable </v>
      </c>
      <c r="H1105" s="18" t="str">
        <f>IFERROR(VLOOKUP($D1105,본공사입.출고현황!$B:$H,H$2080,0),0)</f>
        <v>78SQ</v>
      </c>
      <c r="I1105" s="56" t="str">
        <f>IFERROR(VLOOKUP($D1105,본공사입.출고현황!$B:$H,I$2080,0),0)</f>
        <v>M</v>
      </c>
      <c r="J1105" s="253">
        <v>1</v>
      </c>
      <c r="K1105" s="253" t="s">
        <v>363</v>
      </c>
      <c r="L1105" s="255">
        <v>55</v>
      </c>
      <c r="M1105" s="256" t="s">
        <v>633</v>
      </c>
      <c r="N1105" s="257"/>
    </row>
    <row r="1106" spans="1:14" ht="24" customHeight="1">
      <c r="A1106" s="8">
        <v>1062</v>
      </c>
      <c r="B1106" s="9">
        <v>1062</v>
      </c>
      <c r="C1106" s="254">
        <v>46048</v>
      </c>
      <c r="D1106" s="253" t="s">
        <v>70</v>
      </c>
      <c r="E1106" s="56" t="str">
        <f>IFERROR(VLOOKUP($D1106,본공사입.출고현황!$B:$H,E$2080,0),0)</f>
        <v>Ground</v>
      </c>
      <c r="F1106" s="18" t="str">
        <f>IFERROR(VLOOKUP($D1106,본공사입.출고현황!$B:$H,F$2080,0),0)</f>
        <v>Ground Cable  70SQ</v>
      </c>
      <c r="G1106" s="18" t="str">
        <f>IFERROR(VLOOKUP($D1106,본공사입.출고현황!$B:$H,G$2080,0),0)</f>
        <v xml:space="preserve">Ground Cable </v>
      </c>
      <c r="H1106" s="18" t="str">
        <f>IFERROR(VLOOKUP($D1106,본공사입.출고현황!$B:$H,H$2080,0),0)</f>
        <v>70SQ</v>
      </c>
      <c r="I1106" s="56" t="str">
        <f>IFERROR(VLOOKUP($D1106,본공사입.출고현황!$B:$H,I$2080,0),0)</f>
        <v>M</v>
      </c>
      <c r="J1106" s="253">
        <v>4</v>
      </c>
      <c r="K1106" s="253" t="s">
        <v>359</v>
      </c>
      <c r="L1106" s="255">
        <v>30</v>
      </c>
      <c r="M1106" s="256" t="s">
        <v>633</v>
      </c>
      <c r="N1106" s="257"/>
    </row>
    <row r="1107" spans="1:14" ht="24" customHeight="1">
      <c r="A1107" s="8">
        <v>1063</v>
      </c>
      <c r="B1107" s="9">
        <v>1063</v>
      </c>
      <c r="C1107" s="254">
        <v>46048</v>
      </c>
      <c r="D1107" s="253" t="s">
        <v>86</v>
      </c>
      <c r="E1107" s="56" t="str">
        <f>IFERROR(VLOOKUP($D1107,본공사입.출고현황!$B:$H,E$2080,0),0)</f>
        <v>Ground</v>
      </c>
      <c r="F1107" s="18" t="str">
        <f>IFERROR(VLOOKUP($D1107,본공사입.출고현황!$B:$H,F$2080,0),0)</f>
        <v>Cadweld Powder #115</v>
      </c>
      <c r="G1107" s="18" t="str">
        <f>IFERROR(VLOOKUP($D1107,본공사입.출고현황!$B:$H,G$2080,0),0)</f>
        <v>Cadweld Powder</v>
      </c>
      <c r="H1107" s="18" t="str">
        <f>IFERROR(VLOOKUP($D1107,본공사입.출고현황!$B:$H,H$2080,0),0)</f>
        <v>#115</v>
      </c>
      <c r="I1107" s="56" t="str">
        <f>IFERROR(VLOOKUP($D1107,본공사입.출고현황!$B:$H,I$2080,0),0)</f>
        <v>EA</v>
      </c>
      <c r="J1107" s="253">
        <v>4</v>
      </c>
      <c r="K1107" s="253" t="s">
        <v>359</v>
      </c>
      <c r="L1107" s="255">
        <v>10</v>
      </c>
      <c r="M1107" s="256" t="s">
        <v>633</v>
      </c>
      <c r="N1107" s="257"/>
    </row>
    <row r="1108" spans="1:14" ht="24" customHeight="1">
      <c r="A1108" s="8">
        <v>1064</v>
      </c>
      <c r="B1108" s="9">
        <v>1064</v>
      </c>
      <c r="C1108" s="254">
        <v>46048</v>
      </c>
      <c r="D1108" s="253" t="s">
        <v>111</v>
      </c>
      <c r="E1108" s="56" t="str">
        <f>IFERROR(VLOOKUP($D1108,본공사입.출고현황!$B:$H,E$2080,0),0)</f>
        <v>Ground Conduit</v>
      </c>
      <c r="F1108" s="18" t="str">
        <f>IFERROR(VLOOKUP($D1108,본공사입.출고현황!$B:$H,F$2080,0),0)</f>
        <v>Flexible Conduit 2"</v>
      </c>
      <c r="G1108" s="18" t="str">
        <f>IFERROR(VLOOKUP($D1108,본공사입.출고현황!$B:$H,G$2080,0),0)</f>
        <v>Ground Conduit</v>
      </c>
      <c r="H1108" s="18" t="str">
        <f>IFERROR(VLOOKUP($D1108,본공사입.출고현황!$B:$H,H$2080,0),0)</f>
        <v>2"</v>
      </c>
      <c r="I1108" s="56" t="str">
        <f>IFERROR(VLOOKUP($D1108,본공사입.출고현황!$B:$H,I$2080,0),0)</f>
        <v>M</v>
      </c>
      <c r="J1108" s="253">
        <v>4</v>
      </c>
      <c r="K1108" s="253" t="s">
        <v>359</v>
      </c>
      <c r="L1108" s="255">
        <v>12</v>
      </c>
      <c r="M1108" s="256" t="s">
        <v>633</v>
      </c>
      <c r="N1108" s="257"/>
    </row>
    <row r="1109" spans="1:14" ht="24" customHeight="1">
      <c r="A1109" s="8">
        <v>1065</v>
      </c>
      <c r="B1109" s="9">
        <v>1065</v>
      </c>
      <c r="C1109" s="254">
        <v>46049</v>
      </c>
      <c r="D1109" s="253" t="s">
        <v>238</v>
      </c>
      <c r="E1109" s="56" t="str">
        <f>IFERROR(VLOOKUP($D1109,본공사입.출고현황!$B:$H,E$2080,0),0)</f>
        <v>Steel round bar</v>
      </c>
      <c r="F1109" s="18" t="str">
        <f>IFERROR(VLOOKUP($D1109,본공사입.출고현황!$B:$H,F$2080,0),0)</f>
        <v>Steel round bar(rebar)</v>
      </c>
      <c r="G1109" s="18" t="str">
        <f>IFERROR(VLOOKUP($D1109,본공사입.출고현황!$B:$H,G$2080,0),0)</f>
        <v>CCGG</v>
      </c>
      <c r="H1109" s="18" t="str">
        <f>IFERROR(VLOOKUP($D1109,본공사입.출고현황!$B:$H,H$2080,0),0)</f>
        <v>ф10, 1ton=1,620.7m</v>
      </c>
      <c r="I1109" s="56" t="str">
        <f>IFERROR(VLOOKUP($D1109,본공사입.출고현황!$B:$H,I$2080,0),0)</f>
        <v>M</v>
      </c>
      <c r="J1109" s="253">
        <v>3</v>
      </c>
      <c r="K1109" s="253" t="s">
        <v>550</v>
      </c>
      <c r="L1109" s="255">
        <v>15</v>
      </c>
      <c r="M1109" s="256" t="s">
        <v>408</v>
      </c>
      <c r="N1109" s="257"/>
    </row>
    <row r="1110" spans="1:14" ht="24" customHeight="1">
      <c r="A1110" s="8">
        <v>1066</v>
      </c>
      <c r="B1110" s="9">
        <v>1066</v>
      </c>
      <c r="C1110" s="254">
        <v>46049</v>
      </c>
      <c r="D1110" s="253" t="s">
        <v>238</v>
      </c>
      <c r="E1110" s="56" t="str">
        <f>IFERROR(VLOOKUP($D1110,본공사입.출고현황!$B:$H,E$2080,0),0)</f>
        <v>Steel round bar</v>
      </c>
      <c r="F1110" s="18" t="str">
        <f>IFERROR(VLOOKUP($D1110,본공사입.출고현황!$B:$H,F$2080,0),0)</f>
        <v>Steel round bar(rebar)</v>
      </c>
      <c r="G1110" s="18" t="str">
        <f>IFERROR(VLOOKUP($D1110,본공사입.출고현황!$B:$H,G$2080,0),0)</f>
        <v>CCGG</v>
      </c>
      <c r="H1110" s="18" t="str">
        <f>IFERROR(VLOOKUP($D1110,본공사입.출고현황!$B:$H,H$2080,0),0)</f>
        <v>ф10, 1ton=1,620.7m</v>
      </c>
      <c r="I1110" s="56" t="str">
        <f>IFERROR(VLOOKUP($D1110,본공사입.출고현황!$B:$H,I$2080,0),0)</f>
        <v>M</v>
      </c>
      <c r="J1110" s="253">
        <v>1</v>
      </c>
      <c r="K1110" s="253" t="s">
        <v>363</v>
      </c>
      <c r="L1110" s="255">
        <v>40</v>
      </c>
      <c r="M1110" s="256" t="s">
        <v>408</v>
      </c>
      <c r="N1110" s="257"/>
    </row>
    <row r="1111" spans="1:14" ht="24" customHeight="1">
      <c r="A1111" s="8">
        <v>1067</v>
      </c>
      <c r="B1111" s="9">
        <v>1067</v>
      </c>
      <c r="C1111" s="254">
        <v>46049</v>
      </c>
      <c r="D1111" s="253" t="s">
        <v>238</v>
      </c>
      <c r="E1111" s="56" t="str">
        <f>IFERROR(VLOOKUP($D1111,본공사입.출고현황!$B:$H,E$2080,0),0)</f>
        <v>Steel round bar</v>
      </c>
      <c r="F1111" s="18" t="str">
        <f>IFERROR(VLOOKUP($D1111,본공사입.출고현황!$B:$H,F$2080,0),0)</f>
        <v>Steel round bar(rebar)</v>
      </c>
      <c r="G1111" s="18" t="str">
        <f>IFERROR(VLOOKUP($D1111,본공사입.출고현황!$B:$H,G$2080,0),0)</f>
        <v>CCGG</v>
      </c>
      <c r="H1111" s="18" t="str">
        <f>IFERROR(VLOOKUP($D1111,본공사입.출고현황!$B:$H,H$2080,0),0)</f>
        <v>ф10, 1ton=1,620.7m</v>
      </c>
      <c r="I1111" s="56" t="str">
        <f>IFERROR(VLOOKUP($D1111,본공사입.출고현황!$B:$H,I$2080,0),0)</f>
        <v>M</v>
      </c>
      <c r="J1111" s="253">
        <v>1</v>
      </c>
      <c r="K1111" s="253" t="s">
        <v>547</v>
      </c>
      <c r="L1111" s="255">
        <v>20</v>
      </c>
      <c r="M1111" s="256" t="s">
        <v>408</v>
      </c>
      <c r="N1111" s="257"/>
    </row>
    <row r="1112" spans="1:14" ht="24" customHeight="1">
      <c r="A1112" s="8">
        <v>1068</v>
      </c>
      <c r="B1112" s="9">
        <v>1068</v>
      </c>
      <c r="C1112" s="254">
        <v>46049</v>
      </c>
      <c r="D1112" s="253" t="s">
        <v>238</v>
      </c>
      <c r="E1112" s="56" t="str">
        <f>IFERROR(VLOOKUP($D1112,본공사입.출고현황!$B:$H,E$2080,0),0)</f>
        <v>Steel round bar</v>
      </c>
      <c r="F1112" s="18" t="str">
        <f>IFERROR(VLOOKUP($D1112,본공사입.출고현황!$B:$H,F$2080,0),0)</f>
        <v>Steel round bar(rebar)</v>
      </c>
      <c r="G1112" s="18" t="str">
        <f>IFERROR(VLOOKUP($D1112,본공사입.출고현황!$B:$H,G$2080,0),0)</f>
        <v>CCGG</v>
      </c>
      <c r="H1112" s="18" t="str">
        <f>IFERROR(VLOOKUP($D1112,본공사입.출고현황!$B:$H,H$2080,0),0)</f>
        <v>ф10, 1ton=1,620.7m</v>
      </c>
      <c r="I1112" s="56" t="str">
        <f>IFERROR(VLOOKUP($D1112,본공사입.출고현황!$B:$H,I$2080,0),0)</f>
        <v>M</v>
      </c>
      <c r="J1112" s="253">
        <v>1</v>
      </c>
      <c r="K1112" s="253" t="s">
        <v>363</v>
      </c>
      <c r="L1112" s="255">
        <v>20</v>
      </c>
      <c r="M1112" s="256" t="s">
        <v>408</v>
      </c>
      <c r="N1112" s="257"/>
    </row>
    <row r="1113" spans="1:14" ht="24" customHeight="1">
      <c r="A1113" s="8">
        <v>1069</v>
      </c>
      <c r="B1113" s="9">
        <v>1069</v>
      </c>
      <c r="C1113" s="254">
        <v>46049</v>
      </c>
      <c r="D1113" s="253" t="s">
        <v>238</v>
      </c>
      <c r="E1113" s="56" t="str">
        <f>IFERROR(VLOOKUP($D1113,본공사입.출고현황!$B:$H,E$2080,0),0)</f>
        <v>Steel round bar</v>
      </c>
      <c r="F1113" s="18" t="str">
        <f>IFERROR(VLOOKUP($D1113,본공사입.출고현황!$B:$H,F$2080,0),0)</f>
        <v>Steel round bar(rebar)</v>
      </c>
      <c r="G1113" s="18" t="str">
        <f>IFERROR(VLOOKUP($D1113,본공사입.출고현황!$B:$H,G$2080,0),0)</f>
        <v>CCGG</v>
      </c>
      <c r="H1113" s="18" t="str">
        <f>IFERROR(VLOOKUP($D1113,본공사입.출고현황!$B:$H,H$2080,0),0)</f>
        <v>ф10, 1ton=1,620.7m</v>
      </c>
      <c r="I1113" s="56" t="str">
        <f>IFERROR(VLOOKUP($D1113,본공사입.출고현황!$B:$H,I$2080,0),0)</f>
        <v>M</v>
      </c>
      <c r="J1113" s="253">
        <v>3</v>
      </c>
      <c r="K1113" s="253" t="s">
        <v>550</v>
      </c>
      <c r="L1113" s="255">
        <v>20</v>
      </c>
      <c r="M1113" s="256" t="s">
        <v>408</v>
      </c>
      <c r="N1113" s="257"/>
    </row>
    <row r="1114" spans="1:14" ht="24" customHeight="1">
      <c r="A1114" s="8">
        <v>1070</v>
      </c>
      <c r="B1114" s="9">
        <v>1070</v>
      </c>
      <c r="C1114" s="254">
        <v>46049</v>
      </c>
      <c r="D1114" s="253" t="s">
        <v>238</v>
      </c>
      <c r="E1114" s="56" t="str">
        <f>IFERROR(VLOOKUP($D1114,본공사입.출고현황!$B:$H,E$2080,0),0)</f>
        <v>Steel round bar</v>
      </c>
      <c r="F1114" s="18" t="str">
        <f>IFERROR(VLOOKUP($D1114,본공사입.출고현황!$B:$H,F$2080,0),0)</f>
        <v>Steel round bar(rebar)</v>
      </c>
      <c r="G1114" s="18" t="str">
        <f>IFERROR(VLOOKUP($D1114,본공사입.출고현황!$B:$H,G$2080,0),0)</f>
        <v>CCGG</v>
      </c>
      <c r="H1114" s="18" t="str">
        <f>IFERROR(VLOOKUP($D1114,본공사입.출고현황!$B:$H,H$2080,0),0)</f>
        <v>ф10, 1ton=1,620.7m</v>
      </c>
      <c r="I1114" s="56" t="str">
        <f>IFERROR(VLOOKUP($D1114,본공사입.출고현황!$B:$H,I$2080,0),0)</f>
        <v>M</v>
      </c>
      <c r="J1114" s="253">
        <v>2</v>
      </c>
      <c r="K1114" s="253" t="s">
        <v>360</v>
      </c>
      <c r="L1114" s="255">
        <v>25</v>
      </c>
      <c r="M1114" s="256" t="s">
        <v>408</v>
      </c>
      <c r="N1114" s="257"/>
    </row>
    <row r="1115" spans="1:14" ht="24" customHeight="1">
      <c r="A1115" s="8">
        <v>1071</v>
      </c>
      <c r="B1115" s="9">
        <v>1071</v>
      </c>
      <c r="C1115" s="254">
        <v>46049</v>
      </c>
      <c r="D1115" s="253" t="s">
        <v>238</v>
      </c>
      <c r="E1115" s="56" t="str">
        <f>IFERROR(VLOOKUP($D1115,본공사입.출고현황!$B:$H,E$2080,0),0)</f>
        <v>Steel round bar</v>
      </c>
      <c r="F1115" s="18" t="str">
        <f>IFERROR(VLOOKUP($D1115,본공사입.출고현황!$B:$H,F$2080,0),0)</f>
        <v>Steel round bar(rebar)</v>
      </c>
      <c r="G1115" s="18" t="str">
        <f>IFERROR(VLOOKUP($D1115,본공사입.출고현황!$B:$H,G$2080,0),0)</f>
        <v>CCGG</v>
      </c>
      <c r="H1115" s="18" t="str">
        <f>IFERROR(VLOOKUP($D1115,본공사입.출고현황!$B:$H,H$2080,0),0)</f>
        <v>ф10, 1ton=1,620.7m</v>
      </c>
      <c r="I1115" s="56" t="str">
        <f>IFERROR(VLOOKUP($D1115,본공사입.출고현황!$B:$H,I$2080,0),0)</f>
        <v>M</v>
      </c>
      <c r="J1115" s="253">
        <v>1</v>
      </c>
      <c r="K1115" s="253" t="s">
        <v>352</v>
      </c>
      <c r="L1115" s="255">
        <v>25</v>
      </c>
      <c r="M1115" s="256" t="s">
        <v>408</v>
      </c>
      <c r="N1115" s="257"/>
    </row>
    <row r="1116" spans="1:14" ht="24" customHeight="1">
      <c r="A1116" s="8">
        <v>1072</v>
      </c>
      <c r="B1116" s="9">
        <v>1072</v>
      </c>
      <c r="C1116" s="254">
        <v>46049</v>
      </c>
      <c r="D1116" s="253" t="s">
        <v>238</v>
      </c>
      <c r="E1116" s="56" t="str">
        <f>IFERROR(VLOOKUP($D1116,본공사입.출고현황!$B:$H,E$2080,0),0)</f>
        <v>Steel round bar</v>
      </c>
      <c r="F1116" s="18" t="str">
        <f>IFERROR(VLOOKUP($D1116,본공사입.출고현황!$B:$H,F$2080,0),0)</f>
        <v>Steel round bar(rebar)</v>
      </c>
      <c r="G1116" s="18" t="str">
        <f>IFERROR(VLOOKUP($D1116,본공사입.출고현황!$B:$H,G$2080,0),0)</f>
        <v>CCGG</v>
      </c>
      <c r="H1116" s="18" t="str">
        <f>IFERROR(VLOOKUP($D1116,본공사입.출고현황!$B:$H,H$2080,0),0)</f>
        <v>ф10, 1ton=1,620.7m</v>
      </c>
      <c r="I1116" s="56" t="str">
        <f>IFERROR(VLOOKUP($D1116,본공사입.출고현황!$B:$H,I$2080,0),0)</f>
        <v>M</v>
      </c>
      <c r="J1116" s="253">
        <v>2</v>
      </c>
      <c r="K1116" s="253" t="s">
        <v>546</v>
      </c>
      <c r="L1116" s="255">
        <v>25</v>
      </c>
      <c r="M1116" s="256" t="s">
        <v>408</v>
      </c>
      <c r="N1116" s="257"/>
    </row>
    <row r="1117" spans="1:14" ht="24" customHeight="1">
      <c r="A1117" s="8">
        <v>1073</v>
      </c>
      <c r="B1117" s="9">
        <v>1073</v>
      </c>
      <c r="C1117" s="254">
        <v>46049</v>
      </c>
      <c r="D1117" s="253" t="s">
        <v>238</v>
      </c>
      <c r="E1117" s="56" t="str">
        <f>IFERROR(VLOOKUP($D1117,본공사입.출고현황!$B:$H,E$2080,0),0)</f>
        <v>Steel round bar</v>
      </c>
      <c r="F1117" s="18" t="str">
        <f>IFERROR(VLOOKUP($D1117,본공사입.출고현황!$B:$H,F$2080,0),0)</f>
        <v>Steel round bar(rebar)</v>
      </c>
      <c r="G1117" s="18" t="str">
        <f>IFERROR(VLOOKUP($D1117,본공사입.출고현황!$B:$H,G$2080,0),0)</f>
        <v>CCGG</v>
      </c>
      <c r="H1117" s="18" t="str">
        <f>IFERROR(VLOOKUP($D1117,본공사입.출고현황!$B:$H,H$2080,0),0)</f>
        <v>ф10, 1ton=1,620.7m</v>
      </c>
      <c r="I1117" s="56" t="str">
        <f>IFERROR(VLOOKUP($D1117,본공사입.출고현황!$B:$H,I$2080,0),0)</f>
        <v>M</v>
      </c>
      <c r="J1117" s="253">
        <v>4</v>
      </c>
      <c r="K1117" s="253" t="s">
        <v>359</v>
      </c>
      <c r="L1117" s="255">
        <v>25</v>
      </c>
      <c r="M1117" s="256" t="s">
        <v>408</v>
      </c>
      <c r="N1117" s="257"/>
    </row>
    <row r="1118" spans="1:14" ht="24" customHeight="1">
      <c r="A1118" s="8">
        <v>1074</v>
      </c>
      <c r="B1118" s="9">
        <v>1074</v>
      </c>
      <c r="C1118" s="254">
        <v>46049</v>
      </c>
      <c r="D1118" s="253" t="s">
        <v>238</v>
      </c>
      <c r="E1118" s="56" t="str">
        <f>IFERROR(VLOOKUP($D1118,본공사입.출고현황!$B:$H,E$2080,0),0)</f>
        <v>Steel round bar</v>
      </c>
      <c r="F1118" s="18" t="str">
        <f>IFERROR(VLOOKUP($D1118,본공사입.출고현황!$B:$H,F$2080,0),0)</f>
        <v>Steel round bar(rebar)</v>
      </c>
      <c r="G1118" s="18" t="str">
        <f>IFERROR(VLOOKUP($D1118,본공사입.출고현황!$B:$H,G$2080,0),0)</f>
        <v>CCGG</v>
      </c>
      <c r="H1118" s="18" t="str">
        <f>IFERROR(VLOOKUP($D1118,본공사입.출고현황!$B:$H,H$2080,0),0)</f>
        <v>ф10, 1ton=1,620.7m</v>
      </c>
      <c r="I1118" s="56" t="str">
        <f>IFERROR(VLOOKUP($D1118,본공사입.출고현황!$B:$H,I$2080,0),0)</f>
        <v>M</v>
      </c>
      <c r="J1118" s="253">
        <v>2</v>
      </c>
      <c r="K1118" s="253" t="s">
        <v>360</v>
      </c>
      <c r="L1118" s="255">
        <v>25</v>
      </c>
      <c r="M1118" s="256" t="s">
        <v>408</v>
      </c>
      <c r="N1118" s="257"/>
    </row>
    <row r="1119" spans="1:14" ht="24" customHeight="1">
      <c r="A1119" s="8">
        <v>1075</v>
      </c>
      <c r="B1119" s="9">
        <v>1075</v>
      </c>
      <c r="C1119" s="254">
        <v>46049</v>
      </c>
      <c r="D1119" s="253" t="s">
        <v>238</v>
      </c>
      <c r="E1119" s="56" t="str">
        <f>IFERROR(VLOOKUP($D1119,본공사입.출고현황!$B:$H,E$2080,0),0)</f>
        <v>Steel round bar</v>
      </c>
      <c r="F1119" s="18" t="str">
        <f>IFERROR(VLOOKUP($D1119,본공사입.출고현황!$B:$H,F$2080,0),0)</f>
        <v>Steel round bar(rebar)</v>
      </c>
      <c r="G1119" s="18" t="str">
        <f>IFERROR(VLOOKUP($D1119,본공사입.출고현황!$B:$H,G$2080,0),0)</f>
        <v>CCGG</v>
      </c>
      <c r="H1119" s="18" t="str">
        <f>IFERROR(VLOOKUP($D1119,본공사입.출고현황!$B:$H,H$2080,0),0)</f>
        <v>ф10, 1ton=1,620.7m</v>
      </c>
      <c r="I1119" s="56" t="str">
        <f>IFERROR(VLOOKUP($D1119,본공사입.출고현황!$B:$H,I$2080,0),0)</f>
        <v>M</v>
      </c>
      <c r="J1119" s="253">
        <v>3</v>
      </c>
      <c r="K1119" s="253" t="s">
        <v>237</v>
      </c>
      <c r="L1119" s="255">
        <v>25</v>
      </c>
      <c r="M1119" s="256" t="s">
        <v>408</v>
      </c>
      <c r="N1119" s="257"/>
    </row>
    <row r="1120" spans="1:14" ht="24" customHeight="1">
      <c r="A1120" s="8">
        <v>1076</v>
      </c>
      <c r="B1120" s="9">
        <v>1076</v>
      </c>
      <c r="C1120" s="254">
        <v>46050</v>
      </c>
      <c r="D1120" s="253" t="s">
        <v>238</v>
      </c>
      <c r="E1120" s="56" t="str">
        <f>IFERROR(VLOOKUP($D1120,본공사입.출고현황!$B:$H,E$2080,0),0)</f>
        <v>Steel round bar</v>
      </c>
      <c r="F1120" s="18" t="str">
        <f>IFERROR(VLOOKUP($D1120,본공사입.출고현황!$B:$H,F$2080,0),0)</f>
        <v>Steel round bar(rebar)</v>
      </c>
      <c r="G1120" s="18" t="str">
        <f>IFERROR(VLOOKUP($D1120,본공사입.출고현황!$B:$H,G$2080,0),0)</f>
        <v>CCGG</v>
      </c>
      <c r="H1120" s="18" t="str">
        <f>IFERROR(VLOOKUP($D1120,본공사입.출고현황!$B:$H,H$2080,0),0)</f>
        <v>ф10, 1ton=1,620.7m</v>
      </c>
      <c r="I1120" s="56" t="str">
        <f>IFERROR(VLOOKUP($D1120,본공사입.출고현황!$B:$H,I$2080,0),0)</f>
        <v>M</v>
      </c>
      <c r="J1120" s="253">
        <v>1</v>
      </c>
      <c r="K1120" s="253" t="s">
        <v>352</v>
      </c>
      <c r="L1120" s="255">
        <v>25</v>
      </c>
      <c r="M1120" s="256" t="s">
        <v>408</v>
      </c>
      <c r="N1120" s="257"/>
    </row>
    <row r="1121" spans="1:14" ht="24" customHeight="1">
      <c r="A1121" s="8">
        <v>1077</v>
      </c>
      <c r="B1121" s="9">
        <v>1077</v>
      </c>
      <c r="C1121" s="254">
        <v>46050</v>
      </c>
      <c r="D1121" s="253" t="s">
        <v>238</v>
      </c>
      <c r="E1121" s="56" t="str">
        <f>IFERROR(VLOOKUP($D1121,본공사입.출고현황!$B:$H,E$2080,0),0)</f>
        <v>Steel round bar</v>
      </c>
      <c r="F1121" s="18" t="str">
        <f>IFERROR(VLOOKUP($D1121,본공사입.출고현황!$B:$H,F$2080,0),0)</f>
        <v>Steel round bar(rebar)</v>
      </c>
      <c r="G1121" s="18" t="str">
        <f>IFERROR(VLOOKUP($D1121,본공사입.출고현황!$B:$H,G$2080,0),0)</f>
        <v>CCGG</v>
      </c>
      <c r="H1121" s="18" t="str">
        <f>IFERROR(VLOOKUP($D1121,본공사입.출고현황!$B:$H,H$2080,0),0)</f>
        <v>ф10, 1ton=1,620.7m</v>
      </c>
      <c r="I1121" s="56" t="str">
        <f>IFERROR(VLOOKUP($D1121,본공사입.출고현황!$B:$H,I$2080,0),0)</f>
        <v>M</v>
      </c>
      <c r="J1121" s="253">
        <v>1</v>
      </c>
      <c r="K1121" s="253" t="s">
        <v>547</v>
      </c>
      <c r="L1121" s="255">
        <v>20</v>
      </c>
      <c r="M1121" s="256" t="s">
        <v>408</v>
      </c>
      <c r="N1121" s="257"/>
    </row>
    <row r="1122" spans="1:14" ht="24" customHeight="1">
      <c r="A1122" s="8">
        <v>1078</v>
      </c>
      <c r="B1122" s="9">
        <v>1078</v>
      </c>
      <c r="C1122" s="254">
        <v>46050</v>
      </c>
      <c r="D1122" s="253" t="s">
        <v>238</v>
      </c>
      <c r="E1122" s="56" t="str">
        <f>IFERROR(VLOOKUP($D1122,본공사입.출고현황!$B:$H,E$2080,0),0)</f>
        <v>Steel round bar</v>
      </c>
      <c r="F1122" s="18" t="str">
        <f>IFERROR(VLOOKUP($D1122,본공사입.출고현황!$B:$H,F$2080,0),0)</f>
        <v>Steel round bar(rebar)</v>
      </c>
      <c r="G1122" s="18" t="str">
        <f>IFERROR(VLOOKUP($D1122,본공사입.출고현황!$B:$H,G$2080,0),0)</f>
        <v>CCGG</v>
      </c>
      <c r="H1122" s="18" t="str">
        <f>IFERROR(VLOOKUP($D1122,본공사입.출고현황!$B:$H,H$2080,0),0)</f>
        <v>ф10, 1ton=1,620.7m</v>
      </c>
      <c r="I1122" s="56" t="str">
        <f>IFERROR(VLOOKUP($D1122,본공사입.출고현황!$B:$H,I$2080,0),0)</f>
        <v>M</v>
      </c>
      <c r="J1122" s="253">
        <v>2</v>
      </c>
      <c r="K1122" s="253" t="s">
        <v>360</v>
      </c>
      <c r="L1122" s="255">
        <v>25</v>
      </c>
      <c r="M1122" s="256" t="s">
        <v>408</v>
      </c>
      <c r="N1122" s="257"/>
    </row>
    <row r="1123" spans="1:14" ht="24" customHeight="1">
      <c r="A1123" s="8">
        <v>1079</v>
      </c>
      <c r="B1123" s="9">
        <v>1079</v>
      </c>
      <c r="C1123" s="254">
        <v>46050</v>
      </c>
      <c r="D1123" s="253" t="s">
        <v>238</v>
      </c>
      <c r="E1123" s="56" t="str">
        <f>IFERROR(VLOOKUP($D1123,본공사입.출고현황!$B:$H,E$2080,0),0)</f>
        <v>Steel round bar</v>
      </c>
      <c r="F1123" s="18" t="str">
        <f>IFERROR(VLOOKUP($D1123,본공사입.출고현황!$B:$H,F$2080,0),0)</f>
        <v>Steel round bar(rebar)</v>
      </c>
      <c r="G1123" s="18" t="str">
        <f>IFERROR(VLOOKUP($D1123,본공사입.출고현황!$B:$H,G$2080,0),0)</f>
        <v>CCGG</v>
      </c>
      <c r="H1123" s="18" t="str">
        <f>IFERROR(VLOOKUP($D1123,본공사입.출고현황!$B:$H,H$2080,0),0)</f>
        <v>ф10, 1ton=1,620.7m</v>
      </c>
      <c r="I1123" s="56" t="str">
        <f>IFERROR(VLOOKUP($D1123,본공사입.출고현황!$B:$H,I$2080,0),0)</f>
        <v>M</v>
      </c>
      <c r="J1123" s="253">
        <v>4</v>
      </c>
      <c r="K1123" s="253" t="s">
        <v>359</v>
      </c>
      <c r="L1123" s="255">
        <v>20</v>
      </c>
      <c r="M1123" s="256" t="s">
        <v>408</v>
      </c>
      <c r="N1123" s="257"/>
    </row>
    <row r="1124" spans="1:14" ht="24" customHeight="1">
      <c r="A1124" s="8">
        <v>1080</v>
      </c>
      <c r="B1124" s="9">
        <v>1080</v>
      </c>
      <c r="C1124" s="254">
        <v>46050</v>
      </c>
      <c r="D1124" s="253" t="s">
        <v>238</v>
      </c>
      <c r="E1124" s="56" t="str">
        <f>IFERROR(VLOOKUP($D1124,본공사입.출고현황!$B:$H,E$2080,0),0)</f>
        <v>Steel round bar</v>
      </c>
      <c r="F1124" s="18" t="str">
        <f>IFERROR(VLOOKUP($D1124,본공사입.출고현황!$B:$H,F$2080,0),0)</f>
        <v>Steel round bar(rebar)</v>
      </c>
      <c r="G1124" s="18" t="str">
        <f>IFERROR(VLOOKUP($D1124,본공사입.출고현황!$B:$H,G$2080,0),0)</f>
        <v>CCGG</v>
      </c>
      <c r="H1124" s="18" t="str">
        <f>IFERROR(VLOOKUP($D1124,본공사입.출고현황!$B:$H,H$2080,0),0)</f>
        <v>ф10, 1ton=1,620.7m</v>
      </c>
      <c r="I1124" s="56" t="str">
        <f>IFERROR(VLOOKUP($D1124,본공사입.출고현황!$B:$H,I$2080,0),0)</f>
        <v>M</v>
      </c>
      <c r="J1124" s="253">
        <v>2</v>
      </c>
      <c r="K1124" s="253" t="s">
        <v>546</v>
      </c>
      <c r="L1124" s="255">
        <v>25</v>
      </c>
      <c r="M1124" s="256" t="s">
        <v>408</v>
      </c>
      <c r="N1124" s="257"/>
    </row>
    <row r="1125" spans="1:14" ht="24" customHeight="1">
      <c r="A1125" s="8">
        <v>1081</v>
      </c>
      <c r="B1125" s="9">
        <v>1081</v>
      </c>
      <c r="C1125" s="254">
        <v>46050</v>
      </c>
      <c r="D1125" s="253" t="s">
        <v>238</v>
      </c>
      <c r="E1125" s="56" t="str">
        <f>IFERROR(VLOOKUP($D1125,본공사입.출고현황!$B:$H,E$2080,0),0)</f>
        <v>Steel round bar</v>
      </c>
      <c r="F1125" s="18" t="str">
        <f>IFERROR(VLOOKUP($D1125,본공사입.출고현황!$B:$H,F$2080,0),0)</f>
        <v>Steel round bar(rebar)</v>
      </c>
      <c r="G1125" s="18" t="str">
        <f>IFERROR(VLOOKUP($D1125,본공사입.출고현황!$B:$H,G$2080,0),0)</f>
        <v>CCGG</v>
      </c>
      <c r="H1125" s="18" t="str">
        <f>IFERROR(VLOOKUP($D1125,본공사입.출고현황!$B:$H,H$2080,0),0)</f>
        <v>ф10, 1ton=1,620.7m</v>
      </c>
      <c r="I1125" s="56" t="str">
        <f>IFERROR(VLOOKUP($D1125,본공사입.출고현황!$B:$H,I$2080,0),0)</f>
        <v>M</v>
      </c>
      <c r="J1125" s="253">
        <v>1</v>
      </c>
      <c r="K1125" s="253" t="s">
        <v>545</v>
      </c>
      <c r="L1125" s="255">
        <v>15</v>
      </c>
      <c r="M1125" s="256" t="s">
        <v>408</v>
      </c>
      <c r="N1125" s="257"/>
    </row>
    <row r="1126" spans="1:14" ht="24" customHeight="1">
      <c r="A1126" s="8">
        <v>1082</v>
      </c>
      <c r="B1126" s="9">
        <v>1082</v>
      </c>
      <c r="C1126" s="254">
        <v>46050</v>
      </c>
      <c r="D1126" s="253" t="s">
        <v>238</v>
      </c>
      <c r="E1126" s="56" t="str">
        <f>IFERROR(VLOOKUP($D1126,본공사입.출고현황!$B:$H,E$2080,0),0)</f>
        <v>Steel round bar</v>
      </c>
      <c r="F1126" s="18" t="str">
        <f>IFERROR(VLOOKUP($D1126,본공사입.출고현황!$B:$H,F$2080,0),0)</f>
        <v>Steel round bar(rebar)</v>
      </c>
      <c r="G1126" s="18" t="str">
        <f>IFERROR(VLOOKUP($D1126,본공사입.출고현황!$B:$H,G$2080,0),0)</f>
        <v>CCGG</v>
      </c>
      <c r="H1126" s="18" t="str">
        <f>IFERROR(VLOOKUP($D1126,본공사입.출고현황!$B:$H,H$2080,0),0)</f>
        <v>ф10, 1ton=1,620.7m</v>
      </c>
      <c r="I1126" s="56" t="str">
        <f>IFERROR(VLOOKUP($D1126,본공사입.출고현황!$B:$H,I$2080,0),0)</f>
        <v>M</v>
      </c>
      <c r="J1126" s="253">
        <v>2</v>
      </c>
      <c r="K1126" s="253" t="s">
        <v>241</v>
      </c>
      <c r="L1126" s="255">
        <v>50</v>
      </c>
      <c r="M1126" s="256" t="s">
        <v>408</v>
      </c>
      <c r="N1126" s="257"/>
    </row>
    <row r="1127" spans="1:14" ht="24" customHeight="1">
      <c r="A1127" s="8">
        <v>1083</v>
      </c>
      <c r="B1127" s="9">
        <v>1083</v>
      </c>
      <c r="C1127" s="254">
        <v>46050</v>
      </c>
      <c r="D1127" s="253" t="s">
        <v>238</v>
      </c>
      <c r="E1127" s="56" t="str">
        <f>IFERROR(VLOOKUP($D1127,본공사입.출고현황!$B:$H,E$2080,0),0)</f>
        <v>Steel round bar</v>
      </c>
      <c r="F1127" s="18" t="str">
        <f>IFERROR(VLOOKUP($D1127,본공사입.출고현황!$B:$H,F$2080,0),0)</f>
        <v>Steel round bar(rebar)</v>
      </c>
      <c r="G1127" s="18" t="str">
        <f>IFERROR(VLOOKUP($D1127,본공사입.출고현황!$B:$H,G$2080,0),0)</f>
        <v>CCGG</v>
      </c>
      <c r="H1127" s="18" t="str">
        <f>IFERROR(VLOOKUP($D1127,본공사입.출고현황!$B:$H,H$2080,0),0)</f>
        <v>ф10, 1ton=1,620.7m</v>
      </c>
      <c r="I1127" s="56" t="str">
        <f>IFERROR(VLOOKUP($D1127,본공사입.출고현황!$B:$H,I$2080,0),0)</f>
        <v>M</v>
      </c>
      <c r="J1127" s="253" t="s">
        <v>634</v>
      </c>
      <c r="K1127" s="253"/>
      <c r="L1127" s="255">
        <v>500</v>
      </c>
      <c r="M1127" s="256" t="s">
        <v>408</v>
      </c>
      <c r="N1127" s="257" t="s">
        <v>41</v>
      </c>
    </row>
    <row r="1128" spans="1:14" ht="24" customHeight="1">
      <c r="A1128" s="8">
        <v>1084</v>
      </c>
      <c r="B1128" s="9">
        <v>1084</v>
      </c>
      <c r="C1128" s="46">
        <v>46051</v>
      </c>
      <c r="D1128" s="9" t="s">
        <v>238</v>
      </c>
      <c r="E1128" s="56" t="str">
        <f>IFERROR(VLOOKUP($D1128,본공사입.출고현황!$B:$H,E$2080,0),0)</f>
        <v>Steel round bar</v>
      </c>
      <c r="F1128" s="18" t="str">
        <f>IFERROR(VLOOKUP($D1128,본공사입.출고현황!$B:$H,F$2080,0),0)</f>
        <v>Steel round bar(rebar)</v>
      </c>
      <c r="G1128" s="18" t="str">
        <f>IFERROR(VLOOKUP($D1128,본공사입.출고현황!$B:$H,G$2080,0),0)</f>
        <v>CCGG</v>
      </c>
      <c r="H1128" s="18" t="str">
        <f>IFERROR(VLOOKUP($D1128,본공사입.출고현황!$B:$H,H$2080,0),0)</f>
        <v>ф10, 1ton=1,620.7m</v>
      </c>
      <c r="I1128" s="56" t="str">
        <f>IFERROR(VLOOKUP($D1128,본공사입.출고현황!$B:$H,I$2080,0),0)</f>
        <v>M</v>
      </c>
      <c r="J1128" s="9">
        <v>2</v>
      </c>
      <c r="K1128" s="9" t="s">
        <v>546</v>
      </c>
      <c r="L1128" s="37">
        <v>30</v>
      </c>
      <c r="M1128" s="64" t="s">
        <v>638</v>
      </c>
      <c r="N1128" s="42"/>
    </row>
    <row r="1129" spans="1:14" ht="24" customHeight="1">
      <c r="A1129" s="8">
        <v>1085</v>
      </c>
      <c r="B1129" s="9">
        <v>1085</v>
      </c>
      <c r="C1129" s="46">
        <v>46051</v>
      </c>
      <c r="D1129" s="9" t="s">
        <v>238</v>
      </c>
      <c r="E1129" s="56" t="str">
        <f>IFERROR(VLOOKUP($D1129,본공사입.출고현황!$B:$H,E$2080,0),0)</f>
        <v>Steel round bar</v>
      </c>
      <c r="F1129" s="18" t="str">
        <f>IFERROR(VLOOKUP($D1129,본공사입.출고현황!$B:$H,F$2080,0),0)</f>
        <v>Steel round bar(rebar)</v>
      </c>
      <c r="G1129" s="18" t="str">
        <f>IFERROR(VLOOKUP($D1129,본공사입.출고현황!$B:$H,G$2080,0),0)</f>
        <v>CCGG</v>
      </c>
      <c r="H1129" s="18" t="str">
        <f>IFERROR(VLOOKUP($D1129,본공사입.출고현황!$B:$H,H$2080,0),0)</f>
        <v>ф10, 1ton=1,620.7m</v>
      </c>
      <c r="I1129" s="56" t="str">
        <f>IFERROR(VLOOKUP($D1129,본공사입.출고현황!$B:$H,I$2080,0),0)</f>
        <v>M</v>
      </c>
      <c r="J1129" s="9">
        <v>1</v>
      </c>
      <c r="K1129" s="9" t="s">
        <v>363</v>
      </c>
      <c r="L1129" s="37">
        <v>30</v>
      </c>
      <c r="M1129" s="64" t="s">
        <v>638</v>
      </c>
      <c r="N1129" s="42"/>
    </row>
    <row r="1130" spans="1:14" ht="24" customHeight="1">
      <c r="A1130" s="8">
        <v>1086</v>
      </c>
      <c r="B1130" s="9">
        <v>1086</v>
      </c>
      <c r="C1130" s="46">
        <v>46051</v>
      </c>
      <c r="D1130" s="9" t="s">
        <v>238</v>
      </c>
      <c r="E1130" s="56" t="str">
        <f>IFERROR(VLOOKUP($D1130,본공사입.출고현황!$B:$H,E$2080,0),0)</f>
        <v>Steel round bar</v>
      </c>
      <c r="F1130" s="18" t="str">
        <f>IFERROR(VLOOKUP($D1130,본공사입.출고현황!$B:$H,F$2080,0),0)</f>
        <v>Steel round bar(rebar)</v>
      </c>
      <c r="G1130" s="18" t="str">
        <f>IFERROR(VLOOKUP($D1130,본공사입.출고현황!$B:$H,G$2080,0),0)</f>
        <v>CCGG</v>
      </c>
      <c r="H1130" s="18" t="str">
        <f>IFERROR(VLOOKUP($D1130,본공사입.출고현황!$B:$H,H$2080,0),0)</f>
        <v>ф10, 1ton=1,620.7m</v>
      </c>
      <c r="I1130" s="56" t="str">
        <f>IFERROR(VLOOKUP($D1130,본공사입.출고현황!$B:$H,I$2080,0),0)</f>
        <v>M</v>
      </c>
      <c r="J1130" s="9">
        <v>1</v>
      </c>
      <c r="K1130" s="9" t="s">
        <v>363</v>
      </c>
      <c r="L1130" s="37">
        <v>20</v>
      </c>
      <c r="M1130" s="64" t="s">
        <v>638</v>
      </c>
      <c r="N1130" s="42"/>
    </row>
    <row r="1131" spans="1:14" ht="24" customHeight="1">
      <c r="A1131" s="8">
        <v>1087</v>
      </c>
      <c r="B1131" s="9">
        <v>1087</v>
      </c>
      <c r="C1131" s="46">
        <v>46051</v>
      </c>
      <c r="D1131" s="9" t="s">
        <v>238</v>
      </c>
      <c r="E1131" s="56" t="str">
        <f>IFERROR(VLOOKUP($D1131,본공사입.출고현황!$B:$H,E$2080,0),0)</f>
        <v>Steel round bar</v>
      </c>
      <c r="F1131" s="18" t="str">
        <f>IFERROR(VLOOKUP($D1131,본공사입.출고현황!$B:$H,F$2080,0),0)</f>
        <v>Steel round bar(rebar)</v>
      </c>
      <c r="G1131" s="18" t="str">
        <f>IFERROR(VLOOKUP($D1131,본공사입.출고현황!$B:$H,G$2080,0),0)</f>
        <v>CCGG</v>
      </c>
      <c r="H1131" s="18" t="str">
        <f>IFERROR(VLOOKUP($D1131,본공사입.출고현황!$B:$H,H$2080,0),0)</f>
        <v>ф10, 1ton=1,620.7m</v>
      </c>
      <c r="I1131" s="56" t="str">
        <f>IFERROR(VLOOKUP($D1131,본공사입.출고현황!$B:$H,I$2080,0),0)</f>
        <v>M</v>
      </c>
      <c r="J1131" s="9">
        <v>2</v>
      </c>
      <c r="K1131" s="9" t="s">
        <v>360</v>
      </c>
      <c r="L1131" s="37">
        <v>20</v>
      </c>
      <c r="M1131" s="64" t="s">
        <v>638</v>
      </c>
      <c r="N1131" s="42"/>
    </row>
    <row r="1132" spans="1:14" ht="24" customHeight="1">
      <c r="A1132" s="8">
        <v>1088</v>
      </c>
      <c r="B1132" s="9">
        <v>1088</v>
      </c>
      <c r="C1132" s="46">
        <v>46051</v>
      </c>
      <c r="D1132" s="9" t="s">
        <v>238</v>
      </c>
      <c r="E1132" s="56" t="str">
        <f>IFERROR(VLOOKUP($D1132,본공사입.출고현황!$B:$H,E$2080,0),0)</f>
        <v>Steel round bar</v>
      </c>
      <c r="F1132" s="18" t="str">
        <f>IFERROR(VLOOKUP($D1132,본공사입.출고현황!$B:$H,F$2080,0),0)</f>
        <v>Steel round bar(rebar)</v>
      </c>
      <c r="G1132" s="18" t="str">
        <f>IFERROR(VLOOKUP($D1132,본공사입.출고현황!$B:$H,G$2080,0),0)</f>
        <v>CCGG</v>
      </c>
      <c r="H1132" s="18" t="str">
        <f>IFERROR(VLOOKUP($D1132,본공사입.출고현황!$B:$H,H$2080,0),0)</f>
        <v>ф10, 1ton=1,620.7m</v>
      </c>
      <c r="I1132" s="56" t="str">
        <f>IFERROR(VLOOKUP($D1132,본공사입.출고현황!$B:$H,I$2080,0),0)</f>
        <v>M</v>
      </c>
      <c r="J1132" s="9">
        <v>1</v>
      </c>
      <c r="K1132" s="9" t="s">
        <v>352</v>
      </c>
      <c r="L1132" s="37">
        <v>30</v>
      </c>
      <c r="M1132" s="64" t="s">
        <v>638</v>
      </c>
      <c r="N1132" s="42"/>
    </row>
    <row r="1133" spans="1:14" ht="24" customHeight="1">
      <c r="A1133" s="8">
        <v>1089</v>
      </c>
      <c r="B1133" s="9">
        <v>1089</v>
      </c>
      <c r="C1133" s="46">
        <v>46051</v>
      </c>
      <c r="D1133" s="9" t="s">
        <v>238</v>
      </c>
      <c r="E1133" s="56" t="str">
        <f>IFERROR(VLOOKUP($D1133,본공사입.출고현황!$B:$H,E$2080,0),0)</f>
        <v>Steel round bar</v>
      </c>
      <c r="F1133" s="18" t="str">
        <f>IFERROR(VLOOKUP($D1133,본공사입.출고현황!$B:$H,F$2080,0),0)</f>
        <v>Steel round bar(rebar)</v>
      </c>
      <c r="G1133" s="18" t="str">
        <f>IFERROR(VLOOKUP($D1133,본공사입.출고현황!$B:$H,G$2080,0),0)</f>
        <v>CCGG</v>
      </c>
      <c r="H1133" s="18" t="str">
        <f>IFERROR(VLOOKUP($D1133,본공사입.출고현황!$B:$H,H$2080,0),0)</f>
        <v>ф10, 1ton=1,620.7m</v>
      </c>
      <c r="I1133" s="56" t="str">
        <f>IFERROR(VLOOKUP($D1133,본공사입.출고현황!$B:$H,I$2080,0),0)</f>
        <v>M</v>
      </c>
      <c r="J1133" s="9">
        <v>1</v>
      </c>
      <c r="K1133" s="9" t="s">
        <v>363</v>
      </c>
      <c r="L1133" s="37">
        <v>25</v>
      </c>
      <c r="M1133" s="64" t="s">
        <v>638</v>
      </c>
      <c r="N1133" s="42"/>
    </row>
    <row r="1134" spans="1:14" ht="24" customHeight="1">
      <c r="A1134" s="8">
        <v>1090</v>
      </c>
      <c r="B1134" s="9">
        <v>1090</v>
      </c>
      <c r="C1134" s="46">
        <v>46052</v>
      </c>
      <c r="D1134" s="9" t="s">
        <v>238</v>
      </c>
      <c r="E1134" s="56" t="str">
        <f>IFERROR(VLOOKUP($D1134,본공사입.출고현황!$B:$H,E$2080,0),0)</f>
        <v>Steel round bar</v>
      </c>
      <c r="F1134" s="18" t="str">
        <f>IFERROR(VLOOKUP($D1134,본공사입.출고현황!$B:$H,F$2080,0),0)</f>
        <v>Steel round bar(rebar)</v>
      </c>
      <c r="G1134" s="18" t="str">
        <f>IFERROR(VLOOKUP($D1134,본공사입.출고현황!$B:$H,G$2080,0),0)</f>
        <v>CCGG</v>
      </c>
      <c r="H1134" s="18" t="str">
        <f>IFERROR(VLOOKUP($D1134,본공사입.출고현황!$B:$H,H$2080,0),0)</f>
        <v>ф10, 1ton=1,620.7m</v>
      </c>
      <c r="I1134" s="56" t="str">
        <f>IFERROR(VLOOKUP($D1134,본공사입.출고현황!$B:$H,I$2080,0),0)</f>
        <v>M</v>
      </c>
      <c r="J1134" s="9">
        <v>1</v>
      </c>
      <c r="K1134" s="9" t="s">
        <v>545</v>
      </c>
      <c r="L1134" s="37">
        <v>15</v>
      </c>
      <c r="M1134" s="64" t="s">
        <v>638</v>
      </c>
      <c r="N1134" s="42"/>
    </row>
    <row r="1135" spans="1:14" ht="24" customHeight="1">
      <c r="A1135" s="8">
        <v>1091</v>
      </c>
      <c r="B1135" s="9">
        <v>1091</v>
      </c>
      <c r="C1135" s="46">
        <v>46052</v>
      </c>
      <c r="D1135" s="9" t="s">
        <v>238</v>
      </c>
      <c r="E1135" s="56" t="str">
        <f>IFERROR(VLOOKUP($D1135,본공사입.출고현황!$B:$H,E$2080,0),0)</f>
        <v>Steel round bar</v>
      </c>
      <c r="F1135" s="18" t="str">
        <f>IFERROR(VLOOKUP($D1135,본공사입.출고현황!$B:$H,F$2080,0),0)</f>
        <v>Steel round bar(rebar)</v>
      </c>
      <c r="G1135" s="18" t="str">
        <f>IFERROR(VLOOKUP($D1135,본공사입.출고현황!$B:$H,G$2080,0),0)</f>
        <v>CCGG</v>
      </c>
      <c r="H1135" s="18" t="str">
        <f>IFERROR(VLOOKUP($D1135,본공사입.출고현황!$B:$H,H$2080,0),0)</f>
        <v>ф10, 1ton=1,620.7m</v>
      </c>
      <c r="I1135" s="56" t="str">
        <f>IFERROR(VLOOKUP($D1135,본공사입.출고현황!$B:$H,I$2080,0),0)</f>
        <v>M</v>
      </c>
      <c r="J1135" s="9">
        <v>2</v>
      </c>
      <c r="K1135" s="9" t="s">
        <v>241</v>
      </c>
      <c r="L1135" s="37">
        <v>30</v>
      </c>
      <c r="M1135" s="64" t="s">
        <v>638</v>
      </c>
      <c r="N1135" s="42"/>
    </row>
    <row r="1136" spans="1:14" ht="24" customHeight="1">
      <c r="A1136" s="8">
        <v>1092</v>
      </c>
      <c r="B1136" s="9">
        <v>1092</v>
      </c>
      <c r="C1136" s="46">
        <v>46052</v>
      </c>
      <c r="D1136" s="9" t="s">
        <v>238</v>
      </c>
      <c r="E1136" s="56" t="str">
        <f>IFERROR(VLOOKUP($D1136,본공사입.출고현황!$B:$H,E$2080,0),0)</f>
        <v>Steel round bar</v>
      </c>
      <c r="F1136" s="18" t="str">
        <f>IFERROR(VLOOKUP($D1136,본공사입.출고현황!$B:$H,F$2080,0),0)</f>
        <v>Steel round bar(rebar)</v>
      </c>
      <c r="G1136" s="18" t="str">
        <f>IFERROR(VLOOKUP($D1136,본공사입.출고현황!$B:$H,G$2080,0),0)</f>
        <v>CCGG</v>
      </c>
      <c r="H1136" s="18" t="str">
        <f>IFERROR(VLOOKUP($D1136,본공사입.출고현황!$B:$H,H$2080,0),0)</f>
        <v>ф10, 1ton=1,620.7m</v>
      </c>
      <c r="I1136" s="56" t="str">
        <f>IFERROR(VLOOKUP($D1136,본공사입.출고현황!$B:$H,I$2080,0),0)</f>
        <v>M</v>
      </c>
      <c r="J1136" s="9">
        <v>1</v>
      </c>
      <c r="K1136" s="9" t="s">
        <v>352</v>
      </c>
      <c r="L1136" s="37">
        <v>30</v>
      </c>
      <c r="M1136" s="64" t="s">
        <v>638</v>
      </c>
      <c r="N1136" s="42"/>
    </row>
    <row r="1137" spans="1:14" ht="24" customHeight="1">
      <c r="A1137" s="8">
        <v>1093</v>
      </c>
      <c r="B1137" s="9">
        <v>1093</v>
      </c>
      <c r="C1137" s="46">
        <v>46052</v>
      </c>
      <c r="D1137" s="9" t="s">
        <v>238</v>
      </c>
      <c r="E1137" s="56" t="str">
        <f>IFERROR(VLOOKUP($D1137,본공사입.출고현황!$B:$H,E$2080,0),0)</f>
        <v>Steel round bar</v>
      </c>
      <c r="F1137" s="18" t="str">
        <f>IFERROR(VLOOKUP($D1137,본공사입.출고현황!$B:$H,F$2080,0),0)</f>
        <v>Steel round bar(rebar)</v>
      </c>
      <c r="G1137" s="18" t="str">
        <f>IFERROR(VLOOKUP($D1137,본공사입.출고현황!$B:$H,G$2080,0),0)</f>
        <v>CCGG</v>
      </c>
      <c r="H1137" s="18" t="str">
        <f>IFERROR(VLOOKUP($D1137,본공사입.출고현황!$B:$H,H$2080,0),0)</f>
        <v>ф10, 1ton=1,620.7m</v>
      </c>
      <c r="I1137" s="56" t="str">
        <f>IFERROR(VLOOKUP($D1137,본공사입.출고현황!$B:$H,I$2080,0),0)</f>
        <v>M</v>
      </c>
      <c r="J1137" s="9">
        <v>1</v>
      </c>
      <c r="K1137" s="9" t="s">
        <v>363</v>
      </c>
      <c r="L1137" s="37">
        <v>20</v>
      </c>
      <c r="M1137" s="64" t="s">
        <v>638</v>
      </c>
      <c r="N1137" s="42"/>
    </row>
    <row r="1138" spans="1:14" ht="24" customHeight="1">
      <c r="A1138" s="8">
        <v>1094</v>
      </c>
      <c r="B1138" s="9">
        <v>1094</v>
      </c>
      <c r="C1138" s="46">
        <v>46052</v>
      </c>
      <c r="D1138" s="9" t="s">
        <v>238</v>
      </c>
      <c r="E1138" s="56" t="str">
        <f>IFERROR(VLOOKUP($D1138,본공사입.출고현황!$B:$H,E$2080,0),0)</f>
        <v>Steel round bar</v>
      </c>
      <c r="F1138" s="18" t="str">
        <f>IFERROR(VLOOKUP($D1138,본공사입.출고현황!$B:$H,F$2080,0),0)</f>
        <v>Steel round bar(rebar)</v>
      </c>
      <c r="G1138" s="18" t="str">
        <f>IFERROR(VLOOKUP($D1138,본공사입.출고현황!$B:$H,G$2080,0),0)</f>
        <v>CCGG</v>
      </c>
      <c r="H1138" s="18" t="str">
        <f>IFERROR(VLOOKUP($D1138,본공사입.출고현황!$B:$H,H$2080,0),0)</f>
        <v>ф10, 1ton=1,620.7m</v>
      </c>
      <c r="I1138" s="56" t="str">
        <f>IFERROR(VLOOKUP($D1138,본공사입.출고현황!$B:$H,I$2080,0),0)</f>
        <v>M</v>
      </c>
      <c r="J1138" s="9">
        <v>1</v>
      </c>
      <c r="K1138" s="9" t="s">
        <v>363</v>
      </c>
      <c r="L1138" s="37">
        <v>20</v>
      </c>
      <c r="M1138" s="64" t="s">
        <v>638</v>
      </c>
      <c r="N1138" s="42"/>
    </row>
    <row r="1139" spans="1:14" ht="24" customHeight="1">
      <c r="A1139" s="8">
        <v>1095</v>
      </c>
      <c r="B1139" s="9">
        <v>1095</v>
      </c>
      <c r="C1139" s="46">
        <v>46053</v>
      </c>
      <c r="D1139" s="9" t="s">
        <v>238</v>
      </c>
      <c r="E1139" s="56" t="str">
        <f>IFERROR(VLOOKUP($D1139,본공사입.출고현황!$B:$H,E$2080,0),0)</f>
        <v>Steel round bar</v>
      </c>
      <c r="F1139" s="18" t="str">
        <f>IFERROR(VLOOKUP($D1139,본공사입.출고현황!$B:$H,F$2080,0),0)</f>
        <v>Steel round bar(rebar)</v>
      </c>
      <c r="G1139" s="18" t="str">
        <f>IFERROR(VLOOKUP($D1139,본공사입.출고현황!$B:$H,G$2080,0),0)</f>
        <v>CCGG</v>
      </c>
      <c r="H1139" s="18" t="str">
        <f>IFERROR(VLOOKUP($D1139,본공사입.출고현황!$B:$H,H$2080,0),0)</f>
        <v>ф10, 1ton=1,620.7m</v>
      </c>
      <c r="I1139" s="56" t="str">
        <f>IFERROR(VLOOKUP($D1139,본공사입.출고현황!$B:$H,I$2080,0),0)</f>
        <v>M</v>
      </c>
      <c r="J1139" s="9">
        <v>2</v>
      </c>
      <c r="K1139" s="9" t="s">
        <v>360</v>
      </c>
      <c r="L1139" s="37">
        <v>50</v>
      </c>
      <c r="M1139" s="64" t="s">
        <v>638</v>
      </c>
      <c r="N1139" s="42"/>
    </row>
    <row r="1140" spans="1:14" ht="24" customHeight="1">
      <c r="A1140" s="8">
        <v>1096</v>
      </c>
      <c r="B1140" s="9">
        <v>1096</v>
      </c>
      <c r="C1140" s="46">
        <v>46053</v>
      </c>
      <c r="D1140" s="9" t="s">
        <v>238</v>
      </c>
      <c r="E1140" s="56" t="str">
        <f>IFERROR(VLOOKUP($D1140,본공사입.출고현황!$B:$H,E$2080,0),0)</f>
        <v>Steel round bar</v>
      </c>
      <c r="F1140" s="18" t="str">
        <f>IFERROR(VLOOKUP($D1140,본공사입.출고현황!$B:$H,F$2080,0),0)</f>
        <v>Steel round bar(rebar)</v>
      </c>
      <c r="G1140" s="18" t="str">
        <f>IFERROR(VLOOKUP($D1140,본공사입.출고현황!$B:$H,G$2080,0),0)</f>
        <v>CCGG</v>
      </c>
      <c r="H1140" s="18" t="str">
        <f>IFERROR(VLOOKUP($D1140,본공사입.출고현황!$B:$H,H$2080,0),0)</f>
        <v>ф10, 1ton=1,620.7m</v>
      </c>
      <c r="I1140" s="56" t="str">
        <f>IFERROR(VLOOKUP($D1140,본공사입.출고현황!$B:$H,I$2080,0),0)</f>
        <v>M</v>
      </c>
      <c r="J1140" s="9">
        <v>4</v>
      </c>
      <c r="K1140" s="9" t="s">
        <v>359</v>
      </c>
      <c r="L1140" s="37">
        <v>50</v>
      </c>
      <c r="M1140" s="64" t="s">
        <v>638</v>
      </c>
      <c r="N1140" s="42"/>
    </row>
    <row r="1141" spans="1:14" ht="24" customHeight="1">
      <c r="A1141" s="8">
        <v>1097</v>
      </c>
      <c r="B1141" s="9">
        <v>1097</v>
      </c>
      <c r="C1141" s="46">
        <v>46053</v>
      </c>
      <c r="D1141" s="9" t="s">
        <v>238</v>
      </c>
      <c r="E1141" s="56" t="str">
        <f>IFERROR(VLOOKUP($D1141,본공사입.출고현황!$B:$H,E$2080,0),0)</f>
        <v>Steel round bar</v>
      </c>
      <c r="F1141" s="18" t="str">
        <f>IFERROR(VLOOKUP($D1141,본공사입.출고현황!$B:$H,F$2080,0),0)</f>
        <v>Steel round bar(rebar)</v>
      </c>
      <c r="G1141" s="18" t="str">
        <f>IFERROR(VLOOKUP($D1141,본공사입.출고현황!$B:$H,G$2080,0),0)</f>
        <v>CCGG</v>
      </c>
      <c r="H1141" s="18" t="str">
        <f>IFERROR(VLOOKUP($D1141,본공사입.출고현황!$B:$H,H$2080,0),0)</f>
        <v>ф10, 1ton=1,620.7m</v>
      </c>
      <c r="I1141" s="56" t="str">
        <f>IFERROR(VLOOKUP($D1141,본공사입.출고현황!$B:$H,I$2080,0),0)</f>
        <v>M</v>
      </c>
      <c r="J1141" s="9">
        <v>1</v>
      </c>
      <c r="K1141" s="9" t="s">
        <v>352</v>
      </c>
      <c r="L1141" s="37">
        <v>25</v>
      </c>
      <c r="M1141" s="64" t="s">
        <v>638</v>
      </c>
      <c r="N1141" s="42"/>
    </row>
    <row r="1142" spans="1:14" ht="24" customHeight="1">
      <c r="A1142" s="8">
        <v>1098</v>
      </c>
      <c r="B1142" s="9">
        <v>1098</v>
      </c>
      <c r="C1142" s="46">
        <v>46054</v>
      </c>
      <c r="D1142" s="9" t="s">
        <v>238</v>
      </c>
      <c r="E1142" s="56" t="str">
        <f>IFERROR(VLOOKUP($D1142,본공사입.출고현황!$B:$H,E$2080,0),0)</f>
        <v>Steel round bar</v>
      </c>
      <c r="F1142" s="18" t="str">
        <f>IFERROR(VLOOKUP($D1142,본공사입.출고현황!$B:$H,F$2080,0),0)</f>
        <v>Steel round bar(rebar)</v>
      </c>
      <c r="G1142" s="18" t="str">
        <f>IFERROR(VLOOKUP($D1142,본공사입.출고현황!$B:$H,G$2080,0),0)</f>
        <v>CCGG</v>
      </c>
      <c r="H1142" s="18" t="str">
        <f>IFERROR(VLOOKUP($D1142,본공사입.출고현황!$B:$H,H$2080,0),0)</f>
        <v>ф10, 1ton=1,620.7m</v>
      </c>
      <c r="I1142" s="56" t="str">
        <f>IFERROR(VLOOKUP($D1142,본공사입.출고현황!$B:$H,I$2080,0),0)</f>
        <v>M</v>
      </c>
      <c r="J1142" s="9">
        <v>1</v>
      </c>
      <c r="K1142" s="9" t="s">
        <v>352</v>
      </c>
      <c r="L1142" s="37">
        <v>30</v>
      </c>
      <c r="M1142" s="64" t="s">
        <v>638</v>
      </c>
      <c r="N1142" s="42"/>
    </row>
    <row r="1143" spans="1:14" ht="24" customHeight="1">
      <c r="A1143" s="8">
        <v>1099</v>
      </c>
      <c r="B1143" s="9">
        <v>1099</v>
      </c>
      <c r="C1143" s="46">
        <v>46054</v>
      </c>
      <c r="D1143" s="9" t="s">
        <v>238</v>
      </c>
      <c r="E1143" s="56" t="str">
        <f>IFERROR(VLOOKUP($D1143,본공사입.출고현황!$B:$H,E$2080,0),0)</f>
        <v>Steel round bar</v>
      </c>
      <c r="F1143" s="18" t="str">
        <f>IFERROR(VLOOKUP($D1143,본공사입.출고현황!$B:$H,F$2080,0),0)</f>
        <v>Steel round bar(rebar)</v>
      </c>
      <c r="G1143" s="18" t="str">
        <f>IFERROR(VLOOKUP($D1143,본공사입.출고현황!$B:$H,G$2080,0),0)</f>
        <v>CCGG</v>
      </c>
      <c r="H1143" s="18" t="str">
        <f>IFERROR(VLOOKUP($D1143,본공사입.출고현황!$B:$H,H$2080,0),0)</f>
        <v>ф10, 1ton=1,620.7m</v>
      </c>
      <c r="I1143" s="56" t="str">
        <f>IFERROR(VLOOKUP($D1143,본공사입.출고현황!$B:$H,I$2080,0),0)</f>
        <v>M</v>
      </c>
      <c r="J1143" s="9">
        <v>2</v>
      </c>
      <c r="K1143" s="9" t="s">
        <v>360</v>
      </c>
      <c r="L1143" s="37">
        <v>50</v>
      </c>
      <c r="M1143" s="64" t="s">
        <v>638</v>
      </c>
      <c r="N1143" s="42"/>
    </row>
    <row r="1144" spans="1:14" ht="24" customHeight="1">
      <c r="A1144" s="8">
        <v>1100</v>
      </c>
      <c r="B1144" s="9">
        <v>1100</v>
      </c>
      <c r="C1144" s="46">
        <v>46054</v>
      </c>
      <c r="D1144" s="9" t="s">
        <v>238</v>
      </c>
      <c r="E1144" s="56" t="str">
        <f>IFERROR(VLOOKUP($D1144,본공사입.출고현황!$B:$H,E$2080,0),0)</f>
        <v>Steel round bar</v>
      </c>
      <c r="F1144" s="18" t="str">
        <f>IFERROR(VLOOKUP($D1144,본공사입.출고현황!$B:$H,F$2080,0),0)</f>
        <v>Steel round bar(rebar)</v>
      </c>
      <c r="G1144" s="18" t="str">
        <f>IFERROR(VLOOKUP($D1144,본공사입.출고현황!$B:$H,G$2080,0),0)</f>
        <v>CCGG</v>
      </c>
      <c r="H1144" s="18" t="str">
        <f>IFERROR(VLOOKUP($D1144,본공사입.출고현황!$B:$H,H$2080,0),0)</f>
        <v>ф10, 1ton=1,620.7m</v>
      </c>
      <c r="I1144" s="56" t="str">
        <f>IFERROR(VLOOKUP($D1144,본공사입.출고현황!$B:$H,I$2080,0),0)</f>
        <v>M</v>
      </c>
      <c r="J1144" s="9">
        <v>1</v>
      </c>
      <c r="K1144" s="9" t="s">
        <v>352</v>
      </c>
      <c r="L1144" s="37">
        <v>25</v>
      </c>
      <c r="M1144" s="64" t="s">
        <v>638</v>
      </c>
      <c r="N1144" s="42"/>
    </row>
    <row r="1145" spans="1:14" ht="24" customHeight="1">
      <c r="A1145" s="8">
        <v>1101</v>
      </c>
      <c r="B1145" s="9">
        <v>1101</v>
      </c>
      <c r="C1145" s="46">
        <v>46054</v>
      </c>
      <c r="D1145" s="9" t="s">
        <v>238</v>
      </c>
      <c r="E1145" s="56" t="str">
        <f>IFERROR(VLOOKUP($D1145,본공사입.출고현황!$B:$H,E$2080,0),0)</f>
        <v>Steel round bar</v>
      </c>
      <c r="F1145" s="18" t="str">
        <f>IFERROR(VLOOKUP($D1145,본공사입.출고현황!$B:$H,F$2080,0),0)</f>
        <v>Steel round bar(rebar)</v>
      </c>
      <c r="G1145" s="18" t="str">
        <f>IFERROR(VLOOKUP($D1145,본공사입.출고현황!$B:$H,G$2080,0),0)</f>
        <v>CCGG</v>
      </c>
      <c r="H1145" s="18" t="str">
        <f>IFERROR(VLOOKUP($D1145,본공사입.출고현황!$B:$H,H$2080,0),0)</f>
        <v>ф10, 1ton=1,620.7m</v>
      </c>
      <c r="I1145" s="56" t="str">
        <f>IFERROR(VLOOKUP($D1145,본공사입.출고현황!$B:$H,I$2080,0),0)</f>
        <v>M</v>
      </c>
      <c r="J1145" s="9">
        <v>1</v>
      </c>
      <c r="K1145" s="9" t="s">
        <v>363</v>
      </c>
      <c r="L1145" s="37">
        <v>70</v>
      </c>
      <c r="M1145" s="64" t="s">
        <v>638</v>
      </c>
      <c r="N1145" s="42"/>
    </row>
    <row r="1146" spans="1:14" ht="24" customHeight="1">
      <c r="A1146" s="8">
        <v>1102</v>
      </c>
      <c r="B1146" s="9">
        <v>1102</v>
      </c>
      <c r="C1146" s="46">
        <v>46055</v>
      </c>
      <c r="D1146" s="9" t="s">
        <v>238</v>
      </c>
      <c r="E1146" s="56" t="str">
        <f>IFERROR(VLOOKUP($D1146,본공사입.출고현황!$B:$H,E$2080,0),0)</f>
        <v>Steel round bar</v>
      </c>
      <c r="F1146" s="18" t="str">
        <f>IFERROR(VLOOKUP($D1146,본공사입.출고현황!$B:$H,F$2080,0),0)</f>
        <v>Steel round bar(rebar)</v>
      </c>
      <c r="G1146" s="18" t="str">
        <f>IFERROR(VLOOKUP($D1146,본공사입.출고현황!$B:$H,G$2080,0),0)</f>
        <v>CCGG</v>
      </c>
      <c r="H1146" s="18" t="str">
        <f>IFERROR(VLOOKUP($D1146,본공사입.출고현황!$B:$H,H$2080,0),0)</f>
        <v>ф10, 1ton=1,620.7m</v>
      </c>
      <c r="I1146" s="56" t="str">
        <f>IFERROR(VLOOKUP($D1146,본공사입.출고현황!$B:$H,I$2080,0),0)</f>
        <v>M</v>
      </c>
      <c r="J1146" s="9">
        <v>1</v>
      </c>
      <c r="K1146" s="9" t="s">
        <v>547</v>
      </c>
      <c r="L1146" s="37">
        <v>20</v>
      </c>
      <c r="M1146" s="64" t="s">
        <v>638</v>
      </c>
      <c r="N1146" s="42"/>
    </row>
    <row r="1147" spans="1:14" ht="24" customHeight="1">
      <c r="A1147" s="8">
        <v>1103</v>
      </c>
      <c r="B1147" s="9">
        <v>1103</v>
      </c>
      <c r="C1147" s="46">
        <v>46055</v>
      </c>
      <c r="D1147" s="9" t="s">
        <v>238</v>
      </c>
      <c r="E1147" s="56" t="str">
        <f>IFERROR(VLOOKUP($D1147,본공사입.출고현황!$B:$H,E$2080,0),0)</f>
        <v>Steel round bar</v>
      </c>
      <c r="F1147" s="18" t="str">
        <f>IFERROR(VLOOKUP($D1147,본공사입.출고현황!$B:$H,F$2080,0),0)</f>
        <v>Steel round bar(rebar)</v>
      </c>
      <c r="G1147" s="18" t="str">
        <f>IFERROR(VLOOKUP($D1147,본공사입.출고현황!$B:$H,G$2080,0),0)</f>
        <v>CCGG</v>
      </c>
      <c r="H1147" s="18" t="str">
        <f>IFERROR(VLOOKUP($D1147,본공사입.출고현황!$B:$H,H$2080,0),0)</f>
        <v>ф10, 1ton=1,620.7m</v>
      </c>
      <c r="I1147" s="56" t="str">
        <f>IFERROR(VLOOKUP($D1147,본공사입.출고현황!$B:$H,I$2080,0),0)</f>
        <v>M</v>
      </c>
      <c r="J1147" s="9">
        <v>2</v>
      </c>
      <c r="K1147" s="9" t="s">
        <v>360</v>
      </c>
      <c r="L1147" s="37">
        <v>25</v>
      </c>
      <c r="M1147" s="64" t="s">
        <v>638</v>
      </c>
      <c r="N1147" s="42"/>
    </row>
    <row r="1148" spans="1:14" ht="24" customHeight="1">
      <c r="A1148" s="8">
        <v>1104</v>
      </c>
      <c r="B1148" s="9">
        <v>1104</v>
      </c>
      <c r="C1148" s="46">
        <v>46055</v>
      </c>
      <c r="D1148" s="9" t="s">
        <v>238</v>
      </c>
      <c r="E1148" s="56" t="str">
        <f>IFERROR(VLOOKUP($D1148,본공사입.출고현황!$B:$H,E$2080,0),0)</f>
        <v>Steel round bar</v>
      </c>
      <c r="F1148" s="18" t="str">
        <f>IFERROR(VLOOKUP($D1148,본공사입.출고현황!$B:$H,F$2080,0),0)</f>
        <v>Steel round bar(rebar)</v>
      </c>
      <c r="G1148" s="18" t="str">
        <f>IFERROR(VLOOKUP($D1148,본공사입.출고현황!$B:$H,G$2080,0),0)</f>
        <v>CCGG</v>
      </c>
      <c r="H1148" s="18" t="str">
        <f>IFERROR(VLOOKUP($D1148,본공사입.출고현황!$B:$H,H$2080,0),0)</f>
        <v>ф10, 1ton=1,620.7m</v>
      </c>
      <c r="I1148" s="56" t="str">
        <f>IFERROR(VLOOKUP($D1148,본공사입.출고현황!$B:$H,I$2080,0),0)</f>
        <v>M</v>
      </c>
      <c r="J1148" s="9">
        <v>2</v>
      </c>
      <c r="K1148" s="9" t="s">
        <v>360</v>
      </c>
      <c r="L1148" s="37">
        <v>50</v>
      </c>
      <c r="M1148" s="64" t="s">
        <v>638</v>
      </c>
      <c r="N1148" s="42"/>
    </row>
    <row r="1149" spans="1:14" ht="24" customHeight="1">
      <c r="A1149" s="8">
        <v>1105</v>
      </c>
      <c r="B1149" s="9">
        <v>1105</v>
      </c>
      <c r="C1149" s="46">
        <v>46055</v>
      </c>
      <c r="D1149" s="9" t="s">
        <v>238</v>
      </c>
      <c r="E1149" s="56" t="str">
        <f>IFERROR(VLOOKUP($D1149,본공사입.출고현황!$B:$H,E$2080,0),0)</f>
        <v>Steel round bar</v>
      </c>
      <c r="F1149" s="18" t="str">
        <f>IFERROR(VLOOKUP($D1149,본공사입.출고현황!$B:$H,F$2080,0),0)</f>
        <v>Steel round bar(rebar)</v>
      </c>
      <c r="G1149" s="18" t="str">
        <f>IFERROR(VLOOKUP($D1149,본공사입.출고현황!$B:$H,G$2080,0),0)</f>
        <v>CCGG</v>
      </c>
      <c r="H1149" s="18" t="str">
        <f>IFERROR(VLOOKUP($D1149,본공사입.출고현황!$B:$H,H$2080,0),0)</f>
        <v>ф10, 1ton=1,620.7m</v>
      </c>
      <c r="I1149" s="56" t="str">
        <f>IFERROR(VLOOKUP($D1149,본공사입.출고현황!$B:$H,I$2080,0),0)</f>
        <v>M</v>
      </c>
      <c r="J1149" s="9">
        <v>3</v>
      </c>
      <c r="K1149" s="9" t="s">
        <v>550</v>
      </c>
      <c r="L1149" s="37">
        <v>15</v>
      </c>
      <c r="M1149" s="64" t="s">
        <v>638</v>
      </c>
      <c r="N1149" s="42"/>
    </row>
    <row r="1150" spans="1:14" ht="24" customHeight="1">
      <c r="A1150" s="8">
        <v>1106</v>
      </c>
      <c r="B1150" s="9">
        <v>1106</v>
      </c>
      <c r="C1150" s="46">
        <v>46056</v>
      </c>
      <c r="D1150" s="9" t="s">
        <v>238</v>
      </c>
      <c r="E1150" s="56" t="str">
        <f>IFERROR(VLOOKUP($D1150,본공사입.출고현황!$B:$H,E$2080,0),0)</f>
        <v>Steel round bar</v>
      </c>
      <c r="F1150" s="18" t="str">
        <f>IFERROR(VLOOKUP($D1150,본공사입.출고현황!$B:$H,F$2080,0),0)</f>
        <v>Steel round bar(rebar)</v>
      </c>
      <c r="G1150" s="18" t="str">
        <f>IFERROR(VLOOKUP($D1150,본공사입.출고현황!$B:$H,G$2080,0),0)</f>
        <v>CCGG</v>
      </c>
      <c r="H1150" s="18" t="str">
        <f>IFERROR(VLOOKUP($D1150,본공사입.출고현황!$B:$H,H$2080,0),0)</f>
        <v>ф10, 1ton=1,620.7m</v>
      </c>
      <c r="I1150" s="56" t="str">
        <f>IFERROR(VLOOKUP($D1150,본공사입.출고현황!$B:$H,I$2080,0),0)</f>
        <v>M</v>
      </c>
      <c r="J1150" s="9">
        <v>1</v>
      </c>
      <c r="K1150" s="9" t="s">
        <v>363</v>
      </c>
      <c r="L1150" s="37">
        <v>40</v>
      </c>
      <c r="M1150" s="64" t="s">
        <v>638</v>
      </c>
      <c r="N1150" s="42"/>
    </row>
    <row r="1151" spans="1:14" ht="24" customHeight="1">
      <c r="A1151" s="8">
        <v>1107</v>
      </c>
      <c r="B1151" s="9">
        <v>1107</v>
      </c>
      <c r="C1151" s="46">
        <v>46056</v>
      </c>
      <c r="D1151" s="9" t="s">
        <v>238</v>
      </c>
      <c r="E1151" s="56" t="str">
        <f>IFERROR(VLOOKUP($D1151,본공사입.출고현황!$B:$H,E$2080,0),0)</f>
        <v>Steel round bar</v>
      </c>
      <c r="F1151" s="18" t="str">
        <f>IFERROR(VLOOKUP($D1151,본공사입.출고현황!$B:$H,F$2080,0),0)</f>
        <v>Steel round bar(rebar)</v>
      </c>
      <c r="G1151" s="18" t="str">
        <f>IFERROR(VLOOKUP($D1151,본공사입.출고현황!$B:$H,G$2080,0),0)</f>
        <v>CCGG</v>
      </c>
      <c r="H1151" s="18" t="str">
        <f>IFERROR(VLOOKUP($D1151,본공사입.출고현황!$B:$H,H$2080,0),0)</f>
        <v>ф10, 1ton=1,620.7m</v>
      </c>
      <c r="I1151" s="56" t="str">
        <f>IFERROR(VLOOKUP($D1151,본공사입.출고현황!$B:$H,I$2080,0),0)</f>
        <v>M</v>
      </c>
      <c r="J1151" s="9">
        <v>1</v>
      </c>
      <c r="K1151" s="9" t="s">
        <v>547</v>
      </c>
      <c r="L1151" s="37">
        <v>20</v>
      </c>
      <c r="M1151" s="64" t="s">
        <v>638</v>
      </c>
      <c r="N1151" s="42"/>
    </row>
    <row r="1152" spans="1:14" ht="24" customHeight="1">
      <c r="A1152" s="8">
        <v>1108</v>
      </c>
      <c r="B1152" s="9">
        <v>1108</v>
      </c>
      <c r="C1152" s="46">
        <v>46056</v>
      </c>
      <c r="D1152" s="9" t="s">
        <v>238</v>
      </c>
      <c r="E1152" s="56" t="str">
        <f>IFERROR(VLOOKUP($D1152,본공사입.출고현황!$B:$H,E$2080,0),0)</f>
        <v>Steel round bar</v>
      </c>
      <c r="F1152" s="18" t="str">
        <f>IFERROR(VLOOKUP($D1152,본공사입.출고현황!$B:$H,F$2080,0),0)</f>
        <v>Steel round bar(rebar)</v>
      </c>
      <c r="G1152" s="18" t="str">
        <f>IFERROR(VLOOKUP($D1152,본공사입.출고현황!$B:$H,G$2080,0),0)</f>
        <v>CCGG</v>
      </c>
      <c r="H1152" s="18" t="str">
        <f>IFERROR(VLOOKUP($D1152,본공사입.출고현황!$B:$H,H$2080,0),0)</f>
        <v>ф10, 1ton=1,620.7m</v>
      </c>
      <c r="I1152" s="56" t="str">
        <f>IFERROR(VLOOKUP($D1152,본공사입.출고현황!$B:$H,I$2080,0),0)</f>
        <v>M</v>
      </c>
      <c r="J1152" s="9">
        <v>1</v>
      </c>
      <c r="K1152" s="9" t="s">
        <v>363</v>
      </c>
      <c r="L1152" s="37">
        <v>20</v>
      </c>
      <c r="M1152" s="64" t="s">
        <v>638</v>
      </c>
      <c r="N1152" s="42"/>
    </row>
    <row r="1153" spans="1:14" ht="24" customHeight="1">
      <c r="A1153" s="8">
        <v>1109</v>
      </c>
      <c r="B1153" s="9">
        <v>1109</v>
      </c>
      <c r="C1153" s="46">
        <v>46057</v>
      </c>
      <c r="D1153" s="9" t="s">
        <v>238</v>
      </c>
      <c r="E1153" s="56" t="str">
        <f>IFERROR(VLOOKUP($D1153,본공사입.출고현황!$B:$H,E$2080,0),0)</f>
        <v>Steel round bar</v>
      </c>
      <c r="F1153" s="18" t="str">
        <f>IFERROR(VLOOKUP($D1153,본공사입.출고현황!$B:$H,F$2080,0),0)</f>
        <v>Steel round bar(rebar)</v>
      </c>
      <c r="G1153" s="18" t="str">
        <f>IFERROR(VLOOKUP($D1153,본공사입.출고현황!$B:$H,G$2080,0),0)</f>
        <v>CCGG</v>
      </c>
      <c r="H1153" s="18" t="str">
        <f>IFERROR(VLOOKUP($D1153,본공사입.출고현황!$B:$H,H$2080,0),0)</f>
        <v>ф10, 1ton=1,620.7m</v>
      </c>
      <c r="I1153" s="56" t="str">
        <f>IFERROR(VLOOKUP($D1153,본공사입.출고현황!$B:$H,I$2080,0),0)</f>
        <v>M</v>
      </c>
      <c r="J1153" s="9">
        <v>3</v>
      </c>
      <c r="K1153" s="9" t="s">
        <v>550</v>
      </c>
      <c r="L1153" s="37">
        <v>20</v>
      </c>
      <c r="M1153" s="64" t="s">
        <v>638</v>
      </c>
      <c r="N1153" s="42"/>
    </row>
    <row r="1154" spans="1:14" ht="24" customHeight="1">
      <c r="A1154" s="8">
        <v>1110</v>
      </c>
      <c r="B1154" s="9">
        <v>1110</v>
      </c>
      <c r="C1154" s="46">
        <v>46057</v>
      </c>
      <c r="D1154" s="9" t="s">
        <v>238</v>
      </c>
      <c r="E1154" s="56" t="str">
        <f>IFERROR(VLOOKUP($D1154,본공사입.출고현황!$B:$H,E$2080,0),0)</f>
        <v>Steel round bar</v>
      </c>
      <c r="F1154" s="18" t="str">
        <f>IFERROR(VLOOKUP($D1154,본공사입.출고현황!$B:$H,F$2080,0),0)</f>
        <v>Steel round bar(rebar)</v>
      </c>
      <c r="G1154" s="18" t="str">
        <f>IFERROR(VLOOKUP($D1154,본공사입.출고현황!$B:$H,G$2080,0),0)</f>
        <v>CCGG</v>
      </c>
      <c r="H1154" s="18" t="str">
        <f>IFERROR(VLOOKUP($D1154,본공사입.출고현황!$B:$H,H$2080,0),0)</f>
        <v>ф10, 1ton=1,620.7m</v>
      </c>
      <c r="I1154" s="56" t="str">
        <f>IFERROR(VLOOKUP($D1154,본공사입.출고현황!$B:$H,I$2080,0),0)</f>
        <v>M</v>
      </c>
      <c r="J1154" s="9">
        <v>2</v>
      </c>
      <c r="K1154" s="9" t="s">
        <v>360</v>
      </c>
      <c r="L1154" s="37">
        <v>25</v>
      </c>
      <c r="M1154" s="64" t="s">
        <v>638</v>
      </c>
      <c r="N1154" s="42"/>
    </row>
    <row r="1155" spans="1:14" ht="24" customHeight="1">
      <c r="A1155" s="8">
        <v>1111</v>
      </c>
      <c r="B1155" s="9">
        <v>1111</v>
      </c>
      <c r="C1155" s="46">
        <v>46057</v>
      </c>
      <c r="D1155" s="9" t="s">
        <v>238</v>
      </c>
      <c r="E1155" s="56" t="str">
        <f>IFERROR(VLOOKUP($D1155,본공사입.출고현황!$B:$H,E$2080,0),0)</f>
        <v>Steel round bar</v>
      </c>
      <c r="F1155" s="18" t="str">
        <f>IFERROR(VLOOKUP($D1155,본공사입.출고현황!$B:$H,F$2080,0),0)</f>
        <v>Steel round bar(rebar)</v>
      </c>
      <c r="G1155" s="18" t="str">
        <f>IFERROR(VLOOKUP($D1155,본공사입.출고현황!$B:$H,G$2080,0),0)</f>
        <v>CCGG</v>
      </c>
      <c r="H1155" s="18" t="str">
        <f>IFERROR(VLOOKUP($D1155,본공사입.출고현황!$B:$H,H$2080,0),0)</f>
        <v>ф10, 1ton=1,620.7m</v>
      </c>
      <c r="I1155" s="56" t="str">
        <f>IFERROR(VLOOKUP($D1155,본공사입.출고현황!$B:$H,I$2080,0),0)</f>
        <v>M</v>
      </c>
      <c r="J1155" s="9">
        <v>2</v>
      </c>
      <c r="K1155" s="9" t="s">
        <v>360</v>
      </c>
      <c r="L1155" s="37">
        <v>40</v>
      </c>
      <c r="M1155" s="64" t="s">
        <v>638</v>
      </c>
      <c r="N1155" s="42"/>
    </row>
    <row r="1156" spans="1:14" ht="24" customHeight="1">
      <c r="A1156" s="8">
        <v>1112</v>
      </c>
      <c r="B1156" s="9">
        <v>1112</v>
      </c>
      <c r="C1156" s="46">
        <v>46058</v>
      </c>
      <c r="D1156" s="9" t="s">
        <v>238</v>
      </c>
      <c r="E1156" s="56" t="str">
        <f>IFERROR(VLOOKUP($D1156,본공사입.출고현황!$B:$H,E$2080,0),0)</f>
        <v>Steel round bar</v>
      </c>
      <c r="F1156" s="18" t="str">
        <f>IFERROR(VLOOKUP($D1156,본공사입.출고현황!$B:$H,F$2080,0),0)</f>
        <v>Steel round bar(rebar)</v>
      </c>
      <c r="G1156" s="18" t="str">
        <f>IFERROR(VLOOKUP($D1156,본공사입.출고현황!$B:$H,G$2080,0),0)</f>
        <v>CCGG</v>
      </c>
      <c r="H1156" s="18" t="str">
        <f>IFERROR(VLOOKUP($D1156,본공사입.출고현황!$B:$H,H$2080,0),0)</f>
        <v>ф10, 1ton=1,620.7m</v>
      </c>
      <c r="I1156" s="56" t="str">
        <f>IFERROR(VLOOKUP($D1156,본공사입.출고현황!$B:$H,I$2080,0),0)</f>
        <v>M</v>
      </c>
      <c r="J1156" s="9">
        <v>2</v>
      </c>
      <c r="K1156" s="9" t="s">
        <v>360</v>
      </c>
      <c r="L1156" s="37">
        <v>25</v>
      </c>
      <c r="M1156" s="64" t="s">
        <v>408</v>
      </c>
      <c r="N1156" s="42"/>
    </row>
    <row r="1157" spans="1:14" ht="24" customHeight="1">
      <c r="A1157" s="8">
        <v>1113</v>
      </c>
      <c r="B1157" s="9">
        <v>1113</v>
      </c>
      <c r="C1157" s="46">
        <v>46058</v>
      </c>
      <c r="D1157" s="9" t="s">
        <v>238</v>
      </c>
      <c r="E1157" s="56" t="str">
        <f>IFERROR(VLOOKUP($D1157,본공사입.출고현황!$B:$H,E$2080,0),0)</f>
        <v>Steel round bar</v>
      </c>
      <c r="F1157" s="18" t="str">
        <f>IFERROR(VLOOKUP($D1157,본공사입.출고현황!$B:$H,F$2080,0),0)</f>
        <v>Steel round bar(rebar)</v>
      </c>
      <c r="G1157" s="18" t="str">
        <f>IFERROR(VLOOKUP($D1157,본공사입.출고현황!$B:$H,G$2080,0),0)</f>
        <v>CCGG</v>
      </c>
      <c r="H1157" s="18" t="str">
        <f>IFERROR(VLOOKUP($D1157,본공사입.출고현황!$B:$H,H$2080,0),0)</f>
        <v>ф10, 1ton=1,620.7m</v>
      </c>
      <c r="I1157" s="56" t="str">
        <f>IFERROR(VLOOKUP($D1157,본공사입.출고현황!$B:$H,I$2080,0),0)</f>
        <v>M</v>
      </c>
      <c r="J1157" s="9">
        <v>4</v>
      </c>
      <c r="K1157" s="9" t="s">
        <v>359</v>
      </c>
      <c r="L1157" s="37">
        <v>20</v>
      </c>
      <c r="M1157" s="64" t="s">
        <v>408</v>
      </c>
      <c r="N1157" s="42"/>
    </row>
    <row r="1158" spans="1:14" ht="24" customHeight="1">
      <c r="A1158" s="8">
        <v>1114</v>
      </c>
      <c r="B1158" s="9">
        <v>1114</v>
      </c>
      <c r="C1158" s="46">
        <v>46058</v>
      </c>
      <c r="D1158" s="9" t="s">
        <v>238</v>
      </c>
      <c r="E1158" s="56" t="str">
        <f>IFERROR(VLOOKUP($D1158,본공사입.출고현황!$B:$H,E$2080,0),0)</f>
        <v>Steel round bar</v>
      </c>
      <c r="F1158" s="18" t="str">
        <f>IFERROR(VLOOKUP($D1158,본공사입.출고현황!$B:$H,F$2080,0),0)</f>
        <v>Steel round bar(rebar)</v>
      </c>
      <c r="G1158" s="18" t="str">
        <f>IFERROR(VLOOKUP($D1158,본공사입.출고현황!$B:$H,G$2080,0),0)</f>
        <v>CCGG</v>
      </c>
      <c r="H1158" s="18" t="str">
        <f>IFERROR(VLOOKUP($D1158,본공사입.출고현황!$B:$H,H$2080,0),0)</f>
        <v>ф10, 1ton=1,620.7m</v>
      </c>
      <c r="I1158" s="56" t="str">
        <f>IFERROR(VLOOKUP($D1158,본공사입.출고현황!$B:$H,I$2080,0),0)</f>
        <v>M</v>
      </c>
      <c r="J1158" s="9">
        <v>2</v>
      </c>
      <c r="K1158" s="9" t="s">
        <v>546</v>
      </c>
      <c r="L1158" s="37">
        <v>25</v>
      </c>
      <c r="M1158" s="64" t="s">
        <v>408</v>
      </c>
      <c r="N1158" s="42"/>
    </row>
    <row r="1159" spans="1:14" ht="24" customHeight="1">
      <c r="A1159" s="8">
        <v>1115</v>
      </c>
      <c r="B1159" s="9">
        <v>1115</v>
      </c>
      <c r="C1159" s="46">
        <v>46058</v>
      </c>
      <c r="D1159" s="9" t="s">
        <v>238</v>
      </c>
      <c r="E1159" s="56" t="str">
        <f>IFERROR(VLOOKUP($D1159,본공사입.출고현황!$B:$H,E$2080,0),0)</f>
        <v>Steel round bar</v>
      </c>
      <c r="F1159" s="18" t="str">
        <f>IFERROR(VLOOKUP($D1159,본공사입.출고현황!$B:$H,F$2080,0),0)</f>
        <v>Steel round bar(rebar)</v>
      </c>
      <c r="G1159" s="18" t="str">
        <f>IFERROR(VLOOKUP($D1159,본공사입.출고현황!$B:$H,G$2080,0),0)</f>
        <v>CCGG</v>
      </c>
      <c r="H1159" s="18" t="str">
        <f>IFERROR(VLOOKUP($D1159,본공사입.출고현황!$B:$H,H$2080,0),0)</f>
        <v>ф10, 1ton=1,620.7m</v>
      </c>
      <c r="I1159" s="56" t="str">
        <f>IFERROR(VLOOKUP($D1159,본공사입.출고현황!$B:$H,I$2080,0),0)</f>
        <v>M</v>
      </c>
      <c r="J1159" s="9">
        <v>1</v>
      </c>
      <c r="K1159" s="9" t="s">
        <v>545</v>
      </c>
      <c r="L1159" s="37">
        <v>15</v>
      </c>
      <c r="M1159" s="64" t="s">
        <v>408</v>
      </c>
      <c r="N1159" s="42"/>
    </row>
    <row r="1160" spans="1:14" ht="24" customHeight="1">
      <c r="A1160" s="8">
        <v>1116</v>
      </c>
      <c r="B1160" s="9">
        <v>1116</v>
      </c>
      <c r="C1160" s="46">
        <v>46058</v>
      </c>
      <c r="D1160" s="9" t="s">
        <v>238</v>
      </c>
      <c r="E1160" s="56" t="str">
        <f>IFERROR(VLOOKUP($D1160,본공사입.출고현황!$B:$H,E$2080,0),0)</f>
        <v>Steel round bar</v>
      </c>
      <c r="F1160" s="18" t="str">
        <f>IFERROR(VLOOKUP($D1160,본공사입.출고현황!$B:$H,F$2080,0),0)</f>
        <v>Steel round bar(rebar)</v>
      </c>
      <c r="G1160" s="18" t="str">
        <f>IFERROR(VLOOKUP($D1160,본공사입.출고현황!$B:$H,G$2080,0),0)</f>
        <v>CCGG</v>
      </c>
      <c r="H1160" s="18" t="str">
        <f>IFERROR(VLOOKUP($D1160,본공사입.출고현황!$B:$H,H$2080,0),0)</f>
        <v>ф10, 1ton=1,620.7m</v>
      </c>
      <c r="I1160" s="56" t="str">
        <f>IFERROR(VLOOKUP($D1160,본공사입.출고현황!$B:$H,I$2080,0),0)</f>
        <v>M</v>
      </c>
      <c r="J1160" s="9">
        <v>2</v>
      </c>
      <c r="K1160" s="9" t="s">
        <v>241</v>
      </c>
      <c r="L1160" s="37">
        <v>50</v>
      </c>
      <c r="M1160" s="64" t="s">
        <v>408</v>
      </c>
      <c r="N1160" s="42"/>
    </row>
    <row r="1161" spans="1:14" ht="24" customHeight="1">
      <c r="A1161" s="8">
        <v>1117</v>
      </c>
      <c r="B1161" s="9">
        <v>1117</v>
      </c>
      <c r="C1161" s="46">
        <v>46058</v>
      </c>
      <c r="D1161" s="9" t="s">
        <v>238</v>
      </c>
      <c r="E1161" s="56" t="str">
        <f>IFERROR(VLOOKUP($D1161,본공사입.출고현황!$B:$H,E$2080,0),0)</f>
        <v>Steel round bar</v>
      </c>
      <c r="F1161" s="18" t="str">
        <f>IFERROR(VLOOKUP($D1161,본공사입.출고현황!$B:$H,F$2080,0),0)</f>
        <v>Steel round bar(rebar)</v>
      </c>
      <c r="G1161" s="18" t="str">
        <f>IFERROR(VLOOKUP($D1161,본공사입.출고현황!$B:$H,G$2080,0),0)</f>
        <v>CCGG</v>
      </c>
      <c r="H1161" s="18" t="str">
        <f>IFERROR(VLOOKUP($D1161,본공사입.출고현황!$B:$H,H$2080,0),0)</f>
        <v>ф10, 1ton=1,620.7m</v>
      </c>
      <c r="I1161" s="56" t="str">
        <f>IFERROR(VLOOKUP($D1161,본공사입.출고현황!$B:$H,I$2080,0),0)</f>
        <v>M</v>
      </c>
      <c r="J1161" s="9">
        <v>2</v>
      </c>
      <c r="K1161" s="9" t="s">
        <v>360</v>
      </c>
      <c r="L1161" s="37">
        <v>30</v>
      </c>
      <c r="M1161" s="64" t="s">
        <v>408</v>
      </c>
      <c r="N1161" s="42"/>
    </row>
    <row r="1162" spans="1:14" ht="24" customHeight="1">
      <c r="A1162" s="8">
        <v>1118</v>
      </c>
      <c r="B1162" s="9">
        <v>1118</v>
      </c>
      <c r="C1162" s="46">
        <v>46058</v>
      </c>
      <c r="D1162" s="9" t="s">
        <v>238</v>
      </c>
      <c r="E1162" s="56" t="str">
        <f>IFERROR(VLOOKUP($D1162,본공사입.출고현황!$B:$H,E$2080,0),0)</f>
        <v>Steel round bar</v>
      </c>
      <c r="F1162" s="18" t="str">
        <f>IFERROR(VLOOKUP($D1162,본공사입.출고현황!$B:$H,F$2080,0),0)</f>
        <v>Steel round bar(rebar)</v>
      </c>
      <c r="G1162" s="18" t="str">
        <f>IFERROR(VLOOKUP($D1162,본공사입.출고현황!$B:$H,G$2080,0),0)</f>
        <v>CCGG</v>
      </c>
      <c r="H1162" s="18" t="str">
        <f>IFERROR(VLOOKUP($D1162,본공사입.출고현황!$B:$H,H$2080,0),0)</f>
        <v>ф10, 1ton=1,620.7m</v>
      </c>
      <c r="I1162" s="56" t="str">
        <f>IFERROR(VLOOKUP($D1162,본공사입.출고현황!$B:$H,I$2080,0),0)</f>
        <v>M</v>
      </c>
      <c r="J1162" s="9">
        <v>1</v>
      </c>
      <c r="K1162" s="9" t="s">
        <v>363</v>
      </c>
      <c r="L1162" s="37">
        <v>65</v>
      </c>
      <c r="M1162" s="64" t="s">
        <v>408</v>
      </c>
      <c r="N1162" s="42"/>
    </row>
    <row r="1163" spans="1:14" ht="24" customHeight="1">
      <c r="A1163" s="8">
        <v>1119</v>
      </c>
      <c r="B1163" s="9">
        <v>1119</v>
      </c>
      <c r="C1163" s="46">
        <v>46058</v>
      </c>
      <c r="D1163" s="9" t="s">
        <v>238</v>
      </c>
      <c r="E1163" s="56" t="str">
        <f>IFERROR(VLOOKUP($D1163,본공사입.출고현황!$B:$H,E$2080,0),0)</f>
        <v>Steel round bar</v>
      </c>
      <c r="F1163" s="18" t="str">
        <f>IFERROR(VLOOKUP($D1163,본공사입.출고현황!$B:$H,F$2080,0),0)</f>
        <v>Steel round bar(rebar)</v>
      </c>
      <c r="G1163" s="18" t="str">
        <f>IFERROR(VLOOKUP($D1163,본공사입.출고현황!$B:$H,G$2080,0),0)</f>
        <v>CCGG</v>
      </c>
      <c r="H1163" s="18" t="str">
        <f>IFERROR(VLOOKUP($D1163,본공사입.출고현황!$B:$H,H$2080,0),0)</f>
        <v>ф10, 1ton=1,620.7m</v>
      </c>
      <c r="I1163" s="56" t="str">
        <f>IFERROR(VLOOKUP($D1163,본공사입.출고현황!$B:$H,I$2080,0),0)</f>
        <v>M</v>
      </c>
      <c r="J1163" s="9">
        <v>1</v>
      </c>
      <c r="K1163" s="9" t="s">
        <v>363</v>
      </c>
      <c r="L1163" s="37">
        <v>20</v>
      </c>
      <c r="M1163" s="64" t="s">
        <v>408</v>
      </c>
      <c r="N1163" s="42"/>
    </row>
    <row r="1164" spans="1:14" ht="24" customHeight="1">
      <c r="A1164" s="8">
        <v>1120</v>
      </c>
      <c r="B1164" s="9">
        <v>1120</v>
      </c>
      <c r="C1164" s="46">
        <v>46058</v>
      </c>
      <c r="D1164" s="9" t="s">
        <v>238</v>
      </c>
      <c r="E1164" s="56" t="str">
        <f>IFERROR(VLOOKUP($D1164,본공사입.출고현황!$B:$H,E$2080,0),0)</f>
        <v>Steel round bar</v>
      </c>
      <c r="F1164" s="18" t="str">
        <f>IFERROR(VLOOKUP($D1164,본공사입.출고현황!$B:$H,F$2080,0),0)</f>
        <v>Steel round bar(rebar)</v>
      </c>
      <c r="G1164" s="18" t="str">
        <f>IFERROR(VLOOKUP($D1164,본공사입.출고현황!$B:$H,G$2080,0),0)</f>
        <v>CCGG</v>
      </c>
      <c r="H1164" s="18" t="str">
        <f>IFERROR(VLOOKUP($D1164,본공사입.출고현황!$B:$H,H$2080,0),0)</f>
        <v>ф10, 1ton=1,620.7m</v>
      </c>
      <c r="I1164" s="56" t="str">
        <f>IFERROR(VLOOKUP($D1164,본공사입.출고현황!$B:$H,I$2080,0),0)</f>
        <v>M</v>
      </c>
      <c r="J1164" s="9">
        <v>2</v>
      </c>
      <c r="K1164" s="9" t="s">
        <v>360</v>
      </c>
      <c r="L1164" s="37">
        <v>50</v>
      </c>
      <c r="M1164" s="64" t="s">
        <v>408</v>
      </c>
      <c r="N1164" s="42"/>
    </row>
    <row r="1165" spans="1:14" ht="24" customHeight="1">
      <c r="A1165" s="8">
        <v>1121</v>
      </c>
      <c r="B1165" s="9">
        <v>1121</v>
      </c>
      <c r="C1165" s="46">
        <v>46059</v>
      </c>
      <c r="D1165" s="9" t="s">
        <v>238</v>
      </c>
      <c r="E1165" s="56" t="str">
        <f>IFERROR(VLOOKUP($D1165,본공사입.출고현황!$B:$H,E$2080,0),0)</f>
        <v>Steel round bar</v>
      </c>
      <c r="F1165" s="18" t="str">
        <f>IFERROR(VLOOKUP($D1165,본공사입.출고현황!$B:$H,F$2080,0),0)</f>
        <v>Steel round bar(rebar)</v>
      </c>
      <c r="G1165" s="18" t="str">
        <f>IFERROR(VLOOKUP($D1165,본공사입.출고현황!$B:$H,G$2080,0),0)</f>
        <v>CCGG</v>
      </c>
      <c r="H1165" s="18" t="str">
        <f>IFERROR(VLOOKUP($D1165,본공사입.출고현황!$B:$H,H$2080,0),0)</f>
        <v>ф10, 1ton=1,620.7m</v>
      </c>
      <c r="I1165" s="56" t="str">
        <f>IFERROR(VLOOKUP($D1165,본공사입.출고현황!$B:$H,I$2080,0),0)</f>
        <v>M</v>
      </c>
      <c r="J1165" s="9">
        <v>3</v>
      </c>
      <c r="K1165" s="9" t="s">
        <v>550</v>
      </c>
      <c r="L1165" s="37">
        <v>15</v>
      </c>
      <c r="M1165" s="64" t="s">
        <v>408</v>
      </c>
      <c r="N1165" s="42"/>
    </row>
    <row r="1166" spans="1:14" ht="24" customHeight="1">
      <c r="A1166" s="8">
        <v>1122</v>
      </c>
      <c r="B1166" s="9">
        <v>1122</v>
      </c>
      <c r="C1166" s="46">
        <v>46059</v>
      </c>
      <c r="D1166" s="9" t="s">
        <v>238</v>
      </c>
      <c r="E1166" s="56" t="str">
        <f>IFERROR(VLOOKUP($D1166,본공사입.출고현황!$B:$H,E$2080,0),0)</f>
        <v>Steel round bar</v>
      </c>
      <c r="F1166" s="18" t="str">
        <f>IFERROR(VLOOKUP($D1166,본공사입.출고현황!$B:$H,F$2080,0),0)</f>
        <v>Steel round bar(rebar)</v>
      </c>
      <c r="G1166" s="18" t="str">
        <f>IFERROR(VLOOKUP($D1166,본공사입.출고현황!$B:$H,G$2080,0),0)</f>
        <v>CCGG</v>
      </c>
      <c r="H1166" s="18" t="str">
        <f>IFERROR(VLOOKUP($D1166,본공사입.출고현황!$B:$H,H$2080,0),0)</f>
        <v>ф10, 1ton=1,620.7m</v>
      </c>
      <c r="I1166" s="56" t="str">
        <f>IFERROR(VLOOKUP($D1166,본공사입.출고현황!$B:$H,I$2080,0),0)</f>
        <v>M</v>
      </c>
      <c r="J1166" s="9">
        <v>1</v>
      </c>
      <c r="K1166" s="9" t="s">
        <v>363</v>
      </c>
      <c r="L1166" s="37">
        <v>40</v>
      </c>
      <c r="M1166" s="64" t="s">
        <v>408</v>
      </c>
      <c r="N1166" s="42"/>
    </row>
    <row r="1167" spans="1:14" ht="24" customHeight="1">
      <c r="A1167" s="8">
        <v>1123</v>
      </c>
      <c r="B1167" s="9">
        <v>1123</v>
      </c>
      <c r="C1167" s="46">
        <v>46059</v>
      </c>
      <c r="D1167" s="9" t="s">
        <v>238</v>
      </c>
      <c r="E1167" s="56" t="str">
        <f>IFERROR(VLOOKUP($D1167,본공사입.출고현황!$B:$H,E$2080,0),0)</f>
        <v>Steel round bar</v>
      </c>
      <c r="F1167" s="18" t="str">
        <f>IFERROR(VLOOKUP($D1167,본공사입.출고현황!$B:$H,F$2080,0),0)</f>
        <v>Steel round bar(rebar)</v>
      </c>
      <c r="G1167" s="18" t="str">
        <f>IFERROR(VLOOKUP($D1167,본공사입.출고현황!$B:$H,G$2080,0),0)</f>
        <v>CCGG</v>
      </c>
      <c r="H1167" s="18" t="str">
        <f>IFERROR(VLOOKUP($D1167,본공사입.출고현황!$B:$H,H$2080,0),0)</f>
        <v>ф10, 1ton=1,620.7m</v>
      </c>
      <c r="I1167" s="56" t="str">
        <f>IFERROR(VLOOKUP($D1167,본공사입.출고현황!$B:$H,I$2080,0),0)</f>
        <v>M</v>
      </c>
      <c r="J1167" s="9">
        <v>1</v>
      </c>
      <c r="K1167" s="9" t="s">
        <v>547</v>
      </c>
      <c r="L1167" s="37">
        <v>20</v>
      </c>
      <c r="M1167" s="64" t="s">
        <v>408</v>
      </c>
      <c r="N1167" s="42"/>
    </row>
    <row r="1168" spans="1:14" ht="24" customHeight="1">
      <c r="A1168" s="8">
        <v>1124</v>
      </c>
      <c r="B1168" s="9">
        <v>1124</v>
      </c>
      <c r="C1168" s="46">
        <v>46059</v>
      </c>
      <c r="D1168" s="9" t="s">
        <v>238</v>
      </c>
      <c r="E1168" s="56" t="str">
        <f>IFERROR(VLOOKUP($D1168,본공사입.출고현황!$B:$H,E$2080,0),0)</f>
        <v>Steel round bar</v>
      </c>
      <c r="F1168" s="18" t="str">
        <f>IFERROR(VLOOKUP($D1168,본공사입.출고현황!$B:$H,F$2080,0),0)</f>
        <v>Steel round bar(rebar)</v>
      </c>
      <c r="G1168" s="18" t="str">
        <f>IFERROR(VLOOKUP($D1168,본공사입.출고현황!$B:$H,G$2080,0),0)</f>
        <v>CCGG</v>
      </c>
      <c r="H1168" s="18" t="str">
        <f>IFERROR(VLOOKUP($D1168,본공사입.출고현황!$B:$H,H$2080,0),0)</f>
        <v>ф10, 1ton=1,620.7m</v>
      </c>
      <c r="I1168" s="56" t="str">
        <f>IFERROR(VLOOKUP($D1168,본공사입.출고현황!$B:$H,I$2080,0),0)</f>
        <v>M</v>
      </c>
      <c r="J1168" s="9">
        <v>1</v>
      </c>
      <c r="K1168" s="9" t="s">
        <v>363</v>
      </c>
      <c r="L1168" s="37">
        <v>20</v>
      </c>
      <c r="M1168" s="64" t="s">
        <v>408</v>
      </c>
      <c r="N1168" s="42"/>
    </row>
    <row r="1169" spans="1:14" ht="24" customHeight="1">
      <c r="A1169" s="8">
        <v>1125</v>
      </c>
      <c r="B1169" s="9">
        <v>1125</v>
      </c>
      <c r="C1169" s="46">
        <v>46059</v>
      </c>
      <c r="D1169" s="9" t="s">
        <v>238</v>
      </c>
      <c r="E1169" s="56" t="str">
        <f>IFERROR(VLOOKUP($D1169,본공사입.출고현황!$B:$H,E$2080,0),0)</f>
        <v>Steel round bar</v>
      </c>
      <c r="F1169" s="18" t="str">
        <f>IFERROR(VLOOKUP($D1169,본공사입.출고현황!$B:$H,F$2080,0),0)</f>
        <v>Steel round bar(rebar)</v>
      </c>
      <c r="G1169" s="18" t="str">
        <f>IFERROR(VLOOKUP($D1169,본공사입.출고현황!$B:$H,G$2080,0),0)</f>
        <v>CCGG</v>
      </c>
      <c r="H1169" s="18" t="str">
        <f>IFERROR(VLOOKUP($D1169,본공사입.출고현황!$B:$H,H$2080,0),0)</f>
        <v>ф10, 1ton=1,620.7m</v>
      </c>
      <c r="I1169" s="56" t="str">
        <f>IFERROR(VLOOKUP($D1169,본공사입.출고현황!$B:$H,I$2080,0),0)</f>
        <v>M</v>
      </c>
      <c r="J1169" s="9">
        <v>3</v>
      </c>
      <c r="K1169" s="9" t="s">
        <v>550</v>
      </c>
      <c r="L1169" s="37">
        <v>20</v>
      </c>
      <c r="M1169" s="64" t="s">
        <v>408</v>
      </c>
      <c r="N1169" s="42"/>
    </row>
    <row r="1170" spans="1:14" ht="24" customHeight="1">
      <c r="A1170" s="8">
        <v>1126</v>
      </c>
      <c r="B1170" s="9">
        <v>1126</v>
      </c>
      <c r="C1170" s="46">
        <v>46059</v>
      </c>
      <c r="D1170" s="9" t="s">
        <v>238</v>
      </c>
      <c r="E1170" s="56" t="str">
        <f>IFERROR(VLOOKUP($D1170,본공사입.출고현황!$B:$H,E$2080,0),0)</f>
        <v>Steel round bar</v>
      </c>
      <c r="F1170" s="18" t="str">
        <f>IFERROR(VLOOKUP($D1170,본공사입.출고현황!$B:$H,F$2080,0),0)</f>
        <v>Steel round bar(rebar)</v>
      </c>
      <c r="G1170" s="18" t="str">
        <f>IFERROR(VLOOKUP($D1170,본공사입.출고현황!$B:$H,G$2080,0),0)</f>
        <v>CCGG</v>
      </c>
      <c r="H1170" s="18" t="str">
        <f>IFERROR(VLOOKUP($D1170,본공사입.출고현황!$B:$H,H$2080,0),0)</f>
        <v>ф10, 1ton=1,620.7m</v>
      </c>
      <c r="I1170" s="56" t="str">
        <f>IFERROR(VLOOKUP($D1170,본공사입.출고현황!$B:$H,I$2080,0),0)</f>
        <v>M</v>
      </c>
      <c r="J1170" s="9">
        <v>2</v>
      </c>
      <c r="K1170" s="9" t="s">
        <v>360</v>
      </c>
      <c r="L1170" s="37">
        <v>25</v>
      </c>
      <c r="M1170" s="64" t="s">
        <v>408</v>
      </c>
      <c r="N1170" s="42"/>
    </row>
    <row r="1171" spans="1:14" ht="24" customHeight="1">
      <c r="A1171" s="8">
        <v>1127</v>
      </c>
      <c r="B1171" s="9">
        <v>1127</v>
      </c>
      <c r="C1171" s="46">
        <v>46059</v>
      </c>
      <c r="D1171" s="9" t="s">
        <v>238</v>
      </c>
      <c r="E1171" s="56" t="str">
        <f>IFERROR(VLOOKUP($D1171,본공사입.출고현황!$B:$H,E$2080,0),0)</f>
        <v>Steel round bar</v>
      </c>
      <c r="F1171" s="18" t="str">
        <f>IFERROR(VLOOKUP($D1171,본공사입.출고현황!$B:$H,F$2080,0),0)</f>
        <v>Steel round bar(rebar)</v>
      </c>
      <c r="G1171" s="18" t="str">
        <f>IFERROR(VLOOKUP($D1171,본공사입.출고현황!$B:$H,G$2080,0),0)</f>
        <v>CCGG</v>
      </c>
      <c r="H1171" s="18" t="str">
        <f>IFERROR(VLOOKUP($D1171,본공사입.출고현황!$B:$H,H$2080,0),0)</f>
        <v>ф10, 1ton=1,620.7m</v>
      </c>
      <c r="I1171" s="56" t="str">
        <f>IFERROR(VLOOKUP($D1171,본공사입.출고현황!$B:$H,I$2080,0),0)</f>
        <v>M</v>
      </c>
      <c r="J1171" s="9">
        <v>1</v>
      </c>
      <c r="K1171" s="9" t="s">
        <v>352</v>
      </c>
      <c r="L1171" s="37">
        <v>25</v>
      </c>
      <c r="M1171" s="64" t="s">
        <v>408</v>
      </c>
      <c r="N1171" s="42"/>
    </row>
    <row r="1172" spans="1:14" ht="24" customHeight="1">
      <c r="A1172" s="8">
        <v>1128</v>
      </c>
      <c r="B1172" s="9">
        <v>1128</v>
      </c>
      <c r="C1172" s="46">
        <v>46059</v>
      </c>
      <c r="D1172" s="9" t="s">
        <v>238</v>
      </c>
      <c r="E1172" s="56" t="str">
        <f>IFERROR(VLOOKUP($D1172,본공사입.출고현황!$B:$H,E$2080,0),0)</f>
        <v>Steel round bar</v>
      </c>
      <c r="F1172" s="18" t="str">
        <f>IFERROR(VLOOKUP($D1172,본공사입.출고현황!$B:$H,F$2080,0),0)</f>
        <v>Steel round bar(rebar)</v>
      </c>
      <c r="G1172" s="18" t="str">
        <f>IFERROR(VLOOKUP($D1172,본공사입.출고현황!$B:$H,G$2080,0),0)</f>
        <v>CCGG</v>
      </c>
      <c r="H1172" s="18" t="str">
        <f>IFERROR(VLOOKUP($D1172,본공사입.출고현황!$B:$H,H$2080,0),0)</f>
        <v>ф10, 1ton=1,620.7m</v>
      </c>
      <c r="I1172" s="56" t="str">
        <f>IFERROR(VLOOKUP($D1172,본공사입.출고현황!$B:$H,I$2080,0),0)</f>
        <v>M</v>
      </c>
      <c r="J1172" s="9">
        <v>2</v>
      </c>
      <c r="K1172" s="9" t="s">
        <v>546</v>
      </c>
      <c r="L1172" s="37">
        <v>25</v>
      </c>
      <c r="M1172" s="64" t="s">
        <v>408</v>
      </c>
      <c r="N1172" s="42"/>
    </row>
    <row r="1173" spans="1:14" ht="24" customHeight="1">
      <c r="A1173" s="8">
        <v>1129</v>
      </c>
      <c r="B1173" s="9">
        <v>1129</v>
      </c>
      <c r="C1173" s="46">
        <v>46059</v>
      </c>
      <c r="D1173" s="9" t="s">
        <v>238</v>
      </c>
      <c r="E1173" s="56" t="str">
        <f>IFERROR(VLOOKUP($D1173,본공사입.출고현황!$B:$H,E$2080,0),0)</f>
        <v>Steel round bar</v>
      </c>
      <c r="F1173" s="18" t="str">
        <f>IFERROR(VLOOKUP($D1173,본공사입.출고현황!$B:$H,F$2080,0),0)</f>
        <v>Steel round bar(rebar)</v>
      </c>
      <c r="G1173" s="18" t="str">
        <f>IFERROR(VLOOKUP($D1173,본공사입.출고현황!$B:$H,G$2080,0),0)</f>
        <v>CCGG</v>
      </c>
      <c r="H1173" s="18" t="str">
        <f>IFERROR(VLOOKUP($D1173,본공사입.출고현황!$B:$H,H$2080,0),0)</f>
        <v>ф10, 1ton=1,620.7m</v>
      </c>
      <c r="I1173" s="56" t="str">
        <f>IFERROR(VLOOKUP($D1173,본공사입.출고현황!$B:$H,I$2080,0),0)</f>
        <v>M</v>
      </c>
      <c r="J1173" s="9">
        <v>4</v>
      </c>
      <c r="K1173" s="9" t="s">
        <v>359</v>
      </c>
      <c r="L1173" s="37">
        <v>25</v>
      </c>
      <c r="M1173" s="64" t="s">
        <v>408</v>
      </c>
      <c r="N1173" s="42"/>
    </row>
    <row r="1174" spans="1:14" ht="24" customHeight="1">
      <c r="A1174" s="8">
        <v>1130</v>
      </c>
      <c r="B1174" s="9">
        <v>1130</v>
      </c>
      <c r="C1174" s="46">
        <v>46059</v>
      </c>
      <c r="D1174" s="9" t="s">
        <v>238</v>
      </c>
      <c r="E1174" s="56" t="str">
        <f>IFERROR(VLOOKUP($D1174,본공사입.출고현황!$B:$H,E$2080,0),0)</f>
        <v>Steel round bar</v>
      </c>
      <c r="F1174" s="18" t="str">
        <f>IFERROR(VLOOKUP($D1174,본공사입.출고현황!$B:$H,F$2080,0),0)</f>
        <v>Steel round bar(rebar)</v>
      </c>
      <c r="G1174" s="18" t="str">
        <f>IFERROR(VLOOKUP($D1174,본공사입.출고현황!$B:$H,G$2080,0),0)</f>
        <v>CCGG</v>
      </c>
      <c r="H1174" s="18" t="str">
        <f>IFERROR(VLOOKUP($D1174,본공사입.출고현황!$B:$H,H$2080,0),0)</f>
        <v>ф10, 1ton=1,620.7m</v>
      </c>
      <c r="I1174" s="56" t="str">
        <f>IFERROR(VLOOKUP($D1174,본공사입.출고현황!$B:$H,I$2080,0),0)</f>
        <v>M</v>
      </c>
      <c r="J1174" s="9">
        <v>2</v>
      </c>
      <c r="K1174" s="9" t="s">
        <v>360</v>
      </c>
      <c r="L1174" s="37">
        <v>25</v>
      </c>
      <c r="M1174" s="64" t="s">
        <v>408</v>
      </c>
      <c r="N1174" s="42"/>
    </row>
    <row r="1175" spans="1:14" ht="24" customHeight="1">
      <c r="A1175" s="8">
        <v>1131</v>
      </c>
      <c r="B1175" s="9">
        <v>1131</v>
      </c>
      <c r="C1175" s="46">
        <v>46059</v>
      </c>
      <c r="D1175" s="9" t="s">
        <v>238</v>
      </c>
      <c r="E1175" s="56" t="str">
        <f>IFERROR(VLOOKUP($D1175,본공사입.출고현황!$B:$H,E$2080,0),0)</f>
        <v>Steel round bar</v>
      </c>
      <c r="F1175" s="18" t="str">
        <f>IFERROR(VLOOKUP($D1175,본공사입.출고현황!$B:$H,F$2080,0),0)</f>
        <v>Steel round bar(rebar)</v>
      </c>
      <c r="G1175" s="18" t="str">
        <f>IFERROR(VLOOKUP($D1175,본공사입.출고현황!$B:$H,G$2080,0),0)</f>
        <v>CCGG</v>
      </c>
      <c r="H1175" s="18" t="str">
        <f>IFERROR(VLOOKUP($D1175,본공사입.출고현황!$B:$H,H$2080,0),0)</f>
        <v>ф10, 1ton=1,620.7m</v>
      </c>
      <c r="I1175" s="56" t="str">
        <f>IFERROR(VLOOKUP($D1175,본공사입.출고현황!$B:$H,I$2080,0),0)</f>
        <v>M</v>
      </c>
      <c r="J1175" s="9">
        <v>3</v>
      </c>
      <c r="K1175" s="9" t="s">
        <v>237</v>
      </c>
      <c r="L1175" s="37">
        <v>25</v>
      </c>
      <c r="M1175" s="64" t="s">
        <v>408</v>
      </c>
      <c r="N1175" s="42"/>
    </row>
    <row r="1176" spans="1:14" ht="24" customHeight="1">
      <c r="A1176" s="8">
        <v>1132</v>
      </c>
      <c r="B1176" s="9">
        <v>1132</v>
      </c>
      <c r="C1176" s="46">
        <v>46060</v>
      </c>
      <c r="D1176" s="9" t="s">
        <v>238</v>
      </c>
      <c r="E1176" s="56" t="str">
        <f>IFERROR(VLOOKUP($D1176,본공사입.출고현황!$B:$H,E$2080,0),0)</f>
        <v>Steel round bar</v>
      </c>
      <c r="F1176" s="18" t="str">
        <f>IFERROR(VLOOKUP($D1176,본공사입.출고현황!$B:$H,F$2080,0),0)</f>
        <v>Steel round bar(rebar)</v>
      </c>
      <c r="G1176" s="18" t="str">
        <f>IFERROR(VLOOKUP($D1176,본공사입.출고현황!$B:$H,G$2080,0),0)</f>
        <v>CCGG</v>
      </c>
      <c r="H1176" s="18" t="str">
        <f>IFERROR(VLOOKUP($D1176,본공사입.출고현황!$B:$H,H$2080,0),0)</f>
        <v>ф10, 1ton=1,620.7m</v>
      </c>
      <c r="I1176" s="56" t="str">
        <f>IFERROR(VLOOKUP($D1176,본공사입.출고현황!$B:$H,I$2080,0),0)</f>
        <v>M</v>
      </c>
      <c r="J1176" s="9">
        <v>1</v>
      </c>
      <c r="K1176" s="9" t="s">
        <v>352</v>
      </c>
      <c r="L1176" s="37">
        <v>25</v>
      </c>
      <c r="M1176" s="64" t="s">
        <v>408</v>
      </c>
      <c r="N1176" s="42"/>
    </row>
    <row r="1177" spans="1:14" ht="24" customHeight="1">
      <c r="A1177" s="8">
        <v>1133</v>
      </c>
      <c r="B1177" s="9">
        <v>1133</v>
      </c>
      <c r="C1177" s="46">
        <v>46060</v>
      </c>
      <c r="D1177" s="9" t="s">
        <v>238</v>
      </c>
      <c r="E1177" s="56" t="str">
        <f>IFERROR(VLOOKUP($D1177,본공사입.출고현황!$B:$H,E$2080,0),0)</f>
        <v>Steel round bar</v>
      </c>
      <c r="F1177" s="18" t="str">
        <f>IFERROR(VLOOKUP($D1177,본공사입.출고현황!$B:$H,F$2080,0),0)</f>
        <v>Steel round bar(rebar)</v>
      </c>
      <c r="G1177" s="18" t="str">
        <f>IFERROR(VLOOKUP($D1177,본공사입.출고현황!$B:$H,G$2080,0),0)</f>
        <v>CCGG</v>
      </c>
      <c r="H1177" s="18" t="str">
        <f>IFERROR(VLOOKUP($D1177,본공사입.출고현황!$B:$H,H$2080,0),0)</f>
        <v>ф10, 1ton=1,620.7m</v>
      </c>
      <c r="I1177" s="56" t="str">
        <f>IFERROR(VLOOKUP($D1177,본공사입.출고현황!$B:$H,I$2080,0),0)</f>
        <v>M</v>
      </c>
      <c r="J1177" s="9">
        <v>1</v>
      </c>
      <c r="K1177" s="9" t="s">
        <v>547</v>
      </c>
      <c r="L1177" s="37">
        <v>20</v>
      </c>
      <c r="M1177" s="64" t="s">
        <v>408</v>
      </c>
      <c r="N1177" s="42"/>
    </row>
    <row r="1178" spans="1:14" ht="24" customHeight="1">
      <c r="A1178" s="8">
        <v>1134</v>
      </c>
      <c r="B1178" s="9">
        <v>1134</v>
      </c>
      <c r="C1178" s="46">
        <v>46060</v>
      </c>
      <c r="D1178" s="9" t="s">
        <v>238</v>
      </c>
      <c r="E1178" s="56" t="str">
        <f>IFERROR(VLOOKUP($D1178,본공사입.출고현황!$B:$H,E$2080,0),0)</f>
        <v>Steel round bar</v>
      </c>
      <c r="F1178" s="18" t="str">
        <f>IFERROR(VLOOKUP($D1178,본공사입.출고현황!$B:$H,F$2080,0),0)</f>
        <v>Steel round bar(rebar)</v>
      </c>
      <c r="G1178" s="18" t="str">
        <f>IFERROR(VLOOKUP($D1178,본공사입.출고현황!$B:$H,G$2080,0),0)</f>
        <v>CCGG</v>
      </c>
      <c r="H1178" s="18" t="str">
        <f>IFERROR(VLOOKUP($D1178,본공사입.출고현황!$B:$H,H$2080,0),0)</f>
        <v>ф10, 1ton=1,620.7m</v>
      </c>
      <c r="I1178" s="56" t="str">
        <f>IFERROR(VLOOKUP($D1178,본공사입.출고현황!$B:$H,I$2080,0),0)</f>
        <v>M</v>
      </c>
      <c r="J1178" s="9">
        <v>2</v>
      </c>
      <c r="K1178" s="9" t="s">
        <v>360</v>
      </c>
      <c r="L1178" s="37">
        <v>25</v>
      </c>
      <c r="M1178" s="64" t="s">
        <v>408</v>
      </c>
      <c r="N1178" s="42"/>
    </row>
    <row r="1179" spans="1:14" ht="24" customHeight="1">
      <c r="A1179" s="8">
        <v>1135</v>
      </c>
      <c r="B1179" s="9">
        <v>1135</v>
      </c>
      <c r="C1179" s="46">
        <v>46060</v>
      </c>
      <c r="D1179" s="9" t="s">
        <v>238</v>
      </c>
      <c r="E1179" s="56" t="str">
        <f>IFERROR(VLOOKUP($D1179,본공사입.출고현황!$B:$H,E$2080,0),0)</f>
        <v>Steel round bar</v>
      </c>
      <c r="F1179" s="18" t="str">
        <f>IFERROR(VLOOKUP($D1179,본공사입.출고현황!$B:$H,F$2080,0),0)</f>
        <v>Steel round bar(rebar)</v>
      </c>
      <c r="G1179" s="18" t="str">
        <f>IFERROR(VLOOKUP($D1179,본공사입.출고현황!$B:$H,G$2080,0),0)</f>
        <v>CCGG</v>
      </c>
      <c r="H1179" s="18" t="str">
        <f>IFERROR(VLOOKUP($D1179,본공사입.출고현황!$B:$H,H$2080,0),0)</f>
        <v>ф10, 1ton=1,620.7m</v>
      </c>
      <c r="I1179" s="56" t="str">
        <f>IFERROR(VLOOKUP($D1179,본공사입.출고현황!$B:$H,I$2080,0),0)</f>
        <v>M</v>
      </c>
      <c r="J1179" s="9">
        <v>4</v>
      </c>
      <c r="K1179" s="9" t="s">
        <v>359</v>
      </c>
      <c r="L1179" s="37">
        <v>20</v>
      </c>
      <c r="M1179" s="64" t="s">
        <v>408</v>
      </c>
      <c r="N1179" s="42"/>
    </row>
    <row r="1180" spans="1:14" ht="24" customHeight="1">
      <c r="A1180" s="8">
        <v>1136</v>
      </c>
      <c r="B1180" s="9">
        <v>1136</v>
      </c>
      <c r="C1180" s="46">
        <v>46060</v>
      </c>
      <c r="D1180" s="9" t="s">
        <v>238</v>
      </c>
      <c r="E1180" s="56" t="str">
        <f>IFERROR(VLOOKUP($D1180,본공사입.출고현황!$B:$H,E$2080,0),0)</f>
        <v>Steel round bar</v>
      </c>
      <c r="F1180" s="18" t="str">
        <f>IFERROR(VLOOKUP($D1180,본공사입.출고현황!$B:$H,F$2080,0),0)</f>
        <v>Steel round bar(rebar)</v>
      </c>
      <c r="G1180" s="18" t="str">
        <f>IFERROR(VLOOKUP($D1180,본공사입.출고현황!$B:$H,G$2080,0),0)</f>
        <v>CCGG</v>
      </c>
      <c r="H1180" s="18" t="str">
        <f>IFERROR(VLOOKUP($D1180,본공사입.출고현황!$B:$H,H$2080,0),0)</f>
        <v>ф10, 1ton=1,620.7m</v>
      </c>
      <c r="I1180" s="56" t="str">
        <f>IFERROR(VLOOKUP($D1180,본공사입.출고현황!$B:$H,I$2080,0),0)</f>
        <v>M</v>
      </c>
      <c r="J1180" s="9">
        <v>2</v>
      </c>
      <c r="K1180" s="9" t="s">
        <v>546</v>
      </c>
      <c r="L1180" s="37">
        <v>25</v>
      </c>
      <c r="M1180" s="64" t="s">
        <v>408</v>
      </c>
      <c r="N1180" s="42"/>
    </row>
    <row r="1181" spans="1:14" ht="24" customHeight="1">
      <c r="A1181" s="8">
        <v>1137</v>
      </c>
      <c r="B1181" s="9">
        <v>1137</v>
      </c>
      <c r="C1181" s="46">
        <v>46060</v>
      </c>
      <c r="D1181" s="9" t="s">
        <v>238</v>
      </c>
      <c r="E1181" s="56" t="str">
        <f>IFERROR(VLOOKUP($D1181,본공사입.출고현황!$B:$H,E$2080,0),0)</f>
        <v>Steel round bar</v>
      </c>
      <c r="F1181" s="18" t="str">
        <f>IFERROR(VLOOKUP($D1181,본공사입.출고현황!$B:$H,F$2080,0),0)</f>
        <v>Steel round bar(rebar)</v>
      </c>
      <c r="G1181" s="18" t="str">
        <f>IFERROR(VLOOKUP($D1181,본공사입.출고현황!$B:$H,G$2080,0),0)</f>
        <v>CCGG</v>
      </c>
      <c r="H1181" s="18" t="str">
        <f>IFERROR(VLOOKUP($D1181,본공사입.출고현황!$B:$H,H$2080,0),0)</f>
        <v>ф10, 1ton=1,620.7m</v>
      </c>
      <c r="I1181" s="56" t="str">
        <f>IFERROR(VLOOKUP($D1181,본공사입.출고현황!$B:$H,I$2080,0),0)</f>
        <v>M</v>
      </c>
      <c r="J1181" s="9">
        <v>1</v>
      </c>
      <c r="K1181" s="9" t="s">
        <v>545</v>
      </c>
      <c r="L1181" s="37">
        <v>15</v>
      </c>
      <c r="M1181" s="64" t="s">
        <v>408</v>
      </c>
      <c r="N1181" s="42"/>
    </row>
    <row r="1182" spans="1:14" ht="24" customHeight="1">
      <c r="A1182" s="8">
        <v>1138</v>
      </c>
      <c r="B1182" s="9">
        <v>1138</v>
      </c>
      <c r="C1182" s="46">
        <v>46060</v>
      </c>
      <c r="D1182" s="9" t="s">
        <v>238</v>
      </c>
      <c r="E1182" s="56" t="str">
        <f>IFERROR(VLOOKUP($D1182,본공사입.출고현황!$B:$H,E$2080,0),0)</f>
        <v>Steel round bar</v>
      </c>
      <c r="F1182" s="18" t="str">
        <f>IFERROR(VLOOKUP($D1182,본공사입.출고현황!$B:$H,F$2080,0),0)</f>
        <v>Steel round bar(rebar)</v>
      </c>
      <c r="G1182" s="18" t="str">
        <f>IFERROR(VLOOKUP($D1182,본공사입.출고현황!$B:$H,G$2080,0),0)</f>
        <v>CCGG</v>
      </c>
      <c r="H1182" s="18" t="str">
        <f>IFERROR(VLOOKUP($D1182,본공사입.출고현황!$B:$H,H$2080,0),0)</f>
        <v>ф10, 1ton=1,620.7m</v>
      </c>
      <c r="I1182" s="56" t="str">
        <f>IFERROR(VLOOKUP($D1182,본공사입.출고현황!$B:$H,I$2080,0),0)</f>
        <v>M</v>
      </c>
      <c r="J1182" s="9">
        <v>2</v>
      </c>
      <c r="K1182" s="9" t="s">
        <v>241</v>
      </c>
      <c r="L1182" s="37">
        <v>50</v>
      </c>
      <c r="M1182" s="64" t="s">
        <v>408</v>
      </c>
      <c r="N1182" s="42"/>
    </row>
    <row r="1183" spans="1:14" ht="24" customHeight="1">
      <c r="A1183" s="8">
        <v>1139</v>
      </c>
      <c r="B1183" s="9">
        <v>1139</v>
      </c>
      <c r="C1183" s="46">
        <v>46061</v>
      </c>
      <c r="D1183" s="9" t="s">
        <v>238</v>
      </c>
      <c r="E1183" s="56" t="str">
        <f>IFERROR(VLOOKUP($D1183,본공사입.출고현황!$B:$H,E$2080,0),0)</f>
        <v>Steel round bar</v>
      </c>
      <c r="F1183" s="18" t="str">
        <f>IFERROR(VLOOKUP($D1183,본공사입.출고현황!$B:$H,F$2080,0),0)</f>
        <v>Steel round bar(rebar)</v>
      </c>
      <c r="G1183" s="18" t="str">
        <f>IFERROR(VLOOKUP($D1183,본공사입.출고현황!$B:$H,G$2080,0),0)</f>
        <v>CCGG</v>
      </c>
      <c r="H1183" s="18" t="str">
        <f>IFERROR(VLOOKUP($D1183,본공사입.출고현황!$B:$H,H$2080,0),0)</f>
        <v>ф10, 1ton=1,620.7m</v>
      </c>
      <c r="I1183" s="56" t="str">
        <f>IFERROR(VLOOKUP($D1183,본공사입.출고현황!$B:$H,I$2080,0),0)</f>
        <v>M</v>
      </c>
      <c r="J1183" s="9">
        <v>3</v>
      </c>
      <c r="K1183" s="9" t="s">
        <v>550</v>
      </c>
      <c r="L1183" s="37">
        <v>30</v>
      </c>
      <c r="M1183" s="64" t="s">
        <v>408</v>
      </c>
      <c r="N1183" s="42"/>
    </row>
    <row r="1184" spans="1:14" ht="24" customHeight="1">
      <c r="A1184" s="8">
        <v>1140</v>
      </c>
      <c r="B1184" s="9">
        <v>1140</v>
      </c>
      <c r="C1184" s="46">
        <v>46061</v>
      </c>
      <c r="D1184" s="9" t="s">
        <v>238</v>
      </c>
      <c r="E1184" s="56" t="str">
        <f>IFERROR(VLOOKUP($D1184,본공사입.출고현황!$B:$H,E$2080,0),0)</f>
        <v>Steel round bar</v>
      </c>
      <c r="F1184" s="18" t="str">
        <f>IFERROR(VLOOKUP($D1184,본공사입.출고현황!$B:$H,F$2080,0),0)</f>
        <v>Steel round bar(rebar)</v>
      </c>
      <c r="G1184" s="18" t="str">
        <f>IFERROR(VLOOKUP($D1184,본공사입.출고현황!$B:$H,G$2080,0),0)</f>
        <v>CCGG</v>
      </c>
      <c r="H1184" s="18" t="str">
        <f>IFERROR(VLOOKUP($D1184,본공사입.출고현황!$B:$H,H$2080,0),0)</f>
        <v>ф10, 1ton=1,620.7m</v>
      </c>
      <c r="I1184" s="56" t="str">
        <f>IFERROR(VLOOKUP($D1184,본공사입.출고현황!$B:$H,I$2080,0),0)</f>
        <v>M</v>
      </c>
      <c r="J1184" s="9">
        <v>3</v>
      </c>
      <c r="K1184" s="9" t="s">
        <v>550</v>
      </c>
      <c r="L1184" s="37">
        <v>15</v>
      </c>
      <c r="M1184" s="64" t="s">
        <v>408</v>
      </c>
      <c r="N1184" s="4"/>
    </row>
    <row r="1185" spans="1:14" ht="24" customHeight="1">
      <c r="A1185" s="8">
        <v>1141</v>
      </c>
      <c r="B1185" s="9">
        <v>1141</v>
      </c>
      <c r="C1185" s="46">
        <v>46061</v>
      </c>
      <c r="D1185" s="9" t="s">
        <v>238</v>
      </c>
      <c r="E1185" s="56" t="str">
        <f>IFERROR(VLOOKUP($D1185,본공사입.출고현황!$B:$H,E$2080,0),0)</f>
        <v>Steel round bar</v>
      </c>
      <c r="F1185" s="18" t="str">
        <f>IFERROR(VLOOKUP($D1185,본공사입.출고현황!$B:$H,F$2080,0),0)</f>
        <v>Steel round bar(rebar)</v>
      </c>
      <c r="G1185" s="18" t="str">
        <f>IFERROR(VLOOKUP($D1185,본공사입.출고현황!$B:$H,G$2080,0),0)</f>
        <v>CCGG</v>
      </c>
      <c r="H1185" s="18" t="str">
        <f>IFERROR(VLOOKUP($D1185,본공사입.출고현황!$B:$H,H$2080,0),0)</f>
        <v>ф10, 1ton=1,620.7m</v>
      </c>
      <c r="I1185" s="56" t="str">
        <f>IFERROR(VLOOKUP($D1185,본공사입.출고현황!$B:$H,I$2080,0),0)</f>
        <v>M</v>
      </c>
      <c r="J1185" s="9">
        <v>1</v>
      </c>
      <c r="K1185" s="9" t="s">
        <v>363</v>
      </c>
      <c r="L1185" s="37">
        <v>40</v>
      </c>
      <c r="M1185" s="64" t="s">
        <v>408</v>
      </c>
      <c r="N1185" s="4"/>
    </row>
    <row r="1186" spans="1:14" ht="24" customHeight="1">
      <c r="A1186" s="8">
        <v>1142</v>
      </c>
      <c r="B1186" s="9">
        <v>1142</v>
      </c>
      <c r="C1186" s="46">
        <v>46061</v>
      </c>
      <c r="D1186" s="9" t="s">
        <v>238</v>
      </c>
      <c r="E1186" s="56" t="str">
        <f>IFERROR(VLOOKUP($D1186,본공사입.출고현황!$B:$H,E$2080,0),0)</f>
        <v>Steel round bar</v>
      </c>
      <c r="F1186" s="18" t="str">
        <f>IFERROR(VLOOKUP($D1186,본공사입.출고현황!$B:$H,F$2080,0),0)</f>
        <v>Steel round bar(rebar)</v>
      </c>
      <c r="G1186" s="18" t="str">
        <f>IFERROR(VLOOKUP($D1186,본공사입.출고현황!$B:$H,G$2080,0),0)</f>
        <v>CCGG</v>
      </c>
      <c r="H1186" s="18" t="str">
        <f>IFERROR(VLOOKUP($D1186,본공사입.출고현황!$B:$H,H$2080,0),0)</f>
        <v>ф10, 1ton=1,620.7m</v>
      </c>
      <c r="I1186" s="56" t="str">
        <f>IFERROR(VLOOKUP($D1186,본공사입.출고현황!$B:$H,I$2080,0),0)</f>
        <v>M</v>
      </c>
      <c r="J1186" s="9">
        <v>1</v>
      </c>
      <c r="K1186" s="9" t="s">
        <v>547</v>
      </c>
      <c r="L1186" s="37">
        <v>20</v>
      </c>
      <c r="M1186" s="64" t="s">
        <v>408</v>
      </c>
      <c r="N1186" s="4"/>
    </row>
    <row r="1187" spans="1:14" ht="24" customHeight="1">
      <c r="A1187" s="8">
        <v>1143</v>
      </c>
      <c r="B1187" s="9">
        <v>1143</v>
      </c>
      <c r="C1187" s="46">
        <v>46061</v>
      </c>
      <c r="D1187" s="9" t="s">
        <v>238</v>
      </c>
      <c r="E1187" s="56" t="str">
        <f>IFERROR(VLOOKUP($D1187,본공사입.출고현황!$B:$H,E$2080,0),0)</f>
        <v>Steel round bar</v>
      </c>
      <c r="F1187" s="18" t="str">
        <f>IFERROR(VLOOKUP($D1187,본공사입.출고현황!$B:$H,F$2080,0),0)</f>
        <v>Steel round bar(rebar)</v>
      </c>
      <c r="G1187" s="18" t="str">
        <f>IFERROR(VLOOKUP($D1187,본공사입.출고현황!$B:$H,G$2080,0),0)</f>
        <v>CCGG</v>
      </c>
      <c r="H1187" s="18" t="str">
        <f>IFERROR(VLOOKUP($D1187,본공사입.출고현황!$B:$H,H$2080,0),0)</f>
        <v>ф10, 1ton=1,620.7m</v>
      </c>
      <c r="I1187" s="56" t="str">
        <f>IFERROR(VLOOKUP($D1187,본공사입.출고현황!$B:$H,I$2080,0),0)</f>
        <v>M</v>
      </c>
      <c r="J1187" s="9">
        <v>1</v>
      </c>
      <c r="K1187" s="9" t="s">
        <v>363</v>
      </c>
      <c r="L1187" s="37">
        <v>20</v>
      </c>
      <c r="M1187" s="64" t="s">
        <v>408</v>
      </c>
      <c r="N1187" s="4"/>
    </row>
    <row r="1188" spans="1:14" ht="24" customHeight="1">
      <c r="A1188" s="8">
        <v>1144</v>
      </c>
      <c r="B1188" s="9">
        <v>1144</v>
      </c>
      <c r="C1188" s="46">
        <v>46061</v>
      </c>
      <c r="D1188" s="9" t="s">
        <v>238</v>
      </c>
      <c r="E1188" s="56" t="str">
        <f>IFERROR(VLOOKUP($D1188,본공사입.출고현황!$B:$H,E$2080,0),0)</f>
        <v>Steel round bar</v>
      </c>
      <c r="F1188" s="18" t="str">
        <f>IFERROR(VLOOKUP($D1188,본공사입.출고현황!$B:$H,F$2080,0),0)</f>
        <v>Steel round bar(rebar)</v>
      </c>
      <c r="G1188" s="18" t="str">
        <f>IFERROR(VLOOKUP($D1188,본공사입.출고현황!$B:$H,G$2080,0),0)</f>
        <v>CCGG</v>
      </c>
      <c r="H1188" s="18" t="str">
        <f>IFERROR(VLOOKUP($D1188,본공사입.출고현황!$B:$H,H$2080,0),0)</f>
        <v>ф10, 1ton=1,620.7m</v>
      </c>
      <c r="I1188" s="56" t="str">
        <f>IFERROR(VLOOKUP($D1188,본공사입.출고현황!$B:$H,I$2080,0),0)</f>
        <v>M</v>
      </c>
      <c r="J1188" s="9">
        <v>3</v>
      </c>
      <c r="K1188" s="9" t="s">
        <v>550</v>
      </c>
      <c r="L1188" s="37">
        <v>20</v>
      </c>
      <c r="M1188" s="64" t="s">
        <v>408</v>
      </c>
      <c r="N1188" s="4"/>
    </row>
    <row r="1189" spans="1:14" ht="24" customHeight="1">
      <c r="A1189" s="8">
        <v>1145</v>
      </c>
      <c r="B1189" s="9">
        <v>1145</v>
      </c>
      <c r="C1189" s="46">
        <v>46062</v>
      </c>
      <c r="D1189" s="9" t="s">
        <v>238</v>
      </c>
      <c r="E1189" s="56" t="str">
        <f>IFERROR(VLOOKUP($D1189,본공사입.출고현황!$B:$H,E$2080,0),0)</f>
        <v>Steel round bar</v>
      </c>
      <c r="F1189" s="18" t="str">
        <f>IFERROR(VLOOKUP($D1189,본공사입.출고현황!$B:$H,F$2080,0),0)</f>
        <v>Steel round bar(rebar)</v>
      </c>
      <c r="G1189" s="18" t="str">
        <f>IFERROR(VLOOKUP($D1189,본공사입.출고현황!$B:$H,G$2080,0),0)</f>
        <v>CCGG</v>
      </c>
      <c r="H1189" s="18" t="str">
        <f>IFERROR(VLOOKUP($D1189,본공사입.출고현황!$B:$H,H$2080,0),0)</f>
        <v>ф10, 1ton=1,620.7m</v>
      </c>
      <c r="I1189" s="56" t="str">
        <f>IFERROR(VLOOKUP($D1189,본공사입.출고현황!$B:$H,I$2080,0),0)</f>
        <v>M</v>
      </c>
      <c r="J1189" s="9">
        <v>2</v>
      </c>
      <c r="K1189" s="9" t="s">
        <v>360</v>
      </c>
      <c r="L1189" s="37">
        <v>25</v>
      </c>
      <c r="M1189" s="64" t="s">
        <v>408</v>
      </c>
      <c r="N1189" s="4"/>
    </row>
    <row r="1190" spans="1:14" ht="24" customHeight="1">
      <c r="A1190" s="8">
        <v>1146</v>
      </c>
      <c r="B1190" s="9">
        <v>1146</v>
      </c>
      <c r="C1190" s="46">
        <v>46062</v>
      </c>
      <c r="D1190" s="9" t="s">
        <v>238</v>
      </c>
      <c r="E1190" s="56" t="str">
        <f>IFERROR(VLOOKUP($D1190,본공사입.출고현황!$B:$H,E$2080,0),0)</f>
        <v>Steel round bar</v>
      </c>
      <c r="F1190" s="18" t="str">
        <f>IFERROR(VLOOKUP($D1190,본공사입.출고현황!$B:$H,F$2080,0),0)</f>
        <v>Steel round bar(rebar)</v>
      </c>
      <c r="G1190" s="18" t="str">
        <f>IFERROR(VLOOKUP($D1190,본공사입.출고현황!$B:$H,G$2080,0),0)</f>
        <v>CCGG</v>
      </c>
      <c r="H1190" s="18" t="str">
        <f>IFERROR(VLOOKUP($D1190,본공사입.출고현황!$B:$H,H$2080,0),0)</f>
        <v>ф10, 1ton=1,620.7m</v>
      </c>
      <c r="I1190" s="56" t="str">
        <f>IFERROR(VLOOKUP($D1190,본공사입.출고현황!$B:$H,I$2080,0),0)</f>
        <v>M</v>
      </c>
      <c r="J1190" s="9">
        <v>1</v>
      </c>
      <c r="K1190" s="9" t="s">
        <v>352</v>
      </c>
      <c r="L1190" s="37">
        <v>25</v>
      </c>
      <c r="M1190" s="64" t="s">
        <v>408</v>
      </c>
      <c r="N1190" s="4"/>
    </row>
    <row r="1191" spans="1:14" ht="24" customHeight="1">
      <c r="A1191" s="8">
        <v>1147</v>
      </c>
      <c r="B1191" s="9">
        <v>1147</v>
      </c>
      <c r="C1191" s="46">
        <v>46062</v>
      </c>
      <c r="D1191" s="9" t="s">
        <v>238</v>
      </c>
      <c r="E1191" s="56" t="str">
        <f>IFERROR(VLOOKUP($D1191,본공사입.출고현황!$B:$H,E$2080,0),0)</f>
        <v>Steel round bar</v>
      </c>
      <c r="F1191" s="18" t="str">
        <f>IFERROR(VLOOKUP($D1191,본공사입.출고현황!$B:$H,F$2080,0),0)</f>
        <v>Steel round bar(rebar)</v>
      </c>
      <c r="G1191" s="18" t="str">
        <f>IFERROR(VLOOKUP($D1191,본공사입.출고현황!$B:$H,G$2080,0),0)</f>
        <v>CCGG</v>
      </c>
      <c r="H1191" s="18" t="str">
        <f>IFERROR(VLOOKUP($D1191,본공사입.출고현황!$B:$H,H$2080,0),0)</f>
        <v>ф10, 1ton=1,620.7m</v>
      </c>
      <c r="I1191" s="56" t="str">
        <f>IFERROR(VLOOKUP($D1191,본공사입.출고현황!$B:$H,I$2080,0),0)</f>
        <v>M</v>
      </c>
      <c r="J1191" s="9">
        <v>2</v>
      </c>
      <c r="K1191" s="9" t="s">
        <v>546</v>
      </c>
      <c r="L1191" s="37">
        <v>25</v>
      </c>
      <c r="M1191" s="64" t="s">
        <v>408</v>
      </c>
      <c r="N1191" s="4"/>
    </row>
    <row r="1192" spans="1:14" ht="24" customHeight="1">
      <c r="A1192" s="8">
        <v>1148</v>
      </c>
      <c r="B1192" s="9">
        <v>1148</v>
      </c>
      <c r="C1192" s="46">
        <v>46062</v>
      </c>
      <c r="D1192" s="9" t="s">
        <v>238</v>
      </c>
      <c r="E1192" s="56" t="str">
        <f>IFERROR(VLOOKUP($D1192,본공사입.출고현황!$B:$H,E$2080,0),0)</f>
        <v>Steel round bar</v>
      </c>
      <c r="F1192" s="18" t="str">
        <f>IFERROR(VLOOKUP($D1192,본공사입.출고현황!$B:$H,F$2080,0),0)</f>
        <v>Steel round bar(rebar)</v>
      </c>
      <c r="G1192" s="18" t="str">
        <f>IFERROR(VLOOKUP($D1192,본공사입.출고현황!$B:$H,G$2080,0),0)</f>
        <v>CCGG</v>
      </c>
      <c r="H1192" s="18" t="str">
        <f>IFERROR(VLOOKUP($D1192,본공사입.출고현황!$B:$H,H$2080,0),0)</f>
        <v>ф10, 1ton=1,620.7m</v>
      </c>
      <c r="I1192" s="56" t="str">
        <f>IFERROR(VLOOKUP($D1192,본공사입.출고현황!$B:$H,I$2080,0),0)</f>
        <v>M</v>
      </c>
      <c r="J1192" s="9">
        <v>4</v>
      </c>
      <c r="K1192" s="9" t="s">
        <v>359</v>
      </c>
      <c r="L1192" s="37">
        <v>25</v>
      </c>
      <c r="M1192" s="64" t="s">
        <v>408</v>
      </c>
      <c r="N1192" s="4"/>
    </row>
    <row r="1193" spans="1:14" ht="24" customHeight="1">
      <c r="A1193" s="8">
        <v>1149</v>
      </c>
      <c r="B1193" s="9">
        <v>1149</v>
      </c>
      <c r="C1193" s="46">
        <v>46062</v>
      </c>
      <c r="D1193" s="9" t="s">
        <v>238</v>
      </c>
      <c r="E1193" s="56" t="str">
        <f>IFERROR(VLOOKUP($D1193,본공사입.출고현황!$B:$H,E$2080,0),0)</f>
        <v>Steel round bar</v>
      </c>
      <c r="F1193" s="18" t="str">
        <f>IFERROR(VLOOKUP($D1193,본공사입.출고현황!$B:$H,F$2080,0),0)</f>
        <v>Steel round bar(rebar)</v>
      </c>
      <c r="G1193" s="18" t="str">
        <f>IFERROR(VLOOKUP($D1193,본공사입.출고현황!$B:$H,G$2080,0),0)</f>
        <v>CCGG</v>
      </c>
      <c r="H1193" s="18" t="str">
        <f>IFERROR(VLOOKUP($D1193,본공사입.출고현황!$B:$H,H$2080,0),0)</f>
        <v>ф10, 1ton=1,620.7m</v>
      </c>
      <c r="I1193" s="56" t="str">
        <f>IFERROR(VLOOKUP($D1193,본공사입.출고현황!$B:$H,I$2080,0),0)</f>
        <v>M</v>
      </c>
      <c r="J1193" s="9">
        <v>2</v>
      </c>
      <c r="K1193" s="9" t="s">
        <v>360</v>
      </c>
      <c r="L1193" s="37">
        <v>25</v>
      </c>
      <c r="M1193" s="64" t="s">
        <v>408</v>
      </c>
      <c r="N1193" s="4"/>
    </row>
    <row r="1194" spans="1:14" ht="24" customHeight="1">
      <c r="A1194" s="8">
        <v>1150</v>
      </c>
      <c r="B1194" s="9">
        <v>1150</v>
      </c>
      <c r="C1194" s="46">
        <v>46062</v>
      </c>
      <c r="D1194" s="9" t="s">
        <v>238</v>
      </c>
      <c r="E1194" s="56" t="str">
        <f>IFERROR(VLOOKUP($D1194,본공사입.출고현황!$B:$H,E$2080,0),0)</f>
        <v>Steel round bar</v>
      </c>
      <c r="F1194" s="18" t="str">
        <f>IFERROR(VLOOKUP($D1194,본공사입.출고현황!$B:$H,F$2080,0),0)</f>
        <v>Steel round bar(rebar)</v>
      </c>
      <c r="G1194" s="18" t="str">
        <f>IFERROR(VLOOKUP($D1194,본공사입.출고현황!$B:$H,G$2080,0),0)</f>
        <v>CCGG</v>
      </c>
      <c r="H1194" s="18" t="str">
        <f>IFERROR(VLOOKUP($D1194,본공사입.출고현황!$B:$H,H$2080,0),0)</f>
        <v>ф10, 1ton=1,620.7m</v>
      </c>
      <c r="I1194" s="56" t="str">
        <f>IFERROR(VLOOKUP($D1194,본공사입.출고현황!$B:$H,I$2080,0),0)</f>
        <v>M</v>
      </c>
      <c r="J1194" s="9">
        <v>3</v>
      </c>
      <c r="K1194" s="9" t="s">
        <v>237</v>
      </c>
      <c r="L1194" s="37">
        <v>25</v>
      </c>
      <c r="M1194" s="64" t="s">
        <v>408</v>
      </c>
      <c r="N1194" s="4"/>
    </row>
    <row r="1195" spans="1:14" ht="24" customHeight="1">
      <c r="A1195" s="8">
        <v>1151</v>
      </c>
      <c r="B1195" s="9">
        <v>1151</v>
      </c>
      <c r="C1195" s="46">
        <v>46062</v>
      </c>
      <c r="D1195" s="9" t="s">
        <v>238</v>
      </c>
      <c r="E1195" s="56" t="str">
        <f>IFERROR(VLOOKUP($D1195,본공사입.출고현황!$B:$H,E$2080,0),0)</f>
        <v>Steel round bar</v>
      </c>
      <c r="F1195" s="18" t="str">
        <f>IFERROR(VLOOKUP($D1195,본공사입.출고현황!$B:$H,F$2080,0),0)</f>
        <v>Steel round bar(rebar)</v>
      </c>
      <c r="G1195" s="18" t="str">
        <f>IFERROR(VLOOKUP($D1195,본공사입.출고현황!$B:$H,G$2080,0),0)</f>
        <v>CCGG</v>
      </c>
      <c r="H1195" s="18" t="str">
        <f>IFERROR(VLOOKUP($D1195,본공사입.출고현황!$B:$H,H$2080,0),0)</f>
        <v>ф10, 1ton=1,620.7m</v>
      </c>
      <c r="I1195" s="56" t="str">
        <f>IFERROR(VLOOKUP($D1195,본공사입.출고현황!$B:$H,I$2080,0),0)</f>
        <v>M</v>
      </c>
      <c r="J1195" s="9">
        <v>1</v>
      </c>
      <c r="K1195" s="9" t="s">
        <v>352</v>
      </c>
      <c r="L1195" s="37">
        <v>25</v>
      </c>
      <c r="M1195" s="64" t="s">
        <v>408</v>
      </c>
      <c r="N1195" s="4"/>
    </row>
    <row r="1196" spans="1:14" ht="24" customHeight="1">
      <c r="A1196" s="8">
        <v>1152</v>
      </c>
      <c r="B1196" s="9">
        <v>1152</v>
      </c>
      <c r="C1196" s="46">
        <v>46062</v>
      </c>
      <c r="D1196" s="9" t="s">
        <v>238</v>
      </c>
      <c r="E1196" s="56" t="str">
        <f>IFERROR(VLOOKUP($D1196,본공사입.출고현황!$B:$H,E$2080,0),0)</f>
        <v>Steel round bar</v>
      </c>
      <c r="F1196" s="18" t="str">
        <f>IFERROR(VLOOKUP($D1196,본공사입.출고현황!$B:$H,F$2080,0),0)</f>
        <v>Steel round bar(rebar)</v>
      </c>
      <c r="G1196" s="18" t="str">
        <f>IFERROR(VLOOKUP($D1196,본공사입.출고현황!$B:$H,G$2080,0),0)</f>
        <v>CCGG</v>
      </c>
      <c r="H1196" s="18" t="str">
        <f>IFERROR(VLOOKUP($D1196,본공사입.출고현황!$B:$H,H$2080,0),0)</f>
        <v>ф10, 1ton=1,620.7m</v>
      </c>
      <c r="I1196" s="56" t="str">
        <f>IFERROR(VLOOKUP($D1196,본공사입.출고현황!$B:$H,I$2080,0),0)</f>
        <v>M</v>
      </c>
      <c r="J1196" s="9">
        <v>1</v>
      </c>
      <c r="K1196" s="9" t="s">
        <v>547</v>
      </c>
      <c r="L1196" s="37">
        <v>20</v>
      </c>
      <c r="M1196" s="64" t="s">
        <v>408</v>
      </c>
      <c r="N1196" s="4"/>
    </row>
    <row r="1197" spans="1:14" ht="24" customHeight="1">
      <c r="A1197" s="8">
        <v>1153</v>
      </c>
      <c r="B1197" s="9">
        <v>1153</v>
      </c>
      <c r="C1197" s="46">
        <v>46062</v>
      </c>
      <c r="D1197" s="9" t="s">
        <v>238</v>
      </c>
      <c r="E1197" s="56" t="str">
        <f>IFERROR(VLOOKUP($D1197,본공사입.출고현황!$B:$H,E$2080,0),0)</f>
        <v>Steel round bar</v>
      </c>
      <c r="F1197" s="18" t="str">
        <f>IFERROR(VLOOKUP($D1197,본공사입.출고현황!$B:$H,F$2080,0),0)</f>
        <v>Steel round bar(rebar)</v>
      </c>
      <c r="G1197" s="18" t="str">
        <f>IFERROR(VLOOKUP($D1197,본공사입.출고현황!$B:$H,G$2080,0),0)</f>
        <v>CCGG</v>
      </c>
      <c r="H1197" s="18" t="str">
        <f>IFERROR(VLOOKUP($D1197,본공사입.출고현황!$B:$H,H$2080,0),0)</f>
        <v>ф10, 1ton=1,620.7m</v>
      </c>
      <c r="I1197" s="56" t="str">
        <f>IFERROR(VLOOKUP($D1197,본공사입.출고현황!$B:$H,I$2080,0),0)</f>
        <v>M</v>
      </c>
      <c r="J1197" s="9">
        <v>2</v>
      </c>
      <c r="K1197" s="9" t="s">
        <v>360</v>
      </c>
      <c r="L1197" s="37">
        <v>25</v>
      </c>
      <c r="M1197" s="64" t="s">
        <v>408</v>
      </c>
      <c r="N1197" s="4"/>
    </row>
    <row r="1198" spans="1:14" ht="24" customHeight="1">
      <c r="A1198" s="8">
        <v>1154</v>
      </c>
      <c r="B1198" s="9">
        <v>1154</v>
      </c>
      <c r="C1198" s="46">
        <v>46062</v>
      </c>
      <c r="D1198" s="9" t="s">
        <v>238</v>
      </c>
      <c r="E1198" s="56" t="str">
        <f>IFERROR(VLOOKUP($D1198,본공사입.출고현황!$B:$H,E$2080,0),0)</f>
        <v>Steel round bar</v>
      </c>
      <c r="F1198" s="18" t="str">
        <f>IFERROR(VLOOKUP($D1198,본공사입.출고현황!$B:$H,F$2080,0),0)</f>
        <v>Steel round bar(rebar)</v>
      </c>
      <c r="G1198" s="18" t="str">
        <f>IFERROR(VLOOKUP($D1198,본공사입.출고현황!$B:$H,G$2080,0),0)</f>
        <v>CCGG</v>
      </c>
      <c r="H1198" s="18" t="str">
        <f>IFERROR(VLOOKUP($D1198,본공사입.출고현황!$B:$H,H$2080,0),0)</f>
        <v>ф10, 1ton=1,620.7m</v>
      </c>
      <c r="I1198" s="56" t="str">
        <f>IFERROR(VLOOKUP($D1198,본공사입.출고현황!$B:$H,I$2080,0),0)</f>
        <v>M</v>
      </c>
      <c r="J1198" s="9">
        <v>4</v>
      </c>
      <c r="K1198" s="9" t="s">
        <v>359</v>
      </c>
      <c r="L1198" s="37">
        <v>20</v>
      </c>
      <c r="M1198" s="64" t="s">
        <v>408</v>
      </c>
      <c r="N1198" s="4"/>
    </row>
    <row r="1199" spans="1:14" ht="24" customHeight="1">
      <c r="A1199" s="8">
        <v>1155</v>
      </c>
      <c r="B1199" s="9">
        <v>1155</v>
      </c>
      <c r="C1199" s="46">
        <v>46062</v>
      </c>
      <c r="D1199" s="9" t="s">
        <v>238</v>
      </c>
      <c r="E1199" s="56" t="str">
        <f>IFERROR(VLOOKUP($D1199,본공사입.출고현황!$B:$H,E$2080,0),0)</f>
        <v>Steel round bar</v>
      </c>
      <c r="F1199" s="18" t="str">
        <f>IFERROR(VLOOKUP($D1199,본공사입.출고현황!$B:$H,F$2080,0),0)</f>
        <v>Steel round bar(rebar)</v>
      </c>
      <c r="G1199" s="18" t="str">
        <f>IFERROR(VLOOKUP($D1199,본공사입.출고현황!$B:$H,G$2080,0),0)</f>
        <v>CCGG</v>
      </c>
      <c r="H1199" s="18" t="str">
        <f>IFERROR(VLOOKUP($D1199,본공사입.출고현황!$B:$H,H$2080,0),0)</f>
        <v>ф10, 1ton=1,620.7m</v>
      </c>
      <c r="I1199" s="56" t="str">
        <f>IFERROR(VLOOKUP($D1199,본공사입.출고현황!$B:$H,I$2080,0),0)</f>
        <v>M</v>
      </c>
      <c r="J1199" s="9">
        <v>2</v>
      </c>
      <c r="K1199" s="9" t="s">
        <v>546</v>
      </c>
      <c r="L1199" s="37">
        <v>25</v>
      </c>
      <c r="M1199" s="64" t="s">
        <v>408</v>
      </c>
      <c r="N1199" s="4"/>
    </row>
    <row r="1200" spans="1:14" ht="24" customHeight="1">
      <c r="A1200" s="8">
        <v>1156</v>
      </c>
      <c r="B1200" s="9">
        <v>1156</v>
      </c>
      <c r="C1200" s="46">
        <v>46062</v>
      </c>
      <c r="D1200" s="9" t="s">
        <v>238</v>
      </c>
      <c r="E1200" s="56" t="str">
        <f>IFERROR(VLOOKUP($D1200,본공사입.출고현황!$B:$H,E$2080,0),0)</f>
        <v>Steel round bar</v>
      </c>
      <c r="F1200" s="18" t="str">
        <f>IFERROR(VLOOKUP($D1200,본공사입.출고현황!$B:$H,F$2080,0),0)</f>
        <v>Steel round bar(rebar)</v>
      </c>
      <c r="G1200" s="18" t="str">
        <f>IFERROR(VLOOKUP($D1200,본공사입.출고현황!$B:$H,G$2080,0),0)</f>
        <v>CCGG</v>
      </c>
      <c r="H1200" s="18" t="str">
        <f>IFERROR(VLOOKUP($D1200,본공사입.출고현황!$B:$H,H$2080,0),0)</f>
        <v>ф10, 1ton=1,620.7m</v>
      </c>
      <c r="I1200" s="56" t="str">
        <f>IFERROR(VLOOKUP($D1200,본공사입.출고현황!$B:$H,I$2080,0),0)</f>
        <v>M</v>
      </c>
      <c r="J1200" s="9">
        <v>1</v>
      </c>
      <c r="K1200" s="9" t="s">
        <v>545</v>
      </c>
      <c r="L1200" s="37">
        <v>15</v>
      </c>
      <c r="M1200" s="64" t="s">
        <v>408</v>
      </c>
      <c r="N1200" s="4"/>
    </row>
    <row r="1201" spans="1:14" ht="24" customHeight="1">
      <c r="A1201" s="8">
        <v>1157</v>
      </c>
      <c r="B1201" s="9">
        <v>1157</v>
      </c>
      <c r="C1201" s="46">
        <v>46063</v>
      </c>
      <c r="D1201" s="9" t="s">
        <v>238</v>
      </c>
      <c r="E1201" s="56" t="str">
        <f>IFERROR(VLOOKUP($D1201,본공사입.출고현황!$B:$H,E$2080,0),0)</f>
        <v>Steel round bar</v>
      </c>
      <c r="F1201" s="18" t="str">
        <f>IFERROR(VLOOKUP($D1201,본공사입.출고현황!$B:$H,F$2080,0),0)</f>
        <v>Steel round bar(rebar)</v>
      </c>
      <c r="G1201" s="18" t="str">
        <f>IFERROR(VLOOKUP($D1201,본공사입.출고현황!$B:$H,G$2080,0),0)</f>
        <v>CCGG</v>
      </c>
      <c r="H1201" s="18" t="str">
        <f>IFERROR(VLOOKUP($D1201,본공사입.출고현황!$B:$H,H$2080,0),0)</f>
        <v>ф10, 1ton=1,620.7m</v>
      </c>
      <c r="I1201" s="56" t="str">
        <f>IFERROR(VLOOKUP($D1201,본공사입.출고현황!$B:$H,I$2080,0),0)</f>
        <v>M</v>
      </c>
      <c r="J1201" s="9">
        <v>2</v>
      </c>
      <c r="K1201" s="9" t="s">
        <v>241</v>
      </c>
      <c r="L1201" s="37">
        <v>50</v>
      </c>
      <c r="M1201" s="64" t="s">
        <v>408</v>
      </c>
      <c r="N1201" s="4"/>
    </row>
    <row r="1202" spans="1:14" ht="24" customHeight="1">
      <c r="A1202" s="8">
        <v>1158</v>
      </c>
      <c r="B1202" s="9">
        <v>1158</v>
      </c>
      <c r="C1202" s="46">
        <v>46063</v>
      </c>
      <c r="D1202" s="9" t="s">
        <v>238</v>
      </c>
      <c r="E1202" s="56" t="str">
        <f>IFERROR(VLOOKUP($D1202,본공사입.출고현황!$B:$H,E$2080,0),0)</f>
        <v>Steel round bar</v>
      </c>
      <c r="F1202" s="18" t="str">
        <f>IFERROR(VLOOKUP($D1202,본공사입.출고현황!$B:$H,F$2080,0),0)</f>
        <v>Steel round bar(rebar)</v>
      </c>
      <c r="G1202" s="18" t="str">
        <f>IFERROR(VLOOKUP($D1202,본공사입.출고현황!$B:$H,G$2080,0),0)</f>
        <v>CCGG</v>
      </c>
      <c r="H1202" s="18" t="str">
        <f>IFERROR(VLOOKUP($D1202,본공사입.출고현황!$B:$H,H$2080,0),0)</f>
        <v>ф10, 1ton=1,620.7m</v>
      </c>
      <c r="I1202" s="56" t="str">
        <f>IFERROR(VLOOKUP($D1202,본공사입.출고현황!$B:$H,I$2080,0),0)</f>
        <v>M</v>
      </c>
      <c r="J1202" s="9" t="s">
        <v>634</v>
      </c>
      <c r="K1202" s="9"/>
      <c r="L1202" s="37">
        <v>500</v>
      </c>
      <c r="M1202" s="64" t="s">
        <v>408</v>
      </c>
      <c r="N1202" s="4"/>
    </row>
    <row r="1203" spans="1:14" ht="24" customHeight="1">
      <c r="A1203" s="8">
        <v>1159</v>
      </c>
      <c r="B1203" s="9">
        <v>1159</v>
      </c>
      <c r="C1203" s="46">
        <v>46063</v>
      </c>
      <c r="D1203" s="9" t="s">
        <v>238</v>
      </c>
      <c r="E1203" s="56" t="str">
        <f>IFERROR(VLOOKUP($D1203,본공사입.출고현황!$B:$H,E$2080,0),0)</f>
        <v>Steel round bar</v>
      </c>
      <c r="F1203" s="18" t="str">
        <f>IFERROR(VLOOKUP($D1203,본공사입.출고현황!$B:$H,F$2080,0),0)</f>
        <v>Steel round bar(rebar)</v>
      </c>
      <c r="G1203" s="18" t="str">
        <f>IFERROR(VLOOKUP($D1203,본공사입.출고현황!$B:$H,G$2080,0),0)</f>
        <v>CCGG</v>
      </c>
      <c r="H1203" s="18" t="str">
        <f>IFERROR(VLOOKUP($D1203,본공사입.출고현황!$B:$H,H$2080,0),0)</f>
        <v>ф10, 1ton=1,620.7m</v>
      </c>
      <c r="I1203" s="56" t="str">
        <f>IFERROR(VLOOKUP($D1203,본공사입.출고현황!$B:$H,I$2080,0),0)</f>
        <v>M</v>
      </c>
      <c r="J1203" s="9">
        <v>2</v>
      </c>
      <c r="K1203" s="9" t="s">
        <v>546</v>
      </c>
      <c r="L1203" s="37">
        <v>30</v>
      </c>
      <c r="M1203" s="64" t="s">
        <v>638</v>
      </c>
      <c r="N1203" s="4"/>
    </row>
    <row r="1204" spans="1:14" ht="24" customHeight="1">
      <c r="A1204" s="8">
        <v>1160</v>
      </c>
      <c r="B1204" s="9">
        <v>1160</v>
      </c>
      <c r="C1204" s="46">
        <v>46063</v>
      </c>
      <c r="D1204" s="9" t="s">
        <v>238</v>
      </c>
      <c r="E1204" s="56" t="str">
        <f>IFERROR(VLOOKUP($D1204,본공사입.출고현황!$B:$H,E$2080,0),0)</f>
        <v>Steel round bar</v>
      </c>
      <c r="F1204" s="18" t="str">
        <f>IFERROR(VLOOKUP($D1204,본공사입.출고현황!$B:$H,F$2080,0),0)</f>
        <v>Steel round bar(rebar)</v>
      </c>
      <c r="G1204" s="18" t="str">
        <f>IFERROR(VLOOKUP($D1204,본공사입.출고현황!$B:$H,G$2080,0),0)</f>
        <v>CCGG</v>
      </c>
      <c r="H1204" s="18" t="str">
        <f>IFERROR(VLOOKUP($D1204,본공사입.출고현황!$B:$H,H$2080,0),0)</f>
        <v>ф10, 1ton=1,620.7m</v>
      </c>
      <c r="I1204" s="56" t="str">
        <f>IFERROR(VLOOKUP($D1204,본공사입.출고현황!$B:$H,I$2080,0),0)</f>
        <v>M</v>
      </c>
      <c r="J1204" s="9">
        <v>1</v>
      </c>
      <c r="K1204" s="9" t="s">
        <v>363</v>
      </c>
      <c r="L1204" s="37">
        <v>30</v>
      </c>
      <c r="M1204" s="64" t="s">
        <v>638</v>
      </c>
      <c r="N1204" s="4"/>
    </row>
    <row r="1205" spans="1:14" ht="24" customHeight="1">
      <c r="A1205" s="8">
        <v>1161</v>
      </c>
      <c r="B1205" s="9">
        <v>1161</v>
      </c>
      <c r="C1205" s="46">
        <v>46063</v>
      </c>
      <c r="D1205" s="9" t="s">
        <v>238</v>
      </c>
      <c r="E1205" s="56" t="str">
        <f>IFERROR(VLOOKUP($D1205,본공사입.출고현황!$B:$H,E$2080,0),0)</f>
        <v>Steel round bar</v>
      </c>
      <c r="F1205" s="18" t="str">
        <f>IFERROR(VLOOKUP($D1205,본공사입.출고현황!$B:$H,F$2080,0),0)</f>
        <v>Steel round bar(rebar)</v>
      </c>
      <c r="G1205" s="18" t="str">
        <f>IFERROR(VLOOKUP($D1205,본공사입.출고현황!$B:$H,G$2080,0),0)</f>
        <v>CCGG</v>
      </c>
      <c r="H1205" s="18" t="str">
        <f>IFERROR(VLOOKUP($D1205,본공사입.출고현황!$B:$H,H$2080,0),0)</f>
        <v>ф10, 1ton=1,620.7m</v>
      </c>
      <c r="I1205" s="56" t="str">
        <f>IFERROR(VLOOKUP($D1205,본공사입.출고현황!$B:$H,I$2080,0),0)</f>
        <v>M</v>
      </c>
      <c r="J1205" s="9">
        <v>1</v>
      </c>
      <c r="K1205" s="9" t="s">
        <v>363</v>
      </c>
      <c r="L1205" s="37">
        <v>20</v>
      </c>
      <c r="M1205" s="64" t="s">
        <v>638</v>
      </c>
      <c r="N1205" s="4"/>
    </row>
    <row r="1206" spans="1:14" ht="24" customHeight="1">
      <c r="A1206" s="8">
        <v>1162</v>
      </c>
      <c r="B1206" s="9">
        <v>1162</v>
      </c>
      <c r="C1206" s="46">
        <v>46063</v>
      </c>
      <c r="D1206" s="9" t="s">
        <v>238</v>
      </c>
      <c r="E1206" s="56" t="str">
        <f>IFERROR(VLOOKUP($D1206,본공사입.출고현황!$B:$H,E$2080,0),0)</f>
        <v>Steel round bar</v>
      </c>
      <c r="F1206" s="18" t="str">
        <f>IFERROR(VLOOKUP($D1206,본공사입.출고현황!$B:$H,F$2080,0),0)</f>
        <v>Steel round bar(rebar)</v>
      </c>
      <c r="G1206" s="18" t="str">
        <f>IFERROR(VLOOKUP($D1206,본공사입.출고현황!$B:$H,G$2080,0),0)</f>
        <v>CCGG</v>
      </c>
      <c r="H1206" s="18" t="str">
        <f>IFERROR(VLOOKUP($D1206,본공사입.출고현황!$B:$H,H$2080,0),0)</f>
        <v>ф10, 1ton=1,620.7m</v>
      </c>
      <c r="I1206" s="56" t="str">
        <f>IFERROR(VLOOKUP($D1206,본공사입.출고현황!$B:$H,I$2080,0),0)</f>
        <v>M</v>
      </c>
      <c r="J1206" s="9">
        <v>2</v>
      </c>
      <c r="K1206" s="9" t="s">
        <v>360</v>
      </c>
      <c r="L1206" s="37">
        <v>20</v>
      </c>
      <c r="M1206" s="64" t="s">
        <v>638</v>
      </c>
      <c r="N1206" s="4"/>
    </row>
    <row r="1207" spans="1:14" ht="24" customHeight="1">
      <c r="A1207" s="8">
        <v>1163</v>
      </c>
      <c r="B1207" s="9">
        <v>1163</v>
      </c>
      <c r="C1207" s="46">
        <v>46063</v>
      </c>
      <c r="D1207" s="9" t="s">
        <v>238</v>
      </c>
      <c r="E1207" s="56" t="str">
        <f>IFERROR(VLOOKUP($D1207,본공사입.출고현황!$B:$H,E$2080,0),0)</f>
        <v>Steel round bar</v>
      </c>
      <c r="F1207" s="18" t="str">
        <f>IFERROR(VLOOKUP($D1207,본공사입.출고현황!$B:$H,F$2080,0),0)</f>
        <v>Steel round bar(rebar)</v>
      </c>
      <c r="G1207" s="18" t="str">
        <f>IFERROR(VLOOKUP($D1207,본공사입.출고현황!$B:$H,G$2080,0),0)</f>
        <v>CCGG</v>
      </c>
      <c r="H1207" s="18" t="str">
        <f>IFERROR(VLOOKUP($D1207,본공사입.출고현황!$B:$H,H$2080,0),0)</f>
        <v>ф10, 1ton=1,620.7m</v>
      </c>
      <c r="I1207" s="56" t="str">
        <f>IFERROR(VLOOKUP($D1207,본공사입.출고현황!$B:$H,I$2080,0),0)</f>
        <v>M</v>
      </c>
      <c r="J1207" s="9">
        <v>1</v>
      </c>
      <c r="K1207" s="9" t="s">
        <v>352</v>
      </c>
      <c r="L1207" s="37">
        <v>30</v>
      </c>
      <c r="M1207" s="64" t="s">
        <v>638</v>
      </c>
      <c r="N1207" s="4"/>
    </row>
    <row r="1208" spans="1:14" ht="24" customHeight="1">
      <c r="A1208" s="8">
        <v>1164</v>
      </c>
      <c r="B1208" s="9">
        <v>1164</v>
      </c>
      <c r="C1208" s="46">
        <v>46063</v>
      </c>
      <c r="D1208" s="9" t="s">
        <v>238</v>
      </c>
      <c r="E1208" s="56" t="str">
        <f>IFERROR(VLOOKUP($D1208,본공사입.출고현황!$B:$H,E$2080,0),0)</f>
        <v>Steel round bar</v>
      </c>
      <c r="F1208" s="18" t="str">
        <f>IFERROR(VLOOKUP($D1208,본공사입.출고현황!$B:$H,F$2080,0),0)</f>
        <v>Steel round bar(rebar)</v>
      </c>
      <c r="G1208" s="18" t="str">
        <f>IFERROR(VLOOKUP($D1208,본공사입.출고현황!$B:$H,G$2080,0),0)</f>
        <v>CCGG</v>
      </c>
      <c r="H1208" s="18" t="str">
        <f>IFERROR(VLOOKUP($D1208,본공사입.출고현황!$B:$H,H$2080,0),0)</f>
        <v>ф10, 1ton=1,620.7m</v>
      </c>
      <c r="I1208" s="56" t="str">
        <f>IFERROR(VLOOKUP($D1208,본공사입.출고현황!$B:$H,I$2080,0),0)</f>
        <v>M</v>
      </c>
      <c r="J1208" s="9">
        <v>1</v>
      </c>
      <c r="K1208" s="9" t="s">
        <v>363</v>
      </c>
      <c r="L1208" s="37">
        <v>25</v>
      </c>
      <c r="M1208" s="64" t="s">
        <v>638</v>
      </c>
      <c r="N1208" s="4"/>
    </row>
    <row r="1209" spans="1:14" ht="24" customHeight="1">
      <c r="A1209" s="8">
        <v>1165</v>
      </c>
      <c r="B1209" s="9">
        <v>1165</v>
      </c>
      <c r="C1209" s="46">
        <v>46063</v>
      </c>
      <c r="D1209" s="9" t="s">
        <v>238</v>
      </c>
      <c r="E1209" s="56" t="str">
        <f>IFERROR(VLOOKUP($D1209,본공사입.출고현황!$B:$H,E$2080,0),0)</f>
        <v>Steel round bar</v>
      </c>
      <c r="F1209" s="18" t="str">
        <f>IFERROR(VLOOKUP($D1209,본공사입.출고현황!$B:$H,F$2080,0),0)</f>
        <v>Steel round bar(rebar)</v>
      </c>
      <c r="G1209" s="18" t="str">
        <f>IFERROR(VLOOKUP($D1209,본공사입.출고현황!$B:$H,G$2080,0),0)</f>
        <v>CCGG</v>
      </c>
      <c r="H1209" s="18" t="str">
        <f>IFERROR(VLOOKUP($D1209,본공사입.출고현황!$B:$H,H$2080,0),0)</f>
        <v>ф10, 1ton=1,620.7m</v>
      </c>
      <c r="I1209" s="56" t="str">
        <f>IFERROR(VLOOKUP($D1209,본공사입.출고현황!$B:$H,I$2080,0),0)</f>
        <v>M</v>
      </c>
      <c r="J1209" s="9">
        <v>1</v>
      </c>
      <c r="K1209" s="9" t="s">
        <v>545</v>
      </c>
      <c r="L1209" s="37">
        <v>15</v>
      </c>
      <c r="M1209" s="64" t="s">
        <v>638</v>
      </c>
      <c r="N1209" s="4"/>
    </row>
    <row r="1210" spans="1:14" ht="24" customHeight="1">
      <c r="A1210" s="8">
        <v>1166</v>
      </c>
      <c r="B1210" s="9">
        <v>1166</v>
      </c>
      <c r="C1210" s="46">
        <v>46063</v>
      </c>
      <c r="D1210" s="9" t="s">
        <v>238</v>
      </c>
      <c r="E1210" s="56" t="str">
        <f>IFERROR(VLOOKUP($D1210,본공사입.출고현황!$B:$H,E$2080,0),0)</f>
        <v>Steel round bar</v>
      </c>
      <c r="F1210" s="18" t="str">
        <f>IFERROR(VLOOKUP($D1210,본공사입.출고현황!$B:$H,F$2080,0),0)</f>
        <v>Steel round bar(rebar)</v>
      </c>
      <c r="G1210" s="18" t="str">
        <f>IFERROR(VLOOKUP($D1210,본공사입.출고현황!$B:$H,G$2080,0),0)</f>
        <v>CCGG</v>
      </c>
      <c r="H1210" s="18" t="str">
        <f>IFERROR(VLOOKUP($D1210,본공사입.출고현황!$B:$H,H$2080,0),0)</f>
        <v>ф10, 1ton=1,620.7m</v>
      </c>
      <c r="I1210" s="56" t="str">
        <f>IFERROR(VLOOKUP($D1210,본공사입.출고현황!$B:$H,I$2080,0),0)</f>
        <v>M</v>
      </c>
      <c r="J1210" s="9">
        <v>2</v>
      </c>
      <c r="K1210" s="9" t="s">
        <v>241</v>
      </c>
      <c r="L1210" s="37">
        <v>30</v>
      </c>
      <c r="M1210" s="64" t="s">
        <v>638</v>
      </c>
      <c r="N1210" s="4"/>
    </row>
    <row r="1211" spans="1:14" ht="24" customHeight="1">
      <c r="A1211" s="8">
        <v>1167</v>
      </c>
      <c r="B1211" s="9">
        <v>1167</v>
      </c>
      <c r="C1211" s="46">
        <v>46063</v>
      </c>
      <c r="D1211" s="9" t="s">
        <v>238</v>
      </c>
      <c r="E1211" s="56" t="str">
        <f>IFERROR(VLOOKUP($D1211,본공사입.출고현황!$B:$H,E$2080,0),0)</f>
        <v>Steel round bar</v>
      </c>
      <c r="F1211" s="18" t="str">
        <f>IFERROR(VLOOKUP($D1211,본공사입.출고현황!$B:$H,F$2080,0),0)</f>
        <v>Steel round bar(rebar)</v>
      </c>
      <c r="G1211" s="18" t="str">
        <f>IFERROR(VLOOKUP($D1211,본공사입.출고현황!$B:$H,G$2080,0),0)</f>
        <v>CCGG</v>
      </c>
      <c r="H1211" s="18" t="str">
        <f>IFERROR(VLOOKUP($D1211,본공사입.출고현황!$B:$H,H$2080,0),0)</f>
        <v>ф10, 1ton=1,620.7m</v>
      </c>
      <c r="I1211" s="56" t="str">
        <f>IFERROR(VLOOKUP($D1211,본공사입.출고현황!$B:$H,I$2080,0),0)</f>
        <v>M</v>
      </c>
      <c r="J1211" s="9">
        <v>1</v>
      </c>
      <c r="K1211" s="9" t="s">
        <v>352</v>
      </c>
      <c r="L1211" s="37">
        <v>30</v>
      </c>
      <c r="M1211" s="64" t="s">
        <v>638</v>
      </c>
      <c r="N1211" s="4"/>
    </row>
    <row r="1212" spans="1:14" ht="24" customHeight="1">
      <c r="A1212" s="8">
        <v>1168</v>
      </c>
      <c r="B1212" s="9">
        <v>1168</v>
      </c>
      <c r="C1212" s="46">
        <v>46063</v>
      </c>
      <c r="D1212" s="9" t="s">
        <v>238</v>
      </c>
      <c r="E1212" s="56" t="str">
        <f>IFERROR(VLOOKUP($D1212,본공사입.출고현황!$B:$H,E$2080,0),0)</f>
        <v>Steel round bar</v>
      </c>
      <c r="F1212" s="18" t="str">
        <f>IFERROR(VLOOKUP($D1212,본공사입.출고현황!$B:$H,F$2080,0),0)</f>
        <v>Steel round bar(rebar)</v>
      </c>
      <c r="G1212" s="18" t="str">
        <f>IFERROR(VLOOKUP($D1212,본공사입.출고현황!$B:$H,G$2080,0),0)</f>
        <v>CCGG</v>
      </c>
      <c r="H1212" s="18" t="str">
        <f>IFERROR(VLOOKUP($D1212,본공사입.출고현황!$B:$H,H$2080,0),0)</f>
        <v>ф10, 1ton=1,620.7m</v>
      </c>
      <c r="I1212" s="56" t="str">
        <f>IFERROR(VLOOKUP($D1212,본공사입.출고현황!$B:$H,I$2080,0),0)</f>
        <v>M</v>
      </c>
      <c r="J1212" s="9">
        <v>1</v>
      </c>
      <c r="K1212" s="9" t="s">
        <v>363</v>
      </c>
      <c r="L1212" s="37">
        <v>20</v>
      </c>
      <c r="M1212" s="64" t="s">
        <v>638</v>
      </c>
      <c r="N1212" s="4"/>
    </row>
    <row r="1213" spans="1:14" ht="24" customHeight="1">
      <c r="A1213" s="8">
        <v>1169</v>
      </c>
      <c r="B1213" s="9">
        <v>1169</v>
      </c>
      <c r="C1213" s="46">
        <v>46063</v>
      </c>
      <c r="D1213" s="9" t="s">
        <v>238</v>
      </c>
      <c r="E1213" s="56" t="str">
        <f>IFERROR(VLOOKUP($D1213,본공사입.출고현황!$B:$H,E$2080,0),0)</f>
        <v>Steel round bar</v>
      </c>
      <c r="F1213" s="18" t="str">
        <f>IFERROR(VLOOKUP($D1213,본공사입.출고현황!$B:$H,F$2080,0),0)</f>
        <v>Steel round bar(rebar)</v>
      </c>
      <c r="G1213" s="18" t="str">
        <f>IFERROR(VLOOKUP($D1213,본공사입.출고현황!$B:$H,G$2080,0),0)</f>
        <v>CCGG</v>
      </c>
      <c r="H1213" s="18" t="str">
        <f>IFERROR(VLOOKUP($D1213,본공사입.출고현황!$B:$H,H$2080,0),0)</f>
        <v>ф10, 1ton=1,620.7m</v>
      </c>
      <c r="I1213" s="56" t="str">
        <f>IFERROR(VLOOKUP($D1213,본공사입.출고현황!$B:$H,I$2080,0),0)</f>
        <v>M</v>
      </c>
      <c r="J1213" s="9">
        <v>1</v>
      </c>
      <c r="K1213" s="9" t="s">
        <v>363</v>
      </c>
      <c r="L1213" s="37">
        <v>20</v>
      </c>
      <c r="M1213" s="64" t="s">
        <v>638</v>
      </c>
      <c r="N1213" s="4"/>
    </row>
    <row r="1214" spans="1:14" ht="24" customHeight="1">
      <c r="A1214" s="8">
        <v>1170</v>
      </c>
      <c r="B1214" s="9">
        <v>1170</v>
      </c>
      <c r="C1214" s="46">
        <v>46063</v>
      </c>
      <c r="D1214" s="9" t="s">
        <v>238</v>
      </c>
      <c r="E1214" s="56" t="str">
        <f>IFERROR(VLOOKUP($D1214,본공사입.출고현황!$B:$H,E$2080,0),0)</f>
        <v>Steel round bar</v>
      </c>
      <c r="F1214" s="18" t="str">
        <f>IFERROR(VLOOKUP($D1214,본공사입.출고현황!$B:$H,F$2080,0),0)</f>
        <v>Steel round bar(rebar)</v>
      </c>
      <c r="G1214" s="18" t="str">
        <f>IFERROR(VLOOKUP($D1214,본공사입.출고현황!$B:$H,G$2080,0),0)</f>
        <v>CCGG</v>
      </c>
      <c r="H1214" s="18" t="str">
        <f>IFERROR(VLOOKUP($D1214,본공사입.출고현황!$B:$H,H$2080,0),0)</f>
        <v>ф10, 1ton=1,620.7m</v>
      </c>
      <c r="I1214" s="56" t="str">
        <f>IFERROR(VLOOKUP($D1214,본공사입.출고현황!$B:$H,I$2080,0),0)</f>
        <v>M</v>
      </c>
      <c r="J1214" s="9">
        <v>2</v>
      </c>
      <c r="K1214" s="9" t="s">
        <v>360</v>
      </c>
      <c r="L1214" s="37">
        <v>50</v>
      </c>
      <c r="M1214" s="64" t="s">
        <v>638</v>
      </c>
      <c r="N1214" s="4"/>
    </row>
    <row r="1215" spans="1:14" ht="24" customHeight="1">
      <c r="A1215" s="8">
        <v>1171</v>
      </c>
      <c r="B1215" s="9">
        <v>1171</v>
      </c>
      <c r="C1215" s="46">
        <v>46063</v>
      </c>
      <c r="D1215" s="9" t="s">
        <v>238</v>
      </c>
      <c r="E1215" s="56" t="str">
        <f>IFERROR(VLOOKUP($D1215,본공사입.출고현황!$B:$H,E$2080,0),0)</f>
        <v>Steel round bar</v>
      </c>
      <c r="F1215" s="18" t="str">
        <f>IFERROR(VLOOKUP($D1215,본공사입.출고현황!$B:$H,F$2080,0),0)</f>
        <v>Steel round bar(rebar)</v>
      </c>
      <c r="G1215" s="18" t="str">
        <f>IFERROR(VLOOKUP($D1215,본공사입.출고현황!$B:$H,G$2080,0),0)</f>
        <v>CCGG</v>
      </c>
      <c r="H1215" s="18" t="str">
        <f>IFERROR(VLOOKUP($D1215,본공사입.출고현황!$B:$H,H$2080,0),0)</f>
        <v>ф10, 1ton=1,620.7m</v>
      </c>
      <c r="I1215" s="56" t="str">
        <f>IFERROR(VLOOKUP($D1215,본공사입.출고현황!$B:$H,I$2080,0),0)</f>
        <v>M</v>
      </c>
      <c r="J1215" s="9">
        <v>4</v>
      </c>
      <c r="K1215" s="9" t="s">
        <v>359</v>
      </c>
      <c r="L1215" s="37">
        <v>50</v>
      </c>
      <c r="M1215" s="64" t="s">
        <v>638</v>
      </c>
      <c r="N1215" s="4"/>
    </row>
    <row r="1216" spans="1:14" ht="24" customHeight="1">
      <c r="A1216" s="8">
        <v>1172</v>
      </c>
      <c r="B1216" s="9">
        <v>1172</v>
      </c>
      <c r="C1216" s="46">
        <v>46063</v>
      </c>
      <c r="D1216" s="9" t="s">
        <v>238</v>
      </c>
      <c r="E1216" s="56" t="str">
        <f>IFERROR(VLOOKUP($D1216,본공사입.출고현황!$B:$H,E$2080,0),0)</f>
        <v>Steel round bar</v>
      </c>
      <c r="F1216" s="18" t="str">
        <f>IFERROR(VLOOKUP($D1216,본공사입.출고현황!$B:$H,F$2080,0),0)</f>
        <v>Steel round bar(rebar)</v>
      </c>
      <c r="G1216" s="18" t="str">
        <f>IFERROR(VLOOKUP($D1216,본공사입.출고현황!$B:$H,G$2080,0),0)</f>
        <v>CCGG</v>
      </c>
      <c r="H1216" s="18" t="str">
        <f>IFERROR(VLOOKUP($D1216,본공사입.출고현황!$B:$H,H$2080,0),0)</f>
        <v>ф10, 1ton=1,620.7m</v>
      </c>
      <c r="I1216" s="56" t="str">
        <f>IFERROR(VLOOKUP($D1216,본공사입.출고현황!$B:$H,I$2080,0),0)</f>
        <v>M</v>
      </c>
      <c r="J1216" s="9">
        <v>1</v>
      </c>
      <c r="K1216" s="9" t="s">
        <v>352</v>
      </c>
      <c r="L1216" s="37">
        <v>20</v>
      </c>
      <c r="M1216" s="64" t="s">
        <v>638</v>
      </c>
      <c r="N1216" s="4"/>
    </row>
    <row r="1217" spans="1:14" ht="24" customHeight="1">
      <c r="A1217" s="8">
        <v>1173</v>
      </c>
      <c r="B1217" s="9">
        <v>1173</v>
      </c>
      <c r="C1217" s="46">
        <v>46063</v>
      </c>
      <c r="D1217" s="9" t="s">
        <v>238</v>
      </c>
      <c r="E1217" s="56" t="str">
        <f>IFERROR(VLOOKUP($D1217,본공사입.출고현황!$B:$H,E$2080,0),0)</f>
        <v>Steel round bar</v>
      </c>
      <c r="F1217" s="18" t="str">
        <f>IFERROR(VLOOKUP($D1217,본공사입.출고현황!$B:$H,F$2080,0),0)</f>
        <v>Steel round bar(rebar)</v>
      </c>
      <c r="G1217" s="18" t="str">
        <f>IFERROR(VLOOKUP($D1217,본공사입.출고현황!$B:$H,G$2080,0),0)</f>
        <v>CCGG</v>
      </c>
      <c r="H1217" s="18" t="str">
        <f>IFERROR(VLOOKUP($D1217,본공사입.출고현황!$B:$H,H$2080,0),0)</f>
        <v>ф10, 1ton=1,620.7m</v>
      </c>
      <c r="I1217" s="56" t="str">
        <f>IFERROR(VLOOKUP($D1217,본공사입.출고현황!$B:$H,I$2080,0),0)</f>
        <v>M</v>
      </c>
      <c r="J1217" s="9">
        <v>1</v>
      </c>
      <c r="K1217" s="9" t="s">
        <v>352</v>
      </c>
      <c r="L1217" s="37">
        <v>30</v>
      </c>
      <c r="M1217" s="64" t="s">
        <v>638</v>
      </c>
      <c r="N1217" s="4"/>
    </row>
    <row r="1218" spans="1:14" ht="24" customHeight="1">
      <c r="A1218" s="8">
        <v>1174</v>
      </c>
      <c r="B1218" s="9">
        <v>1174</v>
      </c>
      <c r="C1218" s="46">
        <v>46063</v>
      </c>
      <c r="D1218" s="9" t="s">
        <v>238</v>
      </c>
      <c r="E1218" s="56" t="str">
        <f>IFERROR(VLOOKUP($D1218,본공사입.출고현황!$B:$H,E$2080,0),0)</f>
        <v>Steel round bar</v>
      </c>
      <c r="F1218" s="18" t="str">
        <f>IFERROR(VLOOKUP($D1218,본공사입.출고현황!$B:$H,F$2080,0),0)</f>
        <v>Steel round bar(rebar)</v>
      </c>
      <c r="G1218" s="18" t="str">
        <f>IFERROR(VLOOKUP($D1218,본공사입.출고현황!$B:$H,G$2080,0),0)</f>
        <v>CCGG</v>
      </c>
      <c r="H1218" s="18" t="str">
        <f>IFERROR(VLOOKUP($D1218,본공사입.출고현황!$B:$H,H$2080,0),0)</f>
        <v>ф10, 1ton=1,620.7m</v>
      </c>
      <c r="I1218" s="56" t="str">
        <f>IFERROR(VLOOKUP($D1218,본공사입.출고현황!$B:$H,I$2080,0),0)</f>
        <v>M</v>
      </c>
      <c r="J1218" s="9">
        <v>2</v>
      </c>
      <c r="K1218" s="9" t="s">
        <v>360</v>
      </c>
      <c r="L1218" s="37">
        <v>50</v>
      </c>
      <c r="M1218" s="64" t="s">
        <v>638</v>
      </c>
      <c r="N1218" s="4"/>
    </row>
    <row r="1219" spans="1:14" ht="24" customHeight="1">
      <c r="A1219" s="8">
        <v>1175</v>
      </c>
      <c r="B1219" s="9">
        <v>1175</v>
      </c>
      <c r="C1219" s="46">
        <v>46063</v>
      </c>
      <c r="D1219" s="9" t="s">
        <v>238</v>
      </c>
      <c r="E1219" s="56" t="str">
        <f>IFERROR(VLOOKUP($D1219,본공사입.출고현황!$B:$H,E$2080,0),0)</f>
        <v>Steel round bar</v>
      </c>
      <c r="F1219" s="18" t="str">
        <f>IFERROR(VLOOKUP($D1219,본공사입.출고현황!$B:$H,F$2080,0),0)</f>
        <v>Steel round bar(rebar)</v>
      </c>
      <c r="G1219" s="18" t="str">
        <f>IFERROR(VLOOKUP($D1219,본공사입.출고현황!$B:$H,G$2080,0),0)</f>
        <v>CCGG</v>
      </c>
      <c r="H1219" s="18" t="str">
        <f>IFERROR(VLOOKUP($D1219,본공사입.출고현황!$B:$H,H$2080,0),0)</f>
        <v>ф10, 1ton=1,620.7m</v>
      </c>
      <c r="I1219" s="56" t="str">
        <f>IFERROR(VLOOKUP($D1219,본공사입.출고현황!$B:$H,I$2080,0),0)</f>
        <v>M</v>
      </c>
      <c r="J1219" s="9">
        <v>1</v>
      </c>
      <c r="K1219" s="9" t="s">
        <v>352</v>
      </c>
      <c r="L1219" s="37">
        <v>25</v>
      </c>
      <c r="M1219" s="64" t="s">
        <v>638</v>
      </c>
      <c r="N1219" s="4"/>
    </row>
    <row r="1220" spans="1:14" ht="24" customHeight="1">
      <c r="A1220" s="8">
        <v>1176</v>
      </c>
      <c r="B1220" s="9">
        <v>1176</v>
      </c>
      <c r="C1220" s="46">
        <v>46063</v>
      </c>
      <c r="D1220" s="9" t="s">
        <v>238</v>
      </c>
      <c r="E1220" s="56" t="str">
        <f>IFERROR(VLOOKUP($D1220,본공사입.출고현황!$B:$H,E$2080,0),0)</f>
        <v>Steel round bar</v>
      </c>
      <c r="F1220" s="18" t="str">
        <f>IFERROR(VLOOKUP($D1220,본공사입.출고현황!$B:$H,F$2080,0),0)</f>
        <v>Steel round bar(rebar)</v>
      </c>
      <c r="G1220" s="18" t="str">
        <f>IFERROR(VLOOKUP($D1220,본공사입.출고현황!$B:$H,G$2080,0),0)</f>
        <v>CCGG</v>
      </c>
      <c r="H1220" s="18" t="str">
        <f>IFERROR(VLOOKUP($D1220,본공사입.출고현황!$B:$H,H$2080,0),0)</f>
        <v>ф10, 1ton=1,620.7m</v>
      </c>
      <c r="I1220" s="56" t="str">
        <f>IFERROR(VLOOKUP($D1220,본공사입.출고현황!$B:$H,I$2080,0),0)</f>
        <v>M</v>
      </c>
      <c r="J1220" s="9">
        <v>1</v>
      </c>
      <c r="K1220" s="9" t="s">
        <v>363</v>
      </c>
      <c r="L1220" s="37">
        <v>70</v>
      </c>
      <c r="M1220" s="64" t="s">
        <v>638</v>
      </c>
      <c r="N1220" s="4"/>
    </row>
    <row r="1221" spans="1:14" ht="24" customHeight="1">
      <c r="A1221" s="8">
        <v>1177</v>
      </c>
      <c r="B1221" s="9">
        <v>1177</v>
      </c>
      <c r="C1221" s="46">
        <v>46063</v>
      </c>
      <c r="D1221" s="9" t="s">
        <v>238</v>
      </c>
      <c r="E1221" s="56" t="str">
        <f>IFERROR(VLOOKUP($D1221,본공사입.출고현황!$B:$H,E$2080,0),0)</f>
        <v>Steel round bar</v>
      </c>
      <c r="F1221" s="18" t="str">
        <f>IFERROR(VLOOKUP($D1221,본공사입.출고현황!$B:$H,F$2080,0),0)</f>
        <v>Steel round bar(rebar)</v>
      </c>
      <c r="G1221" s="18" t="str">
        <f>IFERROR(VLOOKUP($D1221,본공사입.출고현황!$B:$H,G$2080,0),0)</f>
        <v>CCGG</v>
      </c>
      <c r="H1221" s="18" t="str">
        <f>IFERROR(VLOOKUP($D1221,본공사입.출고현황!$B:$H,H$2080,0),0)</f>
        <v>ф10, 1ton=1,620.7m</v>
      </c>
      <c r="I1221" s="56" t="str">
        <f>IFERROR(VLOOKUP($D1221,본공사입.출고현황!$B:$H,I$2080,0),0)</f>
        <v>M</v>
      </c>
      <c r="J1221" s="9">
        <v>1</v>
      </c>
      <c r="K1221" s="9" t="s">
        <v>547</v>
      </c>
      <c r="L1221" s="37">
        <v>20</v>
      </c>
      <c r="M1221" s="64" t="s">
        <v>638</v>
      </c>
      <c r="N1221" s="4"/>
    </row>
    <row r="1222" spans="1:14" ht="24" customHeight="1">
      <c r="A1222" s="8">
        <v>1178</v>
      </c>
      <c r="B1222" s="9">
        <v>1178</v>
      </c>
      <c r="C1222" s="46">
        <v>46064</v>
      </c>
      <c r="D1222" s="9" t="s">
        <v>238</v>
      </c>
      <c r="E1222" s="56" t="str">
        <f>IFERROR(VLOOKUP($D1222,본공사입.출고현황!$B:$H,E$2080,0),0)</f>
        <v>Steel round bar</v>
      </c>
      <c r="F1222" s="18" t="str">
        <f>IFERROR(VLOOKUP($D1222,본공사입.출고현황!$B:$H,F$2080,0),0)</f>
        <v>Steel round bar(rebar)</v>
      </c>
      <c r="G1222" s="18" t="str">
        <f>IFERROR(VLOOKUP($D1222,본공사입.출고현황!$B:$H,G$2080,0),0)</f>
        <v>CCGG</v>
      </c>
      <c r="H1222" s="18" t="str">
        <f>IFERROR(VLOOKUP($D1222,본공사입.출고현황!$B:$H,H$2080,0),0)</f>
        <v>ф10, 1ton=1,620.7m</v>
      </c>
      <c r="I1222" s="56" t="str">
        <f>IFERROR(VLOOKUP($D1222,본공사입.출고현황!$B:$H,I$2080,0),0)</f>
        <v>M</v>
      </c>
      <c r="J1222" s="9">
        <v>2</v>
      </c>
      <c r="K1222" s="9" t="s">
        <v>360</v>
      </c>
      <c r="L1222" s="37">
        <v>25</v>
      </c>
      <c r="M1222" s="64" t="s">
        <v>638</v>
      </c>
      <c r="N1222" s="4"/>
    </row>
    <row r="1223" spans="1:14" ht="24" customHeight="1">
      <c r="A1223" s="8">
        <v>1179</v>
      </c>
      <c r="B1223" s="9">
        <v>1179</v>
      </c>
      <c r="C1223" s="46">
        <v>46064</v>
      </c>
      <c r="D1223" s="9" t="s">
        <v>238</v>
      </c>
      <c r="E1223" s="56" t="str">
        <f>IFERROR(VLOOKUP($D1223,본공사입.출고현황!$B:$H,E$2080,0),0)</f>
        <v>Steel round bar</v>
      </c>
      <c r="F1223" s="18" t="str">
        <f>IFERROR(VLOOKUP($D1223,본공사입.출고현황!$B:$H,F$2080,0),0)</f>
        <v>Steel round bar(rebar)</v>
      </c>
      <c r="G1223" s="18" t="str">
        <f>IFERROR(VLOOKUP($D1223,본공사입.출고현황!$B:$H,G$2080,0),0)</f>
        <v>CCGG</v>
      </c>
      <c r="H1223" s="18" t="str">
        <f>IFERROR(VLOOKUP($D1223,본공사입.출고현황!$B:$H,H$2080,0),0)</f>
        <v>ф10, 1ton=1,620.7m</v>
      </c>
      <c r="I1223" s="56" t="str">
        <f>IFERROR(VLOOKUP($D1223,본공사입.출고현황!$B:$H,I$2080,0),0)</f>
        <v>M</v>
      </c>
      <c r="J1223" s="9">
        <v>2</v>
      </c>
      <c r="K1223" s="9" t="s">
        <v>360</v>
      </c>
      <c r="L1223" s="37">
        <v>50</v>
      </c>
      <c r="M1223" s="64" t="s">
        <v>638</v>
      </c>
      <c r="N1223" s="4"/>
    </row>
    <row r="1224" spans="1:14" ht="24" customHeight="1">
      <c r="A1224" s="8">
        <v>1180</v>
      </c>
      <c r="B1224" s="9">
        <v>1180</v>
      </c>
      <c r="C1224" s="46">
        <v>46064</v>
      </c>
      <c r="D1224" s="9" t="s">
        <v>238</v>
      </c>
      <c r="E1224" s="56" t="str">
        <f>IFERROR(VLOOKUP($D1224,본공사입.출고현황!$B:$H,E$2080,0),0)</f>
        <v>Steel round bar</v>
      </c>
      <c r="F1224" s="18" t="str">
        <f>IFERROR(VLOOKUP($D1224,본공사입.출고현황!$B:$H,F$2080,0),0)</f>
        <v>Steel round bar(rebar)</v>
      </c>
      <c r="G1224" s="18" t="str">
        <f>IFERROR(VLOOKUP($D1224,본공사입.출고현황!$B:$H,G$2080,0),0)</f>
        <v>CCGG</v>
      </c>
      <c r="H1224" s="18" t="str">
        <f>IFERROR(VLOOKUP($D1224,본공사입.출고현황!$B:$H,H$2080,0),0)</f>
        <v>ф10, 1ton=1,620.7m</v>
      </c>
      <c r="I1224" s="56" t="str">
        <f>IFERROR(VLOOKUP($D1224,본공사입.출고현황!$B:$H,I$2080,0),0)</f>
        <v>M</v>
      </c>
      <c r="J1224" s="9">
        <v>3</v>
      </c>
      <c r="K1224" s="9" t="s">
        <v>550</v>
      </c>
      <c r="L1224" s="37">
        <v>15</v>
      </c>
      <c r="M1224" s="64" t="s">
        <v>638</v>
      </c>
      <c r="N1224" s="4"/>
    </row>
    <row r="1225" spans="1:14" ht="24" customHeight="1">
      <c r="A1225" s="8">
        <v>1181</v>
      </c>
      <c r="B1225" s="9">
        <v>1181</v>
      </c>
      <c r="C1225" s="46">
        <v>46064</v>
      </c>
      <c r="D1225" s="9" t="s">
        <v>238</v>
      </c>
      <c r="E1225" s="56" t="str">
        <f>IFERROR(VLOOKUP($D1225,본공사입.출고현황!$B:$H,E$2080,0),0)</f>
        <v>Steel round bar</v>
      </c>
      <c r="F1225" s="18" t="str">
        <f>IFERROR(VLOOKUP($D1225,본공사입.출고현황!$B:$H,F$2080,0),0)</f>
        <v>Steel round bar(rebar)</v>
      </c>
      <c r="G1225" s="18" t="str">
        <f>IFERROR(VLOOKUP($D1225,본공사입.출고현황!$B:$H,G$2080,0),0)</f>
        <v>CCGG</v>
      </c>
      <c r="H1225" s="18" t="str">
        <f>IFERROR(VLOOKUP($D1225,본공사입.출고현황!$B:$H,H$2080,0),0)</f>
        <v>ф10, 1ton=1,620.7m</v>
      </c>
      <c r="I1225" s="56" t="str">
        <f>IFERROR(VLOOKUP($D1225,본공사입.출고현황!$B:$H,I$2080,0),0)</f>
        <v>M</v>
      </c>
      <c r="J1225" s="9">
        <v>1</v>
      </c>
      <c r="K1225" s="9" t="s">
        <v>363</v>
      </c>
      <c r="L1225" s="37">
        <v>40</v>
      </c>
      <c r="M1225" s="64" t="s">
        <v>638</v>
      </c>
      <c r="N1225" s="4"/>
    </row>
    <row r="1226" spans="1:14" ht="24" customHeight="1">
      <c r="A1226" s="8">
        <v>1182</v>
      </c>
      <c r="B1226" s="9">
        <v>1182</v>
      </c>
      <c r="C1226" s="46">
        <v>46064</v>
      </c>
      <c r="D1226" s="9" t="s">
        <v>238</v>
      </c>
      <c r="E1226" s="56" t="str">
        <f>IFERROR(VLOOKUP($D1226,본공사입.출고현황!$B:$H,E$2080,0),0)</f>
        <v>Steel round bar</v>
      </c>
      <c r="F1226" s="18" t="str">
        <f>IFERROR(VLOOKUP($D1226,본공사입.출고현황!$B:$H,F$2080,0),0)</f>
        <v>Steel round bar(rebar)</v>
      </c>
      <c r="G1226" s="18" t="str">
        <f>IFERROR(VLOOKUP($D1226,본공사입.출고현황!$B:$H,G$2080,0),0)</f>
        <v>CCGG</v>
      </c>
      <c r="H1226" s="18" t="str">
        <f>IFERROR(VLOOKUP($D1226,본공사입.출고현황!$B:$H,H$2080,0),0)</f>
        <v>ф10, 1ton=1,620.7m</v>
      </c>
      <c r="I1226" s="56" t="str">
        <f>IFERROR(VLOOKUP($D1226,본공사입.출고현황!$B:$H,I$2080,0),0)</f>
        <v>M</v>
      </c>
      <c r="J1226" s="9">
        <v>1</v>
      </c>
      <c r="K1226" s="9" t="s">
        <v>547</v>
      </c>
      <c r="L1226" s="37">
        <v>20</v>
      </c>
      <c r="M1226" s="64" t="s">
        <v>638</v>
      </c>
      <c r="N1226" s="4"/>
    </row>
    <row r="1227" spans="1:14" ht="24" customHeight="1">
      <c r="A1227" s="8">
        <v>1183</v>
      </c>
      <c r="B1227" s="9">
        <v>1183</v>
      </c>
      <c r="C1227" s="46">
        <v>46064</v>
      </c>
      <c r="D1227" s="9" t="s">
        <v>238</v>
      </c>
      <c r="E1227" s="56" t="str">
        <f>IFERROR(VLOOKUP($D1227,본공사입.출고현황!$B:$H,E$2080,0),0)</f>
        <v>Steel round bar</v>
      </c>
      <c r="F1227" s="18" t="str">
        <f>IFERROR(VLOOKUP($D1227,본공사입.출고현황!$B:$H,F$2080,0),0)</f>
        <v>Steel round bar(rebar)</v>
      </c>
      <c r="G1227" s="18" t="str">
        <f>IFERROR(VLOOKUP($D1227,본공사입.출고현황!$B:$H,G$2080,0),0)</f>
        <v>CCGG</v>
      </c>
      <c r="H1227" s="18" t="str">
        <f>IFERROR(VLOOKUP($D1227,본공사입.출고현황!$B:$H,H$2080,0),0)</f>
        <v>ф10, 1ton=1,620.7m</v>
      </c>
      <c r="I1227" s="56" t="str">
        <f>IFERROR(VLOOKUP($D1227,본공사입.출고현황!$B:$H,I$2080,0),0)</f>
        <v>M</v>
      </c>
      <c r="J1227" s="9">
        <v>1</v>
      </c>
      <c r="K1227" s="9" t="s">
        <v>363</v>
      </c>
      <c r="L1227" s="37">
        <v>20</v>
      </c>
      <c r="M1227" s="64" t="s">
        <v>638</v>
      </c>
      <c r="N1227" s="4"/>
    </row>
    <row r="1228" spans="1:14" ht="24" customHeight="1">
      <c r="A1228" s="8">
        <v>1184</v>
      </c>
      <c r="B1228" s="9">
        <v>1184</v>
      </c>
      <c r="C1228" s="46">
        <v>46064</v>
      </c>
      <c r="D1228" s="9" t="s">
        <v>238</v>
      </c>
      <c r="E1228" s="56" t="str">
        <f>IFERROR(VLOOKUP($D1228,본공사입.출고현황!$B:$H,E$2080,0),0)</f>
        <v>Steel round bar</v>
      </c>
      <c r="F1228" s="18" t="str">
        <f>IFERROR(VLOOKUP($D1228,본공사입.출고현황!$B:$H,F$2080,0),0)</f>
        <v>Steel round bar(rebar)</v>
      </c>
      <c r="G1228" s="18" t="str">
        <f>IFERROR(VLOOKUP($D1228,본공사입.출고현황!$B:$H,G$2080,0),0)</f>
        <v>CCGG</v>
      </c>
      <c r="H1228" s="18" t="str">
        <f>IFERROR(VLOOKUP($D1228,본공사입.출고현황!$B:$H,H$2080,0),0)</f>
        <v>ф10, 1ton=1,620.7m</v>
      </c>
      <c r="I1228" s="56" t="str">
        <f>IFERROR(VLOOKUP($D1228,본공사입.출고현황!$B:$H,I$2080,0),0)</f>
        <v>M</v>
      </c>
      <c r="J1228" s="9">
        <v>3</v>
      </c>
      <c r="K1228" s="9" t="s">
        <v>550</v>
      </c>
      <c r="L1228" s="37">
        <v>20</v>
      </c>
      <c r="M1228" s="64" t="s">
        <v>638</v>
      </c>
      <c r="N1228" s="4"/>
    </row>
    <row r="1229" spans="1:14" ht="24" customHeight="1">
      <c r="A1229" s="8">
        <v>1185</v>
      </c>
      <c r="B1229" s="9">
        <v>1185</v>
      </c>
      <c r="C1229" s="46">
        <v>46064</v>
      </c>
      <c r="D1229" s="9" t="s">
        <v>238</v>
      </c>
      <c r="E1229" s="56" t="str">
        <f>IFERROR(VLOOKUP($D1229,본공사입.출고현황!$B:$H,E$2080,0),0)</f>
        <v>Steel round bar</v>
      </c>
      <c r="F1229" s="18" t="str">
        <f>IFERROR(VLOOKUP($D1229,본공사입.출고현황!$B:$H,F$2080,0),0)</f>
        <v>Steel round bar(rebar)</v>
      </c>
      <c r="G1229" s="18" t="str">
        <f>IFERROR(VLOOKUP($D1229,본공사입.출고현황!$B:$H,G$2080,0),0)</f>
        <v>CCGG</v>
      </c>
      <c r="H1229" s="18" t="str">
        <f>IFERROR(VLOOKUP($D1229,본공사입.출고현황!$B:$H,H$2080,0),0)</f>
        <v>ф10, 1ton=1,620.7m</v>
      </c>
      <c r="I1229" s="56" t="str">
        <f>IFERROR(VLOOKUP($D1229,본공사입.출고현황!$B:$H,I$2080,0),0)</f>
        <v>M</v>
      </c>
      <c r="J1229" s="9">
        <v>2</v>
      </c>
      <c r="K1229" s="9" t="s">
        <v>360</v>
      </c>
      <c r="L1229" s="37">
        <v>25</v>
      </c>
      <c r="M1229" s="64" t="s">
        <v>638</v>
      </c>
      <c r="N1229" s="4"/>
    </row>
    <row r="1230" spans="1:14" ht="24" customHeight="1">
      <c r="A1230" s="8">
        <v>1186</v>
      </c>
      <c r="B1230" s="9">
        <v>1186</v>
      </c>
      <c r="C1230" s="46">
        <v>46064</v>
      </c>
      <c r="D1230" s="9" t="s">
        <v>238</v>
      </c>
      <c r="E1230" s="56" t="str">
        <f>IFERROR(VLOOKUP($D1230,본공사입.출고현황!$B:$H,E$2080,0),0)</f>
        <v>Steel round bar</v>
      </c>
      <c r="F1230" s="18" t="str">
        <f>IFERROR(VLOOKUP($D1230,본공사입.출고현황!$B:$H,F$2080,0),0)</f>
        <v>Steel round bar(rebar)</v>
      </c>
      <c r="G1230" s="18" t="str">
        <f>IFERROR(VLOOKUP($D1230,본공사입.출고현황!$B:$H,G$2080,0),0)</f>
        <v>CCGG</v>
      </c>
      <c r="H1230" s="18" t="str">
        <f>IFERROR(VLOOKUP($D1230,본공사입.출고현황!$B:$H,H$2080,0),0)</f>
        <v>ф10, 1ton=1,620.7m</v>
      </c>
      <c r="I1230" s="56" t="str">
        <f>IFERROR(VLOOKUP($D1230,본공사입.출고현황!$B:$H,I$2080,0),0)</f>
        <v>M</v>
      </c>
      <c r="J1230" s="9">
        <v>2</v>
      </c>
      <c r="K1230" s="9" t="s">
        <v>360</v>
      </c>
      <c r="L1230" s="37">
        <v>40</v>
      </c>
      <c r="M1230" s="64" t="s">
        <v>638</v>
      </c>
      <c r="N1230" s="4"/>
    </row>
    <row r="1231" spans="1:14" ht="24" customHeight="1">
      <c r="A1231" s="8">
        <v>1187</v>
      </c>
      <c r="B1231" s="9">
        <v>1187</v>
      </c>
      <c r="C1231" s="46">
        <v>46065</v>
      </c>
      <c r="D1231" s="9" t="s">
        <v>238</v>
      </c>
      <c r="E1231" s="56" t="str">
        <f>IFERROR(VLOOKUP($D1231,본공사입.출고현황!$B:$H,E$2080,0),0)</f>
        <v>Steel round bar</v>
      </c>
      <c r="F1231" s="18" t="str">
        <f>IFERROR(VLOOKUP($D1231,본공사입.출고현황!$B:$H,F$2080,0),0)</f>
        <v>Steel round bar(rebar)</v>
      </c>
      <c r="G1231" s="18" t="str">
        <f>IFERROR(VLOOKUP($D1231,본공사입.출고현황!$B:$H,G$2080,0),0)</f>
        <v>CCGG</v>
      </c>
      <c r="H1231" s="18" t="str">
        <f>IFERROR(VLOOKUP($D1231,본공사입.출고현황!$B:$H,H$2080,0),0)</f>
        <v>ф10, 1ton=1,620.7m</v>
      </c>
      <c r="I1231" s="56" t="str">
        <f>IFERROR(VLOOKUP($D1231,본공사입.출고현황!$B:$H,I$2080,0),0)</f>
        <v>M</v>
      </c>
      <c r="J1231" s="9">
        <v>1</v>
      </c>
      <c r="K1231" s="9" t="s">
        <v>352</v>
      </c>
      <c r="L1231" s="37">
        <v>30</v>
      </c>
      <c r="M1231" s="64" t="s">
        <v>408</v>
      </c>
      <c r="N1231" s="4"/>
    </row>
    <row r="1232" spans="1:14" ht="24" customHeight="1">
      <c r="A1232" s="8">
        <v>1188</v>
      </c>
      <c r="B1232" s="9">
        <v>1188</v>
      </c>
      <c r="C1232" s="46">
        <v>46065</v>
      </c>
      <c r="D1232" s="9" t="s">
        <v>238</v>
      </c>
      <c r="E1232" s="56" t="str">
        <f>IFERROR(VLOOKUP($D1232,본공사입.출고현황!$B:$H,E$2080,0),0)</f>
        <v>Steel round bar</v>
      </c>
      <c r="F1232" s="18" t="str">
        <f>IFERROR(VLOOKUP($D1232,본공사입.출고현황!$B:$H,F$2080,0),0)</f>
        <v>Steel round bar(rebar)</v>
      </c>
      <c r="G1232" s="18" t="str">
        <f>IFERROR(VLOOKUP($D1232,본공사입.출고현황!$B:$H,G$2080,0),0)</f>
        <v>CCGG</v>
      </c>
      <c r="H1232" s="18" t="str">
        <f>IFERROR(VLOOKUP($D1232,본공사입.출고현황!$B:$H,H$2080,0),0)</f>
        <v>ф10, 1ton=1,620.7m</v>
      </c>
      <c r="I1232" s="56" t="str">
        <f>IFERROR(VLOOKUP($D1232,본공사입.출고현황!$B:$H,I$2080,0),0)</f>
        <v>M</v>
      </c>
      <c r="J1232" s="9">
        <v>1</v>
      </c>
      <c r="K1232" s="9" t="s">
        <v>363</v>
      </c>
      <c r="L1232" s="37">
        <v>30</v>
      </c>
      <c r="M1232" s="64" t="s">
        <v>408</v>
      </c>
      <c r="N1232" s="4"/>
    </row>
    <row r="1233" spans="1:14" ht="24" customHeight="1">
      <c r="A1233" s="8">
        <v>1189</v>
      </c>
      <c r="B1233" s="9">
        <v>1189</v>
      </c>
      <c r="C1233" s="46">
        <v>46065</v>
      </c>
      <c r="D1233" s="9" t="s">
        <v>238</v>
      </c>
      <c r="E1233" s="56" t="str">
        <f>IFERROR(VLOOKUP($D1233,본공사입.출고현황!$B:$H,E$2080,0),0)</f>
        <v>Steel round bar</v>
      </c>
      <c r="F1233" s="18" t="str">
        <f>IFERROR(VLOOKUP($D1233,본공사입.출고현황!$B:$H,F$2080,0),0)</f>
        <v>Steel round bar(rebar)</v>
      </c>
      <c r="G1233" s="18" t="str">
        <f>IFERROR(VLOOKUP($D1233,본공사입.출고현황!$B:$H,G$2080,0),0)</f>
        <v>CCGG</v>
      </c>
      <c r="H1233" s="18" t="str">
        <f>IFERROR(VLOOKUP($D1233,본공사입.출고현황!$B:$H,H$2080,0),0)</f>
        <v>ф10, 1ton=1,620.7m</v>
      </c>
      <c r="I1233" s="56" t="str">
        <f>IFERROR(VLOOKUP($D1233,본공사입.출고현황!$B:$H,I$2080,0),0)</f>
        <v>M</v>
      </c>
      <c r="J1233" s="9">
        <v>1</v>
      </c>
      <c r="K1233" s="9" t="s">
        <v>545</v>
      </c>
      <c r="L1233" s="37">
        <v>75</v>
      </c>
      <c r="M1233" s="64" t="s">
        <v>408</v>
      </c>
      <c r="N1233" s="4"/>
    </row>
    <row r="1234" spans="1:14" ht="24" customHeight="1">
      <c r="A1234" s="8">
        <v>1190</v>
      </c>
      <c r="B1234" s="9">
        <v>1190</v>
      </c>
      <c r="C1234" s="46">
        <v>46065</v>
      </c>
      <c r="D1234" s="9" t="s">
        <v>238</v>
      </c>
      <c r="E1234" s="56" t="str">
        <f>IFERROR(VLOOKUP($D1234,본공사입.출고현황!$B:$H,E$2080,0),0)</f>
        <v>Steel round bar</v>
      </c>
      <c r="F1234" s="18" t="str">
        <f>IFERROR(VLOOKUP($D1234,본공사입.출고현황!$B:$H,F$2080,0),0)</f>
        <v>Steel round bar(rebar)</v>
      </c>
      <c r="G1234" s="18" t="str">
        <f>IFERROR(VLOOKUP($D1234,본공사입.출고현황!$B:$H,G$2080,0),0)</f>
        <v>CCGG</v>
      </c>
      <c r="H1234" s="18" t="str">
        <f>IFERROR(VLOOKUP($D1234,본공사입.출고현황!$B:$H,H$2080,0),0)</f>
        <v>ф10, 1ton=1,620.7m</v>
      </c>
      <c r="I1234" s="56" t="str">
        <f>IFERROR(VLOOKUP($D1234,본공사입.출고현황!$B:$H,I$2080,0),0)</f>
        <v>M</v>
      </c>
      <c r="J1234" s="9">
        <v>2</v>
      </c>
      <c r="K1234" s="9" t="s">
        <v>241</v>
      </c>
      <c r="L1234" s="37">
        <v>25</v>
      </c>
      <c r="M1234" s="64" t="s">
        <v>408</v>
      </c>
      <c r="N1234" s="4"/>
    </row>
    <row r="1235" spans="1:14" ht="24" customHeight="1">
      <c r="A1235" s="8">
        <v>1191</v>
      </c>
      <c r="B1235" s="9">
        <v>1191</v>
      </c>
      <c r="C1235" s="46">
        <v>46065</v>
      </c>
      <c r="D1235" s="9" t="s">
        <v>238</v>
      </c>
      <c r="E1235" s="56" t="str">
        <f>IFERROR(VLOOKUP($D1235,본공사입.출고현황!$B:$H,E$2080,0),0)</f>
        <v>Steel round bar</v>
      </c>
      <c r="F1235" s="18" t="str">
        <f>IFERROR(VLOOKUP($D1235,본공사입.출고현황!$B:$H,F$2080,0),0)</f>
        <v>Steel round bar(rebar)</v>
      </c>
      <c r="G1235" s="18" t="str">
        <f>IFERROR(VLOOKUP($D1235,본공사입.출고현황!$B:$H,G$2080,0),0)</f>
        <v>CCGG</v>
      </c>
      <c r="H1235" s="18" t="str">
        <f>IFERROR(VLOOKUP($D1235,본공사입.출고현황!$B:$H,H$2080,0),0)</f>
        <v>ф10, 1ton=1,620.7m</v>
      </c>
      <c r="I1235" s="56" t="str">
        <f>IFERROR(VLOOKUP($D1235,본공사입.출고현황!$B:$H,I$2080,0),0)</f>
        <v>M</v>
      </c>
      <c r="J1235" s="9">
        <v>1</v>
      </c>
      <c r="K1235" s="9" t="s">
        <v>352</v>
      </c>
      <c r="L1235" s="37">
        <v>30</v>
      </c>
      <c r="M1235" s="64" t="s">
        <v>408</v>
      </c>
      <c r="N1235" s="4"/>
    </row>
    <row r="1236" spans="1:14" ht="24" customHeight="1">
      <c r="A1236" s="8">
        <v>1192</v>
      </c>
      <c r="B1236" s="9">
        <v>1192</v>
      </c>
      <c r="C1236" s="46">
        <v>46065</v>
      </c>
      <c r="D1236" s="9" t="s">
        <v>238</v>
      </c>
      <c r="E1236" s="56" t="str">
        <f>IFERROR(VLOOKUP($D1236,본공사입.출고현황!$B:$H,E$2080,0),0)</f>
        <v>Steel round bar</v>
      </c>
      <c r="F1236" s="18" t="str">
        <f>IFERROR(VLOOKUP($D1236,본공사입.출고현황!$B:$H,F$2080,0),0)</f>
        <v>Steel round bar(rebar)</v>
      </c>
      <c r="G1236" s="18" t="str">
        <f>IFERROR(VLOOKUP($D1236,본공사입.출고현황!$B:$H,G$2080,0),0)</f>
        <v>CCGG</v>
      </c>
      <c r="H1236" s="18" t="str">
        <f>IFERROR(VLOOKUP($D1236,본공사입.출고현황!$B:$H,H$2080,0),0)</f>
        <v>ф10, 1ton=1,620.7m</v>
      </c>
      <c r="I1236" s="56" t="str">
        <f>IFERROR(VLOOKUP($D1236,본공사입.출고현황!$B:$H,I$2080,0),0)</f>
        <v>M</v>
      </c>
      <c r="J1236" s="9">
        <v>1</v>
      </c>
      <c r="K1236" s="9" t="s">
        <v>363</v>
      </c>
      <c r="L1236" s="37">
        <v>25</v>
      </c>
      <c r="M1236" s="64" t="s">
        <v>408</v>
      </c>
      <c r="N1236" s="4"/>
    </row>
    <row r="1237" spans="1:14" ht="24" customHeight="1">
      <c r="A1237" s="8">
        <v>1193</v>
      </c>
      <c r="B1237" s="9">
        <v>1193</v>
      </c>
      <c r="C1237" s="46">
        <v>46066</v>
      </c>
      <c r="D1237" s="9" t="s">
        <v>238</v>
      </c>
      <c r="E1237" s="56" t="str">
        <f>IFERROR(VLOOKUP($D1237,본공사입.출고현황!$B:$H,E$2080,0),0)</f>
        <v>Steel round bar</v>
      </c>
      <c r="F1237" s="18" t="str">
        <f>IFERROR(VLOOKUP($D1237,본공사입.출고현황!$B:$H,F$2080,0),0)</f>
        <v>Steel round bar(rebar)</v>
      </c>
      <c r="G1237" s="18" t="str">
        <f>IFERROR(VLOOKUP($D1237,본공사입.출고현황!$B:$H,G$2080,0),0)</f>
        <v>CCGG</v>
      </c>
      <c r="H1237" s="18" t="str">
        <f>IFERROR(VLOOKUP($D1237,본공사입.출고현황!$B:$H,H$2080,0),0)</f>
        <v>ф10, 1ton=1,620.7m</v>
      </c>
      <c r="I1237" s="56" t="str">
        <f>IFERROR(VLOOKUP($D1237,본공사입.출고현황!$B:$H,I$2080,0),0)</f>
        <v>M</v>
      </c>
      <c r="J1237" s="9">
        <v>1</v>
      </c>
      <c r="K1237" s="9" t="s">
        <v>363</v>
      </c>
      <c r="L1237" s="37">
        <v>75</v>
      </c>
      <c r="M1237" s="64" t="s">
        <v>408</v>
      </c>
      <c r="N1237" s="4"/>
    </row>
    <row r="1238" spans="1:14" ht="24" customHeight="1">
      <c r="A1238" s="8">
        <v>1194</v>
      </c>
      <c r="B1238" s="9">
        <v>1194</v>
      </c>
      <c r="C1238" s="46">
        <v>46066</v>
      </c>
      <c r="D1238" s="9" t="s">
        <v>238</v>
      </c>
      <c r="E1238" s="56" t="str">
        <f>IFERROR(VLOOKUP($D1238,본공사입.출고현황!$B:$H,E$2080,0),0)</f>
        <v>Steel round bar</v>
      </c>
      <c r="F1238" s="18" t="str">
        <f>IFERROR(VLOOKUP($D1238,본공사입.출고현황!$B:$H,F$2080,0),0)</f>
        <v>Steel round bar(rebar)</v>
      </c>
      <c r="G1238" s="18" t="str">
        <f>IFERROR(VLOOKUP($D1238,본공사입.출고현황!$B:$H,G$2080,0),0)</f>
        <v>CCGG</v>
      </c>
      <c r="H1238" s="18" t="str">
        <f>IFERROR(VLOOKUP($D1238,본공사입.출고현황!$B:$H,H$2080,0),0)</f>
        <v>ф10, 1ton=1,620.7m</v>
      </c>
      <c r="I1238" s="56" t="str">
        <f>IFERROR(VLOOKUP($D1238,본공사입.출고현황!$B:$H,I$2080,0),0)</f>
        <v>M</v>
      </c>
      <c r="J1238" s="9">
        <v>2</v>
      </c>
      <c r="K1238" s="9" t="s">
        <v>360</v>
      </c>
      <c r="L1238" s="37">
        <v>30</v>
      </c>
      <c r="M1238" s="64" t="s">
        <v>408</v>
      </c>
      <c r="N1238" s="4"/>
    </row>
    <row r="1239" spans="1:14" ht="24" customHeight="1">
      <c r="A1239" s="8">
        <v>1195</v>
      </c>
      <c r="B1239" s="9">
        <v>1195</v>
      </c>
      <c r="C1239" s="46">
        <v>46066</v>
      </c>
      <c r="D1239" s="9" t="s">
        <v>238</v>
      </c>
      <c r="E1239" s="56" t="str">
        <f>IFERROR(VLOOKUP($D1239,본공사입.출고현황!$B:$H,E$2080,0),0)</f>
        <v>Steel round bar</v>
      </c>
      <c r="F1239" s="18" t="str">
        <f>IFERROR(VLOOKUP($D1239,본공사입.출고현황!$B:$H,F$2080,0),0)</f>
        <v>Steel round bar(rebar)</v>
      </c>
      <c r="G1239" s="18" t="str">
        <f>IFERROR(VLOOKUP($D1239,본공사입.출고현황!$B:$H,G$2080,0),0)</f>
        <v>CCGG</v>
      </c>
      <c r="H1239" s="18" t="str">
        <f>IFERROR(VLOOKUP($D1239,본공사입.출고현황!$B:$H,H$2080,0),0)</f>
        <v>ф10, 1ton=1,620.7m</v>
      </c>
      <c r="I1239" s="56" t="str">
        <f>IFERROR(VLOOKUP($D1239,본공사입.출고현황!$B:$H,I$2080,0),0)</f>
        <v>M</v>
      </c>
      <c r="J1239" s="9">
        <v>4</v>
      </c>
      <c r="K1239" s="9" t="s">
        <v>359</v>
      </c>
      <c r="L1239" s="37">
        <v>50</v>
      </c>
      <c r="M1239" s="64" t="s">
        <v>408</v>
      </c>
      <c r="N1239" s="4"/>
    </row>
    <row r="1240" spans="1:14" ht="24" customHeight="1">
      <c r="A1240" s="8">
        <v>1196</v>
      </c>
      <c r="B1240" s="9">
        <v>1196</v>
      </c>
      <c r="C1240" s="46">
        <v>46066</v>
      </c>
      <c r="D1240" s="9" t="s">
        <v>238</v>
      </c>
      <c r="E1240" s="56" t="str">
        <f>IFERROR(VLOOKUP($D1240,본공사입.출고현황!$B:$H,E$2080,0),0)</f>
        <v>Steel round bar</v>
      </c>
      <c r="F1240" s="18" t="str">
        <f>IFERROR(VLOOKUP($D1240,본공사입.출고현황!$B:$H,F$2080,0),0)</f>
        <v>Steel round bar(rebar)</v>
      </c>
      <c r="G1240" s="18" t="str">
        <f>IFERROR(VLOOKUP($D1240,본공사입.출고현황!$B:$H,G$2080,0),0)</f>
        <v>CCGG</v>
      </c>
      <c r="H1240" s="18" t="str">
        <f>IFERROR(VLOOKUP($D1240,본공사입.출고현황!$B:$H,H$2080,0),0)</f>
        <v>ф10, 1ton=1,620.7m</v>
      </c>
      <c r="I1240" s="56" t="str">
        <f>IFERROR(VLOOKUP($D1240,본공사입.출고현황!$B:$H,I$2080,0),0)</f>
        <v>M</v>
      </c>
      <c r="J1240" s="9">
        <v>1</v>
      </c>
      <c r="K1240" s="9" t="s">
        <v>352</v>
      </c>
      <c r="L1240" s="37">
        <v>20</v>
      </c>
      <c r="M1240" s="64" t="s">
        <v>408</v>
      </c>
      <c r="N1240" s="4"/>
    </row>
    <row r="1241" spans="1:14" ht="24" customHeight="1">
      <c r="A1241" s="8">
        <v>1197</v>
      </c>
      <c r="B1241" s="9">
        <v>1197</v>
      </c>
      <c r="C1241" s="46">
        <v>46066</v>
      </c>
      <c r="D1241" s="9" t="s">
        <v>238</v>
      </c>
      <c r="E1241" s="56" t="str">
        <f>IFERROR(VLOOKUP($D1241,본공사입.출고현황!$B:$H,E$2080,0),0)</f>
        <v>Steel round bar</v>
      </c>
      <c r="F1241" s="18" t="str">
        <f>IFERROR(VLOOKUP($D1241,본공사입.출고현황!$B:$H,F$2080,0),0)</f>
        <v>Steel round bar(rebar)</v>
      </c>
      <c r="G1241" s="18" t="str">
        <f>IFERROR(VLOOKUP($D1241,본공사입.출고현황!$B:$H,G$2080,0),0)</f>
        <v>CCGG</v>
      </c>
      <c r="H1241" s="18" t="str">
        <f>IFERROR(VLOOKUP($D1241,본공사입.출고현황!$B:$H,H$2080,0),0)</f>
        <v>ф10, 1ton=1,620.7m</v>
      </c>
      <c r="I1241" s="56" t="str">
        <f>IFERROR(VLOOKUP($D1241,본공사입.출고현황!$B:$H,I$2080,0),0)</f>
        <v>M</v>
      </c>
      <c r="J1241" s="9">
        <v>1</v>
      </c>
      <c r="K1241" s="9" t="s">
        <v>352</v>
      </c>
      <c r="L1241" s="37">
        <v>20</v>
      </c>
      <c r="M1241" s="64" t="s">
        <v>408</v>
      </c>
      <c r="N1241" s="4"/>
    </row>
    <row r="1242" spans="1:14" ht="24" customHeight="1">
      <c r="A1242" s="8">
        <v>1198</v>
      </c>
      <c r="B1242" s="9">
        <v>1198</v>
      </c>
      <c r="C1242" s="46">
        <v>46066</v>
      </c>
      <c r="D1242" s="9" t="s">
        <v>238</v>
      </c>
      <c r="E1242" s="56" t="str">
        <f>IFERROR(VLOOKUP($D1242,본공사입.출고현황!$B:$H,E$2080,0),0)</f>
        <v>Steel round bar</v>
      </c>
      <c r="F1242" s="18" t="str">
        <f>IFERROR(VLOOKUP($D1242,본공사입.출고현황!$B:$H,F$2080,0),0)</f>
        <v>Steel round bar(rebar)</v>
      </c>
      <c r="G1242" s="18" t="str">
        <f>IFERROR(VLOOKUP($D1242,본공사입.출고현황!$B:$H,G$2080,0),0)</f>
        <v>CCGG</v>
      </c>
      <c r="H1242" s="18" t="str">
        <f>IFERROR(VLOOKUP($D1242,본공사입.출고현황!$B:$H,H$2080,0),0)</f>
        <v>ф10, 1ton=1,620.7m</v>
      </c>
      <c r="I1242" s="56" t="str">
        <f>IFERROR(VLOOKUP($D1242,본공사입.출고현황!$B:$H,I$2080,0),0)</f>
        <v>M</v>
      </c>
      <c r="J1242" s="9">
        <v>2</v>
      </c>
      <c r="K1242" s="9" t="s">
        <v>360</v>
      </c>
      <c r="L1242" s="37">
        <v>50</v>
      </c>
      <c r="M1242" s="64" t="s">
        <v>408</v>
      </c>
      <c r="N1242" s="4"/>
    </row>
    <row r="1243" spans="1:14" ht="24" customHeight="1">
      <c r="A1243" s="8">
        <v>1199</v>
      </c>
      <c r="B1243" s="9">
        <v>1199</v>
      </c>
      <c r="C1243" s="46">
        <v>46067</v>
      </c>
      <c r="D1243" s="9" t="s">
        <v>238</v>
      </c>
      <c r="E1243" s="56" t="str">
        <f>IFERROR(VLOOKUP($D1243,본공사입.출고현황!$B:$H,E$2080,0),0)</f>
        <v>Steel round bar</v>
      </c>
      <c r="F1243" s="18" t="str">
        <f>IFERROR(VLOOKUP($D1243,본공사입.출고현황!$B:$H,F$2080,0),0)</f>
        <v>Steel round bar(rebar)</v>
      </c>
      <c r="G1243" s="18" t="str">
        <f>IFERROR(VLOOKUP($D1243,본공사입.출고현황!$B:$H,G$2080,0),0)</f>
        <v>CCGG</v>
      </c>
      <c r="H1243" s="18" t="str">
        <f>IFERROR(VLOOKUP($D1243,본공사입.출고현황!$B:$H,H$2080,0),0)</f>
        <v>ф10, 1ton=1,620.7m</v>
      </c>
      <c r="I1243" s="56" t="str">
        <f>IFERROR(VLOOKUP($D1243,본공사입.출고현황!$B:$H,I$2080,0),0)</f>
        <v>M</v>
      </c>
      <c r="J1243" s="9">
        <v>1</v>
      </c>
      <c r="K1243" s="9" t="s">
        <v>352</v>
      </c>
      <c r="L1243" s="37">
        <v>50</v>
      </c>
      <c r="M1243" s="64" t="s">
        <v>408</v>
      </c>
      <c r="N1243" s="4"/>
    </row>
    <row r="1244" spans="1:14" ht="24" customHeight="1">
      <c r="A1244" s="8">
        <v>1200</v>
      </c>
      <c r="B1244" s="9">
        <v>1200</v>
      </c>
      <c r="C1244" s="46">
        <v>46067</v>
      </c>
      <c r="D1244" s="9" t="s">
        <v>238</v>
      </c>
      <c r="E1244" s="56" t="str">
        <f>IFERROR(VLOOKUP($D1244,본공사입.출고현황!$B:$H,E$2080,0),0)</f>
        <v>Steel round bar</v>
      </c>
      <c r="F1244" s="18" t="str">
        <f>IFERROR(VLOOKUP($D1244,본공사입.출고현황!$B:$H,F$2080,0),0)</f>
        <v>Steel round bar(rebar)</v>
      </c>
      <c r="G1244" s="18" t="str">
        <f>IFERROR(VLOOKUP($D1244,본공사입.출고현황!$B:$H,G$2080,0),0)</f>
        <v>CCGG</v>
      </c>
      <c r="H1244" s="18" t="str">
        <f>IFERROR(VLOOKUP($D1244,본공사입.출고현황!$B:$H,H$2080,0),0)</f>
        <v>ф10, 1ton=1,620.7m</v>
      </c>
      <c r="I1244" s="56" t="str">
        <f>IFERROR(VLOOKUP($D1244,본공사입.출고현황!$B:$H,I$2080,0),0)</f>
        <v>M</v>
      </c>
      <c r="J1244" s="9">
        <v>1</v>
      </c>
      <c r="K1244" s="9" t="s">
        <v>363</v>
      </c>
      <c r="L1244" s="37">
        <v>20</v>
      </c>
      <c r="M1244" s="64" t="s">
        <v>408</v>
      </c>
      <c r="N1244" s="4"/>
    </row>
    <row r="1245" spans="1:14" ht="24" customHeight="1">
      <c r="A1245" s="8">
        <v>1201</v>
      </c>
      <c r="B1245" s="9">
        <v>1201</v>
      </c>
      <c r="C1245" s="46">
        <v>46067</v>
      </c>
      <c r="D1245" s="9" t="s">
        <v>238</v>
      </c>
      <c r="E1245" s="56" t="str">
        <f>IFERROR(VLOOKUP($D1245,본공사입.출고현황!$B:$H,E$2080,0),0)</f>
        <v>Steel round bar</v>
      </c>
      <c r="F1245" s="18" t="str">
        <f>IFERROR(VLOOKUP($D1245,본공사입.출고현황!$B:$H,F$2080,0),0)</f>
        <v>Steel round bar(rebar)</v>
      </c>
      <c r="G1245" s="18" t="str">
        <f>IFERROR(VLOOKUP($D1245,본공사입.출고현황!$B:$H,G$2080,0),0)</f>
        <v>CCGG</v>
      </c>
      <c r="H1245" s="18" t="str">
        <f>IFERROR(VLOOKUP($D1245,본공사입.출고현황!$B:$H,H$2080,0),0)</f>
        <v>ф10, 1ton=1,620.7m</v>
      </c>
      <c r="I1245" s="56" t="str">
        <f>IFERROR(VLOOKUP($D1245,본공사입.출고현황!$B:$H,I$2080,0),0)</f>
        <v>M</v>
      </c>
      <c r="J1245" s="9">
        <v>1</v>
      </c>
      <c r="K1245" s="9" t="s">
        <v>547</v>
      </c>
      <c r="L1245" s="37">
        <v>30</v>
      </c>
      <c r="M1245" s="64" t="s">
        <v>408</v>
      </c>
      <c r="N1245" s="4"/>
    </row>
    <row r="1246" spans="1:14" ht="24" customHeight="1">
      <c r="A1246" s="8">
        <v>1202</v>
      </c>
      <c r="B1246" s="9">
        <v>1202</v>
      </c>
      <c r="C1246" s="46">
        <v>46067</v>
      </c>
      <c r="D1246" s="9" t="s">
        <v>238</v>
      </c>
      <c r="E1246" s="56" t="str">
        <f>IFERROR(VLOOKUP($D1246,본공사입.출고현황!$B:$H,E$2080,0),0)</f>
        <v>Steel round bar</v>
      </c>
      <c r="F1246" s="18" t="str">
        <f>IFERROR(VLOOKUP($D1246,본공사입.출고현황!$B:$H,F$2080,0),0)</f>
        <v>Steel round bar(rebar)</v>
      </c>
      <c r="G1246" s="18" t="str">
        <f>IFERROR(VLOOKUP($D1246,본공사입.출고현황!$B:$H,G$2080,0),0)</f>
        <v>CCGG</v>
      </c>
      <c r="H1246" s="18" t="str">
        <f>IFERROR(VLOOKUP($D1246,본공사입.출고현황!$B:$H,H$2080,0),0)</f>
        <v>ф10, 1ton=1,620.7m</v>
      </c>
      <c r="I1246" s="56" t="str">
        <f>IFERROR(VLOOKUP($D1246,본공사입.출고현황!$B:$H,I$2080,0),0)</f>
        <v>M</v>
      </c>
      <c r="J1246" s="9">
        <v>1</v>
      </c>
      <c r="K1246" s="9" t="s">
        <v>547</v>
      </c>
      <c r="L1246" s="37">
        <v>25</v>
      </c>
      <c r="M1246" s="64" t="s">
        <v>408</v>
      </c>
      <c r="N1246" s="4"/>
    </row>
    <row r="1247" spans="1:14" ht="24" customHeight="1">
      <c r="A1247" s="8">
        <v>1203</v>
      </c>
      <c r="B1247" s="9">
        <v>1203</v>
      </c>
      <c r="C1247" s="46">
        <v>46067</v>
      </c>
      <c r="D1247" s="9" t="s">
        <v>238</v>
      </c>
      <c r="E1247" s="56" t="str">
        <f>IFERROR(VLOOKUP($D1247,본공사입.출고현황!$B:$H,E$2080,0),0)</f>
        <v>Steel round bar</v>
      </c>
      <c r="F1247" s="18" t="str">
        <f>IFERROR(VLOOKUP($D1247,본공사입.출고현황!$B:$H,F$2080,0),0)</f>
        <v>Steel round bar(rebar)</v>
      </c>
      <c r="G1247" s="18" t="str">
        <f>IFERROR(VLOOKUP($D1247,본공사입.출고현황!$B:$H,G$2080,0),0)</f>
        <v>CCGG</v>
      </c>
      <c r="H1247" s="18" t="str">
        <f>IFERROR(VLOOKUP($D1247,본공사입.출고현황!$B:$H,H$2080,0),0)</f>
        <v>ф10, 1ton=1,620.7m</v>
      </c>
      <c r="I1247" s="56" t="str">
        <f>IFERROR(VLOOKUP($D1247,본공사입.출고현황!$B:$H,I$2080,0),0)</f>
        <v>M</v>
      </c>
      <c r="J1247" s="9">
        <v>1</v>
      </c>
      <c r="K1247" s="9" t="s">
        <v>363</v>
      </c>
      <c r="L1247" s="37">
        <v>25</v>
      </c>
      <c r="M1247" s="64" t="s">
        <v>408</v>
      </c>
      <c r="N1247" s="4"/>
    </row>
    <row r="1248" spans="1:14" ht="24" customHeight="1">
      <c r="A1248" s="8">
        <v>1204</v>
      </c>
      <c r="B1248" s="9">
        <v>1204</v>
      </c>
      <c r="C1248" s="46">
        <v>46067</v>
      </c>
      <c r="D1248" s="9" t="s">
        <v>238</v>
      </c>
      <c r="E1248" s="56" t="str">
        <f>IFERROR(VLOOKUP($D1248,본공사입.출고현황!$B:$H,E$2080,0),0)</f>
        <v>Steel round bar</v>
      </c>
      <c r="F1248" s="18" t="str">
        <f>IFERROR(VLOOKUP($D1248,본공사입.출고현황!$B:$H,F$2080,0),0)</f>
        <v>Steel round bar(rebar)</v>
      </c>
      <c r="G1248" s="18" t="str">
        <f>IFERROR(VLOOKUP($D1248,본공사입.출고현황!$B:$H,G$2080,0),0)</f>
        <v>CCGG</v>
      </c>
      <c r="H1248" s="18" t="str">
        <f>IFERROR(VLOOKUP($D1248,본공사입.출고현황!$B:$H,H$2080,0),0)</f>
        <v>ф10, 1ton=1,620.7m</v>
      </c>
      <c r="I1248" s="56" t="str">
        <f>IFERROR(VLOOKUP($D1248,본공사입.출고현황!$B:$H,I$2080,0),0)</f>
        <v>M</v>
      </c>
      <c r="J1248" s="9">
        <v>3</v>
      </c>
      <c r="K1248" s="9" t="s">
        <v>550</v>
      </c>
      <c r="L1248" s="37">
        <v>25</v>
      </c>
      <c r="M1248" s="64" t="s">
        <v>408</v>
      </c>
      <c r="N1248" s="4"/>
    </row>
    <row r="1249" spans="1:14" ht="24" customHeight="1">
      <c r="A1249" s="8">
        <v>1205</v>
      </c>
      <c r="B1249" s="9">
        <v>1205</v>
      </c>
      <c r="C1249" s="46">
        <v>46067</v>
      </c>
      <c r="D1249" s="9" t="s">
        <v>238</v>
      </c>
      <c r="E1249" s="56" t="str">
        <f>IFERROR(VLOOKUP($D1249,본공사입.출고현황!$B:$H,E$2080,0),0)</f>
        <v>Steel round bar</v>
      </c>
      <c r="F1249" s="18" t="str">
        <f>IFERROR(VLOOKUP($D1249,본공사입.출고현황!$B:$H,F$2080,0),0)</f>
        <v>Steel round bar(rebar)</v>
      </c>
      <c r="G1249" s="18" t="str">
        <f>IFERROR(VLOOKUP($D1249,본공사입.출고현황!$B:$H,G$2080,0),0)</f>
        <v>CCGG</v>
      </c>
      <c r="H1249" s="18" t="str">
        <f>IFERROR(VLOOKUP($D1249,본공사입.출고현황!$B:$H,H$2080,0),0)</f>
        <v>ф10, 1ton=1,620.7m</v>
      </c>
      <c r="I1249" s="56" t="str">
        <f>IFERROR(VLOOKUP($D1249,본공사입.출고현황!$B:$H,I$2080,0),0)</f>
        <v>M</v>
      </c>
      <c r="J1249" s="9">
        <v>2</v>
      </c>
      <c r="K1249" s="9" t="s">
        <v>360</v>
      </c>
      <c r="L1249" s="37">
        <v>25</v>
      </c>
      <c r="M1249" s="64" t="s">
        <v>408</v>
      </c>
      <c r="N1249" s="4"/>
    </row>
    <row r="1250" spans="1:14" ht="24" customHeight="1">
      <c r="A1250" s="8">
        <v>1206</v>
      </c>
      <c r="B1250" s="9">
        <v>1206</v>
      </c>
      <c r="C1250" s="46">
        <v>46068</v>
      </c>
      <c r="D1250" s="9" t="s">
        <v>238</v>
      </c>
      <c r="E1250" s="56" t="str">
        <f>IFERROR(VLOOKUP($D1250,본공사입.출고현황!$B:$H,E$2080,0),0)</f>
        <v>Steel round bar</v>
      </c>
      <c r="F1250" s="18" t="str">
        <f>IFERROR(VLOOKUP($D1250,본공사입.출고현황!$B:$H,F$2080,0),0)</f>
        <v>Steel round bar(rebar)</v>
      </c>
      <c r="G1250" s="18" t="str">
        <f>IFERROR(VLOOKUP($D1250,본공사입.출고현황!$B:$H,G$2080,0),0)</f>
        <v>CCGG</v>
      </c>
      <c r="H1250" s="18" t="str">
        <f>IFERROR(VLOOKUP($D1250,본공사입.출고현황!$B:$H,H$2080,0),0)</f>
        <v>ф10, 1ton=1,620.7m</v>
      </c>
      <c r="I1250" s="56" t="str">
        <f>IFERROR(VLOOKUP($D1250,본공사입.출고현황!$B:$H,I$2080,0),0)</f>
        <v>M</v>
      </c>
      <c r="J1250" s="9">
        <v>1</v>
      </c>
      <c r="K1250" s="9" t="s">
        <v>352</v>
      </c>
      <c r="L1250" s="37">
        <v>50</v>
      </c>
      <c r="M1250" s="64" t="s">
        <v>408</v>
      </c>
      <c r="N1250" s="4"/>
    </row>
    <row r="1251" spans="1:14" ht="24" customHeight="1">
      <c r="A1251" s="8">
        <v>1207</v>
      </c>
      <c r="B1251" s="9">
        <v>1207</v>
      </c>
      <c r="C1251" s="46">
        <v>46068</v>
      </c>
      <c r="D1251" s="9" t="s">
        <v>238</v>
      </c>
      <c r="E1251" s="56" t="str">
        <f>IFERROR(VLOOKUP($D1251,본공사입.출고현황!$B:$H,E$2080,0),0)</f>
        <v>Steel round bar</v>
      </c>
      <c r="F1251" s="18" t="str">
        <f>IFERROR(VLOOKUP($D1251,본공사입.출고현황!$B:$H,F$2080,0),0)</f>
        <v>Steel round bar(rebar)</v>
      </c>
      <c r="G1251" s="18" t="str">
        <f>IFERROR(VLOOKUP($D1251,본공사입.출고현황!$B:$H,G$2080,0),0)</f>
        <v>CCGG</v>
      </c>
      <c r="H1251" s="18" t="str">
        <f>IFERROR(VLOOKUP($D1251,본공사입.출고현황!$B:$H,H$2080,0),0)</f>
        <v>ф10, 1ton=1,620.7m</v>
      </c>
      <c r="I1251" s="56" t="str">
        <f>IFERROR(VLOOKUP($D1251,본공사입.출고현황!$B:$H,I$2080,0),0)</f>
        <v>M</v>
      </c>
      <c r="J1251" s="9">
        <v>2</v>
      </c>
      <c r="K1251" s="9" t="s">
        <v>546</v>
      </c>
      <c r="L1251" s="37">
        <v>25</v>
      </c>
      <c r="M1251" s="64" t="s">
        <v>408</v>
      </c>
      <c r="N1251" s="4"/>
    </row>
    <row r="1252" spans="1:14" ht="24" customHeight="1">
      <c r="A1252" s="8">
        <v>1208</v>
      </c>
      <c r="B1252" s="9">
        <v>1208</v>
      </c>
      <c r="C1252" s="46">
        <v>46068</v>
      </c>
      <c r="D1252" s="9" t="s">
        <v>238</v>
      </c>
      <c r="E1252" s="56" t="str">
        <f>IFERROR(VLOOKUP($D1252,본공사입.출고현황!$B:$H,E$2080,0),0)</f>
        <v>Steel round bar</v>
      </c>
      <c r="F1252" s="18" t="str">
        <f>IFERROR(VLOOKUP($D1252,본공사입.출고현황!$B:$H,F$2080,0),0)</f>
        <v>Steel round bar(rebar)</v>
      </c>
      <c r="G1252" s="18" t="str">
        <f>IFERROR(VLOOKUP($D1252,본공사입.출고현황!$B:$H,G$2080,0),0)</f>
        <v>CCGG</v>
      </c>
      <c r="H1252" s="18" t="str">
        <f>IFERROR(VLOOKUP($D1252,본공사입.출고현황!$B:$H,H$2080,0),0)</f>
        <v>ф10, 1ton=1,620.7m</v>
      </c>
      <c r="I1252" s="56" t="str">
        <f>IFERROR(VLOOKUP($D1252,본공사입.출고현황!$B:$H,I$2080,0),0)</f>
        <v>M</v>
      </c>
      <c r="J1252" s="9">
        <v>4</v>
      </c>
      <c r="K1252" s="9" t="s">
        <v>359</v>
      </c>
      <c r="L1252" s="37">
        <v>75</v>
      </c>
      <c r="M1252" s="64" t="s">
        <v>408</v>
      </c>
      <c r="N1252" s="4"/>
    </row>
    <row r="1253" spans="1:14" ht="24" customHeight="1">
      <c r="A1253" s="8">
        <v>1209</v>
      </c>
      <c r="B1253" s="9">
        <v>1209</v>
      </c>
      <c r="C1253" s="46">
        <v>46068</v>
      </c>
      <c r="D1253" s="9" t="s">
        <v>238</v>
      </c>
      <c r="E1253" s="56" t="str">
        <f>IFERROR(VLOOKUP($D1253,본공사입.출고현황!$B:$H,E$2080,0),0)</f>
        <v>Steel round bar</v>
      </c>
      <c r="F1253" s="18" t="str">
        <f>IFERROR(VLOOKUP($D1253,본공사입.출고현황!$B:$H,F$2080,0),0)</f>
        <v>Steel round bar(rebar)</v>
      </c>
      <c r="G1253" s="18" t="str">
        <f>IFERROR(VLOOKUP($D1253,본공사입.출고현황!$B:$H,G$2080,0),0)</f>
        <v>CCGG</v>
      </c>
      <c r="H1253" s="18" t="str">
        <f>IFERROR(VLOOKUP($D1253,본공사입.출고현황!$B:$H,H$2080,0),0)</f>
        <v>ф10, 1ton=1,620.7m</v>
      </c>
      <c r="I1253" s="56" t="str">
        <f>IFERROR(VLOOKUP($D1253,본공사입.출고현황!$B:$H,I$2080,0),0)</f>
        <v>M</v>
      </c>
      <c r="J1253" s="9">
        <v>2</v>
      </c>
      <c r="K1253" s="9" t="s">
        <v>360</v>
      </c>
      <c r="L1253" s="37">
        <v>25</v>
      </c>
      <c r="M1253" s="64" t="s">
        <v>408</v>
      </c>
      <c r="N1253" s="4"/>
    </row>
    <row r="1254" spans="1:14" ht="24" customHeight="1">
      <c r="A1254" s="8">
        <v>1210</v>
      </c>
      <c r="B1254" s="9">
        <v>1210</v>
      </c>
      <c r="C1254" s="46">
        <v>46068</v>
      </c>
      <c r="D1254" s="9" t="s">
        <v>238</v>
      </c>
      <c r="E1254" s="56" t="str">
        <f>IFERROR(VLOOKUP($D1254,본공사입.출고현황!$B:$H,E$2080,0),0)</f>
        <v>Steel round bar</v>
      </c>
      <c r="F1254" s="18" t="str">
        <f>IFERROR(VLOOKUP($D1254,본공사입.출고현황!$B:$H,F$2080,0),0)</f>
        <v>Steel round bar(rebar)</v>
      </c>
      <c r="G1254" s="18" t="str">
        <f>IFERROR(VLOOKUP($D1254,본공사입.출고현황!$B:$H,G$2080,0),0)</f>
        <v>CCGG</v>
      </c>
      <c r="H1254" s="18" t="str">
        <f>IFERROR(VLOOKUP($D1254,본공사입.출고현황!$B:$H,H$2080,0),0)</f>
        <v>ф10, 1ton=1,620.7m</v>
      </c>
      <c r="I1254" s="56" t="str">
        <f>IFERROR(VLOOKUP($D1254,본공사입.출고현황!$B:$H,I$2080,0),0)</f>
        <v>M</v>
      </c>
      <c r="J1254" s="9">
        <v>3</v>
      </c>
      <c r="K1254" s="9" t="s">
        <v>237</v>
      </c>
      <c r="L1254" s="37">
        <v>20</v>
      </c>
      <c r="M1254" s="64" t="s">
        <v>408</v>
      </c>
      <c r="N1254" s="4"/>
    </row>
    <row r="1255" spans="1:14" ht="24" customHeight="1">
      <c r="A1255" s="8">
        <v>1211</v>
      </c>
      <c r="B1255" s="9">
        <v>1211</v>
      </c>
      <c r="C1255" s="46">
        <v>46068</v>
      </c>
      <c r="D1255" s="9" t="s">
        <v>238</v>
      </c>
      <c r="E1255" s="56" t="str">
        <f>IFERROR(VLOOKUP($D1255,본공사입.출고현황!$B:$H,E$2080,0),0)</f>
        <v>Steel round bar</v>
      </c>
      <c r="F1255" s="18" t="str">
        <f>IFERROR(VLOOKUP($D1255,본공사입.출고현황!$B:$H,F$2080,0),0)</f>
        <v>Steel round bar(rebar)</v>
      </c>
      <c r="G1255" s="18" t="str">
        <f>IFERROR(VLOOKUP($D1255,본공사입.출고현황!$B:$H,G$2080,0),0)</f>
        <v>CCGG</v>
      </c>
      <c r="H1255" s="18" t="str">
        <f>IFERROR(VLOOKUP($D1255,본공사입.출고현황!$B:$H,H$2080,0),0)</f>
        <v>ф10, 1ton=1,620.7m</v>
      </c>
      <c r="I1255" s="56" t="str">
        <f>IFERROR(VLOOKUP($D1255,본공사입.출고현황!$B:$H,I$2080,0),0)</f>
        <v>M</v>
      </c>
      <c r="J1255" s="9">
        <v>1</v>
      </c>
      <c r="K1255" s="9" t="s">
        <v>352</v>
      </c>
      <c r="L1255" s="37">
        <v>25</v>
      </c>
      <c r="M1255" s="64" t="s">
        <v>408</v>
      </c>
      <c r="N1255" s="4"/>
    </row>
    <row r="1256" spans="1:14" ht="24" customHeight="1">
      <c r="A1256" s="8">
        <v>1212</v>
      </c>
      <c r="B1256" s="9">
        <v>1212</v>
      </c>
      <c r="C1256" s="46">
        <v>46068</v>
      </c>
      <c r="D1256" s="9" t="s">
        <v>238</v>
      </c>
      <c r="E1256" s="56" t="str">
        <f>IFERROR(VLOOKUP($D1256,본공사입.출고현황!$B:$H,E$2080,0),0)</f>
        <v>Steel round bar</v>
      </c>
      <c r="F1256" s="18" t="str">
        <f>IFERROR(VLOOKUP($D1256,본공사입.출고현황!$B:$H,F$2080,0),0)</f>
        <v>Steel round bar(rebar)</v>
      </c>
      <c r="G1256" s="18" t="str">
        <f>IFERROR(VLOOKUP($D1256,본공사입.출고현황!$B:$H,G$2080,0),0)</f>
        <v>CCGG</v>
      </c>
      <c r="H1256" s="18" t="str">
        <f>IFERROR(VLOOKUP($D1256,본공사입.출고현황!$B:$H,H$2080,0),0)</f>
        <v>ф10, 1ton=1,620.7m</v>
      </c>
      <c r="I1256" s="56" t="str">
        <f>IFERROR(VLOOKUP($D1256,본공사입.출고현황!$B:$H,I$2080,0),0)</f>
        <v>M</v>
      </c>
      <c r="J1256" s="9">
        <v>1</v>
      </c>
      <c r="K1256" s="9" t="s">
        <v>352</v>
      </c>
      <c r="L1256" s="37">
        <v>15</v>
      </c>
      <c r="M1256" s="64" t="s">
        <v>408</v>
      </c>
      <c r="N1256" s="4"/>
    </row>
    <row r="1257" spans="1:14" ht="24" customHeight="1">
      <c r="A1257" s="8">
        <v>1213</v>
      </c>
      <c r="B1257" s="9">
        <v>1213</v>
      </c>
      <c r="C1257" s="46">
        <v>46068</v>
      </c>
      <c r="D1257" s="9" t="s">
        <v>238</v>
      </c>
      <c r="E1257" s="56" t="str">
        <f>IFERROR(VLOOKUP($D1257,본공사입.출고현황!$B:$H,E$2080,0),0)</f>
        <v>Steel round bar</v>
      </c>
      <c r="F1257" s="18" t="str">
        <f>IFERROR(VLOOKUP($D1257,본공사입.출고현황!$B:$H,F$2080,0),0)</f>
        <v>Steel round bar(rebar)</v>
      </c>
      <c r="G1257" s="18" t="str">
        <f>IFERROR(VLOOKUP($D1257,본공사입.출고현황!$B:$H,G$2080,0),0)</f>
        <v>CCGG</v>
      </c>
      <c r="H1257" s="18" t="str">
        <f>IFERROR(VLOOKUP($D1257,본공사입.출고현황!$B:$H,H$2080,0),0)</f>
        <v>ф10, 1ton=1,620.7m</v>
      </c>
      <c r="I1257" s="56" t="str">
        <f>IFERROR(VLOOKUP($D1257,본공사입.출고현황!$B:$H,I$2080,0),0)</f>
        <v>M</v>
      </c>
      <c r="J1257" s="9">
        <v>1</v>
      </c>
      <c r="K1257" s="9" t="s">
        <v>363</v>
      </c>
      <c r="L1257" s="37">
        <v>50</v>
      </c>
      <c r="M1257" s="64" t="s">
        <v>408</v>
      </c>
      <c r="N1257" s="4"/>
    </row>
    <row r="1258" spans="1:14" ht="24" customHeight="1">
      <c r="A1258" s="8">
        <v>1214</v>
      </c>
      <c r="B1258" s="9">
        <v>1214</v>
      </c>
      <c r="C1258" s="46">
        <v>46069</v>
      </c>
      <c r="D1258" s="9" t="s">
        <v>70</v>
      </c>
      <c r="E1258" s="56" t="str">
        <f>IFERROR(VLOOKUP($D1258,본공사입.출고현황!$B:$H,E$2080,0),0)</f>
        <v>Ground</v>
      </c>
      <c r="F1258" s="18" t="str">
        <f>IFERROR(VLOOKUP($D1258,본공사입.출고현황!$B:$H,F$2080,0),0)</f>
        <v>Ground Cable  70SQ</v>
      </c>
      <c r="G1258" s="18" t="str">
        <f>IFERROR(VLOOKUP($D1258,본공사입.출고현황!$B:$H,G$2080,0),0)</f>
        <v xml:space="preserve">Ground Cable </v>
      </c>
      <c r="H1258" s="18" t="str">
        <f>IFERROR(VLOOKUP($D1258,본공사입.출고현황!$B:$H,H$2080,0),0)</f>
        <v>70SQ</v>
      </c>
      <c r="I1258" s="56" t="str">
        <f>IFERROR(VLOOKUP($D1258,본공사입.출고현황!$B:$H,I$2080,0),0)</f>
        <v>M</v>
      </c>
      <c r="J1258" s="9">
        <v>1</v>
      </c>
      <c r="K1258" s="9" t="s">
        <v>363</v>
      </c>
      <c r="L1258" s="37">
        <v>14</v>
      </c>
      <c r="M1258" s="64" t="s">
        <v>633</v>
      </c>
      <c r="N1258" s="4"/>
    </row>
    <row r="1259" spans="1:14" ht="24" customHeight="1">
      <c r="A1259" s="8">
        <v>1215</v>
      </c>
      <c r="B1259" s="9">
        <v>1215</v>
      </c>
      <c r="C1259" s="46">
        <v>46069</v>
      </c>
      <c r="D1259" s="9" t="s">
        <v>111</v>
      </c>
      <c r="E1259" s="56" t="str">
        <f>IFERROR(VLOOKUP($D1259,본공사입.출고현황!$B:$H,E$2080,0),0)</f>
        <v>Ground Conduit</v>
      </c>
      <c r="F1259" s="18" t="str">
        <f>IFERROR(VLOOKUP($D1259,본공사입.출고현황!$B:$H,F$2080,0),0)</f>
        <v>Flexible Conduit 2"</v>
      </c>
      <c r="G1259" s="18" t="str">
        <f>IFERROR(VLOOKUP($D1259,본공사입.출고현황!$B:$H,G$2080,0),0)</f>
        <v>Ground Conduit</v>
      </c>
      <c r="H1259" s="18" t="str">
        <f>IFERROR(VLOOKUP($D1259,본공사입.출고현황!$B:$H,H$2080,0),0)</f>
        <v>2"</v>
      </c>
      <c r="I1259" s="56" t="str">
        <f>IFERROR(VLOOKUP($D1259,본공사입.출고현황!$B:$H,I$2080,0),0)</f>
        <v>M</v>
      </c>
      <c r="J1259" s="9">
        <v>1</v>
      </c>
      <c r="K1259" s="9" t="s">
        <v>363</v>
      </c>
      <c r="L1259" s="37">
        <v>13</v>
      </c>
      <c r="M1259" s="64" t="s">
        <v>633</v>
      </c>
      <c r="N1259" s="4"/>
    </row>
    <row r="1260" spans="1:14" ht="24" customHeight="1">
      <c r="A1260" s="8">
        <v>1216</v>
      </c>
      <c r="B1260" s="9">
        <v>1216</v>
      </c>
      <c r="C1260" s="46">
        <v>46070</v>
      </c>
      <c r="D1260" s="9" t="s">
        <v>238</v>
      </c>
      <c r="E1260" s="56" t="str">
        <f>IFERROR(VLOOKUP($D1260,본공사입.출고현황!$B:$H,E$2080,0),0)</f>
        <v>Steel round bar</v>
      </c>
      <c r="F1260" s="18" t="str">
        <f>IFERROR(VLOOKUP($D1260,본공사입.출고현황!$B:$H,F$2080,0),0)</f>
        <v>Steel round bar(rebar)</v>
      </c>
      <c r="G1260" s="18" t="str">
        <f>IFERROR(VLOOKUP($D1260,본공사입.출고현황!$B:$H,G$2080,0),0)</f>
        <v>CCGG</v>
      </c>
      <c r="H1260" s="18" t="str">
        <f>IFERROR(VLOOKUP($D1260,본공사입.출고현황!$B:$H,H$2080,0),0)</f>
        <v>ф10, 1ton=1,620.7m</v>
      </c>
      <c r="I1260" s="56" t="str">
        <f>IFERROR(VLOOKUP($D1260,본공사입.출고현황!$B:$H,I$2080,0),0)</f>
        <v>M</v>
      </c>
      <c r="J1260" s="9">
        <v>4</v>
      </c>
      <c r="K1260" s="9" t="s">
        <v>359</v>
      </c>
      <c r="L1260" s="37">
        <v>30</v>
      </c>
      <c r="M1260" s="64" t="s">
        <v>408</v>
      </c>
      <c r="N1260" s="4"/>
    </row>
    <row r="1261" spans="1:14" ht="24" customHeight="1">
      <c r="A1261" s="8">
        <v>1217</v>
      </c>
      <c r="B1261" s="9">
        <v>1217</v>
      </c>
      <c r="C1261" s="46">
        <v>46070</v>
      </c>
      <c r="D1261" s="9" t="s">
        <v>238</v>
      </c>
      <c r="E1261" s="56" t="str">
        <f>IFERROR(VLOOKUP($D1261,본공사입.출고현황!$B:$H,E$2080,0),0)</f>
        <v>Steel round bar</v>
      </c>
      <c r="F1261" s="18" t="str">
        <f>IFERROR(VLOOKUP($D1261,본공사입.출고현황!$B:$H,F$2080,0),0)</f>
        <v>Steel round bar(rebar)</v>
      </c>
      <c r="G1261" s="18" t="str">
        <f>IFERROR(VLOOKUP($D1261,본공사입.출고현황!$B:$H,G$2080,0),0)</f>
        <v>CCGG</v>
      </c>
      <c r="H1261" s="18" t="str">
        <f>IFERROR(VLOOKUP($D1261,본공사입.출고현황!$B:$H,H$2080,0),0)</f>
        <v>ф10, 1ton=1,620.7m</v>
      </c>
      <c r="I1261" s="56" t="str">
        <f>IFERROR(VLOOKUP($D1261,본공사입.출고현황!$B:$H,I$2080,0),0)</f>
        <v>M</v>
      </c>
      <c r="J1261" s="9">
        <v>2</v>
      </c>
      <c r="K1261" s="9" t="s">
        <v>360</v>
      </c>
      <c r="L1261" s="37">
        <v>65</v>
      </c>
      <c r="M1261" s="64" t="s">
        <v>408</v>
      </c>
      <c r="N1261" s="4"/>
    </row>
    <row r="1262" spans="1:14" ht="24" customHeight="1">
      <c r="A1262" s="8">
        <v>1218</v>
      </c>
      <c r="B1262" s="9">
        <v>1218</v>
      </c>
      <c r="C1262" s="46">
        <v>46070</v>
      </c>
      <c r="D1262" s="9" t="s">
        <v>238</v>
      </c>
      <c r="E1262" s="56" t="str">
        <f>IFERROR(VLOOKUP($D1262,본공사입.출고현황!$B:$H,E$2080,0),0)</f>
        <v>Steel round bar</v>
      </c>
      <c r="F1262" s="18" t="str">
        <f>IFERROR(VLOOKUP($D1262,본공사입.출고현황!$B:$H,F$2080,0),0)</f>
        <v>Steel round bar(rebar)</v>
      </c>
      <c r="G1262" s="18" t="str">
        <f>IFERROR(VLOOKUP($D1262,본공사입.출고현황!$B:$H,G$2080,0),0)</f>
        <v>CCGG</v>
      </c>
      <c r="H1262" s="18" t="str">
        <f>IFERROR(VLOOKUP($D1262,본공사입.출고현황!$B:$H,H$2080,0),0)</f>
        <v>ф10, 1ton=1,620.7m</v>
      </c>
      <c r="I1262" s="56" t="str">
        <f>IFERROR(VLOOKUP($D1262,본공사입.출고현황!$B:$H,I$2080,0),0)</f>
        <v>M</v>
      </c>
      <c r="J1262" s="9">
        <v>3</v>
      </c>
      <c r="K1262" s="9" t="s">
        <v>237</v>
      </c>
      <c r="L1262" s="37">
        <v>20</v>
      </c>
      <c r="M1262" s="64" t="s">
        <v>408</v>
      </c>
      <c r="N1262" s="4"/>
    </row>
    <row r="1263" spans="1:14" ht="24" customHeight="1">
      <c r="A1263" s="8">
        <v>1219</v>
      </c>
      <c r="B1263" s="9">
        <v>1219</v>
      </c>
      <c r="C1263" s="46">
        <v>46070</v>
      </c>
      <c r="D1263" s="9" t="s">
        <v>238</v>
      </c>
      <c r="E1263" s="56" t="str">
        <f>IFERROR(VLOOKUP($D1263,본공사입.출고현황!$B:$H,E$2080,0),0)</f>
        <v>Steel round bar</v>
      </c>
      <c r="F1263" s="18" t="str">
        <f>IFERROR(VLOOKUP($D1263,본공사입.출고현황!$B:$H,F$2080,0),0)</f>
        <v>Steel round bar(rebar)</v>
      </c>
      <c r="G1263" s="18" t="str">
        <f>IFERROR(VLOOKUP($D1263,본공사입.출고현황!$B:$H,G$2080,0),0)</f>
        <v>CCGG</v>
      </c>
      <c r="H1263" s="18" t="str">
        <f>IFERROR(VLOOKUP($D1263,본공사입.출고현황!$B:$H,H$2080,0),0)</f>
        <v>ф10, 1ton=1,620.7m</v>
      </c>
      <c r="I1263" s="56" t="str">
        <f>IFERROR(VLOOKUP($D1263,본공사입.출고현황!$B:$H,I$2080,0),0)</f>
        <v>M</v>
      </c>
      <c r="J1263" s="9">
        <v>1</v>
      </c>
      <c r="K1263" s="9" t="s">
        <v>352</v>
      </c>
      <c r="L1263" s="37">
        <v>50</v>
      </c>
      <c r="M1263" s="64" t="s">
        <v>408</v>
      </c>
      <c r="N1263" s="4"/>
    </row>
    <row r="1264" spans="1:14" ht="24" customHeight="1">
      <c r="A1264" s="8">
        <v>1220</v>
      </c>
      <c r="B1264" s="9">
        <v>1220</v>
      </c>
      <c r="C1264" s="46">
        <v>46070</v>
      </c>
      <c r="D1264" s="9" t="s">
        <v>238</v>
      </c>
      <c r="E1264" s="56" t="str">
        <f>IFERROR(VLOOKUP($D1264,본공사입.출고현황!$B:$H,E$2080,0),0)</f>
        <v>Steel round bar</v>
      </c>
      <c r="F1264" s="18" t="str">
        <f>IFERROR(VLOOKUP($D1264,본공사입.출고현황!$B:$H,F$2080,0),0)</f>
        <v>Steel round bar(rebar)</v>
      </c>
      <c r="G1264" s="18" t="str">
        <f>IFERROR(VLOOKUP($D1264,본공사입.출고현황!$B:$H,G$2080,0),0)</f>
        <v>CCGG</v>
      </c>
      <c r="H1264" s="18" t="str">
        <f>IFERROR(VLOOKUP($D1264,본공사입.출고현황!$B:$H,H$2080,0),0)</f>
        <v>ф10, 1ton=1,620.7m</v>
      </c>
      <c r="I1264" s="56" t="str">
        <f>IFERROR(VLOOKUP($D1264,본공사입.출고현황!$B:$H,I$2080,0),0)</f>
        <v>M</v>
      </c>
      <c r="J1264" s="9">
        <v>1</v>
      </c>
      <c r="K1264" s="9" t="s">
        <v>547</v>
      </c>
      <c r="L1264" s="37">
        <v>15</v>
      </c>
      <c r="M1264" s="64" t="s">
        <v>408</v>
      </c>
      <c r="N1264" s="4"/>
    </row>
    <row r="1265" spans="1:14" ht="24" customHeight="1">
      <c r="A1265" s="8">
        <v>1221</v>
      </c>
      <c r="B1265" s="9">
        <v>1221</v>
      </c>
      <c r="C1265" s="46">
        <v>46070</v>
      </c>
      <c r="D1265" s="9" t="s">
        <v>238</v>
      </c>
      <c r="E1265" s="56" t="str">
        <f>IFERROR(VLOOKUP($D1265,본공사입.출고현황!$B:$H,E$2080,0),0)</f>
        <v>Steel round bar</v>
      </c>
      <c r="F1265" s="18" t="str">
        <f>IFERROR(VLOOKUP($D1265,본공사입.출고현황!$B:$H,F$2080,0),0)</f>
        <v>Steel round bar(rebar)</v>
      </c>
      <c r="G1265" s="18" t="str">
        <f>IFERROR(VLOOKUP($D1265,본공사입.출고현황!$B:$H,G$2080,0),0)</f>
        <v>CCGG</v>
      </c>
      <c r="H1265" s="18" t="str">
        <f>IFERROR(VLOOKUP($D1265,본공사입.출고현황!$B:$H,H$2080,0),0)</f>
        <v>ф10, 1ton=1,620.7m</v>
      </c>
      <c r="I1265" s="56" t="str">
        <f>IFERROR(VLOOKUP($D1265,본공사입.출고현황!$B:$H,I$2080,0),0)</f>
        <v>M</v>
      </c>
      <c r="J1265" s="9">
        <v>2</v>
      </c>
      <c r="K1265" s="9" t="s">
        <v>360</v>
      </c>
      <c r="L1265" s="37">
        <v>40</v>
      </c>
      <c r="M1265" s="64" t="s">
        <v>408</v>
      </c>
      <c r="N1265" s="4"/>
    </row>
    <row r="1266" spans="1:14" ht="24" customHeight="1">
      <c r="A1266" s="8">
        <v>1222</v>
      </c>
      <c r="B1266" s="9">
        <v>1222</v>
      </c>
      <c r="C1266" s="46">
        <v>46070</v>
      </c>
      <c r="D1266" s="9" t="s">
        <v>238</v>
      </c>
      <c r="E1266" s="56" t="str">
        <f>IFERROR(VLOOKUP($D1266,본공사입.출고현황!$B:$H,E$2080,0),0)</f>
        <v>Steel round bar</v>
      </c>
      <c r="F1266" s="18" t="str">
        <f>IFERROR(VLOOKUP($D1266,본공사입.출고현황!$B:$H,F$2080,0),0)</f>
        <v>Steel round bar(rebar)</v>
      </c>
      <c r="G1266" s="18" t="str">
        <f>IFERROR(VLOOKUP($D1266,본공사입.출고현황!$B:$H,G$2080,0),0)</f>
        <v>CCGG</v>
      </c>
      <c r="H1266" s="18" t="str">
        <f>IFERROR(VLOOKUP($D1266,본공사입.출고현황!$B:$H,H$2080,0),0)</f>
        <v>ф10, 1ton=1,620.7m</v>
      </c>
      <c r="I1266" s="56" t="str">
        <f>IFERROR(VLOOKUP($D1266,본공사입.출고현황!$B:$H,I$2080,0),0)</f>
        <v>M</v>
      </c>
      <c r="J1266" s="9">
        <v>4</v>
      </c>
      <c r="K1266" s="9" t="s">
        <v>359</v>
      </c>
      <c r="L1266" s="37">
        <v>20</v>
      </c>
      <c r="M1266" s="64" t="s">
        <v>408</v>
      </c>
      <c r="N1266" s="4"/>
    </row>
    <row r="1267" spans="1:14" ht="24" customHeight="1">
      <c r="A1267" s="8">
        <v>1223</v>
      </c>
      <c r="B1267" s="9">
        <v>1223</v>
      </c>
      <c r="C1267" s="46">
        <v>46070</v>
      </c>
      <c r="D1267" s="9" t="s">
        <v>238</v>
      </c>
      <c r="E1267" s="56" t="str">
        <f>IFERROR(VLOOKUP($D1267,본공사입.출고현황!$B:$H,E$2080,0),0)</f>
        <v>Steel round bar</v>
      </c>
      <c r="F1267" s="18" t="str">
        <f>IFERROR(VLOOKUP($D1267,본공사입.출고현황!$B:$H,F$2080,0),0)</f>
        <v>Steel round bar(rebar)</v>
      </c>
      <c r="G1267" s="18" t="str">
        <f>IFERROR(VLOOKUP($D1267,본공사입.출고현황!$B:$H,G$2080,0),0)</f>
        <v>CCGG</v>
      </c>
      <c r="H1267" s="18" t="str">
        <f>IFERROR(VLOOKUP($D1267,본공사입.출고현황!$B:$H,H$2080,0),0)</f>
        <v>ф10, 1ton=1,620.7m</v>
      </c>
      <c r="I1267" s="56" t="str">
        <f>IFERROR(VLOOKUP($D1267,본공사입.출고현황!$B:$H,I$2080,0),0)</f>
        <v>M</v>
      </c>
      <c r="J1267" s="9">
        <v>2</v>
      </c>
      <c r="K1267" s="9" t="s">
        <v>546</v>
      </c>
      <c r="L1267" s="37">
        <v>20</v>
      </c>
      <c r="M1267" s="64" t="s">
        <v>408</v>
      </c>
      <c r="N1267" s="4"/>
    </row>
    <row r="1268" spans="1:14" ht="24" customHeight="1">
      <c r="A1268" s="8">
        <v>1224</v>
      </c>
      <c r="B1268" s="9">
        <v>1224</v>
      </c>
      <c r="C1268" s="46">
        <v>46070</v>
      </c>
      <c r="D1268" s="9" t="s">
        <v>238</v>
      </c>
      <c r="E1268" s="56" t="str">
        <f>IFERROR(VLOOKUP($D1268,본공사입.출고현황!$B:$H,E$2080,0),0)</f>
        <v>Steel round bar</v>
      </c>
      <c r="F1268" s="18" t="str">
        <f>IFERROR(VLOOKUP($D1268,본공사입.출고현황!$B:$H,F$2080,0),0)</f>
        <v>Steel round bar(rebar)</v>
      </c>
      <c r="G1268" s="18" t="str">
        <f>IFERROR(VLOOKUP($D1268,본공사입.출고현황!$B:$H,G$2080,0),0)</f>
        <v>CCGG</v>
      </c>
      <c r="H1268" s="18" t="str">
        <f>IFERROR(VLOOKUP($D1268,본공사입.출고현황!$B:$H,H$2080,0),0)</f>
        <v>ф10, 1ton=1,620.7m</v>
      </c>
      <c r="I1268" s="56" t="str">
        <f>IFERROR(VLOOKUP($D1268,본공사입.출고현황!$B:$H,I$2080,0),0)</f>
        <v>M</v>
      </c>
      <c r="J1268" s="9">
        <v>1</v>
      </c>
      <c r="K1268" s="9" t="s">
        <v>545</v>
      </c>
      <c r="L1268" s="37">
        <v>20</v>
      </c>
      <c r="M1268" s="64" t="s">
        <v>408</v>
      </c>
      <c r="N1268" s="4"/>
    </row>
    <row r="1269" spans="1:14" ht="24" customHeight="1">
      <c r="A1269" s="8">
        <v>1225</v>
      </c>
      <c r="B1269" s="9">
        <v>1225</v>
      </c>
      <c r="C1269" s="46">
        <v>46071</v>
      </c>
      <c r="D1269" s="9" t="s">
        <v>238</v>
      </c>
      <c r="E1269" s="56" t="str">
        <f>IFERROR(VLOOKUP($D1269,본공사입.출고현황!$B:$H,E$2080,0),0)</f>
        <v>Steel round bar</v>
      </c>
      <c r="F1269" s="18" t="str">
        <f>IFERROR(VLOOKUP($D1269,본공사입.출고현황!$B:$H,F$2080,0),0)</f>
        <v>Steel round bar(rebar)</v>
      </c>
      <c r="G1269" s="18" t="str">
        <f>IFERROR(VLOOKUP($D1269,본공사입.출고현황!$B:$H,G$2080,0),0)</f>
        <v>CCGG</v>
      </c>
      <c r="H1269" s="18" t="str">
        <f>IFERROR(VLOOKUP($D1269,본공사입.출고현황!$B:$H,H$2080,0),0)</f>
        <v>ф10, 1ton=1,620.7m</v>
      </c>
      <c r="I1269" s="56" t="str">
        <f>IFERROR(VLOOKUP($D1269,본공사입.출고현황!$B:$H,I$2080,0),0)</f>
        <v>M</v>
      </c>
      <c r="J1269" s="9">
        <v>2</v>
      </c>
      <c r="K1269" s="9" t="s">
        <v>241</v>
      </c>
      <c r="L1269" s="37">
        <v>25</v>
      </c>
      <c r="M1269" s="64" t="s">
        <v>408</v>
      </c>
      <c r="N1269" s="4"/>
    </row>
    <row r="1270" spans="1:14" ht="24" customHeight="1">
      <c r="A1270" s="8">
        <v>1226</v>
      </c>
      <c r="B1270" s="9">
        <v>1226</v>
      </c>
      <c r="C1270" s="46">
        <v>46071</v>
      </c>
      <c r="D1270" s="9" t="s">
        <v>238</v>
      </c>
      <c r="E1270" s="56" t="str">
        <f>IFERROR(VLOOKUP($D1270,본공사입.출고현황!$B:$H,E$2080,0),0)</f>
        <v>Steel round bar</v>
      </c>
      <c r="F1270" s="18" t="str">
        <f>IFERROR(VLOOKUP($D1270,본공사입.출고현황!$B:$H,F$2080,0),0)</f>
        <v>Steel round bar(rebar)</v>
      </c>
      <c r="G1270" s="18" t="str">
        <f>IFERROR(VLOOKUP($D1270,본공사입.출고현황!$B:$H,G$2080,0),0)</f>
        <v>CCGG</v>
      </c>
      <c r="H1270" s="18" t="str">
        <f>IFERROR(VLOOKUP($D1270,본공사입.출고현황!$B:$H,H$2080,0),0)</f>
        <v>ф10, 1ton=1,620.7m</v>
      </c>
      <c r="I1270" s="56" t="str">
        <f>IFERROR(VLOOKUP($D1270,본공사입.출고현황!$B:$H,I$2080,0),0)</f>
        <v>M</v>
      </c>
      <c r="J1270" s="9">
        <v>3</v>
      </c>
      <c r="K1270" s="9" t="s">
        <v>550</v>
      </c>
      <c r="L1270" s="37">
        <v>25</v>
      </c>
      <c r="M1270" s="64" t="s">
        <v>408</v>
      </c>
      <c r="N1270" s="4"/>
    </row>
    <row r="1271" spans="1:14" ht="24" customHeight="1">
      <c r="A1271" s="8">
        <v>1227</v>
      </c>
      <c r="B1271" s="9">
        <v>1227</v>
      </c>
      <c r="C1271" s="46">
        <v>46071</v>
      </c>
      <c r="D1271" s="9" t="s">
        <v>238</v>
      </c>
      <c r="E1271" s="56" t="str">
        <f>IFERROR(VLOOKUP($D1271,본공사입.출고현황!$B:$H,E$2080,0),0)</f>
        <v>Steel round bar</v>
      </c>
      <c r="F1271" s="18" t="str">
        <f>IFERROR(VLOOKUP($D1271,본공사입.출고현황!$B:$H,F$2080,0),0)</f>
        <v>Steel round bar(rebar)</v>
      </c>
      <c r="G1271" s="18" t="str">
        <f>IFERROR(VLOOKUP($D1271,본공사입.출고현황!$B:$H,G$2080,0),0)</f>
        <v>CCGG</v>
      </c>
      <c r="H1271" s="18" t="str">
        <f>IFERROR(VLOOKUP($D1271,본공사입.출고현황!$B:$H,H$2080,0),0)</f>
        <v>ф10, 1ton=1,620.7m</v>
      </c>
      <c r="I1271" s="56" t="str">
        <f>IFERROR(VLOOKUP($D1271,본공사입.출고현황!$B:$H,I$2080,0),0)</f>
        <v>M</v>
      </c>
      <c r="J1271" s="9">
        <v>3</v>
      </c>
      <c r="K1271" s="9" t="s">
        <v>550</v>
      </c>
      <c r="L1271" s="37">
        <v>25</v>
      </c>
      <c r="M1271" s="64" t="s">
        <v>408</v>
      </c>
      <c r="N1271" s="4"/>
    </row>
    <row r="1272" spans="1:14" ht="24" customHeight="1">
      <c r="A1272" s="8">
        <v>1228</v>
      </c>
      <c r="B1272" s="9">
        <v>1228</v>
      </c>
      <c r="C1272" s="46">
        <v>46071</v>
      </c>
      <c r="D1272" s="9" t="s">
        <v>238</v>
      </c>
      <c r="E1272" s="56" t="str">
        <f>IFERROR(VLOOKUP($D1272,본공사입.출고현황!$B:$H,E$2080,0),0)</f>
        <v>Steel round bar</v>
      </c>
      <c r="F1272" s="18" t="str">
        <f>IFERROR(VLOOKUP($D1272,본공사입.출고현황!$B:$H,F$2080,0),0)</f>
        <v>Steel round bar(rebar)</v>
      </c>
      <c r="G1272" s="18" t="str">
        <f>IFERROR(VLOOKUP($D1272,본공사입.출고현황!$B:$H,G$2080,0),0)</f>
        <v>CCGG</v>
      </c>
      <c r="H1272" s="18" t="str">
        <f>IFERROR(VLOOKUP($D1272,본공사입.출고현황!$B:$H,H$2080,0),0)</f>
        <v>ф10, 1ton=1,620.7m</v>
      </c>
      <c r="I1272" s="56" t="str">
        <f>IFERROR(VLOOKUP($D1272,본공사입.출고현황!$B:$H,I$2080,0),0)</f>
        <v>M</v>
      </c>
      <c r="J1272" s="9">
        <v>1</v>
      </c>
      <c r="K1272" s="9" t="s">
        <v>363</v>
      </c>
      <c r="L1272" s="37">
        <v>25</v>
      </c>
      <c r="M1272" s="64" t="s">
        <v>408</v>
      </c>
      <c r="N1272" s="4"/>
    </row>
    <row r="1273" spans="1:14" ht="24" customHeight="1">
      <c r="A1273" s="8">
        <v>1229</v>
      </c>
      <c r="B1273" s="9">
        <v>1229</v>
      </c>
      <c r="C1273" s="46">
        <v>46071</v>
      </c>
      <c r="D1273" s="9" t="s">
        <v>238</v>
      </c>
      <c r="E1273" s="56" t="str">
        <f>IFERROR(VLOOKUP($D1273,본공사입.출고현황!$B:$H,E$2080,0),0)</f>
        <v>Steel round bar</v>
      </c>
      <c r="F1273" s="18" t="str">
        <f>IFERROR(VLOOKUP($D1273,본공사입.출고현황!$B:$H,F$2080,0),0)</f>
        <v>Steel round bar(rebar)</v>
      </c>
      <c r="G1273" s="18" t="str">
        <f>IFERROR(VLOOKUP($D1273,본공사입.출고현황!$B:$H,G$2080,0),0)</f>
        <v>CCGG</v>
      </c>
      <c r="H1273" s="18" t="str">
        <f>IFERROR(VLOOKUP($D1273,본공사입.출고현황!$B:$H,H$2080,0),0)</f>
        <v>ф10, 1ton=1,620.7m</v>
      </c>
      <c r="I1273" s="56" t="str">
        <f>IFERROR(VLOOKUP($D1273,본공사입.출고현황!$B:$H,I$2080,0),0)</f>
        <v>M</v>
      </c>
      <c r="J1273" s="9">
        <v>1</v>
      </c>
      <c r="K1273" s="9" t="s">
        <v>547</v>
      </c>
      <c r="L1273" s="37">
        <v>25</v>
      </c>
      <c r="M1273" s="64" t="s">
        <v>408</v>
      </c>
      <c r="N1273" s="4"/>
    </row>
    <row r="1274" spans="1:14" ht="24" customHeight="1">
      <c r="A1274" s="8">
        <v>1230</v>
      </c>
      <c r="B1274" s="9">
        <v>1230</v>
      </c>
      <c r="C1274" s="46">
        <v>46071</v>
      </c>
      <c r="D1274" s="9" t="s">
        <v>238</v>
      </c>
      <c r="E1274" s="56" t="str">
        <f>IFERROR(VLOOKUP($D1274,본공사입.출고현황!$B:$H,E$2080,0),0)</f>
        <v>Steel round bar</v>
      </c>
      <c r="F1274" s="18" t="str">
        <f>IFERROR(VLOOKUP($D1274,본공사입.출고현황!$B:$H,F$2080,0),0)</f>
        <v>Steel round bar(rebar)</v>
      </c>
      <c r="G1274" s="18" t="str">
        <f>IFERROR(VLOOKUP($D1274,본공사입.출고현황!$B:$H,G$2080,0),0)</f>
        <v>CCGG</v>
      </c>
      <c r="H1274" s="18" t="str">
        <f>IFERROR(VLOOKUP($D1274,본공사입.출고현황!$B:$H,H$2080,0),0)</f>
        <v>ф10, 1ton=1,620.7m</v>
      </c>
      <c r="I1274" s="56" t="str">
        <f>IFERROR(VLOOKUP($D1274,본공사입.출고현황!$B:$H,I$2080,0),0)</f>
        <v>M</v>
      </c>
      <c r="J1274" s="9">
        <v>1</v>
      </c>
      <c r="K1274" s="9" t="s">
        <v>363</v>
      </c>
      <c r="L1274" s="37">
        <v>25</v>
      </c>
      <c r="M1274" s="64" t="s">
        <v>408</v>
      </c>
      <c r="N1274" s="4"/>
    </row>
    <row r="1275" spans="1:14" ht="24" customHeight="1">
      <c r="A1275" s="8">
        <v>1231</v>
      </c>
      <c r="B1275" s="9">
        <v>1231</v>
      </c>
      <c r="C1275" s="46">
        <v>46071</v>
      </c>
      <c r="D1275" s="9" t="s">
        <v>238</v>
      </c>
      <c r="E1275" s="56" t="str">
        <f>IFERROR(VLOOKUP($D1275,본공사입.출고현황!$B:$H,E$2080,0),0)</f>
        <v>Steel round bar</v>
      </c>
      <c r="F1275" s="18" t="str">
        <f>IFERROR(VLOOKUP($D1275,본공사입.출고현황!$B:$H,F$2080,0),0)</f>
        <v>Steel round bar(rebar)</v>
      </c>
      <c r="G1275" s="18" t="str">
        <f>IFERROR(VLOOKUP($D1275,본공사입.출고현황!$B:$H,G$2080,0),0)</f>
        <v>CCGG</v>
      </c>
      <c r="H1275" s="18" t="str">
        <f>IFERROR(VLOOKUP($D1275,본공사입.출고현황!$B:$H,H$2080,0),0)</f>
        <v>ф10, 1ton=1,620.7m</v>
      </c>
      <c r="I1275" s="56" t="str">
        <f>IFERROR(VLOOKUP($D1275,본공사입.출고현황!$B:$H,I$2080,0),0)</f>
        <v>M</v>
      </c>
      <c r="J1275" s="9">
        <v>3</v>
      </c>
      <c r="K1275" s="9" t="s">
        <v>550</v>
      </c>
      <c r="L1275" s="37">
        <v>25</v>
      </c>
      <c r="M1275" s="64" t="s">
        <v>408</v>
      </c>
      <c r="N1275" s="4"/>
    </row>
    <row r="1276" spans="1:14" ht="24" customHeight="1">
      <c r="A1276" s="8">
        <v>1232</v>
      </c>
      <c r="B1276" s="9">
        <v>1232</v>
      </c>
      <c r="C1276" s="46">
        <v>46071</v>
      </c>
      <c r="D1276" s="9" t="s">
        <v>238</v>
      </c>
      <c r="E1276" s="56" t="str">
        <f>IFERROR(VLOOKUP($D1276,본공사입.출고현황!$B:$H,E$2080,0),0)</f>
        <v>Steel round bar</v>
      </c>
      <c r="F1276" s="18" t="str">
        <f>IFERROR(VLOOKUP($D1276,본공사입.출고현황!$B:$H,F$2080,0),0)</f>
        <v>Steel round bar(rebar)</v>
      </c>
      <c r="G1276" s="18" t="str">
        <f>IFERROR(VLOOKUP($D1276,본공사입.출고현황!$B:$H,G$2080,0),0)</f>
        <v>CCGG</v>
      </c>
      <c r="H1276" s="18" t="str">
        <f>IFERROR(VLOOKUP($D1276,본공사입.출고현황!$B:$H,H$2080,0),0)</f>
        <v>ф10, 1ton=1,620.7m</v>
      </c>
      <c r="I1276" s="56" t="str">
        <f>IFERROR(VLOOKUP($D1276,본공사입.출고현황!$B:$H,I$2080,0),0)</f>
        <v>M</v>
      </c>
      <c r="J1276" s="9">
        <v>2</v>
      </c>
      <c r="K1276" s="9" t="s">
        <v>360</v>
      </c>
      <c r="L1276" s="37">
        <v>20</v>
      </c>
      <c r="M1276" s="64" t="s">
        <v>408</v>
      </c>
      <c r="N1276" s="4"/>
    </row>
    <row r="1277" spans="1:14" ht="24" customHeight="1">
      <c r="A1277" s="8">
        <v>1233</v>
      </c>
      <c r="B1277" s="9">
        <v>1233</v>
      </c>
      <c r="C1277" s="46">
        <v>46071</v>
      </c>
      <c r="D1277" s="9" t="s">
        <v>238</v>
      </c>
      <c r="E1277" s="56" t="str">
        <f>IFERROR(VLOOKUP($D1277,본공사입.출고현황!$B:$H,E$2080,0),0)</f>
        <v>Steel round bar</v>
      </c>
      <c r="F1277" s="18" t="str">
        <f>IFERROR(VLOOKUP($D1277,본공사입.출고현황!$B:$H,F$2080,0),0)</f>
        <v>Steel round bar(rebar)</v>
      </c>
      <c r="G1277" s="18" t="str">
        <f>IFERROR(VLOOKUP($D1277,본공사입.출고현황!$B:$H,G$2080,0),0)</f>
        <v>CCGG</v>
      </c>
      <c r="H1277" s="18" t="str">
        <f>IFERROR(VLOOKUP($D1277,본공사입.출고현황!$B:$H,H$2080,0),0)</f>
        <v>ф10, 1ton=1,620.7m</v>
      </c>
      <c r="I1277" s="56" t="str">
        <f>IFERROR(VLOOKUP($D1277,본공사입.출고현황!$B:$H,I$2080,0),0)</f>
        <v>M</v>
      </c>
      <c r="J1277" s="9">
        <v>1</v>
      </c>
      <c r="K1277" s="9" t="s">
        <v>352</v>
      </c>
      <c r="L1277" s="37">
        <v>25</v>
      </c>
      <c r="M1277" s="64" t="s">
        <v>408</v>
      </c>
      <c r="N1277" s="4"/>
    </row>
    <row r="1278" spans="1:14" ht="24" customHeight="1">
      <c r="A1278" s="8">
        <v>1234</v>
      </c>
      <c r="B1278" s="9">
        <v>1234</v>
      </c>
      <c r="C1278" s="46">
        <v>46071</v>
      </c>
      <c r="D1278" s="9" t="s">
        <v>238</v>
      </c>
      <c r="E1278" s="56" t="str">
        <f>IFERROR(VLOOKUP($D1278,본공사입.출고현황!$B:$H,E$2080,0),0)</f>
        <v>Steel round bar</v>
      </c>
      <c r="F1278" s="18" t="str">
        <f>IFERROR(VLOOKUP($D1278,본공사입.출고현황!$B:$H,F$2080,0),0)</f>
        <v>Steel round bar(rebar)</v>
      </c>
      <c r="G1278" s="18" t="str">
        <f>IFERROR(VLOOKUP($D1278,본공사입.출고현황!$B:$H,G$2080,0),0)</f>
        <v>CCGG</v>
      </c>
      <c r="H1278" s="18" t="str">
        <f>IFERROR(VLOOKUP($D1278,본공사입.출고현황!$B:$H,H$2080,0),0)</f>
        <v>ф10, 1ton=1,620.7m</v>
      </c>
      <c r="I1278" s="56" t="str">
        <f>IFERROR(VLOOKUP($D1278,본공사입.출고현황!$B:$H,I$2080,0),0)</f>
        <v>M</v>
      </c>
      <c r="J1278" s="9">
        <v>2</v>
      </c>
      <c r="K1278" s="9" t="s">
        <v>546</v>
      </c>
      <c r="L1278" s="37">
        <v>20</v>
      </c>
      <c r="M1278" s="64" t="s">
        <v>408</v>
      </c>
      <c r="N1278" s="4"/>
    </row>
    <row r="1279" spans="1:14" ht="24" customHeight="1">
      <c r="A1279" s="8">
        <v>1235</v>
      </c>
      <c r="B1279" s="9">
        <v>1235</v>
      </c>
      <c r="C1279" s="46">
        <v>46072</v>
      </c>
      <c r="D1279" s="9" t="s">
        <v>98</v>
      </c>
      <c r="E1279" s="56" t="str">
        <f>IFERROR(VLOOKUP($D1279,본공사입.출고현황!$B:$H,E$2080,0),0)</f>
        <v>Ground</v>
      </c>
      <c r="F1279" s="18" t="str">
        <f>IFERROR(VLOOKUP($D1279,본공사입.출고현황!$B:$H,F$2080,0),0)</f>
        <v>Cadweld XBQ-Y4Y4</v>
      </c>
      <c r="G1279" s="18" t="str">
        <f>IFERROR(VLOOKUP($D1279,본공사입.출고현황!$B:$H,G$2080,0),0)</f>
        <v>Welding Mold</v>
      </c>
      <c r="H1279" s="18" t="str">
        <f>IFERROR(VLOOKUP($D1279,본공사입.출고현황!$B:$H,H$2080,0),0)</f>
        <v>Cross (+)</v>
      </c>
      <c r="I1279" s="56" t="str">
        <f>IFERROR(VLOOKUP($D1279,본공사입.출고현황!$B:$H,I$2080,0),0)</f>
        <v>EA</v>
      </c>
      <c r="J1279" s="9" t="s">
        <v>557</v>
      </c>
      <c r="K1279" s="9"/>
      <c r="L1279" s="37">
        <v>1</v>
      </c>
      <c r="M1279" s="64" t="s">
        <v>633</v>
      </c>
      <c r="N1279" s="4"/>
    </row>
    <row r="1280" spans="1:14" ht="24" customHeight="1">
      <c r="A1280" s="8">
        <v>1236</v>
      </c>
      <c r="B1280" s="9">
        <v>1236</v>
      </c>
      <c r="C1280" s="46">
        <v>46072</v>
      </c>
      <c r="D1280" s="9" t="s">
        <v>238</v>
      </c>
      <c r="E1280" s="56" t="str">
        <f>IFERROR(VLOOKUP($D1280,본공사입.출고현황!$B:$H,E$2080,0),0)</f>
        <v>Steel round bar</v>
      </c>
      <c r="F1280" s="18" t="str">
        <f>IFERROR(VLOOKUP($D1280,본공사입.출고현황!$B:$H,F$2080,0),0)</f>
        <v>Steel round bar(rebar)</v>
      </c>
      <c r="G1280" s="18" t="str">
        <f>IFERROR(VLOOKUP($D1280,본공사입.출고현황!$B:$H,G$2080,0),0)</f>
        <v>CCGG</v>
      </c>
      <c r="H1280" s="18" t="str">
        <f>IFERROR(VLOOKUP($D1280,본공사입.출고현황!$B:$H,H$2080,0),0)</f>
        <v>ф10, 1ton=1,620.7m</v>
      </c>
      <c r="I1280" s="56" t="str">
        <f>IFERROR(VLOOKUP($D1280,본공사입.출고현황!$B:$H,I$2080,0),0)</f>
        <v>M</v>
      </c>
      <c r="J1280" s="9">
        <v>1</v>
      </c>
      <c r="K1280" s="9" t="s">
        <v>363</v>
      </c>
      <c r="L1280" s="37">
        <v>25</v>
      </c>
      <c r="M1280" s="64" t="s">
        <v>408</v>
      </c>
      <c r="N1280" s="4"/>
    </row>
    <row r="1281" spans="1:14" ht="24" customHeight="1">
      <c r="A1281" s="8">
        <v>1237</v>
      </c>
      <c r="B1281" s="9">
        <v>1237</v>
      </c>
      <c r="C1281" s="46">
        <v>46072</v>
      </c>
      <c r="D1281" s="9" t="s">
        <v>238</v>
      </c>
      <c r="E1281" s="56" t="str">
        <f>IFERROR(VLOOKUP($D1281,본공사입.출고현황!$B:$H,E$2080,0),0)</f>
        <v>Steel round bar</v>
      </c>
      <c r="F1281" s="18" t="str">
        <f>IFERROR(VLOOKUP($D1281,본공사입.출고현황!$B:$H,F$2080,0),0)</f>
        <v>Steel round bar(rebar)</v>
      </c>
      <c r="G1281" s="18" t="str">
        <f>IFERROR(VLOOKUP($D1281,본공사입.출고현황!$B:$H,G$2080,0),0)</f>
        <v>CCGG</v>
      </c>
      <c r="H1281" s="18" t="str">
        <f>IFERROR(VLOOKUP($D1281,본공사입.출고현황!$B:$H,H$2080,0),0)</f>
        <v>ф10, 1ton=1,620.7m</v>
      </c>
      <c r="I1281" s="56" t="str">
        <f>IFERROR(VLOOKUP($D1281,본공사입.출고현황!$B:$H,I$2080,0),0)</f>
        <v>M</v>
      </c>
      <c r="J1281" s="9">
        <v>1</v>
      </c>
      <c r="K1281" s="9" t="s">
        <v>363</v>
      </c>
      <c r="L1281" s="37">
        <v>75</v>
      </c>
      <c r="M1281" s="64" t="s">
        <v>408</v>
      </c>
      <c r="N1281" s="4"/>
    </row>
    <row r="1282" spans="1:14" ht="24" customHeight="1">
      <c r="A1282" s="8">
        <v>1238</v>
      </c>
      <c r="B1282" s="9">
        <v>1238</v>
      </c>
      <c r="C1282" s="46">
        <v>46072</v>
      </c>
      <c r="D1282" s="9" t="s">
        <v>238</v>
      </c>
      <c r="E1282" s="56" t="str">
        <f>IFERROR(VLOOKUP($D1282,본공사입.출고현황!$B:$H,E$2080,0),0)</f>
        <v>Steel round bar</v>
      </c>
      <c r="F1282" s="18" t="str">
        <f>IFERROR(VLOOKUP($D1282,본공사입.출고현황!$B:$H,F$2080,0),0)</f>
        <v>Steel round bar(rebar)</v>
      </c>
      <c r="G1282" s="18" t="str">
        <f>IFERROR(VLOOKUP($D1282,본공사입.출고현황!$B:$H,G$2080,0),0)</f>
        <v>CCGG</v>
      </c>
      <c r="H1282" s="18" t="str">
        <f>IFERROR(VLOOKUP($D1282,본공사입.출고현황!$B:$H,H$2080,0),0)</f>
        <v>ф10, 1ton=1,620.7m</v>
      </c>
      <c r="I1282" s="56" t="str">
        <f>IFERROR(VLOOKUP($D1282,본공사입.출고현황!$B:$H,I$2080,0),0)</f>
        <v>M</v>
      </c>
      <c r="J1282" s="9">
        <v>2</v>
      </c>
      <c r="K1282" s="9" t="s">
        <v>360</v>
      </c>
      <c r="L1282" s="37">
        <v>30</v>
      </c>
      <c r="M1282" s="64" t="s">
        <v>408</v>
      </c>
      <c r="N1282" s="4"/>
    </row>
    <row r="1283" spans="1:14" ht="24" customHeight="1">
      <c r="A1283" s="8">
        <v>1239</v>
      </c>
      <c r="B1283" s="9">
        <v>1239</v>
      </c>
      <c r="C1283" s="46">
        <v>46072</v>
      </c>
      <c r="D1283" s="9" t="s">
        <v>238</v>
      </c>
      <c r="E1283" s="56" t="str">
        <f>IFERROR(VLOOKUP($D1283,본공사입.출고현황!$B:$H,E$2080,0),0)</f>
        <v>Steel round bar</v>
      </c>
      <c r="F1283" s="18" t="str">
        <f>IFERROR(VLOOKUP($D1283,본공사입.출고현황!$B:$H,F$2080,0),0)</f>
        <v>Steel round bar(rebar)</v>
      </c>
      <c r="G1283" s="18" t="str">
        <f>IFERROR(VLOOKUP($D1283,본공사입.출고현황!$B:$H,G$2080,0),0)</f>
        <v>CCGG</v>
      </c>
      <c r="H1283" s="18" t="str">
        <f>IFERROR(VLOOKUP($D1283,본공사입.출고현황!$B:$H,H$2080,0),0)</f>
        <v>ф10, 1ton=1,620.7m</v>
      </c>
      <c r="I1283" s="56" t="str">
        <f>IFERROR(VLOOKUP($D1283,본공사입.출고현황!$B:$H,I$2080,0),0)</f>
        <v>M</v>
      </c>
      <c r="J1283" s="9">
        <v>4</v>
      </c>
      <c r="K1283" s="9" t="s">
        <v>359</v>
      </c>
      <c r="L1283" s="37">
        <v>50</v>
      </c>
      <c r="M1283" s="64" t="s">
        <v>408</v>
      </c>
      <c r="N1283" s="4"/>
    </row>
    <row r="1284" spans="1:14" ht="24" customHeight="1">
      <c r="A1284" s="8">
        <v>1240</v>
      </c>
      <c r="B1284" s="9">
        <v>1240</v>
      </c>
      <c r="C1284" s="46">
        <v>46072</v>
      </c>
      <c r="D1284" s="9" t="s">
        <v>238</v>
      </c>
      <c r="E1284" s="56" t="str">
        <f>IFERROR(VLOOKUP($D1284,본공사입.출고현황!$B:$H,E$2080,0),0)</f>
        <v>Steel round bar</v>
      </c>
      <c r="F1284" s="18" t="str">
        <f>IFERROR(VLOOKUP($D1284,본공사입.출고현황!$B:$H,F$2080,0),0)</f>
        <v>Steel round bar(rebar)</v>
      </c>
      <c r="G1284" s="18" t="str">
        <f>IFERROR(VLOOKUP($D1284,본공사입.출고현황!$B:$H,G$2080,0),0)</f>
        <v>CCGG</v>
      </c>
      <c r="H1284" s="18" t="str">
        <f>IFERROR(VLOOKUP($D1284,본공사입.출고현황!$B:$H,H$2080,0),0)</f>
        <v>ф10, 1ton=1,620.7m</v>
      </c>
      <c r="I1284" s="56" t="str">
        <f>IFERROR(VLOOKUP($D1284,본공사입.출고현황!$B:$H,I$2080,0),0)</f>
        <v>M</v>
      </c>
      <c r="J1284" s="9">
        <v>1</v>
      </c>
      <c r="K1284" s="9" t="s">
        <v>352</v>
      </c>
      <c r="L1284" s="37">
        <v>20</v>
      </c>
      <c r="M1284" s="64" t="s">
        <v>408</v>
      </c>
      <c r="N1284" s="4"/>
    </row>
    <row r="1285" spans="1:14" ht="24" customHeight="1">
      <c r="A1285" s="8">
        <v>1241</v>
      </c>
      <c r="B1285" s="9">
        <v>1241</v>
      </c>
      <c r="C1285" s="46">
        <v>46072</v>
      </c>
      <c r="D1285" s="9" t="s">
        <v>238</v>
      </c>
      <c r="E1285" s="56" t="str">
        <f>IFERROR(VLOOKUP($D1285,본공사입.출고현황!$B:$H,E$2080,0),0)</f>
        <v>Steel round bar</v>
      </c>
      <c r="F1285" s="18" t="str">
        <f>IFERROR(VLOOKUP($D1285,본공사입.출고현황!$B:$H,F$2080,0),0)</f>
        <v>Steel round bar(rebar)</v>
      </c>
      <c r="G1285" s="18" t="str">
        <f>IFERROR(VLOOKUP($D1285,본공사입.출고현황!$B:$H,G$2080,0),0)</f>
        <v>CCGG</v>
      </c>
      <c r="H1285" s="18" t="str">
        <f>IFERROR(VLOOKUP($D1285,본공사입.출고현황!$B:$H,H$2080,0),0)</f>
        <v>ф10, 1ton=1,620.7m</v>
      </c>
      <c r="I1285" s="56" t="str">
        <f>IFERROR(VLOOKUP($D1285,본공사입.출고현황!$B:$H,I$2080,0),0)</f>
        <v>M</v>
      </c>
      <c r="J1285" s="9">
        <v>1</v>
      </c>
      <c r="K1285" s="9" t="s">
        <v>352</v>
      </c>
      <c r="L1285" s="37">
        <v>20</v>
      </c>
      <c r="M1285" s="64" t="s">
        <v>408</v>
      </c>
      <c r="N1285" s="4"/>
    </row>
    <row r="1286" spans="1:14" ht="24" customHeight="1">
      <c r="A1286" s="8">
        <v>1242</v>
      </c>
      <c r="B1286" s="9">
        <v>1242</v>
      </c>
      <c r="C1286" s="46">
        <v>46072</v>
      </c>
      <c r="D1286" s="9" t="s">
        <v>238</v>
      </c>
      <c r="E1286" s="56" t="str">
        <f>IFERROR(VLOOKUP($D1286,본공사입.출고현황!$B:$H,E$2080,0),0)</f>
        <v>Steel round bar</v>
      </c>
      <c r="F1286" s="18" t="str">
        <f>IFERROR(VLOOKUP($D1286,본공사입.출고현황!$B:$H,F$2080,0),0)</f>
        <v>Steel round bar(rebar)</v>
      </c>
      <c r="G1286" s="18" t="str">
        <f>IFERROR(VLOOKUP($D1286,본공사입.출고현황!$B:$H,G$2080,0),0)</f>
        <v>CCGG</v>
      </c>
      <c r="H1286" s="18" t="str">
        <f>IFERROR(VLOOKUP($D1286,본공사입.출고현황!$B:$H,H$2080,0),0)</f>
        <v>ф10, 1ton=1,620.7m</v>
      </c>
      <c r="I1286" s="56" t="str">
        <f>IFERROR(VLOOKUP($D1286,본공사입.출고현황!$B:$H,I$2080,0),0)</f>
        <v>M</v>
      </c>
      <c r="J1286" s="9">
        <v>2</v>
      </c>
      <c r="K1286" s="9" t="s">
        <v>360</v>
      </c>
      <c r="L1286" s="37">
        <v>50</v>
      </c>
      <c r="M1286" s="64" t="s">
        <v>408</v>
      </c>
      <c r="N1286" s="4"/>
    </row>
    <row r="1287" spans="1:14" ht="24" customHeight="1">
      <c r="A1287" s="8">
        <v>1243</v>
      </c>
      <c r="B1287" s="9">
        <v>1243</v>
      </c>
      <c r="C1287" s="46">
        <v>46072</v>
      </c>
      <c r="D1287" s="9" t="s">
        <v>238</v>
      </c>
      <c r="E1287" s="56" t="str">
        <f>IFERROR(VLOOKUP($D1287,본공사입.출고현황!$B:$H,E$2080,0),0)</f>
        <v>Steel round bar</v>
      </c>
      <c r="F1287" s="18" t="str">
        <f>IFERROR(VLOOKUP($D1287,본공사입.출고현황!$B:$H,F$2080,0),0)</f>
        <v>Steel round bar(rebar)</v>
      </c>
      <c r="G1287" s="18" t="str">
        <f>IFERROR(VLOOKUP($D1287,본공사입.출고현황!$B:$H,G$2080,0),0)</f>
        <v>CCGG</v>
      </c>
      <c r="H1287" s="18" t="str">
        <f>IFERROR(VLOOKUP($D1287,본공사입.출고현황!$B:$H,H$2080,0),0)</f>
        <v>ф10, 1ton=1,620.7m</v>
      </c>
      <c r="I1287" s="56" t="str">
        <f>IFERROR(VLOOKUP($D1287,본공사입.출고현황!$B:$H,I$2080,0),0)</f>
        <v>M</v>
      </c>
      <c r="J1287" s="9">
        <v>1</v>
      </c>
      <c r="K1287" s="9" t="s">
        <v>352</v>
      </c>
      <c r="L1287" s="37">
        <v>50</v>
      </c>
      <c r="M1287" s="64" t="s">
        <v>408</v>
      </c>
      <c r="N1287" s="4"/>
    </row>
    <row r="1288" spans="1:14" ht="24" customHeight="1">
      <c r="A1288" s="8">
        <v>1244</v>
      </c>
      <c r="B1288" s="9">
        <v>1244</v>
      </c>
      <c r="C1288" s="46">
        <v>46072</v>
      </c>
      <c r="D1288" s="9" t="s">
        <v>238</v>
      </c>
      <c r="E1288" s="56" t="str">
        <f>IFERROR(VLOOKUP($D1288,본공사입.출고현황!$B:$H,E$2080,0),0)</f>
        <v>Steel round bar</v>
      </c>
      <c r="F1288" s="18" t="str">
        <f>IFERROR(VLOOKUP($D1288,본공사입.출고현황!$B:$H,F$2080,0),0)</f>
        <v>Steel round bar(rebar)</v>
      </c>
      <c r="G1288" s="18" t="str">
        <f>IFERROR(VLOOKUP($D1288,본공사입.출고현황!$B:$H,G$2080,0),0)</f>
        <v>CCGG</v>
      </c>
      <c r="H1288" s="18" t="str">
        <f>IFERROR(VLOOKUP($D1288,본공사입.출고현황!$B:$H,H$2080,0),0)</f>
        <v>ф10, 1ton=1,620.7m</v>
      </c>
      <c r="I1288" s="56" t="str">
        <f>IFERROR(VLOOKUP($D1288,본공사입.출고현황!$B:$H,I$2080,0),0)</f>
        <v>M</v>
      </c>
      <c r="J1288" s="9">
        <v>1</v>
      </c>
      <c r="K1288" s="9" t="s">
        <v>363</v>
      </c>
      <c r="L1288" s="37">
        <v>20</v>
      </c>
      <c r="M1288" s="64" t="s">
        <v>408</v>
      </c>
      <c r="N1288" s="4"/>
    </row>
    <row r="1289" spans="1:14" ht="24" customHeight="1">
      <c r="A1289" s="8">
        <v>1245</v>
      </c>
      <c r="B1289" s="9">
        <v>1245</v>
      </c>
      <c r="C1289" s="46">
        <v>46072</v>
      </c>
      <c r="D1289" s="9" t="s">
        <v>238</v>
      </c>
      <c r="E1289" s="56" t="str">
        <f>IFERROR(VLOOKUP($D1289,본공사입.출고현황!$B:$H,E$2080,0),0)</f>
        <v>Steel round bar</v>
      </c>
      <c r="F1289" s="18" t="str">
        <f>IFERROR(VLOOKUP($D1289,본공사입.출고현황!$B:$H,F$2080,0),0)</f>
        <v>Steel round bar(rebar)</v>
      </c>
      <c r="G1289" s="18" t="str">
        <f>IFERROR(VLOOKUP($D1289,본공사입.출고현황!$B:$H,G$2080,0),0)</f>
        <v>CCGG</v>
      </c>
      <c r="H1289" s="18" t="str">
        <f>IFERROR(VLOOKUP($D1289,본공사입.출고현황!$B:$H,H$2080,0),0)</f>
        <v>ф10, 1ton=1,620.7m</v>
      </c>
      <c r="I1289" s="56" t="str">
        <f>IFERROR(VLOOKUP($D1289,본공사입.출고현황!$B:$H,I$2080,0),0)</f>
        <v>M</v>
      </c>
      <c r="J1289" s="9">
        <v>1</v>
      </c>
      <c r="K1289" s="9" t="s">
        <v>547</v>
      </c>
      <c r="L1289" s="37">
        <v>30</v>
      </c>
      <c r="M1289" s="64" t="s">
        <v>408</v>
      </c>
      <c r="N1289" s="4"/>
    </row>
    <row r="1290" spans="1:14" ht="24" customHeight="1">
      <c r="A1290" s="8">
        <v>1246</v>
      </c>
      <c r="B1290" s="9">
        <v>1246</v>
      </c>
      <c r="C1290" s="46">
        <v>46072</v>
      </c>
      <c r="D1290" s="9" t="s">
        <v>238</v>
      </c>
      <c r="E1290" s="56" t="str">
        <f>IFERROR(VLOOKUP($D1290,본공사입.출고현황!$B:$H,E$2080,0),0)</f>
        <v>Steel round bar</v>
      </c>
      <c r="F1290" s="18" t="str">
        <f>IFERROR(VLOOKUP($D1290,본공사입.출고현황!$B:$H,F$2080,0),0)</f>
        <v>Steel round bar(rebar)</v>
      </c>
      <c r="G1290" s="18" t="str">
        <f>IFERROR(VLOOKUP($D1290,본공사입.출고현황!$B:$H,G$2080,0),0)</f>
        <v>CCGG</v>
      </c>
      <c r="H1290" s="18" t="str">
        <f>IFERROR(VLOOKUP($D1290,본공사입.출고현황!$B:$H,H$2080,0),0)</f>
        <v>ф10, 1ton=1,620.7m</v>
      </c>
      <c r="I1290" s="56" t="str">
        <f>IFERROR(VLOOKUP($D1290,본공사입.출고현황!$B:$H,I$2080,0),0)</f>
        <v>M</v>
      </c>
      <c r="J1290" s="9">
        <v>1</v>
      </c>
      <c r="K1290" s="9" t="s">
        <v>547</v>
      </c>
      <c r="L1290" s="37">
        <v>25</v>
      </c>
      <c r="M1290" s="64" t="s">
        <v>408</v>
      </c>
      <c r="N1290" s="4"/>
    </row>
    <row r="1291" spans="1:14" ht="24" customHeight="1">
      <c r="A1291" s="8">
        <v>1247</v>
      </c>
      <c r="B1291" s="9">
        <v>1247</v>
      </c>
      <c r="C1291" s="46">
        <v>46072</v>
      </c>
      <c r="D1291" s="9" t="s">
        <v>238</v>
      </c>
      <c r="E1291" s="56" t="str">
        <f>IFERROR(VLOOKUP($D1291,본공사입.출고현황!$B:$H,E$2080,0),0)</f>
        <v>Steel round bar</v>
      </c>
      <c r="F1291" s="18" t="str">
        <f>IFERROR(VLOOKUP($D1291,본공사입.출고현황!$B:$H,F$2080,0),0)</f>
        <v>Steel round bar(rebar)</v>
      </c>
      <c r="G1291" s="18" t="str">
        <f>IFERROR(VLOOKUP($D1291,본공사입.출고현황!$B:$H,G$2080,0),0)</f>
        <v>CCGG</v>
      </c>
      <c r="H1291" s="18" t="str">
        <f>IFERROR(VLOOKUP($D1291,본공사입.출고현황!$B:$H,H$2080,0),0)</f>
        <v>ф10, 1ton=1,620.7m</v>
      </c>
      <c r="I1291" s="56" t="str">
        <f>IFERROR(VLOOKUP($D1291,본공사입.출고현황!$B:$H,I$2080,0),0)</f>
        <v>M</v>
      </c>
      <c r="J1291" s="9">
        <v>1</v>
      </c>
      <c r="K1291" s="9" t="s">
        <v>363</v>
      </c>
      <c r="L1291" s="37">
        <v>25</v>
      </c>
      <c r="M1291" s="64" t="s">
        <v>408</v>
      </c>
      <c r="N1291" s="4"/>
    </row>
    <row r="1292" spans="1:14" ht="24" customHeight="1">
      <c r="A1292" s="8">
        <v>1248</v>
      </c>
      <c r="B1292" s="9">
        <v>1248</v>
      </c>
      <c r="C1292" s="46">
        <v>46072</v>
      </c>
      <c r="D1292" s="9" t="s">
        <v>238</v>
      </c>
      <c r="E1292" s="56" t="str">
        <f>IFERROR(VLOOKUP($D1292,본공사입.출고현황!$B:$H,E$2080,0),0)</f>
        <v>Steel round bar</v>
      </c>
      <c r="F1292" s="18" t="str">
        <f>IFERROR(VLOOKUP($D1292,본공사입.출고현황!$B:$H,F$2080,0),0)</f>
        <v>Steel round bar(rebar)</v>
      </c>
      <c r="G1292" s="18" t="str">
        <f>IFERROR(VLOOKUP($D1292,본공사입.출고현황!$B:$H,G$2080,0),0)</f>
        <v>CCGG</v>
      </c>
      <c r="H1292" s="18" t="str">
        <f>IFERROR(VLOOKUP($D1292,본공사입.출고현황!$B:$H,H$2080,0),0)</f>
        <v>ф10, 1ton=1,620.7m</v>
      </c>
      <c r="I1292" s="56" t="str">
        <f>IFERROR(VLOOKUP($D1292,본공사입.출고현황!$B:$H,I$2080,0),0)</f>
        <v>M</v>
      </c>
      <c r="J1292" s="9">
        <v>3</v>
      </c>
      <c r="K1292" s="9" t="s">
        <v>550</v>
      </c>
      <c r="L1292" s="37">
        <v>25</v>
      </c>
      <c r="M1292" s="64" t="s">
        <v>408</v>
      </c>
      <c r="N1292" s="4"/>
    </row>
    <row r="1293" spans="1:14" ht="24" customHeight="1">
      <c r="A1293" s="8">
        <v>1249</v>
      </c>
      <c r="B1293" s="9">
        <v>1249</v>
      </c>
      <c r="C1293" s="46">
        <v>46072</v>
      </c>
      <c r="D1293" s="9" t="s">
        <v>238</v>
      </c>
      <c r="E1293" s="56" t="str">
        <f>IFERROR(VLOOKUP($D1293,본공사입.출고현황!$B:$H,E$2080,0),0)</f>
        <v>Steel round bar</v>
      </c>
      <c r="F1293" s="18" t="str">
        <f>IFERROR(VLOOKUP($D1293,본공사입.출고현황!$B:$H,F$2080,0),0)</f>
        <v>Steel round bar(rebar)</v>
      </c>
      <c r="G1293" s="18" t="str">
        <f>IFERROR(VLOOKUP($D1293,본공사입.출고현황!$B:$H,G$2080,0),0)</f>
        <v>CCGG</v>
      </c>
      <c r="H1293" s="18" t="str">
        <f>IFERROR(VLOOKUP($D1293,본공사입.출고현황!$B:$H,H$2080,0),0)</f>
        <v>ф10, 1ton=1,620.7m</v>
      </c>
      <c r="I1293" s="56" t="str">
        <f>IFERROR(VLOOKUP($D1293,본공사입.출고현황!$B:$H,I$2080,0),0)</f>
        <v>M</v>
      </c>
      <c r="J1293" s="9">
        <v>2</v>
      </c>
      <c r="K1293" s="9" t="s">
        <v>360</v>
      </c>
      <c r="L1293" s="37">
        <v>25</v>
      </c>
      <c r="M1293" s="64" t="s">
        <v>408</v>
      </c>
      <c r="N1293" s="4"/>
    </row>
    <row r="1294" spans="1:14" ht="24" customHeight="1">
      <c r="A1294" s="8">
        <v>1250</v>
      </c>
      <c r="B1294" s="9">
        <v>1250</v>
      </c>
      <c r="C1294" s="46">
        <v>46072</v>
      </c>
      <c r="D1294" s="9" t="s">
        <v>238</v>
      </c>
      <c r="E1294" s="56" t="str">
        <f>IFERROR(VLOOKUP($D1294,본공사입.출고현황!$B:$H,E$2080,0),0)</f>
        <v>Steel round bar</v>
      </c>
      <c r="F1294" s="18" t="str">
        <f>IFERROR(VLOOKUP($D1294,본공사입.출고현황!$B:$H,F$2080,0),0)</f>
        <v>Steel round bar(rebar)</v>
      </c>
      <c r="G1294" s="18" t="str">
        <f>IFERROR(VLOOKUP($D1294,본공사입.출고현황!$B:$H,G$2080,0),0)</f>
        <v>CCGG</v>
      </c>
      <c r="H1294" s="18" t="str">
        <f>IFERROR(VLOOKUP($D1294,본공사입.출고현황!$B:$H,H$2080,0),0)</f>
        <v>ф10, 1ton=1,620.7m</v>
      </c>
      <c r="I1294" s="56" t="str">
        <f>IFERROR(VLOOKUP($D1294,본공사입.출고현황!$B:$H,I$2080,0),0)</f>
        <v>M</v>
      </c>
      <c r="J1294" s="9">
        <v>1</v>
      </c>
      <c r="K1294" s="9" t="s">
        <v>352</v>
      </c>
      <c r="L1294" s="37">
        <v>50</v>
      </c>
      <c r="M1294" s="64" t="s">
        <v>408</v>
      </c>
      <c r="N1294" s="4"/>
    </row>
    <row r="1295" spans="1:14" ht="24" customHeight="1">
      <c r="A1295" s="8">
        <v>1251</v>
      </c>
      <c r="B1295" s="9">
        <v>1251</v>
      </c>
      <c r="C1295" s="46">
        <v>46073</v>
      </c>
      <c r="D1295" s="9" t="s">
        <v>238</v>
      </c>
      <c r="E1295" s="56" t="str">
        <f>IFERROR(VLOOKUP($D1295,본공사입.출고현황!$B:$H,E$2080,0),0)</f>
        <v>Steel round bar</v>
      </c>
      <c r="F1295" s="18" t="str">
        <f>IFERROR(VLOOKUP($D1295,본공사입.출고현황!$B:$H,F$2080,0),0)</f>
        <v>Steel round bar(rebar)</v>
      </c>
      <c r="G1295" s="18" t="str">
        <f>IFERROR(VLOOKUP($D1295,본공사입.출고현황!$B:$H,G$2080,0),0)</f>
        <v>CCGG</v>
      </c>
      <c r="H1295" s="18" t="str">
        <f>IFERROR(VLOOKUP($D1295,본공사입.출고현황!$B:$H,H$2080,0),0)</f>
        <v>ф10, 1ton=1,620.7m</v>
      </c>
      <c r="I1295" s="56" t="str">
        <f>IFERROR(VLOOKUP($D1295,본공사입.출고현황!$B:$H,I$2080,0),0)</f>
        <v>M</v>
      </c>
      <c r="J1295" s="9">
        <v>1</v>
      </c>
      <c r="K1295" s="9" t="s">
        <v>352</v>
      </c>
      <c r="L1295" s="37">
        <v>50</v>
      </c>
      <c r="M1295" s="64" t="s">
        <v>408</v>
      </c>
      <c r="N1295" s="4"/>
    </row>
    <row r="1296" spans="1:14" ht="24" customHeight="1">
      <c r="A1296" s="8">
        <v>1252</v>
      </c>
      <c r="B1296" s="9">
        <v>1252</v>
      </c>
      <c r="C1296" s="46">
        <v>46073</v>
      </c>
      <c r="D1296" s="9" t="s">
        <v>238</v>
      </c>
      <c r="E1296" s="56" t="str">
        <f>IFERROR(VLOOKUP($D1296,본공사입.출고현황!$B:$H,E$2080,0),0)</f>
        <v>Steel round bar</v>
      </c>
      <c r="F1296" s="18" t="str">
        <f>IFERROR(VLOOKUP($D1296,본공사입.출고현황!$B:$H,F$2080,0),0)</f>
        <v>Steel round bar(rebar)</v>
      </c>
      <c r="G1296" s="18" t="str">
        <f>IFERROR(VLOOKUP($D1296,본공사입.출고현황!$B:$H,G$2080,0),0)</f>
        <v>CCGG</v>
      </c>
      <c r="H1296" s="18" t="str">
        <f>IFERROR(VLOOKUP($D1296,본공사입.출고현황!$B:$H,H$2080,0),0)</f>
        <v>ф10, 1ton=1,620.7m</v>
      </c>
      <c r="I1296" s="56" t="str">
        <f>IFERROR(VLOOKUP($D1296,본공사입.출고현황!$B:$H,I$2080,0),0)</f>
        <v>M</v>
      </c>
      <c r="J1296" s="9">
        <v>2</v>
      </c>
      <c r="K1296" s="9" t="s">
        <v>546</v>
      </c>
      <c r="L1296" s="37">
        <v>25</v>
      </c>
      <c r="M1296" s="64" t="s">
        <v>408</v>
      </c>
      <c r="N1296" s="4"/>
    </row>
    <row r="1297" spans="1:14" ht="24" customHeight="1">
      <c r="A1297" s="8">
        <v>1253</v>
      </c>
      <c r="B1297" s="9">
        <v>1253</v>
      </c>
      <c r="C1297" s="46">
        <v>46073</v>
      </c>
      <c r="D1297" s="9" t="s">
        <v>238</v>
      </c>
      <c r="E1297" s="56" t="str">
        <f>IFERROR(VLOOKUP($D1297,본공사입.출고현황!$B:$H,E$2080,0),0)</f>
        <v>Steel round bar</v>
      </c>
      <c r="F1297" s="18" t="str">
        <f>IFERROR(VLOOKUP($D1297,본공사입.출고현황!$B:$H,F$2080,0),0)</f>
        <v>Steel round bar(rebar)</v>
      </c>
      <c r="G1297" s="18" t="str">
        <f>IFERROR(VLOOKUP($D1297,본공사입.출고현황!$B:$H,G$2080,0),0)</f>
        <v>CCGG</v>
      </c>
      <c r="H1297" s="18" t="str">
        <f>IFERROR(VLOOKUP($D1297,본공사입.출고현황!$B:$H,H$2080,0),0)</f>
        <v>ф10, 1ton=1,620.7m</v>
      </c>
      <c r="I1297" s="56" t="str">
        <f>IFERROR(VLOOKUP($D1297,본공사입.출고현황!$B:$H,I$2080,0),0)</f>
        <v>M</v>
      </c>
      <c r="J1297" s="9">
        <v>4</v>
      </c>
      <c r="K1297" s="9" t="s">
        <v>359</v>
      </c>
      <c r="L1297" s="37">
        <v>75</v>
      </c>
      <c r="M1297" s="64" t="s">
        <v>408</v>
      </c>
      <c r="N1297" s="4"/>
    </row>
    <row r="1298" spans="1:14" ht="24" customHeight="1">
      <c r="A1298" s="8">
        <v>1254</v>
      </c>
      <c r="B1298" s="9">
        <v>1254</v>
      </c>
      <c r="C1298" s="46">
        <v>46073</v>
      </c>
      <c r="D1298" s="9" t="s">
        <v>238</v>
      </c>
      <c r="E1298" s="56" t="str">
        <f>IFERROR(VLOOKUP($D1298,본공사입.출고현황!$B:$H,E$2080,0),0)</f>
        <v>Steel round bar</v>
      </c>
      <c r="F1298" s="18" t="str">
        <f>IFERROR(VLOOKUP($D1298,본공사입.출고현황!$B:$H,F$2080,0),0)</f>
        <v>Steel round bar(rebar)</v>
      </c>
      <c r="G1298" s="18" t="str">
        <f>IFERROR(VLOOKUP($D1298,본공사입.출고현황!$B:$H,G$2080,0),0)</f>
        <v>CCGG</v>
      </c>
      <c r="H1298" s="18" t="str">
        <f>IFERROR(VLOOKUP($D1298,본공사입.출고현황!$B:$H,H$2080,0),0)</f>
        <v>ф10, 1ton=1,620.7m</v>
      </c>
      <c r="I1298" s="56" t="str">
        <f>IFERROR(VLOOKUP($D1298,본공사입.출고현황!$B:$H,I$2080,0),0)</f>
        <v>M</v>
      </c>
      <c r="J1298" s="9">
        <v>2</v>
      </c>
      <c r="K1298" s="9" t="s">
        <v>360</v>
      </c>
      <c r="L1298" s="37">
        <v>25</v>
      </c>
      <c r="M1298" s="64" t="s">
        <v>408</v>
      </c>
      <c r="N1298" s="4"/>
    </row>
    <row r="1299" spans="1:14" ht="24" customHeight="1">
      <c r="A1299" s="8">
        <v>1255</v>
      </c>
      <c r="B1299" s="9">
        <v>1255</v>
      </c>
      <c r="C1299" s="46">
        <v>46073</v>
      </c>
      <c r="D1299" s="9" t="s">
        <v>238</v>
      </c>
      <c r="E1299" s="56" t="str">
        <f>IFERROR(VLOOKUP($D1299,본공사입.출고현황!$B:$H,E$2080,0),0)</f>
        <v>Steel round bar</v>
      </c>
      <c r="F1299" s="18" t="str">
        <f>IFERROR(VLOOKUP($D1299,본공사입.출고현황!$B:$H,F$2080,0),0)</f>
        <v>Steel round bar(rebar)</v>
      </c>
      <c r="G1299" s="18" t="str">
        <f>IFERROR(VLOOKUP($D1299,본공사입.출고현황!$B:$H,G$2080,0),0)</f>
        <v>CCGG</v>
      </c>
      <c r="H1299" s="18" t="str">
        <f>IFERROR(VLOOKUP($D1299,본공사입.출고현황!$B:$H,H$2080,0),0)</f>
        <v>ф10, 1ton=1,620.7m</v>
      </c>
      <c r="I1299" s="56" t="str">
        <f>IFERROR(VLOOKUP($D1299,본공사입.출고현황!$B:$H,I$2080,0),0)</f>
        <v>M</v>
      </c>
      <c r="J1299" s="9">
        <v>3</v>
      </c>
      <c r="K1299" s="9" t="s">
        <v>237</v>
      </c>
      <c r="L1299" s="37">
        <v>20</v>
      </c>
      <c r="M1299" s="64" t="s">
        <v>408</v>
      </c>
      <c r="N1299" s="4"/>
    </row>
    <row r="1300" spans="1:14" ht="24" customHeight="1">
      <c r="A1300" s="8">
        <v>1256</v>
      </c>
      <c r="B1300" s="9">
        <v>1256</v>
      </c>
      <c r="C1300" s="46">
        <v>46073</v>
      </c>
      <c r="D1300" s="9" t="s">
        <v>238</v>
      </c>
      <c r="E1300" s="56" t="str">
        <f>IFERROR(VLOOKUP($D1300,본공사입.출고현황!$B:$H,E$2080,0),0)</f>
        <v>Steel round bar</v>
      </c>
      <c r="F1300" s="18" t="str">
        <f>IFERROR(VLOOKUP($D1300,본공사입.출고현황!$B:$H,F$2080,0),0)</f>
        <v>Steel round bar(rebar)</v>
      </c>
      <c r="G1300" s="18" t="str">
        <f>IFERROR(VLOOKUP($D1300,본공사입.출고현황!$B:$H,G$2080,0),0)</f>
        <v>CCGG</v>
      </c>
      <c r="H1300" s="18" t="str">
        <f>IFERROR(VLOOKUP($D1300,본공사입.출고현황!$B:$H,H$2080,0),0)</f>
        <v>ф10, 1ton=1,620.7m</v>
      </c>
      <c r="I1300" s="56" t="str">
        <f>IFERROR(VLOOKUP($D1300,본공사입.출고현황!$B:$H,I$2080,0),0)</f>
        <v>M</v>
      </c>
      <c r="J1300" s="9">
        <v>1</v>
      </c>
      <c r="K1300" s="9" t="s">
        <v>352</v>
      </c>
      <c r="L1300" s="37">
        <v>25</v>
      </c>
      <c r="M1300" s="64" t="s">
        <v>408</v>
      </c>
      <c r="N1300" s="4"/>
    </row>
    <row r="1301" spans="1:14" ht="24" customHeight="1">
      <c r="A1301" s="8">
        <v>1257</v>
      </c>
      <c r="B1301" s="9">
        <v>1257</v>
      </c>
      <c r="C1301" s="46">
        <v>46073</v>
      </c>
      <c r="D1301" s="9" t="s">
        <v>238</v>
      </c>
      <c r="E1301" s="56" t="str">
        <f>IFERROR(VLOOKUP($D1301,본공사입.출고현황!$B:$H,E$2080,0),0)</f>
        <v>Steel round bar</v>
      </c>
      <c r="F1301" s="18" t="str">
        <f>IFERROR(VLOOKUP($D1301,본공사입.출고현황!$B:$H,F$2080,0),0)</f>
        <v>Steel round bar(rebar)</v>
      </c>
      <c r="G1301" s="18" t="str">
        <f>IFERROR(VLOOKUP($D1301,본공사입.출고현황!$B:$H,G$2080,0),0)</f>
        <v>CCGG</v>
      </c>
      <c r="H1301" s="18" t="str">
        <f>IFERROR(VLOOKUP($D1301,본공사입.출고현황!$B:$H,H$2080,0),0)</f>
        <v>ф10, 1ton=1,620.7m</v>
      </c>
      <c r="I1301" s="56" t="str">
        <f>IFERROR(VLOOKUP($D1301,본공사입.출고현황!$B:$H,I$2080,0),0)</f>
        <v>M</v>
      </c>
      <c r="J1301" s="9">
        <v>1</v>
      </c>
      <c r="K1301" s="9" t="s">
        <v>352</v>
      </c>
      <c r="L1301" s="37">
        <v>15</v>
      </c>
      <c r="M1301" s="64" t="s">
        <v>408</v>
      </c>
      <c r="N1301" s="4"/>
    </row>
    <row r="1302" spans="1:14" ht="24" customHeight="1">
      <c r="A1302" s="8">
        <v>1258</v>
      </c>
      <c r="B1302" s="9">
        <v>1258</v>
      </c>
      <c r="C1302" s="46">
        <v>46073</v>
      </c>
      <c r="D1302" s="9" t="s">
        <v>238</v>
      </c>
      <c r="E1302" s="56" t="str">
        <f>IFERROR(VLOOKUP($D1302,본공사입.출고현황!$B:$H,E$2080,0),0)</f>
        <v>Steel round bar</v>
      </c>
      <c r="F1302" s="18" t="str">
        <f>IFERROR(VLOOKUP($D1302,본공사입.출고현황!$B:$H,F$2080,0),0)</f>
        <v>Steel round bar(rebar)</v>
      </c>
      <c r="G1302" s="18" t="str">
        <f>IFERROR(VLOOKUP($D1302,본공사입.출고현황!$B:$H,G$2080,0),0)</f>
        <v>CCGG</v>
      </c>
      <c r="H1302" s="18" t="str">
        <f>IFERROR(VLOOKUP($D1302,본공사입.출고현황!$B:$H,H$2080,0),0)</f>
        <v>ф10, 1ton=1,620.7m</v>
      </c>
      <c r="I1302" s="56" t="str">
        <f>IFERROR(VLOOKUP($D1302,본공사입.출고현황!$B:$H,I$2080,0),0)</f>
        <v>M</v>
      </c>
      <c r="J1302" s="9">
        <v>1</v>
      </c>
      <c r="K1302" s="9" t="s">
        <v>363</v>
      </c>
      <c r="L1302" s="37">
        <v>50</v>
      </c>
      <c r="M1302" s="64" t="s">
        <v>408</v>
      </c>
      <c r="N1302" s="4"/>
    </row>
    <row r="1303" spans="1:14" ht="24" customHeight="1">
      <c r="A1303" s="8">
        <v>1259</v>
      </c>
      <c r="B1303" s="9">
        <v>1259</v>
      </c>
      <c r="C1303" s="46">
        <v>46074</v>
      </c>
      <c r="D1303" s="9" t="s">
        <v>238</v>
      </c>
      <c r="E1303" s="56" t="str">
        <f>IFERROR(VLOOKUP($D1303,본공사입.출고현황!$B:$H,E$2080,0),0)</f>
        <v>Steel round bar</v>
      </c>
      <c r="F1303" s="18" t="str">
        <f>IFERROR(VLOOKUP($D1303,본공사입.출고현황!$B:$H,F$2080,0),0)</f>
        <v>Steel round bar(rebar)</v>
      </c>
      <c r="G1303" s="18" t="str">
        <f>IFERROR(VLOOKUP($D1303,본공사입.출고현황!$B:$H,G$2080,0),0)</f>
        <v>CCGG</v>
      </c>
      <c r="H1303" s="18" t="str">
        <f>IFERROR(VLOOKUP($D1303,본공사입.출고현황!$B:$H,H$2080,0),0)</f>
        <v>ф10, 1ton=1,620.7m</v>
      </c>
      <c r="I1303" s="56" t="str">
        <f>IFERROR(VLOOKUP($D1303,본공사입.출고현황!$B:$H,I$2080,0),0)</f>
        <v>M</v>
      </c>
      <c r="J1303" s="9">
        <v>1</v>
      </c>
      <c r="K1303" s="9" t="s">
        <v>545</v>
      </c>
      <c r="L1303" s="37">
        <v>15</v>
      </c>
      <c r="M1303" s="64" t="s">
        <v>408</v>
      </c>
      <c r="N1303" s="42"/>
    </row>
    <row r="1304" spans="1:14" ht="24" customHeight="1">
      <c r="A1304" s="8">
        <v>1260</v>
      </c>
      <c r="B1304" s="9">
        <v>1260</v>
      </c>
      <c r="C1304" s="46">
        <v>46074</v>
      </c>
      <c r="D1304" s="9" t="s">
        <v>238</v>
      </c>
      <c r="E1304" s="56" t="str">
        <f>IFERROR(VLOOKUP($D1304,본공사입.출고현황!$B:$H,E$2080,0),0)</f>
        <v>Steel round bar</v>
      </c>
      <c r="F1304" s="18" t="str">
        <f>IFERROR(VLOOKUP($D1304,본공사입.출고현황!$B:$H,F$2080,0),0)</f>
        <v>Steel round bar(rebar)</v>
      </c>
      <c r="G1304" s="18" t="str">
        <f>IFERROR(VLOOKUP($D1304,본공사입.출고현황!$B:$H,G$2080,0),0)</f>
        <v>CCGG</v>
      </c>
      <c r="H1304" s="18" t="str">
        <f>IFERROR(VLOOKUP($D1304,본공사입.출고현황!$B:$H,H$2080,0),0)</f>
        <v>ф10, 1ton=1,620.7m</v>
      </c>
      <c r="I1304" s="56" t="str">
        <f>IFERROR(VLOOKUP($D1304,본공사입.출고현황!$B:$H,I$2080,0),0)</f>
        <v>M</v>
      </c>
      <c r="J1304" s="9">
        <v>2</v>
      </c>
      <c r="K1304" s="9" t="s">
        <v>241</v>
      </c>
      <c r="L1304" s="37">
        <v>50</v>
      </c>
      <c r="M1304" s="64" t="s">
        <v>408</v>
      </c>
      <c r="N1304" s="42"/>
    </row>
    <row r="1305" spans="1:14" ht="24" customHeight="1">
      <c r="A1305" s="8">
        <v>1261</v>
      </c>
      <c r="B1305" s="9">
        <v>1261</v>
      </c>
      <c r="C1305" s="46">
        <v>46074</v>
      </c>
      <c r="D1305" s="9" t="s">
        <v>238</v>
      </c>
      <c r="E1305" s="56" t="str">
        <f>IFERROR(VLOOKUP($D1305,본공사입.출고현황!$B:$H,E$2080,0),0)</f>
        <v>Steel round bar</v>
      </c>
      <c r="F1305" s="18" t="str">
        <f>IFERROR(VLOOKUP($D1305,본공사입.출고현황!$B:$H,F$2080,0),0)</f>
        <v>Steel round bar(rebar)</v>
      </c>
      <c r="G1305" s="18" t="str">
        <f>IFERROR(VLOOKUP($D1305,본공사입.출고현황!$B:$H,G$2080,0),0)</f>
        <v>CCGG</v>
      </c>
      <c r="H1305" s="18" t="str">
        <f>IFERROR(VLOOKUP($D1305,본공사입.출고현황!$B:$H,H$2080,0),0)</f>
        <v>ф10, 1ton=1,620.7m</v>
      </c>
      <c r="I1305" s="56" t="str">
        <f>IFERROR(VLOOKUP($D1305,본공사입.출고현황!$B:$H,I$2080,0),0)</f>
        <v>M</v>
      </c>
      <c r="J1305" s="9">
        <v>3</v>
      </c>
      <c r="K1305" s="9" t="s">
        <v>550</v>
      </c>
      <c r="L1305" s="37">
        <v>30</v>
      </c>
      <c r="M1305" s="64" t="s">
        <v>408</v>
      </c>
      <c r="N1305" s="42"/>
    </row>
    <row r="1306" spans="1:14" ht="24" customHeight="1">
      <c r="A1306" s="8">
        <v>1262</v>
      </c>
      <c r="B1306" s="9">
        <v>1262</v>
      </c>
      <c r="C1306" s="46">
        <v>46074</v>
      </c>
      <c r="D1306" s="9" t="s">
        <v>238</v>
      </c>
      <c r="E1306" s="56" t="str">
        <f>IFERROR(VLOOKUP($D1306,본공사입.출고현황!$B:$H,E$2080,0),0)</f>
        <v>Steel round bar</v>
      </c>
      <c r="F1306" s="18" t="str">
        <f>IFERROR(VLOOKUP($D1306,본공사입.출고현황!$B:$H,F$2080,0),0)</f>
        <v>Steel round bar(rebar)</v>
      </c>
      <c r="G1306" s="18" t="str">
        <f>IFERROR(VLOOKUP($D1306,본공사입.출고현황!$B:$H,G$2080,0),0)</f>
        <v>CCGG</v>
      </c>
      <c r="H1306" s="18" t="str">
        <f>IFERROR(VLOOKUP($D1306,본공사입.출고현황!$B:$H,H$2080,0),0)</f>
        <v>ф10, 1ton=1,620.7m</v>
      </c>
      <c r="I1306" s="56" t="str">
        <f>IFERROR(VLOOKUP($D1306,본공사입.출고현황!$B:$H,I$2080,0),0)</f>
        <v>M</v>
      </c>
      <c r="J1306" s="9">
        <v>3</v>
      </c>
      <c r="K1306" s="9" t="s">
        <v>550</v>
      </c>
      <c r="L1306" s="37">
        <v>15</v>
      </c>
      <c r="M1306" s="64" t="s">
        <v>408</v>
      </c>
      <c r="N1306" s="4"/>
    </row>
    <row r="1307" spans="1:14" ht="24" customHeight="1">
      <c r="A1307" s="8">
        <v>1263</v>
      </c>
      <c r="B1307" s="9">
        <v>1263</v>
      </c>
      <c r="C1307" s="46">
        <v>46074</v>
      </c>
      <c r="D1307" s="9" t="s">
        <v>238</v>
      </c>
      <c r="E1307" s="56" t="str">
        <f>IFERROR(VLOOKUP($D1307,본공사입.출고현황!$B:$H,E$2080,0),0)</f>
        <v>Steel round bar</v>
      </c>
      <c r="F1307" s="18" t="str">
        <f>IFERROR(VLOOKUP($D1307,본공사입.출고현황!$B:$H,F$2080,0),0)</f>
        <v>Steel round bar(rebar)</v>
      </c>
      <c r="G1307" s="18" t="str">
        <f>IFERROR(VLOOKUP($D1307,본공사입.출고현황!$B:$H,G$2080,0),0)</f>
        <v>CCGG</v>
      </c>
      <c r="H1307" s="18" t="str">
        <f>IFERROR(VLOOKUP($D1307,본공사입.출고현황!$B:$H,H$2080,0),0)</f>
        <v>ф10, 1ton=1,620.7m</v>
      </c>
      <c r="I1307" s="56" t="str">
        <f>IFERROR(VLOOKUP($D1307,본공사입.출고현황!$B:$H,I$2080,0),0)</f>
        <v>M</v>
      </c>
      <c r="J1307" s="9">
        <v>1</v>
      </c>
      <c r="K1307" s="9" t="s">
        <v>363</v>
      </c>
      <c r="L1307" s="37">
        <v>40</v>
      </c>
      <c r="M1307" s="64" t="s">
        <v>408</v>
      </c>
      <c r="N1307" s="4"/>
    </row>
    <row r="1308" spans="1:14" ht="24" customHeight="1">
      <c r="A1308" s="8">
        <v>1264</v>
      </c>
      <c r="B1308" s="9">
        <v>1264</v>
      </c>
      <c r="C1308" s="46">
        <v>46074</v>
      </c>
      <c r="D1308" s="9" t="s">
        <v>238</v>
      </c>
      <c r="E1308" s="56" t="str">
        <f>IFERROR(VLOOKUP($D1308,본공사입.출고현황!$B:$H,E$2080,0),0)</f>
        <v>Steel round bar</v>
      </c>
      <c r="F1308" s="18" t="str">
        <f>IFERROR(VLOOKUP($D1308,본공사입.출고현황!$B:$H,F$2080,0),0)</f>
        <v>Steel round bar(rebar)</v>
      </c>
      <c r="G1308" s="18" t="str">
        <f>IFERROR(VLOOKUP($D1308,본공사입.출고현황!$B:$H,G$2080,0),0)</f>
        <v>CCGG</v>
      </c>
      <c r="H1308" s="18" t="str">
        <f>IFERROR(VLOOKUP($D1308,본공사입.출고현황!$B:$H,H$2080,0),0)</f>
        <v>ф10, 1ton=1,620.7m</v>
      </c>
      <c r="I1308" s="56" t="str">
        <f>IFERROR(VLOOKUP($D1308,본공사입.출고현황!$B:$H,I$2080,0),0)</f>
        <v>M</v>
      </c>
      <c r="J1308" s="9">
        <v>1</v>
      </c>
      <c r="K1308" s="9" t="s">
        <v>547</v>
      </c>
      <c r="L1308" s="37">
        <v>20</v>
      </c>
      <c r="M1308" s="64" t="s">
        <v>408</v>
      </c>
      <c r="N1308" s="4"/>
    </row>
    <row r="1309" spans="1:14" ht="24" customHeight="1">
      <c r="A1309" s="8">
        <v>1265</v>
      </c>
      <c r="B1309" s="9">
        <v>1265</v>
      </c>
      <c r="C1309" s="46">
        <v>46074</v>
      </c>
      <c r="D1309" s="9" t="s">
        <v>238</v>
      </c>
      <c r="E1309" s="56" t="str">
        <f>IFERROR(VLOOKUP($D1309,본공사입.출고현황!$B:$H,E$2080,0),0)</f>
        <v>Steel round bar</v>
      </c>
      <c r="F1309" s="18" t="str">
        <f>IFERROR(VLOOKUP($D1309,본공사입.출고현황!$B:$H,F$2080,0),0)</f>
        <v>Steel round bar(rebar)</v>
      </c>
      <c r="G1309" s="18" t="str">
        <f>IFERROR(VLOOKUP($D1309,본공사입.출고현황!$B:$H,G$2080,0),0)</f>
        <v>CCGG</v>
      </c>
      <c r="H1309" s="18" t="str">
        <f>IFERROR(VLOOKUP($D1309,본공사입.출고현황!$B:$H,H$2080,0),0)</f>
        <v>ф10, 1ton=1,620.7m</v>
      </c>
      <c r="I1309" s="56" t="str">
        <f>IFERROR(VLOOKUP($D1309,본공사입.출고현황!$B:$H,I$2080,0),0)</f>
        <v>M</v>
      </c>
      <c r="J1309" s="9">
        <v>1</v>
      </c>
      <c r="K1309" s="9" t="s">
        <v>363</v>
      </c>
      <c r="L1309" s="37">
        <v>20</v>
      </c>
      <c r="M1309" s="64" t="s">
        <v>408</v>
      </c>
      <c r="N1309" s="4"/>
    </row>
    <row r="1310" spans="1:14" ht="24" customHeight="1">
      <c r="A1310" s="8">
        <v>1266</v>
      </c>
      <c r="B1310" s="9">
        <v>1266</v>
      </c>
      <c r="C1310" s="46">
        <v>46074</v>
      </c>
      <c r="D1310" s="9" t="s">
        <v>238</v>
      </c>
      <c r="E1310" s="56" t="str">
        <f>IFERROR(VLOOKUP($D1310,본공사입.출고현황!$B:$H,E$2080,0),0)</f>
        <v>Steel round bar</v>
      </c>
      <c r="F1310" s="18" t="str">
        <f>IFERROR(VLOOKUP($D1310,본공사입.출고현황!$B:$H,F$2080,0),0)</f>
        <v>Steel round bar(rebar)</v>
      </c>
      <c r="G1310" s="18" t="str">
        <f>IFERROR(VLOOKUP($D1310,본공사입.출고현황!$B:$H,G$2080,0),0)</f>
        <v>CCGG</v>
      </c>
      <c r="H1310" s="18" t="str">
        <f>IFERROR(VLOOKUP($D1310,본공사입.출고현황!$B:$H,H$2080,0),0)</f>
        <v>ф10, 1ton=1,620.7m</v>
      </c>
      <c r="I1310" s="56" t="str">
        <f>IFERROR(VLOOKUP($D1310,본공사입.출고현황!$B:$H,I$2080,0),0)</f>
        <v>M</v>
      </c>
      <c r="J1310" s="9">
        <v>3</v>
      </c>
      <c r="K1310" s="9" t="s">
        <v>550</v>
      </c>
      <c r="L1310" s="37">
        <v>20</v>
      </c>
      <c r="M1310" s="64" t="s">
        <v>408</v>
      </c>
      <c r="N1310" s="4"/>
    </row>
    <row r="1311" spans="1:14" ht="24" customHeight="1">
      <c r="A1311" s="8">
        <v>1267</v>
      </c>
      <c r="B1311" s="9">
        <v>1267</v>
      </c>
      <c r="C1311" s="46">
        <v>46074</v>
      </c>
      <c r="D1311" s="9" t="s">
        <v>238</v>
      </c>
      <c r="E1311" s="56" t="str">
        <f>IFERROR(VLOOKUP($D1311,본공사입.출고현황!$B:$H,E$2080,0),0)</f>
        <v>Steel round bar</v>
      </c>
      <c r="F1311" s="18" t="str">
        <f>IFERROR(VLOOKUP($D1311,본공사입.출고현황!$B:$H,F$2080,0),0)</f>
        <v>Steel round bar(rebar)</v>
      </c>
      <c r="G1311" s="18" t="str">
        <f>IFERROR(VLOOKUP($D1311,본공사입.출고현황!$B:$H,G$2080,0),0)</f>
        <v>CCGG</v>
      </c>
      <c r="H1311" s="18" t="str">
        <f>IFERROR(VLOOKUP($D1311,본공사입.출고현황!$B:$H,H$2080,0),0)</f>
        <v>ф10, 1ton=1,620.7m</v>
      </c>
      <c r="I1311" s="56" t="str">
        <f>IFERROR(VLOOKUP($D1311,본공사입.출고현황!$B:$H,I$2080,0),0)</f>
        <v>M</v>
      </c>
      <c r="J1311" s="9">
        <v>2</v>
      </c>
      <c r="K1311" s="9" t="s">
        <v>360</v>
      </c>
      <c r="L1311" s="37">
        <v>25</v>
      </c>
      <c r="M1311" s="64" t="s">
        <v>408</v>
      </c>
      <c r="N1311" s="4"/>
    </row>
    <row r="1312" spans="1:14" ht="24" customHeight="1">
      <c r="A1312" s="8">
        <v>1268</v>
      </c>
      <c r="B1312" s="9">
        <v>1268</v>
      </c>
      <c r="C1312" s="46">
        <v>46074</v>
      </c>
      <c r="D1312" s="9" t="s">
        <v>238</v>
      </c>
      <c r="E1312" s="56" t="str">
        <f>IFERROR(VLOOKUP($D1312,본공사입.출고현황!$B:$H,E$2080,0),0)</f>
        <v>Steel round bar</v>
      </c>
      <c r="F1312" s="18" t="str">
        <f>IFERROR(VLOOKUP($D1312,본공사입.출고현황!$B:$H,F$2080,0),0)</f>
        <v>Steel round bar(rebar)</v>
      </c>
      <c r="G1312" s="18" t="str">
        <f>IFERROR(VLOOKUP($D1312,본공사입.출고현황!$B:$H,G$2080,0),0)</f>
        <v>CCGG</v>
      </c>
      <c r="H1312" s="18" t="str">
        <f>IFERROR(VLOOKUP($D1312,본공사입.출고현황!$B:$H,H$2080,0),0)</f>
        <v>ф10, 1ton=1,620.7m</v>
      </c>
      <c r="I1312" s="56" t="str">
        <f>IFERROR(VLOOKUP($D1312,본공사입.출고현황!$B:$H,I$2080,0),0)</f>
        <v>M</v>
      </c>
      <c r="J1312" s="9">
        <v>1</v>
      </c>
      <c r="K1312" s="9" t="s">
        <v>352</v>
      </c>
      <c r="L1312" s="37">
        <v>25</v>
      </c>
      <c r="M1312" s="64" t="s">
        <v>408</v>
      </c>
      <c r="N1312" s="4"/>
    </row>
    <row r="1313" spans="1:14" ht="24" customHeight="1">
      <c r="A1313" s="8">
        <v>1269</v>
      </c>
      <c r="B1313" s="9">
        <v>1269</v>
      </c>
      <c r="C1313" s="46">
        <v>46074</v>
      </c>
      <c r="D1313" s="9" t="s">
        <v>238</v>
      </c>
      <c r="E1313" s="56" t="str">
        <f>IFERROR(VLOOKUP($D1313,본공사입.출고현황!$B:$H,E$2080,0),0)</f>
        <v>Steel round bar</v>
      </c>
      <c r="F1313" s="18" t="str">
        <f>IFERROR(VLOOKUP($D1313,본공사입.출고현황!$B:$H,F$2080,0),0)</f>
        <v>Steel round bar(rebar)</v>
      </c>
      <c r="G1313" s="18" t="str">
        <f>IFERROR(VLOOKUP($D1313,본공사입.출고현황!$B:$H,G$2080,0),0)</f>
        <v>CCGG</v>
      </c>
      <c r="H1313" s="18" t="str">
        <f>IFERROR(VLOOKUP($D1313,본공사입.출고현황!$B:$H,H$2080,0),0)</f>
        <v>ф10, 1ton=1,620.7m</v>
      </c>
      <c r="I1313" s="56" t="str">
        <f>IFERROR(VLOOKUP($D1313,본공사입.출고현황!$B:$H,I$2080,0),0)</f>
        <v>M</v>
      </c>
      <c r="J1313" s="9">
        <v>2</v>
      </c>
      <c r="K1313" s="9" t="s">
        <v>546</v>
      </c>
      <c r="L1313" s="37">
        <v>25</v>
      </c>
      <c r="M1313" s="64" t="s">
        <v>408</v>
      </c>
      <c r="N1313" s="4"/>
    </row>
    <row r="1314" spans="1:14" ht="24" customHeight="1">
      <c r="A1314" s="8">
        <v>1270</v>
      </c>
      <c r="B1314" s="9">
        <v>1270</v>
      </c>
      <c r="C1314" s="46">
        <v>46074</v>
      </c>
      <c r="D1314" s="9" t="s">
        <v>238</v>
      </c>
      <c r="E1314" s="56" t="str">
        <f>IFERROR(VLOOKUP($D1314,본공사입.출고현황!$B:$H,E$2080,0),0)</f>
        <v>Steel round bar</v>
      </c>
      <c r="F1314" s="18" t="str">
        <f>IFERROR(VLOOKUP($D1314,본공사입.출고현황!$B:$H,F$2080,0),0)</f>
        <v>Steel round bar(rebar)</v>
      </c>
      <c r="G1314" s="18" t="str">
        <f>IFERROR(VLOOKUP($D1314,본공사입.출고현황!$B:$H,G$2080,0),0)</f>
        <v>CCGG</v>
      </c>
      <c r="H1314" s="18" t="str">
        <f>IFERROR(VLOOKUP($D1314,본공사입.출고현황!$B:$H,H$2080,0),0)</f>
        <v>ф10, 1ton=1,620.7m</v>
      </c>
      <c r="I1314" s="56" t="str">
        <f>IFERROR(VLOOKUP($D1314,본공사입.출고현황!$B:$H,I$2080,0),0)</f>
        <v>M</v>
      </c>
      <c r="J1314" s="9">
        <v>4</v>
      </c>
      <c r="K1314" s="9" t="s">
        <v>359</v>
      </c>
      <c r="L1314" s="37">
        <v>25</v>
      </c>
      <c r="M1314" s="64" t="s">
        <v>408</v>
      </c>
      <c r="N1314" s="4"/>
    </row>
    <row r="1315" spans="1:14" ht="24" customHeight="1">
      <c r="A1315" s="8">
        <v>1271</v>
      </c>
      <c r="B1315" s="9">
        <v>1271</v>
      </c>
      <c r="C1315" s="46">
        <v>46074</v>
      </c>
      <c r="D1315" s="9" t="s">
        <v>238</v>
      </c>
      <c r="E1315" s="56" t="str">
        <f>IFERROR(VLOOKUP($D1315,본공사입.출고현황!$B:$H,E$2080,0),0)</f>
        <v>Steel round bar</v>
      </c>
      <c r="F1315" s="18" t="str">
        <f>IFERROR(VLOOKUP($D1315,본공사입.출고현황!$B:$H,F$2080,0),0)</f>
        <v>Steel round bar(rebar)</v>
      </c>
      <c r="G1315" s="18" t="str">
        <f>IFERROR(VLOOKUP($D1315,본공사입.출고현황!$B:$H,G$2080,0),0)</f>
        <v>CCGG</v>
      </c>
      <c r="H1315" s="18" t="str">
        <f>IFERROR(VLOOKUP($D1315,본공사입.출고현황!$B:$H,H$2080,0),0)</f>
        <v>ф10, 1ton=1,620.7m</v>
      </c>
      <c r="I1315" s="56" t="str">
        <f>IFERROR(VLOOKUP($D1315,본공사입.출고현황!$B:$H,I$2080,0),0)</f>
        <v>M</v>
      </c>
      <c r="J1315" s="9">
        <v>2</v>
      </c>
      <c r="K1315" s="9" t="s">
        <v>360</v>
      </c>
      <c r="L1315" s="37">
        <v>25</v>
      </c>
      <c r="M1315" s="64" t="s">
        <v>408</v>
      </c>
      <c r="N1315" s="4"/>
    </row>
    <row r="1316" spans="1:14" ht="24" customHeight="1">
      <c r="A1316" s="8">
        <v>1272</v>
      </c>
      <c r="B1316" s="9">
        <v>1272</v>
      </c>
      <c r="C1316" s="46">
        <v>46074</v>
      </c>
      <c r="D1316" s="9" t="s">
        <v>238</v>
      </c>
      <c r="E1316" s="56" t="str">
        <f>IFERROR(VLOOKUP($D1316,본공사입.출고현황!$B:$H,E$2080,0),0)</f>
        <v>Steel round bar</v>
      </c>
      <c r="F1316" s="18" t="str">
        <f>IFERROR(VLOOKUP($D1316,본공사입.출고현황!$B:$H,F$2080,0),0)</f>
        <v>Steel round bar(rebar)</v>
      </c>
      <c r="G1316" s="18" t="str">
        <f>IFERROR(VLOOKUP($D1316,본공사입.출고현황!$B:$H,G$2080,0),0)</f>
        <v>CCGG</v>
      </c>
      <c r="H1316" s="18" t="str">
        <f>IFERROR(VLOOKUP($D1316,본공사입.출고현황!$B:$H,H$2080,0),0)</f>
        <v>ф10, 1ton=1,620.7m</v>
      </c>
      <c r="I1316" s="56" t="str">
        <f>IFERROR(VLOOKUP($D1316,본공사입.출고현황!$B:$H,I$2080,0),0)</f>
        <v>M</v>
      </c>
      <c r="J1316" s="9">
        <v>3</v>
      </c>
      <c r="K1316" s="9" t="s">
        <v>237</v>
      </c>
      <c r="L1316" s="37">
        <v>25</v>
      </c>
      <c r="M1316" s="64" t="s">
        <v>408</v>
      </c>
      <c r="N1316" s="4"/>
    </row>
    <row r="1317" spans="1:14" ht="24" customHeight="1">
      <c r="A1317" s="8">
        <v>1273</v>
      </c>
      <c r="B1317" s="9">
        <v>1273</v>
      </c>
      <c r="C1317" s="46">
        <v>46074</v>
      </c>
      <c r="D1317" s="9" t="s">
        <v>238</v>
      </c>
      <c r="E1317" s="56" t="str">
        <f>IFERROR(VLOOKUP($D1317,본공사입.출고현황!$B:$H,E$2080,0),0)</f>
        <v>Steel round bar</v>
      </c>
      <c r="F1317" s="18" t="str">
        <f>IFERROR(VLOOKUP($D1317,본공사입.출고현황!$B:$H,F$2080,0),0)</f>
        <v>Steel round bar(rebar)</v>
      </c>
      <c r="G1317" s="18" t="str">
        <f>IFERROR(VLOOKUP($D1317,본공사입.출고현황!$B:$H,G$2080,0),0)</f>
        <v>CCGG</v>
      </c>
      <c r="H1317" s="18" t="str">
        <f>IFERROR(VLOOKUP($D1317,본공사입.출고현황!$B:$H,H$2080,0),0)</f>
        <v>ф10, 1ton=1,620.7m</v>
      </c>
      <c r="I1317" s="56" t="str">
        <f>IFERROR(VLOOKUP($D1317,본공사입.출고현황!$B:$H,I$2080,0),0)</f>
        <v>M</v>
      </c>
      <c r="J1317" s="9">
        <v>1</v>
      </c>
      <c r="K1317" s="9" t="s">
        <v>352</v>
      </c>
      <c r="L1317" s="37">
        <v>25</v>
      </c>
      <c r="M1317" s="64" t="s">
        <v>408</v>
      </c>
      <c r="N1317" s="4"/>
    </row>
    <row r="1318" spans="1:14" ht="24" customHeight="1">
      <c r="A1318" s="8">
        <v>1274</v>
      </c>
      <c r="B1318" s="9">
        <v>1274</v>
      </c>
      <c r="C1318" s="46">
        <v>46075</v>
      </c>
      <c r="D1318" s="9" t="s">
        <v>238</v>
      </c>
      <c r="E1318" s="56" t="str">
        <f>IFERROR(VLOOKUP($D1318,본공사입.출고현황!$B:$H,E$2080,0),0)</f>
        <v>Steel round bar</v>
      </c>
      <c r="F1318" s="18" t="str">
        <f>IFERROR(VLOOKUP($D1318,본공사입.출고현황!$B:$H,F$2080,0),0)</f>
        <v>Steel round bar(rebar)</v>
      </c>
      <c r="G1318" s="18" t="str">
        <f>IFERROR(VLOOKUP($D1318,본공사입.출고현황!$B:$H,G$2080,0),0)</f>
        <v>CCGG</v>
      </c>
      <c r="H1318" s="18" t="str">
        <f>IFERROR(VLOOKUP($D1318,본공사입.출고현황!$B:$H,H$2080,0),0)</f>
        <v>ф10, 1ton=1,620.7m</v>
      </c>
      <c r="I1318" s="56" t="str">
        <f>IFERROR(VLOOKUP($D1318,본공사입.출고현황!$B:$H,I$2080,0),0)</f>
        <v>M</v>
      </c>
      <c r="J1318" s="9">
        <v>1</v>
      </c>
      <c r="K1318" s="9" t="s">
        <v>545</v>
      </c>
      <c r="L1318" s="37">
        <v>15</v>
      </c>
      <c r="M1318" s="64" t="s">
        <v>408</v>
      </c>
      <c r="N1318" s="42"/>
    </row>
    <row r="1319" spans="1:14" ht="24" customHeight="1">
      <c r="A1319" s="8">
        <v>1275</v>
      </c>
      <c r="B1319" s="9">
        <v>1275</v>
      </c>
      <c r="C1319" s="46">
        <v>46075</v>
      </c>
      <c r="D1319" s="9" t="s">
        <v>238</v>
      </c>
      <c r="E1319" s="56" t="str">
        <f>IFERROR(VLOOKUP($D1319,본공사입.출고현황!$B:$H,E$2080,0),0)</f>
        <v>Steel round bar</v>
      </c>
      <c r="F1319" s="18" t="str">
        <f>IFERROR(VLOOKUP($D1319,본공사입.출고현황!$B:$H,F$2080,0),0)</f>
        <v>Steel round bar(rebar)</v>
      </c>
      <c r="G1319" s="18" t="str">
        <f>IFERROR(VLOOKUP($D1319,본공사입.출고현황!$B:$H,G$2080,0),0)</f>
        <v>CCGG</v>
      </c>
      <c r="H1319" s="18" t="str">
        <f>IFERROR(VLOOKUP($D1319,본공사입.출고현황!$B:$H,H$2080,0),0)</f>
        <v>ф10, 1ton=1,620.7m</v>
      </c>
      <c r="I1319" s="56" t="str">
        <f>IFERROR(VLOOKUP($D1319,본공사입.출고현황!$B:$H,I$2080,0),0)</f>
        <v>M</v>
      </c>
      <c r="J1319" s="9">
        <v>2</v>
      </c>
      <c r="K1319" s="9" t="s">
        <v>241</v>
      </c>
      <c r="L1319" s="37">
        <v>30</v>
      </c>
      <c r="M1319" s="64" t="s">
        <v>408</v>
      </c>
      <c r="N1319" s="42"/>
    </row>
    <row r="1320" spans="1:14" ht="24" customHeight="1">
      <c r="A1320" s="8">
        <v>1276</v>
      </c>
      <c r="B1320" s="9">
        <v>1276</v>
      </c>
      <c r="C1320" s="46">
        <v>46075</v>
      </c>
      <c r="D1320" s="9" t="s">
        <v>238</v>
      </c>
      <c r="E1320" s="56" t="str">
        <f>IFERROR(VLOOKUP($D1320,본공사입.출고현황!$B:$H,E$2080,0),0)</f>
        <v>Steel round bar</v>
      </c>
      <c r="F1320" s="18" t="str">
        <f>IFERROR(VLOOKUP($D1320,본공사입.출고현황!$B:$H,F$2080,0),0)</f>
        <v>Steel round bar(rebar)</v>
      </c>
      <c r="G1320" s="18" t="str">
        <f>IFERROR(VLOOKUP($D1320,본공사입.출고현황!$B:$H,G$2080,0),0)</f>
        <v>CCGG</v>
      </c>
      <c r="H1320" s="18" t="str">
        <f>IFERROR(VLOOKUP($D1320,본공사입.출고현황!$B:$H,H$2080,0),0)</f>
        <v>ф10, 1ton=1,620.7m</v>
      </c>
      <c r="I1320" s="56" t="str">
        <f>IFERROR(VLOOKUP($D1320,본공사입.출고현황!$B:$H,I$2080,0),0)</f>
        <v>M</v>
      </c>
      <c r="J1320" s="9">
        <v>1</v>
      </c>
      <c r="K1320" s="9" t="s">
        <v>352</v>
      </c>
      <c r="L1320" s="37">
        <v>30</v>
      </c>
      <c r="M1320" s="64" t="s">
        <v>408</v>
      </c>
      <c r="N1320" s="42"/>
    </row>
    <row r="1321" spans="1:14" ht="24" customHeight="1">
      <c r="A1321" s="8">
        <v>1277</v>
      </c>
      <c r="B1321" s="9">
        <v>1277</v>
      </c>
      <c r="C1321" s="46">
        <v>46075</v>
      </c>
      <c r="D1321" s="9" t="s">
        <v>238</v>
      </c>
      <c r="E1321" s="56" t="str">
        <f>IFERROR(VLOOKUP($D1321,본공사입.출고현황!$B:$H,E$2080,0),0)</f>
        <v>Steel round bar</v>
      </c>
      <c r="F1321" s="18" t="str">
        <f>IFERROR(VLOOKUP($D1321,본공사입.출고현황!$B:$H,F$2080,0),0)</f>
        <v>Steel round bar(rebar)</v>
      </c>
      <c r="G1321" s="18" t="str">
        <f>IFERROR(VLOOKUP($D1321,본공사입.출고현황!$B:$H,G$2080,0),0)</f>
        <v>CCGG</v>
      </c>
      <c r="H1321" s="18" t="str">
        <f>IFERROR(VLOOKUP($D1321,본공사입.출고현황!$B:$H,H$2080,0),0)</f>
        <v>ф10, 1ton=1,620.7m</v>
      </c>
      <c r="I1321" s="56" t="str">
        <f>IFERROR(VLOOKUP($D1321,본공사입.출고현황!$B:$H,I$2080,0),0)</f>
        <v>M</v>
      </c>
      <c r="J1321" s="9">
        <v>1</v>
      </c>
      <c r="K1321" s="9" t="s">
        <v>363</v>
      </c>
      <c r="L1321" s="37">
        <v>20</v>
      </c>
      <c r="M1321" s="64" t="s">
        <v>408</v>
      </c>
      <c r="N1321" s="42"/>
    </row>
    <row r="1322" spans="1:14" ht="24" customHeight="1">
      <c r="A1322" s="8">
        <v>1278</v>
      </c>
      <c r="B1322" s="9">
        <v>1278</v>
      </c>
      <c r="C1322" s="46">
        <v>46075</v>
      </c>
      <c r="D1322" s="9" t="s">
        <v>238</v>
      </c>
      <c r="E1322" s="56" t="str">
        <f>IFERROR(VLOOKUP($D1322,본공사입.출고현황!$B:$H,E$2080,0),0)</f>
        <v>Steel round bar</v>
      </c>
      <c r="F1322" s="18" t="str">
        <f>IFERROR(VLOOKUP($D1322,본공사입.출고현황!$B:$H,F$2080,0),0)</f>
        <v>Steel round bar(rebar)</v>
      </c>
      <c r="G1322" s="18" t="str">
        <f>IFERROR(VLOOKUP($D1322,본공사입.출고현황!$B:$H,G$2080,0),0)</f>
        <v>CCGG</v>
      </c>
      <c r="H1322" s="18" t="str">
        <f>IFERROR(VLOOKUP($D1322,본공사입.출고현황!$B:$H,H$2080,0),0)</f>
        <v>ф10, 1ton=1,620.7m</v>
      </c>
      <c r="I1322" s="56" t="str">
        <f>IFERROR(VLOOKUP($D1322,본공사입.출고현황!$B:$H,I$2080,0),0)</f>
        <v>M</v>
      </c>
      <c r="J1322" s="9">
        <v>1</v>
      </c>
      <c r="K1322" s="9" t="s">
        <v>363</v>
      </c>
      <c r="L1322" s="37">
        <v>20</v>
      </c>
      <c r="M1322" s="64" t="s">
        <v>408</v>
      </c>
      <c r="N1322" s="42"/>
    </row>
    <row r="1323" spans="1:14" ht="24" customHeight="1">
      <c r="A1323" s="8">
        <v>1279</v>
      </c>
      <c r="B1323" s="9">
        <v>1279</v>
      </c>
      <c r="C1323" s="46">
        <v>46075</v>
      </c>
      <c r="D1323" s="9" t="s">
        <v>238</v>
      </c>
      <c r="E1323" s="56" t="str">
        <f>IFERROR(VLOOKUP($D1323,본공사입.출고현황!$B:$H,E$2080,0),0)</f>
        <v>Steel round bar</v>
      </c>
      <c r="F1323" s="18" t="str">
        <f>IFERROR(VLOOKUP($D1323,본공사입.출고현황!$B:$H,F$2080,0),0)</f>
        <v>Steel round bar(rebar)</v>
      </c>
      <c r="G1323" s="18" t="str">
        <f>IFERROR(VLOOKUP($D1323,본공사입.출고현황!$B:$H,G$2080,0),0)</f>
        <v>CCGG</v>
      </c>
      <c r="H1323" s="18" t="str">
        <f>IFERROR(VLOOKUP($D1323,본공사입.출고현황!$B:$H,H$2080,0),0)</f>
        <v>ф10, 1ton=1,620.7m</v>
      </c>
      <c r="I1323" s="56" t="str">
        <f>IFERROR(VLOOKUP($D1323,본공사입.출고현황!$B:$H,I$2080,0),0)</f>
        <v>M</v>
      </c>
      <c r="J1323" s="9">
        <v>2</v>
      </c>
      <c r="K1323" s="9" t="s">
        <v>360</v>
      </c>
      <c r="L1323" s="37">
        <v>50</v>
      </c>
      <c r="M1323" s="64" t="s">
        <v>408</v>
      </c>
      <c r="N1323" s="42"/>
    </row>
    <row r="1324" spans="1:14" ht="24" customHeight="1">
      <c r="A1324" s="8">
        <v>1280</v>
      </c>
      <c r="B1324" s="9">
        <v>1280</v>
      </c>
      <c r="C1324" s="46">
        <v>46075</v>
      </c>
      <c r="D1324" s="9" t="s">
        <v>238</v>
      </c>
      <c r="E1324" s="56" t="str">
        <f>IFERROR(VLOOKUP($D1324,본공사입.출고현황!$B:$H,E$2080,0),0)</f>
        <v>Steel round bar</v>
      </c>
      <c r="F1324" s="18" t="str">
        <f>IFERROR(VLOOKUP($D1324,본공사입.출고현황!$B:$H,F$2080,0),0)</f>
        <v>Steel round bar(rebar)</v>
      </c>
      <c r="G1324" s="18" t="str">
        <f>IFERROR(VLOOKUP($D1324,본공사입.출고현황!$B:$H,G$2080,0),0)</f>
        <v>CCGG</v>
      </c>
      <c r="H1324" s="18" t="str">
        <f>IFERROR(VLOOKUP($D1324,본공사입.출고현황!$B:$H,H$2080,0),0)</f>
        <v>ф10, 1ton=1,620.7m</v>
      </c>
      <c r="I1324" s="56" t="str">
        <f>IFERROR(VLOOKUP($D1324,본공사입.출고현황!$B:$H,I$2080,0),0)</f>
        <v>M</v>
      </c>
      <c r="J1324" s="9">
        <v>4</v>
      </c>
      <c r="K1324" s="9" t="s">
        <v>359</v>
      </c>
      <c r="L1324" s="37">
        <v>50</v>
      </c>
      <c r="M1324" s="64" t="s">
        <v>408</v>
      </c>
      <c r="N1324" s="42"/>
    </row>
    <row r="1325" spans="1:14" ht="24" customHeight="1">
      <c r="A1325" s="8">
        <v>1281</v>
      </c>
      <c r="B1325" s="9">
        <v>1281</v>
      </c>
      <c r="C1325" s="46">
        <v>46075</v>
      </c>
      <c r="D1325" s="9" t="s">
        <v>238</v>
      </c>
      <c r="E1325" s="56" t="str">
        <f>IFERROR(VLOOKUP($D1325,본공사입.출고현황!$B:$H,E$2080,0),0)</f>
        <v>Steel round bar</v>
      </c>
      <c r="F1325" s="18" t="str">
        <f>IFERROR(VLOOKUP($D1325,본공사입.출고현황!$B:$H,F$2080,0),0)</f>
        <v>Steel round bar(rebar)</v>
      </c>
      <c r="G1325" s="18" t="str">
        <f>IFERROR(VLOOKUP($D1325,본공사입.출고현황!$B:$H,G$2080,0),0)</f>
        <v>CCGG</v>
      </c>
      <c r="H1325" s="18" t="str">
        <f>IFERROR(VLOOKUP($D1325,본공사입.출고현황!$B:$H,H$2080,0),0)</f>
        <v>ф10, 1ton=1,620.7m</v>
      </c>
      <c r="I1325" s="56" t="str">
        <f>IFERROR(VLOOKUP($D1325,본공사입.출고현황!$B:$H,I$2080,0),0)</f>
        <v>M</v>
      </c>
      <c r="J1325" s="9">
        <v>1</v>
      </c>
      <c r="K1325" s="9" t="s">
        <v>352</v>
      </c>
      <c r="L1325" s="37">
        <v>25</v>
      </c>
      <c r="M1325" s="64" t="s">
        <v>408</v>
      </c>
      <c r="N1325" s="42"/>
    </row>
    <row r="1326" spans="1:14" ht="24" customHeight="1">
      <c r="A1326" s="8">
        <v>1282</v>
      </c>
      <c r="B1326" s="9">
        <v>1282</v>
      </c>
      <c r="C1326" s="46">
        <v>46076</v>
      </c>
      <c r="D1326" s="9" t="s">
        <v>238</v>
      </c>
      <c r="E1326" s="56" t="str">
        <f>IFERROR(VLOOKUP($D1326,본공사입.출고현황!$B:$H,E$2080,0),0)</f>
        <v>Steel round bar</v>
      </c>
      <c r="F1326" s="18" t="str">
        <f>IFERROR(VLOOKUP($D1326,본공사입.출고현황!$B:$H,F$2080,0),0)</f>
        <v>Steel round bar(rebar)</v>
      </c>
      <c r="G1326" s="18" t="str">
        <f>IFERROR(VLOOKUP($D1326,본공사입.출고현황!$B:$H,G$2080,0),0)</f>
        <v>CCGG</v>
      </c>
      <c r="H1326" s="18" t="str">
        <f>IFERROR(VLOOKUP($D1326,본공사입.출고현황!$B:$H,H$2080,0),0)</f>
        <v>ф10, 1ton=1,620.7m</v>
      </c>
      <c r="I1326" s="56" t="str">
        <f>IFERROR(VLOOKUP($D1326,본공사입.출고현황!$B:$H,I$2080,0),0)</f>
        <v>M</v>
      </c>
      <c r="J1326" s="9">
        <v>2</v>
      </c>
      <c r="K1326" s="9" t="s">
        <v>360</v>
      </c>
      <c r="L1326" s="37">
        <v>20</v>
      </c>
      <c r="M1326" s="64" t="s">
        <v>408</v>
      </c>
      <c r="N1326" s="42"/>
    </row>
    <row r="1327" spans="1:14" ht="24" customHeight="1">
      <c r="A1327" s="8">
        <v>1283</v>
      </c>
      <c r="B1327" s="9">
        <v>1283</v>
      </c>
      <c r="C1327" s="46">
        <v>46076</v>
      </c>
      <c r="D1327" s="9" t="s">
        <v>238</v>
      </c>
      <c r="E1327" s="56" t="str">
        <f>IFERROR(VLOOKUP($D1327,본공사입.출고현황!$B:$H,E$2080,0),0)</f>
        <v>Steel round bar</v>
      </c>
      <c r="F1327" s="18" t="str">
        <f>IFERROR(VLOOKUP($D1327,본공사입.출고현황!$B:$H,F$2080,0),0)</f>
        <v>Steel round bar(rebar)</v>
      </c>
      <c r="G1327" s="18" t="str">
        <f>IFERROR(VLOOKUP($D1327,본공사입.출고현황!$B:$H,G$2080,0),0)</f>
        <v>CCGG</v>
      </c>
      <c r="H1327" s="18" t="str">
        <f>IFERROR(VLOOKUP($D1327,본공사입.출고현황!$B:$H,H$2080,0),0)</f>
        <v>ф10, 1ton=1,620.7m</v>
      </c>
      <c r="I1327" s="56" t="str">
        <f>IFERROR(VLOOKUP($D1327,본공사입.출고현황!$B:$H,I$2080,0),0)</f>
        <v>M</v>
      </c>
      <c r="J1327" s="9">
        <v>1</v>
      </c>
      <c r="K1327" s="9" t="s">
        <v>352</v>
      </c>
      <c r="L1327" s="37">
        <v>30</v>
      </c>
      <c r="M1327" s="64" t="s">
        <v>408</v>
      </c>
      <c r="N1327" s="42"/>
    </row>
    <row r="1328" spans="1:14" ht="24" customHeight="1">
      <c r="A1328" s="8">
        <v>1284</v>
      </c>
      <c r="B1328" s="9">
        <v>1284</v>
      </c>
      <c r="C1328" s="46">
        <v>46076</v>
      </c>
      <c r="D1328" s="9" t="s">
        <v>238</v>
      </c>
      <c r="E1328" s="56" t="str">
        <f>IFERROR(VLOOKUP($D1328,본공사입.출고현황!$B:$H,E$2080,0),0)</f>
        <v>Steel round bar</v>
      </c>
      <c r="F1328" s="18" t="str">
        <f>IFERROR(VLOOKUP($D1328,본공사입.출고현황!$B:$H,F$2080,0),0)</f>
        <v>Steel round bar(rebar)</v>
      </c>
      <c r="G1328" s="18" t="str">
        <f>IFERROR(VLOOKUP($D1328,본공사입.출고현황!$B:$H,G$2080,0),0)</f>
        <v>CCGG</v>
      </c>
      <c r="H1328" s="18" t="str">
        <f>IFERROR(VLOOKUP($D1328,본공사입.출고현황!$B:$H,H$2080,0),0)</f>
        <v>ф10, 1ton=1,620.7m</v>
      </c>
      <c r="I1328" s="56" t="str">
        <f>IFERROR(VLOOKUP($D1328,본공사입.출고현황!$B:$H,I$2080,0),0)</f>
        <v>M</v>
      </c>
      <c r="J1328" s="9">
        <v>1</v>
      </c>
      <c r="K1328" s="9" t="s">
        <v>363</v>
      </c>
      <c r="L1328" s="37">
        <v>25</v>
      </c>
      <c r="M1328" s="64" t="s">
        <v>408</v>
      </c>
      <c r="N1328" s="42"/>
    </row>
    <row r="1329" spans="1:14" ht="24" customHeight="1">
      <c r="A1329" s="8">
        <v>1285</v>
      </c>
      <c r="B1329" s="9">
        <v>1285</v>
      </c>
      <c r="C1329" s="46">
        <v>46076</v>
      </c>
      <c r="D1329" s="9" t="s">
        <v>238</v>
      </c>
      <c r="E1329" s="56" t="str">
        <f>IFERROR(VLOOKUP($D1329,본공사입.출고현황!$B:$H,E$2080,0),0)</f>
        <v>Steel round bar</v>
      </c>
      <c r="F1329" s="18" t="str">
        <f>IFERROR(VLOOKUP($D1329,본공사입.출고현황!$B:$H,F$2080,0),0)</f>
        <v>Steel round bar(rebar)</v>
      </c>
      <c r="G1329" s="18" t="str">
        <f>IFERROR(VLOOKUP($D1329,본공사입.출고현황!$B:$H,G$2080,0),0)</f>
        <v>CCGG</v>
      </c>
      <c r="H1329" s="18" t="str">
        <f>IFERROR(VLOOKUP($D1329,본공사입.출고현황!$B:$H,H$2080,0),0)</f>
        <v>ф10, 1ton=1,620.7m</v>
      </c>
      <c r="I1329" s="56" t="str">
        <f>IFERROR(VLOOKUP($D1329,본공사입.출고현황!$B:$H,I$2080,0),0)</f>
        <v>M</v>
      </c>
      <c r="J1329" s="9">
        <v>1</v>
      </c>
      <c r="K1329" s="9" t="s">
        <v>545</v>
      </c>
      <c r="L1329" s="37">
        <v>15</v>
      </c>
      <c r="M1329" s="64" t="s">
        <v>408</v>
      </c>
      <c r="N1329" s="42"/>
    </row>
    <row r="1330" spans="1:14" ht="24" customHeight="1">
      <c r="A1330" s="8">
        <v>1286</v>
      </c>
      <c r="B1330" s="9">
        <v>1286</v>
      </c>
      <c r="C1330" s="46">
        <v>46076</v>
      </c>
      <c r="D1330" s="9" t="s">
        <v>238</v>
      </c>
      <c r="E1330" s="56" t="str">
        <f>IFERROR(VLOOKUP($D1330,본공사입.출고현황!$B:$H,E$2080,0),0)</f>
        <v>Steel round bar</v>
      </c>
      <c r="F1330" s="18" t="str">
        <f>IFERROR(VLOOKUP($D1330,본공사입.출고현황!$B:$H,F$2080,0),0)</f>
        <v>Steel round bar(rebar)</v>
      </c>
      <c r="G1330" s="18" t="str">
        <f>IFERROR(VLOOKUP($D1330,본공사입.출고현황!$B:$H,G$2080,0),0)</f>
        <v>CCGG</v>
      </c>
      <c r="H1330" s="18" t="str">
        <f>IFERROR(VLOOKUP($D1330,본공사입.출고현황!$B:$H,H$2080,0),0)</f>
        <v>ф10, 1ton=1,620.7m</v>
      </c>
      <c r="I1330" s="56" t="str">
        <f>IFERROR(VLOOKUP($D1330,본공사입.출고현황!$B:$H,I$2080,0),0)</f>
        <v>M</v>
      </c>
      <c r="J1330" s="9">
        <v>2</v>
      </c>
      <c r="K1330" s="9" t="s">
        <v>241</v>
      </c>
      <c r="L1330" s="37">
        <v>30</v>
      </c>
      <c r="M1330" s="64" t="s">
        <v>408</v>
      </c>
      <c r="N1330" s="42"/>
    </row>
    <row r="1331" spans="1:14" ht="24" customHeight="1">
      <c r="A1331" s="8">
        <v>1287</v>
      </c>
      <c r="B1331" s="9">
        <v>1287</v>
      </c>
      <c r="C1331" s="46">
        <v>46076</v>
      </c>
      <c r="D1331" s="9" t="s">
        <v>238</v>
      </c>
      <c r="E1331" s="56" t="str">
        <f>IFERROR(VLOOKUP($D1331,본공사입.출고현황!$B:$H,E$2080,0),0)</f>
        <v>Steel round bar</v>
      </c>
      <c r="F1331" s="18" t="str">
        <f>IFERROR(VLOOKUP($D1331,본공사입.출고현황!$B:$H,F$2080,0),0)</f>
        <v>Steel round bar(rebar)</v>
      </c>
      <c r="G1331" s="18" t="str">
        <f>IFERROR(VLOOKUP($D1331,본공사입.출고현황!$B:$H,G$2080,0),0)</f>
        <v>CCGG</v>
      </c>
      <c r="H1331" s="18" t="str">
        <f>IFERROR(VLOOKUP($D1331,본공사입.출고현황!$B:$H,H$2080,0),0)</f>
        <v>ф10, 1ton=1,620.7m</v>
      </c>
      <c r="I1331" s="56" t="str">
        <f>IFERROR(VLOOKUP($D1331,본공사입.출고현황!$B:$H,I$2080,0),0)</f>
        <v>M</v>
      </c>
      <c r="J1331" s="9">
        <v>1</v>
      </c>
      <c r="K1331" s="9" t="s">
        <v>352</v>
      </c>
      <c r="L1331" s="37">
        <v>30</v>
      </c>
      <c r="M1331" s="64" t="s">
        <v>408</v>
      </c>
      <c r="N1331" s="42"/>
    </row>
    <row r="1332" spans="1:14" ht="24" customHeight="1">
      <c r="A1332" s="8">
        <v>1288</v>
      </c>
      <c r="B1332" s="9">
        <v>1288</v>
      </c>
      <c r="C1332" s="46">
        <v>46076</v>
      </c>
      <c r="D1332" s="9" t="s">
        <v>238</v>
      </c>
      <c r="E1332" s="56" t="str">
        <f>IFERROR(VLOOKUP($D1332,본공사입.출고현황!$B:$H,E$2080,0),0)</f>
        <v>Steel round bar</v>
      </c>
      <c r="F1332" s="18" t="str">
        <f>IFERROR(VLOOKUP($D1332,본공사입.출고현황!$B:$H,F$2080,0),0)</f>
        <v>Steel round bar(rebar)</v>
      </c>
      <c r="G1332" s="18" t="str">
        <f>IFERROR(VLOOKUP($D1332,본공사입.출고현황!$B:$H,G$2080,0),0)</f>
        <v>CCGG</v>
      </c>
      <c r="H1332" s="18" t="str">
        <f>IFERROR(VLOOKUP($D1332,본공사입.출고현황!$B:$H,H$2080,0),0)</f>
        <v>ф10, 1ton=1,620.7m</v>
      </c>
      <c r="I1332" s="56" t="str">
        <f>IFERROR(VLOOKUP($D1332,본공사입.출고현황!$B:$H,I$2080,0),0)</f>
        <v>M</v>
      </c>
      <c r="J1332" s="9">
        <v>1</v>
      </c>
      <c r="K1332" s="9" t="s">
        <v>363</v>
      </c>
      <c r="L1332" s="37">
        <v>20</v>
      </c>
      <c r="M1332" s="64" t="s">
        <v>408</v>
      </c>
      <c r="N1332" s="42"/>
    </row>
    <row r="1333" spans="1:14" ht="24" customHeight="1">
      <c r="A1333" s="8">
        <v>1289</v>
      </c>
      <c r="B1333" s="9">
        <v>1289</v>
      </c>
      <c r="C1333" s="46">
        <v>46076</v>
      </c>
      <c r="D1333" s="9" t="s">
        <v>238</v>
      </c>
      <c r="E1333" s="56" t="str">
        <f>IFERROR(VLOOKUP($D1333,본공사입.출고현황!$B:$H,E$2080,0),0)</f>
        <v>Steel round bar</v>
      </c>
      <c r="F1333" s="18" t="str">
        <f>IFERROR(VLOOKUP($D1333,본공사입.출고현황!$B:$H,F$2080,0),0)</f>
        <v>Steel round bar(rebar)</v>
      </c>
      <c r="G1333" s="18" t="str">
        <f>IFERROR(VLOOKUP($D1333,본공사입.출고현황!$B:$H,G$2080,0),0)</f>
        <v>CCGG</v>
      </c>
      <c r="H1333" s="18" t="str">
        <f>IFERROR(VLOOKUP($D1333,본공사입.출고현황!$B:$H,H$2080,0),0)</f>
        <v>ф10, 1ton=1,620.7m</v>
      </c>
      <c r="I1333" s="56" t="str">
        <f>IFERROR(VLOOKUP($D1333,본공사입.출고현황!$B:$H,I$2080,0),0)</f>
        <v>M</v>
      </c>
      <c r="J1333" s="9">
        <v>1</v>
      </c>
      <c r="K1333" s="9" t="s">
        <v>363</v>
      </c>
      <c r="L1333" s="37">
        <v>20</v>
      </c>
      <c r="M1333" s="64" t="s">
        <v>408</v>
      </c>
      <c r="N1333" s="42"/>
    </row>
    <row r="1334" spans="1:14" ht="24" customHeight="1">
      <c r="A1334" s="8">
        <v>1290</v>
      </c>
      <c r="B1334" s="9">
        <v>1290</v>
      </c>
      <c r="C1334" s="46">
        <v>46076</v>
      </c>
      <c r="D1334" s="9" t="s">
        <v>238</v>
      </c>
      <c r="E1334" s="56" t="str">
        <f>IFERROR(VLOOKUP($D1334,본공사입.출고현황!$B:$H,E$2080,0),0)</f>
        <v>Steel round bar</v>
      </c>
      <c r="F1334" s="18" t="str">
        <f>IFERROR(VLOOKUP($D1334,본공사입.출고현황!$B:$H,F$2080,0),0)</f>
        <v>Steel round bar(rebar)</v>
      </c>
      <c r="G1334" s="18" t="str">
        <f>IFERROR(VLOOKUP($D1334,본공사입.출고현황!$B:$H,G$2080,0),0)</f>
        <v>CCGG</v>
      </c>
      <c r="H1334" s="18" t="str">
        <f>IFERROR(VLOOKUP($D1334,본공사입.출고현황!$B:$H,H$2080,0),0)</f>
        <v>ф10, 1ton=1,620.7m</v>
      </c>
      <c r="I1334" s="56" t="str">
        <f>IFERROR(VLOOKUP($D1334,본공사입.출고현황!$B:$H,I$2080,0),0)</f>
        <v>M</v>
      </c>
      <c r="J1334" s="9">
        <v>2</v>
      </c>
      <c r="K1334" s="9" t="s">
        <v>360</v>
      </c>
      <c r="L1334" s="37">
        <v>50</v>
      </c>
      <c r="M1334" s="64" t="s">
        <v>408</v>
      </c>
      <c r="N1334" s="42"/>
    </row>
    <row r="1335" spans="1:14" ht="24" customHeight="1">
      <c r="A1335" s="8">
        <v>1291</v>
      </c>
      <c r="B1335" s="9">
        <v>1291</v>
      </c>
      <c r="C1335" s="46">
        <v>46076</v>
      </c>
      <c r="D1335" s="9" t="s">
        <v>238</v>
      </c>
      <c r="E1335" s="56" t="str">
        <f>IFERROR(VLOOKUP($D1335,본공사입.출고현황!$B:$H,E$2080,0),0)</f>
        <v>Steel round bar</v>
      </c>
      <c r="F1335" s="18" t="str">
        <f>IFERROR(VLOOKUP($D1335,본공사입.출고현황!$B:$H,F$2080,0),0)</f>
        <v>Steel round bar(rebar)</v>
      </c>
      <c r="G1335" s="18" t="str">
        <f>IFERROR(VLOOKUP($D1335,본공사입.출고현황!$B:$H,G$2080,0),0)</f>
        <v>CCGG</v>
      </c>
      <c r="H1335" s="18" t="str">
        <f>IFERROR(VLOOKUP($D1335,본공사입.출고현황!$B:$H,H$2080,0),0)</f>
        <v>ф10, 1ton=1,620.7m</v>
      </c>
      <c r="I1335" s="56" t="str">
        <f>IFERROR(VLOOKUP($D1335,본공사입.출고현황!$B:$H,I$2080,0),0)</f>
        <v>M</v>
      </c>
      <c r="J1335" s="9">
        <v>4</v>
      </c>
      <c r="K1335" s="9" t="s">
        <v>359</v>
      </c>
      <c r="L1335" s="37">
        <v>50</v>
      </c>
      <c r="M1335" s="64" t="s">
        <v>408</v>
      </c>
      <c r="N1335" s="42"/>
    </row>
    <row r="1336" spans="1:14" ht="24" customHeight="1">
      <c r="A1336" s="8">
        <v>1292</v>
      </c>
      <c r="B1336" s="9">
        <v>1292</v>
      </c>
      <c r="C1336" s="46">
        <v>46076</v>
      </c>
      <c r="D1336" s="9" t="s">
        <v>238</v>
      </c>
      <c r="E1336" s="56" t="str">
        <f>IFERROR(VLOOKUP($D1336,본공사입.출고현황!$B:$H,E$2080,0),0)</f>
        <v>Steel round bar</v>
      </c>
      <c r="F1336" s="18" t="str">
        <f>IFERROR(VLOOKUP($D1336,본공사입.출고현황!$B:$H,F$2080,0),0)</f>
        <v>Steel round bar(rebar)</v>
      </c>
      <c r="G1336" s="18" t="str">
        <f>IFERROR(VLOOKUP($D1336,본공사입.출고현황!$B:$H,G$2080,0),0)</f>
        <v>CCGG</v>
      </c>
      <c r="H1336" s="18" t="str">
        <f>IFERROR(VLOOKUP($D1336,본공사입.출고현황!$B:$H,H$2080,0),0)</f>
        <v>ф10, 1ton=1,620.7m</v>
      </c>
      <c r="I1336" s="56" t="str">
        <f>IFERROR(VLOOKUP($D1336,본공사입.출고현황!$B:$H,I$2080,0),0)</f>
        <v>M</v>
      </c>
      <c r="J1336" s="9">
        <v>1</v>
      </c>
      <c r="K1336" s="9" t="s">
        <v>352</v>
      </c>
      <c r="L1336" s="37">
        <v>25</v>
      </c>
      <c r="M1336" s="64" t="s">
        <v>408</v>
      </c>
      <c r="N1336" s="42"/>
    </row>
    <row r="1337" spans="1:14" ht="24" customHeight="1">
      <c r="A1337" s="8">
        <v>1293</v>
      </c>
      <c r="B1337" s="9">
        <v>1293</v>
      </c>
      <c r="C1337" s="46">
        <v>46076</v>
      </c>
      <c r="D1337" s="9" t="s">
        <v>238</v>
      </c>
      <c r="E1337" s="56" t="str">
        <f>IFERROR(VLOOKUP($D1337,본공사입.출고현황!$B:$H,E$2080,0),0)</f>
        <v>Steel round bar</v>
      </c>
      <c r="F1337" s="18" t="str">
        <f>IFERROR(VLOOKUP($D1337,본공사입.출고현황!$B:$H,F$2080,0),0)</f>
        <v>Steel round bar(rebar)</v>
      </c>
      <c r="G1337" s="18" t="str">
        <f>IFERROR(VLOOKUP($D1337,본공사입.출고현황!$B:$H,G$2080,0),0)</f>
        <v>CCGG</v>
      </c>
      <c r="H1337" s="18" t="str">
        <f>IFERROR(VLOOKUP($D1337,본공사입.출고현황!$B:$H,H$2080,0),0)</f>
        <v>ф10, 1ton=1,620.7m</v>
      </c>
      <c r="I1337" s="56" t="str">
        <f>IFERROR(VLOOKUP($D1337,본공사입.출고현황!$B:$H,I$2080,0),0)</f>
        <v>M</v>
      </c>
      <c r="J1337" s="9">
        <v>1</v>
      </c>
      <c r="K1337" s="9" t="s">
        <v>352</v>
      </c>
      <c r="L1337" s="37">
        <v>30</v>
      </c>
      <c r="M1337" s="64" t="s">
        <v>408</v>
      </c>
      <c r="N1337" s="42"/>
    </row>
    <row r="1338" spans="1:14" ht="24" customHeight="1">
      <c r="A1338" s="8">
        <v>1294</v>
      </c>
      <c r="B1338" s="9">
        <v>1294</v>
      </c>
      <c r="C1338" s="46">
        <v>46076</v>
      </c>
      <c r="D1338" s="9" t="s">
        <v>238</v>
      </c>
      <c r="E1338" s="56" t="str">
        <f>IFERROR(VLOOKUP($D1338,본공사입.출고현황!$B:$H,E$2080,0),0)</f>
        <v>Steel round bar</v>
      </c>
      <c r="F1338" s="18" t="str">
        <f>IFERROR(VLOOKUP($D1338,본공사입.출고현황!$B:$H,F$2080,0),0)</f>
        <v>Steel round bar(rebar)</v>
      </c>
      <c r="G1338" s="18" t="str">
        <f>IFERROR(VLOOKUP($D1338,본공사입.출고현황!$B:$H,G$2080,0),0)</f>
        <v>CCGG</v>
      </c>
      <c r="H1338" s="18" t="str">
        <f>IFERROR(VLOOKUP($D1338,본공사입.출고현황!$B:$H,H$2080,0),0)</f>
        <v>ф10, 1ton=1,620.7m</v>
      </c>
      <c r="I1338" s="56" t="str">
        <f>IFERROR(VLOOKUP($D1338,본공사입.출고현황!$B:$H,I$2080,0),0)</f>
        <v>M</v>
      </c>
      <c r="J1338" s="9">
        <v>2</v>
      </c>
      <c r="K1338" s="9" t="s">
        <v>360</v>
      </c>
      <c r="L1338" s="37">
        <v>50</v>
      </c>
      <c r="M1338" s="64" t="s">
        <v>408</v>
      </c>
      <c r="N1338" s="42"/>
    </row>
    <row r="1339" spans="1:14" ht="24" customHeight="1">
      <c r="A1339" s="8">
        <v>1295</v>
      </c>
      <c r="B1339" s="9">
        <v>1295</v>
      </c>
      <c r="C1339" s="46">
        <v>46076</v>
      </c>
      <c r="D1339" s="9" t="s">
        <v>238</v>
      </c>
      <c r="E1339" s="56" t="str">
        <f>IFERROR(VLOOKUP($D1339,본공사입.출고현황!$B:$H,E$2080,0),0)</f>
        <v>Steel round bar</v>
      </c>
      <c r="F1339" s="18" t="str">
        <f>IFERROR(VLOOKUP($D1339,본공사입.출고현황!$B:$H,F$2080,0),0)</f>
        <v>Steel round bar(rebar)</v>
      </c>
      <c r="G1339" s="18" t="str">
        <f>IFERROR(VLOOKUP($D1339,본공사입.출고현황!$B:$H,G$2080,0),0)</f>
        <v>CCGG</v>
      </c>
      <c r="H1339" s="18" t="str">
        <f>IFERROR(VLOOKUP($D1339,본공사입.출고현황!$B:$H,H$2080,0),0)</f>
        <v>ф10, 1ton=1,620.7m</v>
      </c>
      <c r="I1339" s="56" t="str">
        <f>IFERROR(VLOOKUP($D1339,본공사입.출고현황!$B:$H,I$2080,0),0)</f>
        <v>M</v>
      </c>
      <c r="J1339" s="9">
        <v>1</v>
      </c>
      <c r="K1339" s="9" t="s">
        <v>352</v>
      </c>
      <c r="L1339" s="37">
        <v>25</v>
      </c>
      <c r="M1339" s="64" t="s">
        <v>408</v>
      </c>
      <c r="N1339" s="42"/>
    </row>
    <row r="1340" spans="1:14" ht="24" customHeight="1">
      <c r="A1340" s="8">
        <v>1296</v>
      </c>
      <c r="B1340" s="9">
        <v>1296</v>
      </c>
      <c r="C1340" s="46">
        <v>46076</v>
      </c>
      <c r="D1340" s="9" t="s">
        <v>238</v>
      </c>
      <c r="E1340" s="56" t="str">
        <f>IFERROR(VLOOKUP($D1340,본공사입.출고현황!$B:$H,E$2080,0),0)</f>
        <v>Steel round bar</v>
      </c>
      <c r="F1340" s="18" t="str">
        <f>IFERROR(VLOOKUP($D1340,본공사입.출고현황!$B:$H,F$2080,0),0)</f>
        <v>Steel round bar(rebar)</v>
      </c>
      <c r="G1340" s="18" t="str">
        <f>IFERROR(VLOOKUP($D1340,본공사입.출고현황!$B:$H,G$2080,0),0)</f>
        <v>CCGG</v>
      </c>
      <c r="H1340" s="18" t="str">
        <f>IFERROR(VLOOKUP($D1340,본공사입.출고현황!$B:$H,H$2080,0),0)</f>
        <v>ф10, 1ton=1,620.7m</v>
      </c>
      <c r="I1340" s="56" t="str">
        <f>IFERROR(VLOOKUP($D1340,본공사입.출고현황!$B:$H,I$2080,0),0)</f>
        <v>M</v>
      </c>
      <c r="J1340" s="9">
        <v>1</v>
      </c>
      <c r="K1340" s="9" t="s">
        <v>363</v>
      </c>
      <c r="L1340" s="37">
        <v>70</v>
      </c>
      <c r="M1340" s="64" t="s">
        <v>408</v>
      </c>
      <c r="N1340" s="42"/>
    </row>
    <row r="1341" spans="1:14" ht="24" customHeight="1">
      <c r="A1341" s="8">
        <v>1297</v>
      </c>
      <c r="B1341" s="9">
        <v>1297</v>
      </c>
      <c r="C1341" s="46">
        <v>46076</v>
      </c>
      <c r="D1341" s="9" t="s">
        <v>238</v>
      </c>
      <c r="E1341" s="56" t="str">
        <f>IFERROR(VLOOKUP($D1341,본공사입.출고현황!$B:$H,E$2080,0),0)</f>
        <v>Steel round bar</v>
      </c>
      <c r="F1341" s="18" t="str">
        <f>IFERROR(VLOOKUP($D1341,본공사입.출고현황!$B:$H,F$2080,0),0)</f>
        <v>Steel round bar(rebar)</v>
      </c>
      <c r="G1341" s="18" t="str">
        <f>IFERROR(VLOOKUP($D1341,본공사입.출고현황!$B:$H,G$2080,0),0)</f>
        <v>CCGG</v>
      </c>
      <c r="H1341" s="18" t="str">
        <f>IFERROR(VLOOKUP($D1341,본공사입.출고현황!$B:$H,H$2080,0),0)</f>
        <v>ф10, 1ton=1,620.7m</v>
      </c>
      <c r="I1341" s="56" t="str">
        <f>IFERROR(VLOOKUP($D1341,본공사입.출고현황!$B:$H,I$2080,0),0)</f>
        <v>M</v>
      </c>
      <c r="J1341" s="9">
        <v>1</v>
      </c>
      <c r="K1341" s="9" t="s">
        <v>547</v>
      </c>
      <c r="L1341" s="37">
        <v>20</v>
      </c>
      <c r="M1341" s="64" t="s">
        <v>408</v>
      </c>
      <c r="N1341" s="42"/>
    </row>
    <row r="1342" spans="1:14" ht="24" customHeight="1">
      <c r="A1342" s="8">
        <v>1298</v>
      </c>
      <c r="B1342" s="9">
        <v>1298</v>
      </c>
      <c r="C1342" s="46">
        <v>46077</v>
      </c>
      <c r="D1342" s="9" t="s">
        <v>238</v>
      </c>
      <c r="E1342" s="56" t="str">
        <f>IFERROR(VLOOKUP($D1342,본공사입.출고현황!$B:$H,E$2080,0),0)</f>
        <v>Steel round bar</v>
      </c>
      <c r="F1342" s="18" t="str">
        <f>IFERROR(VLOOKUP($D1342,본공사입.출고현황!$B:$H,F$2080,0),0)</f>
        <v>Steel round bar(rebar)</v>
      </c>
      <c r="G1342" s="18" t="str">
        <f>IFERROR(VLOOKUP($D1342,본공사입.출고현황!$B:$H,G$2080,0),0)</f>
        <v>CCGG</v>
      </c>
      <c r="H1342" s="18" t="str">
        <f>IFERROR(VLOOKUP($D1342,본공사입.출고현황!$B:$H,H$2080,0),0)</f>
        <v>ф10, 1ton=1,620.7m</v>
      </c>
      <c r="I1342" s="56" t="str">
        <f>IFERROR(VLOOKUP($D1342,본공사입.출고현황!$B:$H,I$2080,0),0)</f>
        <v>M</v>
      </c>
      <c r="J1342" s="9">
        <v>3</v>
      </c>
      <c r="K1342" s="9" t="s">
        <v>550</v>
      </c>
      <c r="L1342" s="37">
        <v>15</v>
      </c>
      <c r="M1342" s="64" t="s">
        <v>408</v>
      </c>
      <c r="N1342" s="42"/>
    </row>
    <row r="1343" spans="1:14" ht="24" customHeight="1">
      <c r="A1343" s="8">
        <v>1299</v>
      </c>
      <c r="B1343" s="9">
        <v>1299</v>
      </c>
      <c r="C1343" s="46">
        <v>46077</v>
      </c>
      <c r="D1343" s="9" t="s">
        <v>238</v>
      </c>
      <c r="E1343" s="56" t="str">
        <f>IFERROR(VLOOKUP($D1343,본공사입.출고현황!$B:$H,E$2080,0),0)</f>
        <v>Steel round bar</v>
      </c>
      <c r="F1343" s="18" t="str">
        <f>IFERROR(VLOOKUP($D1343,본공사입.출고현황!$B:$H,F$2080,0),0)</f>
        <v>Steel round bar(rebar)</v>
      </c>
      <c r="G1343" s="18" t="str">
        <f>IFERROR(VLOOKUP($D1343,본공사입.출고현황!$B:$H,G$2080,0),0)</f>
        <v>CCGG</v>
      </c>
      <c r="H1343" s="18" t="str">
        <f>IFERROR(VLOOKUP($D1343,본공사입.출고현황!$B:$H,H$2080,0),0)</f>
        <v>ф10, 1ton=1,620.7m</v>
      </c>
      <c r="I1343" s="56" t="str">
        <f>IFERROR(VLOOKUP($D1343,본공사입.출고현황!$B:$H,I$2080,0),0)</f>
        <v>M</v>
      </c>
      <c r="J1343" s="9">
        <v>1</v>
      </c>
      <c r="K1343" s="9" t="s">
        <v>363</v>
      </c>
      <c r="L1343" s="37">
        <v>40</v>
      </c>
      <c r="M1343" s="64" t="s">
        <v>408</v>
      </c>
      <c r="N1343" s="42"/>
    </row>
    <row r="1344" spans="1:14" ht="24" customHeight="1">
      <c r="A1344" s="8">
        <v>1300</v>
      </c>
      <c r="B1344" s="9">
        <v>1300</v>
      </c>
      <c r="C1344" s="46">
        <v>46077</v>
      </c>
      <c r="D1344" s="9" t="s">
        <v>238</v>
      </c>
      <c r="E1344" s="56" t="str">
        <f>IFERROR(VLOOKUP($D1344,본공사입.출고현황!$B:$H,E$2080,0),0)</f>
        <v>Steel round bar</v>
      </c>
      <c r="F1344" s="18" t="str">
        <f>IFERROR(VLOOKUP($D1344,본공사입.출고현황!$B:$H,F$2080,0),0)</f>
        <v>Steel round bar(rebar)</v>
      </c>
      <c r="G1344" s="18" t="str">
        <f>IFERROR(VLOOKUP($D1344,본공사입.출고현황!$B:$H,G$2080,0),0)</f>
        <v>CCGG</v>
      </c>
      <c r="H1344" s="18" t="str">
        <f>IFERROR(VLOOKUP($D1344,본공사입.출고현황!$B:$H,H$2080,0),0)</f>
        <v>ф10, 1ton=1,620.7m</v>
      </c>
      <c r="I1344" s="56" t="str">
        <f>IFERROR(VLOOKUP($D1344,본공사입.출고현황!$B:$H,I$2080,0),0)</f>
        <v>M</v>
      </c>
      <c r="J1344" s="9">
        <v>1</v>
      </c>
      <c r="K1344" s="9" t="s">
        <v>547</v>
      </c>
      <c r="L1344" s="37">
        <v>20</v>
      </c>
      <c r="M1344" s="64" t="s">
        <v>408</v>
      </c>
      <c r="N1344" s="42"/>
    </row>
    <row r="1345" spans="1:14" ht="24" customHeight="1">
      <c r="A1345" s="8">
        <v>1301</v>
      </c>
      <c r="B1345" s="9">
        <v>1301</v>
      </c>
      <c r="C1345" s="46">
        <v>46077</v>
      </c>
      <c r="D1345" s="9" t="s">
        <v>238</v>
      </c>
      <c r="E1345" s="56" t="str">
        <f>IFERROR(VLOOKUP($D1345,본공사입.출고현황!$B:$H,E$2080,0),0)</f>
        <v>Steel round bar</v>
      </c>
      <c r="F1345" s="18" t="str">
        <f>IFERROR(VLOOKUP($D1345,본공사입.출고현황!$B:$H,F$2080,0),0)</f>
        <v>Steel round bar(rebar)</v>
      </c>
      <c r="G1345" s="18" t="str">
        <f>IFERROR(VLOOKUP($D1345,본공사입.출고현황!$B:$H,G$2080,0),0)</f>
        <v>CCGG</v>
      </c>
      <c r="H1345" s="18" t="str">
        <f>IFERROR(VLOOKUP($D1345,본공사입.출고현황!$B:$H,H$2080,0),0)</f>
        <v>ф10, 1ton=1,620.7m</v>
      </c>
      <c r="I1345" s="56" t="str">
        <f>IFERROR(VLOOKUP($D1345,본공사입.출고현황!$B:$H,I$2080,0),0)</f>
        <v>M</v>
      </c>
      <c r="J1345" s="9">
        <v>1</v>
      </c>
      <c r="K1345" s="9" t="s">
        <v>363</v>
      </c>
      <c r="L1345" s="37">
        <v>20</v>
      </c>
      <c r="M1345" s="64" t="s">
        <v>408</v>
      </c>
      <c r="N1345" s="42"/>
    </row>
    <row r="1346" spans="1:14" ht="24" customHeight="1">
      <c r="A1346" s="8">
        <v>1302</v>
      </c>
      <c r="B1346" s="9">
        <v>1302</v>
      </c>
      <c r="C1346" s="46">
        <v>46077</v>
      </c>
      <c r="D1346" s="9" t="s">
        <v>238</v>
      </c>
      <c r="E1346" s="56" t="str">
        <f>IFERROR(VLOOKUP($D1346,본공사입.출고현황!$B:$H,E$2080,0),0)</f>
        <v>Steel round bar</v>
      </c>
      <c r="F1346" s="18" t="str">
        <f>IFERROR(VLOOKUP($D1346,본공사입.출고현황!$B:$H,F$2080,0),0)</f>
        <v>Steel round bar(rebar)</v>
      </c>
      <c r="G1346" s="18" t="str">
        <f>IFERROR(VLOOKUP($D1346,본공사입.출고현황!$B:$H,G$2080,0),0)</f>
        <v>CCGG</v>
      </c>
      <c r="H1346" s="18" t="str">
        <f>IFERROR(VLOOKUP($D1346,본공사입.출고현황!$B:$H,H$2080,0),0)</f>
        <v>ф10, 1ton=1,620.7m</v>
      </c>
      <c r="I1346" s="56" t="str">
        <f>IFERROR(VLOOKUP($D1346,본공사입.출고현황!$B:$H,I$2080,0),0)</f>
        <v>M</v>
      </c>
      <c r="J1346" s="9">
        <v>3</v>
      </c>
      <c r="K1346" s="9" t="s">
        <v>550</v>
      </c>
      <c r="L1346" s="37">
        <v>20</v>
      </c>
      <c r="M1346" s="64" t="s">
        <v>408</v>
      </c>
      <c r="N1346" s="42"/>
    </row>
    <row r="1347" spans="1:14" ht="24" customHeight="1">
      <c r="A1347" s="8">
        <v>1303</v>
      </c>
      <c r="B1347" s="9">
        <v>1303</v>
      </c>
      <c r="C1347" s="46">
        <v>46077</v>
      </c>
      <c r="D1347" s="9" t="s">
        <v>238</v>
      </c>
      <c r="E1347" s="56" t="str">
        <f>IFERROR(VLOOKUP($D1347,본공사입.출고현황!$B:$H,E$2080,0),0)</f>
        <v>Steel round bar</v>
      </c>
      <c r="F1347" s="18" t="str">
        <f>IFERROR(VLOOKUP($D1347,본공사입.출고현황!$B:$H,F$2080,0),0)</f>
        <v>Steel round bar(rebar)</v>
      </c>
      <c r="G1347" s="18" t="str">
        <f>IFERROR(VLOOKUP($D1347,본공사입.출고현황!$B:$H,G$2080,0),0)</f>
        <v>CCGG</v>
      </c>
      <c r="H1347" s="18" t="str">
        <f>IFERROR(VLOOKUP($D1347,본공사입.출고현황!$B:$H,H$2080,0),0)</f>
        <v>ф10, 1ton=1,620.7m</v>
      </c>
      <c r="I1347" s="56" t="str">
        <f>IFERROR(VLOOKUP($D1347,본공사입.출고현황!$B:$H,I$2080,0),0)</f>
        <v>M</v>
      </c>
      <c r="J1347" s="9">
        <v>2</v>
      </c>
      <c r="K1347" s="9" t="s">
        <v>360</v>
      </c>
      <c r="L1347" s="37">
        <v>25</v>
      </c>
      <c r="M1347" s="64" t="s">
        <v>408</v>
      </c>
      <c r="N1347" s="42"/>
    </row>
    <row r="1348" spans="1:14" ht="24" customHeight="1">
      <c r="A1348" s="8">
        <v>1304</v>
      </c>
      <c r="B1348" s="9">
        <v>1304</v>
      </c>
      <c r="C1348" s="46">
        <v>46077</v>
      </c>
      <c r="D1348" s="9" t="s">
        <v>238</v>
      </c>
      <c r="E1348" s="56" t="str">
        <f>IFERROR(VLOOKUP($D1348,본공사입.출고현황!$B:$H,E$2080,0),0)</f>
        <v>Steel round bar</v>
      </c>
      <c r="F1348" s="18" t="str">
        <f>IFERROR(VLOOKUP($D1348,본공사입.출고현황!$B:$H,F$2080,0),0)</f>
        <v>Steel round bar(rebar)</v>
      </c>
      <c r="G1348" s="18" t="str">
        <f>IFERROR(VLOOKUP($D1348,본공사입.출고현황!$B:$H,G$2080,0),0)</f>
        <v>CCGG</v>
      </c>
      <c r="H1348" s="18" t="str">
        <f>IFERROR(VLOOKUP($D1348,본공사입.출고현황!$B:$H,H$2080,0),0)</f>
        <v>ф10, 1ton=1,620.7m</v>
      </c>
      <c r="I1348" s="56" t="str">
        <f>IFERROR(VLOOKUP($D1348,본공사입.출고현황!$B:$H,I$2080,0),0)</f>
        <v>M</v>
      </c>
      <c r="J1348" s="9">
        <v>1</v>
      </c>
      <c r="K1348" s="9" t="s">
        <v>352</v>
      </c>
      <c r="L1348" s="37">
        <v>25</v>
      </c>
      <c r="M1348" s="64" t="s">
        <v>408</v>
      </c>
      <c r="N1348" s="42"/>
    </row>
    <row r="1349" spans="1:14" ht="24" customHeight="1">
      <c r="A1349" s="8">
        <v>1305</v>
      </c>
      <c r="B1349" s="9">
        <v>1305</v>
      </c>
      <c r="C1349" s="46">
        <v>46077</v>
      </c>
      <c r="D1349" s="9" t="s">
        <v>238</v>
      </c>
      <c r="E1349" s="56" t="str">
        <f>IFERROR(VLOOKUP($D1349,본공사입.출고현황!$B:$H,E$2080,0),0)</f>
        <v>Steel round bar</v>
      </c>
      <c r="F1349" s="18" t="str">
        <f>IFERROR(VLOOKUP($D1349,본공사입.출고현황!$B:$H,F$2080,0),0)</f>
        <v>Steel round bar(rebar)</v>
      </c>
      <c r="G1349" s="18" t="str">
        <f>IFERROR(VLOOKUP($D1349,본공사입.출고현황!$B:$H,G$2080,0),0)</f>
        <v>CCGG</v>
      </c>
      <c r="H1349" s="18" t="str">
        <f>IFERROR(VLOOKUP($D1349,본공사입.출고현황!$B:$H,H$2080,0),0)</f>
        <v>ф10, 1ton=1,620.7m</v>
      </c>
      <c r="I1349" s="56" t="str">
        <f>IFERROR(VLOOKUP($D1349,본공사입.출고현황!$B:$H,I$2080,0),0)</f>
        <v>M</v>
      </c>
      <c r="J1349" s="9">
        <v>2</v>
      </c>
      <c r="K1349" s="9" t="s">
        <v>546</v>
      </c>
      <c r="L1349" s="37">
        <v>25</v>
      </c>
      <c r="M1349" s="64" t="s">
        <v>408</v>
      </c>
      <c r="N1349" s="42"/>
    </row>
    <row r="1350" spans="1:14" ht="24" customHeight="1">
      <c r="A1350" s="8">
        <v>1306</v>
      </c>
      <c r="B1350" s="9">
        <v>1306</v>
      </c>
      <c r="C1350" s="46">
        <v>46077</v>
      </c>
      <c r="D1350" s="9" t="s">
        <v>238</v>
      </c>
      <c r="E1350" s="56" t="str">
        <f>IFERROR(VLOOKUP($D1350,본공사입.출고현황!$B:$H,E$2080,0),0)</f>
        <v>Steel round bar</v>
      </c>
      <c r="F1350" s="18" t="str">
        <f>IFERROR(VLOOKUP($D1350,본공사입.출고현황!$B:$H,F$2080,0),0)</f>
        <v>Steel round bar(rebar)</v>
      </c>
      <c r="G1350" s="18" t="str">
        <f>IFERROR(VLOOKUP($D1350,본공사입.출고현황!$B:$H,G$2080,0),0)</f>
        <v>CCGG</v>
      </c>
      <c r="H1350" s="18" t="str">
        <f>IFERROR(VLOOKUP($D1350,본공사입.출고현황!$B:$H,H$2080,0),0)</f>
        <v>ф10, 1ton=1,620.7m</v>
      </c>
      <c r="I1350" s="56" t="str">
        <f>IFERROR(VLOOKUP($D1350,본공사입.출고현황!$B:$H,I$2080,0),0)</f>
        <v>M</v>
      </c>
      <c r="J1350" s="9">
        <v>4</v>
      </c>
      <c r="K1350" s="9" t="s">
        <v>359</v>
      </c>
      <c r="L1350" s="37">
        <v>25</v>
      </c>
      <c r="M1350" s="64" t="s">
        <v>408</v>
      </c>
      <c r="N1350" s="42"/>
    </row>
    <row r="1351" spans="1:14" ht="24" customHeight="1">
      <c r="A1351" s="8">
        <v>1307</v>
      </c>
      <c r="B1351" s="9">
        <v>1307</v>
      </c>
      <c r="C1351" s="46">
        <v>46077</v>
      </c>
      <c r="D1351" s="9" t="s">
        <v>238</v>
      </c>
      <c r="E1351" s="56" t="str">
        <f>IFERROR(VLOOKUP($D1351,본공사입.출고현황!$B:$H,E$2080,0),0)</f>
        <v>Steel round bar</v>
      </c>
      <c r="F1351" s="18" t="str">
        <f>IFERROR(VLOOKUP($D1351,본공사입.출고현황!$B:$H,F$2080,0),0)</f>
        <v>Steel round bar(rebar)</v>
      </c>
      <c r="G1351" s="18" t="str">
        <f>IFERROR(VLOOKUP($D1351,본공사입.출고현황!$B:$H,G$2080,0),0)</f>
        <v>CCGG</v>
      </c>
      <c r="H1351" s="18" t="str">
        <f>IFERROR(VLOOKUP($D1351,본공사입.출고현황!$B:$H,H$2080,0),0)</f>
        <v>ф10, 1ton=1,620.7m</v>
      </c>
      <c r="I1351" s="56" t="str">
        <f>IFERROR(VLOOKUP($D1351,본공사입.출고현황!$B:$H,I$2080,0),0)</f>
        <v>M</v>
      </c>
      <c r="J1351" s="9">
        <v>2</v>
      </c>
      <c r="K1351" s="9" t="s">
        <v>360</v>
      </c>
      <c r="L1351" s="37">
        <v>25</v>
      </c>
      <c r="M1351" s="64" t="s">
        <v>408</v>
      </c>
      <c r="N1351" s="42"/>
    </row>
    <row r="1352" spans="1:14" ht="24" customHeight="1">
      <c r="A1352" s="8">
        <v>1308</v>
      </c>
      <c r="B1352" s="9">
        <v>1308</v>
      </c>
      <c r="C1352" s="46">
        <v>46077</v>
      </c>
      <c r="D1352" s="9" t="s">
        <v>238</v>
      </c>
      <c r="E1352" s="56" t="str">
        <f>IFERROR(VLOOKUP($D1352,본공사입.출고현황!$B:$H,E$2080,0),0)</f>
        <v>Steel round bar</v>
      </c>
      <c r="F1352" s="18" t="str">
        <f>IFERROR(VLOOKUP($D1352,본공사입.출고현황!$B:$H,F$2080,0),0)</f>
        <v>Steel round bar(rebar)</v>
      </c>
      <c r="G1352" s="18" t="str">
        <f>IFERROR(VLOOKUP($D1352,본공사입.출고현황!$B:$H,G$2080,0),0)</f>
        <v>CCGG</v>
      </c>
      <c r="H1352" s="18" t="str">
        <f>IFERROR(VLOOKUP($D1352,본공사입.출고현황!$B:$H,H$2080,0),0)</f>
        <v>ф10, 1ton=1,620.7m</v>
      </c>
      <c r="I1352" s="56" t="str">
        <f>IFERROR(VLOOKUP($D1352,본공사입.출고현황!$B:$H,I$2080,0),0)</f>
        <v>M</v>
      </c>
      <c r="J1352" s="9">
        <v>3</v>
      </c>
      <c r="K1352" s="9" t="s">
        <v>237</v>
      </c>
      <c r="L1352" s="37">
        <v>25</v>
      </c>
      <c r="M1352" s="64" t="s">
        <v>408</v>
      </c>
      <c r="N1352" s="42"/>
    </row>
    <row r="1353" spans="1:14" ht="24" customHeight="1">
      <c r="A1353" s="8">
        <v>1309</v>
      </c>
      <c r="B1353" s="9">
        <v>1309</v>
      </c>
      <c r="C1353" s="46">
        <v>46078</v>
      </c>
      <c r="D1353" s="9" t="s">
        <v>238</v>
      </c>
      <c r="E1353" s="56" t="str">
        <f>IFERROR(VLOOKUP($D1353,본공사입.출고현황!$B:$H,E$2080,0),0)</f>
        <v>Steel round bar</v>
      </c>
      <c r="F1353" s="18" t="str">
        <f>IFERROR(VLOOKUP($D1353,본공사입.출고현황!$B:$H,F$2080,0),0)</f>
        <v>Steel round bar(rebar)</v>
      </c>
      <c r="G1353" s="18" t="str">
        <f>IFERROR(VLOOKUP($D1353,본공사입.출고현황!$B:$H,G$2080,0),0)</f>
        <v>CCGG</v>
      </c>
      <c r="H1353" s="18" t="str">
        <f>IFERROR(VLOOKUP($D1353,본공사입.출고현황!$B:$H,H$2080,0),0)</f>
        <v>ф10, 1ton=1,620.7m</v>
      </c>
      <c r="I1353" s="56" t="str">
        <f>IFERROR(VLOOKUP($D1353,본공사입.출고현황!$B:$H,I$2080,0),0)</f>
        <v>M</v>
      </c>
      <c r="J1353" s="9">
        <v>2</v>
      </c>
      <c r="K1353" s="9" t="s">
        <v>360</v>
      </c>
      <c r="L1353" s="37">
        <v>25</v>
      </c>
      <c r="M1353" s="64" t="s">
        <v>408</v>
      </c>
      <c r="N1353" s="4"/>
    </row>
    <row r="1354" spans="1:14" ht="24" customHeight="1">
      <c r="A1354" s="8">
        <v>1310</v>
      </c>
      <c r="B1354" s="9">
        <v>1310</v>
      </c>
      <c r="C1354" s="46">
        <v>46078</v>
      </c>
      <c r="D1354" s="9" t="s">
        <v>238</v>
      </c>
      <c r="E1354" s="56" t="str">
        <f>IFERROR(VLOOKUP($D1354,본공사입.출고현황!$B:$H,E$2080,0),0)</f>
        <v>Steel round bar</v>
      </c>
      <c r="F1354" s="18" t="str">
        <f>IFERROR(VLOOKUP($D1354,본공사입.출고현황!$B:$H,F$2080,0),0)</f>
        <v>Steel round bar(rebar)</v>
      </c>
      <c r="G1354" s="18" t="str">
        <f>IFERROR(VLOOKUP($D1354,본공사입.출고현황!$B:$H,G$2080,0),0)</f>
        <v>CCGG</v>
      </c>
      <c r="H1354" s="18" t="str">
        <f>IFERROR(VLOOKUP($D1354,본공사입.출고현황!$B:$H,H$2080,0),0)</f>
        <v>ф10, 1ton=1,620.7m</v>
      </c>
      <c r="I1354" s="56" t="str">
        <f>IFERROR(VLOOKUP($D1354,본공사입.출고현황!$B:$H,I$2080,0),0)</f>
        <v>M</v>
      </c>
      <c r="J1354" s="9">
        <v>1</v>
      </c>
      <c r="K1354" s="9" t="s">
        <v>352</v>
      </c>
      <c r="L1354" s="37">
        <v>25</v>
      </c>
      <c r="M1354" s="64" t="s">
        <v>408</v>
      </c>
      <c r="N1354" s="4"/>
    </row>
    <row r="1355" spans="1:14" ht="24" customHeight="1">
      <c r="A1355" s="8">
        <v>1311</v>
      </c>
      <c r="B1355" s="9">
        <v>1311</v>
      </c>
      <c r="C1355" s="46">
        <v>46078</v>
      </c>
      <c r="D1355" s="9" t="s">
        <v>238</v>
      </c>
      <c r="E1355" s="56" t="str">
        <f>IFERROR(VLOOKUP($D1355,본공사입.출고현황!$B:$H,E$2080,0),0)</f>
        <v>Steel round bar</v>
      </c>
      <c r="F1355" s="18" t="str">
        <f>IFERROR(VLOOKUP($D1355,본공사입.출고현황!$B:$H,F$2080,0),0)</f>
        <v>Steel round bar(rebar)</v>
      </c>
      <c r="G1355" s="18" t="str">
        <f>IFERROR(VLOOKUP($D1355,본공사입.출고현황!$B:$H,G$2080,0),0)</f>
        <v>CCGG</v>
      </c>
      <c r="H1355" s="18" t="str">
        <f>IFERROR(VLOOKUP($D1355,본공사입.출고현황!$B:$H,H$2080,0),0)</f>
        <v>ф10, 1ton=1,620.7m</v>
      </c>
      <c r="I1355" s="56" t="str">
        <f>IFERROR(VLOOKUP($D1355,본공사입.출고현황!$B:$H,I$2080,0),0)</f>
        <v>M</v>
      </c>
      <c r="J1355" s="9">
        <v>2</v>
      </c>
      <c r="K1355" s="9" t="s">
        <v>546</v>
      </c>
      <c r="L1355" s="37">
        <v>25</v>
      </c>
      <c r="M1355" s="64" t="s">
        <v>408</v>
      </c>
      <c r="N1355" s="4"/>
    </row>
    <row r="1356" spans="1:14" ht="24" customHeight="1">
      <c r="A1356" s="8">
        <v>1312</v>
      </c>
      <c r="B1356" s="9">
        <v>1312</v>
      </c>
      <c r="C1356" s="46">
        <v>46078</v>
      </c>
      <c r="D1356" s="9" t="s">
        <v>238</v>
      </c>
      <c r="E1356" s="56" t="str">
        <f>IFERROR(VLOOKUP($D1356,본공사입.출고현황!$B:$H,E$2080,0),0)</f>
        <v>Steel round bar</v>
      </c>
      <c r="F1356" s="18" t="str">
        <f>IFERROR(VLOOKUP($D1356,본공사입.출고현황!$B:$H,F$2080,0),0)</f>
        <v>Steel round bar(rebar)</v>
      </c>
      <c r="G1356" s="18" t="str">
        <f>IFERROR(VLOOKUP($D1356,본공사입.출고현황!$B:$H,G$2080,0),0)</f>
        <v>CCGG</v>
      </c>
      <c r="H1356" s="18" t="str">
        <f>IFERROR(VLOOKUP($D1356,본공사입.출고현황!$B:$H,H$2080,0),0)</f>
        <v>ф10, 1ton=1,620.7m</v>
      </c>
      <c r="I1356" s="56" t="str">
        <f>IFERROR(VLOOKUP($D1356,본공사입.출고현황!$B:$H,I$2080,0),0)</f>
        <v>M</v>
      </c>
      <c r="J1356" s="9">
        <v>4</v>
      </c>
      <c r="K1356" s="9" t="s">
        <v>359</v>
      </c>
      <c r="L1356" s="37">
        <v>25</v>
      </c>
      <c r="M1356" s="64" t="s">
        <v>408</v>
      </c>
      <c r="N1356" s="4"/>
    </row>
    <row r="1357" spans="1:14" ht="24" customHeight="1">
      <c r="A1357" s="8">
        <v>1313</v>
      </c>
      <c r="B1357" s="9">
        <v>1313</v>
      </c>
      <c r="C1357" s="46">
        <v>46078</v>
      </c>
      <c r="D1357" s="9" t="s">
        <v>238</v>
      </c>
      <c r="E1357" s="56" t="str">
        <f>IFERROR(VLOOKUP($D1357,본공사입.출고현황!$B:$H,E$2080,0),0)</f>
        <v>Steel round bar</v>
      </c>
      <c r="F1357" s="18" t="str">
        <f>IFERROR(VLOOKUP($D1357,본공사입.출고현황!$B:$H,F$2080,0),0)</f>
        <v>Steel round bar(rebar)</v>
      </c>
      <c r="G1357" s="18" t="str">
        <f>IFERROR(VLOOKUP($D1357,본공사입.출고현황!$B:$H,G$2080,0),0)</f>
        <v>CCGG</v>
      </c>
      <c r="H1357" s="18" t="str">
        <f>IFERROR(VLOOKUP($D1357,본공사입.출고현황!$B:$H,H$2080,0),0)</f>
        <v>ф10, 1ton=1,620.7m</v>
      </c>
      <c r="I1357" s="56" t="str">
        <f>IFERROR(VLOOKUP($D1357,본공사입.출고현황!$B:$H,I$2080,0),0)</f>
        <v>M</v>
      </c>
      <c r="J1357" s="9">
        <v>2</v>
      </c>
      <c r="K1357" s="9" t="s">
        <v>360</v>
      </c>
      <c r="L1357" s="37">
        <v>25</v>
      </c>
      <c r="M1357" s="64" t="s">
        <v>408</v>
      </c>
      <c r="N1357" s="4"/>
    </row>
    <row r="1358" spans="1:14" ht="24" customHeight="1">
      <c r="A1358" s="8">
        <v>1314</v>
      </c>
      <c r="B1358" s="9">
        <v>1314</v>
      </c>
      <c r="C1358" s="46">
        <v>46078</v>
      </c>
      <c r="D1358" s="9" t="s">
        <v>238</v>
      </c>
      <c r="E1358" s="56" t="str">
        <f>IFERROR(VLOOKUP($D1358,본공사입.출고현황!$B:$H,E$2080,0),0)</f>
        <v>Steel round bar</v>
      </c>
      <c r="F1358" s="18" t="str">
        <f>IFERROR(VLOOKUP($D1358,본공사입.출고현황!$B:$H,F$2080,0),0)</f>
        <v>Steel round bar(rebar)</v>
      </c>
      <c r="G1358" s="18" t="str">
        <f>IFERROR(VLOOKUP($D1358,본공사입.출고현황!$B:$H,G$2080,0),0)</f>
        <v>CCGG</v>
      </c>
      <c r="H1358" s="18" t="str">
        <f>IFERROR(VLOOKUP($D1358,본공사입.출고현황!$B:$H,H$2080,0),0)</f>
        <v>ф10, 1ton=1,620.7m</v>
      </c>
      <c r="I1358" s="56" t="str">
        <f>IFERROR(VLOOKUP($D1358,본공사입.출고현황!$B:$H,I$2080,0),0)</f>
        <v>M</v>
      </c>
      <c r="J1358" s="9">
        <v>3</v>
      </c>
      <c r="K1358" s="9" t="s">
        <v>237</v>
      </c>
      <c r="L1358" s="37">
        <v>25</v>
      </c>
      <c r="M1358" s="64" t="s">
        <v>408</v>
      </c>
      <c r="N1358" s="4"/>
    </row>
    <row r="1359" spans="1:14" ht="24" customHeight="1">
      <c r="A1359" s="8">
        <v>1315</v>
      </c>
      <c r="B1359" s="9">
        <v>1315</v>
      </c>
      <c r="C1359" s="46">
        <v>46078</v>
      </c>
      <c r="D1359" s="9" t="s">
        <v>238</v>
      </c>
      <c r="E1359" s="56" t="str">
        <f>IFERROR(VLOOKUP($D1359,본공사입.출고현황!$B:$H,E$2080,0),0)</f>
        <v>Steel round bar</v>
      </c>
      <c r="F1359" s="18" t="str">
        <f>IFERROR(VLOOKUP($D1359,본공사입.출고현황!$B:$H,F$2080,0),0)</f>
        <v>Steel round bar(rebar)</v>
      </c>
      <c r="G1359" s="18" t="str">
        <f>IFERROR(VLOOKUP($D1359,본공사입.출고현황!$B:$H,G$2080,0),0)</f>
        <v>CCGG</v>
      </c>
      <c r="H1359" s="18" t="str">
        <f>IFERROR(VLOOKUP($D1359,본공사입.출고현황!$B:$H,H$2080,0),0)</f>
        <v>ф10, 1ton=1,620.7m</v>
      </c>
      <c r="I1359" s="56" t="str">
        <f>IFERROR(VLOOKUP($D1359,본공사입.출고현황!$B:$H,I$2080,0),0)</f>
        <v>M</v>
      </c>
      <c r="J1359" s="9">
        <v>1</v>
      </c>
      <c r="K1359" s="9" t="s">
        <v>352</v>
      </c>
      <c r="L1359" s="37">
        <v>25</v>
      </c>
      <c r="M1359" s="64" t="s">
        <v>408</v>
      </c>
      <c r="N1359" s="4"/>
    </row>
    <row r="1360" spans="1:14" ht="24" customHeight="1">
      <c r="A1360" s="8">
        <v>1316</v>
      </c>
      <c r="B1360" s="9">
        <v>1316</v>
      </c>
      <c r="C1360" s="46">
        <v>46078</v>
      </c>
      <c r="D1360" s="9" t="s">
        <v>238</v>
      </c>
      <c r="E1360" s="56" t="str">
        <f>IFERROR(VLOOKUP($D1360,본공사입.출고현황!$B:$H,E$2080,0),0)</f>
        <v>Steel round bar</v>
      </c>
      <c r="F1360" s="18" t="str">
        <f>IFERROR(VLOOKUP($D1360,본공사입.출고현황!$B:$H,F$2080,0),0)</f>
        <v>Steel round bar(rebar)</v>
      </c>
      <c r="G1360" s="18" t="str">
        <f>IFERROR(VLOOKUP($D1360,본공사입.출고현황!$B:$H,G$2080,0),0)</f>
        <v>CCGG</v>
      </c>
      <c r="H1360" s="18" t="str">
        <f>IFERROR(VLOOKUP($D1360,본공사입.출고현황!$B:$H,H$2080,0),0)</f>
        <v>ф10, 1ton=1,620.7m</v>
      </c>
      <c r="I1360" s="56" t="str">
        <f>IFERROR(VLOOKUP($D1360,본공사입.출고현황!$B:$H,I$2080,0),0)</f>
        <v>M</v>
      </c>
      <c r="J1360" s="9">
        <v>1</v>
      </c>
      <c r="K1360" s="9" t="s">
        <v>547</v>
      </c>
      <c r="L1360" s="37">
        <v>20</v>
      </c>
      <c r="M1360" s="64" t="s">
        <v>408</v>
      </c>
      <c r="N1360" s="4"/>
    </row>
    <row r="1361" spans="1:14" ht="24" customHeight="1">
      <c r="A1361" s="8">
        <v>1317</v>
      </c>
      <c r="B1361" s="9">
        <v>1317</v>
      </c>
      <c r="C1361" s="46">
        <v>46078</v>
      </c>
      <c r="D1361" s="9" t="s">
        <v>238</v>
      </c>
      <c r="E1361" s="56" t="str">
        <f>IFERROR(VLOOKUP($D1361,본공사입.출고현황!$B:$H,E$2080,0),0)</f>
        <v>Steel round bar</v>
      </c>
      <c r="F1361" s="18" t="str">
        <f>IFERROR(VLOOKUP($D1361,본공사입.출고현황!$B:$H,F$2080,0),0)</f>
        <v>Steel round bar(rebar)</v>
      </c>
      <c r="G1361" s="18" t="str">
        <f>IFERROR(VLOOKUP($D1361,본공사입.출고현황!$B:$H,G$2080,0),0)</f>
        <v>CCGG</v>
      </c>
      <c r="H1361" s="18" t="str">
        <f>IFERROR(VLOOKUP($D1361,본공사입.출고현황!$B:$H,H$2080,0),0)</f>
        <v>ф10, 1ton=1,620.7m</v>
      </c>
      <c r="I1361" s="56" t="str">
        <f>IFERROR(VLOOKUP($D1361,본공사입.출고현황!$B:$H,I$2080,0),0)</f>
        <v>M</v>
      </c>
      <c r="J1361" s="9">
        <v>2</v>
      </c>
      <c r="K1361" s="9" t="s">
        <v>360</v>
      </c>
      <c r="L1361" s="37">
        <v>25</v>
      </c>
      <c r="M1361" s="64" t="s">
        <v>408</v>
      </c>
      <c r="N1361" s="4"/>
    </row>
    <row r="1362" spans="1:14" ht="24" customHeight="1">
      <c r="A1362" s="8">
        <v>1318</v>
      </c>
      <c r="B1362" s="9">
        <v>1318</v>
      </c>
      <c r="C1362" s="46">
        <v>46078</v>
      </c>
      <c r="D1362" s="9" t="s">
        <v>238</v>
      </c>
      <c r="E1362" s="56" t="str">
        <f>IFERROR(VLOOKUP($D1362,본공사입.출고현황!$B:$H,E$2080,0),0)</f>
        <v>Steel round bar</v>
      </c>
      <c r="F1362" s="18" t="str">
        <f>IFERROR(VLOOKUP($D1362,본공사입.출고현황!$B:$H,F$2080,0),0)</f>
        <v>Steel round bar(rebar)</v>
      </c>
      <c r="G1362" s="18" t="str">
        <f>IFERROR(VLOOKUP($D1362,본공사입.출고현황!$B:$H,G$2080,0),0)</f>
        <v>CCGG</v>
      </c>
      <c r="H1362" s="18" t="str">
        <f>IFERROR(VLOOKUP($D1362,본공사입.출고현황!$B:$H,H$2080,0),0)</f>
        <v>ф10, 1ton=1,620.7m</v>
      </c>
      <c r="I1362" s="56" t="str">
        <f>IFERROR(VLOOKUP($D1362,본공사입.출고현황!$B:$H,I$2080,0),0)</f>
        <v>M</v>
      </c>
      <c r="J1362" s="9">
        <v>4</v>
      </c>
      <c r="K1362" s="9" t="s">
        <v>359</v>
      </c>
      <c r="L1362" s="37">
        <v>20</v>
      </c>
      <c r="M1362" s="64" t="s">
        <v>408</v>
      </c>
      <c r="N1362" s="4"/>
    </row>
    <row r="1363" spans="1:14" ht="24" customHeight="1">
      <c r="A1363" s="8">
        <v>1319</v>
      </c>
      <c r="B1363" s="9">
        <v>1319</v>
      </c>
      <c r="C1363" s="46">
        <v>46078</v>
      </c>
      <c r="D1363" s="9" t="s">
        <v>238</v>
      </c>
      <c r="E1363" s="56" t="str">
        <f>IFERROR(VLOOKUP($D1363,본공사입.출고현황!$B:$H,E$2080,0),0)</f>
        <v>Steel round bar</v>
      </c>
      <c r="F1363" s="18" t="str">
        <f>IFERROR(VLOOKUP($D1363,본공사입.출고현황!$B:$H,F$2080,0),0)</f>
        <v>Steel round bar(rebar)</v>
      </c>
      <c r="G1363" s="18" t="str">
        <f>IFERROR(VLOOKUP($D1363,본공사입.출고현황!$B:$H,G$2080,0),0)</f>
        <v>CCGG</v>
      </c>
      <c r="H1363" s="18" t="str">
        <f>IFERROR(VLOOKUP($D1363,본공사입.출고현황!$B:$H,H$2080,0),0)</f>
        <v>ф10, 1ton=1,620.7m</v>
      </c>
      <c r="I1363" s="56" t="str">
        <f>IFERROR(VLOOKUP($D1363,본공사입.출고현황!$B:$H,I$2080,0),0)</f>
        <v>M</v>
      </c>
      <c r="J1363" s="9">
        <v>2</v>
      </c>
      <c r="K1363" s="9" t="s">
        <v>546</v>
      </c>
      <c r="L1363" s="37">
        <v>25</v>
      </c>
      <c r="M1363" s="64" t="s">
        <v>408</v>
      </c>
      <c r="N1363" s="4"/>
    </row>
    <row r="1364" spans="1:14" ht="24" customHeight="1">
      <c r="A1364" s="8">
        <v>1320</v>
      </c>
      <c r="B1364" s="9">
        <v>1320</v>
      </c>
      <c r="C1364" s="46">
        <v>46079</v>
      </c>
      <c r="D1364" s="9" t="s">
        <v>238</v>
      </c>
      <c r="E1364" s="56" t="str">
        <f>IFERROR(VLOOKUP($D1364,본공사입.출고현황!$B:$H,E$2080,0),0)</f>
        <v>Steel round bar</v>
      </c>
      <c r="F1364" s="18" t="str">
        <f>IFERROR(VLOOKUP($D1364,본공사입.출고현황!$B:$H,F$2080,0),0)</f>
        <v>Steel round bar(rebar)</v>
      </c>
      <c r="G1364" s="18" t="str">
        <f>IFERROR(VLOOKUP($D1364,본공사입.출고현황!$B:$H,G$2080,0),0)</f>
        <v>CCGG</v>
      </c>
      <c r="H1364" s="18" t="str">
        <f>IFERROR(VLOOKUP($D1364,본공사입.출고현황!$B:$H,H$2080,0),0)</f>
        <v>ф10, 1ton=1,620.7m</v>
      </c>
      <c r="I1364" s="56" t="str">
        <f>IFERROR(VLOOKUP($D1364,본공사입.출고현황!$B:$H,I$2080,0),0)</f>
        <v>M</v>
      </c>
      <c r="J1364" s="9">
        <v>2</v>
      </c>
      <c r="K1364" s="9" t="s">
        <v>360</v>
      </c>
      <c r="L1364" s="37">
        <v>50</v>
      </c>
      <c r="M1364" s="64" t="s">
        <v>408</v>
      </c>
      <c r="N1364" s="4"/>
    </row>
    <row r="1365" spans="1:14" ht="24" customHeight="1">
      <c r="A1365" s="8">
        <v>1321</v>
      </c>
      <c r="B1365" s="9">
        <v>1321</v>
      </c>
      <c r="C1365" s="46">
        <v>46079</v>
      </c>
      <c r="D1365" s="9" t="s">
        <v>238</v>
      </c>
      <c r="E1365" s="56" t="str">
        <f>IFERROR(VLOOKUP($D1365,본공사입.출고현황!$B:$H,E$2080,0),0)</f>
        <v>Steel round bar</v>
      </c>
      <c r="F1365" s="18" t="str">
        <f>IFERROR(VLOOKUP($D1365,본공사입.출고현황!$B:$H,F$2080,0),0)</f>
        <v>Steel round bar(rebar)</v>
      </c>
      <c r="G1365" s="18" t="str">
        <f>IFERROR(VLOOKUP($D1365,본공사입.출고현황!$B:$H,G$2080,0),0)</f>
        <v>CCGG</v>
      </c>
      <c r="H1365" s="18" t="str">
        <f>IFERROR(VLOOKUP($D1365,본공사입.출고현황!$B:$H,H$2080,0),0)</f>
        <v>ф10, 1ton=1,620.7m</v>
      </c>
      <c r="I1365" s="56" t="str">
        <f>IFERROR(VLOOKUP($D1365,본공사입.출고현황!$B:$H,I$2080,0),0)</f>
        <v>M</v>
      </c>
      <c r="J1365" s="9">
        <v>4</v>
      </c>
      <c r="K1365" s="9" t="s">
        <v>359</v>
      </c>
      <c r="L1365" s="37">
        <v>50</v>
      </c>
      <c r="M1365" s="64" t="s">
        <v>408</v>
      </c>
      <c r="N1365" s="4"/>
    </row>
    <row r="1366" spans="1:14" ht="24" customHeight="1">
      <c r="A1366" s="8">
        <v>1322</v>
      </c>
      <c r="B1366" s="9">
        <v>1322</v>
      </c>
      <c r="C1366" s="46">
        <v>46079</v>
      </c>
      <c r="D1366" s="9" t="s">
        <v>238</v>
      </c>
      <c r="E1366" s="56" t="str">
        <f>IFERROR(VLOOKUP($D1366,본공사입.출고현황!$B:$H,E$2080,0),0)</f>
        <v>Steel round bar</v>
      </c>
      <c r="F1366" s="18" t="str">
        <f>IFERROR(VLOOKUP($D1366,본공사입.출고현황!$B:$H,F$2080,0),0)</f>
        <v>Steel round bar(rebar)</v>
      </c>
      <c r="G1366" s="18" t="str">
        <f>IFERROR(VLOOKUP($D1366,본공사입.출고현황!$B:$H,G$2080,0),0)</f>
        <v>CCGG</v>
      </c>
      <c r="H1366" s="18" t="str">
        <f>IFERROR(VLOOKUP($D1366,본공사입.출고현황!$B:$H,H$2080,0),0)</f>
        <v>ф10, 1ton=1,620.7m</v>
      </c>
      <c r="I1366" s="56" t="str">
        <f>IFERROR(VLOOKUP($D1366,본공사입.출고현황!$B:$H,I$2080,0),0)</f>
        <v>M</v>
      </c>
      <c r="J1366" s="9">
        <v>1</v>
      </c>
      <c r="K1366" s="9" t="s">
        <v>352</v>
      </c>
      <c r="L1366" s="37">
        <v>25</v>
      </c>
      <c r="M1366" s="64" t="s">
        <v>408</v>
      </c>
      <c r="N1366" s="4"/>
    </row>
    <row r="1367" spans="1:14" ht="24" customHeight="1">
      <c r="A1367" s="8">
        <v>1323</v>
      </c>
      <c r="B1367" s="9">
        <v>1323</v>
      </c>
      <c r="C1367" s="46">
        <v>46079</v>
      </c>
      <c r="D1367" s="9" t="s">
        <v>238</v>
      </c>
      <c r="E1367" s="56" t="str">
        <f>IFERROR(VLOOKUP($D1367,본공사입.출고현황!$B:$H,E$2080,0),0)</f>
        <v>Steel round bar</v>
      </c>
      <c r="F1367" s="18" t="str">
        <f>IFERROR(VLOOKUP($D1367,본공사입.출고현황!$B:$H,F$2080,0),0)</f>
        <v>Steel round bar(rebar)</v>
      </c>
      <c r="G1367" s="18" t="str">
        <f>IFERROR(VLOOKUP($D1367,본공사입.출고현황!$B:$H,G$2080,0),0)</f>
        <v>CCGG</v>
      </c>
      <c r="H1367" s="18" t="str">
        <f>IFERROR(VLOOKUP($D1367,본공사입.출고현황!$B:$H,H$2080,0),0)</f>
        <v>ф10, 1ton=1,620.7m</v>
      </c>
      <c r="I1367" s="56" t="str">
        <f>IFERROR(VLOOKUP($D1367,본공사입.출고현황!$B:$H,I$2080,0),0)</f>
        <v>M</v>
      </c>
      <c r="J1367" s="9">
        <v>2</v>
      </c>
      <c r="K1367" s="9" t="s">
        <v>360</v>
      </c>
      <c r="L1367" s="37">
        <v>20</v>
      </c>
      <c r="M1367" s="64" t="s">
        <v>408</v>
      </c>
      <c r="N1367" s="4"/>
    </row>
    <row r="1368" spans="1:14" ht="24" customHeight="1">
      <c r="A1368" s="8">
        <v>1324</v>
      </c>
      <c r="B1368" s="9">
        <v>1324</v>
      </c>
      <c r="C1368" s="46">
        <v>46079</v>
      </c>
      <c r="D1368" s="9" t="s">
        <v>238</v>
      </c>
      <c r="E1368" s="56" t="str">
        <f>IFERROR(VLOOKUP($D1368,본공사입.출고현황!$B:$H,E$2080,0),0)</f>
        <v>Steel round bar</v>
      </c>
      <c r="F1368" s="18" t="str">
        <f>IFERROR(VLOOKUP($D1368,본공사입.출고현황!$B:$H,F$2080,0),0)</f>
        <v>Steel round bar(rebar)</v>
      </c>
      <c r="G1368" s="18" t="str">
        <f>IFERROR(VLOOKUP($D1368,본공사입.출고현황!$B:$H,G$2080,0),0)</f>
        <v>CCGG</v>
      </c>
      <c r="H1368" s="18" t="str">
        <f>IFERROR(VLOOKUP($D1368,본공사입.출고현황!$B:$H,H$2080,0),0)</f>
        <v>ф10, 1ton=1,620.7m</v>
      </c>
      <c r="I1368" s="56" t="str">
        <f>IFERROR(VLOOKUP($D1368,본공사입.출고현황!$B:$H,I$2080,0),0)</f>
        <v>M</v>
      </c>
      <c r="J1368" s="9">
        <v>1</v>
      </c>
      <c r="K1368" s="9" t="s">
        <v>352</v>
      </c>
      <c r="L1368" s="37">
        <v>30</v>
      </c>
      <c r="M1368" s="64" t="s">
        <v>408</v>
      </c>
      <c r="N1368" s="4"/>
    </row>
    <row r="1369" spans="1:14" ht="24" customHeight="1">
      <c r="A1369" s="8">
        <v>1325</v>
      </c>
      <c r="B1369" s="9">
        <v>1325</v>
      </c>
      <c r="C1369" s="46">
        <v>46079</v>
      </c>
      <c r="D1369" s="9" t="s">
        <v>238</v>
      </c>
      <c r="E1369" s="56" t="str">
        <f>IFERROR(VLOOKUP($D1369,본공사입.출고현황!$B:$H,E$2080,0),0)</f>
        <v>Steel round bar</v>
      </c>
      <c r="F1369" s="18" t="str">
        <f>IFERROR(VLOOKUP($D1369,본공사입.출고현황!$B:$H,F$2080,0),0)</f>
        <v>Steel round bar(rebar)</v>
      </c>
      <c r="G1369" s="18" t="str">
        <f>IFERROR(VLOOKUP($D1369,본공사입.출고현황!$B:$H,G$2080,0),0)</f>
        <v>CCGG</v>
      </c>
      <c r="H1369" s="18" t="str">
        <f>IFERROR(VLOOKUP($D1369,본공사입.출고현황!$B:$H,H$2080,0),0)</f>
        <v>ф10, 1ton=1,620.7m</v>
      </c>
      <c r="I1369" s="56" t="str">
        <f>IFERROR(VLOOKUP($D1369,본공사입.출고현황!$B:$H,I$2080,0),0)</f>
        <v>M</v>
      </c>
      <c r="J1369" s="9">
        <v>1</v>
      </c>
      <c r="K1369" s="9" t="s">
        <v>363</v>
      </c>
      <c r="L1369" s="37">
        <v>25</v>
      </c>
      <c r="M1369" s="64" t="s">
        <v>408</v>
      </c>
      <c r="N1369" s="4"/>
    </row>
    <row r="1370" spans="1:14" ht="24" customHeight="1">
      <c r="A1370" s="8">
        <v>1326</v>
      </c>
      <c r="B1370" s="9">
        <v>1326</v>
      </c>
      <c r="C1370" s="46">
        <v>46079</v>
      </c>
      <c r="D1370" s="9" t="s">
        <v>238</v>
      </c>
      <c r="E1370" s="56" t="str">
        <f>IFERROR(VLOOKUP($D1370,본공사입.출고현황!$B:$H,E$2080,0),0)</f>
        <v>Steel round bar</v>
      </c>
      <c r="F1370" s="18" t="str">
        <f>IFERROR(VLOOKUP($D1370,본공사입.출고현황!$B:$H,F$2080,0),0)</f>
        <v>Steel round bar(rebar)</v>
      </c>
      <c r="G1370" s="18" t="str">
        <f>IFERROR(VLOOKUP($D1370,본공사입.출고현황!$B:$H,G$2080,0),0)</f>
        <v>CCGG</v>
      </c>
      <c r="H1370" s="18" t="str">
        <f>IFERROR(VLOOKUP($D1370,본공사입.출고현황!$B:$H,H$2080,0),0)</f>
        <v>ф10, 1ton=1,620.7m</v>
      </c>
      <c r="I1370" s="56" t="str">
        <f>IFERROR(VLOOKUP($D1370,본공사입.출고현황!$B:$H,I$2080,0),0)</f>
        <v>M</v>
      </c>
      <c r="J1370" s="9">
        <v>1</v>
      </c>
      <c r="K1370" s="9" t="s">
        <v>545</v>
      </c>
      <c r="L1370" s="37">
        <v>15</v>
      </c>
      <c r="M1370" s="64" t="s">
        <v>408</v>
      </c>
      <c r="N1370" s="4"/>
    </row>
    <row r="1371" spans="1:14" ht="24" customHeight="1">
      <c r="A1371" s="8">
        <v>1327</v>
      </c>
      <c r="B1371" s="9">
        <v>1327</v>
      </c>
      <c r="C1371" s="46">
        <v>46080</v>
      </c>
      <c r="D1371" s="9" t="s">
        <v>238</v>
      </c>
      <c r="E1371" s="56" t="str">
        <f>IFERROR(VLOOKUP($D1371,본공사입.출고현황!$B:$H,E$2080,0),0)</f>
        <v>Steel round bar</v>
      </c>
      <c r="F1371" s="18" t="str">
        <f>IFERROR(VLOOKUP($D1371,본공사입.출고현황!$B:$H,F$2080,0),0)</f>
        <v>Steel round bar(rebar)</v>
      </c>
      <c r="G1371" s="18" t="str">
        <f>IFERROR(VLOOKUP($D1371,본공사입.출고현황!$B:$H,G$2080,0),0)</f>
        <v>CCGG</v>
      </c>
      <c r="H1371" s="18" t="str">
        <f>IFERROR(VLOOKUP($D1371,본공사입.출고현황!$B:$H,H$2080,0),0)</f>
        <v>ф10, 1ton=1,620.7m</v>
      </c>
      <c r="I1371" s="56" t="str">
        <f>IFERROR(VLOOKUP($D1371,본공사입.출고현황!$B:$H,I$2080,0),0)</f>
        <v>M</v>
      </c>
      <c r="J1371" s="9">
        <v>2</v>
      </c>
      <c r="K1371" s="9" t="s">
        <v>241</v>
      </c>
      <c r="L1371" s="37">
        <v>30</v>
      </c>
      <c r="M1371" s="64" t="s">
        <v>358</v>
      </c>
      <c r="N1371" s="4"/>
    </row>
    <row r="1372" spans="1:14" ht="24" customHeight="1">
      <c r="A1372" s="8">
        <v>1328</v>
      </c>
      <c r="B1372" s="9">
        <v>1328</v>
      </c>
      <c r="C1372" s="46">
        <v>46080</v>
      </c>
      <c r="D1372" s="9" t="s">
        <v>238</v>
      </c>
      <c r="E1372" s="56" t="str">
        <f>IFERROR(VLOOKUP($D1372,본공사입.출고현황!$B:$H,E$2080,0),0)</f>
        <v>Steel round bar</v>
      </c>
      <c r="F1372" s="18" t="str">
        <f>IFERROR(VLOOKUP($D1372,본공사입.출고현황!$B:$H,F$2080,0),0)</f>
        <v>Steel round bar(rebar)</v>
      </c>
      <c r="G1372" s="18" t="str">
        <f>IFERROR(VLOOKUP($D1372,본공사입.출고현황!$B:$H,G$2080,0),0)</f>
        <v>CCGG</v>
      </c>
      <c r="H1372" s="18" t="str">
        <f>IFERROR(VLOOKUP($D1372,본공사입.출고현황!$B:$H,H$2080,0),0)</f>
        <v>ф10, 1ton=1,620.7m</v>
      </c>
      <c r="I1372" s="56" t="str">
        <f>IFERROR(VLOOKUP($D1372,본공사입.출고현황!$B:$H,I$2080,0),0)</f>
        <v>M</v>
      </c>
      <c r="J1372" s="9">
        <v>1</v>
      </c>
      <c r="K1372" s="9" t="s">
        <v>352</v>
      </c>
      <c r="L1372" s="37">
        <v>30</v>
      </c>
      <c r="M1372" s="64" t="s">
        <v>358</v>
      </c>
      <c r="N1372" s="4"/>
    </row>
    <row r="1373" spans="1:14" ht="24" customHeight="1">
      <c r="A1373" s="8">
        <v>1329</v>
      </c>
      <c r="B1373" s="9">
        <v>1329</v>
      </c>
      <c r="C1373" s="46">
        <v>46080</v>
      </c>
      <c r="D1373" s="9" t="s">
        <v>238</v>
      </c>
      <c r="E1373" s="56" t="str">
        <f>IFERROR(VLOOKUP($D1373,본공사입.출고현황!$B:$H,E$2080,0),0)</f>
        <v>Steel round bar</v>
      </c>
      <c r="F1373" s="18" t="str">
        <f>IFERROR(VLOOKUP($D1373,본공사입.출고현황!$B:$H,F$2080,0),0)</f>
        <v>Steel round bar(rebar)</v>
      </c>
      <c r="G1373" s="18" t="str">
        <f>IFERROR(VLOOKUP($D1373,본공사입.출고현황!$B:$H,G$2080,0),0)</f>
        <v>CCGG</v>
      </c>
      <c r="H1373" s="18" t="str">
        <f>IFERROR(VLOOKUP($D1373,본공사입.출고현황!$B:$H,H$2080,0),0)</f>
        <v>ф10, 1ton=1,620.7m</v>
      </c>
      <c r="I1373" s="56" t="str">
        <f>IFERROR(VLOOKUP($D1373,본공사입.출고현황!$B:$H,I$2080,0),0)</f>
        <v>M</v>
      </c>
      <c r="J1373" s="9">
        <v>1</v>
      </c>
      <c r="K1373" s="9" t="s">
        <v>363</v>
      </c>
      <c r="L1373" s="37">
        <v>20</v>
      </c>
      <c r="M1373" s="64" t="s">
        <v>358</v>
      </c>
      <c r="N1373" s="4"/>
    </row>
    <row r="1374" spans="1:14" ht="24" customHeight="1">
      <c r="A1374" s="8">
        <v>1330</v>
      </c>
      <c r="B1374" s="9">
        <v>1330</v>
      </c>
      <c r="C1374" s="46">
        <v>46080</v>
      </c>
      <c r="D1374" s="9" t="s">
        <v>238</v>
      </c>
      <c r="E1374" s="56" t="str">
        <f>IFERROR(VLOOKUP($D1374,본공사입.출고현황!$B:$H,E$2080,0),0)</f>
        <v>Steel round bar</v>
      </c>
      <c r="F1374" s="18" t="str">
        <f>IFERROR(VLOOKUP($D1374,본공사입.출고현황!$B:$H,F$2080,0),0)</f>
        <v>Steel round bar(rebar)</v>
      </c>
      <c r="G1374" s="18" t="str">
        <f>IFERROR(VLOOKUP($D1374,본공사입.출고현황!$B:$H,G$2080,0),0)</f>
        <v>CCGG</v>
      </c>
      <c r="H1374" s="18" t="str">
        <f>IFERROR(VLOOKUP($D1374,본공사입.출고현황!$B:$H,H$2080,0),0)</f>
        <v>ф10, 1ton=1,620.7m</v>
      </c>
      <c r="I1374" s="56" t="str">
        <f>IFERROR(VLOOKUP($D1374,본공사입.출고현황!$B:$H,I$2080,0),0)</f>
        <v>M</v>
      </c>
      <c r="J1374" s="9">
        <v>1</v>
      </c>
      <c r="K1374" s="9" t="s">
        <v>363</v>
      </c>
      <c r="L1374" s="37">
        <v>20</v>
      </c>
      <c r="M1374" s="64" t="s">
        <v>358</v>
      </c>
      <c r="N1374" s="4"/>
    </row>
    <row r="1375" spans="1:14" ht="24" customHeight="1">
      <c r="A1375" s="8">
        <v>1331</v>
      </c>
      <c r="B1375" s="9">
        <v>1331</v>
      </c>
      <c r="C1375" s="46">
        <v>46080</v>
      </c>
      <c r="D1375" s="9" t="s">
        <v>238</v>
      </c>
      <c r="E1375" s="56" t="str">
        <f>IFERROR(VLOOKUP($D1375,본공사입.출고현황!$B:$H,E$2080,0),0)</f>
        <v>Steel round bar</v>
      </c>
      <c r="F1375" s="18" t="str">
        <f>IFERROR(VLOOKUP($D1375,본공사입.출고현황!$B:$H,F$2080,0),0)</f>
        <v>Steel round bar(rebar)</v>
      </c>
      <c r="G1375" s="18" t="str">
        <f>IFERROR(VLOOKUP($D1375,본공사입.출고현황!$B:$H,G$2080,0),0)</f>
        <v>CCGG</v>
      </c>
      <c r="H1375" s="18" t="str">
        <f>IFERROR(VLOOKUP($D1375,본공사입.출고현황!$B:$H,H$2080,0),0)</f>
        <v>ф10, 1ton=1,620.7m</v>
      </c>
      <c r="I1375" s="56" t="str">
        <f>IFERROR(VLOOKUP($D1375,본공사입.출고현황!$B:$H,I$2080,0),0)</f>
        <v>M</v>
      </c>
      <c r="J1375" s="9">
        <v>2</v>
      </c>
      <c r="K1375" s="9" t="s">
        <v>360</v>
      </c>
      <c r="L1375" s="37">
        <v>50</v>
      </c>
      <c r="M1375" s="64" t="s">
        <v>358</v>
      </c>
      <c r="N1375" s="4"/>
    </row>
    <row r="1376" spans="1:14" ht="24" customHeight="1">
      <c r="A1376" s="8">
        <v>1332</v>
      </c>
      <c r="B1376" s="9">
        <v>1332</v>
      </c>
      <c r="C1376" s="46">
        <v>46081</v>
      </c>
      <c r="D1376" s="9" t="s">
        <v>238</v>
      </c>
      <c r="E1376" s="56" t="str">
        <f>IFERROR(VLOOKUP($D1376,본공사입.출고현황!$B:$H,E$2080,0),0)</f>
        <v>Steel round bar</v>
      </c>
      <c r="F1376" s="18" t="str">
        <f>IFERROR(VLOOKUP($D1376,본공사입.출고현황!$B:$H,F$2080,0),0)</f>
        <v>Steel round bar(rebar)</v>
      </c>
      <c r="G1376" s="18" t="str">
        <f>IFERROR(VLOOKUP($D1376,본공사입.출고현황!$B:$H,G$2080,0),0)</f>
        <v>CCGG</v>
      </c>
      <c r="H1376" s="18" t="str">
        <f>IFERROR(VLOOKUP($D1376,본공사입.출고현황!$B:$H,H$2080,0),0)</f>
        <v>ф10, 1ton=1,620.7m</v>
      </c>
      <c r="I1376" s="56" t="str">
        <f>IFERROR(VLOOKUP($D1376,본공사입.출고현황!$B:$H,I$2080,0),0)</f>
        <v>M</v>
      </c>
      <c r="J1376" s="9">
        <v>4</v>
      </c>
      <c r="K1376" s="9" t="s">
        <v>359</v>
      </c>
      <c r="L1376" s="37">
        <v>50</v>
      </c>
      <c r="M1376" s="64" t="s">
        <v>358</v>
      </c>
      <c r="N1376" s="4"/>
    </row>
    <row r="1377" spans="1:14" ht="24" customHeight="1">
      <c r="A1377" s="8">
        <v>1333</v>
      </c>
      <c r="B1377" s="9">
        <v>1333</v>
      </c>
      <c r="C1377" s="46">
        <v>46081</v>
      </c>
      <c r="D1377" s="9" t="s">
        <v>238</v>
      </c>
      <c r="E1377" s="56" t="str">
        <f>IFERROR(VLOOKUP($D1377,본공사입.출고현황!$B:$H,E$2080,0),0)</f>
        <v>Steel round bar</v>
      </c>
      <c r="F1377" s="18" t="str">
        <f>IFERROR(VLOOKUP($D1377,본공사입.출고현황!$B:$H,F$2080,0),0)</f>
        <v>Steel round bar(rebar)</v>
      </c>
      <c r="G1377" s="18" t="str">
        <f>IFERROR(VLOOKUP($D1377,본공사입.출고현황!$B:$H,G$2080,0),0)</f>
        <v>CCGG</v>
      </c>
      <c r="H1377" s="18" t="str">
        <f>IFERROR(VLOOKUP($D1377,본공사입.출고현황!$B:$H,H$2080,0),0)</f>
        <v>ф10, 1ton=1,620.7m</v>
      </c>
      <c r="I1377" s="56" t="str">
        <f>IFERROR(VLOOKUP($D1377,본공사입.출고현황!$B:$H,I$2080,0),0)</f>
        <v>M</v>
      </c>
      <c r="J1377" s="9">
        <v>1</v>
      </c>
      <c r="K1377" s="9" t="s">
        <v>352</v>
      </c>
      <c r="L1377" s="37">
        <v>25</v>
      </c>
      <c r="M1377" s="64" t="s">
        <v>358</v>
      </c>
      <c r="N1377" s="4"/>
    </row>
    <row r="1378" spans="1:14" ht="24" customHeight="1">
      <c r="A1378" s="8">
        <v>1334</v>
      </c>
      <c r="B1378" s="9">
        <v>1334</v>
      </c>
      <c r="C1378" s="46">
        <v>46081</v>
      </c>
      <c r="D1378" s="9" t="s">
        <v>238</v>
      </c>
      <c r="E1378" s="56" t="str">
        <f>IFERROR(VLOOKUP($D1378,본공사입.출고현황!$B:$H,E$2080,0),0)</f>
        <v>Steel round bar</v>
      </c>
      <c r="F1378" s="18" t="str">
        <f>IFERROR(VLOOKUP($D1378,본공사입.출고현황!$B:$H,F$2080,0),0)</f>
        <v>Steel round bar(rebar)</v>
      </c>
      <c r="G1378" s="18" t="str">
        <f>IFERROR(VLOOKUP($D1378,본공사입.출고현황!$B:$H,G$2080,0),0)</f>
        <v>CCGG</v>
      </c>
      <c r="H1378" s="18" t="str">
        <f>IFERROR(VLOOKUP($D1378,본공사입.출고현황!$B:$H,H$2080,0),0)</f>
        <v>ф10, 1ton=1,620.7m</v>
      </c>
      <c r="I1378" s="56" t="str">
        <f>IFERROR(VLOOKUP($D1378,본공사입.출고현황!$B:$H,I$2080,0),0)</f>
        <v>M</v>
      </c>
      <c r="J1378" s="9">
        <v>1</v>
      </c>
      <c r="K1378" s="9" t="s">
        <v>352</v>
      </c>
      <c r="L1378" s="37">
        <v>30</v>
      </c>
      <c r="M1378" s="64" t="s">
        <v>358</v>
      </c>
      <c r="N1378" s="4"/>
    </row>
    <row r="1379" spans="1:14" ht="24" customHeight="1">
      <c r="A1379" s="8">
        <v>1335</v>
      </c>
      <c r="B1379" s="9">
        <v>1335</v>
      </c>
      <c r="C1379" s="46">
        <v>46081</v>
      </c>
      <c r="D1379" s="9" t="s">
        <v>238</v>
      </c>
      <c r="E1379" s="56" t="str">
        <f>IFERROR(VLOOKUP($D1379,본공사입.출고현황!$B:$H,E$2080,0),0)</f>
        <v>Steel round bar</v>
      </c>
      <c r="F1379" s="18" t="str">
        <f>IFERROR(VLOOKUP($D1379,본공사입.출고현황!$B:$H,F$2080,0),0)</f>
        <v>Steel round bar(rebar)</v>
      </c>
      <c r="G1379" s="18" t="str">
        <f>IFERROR(VLOOKUP($D1379,본공사입.출고현황!$B:$H,G$2080,0),0)</f>
        <v>CCGG</v>
      </c>
      <c r="H1379" s="18" t="str">
        <f>IFERROR(VLOOKUP($D1379,본공사입.출고현황!$B:$H,H$2080,0),0)</f>
        <v>ф10, 1ton=1,620.7m</v>
      </c>
      <c r="I1379" s="56" t="str">
        <f>IFERROR(VLOOKUP($D1379,본공사입.출고현황!$B:$H,I$2080,0),0)</f>
        <v>M</v>
      </c>
      <c r="J1379" s="9">
        <v>2</v>
      </c>
      <c r="K1379" s="9" t="s">
        <v>360</v>
      </c>
      <c r="L1379" s="37">
        <v>50</v>
      </c>
      <c r="M1379" s="64" t="s">
        <v>358</v>
      </c>
      <c r="N1379" s="4"/>
    </row>
    <row r="1380" spans="1:14" ht="24" customHeight="1">
      <c r="A1380" s="8">
        <v>1336</v>
      </c>
      <c r="B1380" s="9">
        <v>1336</v>
      </c>
      <c r="C1380" s="46">
        <v>46081</v>
      </c>
      <c r="D1380" s="9" t="s">
        <v>238</v>
      </c>
      <c r="E1380" s="56" t="str">
        <f>IFERROR(VLOOKUP($D1380,본공사입.출고현황!$B:$H,E$2080,0),0)</f>
        <v>Steel round bar</v>
      </c>
      <c r="F1380" s="18" t="str">
        <f>IFERROR(VLOOKUP($D1380,본공사입.출고현황!$B:$H,F$2080,0),0)</f>
        <v>Steel round bar(rebar)</v>
      </c>
      <c r="G1380" s="18" t="str">
        <f>IFERROR(VLOOKUP($D1380,본공사입.출고현황!$B:$H,G$2080,0),0)</f>
        <v>CCGG</v>
      </c>
      <c r="H1380" s="18" t="str">
        <f>IFERROR(VLOOKUP($D1380,본공사입.출고현황!$B:$H,H$2080,0),0)</f>
        <v>ф10, 1ton=1,620.7m</v>
      </c>
      <c r="I1380" s="56" t="str">
        <f>IFERROR(VLOOKUP($D1380,본공사입.출고현황!$B:$H,I$2080,0),0)</f>
        <v>M</v>
      </c>
      <c r="J1380" s="9">
        <v>1</v>
      </c>
      <c r="K1380" s="9" t="s">
        <v>352</v>
      </c>
      <c r="L1380" s="37">
        <v>25</v>
      </c>
      <c r="M1380" s="64" t="s">
        <v>358</v>
      </c>
      <c r="N1380" s="4"/>
    </row>
    <row r="1381" spans="1:14" ht="24" customHeight="1">
      <c r="A1381" s="8">
        <v>1337</v>
      </c>
      <c r="B1381" s="9">
        <v>1337</v>
      </c>
      <c r="C1381" s="46">
        <v>46081</v>
      </c>
      <c r="D1381" s="9" t="s">
        <v>238</v>
      </c>
      <c r="E1381" s="56" t="str">
        <f>IFERROR(VLOOKUP($D1381,본공사입.출고현황!$B:$H,E$2080,0),0)</f>
        <v>Steel round bar</v>
      </c>
      <c r="F1381" s="18" t="str">
        <f>IFERROR(VLOOKUP($D1381,본공사입.출고현황!$B:$H,F$2080,0),0)</f>
        <v>Steel round bar(rebar)</v>
      </c>
      <c r="G1381" s="18" t="str">
        <f>IFERROR(VLOOKUP($D1381,본공사입.출고현황!$B:$H,G$2080,0),0)</f>
        <v>CCGG</v>
      </c>
      <c r="H1381" s="18" t="str">
        <f>IFERROR(VLOOKUP($D1381,본공사입.출고현황!$B:$H,H$2080,0),0)</f>
        <v>ф10, 1ton=1,620.7m</v>
      </c>
      <c r="I1381" s="56" t="str">
        <f>IFERROR(VLOOKUP($D1381,본공사입.출고현황!$B:$H,I$2080,0),0)</f>
        <v>M</v>
      </c>
      <c r="J1381" s="9">
        <v>1</v>
      </c>
      <c r="K1381" s="9" t="s">
        <v>363</v>
      </c>
      <c r="L1381" s="37">
        <v>70</v>
      </c>
      <c r="M1381" s="64" t="s">
        <v>358</v>
      </c>
      <c r="N1381" s="4"/>
    </row>
    <row r="1382" spans="1:14" ht="24" customHeight="1">
      <c r="A1382" s="8">
        <v>1338</v>
      </c>
      <c r="B1382" s="9">
        <v>1338</v>
      </c>
      <c r="C1382" s="46">
        <v>46081</v>
      </c>
      <c r="D1382" s="9" t="s">
        <v>238</v>
      </c>
      <c r="E1382" s="56" t="str">
        <f>IFERROR(VLOOKUP($D1382,본공사입.출고현황!$B:$H,E$2080,0),0)</f>
        <v>Steel round bar</v>
      </c>
      <c r="F1382" s="18" t="str">
        <f>IFERROR(VLOOKUP($D1382,본공사입.출고현황!$B:$H,F$2080,0),0)</f>
        <v>Steel round bar(rebar)</v>
      </c>
      <c r="G1382" s="18" t="str">
        <f>IFERROR(VLOOKUP($D1382,본공사입.출고현황!$B:$H,G$2080,0),0)</f>
        <v>CCGG</v>
      </c>
      <c r="H1382" s="18" t="str">
        <f>IFERROR(VLOOKUP($D1382,본공사입.출고현황!$B:$H,H$2080,0),0)</f>
        <v>ф10, 1ton=1,620.7m</v>
      </c>
      <c r="I1382" s="56" t="str">
        <f>IFERROR(VLOOKUP($D1382,본공사입.출고현황!$B:$H,I$2080,0),0)</f>
        <v>M</v>
      </c>
      <c r="J1382" s="9">
        <v>1</v>
      </c>
      <c r="K1382" s="9" t="s">
        <v>547</v>
      </c>
      <c r="L1382" s="37">
        <v>20</v>
      </c>
      <c r="M1382" s="64" t="s">
        <v>358</v>
      </c>
      <c r="N1382" s="4"/>
    </row>
    <row r="1383" spans="1:14" ht="24" customHeight="1">
      <c r="A1383" s="8">
        <v>1339</v>
      </c>
      <c r="B1383" s="9">
        <v>1339</v>
      </c>
      <c r="C1383" s="46">
        <v>46081</v>
      </c>
      <c r="D1383" s="9" t="s">
        <v>238</v>
      </c>
      <c r="E1383" s="56" t="str">
        <f>IFERROR(VLOOKUP($D1383,본공사입.출고현황!$B:$H,E$2080,0),0)</f>
        <v>Steel round bar</v>
      </c>
      <c r="F1383" s="18" t="str">
        <f>IFERROR(VLOOKUP($D1383,본공사입.출고현황!$B:$H,F$2080,0),0)</f>
        <v>Steel round bar(rebar)</v>
      </c>
      <c r="G1383" s="18" t="str">
        <f>IFERROR(VLOOKUP($D1383,본공사입.출고현황!$B:$H,G$2080,0),0)</f>
        <v>CCGG</v>
      </c>
      <c r="H1383" s="18" t="str">
        <f>IFERROR(VLOOKUP($D1383,본공사입.출고현황!$B:$H,H$2080,0),0)</f>
        <v>ф10, 1ton=1,620.7m</v>
      </c>
      <c r="I1383" s="56" t="str">
        <f>IFERROR(VLOOKUP($D1383,본공사입.출고현황!$B:$H,I$2080,0),0)</f>
        <v>M</v>
      </c>
      <c r="J1383" s="9">
        <v>3</v>
      </c>
      <c r="K1383" s="9" t="s">
        <v>550</v>
      </c>
      <c r="L1383" s="37">
        <v>15</v>
      </c>
      <c r="M1383" s="64" t="s">
        <v>358</v>
      </c>
      <c r="N1383" s="4"/>
    </row>
    <row r="1384" spans="1:14" ht="24" customHeight="1">
      <c r="A1384" s="8">
        <v>1340</v>
      </c>
      <c r="B1384" s="9">
        <v>1340</v>
      </c>
      <c r="C1384" s="46">
        <v>46082</v>
      </c>
      <c r="D1384" s="9" t="s">
        <v>238</v>
      </c>
      <c r="E1384" s="56" t="str">
        <f>IFERROR(VLOOKUP($D1384,본공사입.출고현황!$B:$H,E$2080,0),0)</f>
        <v>Steel round bar</v>
      </c>
      <c r="F1384" s="18" t="str">
        <f>IFERROR(VLOOKUP($D1384,본공사입.출고현황!$B:$H,F$2080,0),0)</f>
        <v>Steel round bar(rebar)</v>
      </c>
      <c r="G1384" s="18" t="str">
        <f>IFERROR(VLOOKUP($D1384,본공사입.출고현황!$B:$H,G$2080,0),0)</f>
        <v>CCGG</v>
      </c>
      <c r="H1384" s="18" t="str">
        <f>IFERROR(VLOOKUP($D1384,본공사입.출고현황!$B:$H,H$2080,0),0)</f>
        <v>ф10, 1ton=1,620.7m</v>
      </c>
      <c r="I1384" s="56" t="str">
        <f>IFERROR(VLOOKUP($D1384,본공사입.출고현황!$B:$H,I$2080,0),0)</f>
        <v>M</v>
      </c>
      <c r="J1384" s="9">
        <v>1</v>
      </c>
      <c r="K1384" s="9" t="s">
        <v>363</v>
      </c>
      <c r="L1384" s="37">
        <v>40</v>
      </c>
      <c r="M1384" s="64" t="s">
        <v>408</v>
      </c>
      <c r="N1384" s="4"/>
    </row>
    <row r="1385" spans="1:14" ht="24" customHeight="1">
      <c r="A1385" s="8">
        <v>1341</v>
      </c>
      <c r="B1385" s="9">
        <v>1341</v>
      </c>
      <c r="C1385" s="46">
        <v>46082</v>
      </c>
      <c r="D1385" s="9" t="s">
        <v>238</v>
      </c>
      <c r="E1385" s="56" t="str">
        <f>IFERROR(VLOOKUP($D1385,본공사입.출고현황!$B:$H,E$2080,0),0)</f>
        <v>Steel round bar</v>
      </c>
      <c r="F1385" s="18" t="str">
        <f>IFERROR(VLOOKUP($D1385,본공사입.출고현황!$B:$H,F$2080,0),0)</f>
        <v>Steel round bar(rebar)</v>
      </c>
      <c r="G1385" s="18" t="str">
        <f>IFERROR(VLOOKUP($D1385,본공사입.출고현황!$B:$H,G$2080,0),0)</f>
        <v>CCGG</v>
      </c>
      <c r="H1385" s="18" t="str">
        <f>IFERROR(VLOOKUP($D1385,본공사입.출고현황!$B:$H,H$2080,0),0)</f>
        <v>ф10, 1ton=1,620.7m</v>
      </c>
      <c r="I1385" s="56" t="str">
        <f>IFERROR(VLOOKUP($D1385,본공사입.출고현황!$B:$H,I$2080,0),0)</f>
        <v>M</v>
      </c>
      <c r="J1385" s="9">
        <v>1</v>
      </c>
      <c r="K1385" s="9" t="s">
        <v>547</v>
      </c>
      <c r="L1385" s="37">
        <v>20</v>
      </c>
      <c r="M1385" s="64" t="s">
        <v>408</v>
      </c>
      <c r="N1385" s="4"/>
    </row>
    <row r="1386" spans="1:14" ht="24" customHeight="1">
      <c r="A1386" s="8">
        <v>1342</v>
      </c>
      <c r="B1386" s="9">
        <v>1342</v>
      </c>
      <c r="C1386" s="46">
        <v>46082</v>
      </c>
      <c r="D1386" s="9" t="s">
        <v>238</v>
      </c>
      <c r="E1386" s="56" t="str">
        <f>IFERROR(VLOOKUP($D1386,본공사입.출고현황!$B:$H,E$2080,0),0)</f>
        <v>Steel round bar</v>
      </c>
      <c r="F1386" s="18" t="str">
        <f>IFERROR(VLOOKUP($D1386,본공사입.출고현황!$B:$H,F$2080,0),0)</f>
        <v>Steel round bar(rebar)</v>
      </c>
      <c r="G1386" s="18" t="str">
        <f>IFERROR(VLOOKUP($D1386,본공사입.출고현황!$B:$H,G$2080,0),0)</f>
        <v>CCGG</v>
      </c>
      <c r="H1386" s="18" t="str">
        <f>IFERROR(VLOOKUP($D1386,본공사입.출고현황!$B:$H,H$2080,0),0)</f>
        <v>ф10, 1ton=1,620.7m</v>
      </c>
      <c r="I1386" s="56" t="str">
        <f>IFERROR(VLOOKUP($D1386,본공사입.출고현황!$B:$H,I$2080,0),0)</f>
        <v>M</v>
      </c>
      <c r="J1386" s="9">
        <v>1</v>
      </c>
      <c r="K1386" s="9" t="s">
        <v>363</v>
      </c>
      <c r="L1386" s="37">
        <v>20</v>
      </c>
      <c r="M1386" s="64" t="s">
        <v>408</v>
      </c>
      <c r="N1386" s="4"/>
    </row>
    <row r="1387" spans="1:14" ht="24" customHeight="1">
      <c r="A1387" s="8">
        <v>1343</v>
      </c>
      <c r="B1387" s="9">
        <v>1343</v>
      </c>
      <c r="C1387" s="46">
        <v>46082</v>
      </c>
      <c r="D1387" s="9" t="s">
        <v>238</v>
      </c>
      <c r="E1387" s="56" t="str">
        <f>IFERROR(VLOOKUP($D1387,본공사입.출고현황!$B:$H,E$2080,0),0)</f>
        <v>Steel round bar</v>
      </c>
      <c r="F1387" s="18" t="str">
        <f>IFERROR(VLOOKUP($D1387,본공사입.출고현황!$B:$H,F$2080,0),0)</f>
        <v>Steel round bar(rebar)</v>
      </c>
      <c r="G1387" s="18" t="str">
        <f>IFERROR(VLOOKUP($D1387,본공사입.출고현황!$B:$H,G$2080,0),0)</f>
        <v>CCGG</v>
      </c>
      <c r="H1387" s="18" t="str">
        <f>IFERROR(VLOOKUP($D1387,본공사입.출고현황!$B:$H,H$2080,0),0)</f>
        <v>ф10, 1ton=1,620.7m</v>
      </c>
      <c r="I1387" s="56" t="str">
        <f>IFERROR(VLOOKUP($D1387,본공사입.출고현황!$B:$H,I$2080,0),0)</f>
        <v>M</v>
      </c>
      <c r="J1387" s="9">
        <v>3</v>
      </c>
      <c r="K1387" s="9" t="s">
        <v>550</v>
      </c>
      <c r="L1387" s="37">
        <v>20</v>
      </c>
      <c r="M1387" s="64" t="s">
        <v>408</v>
      </c>
      <c r="N1387" s="4"/>
    </row>
    <row r="1388" spans="1:14" ht="24" customHeight="1">
      <c r="A1388" s="8">
        <v>1344</v>
      </c>
      <c r="B1388" s="9">
        <v>1344</v>
      </c>
      <c r="C1388" s="46">
        <v>46082</v>
      </c>
      <c r="D1388" s="9" t="s">
        <v>238</v>
      </c>
      <c r="E1388" s="56" t="str">
        <f>IFERROR(VLOOKUP($D1388,본공사입.출고현황!$B:$H,E$2080,0),0)</f>
        <v>Steel round bar</v>
      </c>
      <c r="F1388" s="18" t="str">
        <f>IFERROR(VLOOKUP($D1388,본공사입.출고현황!$B:$H,F$2080,0),0)</f>
        <v>Steel round bar(rebar)</v>
      </c>
      <c r="G1388" s="18" t="str">
        <f>IFERROR(VLOOKUP($D1388,본공사입.출고현황!$B:$H,G$2080,0),0)</f>
        <v>CCGG</v>
      </c>
      <c r="H1388" s="18" t="str">
        <f>IFERROR(VLOOKUP($D1388,본공사입.출고현황!$B:$H,H$2080,0),0)</f>
        <v>ф10, 1ton=1,620.7m</v>
      </c>
      <c r="I1388" s="56" t="str">
        <f>IFERROR(VLOOKUP($D1388,본공사입.출고현황!$B:$H,I$2080,0),0)</f>
        <v>M</v>
      </c>
      <c r="J1388" s="9">
        <v>2</v>
      </c>
      <c r="K1388" s="9" t="s">
        <v>360</v>
      </c>
      <c r="L1388" s="37">
        <v>25</v>
      </c>
      <c r="M1388" s="64" t="s">
        <v>408</v>
      </c>
      <c r="N1388" s="4"/>
    </row>
    <row r="1389" spans="1:14" ht="24" customHeight="1">
      <c r="A1389" s="8">
        <v>1345</v>
      </c>
      <c r="B1389" s="9">
        <v>1345</v>
      </c>
      <c r="C1389" s="46">
        <v>46082</v>
      </c>
      <c r="D1389" s="9" t="s">
        <v>238</v>
      </c>
      <c r="E1389" s="56" t="str">
        <f>IFERROR(VLOOKUP($D1389,본공사입.출고현황!$B:$H,E$2080,0),0)</f>
        <v>Steel round bar</v>
      </c>
      <c r="F1389" s="18" t="str">
        <f>IFERROR(VLOOKUP($D1389,본공사입.출고현황!$B:$H,F$2080,0),0)</f>
        <v>Steel round bar(rebar)</v>
      </c>
      <c r="G1389" s="18" t="str">
        <f>IFERROR(VLOOKUP($D1389,본공사입.출고현황!$B:$H,G$2080,0),0)</f>
        <v>CCGG</v>
      </c>
      <c r="H1389" s="18" t="str">
        <f>IFERROR(VLOOKUP($D1389,본공사입.출고현황!$B:$H,H$2080,0),0)</f>
        <v>ф10, 1ton=1,620.7m</v>
      </c>
      <c r="I1389" s="56" t="str">
        <f>IFERROR(VLOOKUP($D1389,본공사입.출고현황!$B:$H,I$2080,0),0)</f>
        <v>M</v>
      </c>
      <c r="J1389" s="9">
        <v>1</v>
      </c>
      <c r="K1389" s="9" t="s">
        <v>352</v>
      </c>
      <c r="L1389" s="37">
        <v>25</v>
      </c>
      <c r="M1389" s="64" t="s">
        <v>408</v>
      </c>
      <c r="N1389" s="4"/>
    </row>
    <row r="1390" spans="1:14" ht="24" customHeight="1">
      <c r="A1390" s="8">
        <v>1346</v>
      </c>
      <c r="B1390" s="9">
        <v>1346</v>
      </c>
      <c r="C1390" s="46">
        <v>46082</v>
      </c>
      <c r="D1390" s="9" t="s">
        <v>238</v>
      </c>
      <c r="E1390" s="56" t="str">
        <f>IFERROR(VLOOKUP($D1390,본공사입.출고현황!$B:$H,E$2080,0),0)</f>
        <v>Steel round bar</v>
      </c>
      <c r="F1390" s="18" t="str">
        <f>IFERROR(VLOOKUP($D1390,본공사입.출고현황!$B:$H,F$2080,0),0)</f>
        <v>Steel round bar(rebar)</v>
      </c>
      <c r="G1390" s="18" t="str">
        <f>IFERROR(VLOOKUP($D1390,본공사입.출고현황!$B:$H,G$2080,0),0)</f>
        <v>CCGG</v>
      </c>
      <c r="H1390" s="18" t="str">
        <f>IFERROR(VLOOKUP($D1390,본공사입.출고현황!$B:$H,H$2080,0),0)</f>
        <v>ф10, 1ton=1,620.7m</v>
      </c>
      <c r="I1390" s="56" t="str">
        <f>IFERROR(VLOOKUP($D1390,본공사입.출고현황!$B:$H,I$2080,0),0)</f>
        <v>M</v>
      </c>
      <c r="J1390" s="9">
        <v>2</v>
      </c>
      <c r="K1390" s="9" t="s">
        <v>546</v>
      </c>
      <c r="L1390" s="37">
        <v>25</v>
      </c>
      <c r="M1390" s="64" t="s">
        <v>408</v>
      </c>
      <c r="N1390" s="4"/>
    </row>
    <row r="1391" spans="1:14" ht="24" customHeight="1">
      <c r="A1391" s="8">
        <v>1347</v>
      </c>
      <c r="B1391" s="9">
        <v>1347</v>
      </c>
      <c r="C1391" s="46">
        <v>46082</v>
      </c>
      <c r="D1391" s="9" t="s">
        <v>238</v>
      </c>
      <c r="E1391" s="56" t="str">
        <f>IFERROR(VLOOKUP($D1391,본공사입.출고현황!$B:$H,E$2080,0),0)</f>
        <v>Steel round bar</v>
      </c>
      <c r="F1391" s="18" t="str">
        <f>IFERROR(VLOOKUP($D1391,본공사입.출고현황!$B:$H,F$2080,0),0)</f>
        <v>Steel round bar(rebar)</v>
      </c>
      <c r="G1391" s="18" t="str">
        <f>IFERROR(VLOOKUP($D1391,본공사입.출고현황!$B:$H,G$2080,0),0)</f>
        <v>CCGG</v>
      </c>
      <c r="H1391" s="18" t="str">
        <f>IFERROR(VLOOKUP($D1391,본공사입.출고현황!$B:$H,H$2080,0),0)</f>
        <v>ф10, 1ton=1,620.7m</v>
      </c>
      <c r="I1391" s="56" t="str">
        <f>IFERROR(VLOOKUP($D1391,본공사입.출고현황!$B:$H,I$2080,0),0)</f>
        <v>M</v>
      </c>
      <c r="J1391" s="9">
        <v>4</v>
      </c>
      <c r="K1391" s="9" t="s">
        <v>359</v>
      </c>
      <c r="L1391" s="37">
        <v>25</v>
      </c>
      <c r="M1391" s="64" t="s">
        <v>408</v>
      </c>
      <c r="N1391" s="4"/>
    </row>
    <row r="1392" spans="1:14" ht="24" customHeight="1">
      <c r="A1392" s="8">
        <v>1348</v>
      </c>
      <c r="B1392" s="9">
        <v>1348</v>
      </c>
      <c r="C1392" s="46">
        <v>46082</v>
      </c>
      <c r="D1392" s="9" t="s">
        <v>238</v>
      </c>
      <c r="E1392" s="56" t="str">
        <f>IFERROR(VLOOKUP($D1392,본공사입.출고현황!$B:$H,E$2080,0),0)</f>
        <v>Steel round bar</v>
      </c>
      <c r="F1392" s="18" t="str">
        <f>IFERROR(VLOOKUP($D1392,본공사입.출고현황!$B:$H,F$2080,0),0)</f>
        <v>Steel round bar(rebar)</v>
      </c>
      <c r="G1392" s="18" t="str">
        <f>IFERROR(VLOOKUP($D1392,본공사입.출고현황!$B:$H,G$2080,0),0)</f>
        <v>CCGG</v>
      </c>
      <c r="H1392" s="18" t="str">
        <f>IFERROR(VLOOKUP($D1392,본공사입.출고현황!$B:$H,H$2080,0),0)</f>
        <v>ф10, 1ton=1,620.7m</v>
      </c>
      <c r="I1392" s="56" t="str">
        <f>IFERROR(VLOOKUP($D1392,본공사입.출고현황!$B:$H,I$2080,0),0)</f>
        <v>M</v>
      </c>
      <c r="J1392" s="9">
        <v>2</v>
      </c>
      <c r="K1392" s="9" t="s">
        <v>360</v>
      </c>
      <c r="L1392" s="37">
        <v>25</v>
      </c>
      <c r="M1392" s="64" t="s">
        <v>408</v>
      </c>
      <c r="N1392" s="4"/>
    </row>
    <row r="1393" spans="1:14" ht="24" customHeight="1">
      <c r="A1393" s="8">
        <v>1349</v>
      </c>
      <c r="B1393" s="9">
        <v>1349</v>
      </c>
      <c r="C1393" s="46">
        <v>46082</v>
      </c>
      <c r="D1393" s="9" t="s">
        <v>238</v>
      </c>
      <c r="E1393" s="56" t="str">
        <f>IFERROR(VLOOKUP($D1393,본공사입.출고현황!$B:$H,E$2080,0),0)</f>
        <v>Steel round bar</v>
      </c>
      <c r="F1393" s="18" t="str">
        <f>IFERROR(VLOOKUP($D1393,본공사입.출고현황!$B:$H,F$2080,0),0)</f>
        <v>Steel round bar(rebar)</v>
      </c>
      <c r="G1393" s="18" t="str">
        <f>IFERROR(VLOOKUP($D1393,본공사입.출고현황!$B:$H,G$2080,0),0)</f>
        <v>CCGG</v>
      </c>
      <c r="H1393" s="18" t="str">
        <f>IFERROR(VLOOKUP($D1393,본공사입.출고현황!$B:$H,H$2080,0),0)</f>
        <v>ф10, 1ton=1,620.7m</v>
      </c>
      <c r="I1393" s="56" t="str">
        <f>IFERROR(VLOOKUP($D1393,본공사입.출고현황!$B:$H,I$2080,0),0)</f>
        <v>M</v>
      </c>
      <c r="J1393" s="9">
        <v>3</v>
      </c>
      <c r="K1393" s="9" t="s">
        <v>237</v>
      </c>
      <c r="L1393" s="37">
        <v>25</v>
      </c>
      <c r="M1393" s="64" t="s">
        <v>408</v>
      </c>
      <c r="N1393" s="4"/>
    </row>
    <row r="1394" spans="1:14" ht="24" customHeight="1">
      <c r="A1394" s="8">
        <v>1350</v>
      </c>
      <c r="B1394" s="9">
        <v>1350</v>
      </c>
      <c r="C1394" s="46">
        <v>46083</v>
      </c>
      <c r="D1394" s="9" t="s">
        <v>238</v>
      </c>
      <c r="E1394" s="56" t="str">
        <f>IFERROR(VLOOKUP($D1394,본공사입.출고현황!$B:$H,E$2080,0),0)</f>
        <v>Steel round bar</v>
      </c>
      <c r="F1394" s="18" t="str">
        <f>IFERROR(VLOOKUP($D1394,본공사입.출고현황!$B:$H,F$2080,0),0)</f>
        <v>Steel round bar(rebar)</v>
      </c>
      <c r="G1394" s="18" t="str">
        <f>IFERROR(VLOOKUP($D1394,본공사입.출고현황!$B:$H,G$2080,0),0)</f>
        <v>CCGG</v>
      </c>
      <c r="H1394" s="18" t="str">
        <f>IFERROR(VLOOKUP($D1394,본공사입.출고현황!$B:$H,H$2080,0),0)</f>
        <v>ф10, 1ton=1,620.7m</v>
      </c>
      <c r="I1394" s="56" t="str">
        <f>IFERROR(VLOOKUP($D1394,본공사입.출고현황!$B:$H,I$2080,0),0)</f>
        <v>M</v>
      </c>
      <c r="J1394" s="9">
        <v>2</v>
      </c>
      <c r="K1394" s="9" t="s">
        <v>360</v>
      </c>
      <c r="L1394" s="37">
        <v>25</v>
      </c>
      <c r="M1394" s="64" t="s">
        <v>408</v>
      </c>
      <c r="N1394" s="4"/>
    </row>
    <row r="1395" spans="1:14" ht="24" customHeight="1">
      <c r="A1395" s="8">
        <v>1351</v>
      </c>
      <c r="B1395" s="9">
        <v>1351</v>
      </c>
      <c r="C1395" s="46">
        <v>46083</v>
      </c>
      <c r="D1395" s="9" t="s">
        <v>238</v>
      </c>
      <c r="E1395" s="56" t="str">
        <f>IFERROR(VLOOKUP($D1395,본공사입.출고현황!$B:$H,E$2080,0),0)</f>
        <v>Steel round bar</v>
      </c>
      <c r="F1395" s="18" t="str">
        <f>IFERROR(VLOOKUP($D1395,본공사입.출고현황!$B:$H,F$2080,0),0)</f>
        <v>Steel round bar(rebar)</v>
      </c>
      <c r="G1395" s="18" t="str">
        <f>IFERROR(VLOOKUP($D1395,본공사입.출고현황!$B:$H,G$2080,0),0)</f>
        <v>CCGG</v>
      </c>
      <c r="H1395" s="18" t="str">
        <f>IFERROR(VLOOKUP($D1395,본공사입.출고현황!$B:$H,H$2080,0),0)</f>
        <v>ф10, 1ton=1,620.7m</v>
      </c>
      <c r="I1395" s="56" t="str">
        <f>IFERROR(VLOOKUP($D1395,본공사입.출고현황!$B:$H,I$2080,0),0)</f>
        <v>M</v>
      </c>
      <c r="J1395" s="9">
        <v>1</v>
      </c>
      <c r="K1395" s="9" t="s">
        <v>352</v>
      </c>
      <c r="L1395" s="37">
        <v>25</v>
      </c>
      <c r="M1395" s="64" t="s">
        <v>408</v>
      </c>
      <c r="N1395" s="4"/>
    </row>
    <row r="1396" spans="1:14" ht="24" customHeight="1">
      <c r="A1396" s="8">
        <v>1352</v>
      </c>
      <c r="B1396" s="9">
        <v>1352</v>
      </c>
      <c r="C1396" s="46">
        <v>46083</v>
      </c>
      <c r="D1396" s="9" t="s">
        <v>238</v>
      </c>
      <c r="E1396" s="56" t="str">
        <f>IFERROR(VLOOKUP($D1396,본공사입.출고현황!$B:$H,E$2080,0),0)</f>
        <v>Steel round bar</v>
      </c>
      <c r="F1396" s="18" t="str">
        <f>IFERROR(VLOOKUP($D1396,본공사입.출고현황!$B:$H,F$2080,0),0)</f>
        <v>Steel round bar(rebar)</v>
      </c>
      <c r="G1396" s="18" t="str">
        <f>IFERROR(VLOOKUP($D1396,본공사입.출고현황!$B:$H,G$2080,0),0)</f>
        <v>CCGG</v>
      </c>
      <c r="H1396" s="18" t="str">
        <f>IFERROR(VLOOKUP($D1396,본공사입.출고현황!$B:$H,H$2080,0),0)</f>
        <v>ф10, 1ton=1,620.7m</v>
      </c>
      <c r="I1396" s="56" t="str">
        <f>IFERROR(VLOOKUP($D1396,본공사입.출고현황!$B:$H,I$2080,0),0)</f>
        <v>M</v>
      </c>
      <c r="J1396" s="9">
        <v>2</v>
      </c>
      <c r="K1396" s="9" t="s">
        <v>546</v>
      </c>
      <c r="L1396" s="37">
        <v>25</v>
      </c>
      <c r="M1396" s="64" t="s">
        <v>408</v>
      </c>
      <c r="N1396" s="4"/>
    </row>
    <row r="1397" spans="1:14" ht="24" customHeight="1">
      <c r="A1397" s="8">
        <v>1353</v>
      </c>
      <c r="B1397" s="9">
        <v>1353</v>
      </c>
      <c r="C1397" s="46">
        <v>46083</v>
      </c>
      <c r="D1397" s="9" t="s">
        <v>238</v>
      </c>
      <c r="E1397" s="56" t="str">
        <f>IFERROR(VLOOKUP($D1397,본공사입.출고현황!$B:$H,E$2080,0),0)</f>
        <v>Steel round bar</v>
      </c>
      <c r="F1397" s="18" t="str">
        <f>IFERROR(VLOOKUP($D1397,본공사입.출고현황!$B:$H,F$2080,0),0)</f>
        <v>Steel round bar(rebar)</v>
      </c>
      <c r="G1397" s="18" t="str">
        <f>IFERROR(VLOOKUP($D1397,본공사입.출고현황!$B:$H,G$2080,0),0)</f>
        <v>CCGG</v>
      </c>
      <c r="H1397" s="18" t="str">
        <f>IFERROR(VLOOKUP($D1397,본공사입.출고현황!$B:$H,H$2080,0),0)</f>
        <v>ф10, 1ton=1,620.7m</v>
      </c>
      <c r="I1397" s="56" t="str">
        <f>IFERROR(VLOOKUP($D1397,본공사입.출고현황!$B:$H,I$2080,0),0)</f>
        <v>M</v>
      </c>
      <c r="J1397" s="9">
        <v>4</v>
      </c>
      <c r="K1397" s="9" t="s">
        <v>359</v>
      </c>
      <c r="L1397" s="37">
        <v>25</v>
      </c>
      <c r="M1397" s="64" t="s">
        <v>408</v>
      </c>
      <c r="N1397" s="4"/>
    </row>
    <row r="1398" spans="1:14" ht="24" customHeight="1">
      <c r="A1398" s="8">
        <v>1354</v>
      </c>
      <c r="B1398" s="9">
        <v>1354</v>
      </c>
      <c r="C1398" s="46">
        <v>46083</v>
      </c>
      <c r="D1398" s="9" t="s">
        <v>238</v>
      </c>
      <c r="E1398" s="56" t="str">
        <f>IFERROR(VLOOKUP($D1398,본공사입.출고현황!$B:$H,E$2080,0),0)</f>
        <v>Steel round bar</v>
      </c>
      <c r="F1398" s="18" t="str">
        <f>IFERROR(VLOOKUP($D1398,본공사입.출고현황!$B:$H,F$2080,0),0)</f>
        <v>Steel round bar(rebar)</v>
      </c>
      <c r="G1398" s="18" t="str">
        <f>IFERROR(VLOOKUP($D1398,본공사입.출고현황!$B:$H,G$2080,0),0)</f>
        <v>CCGG</v>
      </c>
      <c r="H1398" s="18" t="str">
        <f>IFERROR(VLOOKUP($D1398,본공사입.출고현황!$B:$H,H$2080,0),0)</f>
        <v>ф10, 1ton=1,620.7m</v>
      </c>
      <c r="I1398" s="56" t="str">
        <f>IFERROR(VLOOKUP($D1398,본공사입.출고현황!$B:$H,I$2080,0),0)</f>
        <v>M</v>
      </c>
      <c r="J1398" s="9">
        <v>2</v>
      </c>
      <c r="K1398" s="9" t="s">
        <v>360</v>
      </c>
      <c r="L1398" s="37">
        <v>25</v>
      </c>
      <c r="M1398" s="64" t="s">
        <v>408</v>
      </c>
      <c r="N1398" s="4"/>
    </row>
    <row r="1399" spans="1:14" ht="24" customHeight="1">
      <c r="A1399" s="8">
        <v>1355</v>
      </c>
      <c r="B1399" s="9">
        <v>1355</v>
      </c>
      <c r="C1399" s="46">
        <v>46083</v>
      </c>
      <c r="D1399" s="9" t="s">
        <v>238</v>
      </c>
      <c r="E1399" s="56" t="str">
        <f>IFERROR(VLOOKUP($D1399,본공사입.출고현황!$B:$H,E$2080,0),0)</f>
        <v>Steel round bar</v>
      </c>
      <c r="F1399" s="18" t="str">
        <f>IFERROR(VLOOKUP($D1399,본공사입.출고현황!$B:$H,F$2080,0),0)</f>
        <v>Steel round bar(rebar)</v>
      </c>
      <c r="G1399" s="18" t="str">
        <f>IFERROR(VLOOKUP($D1399,본공사입.출고현황!$B:$H,G$2080,0),0)</f>
        <v>CCGG</v>
      </c>
      <c r="H1399" s="18" t="str">
        <f>IFERROR(VLOOKUP($D1399,본공사입.출고현황!$B:$H,H$2080,0),0)</f>
        <v>ф10, 1ton=1,620.7m</v>
      </c>
      <c r="I1399" s="56" t="str">
        <f>IFERROR(VLOOKUP($D1399,본공사입.출고현황!$B:$H,I$2080,0),0)</f>
        <v>M</v>
      </c>
      <c r="J1399" s="9">
        <v>3</v>
      </c>
      <c r="K1399" s="9" t="s">
        <v>237</v>
      </c>
      <c r="L1399" s="37">
        <v>25</v>
      </c>
      <c r="M1399" s="64" t="s">
        <v>408</v>
      </c>
      <c r="N1399" s="4"/>
    </row>
    <row r="1400" spans="1:14" ht="24" customHeight="1">
      <c r="A1400" s="8">
        <v>1356</v>
      </c>
      <c r="B1400" s="9">
        <v>1356</v>
      </c>
      <c r="C1400" s="46">
        <v>46083</v>
      </c>
      <c r="D1400" s="9" t="s">
        <v>238</v>
      </c>
      <c r="E1400" s="56" t="str">
        <f>IFERROR(VLOOKUP($D1400,본공사입.출고현황!$B:$H,E$2080,0),0)</f>
        <v>Steel round bar</v>
      </c>
      <c r="F1400" s="18" t="str">
        <f>IFERROR(VLOOKUP($D1400,본공사입.출고현황!$B:$H,F$2080,0),0)</f>
        <v>Steel round bar(rebar)</v>
      </c>
      <c r="G1400" s="18" t="str">
        <f>IFERROR(VLOOKUP($D1400,본공사입.출고현황!$B:$H,G$2080,0),0)</f>
        <v>CCGG</v>
      </c>
      <c r="H1400" s="18" t="str">
        <f>IFERROR(VLOOKUP($D1400,본공사입.출고현황!$B:$H,H$2080,0),0)</f>
        <v>ф10, 1ton=1,620.7m</v>
      </c>
      <c r="I1400" s="56" t="str">
        <f>IFERROR(VLOOKUP($D1400,본공사입.출고현황!$B:$H,I$2080,0),0)</f>
        <v>M</v>
      </c>
      <c r="J1400" s="9">
        <v>1</v>
      </c>
      <c r="K1400" s="9" t="s">
        <v>352</v>
      </c>
      <c r="L1400" s="37">
        <v>25</v>
      </c>
      <c r="M1400" s="64" t="s">
        <v>408</v>
      </c>
      <c r="N1400" s="4"/>
    </row>
    <row r="1401" spans="1:14" ht="24" customHeight="1">
      <c r="A1401" s="8">
        <v>1357</v>
      </c>
      <c r="B1401" s="9">
        <v>1357</v>
      </c>
      <c r="C1401" s="46">
        <v>46083</v>
      </c>
      <c r="D1401" s="9" t="s">
        <v>238</v>
      </c>
      <c r="E1401" s="56" t="str">
        <f>IFERROR(VLOOKUP($D1401,본공사입.출고현황!$B:$H,E$2080,0),0)</f>
        <v>Steel round bar</v>
      </c>
      <c r="F1401" s="18" t="str">
        <f>IFERROR(VLOOKUP($D1401,본공사입.출고현황!$B:$H,F$2080,0),0)</f>
        <v>Steel round bar(rebar)</v>
      </c>
      <c r="G1401" s="18" t="str">
        <f>IFERROR(VLOOKUP($D1401,본공사입.출고현황!$B:$H,G$2080,0),0)</f>
        <v>CCGG</v>
      </c>
      <c r="H1401" s="18" t="str">
        <f>IFERROR(VLOOKUP($D1401,본공사입.출고현황!$B:$H,H$2080,0),0)</f>
        <v>ф10, 1ton=1,620.7m</v>
      </c>
      <c r="I1401" s="56" t="str">
        <f>IFERROR(VLOOKUP($D1401,본공사입.출고현황!$B:$H,I$2080,0),0)</f>
        <v>M</v>
      </c>
      <c r="J1401" s="9">
        <v>1</v>
      </c>
      <c r="K1401" s="9" t="s">
        <v>547</v>
      </c>
      <c r="L1401" s="37">
        <v>20</v>
      </c>
      <c r="M1401" s="64" t="s">
        <v>408</v>
      </c>
      <c r="N1401" s="4"/>
    </row>
    <row r="1402" spans="1:14" ht="24" customHeight="1">
      <c r="A1402" s="8">
        <v>1358</v>
      </c>
      <c r="B1402" s="9">
        <v>1358</v>
      </c>
      <c r="C1402" s="46">
        <v>46083</v>
      </c>
      <c r="D1402" s="9" t="s">
        <v>238</v>
      </c>
      <c r="E1402" s="56" t="str">
        <f>IFERROR(VLOOKUP($D1402,본공사입.출고현황!$B:$H,E$2080,0),0)</f>
        <v>Steel round bar</v>
      </c>
      <c r="F1402" s="18" t="str">
        <f>IFERROR(VLOOKUP($D1402,본공사입.출고현황!$B:$H,F$2080,0),0)</f>
        <v>Steel round bar(rebar)</v>
      </c>
      <c r="G1402" s="18" t="str">
        <f>IFERROR(VLOOKUP($D1402,본공사입.출고현황!$B:$H,G$2080,0),0)</f>
        <v>CCGG</v>
      </c>
      <c r="H1402" s="18" t="str">
        <f>IFERROR(VLOOKUP($D1402,본공사입.출고현황!$B:$H,H$2080,0),0)</f>
        <v>ф10, 1ton=1,620.7m</v>
      </c>
      <c r="I1402" s="56" t="str">
        <f>IFERROR(VLOOKUP($D1402,본공사입.출고현황!$B:$H,I$2080,0),0)</f>
        <v>M</v>
      </c>
      <c r="J1402" s="9">
        <v>2</v>
      </c>
      <c r="K1402" s="9" t="s">
        <v>360</v>
      </c>
      <c r="L1402" s="37">
        <v>25</v>
      </c>
      <c r="M1402" s="64" t="s">
        <v>408</v>
      </c>
      <c r="N1402" s="4"/>
    </row>
    <row r="1403" spans="1:14" ht="24" customHeight="1">
      <c r="A1403" s="8">
        <v>1359</v>
      </c>
      <c r="B1403" s="9">
        <v>1359</v>
      </c>
      <c r="C1403" s="46">
        <v>46083</v>
      </c>
      <c r="D1403" s="9" t="s">
        <v>238</v>
      </c>
      <c r="E1403" s="56" t="str">
        <f>IFERROR(VLOOKUP($D1403,본공사입.출고현황!$B:$H,E$2080,0),0)</f>
        <v>Steel round bar</v>
      </c>
      <c r="F1403" s="18" t="str">
        <f>IFERROR(VLOOKUP($D1403,본공사입.출고현황!$B:$H,F$2080,0),0)</f>
        <v>Steel round bar(rebar)</v>
      </c>
      <c r="G1403" s="18" t="str">
        <f>IFERROR(VLOOKUP($D1403,본공사입.출고현황!$B:$H,G$2080,0),0)</f>
        <v>CCGG</v>
      </c>
      <c r="H1403" s="18" t="str">
        <f>IFERROR(VLOOKUP($D1403,본공사입.출고현황!$B:$H,H$2080,0),0)</f>
        <v>ф10, 1ton=1,620.7m</v>
      </c>
      <c r="I1403" s="56" t="str">
        <f>IFERROR(VLOOKUP($D1403,본공사입.출고현황!$B:$H,I$2080,0),0)</f>
        <v>M</v>
      </c>
      <c r="J1403" s="9">
        <v>4</v>
      </c>
      <c r="K1403" s="9" t="s">
        <v>359</v>
      </c>
      <c r="L1403" s="37">
        <v>20</v>
      </c>
      <c r="M1403" s="64" t="s">
        <v>408</v>
      </c>
      <c r="N1403" s="4"/>
    </row>
    <row r="1404" spans="1:14" ht="24" customHeight="1">
      <c r="A1404" s="8">
        <v>1360</v>
      </c>
      <c r="B1404" s="9">
        <v>1360</v>
      </c>
      <c r="C1404" s="46">
        <v>46083</v>
      </c>
      <c r="D1404" s="9" t="s">
        <v>238</v>
      </c>
      <c r="E1404" s="56" t="str">
        <f>IFERROR(VLOOKUP($D1404,본공사입.출고현황!$B:$H,E$2080,0),0)</f>
        <v>Steel round bar</v>
      </c>
      <c r="F1404" s="18" t="str">
        <f>IFERROR(VLOOKUP($D1404,본공사입.출고현황!$B:$H,F$2080,0),0)</f>
        <v>Steel round bar(rebar)</v>
      </c>
      <c r="G1404" s="18" t="str">
        <f>IFERROR(VLOOKUP($D1404,본공사입.출고현황!$B:$H,G$2080,0),0)</f>
        <v>CCGG</v>
      </c>
      <c r="H1404" s="18" t="str">
        <f>IFERROR(VLOOKUP($D1404,본공사입.출고현황!$B:$H,H$2080,0),0)</f>
        <v>ф10, 1ton=1,620.7m</v>
      </c>
      <c r="I1404" s="56" t="str">
        <f>IFERROR(VLOOKUP($D1404,본공사입.출고현황!$B:$H,I$2080,0),0)</f>
        <v>M</v>
      </c>
      <c r="J1404" s="9">
        <v>2</v>
      </c>
      <c r="K1404" s="9" t="s">
        <v>546</v>
      </c>
      <c r="L1404" s="37">
        <v>25</v>
      </c>
      <c r="M1404" s="64" t="s">
        <v>408</v>
      </c>
      <c r="N1404" s="4"/>
    </row>
    <row r="1405" spans="1:14" ht="24" customHeight="1">
      <c r="A1405" s="8">
        <v>1361</v>
      </c>
      <c r="B1405" s="9">
        <v>1361</v>
      </c>
      <c r="C1405" s="46">
        <v>46084</v>
      </c>
      <c r="D1405" s="9" t="s">
        <v>180</v>
      </c>
      <c r="E1405" s="56" t="str">
        <f>IFERROR(VLOOKUP($D1405,본공사입.출고현황!$B:$H,E$2080,0),0)</f>
        <v>Ground</v>
      </c>
      <c r="F1405" s="18" t="str">
        <f>IFERROR(VLOOKUP($D1405,본공사입.출고현황!$B:$H,F$2080,0),0)</f>
        <v>Ground Cable  78SQ</v>
      </c>
      <c r="G1405" s="18" t="str">
        <f>IFERROR(VLOOKUP($D1405,본공사입.출고현황!$B:$H,G$2080,0),0)</f>
        <v xml:space="preserve">Ground Cable </v>
      </c>
      <c r="H1405" s="18" t="str">
        <f>IFERROR(VLOOKUP($D1405,본공사입.출고현황!$B:$H,H$2080,0),0)</f>
        <v>78SQ</v>
      </c>
      <c r="I1405" s="56" t="str">
        <f>IFERROR(VLOOKUP($D1405,본공사입.출고현황!$B:$H,I$2080,0),0)</f>
        <v>M</v>
      </c>
      <c r="J1405" s="9">
        <v>4</v>
      </c>
      <c r="K1405" s="9" t="s">
        <v>691</v>
      </c>
      <c r="L1405" s="37">
        <v>6</v>
      </c>
      <c r="M1405" s="64" t="s">
        <v>633</v>
      </c>
      <c r="N1405" s="4"/>
    </row>
    <row r="1406" spans="1:14" ht="24" customHeight="1">
      <c r="A1406" s="8">
        <v>1362</v>
      </c>
      <c r="B1406" s="9">
        <v>1362</v>
      </c>
      <c r="C1406" s="46">
        <v>46084</v>
      </c>
      <c r="D1406" s="9" t="s">
        <v>86</v>
      </c>
      <c r="E1406" s="56" t="str">
        <f>IFERROR(VLOOKUP($D1406,본공사입.출고현황!$B:$H,E$2080,0),0)</f>
        <v>Ground</v>
      </c>
      <c r="F1406" s="18" t="str">
        <f>IFERROR(VLOOKUP($D1406,본공사입.출고현황!$B:$H,F$2080,0),0)</f>
        <v>Cadweld Powder #115</v>
      </c>
      <c r="G1406" s="18" t="str">
        <f>IFERROR(VLOOKUP($D1406,본공사입.출고현황!$B:$H,G$2080,0),0)</f>
        <v>Cadweld Powder</v>
      </c>
      <c r="H1406" s="18" t="str">
        <f>IFERROR(VLOOKUP($D1406,본공사입.출고현황!$B:$H,H$2080,0),0)</f>
        <v>#115</v>
      </c>
      <c r="I1406" s="56" t="str">
        <f>IFERROR(VLOOKUP($D1406,본공사입.출고현황!$B:$H,I$2080,0),0)</f>
        <v>EA</v>
      </c>
      <c r="J1406" s="9">
        <v>4</v>
      </c>
      <c r="K1406" s="9" t="s">
        <v>691</v>
      </c>
      <c r="L1406" s="37">
        <v>4</v>
      </c>
      <c r="M1406" s="64" t="s">
        <v>633</v>
      </c>
      <c r="N1406" s="4"/>
    </row>
    <row r="1407" spans="1:14" ht="24" customHeight="1">
      <c r="A1407" s="8">
        <v>1363</v>
      </c>
      <c r="B1407" s="9">
        <v>1363</v>
      </c>
      <c r="C1407" s="46">
        <v>46084</v>
      </c>
      <c r="D1407" s="9" t="s">
        <v>238</v>
      </c>
      <c r="E1407" s="56" t="str">
        <f>IFERROR(VLOOKUP($D1407,본공사입.출고현황!$B:$H,E$2080,0),0)</f>
        <v>Steel round bar</v>
      </c>
      <c r="F1407" s="18" t="str">
        <f>IFERROR(VLOOKUP($D1407,본공사입.출고현황!$B:$H,F$2080,0),0)</f>
        <v>Steel round bar(rebar)</v>
      </c>
      <c r="G1407" s="18" t="str">
        <f>IFERROR(VLOOKUP($D1407,본공사입.출고현황!$B:$H,G$2080,0),0)</f>
        <v>CCGG</v>
      </c>
      <c r="H1407" s="18" t="str">
        <f>IFERROR(VLOOKUP($D1407,본공사입.출고현황!$B:$H,H$2080,0),0)</f>
        <v>ф10, 1ton=1,620.7m</v>
      </c>
      <c r="I1407" s="56" t="str">
        <f>IFERROR(VLOOKUP($D1407,본공사입.출고현황!$B:$H,I$2080,0),0)</f>
        <v>M</v>
      </c>
      <c r="J1407" s="9">
        <v>1</v>
      </c>
      <c r="K1407" s="9" t="s">
        <v>547</v>
      </c>
      <c r="L1407" s="37">
        <v>30</v>
      </c>
      <c r="M1407" s="64" t="s">
        <v>408</v>
      </c>
      <c r="N1407" s="4"/>
    </row>
    <row r="1408" spans="1:14" ht="24" customHeight="1">
      <c r="A1408" s="8">
        <v>1364</v>
      </c>
      <c r="B1408" s="9">
        <v>1364</v>
      </c>
      <c r="C1408" s="46">
        <v>46084</v>
      </c>
      <c r="D1408" s="9" t="s">
        <v>238</v>
      </c>
      <c r="E1408" s="56" t="str">
        <f>IFERROR(VLOOKUP($D1408,본공사입.출고현황!$B:$H,E$2080,0),0)</f>
        <v>Steel round bar</v>
      </c>
      <c r="F1408" s="18" t="str">
        <f>IFERROR(VLOOKUP($D1408,본공사입.출고현황!$B:$H,F$2080,0),0)</f>
        <v>Steel round bar(rebar)</v>
      </c>
      <c r="G1408" s="18" t="str">
        <f>IFERROR(VLOOKUP($D1408,본공사입.출고현황!$B:$H,G$2080,0),0)</f>
        <v>CCGG</v>
      </c>
      <c r="H1408" s="18" t="str">
        <f>IFERROR(VLOOKUP($D1408,본공사입.출고현황!$B:$H,H$2080,0),0)</f>
        <v>ф10, 1ton=1,620.7m</v>
      </c>
      <c r="I1408" s="56" t="str">
        <f>IFERROR(VLOOKUP($D1408,본공사입.출고현황!$B:$H,I$2080,0),0)</f>
        <v>M</v>
      </c>
      <c r="J1408" s="9">
        <v>1</v>
      </c>
      <c r="K1408" s="9" t="s">
        <v>547</v>
      </c>
      <c r="L1408" s="37">
        <v>25</v>
      </c>
      <c r="M1408" s="64" t="s">
        <v>408</v>
      </c>
      <c r="N1408" s="4"/>
    </row>
    <row r="1409" spans="1:14" ht="24" customHeight="1">
      <c r="A1409" s="8">
        <v>1365</v>
      </c>
      <c r="B1409" s="9">
        <v>1365</v>
      </c>
      <c r="C1409" s="46">
        <v>46084</v>
      </c>
      <c r="D1409" s="9" t="s">
        <v>238</v>
      </c>
      <c r="E1409" s="56" t="str">
        <f>IFERROR(VLOOKUP($D1409,본공사입.출고현황!$B:$H,E$2080,0),0)</f>
        <v>Steel round bar</v>
      </c>
      <c r="F1409" s="18" t="str">
        <f>IFERROR(VLOOKUP($D1409,본공사입.출고현황!$B:$H,F$2080,0),0)</f>
        <v>Steel round bar(rebar)</v>
      </c>
      <c r="G1409" s="18" t="str">
        <f>IFERROR(VLOOKUP($D1409,본공사입.출고현황!$B:$H,G$2080,0),0)</f>
        <v>CCGG</v>
      </c>
      <c r="H1409" s="18" t="str">
        <f>IFERROR(VLOOKUP($D1409,본공사입.출고현황!$B:$H,H$2080,0),0)</f>
        <v>ф10, 1ton=1,620.7m</v>
      </c>
      <c r="I1409" s="56" t="str">
        <f>IFERROR(VLOOKUP($D1409,본공사입.출고현황!$B:$H,I$2080,0),0)</f>
        <v>M</v>
      </c>
      <c r="J1409" s="9">
        <v>1</v>
      </c>
      <c r="K1409" s="9" t="s">
        <v>363</v>
      </c>
      <c r="L1409" s="37">
        <v>25</v>
      </c>
      <c r="M1409" s="64" t="s">
        <v>408</v>
      </c>
      <c r="N1409" s="4"/>
    </row>
    <row r="1410" spans="1:14" ht="24" customHeight="1">
      <c r="A1410" s="8">
        <v>1366</v>
      </c>
      <c r="B1410" s="9">
        <v>1366</v>
      </c>
      <c r="C1410" s="46">
        <v>46084</v>
      </c>
      <c r="D1410" s="9" t="s">
        <v>238</v>
      </c>
      <c r="E1410" s="56" t="str">
        <f>IFERROR(VLOOKUP($D1410,본공사입.출고현황!$B:$H,E$2080,0),0)</f>
        <v>Steel round bar</v>
      </c>
      <c r="F1410" s="18" t="str">
        <f>IFERROR(VLOOKUP($D1410,본공사입.출고현황!$B:$H,F$2080,0),0)</f>
        <v>Steel round bar(rebar)</v>
      </c>
      <c r="G1410" s="18" t="str">
        <f>IFERROR(VLOOKUP($D1410,본공사입.출고현황!$B:$H,G$2080,0),0)</f>
        <v>CCGG</v>
      </c>
      <c r="H1410" s="18" t="str">
        <f>IFERROR(VLOOKUP($D1410,본공사입.출고현황!$B:$H,H$2080,0),0)</f>
        <v>ф10, 1ton=1,620.7m</v>
      </c>
      <c r="I1410" s="56" t="str">
        <f>IFERROR(VLOOKUP($D1410,본공사입.출고현황!$B:$H,I$2080,0),0)</f>
        <v>M</v>
      </c>
      <c r="J1410" s="9">
        <v>3</v>
      </c>
      <c r="K1410" s="9" t="s">
        <v>550</v>
      </c>
      <c r="L1410" s="37">
        <v>25</v>
      </c>
      <c r="M1410" s="64" t="s">
        <v>408</v>
      </c>
      <c r="N1410" s="4"/>
    </row>
    <row r="1411" spans="1:14" ht="24" customHeight="1">
      <c r="A1411" s="8">
        <v>1367</v>
      </c>
      <c r="B1411" s="9">
        <v>1367</v>
      </c>
      <c r="C1411" s="46">
        <v>46084</v>
      </c>
      <c r="D1411" s="9" t="s">
        <v>238</v>
      </c>
      <c r="E1411" s="56" t="str">
        <f>IFERROR(VLOOKUP($D1411,본공사입.출고현황!$B:$H,E$2080,0),0)</f>
        <v>Steel round bar</v>
      </c>
      <c r="F1411" s="18" t="str">
        <f>IFERROR(VLOOKUP($D1411,본공사입.출고현황!$B:$H,F$2080,0),0)</f>
        <v>Steel round bar(rebar)</v>
      </c>
      <c r="G1411" s="18" t="str">
        <f>IFERROR(VLOOKUP($D1411,본공사입.출고현황!$B:$H,G$2080,0),0)</f>
        <v>CCGG</v>
      </c>
      <c r="H1411" s="18" t="str">
        <f>IFERROR(VLOOKUP($D1411,본공사입.출고현황!$B:$H,H$2080,0),0)</f>
        <v>ф10, 1ton=1,620.7m</v>
      </c>
      <c r="I1411" s="56" t="str">
        <f>IFERROR(VLOOKUP($D1411,본공사입.출고현황!$B:$H,I$2080,0),0)</f>
        <v>M</v>
      </c>
      <c r="J1411" s="9">
        <v>2</v>
      </c>
      <c r="K1411" s="9" t="s">
        <v>360</v>
      </c>
      <c r="L1411" s="37">
        <v>25</v>
      </c>
      <c r="M1411" s="64" t="s">
        <v>408</v>
      </c>
      <c r="N1411" s="4"/>
    </row>
    <row r="1412" spans="1:14" ht="24" customHeight="1">
      <c r="A1412" s="8">
        <v>1368</v>
      </c>
      <c r="B1412" s="9">
        <v>1368</v>
      </c>
      <c r="C1412" s="46">
        <v>46084</v>
      </c>
      <c r="D1412" s="9" t="s">
        <v>238</v>
      </c>
      <c r="E1412" s="56" t="str">
        <f>IFERROR(VLOOKUP($D1412,본공사입.출고현황!$B:$H,E$2080,0),0)</f>
        <v>Steel round bar</v>
      </c>
      <c r="F1412" s="18" t="str">
        <f>IFERROR(VLOOKUP($D1412,본공사입.출고현황!$B:$H,F$2080,0),0)</f>
        <v>Steel round bar(rebar)</v>
      </c>
      <c r="G1412" s="18" t="str">
        <f>IFERROR(VLOOKUP($D1412,본공사입.출고현황!$B:$H,G$2080,0),0)</f>
        <v>CCGG</v>
      </c>
      <c r="H1412" s="18" t="str">
        <f>IFERROR(VLOOKUP($D1412,본공사입.출고현황!$B:$H,H$2080,0),0)</f>
        <v>ф10, 1ton=1,620.7m</v>
      </c>
      <c r="I1412" s="56" t="str">
        <f>IFERROR(VLOOKUP($D1412,본공사입.출고현황!$B:$H,I$2080,0),0)</f>
        <v>M</v>
      </c>
      <c r="J1412" s="9">
        <v>1</v>
      </c>
      <c r="K1412" s="9" t="s">
        <v>352</v>
      </c>
      <c r="L1412" s="37">
        <v>50</v>
      </c>
      <c r="M1412" s="64" t="s">
        <v>408</v>
      </c>
      <c r="N1412" s="4"/>
    </row>
    <row r="1413" spans="1:14" ht="24" customHeight="1">
      <c r="A1413" s="8">
        <v>1369</v>
      </c>
      <c r="B1413" s="9">
        <v>1369</v>
      </c>
      <c r="C1413" s="46">
        <v>46084</v>
      </c>
      <c r="D1413" s="9" t="s">
        <v>238</v>
      </c>
      <c r="E1413" s="56" t="str">
        <f>IFERROR(VLOOKUP($D1413,본공사입.출고현황!$B:$H,E$2080,0),0)</f>
        <v>Steel round bar</v>
      </c>
      <c r="F1413" s="18" t="str">
        <f>IFERROR(VLOOKUP($D1413,본공사입.출고현황!$B:$H,F$2080,0),0)</f>
        <v>Steel round bar(rebar)</v>
      </c>
      <c r="G1413" s="18" t="str">
        <f>IFERROR(VLOOKUP($D1413,본공사입.출고현황!$B:$H,G$2080,0),0)</f>
        <v>CCGG</v>
      </c>
      <c r="H1413" s="18" t="str">
        <f>IFERROR(VLOOKUP($D1413,본공사입.출고현황!$B:$H,H$2080,0),0)</f>
        <v>ф10, 1ton=1,620.7m</v>
      </c>
      <c r="I1413" s="56" t="str">
        <f>IFERROR(VLOOKUP($D1413,본공사입.출고현황!$B:$H,I$2080,0),0)</f>
        <v>M</v>
      </c>
      <c r="J1413" s="9">
        <v>1</v>
      </c>
      <c r="K1413" s="9" t="s">
        <v>352</v>
      </c>
      <c r="L1413" s="37">
        <v>50</v>
      </c>
      <c r="M1413" s="64" t="s">
        <v>408</v>
      </c>
      <c r="N1413" s="4"/>
    </row>
    <row r="1414" spans="1:14" ht="24" customHeight="1">
      <c r="A1414" s="8">
        <v>1370</v>
      </c>
      <c r="B1414" s="9">
        <v>1370</v>
      </c>
      <c r="C1414" s="46">
        <v>46084</v>
      </c>
      <c r="D1414" s="9" t="s">
        <v>238</v>
      </c>
      <c r="E1414" s="56" t="str">
        <f>IFERROR(VLOOKUP($D1414,본공사입.출고현황!$B:$H,E$2080,0),0)</f>
        <v>Steel round bar</v>
      </c>
      <c r="F1414" s="18" t="str">
        <f>IFERROR(VLOOKUP($D1414,본공사입.출고현황!$B:$H,F$2080,0),0)</f>
        <v>Steel round bar(rebar)</v>
      </c>
      <c r="G1414" s="18" t="str">
        <f>IFERROR(VLOOKUP($D1414,본공사입.출고현황!$B:$H,G$2080,0),0)</f>
        <v>CCGG</v>
      </c>
      <c r="H1414" s="18" t="str">
        <f>IFERROR(VLOOKUP($D1414,본공사입.출고현황!$B:$H,H$2080,0),0)</f>
        <v>ф10, 1ton=1,620.7m</v>
      </c>
      <c r="I1414" s="56" t="str">
        <f>IFERROR(VLOOKUP($D1414,본공사입.출고현황!$B:$H,I$2080,0),0)</f>
        <v>M</v>
      </c>
      <c r="J1414" s="9">
        <v>2</v>
      </c>
      <c r="K1414" s="9" t="s">
        <v>546</v>
      </c>
      <c r="L1414" s="37">
        <v>25</v>
      </c>
      <c r="M1414" s="64" t="s">
        <v>408</v>
      </c>
      <c r="N1414" s="4"/>
    </row>
    <row r="1415" spans="1:14" ht="24" customHeight="1">
      <c r="A1415" s="8">
        <v>1371</v>
      </c>
      <c r="B1415" s="9">
        <v>1371</v>
      </c>
      <c r="C1415" s="46">
        <v>46084</v>
      </c>
      <c r="D1415" s="9" t="s">
        <v>238</v>
      </c>
      <c r="E1415" s="56" t="str">
        <f>IFERROR(VLOOKUP($D1415,본공사입.출고현황!$B:$H,E$2080,0),0)</f>
        <v>Steel round bar</v>
      </c>
      <c r="F1415" s="18" t="str">
        <f>IFERROR(VLOOKUP($D1415,본공사입.출고현황!$B:$H,F$2080,0),0)</f>
        <v>Steel round bar(rebar)</v>
      </c>
      <c r="G1415" s="18" t="str">
        <f>IFERROR(VLOOKUP($D1415,본공사입.출고현황!$B:$H,G$2080,0),0)</f>
        <v>CCGG</v>
      </c>
      <c r="H1415" s="18" t="str">
        <f>IFERROR(VLOOKUP($D1415,본공사입.출고현황!$B:$H,H$2080,0),0)</f>
        <v>ф10, 1ton=1,620.7m</v>
      </c>
      <c r="I1415" s="56" t="str">
        <f>IFERROR(VLOOKUP($D1415,본공사입.출고현황!$B:$H,I$2080,0),0)</f>
        <v>M</v>
      </c>
      <c r="J1415" s="9">
        <v>4</v>
      </c>
      <c r="K1415" s="9" t="s">
        <v>359</v>
      </c>
      <c r="L1415" s="37">
        <v>75</v>
      </c>
      <c r="M1415" s="64" t="s">
        <v>408</v>
      </c>
      <c r="N1415" s="4"/>
    </row>
    <row r="1416" spans="1:14" ht="24" customHeight="1">
      <c r="A1416" s="8">
        <v>1372</v>
      </c>
      <c r="B1416" s="9">
        <v>1372</v>
      </c>
      <c r="C1416" s="46">
        <v>46084</v>
      </c>
      <c r="D1416" s="9" t="s">
        <v>238</v>
      </c>
      <c r="E1416" s="56" t="str">
        <f>IFERROR(VLOOKUP($D1416,본공사입.출고현황!$B:$H,E$2080,0),0)</f>
        <v>Steel round bar</v>
      </c>
      <c r="F1416" s="18" t="str">
        <f>IFERROR(VLOOKUP($D1416,본공사입.출고현황!$B:$H,F$2080,0),0)</f>
        <v>Steel round bar(rebar)</v>
      </c>
      <c r="G1416" s="18" t="str">
        <f>IFERROR(VLOOKUP($D1416,본공사입.출고현황!$B:$H,G$2080,0),0)</f>
        <v>CCGG</v>
      </c>
      <c r="H1416" s="18" t="str">
        <f>IFERROR(VLOOKUP($D1416,본공사입.출고현황!$B:$H,H$2080,0),0)</f>
        <v>ф10, 1ton=1,620.7m</v>
      </c>
      <c r="I1416" s="56" t="str">
        <f>IFERROR(VLOOKUP($D1416,본공사입.출고현황!$B:$H,I$2080,0),0)</f>
        <v>M</v>
      </c>
      <c r="J1416" s="9">
        <v>2</v>
      </c>
      <c r="K1416" s="9" t="s">
        <v>360</v>
      </c>
      <c r="L1416" s="37">
        <v>25</v>
      </c>
      <c r="M1416" s="64" t="s">
        <v>408</v>
      </c>
      <c r="N1416" s="4"/>
    </row>
    <row r="1417" spans="1:14" ht="24" customHeight="1">
      <c r="A1417" s="8">
        <v>1373</v>
      </c>
      <c r="B1417" s="9">
        <v>1373</v>
      </c>
      <c r="C1417" s="46">
        <v>46084</v>
      </c>
      <c r="D1417" s="9" t="s">
        <v>238</v>
      </c>
      <c r="E1417" s="56" t="str">
        <f>IFERROR(VLOOKUP($D1417,본공사입.출고현황!$B:$H,E$2080,0),0)</f>
        <v>Steel round bar</v>
      </c>
      <c r="F1417" s="18" t="str">
        <f>IFERROR(VLOOKUP($D1417,본공사입.출고현황!$B:$H,F$2080,0),0)</f>
        <v>Steel round bar(rebar)</v>
      </c>
      <c r="G1417" s="18" t="str">
        <f>IFERROR(VLOOKUP($D1417,본공사입.출고현황!$B:$H,G$2080,0),0)</f>
        <v>CCGG</v>
      </c>
      <c r="H1417" s="18" t="str">
        <f>IFERROR(VLOOKUP($D1417,본공사입.출고현황!$B:$H,H$2080,0),0)</f>
        <v>ф10, 1ton=1,620.7m</v>
      </c>
      <c r="I1417" s="56" t="str">
        <f>IFERROR(VLOOKUP($D1417,본공사입.출고현황!$B:$H,I$2080,0),0)</f>
        <v>M</v>
      </c>
      <c r="J1417" s="9">
        <v>3</v>
      </c>
      <c r="K1417" s="9" t="s">
        <v>237</v>
      </c>
      <c r="L1417" s="37">
        <v>20</v>
      </c>
      <c r="M1417" s="64" t="s">
        <v>408</v>
      </c>
      <c r="N1417" s="4"/>
    </row>
    <row r="1418" spans="1:14" ht="24" customHeight="1">
      <c r="A1418" s="8">
        <v>1374</v>
      </c>
      <c r="B1418" s="9">
        <v>1374</v>
      </c>
      <c r="C1418" s="46">
        <v>46084</v>
      </c>
      <c r="D1418" s="9" t="s">
        <v>238</v>
      </c>
      <c r="E1418" s="56" t="str">
        <f>IFERROR(VLOOKUP($D1418,본공사입.출고현황!$B:$H,E$2080,0),0)</f>
        <v>Steel round bar</v>
      </c>
      <c r="F1418" s="18" t="str">
        <f>IFERROR(VLOOKUP($D1418,본공사입.출고현황!$B:$H,F$2080,0),0)</f>
        <v>Steel round bar(rebar)</v>
      </c>
      <c r="G1418" s="18" t="str">
        <f>IFERROR(VLOOKUP($D1418,본공사입.출고현황!$B:$H,G$2080,0),0)</f>
        <v>CCGG</v>
      </c>
      <c r="H1418" s="18" t="str">
        <f>IFERROR(VLOOKUP($D1418,본공사입.출고현황!$B:$H,H$2080,0),0)</f>
        <v>ф10, 1ton=1,620.7m</v>
      </c>
      <c r="I1418" s="56" t="str">
        <f>IFERROR(VLOOKUP($D1418,본공사입.출고현황!$B:$H,I$2080,0),0)</f>
        <v>M</v>
      </c>
      <c r="J1418" s="9">
        <v>1</v>
      </c>
      <c r="K1418" s="9" t="s">
        <v>352</v>
      </c>
      <c r="L1418" s="37">
        <v>25</v>
      </c>
      <c r="M1418" s="64" t="s">
        <v>408</v>
      </c>
      <c r="N1418" s="4"/>
    </row>
    <row r="1419" spans="1:14" ht="24" customHeight="1">
      <c r="A1419" s="8">
        <v>1375</v>
      </c>
      <c r="B1419" s="9">
        <v>1375</v>
      </c>
      <c r="C1419" s="46">
        <v>46084</v>
      </c>
      <c r="D1419" s="9" t="s">
        <v>238</v>
      </c>
      <c r="E1419" s="56" t="str">
        <f>IFERROR(VLOOKUP($D1419,본공사입.출고현황!$B:$H,E$2080,0),0)</f>
        <v>Steel round bar</v>
      </c>
      <c r="F1419" s="18" t="str">
        <f>IFERROR(VLOOKUP($D1419,본공사입.출고현황!$B:$H,F$2080,0),0)</f>
        <v>Steel round bar(rebar)</v>
      </c>
      <c r="G1419" s="18" t="str">
        <f>IFERROR(VLOOKUP($D1419,본공사입.출고현황!$B:$H,G$2080,0),0)</f>
        <v>CCGG</v>
      </c>
      <c r="H1419" s="18" t="str">
        <f>IFERROR(VLOOKUP($D1419,본공사입.출고현황!$B:$H,H$2080,0),0)</f>
        <v>ф10, 1ton=1,620.7m</v>
      </c>
      <c r="I1419" s="56" t="str">
        <f>IFERROR(VLOOKUP($D1419,본공사입.출고현황!$B:$H,I$2080,0),0)</f>
        <v>M</v>
      </c>
      <c r="J1419" s="9">
        <v>1</v>
      </c>
      <c r="K1419" s="9" t="s">
        <v>352</v>
      </c>
      <c r="L1419" s="37">
        <v>15</v>
      </c>
      <c r="M1419" s="64" t="s">
        <v>408</v>
      </c>
      <c r="N1419" s="4"/>
    </row>
    <row r="1420" spans="1:14" ht="24" customHeight="1">
      <c r="A1420" s="8">
        <v>1376</v>
      </c>
      <c r="B1420" s="9">
        <v>1376</v>
      </c>
      <c r="C1420" s="46">
        <v>46085</v>
      </c>
      <c r="D1420" s="9" t="s">
        <v>238</v>
      </c>
      <c r="E1420" s="56" t="str">
        <f>IFERROR(VLOOKUP($D1420,본공사입.출고현황!$B:$H,E$2080,0),0)</f>
        <v>Steel round bar</v>
      </c>
      <c r="F1420" s="18" t="str">
        <f>IFERROR(VLOOKUP($D1420,본공사입.출고현황!$B:$H,F$2080,0),0)</f>
        <v>Steel round bar(rebar)</v>
      </c>
      <c r="G1420" s="18" t="str">
        <f>IFERROR(VLOOKUP($D1420,본공사입.출고현황!$B:$H,G$2080,0),0)</f>
        <v>CCGG</v>
      </c>
      <c r="H1420" s="18" t="str">
        <f>IFERROR(VLOOKUP($D1420,본공사입.출고현황!$B:$H,H$2080,0),0)</f>
        <v>ф10, 1ton=1,620.7m</v>
      </c>
      <c r="I1420" s="56" t="str">
        <f>IFERROR(VLOOKUP($D1420,본공사입.출고현황!$B:$H,I$2080,0),0)</f>
        <v>M</v>
      </c>
      <c r="J1420" s="9">
        <v>1</v>
      </c>
      <c r="K1420" s="9" t="s">
        <v>363</v>
      </c>
      <c r="L1420" s="37">
        <v>50</v>
      </c>
      <c r="M1420" s="64" t="s">
        <v>408</v>
      </c>
      <c r="N1420" s="4"/>
    </row>
    <row r="1421" spans="1:14" ht="24" customHeight="1">
      <c r="A1421" s="8">
        <v>1377</v>
      </c>
      <c r="B1421" s="9">
        <v>1377</v>
      </c>
      <c r="C1421" s="46">
        <v>46085</v>
      </c>
      <c r="D1421" s="9" t="s">
        <v>238</v>
      </c>
      <c r="E1421" s="56" t="str">
        <f>IFERROR(VLOOKUP($D1421,본공사입.출고현황!$B:$H,E$2080,0),0)</f>
        <v>Steel round bar</v>
      </c>
      <c r="F1421" s="18" t="str">
        <f>IFERROR(VLOOKUP($D1421,본공사입.출고현황!$B:$H,F$2080,0),0)</f>
        <v>Steel round bar(rebar)</v>
      </c>
      <c r="G1421" s="18" t="str">
        <f>IFERROR(VLOOKUP($D1421,본공사입.출고현황!$B:$H,G$2080,0),0)</f>
        <v>CCGG</v>
      </c>
      <c r="H1421" s="18" t="str">
        <f>IFERROR(VLOOKUP($D1421,본공사입.출고현황!$B:$H,H$2080,0),0)</f>
        <v>ф10, 1ton=1,620.7m</v>
      </c>
      <c r="I1421" s="56" t="str">
        <f>IFERROR(VLOOKUP($D1421,본공사입.출고현황!$B:$H,I$2080,0),0)</f>
        <v>M</v>
      </c>
      <c r="J1421" s="9">
        <v>1</v>
      </c>
      <c r="K1421" s="9" t="s">
        <v>545</v>
      </c>
      <c r="L1421" s="37">
        <v>15</v>
      </c>
      <c r="M1421" s="64" t="s">
        <v>408</v>
      </c>
      <c r="N1421" s="4"/>
    </row>
    <row r="1422" spans="1:14" ht="24" customHeight="1">
      <c r="A1422" s="8">
        <v>1378</v>
      </c>
      <c r="B1422" s="9">
        <v>1378</v>
      </c>
      <c r="C1422" s="46">
        <v>46085</v>
      </c>
      <c r="D1422" s="9" t="s">
        <v>238</v>
      </c>
      <c r="E1422" s="56" t="str">
        <f>IFERROR(VLOOKUP($D1422,본공사입.출고현황!$B:$H,E$2080,0),0)</f>
        <v>Steel round bar</v>
      </c>
      <c r="F1422" s="18" t="str">
        <f>IFERROR(VLOOKUP($D1422,본공사입.출고현황!$B:$H,F$2080,0),0)</f>
        <v>Steel round bar(rebar)</v>
      </c>
      <c r="G1422" s="18" t="str">
        <f>IFERROR(VLOOKUP($D1422,본공사입.출고현황!$B:$H,G$2080,0),0)</f>
        <v>CCGG</v>
      </c>
      <c r="H1422" s="18" t="str">
        <f>IFERROR(VLOOKUP($D1422,본공사입.출고현황!$B:$H,H$2080,0),0)</f>
        <v>ф10, 1ton=1,620.7m</v>
      </c>
      <c r="I1422" s="56" t="str">
        <f>IFERROR(VLOOKUP($D1422,본공사입.출고현황!$B:$H,I$2080,0),0)</f>
        <v>M</v>
      </c>
      <c r="J1422" s="9">
        <v>2</v>
      </c>
      <c r="K1422" s="9" t="s">
        <v>241</v>
      </c>
      <c r="L1422" s="37">
        <v>50</v>
      </c>
      <c r="M1422" s="64" t="s">
        <v>408</v>
      </c>
      <c r="N1422" s="4"/>
    </row>
    <row r="1423" spans="1:14" ht="24" customHeight="1">
      <c r="A1423" s="8">
        <v>1379</v>
      </c>
      <c r="B1423" s="9">
        <v>1379</v>
      </c>
      <c r="C1423" s="46">
        <v>46085</v>
      </c>
      <c r="D1423" s="9" t="s">
        <v>238</v>
      </c>
      <c r="E1423" s="56" t="str">
        <f>IFERROR(VLOOKUP($D1423,본공사입.출고현황!$B:$H,E$2080,0),0)</f>
        <v>Steel round bar</v>
      </c>
      <c r="F1423" s="18" t="str">
        <f>IFERROR(VLOOKUP($D1423,본공사입.출고현황!$B:$H,F$2080,0),0)</f>
        <v>Steel round bar(rebar)</v>
      </c>
      <c r="G1423" s="18" t="str">
        <f>IFERROR(VLOOKUP($D1423,본공사입.출고현황!$B:$H,G$2080,0),0)</f>
        <v>CCGG</v>
      </c>
      <c r="H1423" s="18" t="str">
        <f>IFERROR(VLOOKUP($D1423,본공사입.출고현황!$B:$H,H$2080,0),0)</f>
        <v>ф10, 1ton=1,620.7m</v>
      </c>
      <c r="I1423" s="56" t="str">
        <f>IFERROR(VLOOKUP($D1423,본공사입.출고현황!$B:$H,I$2080,0),0)</f>
        <v>M</v>
      </c>
      <c r="J1423" s="9">
        <v>3</v>
      </c>
      <c r="K1423" s="9" t="s">
        <v>550</v>
      </c>
      <c r="L1423" s="37">
        <v>30</v>
      </c>
      <c r="M1423" s="64" t="s">
        <v>408</v>
      </c>
      <c r="N1423" s="4"/>
    </row>
    <row r="1424" spans="1:14" ht="24" customHeight="1">
      <c r="A1424" s="8">
        <v>1380</v>
      </c>
      <c r="B1424" s="9">
        <v>1380</v>
      </c>
      <c r="C1424" s="46">
        <v>46085</v>
      </c>
      <c r="D1424" s="9" t="s">
        <v>238</v>
      </c>
      <c r="E1424" s="56" t="str">
        <f>IFERROR(VLOOKUP($D1424,본공사입.출고현황!$B:$H,E$2080,0),0)</f>
        <v>Steel round bar</v>
      </c>
      <c r="F1424" s="18" t="str">
        <f>IFERROR(VLOOKUP($D1424,본공사입.출고현황!$B:$H,F$2080,0),0)</f>
        <v>Steel round bar(rebar)</v>
      </c>
      <c r="G1424" s="18" t="str">
        <f>IFERROR(VLOOKUP($D1424,본공사입.출고현황!$B:$H,G$2080,0),0)</f>
        <v>CCGG</v>
      </c>
      <c r="H1424" s="18" t="str">
        <f>IFERROR(VLOOKUP($D1424,본공사입.출고현황!$B:$H,H$2080,0),0)</f>
        <v>ф10, 1ton=1,620.7m</v>
      </c>
      <c r="I1424" s="56" t="str">
        <f>IFERROR(VLOOKUP($D1424,본공사입.출고현황!$B:$H,I$2080,0),0)</f>
        <v>M</v>
      </c>
      <c r="J1424" s="9">
        <v>3</v>
      </c>
      <c r="K1424" s="9" t="s">
        <v>550</v>
      </c>
      <c r="L1424" s="37">
        <v>15</v>
      </c>
      <c r="M1424" s="64" t="s">
        <v>408</v>
      </c>
      <c r="N1424" s="4"/>
    </row>
    <row r="1425" spans="1:14" ht="24" customHeight="1">
      <c r="A1425" s="8">
        <v>1381</v>
      </c>
      <c r="B1425" s="9">
        <v>1381</v>
      </c>
      <c r="C1425" s="46">
        <v>46085</v>
      </c>
      <c r="D1425" s="9" t="s">
        <v>238</v>
      </c>
      <c r="E1425" s="56" t="str">
        <f>IFERROR(VLOOKUP($D1425,본공사입.출고현황!$B:$H,E$2080,0),0)</f>
        <v>Steel round bar</v>
      </c>
      <c r="F1425" s="18" t="str">
        <f>IFERROR(VLOOKUP($D1425,본공사입.출고현황!$B:$H,F$2080,0),0)</f>
        <v>Steel round bar(rebar)</v>
      </c>
      <c r="G1425" s="18" t="str">
        <f>IFERROR(VLOOKUP($D1425,본공사입.출고현황!$B:$H,G$2080,0),0)</f>
        <v>CCGG</v>
      </c>
      <c r="H1425" s="18" t="str">
        <f>IFERROR(VLOOKUP($D1425,본공사입.출고현황!$B:$H,H$2080,0),0)</f>
        <v>ф10, 1ton=1,620.7m</v>
      </c>
      <c r="I1425" s="56" t="str">
        <f>IFERROR(VLOOKUP($D1425,본공사입.출고현황!$B:$H,I$2080,0),0)</f>
        <v>M</v>
      </c>
      <c r="J1425" s="9">
        <v>1</v>
      </c>
      <c r="K1425" s="9" t="s">
        <v>363</v>
      </c>
      <c r="L1425" s="37">
        <v>40</v>
      </c>
      <c r="M1425" s="64" t="s">
        <v>408</v>
      </c>
      <c r="N1425" s="4"/>
    </row>
    <row r="1426" spans="1:14" ht="24" customHeight="1">
      <c r="A1426" s="8">
        <v>1382</v>
      </c>
      <c r="B1426" s="9">
        <v>1382</v>
      </c>
      <c r="C1426" s="46">
        <v>46085</v>
      </c>
      <c r="D1426" s="9" t="s">
        <v>238</v>
      </c>
      <c r="E1426" s="56" t="str">
        <f>IFERROR(VLOOKUP($D1426,본공사입.출고현황!$B:$H,E$2080,0),0)</f>
        <v>Steel round bar</v>
      </c>
      <c r="F1426" s="18" t="str">
        <f>IFERROR(VLOOKUP($D1426,본공사입.출고현황!$B:$H,F$2080,0),0)</f>
        <v>Steel round bar(rebar)</v>
      </c>
      <c r="G1426" s="18" t="str">
        <f>IFERROR(VLOOKUP($D1426,본공사입.출고현황!$B:$H,G$2080,0),0)</f>
        <v>CCGG</v>
      </c>
      <c r="H1426" s="18" t="str">
        <f>IFERROR(VLOOKUP($D1426,본공사입.출고현황!$B:$H,H$2080,0),0)</f>
        <v>ф10, 1ton=1,620.7m</v>
      </c>
      <c r="I1426" s="56" t="str">
        <f>IFERROR(VLOOKUP($D1426,본공사입.출고현황!$B:$H,I$2080,0),0)</f>
        <v>M</v>
      </c>
      <c r="J1426" s="9">
        <v>1</v>
      </c>
      <c r="K1426" s="9" t="s">
        <v>547</v>
      </c>
      <c r="L1426" s="37">
        <v>20</v>
      </c>
      <c r="M1426" s="64" t="s">
        <v>408</v>
      </c>
      <c r="N1426" s="4"/>
    </row>
    <row r="1427" spans="1:14" ht="24" customHeight="1">
      <c r="A1427" s="8">
        <v>1383</v>
      </c>
      <c r="B1427" s="9">
        <v>1383</v>
      </c>
      <c r="C1427" s="46">
        <v>46085</v>
      </c>
      <c r="D1427" s="9" t="s">
        <v>238</v>
      </c>
      <c r="E1427" s="56" t="str">
        <f>IFERROR(VLOOKUP($D1427,본공사입.출고현황!$B:$H,E$2080,0),0)</f>
        <v>Steel round bar</v>
      </c>
      <c r="F1427" s="18" t="str">
        <f>IFERROR(VLOOKUP($D1427,본공사입.출고현황!$B:$H,F$2080,0),0)</f>
        <v>Steel round bar(rebar)</v>
      </c>
      <c r="G1427" s="18" t="str">
        <f>IFERROR(VLOOKUP($D1427,본공사입.출고현황!$B:$H,G$2080,0),0)</f>
        <v>CCGG</v>
      </c>
      <c r="H1427" s="18" t="str">
        <f>IFERROR(VLOOKUP($D1427,본공사입.출고현황!$B:$H,H$2080,0),0)</f>
        <v>ф10, 1ton=1,620.7m</v>
      </c>
      <c r="I1427" s="56" t="str">
        <f>IFERROR(VLOOKUP($D1427,본공사입.출고현황!$B:$H,I$2080,0),0)</f>
        <v>M</v>
      </c>
      <c r="J1427" s="9">
        <v>1</v>
      </c>
      <c r="K1427" s="9" t="s">
        <v>363</v>
      </c>
      <c r="L1427" s="37">
        <v>20</v>
      </c>
      <c r="M1427" s="64" t="s">
        <v>408</v>
      </c>
      <c r="N1427" s="4"/>
    </row>
    <row r="1428" spans="1:14" ht="24" customHeight="1">
      <c r="A1428" s="8">
        <v>1384</v>
      </c>
      <c r="B1428" s="9">
        <v>1384</v>
      </c>
      <c r="C1428" s="46">
        <v>46085</v>
      </c>
      <c r="D1428" s="9" t="s">
        <v>238</v>
      </c>
      <c r="E1428" s="56" t="str">
        <f>IFERROR(VLOOKUP($D1428,본공사입.출고현황!$B:$H,E$2080,0),0)</f>
        <v>Steel round bar</v>
      </c>
      <c r="F1428" s="18" t="str">
        <f>IFERROR(VLOOKUP($D1428,본공사입.출고현황!$B:$H,F$2080,0),0)</f>
        <v>Steel round bar(rebar)</v>
      </c>
      <c r="G1428" s="18" t="str">
        <f>IFERROR(VLOOKUP($D1428,본공사입.출고현황!$B:$H,G$2080,0),0)</f>
        <v>CCGG</v>
      </c>
      <c r="H1428" s="18" t="str">
        <f>IFERROR(VLOOKUP($D1428,본공사입.출고현황!$B:$H,H$2080,0),0)</f>
        <v>ф10, 1ton=1,620.7m</v>
      </c>
      <c r="I1428" s="56" t="str">
        <f>IFERROR(VLOOKUP($D1428,본공사입.출고현황!$B:$H,I$2080,0),0)</f>
        <v>M</v>
      </c>
      <c r="J1428" s="9">
        <v>3</v>
      </c>
      <c r="K1428" s="9" t="s">
        <v>550</v>
      </c>
      <c r="L1428" s="37">
        <v>20</v>
      </c>
      <c r="M1428" s="64" t="s">
        <v>408</v>
      </c>
      <c r="N1428" s="4"/>
    </row>
    <row r="1429" spans="1:14" ht="24" customHeight="1">
      <c r="A1429" s="8">
        <v>1385</v>
      </c>
      <c r="B1429" s="9">
        <v>1385</v>
      </c>
      <c r="C1429" s="46">
        <v>46085</v>
      </c>
      <c r="D1429" s="9" t="s">
        <v>238</v>
      </c>
      <c r="E1429" s="56" t="str">
        <f>IFERROR(VLOOKUP($D1429,본공사입.출고현황!$B:$H,E$2080,0),0)</f>
        <v>Steel round bar</v>
      </c>
      <c r="F1429" s="18" t="str">
        <f>IFERROR(VLOOKUP($D1429,본공사입.출고현황!$B:$H,F$2080,0),0)</f>
        <v>Steel round bar(rebar)</v>
      </c>
      <c r="G1429" s="18" t="str">
        <f>IFERROR(VLOOKUP($D1429,본공사입.출고현황!$B:$H,G$2080,0),0)</f>
        <v>CCGG</v>
      </c>
      <c r="H1429" s="18" t="str">
        <f>IFERROR(VLOOKUP($D1429,본공사입.출고현황!$B:$H,H$2080,0),0)</f>
        <v>ф10, 1ton=1,620.7m</v>
      </c>
      <c r="I1429" s="56" t="str">
        <f>IFERROR(VLOOKUP($D1429,본공사입.출고현황!$B:$H,I$2080,0),0)</f>
        <v>M</v>
      </c>
      <c r="J1429" s="9">
        <v>2</v>
      </c>
      <c r="K1429" s="9" t="s">
        <v>360</v>
      </c>
      <c r="L1429" s="37">
        <v>25</v>
      </c>
      <c r="M1429" s="64" t="s">
        <v>408</v>
      </c>
      <c r="N1429" s="4"/>
    </row>
    <row r="1430" spans="1:14" ht="24" customHeight="1">
      <c r="A1430" s="8">
        <v>1386</v>
      </c>
      <c r="B1430" s="9">
        <v>1386</v>
      </c>
      <c r="C1430" s="46">
        <v>46085</v>
      </c>
      <c r="D1430" s="9" t="s">
        <v>238</v>
      </c>
      <c r="E1430" s="56" t="str">
        <f>IFERROR(VLOOKUP($D1430,본공사입.출고현황!$B:$H,E$2080,0),0)</f>
        <v>Steel round bar</v>
      </c>
      <c r="F1430" s="18" t="str">
        <f>IFERROR(VLOOKUP($D1430,본공사입.출고현황!$B:$H,F$2080,0),0)</f>
        <v>Steel round bar(rebar)</v>
      </c>
      <c r="G1430" s="18" t="str">
        <f>IFERROR(VLOOKUP($D1430,본공사입.출고현황!$B:$H,G$2080,0),0)</f>
        <v>CCGG</v>
      </c>
      <c r="H1430" s="18" t="str">
        <f>IFERROR(VLOOKUP($D1430,본공사입.출고현황!$B:$H,H$2080,0),0)</f>
        <v>ф10, 1ton=1,620.7m</v>
      </c>
      <c r="I1430" s="56" t="str">
        <f>IFERROR(VLOOKUP($D1430,본공사입.출고현황!$B:$H,I$2080,0),0)</f>
        <v>M</v>
      </c>
      <c r="J1430" s="9">
        <v>1</v>
      </c>
      <c r="K1430" s="9" t="s">
        <v>352</v>
      </c>
      <c r="L1430" s="37">
        <v>25</v>
      </c>
      <c r="M1430" s="64" t="s">
        <v>408</v>
      </c>
      <c r="N1430" s="4"/>
    </row>
    <row r="1431" spans="1:14" ht="24" customHeight="1">
      <c r="A1431" s="8">
        <v>1387</v>
      </c>
      <c r="B1431" s="9">
        <v>1387</v>
      </c>
      <c r="C1431" s="46">
        <v>46085</v>
      </c>
      <c r="D1431" s="9" t="s">
        <v>238</v>
      </c>
      <c r="E1431" s="56" t="str">
        <f>IFERROR(VLOOKUP($D1431,본공사입.출고현황!$B:$H,E$2080,0),0)</f>
        <v>Steel round bar</v>
      </c>
      <c r="F1431" s="18" t="str">
        <f>IFERROR(VLOOKUP($D1431,본공사입.출고현황!$B:$H,F$2080,0),0)</f>
        <v>Steel round bar(rebar)</v>
      </c>
      <c r="G1431" s="18" t="str">
        <f>IFERROR(VLOOKUP($D1431,본공사입.출고현황!$B:$H,G$2080,0),0)</f>
        <v>CCGG</v>
      </c>
      <c r="H1431" s="18" t="str">
        <f>IFERROR(VLOOKUP($D1431,본공사입.출고현황!$B:$H,H$2080,0),0)</f>
        <v>ф10, 1ton=1,620.7m</v>
      </c>
      <c r="I1431" s="56" t="str">
        <f>IFERROR(VLOOKUP($D1431,본공사입.출고현황!$B:$H,I$2080,0),0)</f>
        <v>M</v>
      </c>
      <c r="J1431" s="9">
        <v>2</v>
      </c>
      <c r="K1431" s="9" t="s">
        <v>546</v>
      </c>
      <c r="L1431" s="37">
        <v>25</v>
      </c>
      <c r="M1431" s="64" t="s">
        <v>408</v>
      </c>
      <c r="N1431" s="4"/>
    </row>
    <row r="1432" spans="1:14" ht="24" customHeight="1">
      <c r="A1432" s="8">
        <v>1388</v>
      </c>
      <c r="B1432" s="9">
        <v>1388</v>
      </c>
      <c r="C1432" s="46">
        <v>46085</v>
      </c>
      <c r="D1432" s="9" t="s">
        <v>238</v>
      </c>
      <c r="E1432" s="56" t="str">
        <f>IFERROR(VLOOKUP($D1432,본공사입.출고현황!$B:$H,E$2080,0),0)</f>
        <v>Steel round bar</v>
      </c>
      <c r="F1432" s="18" t="str">
        <f>IFERROR(VLOOKUP($D1432,본공사입.출고현황!$B:$H,F$2080,0),0)</f>
        <v>Steel round bar(rebar)</v>
      </c>
      <c r="G1432" s="18" t="str">
        <f>IFERROR(VLOOKUP($D1432,본공사입.출고현황!$B:$H,G$2080,0),0)</f>
        <v>CCGG</v>
      </c>
      <c r="H1432" s="18" t="str">
        <f>IFERROR(VLOOKUP($D1432,본공사입.출고현황!$B:$H,H$2080,0),0)</f>
        <v>ф10, 1ton=1,620.7m</v>
      </c>
      <c r="I1432" s="56" t="str">
        <f>IFERROR(VLOOKUP($D1432,본공사입.출고현황!$B:$H,I$2080,0),0)</f>
        <v>M</v>
      </c>
      <c r="J1432" s="9">
        <v>4</v>
      </c>
      <c r="K1432" s="9" t="s">
        <v>359</v>
      </c>
      <c r="L1432" s="37">
        <v>25</v>
      </c>
      <c r="M1432" s="64" t="s">
        <v>408</v>
      </c>
      <c r="N1432" s="4"/>
    </row>
    <row r="1433" spans="1:14" ht="24" customHeight="1">
      <c r="A1433" s="8">
        <v>1389</v>
      </c>
      <c r="B1433" s="9">
        <v>1389</v>
      </c>
      <c r="C1433" s="46">
        <v>46086</v>
      </c>
      <c r="D1433" s="9" t="s">
        <v>238</v>
      </c>
      <c r="E1433" s="56" t="str">
        <f>IFERROR(VLOOKUP($D1433,본공사입.출고현황!$B:$H,E$2080,0),0)</f>
        <v>Steel round bar</v>
      </c>
      <c r="F1433" s="18" t="str">
        <f>IFERROR(VLOOKUP($D1433,본공사입.출고현황!$B:$H,F$2080,0),0)</f>
        <v>Steel round bar(rebar)</v>
      </c>
      <c r="G1433" s="18" t="str">
        <f>IFERROR(VLOOKUP($D1433,본공사입.출고현황!$B:$H,G$2080,0),0)</f>
        <v>CCGG</v>
      </c>
      <c r="H1433" s="18" t="str">
        <f>IFERROR(VLOOKUP($D1433,본공사입.출고현황!$B:$H,H$2080,0),0)</f>
        <v>ф10, 1ton=1,620.7m</v>
      </c>
      <c r="I1433" s="56" t="str">
        <f>IFERROR(VLOOKUP($D1433,본공사입.출고현황!$B:$H,I$2080,0),0)</f>
        <v>M</v>
      </c>
      <c r="J1433" s="9">
        <v>1</v>
      </c>
      <c r="K1433" s="9" t="s">
        <v>352</v>
      </c>
      <c r="L1433" s="37">
        <v>50</v>
      </c>
      <c r="M1433" s="64" t="s">
        <v>358</v>
      </c>
      <c r="N1433" s="4"/>
    </row>
    <row r="1434" spans="1:14" ht="24" customHeight="1">
      <c r="A1434" s="8">
        <v>1390</v>
      </c>
      <c r="B1434" s="9">
        <v>1390</v>
      </c>
      <c r="C1434" s="46">
        <v>46086</v>
      </c>
      <c r="D1434" s="9" t="s">
        <v>238</v>
      </c>
      <c r="E1434" s="56" t="str">
        <f>IFERROR(VLOOKUP($D1434,본공사입.출고현황!$B:$H,E$2080,0),0)</f>
        <v>Steel round bar</v>
      </c>
      <c r="F1434" s="18" t="str">
        <f>IFERROR(VLOOKUP($D1434,본공사입.출고현황!$B:$H,F$2080,0),0)</f>
        <v>Steel round bar(rebar)</v>
      </c>
      <c r="G1434" s="18" t="str">
        <f>IFERROR(VLOOKUP($D1434,본공사입.출고현황!$B:$H,G$2080,0),0)</f>
        <v>CCGG</v>
      </c>
      <c r="H1434" s="18" t="str">
        <f>IFERROR(VLOOKUP($D1434,본공사입.출고현황!$B:$H,H$2080,0),0)</f>
        <v>ф10, 1ton=1,620.7m</v>
      </c>
      <c r="I1434" s="56" t="str">
        <f>IFERROR(VLOOKUP($D1434,본공사입.출고현황!$B:$H,I$2080,0),0)</f>
        <v>M</v>
      </c>
      <c r="J1434" s="9">
        <v>2</v>
      </c>
      <c r="K1434" s="9" t="s">
        <v>360</v>
      </c>
      <c r="L1434" s="37">
        <v>50</v>
      </c>
      <c r="M1434" s="64" t="s">
        <v>358</v>
      </c>
      <c r="N1434" s="4"/>
    </row>
    <row r="1435" spans="1:14" ht="24" customHeight="1">
      <c r="A1435" s="8">
        <v>1391</v>
      </c>
      <c r="B1435" s="9">
        <v>1391</v>
      </c>
      <c r="C1435" s="46">
        <v>46086</v>
      </c>
      <c r="D1435" s="9" t="s">
        <v>238</v>
      </c>
      <c r="E1435" s="56" t="str">
        <f>IFERROR(VLOOKUP($D1435,본공사입.출고현황!$B:$H,E$2080,0),0)</f>
        <v>Steel round bar</v>
      </c>
      <c r="F1435" s="18" t="str">
        <f>IFERROR(VLOOKUP($D1435,본공사입.출고현황!$B:$H,F$2080,0),0)</f>
        <v>Steel round bar(rebar)</v>
      </c>
      <c r="G1435" s="18" t="str">
        <f>IFERROR(VLOOKUP($D1435,본공사입.출고현황!$B:$H,G$2080,0),0)</f>
        <v>CCGG</v>
      </c>
      <c r="H1435" s="18" t="str">
        <f>IFERROR(VLOOKUP($D1435,본공사입.출고현황!$B:$H,H$2080,0),0)</f>
        <v>ф10, 1ton=1,620.7m</v>
      </c>
      <c r="I1435" s="56" t="str">
        <f>IFERROR(VLOOKUP($D1435,본공사입.출고현황!$B:$H,I$2080,0),0)</f>
        <v>M</v>
      </c>
      <c r="J1435" s="9">
        <v>1</v>
      </c>
      <c r="K1435" s="9" t="s">
        <v>352</v>
      </c>
      <c r="L1435" s="37">
        <v>25</v>
      </c>
      <c r="M1435" s="64" t="s">
        <v>358</v>
      </c>
      <c r="N1435" s="4"/>
    </row>
    <row r="1436" spans="1:14" ht="24" customHeight="1">
      <c r="A1436" s="8">
        <v>1392</v>
      </c>
      <c r="B1436" s="9">
        <v>1392</v>
      </c>
      <c r="C1436" s="46">
        <v>46086</v>
      </c>
      <c r="D1436" s="9" t="s">
        <v>238</v>
      </c>
      <c r="E1436" s="56" t="str">
        <f>IFERROR(VLOOKUP($D1436,본공사입.출고현황!$B:$H,E$2080,0),0)</f>
        <v>Steel round bar</v>
      </c>
      <c r="F1436" s="18" t="str">
        <f>IFERROR(VLOOKUP($D1436,본공사입.출고현황!$B:$H,F$2080,0),0)</f>
        <v>Steel round bar(rebar)</v>
      </c>
      <c r="G1436" s="18" t="str">
        <f>IFERROR(VLOOKUP($D1436,본공사입.출고현황!$B:$H,G$2080,0),0)</f>
        <v>CCGG</v>
      </c>
      <c r="H1436" s="18" t="str">
        <f>IFERROR(VLOOKUP($D1436,본공사입.출고현황!$B:$H,H$2080,0),0)</f>
        <v>ф10, 1ton=1,620.7m</v>
      </c>
      <c r="I1436" s="56" t="str">
        <f>IFERROR(VLOOKUP($D1436,본공사입.출고현황!$B:$H,I$2080,0),0)</f>
        <v>M</v>
      </c>
      <c r="J1436" s="9">
        <v>1</v>
      </c>
      <c r="K1436" s="9" t="s">
        <v>363</v>
      </c>
      <c r="L1436" s="37">
        <v>30</v>
      </c>
      <c r="M1436" s="64" t="s">
        <v>358</v>
      </c>
      <c r="N1436" s="4"/>
    </row>
    <row r="1437" spans="1:14" ht="24" customHeight="1">
      <c r="A1437" s="8">
        <v>1393</v>
      </c>
      <c r="B1437" s="9">
        <v>1393</v>
      </c>
      <c r="C1437" s="46">
        <v>46086</v>
      </c>
      <c r="D1437" s="9" t="s">
        <v>238</v>
      </c>
      <c r="E1437" s="56" t="str">
        <f>IFERROR(VLOOKUP($D1437,본공사입.출고현황!$B:$H,E$2080,0),0)</f>
        <v>Steel round bar</v>
      </c>
      <c r="F1437" s="18" t="str">
        <f>IFERROR(VLOOKUP($D1437,본공사입.출고현황!$B:$H,F$2080,0),0)</f>
        <v>Steel round bar(rebar)</v>
      </c>
      <c r="G1437" s="18" t="str">
        <f>IFERROR(VLOOKUP($D1437,본공사입.출고현황!$B:$H,G$2080,0),0)</f>
        <v>CCGG</v>
      </c>
      <c r="H1437" s="18" t="str">
        <f>IFERROR(VLOOKUP($D1437,본공사입.출고현황!$B:$H,H$2080,0),0)</f>
        <v>ф10, 1ton=1,620.7m</v>
      </c>
      <c r="I1437" s="56" t="str">
        <f>IFERROR(VLOOKUP($D1437,본공사입.출고현황!$B:$H,I$2080,0),0)</f>
        <v>M</v>
      </c>
      <c r="J1437" s="9">
        <v>1</v>
      </c>
      <c r="K1437" s="9" t="s">
        <v>547</v>
      </c>
      <c r="L1437" s="37">
        <v>50</v>
      </c>
      <c r="M1437" s="64" t="s">
        <v>358</v>
      </c>
      <c r="N1437" s="4"/>
    </row>
    <row r="1438" spans="1:14" ht="24" customHeight="1">
      <c r="A1438" s="8">
        <v>1394</v>
      </c>
      <c r="B1438" s="9">
        <v>1394</v>
      </c>
      <c r="C1438" s="46">
        <v>46086</v>
      </c>
      <c r="D1438" s="9" t="s">
        <v>238</v>
      </c>
      <c r="E1438" s="56" t="str">
        <f>IFERROR(VLOOKUP($D1438,본공사입.출고현황!$B:$H,E$2080,0),0)</f>
        <v>Steel round bar</v>
      </c>
      <c r="F1438" s="18" t="str">
        <f>IFERROR(VLOOKUP($D1438,본공사입.출고현황!$B:$H,F$2080,0),0)</f>
        <v>Steel round bar(rebar)</v>
      </c>
      <c r="G1438" s="18" t="str">
        <f>IFERROR(VLOOKUP($D1438,본공사입.출고현황!$B:$H,G$2080,0),0)</f>
        <v>CCGG</v>
      </c>
      <c r="H1438" s="18" t="str">
        <f>IFERROR(VLOOKUP($D1438,본공사입.출고현황!$B:$H,H$2080,0),0)</f>
        <v>ф10, 1ton=1,620.7m</v>
      </c>
      <c r="I1438" s="56" t="str">
        <f>IFERROR(VLOOKUP($D1438,본공사입.출고현황!$B:$H,I$2080,0),0)</f>
        <v>M</v>
      </c>
      <c r="J1438" s="9">
        <v>3</v>
      </c>
      <c r="K1438" s="9" t="s">
        <v>550</v>
      </c>
      <c r="L1438" s="37">
        <v>25</v>
      </c>
      <c r="M1438" s="64" t="s">
        <v>358</v>
      </c>
      <c r="N1438" s="4"/>
    </row>
    <row r="1439" spans="1:14" ht="24" customHeight="1">
      <c r="A1439" s="8">
        <v>1395</v>
      </c>
      <c r="B1439" s="9">
        <v>1395</v>
      </c>
      <c r="C1439" s="46">
        <v>46086</v>
      </c>
      <c r="D1439" s="9" t="s">
        <v>238</v>
      </c>
      <c r="E1439" s="56" t="str">
        <f>IFERROR(VLOOKUP($D1439,본공사입.출고현황!$B:$H,E$2080,0),0)</f>
        <v>Steel round bar</v>
      </c>
      <c r="F1439" s="18" t="str">
        <f>IFERROR(VLOOKUP($D1439,본공사입.출고현황!$B:$H,F$2080,0),0)</f>
        <v>Steel round bar(rebar)</v>
      </c>
      <c r="G1439" s="18" t="str">
        <f>IFERROR(VLOOKUP($D1439,본공사입.출고현황!$B:$H,G$2080,0),0)</f>
        <v>CCGG</v>
      </c>
      <c r="H1439" s="18" t="str">
        <f>IFERROR(VLOOKUP($D1439,본공사입.출고현황!$B:$H,H$2080,0),0)</f>
        <v>ф10, 1ton=1,620.7m</v>
      </c>
      <c r="I1439" s="56" t="str">
        <f>IFERROR(VLOOKUP($D1439,본공사입.출고현황!$B:$H,I$2080,0),0)</f>
        <v>M</v>
      </c>
      <c r="J1439" s="9">
        <v>1</v>
      </c>
      <c r="K1439" s="9" t="s">
        <v>363</v>
      </c>
      <c r="L1439" s="37">
        <v>70</v>
      </c>
      <c r="M1439" s="64" t="s">
        <v>358</v>
      </c>
      <c r="N1439" s="4"/>
    </row>
    <row r="1440" spans="1:14" ht="24" customHeight="1">
      <c r="A1440" s="8">
        <v>1396</v>
      </c>
      <c r="B1440" s="9">
        <v>1396</v>
      </c>
      <c r="C1440" s="46">
        <v>46086</v>
      </c>
      <c r="D1440" s="9" t="s">
        <v>238</v>
      </c>
      <c r="E1440" s="56" t="str">
        <f>IFERROR(VLOOKUP($D1440,본공사입.출고현황!$B:$H,E$2080,0),0)</f>
        <v>Steel round bar</v>
      </c>
      <c r="F1440" s="18" t="str">
        <f>IFERROR(VLOOKUP($D1440,본공사입.출고현황!$B:$H,F$2080,0),0)</f>
        <v>Steel round bar(rebar)</v>
      </c>
      <c r="G1440" s="18" t="str">
        <f>IFERROR(VLOOKUP($D1440,본공사입.출고현황!$B:$H,G$2080,0),0)</f>
        <v>CCGG</v>
      </c>
      <c r="H1440" s="18" t="str">
        <f>IFERROR(VLOOKUP($D1440,본공사입.출고현황!$B:$H,H$2080,0),0)</f>
        <v>ф10, 1ton=1,620.7m</v>
      </c>
      <c r="I1440" s="56" t="str">
        <f>IFERROR(VLOOKUP($D1440,본공사입.출고현황!$B:$H,I$2080,0),0)</f>
        <v>M</v>
      </c>
      <c r="J1440" s="9">
        <v>1</v>
      </c>
      <c r="K1440" s="9" t="s">
        <v>547</v>
      </c>
      <c r="L1440" s="37">
        <v>20</v>
      </c>
      <c r="M1440" s="64" t="s">
        <v>358</v>
      </c>
      <c r="N1440" s="4"/>
    </row>
    <row r="1441" spans="1:14" ht="24" customHeight="1">
      <c r="A1441" s="8">
        <v>1397</v>
      </c>
      <c r="B1441" s="9">
        <v>1397</v>
      </c>
      <c r="C1441" s="46">
        <v>46087</v>
      </c>
      <c r="D1441" s="9" t="s">
        <v>238</v>
      </c>
      <c r="E1441" s="56" t="str">
        <f>IFERROR(VLOOKUP($D1441,본공사입.출고현황!$B:$H,E$2080,0),0)</f>
        <v>Steel round bar</v>
      </c>
      <c r="F1441" s="18" t="str">
        <f>IFERROR(VLOOKUP($D1441,본공사입.출고현황!$B:$H,F$2080,0),0)</f>
        <v>Steel round bar(rebar)</v>
      </c>
      <c r="G1441" s="18" t="str">
        <f>IFERROR(VLOOKUP($D1441,본공사입.출고현황!$B:$H,G$2080,0),0)</f>
        <v>CCGG</v>
      </c>
      <c r="H1441" s="18" t="str">
        <f>IFERROR(VLOOKUP($D1441,본공사입.출고현황!$B:$H,H$2080,0),0)</f>
        <v>ф10, 1ton=1,620.7m</v>
      </c>
      <c r="I1441" s="56" t="str">
        <f>IFERROR(VLOOKUP($D1441,본공사입.출고현황!$B:$H,I$2080,0),0)</f>
        <v>M</v>
      </c>
      <c r="J1441" s="9">
        <v>1</v>
      </c>
      <c r="K1441" s="9" t="s">
        <v>363</v>
      </c>
      <c r="L1441" s="37">
        <v>15</v>
      </c>
      <c r="M1441" s="64" t="s">
        <v>358</v>
      </c>
      <c r="N1441" s="4"/>
    </row>
    <row r="1442" spans="1:14" ht="24" customHeight="1">
      <c r="A1442" s="8">
        <v>1398</v>
      </c>
      <c r="B1442" s="9">
        <v>1398</v>
      </c>
      <c r="C1442" s="46">
        <v>46087</v>
      </c>
      <c r="D1442" s="9" t="s">
        <v>238</v>
      </c>
      <c r="E1442" s="56" t="str">
        <f>IFERROR(VLOOKUP($D1442,본공사입.출고현황!$B:$H,E$2080,0),0)</f>
        <v>Steel round bar</v>
      </c>
      <c r="F1442" s="18" t="str">
        <f>IFERROR(VLOOKUP($D1442,본공사입.출고현황!$B:$H,F$2080,0),0)</f>
        <v>Steel round bar(rebar)</v>
      </c>
      <c r="G1442" s="18" t="str">
        <f>IFERROR(VLOOKUP($D1442,본공사입.출고현황!$B:$H,G$2080,0),0)</f>
        <v>CCGG</v>
      </c>
      <c r="H1442" s="18" t="str">
        <f>IFERROR(VLOOKUP($D1442,본공사입.출고현황!$B:$H,H$2080,0),0)</f>
        <v>ф10, 1ton=1,620.7m</v>
      </c>
      <c r="I1442" s="56" t="str">
        <f>IFERROR(VLOOKUP($D1442,본공사입.출고현황!$B:$H,I$2080,0),0)</f>
        <v>M</v>
      </c>
      <c r="J1442" s="9">
        <v>3</v>
      </c>
      <c r="K1442" s="9" t="s">
        <v>550</v>
      </c>
      <c r="L1442" s="37">
        <v>40</v>
      </c>
      <c r="M1442" s="64" t="s">
        <v>358</v>
      </c>
      <c r="N1442" s="4"/>
    </row>
    <row r="1443" spans="1:14" ht="24" customHeight="1">
      <c r="A1443" s="8">
        <v>1399</v>
      </c>
      <c r="B1443" s="9">
        <v>1399</v>
      </c>
      <c r="C1443" s="46">
        <v>46087</v>
      </c>
      <c r="D1443" s="9" t="s">
        <v>238</v>
      </c>
      <c r="E1443" s="56" t="str">
        <f>IFERROR(VLOOKUP($D1443,본공사입.출고현황!$B:$H,E$2080,0),0)</f>
        <v>Steel round bar</v>
      </c>
      <c r="F1443" s="18" t="str">
        <f>IFERROR(VLOOKUP($D1443,본공사입.출고현황!$B:$H,F$2080,0),0)</f>
        <v>Steel round bar(rebar)</v>
      </c>
      <c r="G1443" s="18" t="str">
        <f>IFERROR(VLOOKUP($D1443,본공사입.출고현황!$B:$H,G$2080,0),0)</f>
        <v>CCGG</v>
      </c>
      <c r="H1443" s="18" t="str">
        <f>IFERROR(VLOOKUP($D1443,본공사입.출고현황!$B:$H,H$2080,0),0)</f>
        <v>ф10, 1ton=1,620.7m</v>
      </c>
      <c r="I1443" s="56" t="str">
        <f>IFERROR(VLOOKUP($D1443,본공사입.출고현황!$B:$H,I$2080,0),0)</f>
        <v>M</v>
      </c>
      <c r="J1443" s="9">
        <v>2</v>
      </c>
      <c r="K1443" s="9" t="s">
        <v>360</v>
      </c>
      <c r="L1443" s="37">
        <v>20</v>
      </c>
      <c r="M1443" s="64" t="s">
        <v>358</v>
      </c>
      <c r="N1443" s="4"/>
    </row>
    <row r="1444" spans="1:14" ht="24" customHeight="1">
      <c r="A1444" s="8">
        <v>1400</v>
      </c>
      <c r="B1444" s="9">
        <v>1400</v>
      </c>
      <c r="C1444" s="46">
        <v>46087</v>
      </c>
      <c r="D1444" s="9" t="s">
        <v>238</v>
      </c>
      <c r="E1444" s="56" t="str">
        <f>IFERROR(VLOOKUP($D1444,본공사입.출고현황!$B:$H,E$2080,0),0)</f>
        <v>Steel round bar</v>
      </c>
      <c r="F1444" s="18" t="str">
        <f>IFERROR(VLOOKUP($D1444,본공사입.출고현황!$B:$H,F$2080,0),0)</f>
        <v>Steel round bar(rebar)</v>
      </c>
      <c r="G1444" s="18" t="str">
        <f>IFERROR(VLOOKUP($D1444,본공사입.출고현황!$B:$H,G$2080,0),0)</f>
        <v>CCGG</v>
      </c>
      <c r="H1444" s="18" t="str">
        <f>IFERROR(VLOOKUP($D1444,본공사입.출고현황!$B:$H,H$2080,0),0)</f>
        <v>ф10, 1ton=1,620.7m</v>
      </c>
      <c r="I1444" s="56" t="str">
        <f>IFERROR(VLOOKUP($D1444,본공사입.출고현황!$B:$H,I$2080,0),0)</f>
        <v>M</v>
      </c>
      <c r="J1444" s="9">
        <v>1</v>
      </c>
      <c r="K1444" s="9" t="s">
        <v>352</v>
      </c>
      <c r="L1444" s="37">
        <v>20</v>
      </c>
      <c r="M1444" s="64" t="s">
        <v>358</v>
      </c>
      <c r="N1444" s="4"/>
    </row>
    <row r="1445" spans="1:14" ht="24" customHeight="1">
      <c r="A1445" s="8">
        <v>1401</v>
      </c>
      <c r="B1445" s="9">
        <v>1401</v>
      </c>
      <c r="C1445" s="46">
        <v>46087</v>
      </c>
      <c r="D1445" s="9" t="s">
        <v>238</v>
      </c>
      <c r="E1445" s="56" t="str">
        <f>IFERROR(VLOOKUP($D1445,본공사입.출고현황!$B:$H,E$2080,0),0)</f>
        <v>Steel round bar</v>
      </c>
      <c r="F1445" s="18" t="str">
        <f>IFERROR(VLOOKUP($D1445,본공사입.출고현황!$B:$H,F$2080,0),0)</f>
        <v>Steel round bar(rebar)</v>
      </c>
      <c r="G1445" s="18" t="str">
        <f>IFERROR(VLOOKUP($D1445,본공사입.출고현황!$B:$H,G$2080,0),0)</f>
        <v>CCGG</v>
      </c>
      <c r="H1445" s="18" t="str">
        <f>IFERROR(VLOOKUP($D1445,본공사입.출고현황!$B:$H,H$2080,0),0)</f>
        <v>ф10, 1ton=1,620.7m</v>
      </c>
      <c r="I1445" s="56" t="str">
        <f>IFERROR(VLOOKUP($D1445,본공사입.출고현황!$B:$H,I$2080,0),0)</f>
        <v>M</v>
      </c>
      <c r="J1445" s="9">
        <v>2</v>
      </c>
      <c r="K1445" s="9" t="s">
        <v>546</v>
      </c>
      <c r="L1445" s="37">
        <v>20</v>
      </c>
      <c r="M1445" s="64" t="s">
        <v>358</v>
      </c>
      <c r="N1445" s="4"/>
    </row>
    <row r="1446" spans="1:14" ht="24" customHeight="1">
      <c r="A1446" s="8">
        <v>1402</v>
      </c>
      <c r="B1446" s="9">
        <v>1402</v>
      </c>
      <c r="C1446" s="46">
        <v>46087</v>
      </c>
      <c r="D1446" s="9" t="s">
        <v>238</v>
      </c>
      <c r="E1446" s="56" t="str">
        <f>IFERROR(VLOOKUP($D1446,본공사입.출고현황!$B:$H,E$2080,0),0)</f>
        <v>Steel round bar</v>
      </c>
      <c r="F1446" s="18" t="str">
        <f>IFERROR(VLOOKUP($D1446,본공사입.출고현황!$B:$H,F$2080,0),0)</f>
        <v>Steel round bar(rebar)</v>
      </c>
      <c r="G1446" s="18" t="str">
        <f>IFERROR(VLOOKUP($D1446,본공사입.출고현황!$B:$H,G$2080,0),0)</f>
        <v>CCGG</v>
      </c>
      <c r="H1446" s="18" t="str">
        <f>IFERROR(VLOOKUP($D1446,본공사입.출고현황!$B:$H,H$2080,0),0)</f>
        <v>ф10, 1ton=1,620.7m</v>
      </c>
      <c r="I1446" s="56" t="str">
        <f>IFERROR(VLOOKUP($D1446,본공사입.출고현황!$B:$H,I$2080,0),0)</f>
        <v>M</v>
      </c>
      <c r="J1446" s="9">
        <v>4</v>
      </c>
      <c r="K1446" s="9" t="s">
        <v>359</v>
      </c>
      <c r="L1446" s="37">
        <v>25</v>
      </c>
      <c r="M1446" s="64" t="s">
        <v>358</v>
      </c>
      <c r="N1446" s="4"/>
    </row>
    <row r="1447" spans="1:14" ht="24" customHeight="1">
      <c r="A1447" s="8">
        <v>1403</v>
      </c>
      <c r="B1447" s="9">
        <v>1403</v>
      </c>
      <c r="C1447" s="46">
        <v>46087</v>
      </c>
      <c r="D1447" s="9" t="s">
        <v>238</v>
      </c>
      <c r="E1447" s="56" t="str">
        <f>IFERROR(VLOOKUP($D1447,본공사입.출고현황!$B:$H,E$2080,0),0)</f>
        <v>Steel round bar</v>
      </c>
      <c r="F1447" s="18" t="str">
        <f>IFERROR(VLOOKUP($D1447,본공사입.출고현황!$B:$H,F$2080,0),0)</f>
        <v>Steel round bar(rebar)</v>
      </c>
      <c r="G1447" s="18" t="str">
        <f>IFERROR(VLOOKUP($D1447,본공사입.출고현황!$B:$H,G$2080,0),0)</f>
        <v>CCGG</v>
      </c>
      <c r="H1447" s="18" t="str">
        <f>IFERROR(VLOOKUP($D1447,본공사입.출고현황!$B:$H,H$2080,0),0)</f>
        <v>ф10, 1ton=1,620.7m</v>
      </c>
      <c r="I1447" s="56" t="str">
        <f>IFERROR(VLOOKUP($D1447,본공사입.출고현황!$B:$H,I$2080,0),0)</f>
        <v>M</v>
      </c>
      <c r="J1447" s="9">
        <v>2</v>
      </c>
      <c r="K1447" s="9" t="s">
        <v>360</v>
      </c>
      <c r="L1447" s="37">
        <v>25</v>
      </c>
      <c r="M1447" s="64" t="s">
        <v>358</v>
      </c>
      <c r="N1447" s="4"/>
    </row>
    <row r="1448" spans="1:14" ht="24" customHeight="1">
      <c r="A1448" s="8">
        <v>1404</v>
      </c>
      <c r="B1448" s="9">
        <v>1404</v>
      </c>
      <c r="C1448" s="46">
        <v>46088</v>
      </c>
      <c r="D1448" s="9" t="s">
        <v>238</v>
      </c>
      <c r="E1448" s="56" t="str">
        <f>IFERROR(VLOOKUP($D1448,본공사입.출고현황!$B:$H,E$2080,0),0)</f>
        <v>Steel round bar</v>
      </c>
      <c r="F1448" s="18" t="str">
        <f>IFERROR(VLOOKUP($D1448,본공사입.출고현황!$B:$H,F$2080,0),0)</f>
        <v>Steel round bar(rebar)</v>
      </c>
      <c r="G1448" s="18" t="str">
        <f>IFERROR(VLOOKUP($D1448,본공사입.출고현황!$B:$H,G$2080,0),0)</f>
        <v>CCGG</v>
      </c>
      <c r="H1448" s="18" t="str">
        <f>IFERROR(VLOOKUP($D1448,본공사입.출고현황!$B:$H,H$2080,0),0)</f>
        <v>ф10, 1ton=1,620.7m</v>
      </c>
      <c r="I1448" s="56" t="str">
        <f>IFERROR(VLOOKUP($D1448,본공사입.출고현황!$B:$H,I$2080,0),0)</f>
        <v>M</v>
      </c>
      <c r="J1448" s="9">
        <v>3</v>
      </c>
      <c r="K1448" s="9" t="s">
        <v>237</v>
      </c>
      <c r="L1448" s="37">
        <v>25</v>
      </c>
      <c r="M1448" s="64" t="s">
        <v>408</v>
      </c>
      <c r="N1448" s="4"/>
    </row>
    <row r="1449" spans="1:14" ht="24" customHeight="1">
      <c r="A1449" s="8">
        <v>1405</v>
      </c>
      <c r="B1449" s="9">
        <v>1405</v>
      </c>
      <c r="C1449" s="46">
        <v>46088</v>
      </c>
      <c r="D1449" s="9" t="s">
        <v>238</v>
      </c>
      <c r="E1449" s="56" t="str">
        <f>IFERROR(VLOOKUP($D1449,본공사입.출고현황!$B:$H,E$2080,0),0)</f>
        <v>Steel round bar</v>
      </c>
      <c r="F1449" s="18" t="str">
        <f>IFERROR(VLOOKUP($D1449,본공사입.출고현황!$B:$H,F$2080,0),0)</f>
        <v>Steel round bar(rebar)</v>
      </c>
      <c r="G1449" s="18" t="str">
        <f>IFERROR(VLOOKUP($D1449,본공사입.출고현황!$B:$H,G$2080,0),0)</f>
        <v>CCGG</v>
      </c>
      <c r="H1449" s="18" t="str">
        <f>IFERROR(VLOOKUP($D1449,본공사입.출고현황!$B:$H,H$2080,0),0)</f>
        <v>ф10, 1ton=1,620.7m</v>
      </c>
      <c r="I1449" s="56" t="str">
        <f>IFERROR(VLOOKUP($D1449,본공사입.출고현황!$B:$H,I$2080,0),0)</f>
        <v>M</v>
      </c>
      <c r="J1449" s="9">
        <v>2</v>
      </c>
      <c r="K1449" s="9" t="s">
        <v>360</v>
      </c>
      <c r="L1449" s="37">
        <v>25</v>
      </c>
      <c r="M1449" s="64" t="s">
        <v>408</v>
      </c>
      <c r="N1449" s="4"/>
    </row>
    <row r="1450" spans="1:14" ht="24" customHeight="1">
      <c r="A1450" s="8">
        <v>1406</v>
      </c>
      <c r="B1450" s="9">
        <v>1406</v>
      </c>
      <c r="C1450" s="46">
        <v>46088</v>
      </c>
      <c r="D1450" s="9" t="s">
        <v>238</v>
      </c>
      <c r="E1450" s="56" t="str">
        <f>IFERROR(VLOOKUP($D1450,본공사입.출고현황!$B:$H,E$2080,0),0)</f>
        <v>Steel round bar</v>
      </c>
      <c r="F1450" s="18" t="str">
        <f>IFERROR(VLOOKUP($D1450,본공사입.출고현황!$B:$H,F$2080,0),0)</f>
        <v>Steel round bar(rebar)</v>
      </c>
      <c r="G1450" s="18" t="str">
        <f>IFERROR(VLOOKUP($D1450,본공사입.출고현황!$B:$H,G$2080,0),0)</f>
        <v>CCGG</v>
      </c>
      <c r="H1450" s="18" t="str">
        <f>IFERROR(VLOOKUP($D1450,본공사입.출고현황!$B:$H,H$2080,0),0)</f>
        <v>ф10, 1ton=1,620.7m</v>
      </c>
      <c r="I1450" s="56" t="str">
        <f>IFERROR(VLOOKUP($D1450,본공사입.출고현황!$B:$H,I$2080,0),0)</f>
        <v>M</v>
      </c>
      <c r="J1450" s="9">
        <v>1</v>
      </c>
      <c r="K1450" s="9" t="s">
        <v>352</v>
      </c>
      <c r="L1450" s="37">
        <v>25</v>
      </c>
      <c r="M1450" s="64" t="s">
        <v>408</v>
      </c>
      <c r="N1450" s="4"/>
    </row>
    <row r="1451" spans="1:14" ht="24" customHeight="1">
      <c r="A1451" s="8">
        <v>1407</v>
      </c>
      <c r="B1451" s="9">
        <v>1407</v>
      </c>
      <c r="C1451" s="46">
        <v>46088</v>
      </c>
      <c r="D1451" s="9" t="s">
        <v>238</v>
      </c>
      <c r="E1451" s="56" t="str">
        <f>IFERROR(VLOOKUP($D1451,본공사입.출고현황!$B:$H,E$2080,0),0)</f>
        <v>Steel round bar</v>
      </c>
      <c r="F1451" s="18" t="str">
        <f>IFERROR(VLOOKUP($D1451,본공사입.출고현황!$B:$H,F$2080,0),0)</f>
        <v>Steel round bar(rebar)</v>
      </c>
      <c r="G1451" s="18" t="str">
        <f>IFERROR(VLOOKUP($D1451,본공사입.출고현황!$B:$H,G$2080,0),0)</f>
        <v>CCGG</v>
      </c>
      <c r="H1451" s="18" t="str">
        <f>IFERROR(VLOOKUP($D1451,본공사입.출고현황!$B:$H,H$2080,0),0)</f>
        <v>ф10, 1ton=1,620.7m</v>
      </c>
      <c r="I1451" s="56" t="str">
        <f>IFERROR(VLOOKUP($D1451,본공사입.출고현황!$B:$H,I$2080,0),0)</f>
        <v>M</v>
      </c>
      <c r="J1451" s="9">
        <v>2</v>
      </c>
      <c r="K1451" s="9" t="s">
        <v>546</v>
      </c>
      <c r="L1451" s="37">
        <v>25</v>
      </c>
      <c r="M1451" s="64" t="s">
        <v>408</v>
      </c>
      <c r="N1451" s="4"/>
    </row>
    <row r="1452" spans="1:14" ht="24" customHeight="1">
      <c r="A1452" s="8">
        <v>1408</v>
      </c>
      <c r="B1452" s="9">
        <v>1408</v>
      </c>
      <c r="C1452" s="46">
        <v>46088</v>
      </c>
      <c r="D1452" s="9" t="s">
        <v>238</v>
      </c>
      <c r="E1452" s="56" t="str">
        <f>IFERROR(VLOOKUP($D1452,본공사입.출고현황!$B:$H,E$2080,0),0)</f>
        <v>Steel round bar</v>
      </c>
      <c r="F1452" s="18" t="str">
        <f>IFERROR(VLOOKUP($D1452,본공사입.출고현황!$B:$H,F$2080,0),0)</f>
        <v>Steel round bar(rebar)</v>
      </c>
      <c r="G1452" s="18" t="str">
        <f>IFERROR(VLOOKUP($D1452,본공사입.출고현황!$B:$H,G$2080,0),0)</f>
        <v>CCGG</v>
      </c>
      <c r="H1452" s="18" t="str">
        <f>IFERROR(VLOOKUP($D1452,본공사입.출고현황!$B:$H,H$2080,0),0)</f>
        <v>ф10, 1ton=1,620.7m</v>
      </c>
      <c r="I1452" s="56" t="str">
        <f>IFERROR(VLOOKUP($D1452,본공사입.출고현황!$B:$H,I$2080,0),0)</f>
        <v>M</v>
      </c>
      <c r="J1452" s="9">
        <v>4</v>
      </c>
      <c r="K1452" s="9" t="s">
        <v>359</v>
      </c>
      <c r="L1452" s="37">
        <v>25</v>
      </c>
      <c r="M1452" s="64" t="s">
        <v>408</v>
      </c>
      <c r="N1452" s="4"/>
    </row>
    <row r="1453" spans="1:14" ht="24" customHeight="1">
      <c r="A1453" s="8">
        <v>1409</v>
      </c>
      <c r="B1453" s="9">
        <v>1409</v>
      </c>
      <c r="C1453" s="46">
        <v>46088</v>
      </c>
      <c r="D1453" s="9" t="s">
        <v>238</v>
      </c>
      <c r="E1453" s="56" t="str">
        <f>IFERROR(VLOOKUP($D1453,본공사입.출고현황!$B:$H,E$2080,0),0)</f>
        <v>Steel round bar</v>
      </c>
      <c r="F1453" s="18" t="str">
        <f>IFERROR(VLOOKUP($D1453,본공사입.출고현황!$B:$H,F$2080,0),0)</f>
        <v>Steel round bar(rebar)</v>
      </c>
      <c r="G1453" s="18" t="str">
        <f>IFERROR(VLOOKUP($D1453,본공사입.출고현황!$B:$H,G$2080,0),0)</f>
        <v>CCGG</v>
      </c>
      <c r="H1453" s="18" t="str">
        <f>IFERROR(VLOOKUP($D1453,본공사입.출고현황!$B:$H,H$2080,0),0)</f>
        <v>ф10, 1ton=1,620.7m</v>
      </c>
      <c r="I1453" s="56" t="str">
        <f>IFERROR(VLOOKUP($D1453,본공사입.출고현황!$B:$H,I$2080,0),0)</f>
        <v>M</v>
      </c>
      <c r="J1453" s="9">
        <v>2</v>
      </c>
      <c r="K1453" s="9" t="s">
        <v>360</v>
      </c>
      <c r="L1453" s="37">
        <v>25</v>
      </c>
      <c r="M1453" s="64" t="s">
        <v>408</v>
      </c>
      <c r="N1453" s="4"/>
    </row>
    <row r="1454" spans="1:14" ht="24" customHeight="1">
      <c r="A1454" s="8">
        <v>1410</v>
      </c>
      <c r="B1454" s="9">
        <v>1410</v>
      </c>
      <c r="C1454" s="46">
        <v>46088</v>
      </c>
      <c r="D1454" s="9" t="s">
        <v>238</v>
      </c>
      <c r="E1454" s="56" t="str">
        <f>IFERROR(VLOOKUP($D1454,본공사입.출고현황!$B:$H,E$2080,0),0)</f>
        <v>Steel round bar</v>
      </c>
      <c r="F1454" s="18" t="str">
        <f>IFERROR(VLOOKUP($D1454,본공사입.출고현황!$B:$H,F$2080,0),0)</f>
        <v>Steel round bar(rebar)</v>
      </c>
      <c r="G1454" s="18" t="str">
        <f>IFERROR(VLOOKUP($D1454,본공사입.출고현황!$B:$H,G$2080,0),0)</f>
        <v>CCGG</v>
      </c>
      <c r="H1454" s="18" t="str">
        <f>IFERROR(VLOOKUP($D1454,본공사입.출고현황!$B:$H,H$2080,0),0)</f>
        <v>ф10, 1ton=1,620.7m</v>
      </c>
      <c r="I1454" s="56" t="str">
        <f>IFERROR(VLOOKUP($D1454,본공사입.출고현황!$B:$H,I$2080,0),0)</f>
        <v>M</v>
      </c>
      <c r="J1454" s="9">
        <v>3</v>
      </c>
      <c r="K1454" s="9" t="s">
        <v>237</v>
      </c>
      <c r="L1454" s="37">
        <v>25</v>
      </c>
      <c r="M1454" s="64" t="s">
        <v>408</v>
      </c>
      <c r="N1454" s="4"/>
    </row>
    <row r="1455" spans="1:14" ht="24" customHeight="1">
      <c r="A1455" s="8">
        <v>1411</v>
      </c>
      <c r="B1455" s="9">
        <v>1411</v>
      </c>
      <c r="C1455" s="46">
        <v>46088</v>
      </c>
      <c r="D1455" s="9" t="s">
        <v>238</v>
      </c>
      <c r="E1455" s="56" t="str">
        <f>IFERROR(VLOOKUP($D1455,본공사입.출고현황!$B:$H,E$2080,0),0)</f>
        <v>Steel round bar</v>
      </c>
      <c r="F1455" s="18" t="str">
        <f>IFERROR(VLOOKUP($D1455,본공사입.출고현황!$B:$H,F$2080,0),0)</f>
        <v>Steel round bar(rebar)</v>
      </c>
      <c r="G1455" s="18" t="str">
        <f>IFERROR(VLOOKUP($D1455,본공사입.출고현황!$B:$H,G$2080,0),0)</f>
        <v>CCGG</v>
      </c>
      <c r="H1455" s="18" t="str">
        <f>IFERROR(VLOOKUP($D1455,본공사입.출고현황!$B:$H,H$2080,0),0)</f>
        <v>ф10, 1ton=1,620.7m</v>
      </c>
      <c r="I1455" s="56" t="str">
        <f>IFERROR(VLOOKUP($D1455,본공사입.출고현황!$B:$H,I$2080,0),0)</f>
        <v>M</v>
      </c>
      <c r="J1455" s="9">
        <v>1</v>
      </c>
      <c r="K1455" s="9" t="s">
        <v>352</v>
      </c>
      <c r="L1455" s="37">
        <v>25</v>
      </c>
      <c r="M1455" s="64" t="s">
        <v>408</v>
      </c>
      <c r="N1455" s="4"/>
    </row>
    <row r="1456" spans="1:14" ht="24" customHeight="1">
      <c r="A1456" s="8">
        <v>1412</v>
      </c>
      <c r="B1456" s="9">
        <v>1412</v>
      </c>
      <c r="C1456" s="46">
        <v>46088</v>
      </c>
      <c r="D1456" s="9" t="s">
        <v>238</v>
      </c>
      <c r="E1456" s="56" t="str">
        <f>IFERROR(VLOOKUP($D1456,본공사입.출고현황!$B:$H,E$2080,0),0)</f>
        <v>Steel round bar</v>
      </c>
      <c r="F1456" s="18" t="str">
        <f>IFERROR(VLOOKUP($D1456,본공사입.출고현황!$B:$H,F$2080,0),0)</f>
        <v>Steel round bar(rebar)</v>
      </c>
      <c r="G1456" s="18" t="str">
        <f>IFERROR(VLOOKUP($D1456,본공사입.출고현황!$B:$H,G$2080,0),0)</f>
        <v>CCGG</v>
      </c>
      <c r="H1456" s="18" t="str">
        <f>IFERROR(VLOOKUP($D1456,본공사입.출고현황!$B:$H,H$2080,0),0)</f>
        <v>ф10, 1ton=1,620.7m</v>
      </c>
      <c r="I1456" s="56" t="str">
        <f>IFERROR(VLOOKUP($D1456,본공사입.출고현황!$B:$H,I$2080,0),0)</f>
        <v>M</v>
      </c>
      <c r="J1456" s="9">
        <v>1</v>
      </c>
      <c r="K1456" s="9" t="s">
        <v>547</v>
      </c>
      <c r="L1456" s="37">
        <v>25</v>
      </c>
      <c r="M1456" s="64" t="s">
        <v>408</v>
      </c>
      <c r="N1456" s="4"/>
    </row>
    <row r="1457" spans="1:14" ht="24" customHeight="1">
      <c r="A1457" s="8">
        <v>1413</v>
      </c>
      <c r="B1457" s="9">
        <v>1413</v>
      </c>
      <c r="C1457" s="46">
        <v>46088</v>
      </c>
      <c r="D1457" s="9" t="s">
        <v>238</v>
      </c>
      <c r="E1457" s="56" t="str">
        <f>IFERROR(VLOOKUP($D1457,본공사입.출고현황!$B:$H,E$2080,0),0)</f>
        <v>Steel round bar</v>
      </c>
      <c r="F1457" s="18" t="str">
        <f>IFERROR(VLOOKUP($D1457,본공사입.출고현황!$B:$H,F$2080,0),0)</f>
        <v>Steel round bar(rebar)</v>
      </c>
      <c r="G1457" s="18" t="str">
        <f>IFERROR(VLOOKUP($D1457,본공사입.출고현황!$B:$H,G$2080,0),0)</f>
        <v>CCGG</v>
      </c>
      <c r="H1457" s="18" t="str">
        <f>IFERROR(VLOOKUP($D1457,본공사입.출고현황!$B:$H,H$2080,0),0)</f>
        <v>ф10, 1ton=1,620.7m</v>
      </c>
      <c r="I1457" s="56" t="str">
        <f>IFERROR(VLOOKUP($D1457,본공사입.출고현황!$B:$H,I$2080,0),0)</f>
        <v>M</v>
      </c>
      <c r="J1457" s="9">
        <v>2</v>
      </c>
      <c r="K1457" s="9" t="s">
        <v>360</v>
      </c>
      <c r="L1457" s="37">
        <v>25</v>
      </c>
      <c r="M1457" s="64" t="s">
        <v>408</v>
      </c>
      <c r="N1457" s="4"/>
    </row>
    <row r="1458" spans="1:14" ht="24" customHeight="1">
      <c r="A1458" s="8">
        <v>1414</v>
      </c>
      <c r="B1458" s="9">
        <v>1414</v>
      </c>
      <c r="C1458" s="46">
        <v>46088</v>
      </c>
      <c r="D1458" s="9" t="s">
        <v>238</v>
      </c>
      <c r="E1458" s="56" t="str">
        <f>IFERROR(VLOOKUP($D1458,본공사입.출고현황!$B:$H,E$2080,0),0)</f>
        <v>Steel round bar</v>
      </c>
      <c r="F1458" s="18" t="str">
        <f>IFERROR(VLOOKUP($D1458,본공사입.출고현황!$B:$H,F$2080,0),0)</f>
        <v>Steel round bar(rebar)</v>
      </c>
      <c r="G1458" s="18" t="str">
        <f>IFERROR(VLOOKUP($D1458,본공사입.출고현황!$B:$H,G$2080,0),0)</f>
        <v>CCGG</v>
      </c>
      <c r="H1458" s="18" t="str">
        <f>IFERROR(VLOOKUP($D1458,본공사입.출고현황!$B:$H,H$2080,0),0)</f>
        <v>ф10, 1ton=1,620.7m</v>
      </c>
      <c r="I1458" s="56" t="str">
        <f>IFERROR(VLOOKUP($D1458,본공사입.출고현황!$B:$H,I$2080,0),0)</f>
        <v>M</v>
      </c>
      <c r="J1458" s="9">
        <v>4</v>
      </c>
      <c r="K1458" s="9" t="s">
        <v>359</v>
      </c>
      <c r="L1458" s="37">
        <v>25</v>
      </c>
      <c r="M1458" s="64" t="s">
        <v>408</v>
      </c>
      <c r="N1458" s="4"/>
    </row>
    <row r="1459" spans="1:14" ht="24" customHeight="1">
      <c r="A1459" s="8">
        <v>1415</v>
      </c>
      <c r="B1459" s="9">
        <v>1415</v>
      </c>
      <c r="C1459" s="46">
        <v>46089</v>
      </c>
      <c r="D1459" s="9" t="s">
        <v>238</v>
      </c>
      <c r="E1459" s="56" t="str">
        <f>IFERROR(VLOOKUP($D1459,본공사입.출고현황!$B:$H,E$2080,0),0)</f>
        <v>Steel round bar</v>
      </c>
      <c r="F1459" s="18" t="str">
        <f>IFERROR(VLOOKUP($D1459,본공사입.출고현황!$B:$H,F$2080,0),0)</f>
        <v>Steel round bar(rebar)</v>
      </c>
      <c r="G1459" s="18" t="str">
        <f>IFERROR(VLOOKUP($D1459,본공사입.출고현황!$B:$H,G$2080,0),0)</f>
        <v>CCGG</v>
      </c>
      <c r="H1459" s="18" t="str">
        <f>IFERROR(VLOOKUP($D1459,본공사입.출고현황!$B:$H,H$2080,0),0)</f>
        <v>ф10, 1ton=1,620.7m</v>
      </c>
      <c r="I1459" s="56" t="str">
        <f>IFERROR(VLOOKUP($D1459,본공사입.출고현황!$B:$H,I$2080,0),0)</f>
        <v>M</v>
      </c>
      <c r="J1459" s="9">
        <v>2</v>
      </c>
      <c r="K1459" s="9" t="s">
        <v>546</v>
      </c>
      <c r="L1459" s="37">
        <v>75</v>
      </c>
      <c r="M1459" s="64" t="s">
        <v>408</v>
      </c>
      <c r="N1459" s="4"/>
    </row>
    <row r="1460" spans="1:14" ht="24" customHeight="1">
      <c r="A1460" s="8">
        <v>1416</v>
      </c>
      <c r="B1460" s="9">
        <v>1416</v>
      </c>
      <c r="C1460" s="46">
        <v>46089</v>
      </c>
      <c r="D1460" s="9" t="s">
        <v>238</v>
      </c>
      <c r="E1460" s="56" t="str">
        <f>IFERROR(VLOOKUP($D1460,본공사입.출고현황!$B:$H,E$2080,0),0)</f>
        <v>Steel round bar</v>
      </c>
      <c r="F1460" s="18" t="str">
        <f>IFERROR(VLOOKUP($D1460,본공사입.출고현황!$B:$H,F$2080,0),0)</f>
        <v>Steel round bar(rebar)</v>
      </c>
      <c r="G1460" s="18" t="str">
        <f>IFERROR(VLOOKUP($D1460,본공사입.출고현황!$B:$H,G$2080,0),0)</f>
        <v>CCGG</v>
      </c>
      <c r="H1460" s="18" t="str">
        <f>IFERROR(VLOOKUP($D1460,본공사입.출고현황!$B:$H,H$2080,0),0)</f>
        <v>ф10, 1ton=1,620.7m</v>
      </c>
      <c r="I1460" s="56" t="str">
        <f>IFERROR(VLOOKUP($D1460,본공사입.출고현황!$B:$H,I$2080,0),0)</f>
        <v>M</v>
      </c>
      <c r="J1460" s="9">
        <v>4</v>
      </c>
      <c r="K1460" s="9" t="s">
        <v>691</v>
      </c>
      <c r="L1460" s="37">
        <v>50</v>
      </c>
      <c r="M1460" s="64" t="s">
        <v>408</v>
      </c>
      <c r="N1460" s="4"/>
    </row>
    <row r="1461" spans="1:14" ht="24" customHeight="1">
      <c r="A1461" s="8">
        <v>1417</v>
      </c>
      <c r="B1461" s="9">
        <v>1417</v>
      </c>
      <c r="C1461" s="46">
        <v>46089</v>
      </c>
      <c r="D1461" s="9" t="s">
        <v>238</v>
      </c>
      <c r="E1461" s="56" t="str">
        <f>IFERROR(VLOOKUP($D1461,본공사입.출고현황!$B:$H,E$2080,0),0)</f>
        <v>Steel round bar</v>
      </c>
      <c r="F1461" s="18" t="str">
        <f>IFERROR(VLOOKUP($D1461,본공사입.출고현황!$B:$H,F$2080,0),0)</f>
        <v>Steel round bar(rebar)</v>
      </c>
      <c r="G1461" s="18" t="str">
        <f>IFERROR(VLOOKUP($D1461,본공사입.출고현황!$B:$H,G$2080,0),0)</f>
        <v>CCGG</v>
      </c>
      <c r="H1461" s="18" t="str">
        <f>IFERROR(VLOOKUP($D1461,본공사입.출고현황!$B:$H,H$2080,0),0)</f>
        <v>ф10, 1ton=1,620.7m</v>
      </c>
      <c r="I1461" s="56" t="str">
        <f>IFERROR(VLOOKUP($D1461,본공사입.출고현황!$B:$H,I$2080,0),0)</f>
        <v>M</v>
      </c>
      <c r="J1461" s="9">
        <v>4</v>
      </c>
      <c r="K1461" s="9" t="s">
        <v>691</v>
      </c>
      <c r="L1461" s="37">
        <v>20</v>
      </c>
      <c r="M1461" s="64" t="s">
        <v>408</v>
      </c>
      <c r="N1461" s="4"/>
    </row>
    <row r="1462" spans="1:14" ht="24" customHeight="1">
      <c r="A1462" s="8">
        <v>1418</v>
      </c>
      <c r="B1462" s="9">
        <v>1418</v>
      </c>
      <c r="C1462" s="46">
        <v>46089</v>
      </c>
      <c r="D1462" s="9" t="s">
        <v>238</v>
      </c>
      <c r="E1462" s="56" t="str">
        <f>IFERROR(VLOOKUP($D1462,본공사입.출고현황!$B:$H,E$2080,0),0)</f>
        <v>Steel round bar</v>
      </c>
      <c r="F1462" s="18" t="str">
        <f>IFERROR(VLOOKUP($D1462,본공사입.출고현황!$B:$H,F$2080,0),0)</f>
        <v>Steel round bar(rebar)</v>
      </c>
      <c r="G1462" s="18" t="str">
        <f>IFERROR(VLOOKUP($D1462,본공사입.출고현황!$B:$H,G$2080,0),0)</f>
        <v>CCGG</v>
      </c>
      <c r="H1462" s="18" t="str">
        <f>IFERROR(VLOOKUP($D1462,본공사입.출고현황!$B:$H,H$2080,0),0)</f>
        <v>ф10, 1ton=1,620.7m</v>
      </c>
      <c r="I1462" s="56" t="str">
        <f>IFERROR(VLOOKUP($D1462,본공사입.출고현황!$B:$H,I$2080,0),0)</f>
        <v>M</v>
      </c>
      <c r="J1462" s="9">
        <v>1</v>
      </c>
      <c r="K1462" s="9" t="s">
        <v>547</v>
      </c>
      <c r="L1462" s="37">
        <v>25</v>
      </c>
      <c r="M1462" s="64" t="s">
        <v>408</v>
      </c>
      <c r="N1462" s="4"/>
    </row>
    <row r="1463" spans="1:14" ht="24" customHeight="1">
      <c r="A1463" s="8">
        <v>1419</v>
      </c>
      <c r="B1463" s="9">
        <v>1419</v>
      </c>
      <c r="C1463" s="46">
        <v>46089</v>
      </c>
      <c r="D1463" s="9" t="s">
        <v>238</v>
      </c>
      <c r="E1463" s="56" t="str">
        <f>IFERROR(VLOOKUP($D1463,본공사입.출고현황!$B:$H,E$2080,0),0)</f>
        <v>Steel round bar</v>
      </c>
      <c r="F1463" s="18" t="str">
        <f>IFERROR(VLOOKUP($D1463,본공사입.출고현황!$B:$H,F$2080,0),0)</f>
        <v>Steel round bar(rebar)</v>
      </c>
      <c r="G1463" s="18" t="str">
        <f>IFERROR(VLOOKUP($D1463,본공사입.출고현황!$B:$H,G$2080,0),0)</f>
        <v>CCGG</v>
      </c>
      <c r="H1463" s="18" t="str">
        <f>IFERROR(VLOOKUP($D1463,본공사입.출고현황!$B:$H,H$2080,0),0)</f>
        <v>ф10, 1ton=1,620.7m</v>
      </c>
      <c r="I1463" s="56" t="str">
        <f>IFERROR(VLOOKUP($D1463,본공사입.출고현황!$B:$H,I$2080,0),0)</f>
        <v>M</v>
      </c>
      <c r="J1463" s="9">
        <v>1</v>
      </c>
      <c r="K1463" s="9" t="s">
        <v>547</v>
      </c>
      <c r="L1463" s="37">
        <v>50</v>
      </c>
      <c r="M1463" s="64" t="s">
        <v>408</v>
      </c>
      <c r="N1463" s="4"/>
    </row>
    <row r="1464" spans="1:14" ht="24" customHeight="1">
      <c r="A1464" s="8">
        <v>1420</v>
      </c>
      <c r="B1464" s="9">
        <v>1420</v>
      </c>
      <c r="C1464" s="46">
        <v>46089</v>
      </c>
      <c r="D1464" s="9" t="s">
        <v>238</v>
      </c>
      <c r="E1464" s="56" t="str">
        <f>IFERROR(VLOOKUP($D1464,본공사입.출고현황!$B:$H,E$2080,0),0)</f>
        <v>Steel round bar</v>
      </c>
      <c r="F1464" s="18" t="str">
        <f>IFERROR(VLOOKUP($D1464,본공사입.출고현황!$B:$H,F$2080,0),0)</f>
        <v>Steel round bar(rebar)</v>
      </c>
      <c r="G1464" s="18" t="str">
        <f>IFERROR(VLOOKUP($D1464,본공사입.출고현황!$B:$H,G$2080,0),0)</f>
        <v>CCGG</v>
      </c>
      <c r="H1464" s="18" t="str">
        <f>IFERROR(VLOOKUP($D1464,본공사입.출고현황!$B:$H,H$2080,0),0)</f>
        <v>ф10, 1ton=1,620.7m</v>
      </c>
      <c r="I1464" s="56" t="str">
        <f>IFERROR(VLOOKUP($D1464,본공사입.출고현황!$B:$H,I$2080,0),0)</f>
        <v>M</v>
      </c>
      <c r="J1464" s="9">
        <v>1</v>
      </c>
      <c r="K1464" s="9" t="s">
        <v>363</v>
      </c>
      <c r="L1464" s="37">
        <v>50</v>
      </c>
      <c r="M1464" s="64" t="s">
        <v>408</v>
      </c>
      <c r="N1464" s="4"/>
    </row>
    <row r="1465" spans="1:14" ht="24" customHeight="1">
      <c r="A1465" s="8">
        <v>1421</v>
      </c>
      <c r="B1465" s="9">
        <v>1421</v>
      </c>
      <c r="C1465" s="46">
        <v>46089</v>
      </c>
      <c r="D1465" s="9" t="s">
        <v>238</v>
      </c>
      <c r="E1465" s="56" t="str">
        <f>IFERROR(VLOOKUP($D1465,본공사입.출고현황!$B:$H,E$2080,0),0)</f>
        <v>Steel round bar</v>
      </c>
      <c r="F1465" s="18" t="str">
        <f>IFERROR(VLOOKUP($D1465,본공사입.출고현황!$B:$H,F$2080,0),0)</f>
        <v>Steel round bar(rebar)</v>
      </c>
      <c r="G1465" s="18" t="str">
        <f>IFERROR(VLOOKUP($D1465,본공사입.출고현황!$B:$H,G$2080,0),0)</f>
        <v>CCGG</v>
      </c>
      <c r="H1465" s="18" t="str">
        <f>IFERROR(VLOOKUP($D1465,본공사입.출고현황!$B:$H,H$2080,0),0)</f>
        <v>ф10, 1ton=1,620.7m</v>
      </c>
      <c r="I1465" s="56" t="str">
        <f>IFERROR(VLOOKUP($D1465,본공사입.출고현황!$B:$H,I$2080,0),0)</f>
        <v>M</v>
      </c>
      <c r="J1465" s="9">
        <v>3</v>
      </c>
      <c r="K1465" s="9" t="s">
        <v>550</v>
      </c>
      <c r="L1465" s="37">
        <v>25</v>
      </c>
      <c r="M1465" s="64" t="s">
        <v>408</v>
      </c>
      <c r="N1465" s="4"/>
    </row>
    <row r="1466" spans="1:14" ht="24" customHeight="1">
      <c r="A1466" s="8">
        <v>1422</v>
      </c>
      <c r="B1466" s="9">
        <v>1422</v>
      </c>
      <c r="C1466" s="46">
        <v>46089</v>
      </c>
      <c r="D1466" s="9" t="s">
        <v>238</v>
      </c>
      <c r="E1466" s="56" t="str">
        <f>IFERROR(VLOOKUP($D1466,본공사입.출고현황!$B:$H,E$2080,0),0)</f>
        <v>Steel round bar</v>
      </c>
      <c r="F1466" s="18" t="str">
        <f>IFERROR(VLOOKUP($D1466,본공사입.출고현황!$B:$H,F$2080,0),0)</f>
        <v>Steel round bar(rebar)</v>
      </c>
      <c r="G1466" s="18" t="str">
        <f>IFERROR(VLOOKUP($D1466,본공사입.출고현황!$B:$H,G$2080,0),0)</f>
        <v>CCGG</v>
      </c>
      <c r="H1466" s="18" t="str">
        <f>IFERROR(VLOOKUP($D1466,본공사입.출고현황!$B:$H,H$2080,0),0)</f>
        <v>ф10, 1ton=1,620.7m</v>
      </c>
      <c r="I1466" s="56" t="str">
        <f>IFERROR(VLOOKUP($D1466,본공사입.출고현황!$B:$H,I$2080,0),0)</f>
        <v>M</v>
      </c>
      <c r="J1466" s="9">
        <v>2</v>
      </c>
      <c r="K1466" s="9" t="s">
        <v>360</v>
      </c>
      <c r="L1466" s="37">
        <v>20</v>
      </c>
      <c r="M1466" s="64" t="s">
        <v>408</v>
      </c>
      <c r="N1466" s="4"/>
    </row>
    <row r="1467" spans="1:14" ht="24" customHeight="1">
      <c r="A1467" s="8">
        <v>1423</v>
      </c>
      <c r="B1467" s="9">
        <v>1423</v>
      </c>
      <c r="C1467" s="46">
        <v>46089</v>
      </c>
      <c r="D1467" s="9" t="s">
        <v>238</v>
      </c>
      <c r="E1467" s="56" t="str">
        <f>IFERROR(VLOOKUP($D1467,본공사입.출고현황!$B:$H,E$2080,0),0)</f>
        <v>Steel round bar</v>
      </c>
      <c r="F1467" s="18" t="str">
        <f>IFERROR(VLOOKUP($D1467,본공사입.출고현황!$B:$H,F$2080,0),0)</f>
        <v>Steel round bar(rebar)</v>
      </c>
      <c r="G1467" s="18" t="str">
        <f>IFERROR(VLOOKUP($D1467,본공사입.출고현황!$B:$H,G$2080,0),0)</f>
        <v>CCGG</v>
      </c>
      <c r="H1467" s="18" t="str">
        <f>IFERROR(VLOOKUP($D1467,본공사입.출고현황!$B:$H,H$2080,0),0)</f>
        <v>ф10, 1ton=1,620.7m</v>
      </c>
      <c r="I1467" s="56" t="str">
        <f>IFERROR(VLOOKUP($D1467,본공사입.출고현황!$B:$H,I$2080,0),0)</f>
        <v>M</v>
      </c>
      <c r="J1467" s="9">
        <v>1</v>
      </c>
      <c r="K1467" s="9" t="s">
        <v>352</v>
      </c>
      <c r="L1467" s="37">
        <v>30</v>
      </c>
      <c r="M1467" s="64" t="s">
        <v>408</v>
      </c>
      <c r="N1467" s="4"/>
    </row>
    <row r="1468" spans="1:14" ht="24" customHeight="1">
      <c r="A1468" s="8">
        <v>1424</v>
      </c>
      <c r="B1468" s="9">
        <v>1424</v>
      </c>
      <c r="C1468" s="46">
        <v>46089</v>
      </c>
      <c r="D1468" s="9" t="s">
        <v>238</v>
      </c>
      <c r="E1468" s="56" t="str">
        <f>IFERROR(VLOOKUP($D1468,본공사입.출고현황!$B:$H,E$2080,0),0)</f>
        <v>Steel round bar</v>
      </c>
      <c r="F1468" s="18" t="str">
        <f>IFERROR(VLOOKUP($D1468,본공사입.출고현황!$B:$H,F$2080,0),0)</f>
        <v>Steel round bar(rebar)</v>
      </c>
      <c r="G1468" s="18" t="str">
        <f>IFERROR(VLOOKUP($D1468,본공사입.출고현황!$B:$H,G$2080,0),0)</f>
        <v>CCGG</v>
      </c>
      <c r="H1468" s="18" t="str">
        <f>IFERROR(VLOOKUP($D1468,본공사입.출고현황!$B:$H,H$2080,0),0)</f>
        <v>ф10, 1ton=1,620.7m</v>
      </c>
      <c r="I1468" s="56" t="str">
        <f>IFERROR(VLOOKUP($D1468,본공사입.출고현황!$B:$H,I$2080,0),0)</f>
        <v>M</v>
      </c>
      <c r="J1468" s="9">
        <v>1</v>
      </c>
      <c r="K1468" s="9" t="s">
        <v>352</v>
      </c>
      <c r="L1468" s="37">
        <v>50</v>
      </c>
      <c r="M1468" s="64" t="s">
        <v>408</v>
      </c>
      <c r="N1468" s="4"/>
    </row>
    <row r="1469" spans="1:14" ht="24" customHeight="1">
      <c r="A1469" s="8">
        <v>1425</v>
      </c>
      <c r="B1469" s="9">
        <v>1425</v>
      </c>
      <c r="C1469" s="46">
        <v>46089</v>
      </c>
      <c r="D1469" s="9" t="s">
        <v>238</v>
      </c>
      <c r="E1469" s="56" t="str">
        <f>IFERROR(VLOOKUP($D1469,본공사입.출고현황!$B:$H,E$2080,0),0)</f>
        <v>Steel round bar</v>
      </c>
      <c r="F1469" s="18" t="str">
        <f>IFERROR(VLOOKUP($D1469,본공사입.출고현황!$B:$H,F$2080,0),0)</f>
        <v>Steel round bar(rebar)</v>
      </c>
      <c r="G1469" s="18" t="str">
        <f>IFERROR(VLOOKUP($D1469,본공사입.출고현황!$B:$H,G$2080,0),0)</f>
        <v>CCGG</v>
      </c>
      <c r="H1469" s="18" t="str">
        <f>IFERROR(VLOOKUP($D1469,본공사입.출고현황!$B:$H,H$2080,0),0)</f>
        <v>ф10, 1ton=1,620.7m</v>
      </c>
      <c r="I1469" s="56" t="str">
        <f>IFERROR(VLOOKUP($D1469,본공사입.출고현황!$B:$H,I$2080,0),0)</f>
        <v>M</v>
      </c>
      <c r="J1469" s="9">
        <v>2</v>
      </c>
      <c r="K1469" s="9" t="s">
        <v>546</v>
      </c>
      <c r="L1469" s="37">
        <v>15</v>
      </c>
      <c r="M1469" s="64" t="s">
        <v>408</v>
      </c>
      <c r="N1469" s="4"/>
    </row>
    <row r="1470" spans="1:14" ht="24" customHeight="1">
      <c r="A1470" s="8">
        <v>1426</v>
      </c>
      <c r="B1470" s="9">
        <v>1426</v>
      </c>
      <c r="C1470" s="46">
        <v>46090</v>
      </c>
      <c r="D1470" s="9" t="s">
        <v>238</v>
      </c>
      <c r="E1470" s="56" t="str">
        <f>IFERROR(VLOOKUP($D1470,본공사입.출고현황!$B:$H,E$2080,0),0)</f>
        <v>Steel round bar</v>
      </c>
      <c r="F1470" s="18" t="str">
        <f>IFERROR(VLOOKUP($D1470,본공사입.출고현황!$B:$H,F$2080,0),0)</f>
        <v>Steel round bar(rebar)</v>
      </c>
      <c r="G1470" s="18" t="str">
        <f>IFERROR(VLOOKUP($D1470,본공사입.출고현황!$B:$H,G$2080,0),0)</f>
        <v>CCGG</v>
      </c>
      <c r="H1470" s="18" t="str">
        <f>IFERROR(VLOOKUP($D1470,본공사입.출고현황!$B:$H,H$2080,0),0)</f>
        <v>ф10, 1ton=1,620.7m</v>
      </c>
      <c r="I1470" s="56" t="str">
        <f>IFERROR(VLOOKUP($D1470,본공사입.출고현황!$B:$H,I$2080,0),0)</f>
        <v>M</v>
      </c>
      <c r="J1470" s="9">
        <v>4</v>
      </c>
      <c r="K1470" s="9" t="s">
        <v>359</v>
      </c>
      <c r="L1470" s="37">
        <v>30</v>
      </c>
      <c r="M1470" s="64" t="s">
        <v>408</v>
      </c>
      <c r="N1470" s="4"/>
    </row>
    <row r="1471" spans="1:14" ht="24" customHeight="1">
      <c r="A1471" s="8">
        <v>1427</v>
      </c>
      <c r="B1471" s="9">
        <v>1427</v>
      </c>
      <c r="C1471" s="46">
        <v>46090</v>
      </c>
      <c r="D1471" s="9" t="s">
        <v>238</v>
      </c>
      <c r="E1471" s="56" t="str">
        <f>IFERROR(VLOOKUP($D1471,본공사입.출고현황!$B:$H,E$2080,0),0)</f>
        <v>Steel round bar</v>
      </c>
      <c r="F1471" s="18" t="str">
        <f>IFERROR(VLOOKUP($D1471,본공사입.출고현황!$B:$H,F$2080,0),0)</f>
        <v>Steel round bar(rebar)</v>
      </c>
      <c r="G1471" s="18" t="str">
        <f>IFERROR(VLOOKUP($D1471,본공사입.출고현황!$B:$H,G$2080,0),0)</f>
        <v>CCGG</v>
      </c>
      <c r="H1471" s="18" t="str">
        <f>IFERROR(VLOOKUP($D1471,본공사입.출고현황!$B:$H,H$2080,0),0)</f>
        <v>ф10, 1ton=1,620.7m</v>
      </c>
      <c r="I1471" s="56" t="str">
        <f>IFERROR(VLOOKUP($D1471,본공사입.출고현황!$B:$H,I$2080,0),0)</f>
        <v>M</v>
      </c>
      <c r="J1471" s="9">
        <v>2</v>
      </c>
      <c r="K1471" s="9" t="s">
        <v>360</v>
      </c>
      <c r="L1471" s="37">
        <v>30</v>
      </c>
      <c r="M1471" s="64" t="s">
        <v>408</v>
      </c>
      <c r="N1471" s="4"/>
    </row>
    <row r="1472" spans="1:14" ht="24" customHeight="1">
      <c r="A1472" s="8">
        <v>1428</v>
      </c>
      <c r="B1472" s="9">
        <v>1428</v>
      </c>
      <c r="C1472" s="46">
        <v>46090</v>
      </c>
      <c r="D1472" s="9" t="s">
        <v>238</v>
      </c>
      <c r="E1472" s="56" t="str">
        <f>IFERROR(VLOOKUP($D1472,본공사입.출고현황!$B:$H,E$2080,0),0)</f>
        <v>Steel round bar</v>
      </c>
      <c r="F1472" s="18" t="str">
        <f>IFERROR(VLOOKUP($D1472,본공사입.출고현황!$B:$H,F$2080,0),0)</f>
        <v>Steel round bar(rebar)</v>
      </c>
      <c r="G1472" s="18" t="str">
        <f>IFERROR(VLOOKUP($D1472,본공사입.출고현황!$B:$H,G$2080,0),0)</f>
        <v>CCGG</v>
      </c>
      <c r="H1472" s="18" t="str">
        <f>IFERROR(VLOOKUP($D1472,본공사입.출고현황!$B:$H,H$2080,0),0)</f>
        <v>ф10, 1ton=1,620.7m</v>
      </c>
      <c r="I1472" s="56" t="str">
        <f>IFERROR(VLOOKUP($D1472,본공사입.출고현황!$B:$H,I$2080,0),0)</f>
        <v>M</v>
      </c>
      <c r="J1472" s="9">
        <v>3</v>
      </c>
      <c r="K1472" s="9" t="s">
        <v>237</v>
      </c>
      <c r="L1472" s="37">
        <v>20</v>
      </c>
      <c r="M1472" s="64" t="s">
        <v>408</v>
      </c>
      <c r="N1472" s="4"/>
    </row>
    <row r="1473" spans="1:14" ht="24" customHeight="1">
      <c r="A1473" s="8">
        <v>1429</v>
      </c>
      <c r="B1473" s="9">
        <v>1429</v>
      </c>
      <c r="C1473" s="46">
        <v>46090</v>
      </c>
      <c r="D1473" s="9" t="s">
        <v>238</v>
      </c>
      <c r="E1473" s="56" t="str">
        <f>IFERROR(VLOOKUP($D1473,본공사입.출고현황!$B:$H,E$2080,0),0)</f>
        <v>Steel round bar</v>
      </c>
      <c r="F1473" s="18" t="str">
        <f>IFERROR(VLOOKUP($D1473,본공사입.출고현황!$B:$H,F$2080,0),0)</f>
        <v>Steel round bar(rebar)</v>
      </c>
      <c r="G1473" s="18" t="str">
        <f>IFERROR(VLOOKUP($D1473,본공사입.출고현황!$B:$H,G$2080,0),0)</f>
        <v>CCGG</v>
      </c>
      <c r="H1473" s="18" t="str">
        <f>IFERROR(VLOOKUP($D1473,본공사입.출고현황!$B:$H,H$2080,0),0)</f>
        <v>ф10, 1ton=1,620.7m</v>
      </c>
      <c r="I1473" s="56" t="str">
        <f>IFERROR(VLOOKUP($D1473,본공사입.출고현황!$B:$H,I$2080,0),0)</f>
        <v>M</v>
      </c>
      <c r="J1473" s="9">
        <v>1</v>
      </c>
      <c r="K1473" s="9" t="s">
        <v>352</v>
      </c>
      <c r="L1473" s="37">
        <v>20</v>
      </c>
      <c r="M1473" s="64" t="s">
        <v>408</v>
      </c>
      <c r="N1473" s="4"/>
    </row>
    <row r="1474" spans="1:14" ht="24" customHeight="1">
      <c r="A1474" s="8">
        <v>1430</v>
      </c>
      <c r="B1474" s="9">
        <v>1430</v>
      </c>
      <c r="C1474" s="46">
        <v>46090</v>
      </c>
      <c r="D1474" s="9" t="s">
        <v>238</v>
      </c>
      <c r="E1474" s="56" t="str">
        <f>IFERROR(VLOOKUP($D1474,본공사입.출고현황!$B:$H,E$2080,0),0)</f>
        <v>Steel round bar</v>
      </c>
      <c r="F1474" s="18" t="str">
        <f>IFERROR(VLOOKUP($D1474,본공사입.출고현황!$B:$H,F$2080,0),0)</f>
        <v>Steel round bar(rebar)</v>
      </c>
      <c r="G1474" s="18" t="str">
        <f>IFERROR(VLOOKUP($D1474,본공사입.출고현황!$B:$H,G$2080,0),0)</f>
        <v>CCGG</v>
      </c>
      <c r="H1474" s="18" t="str">
        <f>IFERROR(VLOOKUP($D1474,본공사입.출고현황!$B:$H,H$2080,0),0)</f>
        <v>ф10, 1ton=1,620.7m</v>
      </c>
      <c r="I1474" s="56" t="str">
        <f>IFERROR(VLOOKUP($D1474,본공사입.출고현황!$B:$H,I$2080,0),0)</f>
        <v>M</v>
      </c>
      <c r="J1474" s="9">
        <v>1</v>
      </c>
      <c r="K1474" s="9" t="s">
        <v>352</v>
      </c>
      <c r="L1474" s="37">
        <v>50</v>
      </c>
      <c r="M1474" s="64" t="s">
        <v>408</v>
      </c>
      <c r="N1474" s="4"/>
    </row>
    <row r="1475" spans="1:14" ht="24" customHeight="1">
      <c r="A1475" s="8">
        <v>1431</v>
      </c>
      <c r="B1475" s="9">
        <v>1431</v>
      </c>
      <c r="C1475" s="46">
        <v>46090</v>
      </c>
      <c r="D1475" s="9" t="s">
        <v>238</v>
      </c>
      <c r="E1475" s="56" t="str">
        <f>IFERROR(VLOOKUP($D1475,본공사입.출고현황!$B:$H,E$2080,0),0)</f>
        <v>Steel round bar</v>
      </c>
      <c r="F1475" s="18" t="str">
        <f>IFERROR(VLOOKUP($D1475,본공사입.출고현황!$B:$H,F$2080,0),0)</f>
        <v>Steel round bar(rebar)</v>
      </c>
      <c r="G1475" s="18" t="str">
        <f>IFERROR(VLOOKUP($D1475,본공사입.출고현황!$B:$H,G$2080,0),0)</f>
        <v>CCGG</v>
      </c>
      <c r="H1475" s="18" t="str">
        <f>IFERROR(VLOOKUP($D1475,본공사입.출고현황!$B:$H,H$2080,0),0)</f>
        <v>ф10, 1ton=1,620.7m</v>
      </c>
      <c r="I1475" s="56" t="str">
        <f>IFERROR(VLOOKUP($D1475,본공사입.출고현황!$B:$H,I$2080,0),0)</f>
        <v>M</v>
      </c>
      <c r="J1475" s="9">
        <v>1</v>
      </c>
      <c r="K1475" s="9" t="s">
        <v>363</v>
      </c>
      <c r="L1475" s="37">
        <v>50</v>
      </c>
      <c r="M1475" s="64" t="s">
        <v>408</v>
      </c>
      <c r="N1475" s="4"/>
    </row>
    <row r="1476" spans="1:14" ht="24" customHeight="1">
      <c r="A1476" s="8">
        <v>1432</v>
      </c>
      <c r="B1476" s="9">
        <v>1432</v>
      </c>
      <c r="C1476" s="46">
        <v>46090</v>
      </c>
      <c r="D1476" s="9" t="s">
        <v>238</v>
      </c>
      <c r="E1476" s="56" t="str">
        <f>IFERROR(VLOOKUP($D1476,본공사입.출고현황!$B:$H,E$2080,0),0)</f>
        <v>Steel round bar</v>
      </c>
      <c r="F1476" s="18" t="str">
        <f>IFERROR(VLOOKUP($D1476,본공사입.출고현황!$B:$H,F$2080,0),0)</f>
        <v>Steel round bar(rebar)</v>
      </c>
      <c r="G1476" s="18" t="str">
        <f>IFERROR(VLOOKUP($D1476,본공사입.출고현황!$B:$H,G$2080,0),0)</f>
        <v>CCGG</v>
      </c>
      <c r="H1476" s="18" t="str">
        <f>IFERROR(VLOOKUP($D1476,본공사입.출고현황!$B:$H,H$2080,0),0)</f>
        <v>ф10, 1ton=1,620.7m</v>
      </c>
      <c r="I1476" s="56" t="str">
        <f>IFERROR(VLOOKUP($D1476,본공사입.출고현황!$B:$H,I$2080,0),0)</f>
        <v>M</v>
      </c>
      <c r="J1476" s="9">
        <v>1</v>
      </c>
      <c r="K1476" s="9" t="s">
        <v>545</v>
      </c>
      <c r="L1476" s="37">
        <v>25</v>
      </c>
      <c r="M1476" s="64" t="s">
        <v>408</v>
      </c>
      <c r="N1476" s="4"/>
    </row>
    <row r="1477" spans="1:14" ht="24" customHeight="1">
      <c r="A1477" s="8">
        <v>1433</v>
      </c>
      <c r="B1477" s="9">
        <v>1433</v>
      </c>
      <c r="C1477" s="46">
        <v>46090</v>
      </c>
      <c r="D1477" s="9" t="s">
        <v>238</v>
      </c>
      <c r="E1477" s="56" t="str">
        <f>IFERROR(VLOOKUP($D1477,본공사입.출고현황!$B:$H,E$2080,0),0)</f>
        <v>Steel round bar</v>
      </c>
      <c r="F1477" s="18" t="str">
        <f>IFERROR(VLOOKUP($D1477,본공사입.출고현황!$B:$H,F$2080,0),0)</f>
        <v>Steel round bar(rebar)</v>
      </c>
      <c r="G1477" s="18" t="str">
        <f>IFERROR(VLOOKUP($D1477,본공사입.출고현황!$B:$H,G$2080,0),0)</f>
        <v>CCGG</v>
      </c>
      <c r="H1477" s="18" t="str">
        <f>IFERROR(VLOOKUP($D1477,본공사입.출고현황!$B:$H,H$2080,0),0)</f>
        <v>ф10, 1ton=1,620.7m</v>
      </c>
      <c r="I1477" s="56" t="str">
        <f>IFERROR(VLOOKUP($D1477,본공사입.출고현황!$B:$H,I$2080,0),0)</f>
        <v>M</v>
      </c>
      <c r="J1477" s="9">
        <v>2</v>
      </c>
      <c r="K1477" s="9" t="s">
        <v>241</v>
      </c>
      <c r="L1477" s="37">
        <v>30</v>
      </c>
      <c r="M1477" s="64" t="s">
        <v>408</v>
      </c>
      <c r="N1477" s="4"/>
    </row>
    <row r="1478" spans="1:14" ht="24" customHeight="1">
      <c r="A1478" s="8">
        <v>1434</v>
      </c>
      <c r="B1478" s="9">
        <v>1434</v>
      </c>
      <c r="C1478" s="46">
        <v>46090</v>
      </c>
      <c r="D1478" s="9" t="s">
        <v>238</v>
      </c>
      <c r="E1478" s="56" t="str">
        <f>IFERROR(VLOOKUP($D1478,본공사입.출고현황!$B:$H,E$2080,0),0)</f>
        <v>Steel round bar</v>
      </c>
      <c r="F1478" s="18" t="str">
        <f>IFERROR(VLOOKUP($D1478,본공사입.출고현황!$B:$H,F$2080,0),0)</f>
        <v>Steel round bar(rebar)</v>
      </c>
      <c r="G1478" s="18" t="str">
        <f>IFERROR(VLOOKUP($D1478,본공사입.출고현황!$B:$H,G$2080,0),0)</f>
        <v>CCGG</v>
      </c>
      <c r="H1478" s="18" t="str">
        <f>IFERROR(VLOOKUP($D1478,본공사입.출고현황!$B:$H,H$2080,0),0)</f>
        <v>ф10, 1ton=1,620.7m</v>
      </c>
      <c r="I1478" s="56" t="str">
        <f>IFERROR(VLOOKUP($D1478,본공사입.출고현황!$B:$H,I$2080,0),0)</f>
        <v>M</v>
      </c>
      <c r="J1478" s="9">
        <v>3</v>
      </c>
      <c r="K1478" s="9" t="s">
        <v>550</v>
      </c>
      <c r="L1478" s="37">
        <v>50</v>
      </c>
      <c r="M1478" s="64" t="s">
        <v>408</v>
      </c>
      <c r="N1478" s="4"/>
    </row>
    <row r="1479" spans="1:14" ht="24" customHeight="1">
      <c r="A1479" s="8">
        <v>1435</v>
      </c>
      <c r="B1479" s="9">
        <v>1435</v>
      </c>
      <c r="C1479" s="46">
        <v>46090</v>
      </c>
      <c r="D1479" s="9" t="s">
        <v>238</v>
      </c>
      <c r="E1479" s="56" t="str">
        <f>IFERROR(VLOOKUP($D1479,본공사입.출고현황!$B:$H,E$2080,0),0)</f>
        <v>Steel round bar</v>
      </c>
      <c r="F1479" s="18" t="str">
        <f>IFERROR(VLOOKUP($D1479,본공사입.출고현황!$B:$H,F$2080,0),0)</f>
        <v>Steel round bar(rebar)</v>
      </c>
      <c r="G1479" s="18" t="str">
        <f>IFERROR(VLOOKUP($D1479,본공사입.출고현황!$B:$H,G$2080,0),0)</f>
        <v>CCGG</v>
      </c>
      <c r="H1479" s="18" t="str">
        <f>IFERROR(VLOOKUP($D1479,본공사입.출고현황!$B:$H,H$2080,0),0)</f>
        <v>ф10, 1ton=1,620.7m</v>
      </c>
      <c r="I1479" s="56" t="str">
        <f>IFERROR(VLOOKUP($D1479,본공사입.출고현황!$B:$H,I$2080,0),0)</f>
        <v>M</v>
      </c>
      <c r="J1479" s="9">
        <v>3</v>
      </c>
      <c r="K1479" s="9" t="s">
        <v>550</v>
      </c>
      <c r="L1479" s="37">
        <v>25</v>
      </c>
      <c r="M1479" s="64" t="s">
        <v>408</v>
      </c>
      <c r="N1479" s="4"/>
    </row>
    <row r="1480" spans="1:14" ht="24" customHeight="1">
      <c r="A1480" s="8">
        <v>1436</v>
      </c>
      <c r="B1480" s="9">
        <v>1436</v>
      </c>
      <c r="C1480" s="46">
        <v>46091</v>
      </c>
      <c r="D1480" s="9" t="s">
        <v>238</v>
      </c>
      <c r="E1480" s="56" t="str">
        <f>IFERROR(VLOOKUP($D1480,본공사입.출고현황!$B:$H,E$2080,0),0)</f>
        <v>Steel round bar</v>
      </c>
      <c r="F1480" s="18" t="str">
        <f>IFERROR(VLOOKUP($D1480,본공사입.출고현황!$B:$H,F$2080,0),0)</f>
        <v>Steel round bar(rebar)</v>
      </c>
      <c r="G1480" s="18" t="str">
        <f>IFERROR(VLOOKUP($D1480,본공사입.출고현황!$B:$H,G$2080,0),0)</f>
        <v>CCGG</v>
      </c>
      <c r="H1480" s="18" t="str">
        <f>IFERROR(VLOOKUP($D1480,본공사입.출고현황!$B:$H,H$2080,0),0)</f>
        <v>ф10, 1ton=1,620.7m</v>
      </c>
      <c r="I1480" s="56" t="str">
        <f>IFERROR(VLOOKUP($D1480,본공사입.출고현황!$B:$H,I$2080,0),0)</f>
        <v>M</v>
      </c>
      <c r="J1480" s="9">
        <v>1</v>
      </c>
      <c r="K1480" s="9" t="s">
        <v>363</v>
      </c>
      <c r="L1480" s="37">
        <v>70</v>
      </c>
      <c r="M1480" s="64" t="s">
        <v>408</v>
      </c>
      <c r="N1480" s="4"/>
    </row>
    <row r="1481" spans="1:14" ht="24" customHeight="1">
      <c r="A1481" s="8">
        <v>1437</v>
      </c>
      <c r="B1481" s="9">
        <v>1437</v>
      </c>
      <c r="C1481" s="46">
        <v>46091</v>
      </c>
      <c r="D1481" s="9" t="s">
        <v>238</v>
      </c>
      <c r="E1481" s="56" t="str">
        <f>IFERROR(VLOOKUP($D1481,본공사입.출고현황!$B:$H,E$2080,0),0)</f>
        <v>Steel round bar</v>
      </c>
      <c r="F1481" s="18" t="str">
        <f>IFERROR(VLOOKUP($D1481,본공사입.출고현황!$B:$H,F$2080,0),0)</f>
        <v>Steel round bar(rebar)</v>
      </c>
      <c r="G1481" s="18" t="str">
        <f>IFERROR(VLOOKUP($D1481,본공사입.출고현황!$B:$H,G$2080,0),0)</f>
        <v>CCGG</v>
      </c>
      <c r="H1481" s="18" t="str">
        <f>IFERROR(VLOOKUP($D1481,본공사입.출고현황!$B:$H,H$2080,0),0)</f>
        <v>ф10, 1ton=1,620.7m</v>
      </c>
      <c r="I1481" s="56" t="str">
        <f>IFERROR(VLOOKUP($D1481,본공사입.출고현황!$B:$H,I$2080,0),0)</f>
        <v>M</v>
      </c>
      <c r="J1481" s="9">
        <v>1</v>
      </c>
      <c r="K1481" s="9" t="s">
        <v>547</v>
      </c>
      <c r="L1481" s="37">
        <v>20</v>
      </c>
      <c r="M1481" s="64" t="s">
        <v>408</v>
      </c>
      <c r="N1481" s="4"/>
    </row>
    <row r="1482" spans="1:14" ht="24" customHeight="1">
      <c r="A1482" s="8">
        <v>1438</v>
      </c>
      <c r="B1482" s="9">
        <v>1438</v>
      </c>
      <c r="C1482" s="46">
        <v>46091</v>
      </c>
      <c r="D1482" s="9" t="s">
        <v>238</v>
      </c>
      <c r="E1482" s="56" t="str">
        <f>IFERROR(VLOOKUP($D1482,본공사입.출고현황!$B:$H,E$2080,0),0)</f>
        <v>Steel round bar</v>
      </c>
      <c r="F1482" s="18" t="str">
        <f>IFERROR(VLOOKUP($D1482,본공사입.출고현황!$B:$H,F$2080,0),0)</f>
        <v>Steel round bar(rebar)</v>
      </c>
      <c r="G1482" s="18" t="str">
        <f>IFERROR(VLOOKUP($D1482,본공사입.출고현황!$B:$H,G$2080,0),0)</f>
        <v>CCGG</v>
      </c>
      <c r="H1482" s="18" t="str">
        <f>IFERROR(VLOOKUP($D1482,본공사입.출고현황!$B:$H,H$2080,0),0)</f>
        <v>ф10, 1ton=1,620.7m</v>
      </c>
      <c r="I1482" s="56" t="str">
        <f>IFERROR(VLOOKUP($D1482,본공사입.출고현황!$B:$H,I$2080,0),0)</f>
        <v>M</v>
      </c>
      <c r="J1482" s="9">
        <v>1</v>
      </c>
      <c r="K1482" s="9" t="s">
        <v>363</v>
      </c>
      <c r="L1482" s="37">
        <v>15</v>
      </c>
      <c r="M1482" s="64" t="s">
        <v>408</v>
      </c>
      <c r="N1482" s="4"/>
    </row>
    <row r="1483" spans="1:14" ht="24" customHeight="1">
      <c r="A1483" s="8">
        <v>1439</v>
      </c>
      <c r="B1483" s="9">
        <v>1439</v>
      </c>
      <c r="C1483" s="46">
        <v>46091</v>
      </c>
      <c r="D1483" s="9" t="s">
        <v>238</v>
      </c>
      <c r="E1483" s="56" t="str">
        <f>IFERROR(VLOOKUP($D1483,본공사입.출고현황!$B:$H,E$2080,0),0)</f>
        <v>Steel round bar</v>
      </c>
      <c r="F1483" s="18" t="str">
        <f>IFERROR(VLOOKUP($D1483,본공사입.출고현황!$B:$H,F$2080,0),0)</f>
        <v>Steel round bar(rebar)</v>
      </c>
      <c r="G1483" s="18" t="str">
        <f>IFERROR(VLOOKUP($D1483,본공사입.출고현황!$B:$H,G$2080,0),0)</f>
        <v>CCGG</v>
      </c>
      <c r="H1483" s="18" t="str">
        <f>IFERROR(VLOOKUP($D1483,본공사입.출고현황!$B:$H,H$2080,0),0)</f>
        <v>ф10, 1ton=1,620.7m</v>
      </c>
      <c r="I1483" s="56" t="str">
        <f>IFERROR(VLOOKUP($D1483,본공사입.출고현황!$B:$H,I$2080,0),0)</f>
        <v>M</v>
      </c>
      <c r="J1483" s="9">
        <v>3</v>
      </c>
      <c r="K1483" s="9" t="s">
        <v>550</v>
      </c>
      <c r="L1483" s="37">
        <v>40</v>
      </c>
      <c r="M1483" s="64" t="s">
        <v>408</v>
      </c>
      <c r="N1483" s="4"/>
    </row>
    <row r="1484" spans="1:14" ht="24" customHeight="1">
      <c r="A1484" s="8">
        <v>1440</v>
      </c>
      <c r="B1484" s="9">
        <v>1440</v>
      </c>
      <c r="C1484" s="46">
        <v>46091</v>
      </c>
      <c r="D1484" s="9" t="s">
        <v>238</v>
      </c>
      <c r="E1484" s="56" t="str">
        <f>IFERROR(VLOOKUP($D1484,본공사입.출고현황!$B:$H,E$2080,0),0)</f>
        <v>Steel round bar</v>
      </c>
      <c r="F1484" s="18" t="str">
        <f>IFERROR(VLOOKUP($D1484,본공사입.출고현황!$B:$H,F$2080,0),0)</f>
        <v>Steel round bar(rebar)</v>
      </c>
      <c r="G1484" s="18" t="str">
        <f>IFERROR(VLOOKUP($D1484,본공사입.출고현황!$B:$H,G$2080,0),0)</f>
        <v>CCGG</v>
      </c>
      <c r="H1484" s="18" t="str">
        <f>IFERROR(VLOOKUP($D1484,본공사입.출고현황!$B:$H,H$2080,0),0)</f>
        <v>ф10, 1ton=1,620.7m</v>
      </c>
      <c r="I1484" s="56" t="str">
        <f>IFERROR(VLOOKUP($D1484,본공사입.출고현황!$B:$H,I$2080,0),0)</f>
        <v>M</v>
      </c>
      <c r="J1484" s="9">
        <v>2</v>
      </c>
      <c r="K1484" s="9" t="s">
        <v>360</v>
      </c>
      <c r="L1484" s="37">
        <v>20</v>
      </c>
      <c r="M1484" s="64" t="s">
        <v>408</v>
      </c>
      <c r="N1484" s="4"/>
    </row>
    <row r="1485" spans="1:14" ht="24" customHeight="1">
      <c r="A1485" s="8">
        <v>1441</v>
      </c>
      <c r="B1485" s="9">
        <v>1441</v>
      </c>
      <c r="C1485" s="46">
        <v>46091</v>
      </c>
      <c r="D1485" s="9" t="s">
        <v>238</v>
      </c>
      <c r="E1485" s="56" t="str">
        <f>IFERROR(VLOOKUP($D1485,본공사입.출고현황!$B:$H,E$2080,0),0)</f>
        <v>Steel round bar</v>
      </c>
      <c r="F1485" s="18" t="str">
        <f>IFERROR(VLOOKUP($D1485,본공사입.출고현황!$B:$H,F$2080,0),0)</f>
        <v>Steel round bar(rebar)</v>
      </c>
      <c r="G1485" s="18" t="str">
        <f>IFERROR(VLOOKUP($D1485,본공사입.출고현황!$B:$H,G$2080,0),0)</f>
        <v>CCGG</v>
      </c>
      <c r="H1485" s="18" t="str">
        <f>IFERROR(VLOOKUP($D1485,본공사입.출고현황!$B:$H,H$2080,0),0)</f>
        <v>ф10, 1ton=1,620.7m</v>
      </c>
      <c r="I1485" s="56" t="str">
        <f>IFERROR(VLOOKUP($D1485,본공사입.출고현황!$B:$H,I$2080,0),0)</f>
        <v>M</v>
      </c>
      <c r="J1485" s="9">
        <v>1</v>
      </c>
      <c r="K1485" s="9" t="s">
        <v>352</v>
      </c>
      <c r="L1485" s="37">
        <v>20</v>
      </c>
      <c r="M1485" s="64" t="s">
        <v>408</v>
      </c>
      <c r="N1485" s="4"/>
    </row>
    <row r="1486" spans="1:14" ht="24" customHeight="1">
      <c r="A1486" s="8">
        <v>1442</v>
      </c>
      <c r="B1486" s="9">
        <v>1442</v>
      </c>
      <c r="C1486" s="46">
        <v>46091</v>
      </c>
      <c r="D1486" s="9" t="s">
        <v>238</v>
      </c>
      <c r="E1486" s="56" t="str">
        <f>IFERROR(VLOOKUP($D1486,본공사입.출고현황!$B:$H,E$2080,0),0)</f>
        <v>Steel round bar</v>
      </c>
      <c r="F1486" s="18" t="str">
        <f>IFERROR(VLOOKUP($D1486,본공사입.출고현황!$B:$H,F$2080,0),0)</f>
        <v>Steel round bar(rebar)</v>
      </c>
      <c r="G1486" s="18" t="str">
        <f>IFERROR(VLOOKUP($D1486,본공사입.출고현황!$B:$H,G$2080,0),0)</f>
        <v>CCGG</v>
      </c>
      <c r="H1486" s="18" t="str">
        <f>IFERROR(VLOOKUP($D1486,본공사입.출고현황!$B:$H,H$2080,0),0)</f>
        <v>ф10, 1ton=1,620.7m</v>
      </c>
      <c r="I1486" s="56" t="str">
        <f>IFERROR(VLOOKUP($D1486,본공사입.출고현황!$B:$H,I$2080,0),0)</f>
        <v>M</v>
      </c>
      <c r="J1486" s="9">
        <v>2</v>
      </c>
      <c r="K1486" s="9" t="s">
        <v>546</v>
      </c>
      <c r="L1486" s="37">
        <v>20</v>
      </c>
      <c r="M1486" s="64" t="s">
        <v>408</v>
      </c>
      <c r="N1486" s="4"/>
    </row>
    <row r="1487" spans="1:14" ht="24" customHeight="1">
      <c r="A1487" s="8">
        <v>1443</v>
      </c>
      <c r="B1487" s="9">
        <v>1443</v>
      </c>
      <c r="C1487" s="46">
        <v>46091</v>
      </c>
      <c r="D1487" s="9" t="s">
        <v>238</v>
      </c>
      <c r="E1487" s="56" t="str">
        <f>IFERROR(VLOOKUP($D1487,본공사입.출고현황!$B:$H,E$2080,0),0)</f>
        <v>Steel round bar</v>
      </c>
      <c r="F1487" s="18" t="str">
        <f>IFERROR(VLOOKUP($D1487,본공사입.출고현황!$B:$H,F$2080,0),0)</f>
        <v>Steel round bar(rebar)</v>
      </c>
      <c r="G1487" s="18" t="str">
        <f>IFERROR(VLOOKUP($D1487,본공사입.출고현황!$B:$H,G$2080,0),0)</f>
        <v>CCGG</v>
      </c>
      <c r="H1487" s="18" t="str">
        <f>IFERROR(VLOOKUP($D1487,본공사입.출고현황!$B:$H,H$2080,0),0)</f>
        <v>ф10, 1ton=1,620.7m</v>
      </c>
      <c r="I1487" s="56" t="str">
        <f>IFERROR(VLOOKUP($D1487,본공사입.출고현황!$B:$H,I$2080,0),0)</f>
        <v>M</v>
      </c>
      <c r="J1487" s="9">
        <v>4</v>
      </c>
      <c r="K1487" s="9" t="s">
        <v>359</v>
      </c>
      <c r="L1487" s="37">
        <v>25</v>
      </c>
      <c r="M1487" s="64" t="s">
        <v>408</v>
      </c>
      <c r="N1487" s="4"/>
    </row>
    <row r="1488" spans="1:14" ht="24" customHeight="1">
      <c r="A1488" s="8">
        <v>1444</v>
      </c>
      <c r="B1488" s="9">
        <v>1444</v>
      </c>
      <c r="C1488" s="46">
        <v>46091</v>
      </c>
      <c r="D1488" s="9" t="s">
        <v>238</v>
      </c>
      <c r="E1488" s="56" t="str">
        <f>IFERROR(VLOOKUP($D1488,본공사입.출고현황!$B:$H,E$2080,0),0)</f>
        <v>Steel round bar</v>
      </c>
      <c r="F1488" s="18" t="str">
        <f>IFERROR(VLOOKUP($D1488,본공사입.출고현황!$B:$H,F$2080,0),0)</f>
        <v>Steel round bar(rebar)</v>
      </c>
      <c r="G1488" s="18" t="str">
        <f>IFERROR(VLOOKUP($D1488,본공사입.출고현황!$B:$H,G$2080,0),0)</f>
        <v>CCGG</v>
      </c>
      <c r="H1488" s="18" t="str">
        <f>IFERROR(VLOOKUP($D1488,본공사입.출고현황!$B:$H,H$2080,0),0)</f>
        <v>ф10, 1ton=1,620.7m</v>
      </c>
      <c r="I1488" s="56" t="str">
        <f>IFERROR(VLOOKUP($D1488,본공사입.출고현황!$B:$H,I$2080,0),0)</f>
        <v>M</v>
      </c>
      <c r="J1488" s="9" t="s">
        <v>634</v>
      </c>
      <c r="K1488" s="9" t="s">
        <v>245</v>
      </c>
      <c r="L1488" s="37">
        <v>1140</v>
      </c>
      <c r="M1488" s="64" t="s">
        <v>408</v>
      </c>
      <c r="N1488" s="4" t="s">
        <v>692</v>
      </c>
    </row>
    <row r="1489" spans="1:14" ht="24" customHeight="1">
      <c r="A1489" s="8">
        <v>1445</v>
      </c>
      <c r="B1489" s="9">
        <v>1445</v>
      </c>
      <c r="C1489" s="254">
        <v>46092</v>
      </c>
      <c r="D1489" s="253" t="s">
        <v>238</v>
      </c>
      <c r="E1489" s="335" t="str">
        <f>IFERROR(VLOOKUP($D1489,본공사입.출고현황!$B:$H,E$2080,0),0)</f>
        <v>Steel round bar</v>
      </c>
      <c r="F1489" s="336" t="str">
        <f>IFERROR(VLOOKUP($D1489,본공사입.출고현황!$B:$H,F$2080,0),0)</f>
        <v>Steel round bar(rebar)</v>
      </c>
      <c r="G1489" s="336" t="str">
        <f>IFERROR(VLOOKUP($D1489,본공사입.출고현황!$B:$H,G$2080,0),0)</f>
        <v>CCGG</v>
      </c>
      <c r="H1489" s="336" t="str">
        <f>IFERROR(VLOOKUP($D1489,본공사입.출고현황!$B:$H,H$2080,0),0)</f>
        <v>ф10, 1ton=1,620.7m</v>
      </c>
      <c r="I1489" s="335" t="str">
        <f>IFERROR(VLOOKUP($D1489,본공사입.출고현황!$B:$H,I$2080,0),0)</f>
        <v>M</v>
      </c>
      <c r="J1489" s="253">
        <v>1</v>
      </c>
      <c r="K1489" s="253" t="s">
        <v>547</v>
      </c>
      <c r="L1489" s="255">
        <v>30</v>
      </c>
      <c r="M1489" s="256" t="s">
        <v>408</v>
      </c>
      <c r="N1489" s="337"/>
    </row>
    <row r="1490" spans="1:14" ht="24" customHeight="1">
      <c r="A1490" s="8">
        <v>1446</v>
      </c>
      <c r="B1490" s="9">
        <v>1446</v>
      </c>
      <c r="C1490" s="254">
        <v>46092</v>
      </c>
      <c r="D1490" s="253" t="s">
        <v>238</v>
      </c>
      <c r="E1490" s="335" t="str">
        <f>IFERROR(VLOOKUP($D1490,본공사입.출고현황!$B:$H,E$2080,0),0)</f>
        <v>Steel round bar</v>
      </c>
      <c r="F1490" s="336" t="str">
        <f>IFERROR(VLOOKUP($D1490,본공사입.출고현황!$B:$H,F$2080,0),0)</f>
        <v>Steel round bar(rebar)</v>
      </c>
      <c r="G1490" s="336" t="str">
        <f>IFERROR(VLOOKUP($D1490,본공사입.출고현황!$B:$H,G$2080,0),0)</f>
        <v>CCGG</v>
      </c>
      <c r="H1490" s="336" t="str">
        <f>IFERROR(VLOOKUP($D1490,본공사입.출고현황!$B:$H,H$2080,0),0)</f>
        <v>ф10, 1ton=1,620.7m</v>
      </c>
      <c r="I1490" s="335" t="str">
        <f>IFERROR(VLOOKUP($D1490,본공사입.출고현황!$B:$H,I$2080,0),0)</f>
        <v>M</v>
      </c>
      <c r="J1490" s="253">
        <v>1</v>
      </c>
      <c r="K1490" s="253" t="s">
        <v>547</v>
      </c>
      <c r="L1490" s="255">
        <v>25</v>
      </c>
      <c r="M1490" s="256" t="s">
        <v>408</v>
      </c>
      <c r="N1490" s="337"/>
    </row>
    <row r="1491" spans="1:14" ht="24" customHeight="1">
      <c r="A1491" s="8">
        <v>1447</v>
      </c>
      <c r="B1491" s="9">
        <v>1447</v>
      </c>
      <c r="C1491" s="254">
        <v>46092</v>
      </c>
      <c r="D1491" s="253" t="s">
        <v>238</v>
      </c>
      <c r="E1491" s="335" t="str">
        <f>IFERROR(VLOOKUP($D1491,본공사입.출고현황!$B:$H,E$2080,0),0)</f>
        <v>Steel round bar</v>
      </c>
      <c r="F1491" s="336" t="str">
        <f>IFERROR(VLOOKUP($D1491,본공사입.출고현황!$B:$H,F$2080,0),0)</f>
        <v>Steel round bar(rebar)</v>
      </c>
      <c r="G1491" s="336" t="str">
        <f>IFERROR(VLOOKUP($D1491,본공사입.출고현황!$B:$H,G$2080,0),0)</f>
        <v>CCGG</v>
      </c>
      <c r="H1491" s="336" t="str">
        <f>IFERROR(VLOOKUP($D1491,본공사입.출고현황!$B:$H,H$2080,0),0)</f>
        <v>ф10, 1ton=1,620.7m</v>
      </c>
      <c r="I1491" s="335" t="str">
        <f>IFERROR(VLOOKUP($D1491,본공사입.출고현황!$B:$H,I$2080,0),0)</f>
        <v>M</v>
      </c>
      <c r="J1491" s="253">
        <v>1</v>
      </c>
      <c r="K1491" s="253" t="s">
        <v>363</v>
      </c>
      <c r="L1491" s="255">
        <v>25</v>
      </c>
      <c r="M1491" s="256" t="s">
        <v>408</v>
      </c>
      <c r="N1491" s="337"/>
    </row>
    <row r="1492" spans="1:14" ht="24" customHeight="1">
      <c r="A1492" s="8">
        <v>1448</v>
      </c>
      <c r="B1492" s="9">
        <v>1448</v>
      </c>
      <c r="C1492" s="254">
        <v>46092</v>
      </c>
      <c r="D1492" s="253" t="s">
        <v>238</v>
      </c>
      <c r="E1492" s="335" t="str">
        <f>IFERROR(VLOOKUP($D1492,본공사입.출고현황!$B:$H,E$2080,0),0)</f>
        <v>Steel round bar</v>
      </c>
      <c r="F1492" s="336" t="str">
        <f>IFERROR(VLOOKUP($D1492,본공사입.출고현황!$B:$H,F$2080,0),0)</f>
        <v>Steel round bar(rebar)</v>
      </c>
      <c r="G1492" s="336" t="str">
        <f>IFERROR(VLOOKUP($D1492,본공사입.출고현황!$B:$H,G$2080,0),0)</f>
        <v>CCGG</v>
      </c>
      <c r="H1492" s="336" t="str">
        <f>IFERROR(VLOOKUP($D1492,본공사입.출고현황!$B:$H,H$2080,0),0)</f>
        <v>ф10, 1ton=1,620.7m</v>
      </c>
      <c r="I1492" s="335" t="str">
        <f>IFERROR(VLOOKUP($D1492,본공사입.출고현황!$B:$H,I$2080,0),0)</f>
        <v>M</v>
      </c>
      <c r="J1492" s="253">
        <v>3</v>
      </c>
      <c r="K1492" s="253" t="s">
        <v>550</v>
      </c>
      <c r="L1492" s="255">
        <v>25</v>
      </c>
      <c r="M1492" s="256" t="s">
        <v>408</v>
      </c>
      <c r="N1492" s="337"/>
    </row>
    <row r="1493" spans="1:14" ht="24" customHeight="1">
      <c r="A1493" s="8">
        <v>1449</v>
      </c>
      <c r="B1493" s="9">
        <v>1449</v>
      </c>
      <c r="C1493" s="254">
        <v>46092</v>
      </c>
      <c r="D1493" s="253" t="s">
        <v>238</v>
      </c>
      <c r="E1493" s="335" t="str">
        <f>IFERROR(VLOOKUP($D1493,본공사입.출고현황!$B:$H,E$2080,0),0)</f>
        <v>Steel round bar</v>
      </c>
      <c r="F1493" s="336" t="str">
        <f>IFERROR(VLOOKUP($D1493,본공사입.출고현황!$B:$H,F$2080,0),0)</f>
        <v>Steel round bar(rebar)</v>
      </c>
      <c r="G1493" s="336" t="str">
        <f>IFERROR(VLOOKUP($D1493,본공사입.출고현황!$B:$H,G$2080,0),0)</f>
        <v>CCGG</v>
      </c>
      <c r="H1493" s="336" t="str">
        <f>IFERROR(VLOOKUP($D1493,본공사입.출고현황!$B:$H,H$2080,0),0)</f>
        <v>ф10, 1ton=1,620.7m</v>
      </c>
      <c r="I1493" s="335" t="str">
        <f>IFERROR(VLOOKUP($D1493,본공사입.출고현황!$B:$H,I$2080,0),0)</f>
        <v>M</v>
      </c>
      <c r="J1493" s="253">
        <v>2</v>
      </c>
      <c r="K1493" s="253" t="s">
        <v>360</v>
      </c>
      <c r="L1493" s="255">
        <v>25</v>
      </c>
      <c r="M1493" s="256" t="s">
        <v>408</v>
      </c>
      <c r="N1493" s="337"/>
    </row>
    <row r="1494" spans="1:14" ht="24" customHeight="1">
      <c r="A1494" s="8">
        <v>1450</v>
      </c>
      <c r="B1494" s="9">
        <v>1450</v>
      </c>
      <c r="C1494" s="254">
        <v>46092</v>
      </c>
      <c r="D1494" s="253" t="s">
        <v>238</v>
      </c>
      <c r="E1494" s="335" t="str">
        <f>IFERROR(VLOOKUP($D1494,본공사입.출고현황!$B:$H,E$2080,0),0)</f>
        <v>Steel round bar</v>
      </c>
      <c r="F1494" s="336" t="str">
        <f>IFERROR(VLOOKUP($D1494,본공사입.출고현황!$B:$H,F$2080,0),0)</f>
        <v>Steel round bar(rebar)</v>
      </c>
      <c r="G1494" s="336" t="str">
        <f>IFERROR(VLOOKUP($D1494,본공사입.출고현황!$B:$H,G$2080,0),0)</f>
        <v>CCGG</v>
      </c>
      <c r="H1494" s="336" t="str">
        <f>IFERROR(VLOOKUP($D1494,본공사입.출고현황!$B:$H,H$2080,0),0)</f>
        <v>ф10, 1ton=1,620.7m</v>
      </c>
      <c r="I1494" s="335" t="str">
        <f>IFERROR(VLOOKUP($D1494,본공사입.출고현황!$B:$H,I$2080,0),0)</f>
        <v>M</v>
      </c>
      <c r="J1494" s="253">
        <v>1</v>
      </c>
      <c r="K1494" s="253" t="s">
        <v>352</v>
      </c>
      <c r="L1494" s="255">
        <v>50</v>
      </c>
      <c r="M1494" s="256" t="s">
        <v>408</v>
      </c>
      <c r="N1494" s="337"/>
    </row>
    <row r="1495" spans="1:14" ht="24" customHeight="1">
      <c r="A1495" s="8">
        <v>1451</v>
      </c>
      <c r="B1495" s="9">
        <v>1451</v>
      </c>
      <c r="C1495" s="254">
        <v>46092</v>
      </c>
      <c r="D1495" s="253" t="s">
        <v>238</v>
      </c>
      <c r="E1495" s="335" t="str">
        <f>IFERROR(VLOOKUP($D1495,본공사입.출고현황!$B:$H,E$2080,0),0)</f>
        <v>Steel round bar</v>
      </c>
      <c r="F1495" s="336" t="str">
        <f>IFERROR(VLOOKUP($D1495,본공사입.출고현황!$B:$H,F$2080,0),0)</f>
        <v>Steel round bar(rebar)</v>
      </c>
      <c r="G1495" s="336" t="str">
        <f>IFERROR(VLOOKUP($D1495,본공사입.출고현황!$B:$H,G$2080,0),0)</f>
        <v>CCGG</v>
      </c>
      <c r="H1495" s="336" t="str">
        <f>IFERROR(VLOOKUP($D1495,본공사입.출고현황!$B:$H,H$2080,0),0)</f>
        <v>ф10, 1ton=1,620.7m</v>
      </c>
      <c r="I1495" s="335" t="str">
        <f>IFERROR(VLOOKUP($D1495,본공사입.출고현황!$B:$H,I$2080,0),0)</f>
        <v>M</v>
      </c>
      <c r="J1495" s="253">
        <v>1</v>
      </c>
      <c r="K1495" s="253" t="s">
        <v>352</v>
      </c>
      <c r="L1495" s="255">
        <v>50</v>
      </c>
      <c r="M1495" s="256" t="s">
        <v>408</v>
      </c>
      <c r="N1495" s="337"/>
    </row>
    <row r="1496" spans="1:14" ht="24" customHeight="1">
      <c r="A1496" s="8">
        <v>1452</v>
      </c>
      <c r="B1496" s="9">
        <v>1452</v>
      </c>
      <c r="C1496" s="254">
        <v>46092</v>
      </c>
      <c r="D1496" s="253" t="s">
        <v>238</v>
      </c>
      <c r="E1496" s="335" t="str">
        <f>IFERROR(VLOOKUP($D1496,본공사입.출고현황!$B:$H,E$2080,0),0)</f>
        <v>Steel round bar</v>
      </c>
      <c r="F1496" s="336" t="str">
        <f>IFERROR(VLOOKUP($D1496,본공사입.출고현황!$B:$H,F$2080,0),0)</f>
        <v>Steel round bar(rebar)</v>
      </c>
      <c r="G1496" s="336" t="str">
        <f>IFERROR(VLOOKUP($D1496,본공사입.출고현황!$B:$H,G$2080,0),0)</f>
        <v>CCGG</v>
      </c>
      <c r="H1496" s="336" t="str">
        <f>IFERROR(VLOOKUP($D1496,본공사입.출고현황!$B:$H,H$2080,0),0)</f>
        <v>ф10, 1ton=1,620.7m</v>
      </c>
      <c r="I1496" s="335" t="str">
        <f>IFERROR(VLOOKUP($D1496,본공사입.출고현황!$B:$H,I$2080,0),0)</f>
        <v>M</v>
      </c>
      <c r="J1496" s="253">
        <v>2</v>
      </c>
      <c r="K1496" s="253" t="s">
        <v>546</v>
      </c>
      <c r="L1496" s="255">
        <v>25</v>
      </c>
      <c r="M1496" s="256" t="s">
        <v>408</v>
      </c>
      <c r="N1496" s="337"/>
    </row>
    <row r="1497" spans="1:14" ht="24" customHeight="1">
      <c r="A1497" s="8">
        <v>1453</v>
      </c>
      <c r="B1497" s="9">
        <v>1453</v>
      </c>
      <c r="C1497" s="254">
        <v>46092</v>
      </c>
      <c r="D1497" s="253" t="s">
        <v>238</v>
      </c>
      <c r="E1497" s="335" t="str">
        <f>IFERROR(VLOOKUP($D1497,본공사입.출고현황!$B:$H,E$2080,0),0)</f>
        <v>Steel round bar</v>
      </c>
      <c r="F1497" s="336" t="str">
        <f>IFERROR(VLOOKUP($D1497,본공사입.출고현황!$B:$H,F$2080,0),0)</f>
        <v>Steel round bar(rebar)</v>
      </c>
      <c r="G1497" s="336" t="str">
        <f>IFERROR(VLOOKUP($D1497,본공사입.출고현황!$B:$H,G$2080,0),0)</f>
        <v>CCGG</v>
      </c>
      <c r="H1497" s="336" t="str">
        <f>IFERROR(VLOOKUP($D1497,본공사입.출고현황!$B:$H,H$2080,0),0)</f>
        <v>ф10, 1ton=1,620.7m</v>
      </c>
      <c r="I1497" s="335" t="str">
        <f>IFERROR(VLOOKUP($D1497,본공사입.출고현황!$B:$H,I$2080,0),0)</f>
        <v>M</v>
      </c>
      <c r="J1497" s="253">
        <v>4</v>
      </c>
      <c r="K1497" s="253" t="s">
        <v>359</v>
      </c>
      <c r="L1497" s="255">
        <v>75</v>
      </c>
      <c r="M1497" s="256" t="s">
        <v>408</v>
      </c>
      <c r="N1497" s="337"/>
    </row>
    <row r="1498" spans="1:14" ht="24" customHeight="1">
      <c r="A1498" s="8">
        <v>1454</v>
      </c>
      <c r="B1498" s="9">
        <v>1454</v>
      </c>
      <c r="C1498" s="254">
        <v>46092</v>
      </c>
      <c r="D1498" s="253" t="s">
        <v>238</v>
      </c>
      <c r="E1498" s="335" t="str">
        <f>IFERROR(VLOOKUP($D1498,본공사입.출고현황!$B:$H,E$2080,0),0)</f>
        <v>Steel round bar</v>
      </c>
      <c r="F1498" s="336" t="str">
        <f>IFERROR(VLOOKUP($D1498,본공사입.출고현황!$B:$H,F$2080,0),0)</f>
        <v>Steel round bar(rebar)</v>
      </c>
      <c r="G1498" s="336" t="str">
        <f>IFERROR(VLOOKUP($D1498,본공사입.출고현황!$B:$H,G$2080,0),0)</f>
        <v>CCGG</v>
      </c>
      <c r="H1498" s="336" t="str">
        <f>IFERROR(VLOOKUP($D1498,본공사입.출고현황!$B:$H,H$2080,0),0)</f>
        <v>ф10, 1ton=1,620.7m</v>
      </c>
      <c r="I1498" s="335" t="str">
        <f>IFERROR(VLOOKUP($D1498,본공사입.출고현황!$B:$H,I$2080,0),0)</f>
        <v>M</v>
      </c>
      <c r="J1498" s="253">
        <v>2</v>
      </c>
      <c r="K1498" s="253" t="s">
        <v>360</v>
      </c>
      <c r="L1498" s="255">
        <v>25</v>
      </c>
      <c r="M1498" s="256" t="s">
        <v>408</v>
      </c>
      <c r="N1498" s="337"/>
    </row>
    <row r="1499" spans="1:14" ht="24" customHeight="1">
      <c r="A1499" s="8">
        <v>1455</v>
      </c>
      <c r="B1499" s="9">
        <v>1455</v>
      </c>
      <c r="C1499" s="254">
        <v>46093</v>
      </c>
      <c r="D1499" s="253" t="s">
        <v>238</v>
      </c>
      <c r="E1499" s="335" t="str">
        <f>IFERROR(VLOOKUP($D1499,본공사입.출고현황!$B:$H,E$2080,0),0)</f>
        <v>Steel round bar</v>
      </c>
      <c r="F1499" s="336" t="str">
        <f>IFERROR(VLOOKUP($D1499,본공사입.출고현황!$B:$H,F$2080,0),0)</f>
        <v>Steel round bar(rebar)</v>
      </c>
      <c r="G1499" s="336" t="str">
        <f>IFERROR(VLOOKUP($D1499,본공사입.출고현황!$B:$H,G$2080,0),0)</f>
        <v>CCGG</v>
      </c>
      <c r="H1499" s="336" t="str">
        <f>IFERROR(VLOOKUP($D1499,본공사입.출고현황!$B:$H,H$2080,0),0)</f>
        <v>ф10, 1ton=1,620.7m</v>
      </c>
      <c r="I1499" s="335" t="str">
        <f>IFERROR(VLOOKUP($D1499,본공사입.출고현황!$B:$H,I$2080,0),0)</f>
        <v>M</v>
      </c>
      <c r="J1499" s="253">
        <v>3</v>
      </c>
      <c r="K1499" s="253" t="s">
        <v>237</v>
      </c>
      <c r="L1499" s="255">
        <v>20</v>
      </c>
      <c r="M1499" s="256" t="s">
        <v>408</v>
      </c>
      <c r="N1499" s="337"/>
    </row>
    <row r="1500" spans="1:14" ht="24" customHeight="1">
      <c r="A1500" s="8">
        <v>1456</v>
      </c>
      <c r="B1500" s="9">
        <v>1456</v>
      </c>
      <c r="C1500" s="254">
        <v>46093</v>
      </c>
      <c r="D1500" s="253" t="s">
        <v>238</v>
      </c>
      <c r="E1500" s="335" t="str">
        <f>IFERROR(VLOOKUP($D1500,본공사입.출고현황!$B:$H,E$2080,0),0)</f>
        <v>Steel round bar</v>
      </c>
      <c r="F1500" s="336" t="str">
        <f>IFERROR(VLOOKUP($D1500,본공사입.출고현황!$B:$H,F$2080,0),0)</f>
        <v>Steel round bar(rebar)</v>
      </c>
      <c r="G1500" s="336" t="str">
        <f>IFERROR(VLOOKUP($D1500,본공사입.출고현황!$B:$H,G$2080,0),0)</f>
        <v>CCGG</v>
      </c>
      <c r="H1500" s="336" t="str">
        <f>IFERROR(VLOOKUP($D1500,본공사입.출고현황!$B:$H,H$2080,0),0)</f>
        <v>ф10, 1ton=1,620.7m</v>
      </c>
      <c r="I1500" s="335" t="str">
        <f>IFERROR(VLOOKUP($D1500,본공사입.출고현황!$B:$H,I$2080,0),0)</f>
        <v>M</v>
      </c>
      <c r="J1500" s="253">
        <v>1</v>
      </c>
      <c r="K1500" s="253" t="s">
        <v>352</v>
      </c>
      <c r="L1500" s="255">
        <v>25</v>
      </c>
      <c r="M1500" s="256" t="s">
        <v>408</v>
      </c>
      <c r="N1500" s="337"/>
    </row>
    <row r="1501" spans="1:14" ht="24" customHeight="1">
      <c r="A1501" s="8">
        <v>1457</v>
      </c>
      <c r="B1501" s="9">
        <v>1457</v>
      </c>
      <c r="C1501" s="254">
        <v>46093</v>
      </c>
      <c r="D1501" s="253" t="s">
        <v>238</v>
      </c>
      <c r="E1501" s="335" t="str">
        <f>IFERROR(VLOOKUP($D1501,본공사입.출고현황!$B:$H,E$2080,0),0)</f>
        <v>Steel round bar</v>
      </c>
      <c r="F1501" s="336" t="str">
        <f>IFERROR(VLOOKUP($D1501,본공사입.출고현황!$B:$H,F$2080,0),0)</f>
        <v>Steel round bar(rebar)</v>
      </c>
      <c r="G1501" s="336" t="str">
        <f>IFERROR(VLOOKUP($D1501,본공사입.출고현황!$B:$H,G$2080,0),0)</f>
        <v>CCGG</v>
      </c>
      <c r="H1501" s="336" t="str">
        <f>IFERROR(VLOOKUP($D1501,본공사입.출고현황!$B:$H,H$2080,0),0)</f>
        <v>ф10, 1ton=1,620.7m</v>
      </c>
      <c r="I1501" s="335" t="str">
        <f>IFERROR(VLOOKUP($D1501,본공사입.출고현황!$B:$H,I$2080,0),0)</f>
        <v>M</v>
      </c>
      <c r="J1501" s="253">
        <v>1</v>
      </c>
      <c r="K1501" s="253" t="s">
        <v>352</v>
      </c>
      <c r="L1501" s="255">
        <v>15</v>
      </c>
      <c r="M1501" s="256" t="s">
        <v>408</v>
      </c>
      <c r="N1501" s="337"/>
    </row>
    <row r="1502" spans="1:14" ht="24" customHeight="1">
      <c r="A1502" s="8">
        <v>1458</v>
      </c>
      <c r="B1502" s="9">
        <v>1458</v>
      </c>
      <c r="C1502" s="254">
        <v>46093</v>
      </c>
      <c r="D1502" s="253" t="s">
        <v>238</v>
      </c>
      <c r="E1502" s="335" t="str">
        <f>IFERROR(VLOOKUP($D1502,본공사입.출고현황!$B:$H,E$2080,0),0)</f>
        <v>Steel round bar</v>
      </c>
      <c r="F1502" s="336" t="str">
        <f>IFERROR(VLOOKUP($D1502,본공사입.출고현황!$B:$H,F$2080,0),0)</f>
        <v>Steel round bar(rebar)</v>
      </c>
      <c r="G1502" s="336" t="str">
        <f>IFERROR(VLOOKUP($D1502,본공사입.출고현황!$B:$H,G$2080,0),0)</f>
        <v>CCGG</v>
      </c>
      <c r="H1502" s="336" t="str">
        <f>IFERROR(VLOOKUP($D1502,본공사입.출고현황!$B:$H,H$2080,0),0)</f>
        <v>ф10, 1ton=1,620.7m</v>
      </c>
      <c r="I1502" s="335" t="str">
        <f>IFERROR(VLOOKUP($D1502,본공사입.출고현황!$B:$H,I$2080,0),0)</f>
        <v>M</v>
      </c>
      <c r="J1502" s="253">
        <v>1</v>
      </c>
      <c r="K1502" s="253" t="s">
        <v>363</v>
      </c>
      <c r="L1502" s="255">
        <v>50</v>
      </c>
      <c r="M1502" s="256" t="s">
        <v>408</v>
      </c>
      <c r="N1502" s="337"/>
    </row>
    <row r="1503" spans="1:14" ht="24" customHeight="1">
      <c r="A1503" s="8">
        <v>1459</v>
      </c>
      <c r="B1503" s="9">
        <v>1459</v>
      </c>
      <c r="C1503" s="254">
        <v>46093</v>
      </c>
      <c r="D1503" s="253" t="s">
        <v>238</v>
      </c>
      <c r="E1503" s="335" t="str">
        <f>IFERROR(VLOOKUP($D1503,본공사입.출고현황!$B:$H,E$2080,0),0)</f>
        <v>Steel round bar</v>
      </c>
      <c r="F1503" s="336" t="str">
        <f>IFERROR(VLOOKUP($D1503,본공사입.출고현황!$B:$H,F$2080,0),0)</f>
        <v>Steel round bar(rebar)</v>
      </c>
      <c r="G1503" s="336" t="str">
        <f>IFERROR(VLOOKUP($D1503,본공사입.출고현황!$B:$H,G$2080,0),0)</f>
        <v>CCGG</v>
      </c>
      <c r="H1503" s="336" t="str">
        <f>IFERROR(VLOOKUP($D1503,본공사입.출고현황!$B:$H,H$2080,0),0)</f>
        <v>ф10, 1ton=1,620.7m</v>
      </c>
      <c r="I1503" s="335" t="str">
        <f>IFERROR(VLOOKUP($D1503,본공사입.출고현황!$B:$H,I$2080,0),0)</f>
        <v>M</v>
      </c>
      <c r="J1503" s="253">
        <v>1</v>
      </c>
      <c r="K1503" s="253" t="s">
        <v>545</v>
      </c>
      <c r="L1503" s="255">
        <v>15</v>
      </c>
      <c r="M1503" s="256" t="s">
        <v>408</v>
      </c>
      <c r="N1503" s="337"/>
    </row>
    <row r="1504" spans="1:14" ht="24" customHeight="1">
      <c r="A1504" s="8">
        <v>1460</v>
      </c>
      <c r="B1504" s="9">
        <v>1460</v>
      </c>
      <c r="C1504" s="254">
        <v>46093</v>
      </c>
      <c r="D1504" s="253" t="s">
        <v>238</v>
      </c>
      <c r="E1504" s="335" t="str">
        <f>IFERROR(VLOOKUP($D1504,본공사입.출고현황!$B:$H,E$2080,0),0)</f>
        <v>Steel round bar</v>
      </c>
      <c r="F1504" s="336" t="str">
        <f>IFERROR(VLOOKUP($D1504,본공사입.출고현황!$B:$H,F$2080,0),0)</f>
        <v>Steel round bar(rebar)</v>
      </c>
      <c r="G1504" s="336" t="str">
        <f>IFERROR(VLOOKUP($D1504,본공사입.출고현황!$B:$H,G$2080,0),0)</f>
        <v>CCGG</v>
      </c>
      <c r="H1504" s="336" t="str">
        <f>IFERROR(VLOOKUP($D1504,본공사입.출고현황!$B:$H,H$2080,0),0)</f>
        <v>ф10, 1ton=1,620.7m</v>
      </c>
      <c r="I1504" s="335" t="str">
        <f>IFERROR(VLOOKUP($D1504,본공사입.출고현황!$B:$H,I$2080,0),0)</f>
        <v>M</v>
      </c>
      <c r="J1504" s="253">
        <v>2</v>
      </c>
      <c r="K1504" s="253" t="s">
        <v>241</v>
      </c>
      <c r="L1504" s="255">
        <v>50</v>
      </c>
      <c r="M1504" s="256" t="s">
        <v>408</v>
      </c>
      <c r="N1504" s="337"/>
    </row>
    <row r="1505" spans="1:14" ht="24" customHeight="1">
      <c r="A1505" s="8">
        <v>1461</v>
      </c>
      <c r="B1505" s="9">
        <v>1461</v>
      </c>
      <c r="C1505" s="254">
        <v>46093</v>
      </c>
      <c r="D1505" s="253" t="s">
        <v>238</v>
      </c>
      <c r="E1505" s="335" t="str">
        <f>IFERROR(VLOOKUP($D1505,본공사입.출고현황!$B:$H,E$2080,0),0)</f>
        <v>Steel round bar</v>
      </c>
      <c r="F1505" s="336" t="str">
        <f>IFERROR(VLOOKUP($D1505,본공사입.출고현황!$B:$H,F$2080,0),0)</f>
        <v>Steel round bar(rebar)</v>
      </c>
      <c r="G1505" s="336" t="str">
        <f>IFERROR(VLOOKUP($D1505,본공사입.출고현황!$B:$H,G$2080,0),0)</f>
        <v>CCGG</v>
      </c>
      <c r="H1505" s="336" t="str">
        <f>IFERROR(VLOOKUP($D1505,본공사입.출고현황!$B:$H,H$2080,0),0)</f>
        <v>ф10, 1ton=1,620.7m</v>
      </c>
      <c r="I1505" s="335" t="str">
        <f>IFERROR(VLOOKUP($D1505,본공사입.출고현황!$B:$H,I$2080,0),0)</f>
        <v>M</v>
      </c>
      <c r="J1505" s="253">
        <v>3</v>
      </c>
      <c r="K1505" s="253" t="s">
        <v>550</v>
      </c>
      <c r="L1505" s="255">
        <v>30</v>
      </c>
      <c r="M1505" s="256" t="s">
        <v>408</v>
      </c>
      <c r="N1505" s="337"/>
    </row>
    <row r="1506" spans="1:14" ht="24" customHeight="1">
      <c r="A1506" s="8">
        <v>1462</v>
      </c>
      <c r="B1506" s="9">
        <v>1462</v>
      </c>
      <c r="C1506" s="254">
        <v>46093</v>
      </c>
      <c r="D1506" s="253" t="s">
        <v>238</v>
      </c>
      <c r="E1506" s="335" t="str">
        <f>IFERROR(VLOOKUP($D1506,본공사입.출고현황!$B:$H,E$2080,0),0)</f>
        <v>Steel round bar</v>
      </c>
      <c r="F1506" s="336" t="str">
        <f>IFERROR(VLOOKUP($D1506,본공사입.출고현황!$B:$H,F$2080,0),0)</f>
        <v>Steel round bar(rebar)</v>
      </c>
      <c r="G1506" s="336" t="str">
        <f>IFERROR(VLOOKUP($D1506,본공사입.출고현황!$B:$H,G$2080,0),0)</f>
        <v>CCGG</v>
      </c>
      <c r="H1506" s="336" t="str">
        <f>IFERROR(VLOOKUP($D1506,본공사입.출고현황!$B:$H,H$2080,0),0)</f>
        <v>ф10, 1ton=1,620.7m</v>
      </c>
      <c r="I1506" s="335" t="str">
        <f>IFERROR(VLOOKUP($D1506,본공사입.출고현황!$B:$H,I$2080,0),0)</f>
        <v>M</v>
      </c>
      <c r="J1506" s="253">
        <v>3</v>
      </c>
      <c r="K1506" s="253" t="s">
        <v>550</v>
      </c>
      <c r="L1506" s="255">
        <v>15</v>
      </c>
      <c r="M1506" s="256" t="s">
        <v>408</v>
      </c>
      <c r="N1506" s="337"/>
    </row>
    <row r="1507" spans="1:14" ht="24" customHeight="1">
      <c r="A1507" s="8">
        <v>1463</v>
      </c>
      <c r="B1507" s="9">
        <v>1463</v>
      </c>
      <c r="C1507" s="254">
        <v>46093</v>
      </c>
      <c r="D1507" s="253" t="s">
        <v>238</v>
      </c>
      <c r="E1507" s="335" t="str">
        <f>IFERROR(VLOOKUP($D1507,본공사입.출고현황!$B:$H,E$2080,0),0)</f>
        <v>Steel round bar</v>
      </c>
      <c r="F1507" s="336" t="str">
        <f>IFERROR(VLOOKUP($D1507,본공사입.출고현황!$B:$H,F$2080,0),0)</f>
        <v>Steel round bar(rebar)</v>
      </c>
      <c r="G1507" s="336" t="str">
        <f>IFERROR(VLOOKUP($D1507,본공사입.출고현황!$B:$H,G$2080,0),0)</f>
        <v>CCGG</v>
      </c>
      <c r="H1507" s="336" t="str">
        <f>IFERROR(VLOOKUP($D1507,본공사입.출고현황!$B:$H,H$2080,0),0)</f>
        <v>ф10, 1ton=1,620.7m</v>
      </c>
      <c r="I1507" s="335" t="str">
        <f>IFERROR(VLOOKUP($D1507,본공사입.출고현황!$B:$H,I$2080,0),0)</f>
        <v>M</v>
      </c>
      <c r="J1507" s="253">
        <v>1</v>
      </c>
      <c r="K1507" s="253" t="s">
        <v>363</v>
      </c>
      <c r="L1507" s="255">
        <v>40</v>
      </c>
      <c r="M1507" s="256" t="s">
        <v>408</v>
      </c>
      <c r="N1507" s="337"/>
    </row>
    <row r="1508" spans="1:14" ht="24" customHeight="1">
      <c r="A1508" s="8">
        <v>1464</v>
      </c>
      <c r="B1508" s="9">
        <v>1464</v>
      </c>
      <c r="C1508" s="254">
        <v>46094</v>
      </c>
      <c r="D1508" s="253" t="s">
        <v>238</v>
      </c>
      <c r="E1508" s="335" t="str">
        <f>IFERROR(VLOOKUP($D1508,본공사입.출고현황!$B:$H,E$2080,0),0)</f>
        <v>Steel round bar</v>
      </c>
      <c r="F1508" s="336" t="str">
        <f>IFERROR(VLOOKUP($D1508,본공사입.출고현황!$B:$H,F$2080,0),0)</f>
        <v>Steel round bar(rebar)</v>
      </c>
      <c r="G1508" s="336" t="str">
        <f>IFERROR(VLOOKUP($D1508,본공사입.출고현황!$B:$H,G$2080,0),0)</f>
        <v>CCGG</v>
      </c>
      <c r="H1508" s="336" t="str">
        <f>IFERROR(VLOOKUP($D1508,본공사입.출고현황!$B:$H,H$2080,0),0)</f>
        <v>ф10, 1ton=1,620.7m</v>
      </c>
      <c r="I1508" s="335" t="str">
        <f>IFERROR(VLOOKUP($D1508,본공사입.출고현황!$B:$H,I$2080,0),0)</f>
        <v>M</v>
      </c>
      <c r="J1508" s="253">
        <v>1</v>
      </c>
      <c r="K1508" s="253" t="s">
        <v>547</v>
      </c>
      <c r="L1508" s="255">
        <v>20</v>
      </c>
      <c r="M1508" s="256" t="s">
        <v>408</v>
      </c>
      <c r="N1508" s="337"/>
    </row>
    <row r="1509" spans="1:14" ht="24" customHeight="1">
      <c r="A1509" s="8">
        <v>1465</v>
      </c>
      <c r="B1509" s="9">
        <v>1465</v>
      </c>
      <c r="C1509" s="254">
        <v>46094</v>
      </c>
      <c r="D1509" s="253" t="s">
        <v>238</v>
      </c>
      <c r="E1509" s="335" t="str">
        <f>IFERROR(VLOOKUP($D1509,본공사입.출고현황!$B:$H,E$2080,0),0)</f>
        <v>Steel round bar</v>
      </c>
      <c r="F1509" s="336" t="str">
        <f>IFERROR(VLOOKUP($D1509,본공사입.출고현황!$B:$H,F$2080,0),0)</f>
        <v>Steel round bar(rebar)</v>
      </c>
      <c r="G1509" s="336" t="str">
        <f>IFERROR(VLOOKUP($D1509,본공사입.출고현황!$B:$H,G$2080,0),0)</f>
        <v>CCGG</v>
      </c>
      <c r="H1509" s="336" t="str">
        <f>IFERROR(VLOOKUP($D1509,본공사입.출고현황!$B:$H,H$2080,0),0)</f>
        <v>ф10, 1ton=1,620.7m</v>
      </c>
      <c r="I1509" s="335" t="str">
        <f>IFERROR(VLOOKUP($D1509,본공사입.출고현황!$B:$H,I$2080,0),0)</f>
        <v>M</v>
      </c>
      <c r="J1509" s="253">
        <v>1</v>
      </c>
      <c r="K1509" s="253" t="s">
        <v>363</v>
      </c>
      <c r="L1509" s="255">
        <v>20</v>
      </c>
      <c r="M1509" s="256" t="s">
        <v>408</v>
      </c>
      <c r="N1509" s="337"/>
    </row>
    <row r="1510" spans="1:14" ht="24" customHeight="1">
      <c r="A1510" s="8">
        <v>1466</v>
      </c>
      <c r="B1510" s="9">
        <v>1466</v>
      </c>
      <c r="C1510" s="254">
        <v>46094</v>
      </c>
      <c r="D1510" s="253" t="s">
        <v>238</v>
      </c>
      <c r="E1510" s="335" t="str">
        <f>IFERROR(VLOOKUP($D1510,본공사입.출고현황!$B:$H,E$2080,0),0)</f>
        <v>Steel round bar</v>
      </c>
      <c r="F1510" s="336" t="str">
        <f>IFERROR(VLOOKUP($D1510,본공사입.출고현황!$B:$H,F$2080,0),0)</f>
        <v>Steel round bar(rebar)</v>
      </c>
      <c r="G1510" s="336" t="str">
        <f>IFERROR(VLOOKUP($D1510,본공사입.출고현황!$B:$H,G$2080,0),0)</f>
        <v>CCGG</v>
      </c>
      <c r="H1510" s="336" t="str">
        <f>IFERROR(VLOOKUP($D1510,본공사입.출고현황!$B:$H,H$2080,0),0)</f>
        <v>ф10, 1ton=1,620.7m</v>
      </c>
      <c r="I1510" s="335" t="str">
        <f>IFERROR(VLOOKUP($D1510,본공사입.출고현황!$B:$H,I$2080,0),0)</f>
        <v>M</v>
      </c>
      <c r="J1510" s="253">
        <v>3</v>
      </c>
      <c r="K1510" s="253" t="s">
        <v>550</v>
      </c>
      <c r="L1510" s="255">
        <v>20</v>
      </c>
      <c r="M1510" s="256" t="s">
        <v>408</v>
      </c>
      <c r="N1510" s="337"/>
    </row>
    <row r="1511" spans="1:14" ht="24" customHeight="1">
      <c r="A1511" s="8">
        <v>1467</v>
      </c>
      <c r="B1511" s="9">
        <v>1467</v>
      </c>
      <c r="C1511" s="254">
        <v>46094</v>
      </c>
      <c r="D1511" s="253" t="s">
        <v>238</v>
      </c>
      <c r="E1511" s="335" t="str">
        <f>IFERROR(VLOOKUP($D1511,본공사입.출고현황!$B:$H,E$2080,0),0)</f>
        <v>Steel round bar</v>
      </c>
      <c r="F1511" s="336" t="str">
        <f>IFERROR(VLOOKUP($D1511,본공사입.출고현황!$B:$H,F$2080,0),0)</f>
        <v>Steel round bar(rebar)</v>
      </c>
      <c r="G1511" s="336" t="str">
        <f>IFERROR(VLOOKUP($D1511,본공사입.출고현황!$B:$H,G$2080,0),0)</f>
        <v>CCGG</v>
      </c>
      <c r="H1511" s="336" t="str">
        <f>IFERROR(VLOOKUP($D1511,본공사입.출고현황!$B:$H,H$2080,0),0)</f>
        <v>ф10, 1ton=1,620.7m</v>
      </c>
      <c r="I1511" s="335" t="str">
        <f>IFERROR(VLOOKUP($D1511,본공사입.출고현황!$B:$H,I$2080,0),0)</f>
        <v>M</v>
      </c>
      <c r="J1511" s="253">
        <v>2</v>
      </c>
      <c r="K1511" s="253" t="s">
        <v>360</v>
      </c>
      <c r="L1511" s="255">
        <v>25</v>
      </c>
      <c r="M1511" s="256" t="s">
        <v>408</v>
      </c>
      <c r="N1511" s="337"/>
    </row>
    <row r="1512" spans="1:14" ht="24" customHeight="1">
      <c r="A1512" s="8">
        <v>1468</v>
      </c>
      <c r="B1512" s="9">
        <v>1468</v>
      </c>
      <c r="C1512" s="254">
        <v>46094</v>
      </c>
      <c r="D1512" s="253" t="s">
        <v>238</v>
      </c>
      <c r="E1512" s="335" t="str">
        <f>IFERROR(VLOOKUP($D1512,본공사입.출고현황!$B:$H,E$2080,0),0)</f>
        <v>Steel round bar</v>
      </c>
      <c r="F1512" s="336" t="str">
        <f>IFERROR(VLOOKUP($D1512,본공사입.출고현황!$B:$H,F$2080,0),0)</f>
        <v>Steel round bar(rebar)</v>
      </c>
      <c r="G1512" s="336" t="str">
        <f>IFERROR(VLOOKUP($D1512,본공사입.출고현황!$B:$H,G$2080,0),0)</f>
        <v>CCGG</v>
      </c>
      <c r="H1512" s="336" t="str">
        <f>IFERROR(VLOOKUP($D1512,본공사입.출고현황!$B:$H,H$2080,0),0)</f>
        <v>ф10, 1ton=1,620.7m</v>
      </c>
      <c r="I1512" s="335" t="str">
        <f>IFERROR(VLOOKUP($D1512,본공사입.출고현황!$B:$H,I$2080,0),0)</f>
        <v>M</v>
      </c>
      <c r="J1512" s="253">
        <v>1</v>
      </c>
      <c r="K1512" s="253" t="s">
        <v>352</v>
      </c>
      <c r="L1512" s="255">
        <v>25</v>
      </c>
      <c r="M1512" s="256" t="s">
        <v>408</v>
      </c>
      <c r="N1512" s="337"/>
    </row>
    <row r="1513" spans="1:14" ht="24" customHeight="1">
      <c r="A1513" s="8">
        <v>1469</v>
      </c>
      <c r="B1513" s="9">
        <v>1469</v>
      </c>
      <c r="C1513" s="254">
        <v>46094</v>
      </c>
      <c r="D1513" s="253" t="s">
        <v>238</v>
      </c>
      <c r="E1513" s="335" t="str">
        <f>IFERROR(VLOOKUP($D1513,본공사입.출고현황!$B:$H,E$2080,0),0)</f>
        <v>Steel round bar</v>
      </c>
      <c r="F1513" s="336" t="str">
        <f>IFERROR(VLOOKUP($D1513,본공사입.출고현황!$B:$H,F$2080,0),0)</f>
        <v>Steel round bar(rebar)</v>
      </c>
      <c r="G1513" s="336" t="str">
        <f>IFERROR(VLOOKUP($D1513,본공사입.출고현황!$B:$H,G$2080,0),0)</f>
        <v>CCGG</v>
      </c>
      <c r="H1513" s="336" t="str">
        <f>IFERROR(VLOOKUP($D1513,본공사입.출고현황!$B:$H,H$2080,0),0)</f>
        <v>ф10, 1ton=1,620.7m</v>
      </c>
      <c r="I1513" s="335" t="str">
        <f>IFERROR(VLOOKUP($D1513,본공사입.출고현황!$B:$H,I$2080,0),0)</f>
        <v>M</v>
      </c>
      <c r="J1513" s="253">
        <v>2</v>
      </c>
      <c r="K1513" s="253" t="s">
        <v>546</v>
      </c>
      <c r="L1513" s="255">
        <v>25</v>
      </c>
      <c r="M1513" s="256" t="s">
        <v>408</v>
      </c>
      <c r="N1513" s="337"/>
    </row>
    <row r="1514" spans="1:14" ht="24" customHeight="1">
      <c r="A1514" s="8">
        <v>1470</v>
      </c>
      <c r="B1514" s="9">
        <v>1470</v>
      </c>
      <c r="C1514" s="254">
        <v>46094</v>
      </c>
      <c r="D1514" s="253" t="s">
        <v>238</v>
      </c>
      <c r="E1514" s="335" t="str">
        <f>IFERROR(VLOOKUP($D1514,본공사입.출고현황!$B:$H,E$2080,0),0)</f>
        <v>Steel round bar</v>
      </c>
      <c r="F1514" s="336" t="str">
        <f>IFERROR(VLOOKUP($D1514,본공사입.출고현황!$B:$H,F$2080,0),0)</f>
        <v>Steel round bar(rebar)</v>
      </c>
      <c r="G1514" s="336" t="str">
        <f>IFERROR(VLOOKUP($D1514,본공사입.출고현황!$B:$H,G$2080,0),0)</f>
        <v>CCGG</v>
      </c>
      <c r="H1514" s="336" t="str">
        <f>IFERROR(VLOOKUP($D1514,본공사입.출고현황!$B:$H,H$2080,0),0)</f>
        <v>ф10, 1ton=1,620.7m</v>
      </c>
      <c r="I1514" s="335" t="str">
        <f>IFERROR(VLOOKUP($D1514,본공사입.출고현황!$B:$H,I$2080,0),0)</f>
        <v>M</v>
      </c>
      <c r="J1514" s="253">
        <v>4</v>
      </c>
      <c r="K1514" s="253" t="s">
        <v>359</v>
      </c>
      <c r="L1514" s="255">
        <v>25</v>
      </c>
      <c r="M1514" s="256" t="s">
        <v>408</v>
      </c>
      <c r="N1514" s="337"/>
    </row>
    <row r="1515" spans="1:14" ht="24" customHeight="1">
      <c r="A1515" s="8">
        <v>1471</v>
      </c>
      <c r="B1515" s="9">
        <v>1471</v>
      </c>
      <c r="C1515" s="254">
        <v>46095</v>
      </c>
      <c r="D1515" s="253" t="s">
        <v>238</v>
      </c>
      <c r="E1515" s="335" t="str">
        <f>IFERROR(VLOOKUP($D1515,본공사입.출고현황!$B:$H,E$2080,0),0)</f>
        <v>Steel round bar</v>
      </c>
      <c r="F1515" s="336" t="str">
        <f>IFERROR(VLOOKUP($D1515,본공사입.출고현황!$B:$H,F$2080,0),0)</f>
        <v>Steel round bar(rebar)</v>
      </c>
      <c r="G1515" s="336" t="str">
        <f>IFERROR(VLOOKUP($D1515,본공사입.출고현황!$B:$H,G$2080,0),0)</f>
        <v>CCGG</v>
      </c>
      <c r="H1515" s="336" t="str">
        <f>IFERROR(VLOOKUP($D1515,본공사입.출고현황!$B:$H,H$2080,0),0)</f>
        <v>ф10, 1ton=1,620.7m</v>
      </c>
      <c r="I1515" s="335" t="str">
        <f>IFERROR(VLOOKUP($D1515,본공사입.출고현황!$B:$H,I$2080,0),0)</f>
        <v>M</v>
      </c>
      <c r="J1515" s="253">
        <v>3</v>
      </c>
      <c r="K1515" s="253" t="s">
        <v>550</v>
      </c>
      <c r="L1515" s="255">
        <v>25</v>
      </c>
      <c r="M1515" s="256" t="s">
        <v>408</v>
      </c>
      <c r="N1515" s="337"/>
    </row>
    <row r="1516" spans="1:14" ht="24" customHeight="1">
      <c r="A1516" s="8">
        <v>1472</v>
      </c>
      <c r="B1516" s="9">
        <v>1472</v>
      </c>
      <c r="C1516" s="254">
        <v>46095</v>
      </c>
      <c r="D1516" s="253" t="s">
        <v>238</v>
      </c>
      <c r="E1516" s="335" t="str">
        <f>IFERROR(VLOOKUP($D1516,본공사입.출고현황!$B:$H,E$2080,0),0)</f>
        <v>Steel round bar</v>
      </c>
      <c r="F1516" s="336" t="str">
        <f>IFERROR(VLOOKUP($D1516,본공사입.출고현황!$B:$H,F$2080,0),0)</f>
        <v>Steel round bar(rebar)</v>
      </c>
      <c r="G1516" s="336" t="str">
        <f>IFERROR(VLOOKUP($D1516,본공사입.출고현황!$B:$H,G$2080,0),0)</f>
        <v>CCGG</v>
      </c>
      <c r="H1516" s="336" t="str">
        <f>IFERROR(VLOOKUP($D1516,본공사입.출고현황!$B:$H,H$2080,0),0)</f>
        <v>ф10, 1ton=1,620.7m</v>
      </c>
      <c r="I1516" s="335" t="str">
        <f>IFERROR(VLOOKUP($D1516,본공사입.출고현황!$B:$H,I$2080,0),0)</f>
        <v>M</v>
      </c>
      <c r="J1516" s="253">
        <v>1</v>
      </c>
      <c r="K1516" s="253" t="s">
        <v>363</v>
      </c>
      <c r="L1516" s="255">
        <v>70</v>
      </c>
      <c r="M1516" s="256" t="s">
        <v>408</v>
      </c>
      <c r="N1516" s="337"/>
    </row>
    <row r="1517" spans="1:14" ht="24" customHeight="1">
      <c r="A1517" s="8">
        <v>1473</v>
      </c>
      <c r="B1517" s="9">
        <v>1473</v>
      </c>
      <c r="C1517" s="254">
        <v>46095</v>
      </c>
      <c r="D1517" s="253" t="s">
        <v>238</v>
      </c>
      <c r="E1517" s="335" t="str">
        <f>IFERROR(VLOOKUP($D1517,본공사입.출고현황!$B:$H,E$2080,0),0)</f>
        <v>Steel round bar</v>
      </c>
      <c r="F1517" s="336" t="str">
        <f>IFERROR(VLOOKUP($D1517,본공사입.출고현황!$B:$H,F$2080,0),0)</f>
        <v>Steel round bar(rebar)</v>
      </c>
      <c r="G1517" s="336" t="str">
        <f>IFERROR(VLOOKUP($D1517,본공사입.출고현황!$B:$H,G$2080,0),0)</f>
        <v>CCGG</v>
      </c>
      <c r="H1517" s="336" t="str">
        <f>IFERROR(VLOOKUP($D1517,본공사입.출고현황!$B:$H,H$2080,0),0)</f>
        <v>ф10, 1ton=1,620.7m</v>
      </c>
      <c r="I1517" s="335" t="str">
        <f>IFERROR(VLOOKUP($D1517,본공사입.출고현황!$B:$H,I$2080,0),0)</f>
        <v>M</v>
      </c>
      <c r="J1517" s="253">
        <v>1</v>
      </c>
      <c r="K1517" s="253" t="s">
        <v>547</v>
      </c>
      <c r="L1517" s="255">
        <v>20</v>
      </c>
      <c r="M1517" s="256" t="s">
        <v>408</v>
      </c>
      <c r="N1517" s="337"/>
    </row>
    <row r="1518" spans="1:14" ht="24" customHeight="1">
      <c r="A1518" s="8">
        <v>1474</v>
      </c>
      <c r="B1518" s="9">
        <v>1474</v>
      </c>
      <c r="C1518" s="254">
        <v>46095</v>
      </c>
      <c r="D1518" s="253" t="s">
        <v>238</v>
      </c>
      <c r="E1518" s="335" t="str">
        <f>IFERROR(VLOOKUP($D1518,본공사입.출고현황!$B:$H,E$2080,0),0)</f>
        <v>Steel round bar</v>
      </c>
      <c r="F1518" s="336" t="str">
        <f>IFERROR(VLOOKUP($D1518,본공사입.출고현황!$B:$H,F$2080,0),0)</f>
        <v>Steel round bar(rebar)</v>
      </c>
      <c r="G1518" s="336" t="str">
        <f>IFERROR(VLOOKUP($D1518,본공사입.출고현황!$B:$H,G$2080,0),0)</f>
        <v>CCGG</v>
      </c>
      <c r="H1518" s="336" t="str">
        <f>IFERROR(VLOOKUP($D1518,본공사입.출고현황!$B:$H,H$2080,0),0)</f>
        <v>ф10, 1ton=1,620.7m</v>
      </c>
      <c r="I1518" s="335" t="str">
        <f>IFERROR(VLOOKUP($D1518,본공사입.출고현황!$B:$H,I$2080,0),0)</f>
        <v>M</v>
      </c>
      <c r="J1518" s="253">
        <v>1</v>
      </c>
      <c r="K1518" s="253" t="s">
        <v>363</v>
      </c>
      <c r="L1518" s="255">
        <v>15</v>
      </c>
      <c r="M1518" s="256" t="s">
        <v>408</v>
      </c>
      <c r="N1518" s="337"/>
    </row>
    <row r="1519" spans="1:14" ht="24" customHeight="1">
      <c r="A1519" s="8">
        <v>1475</v>
      </c>
      <c r="B1519" s="9">
        <v>1475</v>
      </c>
      <c r="C1519" s="254">
        <v>46095</v>
      </c>
      <c r="D1519" s="253" t="s">
        <v>238</v>
      </c>
      <c r="E1519" s="335" t="str">
        <f>IFERROR(VLOOKUP($D1519,본공사입.출고현황!$B:$H,E$2080,0),0)</f>
        <v>Steel round bar</v>
      </c>
      <c r="F1519" s="336" t="str">
        <f>IFERROR(VLOOKUP($D1519,본공사입.출고현황!$B:$H,F$2080,0),0)</f>
        <v>Steel round bar(rebar)</v>
      </c>
      <c r="G1519" s="336" t="str">
        <f>IFERROR(VLOOKUP($D1519,본공사입.출고현황!$B:$H,G$2080,0),0)</f>
        <v>CCGG</v>
      </c>
      <c r="H1519" s="336" t="str">
        <f>IFERROR(VLOOKUP($D1519,본공사입.출고현황!$B:$H,H$2080,0),0)</f>
        <v>ф10, 1ton=1,620.7m</v>
      </c>
      <c r="I1519" s="335" t="str">
        <f>IFERROR(VLOOKUP($D1519,본공사입.출고현황!$B:$H,I$2080,0),0)</f>
        <v>M</v>
      </c>
      <c r="J1519" s="253">
        <v>3</v>
      </c>
      <c r="K1519" s="253" t="s">
        <v>550</v>
      </c>
      <c r="L1519" s="255">
        <v>40</v>
      </c>
      <c r="M1519" s="256" t="s">
        <v>408</v>
      </c>
      <c r="N1519" s="337"/>
    </row>
    <row r="1520" spans="1:14" ht="24" customHeight="1">
      <c r="A1520" s="8">
        <v>1476</v>
      </c>
      <c r="B1520" s="9">
        <v>1476</v>
      </c>
      <c r="C1520" s="254">
        <v>46095</v>
      </c>
      <c r="D1520" s="253" t="s">
        <v>238</v>
      </c>
      <c r="E1520" s="335" t="str">
        <f>IFERROR(VLOOKUP($D1520,본공사입.출고현황!$B:$H,E$2080,0),0)</f>
        <v>Steel round bar</v>
      </c>
      <c r="F1520" s="336" t="str">
        <f>IFERROR(VLOOKUP($D1520,본공사입.출고현황!$B:$H,F$2080,0),0)</f>
        <v>Steel round bar(rebar)</v>
      </c>
      <c r="G1520" s="336" t="str">
        <f>IFERROR(VLOOKUP($D1520,본공사입.출고현황!$B:$H,G$2080,0),0)</f>
        <v>CCGG</v>
      </c>
      <c r="H1520" s="336" t="str">
        <f>IFERROR(VLOOKUP($D1520,본공사입.출고현황!$B:$H,H$2080,0),0)</f>
        <v>ф10, 1ton=1,620.7m</v>
      </c>
      <c r="I1520" s="335" t="str">
        <f>IFERROR(VLOOKUP($D1520,본공사입.출고현황!$B:$H,I$2080,0),0)</f>
        <v>M</v>
      </c>
      <c r="J1520" s="253">
        <v>2</v>
      </c>
      <c r="K1520" s="253" t="s">
        <v>360</v>
      </c>
      <c r="L1520" s="255">
        <v>20</v>
      </c>
      <c r="M1520" s="256" t="s">
        <v>408</v>
      </c>
      <c r="N1520" s="337"/>
    </row>
    <row r="1521" spans="1:14" ht="24" customHeight="1">
      <c r="A1521" s="8">
        <v>1477</v>
      </c>
      <c r="B1521" s="9">
        <v>1477</v>
      </c>
      <c r="C1521" s="254">
        <v>46095</v>
      </c>
      <c r="D1521" s="253" t="s">
        <v>238</v>
      </c>
      <c r="E1521" s="335" t="str">
        <f>IFERROR(VLOOKUP($D1521,본공사입.출고현황!$B:$H,E$2080,0),0)</f>
        <v>Steel round bar</v>
      </c>
      <c r="F1521" s="336" t="str">
        <f>IFERROR(VLOOKUP($D1521,본공사입.출고현황!$B:$H,F$2080,0),0)</f>
        <v>Steel round bar(rebar)</v>
      </c>
      <c r="G1521" s="336" t="str">
        <f>IFERROR(VLOOKUP($D1521,본공사입.출고현황!$B:$H,G$2080,0),0)</f>
        <v>CCGG</v>
      </c>
      <c r="H1521" s="336" t="str">
        <f>IFERROR(VLOOKUP($D1521,본공사입.출고현황!$B:$H,H$2080,0),0)</f>
        <v>ф10, 1ton=1,620.7m</v>
      </c>
      <c r="I1521" s="335" t="str">
        <f>IFERROR(VLOOKUP($D1521,본공사입.출고현황!$B:$H,I$2080,0),0)</f>
        <v>M</v>
      </c>
      <c r="J1521" s="253">
        <v>1</v>
      </c>
      <c r="K1521" s="253" t="s">
        <v>352</v>
      </c>
      <c r="L1521" s="255">
        <v>20</v>
      </c>
      <c r="M1521" s="256" t="s">
        <v>408</v>
      </c>
      <c r="N1521" s="337"/>
    </row>
    <row r="1522" spans="1:14" ht="24" customHeight="1">
      <c r="A1522" s="8">
        <v>1478</v>
      </c>
      <c r="B1522" s="9">
        <v>1478</v>
      </c>
      <c r="C1522" s="254">
        <v>46095</v>
      </c>
      <c r="D1522" s="253" t="s">
        <v>238</v>
      </c>
      <c r="E1522" s="335" t="str">
        <f>IFERROR(VLOOKUP($D1522,본공사입.출고현황!$B:$H,E$2080,0),0)</f>
        <v>Steel round bar</v>
      </c>
      <c r="F1522" s="336" t="str">
        <f>IFERROR(VLOOKUP($D1522,본공사입.출고현황!$B:$H,F$2080,0),0)</f>
        <v>Steel round bar(rebar)</v>
      </c>
      <c r="G1522" s="336" t="str">
        <f>IFERROR(VLOOKUP($D1522,본공사입.출고현황!$B:$H,G$2080,0),0)</f>
        <v>CCGG</v>
      </c>
      <c r="H1522" s="336" t="str">
        <f>IFERROR(VLOOKUP($D1522,본공사입.출고현황!$B:$H,H$2080,0),0)</f>
        <v>ф10, 1ton=1,620.7m</v>
      </c>
      <c r="I1522" s="335" t="str">
        <f>IFERROR(VLOOKUP($D1522,본공사입.출고현황!$B:$H,I$2080,0),0)</f>
        <v>M</v>
      </c>
      <c r="J1522" s="253">
        <v>2</v>
      </c>
      <c r="K1522" s="253" t="s">
        <v>546</v>
      </c>
      <c r="L1522" s="255">
        <v>20</v>
      </c>
      <c r="M1522" s="256" t="s">
        <v>408</v>
      </c>
      <c r="N1522" s="337"/>
    </row>
    <row r="1523" spans="1:14" ht="24" customHeight="1">
      <c r="A1523" s="8">
        <v>1479</v>
      </c>
      <c r="B1523" s="9">
        <v>1479</v>
      </c>
      <c r="C1523" s="254">
        <v>46095</v>
      </c>
      <c r="D1523" s="253" t="s">
        <v>238</v>
      </c>
      <c r="E1523" s="335" t="str">
        <f>IFERROR(VLOOKUP($D1523,본공사입.출고현황!$B:$H,E$2080,0),0)</f>
        <v>Steel round bar</v>
      </c>
      <c r="F1523" s="336" t="str">
        <f>IFERROR(VLOOKUP($D1523,본공사입.출고현황!$B:$H,F$2080,0),0)</f>
        <v>Steel round bar(rebar)</v>
      </c>
      <c r="G1523" s="336" t="str">
        <f>IFERROR(VLOOKUP($D1523,본공사입.출고현황!$B:$H,G$2080,0),0)</f>
        <v>CCGG</v>
      </c>
      <c r="H1523" s="336" t="str">
        <f>IFERROR(VLOOKUP($D1523,본공사입.출고현황!$B:$H,H$2080,0),0)</f>
        <v>ф10, 1ton=1,620.7m</v>
      </c>
      <c r="I1523" s="335" t="str">
        <f>IFERROR(VLOOKUP($D1523,본공사입.출고현황!$B:$H,I$2080,0),0)</f>
        <v>M</v>
      </c>
      <c r="J1523" s="253">
        <v>4</v>
      </c>
      <c r="K1523" s="253" t="s">
        <v>359</v>
      </c>
      <c r="L1523" s="255">
        <v>25</v>
      </c>
      <c r="M1523" s="256" t="s">
        <v>408</v>
      </c>
      <c r="N1523" s="337"/>
    </row>
    <row r="1524" spans="1:14" ht="24" customHeight="1">
      <c r="A1524" s="8">
        <v>1480</v>
      </c>
      <c r="B1524" s="9">
        <v>1480</v>
      </c>
      <c r="C1524" s="254">
        <v>46096</v>
      </c>
      <c r="D1524" s="253" t="s">
        <v>238</v>
      </c>
      <c r="E1524" s="335" t="str">
        <f>IFERROR(VLOOKUP($D1524,본공사입.출고현황!$B:$H,E$2080,0),0)</f>
        <v>Steel round bar</v>
      </c>
      <c r="F1524" s="336" t="str">
        <f>IFERROR(VLOOKUP($D1524,본공사입.출고현황!$B:$H,F$2080,0),0)</f>
        <v>Steel round bar(rebar)</v>
      </c>
      <c r="G1524" s="336" t="str">
        <f>IFERROR(VLOOKUP($D1524,본공사입.출고현황!$B:$H,G$2080,0),0)</f>
        <v>CCGG</v>
      </c>
      <c r="H1524" s="336" t="str">
        <f>IFERROR(VLOOKUP($D1524,본공사입.출고현황!$B:$H,H$2080,0),0)</f>
        <v>ф10, 1ton=1,620.7m</v>
      </c>
      <c r="I1524" s="335" t="str">
        <f>IFERROR(VLOOKUP($D1524,본공사입.출고현황!$B:$H,I$2080,0),0)</f>
        <v>M</v>
      </c>
      <c r="J1524" s="253">
        <v>4</v>
      </c>
      <c r="K1524" s="253" t="s">
        <v>359</v>
      </c>
      <c r="L1524" s="255">
        <v>25</v>
      </c>
      <c r="M1524" s="256" t="s">
        <v>358</v>
      </c>
      <c r="N1524" s="337"/>
    </row>
    <row r="1525" spans="1:14" ht="24" customHeight="1">
      <c r="A1525" s="8">
        <v>1481</v>
      </c>
      <c r="B1525" s="9">
        <v>1481</v>
      </c>
      <c r="C1525" s="254">
        <v>46096</v>
      </c>
      <c r="D1525" s="253" t="s">
        <v>238</v>
      </c>
      <c r="E1525" s="335" t="str">
        <f>IFERROR(VLOOKUP($D1525,본공사입.출고현황!$B:$H,E$2080,0),0)</f>
        <v>Steel round bar</v>
      </c>
      <c r="F1525" s="336" t="str">
        <f>IFERROR(VLOOKUP($D1525,본공사입.출고현황!$B:$H,F$2080,0),0)</f>
        <v>Steel round bar(rebar)</v>
      </c>
      <c r="G1525" s="336" t="str">
        <f>IFERROR(VLOOKUP($D1525,본공사입.출고현황!$B:$H,G$2080,0),0)</f>
        <v>CCGG</v>
      </c>
      <c r="H1525" s="336" t="str">
        <f>IFERROR(VLOOKUP($D1525,본공사입.출고현황!$B:$H,H$2080,0),0)</f>
        <v>ф10, 1ton=1,620.7m</v>
      </c>
      <c r="I1525" s="335" t="str">
        <f>IFERROR(VLOOKUP($D1525,본공사입.출고현황!$B:$H,I$2080,0),0)</f>
        <v>M</v>
      </c>
      <c r="J1525" s="253">
        <v>2</v>
      </c>
      <c r="K1525" s="253" t="s">
        <v>360</v>
      </c>
      <c r="L1525" s="255">
        <v>25</v>
      </c>
      <c r="M1525" s="256" t="s">
        <v>358</v>
      </c>
      <c r="N1525" s="337"/>
    </row>
    <row r="1526" spans="1:14" ht="24" customHeight="1">
      <c r="A1526" s="8">
        <v>1482</v>
      </c>
      <c r="B1526" s="9">
        <v>1482</v>
      </c>
      <c r="C1526" s="254">
        <v>46096</v>
      </c>
      <c r="D1526" s="253" t="s">
        <v>238</v>
      </c>
      <c r="E1526" s="335" t="str">
        <f>IFERROR(VLOOKUP($D1526,본공사입.출고현황!$B:$H,E$2080,0),0)</f>
        <v>Steel round bar</v>
      </c>
      <c r="F1526" s="336" t="str">
        <f>IFERROR(VLOOKUP($D1526,본공사입.출고현황!$B:$H,F$2080,0),0)</f>
        <v>Steel round bar(rebar)</v>
      </c>
      <c r="G1526" s="336" t="str">
        <f>IFERROR(VLOOKUP($D1526,본공사입.출고현황!$B:$H,G$2080,0),0)</f>
        <v>CCGG</v>
      </c>
      <c r="H1526" s="336" t="str">
        <f>IFERROR(VLOOKUP($D1526,본공사입.출고현황!$B:$H,H$2080,0),0)</f>
        <v>ф10, 1ton=1,620.7m</v>
      </c>
      <c r="I1526" s="335" t="str">
        <f>IFERROR(VLOOKUP($D1526,본공사입.출고현황!$B:$H,I$2080,0),0)</f>
        <v>M</v>
      </c>
      <c r="J1526" s="253">
        <v>3</v>
      </c>
      <c r="K1526" s="253" t="s">
        <v>237</v>
      </c>
      <c r="L1526" s="255">
        <v>25</v>
      </c>
      <c r="M1526" s="256" t="s">
        <v>408</v>
      </c>
      <c r="N1526" s="337"/>
    </row>
    <row r="1527" spans="1:14" ht="24" customHeight="1">
      <c r="A1527" s="8">
        <v>1483</v>
      </c>
      <c r="B1527" s="9">
        <v>1483</v>
      </c>
      <c r="C1527" s="254">
        <v>46096</v>
      </c>
      <c r="D1527" s="253" t="s">
        <v>238</v>
      </c>
      <c r="E1527" s="335" t="str">
        <f>IFERROR(VLOOKUP($D1527,본공사입.출고현황!$B:$H,E$2080,0),0)</f>
        <v>Steel round bar</v>
      </c>
      <c r="F1527" s="336" t="str">
        <f>IFERROR(VLOOKUP($D1527,본공사입.출고현황!$B:$H,F$2080,0),0)</f>
        <v>Steel round bar(rebar)</v>
      </c>
      <c r="G1527" s="336" t="str">
        <f>IFERROR(VLOOKUP($D1527,본공사입.출고현황!$B:$H,G$2080,0),0)</f>
        <v>CCGG</v>
      </c>
      <c r="H1527" s="336" t="str">
        <f>IFERROR(VLOOKUP($D1527,본공사입.출고현황!$B:$H,H$2080,0),0)</f>
        <v>ф10, 1ton=1,620.7m</v>
      </c>
      <c r="I1527" s="335" t="str">
        <f>IFERROR(VLOOKUP($D1527,본공사입.출고현황!$B:$H,I$2080,0),0)</f>
        <v>M</v>
      </c>
      <c r="J1527" s="253">
        <v>2</v>
      </c>
      <c r="K1527" s="253" t="s">
        <v>360</v>
      </c>
      <c r="L1527" s="255">
        <v>25</v>
      </c>
      <c r="M1527" s="256" t="s">
        <v>408</v>
      </c>
      <c r="N1527" s="337"/>
    </row>
    <row r="1528" spans="1:14" ht="24" customHeight="1">
      <c r="A1528" s="8">
        <v>1484</v>
      </c>
      <c r="B1528" s="9">
        <v>1484</v>
      </c>
      <c r="C1528" s="254">
        <v>46096</v>
      </c>
      <c r="D1528" s="253" t="s">
        <v>238</v>
      </c>
      <c r="E1528" s="335" t="str">
        <f>IFERROR(VLOOKUP($D1528,본공사입.출고현황!$B:$H,E$2080,0),0)</f>
        <v>Steel round bar</v>
      </c>
      <c r="F1528" s="336" t="str">
        <f>IFERROR(VLOOKUP($D1528,본공사입.출고현황!$B:$H,F$2080,0),0)</f>
        <v>Steel round bar(rebar)</v>
      </c>
      <c r="G1528" s="336" t="str">
        <f>IFERROR(VLOOKUP($D1528,본공사입.출고현황!$B:$H,G$2080,0),0)</f>
        <v>CCGG</v>
      </c>
      <c r="H1528" s="336" t="str">
        <f>IFERROR(VLOOKUP($D1528,본공사입.출고현황!$B:$H,H$2080,0),0)</f>
        <v>ф10, 1ton=1,620.7m</v>
      </c>
      <c r="I1528" s="335" t="str">
        <f>IFERROR(VLOOKUP($D1528,본공사입.출고현황!$B:$H,I$2080,0),0)</f>
        <v>M</v>
      </c>
      <c r="J1528" s="253">
        <v>1</v>
      </c>
      <c r="K1528" s="253" t="s">
        <v>352</v>
      </c>
      <c r="L1528" s="255">
        <v>25</v>
      </c>
      <c r="M1528" s="256" t="s">
        <v>408</v>
      </c>
      <c r="N1528" s="337"/>
    </row>
    <row r="1529" spans="1:14" ht="24" customHeight="1">
      <c r="A1529" s="8">
        <v>1485</v>
      </c>
      <c r="B1529" s="9">
        <v>1485</v>
      </c>
      <c r="C1529" s="254">
        <v>46096</v>
      </c>
      <c r="D1529" s="253" t="s">
        <v>238</v>
      </c>
      <c r="E1529" s="335" t="str">
        <f>IFERROR(VLOOKUP($D1529,본공사입.출고현황!$B:$H,E$2080,0),0)</f>
        <v>Steel round bar</v>
      </c>
      <c r="F1529" s="336" t="str">
        <f>IFERROR(VLOOKUP($D1529,본공사입.출고현황!$B:$H,F$2080,0),0)</f>
        <v>Steel round bar(rebar)</v>
      </c>
      <c r="G1529" s="336" t="str">
        <f>IFERROR(VLOOKUP($D1529,본공사입.출고현황!$B:$H,G$2080,0),0)</f>
        <v>CCGG</v>
      </c>
      <c r="H1529" s="336" t="str">
        <f>IFERROR(VLOOKUP($D1529,본공사입.출고현황!$B:$H,H$2080,0),0)</f>
        <v>ф10, 1ton=1,620.7m</v>
      </c>
      <c r="I1529" s="335" t="str">
        <f>IFERROR(VLOOKUP($D1529,본공사입.출고현황!$B:$H,I$2080,0),0)</f>
        <v>M</v>
      </c>
      <c r="J1529" s="253">
        <v>2</v>
      </c>
      <c r="K1529" s="253" t="s">
        <v>546</v>
      </c>
      <c r="L1529" s="255">
        <v>25</v>
      </c>
      <c r="M1529" s="256" t="s">
        <v>408</v>
      </c>
      <c r="N1529" s="337"/>
    </row>
    <row r="1530" spans="1:14" ht="24" customHeight="1">
      <c r="A1530" s="8">
        <v>1486</v>
      </c>
      <c r="B1530" s="9">
        <v>1486</v>
      </c>
      <c r="C1530" s="254">
        <v>46096</v>
      </c>
      <c r="D1530" s="253" t="s">
        <v>238</v>
      </c>
      <c r="E1530" s="335" t="str">
        <f>IFERROR(VLOOKUP($D1530,본공사입.출고현황!$B:$H,E$2080,0),0)</f>
        <v>Steel round bar</v>
      </c>
      <c r="F1530" s="336" t="str">
        <f>IFERROR(VLOOKUP($D1530,본공사입.출고현황!$B:$H,F$2080,0),0)</f>
        <v>Steel round bar(rebar)</v>
      </c>
      <c r="G1530" s="336" t="str">
        <f>IFERROR(VLOOKUP($D1530,본공사입.출고현황!$B:$H,G$2080,0),0)</f>
        <v>CCGG</v>
      </c>
      <c r="H1530" s="336" t="str">
        <f>IFERROR(VLOOKUP($D1530,본공사입.출고현황!$B:$H,H$2080,0),0)</f>
        <v>ф10, 1ton=1,620.7m</v>
      </c>
      <c r="I1530" s="335" t="str">
        <f>IFERROR(VLOOKUP($D1530,본공사입.출고현황!$B:$H,I$2080,0),0)</f>
        <v>M</v>
      </c>
      <c r="J1530" s="253">
        <v>4</v>
      </c>
      <c r="K1530" s="253" t="s">
        <v>359</v>
      </c>
      <c r="L1530" s="255">
        <v>25</v>
      </c>
      <c r="M1530" s="256" t="s">
        <v>408</v>
      </c>
      <c r="N1530" s="337"/>
    </row>
    <row r="1531" spans="1:14" ht="24" customHeight="1">
      <c r="A1531" s="8">
        <v>1487</v>
      </c>
      <c r="B1531" s="9">
        <v>1487</v>
      </c>
      <c r="C1531" s="254">
        <v>46096</v>
      </c>
      <c r="D1531" s="253" t="s">
        <v>61</v>
      </c>
      <c r="E1531" s="335" t="str">
        <f>IFERROR(VLOOKUP($D1531,본공사입.출고현황!$B:$H,E$2080,0),0)</f>
        <v>Angle</v>
      </c>
      <c r="F1531" s="336" t="str">
        <f>IFERROR(VLOOKUP($D1531,본공사입.출고현황!$B:$H,F$2080,0),0)</f>
        <v>Angle 100x100x10</v>
      </c>
      <c r="G1531" s="336" t="str">
        <f>IFERROR(VLOOKUP($D1531,본공사입.출고현황!$B:$H,G$2080,0),0)</f>
        <v>CCGG</v>
      </c>
      <c r="H1531" s="336" t="str">
        <f>IFERROR(VLOOKUP($D1531,본공사입.출고현황!$B:$H,H$2080,0),0)</f>
        <v>100x100x10 (12m)</v>
      </c>
      <c r="I1531" s="335" t="str">
        <f>IFERROR(VLOOKUP($D1531,본공사입.출고현황!$B:$H,I$2080,0),0)</f>
        <v>M</v>
      </c>
      <c r="J1531" s="253">
        <v>2</v>
      </c>
      <c r="K1531" s="253" t="s">
        <v>360</v>
      </c>
      <c r="L1531" s="255">
        <v>6</v>
      </c>
      <c r="M1531" s="256" t="s">
        <v>408</v>
      </c>
      <c r="N1531" s="337"/>
    </row>
    <row r="1532" spans="1:14" ht="24" customHeight="1">
      <c r="A1532" s="8">
        <v>1488</v>
      </c>
      <c r="B1532" s="9">
        <v>1488</v>
      </c>
      <c r="C1532" s="254">
        <v>46096</v>
      </c>
      <c r="D1532" s="253" t="s">
        <v>238</v>
      </c>
      <c r="E1532" s="335" t="str">
        <f>IFERROR(VLOOKUP($D1532,본공사입.출고현황!$B:$H,E$2080,0),0)</f>
        <v>Steel round bar</v>
      </c>
      <c r="F1532" s="336" t="str">
        <f>IFERROR(VLOOKUP($D1532,본공사입.출고현황!$B:$H,F$2080,0),0)</f>
        <v>Steel round bar(rebar)</v>
      </c>
      <c r="G1532" s="336" t="str">
        <f>IFERROR(VLOOKUP($D1532,본공사입.출고현황!$B:$H,G$2080,0),0)</f>
        <v>CCGG</v>
      </c>
      <c r="H1532" s="336" t="str">
        <f>IFERROR(VLOOKUP($D1532,본공사입.출고현황!$B:$H,H$2080,0),0)</f>
        <v>ф10, 1ton=1,620.7m</v>
      </c>
      <c r="I1532" s="335" t="str">
        <f>IFERROR(VLOOKUP($D1532,본공사입.출고현황!$B:$H,I$2080,0),0)</f>
        <v>M</v>
      </c>
      <c r="J1532" s="253">
        <v>3</v>
      </c>
      <c r="K1532" s="253" t="s">
        <v>237</v>
      </c>
      <c r="L1532" s="255">
        <v>25</v>
      </c>
      <c r="M1532" s="256" t="s">
        <v>408</v>
      </c>
      <c r="N1532" s="337"/>
    </row>
    <row r="1533" spans="1:14" ht="24" customHeight="1">
      <c r="A1533" s="8">
        <v>1489</v>
      </c>
      <c r="B1533" s="9">
        <v>1489</v>
      </c>
      <c r="C1533" s="254">
        <v>46096</v>
      </c>
      <c r="D1533" s="253" t="s">
        <v>238</v>
      </c>
      <c r="E1533" s="335" t="str">
        <f>IFERROR(VLOOKUP($D1533,본공사입.출고현황!$B:$H,E$2080,0),0)</f>
        <v>Steel round bar</v>
      </c>
      <c r="F1533" s="336" t="str">
        <f>IFERROR(VLOOKUP($D1533,본공사입.출고현황!$B:$H,F$2080,0),0)</f>
        <v>Steel round bar(rebar)</v>
      </c>
      <c r="G1533" s="336" t="str">
        <f>IFERROR(VLOOKUP($D1533,본공사입.출고현황!$B:$H,G$2080,0),0)</f>
        <v>CCGG</v>
      </c>
      <c r="H1533" s="336" t="str">
        <f>IFERROR(VLOOKUP($D1533,본공사입.출고현황!$B:$H,H$2080,0),0)</f>
        <v>ф10, 1ton=1,620.7m</v>
      </c>
      <c r="I1533" s="335" t="str">
        <f>IFERROR(VLOOKUP($D1533,본공사입.출고현황!$B:$H,I$2080,0),0)</f>
        <v>M</v>
      </c>
      <c r="J1533" s="253">
        <v>1</v>
      </c>
      <c r="K1533" s="253" t="s">
        <v>352</v>
      </c>
      <c r="L1533" s="255">
        <v>25</v>
      </c>
      <c r="M1533" s="256" t="s">
        <v>408</v>
      </c>
      <c r="N1533" s="337"/>
    </row>
    <row r="1534" spans="1:14" ht="24" customHeight="1">
      <c r="A1534" s="8">
        <v>1490</v>
      </c>
      <c r="B1534" s="9">
        <v>1490</v>
      </c>
      <c r="C1534" s="254">
        <v>46096</v>
      </c>
      <c r="D1534" s="253" t="s">
        <v>238</v>
      </c>
      <c r="E1534" s="335" t="str">
        <f>IFERROR(VLOOKUP($D1534,본공사입.출고현황!$B:$H,E$2080,0),0)</f>
        <v>Steel round bar</v>
      </c>
      <c r="F1534" s="336" t="str">
        <f>IFERROR(VLOOKUP($D1534,본공사입.출고현황!$B:$H,F$2080,0),0)</f>
        <v>Steel round bar(rebar)</v>
      </c>
      <c r="G1534" s="336" t="str">
        <f>IFERROR(VLOOKUP($D1534,본공사입.출고현황!$B:$H,G$2080,0),0)</f>
        <v>CCGG</v>
      </c>
      <c r="H1534" s="336" t="str">
        <f>IFERROR(VLOOKUP($D1534,본공사입.출고현황!$B:$H,H$2080,0),0)</f>
        <v>ф10, 1ton=1,620.7m</v>
      </c>
      <c r="I1534" s="335" t="str">
        <f>IFERROR(VLOOKUP($D1534,본공사입.출고현황!$B:$H,I$2080,0),0)</f>
        <v>M</v>
      </c>
      <c r="J1534" s="253">
        <v>1</v>
      </c>
      <c r="K1534" s="253" t="s">
        <v>547</v>
      </c>
      <c r="L1534" s="255">
        <v>25</v>
      </c>
      <c r="M1534" s="256" t="s">
        <v>408</v>
      </c>
      <c r="N1534" s="337"/>
    </row>
    <row r="1535" spans="1:14" ht="24" customHeight="1">
      <c r="A1535" s="8">
        <v>1491</v>
      </c>
      <c r="B1535" s="9">
        <v>1491</v>
      </c>
      <c r="C1535" s="254">
        <v>46097</v>
      </c>
      <c r="D1535" s="253" t="s">
        <v>238</v>
      </c>
      <c r="E1535" s="335" t="str">
        <f>IFERROR(VLOOKUP($D1535,본공사입.출고현황!$B:$H,E$2080,0),0)</f>
        <v>Steel round bar</v>
      </c>
      <c r="F1535" s="336" t="str">
        <f>IFERROR(VLOOKUP($D1535,본공사입.출고현황!$B:$H,F$2080,0),0)</f>
        <v>Steel round bar(rebar)</v>
      </c>
      <c r="G1535" s="336" t="str">
        <f>IFERROR(VLOOKUP($D1535,본공사입.출고현황!$B:$H,G$2080,0),0)</f>
        <v>CCGG</v>
      </c>
      <c r="H1535" s="336" t="str">
        <f>IFERROR(VLOOKUP($D1535,본공사입.출고현황!$B:$H,H$2080,0),0)</f>
        <v>ф10, 1ton=1,620.7m</v>
      </c>
      <c r="I1535" s="335" t="str">
        <f>IFERROR(VLOOKUP($D1535,본공사입.출고현황!$B:$H,I$2080,0),0)</f>
        <v>M</v>
      </c>
      <c r="J1535" s="253">
        <v>4</v>
      </c>
      <c r="K1535" s="253" t="s">
        <v>691</v>
      </c>
      <c r="L1535" s="255">
        <v>50</v>
      </c>
      <c r="M1535" s="256" t="s">
        <v>408</v>
      </c>
      <c r="N1535" s="337"/>
    </row>
    <row r="1536" spans="1:14" ht="24" customHeight="1">
      <c r="A1536" s="8">
        <v>1492</v>
      </c>
      <c r="B1536" s="9">
        <v>1492</v>
      </c>
      <c r="C1536" s="254">
        <v>46097</v>
      </c>
      <c r="D1536" s="253" t="s">
        <v>238</v>
      </c>
      <c r="E1536" s="335" t="str">
        <f>IFERROR(VLOOKUP($D1536,본공사입.출고현황!$B:$H,E$2080,0),0)</f>
        <v>Steel round bar</v>
      </c>
      <c r="F1536" s="336" t="str">
        <f>IFERROR(VLOOKUP($D1536,본공사입.출고현황!$B:$H,F$2080,0),0)</f>
        <v>Steel round bar(rebar)</v>
      </c>
      <c r="G1536" s="336" t="str">
        <f>IFERROR(VLOOKUP($D1536,본공사입.출고현황!$B:$H,G$2080,0),0)</f>
        <v>CCGG</v>
      </c>
      <c r="H1536" s="336" t="str">
        <f>IFERROR(VLOOKUP($D1536,본공사입.출고현황!$B:$H,H$2080,0),0)</f>
        <v>ф10, 1ton=1,620.7m</v>
      </c>
      <c r="I1536" s="335" t="str">
        <f>IFERROR(VLOOKUP($D1536,본공사입.출고현황!$B:$H,I$2080,0),0)</f>
        <v>M</v>
      </c>
      <c r="J1536" s="253">
        <v>4</v>
      </c>
      <c r="K1536" s="253" t="s">
        <v>691</v>
      </c>
      <c r="L1536" s="255">
        <v>20</v>
      </c>
      <c r="M1536" s="256" t="s">
        <v>408</v>
      </c>
      <c r="N1536" s="337"/>
    </row>
    <row r="1537" spans="1:14" ht="24" customHeight="1">
      <c r="A1537" s="8">
        <v>1493</v>
      </c>
      <c r="B1537" s="9">
        <v>1493</v>
      </c>
      <c r="C1537" s="254">
        <v>46097</v>
      </c>
      <c r="D1537" s="253" t="s">
        <v>238</v>
      </c>
      <c r="E1537" s="335" t="str">
        <f>IFERROR(VLOOKUP($D1537,본공사입.출고현황!$B:$H,E$2080,0),0)</f>
        <v>Steel round bar</v>
      </c>
      <c r="F1537" s="336" t="str">
        <f>IFERROR(VLOOKUP($D1537,본공사입.출고현황!$B:$H,F$2080,0),0)</f>
        <v>Steel round bar(rebar)</v>
      </c>
      <c r="G1537" s="336" t="str">
        <f>IFERROR(VLOOKUP($D1537,본공사입.출고현황!$B:$H,G$2080,0),0)</f>
        <v>CCGG</v>
      </c>
      <c r="H1537" s="336" t="str">
        <f>IFERROR(VLOOKUP($D1537,본공사입.출고현황!$B:$H,H$2080,0),0)</f>
        <v>ф10, 1ton=1,620.7m</v>
      </c>
      <c r="I1537" s="335" t="str">
        <f>IFERROR(VLOOKUP($D1537,본공사입.출고현황!$B:$H,I$2080,0),0)</f>
        <v>M</v>
      </c>
      <c r="J1537" s="253">
        <v>1</v>
      </c>
      <c r="K1537" s="253" t="s">
        <v>547</v>
      </c>
      <c r="L1537" s="255">
        <v>25</v>
      </c>
      <c r="M1537" s="256" t="s">
        <v>408</v>
      </c>
      <c r="N1537" s="337"/>
    </row>
    <row r="1538" spans="1:14" ht="24" customHeight="1">
      <c r="A1538" s="8">
        <v>1494</v>
      </c>
      <c r="B1538" s="9">
        <v>1494</v>
      </c>
      <c r="C1538" s="254">
        <v>46097</v>
      </c>
      <c r="D1538" s="253" t="s">
        <v>238</v>
      </c>
      <c r="E1538" s="335" t="str">
        <f>IFERROR(VLOOKUP($D1538,본공사입.출고현황!$B:$H,E$2080,0),0)</f>
        <v>Steel round bar</v>
      </c>
      <c r="F1538" s="336" t="str">
        <f>IFERROR(VLOOKUP($D1538,본공사입.출고현황!$B:$H,F$2080,0),0)</f>
        <v>Steel round bar(rebar)</v>
      </c>
      <c r="G1538" s="336" t="str">
        <f>IFERROR(VLOOKUP($D1538,본공사입.출고현황!$B:$H,G$2080,0),0)</f>
        <v>CCGG</v>
      </c>
      <c r="H1538" s="336" t="str">
        <f>IFERROR(VLOOKUP($D1538,본공사입.출고현황!$B:$H,H$2080,0),0)</f>
        <v>ф10, 1ton=1,620.7m</v>
      </c>
      <c r="I1538" s="335" t="str">
        <f>IFERROR(VLOOKUP($D1538,본공사입.출고현황!$B:$H,I$2080,0),0)</f>
        <v>M</v>
      </c>
      <c r="J1538" s="253">
        <v>1</v>
      </c>
      <c r="K1538" s="253" t="s">
        <v>547</v>
      </c>
      <c r="L1538" s="255">
        <v>50</v>
      </c>
      <c r="M1538" s="256" t="s">
        <v>408</v>
      </c>
      <c r="N1538" s="337"/>
    </row>
    <row r="1539" spans="1:14" ht="24" customHeight="1">
      <c r="A1539" s="8">
        <v>1495</v>
      </c>
      <c r="B1539" s="9">
        <v>1495</v>
      </c>
      <c r="C1539" s="254">
        <v>46097</v>
      </c>
      <c r="D1539" s="253" t="s">
        <v>238</v>
      </c>
      <c r="E1539" s="335" t="str">
        <f>IFERROR(VLOOKUP($D1539,본공사입.출고현황!$B:$H,E$2080,0),0)</f>
        <v>Steel round bar</v>
      </c>
      <c r="F1539" s="336" t="str">
        <f>IFERROR(VLOOKUP($D1539,본공사입.출고현황!$B:$H,F$2080,0),0)</f>
        <v>Steel round bar(rebar)</v>
      </c>
      <c r="G1539" s="336" t="str">
        <f>IFERROR(VLOOKUP($D1539,본공사입.출고현황!$B:$H,G$2080,0),0)</f>
        <v>CCGG</v>
      </c>
      <c r="H1539" s="336" t="str">
        <f>IFERROR(VLOOKUP($D1539,본공사입.출고현황!$B:$H,H$2080,0),0)</f>
        <v>ф10, 1ton=1,620.7m</v>
      </c>
      <c r="I1539" s="335" t="str">
        <f>IFERROR(VLOOKUP($D1539,본공사입.출고현황!$B:$H,I$2080,0),0)</f>
        <v>M</v>
      </c>
      <c r="J1539" s="253">
        <v>1</v>
      </c>
      <c r="K1539" s="253" t="s">
        <v>363</v>
      </c>
      <c r="L1539" s="255">
        <v>50</v>
      </c>
      <c r="M1539" s="256" t="s">
        <v>408</v>
      </c>
      <c r="N1539" s="337"/>
    </row>
    <row r="1540" spans="1:14" ht="24" customHeight="1">
      <c r="A1540" s="8">
        <v>1496</v>
      </c>
      <c r="B1540" s="9">
        <v>1496</v>
      </c>
      <c r="C1540" s="254">
        <v>46097</v>
      </c>
      <c r="D1540" s="253" t="s">
        <v>238</v>
      </c>
      <c r="E1540" s="335" t="str">
        <f>IFERROR(VLOOKUP($D1540,본공사입.출고현황!$B:$H,E$2080,0),0)</f>
        <v>Steel round bar</v>
      </c>
      <c r="F1540" s="336" t="str">
        <f>IFERROR(VLOOKUP($D1540,본공사입.출고현황!$B:$H,F$2080,0),0)</f>
        <v>Steel round bar(rebar)</v>
      </c>
      <c r="G1540" s="336" t="str">
        <f>IFERROR(VLOOKUP($D1540,본공사입.출고현황!$B:$H,G$2080,0),0)</f>
        <v>CCGG</v>
      </c>
      <c r="H1540" s="336" t="str">
        <f>IFERROR(VLOOKUP($D1540,본공사입.출고현황!$B:$H,H$2080,0),0)</f>
        <v>ф10, 1ton=1,620.7m</v>
      </c>
      <c r="I1540" s="335" t="str">
        <f>IFERROR(VLOOKUP($D1540,본공사입.출고현황!$B:$H,I$2080,0),0)</f>
        <v>M</v>
      </c>
      <c r="J1540" s="253">
        <v>3</v>
      </c>
      <c r="K1540" s="253" t="s">
        <v>550</v>
      </c>
      <c r="L1540" s="255">
        <v>25</v>
      </c>
      <c r="M1540" s="256" t="s">
        <v>408</v>
      </c>
      <c r="N1540" s="337"/>
    </row>
    <row r="1541" spans="1:14" ht="24" customHeight="1">
      <c r="A1541" s="8">
        <v>1497</v>
      </c>
      <c r="B1541" s="9">
        <v>1497</v>
      </c>
      <c r="C1541" s="254">
        <v>46097</v>
      </c>
      <c r="D1541" s="253" t="s">
        <v>238</v>
      </c>
      <c r="E1541" s="335" t="str">
        <f>IFERROR(VLOOKUP($D1541,본공사입.출고현황!$B:$H,E$2080,0),0)</f>
        <v>Steel round bar</v>
      </c>
      <c r="F1541" s="336" t="str">
        <f>IFERROR(VLOOKUP($D1541,본공사입.출고현황!$B:$H,F$2080,0),0)</f>
        <v>Steel round bar(rebar)</v>
      </c>
      <c r="G1541" s="336" t="str">
        <f>IFERROR(VLOOKUP($D1541,본공사입.출고현황!$B:$H,G$2080,0),0)</f>
        <v>CCGG</v>
      </c>
      <c r="H1541" s="336" t="str">
        <f>IFERROR(VLOOKUP($D1541,본공사입.출고현황!$B:$H,H$2080,0),0)</f>
        <v>ф10, 1ton=1,620.7m</v>
      </c>
      <c r="I1541" s="335" t="str">
        <f>IFERROR(VLOOKUP($D1541,본공사입.출고현황!$B:$H,I$2080,0),0)</f>
        <v>M</v>
      </c>
      <c r="J1541" s="253">
        <v>2</v>
      </c>
      <c r="K1541" s="253" t="s">
        <v>360</v>
      </c>
      <c r="L1541" s="255">
        <v>20</v>
      </c>
      <c r="M1541" s="256" t="s">
        <v>408</v>
      </c>
      <c r="N1541" s="337"/>
    </row>
    <row r="1542" spans="1:14" ht="24" customHeight="1">
      <c r="A1542" s="8">
        <v>1498</v>
      </c>
      <c r="B1542" s="9">
        <v>1498</v>
      </c>
      <c r="C1542" s="254">
        <v>46097</v>
      </c>
      <c r="D1542" s="253" t="s">
        <v>238</v>
      </c>
      <c r="E1542" s="335" t="str">
        <f>IFERROR(VLOOKUP($D1542,본공사입.출고현황!$B:$H,E$2080,0),0)</f>
        <v>Steel round bar</v>
      </c>
      <c r="F1542" s="336" t="str">
        <f>IFERROR(VLOOKUP($D1542,본공사입.출고현황!$B:$H,F$2080,0),0)</f>
        <v>Steel round bar(rebar)</v>
      </c>
      <c r="G1542" s="336" t="str">
        <f>IFERROR(VLOOKUP($D1542,본공사입.출고현황!$B:$H,G$2080,0),0)</f>
        <v>CCGG</v>
      </c>
      <c r="H1542" s="336" t="str">
        <f>IFERROR(VLOOKUP($D1542,본공사입.출고현황!$B:$H,H$2080,0),0)</f>
        <v>ф10, 1ton=1,620.7m</v>
      </c>
      <c r="I1542" s="335" t="str">
        <f>IFERROR(VLOOKUP($D1542,본공사입.출고현황!$B:$H,I$2080,0),0)</f>
        <v>M</v>
      </c>
      <c r="J1542" s="253">
        <v>1</v>
      </c>
      <c r="K1542" s="253" t="s">
        <v>352</v>
      </c>
      <c r="L1542" s="255">
        <v>30</v>
      </c>
      <c r="M1542" s="256" t="s">
        <v>408</v>
      </c>
      <c r="N1542" s="337"/>
    </row>
    <row r="1543" spans="1:14" ht="24" customHeight="1">
      <c r="A1543" s="8">
        <v>1499</v>
      </c>
      <c r="B1543" s="9">
        <v>1499</v>
      </c>
      <c r="C1543" s="254">
        <v>46097</v>
      </c>
      <c r="D1543" s="253" t="s">
        <v>238</v>
      </c>
      <c r="E1543" s="335" t="str">
        <f>IFERROR(VLOOKUP($D1543,본공사입.출고현황!$B:$H,E$2080,0),0)</f>
        <v>Steel round bar</v>
      </c>
      <c r="F1543" s="336" t="str">
        <f>IFERROR(VLOOKUP($D1543,본공사입.출고현황!$B:$H,F$2080,0),0)</f>
        <v>Steel round bar(rebar)</v>
      </c>
      <c r="G1543" s="336" t="str">
        <f>IFERROR(VLOOKUP($D1543,본공사입.출고현황!$B:$H,G$2080,0),0)</f>
        <v>CCGG</v>
      </c>
      <c r="H1543" s="336" t="str">
        <f>IFERROR(VLOOKUP($D1543,본공사입.출고현황!$B:$H,H$2080,0),0)</f>
        <v>ф10, 1ton=1,620.7m</v>
      </c>
      <c r="I1543" s="335" t="str">
        <f>IFERROR(VLOOKUP($D1543,본공사입.출고현황!$B:$H,I$2080,0),0)</f>
        <v>M</v>
      </c>
      <c r="J1543" s="253">
        <v>1</v>
      </c>
      <c r="K1543" s="253" t="s">
        <v>352</v>
      </c>
      <c r="L1543" s="255">
        <v>50</v>
      </c>
      <c r="M1543" s="256" t="s">
        <v>408</v>
      </c>
      <c r="N1543" s="337"/>
    </row>
    <row r="1544" spans="1:14" ht="24" customHeight="1">
      <c r="A1544" s="8">
        <v>1500</v>
      </c>
      <c r="B1544" s="9">
        <v>1500</v>
      </c>
      <c r="C1544" s="254">
        <v>46098</v>
      </c>
      <c r="D1544" s="253" t="s">
        <v>238</v>
      </c>
      <c r="E1544" s="335" t="str">
        <f>IFERROR(VLOOKUP($D1544,본공사입.출고현황!$B:$H,E$2080,0),0)</f>
        <v>Steel round bar</v>
      </c>
      <c r="F1544" s="336" t="str">
        <f>IFERROR(VLOOKUP($D1544,본공사입.출고현황!$B:$H,F$2080,0),0)</f>
        <v>Steel round bar(rebar)</v>
      </c>
      <c r="G1544" s="336" t="str">
        <f>IFERROR(VLOOKUP($D1544,본공사입.출고현황!$B:$H,G$2080,0),0)</f>
        <v>CCGG</v>
      </c>
      <c r="H1544" s="336" t="str">
        <f>IFERROR(VLOOKUP($D1544,본공사입.출고현황!$B:$H,H$2080,0),0)</f>
        <v>ф10, 1ton=1,620.7m</v>
      </c>
      <c r="I1544" s="335" t="str">
        <f>IFERROR(VLOOKUP($D1544,본공사입.출고현황!$B:$H,I$2080,0),0)</f>
        <v>M</v>
      </c>
      <c r="J1544" s="253">
        <v>2</v>
      </c>
      <c r="K1544" s="253" t="s">
        <v>546</v>
      </c>
      <c r="L1544" s="255">
        <v>15</v>
      </c>
      <c r="M1544" s="256" t="s">
        <v>408</v>
      </c>
      <c r="N1544" s="337"/>
    </row>
    <row r="1545" spans="1:14" ht="24" customHeight="1">
      <c r="A1545" s="8">
        <v>1501</v>
      </c>
      <c r="B1545" s="9">
        <v>1501</v>
      </c>
      <c r="C1545" s="254">
        <v>46098</v>
      </c>
      <c r="D1545" s="253" t="s">
        <v>238</v>
      </c>
      <c r="E1545" s="335" t="str">
        <f>IFERROR(VLOOKUP($D1545,본공사입.출고현황!$B:$H,E$2080,0),0)</f>
        <v>Steel round bar</v>
      </c>
      <c r="F1545" s="336" t="str">
        <f>IFERROR(VLOOKUP($D1545,본공사입.출고현황!$B:$H,F$2080,0),0)</f>
        <v>Steel round bar(rebar)</v>
      </c>
      <c r="G1545" s="336" t="str">
        <f>IFERROR(VLOOKUP($D1545,본공사입.출고현황!$B:$H,G$2080,0),0)</f>
        <v>CCGG</v>
      </c>
      <c r="H1545" s="336" t="str">
        <f>IFERROR(VLOOKUP($D1545,본공사입.출고현황!$B:$H,H$2080,0),0)</f>
        <v>ф10, 1ton=1,620.7m</v>
      </c>
      <c r="I1545" s="335" t="str">
        <f>IFERROR(VLOOKUP($D1545,본공사입.출고현황!$B:$H,I$2080,0),0)</f>
        <v>M</v>
      </c>
      <c r="J1545" s="253">
        <v>4</v>
      </c>
      <c r="K1545" s="253" t="s">
        <v>359</v>
      </c>
      <c r="L1545" s="255">
        <v>30</v>
      </c>
      <c r="M1545" s="256" t="s">
        <v>408</v>
      </c>
      <c r="N1545" s="337"/>
    </row>
    <row r="1546" spans="1:14" ht="24" customHeight="1">
      <c r="A1546" s="8">
        <v>1502</v>
      </c>
      <c r="B1546" s="9">
        <v>1502</v>
      </c>
      <c r="C1546" s="254">
        <v>46098</v>
      </c>
      <c r="D1546" s="253" t="s">
        <v>238</v>
      </c>
      <c r="E1546" s="335" t="str">
        <f>IFERROR(VLOOKUP($D1546,본공사입.출고현황!$B:$H,E$2080,0),0)</f>
        <v>Steel round bar</v>
      </c>
      <c r="F1546" s="336" t="str">
        <f>IFERROR(VLOOKUP($D1546,본공사입.출고현황!$B:$H,F$2080,0),0)</f>
        <v>Steel round bar(rebar)</v>
      </c>
      <c r="G1546" s="336" t="str">
        <f>IFERROR(VLOOKUP($D1546,본공사입.출고현황!$B:$H,G$2080,0),0)</f>
        <v>CCGG</v>
      </c>
      <c r="H1546" s="336" t="str">
        <f>IFERROR(VLOOKUP($D1546,본공사입.출고현황!$B:$H,H$2080,0),0)</f>
        <v>ф10, 1ton=1,620.7m</v>
      </c>
      <c r="I1546" s="335" t="str">
        <f>IFERROR(VLOOKUP($D1546,본공사입.출고현황!$B:$H,I$2080,0),0)</f>
        <v>M</v>
      </c>
      <c r="J1546" s="253">
        <v>2</v>
      </c>
      <c r="K1546" s="253" t="s">
        <v>360</v>
      </c>
      <c r="L1546" s="255">
        <v>30</v>
      </c>
      <c r="M1546" s="256" t="s">
        <v>408</v>
      </c>
      <c r="N1546" s="337"/>
    </row>
    <row r="1547" spans="1:14" ht="24" customHeight="1">
      <c r="A1547" s="8">
        <v>1503</v>
      </c>
      <c r="B1547" s="9">
        <v>1503</v>
      </c>
      <c r="C1547" s="254">
        <v>46098</v>
      </c>
      <c r="D1547" s="249" t="s">
        <v>180</v>
      </c>
      <c r="E1547" s="335" t="str">
        <f>IFERROR(VLOOKUP($D1547,본공사입.출고현황!$B:$H,E$2080,0),0)</f>
        <v>Ground</v>
      </c>
      <c r="F1547" s="336" t="str">
        <f>IFERROR(VLOOKUP($D1547,본공사입.출고현황!$B:$H,F$2080,0),0)</f>
        <v>Ground Cable  78SQ</v>
      </c>
      <c r="G1547" s="336" t="str">
        <f>IFERROR(VLOOKUP($D1547,본공사입.출고현황!$B:$H,G$2080,0),0)</f>
        <v xml:space="preserve">Ground Cable </v>
      </c>
      <c r="H1547" s="336" t="str">
        <f>IFERROR(VLOOKUP($D1547,본공사입.출고현황!$B:$H,H$2080,0),0)</f>
        <v>78SQ</v>
      </c>
      <c r="I1547" s="335" t="str">
        <f>IFERROR(VLOOKUP($D1547,본공사입.출고현황!$B:$H,I$2080,0),0)</f>
        <v>M</v>
      </c>
      <c r="J1547" s="253">
        <v>3</v>
      </c>
      <c r="K1547" s="253" t="s">
        <v>237</v>
      </c>
      <c r="L1547" s="255">
        <v>4</v>
      </c>
      <c r="M1547" s="256" t="s">
        <v>633</v>
      </c>
      <c r="N1547" s="337"/>
    </row>
    <row r="1548" spans="1:14" ht="24" customHeight="1">
      <c r="A1548" s="8">
        <v>1504</v>
      </c>
      <c r="B1548" s="9">
        <v>1504</v>
      </c>
      <c r="C1548" s="254">
        <v>46098</v>
      </c>
      <c r="D1548" s="263" t="s">
        <v>86</v>
      </c>
      <c r="E1548" s="335" t="str">
        <f>IFERROR(VLOOKUP($D1548,본공사입.출고현황!$B:$H,E$2080,0),0)</f>
        <v>Ground</v>
      </c>
      <c r="F1548" s="336" t="str">
        <f>IFERROR(VLOOKUP($D1548,본공사입.출고현황!$B:$H,F$2080,0),0)</f>
        <v>Cadweld Powder #115</v>
      </c>
      <c r="G1548" s="336" t="str">
        <f>IFERROR(VLOOKUP($D1548,본공사입.출고현황!$B:$H,G$2080,0),0)</f>
        <v>Cadweld Powder</v>
      </c>
      <c r="H1548" s="336" t="str">
        <f>IFERROR(VLOOKUP($D1548,본공사입.출고현황!$B:$H,H$2080,0),0)</f>
        <v>#115</v>
      </c>
      <c r="I1548" s="335" t="str">
        <f>IFERROR(VLOOKUP($D1548,본공사입.출고현황!$B:$H,I$2080,0),0)</f>
        <v>EA</v>
      </c>
      <c r="J1548" s="253">
        <v>1</v>
      </c>
      <c r="K1548" s="253" t="s">
        <v>352</v>
      </c>
      <c r="L1548" s="255">
        <v>2</v>
      </c>
      <c r="M1548" s="256" t="s">
        <v>633</v>
      </c>
      <c r="N1548" s="337"/>
    </row>
    <row r="1549" spans="1:14" ht="24" customHeight="1">
      <c r="A1549" s="8">
        <v>1505</v>
      </c>
      <c r="B1549" s="9">
        <v>1505</v>
      </c>
      <c r="C1549" s="254">
        <v>46099</v>
      </c>
      <c r="D1549" s="253" t="s">
        <v>238</v>
      </c>
      <c r="E1549" s="335" t="str">
        <f>IFERROR(VLOOKUP($D1549,본공사입.출고현황!$B:$H,E$2080,0),0)</f>
        <v>Steel round bar</v>
      </c>
      <c r="F1549" s="336" t="str">
        <f>IFERROR(VLOOKUP($D1549,본공사입.출고현황!$B:$H,F$2080,0),0)</f>
        <v>Steel round bar(rebar)</v>
      </c>
      <c r="G1549" s="336" t="str">
        <f>IFERROR(VLOOKUP($D1549,본공사입.출고현황!$B:$H,G$2080,0),0)</f>
        <v>CCGG</v>
      </c>
      <c r="H1549" s="336" t="str">
        <f>IFERROR(VLOOKUP($D1549,본공사입.출고현황!$B:$H,H$2080,0),0)</f>
        <v>ф10, 1ton=1,620.7m</v>
      </c>
      <c r="I1549" s="335" t="str">
        <f>IFERROR(VLOOKUP($D1549,본공사입.출고현황!$B:$H,I$2080,0),0)</f>
        <v>M</v>
      </c>
      <c r="J1549" s="253">
        <v>2</v>
      </c>
      <c r="K1549" s="253" t="s">
        <v>360</v>
      </c>
      <c r="L1549" s="255">
        <v>20</v>
      </c>
      <c r="M1549" s="256" t="s">
        <v>408</v>
      </c>
      <c r="N1549" s="337"/>
    </row>
    <row r="1550" spans="1:14" ht="24" customHeight="1">
      <c r="A1550" s="8">
        <v>1506</v>
      </c>
      <c r="B1550" s="9">
        <v>1506</v>
      </c>
      <c r="C1550" s="254">
        <v>46099</v>
      </c>
      <c r="D1550" s="253" t="s">
        <v>238</v>
      </c>
      <c r="E1550" s="335" t="str">
        <f>IFERROR(VLOOKUP($D1550,본공사입.출고현황!$B:$H,E$2080,0),0)</f>
        <v>Steel round bar</v>
      </c>
      <c r="F1550" s="336" t="str">
        <f>IFERROR(VLOOKUP($D1550,본공사입.출고현황!$B:$H,F$2080,0),0)</f>
        <v>Steel round bar(rebar)</v>
      </c>
      <c r="G1550" s="336" t="str">
        <f>IFERROR(VLOOKUP($D1550,본공사입.출고현황!$B:$H,G$2080,0),0)</f>
        <v>CCGG</v>
      </c>
      <c r="H1550" s="336" t="str">
        <f>IFERROR(VLOOKUP($D1550,본공사입.출고현황!$B:$H,H$2080,0),0)</f>
        <v>ф10, 1ton=1,620.7m</v>
      </c>
      <c r="I1550" s="335" t="str">
        <f>IFERROR(VLOOKUP($D1550,본공사입.출고현황!$B:$H,I$2080,0),0)</f>
        <v>M</v>
      </c>
      <c r="J1550" s="253">
        <v>1</v>
      </c>
      <c r="K1550" s="253" t="s">
        <v>352</v>
      </c>
      <c r="L1550" s="255">
        <v>20</v>
      </c>
      <c r="M1550" s="256" t="s">
        <v>408</v>
      </c>
      <c r="N1550" s="337"/>
    </row>
    <row r="1551" spans="1:14" ht="24" customHeight="1">
      <c r="A1551" s="8">
        <v>1507</v>
      </c>
      <c r="B1551" s="9">
        <v>1507</v>
      </c>
      <c r="C1551" s="254">
        <v>46099</v>
      </c>
      <c r="D1551" s="253" t="s">
        <v>238</v>
      </c>
      <c r="E1551" s="335" t="str">
        <f>IFERROR(VLOOKUP($D1551,본공사입.출고현황!$B:$H,E$2080,0),0)</f>
        <v>Steel round bar</v>
      </c>
      <c r="F1551" s="336" t="str">
        <f>IFERROR(VLOOKUP($D1551,본공사입.출고현황!$B:$H,F$2080,0),0)</f>
        <v>Steel round bar(rebar)</v>
      </c>
      <c r="G1551" s="336" t="str">
        <f>IFERROR(VLOOKUP($D1551,본공사입.출고현황!$B:$H,G$2080,0),0)</f>
        <v>CCGG</v>
      </c>
      <c r="H1551" s="336" t="str">
        <f>IFERROR(VLOOKUP($D1551,본공사입.출고현황!$B:$H,H$2080,0),0)</f>
        <v>ф10, 1ton=1,620.7m</v>
      </c>
      <c r="I1551" s="335" t="str">
        <f>IFERROR(VLOOKUP($D1551,본공사입.출고현황!$B:$H,I$2080,0),0)</f>
        <v>M</v>
      </c>
      <c r="J1551" s="253">
        <v>2</v>
      </c>
      <c r="K1551" s="253" t="s">
        <v>546</v>
      </c>
      <c r="L1551" s="255">
        <v>20</v>
      </c>
      <c r="M1551" s="256" t="s">
        <v>408</v>
      </c>
      <c r="N1551" s="337"/>
    </row>
    <row r="1552" spans="1:14" ht="24" customHeight="1">
      <c r="A1552" s="8">
        <v>1508</v>
      </c>
      <c r="B1552" s="9">
        <v>1508</v>
      </c>
      <c r="C1552" s="254">
        <v>46099</v>
      </c>
      <c r="D1552" s="253" t="s">
        <v>238</v>
      </c>
      <c r="E1552" s="335" t="str">
        <f>IFERROR(VLOOKUP($D1552,본공사입.출고현황!$B:$H,E$2080,0),0)</f>
        <v>Steel round bar</v>
      </c>
      <c r="F1552" s="336" t="str">
        <f>IFERROR(VLOOKUP($D1552,본공사입.출고현황!$B:$H,F$2080,0),0)</f>
        <v>Steel round bar(rebar)</v>
      </c>
      <c r="G1552" s="336" t="str">
        <f>IFERROR(VLOOKUP($D1552,본공사입.출고현황!$B:$H,G$2080,0),0)</f>
        <v>CCGG</v>
      </c>
      <c r="H1552" s="336" t="str">
        <f>IFERROR(VLOOKUP($D1552,본공사입.출고현황!$B:$H,H$2080,0),0)</f>
        <v>ф10, 1ton=1,620.7m</v>
      </c>
      <c r="I1552" s="335" t="str">
        <f>IFERROR(VLOOKUP($D1552,본공사입.출고현황!$B:$H,I$2080,0),0)</f>
        <v>M</v>
      </c>
      <c r="J1552" s="253">
        <v>4</v>
      </c>
      <c r="K1552" s="253" t="s">
        <v>359</v>
      </c>
      <c r="L1552" s="255">
        <v>25</v>
      </c>
      <c r="M1552" s="256" t="s">
        <v>408</v>
      </c>
      <c r="N1552" s="337"/>
    </row>
    <row r="1553" spans="1:14" ht="24" customHeight="1">
      <c r="A1553" s="8">
        <v>1509</v>
      </c>
      <c r="B1553" s="9">
        <v>1509</v>
      </c>
      <c r="C1553" s="254">
        <v>46099</v>
      </c>
      <c r="D1553" s="253" t="s">
        <v>61</v>
      </c>
      <c r="E1553" s="335" t="str">
        <f>IFERROR(VLOOKUP($D1553,본공사입.출고현황!$B:$H,E$2080,0),0)</f>
        <v>Angle</v>
      </c>
      <c r="F1553" s="336" t="str">
        <f>IFERROR(VLOOKUP($D1553,본공사입.출고현황!$B:$H,F$2080,0),0)</f>
        <v>Angle 100x100x10</v>
      </c>
      <c r="G1553" s="336" t="str">
        <f>IFERROR(VLOOKUP($D1553,본공사입.출고현황!$B:$H,G$2080,0),0)</f>
        <v>CCGG</v>
      </c>
      <c r="H1553" s="336" t="str">
        <f>IFERROR(VLOOKUP($D1553,본공사입.출고현황!$B:$H,H$2080,0),0)</f>
        <v>100x100x10 (12m)</v>
      </c>
      <c r="I1553" s="335" t="str">
        <f>IFERROR(VLOOKUP($D1553,본공사입.출고현황!$B:$H,I$2080,0),0)</f>
        <v>M</v>
      </c>
      <c r="J1553" s="253">
        <v>2</v>
      </c>
      <c r="K1553" s="253" t="s">
        <v>360</v>
      </c>
      <c r="L1553" s="255">
        <v>6</v>
      </c>
      <c r="M1553" s="256" t="s">
        <v>408</v>
      </c>
      <c r="N1553" s="337"/>
    </row>
    <row r="1554" spans="1:14" ht="24" customHeight="1">
      <c r="A1554" s="8">
        <v>1510</v>
      </c>
      <c r="B1554" s="9">
        <v>1510</v>
      </c>
      <c r="C1554" s="46">
        <v>46100</v>
      </c>
      <c r="D1554" s="9" t="s">
        <v>238</v>
      </c>
      <c r="E1554" s="56" t="str">
        <f>IFERROR(VLOOKUP($D1554,본공사입.출고현황!$B:$H,E$2080,0),0)</f>
        <v>Steel round bar</v>
      </c>
      <c r="F1554" s="18" t="str">
        <f>IFERROR(VLOOKUP($D1554,본공사입.출고현황!$B:$H,F$2080,0),0)</f>
        <v>Steel round bar(rebar)</v>
      </c>
      <c r="G1554" s="18" t="str">
        <f>IFERROR(VLOOKUP($D1554,본공사입.출고현황!$B:$H,G$2080,0),0)</f>
        <v>CCGG</v>
      </c>
      <c r="H1554" s="18" t="str">
        <f>IFERROR(VLOOKUP($D1554,본공사입.출고현황!$B:$H,H$2080,0),0)</f>
        <v>ф10, 1ton=1,620.7m</v>
      </c>
      <c r="I1554" s="56" t="str">
        <f>IFERROR(VLOOKUP($D1554,본공사입.출고현황!$B:$H,I$2080,0),0)</f>
        <v>M</v>
      </c>
      <c r="J1554" s="9">
        <v>1</v>
      </c>
      <c r="K1554" s="9" t="s">
        <v>547</v>
      </c>
      <c r="L1554" s="37">
        <v>30</v>
      </c>
      <c r="M1554" s="64" t="s">
        <v>408</v>
      </c>
      <c r="N1554" s="4"/>
    </row>
    <row r="1555" spans="1:14" ht="24" customHeight="1">
      <c r="A1555" s="8">
        <v>1511</v>
      </c>
      <c r="B1555" s="9">
        <v>1511</v>
      </c>
      <c r="C1555" s="46">
        <v>46100</v>
      </c>
      <c r="D1555" s="9" t="s">
        <v>238</v>
      </c>
      <c r="E1555" s="56" t="str">
        <f>IFERROR(VLOOKUP($D1555,본공사입.출고현황!$B:$H,E$2080,0),0)</f>
        <v>Steel round bar</v>
      </c>
      <c r="F1555" s="18" t="str">
        <f>IFERROR(VLOOKUP($D1555,본공사입.출고현황!$B:$H,F$2080,0),0)</f>
        <v>Steel round bar(rebar)</v>
      </c>
      <c r="G1555" s="18" t="str">
        <f>IFERROR(VLOOKUP($D1555,본공사입.출고현황!$B:$H,G$2080,0),0)</f>
        <v>CCGG</v>
      </c>
      <c r="H1555" s="18" t="str">
        <f>IFERROR(VLOOKUP($D1555,본공사입.출고현황!$B:$H,H$2080,0),0)</f>
        <v>ф10, 1ton=1,620.7m</v>
      </c>
      <c r="I1555" s="56" t="str">
        <f>IFERROR(VLOOKUP($D1555,본공사입.출고현황!$B:$H,I$2080,0),0)</f>
        <v>M</v>
      </c>
      <c r="J1555" s="9">
        <v>1</v>
      </c>
      <c r="K1555" s="9" t="s">
        <v>547</v>
      </c>
      <c r="L1555" s="37">
        <v>25</v>
      </c>
      <c r="M1555" s="64" t="s">
        <v>408</v>
      </c>
      <c r="N1555" s="4"/>
    </row>
    <row r="1556" spans="1:14" ht="24" customHeight="1">
      <c r="A1556" s="8">
        <v>1512</v>
      </c>
      <c r="B1556" s="9">
        <v>1512</v>
      </c>
      <c r="C1556" s="46">
        <v>46100</v>
      </c>
      <c r="D1556" s="9" t="s">
        <v>238</v>
      </c>
      <c r="E1556" s="56" t="str">
        <f>IFERROR(VLOOKUP($D1556,본공사입.출고현황!$B:$H,E$2080,0),0)</f>
        <v>Steel round bar</v>
      </c>
      <c r="F1556" s="18" t="str">
        <f>IFERROR(VLOOKUP($D1556,본공사입.출고현황!$B:$H,F$2080,0),0)</f>
        <v>Steel round bar(rebar)</v>
      </c>
      <c r="G1556" s="18" t="str">
        <f>IFERROR(VLOOKUP($D1556,본공사입.출고현황!$B:$H,G$2080,0),0)</f>
        <v>CCGG</v>
      </c>
      <c r="H1556" s="18" t="str">
        <f>IFERROR(VLOOKUP($D1556,본공사입.출고현황!$B:$H,H$2080,0),0)</f>
        <v>ф10, 1ton=1,620.7m</v>
      </c>
      <c r="I1556" s="56" t="str">
        <f>IFERROR(VLOOKUP($D1556,본공사입.출고현황!$B:$H,I$2080,0),0)</f>
        <v>M</v>
      </c>
      <c r="J1556" s="9">
        <v>1</v>
      </c>
      <c r="K1556" s="9" t="s">
        <v>363</v>
      </c>
      <c r="L1556" s="37">
        <v>25</v>
      </c>
      <c r="M1556" s="64" t="s">
        <v>408</v>
      </c>
      <c r="N1556" s="4"/>
    </row>
    <row r="1557" spans="1:14" ht="24" customHeight="1">
      <c r="A1557" s="8">
        <v>1513</v>
      </c>
      <c r="B1557" s="9">
        <v>1513</v>
      </c>
      <c r="C1557" s="46">
        <v>46100</v>
      </c>
      <c r="D1557" s="9" t="s">
        <v>238</v>
      </c>
      <c r="E1557" s="56" t="str">
        <f>IFERROR(VLOOKUP($D1557,본공사입.출고현황!$B:$H,E$2080,0),0)</f>
        <v>Steel round bar</v>
      </c>
      <c r="F1557" s="18" t="str">
        <f>IFERROR(VLOOKUP($D1557,본공사입.출고현황!$B:$H,F$2080,0),0)</f>
        <v>Steel round bar(rebar)</v>
      </c>
      <c r="G1557" s="18" t="str">
        <f>IFERROR(VLOOKUP($D1557,본공사입.출고현황!$B:$H,G$2080,0),0)</f>
        <v>CCGG</v>
      </c>
      <c r="H1557" s="18" t="str">
        <f>IFERROR(VLOOKUP($D1557,본공사입.출고현황!$B:$H,H$2080,0),0)</f>
        <v>ф10, 1ton=1,620.7m</v>
      </c>
      <c r="I1557" s="56" t="str">
        <f>IFERROR(VLOOKUP($D1557,본공사입.출고현황!$B:$H,I$2080,0),0)</f>
        <v>M</v>
      </c>
      <c r="J1557" s="9">
        <v>3</v>
      </c>
      <c r="K1557" s="9" t="s">
        <v>550</v>
      </c>
      <c r="L1557" s="37">
        <v>25</v>
      </c>
      <c r="M1557" s="64" t="s">
        <v>408</v>
      </c>
      <c r="N1557" s="4"/>
    </row>
    <row r="1558" spans="1:14" ht="24" customHeight="1">
      <c r="A1558" s="8">
        <v>1514</v>
      </c>
      <c r="B1558" s="9">
        <v>1514</v>
      </c>
      <c r="C1558" s="46">
        <v>46100</v>
      </c>
      <c r="D1558" s="9" t="s">
        <v>238</v>
      </c>
      <c r="E1558" s="56" t="str">
        <f>IFERROR(VLOOKUP($D1558,본공사입.출고현황!$B:$H,E$2080,0),0)</f>
        <v>Steel round bar</v>
      </c>
      <c r="F1558" s="18" t="str">
        <f>IFERROR(VLOOKUP($D1558,본공사입.출고현황!$B:$H,F$2080,0),0)</f>
        <v>Steel round bar(rebar)</v>
      </c>
      <c r="G1558" s="18" t="str">
        <f>IFERROR(VLOOKUP($D1558,본공사입.출고현황!$B:$H,G$2080,0),0)</f>
        <v>CCGG</v>
      </c>
      <c r="H1558" s="18" t="str">
        <f>IFERROR(VLOOKUP($D1558,본공사입.출고현황!$B:$H,H$2080,0),0)</f>
        <v>ф10, 1ton=1,620.7m</v>
      </c>
      <c r="I1558" s="56" t="str">
        <f>IFERROR(VLOOKUP($D1558,본공사입.출고현황!$B:$H,I$2080,0),0)</f>
        <v>M</v>
      </c>
      <c r="J1558" s="9">
        <v>2</v>
      </c>
      <c r="K1558" s="9" t="s">
        <v>360</v>
      </c>
      <c r="L1558" s="37">
        <v>25</v>
      </c>
      <c r="M1558" s="64" t="s">
        <v>408</v>
      </c>
      <c r="N1558" s="4"/>
    </row>
    <row r="1559" spans="1:14" ht="24" customHeight="1">
      <c r="A1559" s="8">
        <v>1515</v>
      </c>
      <c r="B1559" s="9">
        <v>1515</v>
      </c>
      <c r="C1559" s="46">
        <v>46104</v>
      </c>
      <c r="D1559" s="9" t="s">
        <v>238</v>
      </c>
      <c r="E1559" s="56" t="str">
        <f>IFERROR(VLOOKUP($D1559,본공사입.출고현황!$B:$H,E$2080,0),0)</f>
        <v>Steel round bar</v>
      </c>
      <c r="F1559" s="18" t="str">
        <f>IFERROR(VLOOKUP($D1559,본공사입.출고현황!$B:$H,F$2080,0),0)</f>
        <v>Steel round bar(rebar)</v>
      </c>
      <c r="G1559" s="18" t="str">
        <f>IFERROR(VLOOKUP($D1559,본공사입.출고현황!$B:$H,G$2080,0),0)</f>
        <v>CCGG</v>
      </c>
      <c r="H1559" s="18" t="str">
        <f>IFERROR(VLOOKUP($D1559,본공사입.출고현황!$B:$H,H$2080,0),0)</f>
        <v>ф10, 1ton=1,620.7m</v>
      </c>
      <c r="I1559" s="56" t="str">
        <f>IFERROR(VLOOKUP($D1559,본공사입.출고현황!$B:$H,I$2080,0),0)</f>
        <v>M</v>
      </c>
      <c r="J1559" s="9">
        <v>1</v>
      </c>
      <c r="K1559" s="9" t="s">
        <v>352</v>
      </c>
      <c r="L1559" s="37">
        <v>25</v>
      </c>
      <c r="M1559" s="64" t="s">
        <v>408</v>
      </c>
      <c r="N1559" s="4"/>
    </row>
    <row r="1560" spans="1:14" ht="24" customHeight="1">
      <c r="A1560" s="8">
        <v>1516</v>
      </c>
      <c r="B1560" s="9">
        <v>1516</v>
      </c>
      <c r="C1560" s="46">
        <v>46104</v>
      </c>
      <c r="D1560" s="9" t="s">
        <v>238</v>
      </c>
      <c r="E1560" s="56" t="str">
        <f>IFERROR(VLOOKUP($D1560,본공사입.출고현황!$B:$H,E$2080,0),0)</f>
        <v>Steel round bar</v>
      </c>
      <c r="F1560" s="18" t="str">
        <f>IFERROR(VLOOKUP($D1560,본공사입.출고현황!$B:$H,F$2080,0),0)</f>
        <v>Steel round bar(rebar)</v>
      </c>
      <c r="G1560" s="18" t="str">
        <f>IFERROR(VLOOKUP($D1560,본공사입.출고현황!$B:$H,G$2080,0),0)</f>
        <v>CCGG</v>
      </c>
      <c r="H1560" s="18" t="str">
        <f>IFERROR(VLOOKUP($D1560,본공사입.출고현황!$B:$H,H$2080,0),0)</f>
        <v>ф10, 1ton=1,620.7m</v>
      </c>
      <c r="I1560" s="56" t="str">
        <f>IFERROR(VLOOKUP($D1560,본공사입.출고현황!$B:$H,I$2080,0),0)</f>
        <v>M</v>
      </c>
      <c r="J1560" s="9">
        <v>1</v>
      </c>
      <c r="K1560" s="9" t="s">
        <v>352</v>
      </c>
      <c r="L1560" s="37">
        <v>30</v>
      </c>
      <c r="M1560" s="64" t="s">
        <v>408</v>
      </c>
      <c r="N1560" s="4"/>
    </row>
    <row r="1561" spans="1:14" ht="24" customHeight="1">
      <c r="A1561" s="8">
        <v>1517</v>
      </c>
      <c r="B1561" s="9">
        <v>1517</v>
      </c>
      <c r="C1561" s="46">
        <v>46104</v>
      </c>
      <c r="D1561" s="9" t="s">
        <v>238</v>
      </c>
      <c r="E1561" s="56" t="str">
        <f>IFERROR(VLOOKUP($D1561,본공사입.출고현황!$B:$H,E$2080,0),0)</f>
        <v>Steel round bar</v>
      </c>
      <c r="F1561" s="18" t="str">
        <f>IFERROR(VLOOKUP($D1561,본공사입.출고현황!$B:$H,F$2080,0),0)</f>
        <v>Steel round bar(rebar)</v>
      </c>
      <c r="G1561" s="18" t="str">
        <f>IFERROR(VLOOKUP($D1561,본공사입.출고현황!$B:$H,G$2080,0),0)</f>
        <v>CCGG</v>
      </c>
      <c r="H1561" s="18" t="str">
        <f>IFERROR(VLOOKUP($D1561,본공사입.출고현황!$B:$H,H$2080,0),0)</f>
        <v>ф10, 1ton=1,620.7m</v>
      </c>
      <c r="I1561" s="56" t="str">
        <f>IFERROR(VLOOKUP($D1561,본공사입.출고현황!$B:$H,I$2080,0),0)</f>
        <v>M</v>
      </c>
      <c r="J1561" s="9">
        <v>2</v>
      </c>
      <c r="K1561" s="9" t="s">
        <v>546</v>
      </c>
      <c r="L1561" s="37">
        <v>25</v>
      </c>
      <c r="M1561" s="64" t="s">
        <v>408</v>
      </c>
      <c r="N1561" s="4"/>
    </row>
    <row r="1562" spans="1:14" ht="24" customHeight="1">
      <c r="A1562" s="8">
        <v>1518</v>
      </c>
      <c r="B1562" s="9">
        <v>1518</v>
      </c>
      <c r="C1562" s="46">
        <v>46104</v>
      </c>
      <c r="D1562" s="9" t="s">
        <v>238</v>
      </c>
      <c r="E1562" s="56" t="str">
        <f>IFERROR(VLOOKUP($D1562,본공사입.출고현황!$B:$H,E$2080,0),0)</f>
        <v>Steel round bar</v>
      </c>
      <c r="F1562" s="18" t="str">
        <f>IFERROR(VLOOKUP($D1562,본공사입.출고현황!$B:$H,F$2080,0),0)</f>
        <v>Steel round bar(rebar)</v>
      </c>
      <c r="G1562" s="18" t="str">
        <f>IFERROR(VLOOKUP($D1562,본공사입.출고현황!$B:$H,G$2080,0),0)</f>
        <v>CCGG</v>
      </c>
      <c r="H1562" s="18" t="str">
        <f>IFERROR(VLOOKUP($D1562,본공사입.출고현황!$B:$H,H$2080,0),0)</f>
        <v>ф10, 1ton=1,620.7m</v>
      </c>
      <c r="I1562" s="56" t="str">
        <f>IFERROR(VLOOKUP($D1562,본공사입.출고현황!$B:$H,I$2080,0),0)</f>
        <v>M</v>
      </c>
      <c r="J1562" s="9">
        <v>4</v>
      </c>
      <c r="K1562" s="9" t="s">
        <v>359</v>
      </c>
      <c r="L1562" s="37">
        <v>25</v>
      </c>
      <c r="M1562" s="64" t="s">
        <v>408</v>
      </c>
      <c r="N1562" s="4"/>
    </row>
    <row r="1563" spans="1:14" ht="24" customHeight="1">
      <c r="A1563" s="8">
        <v>1519</v>
      </c>
      <c r="B1563" s="9">
        <v>1519</v>
      </c>
      <c r="C1563" s="46">
        <v>46104</v>
      </c>
      <c r="D1563" s="9" t="s">
        <v>238</v>
      </c>
      <c r="E1563" s="56" t="str">
        <f>IFERROR(VLOOKUP($D1563,본공사입.출고현황!$B:$H,E$2080,0),0)</f>
        <v>Steel round bar</v>
      </c>
      <c r="F1563" s="18" t="str">
        <f>IFERROR(VLOOKUP($D1563,본공사입.출고현황!$B:$H,F$2080,0),0)</f>
        <v>Steel round bar(rebar)</v>
      </c>
      <c r="G1563" s="18" t="str">
        <f>IFERROR(VLOOKUP($D1563,본공사입.출고현황!$B:$H,G$2080,0),0)</f>
        <v>CCGG</v>
      </c>
      <c r="H1563" s="18" t="str">
        <f>IFERROR(VLOOKUP($D1563,본공사입.출고현황!$B:$H,H$2080,0),0)</f>
        <v>ф10, 1ton=1,620.7m</v>
      </c>
      <c r="I1563" s="56" t="str">
        <f>IFERROR(VLOOKUP($D1563,본공사입.출고현황!$B:$H,I$2080,0),0)</f>
        <v>M</v>
      </c>
      <c r="J1563" s="9">
        <v>2</v>
      </c>
      <c r="K1563" s="9" t="s">
        <v>360</v>
      </c>
      <c r="L1563" s="37">
        <v>25</v>
      </c>
      <c r="M1563" s="64" t="s">
        <v>408</v>
      </c>
      <c r="N1563" s="4"/>
    </row>
    <row r="1564" spans="1:14" ht="24" customHeight="1">
      <c r="A1564" s="8">
        <v>1520</v>
      </c>
      <c r="B1564" s="9">
        <v>1520</v>
      </c>
      <c r="C1564" s="46">
        <v>46104</v>
      </c>
      <c r="D1564" s="9" t="s">
        <v>238</v>
      </c>
      <c r="E1564" s="56" t="str">
        <f>IFERROR(VLOOKUP($D1564,본공사입.출고현황!$B:$H,E$2080,0),0)</f>
        <v>Steel round bar</v>
      </c>
      <c r="F1564" s="18" t="str">
        <f>IFERROR(VLOOKUP($D1564,본공사입.출고현황!$B:$H,F$2080,0),0)</f>
        <v>Steel round bar(rebar)</v>
      </c>
      <c r="G1564" s="18" t="str">
        <f>IFERROR(VLOOKUP($D1564,본공사입.출고현황!$B:$H,G$2080,0),0)</f>
        <v>CCGG</v>
      </c>
      <c r="H1564" s="18" t="str">
        <f>IFERROR(VLOOKUP($D1564,본공사입.출고현황!$B:$H,H$2080,0),0)</f>
        <v>ф10, 1ton=1,620.7m</v>
      </c>
      <c r="I1564" s="56" t="str">
        <f>IFERROR(VLOOKUP($D1564,본공사입.출고현황!$B:$H,I$2080,0),0)</f>
        <v>M</v>
      </c>
      <c r="J1564" s="9">
        <v>3</v>
      </c>
      <c r="K1564" s="9" t="s">
        <v>237</v>
      </c>
      <c r="L1564" s="37">
        <v>20</v>
      </c>
      <c r="M1564" s="64" t="s">
        <v>408</v>
      </c>
      <c r="N1564" s="4"/>
    </row>
    <row r="1565" spans="1:14" ht="24" customHeight="1">
      <c r="A1565" s="8">
        <v>1521</v>
      </c>
      <c r="B1565" s="9">
        <v>1521</v>
      </c>
      <c r="C1565" s="46">
        <v>46104</v>
      </c>
      <c r="D1565" s="9" t="s">
        <v>238</v>
      </c>
      <c r="E1565" s="56" t="str">
        <f>IFERROR(VLOOKUP($D1565,본공사입.출고현황!$B:$H,E$2080,0),0)</f>
        <v>Steel round bar</v>
      </c>
      <c r="F1565" s="18" t="str">
        <f>IFERROR(VLOOKUP($D1565,본공사입.출고현황!$B:$H,F$2080,0),0)</f>
        <v>Steel round bar(rebar)</v>
      </c>
      <c r="G1565" s="18" t="str">
        <f>IFERROR(VLOOKUP($D1565,본공사입.출고현황!$B:$H,G$2080,0),0)</f>
        <v>CCGG</v>
      </c>
      <c r="H1565" s="18" t="str">
        <f>IFERROR(VLOOKUP($D1565,본공사입.출고현황!$B:$H,H$2080,0),0)</f>
        <v>ф10, 1ton=1,620.7m</v>
      </c>
      <c r="I1565" s="56" t="str">
        <f>IFERROR(VLOOKUP($D1565,본공사입.출고현황!$B:$H,I$2080,0),0)</f>
        <v>M</v>
      </c>
      <c r="J1565" s="9">
        <v>1</v>
      </c>
      <c r="K1565" s="9" t="s">
        <v>352</v>
      </c>
      <c r="L1565" s="37">
        <v>25</v>
      </c>
      <c r="M1565" s="64" t="s">
        <v>408</v>
      </c>
      <c r="N1565" s="4"/>
    </row>
    <row r="1566" spans="1:14" ht="24" customHeight="1">
      <c r="A1566" s="8">
        <v>1522</v>
      </c>
      <c r="B1566" s="9">
        <v>1522</v>
      </c>
      <c r="C1566" s="46">
        <v>46105</v>
      </c>
      <c r="D1566" s="9" t="s">
        <v>238</v>
      </c>
      <c r="E1566" s="56" t="str">
        <f>IFERROR(VLOOKUP($D1566,본공사입.출고현황!$B:$H,E$2080,0),0)</f>
        <v>Steel round bar</v>
      </c>
      <c r="F1566" s="18" t="str">
        <f>IFERROR(VLOOKUP($D1566,본공사입.출고현황!$B:$H,F$2080,0),0)</f>
        <v>Steel round bar(rebar)</v>
      </c>
      <c r="G1566" s="18" t="str">
        <f>IFERROR(VLOOKUP($D1566,본공사입.출고현황!$B:$H,G$2080,0),0)</f>
        <v>CCGG</v>
      </c>
      <c r="H1566" s="18" t="str">
        <f>IFERROR(VLOOKUP($D1566,본공사입.출고현황!$B:$H,H$2080,0),0)</f>
        <v>ф10, 1ton=1,620.7m</v>
      </c>
      <c r="I1566" s="56" t="str">
        <f>IFERROR(VLOOKUP($D1566,본공사입.출고현황!$B:$H,I$2080,0),0)</f>
        <v>M</v>
      </c>
      <c r="J1566" s="9">
        <v>1</v>
      </c>
      <c r="K1566" s="9" t="s">
        <v>352</v>
      </c>
      <c r="L1566" s="37">
        <v>15</v>
      </c>
      <c r="M1566" s="64" t="s">
        <v>408</v>
      </c>
      <c r="N1566" s="4"/>
    </row>
    <row r="1567" spans="1:14" ht="24" customHeight="1">
      <c r="A1567" s="8">
        <v>1523</v>
      </c>
      <c r="B1567" s="9">
        <v>1523</v>
      </c>
      <c r="C1567" s="46">
        <v>46105</v>
      </c>
      <c r="D1567" s="9" t="s">
        <v>238</v>
      </c>
      <c r="E1567" s="56" t="str">
        <f>IFERROR(VLOOKUP($D1567,본공사입.출고현황!$B:$H,E$2080,0),0)</f>
        <v>Steel round bar</v>
      </c>
      <c r="F1567" s="18" t="str">
        <f>IFERROR(VLOOKUP($D1567,본공사입.출고현황!$B:$H,F$2080,0),0)</f>
        <v>Steel round bar(rebar)</v>
      </c>
      <c r="G1567" s="18" t="str">
        <f>IFERROR(VLOOKUP($D1567,본공사입.출고현황!$B:$H,G$2080,0),0)</f>
        <v>CCGG</v>
      </c>
      <c r="H1567" s="18" t="str">
        <f>IFERROR(VLOOKUP($D1567,본공사입.출고현황!$B:$H,H$2080,0),0)</f>
        <v>ф10, 1ton=1,620.7m</v>
      </c>
      <c r="I1567" s="56" t="str">
        <f>IFERROR(VLOOKUP($D1567,본공사입.출고현황!$B:$H,I$2080,0),0)</f>
        <v>M</v>
      </c>
      <c r="J1567" s="9">
        <v>1</v>
      </c>
      <c r="K1567" s="9" t="s">
        <v>363</v>
      </c>
      <c r="L1567" s="37">
        <v>25</v>
      </c>
      <c r="M1567" s="64" t="s">
        <v>408</v>
      </c>
      <c r="N1567" s="4"/>
    </row>
    <row r="1568" spans="1:14" ht="24" customHeight="1">
      <c r="A1568" s="8">
        <v>1524</v>
      </c>
      <c r="B1568" s="9">
        <v>1524</v>
      </c>
      <c r="C1568" s="46">
        <v>46105</v>
      </c>
      <c r="D1568" s="9" t="s">
        <v>238</v>
      </c>
      <c r="E1568" s="56" t="str">
        <f>IFERROR(VLOOKUP($D1568,본공사입.출고현황!$B:$H,E$2080,0),0)</f>
        <v>Steel round bar</v>
      </c>
      <c r="F1568" s="18" t="str">
        <f>IFERROR(VLOOKUP($D1568,본공사입.출고현황!$B:$H,F$2080,0),0)</f>
        <v>Steel round bar(rebar)</v>
      </c>
      <c r="G1568" s="18" t="str">
        <f>IFERROR(VLOOKUP($D1568,본공사입.출고현황!$B:$H,G$2080,0),0)</f>
        <v>CCGG</v>
      </c>
      <c r="H1568" s="18" t="str">
        <f>IFERROR(VLOOKUP($D1568,본공사입.출고현황!$B:$H,H$2080,0),0)</f>
        <v>ф10, 1ton=1,620.7m</v>
      </c>
      <c r="I1568" s="56" t="str">
        <f>IFERROR(VLOOKUP($D1568,본공사입.출고현황!$B:$H,I$2080,0),0)</f>
        <v>M</v>
      </c>
      <c r="J1568" s="9">
        <v>1</v>
      </c>
      <c r="K1568" s="9" t="s">
        <v>545</v>
      </c>
      <c r="L1568" s="37">
        <v>15</v>
      </c>
      <c r="M1568" s="64" t="s">
        <v>408</v>
      </c>
      <c r="N1568" s="4"/>
    </row>
    <row r="1569" spans="1:14" ht="24" customHeight="1">
      <c r="A1569" s="8">
        <v>1525</v>
      </c>
      <c r="B1569" s="9">
        <v>1525</v>
      </c>
      <c r="C1569" s="46">
        <v>46105</v>
      </c>
      <c r="D1569" s="9" t="s">
        <v>238</v>
      </c>
      <c r="E1569" s="56" t="str">
        <f>IFERROR(VLOOKUP($D1569,본공사입.출고현황!$B:$H,E$2080,0),0)</f>
        <v>Steel round bar</v>
      </c>
      <c r="F1569" s="18" t="str">
        <f>IFERROR(VLOOKUP($D1569,본공사입.출고현황!$B:$H,F$2080,0),0)</f>
        <v>Steel round bar(rebar)</v>
      </c>
      <c r="G1569" s="18" t="str">
        <f>IFERROR(VLOOKUP($D1569,본공사입.출고현황!$B:$H,G$2080,0),0)</f>
        <v>CCGG</v>
      </c>
      <c r="H1569" s="18" t="str">
        <f>IFERROR(VLOOKUP($D1569,본공사입.출고현황!$B:$H,H$2080,0),0)</f>
        <v>ф10, 1ton=1,620.7m</v>
      </c>
      <c r="I1569" s="56" t="str">
        <f>IFERROR(VLOOKUP($D1569,본공사입.출고현황!$B:$H,I$2080,0),0)</f>
        <v>M</v>
      </c>
      <c r="J1569" s="9">
        <v>2</v>
      </c>
      <c r="K1569" s="9" t="s">
        <v>241</v>
      </c>
      <c r="L1569" s="37">
        <v>25</v>
      </c>
      <c r="M1569" s="64" t="s">
        <v>408</v>
      </c>
      <c r="N1569" s="4"/>
    </row>
    <row r="1570" spans="1:14" ht="24" customHeight="1">
      <c r="A1570" s="8">
        <v>1526</v>
      </c>
      <c r="B1570" s="9">
        <v>1526</v>
      </c>
      <c r="C1570" s="46">
        <v>46105</v>
      </c>
      <c r="D1570" s="9" t="s">
        <v>238</v>
      </c>
      <c r="E1570" s="56" t="str">
        <f>IFERROR(VLOOKUP($D1570,본공사입.출고현황!$B:$H,E$2080,0),0)</f>
        <v>Steel round bar</v>
      </c>
      <c r="F1570" s="18" t="str">
        <f>IFERROR(VLOOKUP($D1570,본공사입.출고현황!$B:$H,F$2080,0),0)</f>
        <v>Steel round bar(rebar)</v>
      </c>
      <c r="G1570" s="18" t="str">
        <f>IFERROR(VLOOKUP($D1570,본공사입.출고현황!$B:$H,G$2080,0),0)</f>
        <v>CCGG</v>
      </c>
      <c r="H1570" s="18" t="str">
        <f>IFERROR(VLOOKUP($D1570,본공사입.출고현황!$B:$H,H$2080,0),0)</f>
        <v>ф10, 1ton=1,620.7m</v>
      </c>
      <c r="I1570" s="56" t="str">
        <f>IFERROR(VLOOKUP($D1570,본공사입.출고현황!$B:$H,I$2080,0),0)</f>
        <v>M</v>
      </c>
      <c r="J1570" s="9">
        <v>3</v>
      </c>
      <c r="K1570" s="9" t="s">
        <v>550</v>
      </c>
      <c r="L1570" s="37">
        <v>30</v>
      </c>
      <c r="M1570" s="64" t="s">
        <v>408</v>
      </c>
      <c r="N1570" s="4"/>
    </row>
    <row r="1571" spans="1:14" ht="24" customHeight="1">
      <c r="A1571" s="8">
        <v>1527</v>
      </c>
      <c r="B1571" s="9">
        <v>1527</v>
      </c>
      <c r="C1571" s="46">
        <v>46105</v>
      </c>
      <c r="D1571" s="9" t="s">
        <v>238</v>
      </c>
      <c r="E1571" s="56" t="str">
        <f>IFERROR(VLOOKUP($D1571,본공사입.출고현황!$B:$H,E$2080,0),0)</f>
        <v>Steel round bar</v>
      </c>
      <c r="F1571" s="18" t="str">
        <f>IFERROR(VLOOKUP($D1571,본공사입.출고현황!$B:$H,F$2080,0),0)</f>
        <v>Steel round bar(rebar)</v>
      </c>
      <c r="G1571" s="18" t="str">
        <f>IFERROR(VLOOKUP($D1571,본공사입.출고현황!$B:$H,G$2080,0),0)</f>
        <v>CCGG</v>
      </c>
      <c r="H1571" s="18" t="str">
        <f>IFERROR(VLOOKUP($D1571,본공사입.출고현황!$B:$H,H$2080,0),0)</f>
        <v>ф10, 1ton=1,620.7m</v>
      </c>
      <c r="I1571" s="56" t="str">
        <f>IFERROR(VLOOKUP($D1571,본공사입.출고현황!$B:$H,I$2080,0),0)</f>
        <v>M</v>
      </c>
      <c r="J1571" s="9">
        <v>3</v>
      </c>
      <c r="K1571" s="9" t="s">
        <v>550</v>
      </c>
      <c r="L1571" s="37">
        <v>15</v>
      </c>
      <c r="M1571" s="64" t="s">
        <v>408</v>
      </c>
      <c r="N1571" s="4"/>
    </row>
    <row r="1572" spans="1:14" ht="24" customHeight="1">
      <c r="A1572" s="8">
        <v>1528</v>
      </c>
      <c r="B1572" s="9">
        <v>1528</v>
      </c>
      <c r="C1572" s="46">
        <v>46105</v>
      </c>
      <c r="D1572" s="9" t="s">
        <v>238</v>
      </c>
      <c r="E1572" s="56" t="str">
        <f>IFERROR(VLOOKUP($D1572,본공사입.출고현황!$B:$H,E$2080,0),0)</f>
        <v>Steel round bar</v>
      </c>
      <c r="F1572" s="18" t="str">
        <f>IFERROR(VLOOKUP($D1572,본공사입.출고현황!$B:$H,F$2080,0),0)</f>
        <v>Steel round bar(rebar)</v>
      </c>
      <c r="G1572" s="18" t="str">
        <f>IFERROR(VLOOKUP($D1572,본공사입.출고현황!$B:$H,G$2080,0),0)</f>
        <v>CCGG</v>
      </c>
      <c r="H1572" s="18" t="str">
        <f>IFERROR(VLOOKUP($D1572,본공사입.출고현황!$B:$H,H$2080,0),0)</f>
        <v>ф10, 1ton=1,620.7m</v>
      </c>
      <c r="I1572" s="56" t="str">
        <f>IFERROR(VLOOKUP($D1572,본공사입.출고현황!$B:$H,I$2080,0),0)</f>
        <v>M</v>
      </c>
      <c r="J1572" s="9">
        <v>1</v>
      </c>
      <c r="K1572" s="9" t="s">
        <v>363</v>
      </c>
      <c r="L1572" s="37">
        <v>15</v>
      </c>
      <c r="M1572" s="64" t="s">
        <v>408</v>
      </c>
      <c r="N1572" s="4"/>
    </row>
    <row r="1573" spans="1:14" ht="24" customHeight="1">
      <c r="A1573" s="8">
        <v>1529</v>
      </c>
      <c r="B1573" s="9">
        <v>1529</v>
      </c>
      <c r="C1573" s="46">
        <v>46105</v>
      </c>
      <c r="D1573" s="9" t="s">
        <v>238</v>
      </c>
      <c r="E1573" s="56" t="str">
        <f>IFERROR(VLOOKUP($D1573,본공사입.출고현황!$B:$H,E$2080,0),0)</f>
        <v>Steel round bar</v>
      </c>
      <c r="F1573" s="18" t="str">
        <f>IFERROR(VLOOKUP($D1573,본공사입.출고현황!$B:$H,F$2080,0),0)</f>
        <v>Steel round bar(rebar)</v>
      </c>
      <c r="G1573" s="18" t="str">
        <f>IFERROR(VLOOKUP($D1573,본공사입.출고현황!$B:$H,G$2080,0),0)</f>
        <v>CCGG</v>
      </c>
      <c r="H1573" s="18" t="str">
        <f>IFERROR(VLOOKUP($D1573,본공사입.출고현황!$B:$H,H$2080,0),0)</f>
        <v>ф10, 1ton=1,620.7m</v>
      </c>
      <c r="I1573" s="56" t="str">
        <f>IFERROR(VLOOKUP($D1573,본공사입.출고현황!$B:$H,I$2080,0),0)</f>
        <v>M</v>
      </c>
      <c r="J1573" s="9">
        <v>1</v>
      </c>
      <c r="K1573" s="9" t="s">
        <v>547</v>
      </c>
      <c r="L1573" s="37">
        <v>20</v>
      </c>
      <c r="M1573" s="64" t="s">
        <v>408</v>
      </c>
      <c r="N1573" s="4"/>
    </row>
    <row r="1574" spans="1:14" ht="24" customHeight="1">
      <c r="A1574" s="8">
        <v>1530</v>
      </c>
      <c r="B1574" s="9">
        <v>1530</v>
      </c>
      <c r="C1574" s="46">
        <v>46105</v>
      </c>
      <c r="D1574" s="9" t="s">
        <v>238</v>
      </c>
      <c r="E1574" s="56" t="str">
        <f>IFERROR(VLOOKUP($D1574,본공사입.출고현황!$B:$H,E$2080,0),0)</f>
        <v>Steel round bar</v>
      </c>
      <c r="F1574" s="18" t="str">
        <f>IFERROR(VLOOKUP($D1574,본공사입.출고현황!$B:$H,F$2080,0),0)</f>
        <v>Steel round bar(rebar)</v>
      </c>
      <c r="G1574" s="18" t="str">
        <f>IFERROR(VLOOKUP($D1574,본공사입.출고현황!$B:$H,G$2080,0),0)</f>
        <v>CCGG</v>
      </c>
      <c r="H1574" s="18" t="str">
        <f>IFERROR(VLOOKUP($D1574,본공사입.출고현황!$B:$H,H$2080,0),0)</f>
        <v>ф10, 1ton=1,620.7m</v>
      </c>
      <c r="I1574" s="56" t="str">
        <f>IFERROR(VLOOKUP($D1574,본공사입.출고현황!$B:$H,I$2080,0),0)</f>
        <v>M</v>
      </c>
      <c r="J1574" s="9">
        <v>1</v>
      </c>
      <c r="K1574" s="9" t="s">
        <v>363</v>
      </c>
      <c r="L1574" s="37">
        <v>20</v>
      </c>
      <c r="M1574" s="64" t="s">
        <v>408</v>
      </c>
      <c r="N1574" s="4"/>
    </row>
    <row r="1575" spans="1:14" ht="24" customHeight="1">
      <c r="A1575" s="8">
        <v>1531</v>
      </c>
      <c r="B1575" s="9">
        <v>1531</v>
      </c>
      <c r="C1575" s="46">
        <v>46105</v>
      </c>
      <c r="D1575" s="9" t="s">
        <v>238</v>
      </c>
      <c r="E1575" s="56" t="str">
        <f>IFERROR(VLOOKUP($D1575,본공사입.출고현황!$B:$H,E$2080,0),0)</f>
        <v>Steel round bar</v>
      </c>
      <c r="F1575" s="18" t="str">
        <f>IFERROR(VLOOKUP($D1575,본공사입.출고현황!$B:$H,F$2080,0),0)</f>
        <v>Steel round bar(rebar)</v>
      </c>
      <c r="G1575" s="18" t="str">
        <f>IFERROR(VLOOKUP($D1575,본공사입.출고현황!$B:$H,G$2080,0),0)</f>
        <v>CCGG</v>
      </c>
      <c r="H1575" s="18" t="str">
        <f>IFERROR(VLOOKUP($D1575,본공사입.출고현황!$B:$H,H$2080,0),0)</f>
        <v>ф10, 1ton=1,620.7m</v>
      </c>
      <c r="I1575" s="56" t="str">
        <f>IFERROR(VLOOKUP($D1575,본공사입.출고현황!$B:$H,I$2080,0),0)</f>
        <v>M</v>
      </c>
      <c r="J1575" s="9">
        <v>3</v>
      </c>
      <c r="K1575" s="9" t="s">
        <v>550</v>
      </c>
      <c r="L1575" s="37">
        <v>20</v>
      </c>
      <c r="M1575" s="64" t="s">
        <v>408</v>
      </c>
      <c r="N1575" s="4"/>
    </row>
    <row r="1576" spans="1:14" ht="24" customHeight="1">
      <c r="A1576" s="8">
        <v>1532</v>
      </c>
      <c r="B1576" s="9">
        <v>1532</v>
      </c>
      <c r="C1576" s="46">
        <v>46105</v>
      </c>
      <c r="D1576" s="9" t="s">
        <v>238</v>
      </c>
      <c r="E1576" s="56" t="str">
        <f>IFERROR(VLOOKUP($D1576,본공사입.출고현황!$B:$H,E$2080,0),0)</f>
        <v>Steel round bar</v>
      </c>
      <c r="F1576" s="18" t="str">
        <f>IFERROR(VLOOKUP($D1576,본공사입.출고현황!$B:$H,F$2080,0),0)</f>
        <v>Steel round bar(rebar)</v>
      </c>
      <c r="G1576" s="18" t="str">
        <f>IFERROR(VLOOKUP($D1576,본공사입.출고현황!$B:$H,G$2080,0),0)</f>
        <v>CCGG</v>
      </c>
      <c r="H1576" s="18" t="str">
        <f>IFERROR(VLOOKUP($D1576,본공사입.출고현황!$B:$H,H$2080,0),0)</f>
        <v>ф10, 1ton=1,620.7m</v>
      </c>
      <c r="I1576" s="56" t="str">
        <f>IFERROR(VLOOKUP($D1576,본공사입.출고현황!$B:$H,I$2080,0),0)</f>
        <v>M</v>
      </c>
      <c r="J1576" s="9">
        <v>2</v>
      </c>
      <c r="K1576" s="9" t="s">
        <v>360</v>
      </c>
      <c r="L1576" s="37">
        <v>25</v>
      </c>
      <c r="M1576" s="64" t="s">
        <v>408</v>
      </c>
      <c r="N1576" s="4"/>
    </row>
    <row r="1577" spans="1:14" ht="24" customHeight="1">
      <c r="A1577" s="8">
        <v>1533</v>
      </c>
      <c r="B1577" s="9">
        <v>1533</v>
      </c>
      <c r="C1577" s="46">
        <v>46106</v>
      </c>
      <c r="D1577" s="9" t="s">
        <v>238</v>
      </c>
      <c r="E1577" s="56" t="str">
        <f>IFERROR(VLOOKUP($D1577,본공사입.출고현황!$B:$H,E$2080,0),0)</f>
        <v>Steel round bar</v>
      </c>
      <c r="F1577" s="18" t="str">
        <f>IFERROR(VLOOKUP($D1577,본공사입.출고현황!$B:$H,F$2080,0),0)</f>
        <v>Steel round bar(rebar)</v>
      </c>
      <c r="G1577" s="18" t="str">
        <f>IFERROR(VLOOKUP($D1577,본공사입.출고현황!$B:$H,G$2080,0),0)</f>
        <v>CCGG</v>
      </c>
      <c r="H1577" s="18" t="str">
        <f>IFERROR(VLOOKUP($D1577,본공사입.출고현황!$B:$H,H$2080,0),0)</f>
        <v>ф10, 1ton=1,620.7m</v>
      </c>
      <c r="I1577" s="56" t="str">
        <f>IFERROR(VLOOKUP($D1577,본공사입.출고현황!$B:$H,I$2080,0),0)</f>
        <v>M</v>
      </c>
      <c r="J1577" s="9">
        <v>1</v>
      </c>
      <c r="K1577" s="9" t="s">
        <v>352</v>
      </c>
      <c r="L1577" s="37">
        <v>25</v>
      </c>
      <c r="M1577" s="64" t="s">
        <v>408</v>
      </c>
      <c r="N1577" s="4"/>
    </row>
    <row r="1578" spans="1:14" ht="24" customHeight="1">
      <c r="A1578" s="8">
        <v>1534</v>
      </c>
      <c r="B1578" s="9">
        <v>1534</v>
      </c>
      <c r="C1578" s="46">
        <v>46106</v>
      </c>
      <c r="D1578" s="9" t="s">
        <v>238</v>
      </c>
      <c r="E1578" s="56" t="str">
        <f>IFERROR(VLOOKUP($D1578,본공사입.출고현황!$B:$H,E$2080,0),0)</f>
        <v>Steel round bar</v>
      </c>
      <c r="F1578" s="18" t="str">
        <f>IFERROR(VLOOKUP($D1578,본공사입.출고현황!$B:$H,F$2080,0),0)</f>
        <v>Steel round bar(rebar)</v>
      </c>
      <c r="G1578" s="18" t="str">
        <f>IFERROR(VLOOKUP($D1578,본공사입.출고현황!$B:$H,G$2080,0),0)</f>
        <v>CCGG</v>
      </c>
      <c r="H1578" s="18" t="str">
        <f>IFERROR(VLOOKUP($D1578,본공사입.출고현황!$B:$H,H$2080,0),0)</f>
        <v>ф10, 1ton=1,620.7m</v>
      </c>
      <c r="I1578" s="56" t="str">
        <f>IFERROR(VLOOKUP($D1578,본공사입.출고현황!$B:$H,I$2080,0),0)</f>
        <v>M</v>
      </c>
      <c r="J1578" s="9">
        <v>2</v>
      </c>
      <c r="K1578" s="9" t="s">
        <v>546</v>
      </c>
      <c r="L1578" s="37">
        <v>25</v>
      </c>
      <c r="M1578" s="64" t="s">
        <v>408</v>
      </c>
      <c r="N1578" s="4"/>
    </row>
    <row r="1579" spans="1:14" ht="24" customHeight="1">
      <c r="A1579" s="8">
        <v>1535</v>
      </c>
      <c r="B1579" s="9">
        <v>1535</v>
      </c>
      <c r="C1579" s="46">
        <v>46106</v>
      </c>
      <c r="D1579" s="9" t="s">
        <v>238</v>
      </c>
      <c r="E1579" s="56" t="str">
        <f>IFERROR(VLOOKUP($D1579,본공사입.출고현황!$B:$H,E$2080,0),0)</f>
        <v>Steel round bar</v>
      </c>
      <c r="F1579" s="18" t="str">
        <f>IFERROR(VLOOKUP($D1579,본공사입.출고현황!$B:$H,F$2080,0),0)</f>
        <v>Steel round bar(rebar)</v>
      </c>
      <c r="G1579" s="18" t="str">
        <f>IFERROR(VLOOKUP($D1579,본공사입.출고현황!$B:$H,G$2080,0),0)</f>
        <v>CCGG</v>
      </c>
      <c r="H1579" s="18" t="str">
        <f>IFERROR(VLOOKUP($D1579,본공사입.출고현황!$B:$H,H$2080,0),0)</f>
        <v>ф10, 1ton=1,620.7m</v>
      </c>
      <c r="I1579" s="56" t="str">
        <f>IFERROR(VLOOKUP($D1579,본공사입.출고현황!$B:$H,I$2080,0),0)</f>
        <v>M</v>
      </c>
      <c r="J1579" s="9">
        <v>4</v>
      </c>
      <c r="K1579" s="9" t="s">
        <v>359</v>
      </c>
      <c r="L1579" s="37">
        <v>25</v>
      </c>
      <c r="M1579" s="64" t="s">
        <v>408</v>
      </c>
      <c r="N1579" s="4"/>
    </row>
    <row r="1580" spans="1:14" ht="24" customHeight="1">
      <c r="A1580" s="8">
        <v>1536</v>
      </c>
      <c r="B1580" s="9">
        <v>1536</v>
      </c>
      <c r="C1580" s="46">
        <v>46106</v>
      </c>
      <c r="D1580" s="9" t="s">
        <v>238</v>
      </c>
      <c r="E1580" s="56" t="str">
        <f>IFERROR(VLOOKUP($D1580,본공사입.출고현황!$B:$H,E$2080,0),0)</f>
        <v>Steel round bar</v>
      </c>
      <c r="F1580" s="18" t="str">
        <f>IFERROR(VLOOKUP($D1580,본공사입.출고현황!$B:$H,F$2080,0),0)</f>
        <v>Steel round bar(rebar)</v>
      </c>
      <c r="G1580" s="18" t="str">
        <f>IFERROR(VLOOKUP($D1580,본공사입.출고현황!$B:$H,G$2080,0),0)</f>
        <v>CCGG</v>
      </c>
      <c r="H1580" s="18" t="str">
        <f>IFERROR(VLOOKUP($D1580,본공사입.출고현황!$B:$H,H$2080,0),0)</f>
        <v>ф10, 1ton=1,620.7m</v>
      </c>
      <c r="I1580" s="56" t="str">
        <f>IFERROR(VLOOKUP($D1580,본공사입.출고현황!$B:$H,I$2080,0),0)</f>
        <v>M</v>
      </c>
      <c r="J1580" s="9">
        <v>1</v>
      </c>
      <c r="K1580" s="9" t="s">
        <v>352</v>
      </c>
      <c r="L1580" s="37">
        <v>25</v>
      </c>
      <c r="M1580" s="64" t="s">
        <v>358</v>
      </c>
      <c r="N1580" s="4"/>
    </row>
    <row r="1581" spans="1:14" ht="24" customHeight="1">
      <c r="A1581" s="8">
        <v>1537</v>
      </c>
      <c r="B1581" s="9">
        <v>1537</v>
      </c>
      <c r="C1581" s="46">
        <v>46106</v>
      </c>
      <c r="D1581" s="9" t="s">
        <v>238</v>
      </c>
      <c r="E1581" s="56" t="str">
        <f>IFERROR(VLOOKUP($D1581,본공사입.출고현황!$B:$H,E$2080,0),0)</f>
        <v>Steel round bar</v>
      </c>
      <c r="F1581" s="18" t="str">
        <f>IFERROR(VLOOKUP($D1581,본공사입.출고현황!$B:$H,F$2080,0),0)</f>
        <v>Steel round bar(rebar)</v>
      </c>
      <c r="G1581" s="18" t="str">
        <f>IFERROR(VLOOKUP($D1581,본공사입.출고현황!$B:$H,G$2080,0),0)</f>
        <v>CCGG</v>
      </c>
      <c r="H1581" s="18" t="str">
        <f>IFERROR(VLOOKUP($D1581,본공사입.출고현황!$B:$H,H$2080,0),0)</f>
        <v>ф10, 1ton=1,620.7m</v>
      </c>
      <c r="I1581" s="56" t="str">
        <f>IFERROR(VLOOKUP($D1581,본공사입.출고현황!$B:$H,I$2080,0),0)</f>
        <v>M</v>
      </c>
      <c r="J1581" s="9">
        <v>2</v>
      </c>
      <c r="K1581" s="9" t="s">
        <v>360</v>
      </c>
      <c r="L1581" s="37">
        <v>25</v>
      </c>
      <c r="M1581" s="64" t="s">
        <v>358</v>
      </c>
      <c r="N1581" s="4"/>
    </row>
    <row r="1582" spans="1:14" ht="24" customHeight="1">
      <c r="A1582" s="8">
        <v>1538</v>
      </c>
      <c r="B1582" s="9">
        <v>1538</v>
      </c>
      <c r="C1582" s="46">
        <v>46106</v>
      </c>
      <c r="D1582" s="9" t="s">
        <v>238</v>
      </c>
      <c r="E1582" s="56" t="str">
        <f>IFERROR(VLOOKUP($D1582,본공사입.출고현황!$B:$H,E$2080,0),0)</f>
        <v>Steel round bar</v>
      </c>
      <c r="F1582" s="18" t="str">
        <f>IFERROR(VLOOKUP($D1582,본공사입.출고현황!$B:$H,F$2080,0),0)</f>
        <v>Steel round bar(rebar)</v>
      </c>
      <c r="G1582" s="18" t="str">
        <f>IFERROR(VLOOKUP($D1582,본공사입.출고현황!$B:$H,G$2080,0),0)</f>
        <v>CCGG</v>
      </c>
      <c r="H1582" s="18" t="str">
        <f>IFERROR(VLOOKUP($D1582,본공사입.출고현황!$B:$H,H$2080,0),0)</f>
        <v>ф10, 1ton=1,620.7m</v>
      </c>
      <c r="I1582" s="56" t="str">
        <f>IFERROR(VLOOKUP($D1582,본공사입.출고현황!$B:$H,I$2080,0),0)</f>
        <v>M</v>
      </c>
      <c r="J1582" s="9">
        <v>1</v>
      </c>
      <c r="K1582" s="9" t="s">
        <v>352</v>
      </c>
      <c r="L1582" s="37">
        <v>25</v>
      </c>
      <c r="M1582" s="64" t="s">
        <v>358</v>
      </c>
      <c r="N1582" s="4"/>
    </row>
    <row r="1583" spans="1:14" ht="24" customHeight="1">
      <c r="A1583" s="8">
        <v>1539</v>
      </c>
      <c r="B1583" s="9">
        <v>1539</v>
      </c>
      <c r="C1583" s="46">
        <v>46106</v>
      </c>
      <c r="D1583" s="9" t="s">
        <v>238</v>
      </c>
      <c r="E1583" s="56" t="str">
        <f>IFERROR(VLOOKUP($D1583,본공사입.출고현황!$B:$H,E$2080,0),0)</f>
        <v>Steel round bar</v>
      </c>
      <c r="F1583" s="18" t="str">
        <f>IFERROR(VLOOKUP($D1583,본공사입.출고현황!$B:$H,F$2080,0),0)</f>
        <v>Steel round bar(rebar)</v>
      </c>
      <c r="G1583" s="18" t="str">
        <f>IFERROR(VLOOKUP($D1583,본공사입.출고현황!$B:$H,G$2080,0),0)</f>
        <v>CCGG</v>
      </c>
      <c r="H1583" s="18" t="str">
        <f>IFERROR(VLOOKUP($D1583,본공사입.출고현황!$B:$H,H$2080,0),0)</f>
        <v>ф10, 1ton=1,620.7m</v>
      </c>
      <c r="I1583" s="56" t="str">
        <f>IFERROR(VLOOKUP($D1583,본공사입.출고현황!$B:$H,I$2080,0),0)</f>
        <v>M</v>
      </c>
      <c r="J1583" s="9">
        <v>1</v>
      </c>
      <c r="K1583" s="9" t="s">
        <v>363</v>
      </c>
      <c r="L1583" s="37">
        <v>30</v>
      </c>
      <c r="M1583" s="64" t="s">
        <v>358</v>
      </c>
      <c r="N1583" s="4"/>
    </row>
    <row r="1584" spans="1:14" ht="24" customHeight="1">
      <c r="A1584" s="8">
        <v>1540</v>
      </c>
      <c r="B1584" s="9">
        <v>1540</v>
      </c>
      <c r="C1584" s="46">
        <v>46106</v>
      </c>
      <c r="D1584" s="9" t="s">
        <v>238</v>
      </c>
      <c r="E1584" s="56" t="str">
        <f>IFERROR(VLOOKUP($D1584,본공사입.출고현황!$B:$H,E$2080,0),0)</f>
        <v>Steel round bar</v>
      </c>
      <c r="F1584" s="18" t="str">
        <f>IFERROR(VLOOKUP($D1584,본공사입.출고현황!$B:$H,F$2080,0),0)</f>
        <v>Steel round bar(rebar)</v>
      </c>
      <c r="G1584" s="18" t="str">
        <f>IFERROR(VLOOKUP($D1584,본공사입.출고현황!$B:$H,G$2080,0),0)</f>
        <v>CCGG</v>
      </c>
      <c r="H1584" s="18" t="str">
        <f>IFERROR(VLOOKUP($D1584,본공사입.출고현황!$B:$H,H$2080,0),0)</f>
        <v>ф10, 1ton=1,620.7m</v>
      </c>
      <c r="I1584" s="56" t="str">
        <f>IFERROR(VLOOKUP($D1584,본공사입.출고현황!$B:$H,I$2080,0),0)</f>
        <v>M</v>
      </c>
      <c r="J1584" s="9">
        <v>1</v>
      </c>
      <c r="K1584" s="9" t="s">
        <v>547</v>
      </c>
      <c r="L1584" s="37">
        <v>25</v>
      </c>
      <c r="M1584" s="64" t="s">
        <v>358</v>
      </c>
      <c r="N1584" s="4"/>
    </row>
    <row r="1585" spans="1:14" ht="24" customHeight="1">
      <c r="A1585" s="8">
        <v>1541</v>
      </c>
      <c r="B1585" s="9">
        <v>1541</v>
      </c>
      <c r="C1585" s="46">
        <v>46106</v>
      </c>
      <c r="D1585" s="9" t="s">
        <v>238</v>
      </c>
      <c r="E1585" s="56" t="str">
        <f>IFERROR(VLOOKUP($D1585,본공사입.출고현황!$B:$H,E$2080,0),0)</f>
        <v>Steel round bar</v>
      </c>
      <c r="F1585" s="18" t="str">
        <f>IFERROR(VLOOKUP($D1585,본공사입.출고현황!$B:$H,F$2080,0),0)</f>
        <v>Steel round bar(rebar)</v>
      </c>
      <c r="G1585" s="18" t="str">
        <f>IFERROR(VLOOKUP($D1585,본공사입.출고현황!$B:$H,G$2080,0),0)</f>
        <v>CCGG</v>
      </c>
      <c r="H1585" s="18" t="str">
        <f>IFERROR(VLOOKUP($D1585,본공사입.출고현황!$B:$H,H$2080,0),0)</f>
        <v>ф10, 1ton=1,620.7m</v>
      </c>
      <c r="I1585" s="56" t="str">
        <f>IFERROR(VLOOKUP($D1585,본공사입.출고현황!$B:$H,I$2080,0),0)</f>
        <v>M</v>
      </c>
      <c r="J1585" s="9">
        <v>3</v>
      </c>
      <c r="K1585" s="9" t="s">
        <v>550</v>
      </c>
      <c r="L1585" s="37">
        <v>25</v>
      </c>
      <c r="M1585" s="64" t="s">
        <v>358</v>
      </c>
      <c r="N1585" s="4"/>
    </row>
    <row r="1586" spans="1:14" ht="24" customHeight="1">
      <c r="A1586" s="8">
        <v>1542</v>
      </c>
      <c r="B1586" s="9">
        <v>1542</v>
      </c>
      <c r="C1586" s="46">
        <v>46106</v>
      </c>
      <c r="D1586" s="9" t="s">
        <v>238</v>
      </c>
      <c r="E1586" s="56" t="str">
        <f>IFERROR(VLOOKUP($D1586,본공사입.출고현황!$B:$H,E$2080,0),0)</f>
        <v>Steel round bar</v>
      </c>
      <c r="F1586" s="18" t="str">
        <f>IFERROR(VLOOKUP($D1586,본공사입.출고현황!$B:$H,F$2080,0),0)</f>
        <v>Steel round bar(rebar)</v>
      </c>
      <c r="G1586" s="18" t="str">
        <f>IFERROR(VLOOKUP($D1586,본공사입.출고현황!$B:$H,G$2080,0),0)</f>
        <v>CCGG</v>
      </c>
      <c r="H1586" s="18" t="str">
        <f>IFERROR(VLOOKUP($D1586,본공사입.출고현황!$B:$H,H$2080,0),0)</f>
        <v>ф10, 1ton=1,620.7m</v>
      </c>
      <c r="I1586" s="56" t="str">
        <f>IFERROR(VLOOKUP($D1586,본공사입.출고현황!$B:$H,I$2080,0),0)</f>
        <v>M</v>
      </c>
      <c r="J1586" s="9">
        <v>1</v>
      </c>
      <c r="K1586" s="9" t="s">
        <v>363</v>
      </c>
      <c r="L1586" s="37">
        <v>25</v>
      </c>
      <c r="M1586" s="64" t="s">
        <v>358</v>
      </c>
      <c r="N1586" s="4"/>
    </row>
    <row r="1587" spans="1:14" ht="24" customHeight="1">
      <c r="A1587" s="8">
        <v>1543</v>
      </c>
      <c r="B1587" s="9">
        <v>1543</v>
      </c>
      <c r="C1587" s="46">
        <v>46107</v>
      </c>
      <c r="D1587" s="9" t="s">
        <v>238</v>
      </c>
      <c r="E1587" s="56" t="str">
        <f>IFERROR(VLOOKUP($D1587,본공사입.출고현황!$B:$H,E$2080,0),0)</f>
        <v>Steel round bar</v>
      </c>
      <c r="F1587" s="18" t="str">
        <f>IFERROR(VLOOKUP($D1587,본공사입.출고현황!$B:$H,F$2080,0),0)</f>
        <v>Steel round bar(rebar)</v>
      </c>
      <c r="G1587" s="18" t="str">
        <f>IFERROR(VLOOKUP($D1587,본공사입.출고현황!$B:$H,G$2080,0),0)</f>
        <v>CCGG</v>
      </c>
      <c r="H1587" s="18" t="str">
        <f>IFERROR(VLOOKUP($D1587,본공사입.출고현황!$B:$H,H$2080,0),0)</f>
        <v>ф10, 1ton=1,620.7m</v>
      </c>
      <c r="I1587" s="56" t="str">
        <f>IFERROR(VLOOKUP($D1587,본공사입.출고현황!$B:$H,I$2080,0),0)</f>
        <v>M</v>
      </c>
      <c r="J1587" s="9">
        <v>3</v>
      </c>
      <c r="K1587" s="9" t="s">
        <v>550</v>
      </c>
      <c r="L1587" s="37">
        <v>25</v>
      </c>
      <c r="M1587" s="64" t="s">
        <v>358</v>
      </c>
      <c r="N1587" s="4"/>
    </row>
    <row r="1588" spans="1:14" ht="24" customHeight="1">
      <c r="A1588" s="8">
        <v>1544</v>
      </c>
      <c r="B1588" s="9">
        <v>1544</v>
      </c>
      <c r="C1588" s="46">
        <v>46107</v>
      </c>
      <c r="D1588" s="9" t="s">
        <v>238</v>
      </c>
      <c r="E1588" s="56" t="str">
        <f>IFERROR(VLOOKUP($D1588,본공사입.출고현황!$B:$H,E$2080,0),0)</f>
        <v>Steel round bar</v>
      </c>
      <c r="F1588" s="18" t="str">
        <f>IFERROR(VLOOKUP($D1588,본공사입.출고현황!$B:$H,F$2080,0),0)</f>
        <v>Steel round bar(rebar)</v>
      </c>
      <c r="G1588" s="18" t="str">
        <f>IFERROR(VLOOKUP($D1588,본공사입.출고현황!$B:$H,G$2080,0),0)</f>
        <v>CCGG</v>
      </c>
      <c r="H1588" s="18" t="str">
        <f>IFERROR(VLOOKUP($D1588,본공사입.출고현황!$B:$H,H$2080,0),0)</f>
        <v>ф10, 1ton=1,620.7m</v>
      </c>
      <c r="I1588" s="56" t="str">
        <f>IFERROR(VLOOKUP($D1588,본공사입.출고현황!$B:$H,I$2080,0),0)</f>
        <v>M</v>
      </c>
      <c r="J1588" s="9">
        <v>2</v>
      </c>
      <c r="K1588" s="9" t="s">
        <v>360</v>
      </c>
      <c r="L1588" s="37">
        <v>20</v>
      </c>
      <c r="M1588" s="64" t="s">
        <v>358</v>
      </c>
      <c r="N1588" s="4"/>
    </row>
    <row r="1589" spans="1:14" ht="24" customHeight="1">
      <c r="A1589" s="8">
        <v>1545</v>
      </c>
      <c r="B1589" s="9">
        <v>1545</v>
      </c>
      <c r="C1589" s="46">
        <v>46107</v>
      </c>
      <c r="D1589" s="9" t="s">
        <v>238</v>
      </c>
      <c r="E1589" s="56" t="str">
        <f>IFERROR(VLOOKUP($D1589,본공사입.출고현황!$B:$H,E$2080,0),0)</f>
        <v>Steel round bar</v>
      </c>
      <c r="F1589" s="18" t="str">
        <f>IFERROR(VLOOKUP($D1589,본공사입.출고현황!$B:$H,F$2080,0),0)</f>
        <v>Steel round bar(rebar)</v>
      </c>
      <c r="G1589" s="18" t="str">
        <f>IFERROR(VLOOKUP($D1589,본공사입.출고현황!$B:$H,G$2080,0),0)</f>
        <v>CCGG</v>
      </c>
      <c r="H1589" s="18" t="str">
        <f>IFERROR(VLOOKUP($D1589,본공사입.출고현황!$B:$H,H$2080,0),0)</f>
        <v>ф10, 1ton=1,620.7m</v>
      </c>
      <c r="I1589" s="56" t="str">
        <f>IFERROR(VLOOKUP($D1589,본공사입.출고현황!$B:$H,I$2080,0),0)</f>
        <v>M</v>
      </c>
      <c r="J1589" s="9">
        <v>1</v>
      </c>
      <c r="K1589" s="9" t="s">
        <v>352</v>
      </c>
      <c r="L1589" s="37">
        <v>20</v>
      </c>
      <c r="M1589" s="64" t="s">
        <v>358</v>
      </c>
      <c r="N1589" s="4"/>
    </row>
    <row r="1590" spans="1:14" ht="24" customHeight="1">
      <c r="A1590" s="8">
        <v>1546</v>
      </c>
      <c r="B1590" s="9">
        <v>1546</v>
      </c>
      <c r="C1590" s="46">
        <v>46107</v>
      </c>
      <c r="D1590" s="9" t="s">
        <v>238</v>
      </c>
      <c r="E1590" s="56" t="str">
        <f>IFERROR(VLOOKUP($D1590,본공사입.출고현황!$B:$H,E$2080,0),0)</f>
        <v>Steel round bar</v>
      </c>
      <c r="F1590" s="18" t="str">
        <f>IFERROR(VLOOKUP($D1590,본공사입.출고현황!$B:$H,F$2080,0),0)</f>
        <v>Steel round bar(rebar)</v>
      </c>
      <c r="G1590" s="18" t="str">
        <f>IFERROR(VLOOKUP($D1590,본공사입.출고현황!$B:$H,G$2080,0),0)</f>
        <v>CCGG</v>
      </c>
      <c r="H1590" s="18" t="str">
        <f>IFERROR(VLOOKUP($D1590,본공사입.출고현황!$B:$H,H$2080,0),0)</f>
        <v>ф10, 1ton=1,620.7m</v>
      </c>
      <c r="I1590" s="56" t="str">
        <f>IFERROR(VLOOKUP($D1590,본공사입.출고현황!$B:$H,I$2080,0),0)</f>
        <v>M</v>
      </c>
      <c r="J1590" s="9">
        <v>2</v>
      </c>
      <c r="K1590" s="9" t="s">
        <v>546</v>
      </c>
      <c r="L1590" s="37">
        <v>20</v>
      </c>
      <c r="M1590" s="64" t="s">
        <v>358</v>
      </c>
      <c r="N1590" s="4"/>
    </row>
    <row r="1591" spans="1:14" ht="24" customHeight="1">
      <c r="A1591" s="8">
        <v>1547</v>
      </c>
      <c r="B1591" s="9">
        <v>1547</v>
      </c>
      <c r="C1591" s="46">
        <v>46107</v>
      </c>
      <c r="D1591" s="9" t="s">
        <v>238</v>
      </c>
      <c r="E1591" s="56" t="str">
        <f>IFERROR(VLOOKUP($D1591,본공사입.출고현황!$B:$H,E$2080,0),0)</f>
        <v>Steel round bar</v>
      </c>
      <c r="F1591" s="18" t="str">
        <f>IFERROR(VLOOKUP($D1591,본공사입.출고현황!$B:$H,F$2080,0),0)</f>
        <v>Steel round bar(rebar)</v>
      </c>
      <c r="G1591" s="18" t="str">
        <f>IFERROR(VLOOKUP($D1591,본공사입.출고현황!$B:$H,G$2080,0),0)</f>
        <v>CCGG</v>
      </c>
      <c r="H1591" s="18" t="str">
        <f>IFERROR(VLOOKUP($D1591,본공사입.출고현황!$B:$H,H$2080,0),0)</f>
        <v>ф10, 1ton=1,620.7m</v>
      </c>
      <c r="I1591" s="56" t="str">
        <f>IFERROR(VLOOKUP($D1591,본공사입.출고현황!$B:$H,I$2080,0),0)</f>
        <v>M</v>
      </c>
      <c r="J1591" s="9">
        <v>4</v>
      </c>
      <c r="K1591" s="9" t="s">
        <v>359</v>
      </c>
      <c r="L1591" s="37">
        <v>25</v>
      </c>
      <c r="M1591" s="64" t="s">
        <v>358</v>
      </c>
      <c r="N1591" s="4"/>
    </row>
    <row r="1592" spans="1:14" ht="24" customHeight="1">
      <c r="A1592" s="8">
        <v>1548</v>
      </c>
      <c r="B1592" s="9">
        <v>1548</v>
      </c>
      <c r="C1592" s="46">
        <v>46107</v>
      </c>
      <c r="D1592" s="9" t="s">
        <v>238</v>
      </c>
      <c r="E1592" s="56" t="str">
        <f>IFERROR(VLOOKUP($D1592,본공사입.출고현황!$B:$H,E$2080,0),0)</f>
        <v>Steel round bar</v>
      </c>
      <c r="F1592" s="18" t="str">
        <f>IFERROR(VLOOKUP($D1592,본공사입.출고현황!$B:$H,F$2080,0),0)</f>
        <v>Steel round bar(rebar)</v>
      </c>
      <c r="G1592" s="18" t="str">
        <f>IFERROR(VLOOKUP($D1592,본공사입.출고현황!$B:$H,G$2080,0),0)</f>
        <v>CCGG</v>
      </c>
      <c r="H1592" s="18" t="str">
        <f>IFERROR(VLOOKUP($D1592,본공사입.출고현황!$B:$H,H$2080,0),0)</f>
        <v>ф10, 1ton=1,620.7m</v>
      </c>
      <c r="I1592" s="56" t="str">
        <f>IFERROR(VLOOKUP($D1592,본공사입.출고현황!$B:$H,I$2080,0),0)</f>
        <v>M</v>
      </c>
      <c r="J1592" s="9">
        <v>2</v>
      </c>
      <c r="K1592" s="9" t="s">
        <v>360</v>
      </c>
      <c r="L1592" s="37">
        <v>25</v>
      </c>
      <c r="M1592" s="64" t="s">
        <v>358</v>
      </c>
      <c r="N1592" s="4"/>
    </row>
    <row r="1593" spans="1:14" ht="24" customHeight="1">
      <c r="A1593" s="8">
        <v>1549</v>
      </c>
      <c r="B1593" s="9">
        <v>1549</v>
      </c>
      <c r="C1593" s="46">
        <v>46108</v>
      </c>
      <c r="D1593" s="9" t="s">
        <v>238</v>
      </c>
      <c r="E1593" s="56" t="str">
        <f>IFERROR(VLOOKUP($D1593,본공사입.출고현황!$B:$H,E$2080,0),0)</f>
        <v>Steel round bar</v>
      </c>
      <c r="F1593" s="18" t="str">
        <f>IFERROR(VLOOKUP($D1593,본공사입.출고현황!$B:$H,F$2080,0),0)</f>
        <v>Steel round bar(rebar)</v>
      </c>
      <c r="G1593" s="18" t="str">
        <f>IFERROR(VLOOKUP($D1593,본공사입.출고현황!$B:$H,G$2080,0),0)</f>
        <v>CCGG</v>
      </c>
      <c r="H1593" s="18" t="str">
        <f>IFERROR(VLOOKUP($D1593,본공사입.출고현황!$B:$H,H$2080,0),0)</f>
        <v>ф10, 1ton=1,620.7m</v>
      </c>
      <c r="I1593" s="56" t="str">
        <f>IFERROR(VLOOKUP($D1593,본공사입.출고현황!$B:$H,I$2080,0),0)</f>
        <v>M</v>
      </c>
      <c r="J1593" s="9">
        <v>1</v>
      </c>
      <c r="K1593" s="9" t="s">
        <v>352</v>
      </c>
      <c r="L1593" s="37">
        <v>25</v>
      </c>
      <c r="M1593" s="64" t="s">
        <v>408</v>
      </c>
      <c r="N1593" s="4"/>
    </row>
    <row r="1594" spans="1:14" ht="24" customHeight="1">
      <c r="A1594" s="8">
        <v>1550</v>
      </c>
      <c r="B1594" s="9">
        <v>1550</v>
      </c>
      <c r="C1594" s="46">
        <v>46108</v>
      </c>
      <c r="D1594" s="9" t="s">
        <v>238</v>
      </c>
      <c r="E1594" s="56" t="str">
        <f>IFERROR(VLOOKUP($D1594,본공사입.출고현황!$B:$H,E$2080,0),0)</f>
        <v>Steel round bar</v>
      </c>
      <c r="F1594" s="18" t="str">
        <f>IFERROR(VLOOKUP($D1594,본공사입.출고현황!$B:$H,F$2080,0),0)</f>
        <v>Steel round bar(rebar)</v>
      </c>
      <c r="G1594" s="18" t="str">
        <f>IFERROR(VLOOKUP($D1594,본공사입.출고현황!$B:$H,G$2080,0),0)</f>
        <v>CCGG</v>
      </c>
      <c r="H1594" s="18" t="str">
        <f>IFERROR(VLOOKUP($D1594,본공사입.출고현황!$B:$H,H$2080,0),0)</f>
        <v>ф10, 1ton=1,620.7m</v>
      </c>
      <c r="I1594" s="56" t="str">
        <f>IFERROR(VLOOKUP($D1594,본공사입.출고현황!$B:$H,I$2080,0),0)</f>
        <v>M</v>
      </c>
      <c r="J1594" s="9">
        <v>2</v>
      </c>
      <c r="K1594" s="9" t="s">
        <v>546</v>
      </c>
      <c r="L1594" s="37">
        <v>25</v>
      </c>
      <c r="M1594" s="64" t="s">
        <v>408</v>
      </c>
      <c r="N1594" s="4"/>
    </row>
    <row r="1595" spans="1:14" ht="24" customHeight="1">
      <c r="A1595" s="8">
        <v>1551</v>
      </c>
      <c r="B1595" s="9">
        <v>1551</v>
      </c>
      <c r="C1595" s="46">
        <v>46108</v>
      </c>
      <c r="D1595" s="9" t="s">
        <v>238</v>
      </c>
      <c r="E1595" s="56" t="str">
        <f>IFERROR(VLOOKUP($D1595,본공사입.출고현황!$B:$H,E$2080,0),0)</f>
        <v>Steel round bar</v>
      </c>
      <c r="F1595" s="18" t="str">
        <f>IFERROR(VLOOKUP($D1595,본공사입.출고현황!$B:$H,F$2080,0),0)</f>
        <v>Steel round bar(rebar)</v>
      </c>
      <c r="G1595" s="18" t="str">
        <f>IFERROR(VLOOKUP($D1595,본공사입.출고현황!$B:$H,G$2080,0),0)</f>
        <v>CCGG</v>
      </c>
      <c r="H1595" s="18" t="str">
        <f>IFERROR(VLOOKUP($D1595,본공사입.출고현황!$B:$H,H$2080,0),0)</f>
        <v>ф10, 1ton=1,620.7m</v>
      </c>
      <c r="I1595" s="56" t="str">
        <f>IFERROR(VLOOKUP($D1595,본공사입.출고현황!$B:$H,I$2080,0),0)</f>
        <v>M</v>
      </c>
      <c r="J1595" s="9">
        <v>4</v>
      </c>
      <c r="K1595" s="9" t="s">
        <v>359</v>
      </c>
      <c r="L1595" s="37">
        <v>25</v>
      </c>
      <c r="M1595" s="64" t="s">
        <v>408</v>
      </c>
      <c r="N1595" s="4"/>
    </row>
    <row r="1596" spans="1:14" ht="24" customHeight="1">
      <c r="A1596" s="8">
        <v>1552</v>
      </c>
      <c r="B1596" s="9">
        <v>1552</v>
      </c>
      <c r="C1596" s="46">
        <v>46108</v>
      </c>
      <c r="D1596" s="9" t="s">
        <v>238</v>
      </c>
      <c r="E1596" s="56" t="str">
        <f>IFERROR(VLOOKUP($D1596,본공사입.출고현황!$B:$H,E$2080,0),0)</f>
        <v>Steel round bar</v>
      </c>
      <c r="F1596" s="18" t="str">
        <f>IFERROR(VLOOKUP($D1596,본공사입.출고현황!$B:$H,F$2080,0),0)</f>
        <v>Steel round bar(rebar)</v>
      </c>
      <c r="G1596" s="18" t="str">
        <f>IFERROR(VLOOKUP($D1596,본공사입.출고현황!$B:$H,G$2080,0),0)</f>
        <v>CCGG</v>
      </c>
      <c r="H1596" s="18" t="str">
        <f>IFERROR(VLOOKUP($D1596,본공사입.출고현황!$B:$H,H$2080,0),0)</f>
        <v>ф10, 1ton=1,620.7m</v>
      </c>
      <c r="I1596" s="56" t="str">
        <f>IFERROR(VLOOKUP($D1596,본공사입.출고현황!$B:$H,I$2080,0),0)</f>
        <v>M</v>
      </c>
      <c r="J1596" s="9">
        <v>2</v>
      </c>
      <c r="K1596" s="9" t="s">
        <v>360</v>
      </c>
      <c r="L1596" s="37">
        <v>25</v>
      </c>
      <c r="M1596" s="64" t="s">
        <v>408</v>
      </c>
      <c r="N1596" s="4"/>
    </row>
    <row r="1597" spans="1:14" ht="24" customHeight="1">
      <c r="A1597" s="8">
        <v>1553</v>
      </c>
      <c r="B1597" s="9">
        <v>1553</v>
      </c>
      <c r="C1597" s="46">
        <v>46108</v>
      </c>
      <c r="D1597" s="9" t="s">
        <v>238</v>
      </c>
      <c r="E1597" s="56" t="str">
        <f>IFERROR(VLOOKUP($D1597,본공사입.출고현황!$B:$H,E$2080,0),0)</f>
        <v>Steel round bar</v>
      </c>
      <c r="F1597" s="18" t="str">
        <f>IFERROR(VLOOKUP($D1597,본공사입.출고현황!$B:$H,F$2080,0),0)</f>
        <v>Steel round bar(rebar)</v>
      </c>
      <c r="G1597" s="18" t="str">
        <f>IFERROR(VLOOKUP($D1597,본공사입.출고현황!$B:$H,G$2080,0),0)</f>
        <v>CCGG</v>
      </c>
      <c r="H1597" s="18" t="str">
        <f>IFERROR(VLOOKUP($D1597,본공사입.출고현황!$B:$H,H$2080,0),0)</f>
        <v>ф10, 1ton=1,620.7m</v>
      </c>
      <c r="I1597" s="56" t="str">
        <f>IFERROR(VLOOKUP($D1597,본공사입.출고현황!$B:$H,I$2080,0),0)</f>
        <v>M</v>
      </c>
      <c r="J1597" s="9">
        <v>1</v>
      </c>
      <c r="K1597" s="9" t="s">
        <v>547</v>
      </c>
      <c r="L1597" s="37">
        <v>25</v>
      </c>
      <c r="M1597" s="64" t="s">
        <v>408</v>
      </c>
      <c r="N1597" s="4"/>
    </row>
    <row r="1598" spans="1:14" ht="24" customHeight="1">
      <c r="A1598" s="8">
        <v>1554</v>
      </c>
      <c r="B1598" s="9">
        <v>1554</v>
      </c>
      <c r="C1598" s="46">
        <v>46108</v>
      </c>
      <c r="D1598" s="9" t="s">
        <v>238</v>
      </c>
      <c r="E1598" s="56" t="str">
        <f>IFERROR(VLOOKUP($D1598,본공사입.출고현황!$B:$H,E$2080,0),0)</f>
        <v>Steel round bar</v>
      </c>
      <c r="F1598" s="18" t="str">
        <f>IFERROR(VLOOKUP($D1598,본공사입.출고현황!$B:$H,F$2080,0),0)</f>
        <v>Steel round bar(rebar)</v>
      </c>
      <c r="G1598" s="18" t="str">
        <f>IFERROR(VLOOKUP($D1598,본공사입.출고현황!$B:$H,G$2080,0),0)</f>
        <v>CCGG</v>
      </c>
      <c r="H1598" s="18" t="str">
        <f>IFERROR(VLOOKUP($D1598,본공사입.출고현황!$B:$H,H$2080,0),0)</f>
        <v>ф10, 1ton=1,620.7m</v>
      </c>
      <c r="I1598" s="56" t="str">
        <f>IFERROR(VLOOKUP($D1598,본공사입.출고현황!$B:$H,I$2080,0),0)</f>
        <v>M</v>
      </c>
      <c r="J1598" s="9">
        <v>2</v>
      </c>
      <c r="K1598" s="9" t="s">
        <v>360</v>
      </c>
      <c r="L1598" s="37">
        <v>25</v>
      </c>
      <c r="M1598" s="64" t="s">
        <v>408</v>
      </c>
      <c r="N1598" s="4"/>
    </row>
    <row r="1599" spans="1:14" ht="24" customHeight="1">
      <c r="A1599" s="8">
        <v>1555</v>
      </c>
      <c r="B1599" s="9">
        <v>1555</v>
      </c>
      <c r="C1599" s="46">
        <v>46109</v>
      </c>
      <c r="D1599" s="9" t="s">
        <v>238</v>
      </c>
      <c r="E1599" s="56" t="str">
        <f>IFERROR(VLOOKUP($D1599,본공사입.출고현황!$B:$H,E$2080,0),0)</f>
        <v>Steel round bar</v>
      </c>
      <c r="F1599" s="18" t="str">
        <f>IFERROR(VLOOKUP($D1599,본공사입.출고현황!$B:$H,F$2080,0),0)</f>
        <v>Steel round bar(rebar)</v>
      </c>
      <c r="G1599" s="18" t="str">
        <f>IFERROR(VLOOKUP($D1599,본공사입.출고현황!$B:$H,G$2080,0),0)</f>
        <v>CCGG</v>
      </c>
      <c r="H1599" s="18" t="str">
        <f>IFERROR(VLOOKUP($D1599,본공사입.출고현황!$B:$H,H$2080,0),0)</f>
        <v>ф10, 1ton=1,620.7m</v>
      </c>
      <c r="I1599" s="56" t="str">
        <f>IFERROR(VLOOKUP($D1599,본공사입.출고현황!$B:$H,I$2080,0),0)</f>
        <v>M</v>
      </c>
      <c r="J1599" s="9">
        <v>4</v>
      </c>
      <c r="K1599" s="9" t="s">
        <v>691</v>
      </c>
      <c r="L1599" s="37">
        <v>20</v>
      </c>
      <c r="M1599" s="64" t="s">
        <v>408</v>
      </c>
      <c r="N1599" s="4"/>
    </row>
    <row r="1600" spans="1:14" ht="24" customHeight="1">
      <c r="A1600" s="8">
        <v>1556</v>
      </c>
      <c r="B1600" s="9">
        <v>1556</v>
      </c>
      <c r="C1600" s="46">
        <v>46109</v>
      </c>
      <c r="D1600" s="9" t="s">
        <v>238</v>
      </c>
      <c r="E1600" s="56" t="str">
        <f>IFERROR(VLOOKUP($D1600,본공사입.출고현황!$B:$H,E$2080,0),0)</f>
        <v>Steel round bar</v>
      </c>
      <c r="F1600" s="18" t="str">
        <f>IFERROR(VLOOKUP($D1600,본공사입.출고현황!$B:$H,F$2080,0),0)</f>
        <v>Steel round bar(rebar)</v>
      </c>
      <c r="G1600" s="18" t="str">
        <f>IFERROR(VLOOKUP($D1600,본공사입.출고현황!$B:$H,G$2080,0),0)</f>
        <v>CCGG</v>
      </c>
      <c r="H1600" s="18" t="str">
        <f>IFERROR(VLOOKUP($D1600,본공사입.출고현황!$B:$H,H$2080,0),0)</f>
        <v>ф10, 1ton=1,620.7m</v>
      </c>
      <c r="I1600" s="56" t="str">
        <f>IFERROR(VLOOKUP($D1600,본공사입.출고현황!$B:$H,I$2080,0),0)</f>
        <v>M</v>
      </c>
      <c r="J1600" s="9">
        <v>1</v>
      </c>
      <c r="K1600" s="9" t="s">
        <v>547</v>
      </c>
      <c r="L1600" s="37">
        <v>25</v>
      </c>
      <c r="M1600" s="64" t="s">
        <v>408</v>
      </c>
      <c r="N1600" s="4"/>
    </row>
    <row r="1601" spans="1:14" ht="24" customHeight="1">
      <c r="A1601" s="8">
        <v>1557</v>
      </c>
      <c r="B1601" s="9">
        <v>1557</v>
      </c>
      <c r="C1601" s="46">
        <v>46109</v>
      </c>
      <c r="D1601" s="9" t="s">
        <v>238</v>
      </c>
      <c r="E1601" s="56" t="str">
        <f>IFERROR(VLOOKUP($D1601,본공사입.출고현황!$B:$H,E$2080,0),0)</f>
        <v>Steel round bar</v>
      </c>
      <c r="F1601" s="18" t="str">
        <f>IFERROR(VLOOKUP($D1601,본공사입.출고현황!$B:$H,F$2080,0),0)</f>
        <v>Steel round bar(rebar)</v>
      </c>
      <c r="G1601" s="18" t="str">
        <f>IFERROR(VLOOKUP($D1601,본공사입.출고현황!$B:$H,G$2080,0),0)</f>
        <v>CCGG</v>
      </c>
      <c r="H1601" s="18" t="str">
        <f>IFERROR(VLOOKUP($D1601,본공사입.출고현황!$B:$H,H$2080,0),0)</f>
        <v>ф10, 1ton=1,620.7m</v>
      </c>
      <c r="I1601" s="56" t="str">
        <f>IFERROR(VLOOKUP($D1601,본공사입.출고현황!$B:$H,I$2080,0),0)</f>
        <v>M</v>
      </c>
      <c r="J1601" s="9">
        <v>1</v>
      </c>
      <c r="K1601" s="9" t="s">
        <v>547</v>
      </c>
      <c r="L1601" s="37">
        <v>25</v>
      </c>
      <c r="M1601" s="64" t="s">
        <v>408</v>
      </c>
      <c r="N1601" s="4"/>
    </row>
    <row r="1602" spans="1:14" ht="24" customHeight="1">
      <c r="A1602" s="8">
        <v>1558</v>
      </c>
      <c r="B1602" s="9">
        <v>1558</v>
      </c>
      <c r="C1602" s="46">
        <v>46109</v>
      </c>
      <c r="D1602" s="9" t="s">
        <v>238</v>
      </c>
      <c r="E1602" s="56" t="str">
        <f>IFERROR(VLOOKUP($D1602,본공사입.출고현황!$B:$H,E$2080,0),0)</f>
        <v>Steel round bar</v>
      </c>
      <c r="F1602" s="18" t="str">
        <f>IFERROR(VLOOKUP($D1602,본공사입.출고현황!$B:$H,F$2080,0),0)</f>
        <v>Steel round bar(rebar)</v>
      </c>
      <c r="G1602" s="18" t="str">
        <f>IFERROR(VLOOKUP($D1602,본공사입.출고현황!$B:$H,G$2080,0),0)</f>
        <v>CCGG</v>
      </c>
      <c r="H1602" s="18" t="str">
        <f>IFERROR(VLOOKUP($D1602,본공사입.출고현황!$B:$H,H$2080,0),0)</f>
        <v>ф10, 1ton=1,620.7m</v>
      </c>
      <c r="I1602" s="56" t="str">
        <f>IFERROR(VLOOKUP($D1602,본공사입.출고현황!$B:$H,I$2080,0),0)</f>
        <v>M</v>
      </c>
      <c r="J1602" s="9">
        <v>1</v>
      </c>
      <c r="K1602" s="9" t="s">
        <v>363</v>
      </c>
      <c r="L1602" s="37">
        <v>25</v>
      </c>
      <c r="M1602" s="64" t="s">
        <v>408</v>
      </c>
      <c r="N1602" s="4"/>
    </row>
    <row r="1603" spans="1:14" ht="24" customHeight="1">
      <c r="A1603" s="8">
        <v>1559</v>
      </c>
      <c r="B1603" s="9">
        <v>1559</v>
      </c>
      <c r="C1603" s="46">
        <v>46109</v>
      </c>
      <c r="D1603" s="9" t="s">
        <v>238</v>
      </c>
      <c r="E1603" s="56" t="str">
        <f>IFERROR(VLOOKUP($D1603,본공사입.출고현황!$B:$H,E$2080,0),0)</f>
        <v>Steel round bar</v>
      </c>
      <c r="F1603" s="18" t="str">
        <f>IFERROR(VLOOKUP($D1603,본공사입.출고현황!$B:$H,F$2080,0),0)</f>
        <v>Steel round bar(rebar)</v>
      </c>
      <c r="G1603" s="18" t="str">
        <f>IFERROR(VLOOKUP($D1603,본공사입.출고현황!$B:$H,G$2080,0),0)</f>
        <v>CCGG</v>
      </c>
      <c r="H1603" s="18" t="str">
        <f>IFERROR(VLOOKUP($D1603,본공사입.출고현황!$B:$H,H$2080,0),0)</f>
        <v>ф10, 1ton=1,620.7m</v>
      </c>
      <c r="I1603" s="56" t="str">
        <f>IFERROR(VLOOKUP($D1603,본공사입.출고현황!$B:$H,I$2080,0),0)</f>
        <v>M</v>
      </c>
      <c r="J1603" s="9">
        <v>3</v>
      </c>
      <c r="K1603" s="9" t="s">
        <v>550</v>
      </c>
      <c r="L1603" s="37">
        <v>25</v>
      </c>
      <c r="M1603" s="64" t="s">
        <v>408</v>
      </c>
      <c r="N1603" s="4"/>
    </row>
    <row r="1604" spans="1:14" ht="24" customHeight="1">
      <c r="A1604" s="8">
        <v>1560</v>
      </c>
      <c r="B1604" s="9">
        <v>1560</v>
      </c>
      <c r="C1604" s="46">
        <v>46109</v>
      </c>
      <c r="D1604" s="9" t="s">
        <v>238</v>
      </c>
      <c r="E1604" s="56" t="str">
        <f>IFERROR(VLOOKUP($D1604,본공사입.출고현황!$B:$H,E$2080,0),0)</f>
        <v>Steel round bar</v>
      </c>
      <c r="F1604" s="18" t="str">
        <f>IFERROR(VLOOKUP($D1604,본공사입.출고현황!$B:$H,F$2080,0),0)</f>
        <v>Steel round bar(rebar)</v>
      </c>
      <c r="G1604" s="18" t="str">
        <f>IFERROR(VLOOKUP($D1604,본공사입.출고현황!$B:$H,G$2080,0),0)</f>
        <v>CCGG</v>
      </c>
      <c r="H1604" s="18" t="str">
        <f>IFERROR(VLOOKUP($D1604,본공사입.출고현황!$B:$H,H$2080,0),0)</f>
        <v>ф10, 1ton=1,620.7m</v>
      </c>
      <c r="I1604" s="56" t="str">
        <f>IFERROR(VLOOKUP($D1604,본공사입.출고현황!$B:$H,I$2080,0),0)</f>
        <v>M</v>
      </c>
      <c r="J1604" s="9">
        <v>2</v>
      </c>
      <c r="K1604" s="9" t="s">
        <v>360</v>
      </c>
      <c r="L1604" s="37">
        <v>20</v>
      </c>
      <c r="M1604" s="64" t="s">
        <v>408</v>
      </c>
      <c r="N1604" s="4"/>
    </row>
    <row r="1605" spans="1:14" ht="24" customHeight="1">
      <c r="A1605" s="8">
        <v>1561</v>
      </c>
      <c r="B1605" s="9">
        <v>1561</v>
      </c>
      <c r="C1605" s="46">
        <v>46109</v>
      </c>
      <c r="D1605" s="9" t="s">
        <v>238</v>
      </c>
      <c r="E1605" s="56" t="str">
        <f>IFERROR(VLOOKUP($D1605,본공사입.출고현황!$B:$H,E$2080,0),0)</f>
        <v>Steel round bar</v>
      </c>
      <c r="F1605" s="18" t="str">
        <f>IFERROR(VLOOKUP($D1605,본공사입.출고현황!$B:$H,F$2080,0),0)</f>
        <v>Steel round bar(rebar)</v>
      </c>
      <c r="G1605" s="18" t="str">
        <f>IFERROR(VLOOKUP($D1605,본공사입.출고현황!$B:$H,G$2080,0),0)</f>
        <v>CCGG</v>
      </c>
      <c r="H1605" s="18" t="str">
        <f>IFERROR(VLOOKUP($D1605,본공사입.출고현황!$B:$H,H$2080,0),0)</f>
        <v>ф10, 1ton=1,620.7m</v>
      </c>
      <c r="I1605" s="56" t="str">
        <f>IFERROR(VLOOKUP($D1605,본공사입.출고현황!$B:$H,I$2080,0),0)</f>
        <v>M</v>
      </c>
      <c r="J1605" s="9">
        <v>1</v>
      </c>
      <c r="K1605" s="9" t="s">
        <v>352</v>
      </c>
      <c r="L1605" s="37">
        <v>30</v>
      </c>
      <c r="M1605" s="64" t="s">
        <v>408</v>
      </c>
      <c r="N1605" s="4"/>
    </row>
    <row r="1606" spans="1:14" ht="24" customHeight="1">
      <c r="A1606" s="8">
        <v>1562</v>
      </c>
      <c r="B1606" s="9">
        <v>1562</v>
      </c>
      <c r="C1606" s="46">
        <v>46110</v>
      </c>
      <c r="D1606" s="9" t="s">
        <v>238</v>
      </c>
      <c r="E1606" s="56" t="str">
        <f>IFERROR(VLOOKUP($D1606,본공사입.출고현황!$B:$H,E$2080,0),0)</f>
        <v>Steel round bar</v>
      </c>
      <c r="F1606" s="18" t="str">
        <f>IFERROR(VLOOKUP($D1606,본공사입.출고현황!$B:$H,F$2080,0),0)</f>
        <v>Steel round bar(rebar)</v>
      </c>
      <c r="G1606" s="18" t="str">
        <f>IFERROR(VLOOKUP($D1606,본공사입.출고현황!$B:$H,G$2080,0),0)</f>
        <v>CCGG</v>
      </c>
      <c r="H1606" s="18" t="str">
        <f>IFERROR(VLOOKUP($D1606,본공사입.출고현황!$B:$H,H$2080,0),0)</f>
        <v>ф10, 1ton=1,620.7m</v>
      </c>
      <c r="I1606" s="56" t="str">
        <f>IFERROR(VLOOKUP($D1606,본공사입.출고현황!$B:$H,I$2080,0),0)</f>
        <v>M</v>
      </c>
      <c r="J1606" s="9">
        <v>1</v>
      </c>
      <c r="K1606" s="9" t="s">
        <v>352</v>
      </c>
      <c r="L1606" s="37">
        <v>25</v>
      </c>
      <c r="M1606" s="64" t="s">
        <v>408</v>
      </c>
      <c r="N1606" s="4"/>
    </row>
    <row r="1607" spans="1:14" ht="24" customHeight="1">
      <c r="A1607" s="8">
        <v>1563</v>
      </c>
      <c r="B1607" s="9">
        <v>1563</v>
      </c>
      <c r="C1607" s="46">
        <v>46110</v>
      </c>
      <c r="D1607" s="9" t="s">
        <v>238</v>
      </c>
      <c r="E1607" s="56" t="str">
        <f>IFERROR(VLOOKUP($D1607,본공사입.출고현황!$B:$H,E$2080,0),0)</f>
        <v>Steel round bar</v>
      </c>
      <c r="F1607" s="18" t="str">
        <f>IFERROR(VLOOKUP($D1607,본공사입.출고현황!$B:$H,F$2080,0),0)</f>
        <v>Steel round bar(rebar)</v>
      </c>
      <c r="G1607" s="18" t="str">
        <f>IFERROR(VLOOKUP($D1607,본공사입.출고현황!$B:$H,G$2080,0),0)</f>
        <v>CCGG</v>
      </c>
      <c r="H1607" s="18" t="str">
        <f>IFERROR(VLOOKUP($D1607,본공사입.출고현황!$B:$H,H$2080,0),0)</f>
        <v>ф10, 1ton=1,620.7m</v>
      </c>
      <c r="I1607" s="56" t="str">
        <f>IFERROR(VLOOKUP($D1607,본공사입.출고현황!$B:$H,I$2080,0),0)</f>
        <v>M</v>
      </c>
      <c r="J1607" s="9">
        <v>2</v>
      </c>
      <c r="K1607" s="9" t="s">
        <v>546</v>
      </c>
      <c r="L1607" s="37">
        <v>15</v>
      </c>
      <c r="M1607" s="64" t="s">
        <v>408</v>
      </c>
      <c r="N1607" s="4"/>
    </row>
    <row r="1608" spans="1:14" ht="24" customHeight="1">
      <c r="A1608" s="8">
        <v>1564</v>
      </c>
      <c r="B1608" s="9">
        <v>1564</v>
      </c>
      <c r="C1608" s="46">
        <v>46110</v>
      </c>
      <c r="D1608" s="9" t="s">
        <v>238</v>
      </c>
      <c r="E1608" s="56" t="str">
        <f>IFERROR(VLOOKUP($D1608,본공사입.출고현황!$B:$H,E$2080,0),0)</f>
        <v>Steel round bar</v>
      </c>
      <c r="F1608" s="18" t="str">
        <f>IFERROR(VLOOKUP($D1608,본공사입.출고현황!$B:$H,F$2080,0),0)</f>
        <v>Steel round bar(rebar)</v>
      </c>
      <c r="G1608" s="18" t="str">
        <f>IFERROR(VLOOKUP($D1608,본공사입.출고현황!$B:$H,G$2080,0),0)</f>
        <v>CCGG</v>
      </c>
      <c r="H1608" s="18" t="str">
        <f>IFERROR(VLOOKUP($D1608,본공사입.출고현황!$B:$H,H$2080,0),0)</f>
        <v>ф10, 1ton=1,620.7m</v>
      </c>
      <c r="I1608" s="56" t="str">
        <f>IFERROR(VLOOKUP($D1608,본공사입.출고현황!$B:$H,I$2080,0),0)</f>
        <v>M</v>
      </c>
      <c r="J1608" s="9">
        <v>4</v>
      </c>
      <c r="K1608" s="9" t="s">
        <v>359</v>
      </c>
      <c r="L1608" s="37">
        <v>30</v>
      </c>
      <c r="M1608" s="64" t="s">
        <v>408</v>
      </c>
      <c r="N1608" s="4"/>
    </row>
    <row r="1609" spans="1:14" ht="24" customHeight="1">
      <c r="A1609" s="8">
        <v>1565</v>
      </c>
      <c r="B1609" s="9">
        <v>1565</v>
      </c>
      <c r="C1609" s="46">
        <v>46110</v>
      </c>
      <c r="D1609" s="9" t="s">
        <v>238</v>
      </c>
      <c r="E1609" s="56" t="str">
        <f>IFERROR(VLOOKUP($D1609,본공사입.출고현황!$B:$H,E$2080,0),0)</f>
        <v>Steel round bar</v>
      </c>
      <c r="F1609" s="18" t="str">
        <f>IFERROR(VLOOKUP($D1609,본공사입.출고현황!$B:$H,F$2080,0),0)</f>
        <v>Steel round bar(rebar)</v>
      </c>
      <c r="G1609" s="18" t="str">
        <f>IFERROR(VLOOKUP($D1609,본공사입.출고현황!$B:$H,G$2080,0),0)</f>
        <v>CCGG</v>
      </c>
      <c r="H1609" s="18" t="str">
        <f>IFERROR(VLOOKUP($D1609,본공사입.출고현황!$B:$H,H$2080,0),0)</f>
        <v>ф10, 1ton=1,620.7m</v>
      </c>
      <c r="I1609" s="56" t="str">
        <f>IFERROR(VLOOKUP($D1609,본공사입.출고현황!$B:$H,I$2080,0),0)</f>
        <v>M</v>
      </c>
      <c r="J1609" s="9">
        <v>2</v>
      </c>
      <c r="K1609" s="9" t="s">
        <v>360</v>
      </c>
      <c r="L1609" s="37">
        <v>30</v>
      </c>
      <c r="M1609" s="64" t="s">
        <v>408</v>
      </c>
      <c r="N1609" s="4"/>
    </row>
    <row r="1610" spans="1:14" ht="24" customHeight="1">
      <c r="A1610" s="8">
        <v>1566</v>
      </c>
      <c r="B1610" s="9">
        <v>1566</v>
      </c>
      <c r="C1610" s="46">
        <v>46110</v>
      </c>
      <c r="D1610" s="9" t="s">
        <v>238</v>
      </c>
      <c r="E1610" s="56" t="str">
        <f>IFERROR(VLOOKUP($D1610,본공사입.출고현황!$B:$H,E$2080,0),0)</f>
        <v>Steel round bar</v>
      </c>
      <c r="F1610" s="18" t="str">
        <f>IFERROR(VLOOKUP($D1610,본공사입.출고현황!$B:$H,F$2080,0),0)</f>
        <v>Steel round bar(rebar)</v>
      </c>
      <c r="G1610" s="18" t="str">
        <f>IFERROR(VLOOKUP($D1610,본공사입.출고현황!$B:$H,G$2080,0),0)</f>
        <v>CCGG</v>
      </c>
      <c r="H1610" s="18" t="str">
        <f>IFERROR(VLOOKUP($D1610,본공사입.출고현황!$B:$H,H$2080,0),0)</f>
        <v>ф10, 1ton=1,620.7m</v>
      </c>
      <c r="I1610" s="56" t="str">
        <f>IFERROR(VLOOKUP($D1610,본공사입.출고현황!$B:$H,I$2080,0),0)</f>
        <v>M</v>
      </c>
      <c r="J1610" s="9">
        <v>3</v>
      </c>
      <c r="K1610" s="9" t="s">
        <v>237</v>
      </c>
      <c r="L1610" s="37">
        <v>20</v>
      </c>
      <c r="M1610" s="64" t="s">
        <v>408</v>
      </c>
      <c r="N1610" s="4"/>
    </row>
    <row r="1611" spans="1:14" ht="24" customHeight="1">
      <c r="A1611" s="8">
        <v>1567</v>
      </c>
      <c r="B1611" s="9">
        <v>1567</v>
      </c>
      <c r="C1611" s="46">
        <v>46110</v>
      </c>
      <c r="D1611" s="9" t="s">
        <v>238</v>
      </c>
      <c r="E1611" s="56" t="str">
        <f>IFERROR(VLOOKUP($D1611,본공사입.출고현황!$B:$H,E$2080,0),0)</f>
        <v>Steel round bar</v>
      </c>
      <c r="F1611" s="18" t="str">
        <f>IFERROR(VLOOKUP($D1611,본공사입.출고현황!$B:$H,F$2080,0),0)</f>
        <v>Steel round bar(rebar)</v>
      </c>
      <c r="G1611" s="18" t="str">
        <f>IFERROR(VLOOKUP($D1611,본공사입.출고현황!$B:$H,G$2080,0),0)</f>
        <v>CCGG</v>
      </c>
      <c r="H1611" s="18" t="str">
        <f>IFERROR(VLOOKUP($D1611,본공사입.출고현황!$B:$H,H$2080,0),0)</f>
        <v>ф10, 1ton=1,620.7m</v>
      </c>
      <c r="I1611" s="56" t="str">
        <f>IFERROR(VLOOKUP($D1611,본공사입.출고현황!$B:$H,I$2080,0),0)</f>
        <v>M</v>
      </c>
      <c r="J1611" s="9">
        <v>1</v>
      </c>
      <c r="K1611" s="9" t="s">
        <v>352</v>
      </c>
      <c r="L1611" s="37">
        <v>20</v>
      </c>
      <c r="M1611" s="64" t="s">
        <v>408</v>
      </c>
      <c r="N1611" s="4"/>
    </row>
    <row r="1612" spans="1:14" ht="24" customHeight="1">
      <c r="A1612" s="8">
        <v>1568</v>
      </c>
      <c r="B1612" s="9">
        <v>1568</v>
      </c>
      <c r="C1612" s="46">
        <v>46110</v>
      </c>
      <c r="D1612" s="9" t="s">
        <v>238</v>
      </c>
      <c r="E1612" s="56" t="str">
        <f>IFERROR(VLOOKUP($D1612,본공사입.출고현황!$B:$H,E$2080,0),0)</f>
        <v>Steel round bar</v>
      </c>
      <c r="F1612" s="18" t="str">
        <f>IFERROR(VLOOKUP($D1612,본공사입.출고현황!$B:$H,F$2080,0),0)</f>
        <v>Steel round bar(rebar)</v>
      </c>
      <c r="G1612" s="18" t="str">
        <f>IFERROR(VLOOKUP($D1612,본공사입.출고현황!$B:$H,G$2080,0),0)</f>
        <v>CCGG</v>
      </c>
      <c r="H1612" s="18" t="str">
        <f>IFERROR(VLOOKUP($D1612,본공사입.출고현황!$B:$H,H$2080,0),0)</f>
        <v>ф10, 1ton=1,620.7m</v>
      </c>
      <c r="I1612" s="56" t="str">
        <f>IFERROR(VLOOKUP($D1612,본공사입.출고현황!$B:$H,I$2080,0),0)</f>
        <v>M</v>
      </c>
      <c r="J1612" s="9">
        <v>1</v>
      </c>
      <c r="K1612" s="9" t="s">
        <v>352</v>
      </c>
      <c r="L1612" s="37">
        <v>25</v>
      </c>
      <c r="M1612" s="64" t="s">
        <v>408</v>
      </c>
      <c r="N1612" s="4"/>
    </row>
    <row r="1613" spans="1:14" ht="24" customHeight="1">
      <c r="A1613" s="8">
        <v>1569</v>
      </c>
      <c r="B1613" s="9">
        <v>1569</v>
      </c>
      <c r="C1613" s="46">
        <v>46110</v>
      </c>
      <c r="D1613" s="9" t="s">
        <v>238</v>
      </c>
      <c r="E1613" s="56" t="str">
        <f>IFERROR(VLOOKUP($D1613,본공사입.출고현황!$B:$H,E$2080,0),0)</f>
        <v>Steel round bar</v>
      </c>
      <c r="F1613" s="18" t="str">
        <f>IFERROR(VLOOKUP($D1613,본공사입.출고현황!$B:$H,F$2080,0),0)</f>
        <v>Steel round bar(rebar)</v>
      </c>
      <c r="G1613" s="18" t="str">
        <f>IFERROR(VLOOKUP($D1613,본공사입.출고현황!$B:$H,G$2080,0),0)</f>
        <v>CCGG</v>
      </c>
      <c r="H1613" s="18" t="str">
        <f>IFERROR(VLOOKUP($D1613,본공사입.출고현황!$B:$H,H$2080,0),0)</f>
        <v>ф10, 1ton=1,620.7m</v>
      </c>
      <c r="I1613" s="56" t="str">
        <f>IFERROR(VLOOKUP($D1613,본공사입.출고현황!$B:$H,I$2080,0),0)</f>
        <v>M</v>
      </c>
      <c r="J1613" s="9">
        <v>1</v>
      </c>
      <c r="K1613" s="9" t="s">
        <v>363</v>
      </c>
      <c r="L1613" s="37">
        <v>20</v>
      </c>
      <c r="M1613" s="64" t="s">
        <v>408</v>
      </c>
      <c r="N1613" s="4"/>
    </row>
    <row r="1614" spans="1:14" ht="24" customHeight="1">
      <c r="A1614" s="8">
        <v>1570</v>
      </c>
      <c r="B1614" s="9">
        <v>1570</v>
      </c>
      <c r="C1614" s="46">
        <v>46110</v>
      </c>
      <c r="D1614" s="9" t="s">
        <v>238</v>
      </c>
      <c r="E1614" s="56" t="str">
        <f>IFERROR(VLOOKUP($D1614,본공사입.출고현황!$B:$H,E$2080,0),0)</f>
        <v>Steel round bar</v>
      </c>
      <c r="F1614" s="18" t="str">
        <f>IFERROR(VLOOKUP($D1614,본공사입.출고현황!$B:$H,F$2080,0),0)</f>
        <v>Steel round bar(rebar)</v>
      </c>
      <c r="G1614" s="18" t="str">
        <f>IFERROR(VLOOKUP($D1614,본공사입.출고현황!$B:$H,G$2080,0),0)</f>
        <v>CCGG</v>
      </c>
      <c r="H1614" s="18" t="str">
        <f>IFERROR(VLOOKUP($D1614,본공사입.출고현황!$B:$H,H$2080,0),0)</f>
        <v>ф10, 1ton=1,620.7m</v>
      </c>
      <c r="I1614" s="56" t="str">
        <f>IFERROR(VLOOKUP($D1614,본공사입.출고현황!$B:$H,I$2080,0),0)</f>
        <v>M</v>
      </c>
      <c r="J1614" s="9">
        <v>1</v>
      </c>
      <c r="K1614" s="9" t="s">
        <v>545</v>
      </c>
      <c r="L1614" s="37">
        <v>25</v>
      </c>
      <c r="M1614" s="64" t="s">
        <v>408</v>
      </c>
      <c r="N1614" s="4"/>
    </row>
    <row r="1615" spans="1:14" ht="24" customHeight="1">
      <c r="A1615" s="8">
        <v>1571</v>
      </c>
      <c r="B1615" s="9">
        <v>1571</v>
      </c>
      <c r="C1615" s="46">
        <v>46110</v>
      </c>
      <c r="D1615" s="9" t="s">
        <v>238</v>
      </c>
      <c r="E1615" s="56" t="str">
        <f>IFERROR(VLOOKUP($D1615,본공사입.출고현황!$B:$H,E$2080,0),0)</f>
        <v>Steel round bar</v>
      </c>
      <c r="F1615" s="18" t="str">
        <f>IFERROR(VLOOKUP($D1615,본공사입.출고현황!$B:$H,F$2080,0),0)</f>
        <v>Steel round bar(rebar)</v>
      </c>
      <c r="G1615" s="18" t="str">
        <f>IFERROR(VLOOKUP($D1615,본공사입.출고현황!$B:$H,G$2080,0),0)</f>
        <v>CCGG</v>
      </c>
      <c r="H1615" s="18" t="str">
        <f>IFERROR(VLOOKUP($D1615,본공사입.출고현황!$B:$H,H$2080,0),0)</f>
        <v>ф10, 1ton=1,620.7m</v>
      </c>
      <c r="I1615" s="56" t="str">
        <f>IFERROR(VLOOKUP($D1615,본공사입.출고현황!$B:$H,I$2080,0),0)</f>
        <v>M</v>
      </c>
      <c r="J1615" s="9">
        <v>2</v>
      </c>
      <c r="K1615" s="9" t="s">
        <v>241</v>
      </c>
      <c r="L1615" s="37">
        <v>30</v>
      </c>
      <c r="M1615" s="64" t="s">
        <v>408</v>
      </c>
      <c r="N1615" s="4"/>
    </row>
    <row r="1616" spans="1:14" ht="24" customHeight="1">
      <c r="A1616" s="8">
        <v>1572</v>
      </c>
      <c r="B1616" s="9">
        <v>1572</v>
      </c>
      <c r="C1616" s="46">
        <v>46110</v>
      </c>
      <c r="D1616" s="9" t="s">
        <v>238</v>
      </c>
      <c r="E1616" s="56" t="str">
        <f>IFERROR(VLOOKUP($D1616,본공사입.출고현황!$B:$H,E$2080,0),0)</f>
        <v>Steel round bar</v>
      </c>
      <c r="F1616" s="18" t="str">
        <f>IFERROR(VLOOKUP($D1616,본공사입.출고현황!$B:$H,F$2080,0),0)</f>
        <v>Steel round bar(rebar)</v>
      </c>
      <c r="G1616" s="18" t="str">
        <f>IFERROR(VLOOKUP($D1616,본공사입.출고현황!$B:$H,G$2080,0),0)</f>
        <v>CCGG</v>
      </c>
      <c r="H1616" s="18" t="str">
        <f>IFERROR(VLOOKUP($D1616,본공사입.출고현황!$B:$H,H$2080,0),0)</f>
        <v>ф10, 1ton=1,620.7m</v>
      </c>
      <c r="I1616" s="56" t="str">
        <f>IFERROR(VLOOKUP($D1616,본공사입.출고현황!$B:$H,I$2080,0),0)</f>
        <v>M</v>
      </c>
      <c r="J1616" s="9">
        <v>3</v>
      </c>
      <c r="K1616" s="9" t="s">
        <v>550</v>
      </c>
      <c r="L1616" s="37">
        <v>25</v>
      </c>
      <c r="M1616" s="64" t="s">
        <v>408</v>
      </c>
      <c r="N1616" s="4"/>
    </row>
    <row r="1617" spans="1:14" ht="24" customHeight="1">
      <c r="A1617" s="8">
        <v>1573</v>
      </c>
      <c r="B1617" s="9">
        <v>1573</v>
      </c>
      <c r="C1617" s="46">
        <v>46111</v>
      </c>
      <c r="D1617" s="9" t="s">
        <v>238</v>
      </c>
      <c r="E1617" s="56" t="str">
        <f>IFERROR(VLOOKUP($D1617,본공사입.출고현황!$B:$H,E$2080,0),0)</f>
        <v>Steel round bar</v>
      </c>
      <c r="F1617" s="18" t="str">
        <f>IFERROR(VLOOKUP($D1617,본공사입.출고현황!$B:$H,F$2080,0),0)</f>
        <v>Steel round bar(rebar)</v>
      </c>
      <c r="G1617" s="18" t="str">
        <f>IFERROR(VLOOKUP($D1617,본공사입.출고현황!$B:$H,G$2080,0),0)</f>
        <v>CCGG</v>
      </c>
      <c r="H1617" s="18" t="str">
        <f>IFERROR(VLOOKUP($D1617,본공사입.출고현황!$B:$H,H$2080,0),0)</f>
        <v>ф10, 1ton=1,620.7m</v>
      </c>
      <c r="I1617" s="56" t="str">
        <f>IFERROR(VLOOKUP($D1617,본공사입.출고현황!$B:$H,I$2080,0),0)</f>
        <v>M</v>
      </c>
      <c r="J1617" s="9">
        <v>3</v>
      </c>
      <c r="K1617" s="9" t="s">
        <v>550</v>
      </c>
      <c r="L1617" s="37">
        <v>25</v>
      </c>
      <c r="M1617" s="64" t="s">
        <v>408</v>
      </c>
      <c r="N1617" s="4"/>
    </row>
    <row r="1618" spans="1:14" ht="24" customHeight="1">
      <c r="A1618" s="8">
        <v>1574</v>
      </c>
      <c r="B1618" s="9">
        <v>1574</v>
      </c>
      <c r="C1618" s="46">
        <v>46111</v>
      </c>
      <c r="D1618" s="9" t="s">
        <v>238</v>
      </c>
      <c r="E1618" s="56" t="str">
        <f>IFERROR(VLOOKUP($D1618,본공사입.출고현황!$B:$H,E$2080,0),0)</f>
        <v>Steel round bar</v>
      </c>
      <c r="F1618" s="18" t="str">
        <f>IFERROR(VLOOKUP($D1618,본공사입.출고현황!$B:$H,F$2080,0),0)</f>
        <v>Steel round bar(rebar)</v>
      </c>
      <c r="G1618" s="18" t="str">
        <f>IFERROR(VLOOKUP($D1618,본공사입.출고현황!$B:$H,G$2080,0),0)</f>
        <v>CCGG</v>
      </c>
      <c r="H1618" s="18" t="str">
        <f>IFERROR(VLOOKUP($D1618,본공사입.출고현황!$B:$H,H$2080,0),0)</f>
        <v>ф10, 1ton=1,620.7m</v>
      </c>
      <c r="I1618" s="56" t="str">
        <f>IFERROR(VLOOKUP($D1618,본공사입.출고현황!$B:$H,I$2080,0),0)</f>
        <v>M</v>
      </c>
      <c r="J1618" s="9">
        <v>1</v>
      </c>
      <c r="K1618" s="9" t="s">
        <v>363</v>
      </c>
      <c r="L1618" s="37">
        <v>25</v>
      </c>
      <c r="M1618" s="64" t="s">
        <v>408</v>
      </c>
      <c r="N1618" s="4"/>
    </row>
    <row r="1619" spans="1:14" ht="24" customHeight="1">
      <c r="A1619" s="8">
        <v>1575</v>
      </c>
      <c r="B1619" s="9">
        <v>1575</v>
      </c>
      <c r="C1619" s="46">
        <v>46111</v>
      </c>
      <c r="D1619" s="9" t="s">
        <v>238</v>
      </c>
      <c r="E1619" s="56" t="str">
        <f>IFERROR(VLOOKUP($D1619,본공사입.출고현황!$B:$H,E$2080,0),0)</f>
        <v>Steel round bar</v>
      </c>
      <c r="F1619" s="18" t="str">
        <f>IFERROR(VLOOKUP($D1619,본공사입.출고현황!$B:$H,F$2080,0),0)</f>
        <v>Steel round bar(rebar)</v>
      </c>
      <c r="G1619" s="18" t="str">
        <f>IFERROR(VLOOKUP($D1619,본공사입.출고현황!$B:$H,G$2080,0),0)</f>
        <v>CCGG</v>
      </c>
      <c r="H1619" s="18" t="str">
        <f>IFERROR(VLOOKUP($D1619,본공사입.출고현황!$B:$H,H$2080,0),0)</f>
        <v>ф10, 1ton=1,620.7m</v>
      </c>
      <c r="I1619" s="56" t="str">
        <f>IFERROR(VLOOKUP($D1619,본공사입.출고현황!$B:$H,I$2080,0),0)</f>
        <v>M</v>
      </c>
      <c r="J1619" s="9">
        <v>1</v>
      </c>
      <c r="K1619" s="9" t="s">
        <v>547</v>
      </c>
      <c r="L1619" s="37">
        <v>20</v>
      </c>
      <c r="M1619" s="64" t="s">
        <v>408</v>
      </c>
      <c r="N1619" s="4"/>
    </row>
    <row r="1620" spans="1:14" ht="24" customHeight="1">
      <c r="A1620" s="8">
        <v>1576</v>
      </c>
      <c r="B1620" s="9">
        <v>1576</v>
      </c>
      <c r="C1620" s="46">
        <v>46111</v>
      </c>
      <c r="D1620" s="9" t="s">
        <v>238</v>
      </c>
      <c r="E1620" s="56" t="str">
        <f>IFERROR(VLOOKUP($D1620,본공사입.출고현황!$B:$H,E$2080,0),0)</f>
        <v>Steel round bar</v>
      </c>
      <c r="F1620" s="18" t="str">
        <f>IFERROR(VLOOKUP($D1620,본공사입.출고현황!$B:$H,F$2080,0),0)</f>
        <v>Steel round bar(rebar)</v>
      </c>
      <c r="G1620" s="18" t="str">
        <f>IFERROR(VLOOKUP($D1620,본공사입.출고현황!$B:$H,G$2080,0),0)</f>
        <v>CCGG</v>
      </c>
      <c r="H1620" s="18" t="str">
        <f>IFERROR(VLOOKUP($D1620,본공사입.출고현황!$B:$H,H$2080,0),0)</f>
        <v>ф10, 1ton=1,620.7m</v>
      </c>
      <c r="I1620" s="56" t="str">
        <f>IFERROR(VLOOKUP($D1620,본공사입.출고현황!$B:$H,I$2080,0),0)</f>
        <v>M</v>
      </c>
      <c r="J1620" s="9">
        <v>1</v>
      </c>
      <c r="K1620" s="9" t="s">
        <v>363</v>
      </c>
      <c r="L1620" s="37">
        <v>15</v>
      </c>
      <c r="M1620" s="64" t="s">
        <v>408</v>
      </c>
      <c r="N1620" s="4"/>
    </row>
    <row r="1621" spans="1:14" ht="24" customHeight="1">
      <c r="A1621" s="8">
        <v>1577</v>
      </c>
      <c r="B1621" s="9">
        <v>1577</v>
      </c>
      <c r="C1621" s="46">
        <v>46111</v>
      </c>
      <c r="D1621" s="9" t="s">
        <v>238</v>
      </c>
      <c r="E1621" s="56" t="str">
        <f>IFERROR(VLOOKUP($D1621,본공사입.출고현황!$B:$H,E$2080,0),0)</f>
        <v>Steel round bar</v>
      </c>
      <c r="F1621" s="18" t="str">
        <f>IFERROR(VLOOKUP($D1621,본공사입.출고현황!$B:$H,F$2080,0),0)</f>
        <v>Steel round bar(rebar)</v>
      </c>
      <c r="G1621" s="18" t="str">
        <f>IFERROR(VLOOKUP($D1621,본공사입.출고현황!$B:$H,G$2080,0),0)</f>
        <v>CCGG</v>
      </c>
      <c r="H1621" s="18" t="str">
        <f>IFERROR(VLOOKUP($D1621,본공사입.출고현황!$B:$H,H$2080,0),0)</f>
        <v>ф10, 1ton=1,620.7m</v>
      </c>
      <c r="I1621" s="56" t="str">
        <f>IFERROR(VLOOKUP($D1621,본공사입.출고현황!$B:$H,I$2080,0),0)</f>
        <v>M</v>
      </c>
      <c r="J1621" s="9">
        <v>3</v>
      </c>
      <c r="K1621" s="9" t="s">
        <v>550</v>
      </c>
      <c r="L1621" s="37">
        <v>15</v>
      </c>
      <c r="M1621" s="64" t="s">
        <v>408</v>
      </c>
      <c r="N1621" s="4"/>
    </row>
    <row r="1622" spans="1:14" ht="24" customHeight="1">
      <c r="A1622" s="8">
        <v>1578</v>
      </c>
      <c r="B1622" s="9">
        <v>1578</v>
      </c>
      <c r="C1622" s="46">
        <v>46111</v>
      </c>
      <c r="D1622" s="9" t="s">
        <v>238</v>
      </c>
      <c r="E1622" s="56" t="str">
        <f>IFERROR(VLOOKUP($D1622,본공사입.출고현황!$B:$H,E$2080,0),0)</f>
        <v>Steel round bar</v>
      </c>
      <c r="F1622" s="18" t="str">
        <f>IFERROR(VLOOKUP($D1622,본공사입.출고현황!$B:$H,F$2080,0),0)</f>
        <v>Steel round bar(rebar)</v>
      </c>
      <c r="G1622" s="18" t="str">
        <f>IFERROR(VLOOKUP($D1622,본공사입.출고현황!$B:$H,G$2080,0),0)</f>
        <v>CCGG</v>
      </c>
      <c r="H1622" s="18" t="str">
        <f>IFERROR(VLOOKUP($D1622,본공사입.출고현황!$B:$H,H$2080,0),0)</f>
        <v>ф10, 1ton=1,620.7m</v>
      </c>
      <c r="I1622" s="56" t="str">
        <f>IFERROR(VLOOKUP($D1622,본공사입.출고현황!$B:$H,I$2080,0),0)</f>
        <v>M</v>
      </c>
      <c r="J1622" s="9">
        <v>2</v>
      </c>
      <c r="K1622" s="9" t="s">
        <v>360</v>
      </c>
      <c r="L1622" s="37">
        <v>20</v>
      </c>
      <c r="M1622" s="64" t="s">
        <v>408</v>
      </c>
      <c r="N1622" s="4"/>
    </row>
    <row r="1623" spans="1:14" ht="24" customHeight="1">
      <c r="A1623" s="8">
        <v>1579</v>
      </c>
      <c r="B1623" s="9">
        <v>1579</v>
      </c>
      <c r="C1623" s="46">
        <v>46111</v>
      </c>
      <c r="D1623" s="9" t="s">
        <v>238</v>
      </c>
      <c r="E1623" s="56" t="str">
        <f>IFERROR(VLOOKUP($D1623,본공사입.출고현황!$B:$H,E$2080,0),0)</f>
        <v>Steel round bar</v>
      </c>
      <c r="F1623" s="18" t="str">
        <f>IFERROR(VLOOKUP($D1623,본공사입.출고현황!$B:$H,F$2080,0),0)</f>
        <v>Steel round bar(rebar)</v>
      </c>
      <c r="G1623" s="18" t="str">
        <f>IFERROR(VLOOKUP($D1623,본공사입.출고현황!$B:$H,G$2080,0),0)</f>
        <v>CCGG</v>
      </c>
      <c r="H1623" s="18" t="str">
        <f>IFERROR(VLOOKUP($D1623,본공사입.출고현황!$B:$H,H$2080,0),0)</f>
        <v>ф10, 1ton=1,620.7m</v>
      </c>
      <c r="I1623" s="56" t="str">
        <f>IFERROR(VLOOKUP($D1623,본공사입.출고현황!$B:$H,I$2080,0),0)</f>
        <v>M</v>
      </c>
      <c r="J1623" s="9">
        <v>1</v>
      </c>
      <c r="K1623" s="9" t="s">
        <v>352</v>
      </c>
      <c r="L1623" s="37">
        <v>20</v>
      </c>
      <c r="M1623" s="64" t="s">
        <v>408</v>
      </c>
      <c r="N1623" s="4"/>
    </row>
    <row r="1624" spans="1:14" ht="24" customHeight="1">
      <c r="A1624" s="8">
        <v>1580</v>
      </c>
      <c r="B1624" s="9">
        <v>1580</v>
      </c>
      <c r="C1624" s="46">
        <v>46111</v>
      </c>
      <c r="D1624" s="9" t="s">
        <v>238</v>
      </c>
      <c r="E1624" s="56" t="str">
        <f>IFERROR(VLOOKUP($D1624,본공사입.출고현황!$B:$H,E$2080,0),0)</f>
        <v>Steel round bar</v>
      </c>
      <c r="F1624" s="18" t="str">
        <f>IFERROR(VLOOKUP($D1624,본공사입.출고현황!$B:$H,F$2080,0),0)</f>
        <v>Steel round bar(rebar)</v>
      </c>
      <c r="G1624" s="18" t="str">
        <f>IFERROR(VLOOKUP($D1624,본공사입.출고현황!$B:$H,G$2080,0),0)</f>
        <v>CCGG</v>
      </c>
      <c r="H1624" s="18" t="str">
        <f>IFERROR(VLOOKUP($D1624,본공사입.출고현황!$B:$H,H$2080,0),0)</f>
        <v>ф10, 1ton=1,620.7m</v>
      </c>
      <c r="I1624" s="56" t="str">
        <f>IFERROR(VLOOKUP($D1624,본공사입.출고현황!$B:$H,I$2080,0),0)</f>
        <v>M</v>
      </c>
      <c r="J1624" s="9">
        <v>2</v>
      </c>
      <c r="K1624" s="9" t="s">
        <v>546</v>
      </c>
      <c r="L1624" s="37">
        <v>20</v>
      </c>
      <c r="M1624" s="64" t="s">
        <v>408</v>
      </c>
      <c r="N1624" s="4"/>
    </row>
    <row r="1625" spans="1:14" ht="24" customHeight="1">
      <c r="A1625" s="8">
        <v>1581</v>
      </c>
      <c r="B1625" s="9">
        <v>1581</v>
      </c>
      <c r="C1625" s="46">
        <v>46111</v>
      </c>
      <c r="D1625" s="9" t="s">
        <v>238</v>
      </c>
      <c r="E1625" s="56" t="str">
        <f>IFERROR(VLOOKUP($D1625,본공사입.출고현황!$B:$H,E$2080,0),0)</f>
        <v>Steel round bar</v>
      </c>
      <c r="F1625" s="18" t="str">
        <f>IFERROR(VLOOKUP($D1625,본공사입.출고현황!$B:$H,F$2080,0),0)</f>
        <v>Steel round bar(rebar)</v>
      </c>
      <c r="G1625" s="18" t="str">
        <f>IFERROR(VLOOKUP($D1625,본공사입.출고현황!$B:$H,G$2080,0),0)</f>
        <v>CCGG</v>
      </c>
      <c r="H1625" s="18" t="str">
        <f>IFERROR(VLOOKUP($D1625,본공사입.출고현황!$B:$H,H$2080,0),0)</f>
        <v>ф10, 1ton=1,620.7m</v>
      </c>
      <c r="I1625" s="56" t="str">
        <f>IFERROR(VLOOKUP($D1625,본공사입.출고현황!$B:$H,I$2080,0),0)</f>
        <v>M</v>
      </c>
      <c r="J1625" s="9">
        <v>4</v>
      </c>
      <c r="K1625" s="9" t="s">
        <v>359</v>
      </c>
      <c r="L1625" s="37">
        <v>25</v>
      </c>
      <c r="M1625" s="64" t="s">
        <v>408</v>
      </c>
      <c r="N1625" s="4"/>
    </row>
    <row r="1626" spans="1:14" ht="24" customHeight="1">
      <c r="A1626" s="8">
        <v>1582</v>
      </c>
      <c r="B1626" s="9">
        <v>1582</v>
      </c>
      <c r="C1626" s="46">
        <v>46111</v>
      </c>
      <c r="D1626" s="9" t="s">
        <v>238</v>
      </c>
      <c r="E1626" s="56" t="str">
        <f>IFERROR(VLOOKUP($D1626,본공사입.출고현황!$B:$H,E$2080,0),0)</f>
        <v>Steel round bar</v>
      </c>
      <c r="F1626" s="18" t="str">
        <f>IFERROR(VLOOKUP($D1626,본공사입.출고현황!$B:$H,F$2080,0),0)</f>
        <v>Steel round bar(rebar)</v>
      </c>
      <c r="G1626" s="18" t="str">
        <f>IFERROR(VLOOKUP($D1626,본공사입.출고현황!$B:$H,G$2080,0),0)</f>
        <v>CCGG</v>
      </c>
      <c r="H1626" s="18" t="str">
        <f>IFERROR(VLOOKUP($D1626,본공사입.출고현황!$B:$H,H$2080,0),0)</f>
        <v>ф10, 1ton=1,620.7m</v>
      </c>
      <c r="I1626" s="56" t="str">
        <f>IFERROR(VLOOKUP($D1626,본공사입.출고현황!$B:$H,I$2080,0),0)</f>
        <v>M</v>
      </c>
      <c r="J1626" s="9" t="s">
        <v>634</v>
      </c>
      <c r="K1626" s="9" t="s">
        <v>245</v>
      </c>
      <c r="L1626" s="37">
        <v>500</v>
      </c>
      <c r="M1626" s="64" t="s">
        <v>408</v>
      </c>
      <c r="N1626" s="4"/>
    </row>
    <row r="1627" spans="1:14" ht="24" customHeight="1">
      <c r="A1627" s="8">
        <v>1583</v>
      </c>
      <c r="B1627" s="9">
        <v>1583</v>
      </c>
      <c r="C1627" s="46">
        <v>46111</v>
      </c>
      <c r="D1627" s="9" t="s">
        <v>238</v>
      </c>
      <c r="E1627" s="56" t="str">
        <f>IFERROR(VLOOKUP($D1627,본공사입.출고현황!$B:$H,E$2080,0),0)</f>
        <v>Steel round bar</v>
      </c>
      <c r="F1627" s="18" t="str">
        <f>IFERROR(VLOOKUP($D1627,본공사입.출고현황!$B:$H,F$2080,0),0)</f>
        <v>Steel round bar(rebar)</v>
      </c>
      <c r="G1627" s="18" t="str">
        <f>IFERROR(VLOOKUP($D1627,본공사입.출고현황!$B:$H,G$2080,0),0)</f>
        <v>CCGG</v>
      </c>
      <c r="H1627" s="18" t="str">
        <f>IFERROR(VLOOKUP($D1627,본공사입.출고현황!$B:$H,H$2080,0),0)</f>
        <v>ф10, 1ton=1,620.7m</v>
      </c>
      <c r="I1627" s="56" t="str">
        <f>IFERROR(VLOOKUP($D1627,본공사입.출고현황!$B:$H,I$2080,0),0)</f>
        <v>M</v>
      </c>
      <c r="J1627" s="9">
        <v>1</v>
      </c>
      <c r="K1627" s="9" t="s">
        <v>547</v>
      </c>
      <c r="L1627" s="37">
        <v>30</v>
      </c>
      <c r="M1627" s="64" t="s">
        <v>408</v>
      </c>
      <c r="N1627" s="4"/>
    </row>
    <row r="1628" spans="1:14" ht="24" customHeight="1">
      <c r="A1628" s="8">
        <v>1584</v>
      </c>
      <c r="B1628" s="9">
        <v>1584</v>
      </c>
      <c r="C1628" s="46">
        <v>46111</v>
      </c>
      <c r="D1628" s="9" t="s">
        <v>238</v>
      </c>
      <c r="E1628" s="56" t="str">
        <f>IFERROR(VLOOKUP($D1628,본공사입.출고현황!$B:$H,E$2080,0),0)</f>
        <v>Steel round bar</v>
      </c>
      <c r="F1628" s="18" t="str">
        <f>IFERROR(VLOOKUP($D1628,본공사입.출고현황!$B:$H,F$2080,0),0)</f>
        <v>Steel round bar(rebar)</v>
      </c>
      <c r="G1628" s="18" t="str">
        <f>IFERROR(VLOOKUP($D1628,본공사입.출고현황!$B:$H,G$2080,0),0)</f>
        <v>CCGG</v>
      </c>
      <c r="H1628" s="18" t="str">
        <f>IFERROR(VLOOKUP($D1628,본공사입.출고현황!$B:$H,H$2080,0),0)</f>
        <v>ф10, 1ton=1,620.7m</v>
      </c>
      <c r="I1628" s="56" t="str">
        <f>IFERROR(VLOOKUP($D1628,본공사입.출고현황!$B:$H,I$2080,0),0)</f>
        <v>M</v>
      </c>
      <c r="J1628" s="9">
        <v>1</v>
      </c>
      <c r="K1628" s="9" t="s">
        <v>547</v>
      </c>
      <c r="L1628" s="37">
        <v>25</v>
      </c>
      <c r="M1628" s="64" t="s">
        <v>408</v>
      </c>
      <c r="N1628" s="4"/>
    </row>
    <row r="1629" spans="1:14" ht="24" customHeight="1">
      <c r="A1629" s="8">
        <v>1585</v>
      </c>
      <c r="B1629" s="9">
        <v>1585</v>
      </c>
      <c r="C1629" s="46">
        <v>46111</v>
      </c>
      <c r="D1629" s="9" t="s">
        <v>238</v>
      </c>
      <c r="E1629" s="56" t="str">
        <f>IFERROR(VLOOKUP($D1629,본공사입.출고현황!$B:$H,E$2080,0),0)</f>
        <v>Steel round bar</v>
      </c>
      <c r="F1629" s="18" t="str">
        <f>IFERROR(VLOOKUP($D1629,본공사입.출고현황!$B:$H,F$2080,0),0)</f>
        <v>Steel round bar(rebar)</v>
      </c>
      <c r="G1629" s="18" t="str">
        <f>IFERROR(VLOOKUP($D1629,본공사입.출고현황!$B:$H,G$2080,0),0)</f>
        <v>CCGG</v>
      </c>
      <c r="H1629" s="18" t="str">
        <f>IFERROR(VLOOKUP($D1629,본공사입.출고현황!$B:$H,H$2080,0),0)</f>
        <v>ф10, 1ton=1,620.7m</v>
      </c>
      <c r="I1629" s="56" t="str">
        <f>IFERROR(VLOOKUP($D1629,본공사입.출고현황!$B:$H,I$2080,0),0)</f>
        <v>M</v>
      </c>
      <c r="J1629" s="9">
        <v>1</v>
      </c>
      <c r="K1629" s="9" t="s">
        <v>363</v>
      </c>
      <c r="L1629" s="37">
        <v>25</v>
      </c>
      <c r="M1629" s="64" t="s">
        <v>408</v>
      </c>
      <c r="N1629" s="4"/>
    </row>
    <row r="1630" spans="1:14" ht="24" customHeight="1">
      <c r="A1630" s="8">
        <v>1586</v>
      </c>
      <c r="B1630" s="9">
        <v>1586</v>
      </c>
      <c r="C1630" s="46">
        <v>46111</v>
      </c>
      <c r="D1630" s="9" t="s">
        <v>238</v>
      </c>
      <c r="E1630" s="56" t="str">
        <f>IFERROR(VLOOKUP($D1630,본공사입.출고현황!$B:$H,E$2080,0),0)</f>
        <v>Steel round bar</v>
      </c>
      <c r="F1630" s="18" t="str">
        <f>IFERROR(VLOOKUP($D1630,본공사입.출고현황!$B:$H,F$2080,0),0)</f>
        <v>Steel round bar(rebar)</v>
      </c>
      <c r="G1630" s="18" t="str">
        <f>IFERROR(VLOOKUP($D1630,본공사입.출고현황!$B:$H,G$2080,0),0)</f>
        <v>CCGG</v>
      </c>
      <c r="H1630" s="18" t="str">
        <f>IFERROR(VLOOKUP($D1630,본공사입.출고현황!$B:$H,H$2080,0),0)</f>
        <v>ф10, 1ton=1,620.7m</v>
      </c>
      <c r="I1630" s="56" t="str">
        <f>IFERROR(VLOOKUP($D1630,본공사입.출고현황!$B:$H,I$2080,0),0)</f>
        <v>M</v>
      </c>
      <c r="J1630" s="9">
        <v>3</v>
      </c>
      <c r="K1630" s="9" t="s">
        <v>550</v>
      </c>
      <c r="L1630" s="37">
        <v>25</v>
      </c>
      <c r="M1630" s="64" t="s">
        <v>408</v>
      </c>
      <c r="N1630" s="4"/>
    </row>
    <row r="1631" spans="1:14" ht="24" customHeight="1">
      <c r="A1631" s="8">
        <v>1587</v>
      </c>
      <c r="B1631" s="9">
        <v>1587</v>
      </c>
      <c r="C1631" s="46">
        <v>46111</v>
      </c>
      <c r="D1631" s="9" t="s">
        <v>238</v>
      </c>
      <c r="E1631" s="56" t="str">
        <f>IFERROR(VLOOKUP($D1631,본공사입.출고현황!$B:$H,E$2080,0),0)</f>
        <v>Steel round bar</v>
      </c>
      <c r="F1631" s="18" t="str">
        <f>IFERROR(VLOOKUP($D1631,본공사입.출고현황!$B:$H,F$2080,0),0)</f>
        <v>Steel round bar(rebar)</v>
      </c>
      <c r="G1631" s="18" t="str">
        <f>IFERROR(VLOOKUP($D1631,본공사입.출고현황!$B:$H,G$2080,0),0)</f>
        <v>CCGG</v>
      </c>
      <c r="H1631" s="18" t="str">
        <f>IFERROR(VLOOKUP($D1631,본공사입.출고현황!$B:$H,H$2080,0),0)</f>
        <v>ф10, 1ton=1,620.7m</v>
      </c>
      <c r="I1631" s="56" t="str">
        <f>IFERROR(VLOOKUP($D1631,본공사입.출고현황!$B:$H,I$2080,0),0)</f>
        <v>M</v>
      </c>
      <c r="J1631" s="9">
        <v>2</v>
      </c>
      <c r="K1631" s="9" t="s">
        <v>360</v>
      </c>
      <c r="L1631" s="37">
        <v>25</v>
      </c>
      <c r="M1631" s="64" t="s">
        <v>408</v>
      </c>
      <c r="N1631" s="4"/>
    </row>
    <row r="1632" spans="1:14" ht="24" customHeight="1">
      <c r="A1632" s="8">
        <v>1588</v>
      </c>
      <c r="B1632" s="9">
        <v>1588</v>
      </c>
      <c r="C1632" s="46">
        <v>46112</v>
      </c>
      <c r="D1632" s="9" t="s">
        <v>238</v>
      </c>
      <c r="E1632" s="56" t="str">
        <f>IFERROR(VLOOKUP($D1632,본공사입.출고현황!$B:$H,E$2080,0),0)</f>
        <v>Steel round bar</v>
      </c>
      <c r="F1632" s="18" t="str">
        <f>IFERROR(VLOOKUP($D1632,본공사입.출고현황!$B:$H,F$2080,0),0)</f>
        <v>Steel round bar(rebar)</v>
      </c>
      <c r="G1632" s="18" t="str">
        <f>IFERROR(VLOOKUP($D1632,본공사입.출고현황!$B:$H,G$2080,0),0)</f>
        <v>CCGG</v>
      </c>
      <c r="H1632" s="18" t="str">
        <f>IFERROR(VLOOKUP($D1632,본공사입.출고현황!$B:$H,H$2080,0),0)</f>
        <v>ф10, 1ton=1,620.7m</v>
      </c>
      <c r="I1632" s="56" t="str">
        <f>IFERROR(VLOOKUP($D1632,본공사입.출고현황!$B:$H,I$2080,0),0)</f>
        <v>M</v>
      </c>
      <c r="J1632" s="9">
        <v>1</v>
      </c>
      <c r="K1632" s="9" t="s">
        <v>352</v>
      </c>
      <c r="L1632" s="37">
        <v>15</v>
      </c>
      <c r="M1632" s="64" t="s">
        <v>408</v>
      </c>
      <c r="N1632" s="4"/>
    </row>
    <row r="1633" spans="1:14" ht="24" customHeight="1">
      <c r="A1633" s="8">
        <v>1589</v>
      </c>
      <c r="B1633" s="9">
        <v>1589</v>
      </c>
      <c r="C1633" s="46">
        <v>46112</v>
      </c>
      <c r="D1633" s="9" t="s">
        <v>238</v>
      </c>
      <c r="E1633" s="56" t="str">
        <f>IFERROR(VLOOKUP($D1633,본공사입.출고현황!$B:$H,E$2080,0),0)</f>
        <v>Steel round bar</v>
      </c>
      <c r="F1633" s="18" t="str">
        <f>IFERROR(VLOOKUP($D1633,본공사입.출고현황!$B:$H,F$2080,0),0)</f>
        <v>Steel round bar(rebar)</v>
      </c>
      <c r="G1633" s="18" t="str">
        <f>IFERROR(VLOOKUP($D1633,본공사입.출고현황!$B:$H,G$2080,0),0)</f>
        <v>CCGG</v>
      </c>
      <c r="H1633" s="18" t="str">
        <f>IFERROR(VLOOKUP($D1633,본공사입.출고현황!$B:$H,H$2080,0),0)</f>
        <v>ф10, 1ton=1,620.7m</v>
      </c>
      <c r="I1633" s="56" t="str">
        <f>IFERROR(VLOOKUP($D1633,본공사입.출고현황!$B:$H,I$2080,0),0)</f>
        <v>M</v>
      </c>
      <c r="J1633" s="9">
        <v>1</v>
      </c>
      <c r="K1633" s="9" t="s">
        <v>352</v>
      </c>
      <c r="L1633" s="37">
        <v>15</v>
      </c>
      <c r="M1633" s="64" t="s">
        <v>408</v>
      </c>
      <c r="N1633" s="4"/>
    </row>
    <row r="1634" spans="1:14" ht="24" customHeight="1">
      <c r="A1634" s="8">
        <v>1590</v>
      </c>
      <c r="B1634" s="9">
        <v>1590</v>
      </c>
      <c r="C1634" s="46">
        <v>46112</v>
      </c>
      <c r="D1634" s="9" t="s">
        <v>238</v>
      </c>
      <c r="E1634" s="56" t="str">
        <f>IFERROR(VLOOKUP($D1634,본공사입.출고현황!$B:$H,E$2080,0),0)</f>
        <v>Steel round bar</v>
      </c>
      <c r="F1634" s="18" t="str">
        <f>IFERROR(VLOOKUP($D1634,본공사입.출고현황!$B:$H,F$2080,0),0)</f>
        <v>Steel round bar(rebar)</v>
      </c>
      <c r="G1634" s="18" t="str">
        <f>IFERROR(VLOOKUP($D1634,본공사입.출고현황!$B:$H,G$2080,0),0)</f>
        <v>CCGG</v>
      </c>
      <c r="H1634" s="18" t="str">
        <f>IFERROR(VLOOKUP($D1634,본공사입.출고현황!$B:$H,H$2080,0),0)</f>
        <v>ф10, 1ton=1,620.7m</v>
      </c>
      <c r="I1634" s="56" t="str">
        <f>IFERROR(VLOOKUP($D1634,본공사입.출고현황!$B:$H,I$2080,0),0)</f>
        <v>M</v>
      </c>
      <c r="J1634" s="9">
        <v>2</v>
      </c>
      <c r="K1634" s="9" t="s">
        <v>546</v>
      </c>
      <c r="L1634" s="37">
        <v>25</v>
      </c>
      <c r="M1634" s="64" t="s">
        <v>408</v>
      </c>
      <c r="N1634" s="4"/>
    </row>
    <row r="1635" spans="1:14" ht="24" customHeight="1">
      <c r="A1635" s="8">
        <v>1591</v>
      </c>
      <c r="B1635" s="9">
        <v>1591</v>
      </c>
      <c r="C1635" s="46">
        <v>46112</v>
      </c>
      <c r="D1635" s="9" t="s">
        <v>238</v>
      </c>
      <c r="E1635" s="56" t="str">
        <f>IFERROR(VLOOKUP($D1635,본공사입.출고현황!$B:$H,E$2080,0),0)</f>
        <v>Steel round bar</v>
      </c>
      <c r="F1635" s="18" t="str">
        <f>IFERROR(VLOOKUP($D1635,본공사입.출고현황!$B:$H,F$2080,0),0)</f>
        <v>Steel round bar(rebar)</v>
      </c>
      <c r="G1635" s="18" t="str">
        <f>IFERROR(VLOOKUP($D1635,본공사입.출고현황!$B:$H,G$2080,0),0)</f>
        <v>CCGG</v>
      </c>
      <c r="H1635" s="18" t="str">
        <f>IFERROR(VLOOKUP($D1635,본공사입.출고현황!$B:$H,H$2080,0),0)</f>
        <v>ф10, 1ton=1,620.7m</v>
      </c>
      <c r="I1635" s="56" t="str">
        <f>IFERROR(VLOOKUP($D1635,본공사입.출고현황!$B:$H,I$2080,0),0)</f>
        <v>M</v>
      </c>
      <c r="J1635" s="9">
        <v>4</v>
      </c>
      <c r="K1635" s="9" t="s">
        <v>359</v>
      </c>
      <c r="L1635" s="37">
        <v>25</v>
      </c>
      <c r="M1635" s="64" t="s">
        <v>408</v>
      </c>
      <c r="N1635" s="4"/>
    </row>
    <row r="1636" spans="1:14" ht="24" customHeight="1">
      <c r="A1636" s="8">
        <v>1592</v>
      </c>
      <c r="B1636" s="9">
        <v>1592</v>
      </c>
      <c r="C1636" s="46">
        <v>46112</v>
      </c>
      <c r="D1636" s="9" t="s">
        <v>238</v>
      </c>
      <c r="E1636" s="56" t="str">
        <f>IFERROR(VLOOKUP($D1636,본공사입.출고현황!$B:$H,E$2080,0),0)</f>
        <v>Steel round bar</v>
      </c>
      <c r="F1636" s="18" t="str">
        <f>IFERROR(VLOOKUP($D1636,본공사입.출고현황!$B:$H,F$2080,0),0)</f>
        <v>Steel round bar(rebar)</v>
      </c>
      <c r="G1636" s="18" t="str">
        <f>IFERROR(VLOOKUP($D1636,본공사입.출고현황!$B:$H,G$2080,0),0)</f>
        <v>CCGG</v>
      </c>
      <c r="H1636" s="18" t="str">
        <f>IFERROR(VLOOKUP($D1636,본공사입.출고현황!$B:$H,H$2080,0),0)</f>
        <v>ф10, 1ton=1,620.7m</v>
      </c>
      <c r="I1636" s="56" t="str">
        <f>IFERROR(VLOOKUP($D1636,본공사입.출고현황!$B:$H,I$2080,0),0)</f>
        <v>M</v>
      </c>
      <c r="J1636" s="9">
        <v>2</v>
      </c>
      <c r="K1636" s="9" t="s">
        <v>360</v>
      </c>
      <c r="L1636" s="37">
        <v>25</v>
      </c>
      <c r="M1636" s="64" t="s">
        <v>408</v>
      </c>
      <c r="N1636" s="4"/>
    </row>
    <row r="1637" spans="1:14" ht="24" customHeight="1">
      <c r="A1637" s="8">
        <v>1593</v>
      </c>
      <c r="B1637" s="9">
        <v>1593</v>
      </c>
      <c r="C1637" s="46">
        <v>46112</v>
      </c>
      <c r="D1637" s="9" t="s">
        <v>238</v>
      </c>
      <c r="E1637" s="56" t="str">
        <f>IFERROR(VLOOKUP($D1637,본공사입.출고현황!$B:$H,E$2080,0),0)</f>
        <v>Steel round bar</v>
      </c>
      <c r="F1637" s="18" t="str">
        <f>IFERROR(VLOOKUP($D1637,본공사입.출고현황!$B:$H,F$2080,0),0)</f>
        <v>Steel round bar(rebar)</v>
      </c>
      <c r="G1637" s="18" t="str">
        <f>IFERROR(VLOOKUP($D1637,본공사입.출고현황!$B:$H,G$2080,0),0)</f>
        <v>CCGG</v>
      </c>
      <c r="H1637" s="18" t="str">
        <f>IFERROR(VLOOKUP($D1637,본공사입.출고현황!$B:$H,H$2080,0),0)</f>
        <v>ф10, 1ton=1,620.7m</v>
      </c>
      <c r="I1637" s="56" t="str">
        <f>IFERROR(VLOOKUP($D1637,본공사입.출고현황!$B:$H,I$2080,0),0)</f>
        <v>M</v>
      </c>
      <c r="J1637" s="9">
        <v>3</v>
      </c>
      <c r="K1637" s="9" t="s">
        <v>237</v>
      </c>
      <c r="L1637" s="37">
        <v>20</v>
      </c>
      <c r="M1637" s="64" t="s">
        <v>408</v>
      </c>
      <c r="N1637" s="4"/>
    </row>
    <row r="1638" spans="1:14" ht="24" customHeight="1">
      <c r="A1638" s="8">
        <v>1594</v>
      </c>
      <c r="B1638" s="9">
        <v>1594</v>
      </c>
      <c r="C1638" s="46">
        <v>46112</v>
      </c>
      <c r="D1638" s="9" t="s">
        <v>238</v>
      </c>
      <c r="E1638" s="56" t="str">
        <f>IFERROR(VLOOKUP($D1638,본공사입.출고현황!$B:$H,E$2080,0),0)</f>
        <v>Steel round bar</v>
      </c>
      <c r="F1638" s="18" t="str">
        <f>IFERROR(VLOOKUP($D1638,본공사입.출고현황!$B:$H,F$2080,0),0)</f>
        <v>Steel round bar(rebar)</v>
      </c>
      <c r="G1638" s="18" t="str">
        <f>IFERROR(VLOOKUP($D1638,본공사입.출고현황!$B:$H,G$2080,0),0)</f>
        <v>CCGG</v>
      </c>
      <c r="H1638" s="18" t="str">
        <f>IFERROR(VLOOKUP($D1638,본공사입.출고현황!$B:$H,H$2080,0),0)</f>
        <v>ф10, 1ton=1,620.7m</v>
      </c>
      <c r="I1638" s="56" t="str">
        <f>IFERROR(VLOOKUP($D1638,본공사입.출고현황!$B:$H,I$2080,0),0)</f>
        <v>M</v>
      </c>
      <c r="J1638" s="9">
        <v>1</v>
      </c>
      <c r="K1638" s="9" t="s">
        <v>352</v>
      </c>
      <c r="L1638" s="37">
        <v>25</v>
      </c>
      <c r="M1638" s="64" t="s">
        <v>408</v>
      </c>
      <c r="N1638" s="4"/>
    </row>
    <row r="1639" spans="1:14" ht="24" customHeight="1">
      <c r="A1639" s="8">
        <v>1595</v>
      </c>
      <c r="B1639" s="9">
        <v>1595</v>
      </c>
      <c r="C1639" s="46">
        <v>46112</v>
      </c>
      <c r="D1639" s="9" t="s">
        <v>238</v>
      </c>
      <c r="E1639" s="56" t="str">
        <f>IFERROR(VLOOKUP($D1639,본공사입.출고현황!$B:$H,E$2080,0),0)</f>
        <v>Steel round bar</v>
      </c>
      <c r="F1639" s="18" t="str">
        <f>IFERROR(VLOOKUP($D1639,본공사입.출고현황!$B:$H,F$2080,0),0)</f>
        <v>Steel round bar(rebar)</v>
      </c>
      <c r="G1639" s="18" t="str">
        <f>IFERROR(VLOOKUP($D1639,본공사입.출고현황!$B:$H,G$2080,0),0)</f>
        <v>CCGG</v>
      </c>
      <c r="H1639" s="18" t="str">
        <f>IFERROR(VLOOKUP($D1639,본공사입.출고현황!$B:$H,H$2080,0),0)</f>
        <v>ф10, 1ton=1,620.7m</v>
      </c>
      <c r="I1639" s="56" t="str">
        <f>IFERROR(VLOOKUP($D1639,본공사입.출고현황!$B:$H,I$2080,0),0)</f>
        <v>M</v>
      </c>
      <c r="J1639" s="9">
        <v>1</v>
      </c>
      <c r="K1639" s="9" t="s">
        <v>352</v>
      </c>
      <c r="L1639" s="37">
        <v>15</v>
      </c>
      <c r="M1639" s="64" t="s">
        <v>408</v>
      </c>
      <c r="N1639" s="4"/>
    </row>
    <row r="1640" spans="1:14" ht="24" customHeight="1">
      <c r="A1640" s="8">
        <v>1596</v>
      </c>
      <c r="B1640" s="9">
        <v>1596</v>
      </c>
      <c r="C1640" s="46">
        <v>46112</v>
      </c>
      <c r="D1640" s="9" t="s">
        <v>238</v>
      </c>
      <c r="E1640" s="56" t="str">
        <f>IFERROR(VLOOKUP($D1640,본공사입.출고현황!$B:$H,E$2080,0),0)</f>
        <v>Steel round bar</v>
      </c>
      <c r="F1640" s="18" t="str">
        <f>IFERROR(VLOOKUP($D1640,본공사입.출고현황!$B:$H,F$2080,0),0)</f>
        <v>Steel round bar(rebar)</v>
      </c>
      <c r="G1640" s="18" t="str">
        <f>IFERROR(VLOOKUP($D1640,본공사입.출고현황!$B:$H,G$2080,0),0)</f>
        <v>CCGG</v>
      </c>
      <c r="H1640" s="18" t="str">
        <f>IFERROR(VLOOKUP($D1640,본공사입.출고현황!$B:$H,H$2080,0),0)</f>
        <v>ф10, 1ton=1,620.7m</v>
      </c>
      <c r="I1640" s="56" t="str">
        <f>IFERROR(VLOOKUP($D1640,본공사입.출고현황!$B:$H,I$2080,0),0)</f>
        <v>M</v>
      </c>
      <c r="J1640" s="9">
        <v>1</v>
      </c>
      <c r="K1640" s="9" t="s">
        <v>363</v>
      </c>
      <c r="L1640" s="37">
        <v>50</v>
      </c>
      <c r="M1640" s="64" t="s">
        <v>408</v>
      </c>
      <c r="N1640" s="4"/>
    </row>
    <row r="1641" spans="1:14" ht="24" customHeight="1">
      <c r="A1641" s="8">
        <v>1597</v>
      </c>
      <c r="B1641" s="9">
        <v>1597</v>
      </c>
      <c r="C1641" s="46">
        <v>46112</v>
      </c>
      <c r="D1641" s="9" t="s">
        <v>238</v>
      </c>
      <c r="E1641" s="56" t="str">
        <f>IFERROR(VLOOKUP($D1641,본공사입.출고현황!$B:$H,E$2080,0),0)</f>
        <v>Steel round bar</v>
      </c>
      <c r="F1641" s="18" t="str">
        <f>IFERROR(VLOOKUP($D1641,본공사입.출고현황!$B:$H,F$2080,0),0)</f>
        <v>Steel round bar(rebar)</v>
      </c>
      <c r="G1641" s="18" t="str">
        <f>IFERROR(VLOOKUP($D1641,본공사입.출고현황!$B:$H,G$2080,0),0)</f>
        <v>CCGG</v>
      </c>
      <c r="H1641" s="18" t="str">
        <f>IFERROR(VLOOKUP($D1641,본공사입.출고현황!$B:$H,H$2080,0),0)</f>
        <v>ф10, 1ton=1,620.7m</v>
      </c>
      <c r="I1641" s="56" t="str">
        <f>IFERROR(VLOOKUP($D1641,본공사입.출고현황!$B:$H,I$2080,0),0)</f>
        <v>M</v>
      </c>
      <c r="J1641" s="9">
        <v>1</v>
      </c>
      <c r="K1641" s="9" t="s">
        <v>545</v>
      </c>
      <c r="L1641" s="37">
        <v>15</v>
      </c>
      <c r="M1641" s="64" t="s">
        <v>408</v>
      </c>
      <c r="N1641" s="4"/>
    </row>
    <row r="1642" spans="1:14" ht="24" customHeight="1">
      <c r="A1642" s="8">
        <v>1598</v>
      </c>
      <c r="B1642" s="9">
        <v>1598</v>
      </c>
      <c r="C1642" s="46">
        <v>46112</v>
      </c>
      <c r="D1642" s="9" t="s">
        <v>238</v>
      </c>
      <c r="E1642" s="56" t="str">
        <f>IFERROR(VLOOKUP($D1642,본공사입.출고현황!$B:$H,E$2080,0),0)</f>
        <v>Steel round bar</v>
      </c>
      <c r="F1642" s="18" t="str">
        <f>IFERROR(VLOOKUP($D1642,본공사입.출고현황!$B:$H,F$2080,0),0)</f>
        <v>Steel round bar(rebar)</v>
      </c>
      <c r="G1642" s="18" t="str">
        <f>IFERROR(VLOOKUP($D1642,본공사입.출고현황!$B:$H,G$2080,0),0)</f>
        <v>CCGG</v>
      </c>
      <c r="H1642" s="18" t="str">
        <f>IFERROR(VLOOKUP($D1642,본공사입.출고현황!$B:$H,H$2080,0),0)</f>
        <v>ф10, 1ton=1,620.7m</v>
      </c>
      <c r="I1642" s="56" t="str">
        <f>IFERROR(VLOOKUP($D1642,본공사입.출고현황!$B:$H,I$2080,0),0)</f>
        <v>M</v>
      </c>
      <c r="J1642" s="9">
        <v>2</v>
      </c>
      <c r="K1642" s="9" t="s">
        <v>241</v>
      </c>
      <c r="L1642" s="37">
        <v>50</v>
      </c>
      <c r="M1642" s="64" t="s">
        <v>408</v>
      </c>
      <c r="N1642" s="4"/>
    </row>
    <row r="1643" spans="1:14" ht="24" customHeight="1">
      <c r="A1643" s="8">
        <v>1599</v>
      </c>
      <c r="B1643" s="9">
        <v>1599</v>
      </c>
      <c r="C1643" s="46">
        <v>46112</v>
      </c>
      <c r="D1643" s="9" t="s">
        <v>238</v>
      </c>
      <c r="E1643" s="56" t="str">
        <f>IFERROR(VLOOKUP($D1643,본공사입.출고현황!$B:$H,E$2080,0),0)</f>
        <v>Steel round bar</v>
      </c>
      <c r="F1643" s="18" t="str">
        <f>IFERROR(VLOOKUP($D1643,본공사입.출고현황!$B:$H,F$2080,0),0)</f>
        <v>Steel round bar(rebar)</v>
      </c>
      <c r="G1643" s="18" t="str">
        <f>IFERROR(VLOOKUP($D1643,본공사입.출고현황!$B:$H,G$2080,0),0)</f>
        <v>CCGG</v>
      </c>
      <c r="H1643" s="18" t="str">
        <f>IFERROR(VLOOKUP($D1643,본공사입.출고현황!$B:$H,H$2080,0),0)</f>
        <v>ф10, 1ton=1,620.7m</v>
      </c>
      <c r="I1643" s="56" t="str">
        <f>IFERROR(VLOOKUP($D1643,본공사입.출고현황!$B:$H,I$2080,0),0)</f>
        <v>M</v>
      </c>
      <c r="J1643" s="9">
        <v>3</v>
      </c>
      <c r="K1643" s="9" t="s">
        <v>550</v>
      </c>
      <c r="L1643" s="37">
        <v>30</v>
      </c>
      <c r="M1643" s="64" t="s">
        <v>408</v>
      </c>
      <c r="N1643" s="4"/>
    </row>
    <row r="1644" spans="1:14" ht="24" customHeight="1">
      <c r="A1644" s="8">
        <v>1600</v>
      </c>
      <c r="B1644" s="9">
        <v>1600</v>
      </c>
      <c r="C1644" s="46">
        <v>46112</v>
      </c>
      <c r="D1644" s="9" t="s">
        <v>238</v>
      </c>
      <c r="E1644" s="56" t="str">
        <f>IFERROR(VLOOKUP($D1644,본공사입.출고현황!$B:$H,E$2080,0),0)</f>
        <v>Steel round bar</v>
      </c>
      <c r="F1644" s="18" t="str">
        <f>IFERROR(VLOOKUP($D1644,본공사입.출고현황!$B:$H,F$2080,0),0)</f>
        <v>Steel round bar(rebar)</v>
      </c>
      <c r="G1644" s="18" t="str">
        <f>IFERROR(VLOOKUP($D1644,본공사입.출고현황!$B:$H,G$2080,0),0)</f>
        <v>CCGG</v>
      </c>
      <c r="H1644" s="18" t="str">
        <f>IFERROR(VLOOKUP($D1644,본공사입.출고현황!$B:$H,H$2080,0),0)</f>
        <v>ф10, 1ton=1,620.7m</v>
      </c>
      <c r="I1644" s="56" t="str">
        <f>IFERROR(VLOOKUP($D1644,본공사입.출고현황!$B:$H,I$2080,0),0)</f>
        <v>M</v>
      </c>
      <c r="J1644" s="9">
        <v>3</v>
      </c>
      <c r="K1644" s="9" t="s">
        <v>550</v>
      </c>
      <c r="L1644" s="37">
        <v>15</v>
      </c>
      <c r="M1644" s="64" t="s">
        <v>408</v>
      </c>
      <c r="N1644" s="4"/>
    </row>
    <row r="1645" spans="1:14" ht="24" customHeight="1">
      <c r="A1645" s="8">
        <v>1601</v>
      </c>
      <c r="B1645" s="9">
        <v>1601</v>
      </c>
      <c r="C1645" s="254">
        <v>46113</v>
      </c>
      <c r="D1645" s="253" t="s">
        <v>238</v>
      </c>
      <c r="E1645" s="335" t="str">
        <f>IFERROR(VLOOKUP($D1645,본공사입.출고현황!$B:$H,E$2080,0),0)</f>
        <v>Steel round bar</v>
      </c>
      <c r="F1645" s="336" t="str">
        <f>IFERROR(VLOOKUP($D1645,본공사입.출고현황!$B:$H,F$2080,0),0)</f>
        <v>Steel round bar(rebar)</v>
      </c>
      <c r="G1645" s="336" t="str">
        <f>IFERROR(VLOOKUP($D1645,본공사입.출고현황!$B:$H,G$2080,0),0)</f>
        <v>CCGG</v>
      </c>
      <c r="H1645" s="336" t="str">
        <f>IFERROR(VLOOKUP($D1645,본공사입.출고현황!$B:$H,H$2080,0),0)</f>
        <v>ф10, 1ton=1,620.7m</v>
      </c>
      <c r="I1645" s="335" t="str">
        <f>IFERROR(VLOOKUP($D1645,본공사입.출고현황!$B:$H,I$2080,0),0)</f>
        <v>M</v>
      </c>
      <c r="J1645" s="253">
        <v>1</v>
      </c>
      <c r="K1645" s="253" t="s">
        <v>352</v>
      </c>
      <c r="L1645" s="255">
        <v>25</v>
      </c>
      <c r="M1645" s="256" t="s">
        <v>408</v>
      </c>
      <c r="N1645" s="337"/>
    </row>
    <row r="1646" spans="1:14" ht="24" customHeight="1">
      <c r="A1646" s="8">
        <v>1602</v>
      </c>
      <c r="B1646" s="9">
        <v>1602</v>
      </c>
      <c r="C1646" s="254">
        <v>46113</v>
      </c>
      <c r="D1646" s="253" t="s">
        <v>238</v>
      </c>
      <c r="E1646" s="335" t="str">
        <f>IFERROR(VLOOKUP($D1646,본공사입.출고현황!$B:$H,E$2080,0),0)</f>
        <v>Steel round bar</v>
      </c>
      <c r="F1646" s="336" t="str">
        <f>IFERROR(VLOOKUP($D1646,본공사입.출고현황!$B:$H,F$2080,0),0)</f>
        <v>Steel round bar(rebar)</v>
      </c>
      <c r="G1646" s="336" t="str">
        <f>IFERROR(VLOOKUP($D1646,본공사입.출고현황!$B:$H,G$2080,0),0)</f>
        <v>CCGG</v>
      </c>
      <c r="H1646" s="336" t="str">
        <f>IFERROR(VLOOKUP($D1646,본공사입.출고현황!$B:$H,H$2080,0),0)</f>
        <v>ф10, 1ton=1,620.7m</v>
      </c>
      <c r="I1646" s="335" t="str">
        <f>IFERROR(VLOOKUP($D1646,본공사입.출고현황!$B:$H,I$2080,0),0)</f>
        <v>M</v>
      </c>
      <c r="J1646" s="253">
        <v>2</v>
      </c>
      <c r="K1646" s="253" t="s">
        <v>546</v>
      </c>
      <c r="L1646" s="255">
        <v>25</v>
      </c>
      <c r="M1646" s="256" t="s">
        <v>408</v>
      </c>
      <c r="N1646" s="337"/>
    </row>
    <row r="1647" spans="1:14" ht="24" customHeight="1">
      <c r="A1647" s="8">
        <v>1603</v>
      </c>
      <c r="B1647" s="9">
        <v>1603</v>
      </c>
      <c r="C1647" s="254">
        <v>46113</v>
      </c>
      <c r="D1647" s="253" t="s">
        <v>238</v>
      </c>
      <c r="E1647" s="335" t="str">
        <f>IFERROR(VLOOKUP($D1647,본공사입.출고현황!$B:$H,E$2080,0),0)</f>
        <v>Steel round bar</v>
      </c>
      <c r="F1647" s="336" t="str">
        <f>IFERROR(VLOOKUP($D1647,본공사입.출고현황!$B:$H,F$2080,0),0)</f>
        <v>Steel round bar(rebar)</v>
      </c>
      <c r="G1647" s="336" t="str">
        <f>IFERROR(VLOOKUP($D1647,본공사입.출고현황!$B:$H,G$2080,0),0)</f>
        <v>CCGG</v>
      </c>
      <c r="H1647" s="336" t="str">
        <f>IFERROR(VLOOKUP($D1647,본공사입.출고현황!$B:$H,H$2080,0),0)</f>
        <v>ф10, 1ton=1,620.7m</v>
      </c>
      <c r="I1647" s="335" t="str">
        <f>IFERROR(VLOOKUP($D1647,본공사입.출고현황!$B:$H,I$2080,0),0)</f>
        <v>M</v>
      </c>
      <c r="J1647" s="253">
        <v>4</v>
      </c>
      <c r="K1647" s="253" t="s">
        <v>359</v>
      </c>
      <c r="L1647" s="255">
        <v>25</v>
      </c>
      <c r="M1647" s="256" t="s">
        <v>408</v>
      </c>
      <c r="N1647" s="337"/>
    </row>
    <row r="1648" spans="1:14" ht="24" customHeight="1">
      <c r="A1648" s="8">
        <v>1604</v>
      </c>
      <c r="B1648" s="9">
        <v>1604</v>
      </c>
      <c r="C1648" s="254">
        <v>46113</v>
      </c>
      <c r="D1648" s="253" t="s">
        <v>238</v>
      </c>
      <c r="E1648" s="335" t="str">
        <f>IFERROR(VLOOKUP($D1648,본공사입.출고현황!$B:$H,E$2080,0),0)</f>
        <v>Steel round bar</v>
      </c>
      <c r="F1648" s="336" t="str">
        <f>IFERROR(VLOOKUP($D1648,본공사입.출고현황!$B:$H,F$2080,0),0)</f>
        <v>Steel round bar(rebar)</v>
      </c>
      <c r="G1648" s="336" t="str">
        <f>IFERROR(VLOOKUP($D1648,본공사입.출고현황!$B:$H,G$2080,0),0)</f>
        <v>CCGG</v>
      </c>
      <c r="H1648" s="336" t="str">
        <f>IFERROR(VLOOKUP($D1648,본공사입.출고현황!$B:$H,H$2080,0),0)</f>
        <v>ф10, 1ton=1,620.7m</v>
      </c>
      <c r="I1648" s="335" t="str">
        <f>IFERROR(VLOOKUP($D1648,본공사입.출고현황!$B:$H,I$2080,0),0)</f>
        <v>M</v>
      </c>
      <c r="J1648" s="253">
        <v>2</v>
      </c>
      <c r="K1648" s="253" t="s">
        <v>360</v>
      </c>
      <c r="L1648" s="255">
        <v>25</v>
      </c>
      <c r="M1648" s="256" t="s">
        <v>408</v>
      </c>
      <c r="N1648" s="337"/>
    </row>
    <row r="1649" spans="1:14" ht="24" customHeight="1">
      <c r="A1649" s="8">
        <v>1605</v>
      </c>
      <c r="B1649" s="9">
        <v>1605</v>
      </c>
      <c r="C1649" s="254">
        <v>46113</v>
      </c>
      <c r="D1649" s="253" t="s">
        <v>238</v>
      </c>
      <c r="E1649" s="335" t="str">
        <f>IFERROR(VLOOKUP($D1649,본공사입.출고현황!$B:$H,E$2080,0),0)</f>
        <v>Steel round bar</v>
      </c>
      <c r="F1649" s="336" t="str">
        <f>IFERROR(VLOOKUP($D1649,본공사입.출고현황!$B:$H,F$2080,0),0)</f>
        <v>Steel round bar(rebar)</v>
      </c>
      <c r="G1649" s="336" t="str">
        <f>IFERROR(VLOOKUP($D1649,본공사입.출고현황!$B:$H,G$2080,0),0)</f>
        <v>CCGG</v>
      </c>
      <c r="H1649" s="336" t="str">
        <f>IFERROR(VLOOKUP($D1649,본공사입.출고현황!$B:$H,H$2080,0),0)</f>
        <v>ф10, 1ton=1,620.7m</v>
      </c>
      <c r="I1649" s="335" t="str">
        <f>IFERROR(VLOOKUP($D1649,본공사입.출고현황!$B:$H,I$2080,0),0)</f>
        <v>M</v>
      </c>
      <c r="J1649" s="253">
        <v>1</v>
      </c>
      <c r="K1649" s="253" t="s">
        <v>547</v>
      </c>
      <c r="L1649" s="255">
        <v>25</v>
      </c>
      <c r="M1649" s="256" t="s">
        <v>408</v>
      </c>
      <c r="N1649" s="337"/>
    </row>
    <row r="1650" spans="1:14" ht="24" customHeight="1">
      <c r="A1650" s="8">
        <v>1606</v>
      </c>
      <c r="B1650" s="9">
        <v>1606</v>
      </c>
      <c r="C1650" s="254">
        <v>46113</v>
      </c>
      <c r="D1650" s="253" t="s">
        <v>238</v>
      </c>
      <c r="E1650" s="335" t="str">
        <f>IFERROR(VLOOKUP($D1650,본공사입.출고현황!$B:$H,E$2080,0),0)</f>
        <v>Steel round bar</v>
      </c>
      <c r="F1650" s="336" t="str">
        <f>IFERROR(VLOOKUP($D1650,본공사입.출고현황!$B:$H,F$2080,0),0)</f>
        <v>Steel round bar(rebar)</v>
      </c>
      <c r="G1650" s="336" t="str">
        <f>IFERROR(VLOOKUP($D1650,본공사입.출고현황!$B:$H,G$2080,0),0)</f>
        <v>CCGG</v>
      </c>
      <c r="H1650" s="336" t="str">
        <f>IFERROR(VLOOKUP($D1650,본공사입.출고현황!$B:$H,H$2080,0),0)</f>
        <v>ф10, 1ton=1,620.7m</v>
      </c>
      <c r="I1650" s="335" t="str">
        <f>IFERROR(VLOOKUP($D1650,본공사입.출고현황!$B:$H,I$2080,0),0)</f>
        <v>M</v>
      </c>
      <c r="J1650" s="253">
        <v>2</v>
      </c>
      <c r="K1650" s="253" t="s">
        <v>360</v>
      </c>
      <c r="L1650" s="255">
        <v>25</v>
      </c>
      <c r="M1650" s="256" t="s">
        <v>408</v>
      </c>
      <c r="N1650" s="337"/>
    </row>
    <row r="1651" spans="1:14" ht="24" customHeight="1">
      <c r="A1651" s="8">
        <v>1607</v>
      </c>
      <c r="B1651" s="9">
        <v>1607</v>
      </c>
      <c r="C1651" s="254">
        <v>46113</v>
      </c>
      <c r="D1651" s="253" t="s">
        <v>238</v>
      </c>
      <c r="E1651" s="335" t="str">
        <f>IFERROR(VLOOKUP($D1651,본공사입.출고현황!$B:$H,E$2080,0),0)</f>
        <v>Steel round bar</v>
      </c>
      <c r="F1651" s="336" t="str">
        <f>IFERROR(VLOOKUP($D1651,본공사입.출고현황!$B:$H,F$2080,0),0)</f>
        <v>Steel round bar(rebar)</v>
      </c>
      <c r="G1651" s="336" t="str">
        <f>IFERROR(VLOOKUP($D1651,본공사입.출고현황!$B:$H,G$2080,0),0)</f>
        <v>CCGG</v>
      </c>
      <c r="H1651" s="336" t="str">
        <f>IFERROR(VLOOKUP($D1651,본공사입.출고현황!$B:$H,H$2080,0),0)</f>
        <v>ф10, 1ton=1,620.7m</v>
      </c>
      <c r="I1651" s="335" t="str">
        <f>IFERROR(VLOOKUP($D1651,본공사입.출고현황!$B:$H,I$2080,0),0)</f>
        <v>M</v>
      </c>
      <c r="J1651" s="253">
        <v>4</v>
      </c>
      <c r="K1651" s="253" t="s">
        <v>691</v>
      </c>
      <c r="L1651" s="255">
        <v>20</v>
      </c>
      <c r="M1651" s="256" t="s">
        <v>408</v>
      </c>
      <c r="N1651" s="337"/>
    </row>
    <row r="1652" spans="1:14" ht="24" customHeight="1">
      <c r="A1652" s="8">
        <v>1608</v>
      </c>
      <c r="B1652" s="9">
        <v>1608</v>
      </c>
      <c r="C1652" s="254">
        <v>46113</v>
      </c>
      <c r="D1652" s="253" t="s">
        <v>238</v>
      </c>
      <c r="E1652" s="335" t="str">
        <f>IFERROR(VLOOKUP($D1652,본공사입.출고현황!$B:$H,E$2080,0),0)</f>
        <v>Steel round bar</v>
      </c>
      <c r="F1652" s="336" t="str">
        <f>IFERROR(VLOOKUP($D1652,본공사입.출고현황!$B:$H,F$2080,0),0)</f>
        <v>Steel round bar(rebar)</v>
      </c>
      <c r="G1652" s="336" t="str">
        <f>IFERROR(VLOOKUP($D1652,본공사입.출고현황!$B:$H,G$2080,0),0)</f>
        <v>CCGG</v>
      </c>
      <c r="H1652" s="336" t="str">
        <f>IFERROR(VLOOKUP($D1652,본공사입.출고현황!$B:$H,H$2080,0),0)</f>
        <v>ф10, 1ton=1,620.7m</v>
      </c>
      <c r="I1652" s="335" t="str">
        <f>IFERROR(VLOOKUP($D1652,본공사입.출고현황!$B:$H,I$2080,0),0)</f>
        <v>M</v>
      </c>
      <c r="J1652" s="253">
        <v>1</v>
      </c>
      <c r="K1652" s="253" t="s">
        <v>547</v>
      </c>
      <c r="L1652" s="255">
        <v>25</v>
      </c>
      <c r="M1652" s="256" t="s">
        <v>408</v>
      </c>
      <c r="N1652" s="337"/>
    </row>
    <row r="1653" spans="1:14" ht="24" customHeight="1">
      <c r="A1653" s="8">
        <v>1609</v>
      </c>
      <c r="B1653" s="9">
        <v>1609</v>
      </c>
      <c r="C1653" s="254">
        <v>46113</v>
      </c>
      <c r="D1653" s="253" t="s">
        <v>238</v>
      </c>
      <c r="E1653" s="335" t="str">
        <f>IFERROR(VLOOKUP($D1653,본공사입.출고현황!$B:$H,E$2080,0),0)</f>
        <v>Steel round bar</v>
      </c>
      <c r="F1653" s="336" t="str">
        <f>IFERROR(VLOOKUP($D1653,본공사입.출고현황!$B:$H,F$2080,0),0)</f>
        <v>Steel round bar(rebar)</v>
      </c>
      <c r="G1653" s="336" t="str">
        <f>IFERROR(VLOOKUP($D1653,본공사입.출고현황!$B:$H,G$2080,0),0)</f>
        <v>CCGG</v>
      </c>
      <c r="H1653" s="336" t="str">
        <f>IFERROR(VLOOKUP($D1653,본공사입.출고현황!$B:$H,H$2080,0),0)</f>
        <v>ф10, 1ton=1,620.7m</v>
      </c>
      <c r="I1653" s="335" t="str">
        <f>IFERROR(VLOOKUP($D1653,본공사입.출고현황!$B:$H,I$2080,0),0)</f>
        <v>M</v>
      </c>
      <c r="J1653" s="253">
        <v>1</v>
      </c>
      <c r="K1653" s="253" t="s">
        <v>547</v>
      </c>
      <c r="L1653" s="255">
        <v>25</v>
      </c>
      <c r="M1653" s="256" t="s">
        <v>408</v>
      </c>
      <c r="N1653" s="337"/>
    </row>
    <row r="1654" spans="1:14" ht="24" customHeight="1">
      <c r="A1654" s="8">
        <v>1610</v>
      </c>
      <c r="B1654" s="9">
        <v>1610</v>
      </c>
      <c r="C1654" s="254">
        <v>46113</v>
      </c>
      <c r="D1654" s="253" t="s">
        <v>238</v>
      </c>
      <c r="E1654" s="335" t="str">
        <f>IFERROR(VLOOKUP($D1654,본공사입.출고현황!$B:$H,E$2080,0),0)</f>
        <v>Steel round bar</v>
      </c>
      <c r="F1654" s="336" t="str">
        <f>IFERROR(VLOOKUP($D1654,본공사입.출고현황!$B:$H,F$2080,0),0)</f>
        <v>Steel round bar(rebar)</v>
      </c>
      <c r="G1654" s="336" t="str">
        <f>IFERROR(VLOOKUP($D1654,본공사입.출고현황!$B:$H,G$2080,0),0)</f>
        <v>CCGG</v>
      </c>
      <c r="H1654" s="336" t="str">
        <f>IFERROR(VLOOKUP($D1654,본공사입.출고현황!$B:$H,H$2080,0),0)</f>
        <v>ф10, 1ton=1,620.7m</v>
      </c>
      <c r="I1654" s="335" t="str">
        <f>IFERROR(VLOOKUP($D1654,본공사입.출고현황!$B:$H,I$2080,0),0)</f>
        <v>M</v>
      </c>
      <c r="J1654" s="253">
        <v>1</v>
      </c>
      <c r="K1654" s="253" t="s">
        <v>363</v>
      </c>
      <c r="L1654" s="255">
        <v>25</v>
      </c>
      <c r="M1654" s="256" t="s">
        <v>408</v>
      </c>
      <c r="N1654" s="337"/>
    </row>
    <row r="1655" spans="1:14" ht="24" customHeight="1">
      <c r="A1655" s="8">
        <v>1611</v>
      </c>
      <c r="B1655" s="9">
        <v>1611</v>
      </c>
      <c r="C1655" s="254">
        <v>46114</v>
      </c>
      <c r="D1655" s="253" t="s">
        <v>238</v>
      </c>
      <c r="E1655" s="335" t="str">
        <f>IFERROR(VLOOKUP($D1655,본공사입.출고현황!$B:$H,E$2080,0),0)</f>
        <v>Steel round bar</v>
      </c>
      <c r="F1655" s="336" t="str">
        <f>IFERROR(VLOOKUP($D1655,본공사입.출고현황!$B:$H,F$2080,0),0)</f>
        <v>Steel round bar(rebar)</v>
      </c>
      <c r="G1655" s="336" t="str">
        <f>IFERROR(VLOOKUP($D1655,본공사입.출고현황!$B:$H,G$2080,0),0)</f>
        <v>CCGG</v>
      </c>
      <c r="H1655" s="336" t="str">
        <f>IFERROR(VLOOKUP($D1655,본공사입.출고현황!$B:$H,H$2080,0),0)</f>
        <v>ф10, 1ton=1,620.7m</v>
      </c>
      <c r="I1655" s="335" t="str">
        <f>IFERROR(VLOOKUP($D1655,본공사입.출고현황!$B:$H,I$2080,0),0)</f>
        <v>M</v>
      </c>
      <c r="J1655" s="253">
        <v>3</v>
      </c>
      <c r="K1655" s="253" t="s">
        <v>550</v>
      </c>
      <c r="L1655" s="255">
        <v>25</v>
      </c>
      <c r="M1655" s="256" t="s">
        <v>408</v>
      </c>
      <c r="N1655" s="337"/>
    </row>
    <row r="1656" spans="1:14" ht="24" customHeight="1">
      <c r="A1656" s="8">
        <v>1612</v>
      </c>
      <c r="B1656" s="9">
        <v>1612</v>
      </c>
      <c r="C1656" s="254">
        <v>46114</v>
      </c>
      <c r="D1656" s="253" t="s">
        <v>238</v>
      </c>
      <c r="E1656" s="335" t="str">
        <f>IFERROR(VLOOKUP($D1656,본공사입.출고현황!$B:$H,E$2080,0),0)</f>
        <v>Steel round bar</v>
      </c>
      <c r="F1656" s="336" t="str">
        <f>IFERROR(VLOOKUP($D1656,본공사입.출고현황!$B:$H,F$2080,0),0)</f>
        <v>Steel round bar(rebar)</v>
      </c>
      <c r="G1656" s="336" t="str">
        <f>IFERROR(VLOOKUP($D1656,본공사입.출고현황!$B:$H,G$2080,0),0)</f>
        <v>CCGG</v>
      </c>
      <c r="H1656" s="336" t="str">
        <f>IFERROR(VLOOKUP($D1656,본공사입.출고현황!$B:$H,H$2080,0),0)</f>
        <v>ф10, 1ton=1,620.7m</v>
      </c>
      <c r="I1656" s="335" t="str">
        <f>IFERROR(VLOOKUP($D1656,본공사입.출고현황!$B:$H,I$2080,0),0)</f>
        <v>M</v>
      </c>
      <c r="J1656" s="253">
        <v>2</v>
      </c>
      <c r="K1656" s="253" t="s">
        <v>360</v>
      </c>
      <c r="L1656" s="255">
        <v>20</v>
      </c>
      <c r="M1656" s="256" t="s">
        <v>408</v>
      </c>
      <c r="N1656" s="337"/>
    </row>
    <row r="1657" spans="1:14" ht="24" customHeight="1">
      <c r="A1657" s="8">
        <v>1613</v>
      </c>
      <c r="B1657" s="9">
        <v>1613</v>
      </c>
      <c r="C1657" s="254">
        <v>46114</v>
      </c>
      <c r="D1657" s="253" t="s">
        <v>238</v>
      </c>
      <c r="E1657" s="335" t="str">
        <f>IFERROR(VLOOKUP($D1657,본공사입.출고현황!$B:$H,E$2080,0),0)</f>
        <v>Steel round bar</v>
      </c>
      <c r="F1657" s="336" t="str">
        <f>IFERROR(VLOOKUP($D1657,본공사입.출고현황!$B:$H,F$2080,0),0)</f>
        <v>Steel round bar(rebar)</v>
      </c>
      <c r="G1657" s="336" t="str">
        <f>IFERROR(VLOOKUP($D1657,본공사입.출고현황!$B:$H,G$2080,0),0)</f>
        <v>CCGG</v>
      </c>
      <c r="H1657" s="336" t="str">
        <f>IFERROR(VLOOKUP($D1657,본공사입.출고현황!$B:$H,H$2080,0),0)</f>
        <v>ф10, 1ton=1,620.7m</v>
      </c>
      <c r="I1657" s="335" t="str">
        <f>IFERROR(VLOOKUP($D1657,본공사입.출고현황!$B:$H,I$2080,0),0)</f>
        <v>M</v>
      </c>
      <c r="J1657" s="253">
        <v>1</v>
      </c>
      <c r="K1657" s="253" t="s">
        <v>352</v>
      </c>
      <c r="L1657" s="255">
        <v>30</v>
      </c>
      <c r="M1657" s="256" t="s">
        <v>408</v>
      </c>
      <c r="N1657" s="337"/>
    </row>
    <row r="1658" spans="1:14" ht="24" customHeight="1">
      <c r="A1658" s="8">
        <v>1614</v>
      </c>
      <c r="B1658" s="9">
        <v>1614</v>
      </c>
      <c r="C1658" s="254">
        <v>46114</v>
      </c>
      <c r="D1658" s="253" t="s">
        <v>238</v>
      </c>
      <c r="E1658" s="335" t="str">
        <f>IFERROR(VLOOKUP($D1658,본공사입.출고현황!$B:$H,E$2080,0),0)</f>
        <v>Steel round bar</v>
      </c>
      <c r="F1658" s="336" t="str">
        <f>IFERROR(VLOOKUP($D1658,본공사입.출고현황!$B:$H,F$2080,0),0)</f>
        <v>Steel round bar(rebar)</v>
      </c>
      <c r="G1658" s="336" t="str">
        <f>IFERROR(VLOOKUP($D1658,본공사입.출고현황!$B:$H,G$2080,0),0)</f>
        <v>CCGG</v>
      </c>
      <c r="H1658" s="336" t="str">
        <f>IFERROR(VLOOKUP($D1658,본공사입.출고현황!$B:$H,H$2080,0),0)</f>
        <v>ф10, 1ton=1,620.7m</v>
      </c>
      <c r="I1658" s="335" t="str">
        <f>IFERROR(VLOOKUP($D1658,본공사입.출고현황!$B:$H,I$2080,0),0)</f>
        <v>M</v>
      </c>
      <c r="J1658" s="253">
        <v>1</v>
      </c>
      <c r="K1658" s="253" t="s">
        <v>352</v>
      </c>
      <c r="L1658" s="255">
        <v>25</v>
      </c>
      <c r="M1658" s="256" t="s">
        <v>408</v>
      </c>
      <c r="N1658" s="337"/>
    </row>
    <row r="1659" spans="1:14" ht="24" customHeight="1">
      <c r="A1659" s="8">
        <v>1615</v>
      </c>
      <c r="B1659" s="9">
        <v>1615</v>
      </c>
      <c r="C1659" s="254">
        <v>46114</v>
      </c>
      <c r="D1659" s="253" t="s">
        <v>238</v>
      </c>
      <c r="E1659" s="335" t="str">
        <f>IFERROR(VLOOKUP($D1659,본공사입.출고현황!$B:$H,E$2080,0),0)</f>
        <v>Steel round bar</v>
      </c>
      <c r="F1659" s="336" t="str">
        <f>IFERROR(VLOOKUP($D1659,본공사입.출고현황!$B:$H,F$2080,0),0)</f>
        <v>Steel round bar(rebar)</v>
      </c>
      <c r="G1659" s="336" t="str">
        <f>IFERROR(VLOOKUP($D1659,본공사입.출고현황!$B:$H,G$2080,0),0)</f>
        <v>CCGG</v>
      </c>
      <c r="H1659" s="336" t="str">
        <f>IFERROR(VLOOKUP($D1659,본공사입.출고현황!$B:$H,H$2080,0),0)</f>
        <v>ф10, 1ton=1,620.7m</v>
      </c>
      <c r="I1659" s="335" t="str">
        <f>IFERROR(VLOOKUP($D1659,본공사입.출고현황!$B:$H,I$2080,0),0)</f>
        <v>M</v>
      </c>
      <c r="J1659" s="253">
        <v>2</v>
      </c>
      <c r="K1659" s="253" t="s">
        <v>546</v>
      </c>
      <c r="L1659" s="255">
        <v>15</v>
      </c>
      <c r="M1659" s="256" t="s">
        <v>408</v>
      </c>
      <c r="N1659" s="337"/>
    </row>
    <row r="1660" spans="1:14" ht="24" customHeight="1">
      <c r="A1660" s="8">
        <v>1616</v>
      </c>
      <c r="B1660" s="9">
        <v>1616</v>
      </c>
      <c r="C1660" s="254">
        <v>46114</v>
      </c>
      <c r="D1660" s="253" t="s">
        <v>238</v>
      </c>
      <c r="E1660" s="335" t="str">
        <f>IFERROR(VLOOKUP($D1660,본공사입.출고현황!$B:$H,E$2080,0),0)</f>
        <v>Steel round bar</v>
      </c>
      <c r="F1660" s="336" t="str">
        <f>IFERROR(VLOOKUP($D1660,본공사입.출고현황!$B:$H,F$2080,0),0)</f>
        <v>Steel round bar(rebar)</v>
      </c>
      <c r="G1660" s="336" t="str">
        <f>IFERROR(VLOOKUP($D1660,본공사입.출고현황!$B:$H,G$2080,0),0)</f>
        <v>CCGG</v>
      </c>
      <c r="H1660" s="336" t="str">
        <f>IFERROR(VLOOKUP($D1660,본공사입.출고현황!$B:$H,H$2080,0),0)</f>
        <v>ф10, 1ton=1,620.7m</v>
      </c>
      <c r="I1660" s="335" t="str">
        <f>IFERROR(VLOOKUP($D1660,본공사입.출고현황!$B:$H,I$2080,0),0)</f>
        <v>M</v>
      </c>
      <c r="J1660" s="253">
        <v>4</v>
      </c>
      <c r="K1660" s="253" t="s">
        <v>359</v>
      </c>
      <c r="L1660" s="255">
        <v>30</v>
      </c>
      <c r="M1660" s="256" t="s">
        <v>408</v>
      </c>
      <c r="N1660" s="337"/>
    </row>
    <row r="1661" spans="1:14" ht="24" customHeight="1">
      <c r="A1661" s="8">
        <v>1617</v>
      </c>
      <c r="B1661" s="9">
        <v>1617</v>
      </c>
      <c r="C1661" s="254">
        <v>46115</v>
      </c>
      <c r="D1661" s="253" t="s">
        <v>238</v>
      </c>
      <c r="E1661" s="335" t="str">
        <f>IFERROR(VLOOKUP($D1661,본공사입.출고현황!$B:$H,E$2080,0),0)</f>
        <v>Steel round bar</v>
      </c>
      <c r="F1661" s="336" t="str">
        <f>IFERROR(VLOOKUP($D1661,본공사입.출고현황!$B:$H,F$2080,0),0)</f>
        <v>Steel round bar(rebar)</v>
      </c>
      <c r="G1661" s="336" t="str">
        <f>IFERROR(VLOOKUP($D1661,본공사입.출고현황!$B:$H,G$2080,0),0)</f>
        <v>CCGG</v>
      </c>
      <c r="H1661" s="336" t="str">
        <f>IFERROR(VLOOKUP($D1661,본공사입.출고현황!$B:$H,H$2080,0),0)</f>
        <v>ф10, 1ton=1,620.7m</v>
      </c>
      <c r="I1661" s="335" t="str">
        <f>IFERROR(VLOOKUP($D1661,본공사입.출고현황!$B:$H,I$2080,0),0)</f>
        <v>M</v>
      </c>
      <c r="J1661" s="253">
        <v>2</v>
      </c>
      <c r="K1661" s="253" t="s">
        <v>360</v>
      </c>
      <c r="L1661" s="255">
        <v>30</v>
      </c>
      <c r="M1661" s="256" t="s">
        <v>408</v>
      </c>
      <c r="N1661" s="337"/>
    </row>
    <row r="1662" spans="1:14" ht="24" customHeight="1">
      <c r="A1662" s="8">
        <v>1618</v>
      </c>
      <c r="B1662" s="9">
        <v>1618</v>
      </c>
      <c r="C1662" s="254">
        <v>46115</v>
      </c>
      <c r="D1662" s="253" t="s">
        <v>238</v>
      </c>
      <c r="E1662" s="335" t="str">
        <f>IFERROR(VLOOKUP($D1662,본공사입.출고현황!$B:$H,E$2080,0),0)</f>
        <v>Steel round bar</v>
      </c>
      <c r="F1662" s="336" t="str">
        <f>IFERROR(VLOOKUP($D1662,본공사입.출고현황!$B:$H,F$2080,0),0)</f>
        <v>Steel round bar(rebar)</v>
      </c>
      <c r="G1662" s="336" t="str">
        <f>IFERROR(VLOOKUP($D1662,본공사입.출고현황!$B:$H,G$2080,0),0)</f>
        <v>CCGG</v>
      </c>
      <c r="H1662" s="336" t="str">
        <f>IFERROR(VLOOKUP($D1662,본공사입.출고현황!$B:$H,H$2080,0),0)</f>
        <v>ф10, 1ton=1,620.7m</v>
      </c>
      <c r="I1662" s="335" t="str">
        <f>IFERROR(VLOOKUP($D1662,본공사입.출고현황!$B:$H,I$2080,0),0)</f>
        <v>M</v>
      </c>
      <c r="J1662" s="253">
        <v>3</v>
      </c>
      <c r="K1662" s="253" t="s">
        <v>237</v>
      </c>
      <c r="L1662" s="255">
        <v>20</v>
      </c>
      <c r="M1662" s="256" t="s">
        <v>408</v>
      </c>
      <c r="N1662" s="337"/>
    </row>
    <row r="1663" spans="1:14" ht="24" customHeight="1">
      <c r="A1663" s="8">
        <v>1619</v>
      </c>
      <c r="B1663" s="9">
        <v>1619</v>
      </c>
      <c r="C1663" s="254">
        <v>46115</v>
      </c>
      <c r="D1663" s="253" t="s">
        <v>238</v>
      </c>
      <c r="E1663" s="335" t="str">
        <f>IFERROR(VLOOKUP($D1663,본공사입.출고현황!$B:$H,E$2080,0),0)</f>
        <v>Steel round bar</v>
      </c>
      <c r="F1663" s="336" t="str">
        <f>IFERROR(VLOOKUP($D1663,본공사입.출고현황!$B:$H,F$2080,0),0)</f>
        <v>Steel round bar(rebar)</v>
      </c>
      <c r="G1663" s="336" t="str">
        <f>IFERROR(VLOOKUP($D1663,본공사입.출고현황!$B:$H,G$2080,0),0)</f>
        <v>CCGG</v>
      </c>
      <c r="H1663" s="336" t="str">
        <f>IFERROR(VLOOKUP($D1663,본공사입.출고현황!$B:$H,H$2080,0),0)</f>
        <v>ф10, 1ton=1,620.7m</v>
      </c>
      <c r="I1663" s="335" t="str">
        <f>IFERROR(VLOOKUP($D1663,본공사입.출고현황!$B:$H,I$2080,0),0)</f>
        <v>M</v>
      </c>
      <c r="J1663" s="253">
        <v>1</v>
      </c>
      <c r="K1663" s="253" t="s">
        <v>352</v>
      </c>
      <c r="L1663" s="255">
        <v>20</v>
      </c>
      <c r="M1663" s="256" t="s">
        <v>408</v>
      </c>
      <c r="N1663" s="337"/>
    </row>
    <row r="1664" spans="1:14" ht="24" customHeight="1">
      <c r="A1664" s="8">
        <v>1620</v>
      </c>
      <c r="B1664" s="9">
        <v>1620</v>
      </c>
      <c r="C1664" s="254">
        <v>46115</v>
      </c>
      <c r="D1664" s="253" t="s">
        <v>238</v>
      </c>
      <c r="E1664" s="335" t="str">
        <f>IFERROR(VLOOKUP($D1664,본공사입.출고현황!$B:$H,E$2080,0),0)</f>
        <v>Steel round bar</v>
      </c>
      <c r="F1664" s="336" t="str">
        <f>IFERROR(VLOOKUP($D1664,본공사입.출고현황!$B:$H,F$2080,0),0)</f>
        <v>Steel round bar(rebar)</v>
      </c>
      <c r="G1664" s="336" t="str">
        <f>IFERROR(VLOOKUP($D1664,본공사입.출고현황!$B:$H,G$2080,0),0)</f>
        <v>CCGG</v>
      </c>
      <c r="H1664" s="336" t="str">
        <f>IFERROR(VLOOKUP($D1664,본공사입.출고현황!$B:$H,H$2080,0),0)</f>
        <v>ф10, 1ton=1,620.7m</v>
      </c>
      <c r="I1664" s="335" t="str">
        <f>IFERROR(VLOOKUP($D1664,본공사입.출고현황!$B:$H,I$2080,0),0)</f>
        <v>M</v>
      </c>
      <c r="J1664" s="253">
        <v>1</v>
      </c>
      <c r="K1664" s="253" t="s">
        <v>352</v>
      </c>
      <c r="L1664" s="255">
        <v>25</v>
      </c>
      <c r="M1664" s="256" t="s">
        <v>408</v>
      </c>
      <c r="N1664" s="337"/>
    </row>
    <row r="1665" spans="1:14" ht="24" customHeight="1">
      <c r="A1665" s="8">
        <v>1621</v>
      </c>
      <c r="B1665" s="9">
        <v>1621</v>
      </c>
      <c r="C1665" s="254">
        <v>46115</v>
      </c>
      <c r="D1665" s="253" t="s">
        <v>238</v>
      </c>
      <c r="E1665" s="335" t="str">
        <f>IFERROR(VLOOKUP($D1665,본공사입.출고현황!$B:$H,E$2080,0),0)</f>
        <v>Steel round bar</v>
      </c>
      <c r="F1665" s="336" t="str">
        <f>IFERROR(VLOOKUP($D1665,본공사입.출고현황!$B:$H,F$2080,0),0)</f>
        <v>Steel round bar(rebar)</v>
      </c>
      <c r="G1665" s="336" t="str">
        <f>IFERROR(VLOOKUP($D1665,본공사입.출고현황!$B:$H,G$2080,0),0)</f>
        <v>CCGG</v>
      </c>
      <c r="H1665" s="336" t="str">
        <f>IFERROR(VLOOKUP($D1665,본공사입.출고현황!$B:$H,H$2080,0),0)</f>
        <v>ф10, 1ton=1,620.7m</v>
      </c>
      <c r="I1665" s="335" t="str">
        <f>IFERROR(VLOOKUP($D1665,본공사입.출고현황!$B:$H,I$2080,0),0)</f>
        <v>M</v>
      </c>
      <c r="J1665" s="253">
        <v>1</v>
      </c>
      <c r="K1665" s="253" t="s">
        <v>363</v>
      </c>
      <c r="L1665" s="255">
        <v>20</v>
      </c>
      <c r="M1665" s="256" t="s">
        <v>408</v>
      </c>
      <c r="N1665" s="337"/>
    </row>
    <row r="1666" spans="1:14" ht="24" customHeight="1">
      <c r="A1666" s="8">
        <v>1622</v>
      </c>
      <c r="B1666" s="9">
        <v>1622</v>
      </c>
      <c r="C1666" s="254">
        <v>46115</v>
      </c>
      <c r="D1666" s="253" t="s">
        <v>238</v>
      </c>
      <c r="E1666" s="335" t="str">
        <f>IFERROR(VLOOKUP($D1666,본공사입.출고현황!$B:$H,E$2080,0),0)</f>
        <v>Steel round bar</v>
      </c>
      <c r="F1666" s="336" t="str">
        <f>IFERROR(VLOOKUP($D1666,본공사입.출고현황!$B:$H,F$2080,0),0)</f>
        <v>Steel round bar(rebar)</v>
      </c>
      <c r="G1666" s="336" t="str">
        <f>IFERROR(VLOOKUP($D1666,본공사입.출고현황!$B:$H,G$2080,0),0)</f>
        <v>CCGG</v>
      </c>
      <c r="H1666" s="336" t="str">
        <f>IFERROR(VLOOKUP($D1666,본공사입.출고현황!$B:$H,H$2080,0),0)</f>
        <v>ф10, 1ton=1,620.7m</v>
      </c>
      <c r="I1666" s="335" t="str">
        <f>IFERROR(VLOOKUP($D1666,본공사입.출고현황!$B:$H,I$2080,0),0)</f>
        <v>M</v>
      </c>
      <c r="J1666" s="253">
        <v>1</v>
      </c>
      <c r="K1666" s="253" t="s">
        <v>545</v>
      </c>
      <c r="L1666" s="255">
        <v>25</v>
      </c>
      <c r="M1666" s="256" t="s">
        <v>408</v>
      </c>
      <c r="N1666" s="337"/>
    </row>
    <row r="1667" spans="1:14" ht="24" customHeight="1">
      <c r="A1667" s="8">
        <v>1623</v>
      </c>
      <c r="B1667" s="9">
        <v>1623</v>
      </c>
      <c r="C1667" s="254">
        <v>46115</v>
      </c>
      <c r="D1667" s="253" t="s">
        <v>238</v>
      </c>
      <c r="E1667" s="335" t="str">
        <f>IFERROR(VLOOKUP($D1667,본공사입.출고현황!$B:$H,E$2080,0),0)</f>
        <v>Steel round bar</v>
      </c>
      <c r="F1667" s="336" t="str">
        <f>IFERROR(VLOOKUP($D1667,본공사입.출고현황!$B:$H,F$2080,0),0)</f>
        <v>Steel round bar(rebar)</v>
      </c>
      <c r="G1667" s="336" t="str">
        <f>IFERROR(VLOOKUP($D1667,본공사입.출고현황!$B:$H,G$2080,0),0)</f>
        <v>CCGG</v>
      </c>
      <c r="H1667" s="336" t="str">
        <f>IFERROR(VLOOKUP($D1667,본공사입.출고현황!$B:$H,H$2080,0),0)</f>
        <v>ф10, 1ton=1,620.7m</v>
      </c>
      <c r="I1667" s="335" t="str">
        <f>IFERROR(VLOOKUP($D1667,본공사입.출고현황!$B:$H,I$2080,0),0)</f>
        <v>M</v>
      </c>
      <c r="J1667" s="253">
        <v>2</v>
      </c>
      <c r="K1667" s="253" t="s">
        <v>241</v>
      </c>
      <c r="L1667" s="255">
        <v>30</v>
      </c>
      <c r="M1667" s="256" t="s">
        <v>408</v>
      </c>
      <c r="N1667" s="337"/>
    </row>
    <row r="1668" spans="1:14" ht="24" customHeight="1">
      <c r="A1668" s="8">
        <v>1624</v>
      </c>
      <c r="B1668" s="9">
        <v>1624</v>
      </c>
      <c r="C1668" s="254">
        <v>46115</v>
      </c>
      <c r="D1668" s="253" t="s">
        <v>238</v>
      </c>
      <c r="E1668" s="335" t="str">
        <f>IFERROR(VLOOKUP($D1668,본공사입.출고현황!$B:$H,E$2080,0),0)</f>
        <v>Steel round bar</v>
      </c>
      <c r="F1668" s="336" t="str">
        <f>IFERROR(VLOOKUP($D1668,본공사입.출고현황!$B:$H,F$2080,0),0)</f>
        <v>Steel round bar(rebar)</v>
      </c>
      <c r="G1668" s="336" t="str">
        <f>IFERROR(VLOOKUP($D1668,본공사입.출고현황!$B:$H,G$2080,0),0)</f>
        <v>CCGG</v>
      </c>
      <c r="H1668" s="336" t="str">
        <f>IFERROR(VLOOKUP($D1668,본공사입.출고현황!$B:$H,H$2080,0),0)</f>
        <v>ф10, 1ton=1,620.7m</v>
      </c>
      <c r="I1668" s="335" t="str">
        <f>IFERROR(VLOOKUP($D1668,본공사입.출고현황!$B:$H,I$2080,0),0)</f>
        <v>M</v>
      </c>
      <c r="J1668" s="253">
        <v>3</v>
      </c>
      <c r="K1668" s="253" t="s">
        <v>550</v>
      </c>
      <c r="L1668" s="255">
        <v>25</v>
      </c>
      <c r="M1668" s="256" t="s">
        <v>408</v>
      </c>
      <c r="N1668" s="337"/>
    </row>
    <row r="1669" spans="1:14" ht="24" customHeight="1">
      <c r="A1669" s="8">
        <v>1625</v>
      </c>
      <c r="B1669" s="9">
        <v>1625</v>
      </c>
      <c r="C1669" s="254">
        <v>46115</v>
      </c>
      <c r="D1669" s="253" t="s">
        <v>238</v>
      </c>
      <c r="E1669" s="335" t="str">
        <f>IFERROR(VLOOKUP($D1669,본공사입.출고현황!$B:$H,E$2080,0),0)</f>
        <v>Steel round bar</v>
      </c>
      <c r="F1669" s="336" t="str">
        <f>IFERROR(VLOOKUP($D1669,본공사입.출고현황!$B:$H,F$2080,0),0)</f>
        <v>Steel round bar(rebar)</v>
      </c>
      <c r="G1669" s="336" t="str">
        <f>IFERROR(VLOOKUP($D1669,본공사입.출고현황!$B:$H,G$2080,0),0)</f>
        <v>CCGG</v>
      </c>
      <c r="H1669" s="336" t="str">
        <f>IFERROR(VLOOKUP($D1669,본공사입.출고현황!$B:$H,H$2080,0),0)</f>
        <v>ф10, 1ton=1,620.7m</v>
      </c>
      <c r="I1669" s="335" t="str">
        <f>IFERROR(VLOOKUP($D1669,본공사입.출고현황!$B:$H,I$2080,0),0)</f>
        <v>M</v>
      </c>
      <c r="J1669" s="253">
        <v>3</v>
      </c>
      <c r="K1669" s="253" t="s">
        <v>550</v>
      </c>
      <c r="L1669" s="255">
        <v>25</v>
      </c>
      <c r="M1669" s="256" t="s">
        <v>408</v>
      </c>
      <c r="N1669" s="337"/>
    </row>
    <row r="1670" spans="1:14" ht="24" customHeight="1">
      <c r="A1670" s="8">
        <v>1626</v>
      </c>
      <c r="B1670" s="9">
        <v>1626</v>
      </c>
      <c r="C1670" s="254">
        <v>46116</v>
      </c>
      <c r="D1670" s="253" t="s">
        <v>238</v>
      </c>
      <c r="E1670" s="335" t="str">
        <f>IFERROR(VLOOKUP($D1670,본공사입.출고현황!$B:$H,E$2080,0),0)</f>
        <v>Steel round bar</v>
      </c>
      <c r="F1670" s="336" t="str">
        <f>IFERROR(VLOOKUP($D1670,본공사입.출고현황!$B:$H,F$2080,0),0)</f>
        <v>Steel round bar(rebar)</v>
      </c>
      <c r="G1670" s="336" t="str">
        <f>IFERROR(VLOOKUP($D1670,본공사입.출고현황!$B:$H,G$2080,0),0)</f>
        <v>CCGG</v>
      </c>
      <c r="H1670" s="336" t="str">
        <f>IFERROR(VLOOKUP($D1670,본공사입.출고현황!$B:$H,H$2080,0),0)</f>
        <v>ф10, 1ton=1,620.7m</v>
      </c>
      <c r="I1670" s="335" t="str">
        <f>IFERROR(VLOOKUP($D1670,본공사입.출고현황!$B:$H,I$2080,0),0)</f>
        <v>M</v>
      </c>
      <c r="J1670" s="253">
        <v>1</v>
      </c>
      <c r="K1670" s="253" t="s">
        <v>363</v>
      </c>
      <c r="L1670" s="255">
        <v>25</v>
      </c>
      <c r="M1670" s="256" t="s">
        <v>408</v>
      </c>
      <c r="N1670" s="337"/>
    </row>
    <row r="1671" spans="1:14" ht="24" customHeight="1">
      <c r="A1671" s="8">
        <v>1627</v>
      </c>
      <c r="B1671" s="9">
        <v>1627</v>
      </c>
      <c r="C1671" s="254">
        <v>46116</v>
      </c>
      <c r="D1671" s="253" t="s">
        <v>238</v>
      </c>
      <c r="E1671" s="335" t="str">
        <f>IFERROR(VLOOKUP($D1671,본공사입.출고현황!$B:$H,E$2080,0),0)</f>
        <v>Steel round bar</v>
      </c>
      <c r="F1671" s="336" t="str">
        <f>IFERROR(VLOOKUP($D1671,본공사입.출고현황!$B:$H,F$2080,0),0)</f>
        <v>Steel round bar(rebar)</v>
      </c>
      <c r="G1671" s="336" t="str">
        <f>IFERROR(VLOOKUP($D1671,본공사입.출고현황!$B:$H,G$2080,0),0)</f>
        <v>CCGG</v>
      </c>
      <c r="H1671" s="336" t="str">
        <f>IFERROR(VLOOKUP($D1671,본공사입.출고현황!$B:$H,H$2080,0),0)</f>
        <v>ф10, 1ton=1,620.7m</v>
      </c>
      <c r="I1671" s="335" t="str">
        <f>IFERROR(VLOOKUP($D1671,본공사입.출고현황!$B:$H,I$2080,0),0)</f>
        <v>M</v>
      </c>
      <c r="J1671" s="253">
        <v>1</v>
      </c>
      <c r="K1671" s="253" t="s">
        <v>547</v>
      </c>
      <c r="L1671" s="255">
        <v>20</v>
      </c>
      <c r="M1671" s="256" t="s">
        <v>408</v>
      </c>
      <c r="N1671" s="337"/>
    </row>
    <row r="1672" spans="1:14" ht="24" customHeight="1">
      <c r="A1672" s="8">
        <v>1628</v>
      </c>
      <c r="B1672" s="9">
        <v>1628</v>
      </c>
      <c r="C1672" s="254">
        <v>46116</v>
      </c>
      <c r="D1672" s="253" t="s">
        <v>238</v>
      </c>
      <c r="E1672" s="335" t="str">
        <f>IFERROR(VLOOKUP($D1672,본공사입.출고현황!$B:$H,E$2080,0),0)</f>
        <v>Steel round bar</v>
      </c>
      <c r="F1672" s="336" t="str">
        <f>IFERROR(VLOOKUP($D1672,본공사입.출고현황!$B:$H,F$2080,0),0)</f>
        <v>Steel round bar(rebar)</v>
      </c>
      <c r="G1672" s="336" t="str">
        <f>IFERROR(VLOOKUP($D1672,본공사입.출고현황!$B:$H,G$2080,0),0)</f>
        <v>CCGG</v>
      </c>
      <c r="H1672" s="336" t="str">
        <f>IFERROR(VLOOKUP($D1672,본공사입.출고현황!$B:$H,H$2080,0),0)</f>
        <v>ф10, 1ton=1,620.7m</v>
      </c>
      <c r="I1672" s="335" t="str">
        <f>IFERROR(VLOOKUP($D1672,본공사입.출고현황!$B:$H,I$2080,0),0)</f>
        <v>M</v>
      </c>
      <c r="J1672" s="253">
        <v>1</v>
      </c>
      <c r="K1672" s="253" t="s">
        <v>363</v>
      </c>
      <c r="L1672" s="255">
        <v>15</v>
      </c>
      <c r="M1672" s="256" t="s">
        <v>408</v>
      </c>
      <c r="N1672" s="337"/>
    </row>
    <row r="1673" spans="1:14" ht="24" customHeight="1">
      <c r="A1673" s="8">
        <v>1629</v>
      </c>
      <c r="B1673" s="9">
        <v>1629</v>
      </c>
      <c r="C1673" s="254">
        <v>46116</v>
      </c>
      <c r="D1673" s="253" t="s">
        <v>238</v>
      </c>
      <c r="E1673" s="335" t="str">
        <f>IFERROR(VLOOKUP($D1673,본공사입.출고현황!$B:$H,E$2080,0),0)</f>
        <v>Steel round bar</v>
      </c>
      <c r="F1673" s="336" t="str">
        <f>IFERROR(VLOOKUP($D1673,본공사입.출고현황!$B:$H,F$2080,0),0)</f>
        <v>Steel round bar(rebar)</v>
      </c>
      <c r="G1673" s="336" t="str">
        <f>IFERROR(VLOOKUP($D1673,본공사입.출고현황!$B:$H,G$2080,0),0)</f>
        <v>CCGG</v>
      </c>
      <c r="H1673" s="336" t="str">
        <f>IFERROR(VLOOKUP($D1673,본공사입.출고현황!$B:$H,H$2080,0),0)</f>
        <v>ф10, 1ton=1,620.7m</v>
      </c>
      <c r="I1673" s="335" t="str">
        <f>IFERROR(VLOOKUP($D1673,본공사입.출고현황!$B:$H,I$2080,0),0)</f>
        <v>M</v>
      </c>
      <c r="J1673" s="253">
        <v>3</v>
      </c>
      <c r="K1673" s="253" t="s">
        <v>550</v>
      </c>
      <c r="L1673" s="255">
        <v>15</v>
      </c>
      <c r="M1673" s="256" t="s">
        <v>408</v>
      </c>
      <c r="N1673" s="337"/>
    </row>
    <row r="1674" spans="1:14" ht="24" customHeight="1">
      <c r="A1674" s="8">
        <v>1630</v>
      </c>
      <c r="B1674" s="9">
        <v>1630</v>
      </c>
      <c r="C1674" s="254">
        <v>46116</v>
      </c>
      <c r="D1674" s="253" t="s">
        <v>238</v>
      </c>
      <c r="E1674" s="335" t="str">
        <f>IFERROR(VLOOKUP($D1674,본공사입.출고현황!$B:$H,E$2080,0),0)</f>
        <v>Steel round bar</v>
      </c>
      <c r="F1674" s="336" t="str">
        <f>IFERROR(VLOOKUP($D1674,본공사입.출고현황!$B:$H,F$2080,0),0)</f>
        <v>Steel round bar(rebar)</v>
      </c>
      <c r="G1674" s="336" t="str">
        <f>IFERROR(VLOOKUP($D1674,본공사입.출고현황!$B:$H,G$2080,0),0)</f>
        <v>CCGG</v>
      </c>
      <c r="H1674" s="336" t="str">
        <f>IFERROR(VLOOKUP($D1674,본공사입.출고현황!$B:$H,H$2080,0),0)</f>
        <v>ф10, 1ton=1,620.7m</v>
      </c>
      <c r="I1674" s="335" t="str">
        <f>IFERROR(VLOOKUP($D1674,본공사입.출고현황!$B:$H,I$2080,0),0)</f>
        <v>M</v>
      </c>
      <c r="J1674" s="253">
        <v>2</v>
      </c>
      <c r="K1674" s="253" t="s">
        <v>360</v>
      </c>
      <c r="L1674" s="255">
        <v>20</v>
      </c>
      <c r="M1674" s="256" t="s">
        <v>408</v>
      </c>
      <c r="N1674" s="337"/>
    </row>
    <row r="1675" spans="1:14" ht="24" customHeight="1">
      <c r="A1675" s="8">
        <v>1631</v>
      </c>
      <c r="B1675" s="9">
        <v>1631</v>
      </c>
      <c r="C1675" s="254">
        <v>46116</v>
      </c>
      <c r="D1675" s="253" t="s">
        <v>238</v>
      </c>
      <c r="E1675" s="335" t="str">
        <f>IFERROR(VLOOKUP($D1675,본공사입.출고현황!$B:$H,E$2080,0),0)</f>
        <v>Steel round bar</v>
      </c>
      <c r="F1675" s="336" t="str">
        <f>IFERROR(VLOOKUP($D1675,본공사입.출고현황!$B:$H,F$2080,0),0)</f>
        <v>Steel round bar(rebar)</v>
      </c>
      <c r="G1675" s="336" t="str">
        <f>IFERROR(VLOOKUP($D1675,본공사입.출고현황!$B:$H,G$2080,0),0)</f>
        <v>CCGG</v>
      </c>
      <c r="H1675" s="336" t="str">
        <f>IFERROR(VLOOKUP($D1675,본공사입.출고현황!$B:$H,H$2080,0),0)</f>
        <v>ф10, 1ton=1,620.7m</v>
      </c>
      <c r="I1675" s="335" t="str">
        <f>IFERROR(VLOOKUP($D1675,본공사입.출고현황!$B:$H,I$2080,0),0)</f>
        <v>M</v>
      </c>
      <c r="J1675" s="253">
        <v>1</v>
      </c>
      <c r="K1675" s="253" t="s">
        <v>352</v>
      </c>
      <c r="L1675" s="255">
        <v>20</v>
      </c>
      <c r="M1675" s="256" t="s">
        <v>408</v>
      </c>
      <c r="N1675" s="337"/>
    </row>
    <row r="1676" spans="1:14" ht="24" customHeight="1">
      <c r="A1676" s="8">
        <v>1632</v>
      </c>
      <c r="B1676" s="9">
        <v>1632</v>
      </c>
      <c r="C1676" s="254">
        <v>46116</v>
      </c>
      <c r="D1676" s="253" t="s">
        <v>238</v>
      </c>
      <c r="E1676" s="335" t="str">
        <f>IFERROR(VLOOKUP($D1676,본공사입.출고현황!$B:$H,E$2080,0),0)</f>
        <v>Steel round bar</v>
      </c>
      <c r="F1676" s="336" t="str">
        <f>IFERROR(VLOOKUP($D1676,본공사입.출고현황!$B:$H,F$2080,0),0)</f>
        <v>Steel round bar(rebar)</v>
      </c>
      <c r="G1676" s="336" t="str">
        <f>IFERROR(VLOOKUP($D1676,본공사입.출고현황!$B:$H,G$2080,0),0)</f>
        <v>CCGG</v>
      </c>
      <c r="H1676" s="336" t="str">
        <f>IFERROR(VLOOKUP($D1676,본공사입.출고현황!$B:$H,H$2080,0),0)</f>
        <v>ф10, 1ton=1,620.7m</v>
      </c>
      <c r="I1676" s="335" t="str">
        <f>IFERROR(VLOOKUP($D1676,본공사입.출고현황!$B:$H,I$2080,0),0)</f>
        <v>M</v>
      </c>
      <c r="J1676" s="253">
        <v>2</v>
      </c>
      <c r="K1676" s="253" t="s">
        <v>546</v>
      </c>
      <c r="L1676" s="255">
        <v>20</v>
      </c>
      <c r="M1676" s="256" t="s">
        <v>408</v>
      </c>
      <c r="N1676" s="337"/>
    </row>
    <row r="1677" spans="1:14" ht="24" customHeight="1">
      <c r="A1677" s="8">
        <v>1633</v>
      </c>
      <c r="B1677" s="9">
        <v>1633</v>
      </c>
      <c r="C1677" s="254">
        <v>46116</v>
      </c>
      <c r="D1677" s="253" t="s">
        <v>238</v>
      </c>
      <c r="E1677" s="335" t="str">
        <f>IFERROR(VLOOKUP($D1677,본공사입.출고현황!$B:$H,E$2080,0),0)</f>
        <v>Steel round bar</v>
      </c>
      <c r="F1677" s="336" t="str">
        <f>IFERROR(VLOOKUP($D1677,본공사입.출고현황!$B:$H,F$2080,0),0)</f>
        <v>Steel round bar(rebar)</v>
      </c>
      <c r="G1677" s="336" t="str">
        <f>IFERROR(VLOOKUP($D1677,본공사입.출고현황!$B:$H,G$2080,0),0)</f>
        <v>CCGG</v>
      </c>
      <c r="H1677" s="336" t="str">
        <f>IFERROR(VLOOKUP($D1677,본공사입.출고현황!$B:$H,H$2080,0),0)</f>
        <v>ф10, 1ton=1,620.7m</v>
      </c>
      <c r="I1677" s="335" t="str">
        <f>IFERROR(VLOOKUP($D1677,본공사입.출고현황!$B:$H,I$2080,0),0)</f>
        <v>M</v>
      </c>
      <c r="J1677" s="253">
        <v>4</v>
      </c>
      <c r="K1677" s="253" t="s">
        <v>359</v>
      </c>
      <c r="L1677" s="255">
        <v>25</v>
      </c>
      <c r="M1677" s="256" t="s">
        <v>408</v>
      </c>
      <c r="N1677" s="337"/>
    </row>
    <row r="1678" spans="1:14" ht="24" customHeight="1">
      <c r="A1678" s="8">
        <v>1634</v>
      </c>
      <c r="B1678" s="9">
        <v>1634</v>
      </c>
      <c r="C1678" s="254">
        <v>46116</v>
      </c>
      <c r="D1678" s="253" t="s">
        <v>238</v>
      </c>
      <c r="E1678" s="335" t="str">
        <f>IFERROR(VLOOKUP($D1678,본공사입.출고현황!$B:$H,E$2080,0),0)</f>
        <v>Steel round bar</v>
      </c>
      <c r="F1678" s="336" t="str">
        <f>IFERROR(VLOOKUP($D1678,본공사입.출고현황!$B:$H,F$2080,0),0)</f>
        <v>Steel round bar(rebar)</v>
      </c>
      <c r="G1678" s="336" t="str">
        <f>IFERROR(VLOOKUP($D1678,본공사입.출고현황!$B:$H,G$2080,0),0)</f>
        <v>CCGG</v>
      </c>
      <c r="H1678" s="336" t="str">
        <f>IFERROR(VLOOKUP($D1678,본공사입.출고현황!$B:$H,H$2080,0),0)</f>
        <v>ф10, 1ton=1,620.7m</v>
      </c>
      <c r="I1678" s="335" t="str">
        <f>IFERROR(VLOOKUP($D1678,본공사입.출고현황!$B:$H,I$2080,0),0)</f>
        <v>M</v>
      </c>
      <c r="J1678" s="253">
        <v>1</v>
      </c>
      <c r="K1678" s="253" t="s">
        <v>352</v>
      </c>
      <c r="L1678" s="255">
        <v>15</v>
      </c>
      <c r="M1678" s="256" t="s">
        <v>408</v>
      </c>
      <c r="N1678" s="337"/>
    </row>
    <row r="1679" spans="1:14" ht="24" customHeight="1">
      <c r="A1679" s="8">
        <v>1635</v>
      </c>
      <c r="B1679" s="9">
        <v>1635</v>
      </c>
      <c r="C1679" s="254">
        <v>46117</v>
      </c>
      <c r="D1679" s="253" t="s">
        <v>238</v>
      </c>
      <c r="E1679" s="335" t="str">
        <f>IFERROR(VLOOKUP($D1679,본공사입.출고현황!$B:$H,E$2080,0),0)</f>
        <v>Steel round bar</v>
      </c>
      <c r="F1679" s="336" t="str">
        <f>IFERROR(VLOOKUP($D1679,본공사입.출고현황!$B:$H,F$2080,0),0)</f>
        <v>Steel round bar(rebar)</v>
      </c>
      <c r="G1679" s="336" t="str">
        <f>IFERROR(VLOOKUP($D1679,본공사입.출고현황!$B:$H,G$2080,0),0)</f>
        <v>CCGG</v>
      </c>
      <c r="H1679" s="336" t="str">
        <f>IFERROR(VLOOKUP($D1679,본공사입.출고현황!$B:$H,H$2080,0),0)</f>
        <v>ф10, 1ton=1,620.7m</v>
      </c>
      <c r="I1679" s="335" t="str">
        <f>IFERROR(VLOOKUP($D1679,본공사입.출고현황!$B:$H,I$2080,0),0)</f>
        <v>M</v>
      </c>
      <c r="J1679" s="253">
        <v>1</v>
      </c>
      <c r="K1679" s="253" t="s">
        <v>547</v>
      </c>
      <c r="L1679" s="255">
        <v>30</v>
      </c>
      <c r="M1679" s="256" t="s">
        <v>408</v>
      </c>
      <c r="N1679" s="337"/>
    </row>
    <row r="1680" spans="1:14" ht="24" customHeight="1">
      <c r="A1680" s="8">
        <v>1636</v>
      </c>
      <c r="B1680" s="9">
        <v>1636</v>
      </c>
      <c r="C1680" s="254">
        <v>46117</v>
      </c>
      <c r="D1680" s="253" t="s">
        <v>238</v>
      </c>
      <c r="E1680" s="335" t="str">
        <f>IFERROR(VLOOKUP($D1680,본공사입.출고현황!$B:$H,E$2080,0),0)</f>
        <v>Steel round bar</v>
      </c>
      <c r="F1680" s="336" t="str">
        <f>IFERROR(VLOOKUP($D1680,본공사입.출고현황!$B:$H,F$2080,0),0)</f>
        <v>Steel round bar(rebar)</v>
      </c>
      <c r="G1680" s="336" t="str">
        <f>IFERROR(VLOOKUP($D1680,본공사입.출고현황!$B:$H,G$2080,0),0)</f>
        <v>CCGG</v>
      </c>
      <c r="H1680" s="336" t="str">
        <f>IFERROR(VLOOKUP($D1680,본공사입.출고현황!$B:$H,H$2080,0),0)</f>
        <v>ф10, 1ton=1,620.7m</v>
      </c>
      <c r="I1680" s="335" t="str">
        <f>IFERROR(VLOOKUP($D1680,본공사입.출고현황!$B:$H,I$2080,0),0)</f>
        <v>M</v>
      </c>
      <c r="J1680" s="253">
        <v>1</v>
      </c>
      <c r="K1680" s="253" t="s">
        <v>547</v>
      </c>
      <c r="L1680" s="255">
        <v>25</v>
      </c>
      <c r="M1680" s="256" t="s">
        <v>408</v>
      </c>
      <c r="N1680" s="337"/>
    </row>
    <row r="1681" spans="1:14" ht="24" customHeight="1">
      <c r="A1681" s="8">
        <v>1637</v>
      </c>
      <c r="B1681" s="9">
        <v>1637</v>
      </c>
      <c r="C1681" s="254">
        <v>46117</v>
      </c>
      <c r="D1681" s="253" t="s">
        <v>238</v>
      </c>
      <c r="E1681" s="335" t="str">
        <f>IFERROR(VLOOKUP($D1681,본공사입.출고현황!$B:$H,E$2080,0),0)</f>
        <v>Steel round bar</v>
      </c>
      <c r="F1681" s="336" t="str">
        <f>IFERROR(VLOOKUP($D1681,본공사입.출고현황!$B:$H,F$2080,0),0)</f>
        <v>Steel round bar(rebar)</v>
      </c>
      <c r="G1681" s="336" t="str">
        <f>IFERROR(VLOOKUP($D1681,본공사입.출고현황!$B:$H,G$2080,0),0)</f>
        <v>CCGG</v>
      </c>
      <c r="H1681" s="336" t="str">
        <f>IFERROR(VLOOKUP($D1681,본공사입.출고현황!$B:$H,H$2080,0),0)</f>
        <v>ф10, 1ton=1,620.7m</v>
      </c>
      <c r="I1681" s="335" t="str">
        <f>IFERROR(VLOOKUP($D1681,본공사입.출고현황!$B:$H,I$2080,0),0)</f>
        <v>M</v>
      </c>
      <c r="J1681" s="253">
        <v>1</v>
      </c>
      <c r="K1681" s="253" t="s">
        <v>363</v>
      </c>
      <c r="L1681" s="255">
        <v>25</v>
      </c>
      <c r="M1681" s="256" t="s">
        <v>408</v>
      </c>
      <c r="N1681" s="337"/>
    </row>
    <row r="1682" spans="1:14" ht="24" customHeight="1">
      <c r="A1682" s="8">
        <v>1638</v>
      </c>
      <c r="B1682" s="9">
        <v>1638</v>
      </c>
      <c r="C1682" s="254">
        <v>46117</v>
      </c>
      <c r="D1682" s="253" t="s">
        <v>238</v>
      </c>
      <c r="E1682" s="335" t="str">
        <f>IFERROR(VLOOKUP($D1682,본공사입.출고현황!$B:$H,E$2080,0),0)</f>
        <v>Steel round bar</v>
      </c>
      <c r="F1682" s="336" t="str">
        <f>IFERROR(VLOOKUP($D1682,본공사입.출고현황!$B:$H,F$2080,0),0)</f>
        <v>Steel round bar(rebar)</v>
      </c>
      <c r="G1682" s="336" t="str">
        <f>IFERROR(VLOOKUP($D1682,본공사입.출고현황!$B:$H,G$2080,0),0)</f>
        <v>CCGG</v>
      </c>
      <c r="H1682" s="336" t="str">
        <f>IFERROR(VLOOKUP($D1682,본공사입.출고현황!$B:$H,H$2080,0),0)</f>
        <v>ф10, 1ton=1,620.7m</v>
      </c>
      <c r="I1682" s="335" t="str">
        <f>IFERROR(VLOOKUP($D1682,본공사입.출고현황!$B:$H,I$2080,0),0)</f>
        <v>M</v>
      </c>
      <c r="J1682" s="253">
        <v>3</v>
      </c>
      <c r="K1682" s="253" t="s">
        <v>550</v>
      </c>
      <c r="L1682" s="255">
        <v>25</v>
      </c>
      <c r="M1682" s="256" t="s">
        <v>408</v>
      </c>
      <c r="N1682" s="337"/>
    </row>
    <row r="1683" spans="1:14" ht="24" customHeight="1">
      <c r="A1683" s="8">
        <v>1639</v>
      </c>
      <c r="B1683" s="9">
        <v>1639</v>
      </c>
      <c r="C1683" s="254">
        <v>46117</v>
      </c>
      <c r="D1683" s="253" t="s">
        <v>238</v>
      </c>
      <c r="E1683" s="335" t="str">
        <f>IFERROR(VLOOKUP($D1683,본공사입.출고현황!$B:$H,E$2080,0),0)</f>
        <v>Steel round bar</v>
      </c>
      <c r="F1683" s="336" t="str">
        <f>IFERROR(VLOOKUP($D1683,본공사입.출고현황!$B:$H,F$2080,0),0)</f>
        <v>Steel round bar(rebar)</v>
      </c>
      <c r="G1683" s="336" t="str">
        <f>IFERROR(VLOOKUP($D1683,본공사입.출고현황!$B:$H,G$2080,0),0)</f>
        <v>CCGG</v>
      </c>
      <c r="H1683" s="336" t="str">
        <f>IFERROR(VLOOKUP($D1683,본공사입.출고현황!$B:$H,H$2080,0),0)</f>
        <v>ф10, 1ton=1,620.7m</v>
      </c>
      <c r="I1683" s="335" t="str">
        <f>IFERROR(VLOOKUP($D1683,본공사입.출고현황!$B:$H,I$2080,0),0)</f>
        <v>M</v>
      </c>
      <c r="J1683" s="253">
        <v>2</v>
      </c>
      <c r="K1683" s="253" t="s">
        <v>360</v>
      </c>
      <c r="L1683" s="255">
        <v>25</v>
      </c>
      <c r="M1683" s="256" t="s">
        <v>408</v>
      </c>
      <c r="N1683" s="337"/>
    </row>
    <row r="1684" spans="1:14" ht="24" customHeight="1">
      <c r="A1684" s="8">
        <v>1640</v>
      </c>
      <c r="B1684" s="9">
        <v>1640</v>
      </c>
      <c r="C1684" s="254">
        <v>46118</v>
      </c>
      <c r="D1684" s="253" t="s">
        <v>238</v>
      </c>
      <c r="E1684" s="335" t="str">
        <f>IFERROR(VLOOKUP($D1684,본공사입.출고현황!$B:$H,E$2080,0),0)</f>
        <v>Steel round bar</v>
      </c>
      <c r="F1684" s="336" t="str">
        <f>IFERROR(VLOOKUP($D1684,본공사입.출고현황!$B:$H,F$2080,0),0)</f>
        <v>Steel round bar(rebar)</v>
      </c>
      <c r="G1684" s="336" t="str">
        <f>IFERROR(VLOOKUP($D1684,본공사입.출고현황!$B:$H,G$2080,0),0)</f>
        <v>CCGG</v>
      </c>
      <c r="H1684" s="336" t="str">
        <f>IFERROR(VLOOKUP($D1684,본공사입.출고현황!$B:$H,H$2080,0),0)</f>
        <v>ф10, 1ton=1,620.7m</v>
      </c>
      <c r="I1684" s="335" t="str">
        <f>IFERROR(VLOOKUP($D1684,본공사입.출고현황!$B:$H,I$2080,0),0)</f>
        <v>M</v>
      </c>
      <c r="J1684" s="253">
        <v>2</v>
      </c>
      <c r="K1684" s="253" t="s">
        <v>360</v>
      </c>
      <c r="L1684" s="255">
        <v>25</v>
      </c>
      <c r="M1684" s="256" t="s">
        <v>408</v>
      </c>
      <c r="N1684" s="337"/>
    </row>
    <row r="1685" spans="1:14" ht="24" customHeight="1">
      <c r="A1685" s="8">
        <v>1641</v>
      </c>
      <c r="B1685" s="9">
        <v>1641</v>
      </c>
      <c r="C1685" s="254">
        <v>46118</v>
      </c>
      <c r="D1685" s="253" t="s">
        <v>238</v>
      </c>
      <c r="E1685" s="335" t="str">
        <f>IFERROR(VLOOKUP($D1685,본공사입.출고현황!$B:$H,E$2080,0),0)</f>
        <v>Steel round bar</v>
      </c>
      <c r="F1685" s="336" t="str">
        <f>IFERROR(VLOOKUP($D1685,본공사입.출고현황!$B:$H,F$2080,0),0)</f>
        <v>Steel round bar(rebar)</v>
      </c>
      <c r="G1685" s="336" t="str">
        <f>IFERROR(VLOOKUP($D1685,본공사입.출고현황!$B:$H,G$2080,0),0)</f>
        <v>CCGG</v>
      </c>
      <c r="H1685" s="336" t="str">
        <f>IFERROR(VLOOKUP($D1685,본공사입.출고현황!$B:$H,H$2080,0),0)</f>
        <v>ф10, 1ton=1,620.7m</v>
      </c>
      <c r="I1685" s="335" t="str">
        <f>IFERROR(VLOOKUP($D1685,본공사입.출고현황!$B:$H,I$2080,0),0)</f>
        <v>M</v>
      </c>
      <c r="J1685" s="253">
        <v>1</v>
      </c>
      <c r="K1685" s="253" t="s">
        <v>352</v>
      </c>
      <c r="L1685" s="255">
        <v>50</v>
      </c>
      <c r="M1685" s="256" t="s">
        <v>408</v>
      </c>
      <c r="N1685" s="337"/>
    </row>
    <row r="1686" spans="1:14" ht="24" customHeight="1">
      <c r="A1686" s="8">
        <v>1642</v>
      </c>
      <c r="B1686" s="9">
        <v>1642</v>
      </c>
      <c r="C1686" s="254">
        <v>46118</v>
      </c>
      <c r="D1686" s="253" t="s">
        <v>238</v>
      </c>
      <c r="E1686" s="335" t="str">
        <f>IFERROR(VLOOKUP($D1686,본공사입.출고현황!$B:$H,E$2080,0),0)</f>
        <v>Steel round bar</v>
      </c>
      <c r="F1686" s="336" t="str">
        <f>IFERROR(VLOOKUP($D1686,본공사입.출고현황!$B:$H,F$2080,0),0)</f>
        <v>Steel round bar(rebar)</v>
      </c>
      <c r="G1686" s="336" t="str">
        <f>IFERROR(VLOOKUP($D1686,본공사입.출고현황!$B:$H,G$2080,0),0)</f>
        <v>CCGG</v>
      </c>
      <c r="H1686" s="336" t="str">
        <f>IFERROR(VLOOKUP($D1686,본공사입.출고현황!$B:$H,H$2080,0),0)</f>
        <v>ф10, 1ton=1,620.7m</v>
      </c>
      <c r="I1686" s="335" t="str">
        <f>IFERROR(VLOOKUP($D1686,본공사입.출고현황!$B:$H,I$2080,0),0)</f>
        <v>M</v>
      </c>
      <c r="J1686" s="253">
        <v>1</v>
      </c>
      <c r="K1686" s="253" t="s">
        <v>352</v>
      </c>
      <c r="L1686" s="255">
        <v>15</v>
      </c>
      <c r="M1686" s="256" t="s">
        <v>408</v>
      </c>
      <c r="N1686" s="337"/>
    </row>
    <row r="1687" spans="1:14" ht="24" customHeight="1">
      <c r="A1687" s="8">
        <v>1643</v>
      </c>
      <c r="B1687" s="9">
        <v>1643</v>
      </c>
      <c r="C1687" s="254">
        <v>46118</v>
      </c>
      <c r="D1687" s="253" t="s">
        <v>238</v>
      </c>
      <c r="E1687" s="335" t="str">
        <f>IFERROR(VLOOKUP($D1687,본공사입.출고현황!$B:$H,E$2080,0),0)</f>
        <v>Steel round bar</v>
      </c>
      <c r="F1687" s="336" t="str">
        <f>IFERROR(VLOOKUP($D1687,본공사입.출고현황!$B:$H,F$2080,0),0)</f>
        <v>Steel round bar(rebar)</v>
      </c>
      <c r="G1687" s="336" t="str">
        <f>IFERROR(VLOOKUP($D1687,본공사입.출고현황!$B:$H,G$2080,0),0)</f>
        <v>CCGG</v>
      </c>
      <c r="H1687" s="336" t="str">
        <f>IFERROR(VLOOKUP($D1687,본공사입.출고현황!$B:$H,H$2080,0),0)</f>
        <v>ф10, 1ton=1,620.7m</v>
      </c>
      <c r="I1687" s="335" t="str">
        <f>IFERROR(VLOOKUP($D1687,본공사입.출고현황!$B:$H,I$2080,0),0)</f>
        <v>M</v>
      </c>
      <c r="J1687" s="253">
        <v>2</v>
      </c>
      <c r="K1687" s="253" t="s">
        <v>546</v>
      </c>
      <c r="L1687" s="255">
        <v>25</v>
      </c>
      <c r="M1687" s="256" t="s">
        <v>408</v>
      </c>
      <c r="N1687" s="337"/>
    </row>
    <row r="1688" spans="1:14" ht="24" customHeight="1">
      <c r="A1688" s="8">
        <v>1644</v>
      </c>
      <c r="B1688" s="9">
        <v>1644</v>
      </c>
      <c r="C1688" s="254">
        <v>46118</v>
      </c>
      <c r="D1688" s="253" t="s">
        <v>238</v>
      </c>
      <c r="E1688" s="335" t="str">
        <f>IFERROR(VLOOKUP($D1688,본공사입.출고현황!$B:$H,E$2080,0),0)</f>
        <v>Steel round bar</v>
      </c>
      <c r="F1688" s="336" t="str">
        <f>IFERROR(VLOOKUP($D1688,본공사입.출고현황!$B:$H,F$2080,0),0)</f>
        <v>Steel round bar(rebar)</v>
      </c>
      <c r="G1688" s="336" t="str">
        <f>IFERROR(VLOOKUP($D1688,본공사입.출고현황!$B:$H,G$2080,0),0)</f>
        <v>CCGG</v>
      </c>
      <c r="H1688" s="336" t="str">
        <f>IFERROR(VLOOKUP($D1688,본공사입.출고현황!$B:$H,H$2080,0),0)</f>
        <v>ф10, 1ton=1,620.7m</v>
      </c>
      <c r="I1688" s="335" t="str">
        <f>IFERROR(VLOOKUP($D1688,본공사입.출고현황!$B:$H,I$2080,0),0)</f>
        <v>M</v>
      </c>
      <c r="J1688" s="253">
        <v>4</v>
      </c>
      <c r="K1688" s="253" t="s">
        <v>359</v>
      </c>
      <c r="L1688" s="255">
        <v>15</v>
      </c>
      <c r="M1688" s="256" t="s">
        <v>408</v>
      </c>
      <c r="N1688" s="337"/>
    </row>
    <row r="1689" spans="1:14" ht="24" customHeight="1">
      <c r="A1689" s="8">
        <v>1645</v>
      </c>
      <c r="B1689" s="9">
        <v>1645</v>
      </c>
      <c r="C1689" s="254">
        <v>46118</v>
      </c>
      <c r="D1689" s="253" t="s">
        <v>238</v>
      </c>
      <c r="E1689" s="335" t="str">
        <f>IFERROR(VLOOKUP($D1689,본공사입.출고현황!$B:$H,E$2080,0),0)</f>
        <v>Steel round bar</v>
      </c>
      <c r="F1689" s="336" t="str">
        <f>IFERROR(VLOOKUP($D1689,본공사입.출고현황!$B:$H,F$2080,0),0)</f>
        <v>Steel round bar(rebar)</v>
      </c>
      <c r="G1689" s="336" t="str">
        <f>IFERROR(VLOOKUP($D1689,본공사입.출고현황!$B:$H,G$2080,0),0)</f>
        <v>CCGG</v>
      </c>
      <c r="H1689" s="336" t="str">
        <f>IFERROR(VLOOKUP($D1689,본공사입.출고현황!$B:$H,H$2080,0),0)</f>
        <v>ф10, 1ton=1,620.7m</v>
      </c>
      <c r="I1689" s="335" t="str">
        <f>IFERROR(VLOOKUP($D1689,본공사입.출고현황!$B:$H,I$2080,0),0)</f>
        <v>M</v>
      </c>
      <c r="J1689" s="253">
        <v>2</v>
      </c>
      <c r="K1689" s="253" t="s">
        <v>360</v>
      </c>
      <c r="L1689" s="255">
        <v>25</v>
      </c>
      <c r="M1689" s="256" t="s">
        <v>408</v>
      </c>
      <c r="N1689" s="337"/>
    </row>
    <row r="1690" spans="1:14" ht="24" customHeight="1">
      <c r="A1690" s="8">
        <v>1646</v>
      </c>
      <c r="B1690" s="9">
        <v>1646</v>
      </c>
      <c r="C1690" s="254">
        <v>46118</v>
      </c>
      <c r="D1690" s="253" t="s">
        <v>238</v>
      </c>
      <c r="E1690" s="335" t="str">
        <f>IFERROR(VLOOKUP($D1690,본공사입.출고현황!$B:$H,E$2080,0),0)</f>
        <v>Steel round bar</v>
      </c>
      <c r="F1690" s="336" t="str">
        <f>IFERROR(VLOOKUP($D1690,본공사입.출고현황!$B:$H,F$2080,0),0)</f>
        <v>Steel round bar(rebar)</v>
      </c>
      <c r="G1690" s="336" t="str">
        <f>IFERROR(VLOOKUP($D1690,본공사입.출고현황!$B:$H,G$2080,0),0)</f>
        <v>CCGG</v>
      </c>
      <c r="H1690" s="336" t="str">
        <f>IFERROR(VLOOKUP($D1690,본공사입.출고현황!$B:$H,H$2080,0),0)</f>
        <v>ф10, 1ton=1,620.7m</v>
      </c>
      <c r="I1690" s="335" t="str">
        <f>IFERROR(VLOOKUP($D1690,본공사입.출고현황!$B:$H,I$2080,0),0)</f>
        <v>M</v>
      </c>
      <c r="J1690" s="253">
        <v>3</v>
      </c>
      <c r="K1690" s="253" t="s">
        <v>237</v>
      </c>
      <c r="L1690" s="255">
        <v>20</v>
      </c>
      <c r="M1690" s="256" t="s">
        <v>408</v>
      </c>
      <c r="N1690" s="337"/>
    </row>
    <row r="1691" spans="1:14" ht="24" customHeight="1">
      <c r="A1691" s="8">
        <v>1647</v>
      </c>
      <c r="B1691" s="9">
        <v>1647</v>
      </c>
      <c r="C1691" s="254">
        <v>46118</v>
      </c>
      <c r="D1691" s="253" t="s">
        <v>238</v>
      </c>
      <c r="E1691" s="335" t="str">
        <f>IFERROR(VLOOKUP($D1691,본공사입.출고현황!$B:$H,E$2080,0),0)</f>
        <v>Steel round bar</v>
      </c>
      <c r="F1691" s="336" t="str">
        <f>IFERROR(VLOOKUP($D1691,본공사입.출고현황!$B:$H,F$2080,0),0)</f>
        <v>Steel round bar(rebar)</v>
      </c>
      <c r="G1691" s="336" t="str">
        <f>IFERROR(VLOOKUP($D1691,본공사입.출고현황!$B:$H,G$2080,0),0)</f>
        <v>CCGG</v>
      </c>
      <c r="H1691" s="336" t="str">
        <f>IFERROR(VLOOKUP($D1691,본공사입.출고현황!$B:$H,H$2080,0),0)</f>
        <v>ф10, 1ton=1,620.7m</v>
      </c>
      <c r="I1691" s="335" t="str">
        <f>IFERROR(VLOOKUP($D1691,본공사입.출고현황!$B:$H,I$2080,0),0)</f>
        <v>M</v>
      </c>
      <c r="J1691" s="253">
        <v>1</v>
      </c>
      <c r="K1691" s="253" t="s">
        <v>352</v>
      </c>
      <c r="L1691" s="255">
        <v>25</v>
      </c>
      <c r="M1691" s="256" t="s">
        <v>408</v>
      </c>
      <c r="N1691" s="337"/>
    </row>
    <row r="1692" spans="1:14" ht="24" customHeight="1">
      <c r="A1692" s="8">
        <v>1648</v>
      </c>
      <c r="B1692" s="9">
        <v>1648</v>
      </c>
      <c r="C1692" s="254">
        <v>46118</v>
      </c>
      <c r="D1692" s="253" t="s">
        <v>238</v>
      </c>
      <c r="E1692" s="335" t="str">
        <f>IFERROR(VLOOKUP($D1692,본공사입.출고현황!$B:$H,E$2080,0),0)</f>
        <v>Steel round bar</v>
      </c>
      <c r="F1692" s="336" t="str">
        <f>IFERROR(VLOOKUP($D1692,본공사입.출고현황!$B:$H,F$2080,0),0)</f>
        <v>Steel round bar(rebar)</v>
      </c>
      <c r="G1692" s="336" t="str">
        <f>IFERROR(VLOOKUP($D1692,본공사입.출고현황!$B:$H,G$2080,0),0)</f>
        <v>CCGG</v>
      </c>
      <c r="H1692" s="336" t="str">
        <f>IFERROR(VLOOKUP($D1692,본공사입.출고현황!$B:$H,H$2080,0),0)</f>
        <v>ф10, 1ton=1,620.7m</v>
      </c>
      <c r="I1692" s="335" t="str">
        <f>IFERROR(VLOOKUP($D1692,본공사입.출고현황!$B:$H,I$2080,0),0)</f>
        <v>M</v>
      </c>
      <c r="J1692" s="253">
        <v>1</v>
      </c>
      <c r="K1692" s="253" t="s">
        <v>352</v>
      </c>
      <c r="L1692" s="255">
        <v>15</v>
      </c>
      <c r="M1692" s="256" t="s">
        <v>408</v>
      </c>
      <c r="N1692" s="337"/>
    </row>
    <row r="1693" spans="1:14" ht="24" customHeight="1">
      <c r="A1693" s="8">
        <v>1649</v>
      </c>
      <c r="B1693" s="9">
        <v>1649</v>
      </c>
      <c r="C1693" s="254">
        <v>46119</v>
      </c>
      <c r="D1693" s="253" t="s">
        <v>238</v>
      </c>
      <c r="E1693" s="335" t="str">
        <f>IFERROR(VLOOKUP($D1693,본공사입.출고현황!$B:$H,E$2080,0),0)</f>
        <v>Steel round bar</v>
      </c>
      <c r="F1693" s="336" t="str">
        <f>IFERROR(VLOOKUP($D1693,본공사입.출고현황!$B:$H,F$2080,0),0)</f>
        <v>Steel round bar(rebar)</v>
      </c>
      <c r="G1693" s="336" t="str">
        <f>IFERROR(VLOOKUP($D1693,본공사입.출고현황!$B:$H,G$2080,0),0)</f>
        <v>CCGG</v>
      </c>
      <c r="H1693" s="336" t="str">
        <f>IFERROR(VLOOKUP($D1693,본공사입.출고현황!$B:$H,H$2080,0),0)</f>
        <v>ф10, 1ton=1,620.7m</v>
      </c>
      <c r="I1693" s="335" t="str">
        <f>IFERROR(VLOOKUP($D1693,본공사입.출고현황!$B:$H,I$2080,0),0)</f>
        <v>M</v>
      </c>
      <c r="J1693" s="253">
        <v>1</v>
      </c>
      <c r="K1693" s="253" t="s">
        <v>363</v>
      </c>
      <c r="L1693" s="255">
        <v>15</v>
      </c>
      <c r="M1693" s="256" t="s">
        <v>408</v>
      </c>
      <c r="N1693" s="337"/>
    </row>
    <row r="1694" spans="1:14" ht="24" customHeight="1">
      <c r="A1694" s="8">
        <v>1650</v>
      </c>
      <c r="B1694" s="9">
        <v>1650</v>
      </c>
      <c r="C1694" s="254">
        <v>46119</v>
      </c>
      <c r="D1694" s="253" t="s">
        <v>238</v>
      </c>
      <c r="E1694" s="335" t="str">
        <f>IFERROR(VLOOKUP($D1694,본공사입.출고현황!$B:$H,E$2080,0),0)</f>
        <v>Steel round bar</v>
      </c>
      <c r="F1694" s="336" t="str">
        <f>IFERROR(VLOOKUP($D1694,본공사입.출고현황!$B:$H,F$2080,0),0)</f>
        <v>Steel round bar(rebar)</v>
      </c>
      <c r="G1694" s="336" t="str">
        <f>IFERROR(VLOOKUP($D1694,본공사입.출고현황!$B:$H,G$2080,0),0)</f>
        <v>CCGG</v>
      </c>
      <c r="H1694" s="336" t="str">
        <f>IFERROR(VLOOKUP($D1694,본공사입.출고현황!$B:$H,H$2080,0),0)</f>
        <v>ф10, 1ton=1,620.7m</v>
      </c>
      <c r="I1694" s="335" t="str">
        <f>IFERROR(VLOOKUP($D1694,본공사입.출고현황!$B:$H,I$2080,0),0)</f>
        <v>M</v>
      </c>
      <c r="J1694" s="253">
        <v>1</v>
      </c>
      <c r="K1694" s="253" t="s">
        <v>545</v>
      </c>
      <c r="L1694" s="255">
        <v>15</v>
      </c>
      <c r="M1694" s="256" t="s">
        <v>408</v>
      </c>
      <c r="N1694" s="337"/>
    </row>
    <row r="1695" spans="1:14" ht="24" customHeight="1">
      <c r="A1695" s="8">
        <v>1651</v>
      </c>
      <c r="B1695" s="9">
        <v>1651</v>
      </c>
      <c r="C1695" s="254">
        <v>46119</v>
      </c>
      <c r="D1695" s="253" t="s">
        <v>238</v>
      </c>
      <c r="E1695" s="335" t="str">
        <f>IFERROR(VLOOKUP($D1695,본공사입.출고현황!$B:$H,E$2080,0),0)</f>
        <v>Steel round bar</v>
      </c>
      <c r="F1695" s="336" t="str">
        <f>IFERROR(VLOOKUP($D1695,본공사입.출고현황!$B:$H,F$2080,0),0)</f>
        <v>Steel round bar(rebar)</v>
      </c>
      <c r="G1695" s="336" t="str">
        <f>IFERROR(VLOOKUP($D1695,본공사입.출고현황!$B:$H,G$2080,0),0)</f>
        <v>CCGG</v>
      </c>
      <c r="H1695" s="336" t="str">
        <f>IFERROR(VLOOKUP($D1695,본공사입.출고현황!$B:$H,H$2080,0),0)</f>
        <v>ф10, 1ton=1,620.7m</v>
      </c>
      <c r="I1695" s="335" t="str">
        <f>IFERROR(VLOOKUP($D1695,본공사입.출고현황!$B:$H,I$2080,0),0)</f>
        <v>M</v>
      </c>
      <c r="J1695" s="253">
        <v>2</v>
      </c>
      <c r="K1695" s="253" t="s">
        <v>241</v>
      </c>
      <c r="L1695" s="255">
        <v>15</v>
      </c>
      <c r="M1695" s="256" t="s">
        <v>408</v>
      </c>
      <c r="N1695" s="337"/>
    </row>
    <row r="1696" spans="1:14" ht="24" customHeight="1">
      <c r="A1696" s="8">
        <v>1652</v>
      </c>
      <c r="B1696" s="9">
        <v>1652</v>
      </c>
      <c r="C1696" s="254">
        <v>46119</v>
      </c>
      <c r="D1696" s="253" t="s">
        <v>238</v>
      </c>
      <c r="E1696" s="335" t="str">
        <f>IFERROR(VLOOKUP($D1696,본공사입.출고현황!$B:$H,E$2080,0),0)</f>
        <v>Steel round bar</v>
      </c>
      <c r="F1696" s="336" t="str">
        <f>IFERROR(VLOOKUP($D1696,본공사입.출고현황!$B:$H,F$2080,0),0)</f>
        <v>Steel round bar(rebar)</v>
      </c>
      <c r="G1696" s="336" t="str">
        <f>IFERROR(VLOOKUP($D1696,본공사입.출고현황!$B:$H,G$2080,0),0)</f>
        <v>CCGG</v>
      </c>
      <c r="H1696" s="336" t="str">
        <f>IFERROR(VLOOKUP($D1696,본공사입.출고현황!$B:$H,H$2080,0),0)</f>
        <v>ф10, 1ton=1,620.7m</v>
      </c>
      <c r="I1696" s="335" t="str">
        <f>IFERROR(VLOOKUP($D1696,본공사입.출고현황!$B:$H,I$2080,0),0)</f>
        <v>M</v>
      </c>
      <c r="J1696" s="253">
        <v>3</v>
      </c>
      <c r="K1696" s="253" t="s">
        <v>550</v>
      </c>
      <c r="L1696" s="255">
        <v>30</v>
      </c>
      <c r="M1696" s="256" t="s">
        <v>408</v>
      </c>
      <c r="N1696" s="337"/>
    </row>
    <row r="1697" spans="1:14" ht="24" customHeight="1">
      <c r="A1697" s="8">
        <v>1653</v>
      </c>
      <c r="B1697" s="9">
        <v>1653</v>
      </c>
      <c r="C1697" s="254">
        <v>46119</v>
      </c>
      <c r="D1697" s="253" t="s">
        <v>238</v>
      </c>
      <c r="E1697" s="335" t="str">
        <f>IFERROR(VLOOKUP($D1697,본공사입.출고현황!$B:$H,E$2080,0),0)</f>
        <v>Steel round bar</v>
      </c>
      <c r="F1697" s="336" t="str">
        <f>IFERROR(VLOOKUP($D1697,본공사입.출고현황!$B:$H,F$2080,0),0)</f>
        <v>Steel round bar(rebar)</v>
      </c>
      <c r="G1697" s="336" t="str">
        <f>IFERROR(VLOOKUP($D1697,본공사입.출고현황!$B:$H,G$2080,0),0)</f>
        <v>CCGG</v>
      </c>
      <c r="H1697" s="336" t="str">
        <f>IFERROR(VLOOKUP($D1697,본공사입.출고현황!$B:$H,H$2080,0),0)</f>
        <v>ф10, 1ton=1,620.7m</v>
      </c>
      <c r="I1697" s="335" t="str">
        <f>IFERROR(VLOOKUP($D1697,본공사입.출고현황!$B:$H,I$2080,0),0)</f>
        <v>M</v>
      </c>
      <c r="J1697" s="253">
        <v>3</v>
      </c>
      <c r="K1697" s="253" t="s">
        <v>550</v>
      </c>
      <c r="L1697" s="255">
        <v>15</v>
      </c>
      <c r="M1697" s="256" t="s">
        <v>408</v>
      </c>
      <c r="N1697" s="337"/>
    </row>
    <row r="1698" spans="1:14" ht="24" customHeight="1">
      <c r="A1698" s="8">
        <v>1654</v>
      </c>
      <c r="B1698" s="9">
        <v>1654</v>
      </c>
      <c r="C1698" s="254">
        <v>46119</v>
      </c>
      <c r="D1698" s="253" t="s">
        <v>238</v>
      </c>
      <c r="E1698" s="335" t="str">
        <f>IFERROR(VLOOKUP($D1698,본공사입.출고현황!$B:$H,E$2080,0),0)</f>
        <v>Steel round bar</v>
      </c>
      <c r="F1698" s="336" t="str">
        <f>IFERROR(VLOOKUP($D1698,본공사입.출고현황!$B:$H,F$2080,0),0)</f>
        <v>Steel round bar(rebar)</v>
      </c>
      <c r="G1698" s="336" t="str">
        <f>IFERROR(VLOOKUP($D1698,본공사입.출고현황!$B:$H,G$2080,0),0)</f>
        <v>CCGG</v>
      </c>
      <c r="H1698" s="336" t="str">
        <f>IFERROR(VLOOKUP($D1698,본공사입.출고현황!$B:$H,H$2080,0),0)</f>
        <v>ф10, 1ton=1,620.7m</v>
      </c>
      <c r="I1698" s="335" t="str">
        <f>IFERROR(VLOOKUP($D1698,본공사입.출고현황!$B:$H,I$2080,0),0)</f>
        <v>M</v>
      </c>
      <c r="J1698" s="253">
        <v>1</v>
      </c>
      <c r="K1698" s="253" t="s">
        <v>363</v>
      </c>
      <c r="L1698" s="255">
        <v>15</v>
      </c>
      <c r="M1698" s="256" t="s">
        <v>408</v>
      </c>
      <c r="N1698" s="337"/>
    </row>
    <row r="1699" spans="1:14" ht="24" customHeight="1">
      <c r="A1699" s="8">
        <v>1655</v>
      </c>
      <c r="B1699" s="9">
        <v>1655</v>
      </c>
      <c r="C1699" s="254">
        <v>46119</v>
      </c>
      <c r="D1699" s="253" t="s">
        <v>238</v>
      </c>
      <c r="E1699" s="335" t="str">
        <f>IFERROR(VLOOKUP($D1699,본공사입.출고현황!$B:$H,E$2080,0),0)</f>
        <v>Steel round bar</v>
      </c>
      <c r="F1699" s="336" t="str">
        <f>IFERROR(VLOOKUP($D1699,본공사입.출고현황!$B:$H,F$2080,0),0)</f>
        <v>Steel round bar(rebar)</v>
      </c>
      <c r="G1699" s="336" t="str">
        <f>IFERROR(VLOOKUP($D1699,본공사입.출고현황!$B:$H,G$2080,0),0)</f>
        <v>CCGG</v>
      </c>
      <c r="H1699" s="336" t="str">
        <f>IFERROR(VLOOKUP($D1699,본공사입.출고현황!$B:$H,H$2080,0),0)</f>
        <v>ф10, 1ton=1,620.7m</v>
      </c>
      <c r="I1699" s="335" t="str">
        <f>IFERROR(VLOOKUP($D1699,본공사입.출고현황!$B:$H,I$2080,0),0)</f>
        <v>M</v>
      </c>
      <c r="J1699" s="253">
        <v>1</v>
      </c>
      <c r="K1699" s="253" t="s">
        <v>547</v>
      </c>
      <c r="L1699" s="255">
        <v>20</v>
      </c>
      <c r="M1699" s="256" t="s">
        <v>408</v>
      </c>
      <c r="N1699" s="337"/>
    </row>
    <row r="1700" spans="1:14" ht="24" customHeight="1">
      <c r="A1700" s="8">
        <v>1656</v>
      </c>
      <c r="B1700" s="9">
        <v>1656</v>
      </c>
      <c r="C1700" s="254">
        <v>46119</v>
      </c>
      <c r="D1700" s="253" t="s">
        <v>238</v>
      </c>
      <c r="E1700" s="335" t="str">
        <f>IFERROR(VLOOKUP($D1700,본공사입.출고현황!$B:$H,E$2080,0),0)</f>
        <v>Steel round bar</v>
      </c>
      <c r="F1700" s="336" t="str">
        <f>IFERROR(VLOOKUP($D1700,본공사입.출고현황!$B:$H,F$2080,0),0)</f>
        <v>Steel round bar(rebar)</v>
      </c>
      <c r="G1700" s="336" t="str">
        <f>IFERROR(VLOOKUP($D1700,본공사입.출고현황!$B:$H,G$2080,0),0)</f>
        <v>CCGG</v>
      </c>
      <c r="H1700" s="336" t="str">
        <f>IFERROR(VLOOKUP($D1700,본공사입.출고현황!$B:$H,H$2080,0),0)</f>
        <v>ф10, 1ton=1,620.7m</v>
      </c>
      <c r="I1700" s="335" t="str">
        <f>IFERROR(VLOOKUP($D1700,본공사입.출고현황!$B:$H,I$2080,0),0)</f>
        <v>M</v>
      </c>
      <c r="J1700" s="253">
        <v>1</v>
      </c>
      <c r="K1700" s="253" t="s">
        <v>363</v>
      </c>
      <c r="L1700" s="255">
        <v>20</v>
      </c>
      <c r="M1700" s="256" t="s">
        <v>408</v>
      </c>
      <c r="N1700" s="337"/>
    </row>
    <row r="1701" spans="1:14" ht="24" customHeight="1">
      <c r="A1701" s="8">
        <v>1657</v>
      </c>
      <c r="B1701" s="9">
        <v>1657</v>
      </c>
      <c r="C1701" s="254">
        <v>46119</v>
      </c>
      <c r="D1701" s="253" t="s">
        <v>238</v>
      </c>
      <c r="E1701" s="335" t="str">
        <f>IFERROR(VLOOKUP($D1701,본공사입.출고현황!$B:$H,E$2080,0),0)</f>
        <v>Steel round bar</v>
      </c>
      <c r="F1701" s="336" t="str">
        <f>IFERROR(VLOOKUP($D1701,본공사입.출고현황!$B:$H,F$2080,0),0)</f>
        <v>Steel round bar(rebar)</v>
      </c>
      <c r="G1701" s="336" t="str">
        <f>IFERROR(VLOOKUP($D1701,본공사입.출고현황!$B:$H,G$2080,0),0)</f>
        <v>CCGG</v>
      </c>
      <c r="H1701" s="336" t="str">
        <f>IFERROR(VLOOKUP($D1701,본공사입.출고현황!$B:$H,H$2080,0),0)</f>
        <v>ф10, 1ton=1,620.7m</v>
      </c>
      <c r="I1701" s="335" t="str">
        <f>IFERROR(VLOOKUP($D1701,본공사입.출고현황!$B:$H,I$2080,0),0)</f>
        <v>M</v>
      </c>
      <c r="J1701" s="253">
        <v>3</v>
      </c>
      <c r="K1701" s="253" t="s">
        <v>550</v>
      </c>
      <c r="L1701" s="255">
        <v>20</v>
      </c>
      <c r="M1701" s="256" t="s">
        <v>408</v>
      </c>
      <c r="N1701" s="337"/>
    </row>
    <row r="1702" spans="1:14" ht="24" customHeight="1">
      <c r="A1702" s="8">
        <v>1658</v>
      </c>
      <c r="B1702" s="9">
        <v>1658</v>
      </c>
      <c r="C1702" s="254">
        <v>46119</v>
      </c>
      <c r="D1702" s="253" t="s">
        <v>238</v>
      </c>
      <c r="E1702" s="335" t="str">
        <f>IFERROR(VLOOKUP($D1702,본공사입.출고현황!$B:$H,E$2080,0),0)</f>
        <v>Steel round bar</v>
      </c>
      <c r="F1702" s="336" t="str">
        <f>IFERROR(VLOOKUP($D1702,본공사입.출고현황!$B:$H,F$2080,0),0)</f>
        <v>Steel round bar(rebar)</v>
      </c>
      <c r="G1702" s="336" t="str">
        <f>IFERROR(VLOOKUP($D1702,본공사입.출고현황!$B:$H,G$2080,0),0)</f>
        <v>CCGG</v>
      </c>
      <c r="H1702" s="336" t="str">
        <f>IFERROR(VLOOKUP($D1702,본공사입.출고현황!$B:$H,H$2080,0),0)</f>
        <v>ф10, 1ton=1,620.7m</v>
      </c>
      <c r="I1702" s="335" t="str">
        <f>IFERROR(VLOOKUP($D1702,본공사입.출고현황!$B:$H,I$2080,0),0)</f>
        <v>M</v>
      </c>
      <c r="J1702" s="253">
        <v>2</v>
      </c>
      <c r="K1702" s="253" t="s">
        <v>360</v>
      </c>
      <c r="L1702" s="255">
        <v>25</v>
      </c>
      <c r="M1702" s="256" t="s">
        <v>408</v>
      </c>
      <c r="N1702" s="337"/>
    </row>
    <row r="1703" spans="1:14" ht="24" customHeight="1">
      <c r="A1703" s="8">
        <v>1659</v>
      </c>
      <c r="B1703" s="9">
        <v>1659</v>
      </c>
      <c r="C1703" s="254">
        <v>46119</v>
      </c>
      <c r="D1703" s="253" t="s">
        <v>238</v>
      </c>
      <c r="E1703" s="335" t="str">
        <f>IFERROR(VLOOKUP($D1703,본공사입.출고현황!$B:$H,E$2080,0),0)</f>
        <v>Steel round bar</v>
      </c>
      <c r="F1703" s="336" t="str">
        <f>IFERROR(VLOOKUP($D1703,본공사입.출고현황!$B:$H,F$2080,0),0)</f>
        <v>Steel round bar(rebar)</v>
      </c>
      <c r="G1703" s="336" t="str">
        <f>IFERROR(VLOOKUP($D1703,본공사입.출고현황!$B:$H,G$2080,0),0)</f>
        <v>CCGG</v>
      </c>
      <c r="H1703" s="336" t="str">
        <f>IFERROR(VLOOKUP($D1703,본공사입.출고현황!$B:$H,H$2080,0),0)</f>
        <v>ф10, 1ton=1,620.7m</v>
      </c>
      <c r="I1703" s="335" t="str">
        <f>IFERROR(VLOOKUP($D1703,본공사입.출고현황!$B:$H,I$2080,0),0)</f>
        <v>M</v>
      </c>
      <c r="J1703" s="253">
        <v>1</v>
      </c>
      <c r="K1703" s="253" t="s">
        <v>352</v>
      </c>
      <c r="L1703" s="255">
        <v>25</v>
      </c>
      <c r="M1703" s="256" t="s">
        <v>408</v>
      </c>
      <c r="N1703" s="337"/>
    </row>
    <row r="1704" spans="1:14" ht="24" customHeight="1">
      <c r="A1704" s="8">
        <v>1660</v>
      </c>
      <c r="B1704" s="9">
        <v>1660</v>
      </c>
      <c r="C1704" s="254">
        <v>46119</v>
      </c>
      <c r="D1704" s="253" t="s">
        <v>238</v>
      </c>
      <c r="E1704" s="335" t="str">
        <f>IFERROR(VLOOKUP($D1704,본공사입.출고현황!$B:$H,E$2080,0),0)</f>
        <v>Steel round bar</v>
      </c>
      <c r="F1704" s="336" t="str">
        <f>IFERROR(VLOOKUP($D1704,본공사입.출고현황!$B:$H,F$2080,0),0)</f>
        <v>Steel round bar(rebar)</v>
      </c>
      <c r="G1704" s="336" t="str">
        <f>IFERROR(VLOOKUP($D1704,본공사입.출고현황!$B:$H,G$2080,0),0)</f>
        <v>CCGG</v>
      </c>
      <c r="H1704" s="336" t="str">
        <f>IFERROR(VLOOKUP($D1704,본공사입.출고현황!$B:$H,H$2080,0),0)</f>
        <v>ф10, 1ton=1,620.7m</v>
      </c>
      <c r="I1704" s="335" t="str">
        <f>IFERROR(VLOOKUP($D1704,본공사입.출고현황!$B:$H,I$2080,0),0)</f>
        <v>M</v>
      </c>
      <c r="J1704" s="253">
        <v>2</v>
      </c>
      <c r="K1704" s="253" t="s">
        <v>546</v>
      </c>
      <c r="L1704" s="255">
        <v>25</v>
      </c>
      <c r="M1704" s="256" t="s">
        <v>408</v>
      </c>
      <c r="N1704" s="337"/>
    </row>
    <row r="1705" spans="1:14" ht="24" customHeight="1">
      <c r="A1705" s="8">
        <v>1661</v>
      </c>
      <c r="B1705" s="9">
        <v>1661</v>
      </c>
      <c r="C1705" s="254">
        <v>46119</v>
      </c>
      <c r="D1705" s="253" t="s">
        <v>238</v>
      </c>
      <c r="E1705" s="335" t="str">
        <f>IFERROR(VLOOKUP($D1705,본공사입.출고현황!$B:$H,E$2080,0),0)</f>
        <v>Steel round bar</v>
      </c>
      <c r="F1705" s="336" t="str">
        <f>IFERROR(VLOOKUP($D1705,본공사입.출고현황!$B:$H,F$2080,0),0)</f>
        <v>Steel round bar(rebar)</v>
      </c>
      <c r="G1705" s="336" t="str">
        <f>IFERROR(VLOOKUP($D1705,본공사입.출고현황!$B:$H,G$2080,0),0)</f>
        <v>CCGG</v>
      </c>
      <c r="H1705" s="336" t="str">
        <f>IFERROR(VLOOKUP($D1705,본공사입.출고현황!$B:$H,H$2080,0),0)</f>
        <v>ф10, 1ton=1,620.7m</v>
      </c>
      <c r="I1705" s="335" t="str">
        <f>IFERROR(VLOOKUP($D1705,본공사입.출고현황!$B:$H,I$2080,0),0)</f>
        <v>M</v>
      </c>
      <c r="J1705" s="253">
        <v>4</v>
      </c>
      <c r="K1705" s="253" t="s">
        <v>359</v>
      </c>
      <c r="L1705" s="255">
        <v>25</v>
      </c>
      <c r="M1705" s="256" t="s">
        <v>408</v>
      </c>
      <c r="N1705" s="337"/>
    </row>
    <row r="1706" spans="1:14" ht="24" customHeight="1">
      <c r="A1706" s="8">
        <v>1662</v>
      </c>
      <c r="B1706" s="9">
        <v>1662</v>
      </c>
      <c r="C1706" s="254">
        <v>46120</v>
      </c>
      <c r="D1706" s="253" t="s">
        <v>238</v>
      </c>
      <c r="E1706" s="335" t="str">
        <f>IFERROR(VLOOKUP($D1706,본공사입.출고현황!$B:$H,E$2080,0),0)</f>
        <v>Steel round bar</v>
      </c>
      <c r="F1706" s="336" t="str">
        <f>IFERROR(VLOOKUP($D1706,본공사입.출고현황!$B:$H,F$2080,0),0)</f>
        <v>Steel round bar(rebar)</v>
      </c>
      <c r="G1706" s="336" t="str">
        <f>IFERROR(VLOOKUP($D1706,본공사입.출고현황!$B:$H,G$2080,0),0)</f>
        <v>CCGG</v>
      </c>
      <c r="H1706" s="336" t="str">
        <f>IFERROR(VLOOKUP($D1706,본공사입.출고현황!$B:$H,H$2080,0),0)</f>
        <v>ф10, 1ton=1,620.7m</v>
      </c>
      <c r="I1706" s="335" t="str">
        <f>IFERROR(VLOOKUP($D1706,본공사입.출고현황!$B:$H,I$2080,0),0)</f>
        <v>M</v>
      </c>
      <c r="J1706" s="253">
        <v>1</v>
      </c>
      <c r="K1706" s="253" t="s">
        <v>352</v>
      </c>
      <c r="L1706" s="255">
        <v>15</v>
      </c>
      <c r="M1706" s="256" t="s">
        <v>408</v>
      </c>
      <c r="N1706" s="337"/>
    </row>
    <row r="1707" spans="1:14" ht="24" customHeight="1">
      <c r="A1707" s="8">
        <v>1663</v>
      </c>
      <c r="B1707" s="9">
        <v>1663</v>
      </c>
      <c r="C1707" s="254">
        <v>46120</v>
      </c>
      <c r="D1707" s="253" t="s">
        <v>238</v>
      </c>
      <c r="E1707" s="335" t="str">
        <f>IFERROR(VLOOKUP($D1707,본공사입.출고현황!$B:$H,E$2080,0),0)</f>
        <v>Steel round bar</v>
      </c>
      <c r="F1707" s="336" t="str">
        <f>IFERROR(VLOOKUP($D1707,본공사입.출고현황!$B:$H,F$2080,0),0)</f>
        <v>Steel round bar(rebar)</v>
      </c>
      <c r="G1707" s="336" t="str">
        <f>IFERROR(VLOOKUP($D1707,본공사입.출고현황!$B:$H,G$2080,0),0)</f>
        <v>CCGG</v>
      </c>
      <c r="H1707" s="336" t="str">
        <f>IFERROR(VLOOKUP($D1707,본공사입.출고현황!$B:$H,H$2080,0),0)</f>
        <v>ф10, 1ton=1,620.7m</v>
      </c>
      <c r="I1707" s="335" t="str">
        <f>IFERROR(VLOOKUP($D1707,본공사입.출고현황!$B:$H,I$2080,0),0)</f>
        <v>M</v>
      </c>
      <c r="J1707" s="253">
        <v>2</v>
      </c>
      <c r="K1707" s="253" t="s">
        <v>360</v>
      </c>
      <c r="L1707" s="255">
        <v>15</v>
      </c>
      <c r="M1707" s="256" t="s">
        <v>408</v>
      </c>
      <c r="N1707" s="337"/>
    </row>
    <row r="1708" spans="1:14" ht="24" customHeight="1">
      <c r="A1708" s="8">
        <v>1664</v>
      </c>
      <c r="B1708" s="9">
        <v>1664</v>
      </c>
      <c r="C1708" s="254">
        <v>46120</v>
      </c>
      <c r="D1708" s="253" t="s">
        <v>238</v>
      </c>
      <c r="E1708" s="335" t="str">
        <f>IFERROR(VLOOKUP($D1708,본공사입.출고현황!$B:$H,E$2080,0),0)</f>
        <v>Steel round bar</v>
      </c>
      <c r="F1708" s="336" t="str">
        <f>IFERROR(VLOOKUP($D1708,본공사입.출고현황!$B:$H,F$2080,0),0)</f>
        <v>Steel round bar(rebar)</v>
      </c>
      <c r="G1708" s="336" t="str">
        <f>IFERROR(VLOOKUP($D1708,본공사입.출고현황!$B:$H,G$2080,0),0)</f>
        <v>CCGG</v>
      </c>
      <c r="H1708" s="336" t="str">
        <f>IFERROR(VLOOKUP($D1708,본공사입.출고현황!$B:$H,H$2080,0),0)</f>
        <v>ф10, 1ton=1,620.7m</v>
      </c>
      <c r="I1708" s="335" t="str">
        <f>IFERROR(VLOOKUP($D1708,본공사입.출고현황!$B:$H,I$2080,0),0)</f>
        <v>M</v>
      </c>
      <c r="J1708" s="253">
        <v>1</v>
      </c>
      <c r="K1708" s="253" t="s">
        <v>352</v>
      </c>
      <c r="L1708" s="255">
        <v>25</v>
      </c>
      <c r="M1708" s="256" t="s">
        <v>408</v>
      </c>
      <c r="N1708" s="337"/>
    </row>
    <row r="1709" spans="1:14" ht="24" customHeight="1">
      <c r="A1709" s="8">
        <v>1665</v>
      </c>
      <c r="B1709" s="9">
        <v>1665</v>
      </c>
      <c r="C1709" s="254">
        <v>46120</v>
      </c>
      <c r="D1709" s="253" t="s">
        <v>238</v>
      </c>
      <c r="E1709" s="335" t="str">
        <f>IFERROR(VLOOKUP($D1709,본공사입.출고현황!$B:$H,E$2080,0),0)</f>
        <v>Steel round bar</v>
      </c>
      <c r="F1709" s="336" t="str">
        <f>IFERROR(VLOOKUP($D1709,본공사입.출고현황!$B:$H,F$2080,0),0)</f>
        <v>Steel round bar(rebar)</v>
      </c>
      <c r="G1709" s="336" t="str">
        <f>IFERROR(VLOOKUP($D1709,본공사입.출고현황!$B:$H,G$2080,0),0)</f>
        <v>CCGG</v>
      </c>
      <c r="H1709" s="336" t="str">
        <f>IFERROR(VLOOKUP($D1709,본공사입.출고현황!$B:$H,H$2080,0),0)</f>
        <v>ф10, 1ton=1,620.7m</v>
      </c>
      <c r="I1709" s="335" t="str">
        <f>IFERROR(VLOOKUP($D1709,본공사입.출고현황!$B:$H,I$2080,0),0)</f>
        <v>M</v>
      </c>
      <c r="J1709" s="253">
        <v>1</v>
      </c>
      <c r="K1709" s="253" t="s">
        <v>363</v>
      </c>
      <c r="L1709" s="255">
        <v>15</v>
      </c>
      <c r="M1709" s="256" t="s">
        <v>408</v>
      </c>
      <c r="N1709" s="337"/>
    </row>
    <row r="1710" spans="1:14" ht="24" customHeight="1">
      <c r="A1710" s="8">
        <v>1666</v>
      </c>
      <c r="B1710" s="9">
        <v>1666</v>
      </c>
      <c r="C1710" s="254">
        <v>46120</v>
      </c>
      <c r="D1710" s="253" t="s">
        <v>238</v>
      </c>
      <c r="E1710" s="335" t="str">
        <f>IFERROR(VLOOKUP($D1710,본공사입.출고현황!$B:$H,E$2080,0),0)</f>
        <v>Steel round bar</v>
      </c>
      <c r="F1710" s="336" t="str">
        <f>IFERROR(VLOOKUP($D1710,본공사입.출고현황!$B:$H,F$2080,0),0)</f>
        <v>Steel round bar(rebar)</v>
      </c>
      <c r="G1710" s="336" t="str">
        <f>IFERROR(VLOOKUP($D1710,본공사입.출고현황!$B:$H,G$2080,0),0)</f>
        <v>CCGG</v>
      </c>
      <c r="H1710" s="336" t="str">
        <f>IFERROR(VLOOKUP($D1710,본공사입.출고현황!$B:$H,H$2080,0),0)</f>
        <v>ф10, 1ton=1,620.7m</v>
      </c>
      <c r="I1710" s="335" t="str">
        <f>IFERROR(VLOOKUP($D1710,본공사입.출고현황!$B:$H,I$2080,0),0)</f>
        <v>M</v>
      </c>
      <c r="J1710" s="253">
        <v>1</v>
      </c>
      <c r="K1710" s="253" t="s">
        <v>547</v>
      </c>
      <c r="L1710" s="255">
        <v>15</v>
      </c>
      <c r="M1710" s="256" t="s">
        <v>408</v>
      </c>
      <c r="N1710" s="337"/>
    </row>
    <row r="1711" spans="1:14" ht="24" customHeight="1">
      <c r="A1711" s="8">
        <v>1667</v>
      </c>
      <c r="B1711" s="9">
        <v>1667</v>
      </c>
      <c r="C1711" s="254">
        <v>46120</v>
      </c>
      <c r="D1711" s="253" t="s">
        <v>238</v>
      </c>
      <c r="E1711" s="335" t="str">
        <f>IFERROR(VLOOKUP($D1711,본공사입.출고현황!$B:$H,E$2080,0),0)</f>
        <v>Steel round bar</v>
      </c>
      <c r="F1711" s="336" t="str">
        <f>IFERROR(VLOOKUP($D1711,본공사입.출고현황!$B:$H,F$2080,0),0)</f>
        <v>Steel round bar(rebar)</v>
      </c>
      <c r="G1711" s="336" t="str">
        <f>IFERROR(VLOOKUP($D1711,본공사입.출고현황!$B:$H,G$2080,0),0)</f>
        <v>CCGG</v>
      </c>
      <c r="H1711" s="336" t="str">
        <f>IFERROR(VLOOKUP($D1711,본공사입.출고현황!$B:$H,H$2080,0),0)</f>
        <v>ф10, 1ton=1,620.7m</v>
      </c>
      <c r="I1711" s="335" t="str">
        <f>IFERROR(VLOOKUP($D1711,본공사입.출고현황!$B:$H,I$2080,0),0)</f>
        <v>M</v>
      </c>
      <c r="J1711" s="253">
        <v>3</v>
      </c>
      <c r="K1711" s="253" t="s">
        <v>550</v>
      </c>
      <c r="L1711" s="255">
        <v>25</v>
      </c>
      <c r="M1711" s="256" t="s">
        <v>408</v>
      </c>
      <c r="N1711" s="337"/>
    </row>
    <row r="1712" spans="1:14" ht="24" customHeight="1">
      <c r="A1712" s="8">
        <v>1668</v>
      </c>
      <c r="B1712" s="9">
        <v>1668</v>
      </c>
      <c r="C1712" s="254">
        <v>46120</v>
      </c>
      <c r="D1712" s="253" t="s">
        <v>238</v>
      </c>
      <c r="E1712" s="335" t="str">
        <f>IFERROR(VLOOKUP($D1712,본공사입.출고현황!$B:$H,E$2080,0),0)</f>
        <v>Steel round bar</v>
      </c>
      <c r="F1712" s="336" t="str">
        <f>IFERROR(VLOOKUP($D1712,본공사입.출고현황!$B:$H,F$2080,0),0)</f>
        <v>Steel round bar(rebar)</v>
      </c>
      <c r="G1712" s="336" t="str">
        <f>IFERROR(VLOOKUP($D1712,본공사입.출고현황!$B:$H,G$2080,0),0)</f>
        <v>CCGG</v>
      </c>
      <c r="H1712" s="336" t="str">
        <f>IFERROR(VLOOKUP($D1712,본공사입.출고현황!$B:$H,H$2080,0),0)</f>
        <v>ф10, 1ton=1,620.7m</v>
      </c>
      <c r="I1712" s="335" t="str">
        <f>IFERROR(VLOOKUP($D1712,본공사입.출고현황!$B:$H,I$2080,0),0)</f>
        <v>M</v>
      </c>
      <c r="J1712" s="253">
        <v>1</v>
      </c>
      <c r="K1712" s="253" t="s">
        <v>363</v>
      </c>
      <c r="L1712" s="255">
        <v>15</v>
      </c>
      <c r="M1712" s="256" t="s">
        <v>408</v>
      </c>
      <c r="N1712" s="337"/>
    </row>
    <row r="1713" spans="1:14" ht="24" customHeight="1">
      <c r="A1713" s="8">
        <v>1669</v>
      </c>
      <c r="B1713" s="9">
        <v>1669</v>
      </c>
      <c r="C1713" s="259">
        <v>46120</v>
      </c>
      <c r="D1713" s="249" t="s">
        <v>669</v>
      </c>
      <c r="E1713" s="251" t="str">
        <f>IFERROR(VLOOKUP($D1713,본공사입.출고현황!$B:$H,E$2080,0),0)</f>
        <v>Plate</v>
      </c>
      <c r="F1713" s="260" t="str">
        <f>IFERROR(VLOOKUP($D1713,본공사입.출고현황!$B:$H,F$2080,0),0)</f>
        <v>Carbon Plate 1000x6000x8</v>
      </c>
      <c r="G1713" s="260" t="str">
        <f>IFERROR(VLOOKUP($D1713,본공사입.출고현황!$B:$H,G$2080,0),0)</f>
        <v>CCGG</v>
      </c>
      <c r="H1713" s="260" t="str">
        <f>IFERROR(VLOOKUP($D1713,본공사입.출고현황!$B:$H,H$2080,0),0)</f>
        <v xml:space="preserve">1000x6000x8  </v>
      </c>
      <c r="I1713" s="251" t="str">
        <f>IFERROR(VLOOKUP($D1713,본공사입.출고현황!$B:$H,I$2080,0),0)</f>
        <v>PCS</v>
      </c>
      <c r="J1713" s="249"/>
      <c r="K1713" s="249"/>
      <c r="L1713" s="261">
        <v>0.8</v>
      </c>
      <c r="M1713" s="334"/>
      <c r="N1713" s="270"/>
    </row>
    <row r="1714" spans="1:14" ht="24" customHeight="1">
      <c r="A1714" s="8">
        <v>1670</v>
      </c>
      <c r="B1714" s="9">
        <v>1670</v>
      </c>
      <c r="C1714" s="46">
        <v>46121</v>
      </c>
      <c r="D1714" s="9" t="s">
        <v>238</v>
      </c>
      <c r="E1714" s="56" t="s">
        <v>529</v>
      </c>
      <c r="F1714" s="18" t="s">
        <v>58</v>
      </c>
      <c r="G1714" s="18" t="s">
        <v>255</v>
      </c>
      <c r="H1714" s="18" t="s">
        <v>530</v>
      </c>
      <c r="I1714" s="56" t="s">
        <v>2</v>
      </c>
      <c r="J1714" s="9">
        <v>1</v>
      </c>
      <c r="K1714" s="9" t="s">
        <v>352</v>
      </c>
      <c r="L1714" s="37">
        <v>50</v>
      </c>
      <c r="M1714" s="64" t="s">
        <v>408</v>
      </c>
      <c r="N1714" s="4"/>
    </row>
    <row r="1715" spans="1:14" ht="24" customHeight="1">
      <c r="A1715" s="8">
        <v>1671</v>
      </c>
      <c r="B1715" s="9">
        <v>1671</v>
      </c>
      <c r="C1715" s="46">
        <v>46121</v>
      </c>
      <c r="D1715" s="9" t="s">
        <v>238</v>
      </c>
      <c r="E1715" s="56" t="s">
        <v>529</v>
      </c>
      <c r="F1715" s="18" t="s">
        <v>58</v>
      </c>
      <c r="G1715" s="18" t="s">
        <v>255</v>
      </c>
      <c r="H1715" s="18" t="s">
        <v>530</v>
      </c>
      <c r="I1715" s="56" t="s">
        <v>2</v>
      </c>
      <c r="J1715" s="9">
        <v>2</v>
      </c>
      <c r="K1715" s="9" t="s">
        <v>546</v>
      </c>
      <c r="L1715" s="37">
        <v>25</v>
      </c>
      <c r="M1715" s="64" t="s">
        <v>408</v>
      </c>
      <c r="N1715" s="4"/>
    </row>
    <row r="1716" spans="1:14" ht="24" customHeight="1">
      <c r="A1716" s="8">
        <v>1672</v>
      </c>
      <c r="B1716" s="9">
        <v>1672</v>
      </c>
      <c r="C1716" s="46">
        <v>46121</v>
      </c>
      <c r="D1716" s="9" t="s">
        <v>238</v>
      </c>
      <c r="E1716" s="56" t="s">
        <v>529</v>
      </c>
      <c r="F1716" s="18" t="s">
        <v>58</v>
      </c>
      <c r="G1716" s="18" t="s">
        <v>255</v>
      </c>
      <c r="H1716" s="18" t="s">
        <v>530</v>
      </c>
      <c r="I1716" s="56" t="s">
        <v>2</v>
      </c>
      <c r="J1716" s="9">
        <v>4</v>
      </c>
      <c r="K1716" s="9" t="s">
        <v>359</v>
      </c>
      <c r="L1716" s="37">
        <v>75</v>
      </c>
      <c r="M1716" s="64" t="s">
        <v>408</v>
      </c>
      <c r="N1716" s="4"/>
    </row>
    <row r="1717" spans="1:14" ht="24" customHeight="1">
      <c r="A1717" s="8">
        <v>1673</v>
      </c>
      <c r="B1717" s="9">
        <v>1673</v>
      </c>
      <c r="C1717" s="46">
        <v>46121</v>
      </c>
      <c r="D1717" s="9" t="s">
        <v>238</v>
      </c>
      <c r="E1717" s="56" t="s">
        <v>529</v>
      </c>
      <c r="F1717" s="18" t="s">
        <v>58</v>
      </c>
      <c r="G1717" s="18" t="s">
        <v>255</v>
      </c>
      <c r="H1717" s="18" t="s">
        <v>530</v>
      </c>
      <c r="I1717" s="56" t="s">
        <v>2</v>
      </c>
      <c r="J1717" s="9">
        <v>2</v>
      </c>
      <c r="K1717" s="9" t="s">
        <v>360</v>
      </c>
      <c r="L1717" s="37">
        <v>25</v>
      </c>
      <c r="M1717" s="64" t="s">
        <v>408</v>
      </c>
      <c r="N1717" s="4"/>
    </row>
    <row r="1718" spans="1:14" ht="24" customHeight="1">
      <c r="A1718" s="8">
        <v>1674</v>
      </c>
      <c r="B1718" s="9">
        <v>1674</v>
      </c>
      <c r="C1718" s="46">
        <v>46121</v>
      </c>
      <c r="D1718" s="9" t="s">
        <v>238</v>
      </c>
      <c r="E1718" s="56" t="s">
        <v>529</v>
      </c>
      <c r="F1718" s="18" t="s">
        <v>58</v>
      </c>
      <c r="G1718" s="18" t="s">
        <v>255</v>
      </c>
      <c r="H1718" s="18" t="s">
        <v>530</v>
      </c>
      <c r="I1718" s="56" t="s">
        <v>2</v>
      </c>
      <c r="J1718" s="9">
        <v>3</v>
      </c>
      <c r="K1718" s="9" t="s">
        <v>237</v>
      </c>
      <c r="L1718" s="37">
        <v>20</v>
      </c>
      <c r="M1718" s="64" t="s">
        <v>408</v>
      </c>
      <c r="N1718" s="4"/>
    </row>
    <row r="1719" spans="1:14" ht="24" customHeight="1">
      <c r="A1719" s="8">
        <v>1675</v>
      </c>
      <c r="B1719" s="9">
        <v>1675</v>
      </c>
      <c r="C1719" s="46">
        <v>46122</v>
      </c>
      <c r="D1719" s="9" t="s">
        <v>238</v>
      </c>
      <c r="E1719" s="56" t="s">
        <v>529</v>
      </c>
      <c r="F1719" s="18" t="s">
        <v>58</v>
      </c>
      <c r="G1719" s="18" t="s">
        <v>255</v>
      </c>
      <c r="H1719" s="18" t="s">
        <v>530</v>
      </c>
      <c r="I1719" s="56" t="s">
        <v>2</v>
      </c>
      <c r="J1719" s="9">
        <v>1</v>
      </c>
      <c r="K1719" s="9" t="s">
        <v>352</v>
      </c>
      <c r="L1719" s="37">
        <v>25</v>
      </c>
      <c r="M1719" s="64" t="s">
        <v>408</v>
      </c>
      <c r="N1719" s="4"/>
    </row>
    <row r="1720" spans="1:14" ht="24" customHeight="1">
      <c r="A1720" s="8">
        <v>1676</v>
      </c>
      <c r="B1720" s="9">
        <v>1676</v>
      </c>
      <c r="C1720" s="46">
        <v>46122</v>
      </c>
      <c r="D1720" s="9" t="s">
        <v>238</v>
      </c>
      <c r="E1720" s="56" t="s">
        <v>529</v>
      </c>
      <c r="F1720" s="18" t="s">
        <v>58</v>
      </c>
      <c r="G1720" s="18" t="s">
        <v>255</v>
      </c>
      <c r="H1720" s="18" t="s">
        <v>530</v>
      </c>
      <c r="I1720" s="56" t="s">
        <v>2</v>
      </c>
      <c r="J1720" s="9">
        <v>1</v>
      </c>
      <c r="K1720" s="9" t="s">
        <v>352</v>
      </c>
      <c r="L1720" s="37">
        <v>15</v>
      </c>
      <c r="M1720" s="64" t="s">
        <v>408</v>
      </c>
      <c r="N1720" s="4"/>
    </row>
    <row r="1721" spans="1:14" ht="24" customHeight="1">
      <c r="A1721" s="8">
        <v>1677</v>
      </c>
      <c r="B1721" s="9">
        <v>1677</v>
      </c>
      <c r="C1721" s="46">
        <v>46122</v>
      </c>
      <c r="D1721" s="9" t="s">
        <v>238</v>
      </c>
      <c r="E1721" s="56" t="s">
        <v>529</v>
      </c>
      <c r="F1721" s="18" t="s">
        <v>58</v>
      </c>
      <c r="G1721" s="18" t="s">
        <v>255</v>
      </c>
      <c r="H1721" s="18" t="s">
        <v>530</v>
      </c>
      <c r="I1721" s="56" t="s">
        <v>2</v>
      </c>
      <c r="J1721" s="9">
        <v>1</v>
      </c>
      <c r="K1721" s="9" t="s">
        <v>363</v>
      </c>
      <c r="L1721" s="37">
        <v>50</v>
      </c>
      <c r="M1721" s="64" t="s">
        <v>408</v>
      </c>
      <c r="N1721" s="4"/>
    </row>
    <row r="1722" spans="1:14" ht="24" customHeight="1">
      <c r="A1722" s="8">
        <v>1678</v>
      </c>
      <c r="B1722" s="9">
        <v>1678</v>
      </c>
      <c r="C1722" s="46">
        <v>46122</v>
      </c>
      <c r="D1722" s="9" t="s">
        <v>238</v>
      </c>
      <c r="E1722" s="56" t="s">
        <v>529</v>
      </c>
      <c r="F1722" s="18" t="s">
        <v>58</v>
      </c>
      <c r="G1722" s="18" t="s">
        <v>255</v>
      </c>
      <c r="H1722" s="18" t="s">
        <v>530</v>
      </c>
      <c r="I1722" s="56" t="s">
        <v>2</v>
      </c>
      <c r="J1722" s="9">
        <v>1</v>
      </c>
      <c r="K1722" s="9" t="s">
        <v>545</v>
      </c>
      <c r="L1722" s="37">
        <v>15</v>
      </c>
      <c r="M1722" s="64" t="s">
        <v>408</v>
      </c>
      <c r="N1722" s="4"/>
    </row>
    <row r="1723" spans="1:14" ht="24" customHeight="1">
      <c r="A1723" s="8">
        <v>1679</v>
      </c>
      <c r="B1723" s="9">
        <v>1679</v>
      </c>
      <c r="C1723" s="46">
        <v>46122</v>
      </c>
      <c r="D1723" s="9" t="s">
        <v>238</v>
      </c>
      <c r="E1723" s="56" t="s">
        <v>529</v>
      </c>
      <c r="F1723" s="18" t="s">
        <v>58</v>
      </c>
      <c r="G1723" s="18" t="s">
        <v>255</v>
      </c>
      <c r="H1723" s="18" t="s">
        <v>530</v>
      </c>
      <c r="I1723" s="56" t="s">
        <v>2</v>
      </c>
      <c r="J1723" s="9">
        <v>2</v>
      </c>
      <c r="K1723" s="9" t="s">
        <v>241</v>
      </c>
      <c r="L1723" s="37">
        <v>50</v>
      </c>
      <c r="M1723" s="64" t="s">
        <v>408</v>
      </c>
      <c r="N1723" s="4"/>
    </row>
    <row r="1724" spans="1:14" ht="24" customHeight="1">
      <c r="A1724" s="8">
        <v>1680</v>
      </c>
      <c r="B1724" s="9">
        <v>1680</v>
      </c>
      <c r="C1724" s="46">
        <v>46123</v>
      </c>
      <c r="D1724" s="9" t="s">
        <v>180</v>
      </c>
      <c r="E1724" s="56" t="str">
        <f>IFERROR(VLOOKUP($D1724,본공사입.출고현황!$B:$H,E$2080,0),0)</f>
        <v>Ground</v>
      </c>
      <c r="F1724" s="18" t="str">
        <f>IFERROR(VLOOKUP($D1724,본공사입.출고현황!$B:$H,F$2080,0),0)</f>
        <v>Ground Cable  78SQ</v>
      </c>
      <c r="G1724" s="18" t="str">
        <f>IFERROR(VLOOKUP($D1724,본공사입.출고현황!$B:$H,G$2080,0),0)</f>
        <v xml:space="preserve">Ground Cable </v>
      </c>
      <c r="H1724" s="18" t="str">
        <f>IFERROR(VLOOKUP($D1724,본공사입.출고현황!$B:$H,H$2080,0),0)</f>
        <v>78SQ</v>
      </c>
      <c r="I1724" s="56" t="str">
        <f>IFERROR(VLOOKUP($D1724,본공사입.출고현황!$B:$H,I$2080,0),0)</f>
        <v>M</v>
      </c>
      <c r="J1724" s="9">
        <v>1</v>
      </c>
      <c r="K1724" s="9" t="s">
        <v>352</v>
      </c>
      <c r="L1724" s="37">
        <v>66</v>
      </c>
      <c r="M1724" s="64" t="s">
        <v>409</v>
      </c>
      <c r="N1724" s="4"/>
    </row>
    <row r="1725" spans="1:14" ht="24" customHeight="1">
      <c r="A1725" s="8">
        <v>1681</v>
      </c>
      <c r="B1725" s="9">
        <v>1681</v>
      </c>
      <c r="C1725" s="46">
        <v>46123</v>
      </c>
      <c r="D1725" s="9" t="s">
        <v>86</v>
      </c>
      <c r="E1725" s="56" t="str">
        <f>IFERROR(VLOOKUP($D1725,본공사입.출고현황!$B:$H,E$2080,0),0)</f>
        <v>Ground</v>
      </c>
      <c r="F1725" s="18" t="str">
        <f>IFERROR(VLOOKUP($D1725,본공사입.출고현황!$B:$H,F$2080,0),0)</f>
        <v>Cadweld Powder #115</v>
      </c>
      <c r="G1725" s="18" t="str">
        <f>IFERROR(VLOOKUP($D1725,본공사입.출고현황!$B:$H,G$2080,0),0)</f>
        <v>Cadweld Powder</v>
      </c>
      <c r="H1725" s="18" t="str">
        <f>IFERROR(VLOOKUP($D1725,본공사입.출고현황!$B:$H,H$2080,0),0)</f>
        <v>#115</v>
      </c>
      <c r="I1725" s="56" t="str">
        <f>IFERROR(VLOOKUP($D1725,본공사입.출고현황!$B:$H,I$2080,0),0)</f>
        <v>EA</v>
      </c>
      <c r="J1725" s="9">
        <v>1</v>
      </c>
      <c r="K1725" s="9" t="s">
        <v>352</v>
      </c>
      <c r="L1725" s="37">
        <v>6</v>
      </c>
      <c r="M1725" s="64" t="s">
        <v>409</v>
      </c>
      <c r="N1725" s="4"/>
    </row>
    <row r="1726" spans="1:14" ht="24" customHeight="1">
      <c r="A1726" s="8">
        <v>1682</v>
      </c>
      <c r="B1726" s="9">
        <v>1682</v>
      </c>
      <c r="C1726" s="46">
        <v>46123</v>
      </c>
      <c r="D1726" s="9" t="s">
        <v>110</v>
      </c>
      <c r="E1726" s="56" t="str">
        <f>IFERROR(VLOOKUP($D1726,본공사입.출고현황!$B:$H,E$2080,0),0)</f>
        <v>Miscellious</v>
      </c>
      <c r="F1726" s="18" t="str">
        <f>IFERROR(VLOOKUP($D1726,본공사입.출고현황!$B:$H,F$2080,0),0)</f>
        <v xml:space="preserve">Nicoband </v>
      </c>
      <c r="G1726" s="18" t="str">
        <f>IFERROR(VLOOKUP($D1726,본공사입.출고현황!$B:$H,G$2080,0),0)</f>
        <v>Nicoband</v>
      </c>
      <c r="H1726" s="18" t="str">
        <f>IFERROR(VLOOKUP($D1726,본공사입.출고현황!$B:$H,H$2080,0),0)</f>
        <v>10m x 15cm</v>
      </c>
      <c r="I1726" s="56" t="str">
        <f>IFERROR(VLOOKUP($D1726,본공사입.출고현황!$B:$H,I$2080,0),0)</f>
        <v>EA</v>
      </c>
      <c r="J1726" s="9">
        <v>1</v>
      </c>
      <c r="K1726" s="9" t="s">
        <v>352</v>
      </c>
      <c r="L1726" s="37">
        <v>1</v>
      </c>
      <c r="M1726" s="64" t="s">
        <v>409</v>
      </c>
      <c r="N1726" s="4"/>
    </row>
    <row r="1727" spans="1:14" ht="24" customHeight="1">
      <c r="A1727" s="8">
        <v>1683</v>
      </c>
      <c r="B1727" s="9">
        <v>1683</v>
      </c>
      <c r="C1727" s="46">
        <v>46123</v>
      </c>
      <c r="D1727" s="9" t="s">
        <v>238</v>
      </c>
      <c r="E1727" s="56" t="s">
        <v>529</v>
      </c>
      <c r="F1727" s="18" t="s">
        <v>58</v>
      </c>
      <c r="G1727" s="18" t="s">
        <v>255</v>
      </c>
      <c r="H1727" s="18" t="s">
        <v>530</v>
      </c>
      <c r="I1727" s="56" t="s">
        <v>2</v>
      </c>
      <c r="J1727" s="9">
        <v>3</v>
      </c>
      <c r="K1727" s="9" t="s">
        <v>550</v>
      </c>
      <c r="L1727" s="37">
        <v>30</v>
      </c>
      <c r="M1727" s="64" t="s">
        <v>408</v>
      </c>
      <c r="N1727" s="4"/>
    </row>
    <row r="1728" spans="1:14" ht="24" customHeight="1">
      <c r="A1728" s="8">
        <v>1684</v>
      </c>
      <c r="B1728" s="9">
        <v>1684</v>
      </c>
      <c r="C1728" s="46">
        <v>46123</v>
      </c>
      <c r="D1728" s="9" t="s">
        <v>238</v>
      </c>
      <c r="E1728" s="56" t="s">
        <v>529</v>
      </c>
      <c r="F1728" s="18" t="s">
        <v>58</v>
      </c>
      <c r="G1728" s="18" t="s">
        <v>255</v>
      </c>
      <c r="H1728" s="18" t="s">
        <v>530</v>
      </c>
      <c r="I1728" s="56" t="s">
        <v>2</v>
      </c>
      <c r="J1728" s="9">
        <v>3</v>
      </c>
      <c r="K1728" s="9" t="s">
        <v>550</v>
      </c>
      <c r="L1728" s="37">
        <v>15</v>
      </c>
      <c r="M1728" s="64" t="s">
        <v>408</v>
      </c>
      <c r="N1728" s="4"/>
    </row>
    <row r="1729" spans="1:14" ht="24" customHeight="1">
      <c r="A1729" s="8">
        <v>1685</v>
      </c>
      <c r="B1729" s="9">
        <v>1685</v>
      </c>
      <c r="C1729" s="46">
        <v>46123</v>
      </c>
      <c r="D1729" s="9" t="s">
        <v>238</v>
      </c>
      <c r="E1729" s="56" t="s">
        <v>529</v>
      </c>
      <c r="F1729" s="18" t="s">
        <v>58</v>
      </c>
      <c r="G1729" s="18" t="s">
        <v>255</v>
      </c>
      <c r="H1729" s="18" t="s">
        <v>530</v>
      </c>
      <c r="I1729" s="56" t="s">
        <v>2</v>
      </c>
      <c r="J1729" s="9">
        <v>1</v>
      </c>
      <c r="K1729" s="9" t="s">
        <v>363</v>
      </c>
      <c r="L1729" s="37">
        <v>40</v>
      </c>
      <c r="M1729" s="64" t="s">
        <v>408</v>
      </c>
      <c r="N1729" s="4"/>
    </row>
    <row r="1730" spans="1:14" ht="24" customHeight="1">
      <c r="A1730" s="8">
        <v>1686</v>
      </c>
      <c r="B1730" s="9">
        <v>1686</v>
      </c>
      <c r="C1730" s="46">
        <v>46123</v>
      </c>
      <c r="D1730" s="9" t="s">
        <v>238</v>
      </c>
      <c r="E1730" s="56" t="s">
        <v>529</v>
      </c>
      <c r="F1730" s="18" t="s">
        <v>58</v>
      </c>
      <c r="G1730" s="18" t="s">
        <v>255</v>
      </c>
      <c r="H1730" s="18" t="s">
        <v>530</v>
      </c>
      <c r="I1730" s="56" t="s">
        <v>2</v>
      </c>
      <c r="J1730" s="9">
        <v>1</v>
      </c>
      <c r="K1730" s="9" t="s">
        <v>547</v>
      </c>
      <c r="L1730" s="37">
        <v>20</v>
      </c>
      <c r="M1730" s="64" t="s">
        <v>408</v>
      </c>
      <c r="N1730" s="4"/>
    </row>
    <row r="1731" spans="1:14" ht="24" customHeight="1">
      <c r="A1731" s="8">
        <v>1687</v>
      </c>
      <c r="B1731" s="9">
        <v>1687</v>
      </c>
      <c r="C1731" s="46">
        <v>46123</v>
      </c>
      <c r="D1731" s="9" t="s">
        <v>238</v>
      </c>
      <c r="E1731" s="56" t="s">
        <v>529</v>
      </c>
      <c r="F1731" s="18" t="s">
        <v>58</v>
      </c>
      <c r="G1731" s="18" t="s">
        <v>255</v>
      </c>
      <c r="H1731" s="18" t="s">
        <v>530</v>
      </c>
      <c r="I1731" s="56" t="s">
        <v>2</v>
      </c>
      <c r="J1731" s="9">
        <v>1</v>
      </c>
      <c r="K1731" s="9" t="s">
        <v>363</v>
      </c>
      <c r="L1731" s="37">
        <v>20</v>
      </c>
      <c r="M1731" s="64" t="s">
        <v>408</v>
      </c>
      <c r="N1731" s="4"/>
    </row>
    <row r="1732" spans="1:14" ht="24" customHeight="1">
      <c r="A1732" s="8">
        <v>1688</v>
      </c>
      <c r="B1732" s="9">
        <v>1688</v>
      </c>
      <c r="C1732" s="46">
        <v>46123</v>
      </c>
      <c r="D1732" s="9" t="s">
        <v>238</v>
      </c>
      <c r="E1732" s="56" t="s">
        <v>529</v>
      </c>
      <c r="F1732" s="18" t="s">
        <v>58</v>
      </c>
      <c r="G1732" s="18" t="s">
        <v>255</v>
      </c>
      <c r="H1732" s="18" t="s">
        <v>530</v>
      </c>
      <c r="I1732" s="56" t="s">
        <v>2</v>
      </c>
      <c r="J1732" s="9">
        <v>3</v>
      </c>
      <c r="K1732" s="9" t="s">
        <v>550</v>
      </c>
      <c r="L1732" s="37">
        <v>20</v>
      </c>
      <c r="M1732" s="64" t="s">
        <v>408</v>
      </c>
      <c r="N1732" s="4"/>
    </row>
    <row r="1733" spans="1:14" ht="24" customHeight="1">
      <c r="A1733" s="8">
        <v>1689</v>
      </c>
      <c r="B1733" s="9">
        <v>1689</v>
      </c>
      <c r="C1733" s="46">
        <v>46124</v>
      </c>
      <c r="D1733" s="9" t="s">
        <v>238</v>
      </c>
      <c r="E1733" s="56" t="s">
        <v>529</v>
      </c>
      <c r="F1733" s="18" t="s">
        <v>58</v>
      </c>
      <c r="G1733" s="18" t="s">
        <v>255</v>
      </c>
      <c r="H1733" s="18" t="s">
        <v>530</v>
      </c>
      <c r="I1733" s="56" t="s">
        <v>2</v>
      </c>
      <c r="J1733" s="9">
        <v>2</v>
      </c>
      <c r="K1733" s="9" t="s">
        <v>360</v>
      </c>
      <c r="L1733" s="37">
        <v>25</v>
      </c>
      <c r="M1733" s="64" t="s">
        <v>408</v>
      </c>
      <c r="N1733" s="4"/>
    </row>
    <row r="1734" spans="1:14" ht="24" customHeight="1">
      <c r="A1734" s="8">
        <v>1690</v>
      </c>
      <c r="B1734" s="9">
        <v>1690</v>
      </c>
      <c r="C1734" s="46">
        <v>46124</v>
      </c>
      <c r="D1734" s="9" t="s">
        <v>238</v>
      </c>
      <c r="E1734" s="56" t="s">
        <v>529</v>
      </c>
      <c r="F1734" s="18" t="s">
        <v>58</v>
      </c>
      <c r="G1734" s="18" t="s">
        <v>255</v>
      </c>
      <c r="H1734" s="18" t="s">
        <v>530</v>
      </c>
      <c r="I1734" s="56" t="s">
        <v>2</v>
      </c>
      <c r="J1734" s="9">
        <v>1</v>
      </c>
      <c r="K1734" s="9" t="s">
        <v>352</v>
      </c>
      <c r="L1734" s="37">
        <v>25</v>
      </c>
      <c r="M1734" s="64" t="s">
        <v>408</v>
      </c>
      <c r="N1734" s="4"/>
    </row>
    <row r="1735" spans="1:14" ht="24" customHeight="1">
      <c r="A1735" s="8">
        <v>1691</v>
      </c>
      <c r="B1735" s="9">
        <v>1691</v>
      </c>
      <c r="C1735" s="46">
        <v>46124</v>
      </c>
      <c r="D1735" s="9" t="s">
        <v>238</v>
      </c>
      <c r="E1735" s="56" t="s">
        <v>529</v>
      </c>
      <c r="F1735" s="18" t="s">
        <v>58</v>
      </c>
      <c r="G1735" s="18" t="s">
        <v>255</v>
      </c>
      <c r="H1735" s="18" t="s">
        <v>530</v>
      </c>
      <c r="I1735" s="56" t="s">
        <v>2</v>
      </c>
      <c r="J1735" s="9">
        <v>2</v>
      </c>
      <c r="K1735" s="9" t="s">
        <v>546</v>
      </c>
      <c r="L1735" s="37">
        <v>25</v>
      </c>
      <c r="M1735" s="64" t="s">
        <v>408</v>
      </c>
      <c r="N1735" s="4"/>
    </row>
    <row r="1736" spans="1:14" ht="24" customHeight="1">
      <c r="A1736" s="8">
        <v>1692</v>
      </c>
      <c r="B1736" s="9">
        <v>1692</v>
      </c>
      <c r="C1736" s="46">
        <v>46124</v>
      </c>
      <c r="D1736" s="9" t="s">
        <v>238</v>
      </c>
      <c r="E1736" s="56" t="s">
        <v>529</v>
      </c>
      <c r="F1736" s="18" t="s">
        <v>58</v>
      </c>
      <c r="G1736" s="18" t="s">
        <v>255</v>
      </c>
      <c r="H1736" s="18" t="s">
        <v>530</v>
      </c>
      <c r="I1736" s="56" t="s">
        <v>2</v>
      </c>
      <c r="J1736" s="9">
        <v>4</v>
      </c>
      <c r="K1736" s="9" t="s">
        <v>359</v>
      </c>
      <c r="L1736" s="37">
        <v>25</v>
      </c>
      <c r="M1736" s="64" t="s">
        <v>408</v>
      </c>
      <c r="N1736" s="4"/>
    </row>
    <row r="1737" spans="1:14" ht="24" customHeight="1">
      <c r="A1737" s="8">
        <v>1693</v>
      </c>
      <c r="B1737" s="9">
        <v>1693</v>
      </c>
      <c r="C1737" s="46">
        <v>46125</v>
      </c>
      <c r="D1737" s="9" t="s">
        <v>238</v>
      </c>
      <c r="E1737" s="56" t="s">
        <v>529</v>
      </c>
      <c r="F1737" s="18" t="s">
        <v>58</v>
      </c>
      <c r="G1737" s="18" t="s">
        <v>255</v>
      </c>
      <c r="H1737" s="18" t="s">
        <v>530</v>
      </c>
      <c r="I1737" s="56" t="s">
        <v>2</v>
      </c>
      <c r="J1737" s="9">
        <v>2</v>
      </c>
      <c r="K1737" s="9" t="s">
        <v>360</v>
      </c>
      <c r="L1737" s="37">
        <v>25</v>
      </c>
      <c r="M1737" s="64" t="s">
        <v>408</v>
      </c>
      <c r="N1737" s="4"/>
    </row>
    <row r="1738" spans="1:14" ht="24" customHeight="1">
      <c r="A1738" s="8">
        <v>1694</v>
      </c>
      <c r="B1738" s="9">
        <v>1694</v>
      </c>
      <c r="C1738" s="46">
        <v>46125</v>
      </c>
      <c r="D1738" s="9" t="s">
        <v>238</v>
      </c>
      <c r="E1738" s="56" t="s">
        <v>529</v>
      </c>
      <c r="F1738" s="18" t="s">
        <v>58</v>
      </c>
      <c r="G1738" s="18" t="s">
        <v>255</v>
      </c>
      <c r="H1738" s="18" t="s">
        <v>530</v>
      </c>
      <c r="I1738" s="56" t="s">
        <v>2</v>
      </c>
      <c r="J1738" s="9">
        <v>1</v>
      </c>
      <c r="K1738" s="9" t="s">
        <v>352</v>
      </c>
      <c r="L1738" s="37">
        <v>25</v>
      </c>
      <c r="M1738" s="64" t="s">
        <v>408</v>
      </c>
      <c r="N1738" s="4"/>
    </row>
    <row r="1739" spans="1:14" ht="24" customHeight="1">
      <c r="A1739" s="8">
        <v>1695</v>
      </c>
      <c r="B1739" s="9">
        <v>1695</v>
      </c>
      <c r="C1739" s="46">
        <v>46125</v>
      </c>
      <c r="D1739" s="9" t="s">
        <v>238</v>
      </c>
      <c r="E1739" s="56" t="s">
        <v>529</v>
      </c>
      <c r="F1739" s="18" t="s">
        <v>58</v>
      </c>
      <c r="G1739" s="18" t="s">
        <v>255</v>
      </c>
      <c r="H1739" s="18" t="s">
        <v>530</v>
      </c>
      <c r="I1739" s="56" t="s">
        <v>2</v>
      </c>
      <c r="J1739" s="9">
        <v>2</v>
      </c>
      <c r="K1739" s="9" t="s">
        <v>546</v>
      </c>
      <c r="L1739" s="37">
        <v>25</v>
      </c>
      <c r="M1739" s="64" t="s">
        <v>408</v>
      </c>
      <c r="N1739" s="4"/>
    </row>
    <row r="1740" spans="1:14" ht="24" customHeight="1">
      <c r="A1740" s="8">
        <v>1696</v>
      </c>
      <c r="B1740" s="9">
        <v>1696</v>
      </c>
      <c r="C1740" s="46">
        <v>46125</v>
      </c>
      <c r="D1740" s="9" t="s">
        <v>238</v>
      </c>
      <c r="E1740" s="56" t="s">
        <v>529</v>
      </c>
      <c r="F1740" s="18" t="s">
        <v>58</v>
      </c>
      <c r="G1740" s="18" t="s">
        <v>255</v>
      </c>
      <c r="H1740" s="18" t="s">
        <v>530</v>
      </c>
      <c r="I1740" s="56" t="s">
        <v>2</v>
      </c>
      <c r="J1740" s="9">
        <v>4</v>
      </c>
      <c r="K1740" s="9" t="s">
        <v>359</v>
      </c>
      <c r="L1740" s="37">
        <v>25</v>
      </c>
      <c r="M1740" s="64" t="s">
        <v>408</v>
      </c>
      <c r="N1740" s="4"/>
    </row>
    <row r="1741" spans="1:14" ht="24" customHeight="1">
      <c r="A1741" s="8">
        <v>1697</v>
      </c>
      <c r="B1741" s="9">
        <v>1697</v>
      </c>
      <c r="C1741" s="46">
        <v>46126</v>
      </c>
      <c r="D1741" s="9" t="s">
        <v>238</v>
      </c>
      <c r="E1741" s="56" t="s">
        <v>529</v>
      </c>
      <c r="F1741" s="18" t="s">
        <v>58</v>
      </c>
      <c r="G1741" s="18" t="s">
        <v>255</v>
      </c>
      <c r="H1741" s="18" t="s">
        <v>530</v>
      </c>
      <c r="I1741" s="56" t="s">
        <v>2</v>
      </c>
      <c r="J1741" s="9">
        <v>1</v>
      </c>
      <c r="K1741" s="9" t="s">
        <v>363</v>
      </c>
      <c r="L1741" s="37">
        <v>25</v>
      </c>
      <c r="M1741" s="64" t="s">
        <v>408</v>
      </c>
      <c r="N1741" s="4"/>
    </row>
    <row r="1742" spans="1:14" ht="24" customHeight="1">
      <c r="A1742" s="8">
        <v>1698</v>
      </c>
      <c r="B1742" s="9">
        <v>1698</v>
      </c>
      <c r="C1742" s="46">
        <v>46126</v>
      </c>
      <c r="D1742" s="9" t="s">
        <v>238</v>
      </c>
      <c r="E1742" s="56" t="s">
        <v>529</v>
      </c>
      <c r="F1742" s="18" t="s">
        <v>58</v>
      </c>
      <c r="G1742" s="18" t="s">
        <v>255</v>
      </c>
      <c r="H1742" s="18" t="s">
        <v>530</v>
      </c>
      <c r="I1742" s="56" t="s">
        <v>2</v>
      </c>
      <c r="J1742" s="9">
        <v>1</v>
      </c>
      <c r="K1742" s="9" t="s">
        <v>547</v>
      </c>
      <c r="L1742" s="37">
        <v>20</v>
      </c>
      <c r="M1742" s="64" t="s">
        <v>408</v>
      </c>
      <c r="N1742" s="4"/>
    </row>
    <row r="1743" spans="1:14" ht="24" customHeight="1">
      <c r="A1743" s="8">
        <v>1699</v>
      </c>
      <c r="B1743" s="9">
        <v>1699</v>
      </c>
      <c r="C1743" s="46">
        <v>46126</v>
      </c>
      <c r="D1743" s="9" t="s">
        <v>238</v>
      </c>
      <c r="E1743" s="56" t="s">
        <v>529</v>
      </c>
      <c r="F1743" s="18" t="s">
        <v>58</v>
      </c>
      <c r="G1743" s="18" t="s">
        <v>255</v>
      </c>
      <c r="H1743" s="18" t="s">
        <v>530</v>
      </c>
      <c r="I1743" s="56" t="s">
        <v>2</v>
      </c>
      <c r="J1743" s="9">
        <v>1</v>
      </c>
      <c r="K1743" s="9" t="s">
        <v>363</v>
      </c>
      <c r="L1743" s="37">
        <v>15</v>
      </c>
      <c r="M1743" s="64" t="s">
        <v>408</v>
      </c>
      <c r="N1743" s="4"/>
    </row>
    <row r="1744" spans="1:14" ht="24" customHeight="1">
      <c r="A1744" s="8">
        <v>1700</v>
      </c>
      <c r="B1744" s="9">
        <v>1700</v>
      </c>
      <c r="C1744" s="46">
        <v>46126</v>
      </c>
      <c r="D1744" s="9" t="s">
        <v>238</v>
      </c>
      <c r="E1744" s="56" t="s">
        <v>529</v>
      </c>
      <c r="F1744" s="18" t="s">
        <v>58</v>
      </c>
      <c r="G1744" s="18" t="s">
        <v>255</v>
      </c>
      <c r="H1744" s="18" t="s">
        <v>530</v>
      </c>
      <c r="I1744" s="56" t="s">
        <v>2</v>
      </c>
      <c r="J1744" s="9">
        <v>3</v>
      </c>
      <c r="K1744" s="9" t="s">
        <v>550</v>
      </c>
      <c r="L1744" s="37">
        <v>15</v>
      </c>
      <c r="M1744" s="64" t="s">
        <v>408</v>
      </c>
      <c r="N1744" s="4"/>
    </row>
    <row r="1745" spans="1:14" ht="24" customHeight="1">
      <c r="A1745" s="8">
        <v>1701</v>
      </c>
      <c r="B1745" s="9">
        <v>1701</v>
      </c>
      <c r="C1745" s="46">
        <v>46126</v>
      </c>
      <c r="D1745" s="9" t="s">
        <v>238</v>
      </c>
      <c r="E1745" s="56" t="s">
        <v>529</v>
      </c>
      <c r="F1745" s="18" t="s">
        <v>58</v>
      </c>
      <c r="G1745" s="18" t="s">
        <v>255</v>
      </c>
      <c r="H1745" s="18" t="s">
        <v>530</v>
      </c>
      <c r="I1745" s="56" t="s">
        <v>2</v>
      </c>
      <c r="J1745" s="9">
        <v>2</v>
      </c>
      <c r="K1745" s="9" t="s">
        <v>360</v>
      </c>
      <c r="L1745" s="37">
        <v>20</v>
      </c>
      <c r="M1745" s="64" t="s">
        <v>408</v>
      </c>
      <c r="N1745" s="4"/>
    </row>
    <row r="1746" spans="1:14" ht="24" customHeight="1">
      <c r="A1746" s="8">
        <v>1702</v>
      </c>
      <c r="B1746" s="9">
        <v>1702</v>
      </c>
      <c r="C1746" s="46">
        <v>46126</v>
      </c>
      <c r="D1746" s="9" t="s">
        <v>238</v>
      </c>
      <c r="E1746" s="56" t="s">
        <v>529</v>
      </c>
      <c r="F1746" s="18" t="s">
        <v>58</v>
      </c>
      <c r="G1746" s="18" t="s">
        <v>255</v>
      </c>
      <c r="H1746" s="18" t="s">
        <v>530</v>
      </c>
      <c r="I1746" s="56" t="s">
        <v>2</v>
      </c>
      <c r="J1746" s="9">
        <v>1</v>
      </c>
      <c r="K1746" s="9" t="s">
        <v>352</v>
      </c>
      <c r="L1746" s="37">
        <v>20</v>
      </c>
      <c r="M1746" s="64" t="s">
        <v>408</v>
      </c>
      <c r="N1746" s="4"/>
    </row>
    <row r="1747" spans="1:14" ht="24" customHeight="1">
      <c r="A1747" s="8">
        <v>1703</v>
      </c>
      <c r="B1747" s="9">
        <v>1703</v>
      </c>
      <c r="C1747" s="46">
        <v>46127</v>
      </c>
      <c r="D1747" s="9" t="s">
        <v>238</v>
      </c>
      <c r="E1747" s="56" t="s">
        <v>529</v>
      </c>
      <c r="F1747" s="18" t="s">
        <v>58</v>
      </c>
      <c r="G1747" s="18" t="s">
        <v>255</v>
      </c>
      <c r="H1747" s="18" t="s">
        <v>530</v>
      </c>
      <c r="I1747" s="56" t="s">
        <v>2</v>
      </c>
      <c r="J1747" s="9">
        <v>1</v>
      </c>
      <c r="K1747" s="9" t="s">
        <v>352</v>
      </c>
      <c r="L1747" s="37">
        <v>25</v>
      </c>
      <c r="M1747" s="64" t="s">
        <v>408</v>
      </c>
      <c r="N1747" s="4"/>
    </row>
    <row r="1748" spans="1:14" ht="24" customHeight="1">
      <c r="A1748" s="8">
        <v>1704</v>
      </c>
      <c r="B1748" s="9">
        <v>1704</v>
      </c>
      <c r="C1748" s="46">
        <v>46127</v>
      </c>
      <c r="D1748" s="9" t="s">
        <v>238</v>
      </c>
      <c r="E1748" s="56" t="s">
        <v>529</v>
      </c>
      <c r="F1748" s="18" t="s">
        <v>58</v>
      </c>
      <c r="G1748" s="18" t="s">
        <v>255</v>
      </c>
      <c r="H1748" s="18" t="s">
        <v>530</v>
      </c>
      <c r="I1748" s="56" t="s">
        <v>2</v>
      </c>
      <c r="J1748" s="9">
        <v>2</v>
      </c>
      <c r="K1748" s="9" t="s">
        <v>546</v>
      </c>
      <c r="L1748" s="37">
        <v>25</v>
      </c>
      <c r="M1748" s="64" t="s">
        <v>408</v>
      </c>
      <c r="N1748" s="4"/>
    </row>
    <row r="1749" spans="1:14" ht="24" customHeight="1">
      <c r="A1749" s="8">
        <v>1705</v>
      </c>
      <c r="B1749" s="9">
        <v>1705</v>
      </c>
      <c r="C1749" s="46">
        <v>46127</v>
      </c>
      <c r="D1749" s="9" t="s">
        <v>238</v>
      </c>
      <c r="E1749" s="56" t="s">
        <v>529</v>
      </c>
      <c r="F1749" s="18" t="s">
        <v>58</v>
      </c>
      <c r="G1749" s="18" t="s">
        <v>255</v>
      </c>
      <c r="H1749" s="18" t="s">
        <v>530</v>
      </c>
      <c r="I1749" s="56" t="s">
        <v>2</v>
      </c>
      <c r="J1749" s="9">
        <v>4</v>
      </c>
      <c r="K1749" s="9" t="s">
        <v>359</v>
      </c>
      <c r="L1749" s="37">
        <v>25</v>
      </c>
      <c r="M1749" s="64" t="s">
        <v>408</v>
      </c>
      <c r="N1749" s="4"/>
    </row>
    <row r="1750" spans="1:14" ht="24" customHeight="1">
      <c r="A1750" s="8">
        <v>1706</v>
      </c>
      <c r="B1750" s="9">
        <v>1706</v>
      </c>
      <c r="C1750" s="46">
        <v>46127</v>
      </c>
      <c r="D1750" s="9" t="s">
        <v>238</v>
      </c>
      <c r="E1750" s="56" t="s">
        <v>529</v>
      </c>
      <c r="F1750" s="18" t="s">
        <v>58</v>
      </c>
      <c r="G1750" s="18" t="s">
        <v>255</v>
      </c>
      <c r="H1750" s="18" t="s">
        <v>530</v>
      </c>
      <c r="I1750" s="56" t="s">
        <v>2</v>
      </c>
      <c r="J1750" s="9">
        <v>2</v>
      </c>
      <c r="K1750" s="9" t="s">
        <v>360</v>
      </c>
      <c r="L1750" s="37">
        <v>25</v>
      </c>
      <c r="M1750" s="64" t="s">
        <v>408</v>
      </c>
      <c r="N1750" s="4"/>
    </row>
    <row r="1751" spans="1:14" ht="24" customHeight="1">
      <c r="A1751" s="8">
        <v>1707</v>
      </c>
      <c r="B1751" s="9">
        <v>1707</v>
      </c>
      <c r="C1751" s="46">
        <v>46127</v>
      </c>
      <c r="D1751" s="9" t="s">
        <v>238</v>
      </c>
      <c r="E1751" s="56" t="s">
        <v>529</v>
      </c>
      <c r="F1751" s="18" t="s">
        <v>58</v>
      </c>
      <c r="G1751" s="18" t="s">
        <v>255</v>
      </c>
      <c r="H1751" s="18" t="s">
        <v>530</v>
      </c>
      <c r="I1751" s="56" t="s">
        <v>2</v>
      </c>
      <c r="J1751" s="9">
        <v>1</v>
      </c>
      <c r="K1751" s="9" t="s">
        <v>547</v>
      </c>
      <c r="L1751" s="37">
        <v>25</v>
      </c>
      <c r="M1751" s="64" t="s">
        <v>408</v>
      </c>
      <c r="N1751" s="4"/>
    </row>
    <row r="1752" spans="1:14" ht="24" customHeight="1">
      <c r="A1752" s="8">
        <v>1708</v>
      </c>
      <c r="B1752" s="9">
        <v>1708</v>
      </c>
      <c r="C1752" s="46">
        <v>46127</v>
      </c>
      <c r="D1752" s="9" t="s">
        <v>238</v>
      </c>
      <c r="E1752" s="56" t="s">
        <v>529</v>
      </c>
      <c r="F1752" s="18" t="s">
        <v>58</v>
      </c>
      <c r="G1752" s="18" t="s">
        <v>255</v>
      </c>
      <c r="H1752" s="18" t="s">
        <v>530</v>
      </c>
      <c r="I1752" s="56" t="s">
        <v>2</v>
      </c>
      <c r="J1752" s="9">
        <v>2</v>
      </c>
      <c r="K1752" s="9" t="s">
        <v>360</v>
      </c>
      <c r="L1752" s="37">
        <v>25</v>
      </c>
      <c r="M1752" s="64" t="s">
        <v>408</v>
      </c>
      <c r="N1752" s="4"/>
    </row>
    <row r="1753" spans="1:14" ht="24" customHeight="1">
      <c r="A1753" s="8">
        <v>1709</v>
      </c>
      <c r="B1753" s="9">
        <v>1709</v>
      </c>
      <c r="C1753" s="46">
        <v>46127</v>
      </c>
      <c r="D1753" s="9" t="s">
        <v>238</v>
      </c>
      <c r="E1753" s="56" t="s">
        <v>529</v>
      </c>
      <c r="F1753" s="18" t="s">
        <v>58</v>
      </c>
      <c r="G1753" s="18" t="s">
        <v>255</v>
      </c>
      <c r="H1753" s="18" t="s">
        <v>530</v>
      </c>
      <c r="I1753" s="56" t="s">
        <v>2</v>
      </c>
      <c r="J1753" s="9">
        <v>4</v>
      </c>
      <c r="K1753" s="9" t="s">
        <v>359</v>
      </c>
      <c r="L1753" s="37">
        <v>20</v>
      </c>
      <c r="M1753" s="64" t="s">
        <v>408</v>
      </c>
      <c r="N1753" s="4"/>
    </row>
    <row r="1754" spans="1:14" ht="24" customHeight="1">
      <c r="A1754" s="8">
        <v>1710</v>
      </c>
      <c r="B1754" s="9">
        <v>1710</v>
      </c>
      <c r="C1754" s="46">
        <v>46127</v>
      </c>
      <c r="D1754" s="9" t="s">
        <v>180</v>
      </c>
      <c r="E1754" s="56" t="s">
        <v>32</v>
      </c>
      <c r="F1754" s="18" t="s">
        <v>28</v>
      </c>
      <c r="G1754" s="18" t="s">
        <v>23</v>
      </c>
      <c r="H1754" s="18" t="s">
        <v>24</v>
      </c>
      <c r="I1754" s="56" t="s">
        <v>2</v>
      </c>
      <c r="J1754" s="9">
        <v>1</v>
      </c>
      <c r="K1754" s="9" t="s">
        <v>352</v>
      </c>
      <c r="L1754" s="37">
        <v>20</v>
      </c>
      <c r="M1754" s="64" t="s">
        <v>409</v>
      </c>
      <c r="N1754" s="4"/>
    </row>
    <row r="1755" spans="1:14" ht="24" customHeight="1">
      <c r="A1755" s="8">
        <v>1711</v>
      </c>
      <c r="B1755" s="9">
        <v>1711</v>
      </c>
      <c r="C1755" s="46">
        <v>46127</v>
      </c>
      <c r="D1755" s="9" t="s">
        <v>86</v>
      </c>
      <c r="E1755" s="56" t="s">
        <v>32</v>
      </c>
      <c r="F1755" s="18" t="s">
        <v>1037</v>
      </c>
      <c r="G1755" s="18" t="s">
        <v>21</v>
      </c>
      <c r="H1755" s="18" t="s">
        <v>89</v>
      </c>
      <c r="I1755" s="56" t="s">
        <v>0</v>
      </c>
      <c r="J1755" s="9">
        <v>1</v>
      </c>
      <c r="K1755" s="9" t="s">
        <v>352</v>
      </c>
      <c r="L1755" s="37">
        <v>4</v>
      </c>
      <c r="M1755" s="64" t="s">
        <v>409</v>
      </c>
      <c r="N1755" s="4"/>
    </row>
    <row r="1756" spans="1:14" ht="24" customHeight="1">
      <c r="A1756" s="8">
        <v>1712</v>
      </c>
      <c r="B1756" s="9">
        <v>1712</v>
      </c>
      <c r="C1756" s="46">
        <v>46128</v>
      </c>
      <c r="D1756" s="29" t="s">
        <v>125</v>
      </c>
      <c r="E1756" s="18" t="s">
        <v>1</v>
      </c>
      <c r="F1756" s="18" t="s">
        <v>534</v>
      </c>
      <c r="G1756" s="18" t="s">
        <v>26</v>
      </c>
      <c r="H1756" s="18" t="s">
        <v>535</v>
      </c>
      <c r="I1756" s="18" t="s">
        <v>2</v>
      </c>
      <c r="J1756" s="9"/>
      <c r="K1756" s="9"/>
      <c r="L1756" s="37">
        <v>504</v>
      </c>
      <c r="M1756" s="64"/>
      <c r="N1756" s="4" t="s">
        <v>692</v>
      </c>
    </row>
    <row r="1757" spans="1:14" ht="24" customHeight="1">
      <c r="A1757" s="8">
        <v>1713</v>
      </c>
      <c r="B1757" s="9">
        <v>1713</v>
      </c>
      <c r="C1757" s="46">
        <v>46128</v>
      </c>
      <c r="D1757" s="9" t="s">
        <v>238</v>
      </c>
      <c r="E1757" s="56" t="s">
        <v>529</v>
      </c>
      <c r="F1757" s="18" t="s">
        <v>58</v>
      </c>
      <c r="G1757" s="18" t="s">
        <v>255</v>
      </c>
      <c r="H1757" s="18" t="s">
        <v>530</v>
      </c>
      <c r="I1757" s="56" t="s">
        <v>2</v>
      </c>
      <c r="J1757" s="9">
        <v>1</v>
      </c>
      <c r="K1757" s="9" t="s">
        <v>352</v>
      </c>
      <c r="L1757" s="37">
        <v>50</v>
      </c>
      <c r="M1757" s="64" t="s">
        <v>1002</v>
      </c>
      <c r="N1757" s="4"/>
    </row>
    <row r="1758" spans="1:14" ht="24" customHeight="1">
      <c r="A1758" s="8">
        <v>1714</v>
      </c>
      <c r="B1758" s="9">
        <v>1714</v>
      </c>
      <c r="C1758" s="46">
        <v>46128</v>
      </c>
      <c r="D1758" s="9" t="s">
        <v>238</v>
      </c>
      <c r="E1758" s="56" t="s">
        <v>529</v>
      </c>
      <c r="F1758" s="18" t="s">
        <v>58</v>
      </c>
      <c r="G1758" s="18" t="s">
        <v>255</v>
      </c>
      <c r="H1758" s="18" t="s">
        <v>530</v>
      </c>
      <c r="I1758" s="56" t="s">
        <v>2</v>
      </c>
      <c r="J1758" s="9">
        <v>2</v>
      </c>
      <c r="K1758" s="9" t="s">
        <v>546</v>
      </c>
      <c r="L1758" s="37">
        <v>25</v>
      </c>
      <c r="M1758" s="64" t="s">
        <v>1002</v>
      </c>
      <c r="N1758" s="4"/>
    </row>
    <row r="1759" spans="1:14" ht="24" customHeight="1">
      <c r="A1759" s="8">
        <v>1715</v>
      </c>
      <c r="B1759" s="9">
        <v>1715</v>
      </c>
      <c r="C1759" s="46">
        <v>46128</v>
      </c>
      <c r="D1759" s="9" t="s">
        <v>238</v>
      </c>
      <c r="E1759" s="56" t="s">
        <v>529</v>
      </c>
      <c r="F1759" s="18" t="s">
        <v>58</v>
      </c>
      <c r="G1759" s="18" t="s">
        <v>255</v>
      </c>
      <c r="H1759" s="18" t="s">
        <v>530</v>
      </c>
      <c r="I1759" s="56" t="s">
        <v>2</v>
      </c>
      <c r="J1759" s="9">
        <v>4</v>
      </c>
      <c r="K1759" s="9" t="s">
        <v>359</v>
      </c>
      <c r="L1759" s="37">
        <v>75</v>
      </c>
      <c r="M1759" s="64" t="s">
        <v>1002</v>
      </c>
      <c r="N1759" s="4"/>
    </row>
    <row r="1760" spans="1:14" ht="24" customHeight="1">
      <c r="A1760" s="8">
        <v>1716</v>
      </c>
      <c r="B1760" s="9">
        <v>1716</v>
      </c>
      <c r="C1760" s="46">
        <v>46128</v>
      </c>
      <c r="D1760" s="9" t="s">
        <v>238</v>
      </c>
      <c r="E1760" s="56" t="s">
        <v>529</v>
      </c>
      <c r="F1760" s="18" t="s">
        <v>58</v>
      </c>
      <c r="G1760" s="18" t="s">
        <v>255</v>
      </c>
      <c r="H1760" s="18" t="s">
        <v>530</v>
      </c>
      <c r="I1760" s="56" t="s">
        <v>2</v>
      </c>
      <c r="J1760" s="9">
        <v>2</v>
      </c>
      <c r="K1760" s="9" t="s">
        <v>360</v>
      </c>
      <c r="L1760" s="37">
        <v>25</v>
      </c>
      <c r="M1760" s="64" t="s">
        <v>1002</v>
      </c>
      <c r="N1760" s="4"/>
    </row>
    <row r="1761" spans="1:14" ht="24" customHeight="1">
      <c r="A1761" s="8">
        <v>1717</v>
      </c>
      <c r="B1761" s="9">
        <v>1717</v>
      </c>
      <c r="C1761" s="46">
        <v>46128</v>
      </c>
      <c r="D1761" s="9" t="s">
        <v>238</v>
      </c>
      <c r="E1761" s="56" t="s">
        <v>529</v>
      </c>
      <c r="F1761" s="18" t="s">
        <v>58</v>
      </c>
      <c r="G1761" s="18" t="s">
        <v>255</v>
      </c>
      <c r="H1761" s="18" t="s">
        <v>530</v>
      </c>
      <c r="I1761" s="56" t="s">
        <v>2</v>
      </c>
      <c r="J1761" s="9">
        <v>3</v>
      </c>
      <c r="K1761" s="9" t="s">
        <v>237</v>
      </c>
      <c r="L1761" s="37">
        <v>20</v>
      </c>
      <c r="M1761" s="64" t="s">
        <v>1002</v>
      </c>
      <c r="N1761" s="4"/>
    </row>
    <row r="1762" spans="1:14" ht="24" customHeight="1">
      <c r="A1762" s="8">
        <v>1718</v>
      </c>
      <c r="B1762" s="9">
        <v>1718</v>
      </c>
      <c r="C1762" s="46">
        <v>46129</v>
      </c>
      <c r="D1762" s="9" t="s">
        <v>238</v>
      </c>
      <c r="E1762" s="56" t="s">
        <v>529</v>
      </c>
      <c r="F1762" s="18" t="s">
        <v>58</v>
      </c>
      <c r="G1762" s="18" t="s">
        <v>255</v>
      </c>
      <c r="H1762" s="18" t="s">
        <v>530</v>
      </c>
      <c r="I1762" s="56" t="s">
        <v>2</v>
      </c>
      <c r="J1762" s="9">
        <v>1</v>
      </c>
      <c r="K1762" s="9" t="s">
        <v>352</v>
      </c>
      <c r="L1762" s="37">
        <v>25</v>
      </c>
      <c r="M1762" s="64" t="s">
        <v>1002</v>
      </c>
      <c r="N1762" s="4"/>
    </row>
    <row r="1763" spans="1:14" ht="24" customHeight="1">
      <c r="A1763" s="8">
        <v>1719</v>
      </c>
      <c r="B1763" s="9">
        <v>1719</v>
      </c>
      <c r="C1763" s="46">
        <v>46129</v>
      </c>
      <c r="D1763" s="9" t="s">
        <v>238</v>
      </c>
      <c r="E1763" s="56" t="s">
        <v>529</v>
      </c>
      <c r="F1763" s="18" t="s">
        <v>58</v>
      </c>
      <c r="G1763" s="18" t="s">
        <v>255</v>
      </c>
      <c r="H1763" s="18" t="s">
        <v>530</v>
      </c>
      <c r="I1763" s="56" t="s">
        <v>2</v>
      </c>
      <c r="J1763" s="9">
        <v>1</v>
      </c>
      <c r="K1763" s="9" t="s">
        <v>352</v>
      </c>
      <c r="L1763" s="37">
        <v>15</v>
      </c>
      <c r="M1763" s="64" t="s">
        <v>1002</v>
      </c>
      <c r="N1763" s="4"/>
    </row>
    <row r="1764" spans="1:14" ht="24" customHeight="1">
      <c r="A1764" s="8">
        <v>1720</v>
      </c>
      <c r="B1764" s="9">
        <v>1720</v>
      </c>
      <c r="C1764" s="46">
        <v>46129</v>
      </c>
      <c r="D1764" s="9" t="s">
        <v>238</v>
      </c>
      <c r="E1764" s="56" t="s">
        <v>529</v>
      </c>
      <c r="F1764" s="18" t="s">
        <v>58</v>
      </c>
      <c r="G1764" s="18" t="s">
        <v>255</v>
      </c>
      <c r="H1764" s="18" t="s">
        <v>530</v>
      </c>
      <c r="I1764" s="56" t="s">
        <v>2</v>
      </c>
      <c r="J1764" s="9">
        <v>1</v>
      </c>
      <c r="K1764" s="9" t="s">
        <v>363</v>
      </c>
      <c r="L1764" s="37">
        <v>50</v>
      </c>
      <c r="M1764" s="64" t="s">
        <v>1002</v>
      </c>
      <c r="N1764" s="4"/>
    </row>
    <row r="1765" spans="1:14" ht="24" customHeight="1">
      <c r="A1765" s="8">
        <v>1721</v>
      </c>
      <c r="B1765" s="9">
        <v>1721</v>
      </c>
      <c r="C1765" s="46">
        <v>46129</v>
      </c>
      <c r="D1765" s="9" t="s">
        <v>238</v>
      </c>
      <c r="E1765" s="56" t="s">
        <v>529</v>
      </c>
      <c r="F1765" s="18" t="s">
        <v>58</v>
      </c>
      <c r="G1765" s="18" t="s">
        <v>255</v>
      </c>
      <c r="H1765" s="18" t="s">
        <v>530</v>
      </c>
      <c r="I1765" s="56" t="s">
        <v>2</v>
      </c>
      <c r="J1765" s="9">
        <v>1</v>
      </c>
      <c r="K1765" s="9" t="s">
        <v>545</v>
      </c>
      <c r="L1765" s="37">
        <v>15</v>
      </c>
      <c r="M1765" s="64" t="s">
        <v>1002</v>
      </c>
      <c r="N1765" s="4"/>
    </row>
    <row r="1766" spans="1:14" ht="24" customHeight="1">
      <c r="A1766" s="8">
        <v>1722</v>
      </c>
      <c r="B1766" s="9">
        <v>1722</v>
      </c>
      <c r="C1766" s="46">
        <v>46129</v>
      </c>
      <c r="D1766" s="9" t="s">
        <v>238</v>
      </c>
      <c r="E1766" s="56" t="s">
        <v>529</v>
      </c>
      <c r="F1766" s="18" t="s">
        <v>58</v>
      </c>
      <c r="G1766" s="18" t="s">
        <v>255</v>
      </c>
      <c r="H1766" s="18" t="s">
        <v>530</v>
      </c>
      <c r="I1766" s="56" t="s">
        <v>2</v>
      </c>
      <c r="J1766" s="9">
        <v>2</v>
      </c>
      <c r="K1766" s="9" t="s">
        <v>241</v>
      </c>
      <c r="L1766" s="37">
        <v>50</v>
      </c>
      <c r="M1766" s="64" t="s">
        <v>1002</v>
      </c>
      <c r="N1766" s="4"/>
    </row>
    <row r="1767" spans="1:14" ht="24" customHeight="1">
      <c r="A1767" s="8">
        <v>1723</v>
      </c>
      <c r="B1767" s="9">
        <v>1723</v>
      </c>
      <c r="C1767" s="46">
        <v>46129</v>
      </c>
      <c r="D1767" s="9" t="s">
        <v>238</v>
      </c>
      <c r="E1767" s="56" t="s">
        <v>529</v>
      </c>
      <c r="F1767" s="18" t="s">
        <v>58</v>
      </c>
      <c r="G1767" s="18" t="s">
        <v>255</v>
      </c>
      <c r="H1767" s="18" t="s">
        <v>530</v>
      </c>
      <c r="I1767" s="56" t="s">
        <v>2</v>
      </c>
      <c r="J1767" s="9">
        <v>3</v>
      </c>
      <c r="K1767" s="9" t="s">
        <v>550</v>
      </c>
      <c r="L1767" s="37">
        <v>30</v>
      </c>
      <c r="M1767" s="64" t="s">
        <v>1002</v>
      </c>
      <c r="N1767" s="4"/>
    </row>
    <row r="1768" spans="1:14" ht="24" customHeight="1">
      <c r="A1768" s="8">
        <v>1724</v>
      </c>
      <c r="B1768" s="9">
        <v>1724</v>
      </c>
      <c r="C1768" s="46">
        <v>46130</v>
      </c>
      <c r="D1768" s="9" t="s">
        <v>238</v>
      </c>
      <c r="E1768" s="56" t="s">
        <v>529</v>
      </c>
      <c r="F1768" s="18" t="s">
        <v>58</v>
      </c>
      <c r="G1768" s="18" t="s">
        <v>255</v>
      </c>
      <c r="H1768" s="18" t="s">
        <v>530</v>
      </c>
      <c r="I1768" s="56" t="s">
        <v>2</v>
      </c>
      <c r="J1768" s="9">
        <v>3</v>
      </c>
      <c r="K1768" s="9" t="s">
        <v>550</v>
      </c>
      <c r="L1768" s="37">
        <v>15</v>
      </c>
      <c r="M1768" s="64" t="s">
        <v>1002</v>
      </c>
      <c r="N1768" s="4"/>
    </row>
    <row r="1769" spans="1:14" ht="24" customHeight="1">
      <c r="A1769" s="8">
        <v>1725</v>
      </c>
      <c r="B1769" s="9">
        <v>1725</v>
      </c>
      <c r="C1769" s="46">
        <v>46130</v>
      </c>
      <c r="D1769" s="9" t="s">
        <v>238</v>
      </c>
      <c r="E1769" s="56" t="s">
        <v>529</v>
      </c>
      <c r="F1769" s="18" t="s">
        <v>58</v>
      </c>
      <c r="G1769" s="18" t="s">
        <v>255</v>
      </c>
      <c r="H1769" s="18" t="s">
        <v>530</v>
      </c>
      <c r="I1769" s="56" t="s">
        <v>2</v>
      </c>
      <c r="J1769" s="9">
        <v>1</v>
      </c>
      <c r="K1769" s="9" t="s">
        <v>363</v>
      </c>
      <c r="L1769" s="37">
        <v>40</v>
      </c>
      <c r="M1769" s="64" t="s">
        <v>1002</v>
      </c>
      <c r="N1769" s="4"/>
    </row>
    <row r="1770" spans="1:14" ht="24" customHeight="1">
      <c r="A1770" s="8">
        <v>1726</v>
      </c>
      <c r="B1770" s="9">
        <v>1726</v>
      </c>
      <c r="C1770" s="46">
        <v>46130</v>
      </c>
      <c r="D1770" s="9" t="s">
        <v>238</v>
      </c>
      <c r="E1770" s="56" t="s">
        <v>529</v>
      </c>
      <c r="F1770" s="18" t="s">
        <v>58</v>
      </c>
      <c r="G1770" s="18" t="s">
        <v>255</v>
      </c>
      <c r="H1770" s="18" t="s">
        <v>530</v>
      </c>
      <c r="I1770" s="56" t="s">
        <v>2</v>
      </c>
      <c r="J1770" s="9">
        <v>1</v>
      </c>
      <c r="K1770" s="9" t="s">
        <v>547</v>
      </c>
      <c r="L1770" s="37">
        <v>20</v>
      </c>
      <c r="M1770" s="64" t="s">
        <v>1002</v>
      </c>
      <c r="N1770" s="4"/>
    </row>
    <row r="1771" spans="1:14" ht="24" customHeight="1">
      <c r="A1771" s="8">
        <v>1727</v>
      </c>
      <c r="B1771" s="9">
        <v>1727</v>
      </c>
      <c r="C1771" s="46">
        <v>46130</v>
      </c>
      <c r="D1771" s="9" t="s">
        <v>238</v>
      </c>
      <c r="E1771" s="56" t="s">
        <v>529</v>
      </c>
      <c r="F1771" s="18" t="s">
        <v>58</v>
      </c>
      <c r="G1771" s="18" t="s">
        <v>255</v>
      </c>
      <c r="H1771" s="18" t="s">
        <v>530</v>
      </c>
      <c r="I1771" s="56" t="s">
        <v>2</v>
      </c>
      <c r="J1771" s="9">
        <v>1</v>
      </c>
      <c r="K1771" s="9" t="s">
        <v>363</v>
      </c>
      <c r="L1771" s="37">
        <v>20</v>
      </c>
      <c r="M1771" s="64" t="s">
        <v>1002</v>
      </c>
      <c r="N1771" s="4"/>
    </row>
    <row r="1772" spans="1:14" ht="24" customHeight="1">
      <c r="A1772" s="8">
        <v>1728</v>
      </c>
      <c r="B1772" s="9">
        <v>1728</v>
      </c>
      <c r="C1772" s="46">
        <v>46130</v>
      </c>
      <c r="D1772" s="9" t="s">
        <v>238</v>
      </c>
      <c r="E1772" s="56" t="s">
        <v>529</v>
      </c>
      <c r="F1772" s="18" t="s">
        <v>58</v>
      </c>
      <c r="G1772" s="18" t="s">
        <v>255</v>
      </c>
      <c r="H1772" s="18" t="s">
        <v>530</v>
      </c>
      <c r="I1772" s="56" t="s">
        <v>2</v>
      </c>
      <c r="J1772" s="9">
        <v>3</v>
      </c>
      <c r="K1772" s="9" t="s">
        <v>550</v>
      </c>
      <c r="L1772" s="37">
        <v>20</v>
      </c>
      <c r="M1772" s="64" t="s">
        <v>1002</v>
      </c>
      <c r="N1772" s="4"/>
    </row>
    <row r="1773" spans="1:14" ht="24" customHeight="1">
      <c r="A1773" s="8">
        <v>1729</v>
      </c>
      <c r="B1773" s="9">
        <v>1729</v>
      </c>
      <c r="C1773" s="46">
        <v>46130</v>
      </c>
      <c r="D1773" s="9" t="s">
        <v>238</v>
      </c>
      <c r="E1773" s="56" t="s">
        <v>529</v>
      </c>
      <c r="F1773" s="18" t="s">
        <v>58</v>
      </c>
      <c r="G1773" s="18" t="s">
        <v>255</v>
      </c>
      <c r="H1773" s="18" t="s">
        <v>530</v>
      </c>
      <c r="I1773" s="56" t="s">
        <v>2</v>
      </c>
      <c r="J1773" s="9">
        <v>2</v>
      </c>
      <c r="K1773" s="9" t="s">
        <v>360</v>
      </c>
      <c r="L1773" s="37">
        <v>25</v>
      </c>
      <c r="M1773" s="64" t="s">
        <v>1002</v>
      </c>
      <c r="N1773" s="4"/>
    </row>
    <row r="1774" spans="1:14" ht="24" customHeight="1">
      <c r="A1774" s="8">
        <v>1730</v>
      </c>
      <c r="B1774" s="9">
        <v>1730</v>
      </c>
      <c r="C1774" s="46">
        <v>46131</v>
      </c>
      <c r="D1774" s="9" t="s">
        <v>238</v>
      </c>
      <c r="E1774" s="56" t="s">
        <v>529</v>
      </c>
      <c r="F1774" s="18" t="s">
        <v>58</v>
      </c>
      <c r="G1774" s="18" t="s">
        <v>255</v>
      </c>
      <c r="H1774" s="18" t="s">
        <v>530</v>
      </c>
      <c r="I1774" s="56" t="s">
        <v>2</v>
      </c>
      <c r="J1774" s="9">
        <v>1</v>
      </c>
      <c r="K1774" s="9" t="s">
        <v>352</v>
      </c>
      <c r="L1774" s="37">
        <v>25</v>
      </c>
      <c r="M1774" s="64" t="s">
        <v>1002</v>
      </c>
      <c r="N1774" s="4"/>
    </row>
    <row r="1775" spans="1:14" ht="24" customHeight="1">
      <c r="A1775" s="8">
        <v>1731</v>
      </c>
      <c r="B1775" s="9">
        <v>1731</v>
      </c>
      <c r="C1775" s="46">
        <v>46131</v>
      </c>
      <c r="D1775" s="9" t="s">
        <v>238</v>
      </c>
      <c r="E1775" s="56" t="s">
        <v>529</v>
      </c>
      <c r="F1775" s="18" t="s">
        <v>58</v>
      </c>
      <c r="G1775" s="18" t="s">
        <v>255</v>
      </c>
      <c r="H1775" s="18" t="s">
        <v>530</v>
      </c>
      <c r="I1775" s="56" t="s">
        <v>2</v>
      </c>
      <c r="J1775" s="9">
        <v>2</v>
      </c>
      <c r="K1775" s="9" t="s">
        <v>546</v>
      </c>
      <c r="L1775" s="37">
        <v>25</v>
      </c>
      <c r="M1775" s="64" t="s">
        <v>1002</v>
      </c>
      <c r="N1775" s="4"/>
    </row>
    <row r="1776" spans="1:14" ht="24" customHeight="1">
      <c r="A1776" s="8">
        <v>1732</v>
      </c>
      <c r="B1776" s="9">
        <v>1732</v>
      </c>
      <c r="C1776" s="46">
        <v>46131</v>
      </c>
      <c r="D1776" s="9" t="s">
        <v>238</v>
      </c>
      <c r="E1776" s="56" t="s">
        <v>529</v>
      </c>
      <c r="F1776" s="18" t="s">
        <v>58</v>
      </c>
      <c r="G1776" s="18" t="s">
        <v>255</v>
      </c>
      <c r="H1776" s="18" t="s">
        <v>530</v>
      </c>
      <c r="I1776" s="56" t="s">
        <v>2</v>
      </c>
      <c r="J1776" s="9">
        <v>4</v>
      </c>
      <c r="K1776" s="9" t="s">
        <v>359</v>
      </c>
      <c r="L1776" s="37">
        <v>25</v>
      </c>
      <c r="M1776" s="64" t="s">
        <v>1002</v>
      </c>
      <c r="N1776" s="4"/>
    </row>
    <row r="1777" spans="1:14" ht="24" customHeight="1">
      <c r="A1777" s="8">
        <v>1733</v>
      </c>
      <c r="B1777" s="9">
        <v>1733</v>
      </c>
      <c r="C1777" s="46">
        <v>46131</v>
      </c>
      <c r="D1777" s="9" t="s">
        <v>238</v>
      </c>
      <c r="E1777" s="56" t="s">
        <v>529</v>
      </c>
      <c r="F1777" s="18" t="s">
        <v>58</v>
      </c>
      <c r="G1777" s="18" t="s">
        <v>255</v>
      </c>
      <c r="H1777" s="18" t="s">
        <v>530</v>
      </c>
      <c r="I1777" s="56" t="s">
        <v>2</v>
      </c>
      <c r="J1777" s="9">
        <v>2</v>
      </c>
      <c r="K1777" s="9" t="s">
        <v>360</v>
      </c>
      <c r="L1777" s="37">
        <v>25</v>
      </c>
      <c r="M1777" s="64" t="s">
        <v>1002</v>
      </c>
      <c r="N1777" s="4"/>
    </row>
    <row r="1778" spans="1:14" ht="24" customHeight="1">
      <c r="A1778" s="8">
        <v>1734</v>
      </c>
      <c r="B1778" s="9">
        <v>1734</v>
      </c>
      <c r="C1778" s="46">
        <v>46131</v>
      </c>
      <c r="D1778" s="9" t="s">
        <v>238</v>
      </c>
      <c r="E1778" s="56" t="s">
        <v>529</v>
      </c>
      <c r="F1778" s="18" t="s">
        <v>58</v>
      </c>
      <c r="G1778" s="18" t="s">
        <v>255</v>
      </c>
      <c r="H1778" s="18" t="s">
        <v>530</v>
      </c>
      <c r="I1778" s="56" t="s">
        <v>2</v>
      </c>
      <c r="J1778" s="9">
        <v>1</v>
      </c>
      <c r="K1778" s="9" t="s">
        <v>352</v>
      </c>
      <c r="L1778" s="37">
        <v>25</v>
      </c>
      <c r="M1778" s="64" t="s">
        <v>1002</v>
      </c>
      <c r="N1778" s="4"/>
    </row>
    <row r="1779" spans="1:14" ht="24" customHeight="1">
      <c r="A1779" s="8">
        <v>1735</v>
      </c>
      <c r="B1779" s="9">
        <v>1735</v>
      </c>
      <c r="C1779" s="46">
        <v>46131</v>
      </c>
      <c r="D1779" s="9" t="s">
        <v>238</v>
      </c>
      <c r="E1779" s="56" t="s">
        <v>529</v>
      </c>
      <c r="F1779" s="18" t="s">
        <v>58</v>
      </c>
      <c r="G1779" s="18" t="s">
        <v>255</v>
      </c>
      <c r="H1779" s="18" t="s">
        <v>530</v>
      </c>
      <c r="I1779" s="56" t="s">
        <v>2</v>
      </c>
      <c r="J1779" s="9">
        <v>2</v>
      </c>
      <c r="K1779" s="9" t="s">
        <v>546</v>
      </c>
      <c r="L1779" s="37">
        <v>25</v>
      </c>
      <c r="M1779" s="64" t="s">
        <v>1002</v>
      </c>
      <c r="N1779" s="4"/>
    </row>
    <row r="1780" spans="1:14" ht="24" customHeight="1">
      <c r="A1780" s="8">
        <v>1736</v>
      </c>
      <c r="B1780" s="9">
        <v>1736</v>
      </c>
      <c r="C1780" s="46">
        <v>46131</v>
      </c>
      <c r="D1780" s="9" t="s">
        <v>238</v>
      </c>
      <c r="E1780" s="56" t="s">
        <v>529</v>
      </c>
      <c r="F1780" s="18" t="s">
        <v>58</v>
      </c>
      <c r="G1780" s="18" t="s">
        <v>255</v>
      </c>
      <c r="H1780" s="18" t="s">
        <v>530</v>
      </c>
      <c r="I1780" s="56" t="s">
        <v>2</v>
      </c>
      <c r="J1780" s="9">
        <v>4</v>
      </c>
      <c r="K1780" s="9" t="s">
        <v>359</v>
      </c>
      <c r="L1780" s="37">
        <v>25</v>
      </c>
      <c r="M1780" s="64" t="s">
        <v>1002</v>
      </c>
      <c r="N1780" s="4"/>
    </row>
    <row r="1781" spans="1:14" ht="24" customHeight="1">
      <c r="A1781" s="8">
        <v>1737</v>
      </c>
      <c r="B1781" s="9">
        <v>1737</v>
      </c>
      <c r="C1781" s="46">
        <v>46132</v>
      </c>
      <c r="D1781" s="9" t="s">
        <v>238</v>
      </c>
      <c r="E1781" s="56" t="s">
        <v>529</v>
      </c>
      <c r="F1781" s="18" t="s">
        <v>58</v>
      </c>
      <c r="G1781" s="18" t="s">
        <v>255</v>
      </c>
      <c r="H1781" s="18" t="s">
        <v>530</v>
      </c>
      <c r="I1781" s="56" t="s">
        <v>2</v>
      </c>
      <c r="J1781" s="9">
        <v>1</v>
      </c>
      <c r="K1781" s="9" t="s">
        <v>363</v>
      </c>
      <c r="L1781" s="37">
        <v>25</v>
      </c>
      <c r="M1781" s="64" t="s">
        <v>1002</v>
      </c>
      <c r="N1781" s="4"/>
    </row>
    <row r="1782" spans="1:14" ht="24" customHeight="1">
      <c r="A1782" s="8">
        <v>1738</v>
      </c>
      <c r="B1782" s="9">
        <v>1738</v>
      </c>
      <c r="C1782" s="46">
        <v>46132</v>
      </c>
      <c r="D1782" s="9" t="s">
        <v>238</v>
      </c>
      <c r="E1782" s="56" t="s">
        <v>529</v>
      </c>
      <c r="F1782" s="18" t="s">
        <v>58</v>
      </c>
      <c r="G1782" s="18" t="s">
        <v>255</v>
      </c>
      <c r="H1782" s="18" t="s">
        <v>530</v>
      </c>
      <c r="I1782" s="56" t="s">
        <v>2</v>
      </c>
      <c r="J1782" s="9">
        <v>1</v>
      </c>
      <c r="K1782" s="9" t="s">
        <v>547</v>
      </c>
      <c r="L1782" s="37">
        <v>20</v>
      </c>
      <c r="M1782" s="64" t="s">
        <v>1002</v>
      </c>
      <c r="N1782" s="4"/>
    </row>
    <row r="1783" spans="1:14" ht="24" customHeight="1">
      <c r="A1783" s="8">
        <v>1739</v>
      </c>
      <c r="B1783" s="9">
        <v>1739</v>
      </c>
      <c r="C1783" s="46">
        <v>46132</v>
      </c>
      <c r="D1783" s="9" t="s">
        <v>238</v>
      </c>
      <c r="E1783" s="56" t="s">
        <v>529</v>
      </c>
      <c r="F1783" s="18" t="s">
        <v>58</v>
      </c>
      <c r="G1783" s="18" t="s">
        <v>255</v>
      </c>
      <c r="H1783" s="18" t="s">
        <v>530</v>
      </c>
      <c r="I1783" s="56" t="s">
        <v>2</v>
      </c>
      <c r="J1783" s="9">
        <v>1</v>
      </c>
      <c r="K1783" s="9" t="s">
        <v>363</v>
      </c>
      <c r="L1783" s="37">
        <v>15</v>
      </c>
      <c r="M1783" s="64" t="s">
        <v>1002</v>
      </c>
      <c r="N1783" s="4"/>
    </row>
    <row r="1784" spans="1:14" ht="24" customHeight="1">
      <c r="A1784" s="8">
        <v>1740</v>
      </c>
      <c r="B1784" s="9">
        <v>1740</v>
      </c>
      <c r="C1784" s="46">
        <v>46132</v>
      </c>
      <c r="D1784" s="9" t="s">
        <v>238</v>
      </c>
      <c r="E1784" s="56" t="s">
        <v>529</v>
      </c>
      <c r="F1784" s="18" t="s">
        <v>58</v>
      </c>
      <c r="G1784" s="18" t="s">
        <v>255</v>
      </c>
      <c r="H1784" s="18" t="s">
        <v>530</v>
      </c>
      <c r="I1784" s="56" t="s">
        <v>2</v>
      </c>
      <c r="J1784" s="9">
        <v>3</v>
      </c>
      <c r="K1784" s="9" t="s">
        <v>550</v>
      </c>
      <c r="L1784" s="37">
        <v>15</v>
      </c>
      <c r="M1784" s="64" t="s">
        <v>1002</v>
      </c>
      <c r="N1784" s="4"/>
    </row>
    <row r="1785" spans="1:14" ht="24" customHeight="1">
      <c r="A1785" s="8">
        <v>1741</v>
      </c>
      <c r="B1785" s="9">
        <v>1741</v>
      </c>
      <c r="C1785" s="46">
        <v>46132</v>
      </c>
      <c r="D1785" s="9" t="s">
        <v>238</v>
      </c>
      <c r="E1785" s="56" t="s">
        <v>529</v>
      </c>
      <c r="F1785" s="18" t="s">
        <v>58</v>
      </c>
      <c r="G1785" s="18" t="s">
        <v>255</v>
      </c>
      <c r="H1785" s="18" t="s">
        <v>530</v>
      </c>
      <c r="I1785" s="56" t="s">
        <v>2</v>
      </c>
      <c r="J1785" s="9">
        <v>2</v>
      </c>
      <c r="K1785" s="9" t="s">
        <v>360</v>
      </c>
      <c r="L1785" s="37">
        <v>20</v>
      </c>
      <c r="M1785" s="64" t="s">
        <v>1002</v>
      </c>
      <c r="N1785" s="4"/>
    </row>
    <row r="1786" spans="1:14" ht="24" customHeight="1">
      <c r="A1786" s="8">
        <v>1742</v>
      </c>
      <c r="B1786" s="9">
        <v>1742</v>
      </c>
      <c r="C1786" s="46">
        <v>46133</v>
      </c>
      <c r="D1786" s="9" t="s">
        <v>238</v>
      </c>
      <c r="E1786" s="56" t="s">
        <v>529</v>
      </c>
      <c r="F1786" s="18" t="s">
        <v>58</v>
      </c>
      <c r="G1786" s="18" t="s">
        <v>255</v>
      </c>
      <c r="H1786" s="18" t="s">
        <v>530</v>
      </c>
      <c r="I1786" s="56" t="s">
        <v>2</v>
      </c>
      <c r="J1786" s="9">
        <v>1</v>
      </c>
      <c r="K1786" s="9" t="s">
        <v>352</v>
      </c>
      <c r="L1786" s="37">
        <v>20</v>
      </c>
      <c r="M1786" s="64" t="s">
        <v>1002</v>
      </c>
      <c r="N1786" s="4"/>
    </row>
    <row r="1787" spans="1:14" ht="24" customHeight="1">
      <c r="A1787" s="8">
        <v>1743</v>
      </c>
      <c r="B1787" s="9">
        <v>1743</v>
      </c>
      <c r="C1787" s="46">
        <v>46133</v>
      </c>
      <c r="D1787" s="9" t="s">
        <v>238</v>
      </c>
      <c r="E1787" s="56" t="s">
        <v>529</v>
      </c>
      <c r="F1787" s="18" t="s">
        <v>58</v>
      </c>
      <c r="G1787" s="18" t="s">
        <v>255</v>
      </c>
      <c r="H1787" s="18" t="s">
        <v>530</v>
      </c>
      <c r="I1787" s="56" t="s">
        <v>2</v>
      </c>
      <c r="J1787" s="9">
        <v>1</v>
      </c>
      <c r="K1787" s="9" t="s">
        <v>352</v>
      </c>
      <c r="L1787" s="37">
        <v>25</v>
      </c>
      <c r="M1787" s="64" t="s">
        <v>1002</v>
      </c>
      <c r="N1787" s="4"/>
    </row>
    <row r="1788" spans="1:14" ht="24" customHeight="1">
      <c r="A1788" s="8">
        <v>1744</v>
      </c>
      <c r="B1788" s="9">
        <v>1744</v>
      </c>
      <c r="C1788" s="46">
        <v>46133</v>
      </c>
      <c r="D1788" s="9" t="s">
        <v>238</v>
      </c>
      <c r="E1788" s="56" t="s">
        <v>529</v>
      </c>
      <c r="F1788" s="18" t="s">
        <v>58</v>
      </c>
      <c r="G1788" s="18" t="s">
        <v>255</v>
      </c>
      <c r="H1788" s="18" t="s">
        <v>530</v>
      </c>
      <c r="I1788" s="56" t="s">
        <v>2</v>
      </c>
      <c r="J1788" s="9">
        <v>2</v>
      </c>
      <c r="K1788" s="9" t="s">
        <v>546</v>
      </c>
      <c r="L1788" s="37">
        <v>25</v>
      </c>
      <c r="M1788" s="64" t="s">
        <v>1002</v>
      </c>
      <c r="N1788" s="4"/>
    </row>
    <row r="1789" spans="1:14" ht="24" customHeight="1">
      <c r="A1789" s="8">
        <v>1745</v>
      </c>
      <c r="B1789" s="9">
        <v>1745</v>
      </c>
      <c r="C1789" s="46">
        <v>46133</v>
      </c>
      <c r="D1789" s="9" t="s">
        <v>238</v>
      </c>
      <c r="E1789" s="56" t="s">
        <v>529</v>
      </c>
      <c r="F1789" s="18" t="s">
        <v>58</v>
      </c>
      <c r="G1789" s="18" t="s">
        <v>255</v>
      </c>
      <c r="H1789" s="18" t="s">
        <v>530</v>
      </c>
      <c r="I1789" s="56" t="s">
        <v>2</v>
      </c>
      <c r="J1789" s="9">
        <v>4</v>
      </c>
      <c r="K1789" s="9" t="s">
        <v>359</v>
      </c>
      <c r="L1789" s="37">
        <v>25</v>
      </c>
      <c r="M1789" s="64" t="s">
        <v>1002</v>
      </c>
      <c r="N1789" s="4"/>
    </row>
    <row r="1790" spans="1:14" ht="24" customHeight="1">
      <c r="A1790" s="8">
        <v>1746</v>
      </c>
      <c r="B1790" s="9">
        <v>1746</v>
      </c>
      <c r="C1790" s="46">
        <v>46134</v>
      </c>
      <c r="D1790" s="9" t="s">
        <v>238</v>
      </c>
      <c r="E1790" s="56" t="s">
        <v>529</v>
      </c>
      <c r="F1790" s="18" t="s">
        <v>58</v>
      </c>
      <c r="G1790" s="18" t="s">
        <v>255</v>
      </c>
      <c r="H1790" s="18" t="s">
        <v>530</v>
      </c>
      <c r="I1790" s="56" t="s">
        <v>2</v>
      </c>
      <c r="J1790" s="9">
        <v>2</v>
      </c>
      <c r="K1790" s="9" t="s">
        <v>360</v>
      </c>
      <c r="L1790" s="37">
        <v>25</v>
      </c>
      <c r="M1790" s="64" t="s">
        <v>1002</v>
      </c>
      <c r="N1790" s="4"/>
    </row>
    <row r="1791" spans="1:14" ht="24" customHeight="1">
      <c r="A1791" s="8">
        <v>1747</v>
      </c>
      <c r="B1791" s="9">
        <v>1747</v>
      </c>
      <c r="C1791" s="46">
        <v>46134</v>
      </c>
      <c r="D1791" s="9" t="s">
        <v>238</v>
      </c>
      <c r="E1791" s="56" t="s">
        <v>529</v>
      </c>
      <c r="F1791" s="18" t="s">
        <v>58</v>
      </c>
      <c r="G1791" s="18" t="s">
        <v>255</v>
      </c>
      <c r="H1791" s="18" t="s">
        <v>530</v>
      </c>
      <c r="I1791" s="56" t="s">
        <v>2</v>
      </c>
      <c r="J1791" s="9">
        <v>1</v>
      </c>
      <c r="K1791" s="9" t="s">
        <v>547</v>
      </c>
      <c r="L1791" s="37">
        <v>25</v>
      </c>
      <c r="M1791" s="64" t="s">
        <v>1002</v>
      </c>
      <c r="N1791" s="4"/>
    </row>
    <row r="1792" spans="1:14" ht="24" customHeight="1">
      <c r="A1792" s="8">
        <v>1748</v>
      </c>
      <c r="B1792" s="9">
        <v>1748</v>
      </c>
      <c r="C1792" s="46">
        <v>46134</v>
      </c>
      <c r="D1792" s="9" t="s">
        <v>238</v>
      </c>
      <c r="E1792" s="56" t="s">
        <v>529</v>
      </c>
      <c r="F1792" s="18" t="s">
        <v>58</v>
      </c>
      <c r="G1792" s="18" t="s">
        <v>255</v>
      </c>
      <c r="H1792" s="18" t="s">
        <v>530</v>
      </c>
      <c r="I1792" s="56" t="s">
        <v>2</v>
      </c>
      <c r="J1792" s="9">
        <v>2</v>
      </c>
      <c r="K1792" s="9" t="s">
        <v>360</v>
      </c>
      <c r="L1792" s="37">
        <v>25</v>
      </c>
      <c r="M1792" s="64" t="s">
        <v>1002</v>
      </c>
      <c r="N1792" s="4"/>
    </row>
    <row r="1793" spans="1:14" ht="24" customHeight="1">
      <c r="A1793" s="8">
        <v>1749</v>
      </c>
      <c r="B1793" s="9">
        <v>1749</v>
      </c>
      <c r="C1793" s="46">
        <v>46134</v>
      </c>
      <c r="D1793" s="9" t="s">
        <v>238</v>
      </c>
      <c r="E1793" s="56" t="s">
        <v>529</v>
      </c>
      <c r="F1793" s="18" t="s">
        <v>58</v>
      </c>
      <c r="G1793" s="18" t="s">
        <v>255</v>
      </c>
      <c r="H1793" s="18" t="s">
        <v>530</v>
      </c>
      <c r="I1793" s="56" t="s">
        <v>2</v>
      </c>
      <c r="J1793" s="9">
        <v>4</v>
      </c>
      <c r="K1793" s="9" t="s">
        <v>359</v>
      </c>
      <c r="L1793" s="37">
        <v>20</v>
      </c>
      <c r="M1793" s="64" t="s">
        <v>1002</v>
      </c>
      <c r="N1793" s="4"/>
    </row>
    <row r="1794" spans="1:14" ht="24" customHeight="1">
      <c r="A1794" s="8">
        <v>1750</v>
      </c>
      <c r="B1794" s="9">
        <v>1750</v>
      </c>
      <c r="C1794" s="46">
        <v>46134</v>
      </c>
      <c r="D1794" s="9" t="s">
        <v>180</v>
      </c>
      <c r="E1794" s="56" t="str">
        <f>IFERROR(VLOOKUP($D1794,본공사입.출고현황!$B:$H,E$2080,0),0)</f>
        <v>Ground</v>
      </c>
      <c r="F1794" s="18" t="str">
        <f>IFERROR(VLOOKUP($D1794,본공사입.출고현황!$B:$H,F$2080,0),0)</f>
        <v>Ground Cable  78SQ</v>
      </c>
      <c r="G1794" s="18" t="str">
        <f>IFERROR(VLOOKUP($D1794,본공사입.출고현황!$B:$H,G$2080,0),0)</f>
        <v xml:space="preserve">Ground Cable </v>
      </c>
      <c r="H1794" s="18" t="str">
        <f>IFERROR(VLOOKUP($D1794,본공사입.출고현황!$B:$H,H$2080,0),0)</f>
        <v>78SQ</v>
      </c>
      <c r="I1794" s="56" t="str">
        <f>IFERROR(VLOOKUP($D1794,본공사입.출고현황!$B:$H,I$2080,0),0)</f>
        <v>M</v>
      </c>
      <c r="J1794" s="9">
        <v>1</v>
      </c>
      <c r="K1794" s="9" t="s">
        <v>352</v>
      </c>
      <c r="L1794" s="37">
        <v>10</v>
      </c>
      <c r="M1794" s="64" t="s">
        <v>409</v>
      </c>
      <c r="N1794" s="4"/>
    </row>
    <row r="1795" spans="1:14" ht="24" customHeight="1">
      <c r="A1795" s="8">
        <v>1751</v>
      </c>
      <c r="B1795" s="9">
        <v>1751</v>
      </c>
      <c r="C1795" s="46">
        <v>46134</v>
      </c>
      <c r="D1795" s="9" t="s">
        <v>86</v>
      </c>
      <c r="E1795" s="56" t="str">
        <f>IFERROR(VLOOKUP($D1795,본공사입.출고현황!$B:$H,E$2080,0),0)</f>
        <v>Ground</v>
      </c>
      <c r="F1795" s="18" t="str">
        <f>IFERROR(VLOOKUP($D1795,본공사입.출고현황!$B:$H,F$2080,0),0)</f>
        <v>Cadweld Powder #115</v>
      </c>
      <c r="G1795" s="18" t="str">
        <f>IFERROR(VLOOKUP($D1795,본공사입.출고현황!$B:$H,G$2080,0),0)</f>
        <v>Cadweld Powder</v>
      </c>
      <c r="H1795" s="18" t="str">
        <f>IFERROR(VLOOKUP($D1795,본공사입.출고현황!$B:$H,H$2080,0),0)</f>
        <v>#115</v>
      </c>
      <c r="I1795" s="56" t="str">
        <f>IFERROR(VLOOKUP($D1795,본공사입.출고현황!$B:$H,I$2080,0),0)</f>
        <v>EA</v>
      </c>
      <c r="J1795" s="9">
        <v>1</v>
      </c>
      <c r="K1795" s="9" t="s">
        <v>352</v>
      </c>
      <c r="L1795" s="37">
        <v>2</v>
      </c>
      <c r="M1795" s="64" t="s">
        <v>409</v>
      </c>
      <c r="N1795" s="4"/>
    </row>
    <row r="1796" spans="1:14" ht="24" customHeight="1">
      <c r="A1796" s="8">
        <v>1752</v>
      </c>
      <c r="B1796" s="9">
        <v>1752</v>
      </c>
      <c r="C1796" s="46">
        <v>46134</v>
      </c>
      <c r="D1796" s="9" t="s">
        <v>104</v>
      </c>
      <c r="E1796" s="56" t="str">
        <f>IFERROR(VLOOKUP($D1796,본공사입.출고현황!$B:$H,E$2080,0),0)</f>
        <v>Ground</v>
      </c>
      <c r="F1796" s="18" t="str">
        <f>IFERROR(VLOOKUP($D1796,본공사입.출고현황!$B:$H,F$2080,0),0)</f>
        <v>Cadweld PGC-Y4Y4</v>
      </c>
      <c r="G1796" s="18" t="str">
        <f>IFERROR(VLOOKUP($D1796,본공사입.출고현황!$B:$H,G$2080,0),0)</f>
        <v>Welding Mold</v>
      </c>
      <c r="H1796" s="18" t="str">
        <f>IFERROR(VLOOKUP($D1796,본공사입.출고현황!$B:$H,H$2080,0),0)</f>
        <v>Parallel (=)</v>
      </c>
      <c r="I1796" s="56" t="str">
        <f>IFERROR(VLOOKUP($D1796,본공사입.출고현황!$B:$H,I$2080,0),0)</f>
        <v>EA</v>
      </c>
      <c r="J1796" s="9" t="s">
        <v>557</v>
      </c>
      <c r="K1796" s="9"/>
      <c r="L1796" s="37">
        <v>1</v>
      </c>
      <c r="M1796" s="64" t="s">
        <v>409</v>
      </c>
      <c r="N1796" s="4"/>
    </row>
    <row r="1797" spans="1:14" ht="24" customHeight="1">
      <c r="A1797" s="8">
        <v>1753</v>
      </c>
      <c r="B1797" s="9">
        <v>1753</v>
      </c>
      <c r="C1797" s="46">
        <v>46135</v>
      </c>
      <c r="D1797" s="9" t="s">
        <v>238</v>
      </c>
      <c r="E1797" s="56" t="s">
        <v>529</v>
      </c>
      <c r="F1797" s="18" t="s">
        <v>58</v>
      </c>
      <c r="G1797" s="18" t="s">
        <v>255</v>
      </c>
      <c r="H1797" s="18" t="s">
        <v>530</v>
      </c>
      <c r="I1797" s="56" t="s">
        <v>2</v>
      </c>
      <c r="J1797" s="9">
        <v>1</v>
      </c>
      <c r="K1797" s="9" t="s">
        <v>352</v>
      </c>
      <c r="L1797" s="37">
        <v>50</v>
      </c>
      <c r="M1797" s="64" t="s">
        <v>1002</v>
      </c>
      <c r="N1797" s="4"/>
    </row>
    <row r="1798" spans="1:14" ht="24" customHeight="1">
      <c r="A1798" s="8">
        <v>1754</v>
      </c>
      <c r="B1798" s="9">
        <v>1754</v>
      </c>
      <c r="C1798" s="46">
        <v>46135</v>
      </c>
      <c r="D1798" s="9" t="s">
        <v>238</v>
      </c>
      <c r="E1798" s="56" t="s">
        <v>529</v>
      </c>
      <c r="F1798" s="18" t="s">
        <v>58</v>
      </c>
      <c r="G1798" s="18" t="s">
        <v>255</v>
      </c>
      <c r="H1798" s="18" t="s">
        <v>530</v>
      </c>
      <c r="I1798" s="56" t="s">
        <v>2</v>
      </c>
      <c r="J1798" s="9">
        <v>2</v>
      </c>
      <c r="K1798" s="9" t="s">
        <v>546</v>
      </c>
      <c r="L1798" s="37">
        <v>25</v>
      </c>
      <c r="M1798" s="64" t="s">
        <v>1002</v>
      </c>
      <c r="N1798" s="4"/>
    </row>
    <row r="1799" spans="1:14" ht="24" customHeight="1">
      <c r="A1799" s="8">
        <v>1755</v>
      </c>
      <c r="B1799" s="9">
        <v>1755</v>
      </c>
      <c r="C1799" s="46">
        <v>46135</v>
      </c>
      <c r="D1799" s="9" t="s">
        <v>238</v>
      </c>
      <c r="E1799" s="56" t="s">
        <v>529</v>
      </c>
      <c r="F1799" s="18" t="s">
        <v>58</v>
      </c>
      <c r="G1799" s="18" t="s">
        <v>255</v>
      </c>
      <c r="H1799" s="18" t="s">
        <v>530</v>
      </c>
      <c r="I1799" s="56" t="s">
        <v>2</v>
      </c>
      <c r="J1799" s="9">
        <v>4</v>
      </c>
      <c r="K1799" s="9" t="s">
        <v>359</v>
      </c>
      <c r="L1799" s="37">
        <v>75</v>
      </c>
      <c r="M1799" s="64" t="s">
        <v>1002</v>
      </c>
      <c r="N1799" s="4"/>
    </row>
    <row r="1800" spans="1:14" ht="24" customHeight="1">
      <c r="A1800" s="8">
        <v>1756</v>
      </c>
      <c r="B1800" s="9">
        <v>1756</v>
      </c>
      <c r="C1800" s="46">
        <v>46135</v>
      </c>
      <c r="D1800" s="9" t="s">
        <v>238</v>
      </c>
      <c r="E1800" s="56" t="s">
        <v>529</v>
      </c>
      <c r="F1800" s="18" t="s">
        <v>58</v>
      </c>
      <c r="G1800" s="18" t="s">
        <v>255</v>
      </c>
      <c r="H1800" s="18" t="s">
        <v>530</v>
      </c>
      <c r="I1800" s="56" t="s">
        <v>2</v>
      </c>
      <c r="J1800" s="9">
        <v>2</v>
      </c>
      <c r="K1800" s="9" t="s">
        <v>360</v>
      </c>
      <c r="L1800" s="37">
        <v>25</v>
      </c>
      <c r="M1800" s="64" t="s">
        <v>1002</v>
      </c>
      <c r="N1800" s="4"/>
    </row>
    <row r="1801" spans="1:14" ht="24" customHeight="1">
      <c r="A1801" s="8">
        <v>1757</v>
      </c>
      <c r="B1801" s="9">
        <v>1757</v>
      </c>
      <c r="C1801" s="46">
        <v>46135</v>
      </c>
      <c r="D1801" s="9" t="s">
        <v>238</v>
      </c>
      <c r="E1801" s="56" t="s">
        <v>529</v>
      </c>
      <c r="F1801" s="18" t="s">
        <v>58</v>
      </c>
      <c r="G1801" s="18" t="s">
        <v>255</v>
      </c>
      <c r="H1801" s="18" t="s">
        <v>530</v>
      </c>
      <c r="I1801" s="56" t="s">
        <v>2</v>
      </c>
      <c r="J1801" s="9">
        <v>3</v>
      </c>
      <c r="K1801" s="9" t="s">
        <v>237</v>
      </c>
      <c r="L1801" s="37">
        <v>20</v>
      </c>
      <c r="M1801" s="64" t="s">
        <v>1002</v>
      </c>
      <c r="N1801" s="4"/>
    </row>
    <row r="1802" spans="1:14" ht="24" customHeight="1">
      <c r="A1802" s="8">
        <v>1758</v>
      </c>
      <c r="B1802" s="9">
        <v>1758</v>
      </c>
      <c r="C1802" s="46">
        <v>46135</v>
      </c>
      <c r="D1802" s="9" t="s">
        <v>238</v>
      </c>
      <c r="E1802" s="56" t="s">
        <v>529</v>
      </c>
      <c r="F1802" s="18" t="s">
        <v>58</v>
      </c>
      <c r="G1802" s="18" t="s">
        <v>255</v>
      </c>
      <c r="H1802" s="18" t="s">
        <v>530</v>
      </c>
      <c r="I1802" s="56" t="s">
        <v>2</v>
      </c>
      <c r="J1802" s="9">
        <v>1</v>
      </c>
      <c r="K1802" s="9" t="s">
        <v>352</v>
      </c>
      <c r="L1802" s="37">
        <v>25</v>
      </c>
      <c r="M1802" s="64" t="s">
        <v>1002</v>
      </c>
      <c r="N1802" s="4"/>
    </row>
    <row r="1803" spans="1:14" ht="24" customHeight="1">
      <c r="A1803" s="8">
        <v>1759</v>
      </c>
      <c r="B1803" s="9">
        <v>1759</v>
      </c>
      <c r="C1803" s="46">
        <v>46135</v>
      </c>
      <c r="D1803" s="9" t="s">
        <v>238</v>
      </c>
      <c r="E1803" s="56" t="s">
        <v>529</v>
      </c>
      <c r="F1803" s="18" t="s">
        <v>58</v>
      </c>
      <c r="G1803" s="18" t="s">
        <v>255</v>
      </c>
      <c r="H1803" s="18" t="s">
        <v>530</v>
      </c>
      <c r="I1803" s="56" t="s">
        <v>2</v>
      </c>
      <c r="J1803" s="9">
        <v>1</v>
      </c>
      <c r="K1803" s="9" t="s">
        <v>352</v>
      </c>
      <c r="L1803" s="37">
        <v>15</v>
      </c>
      <c r="M1803" s="64" t="s">
        <v>1002</v>
      </c>
      <c r="N1803" s="4"/>
    </row>
    <row r="1804" spans="1:14" ht="24" customHeight="1">
      <c r="A1804" s="8">
        <v>1760</v>
      </c>
      <c r="B1804" s="9">
        <v>1760</v>
      </c>
      <c r="C1804" s="46">
        <v>46135</v>
      </c>
      <c r="D1804" s="9" t="s">
        <v>238</v>
      </c>
      <c r="E1804" s="56" t="s">
        <v>529</v>
      </c>
      <c r="F1804" s="18" t="s">
        <v>58</v>
      </c>
      <c r="G1804" s="18" t="s">
        <v>255</v>
      </c>
      <c r="H1804" s="18" t="s">
        <v>530</v>
      </c>
      <c r="I1804" s="56" t="s">
        <v>2</v>
      </c>
      <c r="J1804" s="9">
        <v>1</v>
      </c>
      <c r="K1804" s="9" t="s">
        <v>363</v>
      </c>
      <c r="L1804" s="37">
        <v>50</v>
      </c>
      <c r="M1804" s="64" t="s">
        <v>1002</v>
      </c>
      <c r="N1804" s="4"/>
    </row>
    <row r="1805" spans="1:14" ht="24" customHeight="1">
      <c r="A1805" s="8">
        <v>1761</v>
      </c>
      <c r="B1805" s="9">
        <v>1761</v>
      </c>
      <c r="C1805" s="46">
        <v>46135</v>
      </c>
      <c r="D1805" s="9" t="s">
        <v>238</v>
      </c>
      <c r="E1805" s="56" t="s">
        <v>529</v>
      </c>
      <c r="F1805" s="18" t="s">
        <v>58</v>
      </c>
      <c r="G1805" s="18" t="s">
        <v>255</v>
      </c>
      <c r="H1805" s="18" t="s">
        <v>530</v>
      </c>
      <c r="I1805" s="56" t="s">
        <v>2</v>
      </c>
      <c r="J1805" s="9">
        <v>1</v>
      </c>
      <c r="K1805" s="9" t="s">
        <v>545</v>
      </c>
      <c r="L1805" s="37">
        <v>15</v>
      </c>
      <c r="M1805" s="64" t="s">
        <v>1002</v>
      </c>
      <c r="N1805" s="4"/>
    </row>
    <row r="1806" spans="1:14" ht="24" customHeight="1">
      <c r="A1806" s="8">
        <v>1762</v>
      </c>
      <c r="B1806" s="9">
        <v>1762</v>
      </c>
      <c r="C1806" s="46">
        <v>46136</v>
      </c>
      <c r="D1806" s="9" t="s">
        <v>238</v>
      </c>
      <c r="E1806" s="56" t="s">
        <v>529</v>
      </c>
      <c r="F1806" s="18" t="s">
        <v>58</v>
      </c>
      <c r="G1806" s="18" t="s">
        <v>255</v>
      </c>
      <c r="H1806" s="18" t="s">
        <v>530</v>
      </c>
      <c r="I1806" s="56" t="s">
        <v>2</v>
      </c>
      <c r="J1806" s="9">
        <v>2</v>
      </c>
      <c r="K1806" s="9" t="s">
        <v>241</v>
      </c>
      <c r="L1806" s="37">
        <v>50</v>
      </c>
      <c r="M1806" s="64" t="s">
        <v>1002</v>
      </c>
      <c r="N1806" s="4"/>
    </row>
    <row r="1807" spans="1:14" ht="24" customHeight="1">
      <c r="A1807" s="8">
        <v>1763</v>
      </c>
      <c r="B1807" s="9">
        <v>1763</v>
      </c>
      <c r="C1807" s="46">
        <v>46136</v>
      </c>
      <c r="D1807" s="9" t="s">
        <v>238</v>
      </c>
      <c r="E1807" s="56" t="s">
        <v>529</v>
      </c>
      <c r="F1807" s="18" t="s">
        <v>58</v>
      </c>
      <c r="G1807" s="18" t="s">
        <v>255</v>
      </c>
      <c r="H1807" s="18" t="s">
        <v>530</v>
      </c>
      <c r="I1807" s="56" t="s">
        <v>2</v>
      </c>
      <c r="J1807" s="9">
        <v>3</v>
      </c>
      <c r="K1807" s="9" t="s">
        <v>550</v>
      </c>
      <c r="L1807" s="37">
        <v>30</v>
      </c>
      <c r="M1807" s="64" t="s">
        <v>1002</v>
      </c>
      <c r="N1807" s="4"/>
    </row>
    <row r="1808" spans="1:14" ht="24" customHeight="1">
      <c r="A1808" s="8">
        <v>1764</v>
      </c>
      <c r="B1808" s="9">
        <v>1764</v>
      </c>
      <c r="C1808" s="46">
        <v>46136</v>
      </c>
      <c r="D1808" s="9" t="s">
        <v>238</v>
      </c>
      <c r="E1808" s="56" t="s">
        <v>529</v>
      </c>
      <c r="F1808" s="18" t="s">
        <v>58</v>
      </c>
      <c r="G1808" s="18" t="s">
        <v>255</v>
      </c>
      <c r="H1808" s="18" t="s">
        <v>530</v>
      </c>
      <c r="I1808" s="56" t="s">
        <v>2</v>
      </c>
      <c r="J1808" s="9">
        <v>3</v>
      </c>
      <c r="K1808" s="9" t="s">
        <v>550</v>
      </c>
      <c r="L1808" s="37">
        <v>15</v>
      </c>
      <c r="M1808" s="64" t="s">
        <v>1002</v>
      </c>
      <c r="N1808" s="4"/>
    </row>
    <row r="1809" spans="1:14" ht="24" customHeight="1">
      <c r="A1809" s="8">
        <v>1765</v>
      </c>
      <c r="B1809" s="9">
        <v>1765</v>
      </c>
      <c r="C1809" s="46">
        <v>46136</v>
      </c>
      <c r="D1809" s="9" t="s">
        <v>238</v>
      </c>
      <c r="E1809" s="56" t="s">
        <v>529</v>
      </c>
      <c r="F1809" s="18" t="s">
        <v>58</v>
      </c>
      <c r="G1809" s="18" t="s">
        <v>255</v>
      </c>
      <c r="H1809" s="18" t="s">
        <v>530</v>
      </c>
      <c r="I1809" s="56" t="s">
        <v>2</v>
      </c>
      <c r="J1809" s="9">
        <v>1</v>
      </c>
      <c r="K1809" s="9" t="s">
        <v>363</v>
      </c>
      <c r="L1809" s="37">
        <v>40</v>
      </c>
      <c r="M1809" s="64" t="s">
        <v>1002</v>
      </c>
      <c r="N1809" s="4"/>
    </row>
    <row r="1810" spans="1:14" ht="24" customHeight="1">
      <c r="A1810" s="8">
        <v>1766</v>
      </c>
      <c r="B1810" s="9">
        <v>1766</v>
      </c>
      <c r="C1810" s="46">
        <v>46136</v>
      </c>
      <c r="D1810" s="9" t="s">
        <v>238</v>
      </c>
      <c r="E1810" s="56" t="s">
        <v>529</v>
      </c>
      <c r="F1810" s="18" t="s">
        <v>58</v>
      </c>
      <c r="G1810" s="18" t="s">
        <v>255</v>
      </c>
      <c r="H1810" s="18" t="s">
        <v>530</v>
      </c>
      <c r="I1810" s="56" t="s">
        <v>2</v>
      </c>
      <c r="J1810" s="9">
        <v>1</v>
      </c>
      <c r="K1810" s="9" t="s">
        <v>547</v>
      </c>
      <c r="L1810" s="37">
        <v>20</v>
      </c>
      <c r="M1810" s="64" t="s">
        <v>1002</v>
      </c>
      <c r="N1810" s="4"/>
    </row>
    <row r="1811" spans="1:14" ht="24" customHeight="1">
      <c r="A1811" s="8">
        <v>1767</v>
      </c>
      <c r="B1811" s="9">
        <v>1767</v>
      </c>
      <c r="C1811" s="46">
        <v>46136</v>
      </c>
      <c r="D1811" s="9" t="s">
        <v>238</v>
      </c>
      <c r="E1811" s="56" t="s">
        <v>529</v>
      </c>
      <c r="F1811" s="18" t="s">
        <v>58</v>
      </c>
      <c r="G1811" s="18" t="s">
        <v>255</v>
      </c>
      <c r="H1811" s="18" t="s">
        <v>530</v>
      </c>
      <c r="I1811" s="56" t="s">
        <v>2</v>
      </c>
      <c r="J1811" s="9">
        <v>1</v>
      </c>
      <c r="K1811" s="9" t="s">
        <v>363</v>
      </c>
      <c r="L1811" s="37">
        <v>20</v>
      </c>
      <c r="M1811" s="64" t="s">
        <v>1002</v>
      </c>
      <c r="N1811" s="4"/>
    </row>
    <row r="1812" spans="1:14" ht="24" customHeight="1">
      <c r="A1812" s="8">
        <v>1768</v>
      </c>
      <c r="B1812" s="9">
        <v>1768</v>
      </c>
      <c r="C1812" s="46">
        <v>46136</v>
      </c>
      <c r="D1812" s="9" t="s">
        <v>238</v>
      </c>
      <c r="E1812" s="56" t="s">
        <v>529</v>
      </c>
      <c r="F1812" s="18" t="s">
        <v>58</v>
      </c>
      <c r="G1812" s="18" t="s">
        <v>255</v>
      </c>
      <c r="H1812" s="18" t="s">
        <v>530</v>
      </c>
      <c r="I1812" s="56" t="s">
        <v>2</v>
      </c>
      <c r="J1812" s="9">
        <v>3</v>
      </c>
      <c r="K1812" s="9" t="s">
        <v>550</v>
      </c>
      <c r="L1812" s="37">
        <v>20</v>
      </c>
      <c r="M1812" s="64" t="s">
        <v>1002</v>
      </c>
      <c r="N1812" s="4"/>
    </row>
    <row r="1813" spans="1:14" ht="24" customHeight="1">
      <c r="A1813" s="8">
        <v>1769</v>
      </c>
      <c r="B1813" s="9">
        <v>1769</v>
      </c>
      <c r="C1813" s="46">
        <v>46136</v>
      </c>
      <c r="D1813" s="9" t="s">
        <v>238</v>
      </c>
      <c r="E1813" s="56" t="s">
        <v>529</v>
      </c>
      <c r="F1813" s="18" t="s">
        <v>58</v>
      </c>
      <c r="G1813" s="18" t="s">
        <v>255</v>
      </c>
      <c r="H1813" s="18" t="s">
        <v>530</v>
      </c>
      <c r="I1813" s="56" t="s">
        <v>2</v>
      </c>
      <c r="J1813" s="9">
        <v>2</v>
      </c>
      <c r="K1813" s="9" t="s">
        <v>360</v>
      </c>
      <c r="L1813" s="37">
        <v>25</v>
      </c>
      <c r="M1813" s="64" t="s">
        <v>1002</v>
      </c>
      <c r="N1813" s="4"/>
    </row>
    <row r="1814" spans="1:14" ht="24" customHeight="1">
      <c r="A1814" s="8">
        <v>1770</v>
      </c>
      <c r="B1814" s="9">
        <v>1770</v>
      </c>
      <c r="C1814" s="46">
        <v>46137</v>
      </c>
      <c r="D1814" s="9" t="s">
        <v>238</v>
      </c>
      <c r="E1814" s="56" t="s">
        <v>529</v>
      </c>
      <c r="F1814" s="18" t="s">
        <v>58</v>
      </c>
      <c r="G1814" s="18" t="s">
        <v>255</v>
      </c>
      <c r="H1814" s="18" t="s">
        <v>530</v>
      </c>
      <c r="I1814" s="56" t="s">
        <v>2</v>
      </c>
      <c r="J1814" s="9">
        <v>1</v>
      </c>
      <c r="K1814" s="9" t="s">
        <v>352</v>
      </c>
      <c r="L1814" s="37">
        <v>25</v>
      </c>
      <c r="M1814" s="64" t="s">
        <v>1002</v>
      </c>
      <c r="N1814" s="4"/>
    </row>
    <row r="1815" spans="1:14" ht="24" customHeight="1">
      <c r="A1815" s="8">
        <v>1771</v>
      </c>
      <c r="B1815" s="9">
        <v>1771</v>
      </c>
      <c r="C1815" s="46">
        <v>46137</v>
      </c>
      <c r="D1815" s="9" t="s">
        <v>238</v>
      </c>
      <c r="E1815" s="56" t="s">
        <v>529</v>
      </c>
      <c r="F1815" s="18" t="s">
        <v>58</v>
      </c>
      <c r="G1815" s="18" t="s">
        <v>255</v>
      </c>
      <c r="H1815" s="18" t="s">
        <v>530</v>
      </c>
      <c r="I1815" s="56" t="s">
        <v>2</v>
      </c>
      <c r="J1815" s="9">
        <v>2</v>
      </c>
      <c r="K1815" s="9" t="s">
        <v>546</v>
      </c>
      <c r="L1815" s="37">
        <v>25</v>
      </c>
      <c r="M1815" s="64" t="s">
        <v>1002</v>
      </c>
      <c r="N1815" s="4"/>
    </row>
    <row r="1816" spans="1:14" ht="24" customHeight="1">
      <c r="A1816" s="8">
        <v>1772</v>
      </c>
      <c r="B1816" s="9">
        <v>1772</v>
      </c>
      <c r="C1816" s="46">
        <v>46137</v>
      </c>
      <c r="D1816" s="9" t="s">
        <v>238</v>
      </c>
      <c r="E1816" s="56" t="s">
        <v>529</v>
      </c>
      <c r="F1816" s="18" t="s">
        <v>58</v>
      </c>
      <c r="G1816" s="18" t="s">
        <v>255</v>
      </c>
      <c r="H1816" s="18" t="s">
        <v>530</v>
      </c>
      <c r="I1816" s="56" t="s">
        <v>2</v>
      </c>
      <c r="J1816" s="9">
        <v>4</v>
      </c>
      <c r="K1816" s="9" t="s">
        <v>359</v>
      </c>
      <c r="L1816" s="37">
        <v>25</v>
      </c>
      <c r="M1816" s="64" t="s">
        <v>1002</v>
      </c>
      <c r="N1816" s="4"/>
    </row>
    <row r="1817" spans="1:14" ht="24" customHeight="1">
      <c r="A1817" s="8">
        <v>1773</v>
      </c>
      <c r="B1817" s="9">
        <v>1773</v>
      </c>
      <c r="C1817" s="46">
        <v>46137</v>
      </c>
      <c r="D1817" s="9" t="s">
        <v>238</v>
      </c>
      <c r="E1817" s="56" t="s">
        <v>529</v>
      </c>
      <c r="F1817" s="18" t="s">
        <v>58</v>
      </c>
      <c r="G1817" s="18" t="s">
        <v>255</v>
      </c>
      <c r="H1817" s="18" t="s">
        <v>530</v>
      </c>
      <c r="I1817" s="56" t="s">
        <v>2</v>
      </c>
      <c r="J1817" s="9">
        <v>2</v>
      </c>
      <c r="K1817" s="9" t="s">
        <v>360</v>
      </c>
      <c r="L1817" s="37">
        <v>25</v>
      </c>
      <c r="M1817" s="64" t="s">
        <v>1002</v>
      </c>
      <c r="N1817" s="4"/>
    </row>
    <row r="1818" spans="1:14" ht="24" customHeight="1">
      <c r="A1818" s="8">
        <v>1774</v>
      </c>
      <c r="B1818" s="9">
        <v>1774</v>
      </c>
      <c r="C1818" s="46">
        <v>46137</v>
      </c>
      <c r="D1818" s="9" t="s">
        <v>238</v>
      </c>
      <c r="E1818" s="56" t="s">
        <v>529</v>
      </c>
      <c r="F1818" s="18" t="s">
        <v>58</v>
      </c>
      <c r="G1818" s="18" t="s">
        <v>255</v>
      </c>
      <c r="H1818" s="18" t="s">
        <v>530</v>
      </c>
      <c r="I1818" s="56" t="s">
        <v>2</v>
      </c>
      <c r="J1818" s="9">
        <v>1</v>
      </c>
      <c r="K1818" s="9" t="s">
        <v>352</v>
      </c>
      <c r="L1818" s="37">
        <v>25</v>
      </c>
      <c r="M1818" s="64" t="s">
        <v>1002</v>
      </c>
      <c r="N1818" s="4"/>
    </row>
    <row r="1819" spans="1:14" ht="24" customHeight="1">
      <c r="A1819" s="8">
        <v>1775</v>
      </c>
      <c r="B1819" s="9">
        <v>1775</v>
      </c>
      <c r="C1819" s="46">
        <v>46137</v>
      </c>
      <c r="D1819" s="9" t="s">
        <v>238</v>
      </c>
      <c r="E1819" s="56" t="s">
        <v>529</v>
      </c>
      <c r="F1819" s="18" t="s">
        <v>58</v>
      </c>
      <c r="G1819" s="18" t="s">
        <v>255</v>
      </c>
      <c r="H1819" s="18" t="s">
        <v>530</v>
      </c>
      <c r="I1819" s="56" t="s">
        <v>2</v>
      </c>
      <c r="J1819" s="9">
        <v>2</v>
      </c>
      <c r="K1819" s="9" t="s">
        <v>546</v>
      </c>
      <c r="L1819" s="37">
        <v>25</v>
      </c>
      <c r="M1819" s="64" t="s">
        <v>1002</v>
      </c>
      <c r="N1819" s="4"/>
    </row>
    <row r="1820" spans="1:14" ht="24" customHeight="1">
      <c r="A1820" s="8">
        <v>1776</v>
      </c>
      <c r="B1820" s="9">
        <v>1776</v>
      </c>
      <c r="C1820" s="46">
        <v>46137</v>
      </c>
      <c r="D1820" s="9" t="s">
        <v>238</v>
      </c>
      <c r="E1820" s="56" t="s">
        <v>529</v>
      </c>
      <c r="F1820" s="18" t="s">
        <v>58</v>
      </c>
      <c r="G1820" s="18" t="s">
        <v>255</v>
      </c>
      <c r="H1820" s="18" t="s">
        <v>530</v>
      </c>
      <c r="I1820" s="56" t="s">
        <v>2</v>
      </c>
      <c r="J1820" s="9">
        <v>4</v>
      </c>
      <c r="K1820" s="9" t="s">
        <v>359</v>
      </c>
      <c r="L1820" s="37">
        <v>25</v>
      </c>
      <c r="M1820" s="64" t="s">
        <v>1002</v>
      </c>
      <c r="N1820" s="4"/>
    </row>
    <row r="1821" spans="1:14" ht="24" customHeight="1">
      <c r="A1821" s="8">
        <v>1777</v>
      </c>
      <c r="B1821" s="9">
        <v>1777</v>
      </c>
      <c r="C1821" s="46">
        <v>46137</v>
      </c>
      <c r="D1821" s="9" t="s">
        <v>238</v>
      </c>
      <c r="E1821" s="56" t="s">
        <v>529</v>
      </c>
      <c r="F1821" s="18" t="s">
        <v>58</v>
      </c>
      <c r="G1821" s="18" t="s">
        <v>255</v>
      </c>
      <c r="H1821" s="18" t="s">
        <v>530</v>
      </c>
      <c r="I1821" s="56" t="s">
        <v>2</v>
      </c>
      <c r="J1821" s="9">
        <v>1</v>
      </c>
      <c r="K1821" s="9" t="s">
        <v>363</v>
      </c>
      <c r="L1821" s="37">
        <v>25</v>
      </c>
      <c r="M1821" s="64" t="s">
        <v>1002</v>
      </c>
      <c r="N1821" s="4"/>
    </row>
    <row r="1822" spans="1:14" ht="24" customHeight="1">
      <c r="A1822" s="8">
        <v>1778</v>
      </c>
      <c r="B1822" s="9">
        <v>1778</v>
      </c>
      <c r="C1822" s="46">
        <v>46137</v>
      </c>
      <c r="D1822" s="9" t="s">
        <v>238</v>
      </c>
      <c r="E1822" s="56" t="s">
        <v>529</v>
      </c>
      <c r="F1822" s="18" t="s">
        <v>58</v>
      </c>
      <c r="G1822" s="18" t="s">
        <v>255</v>
      </c>
      <c r="H1822" s="18" t="s">
        <v>530</v>
      </c>
      <c r="I1822" s="56" t="s">
        <v>2</v>
      </c>
      <c r="J1822" s="9">
        <v>1</v>
      </c>
      <c r="K1822" s="9" t="s">
        <v>547</v>
      </c>
      <c r="L1822" s="37">
        <v>20</v>
      </c>
      <c r="M1822" s="64" t="s">
        <v>1002</v>
      </c>
      <c r="N1822" s="4"/>
    </row>
    <row r="1823" spans="1:14" ht="24" customHeight="1">
      <c r="A1823" s="8">
        <v>1779</v>
      </c>
      <c r="B1823" s="9">
        <v>1779</v>
      </c>
      <c r="C1823" s="46">
        <v>46138</v>
      </c>
      <c r="D1823" s="9" t="s">
        <v>238</v>
      </c>
      <c r="E1823" s="56" t="s">
        <v>529</v>
      </c>
      <c r="F1823" s="18" t="s">
        <v>58</v>
      </c>
      <c r="G1823" s="18" t="s">
        <v>255</v>
      </c>
      <c r="H1823" s="18" t="s">
        <v>530</v>
      </c>
      <c r="I1823" s="56" t="s">
        <v>2</v>
      </c>
      <c r="J1823" s="9">
        <v>1</v>
      </c>
      <c r="K1823" s="9" t="s">
        <v>363</v>
      </c>
      <c r="L1823" s="37">
        <v>15</v>
      </c>
      <c r="M1823" s="64" t="s">
        <v>1002</v>
      </c>
      <c r="N1823" s="4"/>
    </row>
    <row r="1824" spans="1:14" ht="24" customHeight="1">
      <c r="A1824" s="8">
        <v>1780</v>
      </c>
      <c r="B1824" s="9">
        <v>1780</v>
      </c>
      <c r="C1824" s="46">
        <v>46138</v>
      </c>
      <c r="D1824" s="9" t="s">
        <v>238</v>
      </c>
      <c r="E1824" s="56" t="s">
        <v>529</v>
      </c>
      <c r="F1824" s="18" t="s">
        <v>58</v>
      </c>
      <c r="G1824" s="18" t="s">
        <v>255</v>
      </c>
      <c r="H1824" s="18" t="s">
        <v>530</v>
      </c>
      <c r="I1824" s="56" t="s">
        <v>2</v>
      </c>
      <c r="J1824" s="9">
        <v>3</v>
      </c>
      <c r="K1824" s="9" t="s">
        <v>550</v>
      </c>
      <c r="L1824" s="37">
        <v>15</v>
      </c>
      <c r="M1824" s="64" t="s">
        <v>1002</v>
      </c>
      <c r="N1824" s="4"/>
    </row>
    <row r="1825" spans="1:14" ht="24" customHeight="1">
      <c r="A1825" s="8">
        <v>1781</v>
      </c>
      <c r="B1825" s="9">
        <v>1781</v>
      </c>
      <c r="C1825" s="46">
        <v>46138</v>
      </c>
      <c r="D1825" s="9" t="s">
        <v>238</v>
      </c>
      <c r="E1825" s="56" t="s">
        <v>529</v>
      </c>
      <c r="F1825" s="18" t="s">
        <v>58</v>
      </c>
      <c r="G1825" s="18" t="s">
        <v>255</v>
      </c>
      <c r="H1825" s="18" t="s">
        <v>530</v>
      </c>
      <c r="I1825" s="56" t="s">
        <v>2</v>
      </c>
      <c r="J1825" s="9">
        <v>2</v>
      </c>
      <c r="K1825" s="9" t="s">
        <v>360</v>
      </c>
      <c r="L1825" s="37">
        <v>20</v>
      </c>
      <c r="M1825" s="64" t="s">
        <v>1002</v>
      </c>
      <c r="N1825" s="4"/>
    </row>
    <row r="1826" spans="1:14" ht="24" customHeight="1">
      <c r="A1826" s="8">
        <v>1782</v>
      </c>
      <c r="B1826" s="9">
        <v>1782</v>
      </c>
      <c r="C1826" s="46">
        <v>46138</v>
      </c>
      <c r="D1826" s="9" t="s">
        <v>238</v>
      </c>
      <c r="E1826" s="56" t="s">
        <v>529</v>
      </c>
      <c r="F1826" s="18" t="s">
        <v>58</v>
      </c>
      <c r="G1826" s="18" t="s">
        <v>255</v>
      </c>
      <c r="H1826" s="18" t="s">
        <v>530</v>
      </c>
      <c r="I1826" s="56" t="s">
        <v>2</v>
      </c>
      <c r="J1826" s="9">
        <v>1</v>
      </c>
      <c r="K1826" s="9" t="s">
        <v>352</v>
      </c>
      <c r="L1826" s="37">
        <v>20</v>
      </c>
      <c r="M1826" s="64" t="s">
        <v>1002</v>
      </c>
      <c r="N1826" s="4"/>
    </row>
    <row r="1827" spans="1:14" ht="24" customHeight="1">
      <c r="A1827" s="8">
        <v>1783</v>
      </c>
      <c r="B1827" s="9">
        <v>1783</v>
      </c>
      <c r="C1827" s="46">
        <v>46138</v>
      </c>
      <c r="D1827" s="9" t="s">
        <v>238</v>
      </c>
      <c r="E1827" s="56" t="s">
        <v>529</v>
      </c>
      <c r="F1827" s="18" t="s">
        <v>58</v>
      </c>
      <c r="G1827" s="18" t="s">
        <v>255</v>
      </c>
      <c r="H1827" s="18" t="s">
        <v>530</v>
      </c>
      <c r="I1827" s="56" t="s">
        <v>2</v>
      </c>
      <c r="J1827" s="9">
        <v>1</v>
      </c>
      <c r="K1827" s="9" t="s">
        <v>352</v>
      </c>
      <c r="L1827" s="37">
        <v>25</v>
      </c>
      <c r="M1827" s="64" t="s">
        <v>1002</v>
      </c>
      <c r="N1827" s="4"/>
    </row>
    <row r="1828" spans="1:14" ht="24" customHeight="1">
      <c r="A1828" s="8">
        <v>1784</v>
      </c>
      <c r="B1828" s="9">
        <v>1784</v>
      </c>
      <c r="C1828" s="46">
        <v>46138</v>
      </c>
      <c r="D1828" s="9" t="s">
        <v>238</v>
      </c>
      <c r="E1828" s="56" t="s">
        <v>529</v>
      </c>
      <c r="F1828" s="18" t="s">
        <v>58</v>
      </c>
      <c r="G1828" s="18" t="s">
        <v>255</v>
      </c>
      <c r="H1828" s="18" t="s">
        <v>530</v>
      </c>
      <c r="I1828" s="56" t="s">
        <v>2</v>
      </c>
      <c r="J1828" s="9">
        <v>2</v>
      </c>
      <c r="K1828" s="9" t="s">
        <v>546</v>
      </c>
      <c r="L1828" s="37">
        <v>25</v>
      </c>
      <c r="M1828" s="64" t="s">
        <v>1002</v>
      </c>
      <c r="N1828" s="4"/>
    </row>
    <row r="1829" spans="1:14" ht="24" customHeight="1">
      <c r="A1829" s="8">
        <v>1785</v>
      </c>
      <c r="B1829" s="9">
        <v>1785</v>
      </c>
      <c r="C1829" s="46">
        <v>46138</v>
      </c>
      <c r="D1829" s="9" t="s">
        <v>238</v>
      </c>
      <c r="E1829" s="56" t="s">
        <v>529</v>
      </c>
      <c r="F1829" s="18" t="s">
        <v>58</v>
      </c>
      <c r="G1829" s="18" t="s">
        <v>255</v>
      </c>
      <c r="H1829" s="18" t="s">
        <v>530</v>
      </c>
      <c r="I1829" s="56" t="s">
        <v>2</v>
      </c>
      <c r="J1829" s="9">
        <v>4</v>
      </c>
      <c r="K1829" s="9" t="s">
        <v>359</v>
      </c>
      <c r="L1829" s="37">
        <v>25</v>
      </c>
      <c r="M1829" s="64" t="s">
        <v>1002</v>
      </c>
      <c r="N1829" s="4"/>
    </row>
    <row r="1830" spans="1:14" ht="24" customHeight="1">
      <c r="A1830" s="8">
        <v>1786</v>
      </c>
      <c r="B1830" s="9">
        <v>1786</v>
      </c>
      <c r="C1830" s="46">
        <v>46138</v>
      </c>
      <c r="D1830" s="9" t="s">
        <v>238</v>
      </c>
      <c r="E1830" s="56" t="s">
        <v>529</v>
      </c>
      <c r="F1830" s="18" t="s">
        <v>58</v>
      </c>
      <c r="G1830" s="18" t="s">
        <v>255</v>
      </c>
      <c r="H1830" s="18" t="s">
        <v>530</v>
      </c>
      <c r="I1830" s="56" t="s">
        <v>2</v>
      </c>
      <c r="J1830" s="9">
        <v>2</v>
      </c>
      <c r="K1830" s="9" t="s">
        <v>360</v>
      </c>
      <c r="L1830" s="37">
        <v>25</v>
      </c>
      <c r="M1830" s="64" t="s">
        <v>1002</v>
      </c>
      <c r="N1830" s="4"/>
    </row>
    <row r="1831" spans="1:14" ht="24" customHeight="1">
      <c r="A1831" s="8">
        <v>1787</v>
      </c>
      <c r="B1831" s="9">
        <v>1787</v>
      </c>
      <c r="C1831" s="46">
        <v>46138</v>
      </c>
      <c r="D1831" s="9" t="s">
        <v>238</v>
      </c>
      <c r="E1831" s="56" t="s">
        <v>529</v>
      </c>
      <c r="F1831" s="18" t="s">
        <v>58</v>
      </c>
      <c r="G1831" s="18" t="s">
        <v>255</v>
      </c>
      <c r="H1831" s="18" t="s">
        <v>530</v>
      </c>
      <c r="I1831" s="56" t="s">
        <v>2</v>
      </c>
      <c r="J1831" s="9">
        <v>1</v>
      </c>
      <c r="K1831" s="9" t="s">
        <v>547</v>
      </c>
      <c r="L1831" s="37">
        <v>25</v>
      </c>
      <c r="M1831" s="64" t="s">
        <v>1002</v>
      </c>
      <c r="N1831" s="4"/>
    </row>
    <row r="1832" spans="1:14" ht="24" customHeight="1">
      <c r="A1832" s="8">
        <v>1788</v>
      </c>
      <c r="B1832" s="9">
        <v>1788</v>
      </c>
      <c r="C1832" s="46">
        <v>46139</v>
      </c>
      <c r="D1832" s="9" t="s">
        <v>238</v>
      </c>
      <c r="E1832" s="56" t="s">
        <v>529</v>
      </c>
      <c r="F1832" s="18" t="s">
        <v>58</v>
      </c>
      <c r="G1832" s="18" t="s">
        <v>255</v>
      </c>
      <c r="H1832" s="18" t="s">
        <v>530</v>
      </c>
      <c r="I1832" s="56" t="s">
        <v>2</v>
      </c>
      <c r="J1832" s="9">
        <v>2</v>
      </c>
      <c r="K1832" s="9" t="s">
        <v>360</v>
      </c>
      <c r="L1832" s="37">
        <v>25</v>
      </c>
      <c r="M1832" s="64" t="s">
        <v>1002</v>
      </c>
      <c r="N1832" s="4"/>
    </row>
    <row r="1833" spans="1:14" ht="24" customHeight="1">
      <c r="A1833" s="8">
        <v>1789</v>
      </c>
      <c r="B1833" s="9">
        <v>1789</v>
      </c>
      <c r="C1833" s="46">
        <v>46139</v>
      </c>
      <c r="D1833" s="9" t="s">
        <v>238</v>
      </c>
      <c r="E1833" s="56" t="s">
        <v>529</v>
      </c>
      <c r="F1833" s="18" t="s">
        <v>58</v>
      </c>
      <c r="G1833" s="18" t="s">
        <v>255</v>
      </c>
      <c r="H1833" s="18" t="s">
        <v>530</v>
      </c>
      <c r="I1833" s="56" t="s">
        <v>2</v>
      </c>
      <c r="J1833" s="9">
        <v>4</v>
      </c>
      <c r="K1833" s="9" t="s">
        <v>359</v>
      </c>
      <c r="L1833" s="37">
        <v>20</v>
      </c>
      <c r="M1833" s="64" t="s">
        <v>1002</v>
      </c>
      <c r="N1833" s="4"/>
    </row>
    <row r="1834" spans="1:14" ht="24" customHeight="1">
      <c r="A1834" s="8">
        <v>1790</v>
      </c>
      <c r="B1834" s="9">
        <v>1790</v>
      </c>
      <c r="C1834" s="46">
        <v>46139</v>
      </c>
      <c r="D1834" s="9" t="s">
        <v>238</v>
      </c>
      <c r="E1834" s="56" t="s">
        <v>529</v>
      </c>
      <c r="F1834" s="18" t="s">
        <v>58</v>
      </c>
      <c r="G1834" s="18" t="s">
        <v>255</v>
      </c>
      <c r="H1834" s="18" t="s">
        <v>530</v>
      </c>
      <c r="I1834" s="56" t="s">
        <v>2</v>
      </c>
      <c r="J1834" s="9">
        <v>1</v>
      </c>
      <c r="K1834" s="9" t="s">
        <v>352</v>
      </c>
      <c r="L1834" s="37">
        <v>50</v>
      </c>
      <c r="M1834" s="64" t="s">
        <v>1002</v>
      </c>
      <c r="N1834" s="4"/>
    </row>
    <row r="1835" spans="1:14" ht="24" customHeight="1">
      <c r="A1835" s="8">
        <v>1791</v>
      </c>
      <c r="B1835" s="9">
        <v>1791</v>
      </c>
      <c r="C1835" s="46">
        <v>46139</v>
      </c>
      <c r="D1835" s="9" t="s">
        <v>238</v>
      </c>
      <c r="E1835" s="56" t="s">
        <v>529</v>
      </c>
      <c r="F1835" s="18" t="s">
        <v>58</v>
      </c>
      <c r="G1835" s="18" t="s">
        <v>255</v>
      </c>
      <c r="H1835" s="18" t="s">
        <v>530</v>
      </c>
      <c r="I1835" s="56" t="s">
        <v>2</v>
      </c>
      <c r="J1835" s="9">
        <v>2</v>
      </c>
      <c r="K1835" s="9" t="s">
        <v>546</v>
      </c>
      <c r="L1835" s="37">
        <v>25</v>
      </c>
      <c r="M1835" s="64" t="s">
        <v>1002</v>
      </c>
      <c r="N1835" s="4"/>
    </row>
    <row r="1836" spans="1:14" ht="24" customHeight="1">
      <c r="A1836" s="8">
        <v>1792</v>
      </c>
      <c r="B1836" s="9">
        <v>1792</v>
      </c>
      <c r="C1836" s="46">
        <v>46139</v>
      </c>
      <c r="D1836" s="9" t="s">
        <v>238</v>
      </c>
      <c r="E1836" s="56" t="s">
        <v>529</v>
      </c>
      <c r="F1836" s="18" t="s">
        <v>58</v>
      </c>
      <c r="G1836" s="18" t="s">
        <v>255</v>
      </c>
      <c r="H1836" s="18" t="s">
        <v>530</v>
      </c>
      <c r="I1836" s="56" t="s">
        <v>2</v>
      </c>
      <c r="J1836" s="9">
        <v>4</v>
      </c>
      <c r="K1836" s="9" t="s">
        <v>359</v>
      </c>
      <c r="L1836" s="37">
        <v>75</v>
      </c>
      <c r="M1836" s="64" t="s">
        <v>1002</v>
      </c>
      <c r="N1836" s="4"/>
    </row>
    <row r="1837" spans="1:14" ht="24" customHeight="1">
      <c r="A1837" s="8">
        <v>1793</v>
      </c>
      <c r="B1837" s="9">
        <v>1793</v>
      </c>
      <c r="C1837" s="46">
        <v>46139</v>
      </c>
      <c r="D1837" s="9" t="s">
        <v>238</v>
      </c>
      <c r="E1837" s="56" t="s">
        <v>529</v>
      </c>
      <c r="F1837" s="18" t="s">
        <v>58</v>
      </c>
      <c r="G1837" s="18" t="s">
        <v>255</v>
      </c>
      <c r="H1837" s="18" t="s">
        <v>530</v>
      </c>
      <c r="I1837" s="56" t="s">
        <v>2</v>
      </c>
      <c r="J1837" s="9">
        <v>2</v>
      </c>
      <c r="K1837" s="9" t="s">
        <v>360</v>
      </c>
      <c r="L1837" s="37">
        <v>25</v>
      </c>
      <c r="M1837" s="64" t="s">
        <v>1002</v>
      </c>
      <c r="N1837" s="4"/>
    </row>
    <row r="1838" spans="1:14" ht="24" customHeight="1">
      <c r="A1838" s="8">
        <v>1794</v>
      </c>
      <c r="B1838" s="9">
        <v>1794</v>
      </c>
      <c r="C1838" s="46">
        <v>46139</v>
      </c>
      <c r="D1838" s="9" t="s">
        <v>238</v>
      </c>
      <c r="E1838" s="56" t="s">
        <v>529</v>
      </c>
      <c r="F1838" s="18" t="s">
        <v>58</v>
      </c>
      <c r="G1838" s="18" t="s">
        <v>255</v>
      </c>
      <c r="H1838" s="18" t="s">
        <v>530</v>
      </c>
      <c r="I1838" s="56" t="s">
        <v>2</v>
      </c>
      <c r="J1838" s="9">
        <v>3</v>
      </c>
      <c r="K1838" s="9" t="s">
        <v>237</v>
      </c>
      <c r="L1838" s="37">
        <v>20</v>
      </c>
      <c r="M1838" s="64" t="s">
        <v>1002</v>
      </c>
      <c r="N1838" s="4"/>
    </row>
    <row r="1839" spans="1:14" ht="24" customHeight="1">
      <c r="A1839" s="8">
        <v>1795</v>
      </c>
      <c r="B1839" s="9">
        <v>1795</v>
      </c>
      <c r="C1839" s="46">
        <v>46139</v>
      </c>
      <c r="D1839" s="9" t="s">
        <v>238</v>
      </c>
      <c r="E1839" s="56" t="s">
        <v>529</v>
      </c>
      <c r="F1839" s="18" t="s">
        <v>58</v>
      </c>
      <c r="G1839" s="18" t="s">
        <v>255</v>
      </c>
      <c r="H1839" s="18" t="s">
        <v>530</v>
      </c>
      <c r="I1839" s="56" t="s">
        <v>2</v>
      </c>
      <c r="J1839" s="9">
        <v>1</v>
      </c>
      <c r="K1839" s="9" t="s">
        <v>352</v>
      </c>
      <c r="L1839" s="37">
        <v>25</v>
      </c>
      <c r="M1839" s="64" t="s">
        <v>1002</v>
      </c>
      <c r="N1839" s="4"/>
    </row>
    <row r="1840" spans="1:14" ht="24" customHeight="1">
      <c r="A1840" s="8">
        <v>1796</v>
      </c>
      <c r="B1840" s="9">
        <v>1796</v>
      </c>
      <c r="C1840" s="46">
        <v>46139</v>
      </c>
      <c r="D1840" s="9" t="s">
        <v>238</v>
      </c>
      <c r="E1840" s="56" t="s">
        <v>529</v>
      </c>
      <c r="F1840" s="18" t="s">
        <v>58</v>
      </c>
      <c r="G1840" s="18" t="s">
        <v>255</v>
      </c>
      <c r="H1840" s="18" t="s">
        <v>530</v>
      </c>
      <c r="I1840" s="56" t="s">
        <v>2</v>
      </c>
      <c r="J1840" s="9">
        <v>1</v>
      </c>
      <c r="K1840" s="9" t="s">
        <v>352</v>
      </c>
      <c r="L1840" s="37">
        <v>15</v>
      </c>
      <c r="M1840" s="64" t="s">
        <v>1002</v>
      </c>
      <c r="N1840" s="4"/>
    </row>
    <row r="1841" spans="1:14" ht="24" customHeight="1">
      <c r="A1841" s="8">
        <v>1797</v>
      </c>
      <c r="B1841" s="9">
        <v>1797</v>
      </c>
      <c r="C1841" s="46">
        <v>46139</v>
      </c>
      <c r="D1841" s="9" t="s">
        <v>238</v>
      </c>
      <c r="E1841" s="56" t="s">
        <v>529</v>
      </c>
      <c r="F1841" s="18" t="s">
        <v>58</v>
      </c>
      <c r="G1841" s="18" t="s">
        <v>255</v>
      </c>
      <c r="H1841" s="18" t="s">
        <v>530</v>
      </c>
      <c r="I1841" s="56" t="s">
        <v>2</v>
      </c>
      <c r="J1841" s="9">
        <v>1</v>
      </c>
      <c r="K1841" s="9" t="s">
        <v>363</v>
      </c>
      <c r="L1841" s="37">
        <v>50</v>
      </c>
      <c r="M1841" s="64" t="s">
        <v>1002</v>
      </c>
      <c r="N1841" s="4"/>
    </row>
    <row r="1842" spans="1:14" ht="24" customHeight="1">
      <c r="A1842" s="8">
        <v>1798</v>
      </c>
      <c r="B1842" s="9">
        <v>1798</v>
      </c>
      <c r="C1842" s="46">
        <v>46139</v>
      </c>
      <c r="D1842" s="9" t="s">
        <v>238</v>
      </c>
      <c r="E1842" s="56" t="s">
        <v>529</v>
      </c>
      <c r="F1842" s="18" t="s">
        <v>58</v>
      </c>
      <c r="G1842" s="18" t="s">
        <v>255</v>
      </c>
      <c r="H1842" s="18" t="s">
        <v>530</v>
      </c>
      <c r="I1842" s="56" t="s">
        <v>2</v>
      </c>
      <c r="J1842" s="9">
        <v>1</v>
      </c>
      <c r="K1842" s="9" t="s">
        <v>545</v>
      </c>
      <c r="L1842" s="37">
        <v>15</v>
      </c>
      <c r="M1842" s="64" t="s">
        <v>1002</v>
      </c>
      <c r="N1842" s="4"/>
    </row>
    <row r="1843" spans="1:14" ht="24" customHeight="1">
      <c r="A1843" s="8">
        <v>1799</v>
      </c>
      <c r="B1843" s="9">
        <v>1799</v>
      </c>
      <c r="C1843" s="46">
        <v>46140</v>
      </c>
      <c r="D1843" s="9" t="s">
        <v>238</v>
      </c>
      <c r="E1843" s="56" t="s">
        <v>529</v>
      </c>
      <c r="F1843" s="18" t="s">
        <v>58</v>
      </c>
      <c r="G1843" s="18" t="s">
        <v>255</v>
      </c>
      <c r="H1843" s="18" t="s">
        <v>530</v>
      </c>
      <c r="I1843" s="56" t="s">
        <v>2</v>
      </c>
      <c r="J1843" s="9">
        <v>2</v>
      </c>
      <c r="K1843" s="9" t="s">
        <v>241</v>
      </c>
      <c r="L1843" s="37">
        <v>50</v>
      </c>
      <c r="M1843" s="64" t="s">
        <v>1002</v>
      </c>
      <c r="N1843" s="4"/>
    </row>
    <row r="1844" spans="1:14" ht="24" customHeight="1">
      <c r="A1844" s="8">
        <v>1800</v>
      </c>
      <c r="B1844" s="9">
        <v>1800</v>
      </c>
      <c r="C1844" s="46">
        <v>46140</v>
      </c>
      <c r="D1844" s="9" t="s">
        <v>238</v>
      </c>
      <c r="E1844" s="56" t="s">
        <v>529</v>
      </c>
      <c r="F1844" s="18" t="s">
        <v>58</v>
      </c>
      <c r="G1844" s="18" t="s">
        <v>255</v>
      </c>
      <c r="H1844" s="18" t="s">
        <v>530</v>
      </c>
      <c r="I1844" s="56" t="s">
        <v>2</v>
      </c>
      <c r="J1844" s="9">
        <v>3</v>
      </c>
      <c r="K1844" s="9" t="s">
        <v>550</v>
      </c>
      <c r="L1844" s="37">
        <v>30</v>
      </c>
      <c r="M1844" s="64" t="s">
        <v>1002</v>
      </c>
      <c r="N1844" s="4"/>
    </row>
    <row r="1845" spans="1:14" ht="24" customHeight="1">
      <c r="A1845" s="8">
        <v>1801</v>
      </c>
      <c r="B1845" s="9">
        <v>1801</v>
      </c>
      <c r="C1845" s="46">
        <v>46140</v>
      </c>
      <c r="D1845" s="9" t="s">
        <v>238</v>
      </c>
      <c r="E1845" s="56" t="s">
        <v>529</v>
      </c>
      <c r="F1845" s="18" t="s">
        <v>58</v>
      </c>
      <c r="G1845" s="18" t="s">
        <v>255</v>
      </c>
      <c r="H1845" s="18" t="s">
        <v>530</v>
      </c>
      <c r="I1845" s="56" t="s">
        <v>2</v>
      </c>
      <c r="J1845" s="9">
        <v>3</v>
      </c>
      <c r="K1845" s="9" t="s">
        <v>550</v>
      </c>
      <c r="L1845" s="37">
        <v>15</v>
      </c>
      <c r="M1845" s="64" t="s">
        <v>1002</v>
      </c>
      <c r="N1845" s="4"/>
    </row>
    <row r="1846" spans="1:14" ht="24" customHeight="1">
      <c r="A1846" s="8">
        <v>1802</v>
      </c>
      <c r="B1846" s="9">
        <v>1802</v>
      </c>
      <c r="C1846" s="46">
        <v>46140</v>
      </c>
      <c r="D1846" s="9" t="s">
        <v>238</v>
      </c>
      <c r="E1846" s="56" t="s">
        <v>529</v>
      </c>
      <c r="F1846" s="18" t="s">
        <v>58</v>
      </c>
      <c r="G1846" s="18" t="s">
        <v>255</v>
      </c>
      <c r="H1846" s="18" t="s">
        <v>530</v>
      </c>
      <c r="I1846" s="56" t="s">
        <v>2</v>
      </c>
      <c r="J1846" s="9">
        <v>1</v>
      </c>
      <c r="K1846" s="9" t="s">
        <v>363</v>
      </c>
      <c r="L1846" s="37">
        <v>40</v>
      </c>
      <c r="M1846" s="64" t="s">
        <v>1002</v>
      </c>
      <c r="N1846" s="4"/>
    </row>
    <row r="1847" spans="1:14" ht="24" customHeight="1">
      <c r="A1847" s="8">
        <v>1803</v>
      </c>
      <c r="B1847" s="9">
        <v>1803</v>
      </c>
      <c r="C1847" s="46">
        <v>46140</v>
      </c>
      <c r="D1847" s="9" t="s">
        <v>238</v>
      </c>
      <c r="E1847" s="56" t="s">
        <v>529</v>
      </c>
      <c r="F1847" s="18" t="s">
        <v>58</v>
      </c>
      <c r="G1847" s="18" t="s">
        <v>255</v>
      </c>
      <c r="H1847" s="18" t="s">
        <v>530</v>
      </c>
      <c r="I1847" s="56" t="s">
        <v>2</v>
      </c>
      <c r="J1847" s="9">
        <v>1</v>
      </c>
      <c r="K1847" s="9" t="s">
        <v>547</v>
      </c>
      <c r="L1847" s="37">
        <v>20</v>
      </c>
      <c r="M1847" s="64" t="s">
        <v>1002</v>
      </c>
      <c r="N1847" s="4"/>
    </row>
    <row r="1848" spans="1:14" ht="24" customHeight="1">
      <c r="A1848" s="8">
        <v>1804</v>
      </c>
      <c r="B1848" s="9">
        <v>1804</v>
      </c>
      <c r="C1848" s="46">
        <v>46140</v>
      </c>
      <c r="D1848" s="9" t="s">
        <v>238</v>
      </c>
      <c r="E1848" s="56" t="s">
        <v>529</v>
      </c>
      <c r="F1848" s="18" t="s">
        <v>58</v>
      </c>
      <c r="G1848" s="18" t="s">
        <v>255</v>
      </c>
      <c r="H1848" s="18" t="s">
        <v>530</v>
      </c>
      <c r="I1848" s="56" t="s">
        <v>2</v>
      </c>
      <c r="J1848" s="9">
        <v>1</v>
      </c>
      <c r="K1848" s="9" t="s">
        <v>363</v>
      </c>
      <c r="L1848" s="37">
        <v>20</v>
      </c>
      <c r="M1848" s="64" t="s">
        <v>1002</v>
      </c>
      <c r="N1848" s="4"/>
    </row>
    <row r="1849" spans="1:14" ht="24" customHeight="1">
      <c r="A1849" s="8">
        <v>1805</v>
      </c>
      <c r="B1849" s="9">
        <v>1805</v>
      </c>
      <c r="C1849" s="46">
        <v>46140</v>
      </c>
      <c r="D1849" s="9" t="s">
        <v>238</v>
      </c>
      <c r="E1849" s="56" t="s">
        <v>529</v>
      </c>
      <c r="F1849" s="18" t="s">
        <v>58</v>
      </c>
      <c r="G1849" s="18" t="s">
        <v>255</v>
      </c>
      <c r="H1849" s="18" t="s">
        <v>530</v>
      </c>
      <c r="I1849" s="56" t="s">
        <v>2</v>
      </c>
      <c r="J1849" s="9">
        <v>3</v>
      </c>
      <c r="K1849" s="9" t="s">
        <v>550</v>
      </c>
      <c r="L1849" s="37">
        <v>20</v>
      </c>
      <c r="M1849" s="64" t="s">
        <v>1002</v>
      </c>
      <c r="N1849" s="4"/>
    </row>
    <row r="1850" spans="1:14" ht="24" customHeight="1">
      <c r="A1850" s="8">
        <v>1806</v>
      </c>
      <c r="B1850" s="9">
        <v>1806</v>
      </c>
      <c r="C1850" s="46">
        <v>46140</v>
      </c>
      <c r="D1850" s="9" t="s">
        <v>238</v>
      </c>
      <c r="E1850" s="56" t="s">
        <v>529</v>
      </c>
      <c r="F1850" s="18" t="s">
        <v>58</v>
      </c>
      <c r="G1850" s="18" t="s">
        <v>255</v>
      </c>
      <c r="H1850" s="18" t="s">
        <v>530</v>
      </c>
      <c r="I1850" s="56" t="s">
        <v>2</v>
      </c>
      <c r="J1850" s="9">
        <v>2</v>
      </c>
      <c r="K1850" s="9" t="s">
        <v>360</v>
      </c>
      <c r="L1850" s="37">
        <v>25</v>
      </c>
      <c r="M1850" s="64" t="s">
        <v>1002</v>
      </c>
      <c r="N1850" s="4"/>
    </row>
    <row r="1851" spans="1:14" ht="24" customHeight="1">
      <c r="A1851" s="8">
        <v>1807</v>
      </c>
      <c r="B1851" s="9">
        <v>1807</v>
      </c>
      <c r="C1851" s="46">
        <v>46140</v>
      </c>
      <c r="D1851" s="9" t="s">
        <v>238</v>
      </c>
      <c r="E1851" s="56" t="s">
        <v>529</v>
      </c>
      <c r="F1851" s="18" t="s">
        <v>58</v>
      </c>
      <c r="G1851" s="18" t="s">
        <v>255</v>
      </c>
      <c r="H1851" s="18" t="s">
        <v>530</v>
      </c>
      <c r="I1851" s="56" t="s">
        <v>2</v>
      </c>
      <c r="J1851" s="9">
        <v>1</v>
      </c>
      <c r="K1851" s="9" t="s">
        <v>352</v>
      </c>
      <c r="L1851" s="37">
        <v>25</v>
      </c>
      <c r="M1851" s="64" t="s">
        <v>1002</v>
      </c>
      <c r="N1851" s="4"/>
    </row>
    <row r="1852" spans="1:14" ht="24" customHeight="1">
      <c r="A1852" s="8">
        <v>1808</v>
      </c>
      <c r="B1852" s="9">
        <v>1808</v>
      </c>
      <c r="C1852" s="46">
        <v>46140</v>
      </c>
      <c r="D1852" s="9" t="s">
        <v>238</v>
      </c>
      <c r="E1852" s="56" t="s">
        <v>529</v>
      </c>
      <c r="F1852" s="18" t="s">
        <v>58</v>
      </c>
      <c r="G1852" s="18" t="s">
        <v>255</v>
      </c>
      <c r="H1852" s="18" t="s">
        <v>530</v>
      </c>
      <c r="I1852" s="56" t="s">
        <v>2</v>
      </c>
      <c r="J1852" s="9">
        <v>2</v>
      </c>
      <c r="K1852" s="9" t="s">
        <v>546</v>
      </c>
      <c r="L1852" s="37">
        <v>25</v>
      </c>
      <c r="M1852" s="64" t="s">
        <v>1002</v>
      </c>
      <c r="N1852" s="4"/>
    </row>
    <row r="1853" spans="1:14" ht="24" customHeight="1">
      <c r="A1853" s="8">
        <v>1809</v>
      </c>
      <c r="B1853" s="9">
        <v>1809</v>
      </c>
      <c r="C1853" s="46">
        <v>46140</v>
      </c>
      <c r="D1853" s="9" t="s">
        <v>238</v>
      </c>
      <c r="E1853" s="56" t="s">
        <v>529</v>
      </c>
      <c r="F1853" s="18" t="s">
        <v>58</v>
      </c>
      <c r="G1853" s="18" t="s">
        <v>255</v>
      </c>
      <c r="H1853" s="18" t="s">
        <v>530</v>
      </c>
      <c r="I1853" s="56" t="s">
        <v>2</v>
      </c>
      <c r="J1853" s="9">
        <v>4</v>
      </c>
      <c r="K1853" s="9" t="s">
        <v>359</v>
      </c>
      <c r="L1853" s="37">
        <v>25</v>
      </c>
      <c r="M1853" s="64" t="s">
        <v>1002</v>
      </c>
      <c r="N1853" s="4"/>
    </row>
    <row r="1854" spans="1:14" ht="24" customHeight="1">
      <c r="A1854" s="8">
        <v>1810</v>
      </c>
      <c r="B1854" s="9">
        <v>1810</v>
      </c>
      <c r="C1854" s="46">
        <v>46140</v>
      </c>
      <c r="D1854" s="9" t="s">
        <v>238</v>
      </c>
      <c r="E1854" s="56" t="s">
        <v>529</v>
      </c>
      <c r="F1854" s="18" t="s">
        <v>58</v>
      </c>
      <c r="G1854" s="18" t="s">
        <v>255</v>
      </c>
      <c r="H1854" s="18" t="s">
        <v>530</v>
      </c>
      <c r="I1854" s="56" t="s">
        <v>2</v>
      </c>
      <c r="J1854" s="9">
        <v>2</v>
      </c>
      <c r="K1854" s="9" t="s">
        <v>360</v>
      </c>
      <c r="L1854" s="37">
        <v>25</v>
      </c>
      <c r="M1854" s="64" t="s">
        <v>1002</v>
      </c>
      <c r="N1854" s="4"/>
    </row>
    <row r="1855" spans="1:14" ht="24" customHeight="1">
      <c r="A1855" s="8">
        <v>1811</v>
      </c>
      <c r="B1855" s="9">
        <v>1811</v>
      </c>
      <c r="C1855" s="46">
        <v>46140</v>
      </c>
      <c r="D1855" s="9" t="s">
        <v>238</v>
      </c>
      <c r="E1855" s="56" t="s">
        <v>529</v>
      </c>
      <c r="F1855" s="18" t="s">
        <v>58</v>
      </c>
      <c r="G1855" s="18" t="s">
        <v>255</v>
      </c>
      <c r="H1855" s="18" t="s">
        <v>530</v>
      </c>
      <c r="I1855" s="56" t="s">
        <v>2</v>
      </c>
      <c r="J1855" s="9">
        <v>1</v>
      </c>
      <c r="K1855" s="9" t="s">
        <v>352</v>
      </c>
      <c r="L1855" s="37">
        <v>25</v>
      </c>
      <c r="M1855" s="64" t="s">
        <v>1002</v>
      </c>
      <c r="N1855" s="4"/>
    </row>
    <row r="1856" spans="1:14" ht="24" customHeight="1">
      <c r="A1856" s="8">
        <v>1812</v>
      </c>
      <c r="B1856" s="9">
        <v>1812</v>
      </c>
      <c r="C1856" s="46">
        <v>46140</v>
      </c>
      <c r="D1856" s="9" t="s">
        <v>238</v>
      </c>
      <c r="E1856" s="56" t="s">
        <v>529</v>
      </c>
      <c r="F1856" s="18" t="s">
        <v>58</v>
      </c>
      <c r="G1856" s="18" t="s">
        <v>255</v>
      </c>
      <c r="H1856" s="18" t="s">
        <v>530</v>
      </c>
      <c r="I1856" s="56" t="s">
        <v>2</v>
      </c>
      <c r="J1856" s="9">
        <v>2</v>
      </c>
      <c r="K1856" s="9" t="s">
        <v>546</v>
      </c>
      <c r="L1856" s="37">
        <v>25</v>
      </c>
      <c r="M1856" s="64" t="s">
        <v>1002</v>
      </c>
      <c r="N1856" s="4"/>
    </row>
    <row r="1857" spans="1:14" ht="24" customHeight="1">
      <c r="A1857" s="8">
        <v>1813</v>
      </c>
      <c r="B1857" s="9">
        <v>1813</v>
      </c>
      <c r="C1857" s="46">
        <v>46141</v>
      </c>
      <c r="D1857" s="9" t="s">
        <v>238</v>
      </c>
      <c r="E1857" s="56" t="s">
        <v>529</v>
      </c>
      <c r="F1857" s="18" t="s">
        <v>58</v>
      </c>
      <c r="G1857" s="18" t="s">
        <v>255</v>
      </c>
      <c r="H1857" s="18" t="s">
        <v>530</v>
      </c>
      <c r="I1857" s="56" t="s">
        <v>2</v>
      </c>
      <c r="J1857" s="9">
        <v>4</v>
      </c>
      <c r="K1857" s="9" t="s">
        <v>359</v>
      </c>
      <c r="L1857" s="37">
        <v>25</v>
      </c>
      <c r="M1857" s="64" t="s">
        <v>1002</v>
      </c>
      <c r="N1857" s="4"/>
    </row>
    <row r="1858" spans="1:14" ht="24" customHeight="1">
      <c r="A1858" s="8">
        <v>1814</v>
      </c>
      <c r="B1858" s="9">
        <v>1814</v>
      </c>
      <c r="C1858" s="46">
        <v>46141</v>
      </c>
      <c r="D1858" s="9" t="s">
        <v>238</v>
      </c>
      <c r="E1858" s="56" t="s">
        <v>529</v>
      </c>
      <c r="F1858" s="18" t="s">
        <v>58</v>
      </c>
      <c r="G1858" s="18" t="s">
        <v>255</v>
      </c>
      <c r="H1858" s="18" t="s">
        <v>530</v>
      </c>
      <c r="I1858" s="56" t="s">
        <v>2</v>
      </c>
      <c r="J1858" s="9">
        <v>1</v>
      </c>
      <c r="K1858" s="9" t="s">
        <v>363</v>
      </c>
      <c r="L1858" s="37">
        <v>25</v>
      </c>
      <c r="M1858" s="64" t="s">
        <v>1002</v>
      </c>
      <c r="N1858" s="4"/>
    </row>
    <row r="1859" spans="1:14" ht="24" customHeight="1">
      <c r="A1859" s="8">
        <v>1815</v>
      </c>
      <c r="B1859" s="9">
        <v>1815</v>
      </c>
      <c r="C1859" s="46">
        <v>46141</v>
      </c>
      <c r="D1859" s="9" t="s">
        <v>238</v>
      </c>
      <c r="E1859" s="56" t="s">
        <v>529</v>
      </c>
      <c r="F1859" s="18" t="s">
        <v>58</v>
      </c>
      <c r="G1859" s="18" t="s">
        <v>255</v>
      </c>
      <c r="H1859" s="18" t="s">
        <v>530</v>
      </c>
      <c r="I1859" s="56" t="s">
        <v>2</v>
      </c>
      <c r="J1859" s="9">
        <v>1</v>
      </c>
      <c r="K1859" s="9" t="s">
        <v>547</v>
      </c>
      <c r="L1859" s="37">
        <v>20</v>
      </c>
      <c r="M1859" s="64" t="s">
        <v>1002</v>
      </c>
      <c r="N1859" s="4"/>
    </row>
    <row r="1860" spans="1:14" ht="24" customHeight="1">
      <c r="A1860" s="8">
        <v>1816</v>
      </c>
      <c r="B1860" s="9">
        <v>1816</v>
      </c>
      <c r="C1860" s="46">
        <v>46142</v>
      </c>
      <c r="D1860" s="9" t="s">
        <v>238</v>
      </c>
      <c r="E1860" s="56" t="s">
        <v>529</v>
      </c>
      <c r="F1860" s="18" t="s">
        <v>58</v>
      </c>
      <c r="G1860" s="18" t="s">
        <v>255</v>
      </c>
      <c r="H1860" s="18" t="s">
        <v>530</v>
      </c>
      <c r="I1860" s="56" t="s">
        <v>2</v>
      </c>
      <c r="J1860" s="9">
        <v>2</v>
      </c>
      <c r="K1860" s="9" t="s">
        <v>360</v>
      </c>
      <c r="L1860" s="37">
        <v>25</v>
      </c>
      <c r="M1860" s="64" t="s">
        <v>1002</v>
      </c>
      <c r="N1860" s="4"/>
    </row>
    <row r="1861" spans="1:14" ht="24" customHeight="1">
      <c r="A1861" s="8">
        <v>1817</v>
      </c>
      <c r="B1861" s="9">
        <v>1817</v>
      </c>
      <c r="C1861" s="46">
        <v>46142</v>
      </c>
      <c r="D1861" s="9" t="s">
        <v>238</v>
      </c>
      <c r="E1861" s="56" t="s">
        <v>529</v>
      </c>
      <c r="F1861" s="18" t="s">
        <v>58</v>
      </c>
      <c r="G1861" s="18" t="s">
        <v>255</v>
      </c>
      <c r="H1861" s="18" t="s">
        <v>530</v>
      </c>
      <c r="I1861" s="56" t="s">
        <v>2</v>
      </c>
      <c r="J1861" s="9">
        <v>3</v>
      </c>
      <c r="K1861" s="9" t="s">
        <v>237</v>
      </c>
      <c r="L1861" s="37">
        <v>20</v>
      </c>
      <c r="M1861" s="64" t="s">
        <v>1002</v>
      </c>
      <c r="N1861" s="4"/>
    </row>
    <row r="1862" spans="1:14" ht="24" customHeight="1">
      <c r="A1862" s="8">
        <v>1818</v>
      </c>
      <c r="B1862" s="9">
        <v>1818</v>
      </c>
      <c r="C1862" s="46">
        <v>46142</v>
      </c>
      <c r="D1862" s="9" t="s">
        <v>238</v>
      </c>
      <c r="E1862" s="56" t="s">
        <v>529</v>
      </c>
      <c r="F1862" s="18" t="s">
        <v>58</v>
      </c>
      <c r="G1862" s="18" t="s">
        <v>255</v>
      </c>
      <c r="H1862" s="18" t="s">
        <v>530</v>
      </c>
      <c r="I1862" s="56" t="s">
        <v>2</v>
      </c>
      <c r="J1862" s="9">
        <v>1</v>
      </c>
      <c r="K1862" s="9" t="s">
        <v>352</v>
      </c>
      <c r="L1862" s="37">
        <v>25</v>
      </c>
      <c r="M1862" s="64" t="s">
        <v>1002</v>
      </c>
      <c r="N1862" s="4"/>
    </row>
    <row r="1863" spans="1:14" ht="24" customHeight="1">
      <c r="A1863" s="8">
        <v>1819</v>
      </c>
      <c r="B1863" s="9">
        <v>1819</v>
      </c>
      <c r="C1863" s="46">
        <v>46142</v>
      </c>
      <c r="D1863" s="9" t="s">
        <v>238</v>
      </c>
      <c r="E1863" s="56" t="s">
        <v>529</v>
      </c>
      <c r="F1863" s="18" t="s">
        <v>58</v>
      </c>
      <c r="G1863" s="18" t="s">
        <v>255</v>
      </c>
      <c r="H1863" s="18" t="s">
        <v>530</v>
      </c>
      <c r="I1863" s="56" t="s">
        <v>2</v>
      </c>
      <c r="J1863" s="9">
        <v>1</v>
      </c>
      <c r="K1863" s="9" t="s">
        <v>352</v>
      </c>
      <c r="L1863" s="37">
        <v>15</v>
      </c>
      <c r="M1863" s="64" t="s">
        <v>1002</v>
      </c>
      <c r="N1863" s="4"/>
    </row>
    <row r="1864" spans="1:14" ht="24" customHeight="1">
      <c r="A1864" s="8">
        <v>1820</v>
      </c>
      <c r="B1864" s="9">
        <v>1820</v>
      </c>
      <c r="C1864" s="46">
        <v>46142</v>
      </c>
      <c r="D1864" s="9" t="s">
        <v>238</v>
      </c>
      <c r="E1864" s="56" t="s">
        <v>529</v>
      </c>
      <c r="F1864" s="18" t="s">
        <v>58</v>
      </c>
      <c r="G1864" s="18" t="s">
        <v>255</v>
      </c>
      <c r="H1864" s="18" t="s">
        <v>530</v>
      </c>
      <c r="I1864" s="56" t="s">
        <v>2</v>
      </c>
      <c r="J1864" s="9">
        <v>1</v>
      </c>
      <c r="K1864" s="9" t="s">
        <v>363</v>
      </c>
      <c r="L1864" s="37">
        <v>50</v>
      </c>
      <c r="M1864" s="64" t="s">
        <v>1002</v>
      </c>
      <c r="N1864" s="4"/>
    </row>
    <row r="1865" spans="1:14" ht="24" customHeight="1">
      <c r="A1865" s="8">
        <v>1821</v>
      </c>
      <c r="B1865" s="9">
        <v>1821</v>
      </c>
      <c r="C1865" s="46">
        <v>46142</v>
      </c>
      <c r="D1865" s="9" t="s">
        <v>238</v>
      </c>
      <c r="E1865" s="56" t="s">
        <v>529</v>
      </c>
      <c r="F1865" s="18" t="s">
        <v>58</v>
      </c>
      <c r="G1865" s="18" t="s">
        <v>255</v>
      </c>
      <c r="H1865" s="18" t="s">
        <v>530</v>
      </c>
      <c r="I1865" s="56" t="s">
        <v>2</v>
      </c>
      <c r="J1865" s="9">
        <v>1</v>
      </c>
      <c r="K1865" s="9" t="s">
        <v>545</v>
      </c>
      <c r="L1865" s="37">
        <v>15</v>
      </c>
      <c r="M1865" s="64" t="s">
        <v>1002</v>
      </c>
      <c r="N1865" s="4"/>
    </row>
    <row r="1866" spans="1:14" ht="24" customHeight="1">
      <c r="A1866" s="8">
        <v>1822</v>
      </c>
      <c r="B1866" s="9">
        <v>1822</v>
      </c>
      <c r="C1866" s="46">
        <v>46142</v>
      </c>
      <c r="D1866" s="9" t="s">
        <v>238</v>
      </c>
      <c r="E1866" s="56" t="s">
        <v>529</v>
      </c>
      <c r="F1866" s="18" t="s">
        <v>58</v>
      </c>
      <c r="G1866" s="18" t="s">
        <v>255</v>
      </c>
      <c r="H1866" s="18" t="s">
        <v>530</v>
      </c>
      <c r="I1866" s="56" t="s">
        <v>2</v>
      </c>
      <c r="J1866" s="9">
        <v>2</v>
      </c>
      <c r="K1866" s="9" t="s">
        <v>241</v>
      </c>
      <c r="L1866" s="37">
        <v>50</v>
      </c>
      <c r="M1866" s="64" t="s">
        <v>1002</v>
      </c>
      <c r="N1866" s="4"/>
    </row>
    <row r="1867" spans="1:14" ht="24" customHeight="1">
      <c r="A1867" s="8">
        <v>1823</v>
      </c>
      <c r="B1867" s="9">
        <v>1823</v>
      </c>
      <c r="C1867" s="46">
        <v>46142</v>
      </c>
      <c r="D1867" s="9" t="s">
        <v>238</v>
      </c>
      <c r="E1867" s="56" t="s">
        <v>529</v>
      </c>
      <c r="F1867" s="18" t="s">
        <v>58</v>
      </c>
      <c r="G1867" s="18" t="s">
        <v>255</v>
      </c>
      <c r="H1867" s="18" t="s">
        <v>530</v>
      </c>
      <c r="I1867" s="56" t="s">
        <v>2</v>
      </c>
      <c r="J1867" s="9">
        <v>3</v>
      </c>
      <c r="K1867" s="9" t="s">
        <v>550</v>
      </c>
      <c r="L1867" s="37">
        <v>30</v>
      </c>
      <c r="M1867" s="64" t="s">
        <v>1002</v>
      </c>
      <c r="N1867" s="4"/>
    </row>
    <row r="1868" spans="1:14" ht="24" customHeight="1">
      <c r="A1868" s="8">
        <v>1824</v>
      </c>
      <c r="B1868" s="9">
        <v>1824</v>
      </c>
      <c r="C1868" s="46">
        <v>46143</v>
      </c>
      <c r="D1868" s="9" t="s">
        <v>238</v>
      </c>
      <c r="E1868" s="56" t="s">
        <v>529</v>
      </c>
      <c r="F1868" s="18" t="s">
        <v>58</v>
      </c>
      <c r="G1868" s="18" t="s">
        <v>255</v>
      </c>
      <c r="H1868" s="18" t="s">
        <v>530</v>
      </c>
      <c r="I1868" s="56" t="s">
        <v>2</v>
      </c>
      <c r="J1868" s="9">
        <v>3</v>
      </c>
      <c r="K1868" s="9" t="s">
        <v>550</v>
      </c>
      <c r="L1868" s="37">
        <v>15</v>
      </c>
      <c r="M1868" s="64" t="s">
        <v>1002</v>
      </c>
      <c r="N1868" s="4"/>
    </row>
    <row r="1869" spans="1:14" ht="24" customHeight="1">
      <c r="A1869" s="8">
        <v>1825</v>
      </c>
      <c r="B1869" s="9">
        <v>1825</v>
      </c>
      <c r="C1869" s="46">
        <v>46143</v>
      </c>
      <c r="D1869" s="9" t="s">
        <v>238</v>
      </c>
      <c r="E1869" s="56" t="s">
        <v>529</v>
      </c>
      <c r="F1869" s="18" t="s">
        <v>58</v>
      </c>
      <c r="G1869" s="18" t="s">
        <v>255</v>
      </c>
      <c r="H1869" s="18" t="s">
        <v>530</v>
      </c>
      <c r="I1869" s="56" t="s">
        <v>2</v>
      </c>
      <c r="J1869" s="9">
        <v>1</v>
      </c>
      <c r="K1869" s="9" t="s">
        <v>363</v>
      </c>
      <c r="L1869" s="37">
        <v>40</v>
      </c>
      <c r="M1869" s="64" t="s">
        <v>1002</v>
      </c>
      <c r="N1869" s="4"/>
    </row>
    <row r="1870" spans="1:14" ht="24" customHeight="1">
      <c r="A1870" s="8">
        <v>1826</v>
      </c>
      <c r="B1870" s="9">
        <v>1826</v>
      </c>
      <c r="C1870" s="46">
        <v>46143</v>
      </c>
      <c r="D1870" s="9" t="s">
        <v>238</v>
      </c>
      <c r="E1870" s="56" t="s">
        <v>529</v>
      </c>
      <c r="F1870" s="18" t="s">
        <v>58</v>
      </c>
      <c r="G1870" s="18" t="s">
        <v>255</v>
      </c>
      <c r="H1870" s="18" t="s">
        <v>530</v>
      </c>
      <c r="I1870" s="56" t="s">
        <v>2</v>
      </c>
      <c r="J1870" s="9">
        <v>1</v>
      </c>
      <c r="K1870" s="9" t="s">
        <v>547</v>
      </c>
      <c r="L1870" s="37">
        <v>20</v>
      </c>
      <c r="M1870" s="64" t="s">
        <v>1002</v>
      </c>
      <c r="N1870" s="4"/>
    </row>
    <row r="1871" spans="1:14" ht="24" customHeight="1">
      <c r="A1871" s="8">
        <v>1827</v>
      </c>
      <c r="B1871" s="9">
        <v>1827</v>
      </c>
      <c r="C1871" s="46">
        <v>46143</v>
      </c>
      <c r="D1871" s="9" t="s">
        <v>238</v>
      </c>
      <c r="E1871" s="56" t="s">
        <v>529</v>
      </c>
      <c r="F1871" s="18" t="s">
        <v>58</v>
      </c>
      <c r="G1871" s="18" t="s">
        <v>255</v>
      </c>
      <c r="H1871" s="18" t="s">
        <v>530</v>
      </c>
      <c r="I1871" s="56" t="s">
        <v>2</v>
      </c>
      <c r="J1871" s="9">
        <v>1</v>
      </c>
      <c r="K1871" s="9" t="s">
        <v>363</v>
      </c>
      <c r="L1871" s="37">
        <v>20</v>
      </c>
      <c r="M1871" s="64" t="s">
        <v>1002</v>
      </c>
      <c r="N1871" s="4"/>
    </row>
    <row r="1872" spans="1:14" ht="24" customHeight="1">
      <c r="A1872" s="8">
        <v>1828</v>
      </c>
      <c r="B1872" s="9">
        <v>1828</v>
      </c>
      <c r="C1872" s="46">
        <v>46143</v>
      </c>
      <c r="D1872" s="9" t="s">
        <v>238</v>
      </c>
      <c r="E1872" s="56" t="s">
        <v>529</v>
      </c>
      <c r="F1872" s="18" t="s">
        <v>58</v>
      </c>
      <c r="G1872" s="18" t="s">
        <v>255</v>
      </c>
      <c r="H1872" s="18" t="s">
        <v>530</v>
      </c>
      <c r="I1872" s="56" t="s">
        <v>2</v>
      </c>
      <c r="J1872" s="9">
        <v>3</v>
      </c>
      <c r="K1872" s="9" t="s">
        <v>550</v>
      </c>
      <c r="L1872" s="37">
        <v>20</v>
      </c>
      <c r="M1872" s="64" t="s">
        <v>1002</v>
      </c>
      <c r="N1872" s="4"/>
    </row>
    <row r="1873" spans="1:14" ht="24" customHeight="1">
      <c r="A1873" s="8">
        <v>1829</v>
      </c>
      <c r="B1873" s="9">
        <v>1829</v>
      </c>
      <c r="C1873" s="46">
        <v>46143</v>
      </c>
      <c r="D1873" s="9" t="s">
        <v>238</v>
      </c>
      <c r="E1873" s="56" t="s">
        <v>529</v>
      </c>
      <c r="F1873" s="18" t="s">
        <v>58</v>
      </c>
      <c r="G1873" s="18" t="s">
        <v>255</v>
      </c>
      <c r="H1873" s="18" t="s">
        <v>530</v>
      </c>
      <c r="I1873" s="56" t="s">
        <v>2</v>
      </c>
      <c r="J1873" s="9">
        <v>2</v>
      </c>
      <c r="K1873" s="9" t="s">
        <v>360</v>
      </c>
      <c r="L1873" s="37">
        <v>25</v>
      </c>
      <c r="M1873" s="64" t="s">
        <v>1002</v>
      </c>
      <c r="N1873" s="4"/>
    </row>
    <row r="1874" spans="1:14" ht="24" customHeight="1">
      <c r="A1874" s="8">
        <v>1830</v>
      </c>
      <c r="B1874" s="9">
        <v>1830</v>
      </c>
      <c r="C1874" s="46">
        <v>46143</v>
      </c>
      <c r="D1874" s="9" t="s">
        <v>238</v>
      </c>
      <c r="E1874" s="56" t="s">
        <v>529</v>
      </c>
      <c r="F1874" s="18" t="s">
        <v>58</v>
      </c>
      <c r="G1874" s="18" t="s">
        <v>255</v>
      </c>
      <c r="H1874" s="18" t="s">
        <v>530</v>
      </c>
      <c r="I1874" s="56" t="s">
        <v>2</v>
      </c>
      <c r="J1874" s="9">
        <v>1</v>
      </c>
      <c r="K1874" s="9" t="s">
        <v>352</v>
      </c>
      <c r="L1874" s="37">
        <v>25</v>
      </c>
      <c r="M1874" s="64" t="s">
        <v>1002</v>
      </c>
      <c r="N1874" s="4"/>
    </row>
    <row r="1875" spans="1:14" ht="24" customHeight="1">
      <c r="A1875" s="8">
        <v>1831</v>
      </c>
      <c r="B1875" s="9">
        <v>1831</v>
      </c>
      <c r="C1875" s="46">
        <v>46144</v>
      </c>
      <c r="D1875" s="9" t="s">
        <v>238</v>
      </c>
      <c r="E1875" s="56" t="s">
        <v>529</v>
      </c>
      <c r="F1875" s="18" t="s">
        <v>58</v>
      </c>
      <c r="G1875" s="18" t="s">
        <v>255</v>
      </c>
      <c r="H1875" s="18" t="s">
        <v>530</v>
      </c>
      <c r="I1875" s="56" t="s">
        <v>2</v>
      </c>
      <c r="J1875" s="9">
        <v>2</v>
      </c>
      <c r="K1875" s="9" t="s">
        <v>546</v>
      </c>
      <c r="L1875" s="37">
        <v>25</v>
      </c>
      <c r="M1875" s="64" t="s">
        <v>1002</v>
      </c>
      <c r="N1875" s="4"/>
    </row>
    <row r="1876" spans="1:14" ht="24" customHeight="1">
      <c r="A1876" s="8">
        <v>1832</v>
      </c>
      <c r="B1876" s="9">
        <v>1832</v>
      </c>
      <c r="C1876" s="46">
        <v>46144</v>
      </c>
      <c r="D1876" s="9" t="s">
        <v>109</v>
      </c>
      <c r="E1876" s="56" t="s">
        <v>32</v>
      </c>
      <c r="F1876" s="18" t="s">
        <v>29</v>
      </c>
      <c r="G1876" s="18" t="s">
        <v>22</v>
      </c>
      <c r="H1876" s="18">
        <v>0</v>
      </c>
      <c r="I1876" s="56" t="s">
        <v>0</v>
      </c>
      <c r="J1876" s="9" t="s">
        <v>557</v>
      </c>
      <c r="K1876" s="9"/>
      <c r="L1876" s="37">
        <v>8</v>
      </c>
      <c r="M1876" s="64" t="s">
        <v>1002</v>
      </c>
      <c r="N1876" s="4"/>
    </row>
    <row r="1877" spans="1:14" ht="24" customHeight="1">
      <c r="A1877" s="8">
        <v>1833</v>
      </c>
      <c r="B1877" s="9">
        <v>1833</v>
      </c>
      <c r="C1877" s="46">
        <v>46144</v>
      </c>
      <c r="D1877" s="9" t="s">
        <v>238</v>
      </c>
      <c r="E1877" s="56" t="s">
        <v>529</v>
      </c>
      <c r="F1877" s="18" t="s">
        <v>58</v>
      </c>
      <c r="G1877" s="18" t="s">
        <v>255</v>
      </c>
      <c r="H1877" s="18" t="s">
        <v>530</v>
      </c>
      <c r="I1877" s="56" t="s">
        <v>2</v>
      </c>
      <c r="J1877" s="9">
        <v>2</v>
      </c>
      <c r="K1877" s="9" t="s">
        <v>360</v>
      </c>
      <c r="L1877" s="37">
        <v>25</v>
      </c>
      <c r="M1877" s="64" t="s">
        <v>1002</v>
      </c>
      <c r="N1877" s="4"/>
    </row>
    <row r="1878" spans="1:14" ht="24" customHeight="1">
      <c r="A1878" s="8">
        <v>1834</v>
      </c>
      <c r="B1878" s="9">
        <v>1834</v>
      </c>
      <c r="C1878" s="46">
        <v>46144</v>
      </c>
      <c r="D1878" s="9" t="s">
        <v>238</v>
      </c>
      <c r="E1878" s="56" t="s">
        <v>529</v>
      </c>
      <c r="F1878" s="18" t="s">
        <v>58</v>
      </c>
      <c r="G1878" s="18" t="s">
        <v>255</v>
      </c>
      <c r="H1878" s="18" t="s">
        <v>530</v>
      </c>
      <c r="I1878" s="56" t="s">
        <v>2</v>
      </c>
      <c r="J1878" s="9">
        <v>1</v>
      </c>
      <c r="K1878" s="9" t="s">
        <v>352</v>
      </c>
      <c r="L1878" s="37">
        <v>25</v>
      </c>
      <c r="M1878" s="64" t="s">
        <v>1002</v>
      </c>
      <c r="N1878" s="4"/>
    </row>
    <row r="1879" spans="1:14" ht="24" customHeight="1">
      <c r="A1879" s="8">
        <v>1835</v>
      </c>
      <c r="B1879" s="9">
        <v>1835</v>
      </c>
      <c r="C1879" s="46">
        <v>46144</v>
      </c>
      <c r="D1879" s="9" t="s">
        <v>238</v>
      </c>
      <c r="E1879" s="56" t="s">
        <v>529</v>
      </c>
      <c r="F1879" s="18" t="s">
        <v>58</v>
      </c>
      <c r="G1879" s="18" t="s">
        <v>255</v>
      </c>
      <c r="H1879" s="18" t="s">
        <v>530</v>
      </c>
      <c r="I1879" s="56" t="s">
        <v>2</v>
      </c>
      <c r="J1879" s="9">
        <v>2</v>
      </c>
      <c r="K1879" s="9" t="s">
        <v>546</v>
      </c>
      <c r="L1879" s="37">
        <v>25</v>
      </c>
      <c r="M1879" s="64" t="s">
        <v>1002</v>
      </c>
      <c r="N1879" s="4"/>
    </row>
    <row r="1880" spans="1:14" ht="24" customHeight="1">
      <c r="A1880" s="8">
        <v>1836</v>
      </c>
      <c r="B1880" s="9">
        <v>1836</v>
      </c>
      <c r="C1880" s="46">
        <v>46144</v>
      </c>
      <c r="D1880" s="9" t="s">
        <v>238</v>
      </c>
      <c r="E1880" s="56" t="s">
        <v>529</v>
      </c>
      <c r="F1880" s="18" t="s">
        <v>58</v>
      </c>
      <c r="G1880" s="18" t="s">
        <v>255</v>
      </c>
      <c r="H1880" s="18" t="s">
        <v>530</v>
      </c>
      <c r="I1880" s="56" t="s">
        <v>2</v>
      </c>
      <c r="J1880" s="9">
        <v>4</v>
      </c>
      <c r="K1880" s="9" t="s">
        <v>359</v>
      </c>
      <c r="L1880" s="37">
        <v>25</v>
      </c>
      <c r="M1880" s="64" t="s">
        <v>1002</v>
      </c>
      <c r="N1880" s="4"/>
    </row>
    <row r="1881" spans="1:14" ht="24" customHeight="1">
      <c r="A1881" s="8">
        <v>1837</v>
      </c>
      <c r="B1881" s="9">
        <v>1837</v>
      </c>
      <c r="C1881" s="46">
        <v>46144</v>
      </c>
      <c r="D1881" s="9" t="s">
        <v>238</v>
      </c>
      <c r="E1881" s="56" t="s">
        <v>529</v>
      </c>
      <c r="F1881" s="18" t="s">
        <v>58</v>
      </c>
      <c r="G1881" s="18" t="s">
        <v>255</v>
      </c>
      <c r="H1881" s="18" t="s">
        <v>530</v>
      </c>
      <c r="I1881" s="56" t="s">
        <v>2</v>
      </c>
      <c r="J1881" s="9">
        <v>1</v>
      </c>
      <c r="K1881" s="9" t="s">
        <v>363</v>
      </c>
      <c r="L1881" s="37">
        <v>25</v>
      </c>
      <c r="M1881" s="64" t="s">
        <v>1002</v>
      </c>
      <c r="N1881" s="4"/>
    </row>
    <row r="1882" spans="1:14" ht="24" customHeight="1">
      <c r="A1882" s="8">
        <v>1838</v>
      </c>
      <c r="B1882" s="9">
        <v>1838</v>
      </c>
      <c r="C1882" s="46">
        <v>46144</v>
      </c>
      <c r="D1882" s="9" t="s">
        <v>238</v>
      </c>
      <c r="E1882" s="56" t="s">
        <v>529</v>
      </c>
      <c r="F1882" s="18" t="s">
        <v>58</v>
      </c>
      <c r="G1882" s="18" t="s">
        <v>255</v>
      </c>
      <c r="H1882" s="18" t="s">
        <v>530</v>
      </c>
      <c r="I1882" s="56" t="s">
        <v>2</v>
      </c>
      <c r="J1882" s="9">
        <v>1</v>
      </c>
      <c r="K1882" s="9" t="s">
        <v>547</v>
      </c>
      <c r="L1882" s="37">
        <v>20</v>
      </c>
      <c r="M1882" s="64" t="s">
        <v>1002</v>
      </c>
      <c r="N1882" s="4"/>
    </row>
    <row r="1883" spans="1:14" ht="24" customHeight="1">
      <c r="A1883" s="8">
        <v>1839</v>
      </c>
      <c r="B1883" s="9">
        <v>1839</v>
      </c>
      <c r="C1883" s="46">
        <v>46144</v>
      </c>
      <c r="D1883" s="9" t="s">
        <v>238</v>
      </c>
      <c r="E1883" s="56" t="s">
        <v>529</v>
      </c>
      <c r="F1883" s="18" t="s">
        <v>58</v>
      </c>
      <c r="G1883" s="18" t="s">
        <v>255</v>
      </c>
      <c r="H1883" s="18" t="s">
        <v>530</v>
      </c>
      <c r="I1883" s="56" t="s">
        <v>2</v>
      </c>
      <c r="J1883" s="9">
        <v>1</v>
      </c>
      <c r="K1883" s="9" t="s">
        <v>363</v>
      </c>
      <c r="L1883" s="37">
        <v>15</v>
      </c>
      <c r="M1883" s="64" t="s">
        <v>1002</v>
      </c>
      <c r="N1883" s="4"/>
    </row>
    <row r="1884" spans="1:14" ht="24" customHeight="1">
      <c r="A1884" s="8">
        <v>1840</v>
      </c>
      <c r="B1884" s="9">
        <v>1840</v>
      </c>
      <c r="C1884" s="46">
        <v>46144</v>
      </c>
      <c r="D1884" s="9" t="s">
        <v>238</v>
      </c>
      <c r="E1884" s="56" t="s">
        <v>529</v>
      </c>
      <c r="F1884" s="18" t="s">
        <v>58</v>
      </c>
      <c r="G1884" s="18" t="s">
        <v>255</v>
      </c>
      <c r="H1884" s="18" t="s">
        <v>530</v>
      </c>
      <c r="I1884" s="56" t="s">
        <v>2</v>
      </c>
      <c r="J1884" s="9">
        <v>3</v>
      </c>
      <c r="K1884" s="9" t="s">
        <v>550</v>
      </c>
      <c r="L1884" s="37">
        <v>15</v>
      </c>
      <c r="M1884" s="64" t="s">
        <v>1002</v>
      </c>
      <c r="N1884" s="4"/>
    </row>
    <row r="1885" spans="1:14" ht="24" customHeight="1">
      <c r="A1885" s="8">
        <v>1841</v>
      </c>
      <c r="B1885" s="9">
        <v>1841</v>
      </c>
      <c r="C1885" s="46">
        <v>46144</v>
      </c>
      <c r="D1885" s="9" t="s">
        <v>238</v>
      </c>
      <c r="E1885" s="56" t="s">
        <v>529</v>
      </c>
      <c r="F1885" s="18" t="s">
        <v>58</v>
      </c>
      <c r="G1885" s="18" t="s">
        <v>255</v>
      </c>
      <c r="H1885" s="18" t="s">
        <v>530</v>
      </c>
      <c r="I1885" s="56" t="s">
        <v>2</v>
      </c>
      <c r="J1885" s="9">
        <v>2</v>
      </c>
      <c r="K1885" s="9" t="s">
        <v>360</v>
      </c>
      <c r="L1885" s="37">
        <v>20</v>
      </c>
      <c r="M1885" s="64" t="s">
        <v>1002</v>
      </c>
      <c r="N1885" s="4"/>
    </row>
    <row r="1886" spans="1:14" ht="24" customHeight="1">
      <c r="A1886" s="8">
        <v>1842</v>
      </c>
      <c r="B1886" s="9">
        <v>1842</v>
      </c>
      <c r="C1886" s="46">
        <v>46145</v>
      </c>
      <c r="D1886" s="9" t="s">
        <v>238</v>
      </c>
      <c r="E1886" s="56" t="s">
        <v>529</v>
      </c>
      <c r="F1886" s="18" t="s">
        <v>58</v>
      </c>
      <c r="G1886" s="18" t="s">
        <v>255</v>
      </c>
      <c r="H1886" s="18" t="s">
        <v>530</v>
      </c>
      <c r="I1886" s="56" t="s">
        <v>2</v>
      </c>
      <c r="J1886" s="9">
        <v>1</v>
      </c>
      <c r="K1886" s="9" t="s">
        <v>352</v>
      </c>
      <c r="L1886" s="37">
        <v>20</v>
      </c>
      <c r="M1886" s="64" t="s">
        <v>1002</v>
      </c>
      <c r="N1886" s="4"/>
    </row>
    <row r="1887" spans="1:14" ht="24" customHeight="1">
      <c r="A1887" s="8">
        <v>1843</v>
      </c>
      <c r="B1887" s="9">
        <v>1843</v>
      </c>
      <c r="C1887" s="46">
        <v>46145</v>
      </c>
      <c r="D1887" s="9" t="s">
        <v>238</v>
      </c>
      <c r="E1887" s="56" t="s">
        <v>529</v>
      </c>
      <c r="F1887" s="18" t="s">
        <v>58</v>
      </c>
      <c r="G1887" s="18" t="s">
        <v>255</v>
      </c>
      <c r="H1887" s="18" t="s">
        <v>530</v>
      </c>
      <c r="I1887" s="56" t="s">
        <v>2</v>
      </c>
      <c r="J1887" s="9">
        <v>1</v>
      </c>
      <c r="K1887" s="9" t="s">
        <v>352</v>
      </c>
      <c r="L1887" s="37">
        <v>25</v>
      </c>
      <c r="M1887" s="64" t="s">
        <v>1002</v>
      </c>
      <c r="N1887" s="4"/>
    </row>
    <row r="1888" spans="1:14" ht="24" customHeight="1">
      <c r="A1888" s="8">
        <v>1844</v>
      </c>
      <c r="B1888" s="9">
        <v>1844</v>
      </c>
      <c r="C1888" s="46">
        <v>46145</v>
      </c>
      <c r="D1888" s="9" t="s">
        <v>238</v>
      </c>
      <c r="E1888" s="56" t="s">
        <v>529</v>
      </c>
      <c r="F1888" s="18" t="s">
        <v>58</v>
      </c>
      <c r="G1888" s="18" t="s">
        <v>255</v>
      </c>
      <c r="H1888" s="18" t="s">
        <v>530</v>
      </c>
      <c r="I1888" s="56" t="s">
        <v>2</v>
      </c>
      <c r="J1888" s="9">
        <v>2</v>
      </c>
      <c r="K1888" s="9" t="s">
        <v>546</v>
      </c>
      <c r="L1888" s="37">
        <v>25</v>
      </c>
      <c r="M1888" s="64" t="s">
        <v>1002</v>
      </c>
      <c r="N1888" s="4"/>
    </row>
    <row r="1889" spans="1:14" ht="24" customHeight="1">
      <c r="A1889" s="8">
        <v>1845</v>
      </c>
      <c r="B1889" s="9">
        <v>1845</v>
      </c>
      <c r="C1889" s="46">
        <v>46145</v>
      </c>
      <c r="D1889" s="9" t="s">
        <v>238</v>
      </c>
      <c r="E1889" s="56" t="s">
        <v>529</v>
      </c>
      <c r="F1889" s="18" t="s">
        <v>58</v>
      </c>
      <c r="G1889" s="18" t="s">
        <v>255</v>
      </c>
      <c r="H1889" s="18" t="s">
        <v>530</v>
      </c>
      <c r="I1889" s="56" t="s">
        <v>2</v>
      </c>
      <c r="J1889" s="9">
        <v>4</v>
      </c>
      <c r="K1889" s="9" t="s">
        <v>359</v>
      </c>
      <c r="L1889" s="37">
        <v>25</v>
      </c>
      <c r="M1889" s="64" t="s">
        <v>1002</v>
      </c>
      <c r="N1889" s="4"/>
    </row>
    <row r="1890" spans="1:14" ht="24" customHeight="1">
      <c r="A1890" s="8">
        <v>1846</v>
      </c>
      <c r="B1890" s="9">
        <v>1846</v>
      </c>
      <c r="C1890" s="46">
        <v>46145</v>
      </c>
      <c r="D1890" s="9" t="s">
        <v>238</v>
      </c>
      <c r="E1890" s="56" t="s">
        <v>529</v>
      </c>
      <c r="F1890" s="18" t="s">
        <v>58</v>
      </c>
      <c r="G1890" s="18" t="s">
        <v>255</v>
      </c>
      <c r="H1890" s="18" t="s">
        <v>530</v>
      </c>
      <c r="I1890" s="56" t="s">
        <v>2</v>
      </c>
      <c r="J1890" s="9">
        <v>2</v>
      </c>
      <c r="K1890" s="9" t="s">
        <v>360</v>
      </c>
      <c r="L1890" s="37">
        <v>25</v>
      </c>
      <c r="M1890" s="64" t="s">
        <v>1002</v>
      </c>
      <c r="N1890" s="4"/>
    </row>
    <row r="1891" spans="1:14" ht="24" customHeight="1">
      <c r="A1891" s="8">
        <v>1847</v>
      </c>
      <c r="B1891" s="9">
        <v>1847</v>
      </c>
      <c r="C1891" s="46">
        <v>46145</v>
      </c>
      <c r="D1891" s="9" t="s">
        <v>238</v>
      </c>
      <c r="E1891" s="56" t="s">
        <v>529</v>
      </c>
      <c r="F1891" s="18" t="s">
        <v>58</v>
      </c>
      <c r="G1891" s="18" t="s">
        <v>255</v>
      </c>
      <c r="H1891" s="18" t="s">
        <v>530</v>
      </c>
      <c r="I1891" s="56" t="s">
        <v>2</v>
      </c>
      <c r="J1891" s="9">
        <v>1</v>
      </c>
      <c r="K1891" s="9" t="s">
        <v>547</v>
      </c>
      <c r="L1891" s="37">
        <v>25</v>
      </c>
      <c r="M1891" s="64" t="s">
        <v>1002</v>
      </c>
      <c r="N1891" s="4"/>
    </row>
    <row r="1892" spans="1:14" ht="24" customHeight="1">
      <c r="A1892" s="8">
        <v>1848</v>
      </c>
      <c r="B1892" s="9">
        <v>1848</v>
      </c>
      <c r="C1892" s="46">
        <v>46145</v>
      </c>
      <c r="D1892" s="9" t="s">
        <v>238</v>
      </c>
      <c r="E1892" s="56" t="s">
        <v>529</v>
      </c>
      <c r="F1892" s="18" t="s">
        <v>58</v>
      </c>
      <c r="G1892" s="18" t="s">
        <v>255</v>
      </c>
      <c r="H1892" s="18" t="s">
        <v>530</v>
      </c>
      <c r="I1892" s="56" t="s">
        <v>2</v>
      </c>
      <c r="J1892" s="9">
        <v>2</v>
      </c>
      <c r="K1892" s="9" t="s">
        <v>360</v>
      </c>
      <c r="L1892" s="37">
        <v>25</v>
      </c>
      <c r="M1892" s="64" t="s">
        <v>1002</v>
      </c>
      <c r="N1892" s="4"/>
    </row>
    <row r="1893" spans="1:14" ht="24" customHeight="1">
      <c r="A1893" s="8">
        <v>1849</v>
      </c>
      <c r="B1893" s="9">
        <v>1849</v>
      </c>
      <c r="C1893" s="46">
        <v>46146</v>
      </c>
      <c r="D1893" s="9" t="s">
        <v>238</v>
      </c>
      <c r="E1893" s="56" t="s">
        <v>529</v>
      </c>
      <c r="F1893" s="18" t="s">
        <v>58</v>
      </c>
      <c r="G1893" s="18" t="s">
        <v>255</v>
      </c>
      <c r="H1893" s="18" t="s">
        <v>530</v>
      </c>
      <c r="I1893" s="56" t="s">
        <v>2</v>
      </c>
      <c r="J1893" s="9">
        <v>4</v>
      </c>
      <c r="K1893" s="9" t="s">
        <v>359</v>
      </c>
      <c r="L1893" s="37">
        <v>20</v>
      </c>
      <c r="M1893" s="64" t="s">
        <v>1002</v>
      </c>
      <c r="N1893" s="4"/>
    </row>
    <row r="1894" spans="1:14" ht="24" customHeight="1">
      <c r="A1894" s="8">
        <v>1850</v>
      </c>
      <c r="B1894" s="9">
        <v>1850</v>
      </c>
      <c r="C1894" s="46">
        <v>46146</v>
      </c>
      <c r="D1894" s="9" t="s">
        <v>238</v>
      </c>
      <c r="E1894" s="56" t="s">
        <v>529</v>
      </c>
      <c r="F1894" s="18" t="s">
        <v>58</v>
      </c>
      <c r="G1894" s="18" t="s">
        <v>255</v>
      </c>
      <c r="H1894" s="18" t="s">
        <v>530</v>
      </c>
      <c r="I1894" s="56" t="s">
        <v>2</v>
      </c>
      <c r="J1894" s="9">
        <v>1</v>
      </c>
      <c r="K1894" s="9" t="s">
        <v>363</v>
      </c>
      <c r="L1894" s="37">
        <v>15</v>
      </c>
      <c r="M1894" s="64" t="s">
        <v>1002</v>
      </c>
      <c r="N1894" s="4"/>
    </row>
    <row r="1895" spans="1:14" ht="24" customHeight="1">
      <c r="A1895" s="8">
        <v>1851</v>
      </c>
      <c r="B1895" s="9">
        <v>1851</v>
      </c>
      <c r="C1895" s="46">
        <v>46146</v>
      </c>
      <c r="D1895" s="9" t="s">
        <v>238</v>
      </c>
      <c r="E1895" s="56" t="s">
        <v>529</v>
      </c>
      <c r="F1895" s="18" t="s">
        <v>58</v>
      </c>
      <c r="G1895" s="18" t="s">
        <v>255</v>
      </c>
      <c r="H1895" s="18" t="s">
        <v>530</v>
      </c>
      <c r="I1895" s="56" t="s">
        <v>2</v>
      </c>
      <c r="J1895" s="9">
        <v>3</v>
      </c>
      <c r="K1895" s="9" t="s">
        <v>550</v>
      </c>
      <c r="L1895" s="37">
        <v>15</v>
      </c>
      <c r="M1895" s="64" t="s">
        <v>1002</v>
      </c>
      <c r="N1895" s="4"/>
    </row>
    <row r="1896" spans="1:14" ht="24" customHeight="1">
      <c r="A1896" s="8">
        <v>1852</v>
      </c>
      <c r="B1896" s="9">
        <v>1852</v>
      </c>
      <c r="C1896" s="46">
        <v>46146</v>
      </c>
      <c r="D1896" s="9" t="s">
        <v>238</v>
      </c>
      <c r="E1896" s="56" t="s">
        <v>529</v>
      </c>
      <c r="F1896" s="18" t="s">
        <v>58</v>
      </c>
      <c r="G1896" s="18" t="s">
        <v>255</v>
      </c>
      <c r="H1896" s="18" t="s">
        <v>530</v>
      </c>
      <c r="I1896" s="56" t="s">
        <v>2</v>
      </c>
      <c r="J1896" s="9">
        <v>2</v>
      </c>
      <c r="K1896" s="9" t="s">
        <v>360</v>
      </c>
      <c r="L1896" s="37">
        <v>20</v>
      </c>
      <c r="M1896" s="64" t="s">
        <v>1002</v>
      </c>
      <c r="N1896" s="4"/>
    </row>
    <row r="1897" spans="1:14" ht="24" customHeight="1">
      <c r="A1897" s="8">
        <v>1853</v>
      </c>
      <c r="B1897" s="9">
        <v>1853</v>
      </c>
      <c r="C1897" s="46">
        <v>46146</v>
      </c>
      <c r="D1897" s="9" t="s">
        <v>238</v>
      </c>
      <c r="E1897" s="56" t="s">
        <v>529</v>
      </c>
      <c r="F1897" s="18" t="s">
        <v>58</v>
      </c>
      <c r="G1897" s="18" t="s">
        <v>255</v>
      </c>
      <c r="H1897" s="18" t="s">
        <v>530</v>
      </c>
      <c r="I1897" s="56" t="s">
        <v>2</v>
      </c>
      <c r="J1897" s="9">
        <v>1</v>
      </c>
      <c r="K1897" s="9" t="s">
        <v>352</v>
      </c>
      <c r="L1897" s="37">
        <v>20</v>
      </c>
      <c r="M1897" s="64" t="s">
        <v>1002</v>
      </c>
      <c r="N1897" s="4"/>
    </row>
    <row r="1898" spans="1:14" ht="24" customHeight="1">
      <c r="A1898" s="8">
        <v>1854</v>
      </c>
      <c r="B1898" s="9">
        <v>1854</v>
      </c>
      <c r="C1898" s="46">
        <v>46146</v>
      </c>
      <c r="D1898" s="9" t="s">
        <v>238</v>
      </c>
      <c r="E1898" s="56" t="s">
        <v>529</v>
      </c>
      <c r="F1898" s="18" t="s">
        <v>58</v>
      </c>
      <c r="G1898" s="18" t="s">
        <v>255</v>
      </c>
      <c r="H1898" s="18" t="s">
        <v>530</v>
      </c>
      <c r="I1898" s="56" t="s">
        <v>2</v>
      </c>
      <c r="J1898" s="9">
        <v>1</v>
      </c>
      <c r="K1898" s="9" t="s">
        <v>352</v>
      </c>
      <c r="L1898" s="37">
        <v>25</v>
      </c>
      <c r="M1898" s="64" t="s">
        <v>1002</v>
      </c>
      <c r="N1898" s="4"/>
    </row>
    <row r="1899" spans="1:14" ht="24" customHeight="1">
      <c r="A1899" s="8">
        <v>1855</v>
      </c>
      <c r="B1899" s="9">
        <v>1855</v>
      </c>
      <c r="C1899" s="46">
        <v>46146</v>
      </c>
      <c r="D1899" s="9" t="s">
        <v>238</v>
      </c>
      <c r="E1899" s="56" t="s">
        <v>529</v>
      </c>
      <c r="F1899" s="18" t="s">
        <v>58</v>
      </c>
      <c r="G1899" s="18" t="s">
        <v>255</v>
      </c>
      <c r="H1899" s="18" t="s">
        <v>530</v>
      </c>
      <c r="I1899" s="56" t="s">
        <v>2</v>
      </c>
      <c r="J1899" s="9">
        <v>2</v>
      </c>
      <c r="K1899" s="9" t="s">
        <v>546</v>
      </c>
      <c r="L1899" s="37">
        <v>25</v>
      </c>
      <c r="M1899" s="64" t="s">
        <v>1002</v>
      </c>
      <c r="N1899" s="4"/>
    </row>
    <row r="1900" spans="1:14" ht="24" customHeight="1">
      <c r="A1900" s="8">
        <v>1856</v>
      </c>
      <c r="B1900" s="9">
        <v>1856</v>
      </c>
      <c r="C1900" s="46">
        <v>46146</v>
      </c>
      <c r="D1900" s="9" t="s">
        <v>238</v>
      </c>
      <c r="E1900" s="56" t="s">
        <v>529</v>
      </c>
      <c r="F1900" s="18" t="s">
        <v>58</v>
      </c>
      <c r="G1900" s="18" t="s">
        <v>255</v>
      </c>
      <c r="H1900" s="18" t="s">
        <v>530</v>
      </c>
      <c r="I1900" s="56" t="s">
        <v>2</v>
      </c>
      <c r="J1900" s="9">
        <v>4</v>
      </c>
      <c r="K1900" s="9" t="s">
        <v>359</v>
      </c>
      <c r="L1900" s="37">
        <v>25</v>
      </c>
      <c r="M1900" s="64" t="s">
        <v>1002</v>
      </c>
      <c r="N1900" s="4"/>
    </row>
    <row r="1901" spans="1:14" ht="24" customHeight="1">
      <c r="A1901" s="8">
        <v>1857</v>
      </c>
      <c r="B1901" s="9">
        <v>1857</v>
      </c>
      <c r="C1901" s="46">
        <v>46146</v>
      </c>
      <c r="D1901" s="9" t="s">
        <v>238</v>
      </c>
      <c r="E1901" s="56" t="s">
        <v>529</v>
      </c>
      <c r="F1901" s="18" t="s">
        <v>58</v>
      </c>
      <c r="G1901" s="18" t="s">
        <v>255</v>
      </c>
      <c r="H1901" s="18" t="s">
        <v>530</v>
      </c>
      <c r="I1901" s="56" t="s">
        <v>2</v>
      </c>
      <c r="J1901" s="9">
        <v>2</v>
      </c>
      <c r="K1901" s="9" t="s">
        <v>360</v>
      </c>
      <c r="L1901" s="37">
        <v>25</v>
      </c>
      <c r="M1901" s="64" t="s">
        <v>1002</v>
      </c>
      <c r="N1901" s="4"/>
    </row>
    <row r="1902" spans="1:14" ht="24" customHeight="1">
      <c r="A1902" s="8">
        <v>1858</v>
      </c>
      <c r="B1902" s="9">
        <v>1858</v>
      </c>
      <c r="C1902" s="46">
        <v>46147</v>
      </c>
      <c r="D1902" s="9" t="s">
        <v>238</v>
      </c>
      <c r="E1902" s="56" t="s">
        <v>529</v>
      </c>
      <c r="F1902" s="18" t="s">
        <v>58</v>
      </c>
      <c r="G1902" s="18" t="s">
        <v>255</v>
      </c>
      <c r="H1902" s="18" t="s">
        <v>530</v>
      </c>
      <c r="I1902" s="56" t="s">
        <v>2</v>
      </c>
      <c r="J1902" s="9">
        <v>1</v>
      </c>
      <c r="K1902" s="9" t="s">
        <v>547</v>
      </c>
      <c r="L1902" s="37">
        <v>25</v>
      </c>
      <c r="M1902" s="64" t="s">
        <v>1002</v>
      </c>
      <c r="N1902" s="4"/>
    </row>
    <row r="1903" spans="1:14" ht="24" customHeight="1">
      <c r="A1903" s="8">
        <v>1859</v>
      </c>
      <c r="B1903" s="9">
        <v>1859</v>
      </c>
      <c r="C1903" s="46">
        <v>46147</v>
      </c>
      <c r="D1903" s="9" t="s">
        <v>238</v>
      </c>
      <c r="E1903" s="56" t="s">
        <v>529</v>
      </c>
      <c r="F1903" s="18" t="s">
        <v>58</v>
      </c>
      <c r="G1903" s="18" t="s">
        <v>255</v>
      </c>
      <c r="H1903" s="18" t="s">
        <v>530</v>
      </c>
      <c r="I1903" s="56" t="s">
        <v>2</v>
      </c>
      <c r="J1903" s="9">
        <v>2</v>
      </c>
      <c r="K1903" s="9" t="s">
        <v>360</v>
      </c>
      <c r="L1903" s="37">
        <v>25</v>
      </c>
      <c r="M1903" s="64" t="s">
        <v>1002</v>
      </c>
      <c r="N1903" s="4"/>
    </row>
    <row r="1904" spans="1:14" ht="24" customHeight="1">
      <c r="A1904" s="8">
        <v>1860</v>
      </c>
      <c r="B1904" s="9">
        <v>1860</v>
      </c>
      <c r="C1904" s="46">
        <v>46147</v>
      </c>
      <c r="D1904" s="9" t="s">
        <v>238</v>
      </c>
      <c r="E1904" s="56" t="s">
        <v>529</v>
      </c>
      <c r="F1904" s="18" t="s">
        <v>58</v>
      </c>
      <c r="G1904" s="18" t="s">
        <v>255</v>
      </c>
      <c r="H1904" s="18" t="s">
        <v>530</v>
      </c>
      <c r="I1904" s="56" t="s">
        <v>2</v>
      </c>
      <c r="J1904" s="9">
        <v>4</v>
      </c>
      <c r="K1904" s="9" t="s">
        <v>359</v>
      </c>
      <c r="L1904" s="37">
        <v>20</v>
      </c>
      <c r="M1904" s="64" t="s">
        <v>1002</v>
      </c>
      <c r="N1904" s="4"/>
    </row>
    <row r="1905" spans="1:14" ht="24" customHeight="1">
      <c r="A1905" s="8">
        <v>1861</v>
      </c>
      <c r="B1905" s="9">
        <v>1861</v>
      </c>
      <c r="C1905" s="46">
        <v>46147</v>
      </c>
      <c r="D1905" s="9" t="s">
        <v>238</v>
      </c>
      <c r="E1905" s="56" t="s">
        <v>529</v>
      </c>
      <c r="F1905" s="18" t="s">
        <v>58</v>
      </c>
      <c r="G1905" s="18" t="s">
        <v>255</v>
      </c>
      <c r="H1905" s="18" t="s">
        <v>530</v>
      </c>
      <c r="I1905" s="56" t="s">
        <v>2</v>
      </c>
      <c r="J1905" s="9">
        <v>1</v>
      </c>
      <c r="K1905" s="9" t="s">
        <v>352</v>
      </c>
      <c r="L1905" s="37">
        <v>50</v>
      </c>
      <c r="M1905" s="64" t="s">
        <v>1002</v>
      </c>
      <c r="N1905" s="4"/>
    </row>
    <row r="1906" spans="1:14" ht="24" customHeight="1">
      <c r="A1906" s="8">
        <v>1862</v>
      </c>
      <c r="B1906" s="9">
        <v>1862</v>
      </c>
      <c r="C1906" s="46">
        <v>46147</v>
      </c>
      <c r="D1906" s="9" t="s">
        <v>238</v>
      </c>
      <c r="E1906" s="56" t="s">
        <v>529</v>
      </c>
      <c r="F1906" s="18" t="s">
        <v>58</v>
      </c>
      <c r="G1906" s="18" t="s">
        <v>255</v>
      </c>
      <c r="H1906" s="18" t="s">
        <v>530</v>
      </c>
      <c r="I1906" s="56" t="s">
        <v>2</v>
      </c>
      <c r="J1906" s="9">
        <v>2</v>
      </c>
      <c r="K1906" s="9" t="s">
        <v>546</v>
      </c>
      <c r="L1906" s="37">
        <v>25</v>
      </c>
      <c r="M1906" s="64" t="s">
        <v>1002</v>
      </c>
      <c r="N1906" s="4"/>
    </row>
    <row r="1907" spans="1:14" ht="24" customHeight="1">
      <c r="A1907" s="8">
        <v>1863</v>
      </c>
      <c r="B1907" s="9">
        <v>1863</v>
      </c>
      <c r="C1907" s="46">
        <v>46147</v>
      </c>
      <c r="D1907" s="9" t="s">
        <v>238</v>
      </c>
      <c r="E1907" s="56" t="s">
        <v>529</v>
      </c>
      <c r="F1907" s="18" t="s">
        <v>58</v>
      </c>
      <c r="G1907" s="18" t="s">
        <v>255</v>
      </c>
      <c r="H1907" s="18" t="s">
        <v>530</v>
      </c>
      <c r="I1907" s="56" t="s">
        <v>2</v>
      </c>
      <c r="J1907" s="9">
        <v>4</v>
      </c>
      <c r="K1907" s="9" t="s">
        <v>359</v>
      </c>
      <c r="L1907" s="37">
        <v>75</v>
      </c>
      <c r="M1907" s="64" t="s">
        <v>1002</v>
      </c>
      <c r="N1907" s="4"/>
    </row>
    <row r="1908" spans="1:14" ht="24" customHeight="1">
      <c r="A1908" s="8">
        <v>1864</v>
      </c>
      <c r="B1908" s="9">
        <v>1864</v>
      </c>
      <c r="C1908" s="46">
        <v>46147</v>
      </c>
      <c r="D1908" s="9" t="s">
        <v>238</v>
      </c>
      <c r="E1908" s="56" t="s">
        <v>529</v>
      </c>
      <c r="F1908" s="18" t="s">
        <v>58</v>
      </c>
      <c r="G1908" s="18" t="s">
        <v>255</v>
      </c>
      <c r="H1908" s="18" t="s">
        <v>530</v>
      </c>
      <c r="I1908" s="56" t="s">
        <v>2</v>
      </c>
      <c r="J1908" s="9">
        <v>2</v>
      </c>
      <c r="K1908" s="9" t="s">
        <v>360</v>
      </c>
      <c r="L1908" s="37">
        <v>25</v>
      </c>
      <c r="M1908" s="64" t="s">
        <v>1002</v>
      </c>
      <c r="N1908" s="4"/>
    </row>
    <row r="1909" spans="1:14" ht="24" customHeight="1">
      <c r="A1909" s="8">
        <v>1865</v>
      </c>
      <c r="B1909" s="9">
        <v>1865</v>
      </c>
      <c r="C1909" s="46">
        <v>46147</v>
      </c>
      <c r="D1909" s="9" t="s">
        <v>238</v>
      </c>
      <c r="E1909" s="56" t="s">
        <v>529</v>
      </c>
      <c r="F1909" s="18" t="s">
        <v>58</v>
      </c>
      <c r="G1909" s="18" t="s">
        <v>255</v>
      </c>
      <c r="H1909" s="18" t="s">
        <v>530</v>
      </c>
      <c r="I1909" s="56" t="s">
        <v>2</v>
      </c>
      <c r="J1909" s="9">
        <v>3</v>
      </c>
      <c r="K1909" s="9" t="s">
        <v>237</v>
      </c>
      <c r="L1909" s="37">
        <v>20</v>
      </c>
      <c r="M1909" s="64" t="s">
        <v>1002</v>
      </c>
      <c r="N1909" s="4"/>
    </row>
    <row r="1910" spans="1:14" ht="24" customHeight="1">
      <c r="A1910" s="8">
        <v>1866</v>
      </c>
      <c r="B1910" s="9">
        <v>1866</v>
      </c>
      <c r="C1910" s="46">
        <v>46148</v>
      </c>
      <c r="D1910" s="9" t="s">
        <v>238</v>
      </c>
      <c r="E1910" s="56" t="s">
        <v>529</v>
      </c>
      <c r="F1910" s="18" t="s">
        <v>58</v>
      </c>
      <c r="G1910" s="18" t="s">
        <v>255</v>
      </c>
      <c r="H1910" s="18" t="s">
        <v>530</v>
      </c>
      <c r="I1910" s="56" t="s">
        <v>2</v>
      </c>
      <c r="J1910" s="9">
        <v>1</v>
      </c>
      <c r="K1910" s="9" t="s">
        <v>352</v>
      </c>
      <c r="L1910" s="37">
        <v>25</v>
      </c>
      <c r="M1910" s="64" t="s">
        <v>1002</v>
      </c>
      <c r="N1910" s="4"/>
    </row>
    <row r="1911" spans="1:14" ht="24" customHeight="1">
      <c r="A1911" s="8">
        <v>1867</v>
      </c>
      <c r="B1911" s="9">
        <v>1867</v>
      </c>
      <c r="C1911" s="46">
        <v>46148</v>
      </c>
      <c r="D1911" s="9" t="s">
        <v>238</v>
      </c>
      <c r="E1911" s="56" t="s">
        <v>529</v>
      </c>
      <c r="F1911" s="18" t="s">
        <v>58</v>
      </c>
      <c r="G1911" s="18" t="s">
        <v>255</v>
      </c>
      <c r="H1911" s="18" t="s">
        <v>530</v>
      </c>
      <c r="I1911" s="56" t="s">
        <v>2</v>
      </c>
      <c r="J1911" s="9">
        <v>1</v>
      </c>
      <c r="K1911" s="9" t="s">
        <v>352</v>
      </c>
      <c r="L1911" s="37">
        <v>15</v>
      </c>
      <c r="M1911" s="64" t="s">
        <v>1002</v>
      </c>
      <c r="N1911" s="4"/>
    </row>
    <row r="1912" spans="1:14" ht="24" customHeight="1">
      <c r="A1912" s="8">
        <v>1868</v>
      </c>
      <c r="B1912" s="9">
        <v>1868</v>
      </c>
      <c r="C1912" s="46">
        <v>46148</v>
      </c>
      <c r="D1912" s="9" t="s">
        <v>238</v>
      </c>
      <c r="E1912" s="56" t="s">
        <v>529</v>
      </c>
      <c r="F1912" s="18" t="s">
        <v>58</v>
      </c>
      <c r="G1912" s="18" t="s">
        <v>255</v>
      </c>
      <c r="H1912" s="18" t="s">
        <v>530</v>
      </c>
      <c r="I1912" s="56" t="s">
        <v>2</v>
      </c>
      <c r="J1912" s="9">
        <v>1</v>
      </c>
      <c r="K1912" s="9" t="s">
        <v>363</v>
      </c>
      <c r="L1912" s="37">
        <v>50</v>
      </c>
      <c r="M1912" s="64" t="s">
        <v>1002</v>
      </c>
      <c r="N1912" s="4"/>
    </row>
    <row r="1913" spans="1:14" ht="24" customHeight="1">
      <c r="A1913" s="8">
        <v>1869</v>
      </c>
      <c r="B1913" s="9">
        <v>1869</v>
      </c>
      <c r="C1913" s="46">
        <v>46148</v>
      </c>
      <c r="D1913" s="9" t="s">
        <v>238</v>
      </c>
      <c r="E1913" s="56" t="s">
        <v>529</v>
      </c>
      <c r="F1913" s="18" t="s">
        <v>58</v>
      </c>
      <c r="G1913" s="18" t="s">
        <v>255</v>
      </c>
      <c r="H1913" s="18" t="s">
        <v>530</v>
      </c>
      <c r="I1913" s="56" t="s">
        <v>2</v>
      </c>
      <c r="J1913" s="9">
        <v>1</v>
      </c>
      <c r="K1913" s="9" t="s">
        <v>545</v>
      </c>
      <c r="L1913" s="37">
        <v>15</v>
      </c>
      <c r="M1913" s="64" t="s">
        <v>1002</v>
      </c>
      <c r="N1913" s="4"/>
    </row>
    <row r="1914" spans="1:14" ht="24" customHeight="1">
      <c r="A1914" s="8">
        <v>1870</v>
      </c>
      <c r="B1914" s="9">
        <v>1870</v>
      </c>
      <c r="C1914" s="46">
        <v>46148</v>
      </c>
      <c r="D1914" s="9" t="s">
        <v>238</v>
      </c>
      <c r="E1914" s="56" t="s">
        <v>529</v>
      </c>
      <c r="F1914" s="18" t="s">
        <v>58</v>
      </c>
      <c r="G1914" s="18" t="s">
        <v>255</v>
      </c>
      <c r="H1914" s="18" t="s">
        <v>530</v>
      </c>
      <c r="I1914" s="56" t="s">
        <v>2</v>
      </c>
      <c r="J1914" s="9">
        <v>2</v>
      </c>
      <c r="K1914" s="9" t="s">
        <v>241</v>
      </c>
      <c r="L1914" s="37">
        <v>50</v>
      </c>
      <c r="M1914" s="64" t="s">
        <v>1002</v>
      </c>
      <c r="N1914" s="4"/>
    </row>
    <row r="1915" spans="1:14" ht="24" customHeight="1">
      <c r="A1915" s="8">
        <v>1871</v>
      </c>
      <c r="B1915" s="9">
        <v>1871</v>
      </c>
      <c r="C1915" s="46">
        <v>46149</v>
      </c>
      <c r="D1915" s="9" t="s">
        <v>1016</v>
      </c>
      <c r="E1915" s="56" t="str">
        <f>IFERROR(VLOOKUP($D1915,본공사입.출고현황!$B:$H,E$2080,0),0)</f>
        <v>Conduit</v>
      </c>
      <c r="F1915" s="18" t="str">
        <f>IFERROR(VLOOKUP($D1915,본공사입.출고현황!$B:$H,F$2080,0),0)</f>
        <v>Conduit (Galvanized) 60.3x3.91</v>
      </c>
      <c r="G1915" s="18" t="str">
        <f>IFERROR(VLOOKUP($D1915,본공사입.출고현황!$B:$H,G$2080,0),0)</f>
        <v xml:space="preserve">Conduit (Galvanized) </v>
      </c>
      <c r="H1915" s="18" t="str">
        <f>IFERROR(VLOOKUP($D1915,본공사입.출고현황!$B:$H,H$2080,0),0)</f>
        <v>60.3x3.91</v>
      </c>
      <c r="I1915" s="56" t="str">
        <f>IFERROR(VLOOKUP($D1915,본공사입.출고현황!$B:$H,I$2080,0),0)</f>
        <v>M</v>
      </c>
      <c r="J1915" s="9" t="s">
        <v>557</v>
      </c>
      <c r="K1915" s="9" t="s">
        <v>1063</v>
      </c>
      <c r="L1915" s="37">
        <v>18</v>
      </c>
      <c r="M1915" s="64" t="s">
        <v>408</v>
      </c>
      <c r="N1915" s="4" t="s">
        <v>41</v>
      </c>
    </row>
    <row r="1916" spans="1:14" ht="24" customHeight="1">
      <c r="A1916" s="8">
        <v>1872</v>
      </c>
      <c r="B1916" s="9">
        <v>1872</v>
      </c>
      <c r="C1916" s="46">
        <v>46149</v>
      </c>
      <c r="D1916" s="9" t="s">
        <v>1008</v>
      </c>
      <c r="E1916" s="56" t="str">
        <f>IFERROR(VLOOKUP($D1916,본공사입.출고현황!$B:$H,E$2080,0),0)</f>
        <v>Conduit Fitting</v>
      </c>
      <c r="F1916" s="18" t="str">
        <f>IFERROR(VLOOKUP($D1916,본공사입.출고현황!$B:$H,F$2080,0),0)</f>
        <v xml:space="preserve">Conduit Coupling </v>
      </c>
      <c r="G1916" s="18" t="str">
        <f>IFERROR(VLOOKUP($D1916,본공사입.출고현황!$B:$H,G$2080,0),0)</f>
        <v>Conduit Coupling</v>
      </c>
      <c r="H1916" s="18" t="str">
        <f>IFERROR(VLOOKUP($D1916,본공사입.출고현황!$B:$H,H$2080,0),0)</f>
        <v>50-11 NPT</v>
      </c>
      <c r="I1916" s="56" t="str">
        <f>IFERROR(VLOOKUP($D1916,본공사입.출고현황!$B:$H,I$2080,0),0)</f>
        <v>EA</v>
      </c>
      <c r="J1916" s="9" t="s">
        <v>557</v>
      </c>
      <c r="K1916" s="9" t="s">
        <v>1063</v>
      </c>
      <c r="L1916" s="37">
        <v>9</v>
      </c>
      <c r="M1916" s="64" t="s">
        <v>408</v>
      </c>
      <c r="N1916" s="4" t="s">
        <v>41</v>
      </c>
    </row>
    <row r="1917" spans="1:14" ht="24" customHeight="1">
      <c r="A1917" s="8">
        <v>1873</v>
      </c>
      <c r="B1917" s="9">
        <v>1873</v>
      </c>
      <c r="C1917" s="46">
        <v>46149</v>
      </c>
      <c r="D1917" s="9" t="s">
        <v>238</v>
      </c>
      <c r="E1917" s="56" t="str">
        <f>IFERROR(VLOOKUP($D1917,본공사입.출고현황!$B:$H,E$2080,0),0)</f>
        <v>Steel round bar</v>
      </c>
      <c r="F1917" s="18" t="str">
        <f>IFERROR(VLOOKUP($D1917,본공사입.출고현황!$B:$H,F$2080,0),0)</f>
        <v>Steel round bar(rebar)</v>
      </c>
      <c r="G1917" s="18" t="str">
        <f>IFERROR(VLOOKUP($D1917,본공사입.출고현황!$B:$H,G$2080,0),0)</f>
        <v>CCGG</v>
      </c>
      <c r="H1917" s="18" t="str">
        <f>IFERROR(VLOOKUP($D1917,본공사입.출고현황!$B:$H,H$2080,0),0)</f>
        <v>ф10, 1ton=1,620.7m</v>
      </c>
      <c r="I1917" s="56" t="str">
        <f>IFERROR(VLOOKUP($D1917,본공사입.출고현황!$B:$H,I$2080,0),0)</f>
        <v>M</v>
      </c>
      <c r="J1917" s="9" t="s">
        <v>557</v>
      </c>
      <c r="K1917" s="9" t="s">
        <v>1063</v>
      </c>
      <c r="L1917" s="37">
        <v>25</v>
      </c>
      <c r="M1917" s="64" t="s">
        <v>1002</v>
      </c>
      <c r="N1917" s="4"/>
    </row>
    <row r="1918" spans="1:14" ht="24" customHeight="1">
      <c r="A1918" s="8">
        <v>1874</v>
      </c>
      <c r="B1918" s="9">
        <v>1874</v>
      </c>
      <c r="C1918" s="46">
        <v>46149</v>
      </c>
      <c r="D1918" s="9" t="s">
        <v>238</v>
      </c>
      <c r="E1918" s="56" t="str">
        <f>IFERROR(VLOOKUP($D1918,본공사입.출고현황!$B:$H,E$2080,0),0)</f>
        <v>Steel round bar</v>
      </c>
      <c r="F1918" s="18" t="str">
        <f>IFERROR(VLOOKUP($D1918,본공사입.출고현황!$B:$H,F$2080,0),0)</f>
        <v>Steel round bar(rebar)</v>
      </c>
      <c r="G1918" s="18" t="str">
        <f>IFERROR(VLOOKUP($D1918,본공사입.출고현황!$B:$H,G$2080,0),0)</f>
        <v>CCGG</v>
      </c>
      <c r="H1918" s="18" t="str">
        <f>IFERROR(VLOOKUP($D1918,본공사입.출고현황!$B:$H,H$2080,0),0)</f>
        <v>ф10, 1ton=1,620.7m</v>
      </c>
      <c r="I1918" s="56" t="str">
        <f>IFERROR(VLOOKUP($D1918,본공사입.출고현황!$B:$H,I$2080,0),0)</f>
        <v>M</v>
      </c>
      <c r="J1918" s="9">
        <v>1</v>
      </c>
      <c r="K1918" s="9" t="s">
        <v>547</v>
      </c>
      <c r="L1918" s="37">
        <v>25</v>
      </c>
      <c r="M1918" s="64" t="s">
        <v>1002</v>
      </c>
      <c r="N1918" s="4"/>
    </row>
    <row r="1919" spans="1:14" ht="24" customHeight="1">
      <c r="A1919" s="8">
        <v>1875</v>
      </c>
      <c r="B1919" s="9">
        <v>1875</v>
      </c>
      <c r="C1919" s="46">
        <v>46149</v>
      </c>
      <c r="D1919" s="9" t="s">
        <v>238</v>
      </c>
      <c r="E1919" s="56" t="str">
        <f>IFERROR(VLOOKUP($D1919,본공사입.출고현황!$B:$H,E$2080,0),0)</f>
        <v>Steel round bar</v>
      </c>
      <c r="F1919" s="18" t="str">
        <f>IFERROR(VLOOKUP($D1919,본공사입.출고현황!$B:$H,F$2080,0),0)</f>
        <v>Steel round bar(rebar)</v>
      </c>
      <c r="G1919" s="18" t="str">
        <f>IFERROR(VLOOKUP($D1919,본공사입.출고현황!$B:$H,G$2080,0),0)</f>
        <v>CCGG</v>
      </c>
      <c r="H1919" s="18" t="str">
        <f>IFERROR(VLOOKUP($D1919,본공사입.출고현황!$B:$H,H$2080,0),0)</f>
        <v>ф10, 1ton=1,620.7m</v>
      </c>
      <c r="I1919" s="56" t="str">
        <f>IFERROR(VLOOKUP($D1919,본공사입.출고현황!$B:$H,I$2080,0),0)</f>
        <v>M</v>
      </c>
      <c r="J1919" s="9">
        <v>1</v>
      </c>
      <c r="K1919" s="9" t="s">
        <v>363</v>
      </c>
      <c r="L1919" s="37">
        <v>25</v>
      </c>
      <c r="M1919" s="64" t="s">
        <v>1002</v>
      </c>
      <c r="N1919" s="4"/>
    </row>
    <row r="1920" spans="1:14" ht="24" customHeight="1">
      <c r="A1920" s="8">
        <v>1876</v>
      </c>
      <c r="B1920" s="9">
        <v>1876</v>
      </c>
      <c r="C1920" s="46">
        <v>46149</v>
      </c>
      <c r="D1920" s="9" t="s">
        <v>238</v>
      </c>
      <c r="E1920" s="56" t="str">
        <f>IFERROR(VLOOKUP($D1920,본공사입.출고현황!$B:$H,E$2080,0),0)</f>
        <v>Steel round bar</v>
      </c>
      <c r="F1920" s="18" t="str">
        <f>IFERROR(VLOOKUP($D1920,본공사입.출고현황!$B:$H,F$2080,0),0)</f>
        <v>Steel round bar(rebar)</v>
      </c>
      <c r="G1920" s="18" t="str">
        <f>IFERROR(VLOOKUP($D1920,본공사입.출고현황!$B:$H,G$2080,0),0)</f>
        <v>CCGG</v>
      </c>
      <c r="H1920" s="18" t="str">
        <f>IFERROR(VLOOKUP($D1920,본공사입.출고현황!$B:$H,H$2080,0),0)</f>
        <v>ф10, 1ton=1,620.7m</v>
      </c>
      <c r="I1920" s="56" t="str">
        <f>IFERROR(VLOOKUP($D1920,본공사입.출고현황!$B:$H,I$2080,0),0)</f>
        <v>M</v>
      </c>
      <c r="J1920" s="9">
        <v>3</v>
      </c>
      <c r="K1920" s="9" t="s">
        <v>550</v>
      </c>
      <c r="L1920" s="37">
        <v>25</v>
      </c>
      <c r="M1920" s="64" t="s">
        <v>1002</v>
      </c>
      <c r="N1920" s="4"/>
    </row>
    <row r="1921" spans="1:14" ht="24" customHeight="1">
      <c r="A1921" s="8">
        <v>1877</v>
      </c>
      <c r="B1921" s="9">
        <v>1877</v>
      </c>
      <c r="C1921" s="46">
        <v>46149</v>
      </c>
      <c r="D1921" s="9" t="s">
        <v>238</v>
      </c>
      <c r="E1921" s="56" t="str">
        <f>IFERROR(VLOOKUP($D1921,본공사입.출고현황!$B:$H,E$2080,0),0)</f>
        <v>Steel round bar</v>
      </c>
      <c r="F1921" s="18" t="str">
        <f>IFERROR(VLOOKUP($D1921,본공사입.출고현황!$B:$H,F$2080,0),0)</f>
        <v>Steel round bar(rebar)</v>
      </c>
      <c r="G1921" s="18" t="str">
        <f>IFERROR(VLOOKUP($D1921,본공사입.출고현황!$B:$H,G$2080,0),0)</f>
        <v>CCGG</v>
      </c>
      <c r="H1921" s="18" t="str">
        <f>IFERROR(VLOOKUP($D1921,본공사입.출고현황!$B:$H,H$2080,0),0)</f>
        <v>ф10, 1ton=1,620.7m</v>
      </c>
      <c r="I1921" s="56" t="str">
        <f>IFERROR(VLOOKUP($D1921,본공사입.출고현황!$B:$H,I$2080,0),0)</f>
        <v>M</v>
      </c>
      <c r="J1921" s="9">
        <v>2</v>
      </c>
      <c r="K1921" s="9" t="s">
        <v>360</v>
      </c>
      <c r="L1921" s="37">
        <v>20</v>
      </c>
      <c r="M1921" s="64" t="s">
        <v>1002</v>
      </c>
      <c r="N1921" s="4"/>
    </row>
    <row r="1922" spans="1:14" ht="24" customHeight="1">
      <c r="A1922" s="8">
        <v>1878</v>
      </c>
      <c r="B1922" s="9">
        <v>1878</v>
      </c>
      <c r="C1922" s="46">
        <v>46149</v>
      </c>
      <c r="D1922" s="9" t="s">
        <v>238</v>
      </c>
      <c r="E1922" s="56" t="str">
        <f>IFERROR(VLOOKUP($D1922,본공사입.출고현황!$B:$H,E$2080,0),0)</f>
        <v>Steel round bar</v>
      </c>
      <c r="F1922" s="18" t="str">
        <f>IFERROR(VLOOKUP($D1922,본공사입.출고현황!$B:$H,F$2080,0),0)</f>
        <v>Steel round bar(rebar)</v>
      </c>
      <c r="G1922" s="18" t="str">
        <f>IFERROR(VLOOKUP($D1922,본공사입.출고현황!$B:$H,G$2080,0),0)</f>
        <v>CCGG</v>
      </c>
      <c r="H1922" s="18" t="str">
        <f>IFERROR(VLOOKUP($D1922,본공사입.출고현황!$B:$H,H$2080,0),0)</f>
        <v>ф10, 1ton=1,620.7m</v>
      </c>
      <c r="I1922" s="56" t="str">
        <f>IFERROR(VLOOKUP($D1922,본공사입.출고현황!$B:$H,I$2080,0),0)</f>
        <v>M</v>
      </c>
      <c r="J1922" s="9">
        <v>1</v>
      </c>
      <c r="K1922" s="9" t="s">
        <v>352</v>
      </c>
      <c r="L1922" s="37">
        <v>30</v>
      </c>
      <c r="M1922" s="64" t="s">
        <v>1002</v>
      </c>
      <c r="N1922" s="4"/>
    </row>
    <row r="1923" spans="1:14" ht="24" customHeight="1">
      <c r="A1923" s="8">
        <v>1879</v>
      </c>
      <c r="B1923" s="9">
        <v>1879</v>
      </c>
      <c r="C1923" s="46">
        <v>46149</v>
      </c>
      <c r="D1923" s="9" t="s">
        <v>238</v>
      </c>
      <c r="E1923" s="56" t="str">
        <f>IFERROR(VLOOKUP($D1923,본공사입.출고현황!$B:$H,E$2080,0),0)</f>
        <v>Steel round bar</v>
      </c>
      <c r="F1923" s="18" t="str">
        <f>IFERROR(VLOOKUP($D1923,본공사입.출고현황!$B:$H,F$2080,0),0)</f>
        <v>Steel round bar(rebar)</v>
      </c>
      <c r="G1923" s="18" t="str">
        <f>IFERROR(VLOOKUP($D1923,본공사입.출고현황!$B:$H,G$2080,0),0)</f>
        <v>CCGG</v>
      </c>
      <c r="H1923" s="18" t="str">
        <f>IFERROR(VLOOKUP($D1923,본공사입.출고현황!$B:$H,H$2080,0),0)</f>
        <v>ф10, 1ton=1,620.7m</v>
      </c>
      <c r="I1923" s="56" t="str">
        <f>IFERROR(VLOOKUP($D1923,본공사입.출고현황!$B:$H,I$2080,0),0)</f>
        <v>M</v>
      </c>
      <c r="J1923" s="9">
        <v>1</v>
      </c>
      <c r="K1923" s="9" t="s">
        <v>352</v>
      </c>
      <c r="L1923" s="37">
        <v>25</v>
      </c>
      <c r="M1923" s="64" t="s">
        <v>1002</v>
      </c>
      <c r="N1923" s="4"/>
    </row>
    <row r="1924" spans="1:14" ht="24" customHeight="1">
      <c r="A1924" s="8">
        <v>1880</v>
      </c>
      <c r="B1924" s="9">
        <v>1880</v>
      </c>
      <c r="C1924" s="46">
        <v>46149</v>
      </c>
      <c r="D1924" s="9" t="s">
        <v>238</v>
      </c>
      <c r="E1924" s="56" t="str">
        <f>IFERROR(VLOOKUP($D1924,본공사입.출고현황!$B:$H,E$2080,0),0)</f>
        <v>Steel round bar</v>
      </c>
      <c r="F1924" s="18" t="str">
        <f>IFERROR(VLOOKUP($D1924,본공사입.출고현황!$B:$H,F$2080,0),0)</f>
        <v>Steel round bar(rebar)</v>
      </c>
      <c r="G1924" s="18" t="str">
        <f>IFERROR(VLOOKUP($D1924,본공사입.출고현황!$B:$H,G$2080,0),0)</f>
        <v>CCGG</v>
      </c>
      <c r="H1924" s="18" t="str">
        <f>IFERROR(VLOOKUP($D1924,본공사입.출고현황!$B:$H,H$2080,0),0)</f>
        <v>ф10, 1ton=1,620.7m</v>
      </c>
      <c r="I1924" s="56" t="str">
        <f>IFERROR(VLOOKUP($D1924,본공사입.출고현황!$B:$H,I$2080,0),0)</f>
        <v>M</v>
      </c>
      <c r="J1924" s="9">
        <v>2</v>
      </c>
      <c r="K1924" s="9" t="s">
        <v>546</v>
      </c>
      <c r="L1924" s="37">
        <v>15</v>
      </c>
      <c r="M1924" s="64" t="s">
        <v>1002</v>
      </c>
      <c r="N1924" s="4"/>
    </row>
    <row r="1925" spans="1:14" ht="24" customHeight="1">
      <c r="A1925" s="8">
        <v>1881</v>
      </c>
      <c r="B1925" s="9">
        <v>1881</v>
      </c>
      <c r="C1925" s="46">
        <v>46149</v>
      </c>
      <c r="D1925" s="9" t="s">
        <v>238</v>
      </c>
      <c r="E1925" s="56" t="str">
        <f>IFERROR(VLOOKUP($D1925,본공사입.출고현황!$B:$H,E$2080,0),0)</f>
        <v>Steel round bar</v>
      </c>
      <c r="F1925" s="18" t="str">
        <f>IFERROR(VLOOKUP($D1925,본공사입.출고현황!$B:$H,F$2080,0),0)</f>
        <v>Steel round bar(rebar)</v>
      </c>
      <c r="G1925" s="18" t="str">
        <f>IFERROR(VLOOKUP($D1925,본공사입.출고현황!$B:$H,G$2080,0),0)</f>
        <v>CCGG</v>
      </c>
      <c r="H1925" s="18" t="str">
        <f>IFERROR(VLOOKUP($D1925,본공사입.출고현황!$B:$H,H$2080,0),0)</f>
        <v>ф10, 1ton=1,620.7m</v>
      </c>
      <c r="I1925" s="56" t="str">
        <f>IFERROR(VLOOKUP($D1925,본공사입.출고현황!$B:$H,I$2080,0),0)</f>
        <v>M</v>
      </c>
      <c r="J1925" s="9">
        <v>4</v>
      </c>
      <c r="K1925" s="9" t="s">
        <v>359</v>
      </c>
      <c r="L1925" s="37">
        <v>30</v>
      </c>
      <c r="M1925" s="64" t="s">
        <v>1002</v>
      </c>
      <c r="N1925" s="4"/>
    </row>
    <row r="1926" spans="1:14" ht="24" customHeight="1">
      <c r="A1926" s="8">
        <v>1882</v>
      </c>
      <c r="B1926" s="9">
        <v>1882</v>
      </c>
      <c r="C1926" s="46">
        <v>46150</v>
      </c>
      <c r="D1926" s="9" t="s">
        <v>238</v>
      </c>
      <c r="E1926" s="56" t="str">
        <f>IFERROR(VLOOKUP($D1926,본공사입.출고현황!$B:$H,E$2080,0),0)</f>
        <v>Steel round bar</v>
      </c>
      <c r="F1926" s="18" t="str">
        <f>IFERROR(VLOOKUP($D1926,본공사입.출고현황!$B:$H,F$2080,0),0)</f>
        <v>Steel round bar(rebar)</v>
      </c>
      <c r="G1926" s="18" t="str">
        <f>IFERROR(VLOOKUP($D1926,본공사입.출고현황!$B:$H,G$2080,0),0)</f>
        <v>CCGG</v>
      </c>
      <c r="H1926" s="18" t="str">
        <f>IFERROR(VLOOKUP($D1926,본공사입.출고현황!$B:$H,H$2080,0),0)</f>
        <v>ф10, 1ton=1,620.7m</v>
      </c>
      <c r="I1926" s="56" t="str">
        <f>IFERROR(VLOOKUP($D1926,본공사입.출고현황!$B:$H,I$2080,0),0)</f>
        <v>M</v>
      </c>
      <c r="J1926" s="9">
        <v>2</v>
      </c>
      <c r="K1926" s="9" t="s">
        <v>360</v>
      </c>
      <c r="L1926" s="37">
        <v>30</v>
      </c>
      <c r="M1926" s="64" t="s">
        <v>1002</v>
      </c>
      <c r="N1926" s="4"/>
    </row>
    <row r="1927" spans="1:14" ht="24" customHeight="1">
      <c r="A1927" s="8">
        <v>1883</v>
      </c>
      <c r="B1927" s="9">
        <v>1883</v>
      </c>
      <c r="C1927" s="46">
        <v>46150</v>
      </c>
      <c r="D1927" s="9" t="s">
        <v>238</v>
      </c>
      <c r="E1927" s="56" t="str">
        <f>IFERROR(VLOOKUP($D1927,본공사입.출고현황!$B:$H,E$2080,0),0)</f>
        <v>Steel round bar</v>
      </c>
      <c r="F1927" s="18" t="str">
        <f>IFERROR(VLOOKUP($D1927,본공사입.출고현황!$B:$H,F$2080,0),0)</f>
        <v>Steel round bar(rebar)</v>
      </c>
      <c r="G1927" s="18" t="str">
        <f>IFERROR(VLOOKUP($D1927,본공사입.출고현황!$B:$H,G$2080,0),0)</f>
        <v>CCGG</v>
      </c>
      <c r="H1927" s="18" t="str">
        <f>IFERROR(VLOOKUP($D1927,본공사입.출고현황!$B:$H,H$2080,0),0)</f>
        <v>ф10, 1ton=1,620.7m</v>
      </c>
      <c r="I1927" s="56" t="str">
        <f>IFERROR(VLOOKUP($D1927,본공사입.출고현황!$B:$H,I$2080,0),0)</f>
        <v>M</v>
      </c>
      <c r="J1927" s="9">
        <v>3</v>
      </c>
      <c r="K1927" s="9" t="s">
        <v>237</v>
      </c>
      <c r="L1927" s="37">
        <v>20</v>
      </c>
      <c r="M1927" s="64" t="s">
        <v>1002</v>
      </c>
      <c r="N1927" s="4"/>
    </row>
    <row r="1928" spans="1:14" ht="24" customHeight="1">
      <c r="A1928" s="8">
        <v>1884</v>
      </c>
      <c r="B1928" s="9">
        <v>1884</v>
      </c>
      <c r="C1928" s="46">
        <v>46150</v>
      </c>
      <c r="D1928" s="9" t="s">
        <v>238</v>
      </c>
      <c r="E1928" s="56" t="str">
        <f>IFERROR(VLOOKUP($D1928,본공사입.출고현황!$B:$H,E$2080,0),0)</f>
        <v>Steel round bar</v>
      </c>
      <c r="F1928" s="18" t="str">
        <f>IFERROR(VLOOKUP($D1928,본공사입.출고현황!$B:$H,F$2080,0),0)</f>
        <v>Steel round bar(rebar)</v>
      </c>
      <c r="G1928" s="18" t="str">
        <f>IFERROR(VLOOKUP($D1928,본공사입.출고현황!$B:$H,G$2080,0),0)</f>
        <v>CCGG</v>
      </c>
      <c r="H1928" s="18" t="str">
        <f>IFERROR(VLOOKUP($D1928,본공사입.출고현황!$B:$H,H$2080,0),0)</f>
        <v>ф10, 1ton=1,620.7m</v>
      </c>
      <c r="I1928" s="56" t="str">
        <f>IFERROR(VLOOKUP($D1928,본공사입.출고현황!$B:$H,I$2080,0),0)</f>
        <v>M</v>
      </c>
      <c r="J1928" s="9">
        <v>1</v>
      </c>
      <c r="K1928" s="9" t="s">
        <v>352</v>
      </c>
      <c r="L1928" s="37">
        <v>20</v>
      </c>
      <c r="M1928" s="64" t="s">
        <v>1002</v>
      </c>
      <c r="N1928" s="4"/>
    </row>
    <row r="1929" spans="1:14" ht="24" customHeight="1">
      <c r="A1929" s="8">
        <v>1885</v>
      </c>
      <c r="B1929" s="9">
        <v>1885</v>
      </c>
      <c r="C1929" s="46">
        <v>46150</v>
      </c>
      <c r="D1929" s="9" t="s">
        <v>238</v>
      </c>
      <c r="E1929" s="56" t="str">
        <f>IFERROR(VLOOKUP($D1929,본공사입.출고현황!$B:$H,E$2080,0),0)</f>
        <v>Steel round bar</v>
      </c>
      <c r="F1929" s="18" t="str">
        <f>IFERROR(VLOOKUP($D1929,본공사입.출고현황!$B:$H,F$2080,0),0)</f>
        <v>Steel round bar(rebar)</v>
      </c>
      <c r="G1929" s="18" t="str">
        <f>IFERROR(VLOOKUP($D1929,본공사입.출고현황!$B:$H,G$2080,0),0)</f>
        <v>CCGG</v>
      </c>
      <c r="H1929" s="18" t="str">
        <f>IFERROR(VLOOKUP($D1929,본공사입.출고현황!$B:$H,H$2080,0),0)</f>
        <v>ф10, 1ton=1,620.7m</v>
      </c>
      <c r="I1929" s="56" t="str">
        <f>IFERROR(VLOOKUP($D1929,본공사입.출고현황!$B:$H,I$2080,0),0)</f>
        <v>M</v>
      </c>
      <c r="J1929" s="9">
        <v>1</v>
      </c>
      <c r="K1929" s="9" t="s">
        <v>352</v>
      </c>
      <c r="L1929" s="37">
        <v>25</v>
      </c>
      <c r="M1929" s="64" t="s">
        <v>1002</v>
      </c>
      <c r="N1929" s="4"/>
    </row>
    <row r="1930" spans="1:14" ht="24" customHeight="1">
      <c r="A1930" s="8">
        <v>1886</v>
      </c>
      <c r="B1930" s="9">
        <v>1886</v>
      </c>
      <c r="C1930" s="46">
        <v>46150</v>
      </c>
      <c r="D1930" s="9" t="s">
        <v>238</v>
      </c>
      <c r="E1930" s="56" t="str">
        <f>IFERROR(VLOOKUP($D1930,본공사입.출고현황!$B:$H,E$2080,0),0)</f>
        <v>Steel round bar</v>
      </c>
      <c r="F1930" s="18" t="str">
        <f>IFERROR(VLOOKUP($D1930,본공사입.출고현황!$B:$H,F$2080,0),0)</f>
        <v>Steel round bar(rebar)</v>
      </c>
      <c r="G1930" s="18" t="str">
        <f>IFERROR(VLOOKUP($D1930,본공사입.출고현황!$B:$H,G$2080,0),0)</f>
        <v>CCGG</v>
      </c>
      <c r="H1930" s="18" t="str">
        <f>IFERROR(VLOOKUP($D1930,본공사입.출고현황!$B:$H,H$2080,0),0)</f>
        <v>ф10, 1ton=1,620.7m</v>
      </c>
      <c r="I1930" s="56" t="str">
        <f>IFERROR(VLOOKUP($D1930,본공사입.출고현황!$B:$H,I$2080,0),0)</f>
        <v>M</v>
      </c>
      <c r="J1930" s="9">
        <v>1</v>
      </c>
      <c r="K1930" s="9" t="s">
        <v>363</v>
      </c>
      <c r="L1930" s="37">
        <v>20</v>
      </c>
      <c r="M1930" s="64" t="s">
        <v>1002</v>
      </c>
      <c r="N1930" s="4"/>
    </row>
    <row r="1931" spans="1:14" ht="24" customHeight="1">
      <c r="A1931" s="8">
        <v>1887</v>
      </c>
      <c r="B1931" s="9">
        <v>1887</v>
      </c>
      <c r="C1931" s="46">
        <v>46150</v>
      </c>
      <c r="D1931" s="9" t="s">
        <v>238</v>
      </c>
      <c r="E1931" s="56" t="str">
        <f>IFERROR(VLOOKUP($D1931,본공사입.출고현황!$B:$H,E$2080,0),0)</f>
        <v>Steel round bar</v>
      </c>
      <c r="F1931" s="18" t="str">
        <f>IFERROR(VLOOKUP($D1931,본공사입.출고현황!$B:$H,F$2080,0),0)</f>
        <v>Steel round bar(rebar)</v>
      </c>
      <c r="G1931" s="18" t="str">
        <f>IFERROR(VLOOKUP($D1931,본공사입.출고현황!$B:$H,G$2080,0),0)</f>
        <v>CCGG</v>
      </c>
      <c r="H1931" s="18" t="str">
        <f>IFERROR(VLOOKUP($D1931,본공사입.출고현황!$B:$H,H$2080,0),0)</f>
        <v>ф10, 1ton=1,620.7m</v>
      </c>
      <c r="I1931" s="56" t="str">
        <f>IFERROR(VLOOKUP($D1931,본공사입.출고현황!$B:$H,I$2080,0),0)</f>
        <v>M</v>
      </c>
      <c r="J1931" s="9">
        <v>1</v>
      </c>
      <c r="K1931" s="9" t="s">
        <v>545</v>
      </c>
      <c r="L1931" s="37">
        <v>25</v>
      </c>
      <c r="M1931" s="64" t="s">
        <v>1002</v>
      </c>
      <c r="N1931" s="4"/>
    </row>
    <row r="1932" spans="1:14" ht="24" customHeight="1">
      <c r="A1932" s="8">
        <v>1888</v>
      </c>
      <c r="B1932" s="9">
        <v>1888</v>
      </c>
      <c r="C1932" s="46">
        <v>46150</v>
      </c>
      <c r="D1932" s="9" t="s">
        <v>238</v>
      </c>
      <c r="E1932" s="56" t="str">
        <f>IFERROR(VLOOKUP($D1932,본공사입.출고현황!$B:$H,E$2080,0),0)</f>
        <v>Steel round bar</v>
      </c>
      <c r="F1932" s="18" t="str">
        <f>IFERROR(VLOOKUP($D1932,본공사입.출고현황!$B:$H,F$2080,0),0)</f>
        <v>Steel round bar(rebar)</v>
      </c>
      <c r="G1932" s="18" t="str">
        <f>IFERROR(VLOOKUP($D1932,본공사입.출고현황!$B:$H,G$2080,0),0)</f>
        <v>CCGG</v>
      </c>
      <c r="H1932" s="18" t="str">
        <f>IFERROR(VLOOKUP($D1932,본공사입.출고현황!$B:$H,H$2080,0),0)</f>
        <v>ф10, 1ton=1,620.7m</v>
      </c>
      <c r="I1932" s="56" t="str">
        <f>IFERROR(VLOOKUP($D1932,본공사입.출고현황!$B:$H,I$2080,0),0)</f>
        <v>M</v>
      </c>
      <c r="J1932" s="9" t="s">
        <v>557</v>
      </c>
      <c r="K1932" s="9" t="s">
        <v>1063</v>
      </c>
      <c r="L1932" s="37">
        <v>30</v>
      </c>
      <c r="M1932" s="64" t="s">
        <v>1002</v>
      </c>
      <c r="N1932" s="4"/>
    </row>
    <row r="1933" spans="1:14" ht="24" customHeight="1">
      <c r="A1933" s="8">
        <v>1889</v>
      </c>
      <c r="B1933" s="9">
        <v>1889</v>
      </c>
      <c r="C1933" s="46">
        <v>46150</v>
      </c>
      <c r="D1933" s="9" t="s">
        <v>238</v>
      </c>
      <c r="E1933" s="56" t="str">
        <f>IFERROR(VLOOKUP($D1933,본공사입.출고현황!$B:$H,E$2080,0),0)</f>
        <v>Steel round bar</v>
      </c>
      <c r="F1933" s="18" t="str">
        <f>IFERROR(VLOOKUP($D1933,본공사입.출고현황!$B:$H,F$2080,0),0)</f>
        <v>Steel round bar(rebar)</v>
      </c>
      <c r="G1933" s="18" t="str">
        <f>IFERROR(VLOOKUP($D1933,본공사입.출고현황!$B:$H,G$2080,0),0)</f>
        <v>CCGG</v>
      </c>
      <c r="H1933" s="18" t="str">
        <f>IFERROR(VLOOKUP($D1933,본공사입.출고현황!$B:$H,H$2080,0),0)</f>
        <v>ф10, 1ton=1,620.7m</v>
      </c>
      <c r="I1933" s="56" t="str">
        <f>IFERROR(VLOOKUP($D1933,본공사입.출고현황!$B:$H,I$2080,0),0)</f>
        <v>M</v>
      </c>
      <c r="J1933" s="9">
        <v>3</v>
      </c>
      <c r="K1933" s="9" t="s">
        <v>550</v>
      </c>
      <c r="L1933" s="37">
        <v>25</v>
      </c>
      <c r="M1933" s="64" t="s">
        <v>1002</v>
      </c>
      <c r="N1933" s="4"/>
    </row>
    <row r="1934" spans="1:14" ht="24" customHeight="1">
      <c r="A1934" s="8">
        <v>1890</v>
      </c>
      <c r="B1934" s="9">
        <v>1890</v>
      </c>
      <c r="C1934" s="46">
        <v>46150</v>
      </c>
      <c r="D1934" s="9" t="s">
        <v>238</v>
      </c>
      <c r="E1934" s="56" t="str">
        <f>IFERROR(VLOOKUP($D1934,본공사입.출고현황!$B:$H,E$2080,0),0)</f>
        <v>Steel round bar</v>
      </c>
      <c r="F1934" s="18" t="str">
        <f>IFERROR(VLOOKUP($D1934,본공사입.출고현황!$B:$H,F$2080,0),0)</f>
        <v>Steel round bar(rebar)</v>
      </c>
      <c r="G1934" s="18" t="str">
        <f>IFERROR(VLOOKUP($D1934,본공사입.출고현황!$B:$H,G$2080,0),0)</f>
        <v>CCGG</v>
      </c>
      <c r="H1934" s="18" t="str">
        <f>IFERROR(VLOOKUP($D1934,본공사입.출고현황!$B:$H,H$2080,0),0)</f>
        <v>ф10, 1ton=1,620.7m</v>
      </c>
      <c r="I1934" s="56" t="str">
        <f>IFERROR(VLOOKUP($D1934,본공사입.출고현황!$B:$H,I$2080,0),0)</f>
        <v>M</v>
      </c>
      <c r="J1934" s="9">
        <v>3</v>
      </c>
      <c r="K1934" s="9" t="s">
        <v>550</v>
      </c>
      <c r="L1934" s="37">
        <v>25</v>
      </c>
      <c r="M1934" s="64" t="s">
        <v>1002</v>
      </c>
      <c r="N1934" s="4"/>
    </row>
    <row r="1935" spans="1:14" ht="24" customHeight="1">
      <c r="A1935" s="8">
        <v>1891</v>
      </c>
      <c r="B1935" s="9">
        <v>1891</v>
      </c>
      <c r="C1935" s="46">
        <v>46150</v>
      </c>
      <c r="D1935" s="9" t="s">
        <v>238</v>
      </c>
      <c r="E1935" s="56" t="str">
        <f>IFERROR(VLOOKUP($D1935,본공사입.출고현황!$B:$H,E$2080,0),0)</f>
        <v>Steel round bar</v>
      </c>
      <c r="F1935" s="18" t="str">
        <f>IFERROR(VLOOKUP($D1935,본공사입.출고현황!$B:$H,F$2080,0),0)</f>
        <v>Steel round bar(rebar)</v>
      </c>
      <c r="G1935" s="18" t="str">
        <f>IFERROR(VLOOKUP($D1935,본공사입.출고현황!$B:$H,G$2080,0),0)</f>
        <v>CCGG</v>
      </c>
      <c r="H1935" s="18" t="str">
        <f>IFERROR(VLOOKUP($D1935,본공사입.출고현황!$B:$H,H$2080,0),0)</f>
        <v>ф10, 1ton=1,620.7m</v>
      </c>
      <c r="I1935" s="56" t="str">
        <f>IFERROR(VLOOKUP($D1935,본공사입.출고현황!$B:$H,I$2080,0),0)</f>
        <v>M</v>
      </c>
      <c r="J1935" s="9">
        <v>1</v>
      </c>
      <c r="K1935" s="9" t="s">
        <v>363</v>
      </c>
      <c r="L1935" s="37">
        <v>25</v>
      </c>
      <c r="M1935" s="64" t="s">
        <v>1002</v>
      </c>
      <c r="N1935" s="4"/>
    </row>
    <row r="1936" spans="1:14" ht="24" customHeight="1">
      <c r="A1936" s="8">
        <v>1892</v>
      </c>
      <c r="B1936" s="9">
        <v>1892</v>
      </c>
      <c r="C1936" s="46">
        <v>46151</v>
      </c>
      <c r="D1936" s="9" t="s">
        <v>180</v>
      </c>
      <c r="E1936" s="56" t="str">
        <f>IFERROR(VLOOKUP($D1936,본공사입.출고현황!$B:$H,E$2080,0),0)</f>
        <v>Ground</v>
      </c>
      <c r="F1936" s="18" t="str">
        <f>IFERROR(VLOOKUP($D1936,본공사입.출고현황!$B:$H,F$2080,0),0)</f>
        <v>Ground Cable  78SQ</v>
      </c>
      <c r="G1936" s="18" t="str">
        <f>IFERROR(VLOOKUP($D1936,본공사입.출고현황!$B:$H,G$2080,0),0)</f>
        <v xml:space="preserve">Ground Cable </v>
      </c>
      <c r="H1936" s="18" t="str">
        <f>IFERROR(VLOOKUP($D1936,본공사입.출고현황!$B:$H,H$2080,0),0)</f>
        <v>78SQ</v>
      </c>
      <c r="I1936" s="56" t="str">
        <f>IFERROR(VLOOKUP($D1936,본공사입.출고현황!$B:$H,I$2080,0),0)</f>
        <v>M</v>
      </c>
      <c r="J1936" s="9">
        <v>1</v>
      </c>
      <c r="K1936" s="9" t="s">
        <v>352</v>
      </c>
      <c r="L1936" s="37">
        <v>12.5</v>
      </c>
      <c r="M1936" s="64" t="s">
        <v>409</v>
      </c>
      <c r="N1936" s="4"/>
    </row>
    <row r="1937" spans="1:14" ht="24" customHeight="1">
      <c r="A1937" s="8">
        <v>1893</v>
      </c>
      <c r="B1937" s="9">
        <v>1893</v>
      </c>
      <c r="C1937" s="46">
        <v>46151</v>
      </c>
      <c r="D1937" s="9" t="s">
        <v>86</v>
      </c>
      <c r="E1937" s="56" t="str">
        <f>IFERROR(VLOOKUP($D1937,본공사입.출고현황!$B:$H,E$2080,0),0)</f>
        <v>Ground</v>
      </c>
      <c r="F1937" s="18" t="str">
        <f>IFERROR(VLOOKUP($D1937,본공사입.출고현황!$B:$H,F$2080,0),0)</f>
        <v>Cadweld Powder #115</v>
      </c>
      <c r="G1937" s="18" t="str">
        <f>IFERROR(VLOOKUP($D1937,본공사입.출고현황!$B:$H,G$2080,0),0)</f>
        <v>Cadweld Powder</v>
      </c>
      <c r="H1937" s="18" t="str">
        <f>IFERROR(VLOOKUP($D1937,본공사입.출고현황!$B:$H,H$2080,0),0)</f>
        <v>#115</v>
      </c>
      <c r="I1937" s="56" t="str">
        <f>IFERROR(VLOOKUP($D1937,본공사입.출고현황!$B:$H,I$2080,0),0)</f>
        <v>EA</v>
      </c>
      <c r="J1937" s="9">
        <v>1</v>
      </c>
      <c r="K1937" s="9" t="s">
        <v>352</v>
      </c>
      <c r="L1937" s="37">
        <v>2</v>
      </c>
      <c r="M1937" s="64" t="s">
        <v>409</v>
      </c>
      <c r="N1937" s="4"/>
    </row>
    <row r="1938" spans="1:14" ht="24" customHeight="1">
      <c r="A1938" s="8">
        <v>1894</v>
      </c>
      <c r="B1938" s="9">
        <v>1894</v>
      </c>
      <c r="C1938" s="46">
        <v>46151</v>
      </c>
      <c r="D1938" s="9" t="s">
        <v>110</v>
      </c>
      <c r="E1938" s="56" t="str">
        <f>IFERROR(VLOOKUP($D1938,본공사입.출고현황!$B:$H,E$2080,0),0)</f>
        <v>Miscellious</v>
      </c>
      <c r="F1938" s="18" t="str">
        <f>IFERROR(VLOOKUP($D1938,본공사입.출고현황!$B:$H,F$2080,0),0)</f>
        <v xml:space="preserve">Nicoband </v>
      </c>
      <c r="G1938" s="18" t="str">
        <f>IFERROR(VLOOKUP($D1938,본공사입.출고현황!$B:$H,G$2080,0),0)</f>
        <v>Nicoband</v>
      </c>
      <c r="H1938" s="18" t="str">
        <f>IFERROR(VLOOKUP($D1938,본공사입.출고현황!$B:$H,H$2080,0),0)</f>
        <v>10m x 15cm</v>
      </c>
      <c r="I1938" s="56" t="str">
        <f>IFERROR(VLOOKUP($D1938,본공사입.출고현황!$B:$H,I$2080,0),0)</f>
        <v>EA</v>
      </c>
      <c r="J1938" s="9">
        <v>1</v>
      </c>
      <c r="K1938" s="9" t="s">
        <v>352</v>
      </c>
      <c r="L1938" s="37">
        <v>2</v>
      </c>
      <c r="M1938" s="64" t="s">
        <v>409</v>
      </c>
      <c r="N1938" s="4"/>
    </row>
    <row r="1939" spans="1:14" ht="24" customHeight="1">
      <c r="A1939" s="8">
        <v>1895</v>
      </c>
      <c r="B1939" s="9">
        <v>1895</v>
      </c>
      <c r="C1939" s="46">
        <v>46151</v>
      </c>
      <c r="D1939" s="9" t="s">
        <v>238</v>
      </c>
      <c r="E1939" s="56" t="str">
        <f>IFERROR(VLOOKUP($D1939,본공사입.출고현황!$B:$H,E$2080,0),0)</f>
        <v>Steel round bar</v>
      </c>
      <c r="F1939" s="18" t="str">
        <f>IFERROR(VLOOKUP($D1939,본공사입.출고현황!$B:$H,F$2080,0),0)</f>
        <v>Steel round bar(rebar)</v>
      </c>
      <c r="G1939" s="18" t="str">
        <f>IFERROR(VLOOKUP($D1939,본공사입.출고현황!$B:$H,G$2080,0),0)</f>
        <v>CCGG</v>
      </c>
      <c r="H1939" s="18" t="str">
        <f>IFERROR(VLOOKUP($D1939,본공사입.출고현황!$B:$H,H$2080,0),0)</f>
        <v>ф10, 1ton=1,620.7m</v>
      </c>
      <c r="I1939" s="56" t="str">
        <f>IFERROR(VLOOKUP($D1939,본공사입.출고현황!$B:$H,I$2080,0),0)</f>
        <v>M</v>
      </c>
      <c r="J1939" s="9">
        <v>1</v>
      </c>
      <c r="K1939" s="9" t="s">
        <v>547</v>
      </c>
      <c r="L1939" s="37">
        <v>20</v>
      </c>
      <c r="M1939" s="64" t="s">
        <v>1002</v>
      </c>
      <c r="N1939" s="4"/>
    </row>
    <row r="1940" spans="1:14" ht="24" customHeight="1">
      <c r="A1940" s="8">
        <v>1896</v>
      </c>
      <c r="B1940" s="9">
        <v>1896</v>
      </c>
      <c r="C1940" s="46">
        <v>46151</v>
      </c>
      <c r="D1940" s="9" t="s">
        <v>238</v>
      </c>
      <c r="E1940" s="56" t="str">
        <f>IFERROR(VLOOKUP($D1940,본공사입.출고현황!$B:$H,E$2080,0),0)</f>
        <v>Steel round bar</v>
      </c>
      <c r="F1940" s="18" t="str">
        <f>IFERROR(VLOOKUP($D1940,본공사입.출고현황!$B:$H,F$2080,0),0)</f>
        <v>Steel round bar(rebar)</v>
      </c>
      <c r="G1940" s="18" t="str">
        <f>IFERROR(VLOOKUP($D1940,본공사입.출고현황!$B:$H,G$2080,0),0)</f>
        <v>CCGG</v>
      </c>
      <c r="H1940" s="18" t="str">
        <f>IFERROR(VLOOKUP($D1940,본공사입.출고현황!$B:$H,H$2080,0),0)</f>
        <v>ф10, 1ton=1,620.7m</v>
      </c>
      <c r="I1940" s="56" t="str">
        <f>IFERROR(VLOOKUP($D1940,본공사입.출고현황!$B:$H,I$2080,0),0)</f>
        <v>M</v>
      </c>
      <c r="J1940" s="9">
        <v>1</v>
      </c>
      <c r="K1940" s="9" t="s">
        <v>363</v>
      </c>
      <c r="L1940" s="37">
        <v>15</v>
      </c>
      <c r="M1940" s="64" t="s">
        <v>1002</v>
      </c>
      <c r="N1940" s="4"/>
    </row>
    <row r="1941" spans="1:14" ht="24" customHeight="1">
      <c r="A1941" s="8">
        <v>1897</v>
      </c>
      <c r="B1941" s="9">
        <v>1897</v>
      </c>
      <c r="C1941" s="46">
        <v>46151</v>
      </c>
      <c r="D1941" s="9" t="s">
        <v>238</v>
      </c>
      <c r="E1941" s="56" t="str">
        <f>IFERROR(VLOOKUP($D1941,본공사입.출고현황!$B:$H,E$2080,0),0)</f>
        <v>Steel round bar</v>
      </c>
      <c r="F1941" s="18" t="str">
        <f>IFERROR(VLOOKUP($D1941,본공사입.출고현황!$B:$H,F$2080,0),0)</f>
        <v>Steel round bar(rebar)</v>
      </c>
      <c r="G1941" s="18" t="str">
        <f>IFERROR(VLOOKUP($D1941,본공사입.출고현황!$B:$H,G$2080,0),0)</f>
        <v>CCGG</v>
      </c>
      <c r="H1941" s="18" t="str">
        <f>IFERROR(VLOOKUP($D1941,본공사입.출고현황!$B:$H,H$2080,0),0)</f>
        <v>ф10, 1ton=1,620.7m</v>
      </c>
      <c r="I1941" s="56" t="str">
        <f>IFERROR(VLOOKUP($D1941,본공사입.출고현황!$B:$H,I$2080,0),0)</f>
        <v>M</v>
      </c>
      <c r="J1941" s="9">
        <v>3</v>
      </c>
      <c r="K1941" s="9" t="s">
        <v>550</v>
      </c>
      <c r="L1941" s="37">
        <v>15</v>
      </c>
      <c r="M1941" s="64" t="s">
        <v>1002</v>
      </c>
      <c r="N1941" s="4"/>
    </row>
    <row r="1942" spans="1:14" ht="24" customHeight="1">
      <c r="A1942" s="8">
        <v>1898</v>
      </c>
      <c r="B1942" s="9">
        <v>1898</v>
      </c>
      <c r="C1942" s="46">
        <v>46151</v>
      </c>
      <c r="D1942" s="9" t="s">
        <v>238</v>
      </c>
      <c r="E1942" s="56" t="str">
        <f>IFERROR(VLOOKUP($D1942,본공사입.출고현황!$B:$H,E$2080,0),0)</f>
        <v>Steel round bar</v>
      </c>
      <c r="F1942" s="18" t="str">
        <f>IFERROR(VLOOKUP($D1942,본공사입.출고현황!$B:$H,F$2080,0),0)</f>
        <v>Steel round bar(rebar)</v>
      </c>
      <c r="G1942" s="18" t="str">
        <f>IFERROR(VLOOKUP($D1942,본공사입.출고현황!$B:$H,G$2080,0),0)</f>
        <v>CCGG</v>
      </c>
      <c r="H1942" s="18" t="str">
        <f>IFERROR(VLOOKUP($D1942,본공사입.출고현황!$B:$H,H$2080,0),0)</f>
        <v>ф10, 1ton=1,620.7m</v>
      </c>
      <c r="I1942" s="56" t="str">
        <f>IFERROR(VLOOKUP($D1942,본공사입.출고현황!$B:$H,I$2080,0),0)</f>
        <v>M</v>
      </c>
      <c r="J1942" s="9">
        <v>2</v>
      </c>
      <c r="K1942" s="9" t="s">
        <v>360</v>
      </c>
      <c r="L1942" s="37">
        <v>20</v>
      </c>
      <c r="M1942" s="64" t="s">
        <v>1002</v>
      </c>
      <c r="N1942" s="4"/>
    </row>
    <row r="1943" spans="1:14" ht="24" customHeight="1">
      <c r="A1943" s="8">
        <v>1899</v>
      </c>
      <c r="B1943" s="9">
        <v>1899</v>
      </c>
      <c r="C1943" s="46">
        <v>46151</v>
      </c>
      <c r="D1943" s="9" t="s">
        <v>238</v>
      </c>
      <c r="E1943" s="56" t="str">
        <f>IFERROR(VLOOKUP($D1943,본공사입.출고현황!$B:$H,E$2080,0),0)</f>
        <v>Steel round bar</v>
      </c>
      <c r="F1943" s="18" t="str">
        <f>IFERROR(VLOOKUP($D1943,본공사입.출고현황!$B:$H,F$2080,0),0)</f>
        <v>Steel round bar(rebar)</v>
      </c>
      <c r="G1943" s="18" t="str">
        <f>IFERROR(VLOOKUP($D1943,본공사입.출고현황!$B:$H,G$2080,0),0)</f>
        <v>CCGG</v>
      </c>
      <c r="H1943" s="18" t="str">
        <f>IFERROR(VLOOKUP($D1943,본공사입.출고현황!$B:$H,H$2080,0),0)</f>
        <v>ф10, 1ton=1,620.7m</v>
      </c>
      <c r="I1943" s="56" t="str">
        <f>IFERROR(VLOOKUP($D1943,본공사입.출고현황!$B:$H,I$2080,0),0)</f>
        <v>M</v>
      </c>
      <c r="J1943" s="9">
        <v>1</v>
      </c>
      <c r="K1943" s="9" t="s">
        <v>352</v>
      </c>
      <c r="L1943" s="37">
        <v>20</v>
      </c>
      <c r="M1943" s="64" t="s">
        <v>1002</v>
      </c>
      <c r="N1943" s="4"/>
    </row>
    <row r="1944" spans="1:14" ht="24" customHeight="1">
      <c r="A1944" s="8">
        <v>1900</v>
      </c>
      <c r="B1944" s="9">
        <v>1900</v>
      </c>
      <c r="C1944" s="46">
        <v>46151</v>
      </c>
      <c r="D1944" s="9" t="s">
        <v>238</v>
      </c>
      <c r="E1944" s="56" t="str">
        <f>IFERROR(VLOOKUP($D1944,본공사입.출고현황!$B:$H,E$2080,0),0)</f>
        <v>Steel round bar</v>
      </c>
      <c r="F1944" s="18" t="str">
        <f>IFERROR(VLOOKUP($D1944,본공사입.출고현황!$B:$H,F$2080,0),0)</f>
        <v>Steel round bar(rebar)</v>
      </c>
      <c r="G1944" s="18" t="str">
        <f>IFERROR(VLOOKUP($D1944,본공사입.출고현황!$B:$H,G$2080,0),0)</f>
        <v>CCGG</v>
      </c>
      <c r="H1944" s="18" t="str">
        <f>IFERROR(VLOOKUP($D1944,본공사입.출고현황!$B:$H,H$2080,0),0)</f>
        <v>ф10, 1ton=1,620.7m</v>
      </c>
      <c r="I1944" s="56" t="str">
        <f>IFERROR(VLOOKUP($D1944,본공사입.출고현황!$B:$H,I$2080,0),0)</f>
        <v>M</v>
      </c>
      <c r="J1944" s="9">
        <v>2</v>
      </c>
      <c r="K1944" s="9" t="s">
        <v>546</v>
      </c>
      <c r="L1944" s="37">
        <v>20</v>
      </c>
      <c r="M1944" s="64" t="s">
        <v>1002</v>
      </c>
      <c r="N1944" s="4"/>
    </row>
    <row r="1945" spans="1:14" ht="24" customHeight="1">
      <c r="A1945" s="8">
        <v>1901</v>
      </c>
      <c r="B1945" s="9">
        <v>1901</v>
      </c>
      <c r="C1945" s="46">
        <v>46151</v>
      </c>
      <c r="D1945" s="9" t="s">
        <v>238</v>
      </c>
      <c r="E1945" s="56" t="str">
        <f>IFERROR(VLOOKUP($D1945,본공사입.출고현황!$B:$H,E$2080,0),0)</f>
        <v>Steel round bar</v>
      </c>
      <c r="F1945" s="18" t="str">
        <f>IFERROR(VLOOKUP($D1945,본공사입.출고현황!$B:$H,F$2080,0),0)</f>
        <v>Steel round bar(rebar)</v>
      </c>
      <c r="G1945" s="18" t="str">
        <f>IFERROR(VLOOKUP($D1945,본공사입.출고현황!$B:$H,G$2080,0),0)</f>
        <v>CCGG</v>
      </c>
      <c r="H1945" s="18" t="str">
        <f>IFERROR(VLOOKUP($D1945,본공사입.출고현황!$B:$H,H$2080,0),0)</f>
        <v>ф10, 1ton=1,620.7m</v>
      </c>
      <c r="I1945" s="56" t="str">
        <f>IFERROR(VLOOKUP($D1945,본공사입.출고현황!$B:$H,I$2080,0),0)</f>
        <v>M</v>
      </c>
      <c r="J1945" s="9">
        <v>4</v>
      </c>
      <c r="K1945" s="9" t="s">
        <v>359</v>
      </c>
      <c r="L1945" s="37">
        <v>25</v>
      </c>
      <c r="M1945" s="64" t="s">
        <v>1002</v>
      </c>
      <c r="N1945" s="4"/>
    </row>
    <row r="1946" spans="1:14" ht="24" customHeight="1">
      <c r="A1946" s="8">
        <v>1902</v>
      </c>
      <c r="B1946" s="9">
        <v>1902</v>
      </c>
      <c r="C1946" s="46">
        <v>46151</v>
      </c>
      <c r="D1946" s="9" t="s">
        <v>238</v>
      </c>
      <c r="E1946" s="56" t="str">
        <f>IFERROR(VLOOKUP($D1946,본공사입.출고현황!$B:$H,E$2080,0),0)</f>
        <v>Steel round bar</v>
      </c>
      <c r="F1946" s="18" t="str">
        <f>IFERROR(VLOOKUP($D1946,본공사입.출고현황!$B:$H,F$2080,0),0)</f>
        <v>Steel round bar(rebar)</v>
      </c>
      <c r="G1946" s="18" t="str">
        <f>IFERROR(VLOOKUP($D1946,본공사입.출고현황!$B:$H,G$2080,0),0)</f>
        <v>CCGG</v>
      </c>
      <c r="H1946" s="18" t="str">
        <f>IFERROR(VLOOKUP($D1946,본공사입.출고현황!$B:$H,H$2080,0),0)</f>
        <v>ф10, 1ton=1,620.7m</v>
      </c>
      <c r="I1946" s="56" t="str">
        <f>IFERROR(VLOOKUP($D1946,본공사입.출고현황!$B:$H,I$2080,0),0)</f>
        <v>M</v>
      </c>
      <c r="J1946" s="9">
        <v>1</v>
      </c>
      <c r="K1946" s="9" t="s">
        <v>352</v>
      </c>
      <c r="L1946" s="37">
        <v>15</v>
      </c>
      <c r="M1946" s="64" t="s">
        <v>1002</v>
      </c>
      <c r="N1946" s="4"/>
    </row>
    <row r="1947" spans="1:14" ht="24" customHeight="1">
      <c r="A1947" s="8">
        <v>1903</v>
      </c>
      <c r="B1947" s="9">
        <v>1903</v>
      </c>
      <c r="C1947" s="46">
        <v>46151</v>
      </c>
      <c r="D1947" s="9" t="s">
        <v>238</v>
      </c>
      <c r="E1947" s="56" t="str">
        <f>IFERROR(VLOOKUP($D1947,본공사입.출고현황!$B:$H,E$2080,0),0)</f>
        <v>Steel round bar</v>
      </c>
      <c r="F1947" s="18" t="str">
        <f>IFERROR(VLOOKUP($D1947,본공사입.출고현황!$B:$H,F$2080,0),0)</f>
        <v>Steel round bar(rebar)</v>
      </c>
      <c r="G1947" s="18" t="str">
        <f>IFERROR(VLOOKUP($D1947,본공사입.출고현황!$B:$H,G$2080,0),0)</f>
        <v>CCGG</v>
      </c>
      <c r="H1947" s="18" t="str">
        <f>IFERROR(VLOOKUP($D1947,본공사입.출고현황!$B:$H,H$2080,0),0)</f>
        <v>ф10, 1ton=1,620.7m</v>
      </c>
      <c r="I1947" s="56" t="str">
        <f>IFERROR(VLOOKUP($D1947,본공사입.출고현황!$B:$H,I$2080,0),0)</f>
        <v>M</v>
      </c>
      <c r="J1947" s="9">
        <v>1</v>
      </c>
      <c r="K1947" s="9" t="s">
        <v>547</v>
      </c>
      <c r="L1947" s="37">
        <v>30</v>
      </c>
      <c r="M1947" s="64" t="s">
        <v>1002</v>
      </c>
      <c r="N1947" s="4"/>
    </row>
    <row r="1948" spans="1:14" ht="24" customHeight="1">
      <c r="A1948" s="8">
        <v>1904</v>
      </c>
      <c r="B1948" s="9">
        <v>1904</v>
      </c>
      <c r="C1948" s="46">
        <v>46151</v>
      </c>
      <c r="D1948" s="9" t="s">
        <v>238</v>
      </c>
      <c r="E1948" s="56" t="str">
        <f>IFERROR(VLOOKUP($D1948,본공사입.출고현황!$B:$H,E$2080,0),0)</f>
        <v>Steel round bar</v>
      </c>
      <c r="F1948" s="18" t="str">
        <f>IFERROR(VLOOKUP($D1948,본공사입.출고현황!$B:$H,F$2080,0),0)</f>
        <v>Steel round bar(rebar)</v>
      </c>
      <c r="G1948" s="18" t="str">
        <f>IFERROR(VLOOKUP($D1948,본공사입.출고현황!$B:$H,G$2080,0),0)</f>
        <v>CCGG</v>
      </c>
      <c r="H1948" s="18" t="str">
        <f>IFERROR(VLOOKUP($D1948,본공사입.출고현황!$B:$H,H$2080,0),0)</f>
        <v>ф10, 1ton=1,620.7m</v>
      </c>
      <c r="I1948" s="56" t="str">
        <f>IFERROR(VLOOKUP($D1948,본공사입.출고현황!$B:$H,I$2080,0),0)</f>
        <v>M</v>
      </c>
      <c r="J1948" s="9">
        <v>1</v>
      </c>
      <c r="K1948" s="9" t="s">
        <v>547</v>
      </c>
      <c r="L1948" s="37">
        <v>25</v>
      </c>
      <c r="M1948" s="64" t="s">
        <v>1002</v>
      </c>
      <c r="N1948" s="4"/>
    </row>
    <row r="1949" spans="1:14" ht="24" customHeight="1">
      <c r="A1949" s="8">
        <v>1905</v>
      </c>
      <c r="B1949" s="9">
        <v>1905</v>
      </c>
      <c r="C1949" s="46">
        <v>46151</v>
      </c>
      <c r="D1949" s="9" t="s">
        <v>238</v>
      </c>
      <c r="E1949" s="56" t="str">
        <f>IFERROR(VLOOKUP($D1949,본공사입.출고현황!$B:$H,E$2080,0),0)</f>
        <v>Steel round bar</v>
      </c>
      <c r="F1949" s="18" t="str">
        <f>IFERROR(VLOOKUP($D1949,본공사입.출고현황!$B:$H,F$2080,0),0)</f>
        <v>Steel round bar(rebar)</v>
      </c>
      <c r="G1949" s="18" t="str">
        <f>IFERROR(VLOOKUP($D1949,본공사입.출고현황!$B:$H,G$2080,0),0)</f>
        <v>CCGG</v>
      </c>
      <c r="H1949" s="18" t="str">
        <f>IFERROR(VLOOKUP($D1949,본공사입.출고현황!$B:$H,H$2080,0),0)</f>
        <v>ф10, 1ton=1,620.7m</v>
      </c>
      <c r="I1949" s="56" t="str">
        <f>IFERROR(VLOOKUP($D1949,본공사입.출고현황!$B:$H,I$2080,0),0)</f>
        <v>M</v>
      </c>
      <c r="J1949" s="9">
        <v>1</v>
      </c>
      <c r="K1949" s="9" t="s">
        <v>363</v>
      </c>
      <c r="L1949" s="37">
        <v>25</v>
      </c>
      <c r="M1949" s="64" t="s">
        <v>1002</v>
      </c>
      <c r="N1949" s="4"/>
    </row>
    <row r="1950" spans="1:14" ht="24" customHeight="1">
      <c r="A1950" s="8">
        <v>1906</v>
      </c>
      <c r="B1950" s="9">
        <v>1906</v>
      </c>
      <c r="C1950" s="46">
        <v>46152</v>
      </c>
      <c r="D1950" s="9" t="s">
        <v>238</v>
      </c>
      <c r="E1950" s="56" t="str">
        <f>IFERROR(VLOOKUP($D1950,본공사입.출고현황!$B:$H,E$2080,0),0)</f>
        <v>Steel round bar</v>
      </c>
      <c r="F1950" s="18" t="str">
        <f>IFERROR(VLOOKUP($D1950,본공사입.출고현황!$B:$H,F$2080,0),0)</f>
        <v>Steel round bar(rebar)</v>
      </c>
      <c r="G1950" s="18" t="str">
        <f>IFERROR(VLOOKUP($D1950,본공사입.출고현황!$B:$H,G$2080,0),0)</f>
        <v>CCGG</v>
      </c>
      <c r="H1950" s="18" t="str">
        <f>IFERROR(VLOOKUP($D1950,본공사입.출고현황!$B:$H,H$2080,0),0)</f>
        <v>ф10, 1ton=1,620.7m</v>
      </c>
      <c r="I1950" s="56" t="str">
        <f>IFERROR(VLOOKUP($D1950,본공사입.출고현황!$B:$H,I$2080,0),0)</f>
        <v>M</v>
      </c>
      <c r="J1950" s="9" t="s">
        <v>557</v>
      </c>
      <c r="K1950" s="9" t="s">
        <v>1063</v>
      </c>
      <c r="L1950" s="37">
        <v>25</v>
      </c>
      <c r="M1950" s="64" t="s">
        <v>1002</v>
      </c>
      <c r="N1950" s="4"/>
    </row>
    <row r="1951" spans="1:14" ht="24" customHeight="1">
      <c r="A1951" s="8">
        <v>1907</v>
      </c>
      <c r="B1951" s="9">
        <v>1907</v>
      </c>
      <c r="C1951" s="46">
        <v>46152</v>
      </c>
      <c r="D1951" s="9" t="s">
        <v>238</v>
      </c>
      <c r="E1951" s="56" t="str">
        <f>IFERROR(VLOOKUP($D1951,본공사입.출고현황!$B:$H,E$2080,0),0)</f>
        <v>Steel round bar</v>
      </c>
      <c r="F1951" s="18" t="str">
        <f>IFERROR(VLOOKUP($D1951,본공사입.출고현황!$B:$H,F$2080,0),0)</f>
        <v>Steel round bar(rebar)</v>
      </c>
      <c r="G1951" s="18" t="str">
        <f>IFERROR(VLOOKUP($D1951,본공사입.출고현황!$B:$H,G$2080,0),0)</f>
        <v>CCGG</v>
      </c>
      <c r="H1951" s="18" t="str">
        <f>IFERROR(VLOOKUP($D1951,본공사입.출고현황!$B:$H,H$2080,0),0)</f>
        <v>ф10, 1ton=1,620.7m</v>
      </c>
      <c r="I1951" s="56" t="str">
        <f>IFERROR(VLOOKUP($D1951,본공사입.출고현황!$B:$H,I$2080,0),0)</f>
        <v>M</v>
      </c>
      <c r="J1951" s="9">
        <v>2</v>
      </c>
      <c r="K1951" s="9" t="s">
        <v>360</v>
      </c>
      <c r="L1951" s="37">
        <v>25</v>
      </c>
      <c r="M1951" s="64" t="s">
        <v>1002</v>
      </c>
      <c r="N1951" s="4"/>
    </row>
    <row r="1952" spans="1:14" ht="24" customHeight="1">
      <c r="A1952" s="8">
        <v>1908</v>
      </c>
      <c r="B1952" s="9">
        <v>1908</v>
      </c>
      <c r="C1952" s="46">
        <v>46152</v>
      </c>
      <c r="D1952" s="9" t="s">
        <v>238</v>
      </c>
      <c r="E1952" s="56" t="str">
        <f>IFERROR(VLOOKUP($D1952,본공사입.출고현황!$B:$H,E$2080,0),0)</f>
        <v>Steel round bar</v>
      </c>
      <c r="F1952" s="18" t="str">
        <f>IFERROR(VLOOKUP($D1952,본공사입.출고현황!$B:$H,F$2080,0),0)</f>
        <v>Steel round bar(rebar)</v>
      </c>
      <c r="G1952" s="18" t="str">
        <f>IFERROR(VLOOKUP($D1952,본공사입.출고현황!$B:$H,G$2080,0),0)</f>
        <v>CCGG</v>
      </c>
      <c r="H1952" s="18" t="str">
        <f>IFERROR(VLOOKUP($D1952,본공사입.출고현황!$B:$H,H$2080,0),0)</f>
        <v>ф10, 1ton=1,620.7m</v>
      </c>
      <c r="I1952" s="56" t="str">
        <f>IFERROR(VLOOKUP($D1952,본공사입.출고현황!$B:$H,I$2080,0),0)</f>
        <v>M</v>
      </c>
      <c r="J1952" s="9">
        <v>2</v>
      </c>
      <c r="K1952" s="9" t="s">
        <v>360</v>
      </c>
      <c r="L1952" s="37">
        <v>25</v>
      </c>
      <c r="M1952" s="64" t="s">
        <v>1002</v>
      </c>
      <c r="N1952" s="4"/>
    </row>
    <row r="1953" spans="1:14" ht="24" customHeight="1">
      <c r="A1953" s="8">
        <v>1909</v>
      </c>
      <c r="B1953" s="9">
        <v>1909</v>
      </c>
      <c r="C1953" s="46">
        <v>46152</v>
      </c>
      <c r="D1953" s="9" t="s">
        <v>238</v>
      </c>
      <c r="E1953" s="56" t="str">
        <f>IFERROR(VLOOKUP($D1953,본공사입.출고현황!$B:$H,E$2080,0),0)</f>
        <v>Steel round bar</v>
      </c>
      <c r="F1953" s="18" t="str">
        <f>IFERROR(VLOOKUP($D1953,본공사입.출고현황!$B:$H,F$2080,0),0)</f>
        <v>Steel round bar(rebar)</v>
      </c>
      <c r="G1953" s="18" t="str">
        <f>IFERROR(VLOOKUP($D1953,본공사입.출고현황!$B:$H,G$2080,0),0)</f>
        <v>CCGG</v>
      </c>
      <c r="H1953" s="18" t="str">
        <f>IFERROR(VLOOKUP($D1953,본공사입.출고현황!$B:$H,H$2080,0),0)</f>
        <v>ф10, 1ton=1,620.7m</v>
      </c>
      <c r="I1953" s="56" t="str">
        <f>IFERROR(VLOOKUP($D1953,본공사입.출고현황!$B:$H,I$2080,0),0)</f>
        <v>M</v>
      </c>
      <c r="J1953" s="9">
        <v>1</v>
      </c>
      <c r="K1953" s="9" t="s">
        <v>352</v>
      </c>
      <c r="L1953" s="37">
        <v>50</v>
      </c>
      <c r="M1953" s="64" t="s">
        <v>1002</v>
      </c>
      <c r="N1953" s="4"/>
    </row>
    <row r="1954" spans="1:14" ht="24" customHeight="1">
      <c r="A1954" s="8">
        <v>1910</v>
      </c>
      <c r="B1954" s="9">
        <v>1910</v>
      </c>
      <c r="C1954" s="46">
        <v>46152</v>
      </c>
      <c r="D1954" s="9" t="s">
        <v>238</v>
      </c>
      <c r="E1954" s="56" t="str">
        <f>IFERROR(VLOOKUP($D1954,본공사입.출고현황!$B:$H,E$2080,0),0)</f>
        <v>Steel round bar</v>
      </c>
      <c r="F1954" s="18" t="str">
        <f>IFERROR(VLOOKUP($D1954,본공사입.출고현황!$B:$H,F$2080,0),0)</f>
        <v>Steel round bar(rebar)</v>
      </c>
      <c r="G1954" s="18" t="str">
        <f>IFERROR(VLOOKUP($D1954,본공사입.출고현황!$B:$H,G$2080,0),0)</f>
        <v>CCGG</v>
      </c>
      <c r="H1954" s="18" t="str">
        <f>IFERROR(VLOOKUP($D1954,본공사입.출고현황!$B:$H,H$2080,0),0)</f>
        <v>ф10, 1ton=1,620.7m</v>
      </c>
      <c r="I1954" s="56" t="str">
        <f>IFERROR(VLOOKUP($D1954,본공사입.출고현황!$B:$H,I$2080,0),0)</f>
        <v>M</v>
      </c>
      <c r="J1954" s="9">
        <v>1</v>
      </c>
      <c r="K1954" s="9" t="s">
        <v>352</v>
      </c>
      <c r="L1954" s="37">
        <v>15</v>
      </c>
      <c r="M1954" s="64" t="s">
        <v>1002</v>
      </c>
      <c r="N1954" s="4"/>
    </row>
    <row r="1955" spans="1:14" ht="24" customHeight="1">
      <c r="A1955" s="8">
        <v>1911</v>
      </c>
      <c r="B1955" s="9">
        <v>1911</v>
      </c>
      <c r="C1955" s="46">
        <v>46152</v>
      </c>
      <c r="D1955" s="9" t="s">
        <v>238</v>
      </c>
      <c r="E1955" s="56" t="str">
        <f>IFERROR(VLOOKUP($D1955,본공사입.출고현황!$B:$H,E$2080,0),0)</f>
        <v>Steel round bar</v>
      </c>
      <c r="F1955" s="18" t="str">
        <f>IFERROR(VLOOKUP($D1955,본공사입.출고현황!$B:$H,F$2080,0),0)</f>
        <v>Steel round bar(rebar)</v>
      </c>
      <c r="G1955" s="18" t="str">
        <f>IFERROR(VLOOKUP($D1955,본공사입.출고현황!$B:$H,G$2080,0),0)</f>
        <v>CCGG</v>
      </c>
      <c r="H1955" s="18" t="str">
        <f>IFERROR(VLOOKUP($D1955,본공사입.출고현황!$B:$H,H$2080,0),0)</f>
        <v>ф10, 1ton=1,620.7m</v>
      </c>
      <c r="I1955" s="56" t="str">
        <f>IFERROR(VLOOKUP($D1955,본공사입.출고현황!$B:$H,I$2080,0),0)</f>
        <v>M</v>
      </c>
      <c r="J1955" s="9">
        <v>2</v>
      </c>
      <c r="K1955" s="9" t="s">
        <v>546</v>
      </c>
      <c r="L1955" s="37">
        <v>25</v>
      </c>
      <c r="M1955" s="64" t="s">
        <v>1002</v>
      </c>
      <c r="N1955" s="4"/>
    </row>
    <row r="1956" spans="1:14" ht="24" customHeight="1">
      <c r="A1956" s="8">
        <v>1912</v>
      </c>
      <c r="B1956" s="9">
        <v>1912</v>
      </c>
      <c r="C1956" s="46">
        <v>46152</v>
      </c>
      <c r="D1956" s="9" t="s">
        <v>238</v>
      </c>
      <c r="E1956" s="56" t="str">
        <f>IFERROR(VLOOKUP($D1956,본공사입.출고현황!$B:$H,E$2080,0),0)</f>
        <v>Steel round bar</v>
      </c>
      <c r="F1956" s="18" t="str">
        <f>IFERROR(VLOOKUP($D1956,본공사입.출고현황!$B:$H,F$2080,0),0)</f>
        <v>Steel round bar(rebar)</v>
      </c>
      <c r="G1956" s="18" t="str">
        <f>IFERROR(VLOOKUP($D1956,본공사입.출고현황!$B:$H,G$2080,0),0)</f>
        <v>CCGG</v>
      </c>
      <c r="H1956" s="18" t="str">
        <f>IFERROR(VLOOKUP($D1956,본공사입.출고현황!$B:$H,H$2080,0),0)</f>
        <v>ф10, 1ton=1,620.7m</v>
      </c>
      <c r="I1956" s="56" t="str">
        <f>IFERROR(VLOOKUP($D1956,본공사입.출고현황!$B:$H,I$2080,0),0)</f>
        <v>M</v>
      </c>
      <c r="J1956" s="9">
        <v>4</v>
      </c>
      <c r="K1956" s="9" t="s">
        <v>359</v>
      </c>
      <c r="L1956" s="37">
        <v>15</v>
      </c>
      <c r="M1956" s="64" t="s">
        <v>1002</v>
      </c>
      <c r="N1956" s="4"/>
    </row>
    <row r="1957" spans="1:14" ht="24" customHeight="1">
      <c r="A1957" s="8">
        <v>1913</v>
      </c>
      <c r="B1957" s="9">
        <v>1913</v>
      </c>
      <c r="C1957" s="46">
        <v>46152</v>
      </c>
      <c r="D1957" s="9" t="s">
        <v>238</v>
      </c>
      <c r="E1957" s="56" t="str">
        <f>IFERROR(VLOOKUP($D1957,본공사입.출고현황!$B:$H,E$2080,0),0)</f>
        <v>Steel round bar</v>
      </c>
      <c r="F1957" s="18" t="str">
        <f>IFERROR(VLOOKUP($D1957,본공사입.출고현황!$B:$H,F$2080,0),0)</f>
        <v>Steel round bar(rebar)</v>
      </c>
      <c r="G1957" s="18" t="str">
        <f>IFERROR(VLOOKUP($D1957,본공사입.출고현황!$B:$H,G$2080,0),0)</f>
        <v>CCGG</v>
      </c>
      <c r="H1957" s="18" t="str">
        <f>IFERROR(VLOOKUP($D1957,본공사입.출고현황!$B:$H,H$2080,0),0)</f>
        <v>ф10, 1ton=1,620.7m</v>
      </c>
      <c r="I1957" s="56" t="str">
        <f>IFERROR(VLOOKUP($D1957,본공사입.출고현황!$B:$H,I$2080,0),0)</f>
        <v>M</v>
      </c>
      <c r="J1957" s="9">
        <v>2</v>
      </c>
      <c r="K1957" s="9" t="s">
        <v>360</v>
      </c>
      <c r="L1957" s="37">
        <v>25</v>
      </c>
      <c r="M1957" s="64" t="s">
        <v>1002</v>
      </c>
      <c r="N1957" s="4"/>
    </row>
    <row r="1958" spans="1:14" ht="24" customHeight="1">
      <c r="A1958" s="8">
        <v>1914</v>
      </c>
      <c r="B1958" s="9">
        <v>1914</v>
      </c>
      <c r="C1958" s="46">
        <v>46152</v>
      </c>
      <c r="D1958" s="9" t="s">
        <v>238</v>
      </c>
      <c r="E1958" s="56" t="str">
        <f>IFERROR(VLOOKUP($D1958,본공사입.출고현황!$B:$H,E$2080,0),0)</f>
        <v>Steel round bar</v>
      </c>
      <c r="F1958" s="18" t="str">
        <f>IFERROR(VLOOKUP($D1958,본공사입.출고현황!$B:$H,F$2080,0),0)</f>
        <v>Steel round bar(rebar)</v>
      </c>
      <c r="G1958" s="18" t="str">
        <f>IFERROR(VLOOKUP($D1958,본공사입.출고현황!$B:$H,G$2080,0),0)</f>
        <v>CCGG</v>
      </c>
      <c r="H1958" s="18" t="str">
        <f>IFERROR(VLOOKUP($D1958,본공사입.출고현황!$B:$H,H$2080,0),0)</f>
        <v>ф10, 1ton=1,620.7m</v>
      </c>
      <c r="I1958" s="56" t="str">
        <f>IFERROR(VLOOKUP($D1958,본공사입.출고현황!$B:$H,I$2080,0),0)</f>
        <v>M</v>
      </c>
      <c r="J1958" s="9">
        <v>3</v>
      </c>
      <c r="K1958" s="9" t="s">
        <v>237</v>
      </c>
      <c r="L1958" s="37">
        <v>20</v>
      </c>
      <c r="M1958" s="64" t="s">
        <v>1002</v>
      </c>
      <c r="N1958" s="4"/>
    </row>
    <row r="1959" spans="1:14" ht="24" customHeight="1">
      <c r="A1959" s="8">
        <v>1915</v>
      </c>
      <c r="B1959" s="9">
        <v>1915</v>
      </c>
      <c r="C1959" s="46">
        <v>46152</v>
      </c>
      <c r="D1959" s="9" t="s">
        <v>238</v>
      </c>
      <c r="E1959" s="56" t="str">
        <f>IFERROR(VLOOKUP($D1959,본공사입.출고현황!$B:$H,E$2080,0),0)</f>
        <v>Steel round bar</v>
      </c>
      <c r="F1959" s="18" t="str">
        <f>IFERROR(VLOOKUP($D1959,본공사입.출고현황!$B:$H,F$2080,0),0)</f>
        <v>Steel round bar(rebar)</v>
      </c>
      <c r="G1959" s="18" t="str">
        <f>IFERROR(VLOOKUP($D1959,본공사입.출고현황!$B:$H,G$2080,0),0)</f>
        <v>CCGG</v>
      </c>
      <c r="H1959" s="18" t="str">
        <f>IFERROR(VLOOKUP($D1959,본공사입.출고현황!$B:$H,H$2080,0),0)</f>
        <v>ф10, 1ton=1,620.7m</v>
      </c>
      <c r="I1959" s="56" t="str">
        <f>IFERROR(VLOOKUP($D1959,본공사입.출고현황!$B:$H,I$2080,0),0)</f>
        <v>M</v>
      </c>
      <c r="J1959" s="9" t="s">
        <v>557</v>
      </c>
      <c r="K1959" s="9" t="s">
        <v>1063</v>
      </c>
      <c r="L1959" s="37">
        <v>25</v>
      </c>
      <c r="M1959" s="64" t="s">
        <v>1002</v>
      </c>
      <c r="N1959" s="4"/>
    </row>
    <row r="1960" spans="1:14" ht="24" customHeight="1">
      <c r="A1960" s="8">
        <v>1916</v>
      </c>
      <c r="B1960" s="9">
        <v>1916</v>
      </c>
      <c r="C1960" s="46">
        <v>46152</v>
      </c>
      <c r="D1960" s="9" t="s">
        <v>238</v>
      </c>
      <c r="E1960" s="56" t="str">
        <f>IFERROR(VLOOKUP($D1960,본공사입.출고현황!$B:$H,E$2080,0),0)</f>
        <v>Steel round bar</v>
      </c>
      <c r="F1960" s="18" t="str">
        <f>IFERROR(VLOOKUP($D1960,본공사입.출고현황!$B:$H,F$2080,0),0)</f>
        <v>Steel round bar(rebar)</v>
      </c>
      <c r="G1960" s="18" t="str">
        <f>IFERROR(VLOOKUP($D1960,본공사입.출고현황!$B:$H,G$2080,0),0)</f>
        <v>CCGG</v>
      </c>
      <c r="H1960" s="18" t="str">
        <f>IFERROR(VLOOKUP($D1960,본공사입.출고현황!$B:$H,H$2080,0),0)</f>
        <v>ф10, 1ton=1,620.7m</v>
      </c>
      <c r="I1960" s="56" t="str">
        <f>IFERROR(VLOOKUP($D1960,본공사입.출고현황!$B:$H,I$2080,0),0)</f>
        <v>M</v>
      </c>
      <c r="J1960" s="9">
        <v>1</v>
      </c>
      <c r="K1960" s="9" t="s">
        <v>352</v>
      </c>
      <c r="L1960" s="37">
        <v>15</v>
      </c>
      <c r="M1960" s="64" t="s">
        <v>1002</v>
      </c>
      <c r="N1960" s="4"/>
    </row>
    <row r="1961" spans="1:14" ht="24" customHeight="1">
      <c r="A1961" s="8">
        <v>1917</v>
      </c>
      <c r="B1961" s="9">
        <v>1917</v>
      </c>
      <c r="C1961" s="46">
        <v>46152</v>
      </c>
      <c r="D1961" s="9" t="s">
        <v>238</v>
      </c>
      <c r="E1961" s="56" t="str">
        <f>IFERROR(VLOOKUP($D1961,본공사입.출고현황!$B:$H,E$2080,0),0)</f>
        <v>Steel round bar</v>
      </c>
      <c r="F1961" s="18" t="str">
        <f>IFERROR(VLOOKUP($D1961,본공사입.출고현황!$B:$H,F$2080,0),0)</f>
        <v>Steel round bar(rebar)</v>
      </c>
      <c r="G1961" s="18" t="str">
        <f>IFERROR(VLOOKUP($D1961,본공사입.출고현황!$B:$H,G$2080,0),0)</f>
        <v>CCGG</v>
      </c>
      <c r="H1961" s="18" t="str">
        <f>IFERROR(VLOOKUP($D1961,본공사입.출고현황!$B:$H,H$2080,0),0)</f>
        <v>ф10, 1ton=1,620.7m</v>
      </c>
      <c r="I1961" s="56" t="str">
        <f>IFERROR(VLOOKUP($D1961,본공사입.출고현황!$B:$H,I$2080,0),0)</f>
        <v>M</v>
      </c>
      <c r="J1961" s="9">
        <v>1</v>
      </c>
      <c r="K1961" s="9" t="s">
        <v>363</v>
      </c>
      <c r="L1961" s="37">
        <v>15</v>
      </c>
      <c r="M1961" s="64" t="s">
        <v>1002</v>
      </c>
      <c r="N1961" s="4"/>
    </row>
    <row r="1962" spans="1:14" ht="24" customHeight="1">
      <c r="A1962" s="8">
        <v>1918</v>
      </c>
      <c r="B1962" s="9">
        <v>1918</v>
      </c>
      <c r="C1962" s="46">
        <v>46152</v>
      </c>
      <c r="D1962" s="9" t="s">
        <v>238</v>
      </c>
      <c r="E1962" s="56" t="str">
        <f>IFERROR(VLOOKUP($D1962,본공사입.출고현황!$B:$H,E$2080,0),0)</f>
        <v>Steel round bar</v>
      </c>
      <c r="F1962" s="18" t="str">
        <f>IFERROR(VLOOKUP($D1962,본공사입.출고현황!$B:$H,F$2080,0),0)</f>
        <v>Steel round bar(rebar)</v>
      </c>
      <c r="G1962" s="18" t="str">
        <f>IFERROR(VLOOKUP($D1962,본공사입.출고현황!$B:$H,G$2080,0),0)</f>
        <v>CCGG</v>
      </c>
      <c r="H1962" s="18" t="str">
        <f>IFERROR(VLOOKUP($D1962,본공사입.출고현황!$B:$H,H$2080,0),0)</f>
        <v>ф10, 1ton=1,620.7m</v>
      </c>
      <c r="I1962" s="56" t="str">
        <f>IFERROR(VLOOKUP($D1962,본공사입.출고현황!$B:$H,I$2080,0),0)</f>
        <v>M</v>
      </c>
      <c r="J1962" s="9">
        <v>1</v>
      </c>
      <c r="K1962" s="9" t="s">
        <v>545</v>
      </c>
      <c r="L1962" s="37">
        <v>15</v>
      </c>
      <c r="M1962" s="64" t="s">
        <v>1002</v>
      </c>
      <c r="N1962" s="4"/>
    </row>
    <row r="1963" spans="1:14" ht="24" customHeight="1">
      <c r="A1963" s="8">
        <v>1919</v>
      </c>
      <c r="B1963" s="9">
        <v>1919</v>
      </c>
      <c r="C1963" s="46">
        <v>46152</v>
      </c>
      <c r="D1963" s="9" t="s">
        <v>238</v>
      </c>
      <c r="E1963" s="56" t="str">
        <f>IFERROR(VLOOKUP($D1963,본공사입.출고현황!$B:$H,E$2080,0),0)</f>
        <v>Steel round bar</v>
      </c>
      <c r="F1963" s="18" t="str">
        <f>IFERROR(VLOOKUP($D1963,본공사입.출고현황!$B:$H,F$2080,0),0)</f>
        <v>Steel round bar(rebar)</v>
      </c>
      <c r="G1963" s="18" t="str">
        <f>IFERROR(VLOOKUP($D1963,본공사입.출고현황!$B:$H,G$2080,0),0)</f>
        <v>CCGG</v>
      </c>
      <c r="H1963" s="18" t="str">
        <f>IFERROR(VLOOKUP($D1963,본공사입.출고현황!$B:$H,H$2080,0),0)</f>
        <v>ф10, 1ton=1,620.7m</v>
      </c>
      <c r="I1963" s="56" t="str">
        <f>IFERROR(VLOOKUP($D1963,본공사입.출고현황!$B:$H,I$2080,0),0)</f>
        <v>M</v>
      </c>
      <c r="J1963" s="9">
        <v>2</v>
      </c>
      <c r="K1963" s="9" t="s">
        <v>241</v>
      </c>
      <c r="L1963" s="37">
        <v>15</v>
      </c>
      <c r="M1963" s="64" t="s">
        <v>1002</v>
      </c>
      <c r="N1963" s="4"/>
    </row>
    <row r="1964" spans="1:14" ht="24" customHeight="1">
      <c r="A1964" s="8">
        <v>1920</v>
      </c>
      <c r="B1964" s="9">
        <v>1920</v>
      </c>
      <c r="C1964" s="46">
        <v>46152</v>
      </c>
      <c r="D1964" s="9" t="s">
        <v>238</v>
      </c>
      <c r="E1964" s="56" t="str">
        <f>IFERROR(VLOOKUP($D1964,본공사입.출고현황!$B:$H,E$2080,0),0)</f>
        <v>Steel round bar</v>
      </c>
      <c r="F1964" s="18" t="str">
        <f>IFERROR(VLOOKUP($D1964,본공사입.출고현황!$B:$H,F$2080,0),0)</f>
        <v>Steel round bar(rebar)</v>
      </c>
      <c r="G1964" s="18" t="str">
        <f>IFERROR(VLOOKUP($D1964,본공사입.출고현황!$B:$H,G$2080,0),0)</f>
        <v>CCGG</v>
      </c>
      <c r="H1964" s="18" t="str">
        <f>IFERROR(VLOOKUP($D1964,본공사입.출고현황!$B:$H,H$2080,0),0)</f>
        <v>ф10, 1ton=1,620.7m</v>
      </c>
      <c r="I1964" s="56" t="str">
        <f>IFERROR(VLOOKUP($D1964,본공사입.출고현황!$B:$H,I$2080,0),0)</f>
        <v>M</v>
      </c>
      <c r="J1964" s="9">
        <v>3</v>
      </c>
      <c r="K1964" s="9" t="s">
        <v>550</v>
      </c>
      <c r="L1964" s="37">
        <v>30</v>
      </c>
      <c r="M1964" s="64" t="s">
        <v>1002</v>
      </c>
      <c r="N1964" s="4"/>
    </row>
    <row r="1965" spans="1:14" ht="24" customHeight="1">
      <c r="A1965" s="8">
        <v>1921</v>
      </c>
      <c r="B1965" s="9">
        <v>1921</v>
      </c>
      <c r="C1965" s="46">
        <v>46152</v>
      </c>
      <c r="D1965" s="9" t="s">
        <v>238</v>
      </c>
      <c r="E1965" s="56" t="str">
        <f>IFERROR(VLOOKUP($D1965,본공사입.출고현황!$B:$H,E$2080,0),0)</f>
        <v>Steel round bar</v>
      </c>
      <c r="F1965" s="18" t="str">
        <f>IFERROR(VLOOKUP($D1965,본공사입.출고현황!$B:$H,F$2080,0),0)</f>
        <v>Steel round bar(rebar)</v>
      </c>
      <c r="G1965" s="18" t="str">
        <f>IFERROR(VLOOKUP($D1965,본공사입.출고현황!$B:$H,G$2080,0),0)</f>
        <v>CCGG</v>
      </c>
      <c r="H1965" s="18" t="str">
        <f>IFERROR(VLOOKUP($D1965,본공사입.출고현황!$B:$H,H$2080,0),0)</f>
        <v>ф10, 1ton=1,620.7m</v>
      </c>
      <c r="I1965" s="56" t="str">
        <f>IFERROR(VLOOKUP($D1965,본공사입.출고현황!$B:$H,I$2080,0),0)</f>
        <v>M</v>
      </c>
      <c r="J1965" s="9">
        <v>3</v>
      </c>
      <c r="K1965" s="9" t="s">
        <v>550</v>
      </c>
      <c r="L1965" s="37">
        <v>15</v>
      </c>
      <c r="M1965" s="64" t="s">
        <v>1002</v>
      </c>
      <c r="N1965" s="4"/>
    </row>
    <row r="1966" spans="1:14" ht="24" customHeight="1">
      <c r="A1966" s="8">
        <v>1922</v>
      </c>
      <c r="B1966" s="9">
        <v>1922</v>
      </c>
      <c r="C1966" s="46">
        <v>46152</v>
      </c>
      <c r="D1966" s="9" t="s">
        <v>238</v>
      </c>
      <c r="E1966" s="56" t="str">
        <f>IFERROR(VLOOKUP($D1966,본공사입.출고현황!$B:$H,E$2080,0),0)</f>
        <v>Steel round bar</v>
      </c>
      <c r="F1966" s="18" t="str">
        <f>IFERROR(VLOOKUP($D1966,본공사입.출고현황!$B:$H,F$2080,0),0)</f>
        <v>Steel round bar(rebar)</v>
      </c>
      <c r="G1966" s="18" t="str">
        <f>IFERROR(VLOOKUP($D1966,본공사입.출고현황!$B:$H,G$2080,0),0)</f>
        <v>CCGG</v>
      </c>
      <c r="H1966" s="18" t="str">
        <f>IFERROR(VLOOKUP($D1966,본공사입.출고현황!$B:$H,H$2080,0),0)</f>
        <v>ф10, 1ton=1,620.7m</v>
      </c>
      <c r="I1966" s="56" t="str">
        <f>IFERROR(VLOOKUP($D1966,본공사입.출고현황!$B:$H,I$2080,0),0)</f>
        <v>M</v>
      </c>
      <c r="J1966" s="9">
        <v>1</v>
      </c>
      <c r="K1966" s="9" t="s">
        <v>363</v>
      </c>
      <c r="L1966" s="37">
        <v>15</v>
      </c>
      <c r="M1966" s="64" t="s">
        <v>1002</v>
      </c>
      <c r="N1966" s="4"/>
    </row>
    <row r="1967" spans="1:14" ht="24" customHeight="1">
      <c r="A1967" s="8">
        <v>1923</v>
      </c>
      <c r="B1967" s="9">
        <v>1923</v>
      </c>
      <c r="C1967" s="46">
        <v>46153</v>
      </c>
      <c r="D1967" s="9" t="s">
        <v>238</v>
      </c>
      <c r="E1967" s="56" t="str">
        <f>IFERROR(VLOOKUP($D1967,본공사입.출고현황!$B:$H,E$2080,0),0)</f>
        <v>Steel round bar</v>
      </c>
      <c r="F1967" s="18" t="str">
        <f>IFERROR(VLOOKUP($D1967,본공사입.출고현황!$B:$H,F$2080,0),0)</f>
        <v>Steel round bar(rebar)</v>
      </c>
      <c r="G1967" s="18" t="str">
        <f>IFERROR(VLOOKUP($D1967,본공사입.출고현황!$B:$H,G$2080,0),0)</f>
        <v>CCGG</v>
      </c>
      <c r="H1967" s="18" t="str">
        <f>IFERROR(VLOOKUP($D1967,본공사입.출고현황!$B:$H,H$2080,0),0)</f>
        <v>ф10, 1ton=1,620.7m</v>
      </c>
      <c r="I1967" s="56" t="str">
        <f>IFERROR(VLOOKUP($D1967,본공사입.출고현황!$B:$H,I$2080,0),0)</f>
        <v>M</v>
      </c>
      <c r="J1967" s="9">
        <v>1</v>
      </c>
      <c r="K1967" s="9" t="s">
        <v>547</v>
      </c>
      <c r="L1967" s="37">
        <v>20</v>
      </c>
      <c r="M1967" s="64" t="s">
        <v>1002</v>
      </c>
      <c r="N1967" s="4"/>
    </row>
    <row r="1968" spans="1:14" ht="24" customHeight="1">
      <c r="A1968" s="8">
        <v>1924</v>
      </c>
      <c r="B1968" s="9">
        <v>1924</v>
      </c>
      <c r="C1968" s="46">
        <v>46153</v>
      </c>
      <c r="D1968" s="9" t="s">
        <v>238</v>
      </c>
      <c r="E1968" s="56" t="str">
        <f>IFERROR(VLOOKUP($D1968,본공사입.출고현황!$B:$H,E$2080,0),0)</f>
        <v>Steel round bar</v>
      </c>
      <c r="F1968" s="18" t="str">
        <f>IFERROR(VLOOKUP($D1968,본공사입.출고현황!$B:$H,F$2080,0),0)</f>
        <v>Steel round bar(rebar)</v>
      </c>
      <c r="G1968" s="18" t="str">
        <f>IFERROR(VLOOKUP($D1968,본공사입.출고현황!$B:$H,G$2080,0),0)</f>
        <v>CCGG</v>
      </c>
      <c r="H1968" s="18" t="str">
        <f>IFERROR(VLOOKUP($D1968,본공사입.출고현황!$B:$H,H$2080,0),0)</f>
        <v>ф10, 1ton=1,620.7m</v>
      </c>
      <c r="I1968" s="56" t="str">
        <f>IFERROR(VLOOKUP($D1968,본공사입.출고현황!$B:$H,I$2080,0),0)</f>
        <v>M</v>
      </c>
      <c r="J1968" s="9">
        <v>1</v>
      </c>
      <c r="K1968" s="9" t="s">
        <v>363</v>
      </c>
      <c r="L1968" s="37">
        <v>20</v>
      </c>
      <c r="M1968" s="64" t="s">
        <v>1002</v>
      </c>
      <c r="N1968" s="4"/>
    </row>
    <row r="1969" spans="1:14" ht="24" customHeight="1">
      <c r="A1969" s="8">
        <v>1925</v>
      </c>
      <c r="B1969" s="9">
        <v>1925</v>
      </c>
      <c r="C1969" s="46">
        <v>46153</v>
      </c>
      <c r="D1969" s="9" t="s">
        <v>238</v>
      </c>
      <c r="E1969" s="56" t="str">
        <f>IFERROR(VLOOKUP($D1969,본공사입.출고현황!$B:$H,E$2080,0),0)</f>
        <v>Steel round bar</v>
      </c>
      <c r="F1969" s="18" t="str">
        <f>IFERROR(VLOOKUP($D1969,본공사입.출고현황!$B:$H,F$2080,0),0)</f>
        <v>Steel round bar(rebar)</v>
      </c>
      <c r="G1969" s="18" t="str">
        <f>IFERROR(VLOOKUP($D1969,본공사입.출고현황!$B:$H,G$2080,0),0)</f>
        <v>CCGG</v>
      </c>
      <c r="H1969" s="18" t="str">
        <f>IFERROR(VLOOKUP($D1969,본공사입.출고현황!$B:$H,H$2080,0),0)</f>
        <v>ф10, 1ton=1,620.7m</v>
      </c>
      <c r="I1969" s="56" t="str">
        <f>IFERROR(VLOOKUP($D1969,본공사입.출고현황!$B:$H,I$2080,0),0)</f>
        <v>M</v>
      </c>
      <c r="J1969" s="9">
        <v>3</v>
      </c>
      <c r="K1969" s="9" t="s">
        <v>550</v>
      </c>
      <c r="L1969" s="37">
        <v>20</v>
      </c>
      <c r="M1969" s="64" t="s">
        <v>1002</v>
      </c>
      <c r="N1969" s="4"/>
    </row>
    <row r="1970" spans="1:14" ht="24" customHeight="1">
      <c r="A1970" s="8">
        <v>1926</v>
      </c>
      <c r="B1970" s="9">
        <v>1926</v>
      </c>
      <c r="C1970" s="46">
        <v>46153</v>
      </c>
      <c r="D1970" s="9" t="s">
        <v>238</v>
      </c>
      <c r="E1970" s="56" t="str">
        <f>IFERROR(VLOOKUP($D1970,본공사입.출고현황!$B:$H,E$2080,0),0)</f>
        <v>Steel round bar</v>
      </c>
      <c r="F1970" s="18" t="str">
        <f>IFERROR(VLOOKUP($D1970,본공사입.출고현황!$B:$H,F$2080,0),0)</f>
        <v>Steel round bar(rebar)</v>
      </c>
      <c r="G1970" s="18" t="str">
        <f>IFERROR(VLOOKUP($D1970,본공사입.출고현황!$B:$H,G$2080,0),0)</f>
        <v>CCGG</v>
      </c>
      <c r="H1970" s="18" t="str">
        <f>IFERROR(VLOOKUP($D1970,본공사입.출고현황!$B:$H,H$2080,0),0)</f>
        <v>ф10, 1ton=1,620.7m</v>
      </c>
      <c r="I1970" s="56" t="str">
        <f>IFERROR(VLOOKUP($D1970,본공사입.출고현황!$B:$H,I$2080,0),0)</f>
        <v>M</v>
      </c>
      <c r="J1970" s="9">
        <v>2</v>
      </c>
      <c r="K1970" s="9" t="s">
        <v>360</v>
      </c>
      <c r="L1970" s="37">
        <v>25</v>
      </c>
      <c r="M1970" s="64" t="s">
        <v>1002</v>
      </c>
      <c r="N1970" s="4"/>
    </row>
    <row r="1971" spans="1:14" ht="24" customHeight="1">
      <c r="A1971" s="8">
        <v>1927</v>
      </c>
      <c r="B1971" s="9">
        <v>1927</v>
      </c>
      <c r="C1971" s="46">
        <v>46153</v>
      </c>
      <c r="D1971" s="9" t="s">
        <v>238</v>
      </c>
      <c r="E1971" s="56" t="str">
        <f>IFERROR(VLOOKUP($D1971,본공사입.출고현황!$B:$H,E$2080,0),0)</f>
        <v>Steel round bar</v>
      </c>
      <c r="F1971" s="18" t="str">
        <f>IFERROR(VLOOKUP($D1971,본공사입.출고현황!$B:$H,F$2080,0),0)</f>
        <v>Steel round bar(rebar)</v>
      </c>
      <c r="G1971" s="18" t="str">
        <f>IFERROR(VLOOKUP($D1971,본공사입.출고현황!$B:$H,G$2080,0),0)</f>
        <v>CCGG</v>
      </c>
      <c r="H1971" s="18" t="str">
        <f>IFERROR(VLOOKUP($D1971,본공사입.출고현황!$B:$H,H$2080,0),0)</f>
        <v>ф10, 1ton=1,620.7m</v>
      </c>
      <c r="I1971" s="56" t="str">
        <f>IFERROR(VLOOKUP($D1971,본공사입.출고현황!$B:$H,I$2080,0),0)</f>
        <v>M</v>
      </c>
      <c r="J1971" s="9">
        <v>1</v>
      </c>
      <c r="K1971" s="9" t="s">
        <v>352</v>
      </c>
      <c r="L1971" s="37">
        <v>25</v>
      </c>
      <c r="M1971" s="64" t="s">
        <v>1002</v>
      </c>
      <c r="N1971" s="4"/>
    </row>
    <row r="1972" spans="1:14" ht="24" customHeight="1">
      <c r="A1972" s="8">
        <v>1928</v>
      </c>
      <c r="B1972" s="9">
        <v>1928</v>
      </c>
      <c r="C1972" s="46">
        <v>46153</v>
      </c>
      <c r="D1972" s="9" t="s">
        <v>238</v>
      </c>
      <c r="E1972" s="56" t="str">
        <f>IFERROR(VLOOKUP($D1972,본공사입.출고현황!$B:$H,E$2080,0),0)</f>
        <v>Steel round bar</v>
      </c>
      <c r="F1972" s="18" t="str">
        <f>IFERROR(VLOOKUP($D1972,본공사입.출고현황!$B:$H,F$2080,0),0)</f>
        <v>Steel round bar(rebar)</v>
      </c>
      <c r="G1972" s="18" t="str">
        <f>IFERROR(VLOOKUP($D1972,본공사입.출고현황!$B:$H,G$2080,0),0)</f>
        <v>CCGG</v>
      </c>
      <c r="H1972" s="18" t="str">
        <f>IFERROR(VLOOKUP($D1972,본공사입.출고현황!$B:$H,H$2080,0),0)</f>
        <v>ф10, 1ton=1,620.7m</v>
      </c>
      <c r="I1972" s="56" t="str">
        <f>IFERROR(VLOOKUP($D1972,본공사입.출고현황!$B:$H,I$2080,0),0)</f>
        <v>M</v>
      </c>
      <c r="J1972" s="9" t="s">
        <v>557</v>
      </c>
      <c r="K1972" s="9" t="s">
        <v>1063</v>
      </c>
      <c r="L1972" s="37">
        <v>25</v>
      </c>
      <c r="M1972" s="64" t="s">
        <v>1002</v>
      </c>
      <c r="N1972" s="4"/>
    </row>
    <row r="1973" spans="1:14" ht="24" customHeight="1">
      <c r="A1973" s="8">
        <v>1929</v>
      </c>
      <c r="B1973" s="9">
        <v>1929</v>
      </c>
      <c r="C1973" s="46">
        <v>46153</v>
      </c>
      <c r="D1973" s="9" t="s">
        <v>238</v>
      </c>
      <c r="E1973" s="56" t="str">
        <f>IFERROR(VLOOKUP($D1973,본공사입.출고현황!$B:$H,E$2080,0),0)</f>
        <v>Steel round bar</v>
      </c>
      <c r="F1973" s="18" t="str">
        <f>IFERROR(VLOOKUP($D1973,본공사입.출고현황!$B:$H,F$2080,0),0)</f>
        <v>Steel round bar(rebar)</v>
      </c>
      <c r="G1973" s="18" t="str">
        <f>IFERROR(VLOOKUP($D1973,본공사입.출고현황!$B:$H,G$2080,0),0)</f>
        <v>CCGG</v>
      </c>
      <c r="H1973" s="18" t="str">
        <f>IFERROR(VLOOKUP($D1973,본공사입.출고현황!$B:$H,H$2080,0),0)</f>
        <v>ф10, 1ton=1,620.7m</v>
      </c>
      <c r="I1973" s="56" t="str">
        <f>IFERROR(VLOOKUP($D1973,본공사입.출고현황!$B:$H,I$2080,0),0)</f>
        <v>M</v>
      </c>
      <c r="J1973" s="9">
        <v>4</v>
      </c>
      <c r="K1973" s="9" t="s">
        <v>359</v>
      </c>
      <c r="L1973" s="37">
        <v>25</v>
      </c>
      <c r="M1973" s="64" t="s">
        <v>1002</v>
      </c>
      <c r="N1973" s="4"/>
    </row>
    <row r="1974" spans="1:14" ht="24" customHeight="1">
      <c r="A1974" s="8">
        <v>1930</v>
      </c>
      <c r="B1974" s="9">
        <v>1930</v>
      </c>
      <c r="C1974" s="46">
        <v>46153</v>
      </c>
      <c r="D1974" s="9" t="s">
        <v>238</v>
      </c>
      <c r="E1974" s="56" t="str">
        <f>IFERROR(VLOOKUP($D1974,본공사입.출고현황!$B:$H,E$2080,0),0)</f>
        <v>Steel round bar</v>
      </c>
      <c r="F1974" s="18" t="str">
        <f>IFERROR(VLOOKUP($D1974,본공사입.출고현황!$B:$H,F$2080,0),0)</f>
        <v>Steel round bar(rebar)</v>
      </c>
      <c r="G1974" s="18" t="str">
        <f>IFERROR(VLOOKUP($D1974,본공사입.출고현황!$B:$H,G$2080,0),0)</f>
        <v>CCGG</v>
      </c>
      <c r="H1974" s="18" t="str">
        <f>IFERROR(VLOOKUP($D1974,본공사입.출고현황!$B:$H,H$2080,0),0)</f>
        <v>ф10, 1ton=1,620.7m</v>
      </c>
      <c r="I1974" s="56" t="str">
        <f>IFERROR(VLOOKUP($D1974,본공사입.출고현황!$B:$H,I$2080,0),0)</f>
        <v>M</v>
      </c>
      <c r="J1974" s="9">
        <v>1</v>
      </c>
      <c r="K1974" s="9" t="s">
        <v>352</v>
      </c>
      <c r="L1974" s="37">
        <v>15</v>
      </c>
      <c r="M1974" s="64" t="s">
        <v>1002</v>
      </c>
      <c r="N1974" s="4"/>
    </row>
    <row r="1975" spans="1:14" ht="24" customHeight="1">
      <c r="A1975" s="8">
        <v>1931</v>
      </c>
      <c r="B1975" s="9">
        <v>1931</v>
      </c>
      <c r="C1975" s="46">
        <v>46153</v>
      </c>
      <c r="D1975" s="9" t="s">
        <v>238</v>
      </c>
      <c r="E1975" s="56" t="str">
        <f>IFERROR(VLOOKUP($D1975,본공사입.출고현황!$B:$H,E$2080,0),0)</f>
        <v>Steel round bar</v>
      </c>
      <c r="F1975" s="18" t="str">
        <f>IFERROR(VLOOKUP($D1975,본공사입.출고현황!$B:$H,F$2080,0),0)</f>
        <v>Steel round bar(rebar)</v>
      </c>
      <c r="G1975" s="18" t="str">
        <f>IFERROR(VLOOKUP($D1975,본공사입.출고현황!$B:$H,G$2080,0),0)</f>
        <v>CCGG</v>
      </c>
      <c r="H1975" s="18" t="str">
        <f>IFERROR(VLOOKUP($D1975,본공사입.출고현황!$B:$H,H$2080,0),0)</f>
        <v>ф10, 1ton=1,620.7m</v>
      </c>
      <c r="I1975" s="56" t="str">
        <f>IFERROR(VLOOKUP($D1975,본공사입.출고현황!$B:$H,I$2080,0),0)</f>
        <v>M</v>
      </c>
      <c r="J1975" s="9">
        <v>2</v>
      </c>
      <c r="K1975" s="9" t="s">
        <v>360</v>
      </c>
      <c r="L1975" s="37">
        <v>15</v>
      </c>
      <c r="M1975" s="64" t="s">
        <v>1002</v>
      </c>
      <c r="N1975" s="4"/>
    </row>
    <row r="1976" spans="1:14" ht="24" customHeight="1">
      <c r="A1976" s="8">
        <v>1932</v>
      </c>
      <c r="B1976" s="9">
        <v>1932</v>
      </c>
      <c r="C1976" s="46">
        <v>46153</v>
      </c>
      <c r="D1976" s="9" t="s">
        <v>238</v>
      </c>
      <c r="E1976" s="56" t="str">
        <f>IFERROR(VLOOKUP($D1976,본공사입.출고현황!$B:$H,E$2080,0),0)</f>
        <v>Steel round bar</v>
      </c>
      <c r="F1976" s="18" t="str">
        <f>IFERROR(VLOOKUP($D1976,본공사입.출고현황!$B:$H,F$2080,0),0)</f>
        <v>Steel round bar(rebar)</v>
      </c>
      <c r="G1976" s="18" t="str">
        <f>IFERROR(VLOOKUP($D1976,본공사입.출고현황!$B:$H,G$2080,0),0)</f>
        <v>CCGG</v>
      </c>
      <c r="H1976" s="18" t="str">
        <f>IFERROR(VLOOKUP($D1976,본공사입.출고현황!$B:$H,H$2080,0),0)</f>
        <v>ф10, 1ton=1,620.7m</v>
      </c>
      <c r="I1976" s="56" t="str">
        <f>IFERROR(VLOOKUP($D1976,본공사입.출고현황!$B:$H,I$2080,0),0)</f>
        <v>M</v>
      </c>
      <c r="J1976" s="9">
        <v>1</v>
      </c>
      <c r="K1976" s="9" t="s">
        <v>352</v>
      </c>
      <c r="L1976" s="37">
        <v>25</v>
      </c>
      <c r="M1976" s="64" t="s">
        <v>1002</v>
      </c>
      <c r="N1976" s="4"/>
    </row>
    <row r="1977" spans="1:14" ht="24" customHeight="1">
      <c r="A1977" s="8">
        <v>1933</v>
      </c>
      <c r="B1977" s="9">
        <v>1933</v>
      </c>
      <c r="C1977" s="46">
        <v>46153</v>
      </c>
      <c r="D1977" s="9" t="s">
        <v>238</v>
      </c>
      <c r="E1977" s="56" t="str">
        <f>IFERROR(VLOOKUP($D1977,본공사입.출고현황!$B:$H,E$2080,0),0)</f>
        <v>Steel round bar</v>
      </c>
      <c r="F1977" s="18" t="str">
        <f>IFERROR(VLOOKUP($D1977,본공사입.출고현황!$B:$H,F$2080,0),0)</f>
        <v>Steel round bar(rebar)</v>
      </c>
      <c r="G1977" s="18" t="str">
        <f>IFERROR(VLOOKUP($D1977,본공사입.출고현황!$B:$H,G$2080,0),0)</f>
        <v>CCGG</v>
      </c>
      <c r="H1977" s="18" t="str">
        <f>IFERROR(VLOOKUP($D1977,본공사입.출고현황!$B:$H,H$2080,0),0)</f>
        <v>ф10, 1ton=1,620.7m</v>
      </c>
      <c r="I1977" s="56" t="str">
        <f>IFERROR(VLOOKUP($D1977,본공사입.출고현황!$B:$H,I$2080,0),0)</f>
        <v>M</v>
      </c>
      <c r="J1977" s="9">
        <v>1</v>
      </c>
      <c r="K1977" s="9" t="s">
        <v>363</v>
      </c>
      <c r="L1977" s="37">
        <v>15</v>
      </c>
      <c r="M1977" s="64" t="s">
        <v>1002</v>
      </c>
      <c r="N1977" s="4"/>
    </row>
    <row r="1978" spans="1:14" ht="24" customHeight="1">
      <c r="A1978" s="8">
        <v>1934</v>
      </c>
      <c r="B1978" s="9">
        <v>1934</v>
      </c>
      <c r="C1978" s="46">
        <v>46153</v>
      </c>
      <c r="D1978" s="9" t="s">
        <v>238</v>
      </c>
      <c r="E1978" s="56" t="str">
        <f>IFERROR(VLOOKUP($D1978,본공사입.출고현황!$B:$H,E$2080,0),0)</f>
        <v>Steel round bar</v>
      </c>
      <c r="F1978" s="18" t="str">
        <f>IFERROR(VLOOKUP($D1978,본공사입.출고현황!$B:$H,F$2080,0),0)</f>
        <v>Steel round bar(rebar)</v>
      </c>
      <c r="G1978" s="18" t="str">
        <f>IFERROR(VLOOKUP($D1978,본공사입.출고현황!$B:$H,G$2080,0),0)</f>
        <v>CCGG</v>
      </c>
      <c r="H1978" s="18" t="str">
        <f>IFERROR(VLOOKUP($D1978,본공사입.출고현황!$B:$H,H$2080,0),0)</f>
        <v>ф10, 1ton=1,620.7m</v>
      </c>
      <c r="I1978" s="56" t="str">
        <f>IFERROR(VLOOKUP($D1978,본공사입.출고현황!$B:$H,I$2080,0),0)</f>
        <v>M</v>
      </c>
      <c r="J1978" s="9">
        <v>1</v>
      </c>
      <c r="K1978" s="9" t="s">
        <v>547</v>
      </c>
      <c r="L1978" s="37">
        <v>15</v>
      </c>
      <c r="M1978" s="64" t="s">
        <v>1002</v>
      </c>
      <c r="N1978" s="4"/>
    </row>
    <row r="1979" spans="1:14" ht="24" customHeight="1">
      <c r="A1979" s="8">
        <v>1935</v>
      </c>
      <c r="B1979" s="9">
        <v>1935</v>
      </c>
      <c r="C1979" s="46">
        <v>46153</v>
      </c>
      <c r="D1979" s="9" t="s">
        <v>238</v>
      </c>
      <c r="E1979" s="56" t="str">
        <f>IFERROR(VLOOKUP($D1979,본공사입.출고현황!$B:$H,E$2080,0),0)</f>
        <v>Steel round bar</v>
      </c>
      <c r="F1979" s="18" t="str">
        <f>IFERROR(VLOOKUP($D1979,본공사입.출고현황!$B:$H,F$2080,0),0)</f>
        <v>Steel round bar(rebar)</v>
      </c>
      <c r="G1979" s="18" t="str">
        <f>IFERROR(VLOOKUP($D1979,본공사입.출고현황!$B:$H,G$2080,0),0)</f>
        <v>CCGG</v>
      </c>
      <c r="H1979" s="18" t="str">
        <f>IFERROR(VLOOKUP($D1979,본공사입.출고현황!$B:$H,H$2080,0),0)</f>
        <v>ф10, 1ton=1,620.7m</v>
      </c>
      <c r="I1979" s="56" t="str">
        <f>IFERROR(VLOOKUP($D1979,본공사입.출고현황!$B:$H,I$2080,0),0)</f>
        <v>M</v>
      </c>
      <c r="J1979" s="9">
        <v>3</v>
      </c>
      <c r="K1979" s="9" t="s">
        <v>550</v>
      </c>
      <c r="L1979" s="37">
        <v>25</v>
      </c>
      <c r="M1979" s="64" t="s">
        <v>1002</v>
      </c>
      <c r="N1979" s="4"/>
    </row>
    <row r="1980" spans="1:14" ht="24" customHeight="1">
      <c r="A1980" s="8">
        <v>1936</v>
      </c>
      <c r="B1980" s="9">
        <v>1936</v>
      </c>
      <c r="C1980" s="46">
        <v>46153</v>
      </c>
      <c r="D1980" s="9" t="s">
        <v>238</v>
      </c>
      <c r="E1980" s="56" t="str">
        <f>IFERROR(VLOOKUP($D1980,본공사입.출고현황!$B:$H,E$2080,0),0)</f>
        <v>Steel round bar</v>
      </c>
      <c r="F1980" s="18" t="str">
        <f>IFERROR(VLOOKUP($D1980,본공사입.출고현황!$B:$H,F$2080,0),0)</f>
        <v>Steel round bar(rebar)</v>
      </c>
      <c r="G1980" s="18" t="str">
        <f>IFERROR(VLOOKUP($D1980,본공사입.출고현황!$B:$H,G$2080,0),0)</f>
        <v>CCGG</v>
      </c>
      <c r="H1980" s="18" t="str">
        <f>IFERROR(VLOOKUP($D1980,본공사입.출고현황!$B:$H,H$2080,0),0)</f>
        <v>ф10, 1ton=1,620.7m</v>
      </c>
      <c r="I1980" s="56" t="str">
        <f>IFERROR(VLOOKUP($D1980,본공사입.출고현황!$B:$H,I$2080,0),0)</f>
        <v>M</v>
      </c>
      <c r="J1980" s="9">
        <v>1</v>
      </c>
      <c r="K1980" s="9" t="s">
        <v>363</v>
      </c>
      <c r="L1980" s="37">
        <v>15</v>
      </c>
      <c r="M1980" s="64" t="s">
        <v>1002</v>
      </c>
      <c r="N1980" s="4"/>
    </row>
    <row r="1981" spans="1:14" ht="24" customHeight="1">
      <c r="A1981" s="8">
        <v>1937</v>
      </c>
      <c r="B1981" s="9">
        <v>1937</v>
      </c>
      <c r="C1981" s="46">
        <v>46153</v>
      </c>
      <c r="D1981" s="9" t="s">
        <v>238</v>
      </c>
      <c r="E1981" s="56" t="str">
        <f>IFERROR(VLOOKUP($D1981,본공사입.출고현황!$B:$H,E$2080,0),0)</f>
        <v>Steel round bar</v>
      </c>
      <c r="F1981" s="18" t="str">
        <f>IFERROR(VLOOKUP($D1981,본공사입.출고현황!$B:$H,F$2080,0),0)</f>
        <v>Steel round bar(rebar)</v>
      </c>
      <c r="G1981" s="18" t="str">
        <f>IFERROR(VLOOKUP($D1981,본공사입.출고현황!$B:$H,G$2080,0),0)</f>
        <v>CCGG</v>
      </c>
      <c r="H1981" s="18" t="str">
        <f>IFERROR(VLOOKUP($D1981,본공사입.출고현황!$B:$H,H$2080,0),0)</f>
        <v>ф10, 1ton=1,620.7m</v>
      </c>
      <c r="I1981" s="56" t="str">
        <f>IFERROR(VLOOKUP($D1981,본공사입.출고현황!$B:$H,I$2080,0),0)</f>
        <v>M</v>
      </c>
      <c r="J1981" s="9">
        <v>3</v>
      </c>
      <c r="K1981" s="9" t="s">
        <v>550</v>
      </c>
      <c r="L1981" s="37">
        <v>15</v>
      </c>
      <c r="M1981" s="64" t="s">
        <v>1002</v>
      </c>
      <c r="N1981" s="4"/>
    </row>
    <row r="1982" spans="1:14" ht="24" customHeight="1">
      <c r="A1982" s="8">
        <v>1938</v>
      </c>
      <c r="B1982" s="9">
        <v>1938</v>
      </c>
      <c r="C1982" s="46">
        <v>46154</v>
      </c>
      <c r="D1982" s="9" t="s">
        <v>238</v>
      </c>
      <c r="E1982" s="56" t="str">
        <f>IFERROR(VLOOKUP($D1982,본공사입.출고현황!$B:$H,E$2080,0),0)</f>
        <v>Steel round bar</v>
      </c>
      <c r="F1982" s="18" t="str">
        <f>IFERROR(VLOOKUP($D1982,본공사입.출고현황!$B:$H,F$2080,0),0)</f>
        <v>Steel round bar(rebar)</v>
      </c>
      <c r="G1982" s="18" t="str">
        <f>IFERROR(VLOOKUP($D1982,본공사입.출고현황!$B:$H,G$2080,0),0)</f>
        <v>CCGG</v>
      </c>
      <c r="H1982" s="18" t="str">
        <f>IFERROR(VLOOKUP($D1982,본공사입.출고현황!$B:$H,H$2080,0),0)</f>
        <v>ф10, 1ton=1,620.7m</v>
      </c>
      <c r="I1982" s="56" t="str">
        <f>IFERROR(VLOOKUP($D1982,본공사입.출고현황!$B:$H,I$2080,0),0)</f>
        <v>M</v>
      </c>
      <c r="J1982" s="9">
        <v>2</v>
      </c>
      <c r="K1982" s="9" t="s">
        <v>360</v>
      </c>
      <c r="L1982" s="37">
        <v>20</v>
      </c>
      <c r="M1982" s="64" t="s">
        <v>1002</v>
      </c>
      <c r="N1982" s="4"/>
    </row>
    <row r="1983" spans="1:14" ht="24" customHeight="1">
      <c r="A1983" s="8">
        <v>1939</v>
      </c>
      <c r="B1983" s="9">
        <v>1939</v>
      </c>
      <c r="C1983" s="46">
        <v>46154</v>
      </c>
      <c r="D1983" s="9" t="s">
        <v>238</v>
      </c>
      <c r="E1983" s="56" t="str">
        <f>IFERROR(VLOOKUP($D1983,본공사입.출고현황!$B:$H,E$2080,0),0)</f>
        <v>Steel round bar</v>
      </c>
      <c r="F1983" s="18" t="str">
        <f>IFERROR(VLOOKUP($D1983,본공사입.출고현황!$B:$H,F$2080,0),0)</f>
        <v>Steel round bar(rebar)</v>
      </c>
      <c r="G1983" s="18" t="str">
        <f>IFERROR(VLOOKUP($D1983,본공사입.출고현황!$B:$H,G$2080,0),0)</f>
        <v>CCGG</v>
      </c>
      <c r="H1983" s="18" t="str">
        <f>IFERROR(VLOOKUP($D1983,본공사입.출고현황!$B:$H,H$2080,0),0)</f>
        <v>ф10, 1ton=1,620.7m</v>
      </c>
      <c r="I1983" s="56" t="str">
        <f>IFERROR(VLOOKUP($D1983,본공사입.출고현황!$B:$H,I$2080,0),0)</f>
        <v>M</v>
      </c>
      <c r="J1983" s="9">
        <v>1</v>
      </c>
      <c r="K1983" s="9" t="s">
        <v>352</v>
      </c>
      <c r="L1983" s="37">
        <v>20</v>
      </c>
      <c r="M1983" s="64" t="s">
        <v>1002</v>
      </c>
      <c r="N1983" s="4"/>
    </row>
    <row r="1984" spans="1:14" ht="24" customHeight="1">
      <c r="A1984" s="8">
        <v>1940</v>
      </c>
      <c r="B1984" s="9">
        <v>1940</v>
      </c>
      <c r="C1984" s="46">
        <v>46154</v>
      </c>
      <c r="D1984" s="9" t="s">
        <v>238</v>
      </c>
      <c r="E1984" s="56" t="str">
        <f>IFERROR(VLOOKUP($D1984,본공사입.출고현황!$B:$H,E$2080,0),0)</f>
        <v>Steel round bar</v>
      </c>
      <c r="F1984" s="18" t="str">
        <f>IFERROR(VLOOKUP($D1984,본공사입.출고현황!$B:$H,F$2080,0),0)</f>
        <v>Steel round bar(rebar)</v>
      </c>
      <c r="G1984" s="18" t="str">
        <f>IFERROR(VLOOKUP($D1984,본공사입.출고현황!$B:$H,G$2080,0),0)</f>
        <v>CCGG</v>
      </c>
      <c r="H1984" s="18" t="str">
        <f>IFERROR(VLOOKUP($D1984,본공사입.출고현황!$B:$H,H$2080,0),0)</f>
        <v>ф10, 1ton=1,620.7m</v>
      </c>
      <c r="I1984" s="56" t="str">
        <f>IFERROR(VLOOKUP($D1984,본공사입.출고현황!$B:$H,I$2080,0),0)</f>
        <v>M</v>
      </c>
      <c r="J1984" s="9">
        <v>1</v>
      </c>
      <c r="K1984" s="9" t="s">
        <v>352</v>
      </c>
      <c r="L1984" s="37">
        <v>25</v>
      </c>
      <c r="M1984" s="64" t="s">
        <v>1002</v>
      </c>
      <c r="N1984" s="4"/>
    </row>
    <row r="1985" spans="1:14" ht="24" customHeight="1">
      <c r="A1985" s="8">
        <v>1941</v>
      </c>
      <c r="B1985" s="9">
        <v>1941</v>
      </c>
      <c r="C1985" s="46">
        <v>46154</v>
      </c>
      <c r="D1985" s="9" t="s">
        <v>238</v>
      </c>
      <c r="E1985" s="56" t="str">
        <f>IFERROR(VLOOKUP($D1985,본공사입.출고현황!$B:$H,E$2080,0),0)</f>
        <v>Steel round bar</v>
      </c>
      <c r="F1985" s="18" t="str">
        <f>IFERROR(VLOOKUP($D1985,본공사입.출고현황!$B:$H,F$2080,0),0)</f>
        <v>Steel round bar(rebar)</v>
      </c>
      <c r="G1985" s="18" t="str">
        <f>IFERROR(VLOOKUP($D1985,본공사입.출고현황!$B:$H,G$2080,0),0)</f>
        <v>CCGG</v>
      </c>
      <c r="H1985" s="18" t="str">
        <f>IFERROR(VLOOKUP($D1985,본공사입.출고현황!$B:$H,H$2080,0),0)</f>
        <v>ф10, 1ton=1,620.7m</v>
      </c>
      <c r="I1985" s="56" t="str">
        <f>IFERROR(VLOOKUP($D1985,본공사입.출고현황!$B:$H,I$2080,0),0)</f>
        <v>M</v>
      </c>
      <c r="J1985" s="9">
        <v>2</v>
      </c>
      <c r="K1985" s="9" t="s">
        <v>546</v>
      </c>
      <c r="L1985" s="37">
        <v>25</v>
      </c>
      <c r="M1985" s="64" t="s">
        <v>1002</v>
      </c>
      <c r="N1985" s="4"/>
    </row>
    <row r="1986" spans="1:14" ht="24" customHeight="1">
      <c r="A1986" s="8">
        <v>1942</v>
      </c>
      <c r="B1986" s="9">
        <v>1942</v>
      </c>
      <c r="C1986" s="46">
        <v>46154</v>
      </c>
      <c r="D1986" s="9" t="s">
        <v>238</v>
      </c>
      <c r="E1986" s="56" t="str">
        <f>IFERROR(VLOOKUP($D1986,본공사입.출고현황!$B:$H,E$2080,0),0)</f>
        <v>Steel round bar</v>
      </c>
      <c r="F1986" s="18" t="str">
        <f>IFERROR(VLOOKUP($D1986,본공사입.출고현황!$B:$H,F$2080,0),0)</f>
        <v>Steel round bar(rebar)</v>
      </c>
      <c r="G1986" s="18" t="str">
        <f>IFERROR(VLOOKUP($D1986,본공사입.출고현황!$B:$H,G$2080,0),0)</f>
        <v>CCGG</v>
      </c>
      <c r="H1986" s="18" t="str">
        <f>IFERROR(VLOOKUP($D1986,본공사입.출고현황!$B:$H,H$2080,0),0)</f>
        <v>ф10, 1ton=1,620.7m</v>
      </c>
      <c r="I1986" s="56" t="str">
        <f>IFERROR(VLOOKUP($D1986,본공사입.출고현황!$B:$H,I$2080,0),0)</f>
        <v>M</v>
      </c>
      <c r="J1986" s="9">
        <v>4</v>
      </c>
      <c r="K1986" s="9" t="s">
        <v>359</v>
      </c>
      <c r="L1986" s="37">
        <v>25</v>
      </c>
      <c r="M1986" s="64" t="s">
        <v>1002</v>
      </c>
      <c r="N1986" s="4"/>
    </row>
    <row r="1987" spans="1:14" ht="24" customHeight="1">
      <c r="A1987" s="8">
        <v>1943</v>
      </c>
      <c r="B1987" s="9">
        <v>1943</v>
      </c>
      <c r="C1987" s="46">
        <v>46154</v>
      </c>
      <c r="D1987" s="9" t="s">
        <v>238</v>
      </c>
      <c r="E1987" s="56" t="str">
        <f>IFERROR(VLOOKUP($D1987,본공사입.출고현황!$B:$H,E$2080,0),0)</f>
        <v>Steel round bar</v>
      </c>
      <c r="F1987" s="18" t="str">
        <f>IFERROR(VLOOKUP($D1987,본공사입.출고현황!$B:$H,F$2080,0),0)</f>
        <v>Steel round bar(rebar)</v>
      </c>
      <c r="G1987" s="18" t="str">
        <f>IFERROR(VLOOKUP($D1987,본공사입.출고현황!$B:$H,G$2080,0),0)</f>
        <v>CCGG</v>
      </c>
      <c r="H1987" s="18" t="str">
        <f>IFERROR(VLOOKUP($D1987,본공사입.출고현황!$B:$H,H$2080,0),0)</f>
        <v>ф10, 1ton=1,620.7m</v>
      </c>
      <c r="I1987" s="56" t="str">
        <f>IFERROR(VLOOKUP($D1987,본공사입.출고현황!$B:$H,I$2080,0),0)</f>
        <v>M</v>
      </c>
      <c r="J1987" s="9">
        <v>2</v>
      </c>
      <c r="K1987" s="9" t="s">
        <v>360</v>
      </c>
      <c r="L1987" s="37">
        <v>25</v>
      </c>
      <c r="M1987" s="64" t="s">
        <v>1002</v>
      </c>
      <c r="N1987" s="4"/>
    </row>
    <row r="1988" spans="1:14" ht="24" customHeight="1">
      <c r="A1988" s="8">
        <v>1944</v>
      </c>
      <c r="B1988" s="9">
        <v>1944</v>
      </c>
      <c r="C1988" s="46">
        <v>46154</v>
      </c>
      <c r="D1988" s="9" t="s">
        <v>238</v>
      </c>
      <c r="E1988" s="56" t="str">
        <f>IFERROR(VLOOKUP($D1988,본공사입.출고현황!$B:$H,E$2080,0),0)</f>
        <v>Steel round bar</v>
      </c>
      <c r="F1988" s="18" t="str">
        <f>IFERROR(VLOOKUP($D1988,본공사입.출고현황!$B:$H,F$2080,0),0)</f>
        <v>Steel round bar(rebar)</v>
      </c>
      <c r="G1988" s="18" t="str">
        <f>IFERROR(VLOOKUP($D1988,본공사입.출고현황!$B:$H,G$2080,0),0)</f>
        <v>CCGG</v>
      </c>
      <c r="H1988" s="18" t="str">
        <f>IFERROR(VLOOKUP($D1988,본공사입.출고현황!$B:$H,H$2080,0),0)</f>
        <v>ф10, 1ton=1,620.7m</v>
      </c>
      <c r="I1988" s="56" t="str">
        <f>IFERROR(VLOOKUP($D1988,본공사입.출고현황!$B:$H,I$2080,0),0)</f>
        <v>M</v>
      </c>
      <c r="J1988" s="9">
        <v>1</v>
      </c>
      <c r="K1988" s="9" t="s">
        <v>547</v>
      </c>
      <c r="L1988" s="37">
        <v>25</v>
      </c>
      <c r="M1988" s="64" t="s">
        <v>1002</v>
      </c>
      <c r="N1988" s="4"/>
    </row>
    <row r="1989" spans="1:14" ht="24" customHeight="1">
      <c r="A1989" s="8">
        <v>1945</v>
      </c>
      <c r="B1989" s="9">
        <v>1945</v>
      </c>
      <c r="C1989" s="46">
        <v>46154</v>
      </c>
      <c r="D1989" s="9" t="s">
        <v>238</v>
      </c>
      <c r="E1989" s="56" t="str">
        <f>IFERROR(VLOOKUP($D1989,본공사입.출고현황!$B:$H,E$2080,0),0)</f>
        <v>Steel round bar</v>
      </c>
      <c r="F1989" s="18" t="str">
        <f>IFERROR(VLOOKUP($D1989,본공사입.출고현황!$B:$H,F$2080,0),0)</f>
        <v>Steel round bar(rebar)</v>
      </c>
      <c r="G1989" s="18" t="str">
        <f>IFERROR(VLOOKUP($D1989,본공사입.출고현황!$B:$H,G$2080,0),0)</f>
        <v>CCGG</v>
      </c>
      <c r="H1989" s="18" t="str">
        <f>IFERROR(VLOOKUP($D1989,본공사입.출고현황!$B:$H,H$2080,0),0)</f>
        <v>ф10, 1ton=1,620.7m</v>
      </c>
      <c r="I1989" s="56" t="str">
        <f>IFERROR(VLOOKUP($D1989,본공사입.출고현황!$B:$H,I$2080,0),0)</f>
        <v>M</v>
      </c>
      <c r="J1989" s="9">
        <v>2</v>
      </c>
      <c r="K1989" s="9" t="s">
        <v>360</v>
      </c>
      <c r="L1989" s="37">
        <v>25</v>
      </c>
      <c r="M1989" s="64" t="s">
        <v>1002</v>
      </c>
      <c r="N1989" s="4"/>
    </row>
    <row r="1990" spans="1:14" ht="24" customHeight="1">
      <c r="A1990" s="8">
        <v>1946</v>
      </c>
      <c r="B1990" s="9">
        <v>1946</v>
      </c>
      <c r="C1990" s="46">
        <v>46154</v>
      </c>
      <c r="D1990" s="9" t="s">
        <v>238</v>
      </c>
      <c r="E1990" s="56" t="str">
        <f>IFERROR(VLOOKUP($D1990,본공사입.출고현황!$B:$H,E$2080,0),0)</f>
        <v>Steel round bar</v>
      </c>
      <c r="F1990" s="18" t="str">
        <f>IFERROR(VLOOKUP($D1990,본공사입.출고현황!$B:$H,F$2080,0),0)</f>
        <v>Steel round bar(rebar)</v>
      </c>
      <c r="G1990" s="18" t="str">
        <f>IFERROR(VLOOKUP($D1990,본공사입.출고현황!$B:$H,G$2080,0),0)</f>
        <v>CCGG</v>
      </c>
      <c r="H1990" s="18" t="str">
        <f>IFERROR(VLOOKUP($D1990,본공사입.출고현황!$B:$H,H$2080,0),0)</f>
        <v>ф10, 1ton=1,620.7m</v>
      </c>
      <c r="I1990" s="56" t="str">
        <f>IFERROR(VLOOKUP($D1990,본공사입.출고현황!$B:$H,I$2080,0),0)</f>
        <v>M</v>
      </c>
      <c r="J1990" s="9">
        <v>4</v>
      </c>
      <c r="K1990" s="9" t="s">
        <v>359</v>
      </c>
      <c r="L1990" s="37">
        <v>20</v>
      </c>
      <c r="M1990" s="64" t="s">
        <v>1002</v>
      </c>
      <c r="N1990" s="4"/>
    </row>
    <row r="1991" spans="1:14" ht="24" customHeight="1">
      <c r="A1991" s="8">
        <v>1947</v>
      </c>
      <c r="B1991" s="9">
        <v>1947</v>
      </c>
      <c r="C1991" s="46">
        <v>46154</v>
      </c>
      <c r="D1991" s="9" t="s">
        <v>238</v>
      </c>
      <c r="E1991" s="56" t="str">
        <f>IFERROR(VLOOKUP($D1991,본공사입.출고현황!$B:$H,E$2080,0),0)</f>
        <v>Steel round bar</v>
      </c>
      <c r="F1991" s="18" t="str">
        <f>IFERROR(VLOOKUP($D1991,본공사입.출고현황!$B:$H,F$2080,0),0)</f>
        <v>Steel round bar(rebar)</v>
      </c>
      <c r="G1991" s="18" t="str">
        <f>IFERROR(VLOOKUP($D1991,본공사입.출고현황!$B:$H,G$2080,0),0)</f>
        <v>CCGG</v>
      </c>
      <c r="H1991" s="18" t="str">
        <f>IFERROR(VLOOKUP($D1991,본공사입.출고현황!$B:$H,H$2080,0),0)</f>
        <v>ф10, 1ton=1,620.7m</v>
      </c>
      <c r="I1991" s="56" t="str">
        <f>IFERROR(VLOOKUP($D1991,본공사입.출고현황!$B:$H,I$2080,0),0)</f>
        <v>M</v>
      </c>
      <c r="J1991" s="9">
        <v>1</v>
      </c>
      <c r="K1991" s="9" t="s">
        <v>352</v>
      </c>
      <c r="L1991" s="37">
        <v>50</v>
      </c>
      <c r="M1991" s="64" t="s">
        <v>1002</v>
      </c>
      <c r="N1991" s="4"/>
    </row>
    <row r="1992" spans="1:14" ht="24" customHeight="1">
      <c r="A1992" s="8">
        <v>1948</v>
      </c>
      <c r="B1992" s="9">
        <v>1948</v>
      </c>
      <c r="C1992" s="46">
        <v>46154</v>
      </c>
      <c r="D1992" s="9" t="s">
        <v>238</v>
      </c>
      <c r="E1992" s="56" t="str">
        <f>IFERROR(VLOOKUP($D1992,본공사입.출고현황!$B:$H,E$2080,0),0)</f>
        <v>Steel round bar</v>
      </c>
      <c r="F1992" s="18" t="str">
        <f>IFERROR(VLOOKUP($D1992,본공사입.출고현황!$B:$H,F$2080,0),0)</f>
        <v>Steel round bar(rebar)</v>
      </c>
      <c r="G1992" s="18" t="str">
        <f>IFERROR(VLOOKUP($D1992,본공사입.출고현황!$B:$H,G$2080,0),0)</f>
        <v>CCGG</v>
      </c>
      <c r="H1992" s="18" t="str">
        <f>IFERROR(VLOOKUP($D1992,본공사입.출고현황!$B:$H,H$2080,0),0)</f>
        <v>ф10, 1ton=1,620.7m</v>
      </c>
      <c r="I1992" s="56" t="str">
        <f>IFERROR(VLOOKUP($D1992,본공사입.출고현황!$B:$H,I$2080,0),0)</f>
        <v>M</v>
      </c>
      <c r="J1992" s="9">
        <v>2</v>
      </c>
      <c r="K1992" s="9" t="s">
        <v>546</v>
      </c>
      <c r="L1992" s="37">
        <v>25</v>
      </c>
      <c r="M1992" s="64" t="s">
        <v>1002</v>
      </c>
      <c r="N1992" s="4"/>
    </row>
    <row r="1993" spans="1:14" ht="24" customHeight="1">
      <c r="A1993" s="8">
        <v>1949</v>
      </c>
      <c r="B1993" s="9">
        <v>1949</v>
      </c>
      <c r="C1993" s="46">
        <v>46154</v>
      </c>
      <c r="D1993" s="9" t="s">
        <v>238</v>
      </c>
      <c r="E1993" s="56" t="str">
        <f>IFERROR(VLOOKUP($D1993,본공사입.출고현황!$B:$H,E$2080,0),0)</f>
        <v>Steel round bar</v>
      </c>
      <c r="F1993" s="18" t="str">
        <f>IFERROR(VLOOKUP($D1993,본공사입.출고현황!$B:$H,F$2080,0),0)</f>
        <v>Steel round bar(rebar)</v>
      </c>
      <c r="G1993" s="18" t="str">
        <f>IFERROR(VLOOKUP($D1993,본공사입.출고현황!$B:$H,G$2080,0),0)</f>
        <v>CCGG</v>
      </c>
      <c r="H1993" s="18" t="str">
        <f>IFERROR(VLOOKUP($D1993,본공사입.출고현황!$B:$H,H$2080,0),0)</f>
        <v>ф10, 1ton=1,620.7m</v>
      </c>
      <c r="I1993" s="56" t="str">
        <f>IFERROR(VLOOKUP($D1993,본공사입.출고현황!$B:$H,I$2080,0),0)</f>
        <v>M</v>
      </c>
      <c r="J1993" s="9">
        <v>4</v>
      </c>
      <c r="K1993" s="9" t="s">
        <v>359</v>
      </c>
      <c r="L1993" s="37">
        <v>75</v>
      </c>
      <c r="M1993" s="64" t="s">
        <v>1002</v>
      </c>
      <c r="N1993" s="4"/>
    </row>
    <row r="1994" spans="1:14" ht="24" customHeight="1">
      <c r="A1994" s="8">
        <v>1950</v>
      </c>
      <c r="B1994" s="9">
        <v>1950</v>
      </c>
      <c r="C1994" s="46">
        <v>46154</v>
      </c>
      <c r="D1994" s="9" t="s">
        <v>238</v>
      </c>
      <c r="E1994" s="56" t="str">
        <f>IFERROR(VLOOKUP($D1994,본공사입.출고현황!$B:$H,E$2080,0),0)</f>
        <v>Steel round bar</v>
      </c>
      <c r="F1994" s="18" t="str">
        <f>IFERROR(VLOOKUP($D1994,본공사입.출고현황!$B:$H,F$2080,0),0)</f>
        <v>Steel round bar(rebar)</v>
      </c>
      <c r="G1994" s="18" t="str">
        <f>IFERROR(VLOOKUP($D1994,본공사입.출고현황!$B:$H,G$2080,0),0)</f>
        <v>CCGG</v>
      </c>
      <c r="H1994" s="18" t="str">
        <f>IFERROR(VLOOKUP($D1994,본공사입.출고현황!$B:$H,H$2080,0),0)</f>
        <v>ф10, 1ton=1,620.7m</v>
      </c>
      <c r="I1994" s="56" t="str">
        <f>IFERROR(VLOOKUP($D1994,본공사입.출고현황!$B:$H,I$2080,0),0)</f>
        <v>M</v>
      </c>
      <c r="J1994" s="9">
        <v>2</v>
      </c>
      <c r="K1994" s="9" t="s">
        <v>360</v>
      </c>
      <c r="L1994" s="37">
        <v>25</v>
      </c>
      <c r="M1994" s="64" t="s">
        <v>1002</v>
      </c>
      <c r="N1994" s="4"/>
    </row>
    <row r="1995" spans="1:14" ht="24" customHeight="1">
      <c r="A1995" s="8">
        <v>1951</v>
      </c>
      <c r="B1995" s="9">
        <v>1951</v>
      </c>
      <c r="C1995" s="46">
        <v>46154</v>
      </c>
      <c r="D1995" s="9" t="s">
        <v>238</v>
      </c>
      <c r="E1995" s="56" t="str">
        <f>IFERROR(VLOOKUP($D1995,본공사입.출고현황!$B:$H,E$2080,0),0)</f>
        <v>Steel round bar</v>
      </c>
      <c r="F1995" s="18" t="str">
        <f>IFERROR(VLOOKUP($D1995,본공사입.출고현황!$B:$H,F$2080,0),0)</f>
        <v>Steel round bar(rebar)</v>
      </c>
      <c r="G1995" s="18" t="str">
        <f>IFERROR(VLOOKUP($D1995,본공사입.출고현황!$B:$H,G$2080,0),0)</f>
        <v>CCGG</v>
      </c>
      <c r="H1995" s="18" t="str">
        <f>IFERROR(VLOOKUP($D1995,본공사입.출고현황!$B:$H,H$2080,0),0)</f>
        <v>ф10, 1ton=1,620.7m</v>
      </c>
      <c r="I1995" s="56" t="str">
        <f>IFERROR(VLOOKUP($D1995,본공사입.출고현황!$B:$H,I$2080,0),0)</f>
        <v>M</v>
      </c>
      <c r="J1995" s="9">
        <v>3</v>
      </c>
      <c r="K1995" s="9" t="s">
        <v>237</v>
      </c>
      <c r="L1995" s="37">
        <v>20</v>
      </c>
      <c r="M1995" s="64" t="s">
        <v>1002</v>
      </c>
      <c r="N1995" s="4"/>
    </row>
    <row r="1996" spans="1:14" ht="24" customHeight="1">
      <c r="A1996" s="8">
        <v>1952</v>
      </c>
      <c r="B1996" s="9">
        <v>1952</v>
      </c>
      <c r="C1996" s="46">
        <v>46154</v>
      </c>
      <c r="D1996" s="9" t="s">
        <v>238</v>
      </c>
      <c r="E1996" s="56" t="str">
        <f>IFERROR(VLOOKUP($D1996,본공사입.출고현황!$B:$H,E$2080,0),0)</f>
        <v>Steel round bar</v>
      </c>
      <c r="F1996" s="18" t="str">
        <f>IFERROR(VLOOKUP($D1996,본공사입.출고현황!$B:$H,F$2080,0),0)</f>
        <v>Steel round bar(rebar)</v>
      </c>
      <c r="G1996" s="18" t="str">
        <f>IFERROR(VLOOKUP($D1996,본공사입.출고현황!$B:$H,G$2080,0),0)</f>
        <v>CCGG</v>
      </c>
      <c r="H1996" s="18" t="str">
        <f>IFERROR(VLOOKUP($D1996,본공사입.출고현황!$B:$H,H$2080,0),0)</f>
        <v>ф10, 1ton=1,620.7m</v>
      </c>
      <c r="I1996" s="56" t="str">
        <f>IFERROR(VLOOKUP($D1996,본공사입.출고현황!$B:$H,I$2080,0),0)</f>
        <v>M</v>
      </c>
      <c r="J1996" s="9">
        <v>1</v>
      </c>
      <c r="K1996" s="9" t="s">
        <v>352</v>
      </c>
      <c r="L1996" s="37">
        <v>25</v>
      </c>
      <c r="M1996" s="64" t="s">
        <v>1002</v>
      </c>
      <c r="N1996" s="4"/>
    </row>
    <row r="1997" spans="1:14" ht="24" customHeight="1">
      <c r="A1997" s="8">
        <v>1953</v>
      </c>
      <c r="B1997" s="366">
        <v>1953</v>
      </c>
      <c r="C1997" s="367">
        <v>46155</v>
      </c>
      <c r="D1997" s="366" t="s">
        <v>238</v>
      </c>
      <c r="E1997" s="368" t="str">
        <f>IFERROR(VLOOKUP($D1997,본공사입.출고현황!$B:$H,E$2080,0),0)</f>
        <v>Steel round bar</v>
      </c>
      <c r="F1997" s="369" t="str">
        <f>IFERROR(VLOOKUP($D1997,본공사입.출고현황!$B:$H,F$2080,0),0)</f>
        <v>Steel round bar(rebar)</v>
      </c>
      <c r="G1997" s="369" t="str">
        <f>IFERROR(VLOOKUP($D1997,본공사입.출고현황!$B:$H,G$2080,0),0)</f>
        <v>CCGG</v>
      </c>
      <c r="H1997" s="369" t="str">
        <f>IFERROR(VLOOKUP($D1997,본공사입.출고현황!$B:$H,H$2080,0),0)</f>
        <v>ф10, 1ton=1,620.7m</v>
      </c>
      <c r="I1997" s="368" t="str">
        <f>IFERROR(VLOOKUP($D1997,본공사입.출고현황!$B:$H,I$2080,0),0)</f>
        <v>M</v>
      </c>
      <c r="J1997" s="366">
        <v>2</v>
      </c>
      <c r="K1997" s="366" t="s">
        <v>360</v>
      </c>
      <c r="L1997" s="370">
        <v>25</v>
      </c>
      <c r="M1997" s="371" t="s">
        <v>1002</v>
      </c>
      <c r="N1997" s="372"/>
    </row>
    <row r="1998" spans="1:14" ht="24" customHeight="1">
      <c r="A1998" s="8">
        <v>1954</v>
      </c>
      <c r="B1998" s="366">
        <v>1954</v>
      </c>
      <c r="C1998" s="367">
        <v>46155</v>
      </c>
      <c r="D1998" s="366" t="s">
        <v>238</v>
      </c>
      <c r="E1998" s="368" t="str">
        <f>IFERROR(VLOOKUP($D1998,본공사입.출고현황!$B:$H,E$2080,0),0)</f>
        <v>Steel round bar</v>
      </c>
      <c r="F1998" s="369" t="str">
        <f>IFERROR(VLOOKUP($D1998,본공사입.출고현황!$B:$H,F$2080,0),0)</f>
        <v>Steel round bar(rebar)</v>
      </c>
      <c r="G1998" s="369" t="str">
        <f>IFERROR(VLOOKUP($D1998,본공사입.출고현황!$B:$H,G$2080,0),0)</f>
        <v>CCGG</v>
      </c>
      <c r="H1998" s="369" t="str">
        <f>IFERROR(VLOOKUP($D1998,본공사입.출고현황!$B:$H,H$2080,0),0)</f>
        <v>ф10, 1ton=1,620.7m</v>
      </c>
      <c r="I1998" s="368" t="str">
        <f>IFERROR(VLOOKUP($D1998,본공사입.출고현황!$B:$H,I$2080,0),0)</f>
        <v>M</v>
      </c>
      <c r="J1998" s="366">
        <v>4</v>
      </c>
      <c r="K1998" s="366" t="s">
        <v>359</v>
      </c>
      <c r="L1998" s="370">
        <v>20</v>
      </c>
      <c r="M1998" s="371" t="s">
        <v>1002</v>
      </c>
      <c r="N1998" s="372"/>
    </row>
    <row r="1999" spans="1:14" ht="24" customHeight="1">
      <c r="A1999" s="8">
        <v>1955</v>
      </c>
      <c r="B1999" s="366">
        <v>1955</v>
      </c>
      <c r="C1999" s="367">
        <v>46155</v>
      </c>
      <c r="D1999" s="366" t="s">
        <v>238</v>
      </c>
      <c r="E1999" s="368" t="str">
        <f>IFERROR(VLOOKUP($D1999,본공사입.출고현황!$B:$H,E$2080,0),0)</f>
        <v>Steel round bar</v>
      </c>
      <c r="F1999" s="369" t="str">
        <f>IFERROR(VLOOKUP($D1999,본공사입.출고현황!$B:$H,F$2080,0),0)</f>
        <v>Steel round bar(rebar)</v>
      </c>
      <c r="G1999" s="369" t="str">
        <f>IFERROR(VLOOKUP($D1999,본공사입.출고현황!$B:$H,G$2080,0),0)</f>
        <v>CCGG</v>
      </c>
      <c r="H1999" s="369" t="str">
        <f>IFERROR(VLOOKUP($D1999,본공사입.출고현황!$B:$H,H$2080,0),0)</f>
        <v>ф10, 1ton=1,620.7m</v>
      </c>
      <c r="I1999" s="368" t="str">
        <f>IFERROR(VLOOKUP($D1999,본공사입.출고현황!$B:$H,I$2080,0),0)</f>
        <v>M</v>
      </c>
      <c r="J1999" s="366">
        <v>1</v>
      </c>
      <c r="K1999" s="366" t="s">
        <v>547</v>
      </c>
      <c r="L1999" s="370">
        <v>25</v>
      </c>
      <c r="M1999" s="371" t="s">
        <v>1002</v>
      </c>
      <c r="N1999" s="372"/>
    </row>
    <row r="2000" spans="1:14" ht="24" customHeight="1">
      <c r="A2000" s="8">
        <v>1956</v>
      </c>
      <c r="B2000" s="366">
        <v>1956</v>
      </c>
      <c r="C2000" s="367">
        <v>46155</v>
      </c>
      <c r="D2000" s="366" t="s">
        <v>238</v>
      </c>
      <c r="E2000" s="368" t="str">
        <f>IFERROR(VLOOKUP($D2000,본공사입.출고현황!$B:$H,E$2080,0),0)</f>
        <v>Steel round bar</v>
      </c>
      <c r="F2000" s="369" t="str">
        <f>IFERROR(VLOOKUP($D2000,본공사입.출고현황!$B:$H,F$2080,0),0)</f>
        <v>Steel round bar(rebar)</v>
      </c>
      <c r="G2000" s="369" t="str">
        <f>IFERROR(VLOOKUP($D2000,본공사입.출고현황!$B:$H,G$2080,0),0)</f>
        <v>CCGG</v>
      </c>
      <c r="H2000" s="369" t="str">
        <f>IFERROR(VLOOKUP($D2000,본공사입.출고현황!$B:$H,H$2080,0),0)</f>
        <v>ф10, 1ton=1,620.7m</v>
      </c>
      <c r="I2000" s="368" t="str">
        <f>IFERROR(VLOOKUP($D2000,본공사입.출고현황!$B:$H,I$2080,0),0)</f>
        <v>M</v>
      </c>
      <c r="J2000" s="366">
        <v>1</v>
      </c>
      <c r="K2000" s="366" t="s">
        <v>547</v>
      </c>
      <c r="L2000" s="370">
        <v>25</v>
      </c>
      <c r="M2000" s="371" t="s">
        <v>1002</v>
      </c>
      <c r="N2000" s="372"/>
    </row>
    <row r="2001" spans="1:14" ht="24" customHeight="1">
      <c r="A2001" s="8">
        <v>1957</v>
      </c>
      <c r="B2001" s="366">
        <v>1957</v>
      </c>
      <c r="C2001" s="367">
        <v>46155</v>
      </c>
      <c r="D2001" s="366" t="s">
        <v>238</v>
      </c>
      <c r="E2001" s="368" t="str">
        <f>IFERROR(VLOOKUP($D2001,본공사입.출고현황!$B:$H,E$2080,0),0)</f>
        <v>Steel round bar</v>
      </c>
      <c r="F2001" s="369" t="str">
        <f>IFERROR(VLOOKUP($D2001,본공사입.출고현황!$B:$H,F$2080,0),0)</f>
        <v>Steel round bar(rebar)</v>
      </c>
      <c r="G2001" s="369" t="str">
        <f>IFERROR(VLOOKUP($D2001,본공사입.출고현황!$B:$H,G$2080,0),0)</f>
        <v>CCGG</v>
      </c>
      <c r="H2001" s="369" t="str">
        <f>IFERROR(VLOOKUP($D2001,본공사입.출고현황!$B:$H,H$2080,0),0)</f>
        <v>ф10, 1ton=1,620.7m</v>
      </c>
      <c r="I2001" s="368" t="str">
        <f>IFERROR(VLOOKUP($D2001,본공사입.출고현황!$B:$H,I$2080,0),0)</f>
        <v>M</v>
      </c>
      <c r="J2001" s="366">
        <v>1</v>
      </c>
      <c r="K2001" s="366" t="s">
        <v>363</v>
      </c>
      <c r="L2001" s="370">
        <v>25</v>
      </c>
      <c r="M2001" s="371" t="s">
        <v>1002</v>
      </c>
      <c r="N2001" s="372"/>
    </row>
    <row r="2002" spans="1:14" ht="24" customHeight="1">
      <c r="A2002" s="8">
        <v>1958</v>
      </c>
      <c r="B2002" s="366">
        <v>1958</v>
      </c>
      <c r="C2002" s="367">
        <v>46155</v>
      </c>
      <c r="D2002" s="366" t="s">
        <v>238</v>
      </c>
      <c r="E2002" s="368" t="str">
        <f>IFERROR(VLOOKUP($D2002,본공사입.출고현황!$B:$H,E$2080,0),0)</f>
        <v>Steel round bar</v>
      </c>
      <c r="F2002" s="369" t="str">
        <f>IFERROR(VLOOKUP($D2002,본공사입.출고현황!$B:$H,F$2080,0),0)</f>
        <v>Steel round bar(rebar)</v>
      </c>
      <c r="G2002" s="369" t="str">
        <f>IFERROR(VLOOKUP($D2002,본공사입.출고현황!$B:$H,G$2080,0),0)</f>
        <v>CCGG</v>
      </c>
      <c r="H2002" s="369" t="str">
        <f>IFERROR(VLOOKUP($D2002,본공사입.출고현황!$B:$H,H$2080,0),0)</f>
        <v>ф10, 1ton=1,620.7m</v>
      </c>
      <c r="I2002" s="368" t="str">
        <f>IFERROR(VLOOKUP($D2002,본공사입.출고현황!$B:$H,I$2080,0),0)</f>
        <v>M</v>
      </c>
      <c r="J2002" s="366">
        <v>3</v>
      </c>
      <c r="K2002" s="366" t="s">
        <v>550</v>
      </c>
      <c r="L2002" s="370">
        <v>25</v>
      </c>
      <c r="M2002" s="371" t="s">
        <v>1002</v>
      </c>
      <c r="N2002" s="372"/>
    </row>
    <row r="2003" spans="1:14" ht="24" customHeight="1">
      <c r="A2003" s="8">
        <v>1959</v>
      </c>
      <c r="B2003" s="366">
        <v>1959</v>
      </c>
      <c r="C2003" s="367">
        <v>46155</v>
      </c>
      <c r="D2003" s="366" t="s">
        <v>238</v>
      </c>
      <c r="E2003" s="368" t="str">
        <f>IFERROR(VLOOKUP($D2003,본공사입.출고현황!$B:$H,E$2080,0),0)</f>
        <v>Steel round bar</v>
      </c>
      <c r="F2003" s="369" t="str">
        <f>IFERROR(VLOOKUP($D2003,본공사입.출고현황!$B:$H,F$2080,0),0)</f>
        <v>Steel round bar(rebar)</v>
      </c>
      <c r="G2003" s="369" t="str">
        <f>IFERROR(VLOOKUP($D2003,본공사입.출고현황!$B:$H,G$2080,0),0)</f>
        <v>CCGG</v>
      </c>
      <c r="H2003" s="369" t="str">
        <f>IFERROR(VLOOKUP($D2003,본공사입.출고현황!$B:$H,H$2080,0),0)</f>
        <v>ф10, 1ton=1,620.7m</v>
      </c>
      <c r="I2003" s="368" t="str">
        <f>IFERROR(VLOOKUP($D2003,본공사입.출고현황!$B:$H,I$2080,0),0)</f>
        <v>M</v>
      </c>
      <c r="J2003" s="366">
        <v>2</v>
      </c>
      <c r="K2003" s="366" t="s">
        <v>360</v>
      </c>
      <c r="L2003" s="370">
        <v>20</v>
      </c>
      <c r="M2003" s="371" t="s">
        <v>1002</v>
      </c>
      <c r="N2003" s="372"/>
    </row>
    <row r="2004" spans="1:14" ht="24" customHeight="1">
      <c r="A2004" s="8">
        <v>1960</v>
      </c>
      <c r="B2004" s="366">
        <v>1960</v>
      </c>
      <c r="C2004" s="367">
        <v>46155</v>
      </c>
      <c r="D2004" s="366" t="s">
        <v>238</v>
      </c>
      <c r="E2004" s="368" t="str">
        <f>IFERROR(VLOOKUP($D2004,본공사입.출고현황!$B:$H,E$2080,0),0)</f>
        <v>Steel round bar</v>
      </c>
      <c r="F2004" s="369" t="str">
        <f>IFERROR(VLOOKUP($D2004,본공사입.출고현황!$B:$H,F$2080,0),0)</f>
        <v>Steel round bar(rebar)</v>
      </c>
      <c r="G2004" s="369" t="str">
        <f>IFERROR(VLOOKUP($D2004,본공사입.출고현황!$B:$H,G$2080,0),0)</f>
        <v>CCGG</v>
      </c>
      <c r="H2004" s="369" t="str">
        <f>IFERROR(VLOOKUP($D2004,본공사입.출고현황!$B:$H,H$2080,0),0)</f>
        <v>ф10, 1ton=1,620.7m</v>
      </c>
      <c r="I2004" s="368" t="str">
        <f>IFERROR(VLOOKUP($D2004,본공사입.출고현황!$B:$H,I$2080,0),0)</f>
        <v>M</v>
      </c>
      <c r="J2004" s="366">
        <v>1</v>
      </c>
      <c r="K2004" s="366" t="s">
        <v>352</v>
      </c>
      <c r="L2004" s="370">
        <v>30</v>
      </c>
      <c r="M2004" s="371" t="s">
        <v>1002</v>
      </c>
      <c r="N2004" s="372"/>
    </row>
    <row r="2005" spans="1:14" ht="24" customHeight="1">
      <c r="A2005" s="8">
        <v>1961</v>
      </c>
      <c r="B2005" s="366">
        <v>1961</v>
      </c>
      <c r="C2005" s="367">
        <v>46156</v>
      </c>
      <c r="D2005" s="366" t="s">
        <v>238</v>
      </c>
      <c r="E2005" s="368" t="str">
        <f>IFERROR(VLOOKUP($D2005,본공사입.출고현황!$B:$H,E$2080,0),0)</f>
        <v>Steel round bar</v>
      </c>
      <c r="F2005" s="369" t="str">
        <f>IFERROR(VLOOKUP($D2005,본공사입.출고현황!$B:$H,F$2080,0),0)</f>
        <v>Steel round bar(rebar)</v>
      </c>
      <c r="G2005" s="369" t="str">
        <f>IFERROR(VLOOKUP($D2005,본공사입.출고현황!$B:$H,G$2080,0),0)</f>
        <v>CCGG</v>
      </c>
      <c r="H2005" s="369" t="str">
        <f>IFERROR(VLOOKUP($D2005,본공사입.출고현황!$B:$H,H$2080,0),0)</f>
        <v>ф10, 1ton=1,620.7m</v>
      </c>
      <c r="I2005" s="368" t="str">
        <f>IFERROR(VLOOKUP($D2005,본공사입.출고현황!$B:$H,I$2080,0),0)</f>
        <v>M</v>
      </c>
      <c r="J2005" s="366">
        <v>1</v>
      </c>
      <c r="K2005" s="366" t="s">
        <v>352</v>
      </c>
      <c r="L2005" s="370">
        <v>25</v>
      </c>
      <c r="M2005" s="371" t="s">
        <v>1002</v>
      </c>
      <c r="N2005" s="372"/>
    </row>
    <row r="2006" spans="1:14" ht="24" customHeight="1">
      <c r="A2006" s="8">
        <v>1962</v>
      </c>
      <c r="B2006" s="366">
        <v>1962</v>
      </c>
      <c r="C2006" s="367">
        <v>46156</v>
      </c>
      <c r="D2006" s="366" t="s">
        <v>238</v>
      </c>
      <c r="E2006" s="368" t="str">
        <f>IFERROR(VLOOKUP($D2006,본공사입.출고현황!$B:$H,E$2080,0),0)</f>
        <v>Steel round bar</v>
      </c>
      <c r="F2006" s="369" t="str">
        <f>IFERROR(VLOOKUP($D2006,본공사입.출고현황!$B:$H,F$2080,0),0)</f>
        <v>Steel round bar(rebar)</v>
      </c>
      <c r="G2006" s="369" t="str">
        <f>IFERROR(VLOOKUP($D2006,본공사입.출고현황!$B:$H,G$2080,0),0)</f>
        <v>CCGG</v>
      </c>
      <c r="H2006" s="369" t="str">
        <f>IFERROR(VLOOKUP($D2006,본공사입.출고현황!$B:$H,H$2080,0),0)</f>
        <v>ф10, 1ton=1,620.7m</v>
      </c>
      <c r="I2006" s="368" t="str">
        <f>IFERROR(VLOOKUP($D2006,본공사입.출고현황!$B:$H,I$2080,0),0)</f>
        <v>M</v>
      </c>
      <c r="J2006" s="366">
        <v>2</v>
      </c>
      <c r="K2006" s="366" t="s">
        <v>546</v>
      </c>
      <c r="L2006" s="370">
        <v>15</v>
      </c>
      <c r="M2006" s="371" t="s">
        <v>1002</v>
      </c>
      <c r="N2006" s="372"/>
    </row>
    <row r="2007" spans="1:14" ht="24" customHeight="1">
      <c r="A2007" s="8">
        <v>1963</v>
      </c>
      <c r="B2007" s="366">
        <v>1963</v>
      </c>
      <c r="C2007" s="367">
        <v>46156</v>
      </c>
      <c r="D2007" s="366" t="s">
        <v>238</v>
      </c>
      <c r="E2007" s="368" t="str">
        <f>IFERROR(VLOOKUP($D2007,본공사입.출고현황!$B:$H,E$2080,0),0)</f>
        <v>Steel round bar</v>
      </c>
      <c r="F2007" s="369" t="str">
        <f>IFERROR(VLOOKUP($D2007,본공사입.출고현황!$B:$H,F$2080,0),0)</f>
        <v>Steel round bar(rebar)</v>
      </c>
      <c r="G2007" s="369" t="str">
        <f>IFERROR(VLOOKUP($D2007,본공사입.출고현황!$B:$H,G$2080,0),0)</f>
        <v>CCGG</v>
      </c>
      <c r="H2007" s="369" t="str">
        <f>IFERROR(VLOOKUP($D2007,본공사입.출고현황!$B:$H,H$2080,0),0)</f>
        <v>ф10, 1ton=1,620.7m</v>
      </c>
      <c r="I2007" s="368" t="str">
        <f>IFERROR(VLOOKUP($D2007,본공사입.출고현황!$B:$H,I$2080,0),0)</f>
        <v>M</v>
      </c>
      <c r="J2007" s="366">
        <v>4</v>
      </c>
      <c r="K2007" s="366" t="s">
        <v>359</v>
      </c>
      <c r="L2007" s="370">
        <v>30</v>
      </c>
      <c r="M2007" s="371" t="s">
        <v>1002</v>
      </c>
      <c r="N2007" s="372"/>
    </row>
    <row r="2008" spans="1:14" ht="24" customHeight="1">
      <c r="A2008" s="8">
        <v>1964</v>
      </c>
      <c r="B2008" s="366">
        <v>1964</v>
      </c>
      <c r="C2008" s="367">
        <v>46156</v>
      </c>
      <c r="D2008" s="366" t="s">
        <v>238</v>
      </c>
      <c r="E2008" s="368" t="str">
        <f>IFERROR(VLOOKUP($D2008,본공사입.출고현황!$B:$H,E$2080,0),0)</f>
        <v>Steel round bar</v>
      </c>
      <c r="F2008" s="369" t="str">
        <f>IFERROR(VLOOKUP($D2008,본공사입.출고현황!$B:$H,F$2080,0),0)</f>
        <v>Steel round bar(rebar)</v>
      </c>
      <c r="G2008" s="369" t="str">
        <f>IFERROR(VLOOKUP($D2008,본공사입.출고현황!$B:$H,G$2080,0),0)</f>
        <v>CCGG</v>
      </c>
      <c r="H2008" s="369" t="str">
        <f>IFERROR(VLOOKUP($D2008,본공사입.출고현황!$B:$H,H$2080,0),0)</f>
        <v>ф10, 1ton=1,620.7m</v>
      </c>
      <c r="I2008" s="368" t="str">
        <f>IFERROR(VLOOKUP($D2008,본공사입.출고현황!$B:$H,I$2080,0),0)</f>
        <v>M</v>
      </c>
      <c r="J2008" s="366">
        <v>2</v>
      </c>
      <c r="K2008" s="366" t="s">
        <v>360</v>
      </c>
      <c r="L2008" s="370">
        <v>30</v>
      </c>
      <c r="M2008" s="371" t="s">
        <v>1002</v>
      </c>
      <c r="N2008" s="372"/>
    </row>
    <row r="2009" spans="1:14" ht="24" customHeight="1">
      <c r="A2009" s="8">
        <v>1965</v>
      </c>
      <c r="B2009" s="366">
        <v>1965</v>
      </c>
      <c r="C2009" s="367">
        <v>46156</v>
      </c>
      <c r="D2009" s="366" t="s">
        <v>238</v>
      </c>
      <c r="E2009" s="368" t="str">
        <f>IFERROR(VLOOKUP($D2009,본공사입.출고현황!$B:$H,E$2080,0),0)</f>
        <v>Steel round bar</v>
      </c>
      <c r="F2009" s="369" t="str">
        <f>IFERROR(VLOOKUP($D2009,본공사입.출고현황!$B:$H,F$2080,0),0)</f>
        <v>Steel round bar(rebar)</v>
      </c>
      <c r="G2009" s="369" t="str">
        <f>IFERROR(VLOOKUP($D2009,본공사입.출고현황!$B:$H,G$2080,0),0)</f>
        <v>CCGG</v>
      </c>
      <c r="H2009" s="369" t="str">
        <f>IFERROR(VLOOKUP($D2009,본공사입.출고현황!$B:$H,H$2080,0),0)</f>
        <v>ф10, 1ton=1,620.7m</v>
      </c>
      <c r="I2009" s="368" t="str">
        <f>IFERROR(VLOOKUP($D2009,본공사입.출고현황!$B:$H,I$2080,0),0)</f>
        <v>M</v>
      </c>
      <c r="J2009" s="366">
        <v>3</v>
      </c>
      <c r="K2009" s="366" t="s">
        <v>237</v>
      </c>
      <c r="L2009" s="370">
        <v>20</v>
      </c>
      <c r="M2009" s="371" t="s">
        <v>1002</v>
      </c>
      <c r="N2009" s="372"/>
    </row>
    <row r="2010" spans="1:14" ht="24" customHeight="1">
      <c r="A2010" s="8">
        <v>1966</v>
      </c>
      <c r="B2010" s="366">
        <v>1966</v>
      </c>
      <c r="C2010" s="367">
        <v>46156</v>
      </c>
      <c r="D2010" s="366" t="s">
        <v>238</v>
      </c>
      <c r="E2010" s="368" t="str">
        <f>IFERROR(VLOOKUP($D2010,본공사입.출고현황!$B:$H,E$2080,0),0)</f>
        <v>Steel round bar</v>
      </c>
      <c r="F2010" s="369" t="str">
        <f>IFERROR(VLOOKUP($D2010,본공사입.출고현황!$B:$H,F$2080,0),0)</f>
        <v>Steel round bar(rebar)</v>
      </c>
      <c r="G2010" s="369" t="str">
        <f>IFERROR(VLOOKUP($D2010,본공사입.출고현황!$B:$H,G$2080,0),0)</f>
        <v>CCGG</v>
      </c>
      <c r="H2010" s="369" t="str">
        <f>IFERROR(VLOOKUP($D2010,본공사입.출고현황!$B:$H,H$2080,0),0)</f>
        <v>ф10, 1ton=1,620.7m</v>
      </c>
      <c r="I2010" s="368" t="str">
        <f>IFERROR(VLOOKUP($D2010,본공사입.출고현황!$B:$H,I$2080,0),0)</f>
        <v>M</v>
      </c>
      <c r="J2010" s="366">
        <v>1</v>
      </c>
      <c r="K2010" s="366" t="s">
        <v>352</v>
      </c>
      <c r="L2010" s="370">
        <v>20</v>
      </c>
      <c r="M2010" s="371" t="s">
        <v>1002</v>
      </c>
      <c r="N2010" s="372"/>
    </row>
    <row r="2011" spans="1:14" ht="24" customHeight="1">
      <c r="A2011" s="8">
        <v>1967</v>
      </c>
      <c r="B2011" s="366">
        <v>1967</v>
      </c>
      <c r="C2011" s="367">
        <v>46156</v>
      </c>
      <c r="D2011" s="366" t="s">
        <v>238</v>
      </c>
      <c r="E2011" s="368" t="str">
        <f>IFERROR(VLOOKUP($D2011,본공사입.출고현황!$B:$H,E$2080,0),0)</f>
        <v>Steel round bar</v>
      </c>
      <c r="F2011" s="369" t="str">
        <f>IFERROR(VLOOKUP($D2011,본공사입.출고현황!$B:$H,F$2080,0),0)</f>
        <v>Steel round bar(rebar)</v>
      </c>
      <c r="G2011" s="369" t="str">
        <f>IFERROR(VLOOKUP($D2011,본공사입.출고현황!$B:$H,G$2080,0),0)</f>
        <v>CCGG</v>
      </c>
      <c r="H2011" s="369" t="str">
        <f>IFERROR(VLOOKUP($D2011,본공사입.출고현황!$B:$H,H$2080,0),0)</f>
        <v>ф10, 1ton=1,620.7m</v>
      </c>
      <c r="I2011" s="368" t="str">
        <f>IFERROR(VLOOKUP($D2011,본공사입.출고현황!$B:$H,I$2080,0),0)</f>
        <v>M</v>
      </c>
      <c r="J2011" s="366">
        <v>1</v>
      </c>
      <c r="K2011" s="366" t="s">
        <v>352</v>
      </c>
      <c r="L2011" s="370">
        <v>25</v>
      </c>
      <c r="M2011" s="371" t="s">
        <v>1002</v>
      </c>
      <c r="N2011" s="372"/>
    </row>
    <row r="2012" spans="1:14" ht="24" customHeight="1">
      <c r="A2012" s="8">
        <v>1968</v>
      </c>
      <c r="B2012" s="366">
        <v>1968</v>
      </c>
      <c r="C2012" s="367">
        <v>46157</v>
      </c>
      <c r="D2012" s="366" t="s">
        <v>238</v>
      </c>
      <c r="E2012" s="368" t="str">
        <f>IFERROR(VLOOKUP($D2012,본공사입.출고현황!$B:$H,E$2080,0),0)</f>
        <v>Steel round bar</v>
      </c>
      <c r="F2012" s="369" t="str">
        <f>IFERROR(VLOOKUP($D2012,본공사입.출고현황!$B:$H,F$2080,0),0)</f>
        <v>Steel round bar(rebar)</v>
      </c>
      <c r="G2012" s="369" t="str">
        <f>IFERROR(VLOOKUP($D2012,본공사입.출고현황!$B:$H,G$2080,0),0)</f>
        <v>CCGG</v>
      </c>
      <c r="H2012" s="369" t="str">
        <f>IFERROR(VLOOKUP($D2012,본공사입.출고현황!$B:$H,H$2080,0),0)</f>
        <v>ф10, 1ton=1,620.7m</v>
      </c>
      <c r="I2012" s="368" t="str">
        <f>IFERROR(VLOOKUP($D2012,본공사입.출고현황!$B:$H,I$2080,0),0)</f>
        <v>M</v>
      </c>
      <c r="J2012" s="366">
        <v>1</v>
      </c>
      <c r="K2012" s="366" t="s">
        <v>363</v>
      </c>
      <c r="L2012" s="370">
        <v>20</v>
      </c>
      <c r="M2012" s="371" t="s">
        <v>1002</v>
      </c>
      <c r="N2012" s="372"/>
    </row>
    <row r="2013" spans="1:14" ht="24" customHeight="1">
      <c r="A2013" s="8">
        <v>1969</v>
      </c>
      <c r="B2013" s="366">
        <v>1969</v>
      </c>
      <c r="C2013" s="367">
        <v>46157</v>
      </c>
      <c r="D2013" s="366" t="s">
        <v>238</v>
      </c>
      <c r="E2013" s="368" t="str">
        <f>IFERROR(VLOOKUP($D2013,본공사입.출고현황!$B:$H,E$2080,0),0)</f>
        <v>Steel round bar</v>
      </c>
      <c r="F2013" s="369" t="str">
        <f>IFERROR(VLOOKUP($D2013,본공사입.출고현황!$B:$H,F$2080,0),0)</f>
        <v>Steel round bar(rebar)</v>
      </c>
      <c r="G2013" s="369" t="str">
        <f>IFERROR(VLOOKUP($D2013,본공사입.출고현황!$B:$H,G$2080,0),0)</f>
        <v>CCGG</v>
      </c>
      <c r="H2013" s="369" t="str">
        <f>IFERROR(VLOOKUP($D2013,본공사입.출고현황!$B:$H,H$2080,0),0)</f>
        <v>ф10, 1ton=1,620.7m</v>
      </c>
      <c r="I2013" s="368" t="str">
        <f>IFERROR(VLOOKUP($D2013,본공사입.출고현황!$B:$H,I$2080,0),0)</f>
        <v>M</v>
      </c>
      <c r="J2013" s="366">
        <v>1</v>
      </c>
      <c r="K2013" s="366" t="s">
        <v>545</v>
      </c>
      <c r="L2013" s="370">
        <v>25</v>
      </c>
      <c r="M2013" s="371" t="s">
        <v>1002</v>
      </c>
      <c r="N2013" s="372"/>
    </row>
    <row r="2014" spans="1:14" ht="24" customHeight="1">
      <c r="A2014" s="8">
        <v>1970</v>
      </c>
      <c r="B2014" s="366">
        <v>1970</v>
      </c>
      <c r="C2014" s="367">
        <v>46157</v>
      </c>
      <c r="D2014" s="366" t="s">
        <v>238</v>
      </c>
      <c r="E2014" s="368" t="str">
        <f>IFERROR(VLOOKUP($D2014,본공사입.출고현황!$B:$H,E$2080,0),0)</f>
        <v>Steel round bar</v>
      </c>
      <c r="F2014" s="369" t="str">
        <f>IFERROR(VLOOKUP($D2014,본공사입.출고현황!$B:$H,F$2080,0),0)</f>
        <v>Steel round bar(rebar)</v>
      </c>
      <c r="G2014" s="369" t="str">
        <f>IFERROR(VLOOKUP($D2014,본공사입.출고현황!$B:$H,G$2080,0),0)</f>
        <v>CCGG</v>
      </c>
      <c r="H2014" s="369" t="str">
        <f>IFERROR(VLOOKUP($D2014,본공사입.출고현황!$B:$H,H$2080,0),0)</f>
        <v>ф10, 1ton=1,620.7m</v>
      </c>
      <c r="I2014" s="368" t="str">
        <f>IFERROR(VLOOKUP($D2014,본공사입.출고현황!$B:$H,I$2080,0),0)</f>
        <v>M</v>
      </c>
      <c r="J2014" s="366">
        <v>2</v>
      </c>
      <c r="K2014" s="366" t="s">
        <v>241</v>
      </c>
      <c r="L2014" s="370">
        <v>30</v>
      </c>
      <c r="M2014" s="371" t="s">
        <v>1002</v>
      </c>
      <c r="N2014" s="372"/>
    </row>
    <row r="2015" spans="1:14" ht="24" customHeight="1">
      <c r="A2015" s="8">
        <v>1971</v>
      </c>
      <c r="B2015" s="366">
        <v>1971</v>
      </c>
      <c r="C2015" s="367">
        <v>46157</v>
      </c>
      <c r="D2015" s="366" t="s">
        <v>238</v>
      </c>
      <c r="E2015" s="368" t="str">
        <f>IFERROR(VLOOKUP($D2015,본공사입.출고현황!$B:$H,E$2080,0),0)</f>
        <v>Steel round bar</v>
      </c>
      <c r="F2015" s="369" t="str">
        <f>IFERROR(VLOOKUP($D2015,본공사입.출고현황!$B:$H,F$2080,0),0)</f>
        <v>Steel round bar(rebar)</v>
      </c>
      <c r="G2015" s="369" t="str">
        <f>IFERROR(VLOOKUP($D2015,본공사입.출고현황!$B:$H,G$2080,0),0)</f>
        <v>CCGG</v>
      </c>
      <c r="H2015" s="369" t="str">
        <f>IFERROR(VLOOKUP($D2015,본공사입.출고현황!$B:$H,H$2080,0),0)</f>
        <v>ф10, 1ton=1,620.7m</v>
      </c>
      <c r="I2015" s="368" t="str">
        <f>IFERROR(VLOOKUP($D2015,본공사입.출고현황!$B:$H,I$2080,0),0)</f>
        <v>M</v>
      </c>
      <c r="J2015" s="366">
        <v>3</v>
      </c>
      <c r="K2015" s="366" t="s">
        <v>550</v>
      </c>
      <c r="L2015" s="370">
        <v>25</v>
      </c>
      <c r="M2015" s="371" t="s">
        <v>1002</v>
      </c>
      <c r="N2015" s="372"/>
    </row>
    <row r="2016" spans="1:14" ht="24" customHeight="1">
      <c r="A2016" s="8">
        <v>1972</v>
      </c>
      <c r="B2016" s="366">
        <v>1972</v>
      </c>
      <c r="C2016" s="367">
        <v>46157</v>
      </c>
      <c r="D2016" s="366" t="s">
        <v>238</v>
      </c>
      <c r="E2016" s="368" t="str">
        <f>IFERROR(VLOOKUP($D2016,본공사입.출고현황!$B:$H,E$2080,0),0)</f>
        <v>Steel round bar</v>
      </c>
      <c r="F2016" s="369" t="str">
        <f>IFERROR(VLOOKUP($D2016,본공사입.출고현황!$B:$H,F$2080,0),0)</f>
        <v>Steel round bar(rebar)</v>
      </c>
      <c r="G2016" s="369" t="str">
        <f>IFERROR(VLOOKUP($D2016,본공사입.출고현황!$B:$H,G$2080,0),0)</f>
        <v>CCGG</v>
      </c>
      <c r="H2016" s="369" t="str">
        <f>IFERROR(VLOOKUP($D2016,본공사입.출고현황!$B:$H,H$2080,0),0)</f>
        <v>ф10, 1ton=1,620.7m</v>
      </c>
      <c r="I2016" s="368" t="str">
        <f>IFERROR(VLOOKUP($D2016,본공사입.출고현황!$B:$H,I$2080,0),0)</f>
        <v>M</v>
      </c>
      <c r="J2016" s="366">
        <v>3</v>
      </c>
      <c r="K2016" s="366" t="s">
        <v>550</v>
      </c>
      <c r="L2016" s="370">
        <v>25</v>
      </c>
      <c r="M2016" s="371" t="s">
        <v>1002</v>
      </c>
      <c r="N2016" s="372"/>
    </row>
    <row r="2017" spans="1:14" ht="24" customHeight="1">
      <c r="A2017" s="8">
        <v>1973</v>
      </c>
      <c r="B2017" s="366">
        <v>1973</v>
      </c>
      <c r="C2017" s="367">
        <v>46157</v>
      </c>
      <c r="D2017" s="366" t="s">
        <v>238</v>
      </c>
      <c r="E2017" s="368" t="str">
        <f>IFERROR(VLOOKUP($D2017,본공사입.출고현황!$B:$H,E$2080,0),0)</f>
        <v>Steel round bar</v>
      </c>
      <c r="F2017" s="369" t="str">
        <f>IFERROR(VLOOKUP($D2017,본공사입.출고현황!$B:$H,F$2080,0),0)</f>
        <v>Steel round bar(rebar)</v>
      </c>
      <c r="G2017" s="369" t="str">
        <f>IFERROR(VLOOKUP($D2017,본공사입.출고현황!$B:$H,G$2080,0),0)</f>
        <v>CCGG</v>
      </c>
      <c r="H2017" s="369" t="str">
        <f>IFERROR(VLOOKUP($D2017,본공사입.출고현황!$B:$H,H$2080,0),0)</f>
        <v>ф10, 1ton=1,620.7m</v>
      </c>
      <c r="I2017" s="368" t="str">
        <f>IFERROR(VLOOKUP($D2017,본공사입.출고현황!$B:$H,I$2080,0),0)</f>
        <v>M</v>
      </c>
      <c r="J2017" s="366">
        <v>1</v>
      </c>
      <c r="K2017" s="366" t="s">
        <v>363</v>
      </c>
      <c r="L2017" s="370">
        <v>25</v>
      </c>
      <c r="M2017" s="371" t="s">
        <v>1002</v>
      </c>
      <c r="N2017" s="372"/>
    </row>
    <row r="2018" spans="1:14" ht="24" customHeight="1">
      <c r="A2018" s="8">
        <v>1974</v>
      </c>
      <c r="B2018" s="366">
        <v>1974</v>
      </c>
      <c r="C2018" s="367">
        <v>46157</v>
      </c>
      <c r="D2018" s="366" t="s">
        <v>238</v>
      </c>
      <c r="E2018" s="368" t="str">
        <f>IFERROR(VLOOKUP($D2018,본공사입.출고현황!$B:$H,E$2080,0),0)</f>
        <v>Steel round bar</v>
      </c>
      <c r="F2018" s="369" t="str">
        <f>IFERROR(VLOOKUP($D2018,본공사입.출고현황!$B:$H,F$2080,0),0)</f>
        <v>Steel round bar(rebar)</v>
      </c>
      <c r="G2018" s="369" t="str">
        <f>IFERROR(VLOOKUP($D2018,본공사입.출고현황!$B:$H,G$2080,0),0)</f>
        <v>CCGG</v>
      </c>
      <c r="H2018" s="369" t="str">
        <f>IFERROR(VLOOKUP($D2018,본공사입.출고현황!$B:$H,H$2080,0),0)</f>
        <v>ф10, 1ton=1,620.7m</v>
      </c>
      <c r="I2018" s="368" t="str">
        <f>IFERROR(VLOOKUP($D2018,본공사입.출고현황!$B:$H,I$2080,0),0)</f>
        <v>M</v>
      </c>
      <c r="J2018" s="366">
        <v>1</v>
      </c>
      <c r="K2018" s="366" t="s">
        <v>547</v>
      </c>
      <c r="L2018" s="370">
        <v>20</v>
      </c>
      <c r="M2018" s="371" t="s">
        <v>1002</v>
      </c>
      <c r="N2018" s="372"/>
    </row>
    <row r="2019" spans="1:14" ht="24" customHeight="1">
      <c r="A2019" s="8">
        <v>1975</v>
      </c>
      <c r="B2019" s="366">
        <v>1975</v>
      </c>
      <c r="C2019" s="367">
        <v>46157</v>
      </c>
      <c r="D2019" s="366" t="s">
        <v>238</v>
      </c>
      <c r="E2019" s="368" t="str">
        <f>IFERROR(VLOOKUP($D2019,본공사입.출고현황!$B:$H,E$2080,0),0)</f>
        <v>Steel round bar</v>
      </c>
      <c r="F2019" s="369" t="str">
        <f>IFERROR(VLOOKUP($D2019,본공사입.출고현황!$B:$H,F$2080,0),0)</f>
        <v>Steel round bar(rebar)</v>
      </c>
      <c r="G2019" s="369" t="str">
        <f>IFERROR(VLOOKUP($D2019,본공사입.출고현황!$B:$H,G$2080,0),0)</f>
        <v>CCGG</v>
      </c>
      <c r="H2019" s="369" t="str">
        <f>IFERROR(VLOOKUP($D2019,본공사입.출고현황!$B:$H,H$2080,0),0)</f>
        <v>ф10, 1ton=1,620.7m</v>
      </c>
      <c r="I2019" s="368" t="str">
        <f>IFERROR(VLOOKUP($D2019,본공사입.출고현황!$B:$H,I$2080,0),0)</f>
        <v>M</v>
      </c>
      <c r="J2019" s="366">
        <v>1</v>
      </c>
      <c r="K2019" s="366" t="s">
        <v>363</v>
      </c>
      <c r="L2019" s="370">
        <v>15</v>
      </c>
      <c r="M2019" s="371" t="s">
        <v>1002</v>
      </c>
      <c r="N2019" s="372"/>
    </row>
    <row r="2020" spans="1:14" ht="24" customHeight="1">
      <c r="A2020" s="8">
        <v>1976</v>
      </c>
      <c r="B2020" s="366">
        <v>1976</v>
      </c>
      <c r="C2020" s="367">
        <v>46158</v>
      </c>
      <c r="D2020" s="366" t="s">
        <v>238</v>
      </c>
      <c r="E2020" s="368" t="str">
        <f>IFERROR(VLOOKUP($D2020,본공사입.출고현황!$B:$H,E$2080,0),0)</f>
        <v>Steel round bar</v>
      </c>
      <c r="F2020" s="369" t="str">
        <f>IFERROR(VLOOKUP($D2020,본공사입.출고현황!$B:$H,F$2080,0),0)</f>
        <v>Steel round bar(rebar)</v>
      </c>
      <c r="G2020" s="369" t="str">
        <f>IFERROR(VLOOKUP($D2020,본공사입.출고현황!$B:$H,G$2080,0),0)</f>
        <v>CCGG</v>
      </c>
      <c r="H2020" s="369" t="str">
        <f>IFERROR(VLOOKUP($D2020,본공사입.출고현황!$B:$H,H$2080,0),0)</f>
        <v>ф10, 1ton=1,620.7m</v>
      </c>
      <c r="I2020" s="368" t="str">
        <f>IFERROR(VLOOKUP($D2020,본공사입.출고현황!$B:$H,I$2080,0),0)</f>
        <v>M</v>
      </c>
      <c r="J2020" s="366">
        <v>3</v>
      </c>
      <c r="K2020" s="366" t="s">
        <v>550</v>
      </c>
      <c r="L2020" s="370">
        <v>15</v>
      </c>
      <c r="M2020" s="371" t="s">
        <v>1002</v>
      </c>
      <c r="N2020" s="372"/>
    </row>
    <row r="2021" spans="1:14" ht="24" customHeight="1">
      <c r="A2021" s="8">
        <v>1977</v>
      </c>
      <c r="B2021" s="366">
        <v>1977</v>
      </c>
      <c r="C2021" s="367">
        <v>46158</v>
      </c>
      <c r="D2021" s="366" t="s">
        <v>238</v>
      </c>
      <c r="E2021" s="368" t="str">
        <f>IFERROR(VLOOKUP($D2021,본공사입.출고현황!$B:$H,E$2080,0),0)</f>
        <v>Steel round bar</v>
      </c>
      <c r="F2021" s="369" t="str">
        <f>IFERROR(VLOOKUP($D2021,본공사입.출고현황!$B:$H,F$2080,0),0)</f>
        <v>Steel round bar(rebar)</v>
      </c>
      <c r="G2021" s="369" t="str">
        <f>IFERROR(VLOOKUP($D2021,본공사입.출고현황!$B:$H,G$2080,0),0)</f>
        <v>CCGG</v>
      </c>
      <c r="H2021" s="369" t="str">
        <f>IFERROR(VLOOKUP($D2021,본공사입.출고현황!$B:$H,H$2080,0),0)</f>
        <v>ф10, 1ton=1,620.7m</v>
      </c>
      <c r="I2021" s="368" t="str">
        <f>IFERROR(VLOOKUP($D2021,본공사입.출고현황!$B:$H,I$2080,0),0)</f>
        <v>M</v>
      </c>
      <c r="J2021" s="366">
        <v>2</v>
      </c>
      <c r="K2021" s="366" t="s">
        <v>360</v>
      </c>
      <c r="L2021" s="370">
        <v>20</v>
      </c>
      <c r="M2021" s="371" t="s">
        <v>1002</v>
      </c>
      <c r="N2021" s="372"/>
    </row>
    <row r="2022" spans="1:14" ht="24" customHeight="1">
      <c r="A2022" s="8">
        <v>1978</v>
      </c>
      <c r="B2022" s="366">
        <v>1978</v>
      </c>
      <c r="C2022" s="367">
        <v>46158</v>
      </c>
      <c r="D2022" s="366" t="s">
        <v>238</v>
      </c>
      <c r="E2022" s="368" t="str">
        <f>IFERROR(VLOOKUP($D2022,본공사입.출고현황!$B:$H,E$2080,0),0)</f>
        <v>Steel round bar</v>
      </c>
      <c r="F2022" s="369" t="str">
        <f>IFERROR(VLOOKUP($D2022,본공사입.출고현황!$B:$H,F$2080,0),0)</f>
        <v>Steel round bar(rebar)</v>
      </c>
      <c r="G2022" s="369" t="str">
        <f>IFERROR(VLOOKUP($D2022,본공사입.출고현황!$B:$H,G$2080,0),0)</f>
        <v>CCGG</v>
      </c>
      <c r="H2022" s="369" t="str">
        <f>IFERROR(VLOOKUP($D2022,본공사입.출고현황!$B:$H,H$2080,0),0)</f>
        <v>ф10, 1ton=1,620.7m</v>
      </c>
      <c r="I2022" s="368" t="str">
        <f>IFERROR(VLOOKUP($D2022,본공사입.출고현황!$B:$H,I$2080,0),0)</f>
        <v>M</v>
      </c>
      <c r="J2022" s="366">
        <v>1</v>
      </c>
      <c r="K2022" s="366" t="s">
        <v>352</v>
      </c>
      <c r="L2022" s="370">
        <v>20</v>
      </c>
      <c r="M2022" s="371" t="s">
        <v>1002</v>
      </c>
      <c r="N2022" s="372"/>
    </row>
    <row r="2023" spans="1:14" ht="24" customHeight="1">
      <c r="A2023" s="8">
        <v>1979</v>
      </c>
      <c r="B2023" s="366">
        <v>1979</v>
      </c>
      <c r="C2023" s="367">
        <v>46158</v>
      </c>
      <c r="D2023" s="366" t="s">
        <v>238</v>
      </c>
      <c r="E2023" s="368" t="str">
        <f>IFERROR(VLOOKUP($D2023,본공사입.출고현황!$B:$H,E$2080,0),0)</f>
        <v>Steel round bar</v>
      </c>
      <c r="F2023" s="369" t="str">
        <f>IFERROR(VLOOKUP($D2023,본공사입.출고현황!$B:$H,F$2080,0),0)</f>
        <v>Steel round bar(rebar)</v>
      </c>
      <c r="G2023" s="369" t="str">
        <f>IFERROR(VLOOKUP($D2023,본공사입.출고현황!$B:$H,G$2080,0),0)</f>
        <v>CCGG</v>
      </c>
      <c r="H2023" s="369" t="str">
        <f>IFERROR(VLOOKUP($D2023,본공사입.출고현황!$B:$H,H$2080,0),0)</f>
        <v>ф10, 1ton=1,620.7m</v>
      </c>
      <c r="I2023" s="368" t="str">
        <f>IFERROR(VLOOKUP($D2023,본공사입.출고현황!$B:$H,I$2080,0),0)</f>
        <v>M</v>
      </c>
      <c r="J2023" s="366">
        <v>2</v>
      </c>
      <c r="K2023" s="366" t="s">
        <v>546</v>
      </c>
      <c r="L2023" s="370">
        <v>20</v>
      </c>
      <c r="M2023" s="371" t="s">
        <v>1002</v>
      </c>
      <c r="N2023" s="372"/>
    </row>
    <row r="2024" spans="1:14" ht="24" customHeight="1">
      <c r="A2024" s="8">
        <v>1980</v>
      </c>
      <c r="B2024" s="366">
        <v>1980</v>
      </c>
      <c r="C2024" s="367">
        <v>46158</v>
      </c>
      <c r="D2024" s="366" t="s">
        <v>238</v>
      </c>
      <c r="E2024" s="368" t="str">
        <f>IFERROR(VLOOKUP($D2024,본공사입.출고현황!$B:$H,E$2080,0),0)</f>
        <v>Steel round bar</v>
      </c>
      <c r="F2024" s="369" t="str">
        <f>IFERROR(VLOOKUP($D2024,본공사입.출고현황!$B:$H,F$2080,0),0)</f>
        <v>Steel round bar(rebar)</v>
      </c>
      <c r="G2024" s="369" t="str">
        <f>IFERROR(VLOOKUP($D2024,본공사입.출고현황!$B:$H,G$2080,0),0)</f>
        <v>CCGG</v>
      </c>
      <c r="H2024" s="369" t="str">
        <f>IFERROR(VLOOKUP($D2024,본공사입.출고현황!$B:$H,H$2080,0),0)</f>
        <v>ф10, 1ton=1,620.7m</v>
      </c>
      <c r="I2024" s="368" t="str">
        <f>IFERROR(VLOOKUP($D2024,본공사입.출고현황!$B:$H,I$2080,0),0)</f>
        <v>M</v>
      </c>
      <c r="J2024" s="366">
        <v>4</v>
      </c>
      <c r="K2024" s="366" t="s">
        <v>359</v>
      </c>
      <c r="L2024" s="370">
        <v>25</v>
      </c>
      <c r="M2024" s="371" t="s">
        <v>1002</v>
      </c>
      <c r="N2024" s="372"/>
    </row>
    <row r="2025" spans="1:14" ht="24" customHeight="1">
      <c r="A2025" s="8">
        <v>1981</v>
      </c>
      <c r="B2025" s="366">
        <v>1981</v>
      </c>
      <c r="C2025" s="367">
        <v>46158</v>
      </c>
      <c r="D2025" s="366" t="s">
        <v>238</v>
      </c>
      <c r="E2025" s="368" t="str">
        <f>IFERROR(VLOOKUP($D2025,본공사입.출고현황!$B:$H,E$2080,0),0)</f>
        <v>Steel round bar</v>
      </c>
      <c r="F2025" s="369" t="str">
        <f>IFERROR(VLOOKUP($D2025,본공사입.출고현황!$B:$H,F$2080,0),0)</f>
        <v>Steel round bar(rebar)</v>
      </c>
      <c r="G2025" s="369" t="str">
        <f>IFERROR(VLOOKUP($D2025,본공사입.출고현황!$B:$H,G$2080,0),0)</f>
        <v>CCGG</v>
      </c>
      <c r="H2025" s="369" t="str">
        <f>IFERROR(VLOOKUP($D2025,본공사입.출고현황!$B:$H,H$2080,0),0)</f>
        <v>ф10, 1ton=1,620.7m</v>
      </c>
      <c r="I2025" s="368" t="str">
        <f>IFERROR(VLOOKUP($D2025,본공사입.출고현황!$B:$H,I$2080,0),0)</f>
        <v>M</v>
      </c>
      <c r="J2025" s="366">
        <v>1</v>
      </c>
      <c r="K2025" s="366" t="s">
        <v>352</v>
      </c>
      <c r="L2025" s="370">
        <v>15</v>
      </c>
      <c r="M2025" s="371" t="s">
        <v>1002</v>
      </c>
      <c r="N2025" s="372"/>
    </row>
    <row r="2026" spans="1:14" ht="24" customHeight="1">
      <c r="A2026" s="8">
        <v>1982</v>
      </c>
      <c r="B2026" s="366">
        <v>1982</v>
      </c>
      <c r="C2026" s="367">
        <v>46158</v>
      </c>
      <c r="D2026" s="366" t="s">
        <v>238</v>
      </c>
      <c r="E2026" s="368" t="str">
        <f>IFERROR(VLOOKUP($D2026,본공사입.출고현황!$B:$H,E$2080,0),0)</f>
        <v>Steel round bar</v>
      </c>
      <c r="F2026" s="369" t="str">
        <f>IFERROR(VLOOKUP($D2026,본공사입.출고현황!$B:$H,F$2080,0),0)</f>
        <v>Steel round bar(rebar)</v>
      </c>
      <c r="G2026" s="369" t="str">
        <f>IFERROR(VLOOKUP($D2026,본공사입.출고현황!$B:$H,G$2080,0),0)</f>
        <v>CCGG</v>
      </c>
      <c r="H2026" s="369" t="str">
        <f>IFERROR(VLOOKUP($D2026,본공사입.출고현황!$B:$H,H$2080,0),0)</f>
        <v>ф10, 1ton=1,620.7m</v>
      </c>
      <c r="I2026" s="368" t="str">
        <f>IFERROR(VLOOKUP($D2026,본공사입.출고현황!$B:$H,I$2080,0),0)</f>
        <v>M</v>
      </c>
      <c r="J2026" s="366">
        <v>1</v>
      </c>
      <c r="K2026" s="366" t="s">
        <v>547</v>
      </c>
      <c r="L2026" s="370">
        <v>30</v>
      </c>
      <c r="M2026" s="371" t="s">
        <v>1002</v>
      </c>
      <c r="N2026" s="372"/>
    </row>
    <row r="2027" spans="1:14" ht="24" customHeight="1">
      <c r="A2027" s="8">
        <v>1983</v>
      </c>
      <c r="B2027" s="366">
        <v>1983</v>
      </c>
      <c r="C2027" s="367">
        <v>46159</v>
      </c>
      <c r="D2027" s="366" t="s">
        <v>238</v>
      </c>
      <c r="E2027" s="368" t="str">
        <f>IFERROR(VLOOKUP($D2027,본공사입.출고현황!$B:$H,E$2080,0),0)</f>
        <v>Steel round bar</v>
      </c>
      <c r="F2027" s="369" t="str">
        <f>IFERROR(VLOOKUP($D2027,본공사입.출고현황!$B:$H,F$2080,0),0)</f>
        <v>Steel round bar(rebar)</v>
      </c>
      <c r="G2027" s="369" t="str">
        <f>IFERROR(VLOOKUP($D2027,본공사입.출고현황!$B:$H,G$2080,0),0)</f>
        <v>CCGG</v>
      </c>
      <c r="H2027" s="369" t="str">
        <f>IFERROR(VLOOKUP($D2027,본공사입.출고현황!$B:$H,H$2080,0),0)</f>
        <v>ф10, 1ton=1,620.7m</v>
      </c>
      <c r="I2027" s="368" t="str">
        <f>IFERROR(VLOOKUP($D2027,본공사입.출고현황!$B:$H,I$2080,0),0)</f>
        <v>M</v>
      </c>
      <c r="J2027" s="366">
        <v>1</v>
      </c>
      <c r="K2027" s="366" t="s">
        <v>547</v>
      </c>
      <c r="L2027" s="370">
        <v>25</v>
      </c>
      <c r="M2027" s="371" t="s">
        <v>1002</v>
      </c>
      <c r="N2027" s="372"/>
    </row>
    <row r="2028" spans="1:14" ht="24" customHeight="1">
      <c r="A2028" s="8">
        <v>1984</v>
      </c>
      <c r="B2028" s="366">
        <v>1984</v>
      </c>
      <c r="C2028" s="367">
        <v>46159</v>
      </c>
      <c r="D2028" s="366" t="s">
        <v>238</v>
      </c>
      <c r="E2028" s="368" t="str">
        <f>IFERROR(VLOOKUP($D2028,본공사입.출고현황!$B:$H,E$2080,0),0)</f>
        <v>Steel round bar</v>
      </c>
      <c r="F2028" s="369" t="str">
        <f>IFERROR(VLOOKUP($D2028,본공사입.출고현황!$B:$H,F$2080,0),0)</f>
        <v>Steel round bar(rebar)</v>
      </c>
      <c r="G2028" s="369" t="str">
        <f>IFERROR(VLOOKUP($D2028,본공사입.출고현황!$B:$H,G$2080,0),0)</f>
        <v>CCGG</v>
      </c>
      <c r="H2028" s="369" t="str">
        <f>IFERROR(VLOOKUP($D2028,본공사입.출고현황!$B:$H,H$2080,0),0)</f>
        <v>ф10, 1ton=1,620.7m</v>
      </c>
      <c r="I2028" s="368" t="str">
        <f>IFERROR(VLOOKUP($D2028,본공사입.출고현황!$B:$H,I$2080,0),0)</f>
        <v>M</v>
      </c>
      <c r="J2028" s="366">
        <v>1</v>
      </c>
      <c r="K2028" s="366" t="s">
        <v>363</v>
      </c>
      <c r="L2028" s="370">
        <v>25</v>
      </c>
      <c r="M2028" s="371" t="s">
        <v>1002</v>
      </c>
      <c r="N2028" s="372"/>
    </row>
    <row r="2029" spans="1:14" ht="24" customHeight="1">
      <c r="A2029" s="8">
        <v>1985</v>
      </c>
      <c r="B2029" s="366">
        <v>1985</v>
      </c>
      <c r="C2029" s="367">
        <v>46159</v>
      </c>
      <c r="D2029" s="366" t="s">
        <v>238</v>
      </c>
      <c r="E2029" s="368" t="str">
        <f>IFERROR(VLOOKUP($D2029,본공사입.출고현황!$B:$H,E$2080,0),0)</f>
        <v>Steel round bar</v>
      </c>
      <c r="F2029" s="369" t="str">
        <f>IFERROR(VLOOKUP($D2029,본공사입.출고현황!$B:$H,F$2080,0),0)</f>
        <v>Steel round bar(rebar)</v>
      </c>
      <c r="G2029" s="369" t="str">
        <f>IFERROR(VLOOKUP($D2029,본공사입.출고현황!$B:$H,G$2080,0),0)</f>
        <v>CCGG</v>
      </c>
      <c r="H2029" s="369" t="str">
        <f>IFERROR(VLOOKUP($D2029,본공사입.출고현황!$B:$H,H$2080,0),0)</f>
        <v>ф10, 1ton=1,620.7m</v>
      </c>
      <c r="I2029" s="368" t="str">
        <f>IFERROR(VLOOKUP($D2029,본공사입.출고현황!$B:$H,I$2080,0),0)</f>
        <v>M</v>
      </c>
      <c r="J2029" s="366">
        <v>3</v>
      </c>
      <c r="K2029" s="366" t="s">
        <v>550</v>
      </c>
      <c r="L2029" s="370">
        <v>25</v>
      </c>
      <c r="M2029" s="371" t="s">
        <v>1002</v>
      </c>
      <c r="N2029" s="372"/>
    </row>
    <row r="2030" spans="1:14" ht="24" customHeight="1">
      <c r="A2030" s="8">
        <v>1986</v>
      </c>
      <c r="B2030" s="366">
        <v>1986</v>
      </c>
      <c r="C2030" s="367">
        <v>46159</v>
      </c>
      <c r="D2030" s="366" t="s">
        <v>238</v>
      </c>
      <c r="E2030" s="368" t="str">
        <f>IFERROR(VLOOKUP($D2030,본공사입.출고현황!$B:$H,E$2080,0),0)</f>
        <v>Steel round bar</v>
      </c>
      <c r="F2030" s="369" t="str">
        <f>IFERROR(VLOOKUP($D2030,본공사입.출고현황!$B:$H,F$2080,0),0)</f>
        <v>Steel round bar(rebar)</v>
      </c>
      <c r="G2030" s="369" t="str">
        <f>IFERROR(VLOOKUP($D2030,본공사입.출고현황!$B:$H,G$2080,0),0)</f>
        <v>CCGG</v>
      </c>
      <c r="H2030" s="369" t="str">
        <f>IFERROR(VLOOKUP($D2030,본공사입.출고현황!$B:$H,H$2080,0),0)</f>
        <v>ф10, 1ton=1,620.7m</v>
      </c>
      <c r="I2030" s="368" t="str">
        <f>IFERROR(VLOOKUP($D2030,본공사입.출고현황!$B:$H,I$2080,0),0)</f>
        <v>M</v>
      </c>
      <c r="J2030" s="366">
        <v>2</v>
      </c>
      <c r="K2030" s="366" t="s">
        <v>360</v>
      </c>
      <c r="L2030" s="370">
        <v>25</v>
      </c>
      <c r="M2030" s="371" t="s">
        <v>1002</v>
      </c>
      <c r="N2030" s="372"/>
    </row>
    <row r="2031" spans="1:14" ht="24" customHeight="1">
      <c r="A2031" s="8">
        <v>1987</v>
      </c>
      <c r="B2031" s="366">
        <v>1987</v>
      </c>
      <c r="C2031" s="367">
        <v>46159</v>
      </c>
      <c r="D2031" s="366" t="s">
        <v>238</v>
      </c>
      <c r="E2031" s="368" t="str">
        <f>IFERROR(VLOOKUP($D2031,본공사입.출고현황!$B:$H,E$2080,0),0)</f>
        <v>Steel round bar</v>
      </c>
      <c r="F2031" s="369" t="str">
        <f>IFERROR(VLOOKUP($D2031,본공사입.출고현황!$B:$H,F$2080,0),0)</f>
        <v>Steel round bar(rebar)</v>
      </c>
      <c r="G2031" s="369" t="str">
        <f>IFERROR(VLOOKUP($D2031,본공사입.출고현황!$B:$H,G$2080,0),0)</f>
        <v>CCGG</v>
      </c>
      <c r="H2031" s="369" t="str">
        <f>IFERROR(VLOOKUP($D2031,본공사입.출고현황!$B:$H,H$2080,0),0)</f>
        <v>ф10, 1ton=1,620.7m</v>
      </c>
      <c r="I2031" s="368" t="str">
        <f>IFERROR(VLOOKUP($D2031,본공사입.출고현황!$B:$H,I$2080,0),0)</f>
        <v>M</v>
      </c>
      <c r="J2031" s="366">
        <v>2</v>
      </c>
      <c r="K2031" s="366" t="s">
        <v>360</v>
      </c>
      <c r="L2031" s="370">
        <v>25</v>
      </c>
      <c r="M2031" s="371" t="s">
        <v>1002</v>
      </c>
      <c r="N2031" s="372"/>
    </row>
    <row r="2032" spans="1:14" ht="24" customHeight="1">
      <c r="A2032" s="8">
        <v>1988</v>
      </c>
      <c r="B2032" s="366">
        <v>1988</v>
      </c>
      <c r="C2032" s="367">
        <v>46160</v>
      </c>
      <c r="D2032" s="366" t="s">
        <v>110</v>
      </c>
      <c r="E2032" s="368" t="str">
        <f>IFERROR(VLOOKUP($D2032,본공사입.출고현황!$B:$H,E$2080,0),0)</f>
        <v>Miscellious</v>
      </c>
      <c r="F2032" s="369" t="str">
        <f>IFERROR(VLOOKUP($D2032,본공사입.출고현황!$B:$H,F$2080,0),0)</f>
        <v xml:space="preserve">Nicoband </v>
      </c>
      <c r="G2032" s="369" t="str">
        <f>IFERROR(VLOOKUP($D2032,본공사입.출고현황!$B:$H,G$2080,0),0)</f>
        <v>Nicoband</v>
      </c>
      <c r="H2032" s="369" t="str">
        <f>IFERROR(VLOOKUP($D2032,본공사입.출고현황!$B:$H,H$2080,0),0)</f>
        <v>10m x 15cm</v>
      </c>
      <c r="I2032" s="368" t="str">
        <f>IFERROR(VLOOKUP($D2032,본공사입.출고현황!$B:$H,I$2080,0),0)</f>
        <v>EA</v>
      </c>
      <c r="J2032" s="366">
        <v>1</v>
      </c>
      <c r="K2032" s="366" t="s">
        <v>352</v>
      </c>
      <c r="L2032" s="370">
        <v>1</v>
      </c>
      <c r="M2032" s="371" t="s">
        <v>409</v>
      </c>
      <c r="N2032" s="372"/>
    </row>
    <row r="2033" spans="1:14" ht="24" customHeight="1">
      <c r="A2033" s="8">
        <v>1989</v>
      </c>
      <c r="B2033" s="366">
        <v>1989</v>
      </c>
      <c r="C2033" s="367">
        <v>46160</v>
      </c>
      <c r="D2033" s="366" t="s">
        <v>238</v>
      </c>
      <c r="E2033" s="368" t="str">
        <f>IFERROR(VLOOKUP($D2033,본공사입.출고현황!$B:$H,E$2080,0),0)</f>
        <v>Steel round bar</v>
      </c>
      <c r="F2033" s="369" t="str">
        <f>IFERROR(VLOOKUP($D2033,본공사입.출고현황!$B:$H,F$2080,0),0)</f>
        <v>Steel round bar(rebar)</v>
      </c>
      <c r="G2033" s="369" t="str">
        <f>IFERROR(VLOOKUP($D2033,본공사입.출고현황!$B:$H,G$2080,0),0)</f>
        <v>CCGG</v>
      </c>
      <c r="H2033" s="369" t="str">
        <f>IFERROR(VLOOKUP($D2033,본공사입.출고현황!$B:$H,H$2080,0),0)</f>
        <v>ф10, 1ton=1,620.7m</v>
      </c>
      <c r="I2033" s="368" t="str">
        <f>IFERROR(VLOOKUP($D2033,본공사입.출고현황!$B:$H,I$2080,0),0)</f>
        <v>M</v>
      </c>
      <c r="J2033" s="366">
        <v>2</v>
      </c>
      <c r="K2033" s="366" t="s">
        <v>546</v>
      </c>
      <c r="L2033" s="370">
        <v>25</v>
      </c>
      <c r="M2033" s="371" t="s">
        <v>1002</v>
      </c>
      <c r="N2033" s="372"/>
    </row>
    <row r="2034" spans="1:14" ht="24" customHeight="1">
      <c r="A2034" s="8">
        <v>1990</v>
      </c>
      <c r="B2034" s="366">
        <v>1990</v>
      </c>
      <c r="C2034" s="367">
        <v>46160</v>
      </c>
      <c r="D2034" s="366" t="s">
        <v>238</v>
      </c>
      <c r="E2034" s="368" t="str">
        <f>IFERROR(VLOOKUP($D2034,본공사입.출고현황!$B:$H,E$2080,0),0)</f>
        <v>Steel round bar</v>
      </c>
      <c r="F2034" s="369" t="str">
        <f>IFERROR(VLOOKUP($D2034,본공사입.출고현황!$B:$H,F$2080,0),0)</f>
        <v>Steel round bar(rebar)</v>
      </c>
      <c r="G2034" s="369" t="str">
        <f>IFERROR(VLOOKUP($D2034,본공사입.출고현황!$B:$H,G$2080,0),0)</f>
        <v>CCGG</v>
      </c>
      <c r="H2034" s="369" t="str">
        <f>IFERROR(VLOOKUP($D2034,본공사입.출고현황!$B:$H,H$2080,0),0)</f>
        <v>ф10, 1ton=1,620.7m</v>
      </c>
      <c r="I2034" s="368" t="str">
        <f>IFERROR(VLOOKUP($D2034,본공사입.출고현황!$B:$H,I$2080,0),0)</f>
        <v>M</v>
      </c>
      <c r="J2034" s="366">
        <v>4</v>
      </c>
      <c r="K2034" s="366" t="s">
        <v>359</v>
      </c>
      <c r="L2034" s="370">
        <v>25</v>
      </c>
      <c r="M2034" s="371" t="s">
        <v>1002</v>
      </c>
      <c r="N2034" s="372"/>
    </row>
    <row r="2035" spans="1:14" ht="24" customHeight="1">
      <c r="A2035" s="8">
        <v>1991</v>
      </c>
      <c r="B2035" s="366">
        <v>1991</v>
      </c>
      <c r="C2035" s="367">
        <v>46160</v>
      </c>
      <c r="D2035" s="366" t="s">
        <v>238</v>
      </c>
      <c r="E2035" s="368" t="str">
        <f>IFERROR(VLOOKUP($D2035,본공사입.출고현황!$B:$H,E$2080,0),0)</f>
        <v>Steel round bar</v>
      </c>
      <c r="F2035" s="369" t="str">
        <f>IFERROR(VLOOKUP($D2035,본공사입.출고현황!$B:$H,F$2080,0),0)</f>
        <v>Steel round bar(rebar)</v>
      </c>
      <c r="G2035" s="369" t="str">
        <f>IFERROR(VLOOKUP($D2035,본공사입.출고현황!$B:$H,G$2080,0),0)</f>
        <v>CCGG</v>
      </c>
      <c r="H2035" s="369" t="str">
        <f>IFERROR(VLOOKUP($D2035,본공사입.출고현황!$B:$H,H$2080,0),0)</f>
        <v>ф10, 1ton=1,620.7m</v>
      </c>
      <c r="I2035" s="368" t="str">
        <f>IFERROR(VLOOKUP($D2035,본공사입.출고현황!$B:$H,I$2080,0),0)</f>
        <v>M</v>
      </c>
      <c r="J2035" s="366">
        <v>2</v>
      </c>
      <c r="K2035" s="366" t="s">
        <v>360</v>
      </c>
      <c r="L2035" s="370">
        <v>25</v>
      </c>
      <c r="M2035" s="371" t="s">
        <v>1002</v>
      </c>
      <c r="N2035" s="372"/>
    </row>
    <row r="2036" spans="1:14" ht="24" customHeight="1">
      <c r="A2036" s="8">
        <v>1992</v>
      </c>
      <c r="B2036" s="366">
        <v>1992</v>
      </c>
      <c r="C2036" s="367">
        <v>46160</v>
      </c>
      <c r="D2036" s="366" t="s">
        <v>238</v>
      </c>
      <c r="E2036" s="368" t="str">
        <f>IFERROR(VLOOKUP($D2036,본공사입.출고현황!$B:$H,E$2080,0),0)</f>
        <v>Steel round bar</v>
      </c>
      <c r="F2036" s="369" t="str">
        <f>IFERROR(VLOOKUP($D2036,본공사입.출고현황!$B:$H,F$2080,0),0)</f>
        <v>Steel round bar(rebar)</v>
      </c>
      <c r="G2036" s="369" t="str">
        <f>IFERROR(VLOOKUP($D2036,본공사입.출고현황!$B:$H,G$2080,0),0)</f>
        <v>CCGG</v>
      </c>
      <c r="H2036" s="369" t="str">
        <f>IFERROR(VLOOKUP($D2036,본공사입.출고현황!$B:$H,H$2080,0),0)</f>
        <v>ф10, 1ton=1,620.7m</v>
      </c>
      <c r="I2036" s="368" t="str">
        <f>IFERROR(VLOOKUP($D2036,본공사입.출고현황!$B:$H,I$2080,0),0)</f>
        <v>M</v>
      </c>
      <c r="J2036" s="366">
        <v>1</v>
      </c>
      <c r="K2036" s="366" t="s">
        <v>547</v>
      </c>
      <c r="L2036" s="370">
        <v>25</v>
      </c>
      <c r="M2036" s="371" t="s">
        <v>1002</v>
      </c>
      <c r="N2036" s="372"/>
    </row>
    <row r="2037" spans="1:14" ht="24" customHeight="1">
      <c r="A2037" s="8">
        <v>1993</v>
      </c>
      <c r="B2037" s="366">
        <v>1993</v>
      </c>
      <c r="C2037" s="367">
        <v>46160</v>
      </c>
      <c r="D2037" s="366" t="s">
        <v>238</v>
      </c>
      <c r="E2037" s="368" t="str">
        <f>IFERROR(VLOOKUP($D2037,본공사입.출고현황!$B:$H,E$2080,0),0)</f>
        <v>Steel round bar</v>
      </c>
      <c r="F2037" s="369" t="str">
        <f>IFERROR(VLOOKUP($D2037,본공사입.출고현황!$B:$H,F$2080,0),0)</f>
        <v>Steel round bar(rebar)</v>
      </c>
      <c r="G2037" s="369" t="str">
        <f>IFERROR(VLOOKUP($D2037,본공사입.출고현황!$B:$H,G$2080,0),0)</f>
        <v>CCGG</v>
      </c>
      <c r="H2037" s="369" t="str">
        <f>IFERROR(VLOOKUP($D2037,본공사입.출고현황!$B:$H,H$2080,0),0)</f>
        <v>ф10, 1ton=1,620.7m</v>
      </c>
      <c r="I2037" s="368" t="str">
        <f>IFERROR(VLOOKUP($D2037,본공사입.출고현황!$B:$H,I$2080,0),0)</f>
        <v>M</v>
      </c>
      <c r="J2037" s="366">
        <v>2</v>
      </c>
      <c r="K2037" s="366" t="s">
        <v>360</v>
      </c>
      <c r="L2037" s="370">
        <v>25</v>
      </c>
      <c r="M2037" s="371" t="s">
        <v>1002</v>
      </c>
      <c r="N2037" s="372"/>
    </row>
    <row r="2038" spans="1:14" ht="24" customHeight="1">
      <c r="A2038" s="8">
        <v>1994</v>
      </c>
      <c r="B2038" s="366">
        <v>1994</v>
      </c>
      <c r="C2038" s="367">
        <v>46160</v>
      </c>
      <c r="D2038" s="366" t="s">
        <v>238</v>
      </c>
      <c r="E2038" s="368" t="str">
        <f>IFERROR(VLOOKUP($D2038,본공사입.출고현황!$B:$H,E$2080,0),0)</f>
        <v>Steel round bar</v>
      </c>
      <c r="F2038" s="369" t="str">
        <f>IFERROR(VLOOKUP($D2038,본공사입.출고현황!$B:$H,F$2080,0),0)</f>
        <v>Steel round bar(rebar)</v>
      </c>
      <c r="G2038" s="369" t="str">
        <f>IFERROR(VLOOKUP($D2038,본공사입.출고현황!$B:$H,G$2080,0),0)</f>
        <v>CCGG</v>
      </c>
      <c r="H2038" s="369" t="str">
        <f>IFERROR(VLOOKUP($D2038,본공사입.출고현황!$B:$H,H$2080,0),0)</f>
        <v>ф10, 1ton=1,620.7m</v>
      </c>
      <c r="I2038" s="368" t="str">
        <f>IFERROR(VLOOKUP($D2038,본공사입.출고현황!$B:$H,I$2080,0),0)</f>
        <v>M</v>
      </c>
      <c r="J2038" s="366">
        <v>4</v>
      </c>
      <c r="K2038" s="366" t="s">
        <v>359</v>
      </c>
      <c r="L2038" s="370">
        <v>20</v>
      </c>
      <c r="M2038" s="371" t="s">
        <v>1002</v>
      </c>
      <c r="N2038" s="372"/>
    </row>
    <row r="2039" spans="1:14" ht="24" customHeight="1">
      <c r="A2039" s="8">
        <v>1995</v>
      </c>
      <c r="B2039" s="366">
        <v>1995</v>
      </c>
      <c r="C2039" s="367">
        <v>46161</v>
      </c>
      <c r="D2039" s="366" t="s">
        <v>238</v>
      </c>
      <c r="E2039" s="368" t="str">
        <f>IFERROR(VLOOKUP($D2039,본공사입.출고현황!$B:$H,E$2080,0),0)</f>
        <v>Steel round bar</v>
      </c>
      <c r="F2039" s="369" t="str">
        <f>IFERROR(VLOOKUP($D2039,본공사입.출고현황!$B:$H,F$2080,0),0)</f>
        <v>Steel round bar(rebar)</v>
      </c>
      <c r="G2039" s="369" t="str">
        <f>IFERROR(VLOOKUP($D2039,본공사입.출고현황!$B:$H,G$2080,0),0)</f>
        <v>CCGG</v>
      </c>
      <c r="H2039" s="369" t="str">
        <f>IFERROR(VLOOKUP($D2039,본공사입.출고현황!$B:$H,H$2080,0),0)</f>
        <v>ф10, 1ton=1,620.7m</v>
      </c>
      <c r="I2039" s="368" t="str">
        <f>IFERROR(VLOOKUP($D2039,본공사입.출고현황!$B:$H,I$2080,0),0)</f>
        <v>M</v>
      </c>
      <c r="J2039" s="366">
        <v>2</v>
      </c>
      <c r="K2039" s="366" t="s">
        <v>546</v>
      </c>
      <c r="L2039" s="370">
        <v>25</v>
      </c>
      <c r="M2039" s="371" t="s">
        <v>1002</v>
      </c>
      <c r="N2039" s="372"/>
    </row>
    <row r="2040" spans="1:14" ht="24" customHeight="1">
      <c r="A2040" s="8">
        <v>1996</v>
      </c>
      <c r="B2040" s="366">
        <v>1996</v>
      </c>
      <c r="C2040" s="367">
        <v>46161</v>
      </c>
      <c r="D2040" s="366" t="s">
        <v>238</v>
      </c>
      <c r="E2040" s="368" t="str">
        <f>IFERROR(VLOOKUP($D2040,본공사입.출고현황!$B:$H,E$2080,0),0)</f>
        <v>Steel round bar</v>
      </c>
      <c r="F2040" s="369" t="str">
        <f>IFERROR(VLOOKUP($D2040,본공사입.출고현황!$B:$H,F$2080,0),0)</f>
        <v>Steel round bar(rebar)</v>
      </c>
      <c r="G2040" s="369" t="str">
        <f>IFERROR(VLOOKUP($D2040,본공사입.출고현황!$B:$H,G$2080,0),0)</f>
        <v>CCGG</v>
      </c>
      <c r="H2040" s="369" t="str">
        <f>IFERROR(VLOOKUP($D2040,본공사입.출고현황!$B:$H,H$2080,0),0)</f>
        <v>ф10, 1ton=1,620.7m</v>
      </c>
      <c r="I2040" s="368" t="str">
        <f>IFERROR(VLOOKUP($D2040,본공사입.출고현황!$B:$H,I$2080,0),0)</f>
        <v>M</v>
      </c>
      <c r="J2040" s="366">
        <v>2</v>
      </c>
      <c r="K2040" s="366" t="s">
        <v>360</v>
      </c>
      <c r="L2040" s="370">
        <v>25</v>
      </c>
      <c r="M2040" s="371" t="s">
        <v>1002</v>
      </c>
      <c r="N2040" s="372"/>
    </row>
    <row r="2041" spans="1:14" ht="24" customHeight="1">
      <c r="A2041" s="8">
        <v>1997</v>
      </c>
      <c r="B2041" s="366">
        <v>1997</v>
      </c>
      <c r="C2041" s="367">
        <v>46161</v>
      </c>
      <c r="D2041" s="366" t="s">
        <v>238</v>
      </c>
      <c r="E2041" s="368" t="str">
        <f>IFERROR(VLOOKUP($D2041,본공사입.출고현황!$B:$H,E$2080,0),0)</f>
        <v>Steel round bar</v>
      </c>
      <c r="F2041" s="369" t="str">
        <f>IFERROR(VLOOKUP($D2041,본공사입.출고현황!$B:$H,F$2080,0),0)</f>
        <v>Steel round bar(rebar)</v>
      </c>
      <c r="G2041" s="369" t="str">
        <f>IFERROR(VLOOKUP($D2041,본공사입.출고현황!$B:$H,G$2080,0),0)</f>
        <v>CCGG</v>
      </c>
      <c r="H2041" s="369" t="str">
        <f>IFERROR(VLOOKUP($D2041,본공사입.출고현황!$B:$H,H$2080,0),0)</f>
        <v>ф10, 1ton=1,620.7m</v>
      </c>
      <c r="I2041" s="368" t="str">
        <f>IFERROR(VLOOKUP($D2041,본공사입.출고현황!$B:$H,I$2080,0),0)</f>
        <v>M</v>
      </c>
      <c r="J2041" s="366">
        <v>2</v>
      </c>
      <c r="K2041" s="366" t="s">
        <v>360</v>
      </c>
      <c r="L2041" s="370">
        <v>25</v>
      </c>
      <c r="M2041" s="371" t="s">
        <v>1002</v>
      </c>
      <c r="N2041" s="372"/>
    </row>
    <row r="2042" spans="1:14" ht="24" customHeight="1">
      <c r="A2042" s="8">
        <v>1998</v>
      </c>
      <c r="B2042" s="366">
        <v>1998</v>
      </c>
      <c r="C2042" s="367">
        <v>46161</v>
      </c>
      <c r="D2042" s="366" t="s">
        <v>238</v>
      </c>
      <c r="E2042" s="368" t="str">
        <f>IFERROR(VLOOKUP($D2042,본공사입.출고현황!$B:$H,E$2080,0),0)</f>
        <v>Steel round bar</v>
      </c>
      <c r="F2042" s="369" t="str">
        <f>IFERROR(VLOOKUP($D2042,본공사입.출고현황!$B:$H,F$2080,0),0)</f>
        <v>Steel round bar(rebar)</v>
      </c>
      <c r="G2042" s="369" t="str">
        <f>IFERROR(VLOOKUP($D2042,본공사입.출고현황!$B:$H,G$2080,0),0)</f>
        <v>CCGG</v>
      </c>
      <c r="H2042" s="369" t="str">
        <f>IFERROR(VLOOKUP($D2042,본공사입.출고현황!$B:$H,H$2080,0),0)</f>
        <v>ф10, 1ton=1,620.7m</v>
      </c>
      <c r="I2042" s="368" t="str">
        <f>IFERROR(VLOOKUP($D2042,본공사입.출고현황!$B:$H,I$2080,0),0)</f>
        <v>M</v>
      </c>
      <c r="J2042" s="366">
        <v>1</v>
      </c>
      <c r="K2042" s="366" t="s">
        <v>352</v>
      </c>
      <c r="L2042" s="370">
        <v>50</v>
      </c>
      <c r="M2042" s="371" t="s">
        <v>1002</v>
      </c>
      <c r="N2042" s="372"/>
    </row>
    <row r="2043" spans="1:14" ht="24" customHeight="1">
      <c r="A2043" s="8">
        <v>1999</v>
      </c>
      <c r="B2043" s="366">
        <v>1999</v>
      </c>
      <c r="C2043" s="367">
        <v>46161</v>
      </c>
      <c r="D2043" s="366" t="s">
        <v>238</v>
      </c>
      <c r="E2043" s="368" t="str">
        <f>IFERROR(VLOOKUP($D2043,본공사입.출고현황!$B:$H,E$2080,0),0)</f>
        <v>Steel round bar</v>
      </c>
      <c r="F2043" s="369" t="str">
        <f>IFERROR(VLOOKUP($D2043,본공사입.출고현황!$B:$H,F$2080,0),0)</f>
        <v>Steel round bar(rebar)</v>
      </c>
      <c r="G2043" s="369" t="str">
        <f>IFERROR(VLOOKUP($D2043,본공사입.출고현황!$B:$H,G$2080,0),0)</f>
        <v>CCGG</v>
      </c>
      <c r="H2043" s="369" t="str">
        <f>IFERROR(VLOOKUP($D2043,본공사입.출고현황!$B:$H,H$2080,0),0)</f>
        <v>ф10, 1ton=1,620.7m</v>
      </c>
      <c r="I2043" s="368" t="str">
        <f>IFERROR(VLOOKUP($D2043,본공사입.출고현황!$B:$H,I$2080,0),0)</f>
        <v>M</v>
      </c>
      <c r="J2043" s="366">
        <v>1</v>
      </c>
      <c r="K2043" s="366" t="s">
        <v>352</v>
      </c>
      <c r="L2043" s="370">
        <v>15</v>
      </c>
      <c r="M2043" s="371" t="s">
        <v>1002</v>
      </c>
      <c r="N2043" s="372"/>
    </row>
    <row r="2044" spans="1:14" ht="24" customHeight="1">
      <c r="A2044" s="8">
        <v>2000</v>
      </c>
      <c r="B2044" s="366">
        <v>2000</v>
      </c>
      <c r="C2044" s="367">
        <v>46161</v>
      </c>
      <c r="D2044" s="366" t="s">
        <v>238</v>
      </c>
      <c r="E2044" s="368" t="str">
        <f>IFERROR(VLOOKUP($D2044,본공사입.출고현황!$B:$H,E$2080,0),0)</f>
        <v>Steel round bar</v>
      </c>
      <c r="F2044" s="369" t="str">
        <f>IFERROR(VLOOKUP($D2044,본공사입.출고현황!$B:$H,F$2080,0),0)</f>
        <v>Steel round bar(rebar)</v>
      </c>
      <c r="G2044" s="369" t="str">
        <f>IFERROR(VLOOKUP($D2044,본공사입.출고현황!$B:$H,G$2080,0),0)</f>
        <v>CCGG</v>
      </c>
      <c r="H2044" s="369" t="str">
        <f>IFERROR(VLOOKUP($D2044,본공사입.출고현황!$B:$H,H$2080,0),0)</f>
        <v>ф10, 1ton=1,620.7m</v>
      </c>
      <c r="I2044" s="368" t="str">
        <f>IFERROR(VLOOKUP($D2044,본공사입.출고현황!$B:$H,I$2080,0),0)</f>
        <v>M</v>
      </c>
      <c r="J2044" s="366">
        <v>2</v>
      </c>
      <c r="K2044" s="366" t="s">
        <v>546</v>
      </c>
      <c r="L2044" s="370">
        <v>25</v>
      </c>
      <c r="M2044" s="371" t="s">
        <v>1002</v>
      </c>
      <c r="N2044" s="372"/>
    </row>
    <row r="2045" spans="1:14" ht="24" customHeight="1">
      <c r="A2045" s="8">
        <v>2001</v>
      </c>
      <c r="B2045" s="366">
        <v>2001</v>
      </c>
      <c r="C2045" s="367">
        <v>46161</v>
      </c>
      <c r="D2045" s="366" t="s">
        <v>238</v>
      </c>
      <c r="E2045" s="368" t="str">
        <f>IFERROR(VLOOKUP($D2045,본공사입.출고현황!$B:$H,E$2080,0),0)</f>
        <v>Steel round bar</v>
      </c>
      <c r="F2045" s="369" t="str">
        <f>IFERROR(VLOOKUP($D2045,본공사입.출고현황!$B:$H,F$2080,0),0)</f>
        <v>Steel round bar(rebar)</v>
      </c>
      <c r="G2045" s="369" t="str">
        <f>IFERROR(VLOOKUP($D2045,본공사입.출고현황!$B:$H,G$2080,0),0)</f>
        <v>CCGG</v>
      </c>
      <c r="H2045" s="369" t="str">
        <f>IFERROR(VLOOKUP($D2045,본공사입.출고현황!$B:$H,H$2080,0),0)</f>
        <v>ф10, 1ton=1,620.7m</v>
      </c>
      <c r="I2045" s="368" t="str">
        <f>IFERROR(VLOOKUP($D2045,본공사입.출고현황!$B:$H,I$2080,0),0)</f>
        <v>M</v>
      </c>
      <c r="J2045" s="366">
        <v>4</v>
      </c>
      <c r="K2045" s="366" t="s">
        <v>359</v>
      </c>
      <c r="L2045" s="370">
        <v>15</v>
      </c>
      <c r="M2045" s="371" t="s">
        <v>1002</v>
      </c>
      <c r="N2045" s="372"/>
    </row>
    <row r="2046" spans="1:14" ht="24" customHeight="1">
      <c r="A2046" s="8">
        <v>2002</v>
      </c>
      <c r="B2046" s="366">
        <v>2002</v>
      </c>
      <c r="C2046" s="367">
        <v>46161</v>
      </c>
      <c r="D2046" s="366" t="s">
        <v>238</v>
      </c>
      <c r="E2046" s="368" t="str">
        <f>IFERROR(VLOOKUP($D2046,본공사입.출고현황!$B:$H,E$2080,0),0)</f>
        <v>Steel round bar</v>
      </c>
      <c r="F2046" s="369" t="str">
        <f>IFERROR(VLOOKUP($D2046,본공사입.출고현황!$B:$H,F$2080,0),0)</f>
        <v>Steel round bar(rebar)</v>
      </c>
      <c r="G2046" s="369" t="str">
        <f>IFERROR(VLOOKUP($D2046,본공사입.출고현황!$B:$H,G$2080,0),0)</f>
        <v>CCGG</v>
      </c>
      <c r="H2046" s="369" t="str">
        <f>IFERROR(VLOOKUP($D2046,본공사입.출고현황!$B:$H,H$2080,0),0)</f>
        <v>ф10, 1ton=1,620.7m</v>
      </c>
      <c r="I2046" s="368" t="str">
        <f>IFERROR(VLOOKUP($D2046,본공사입.출고현황!$B:$H,I$2080,0),0)</f>
        <v>M</v>
      </c>
      <c r="J2046" s="366">
        <v>2</v>
      </c>
      <c r="K2046" s="366" t="s">
        <v>360</v>
      </c>
      <c r="L2046" s="370">
        <v>25</v>
      </c>
      <c r="M2046" s="371" t="s">
        <v>1002</v>
      </c>
      <c r="N2046" s="372"/>
    </row>
    <row r="2047" spans="1:14" ht="24" customHeight="1">
      <c r="A2047" s="8">
        <v>2003</v>
      </c>
      <c r="B2047" s="366">
        <v>2003</v>
      </c>
      <c r="C2047" s="367">
        <v>46161</v>
      </c>
      <c r="D2047" s="366" t="s">
        <v>238</v>
      </c>
      <c r="E2047" s="368" t="str">
        <f>IFERROR(VLOOKUP($D2047,본공사입.출고현황!$B:$H,E$2080,0),0)</f>
        <v>Steel round bar</v>
      </c>
      <c r="F2047" s="369" t="str">
        <f>IFERROR(VLOOKUP($D2047,본공사입.출고현황!$B:$H,F$2080,0),0)</f>
        <v>Steel round bar(rebar)</v>
      </c>
      <c r="G2047" s="369" t="str">
        <f>IFERROR(VLOOKUP($D2047,본공사입.출고현황!$B:$H,G$2080,0),0)</f>
        <v>CCGG</v>
      </c>
      <c r="H2047" s="369" t="str">
        <f>IFERROR(VLOOKUP($D2047,본공사입.출고현황!$B:$H,H$2080,0),0)</f>
        <v>ф10, 1ton=1,620.7m</v>
      </c>
      <c r="I2047" s="368" t="str">
        <f>IFERROR(VLOOKUP($D2047,본공사입.출고현황!$B:$H,I$2080,0),0)</f>
        <v>M</v>
      </c>
      <c r="J2047" s="366">
        <v>3</v>
      </c>
      <c r="K2047" s="366" t="s">
        <v>237</v>
      </c>
      <c r="L2047" s="370">
        <v>20</v>
      </c>
      <c r="M2047" s="371" t="s">
        <v>1002</v>
      </c>
      <c r="N2047" s="372"/>
    </row>
    <row r="2048" spans="1:14" ht="24" customHeight="1">
      <c r="A2048" s="8">
        <v>2004</v>
      </c>
      <c r="B2048" s="366">
        <v>2004</v>
      </c>
      <c r="C2048" s="367">
        <v>46162</v>
      </c>
      <c r="D2048" s="366" t="s">
        <v>238</v>
      </c>
      <c r="E2048" s="368" t="str">
        <f>IFERROR(VLOOKUP($D2048,본공사입.출고현황!$B:$H,E$2080,0),0)</f>
        <v>Steel round bar</v>
      </c>
      <c r="F2048" s="369" t="str">
        <f>IFERROR(VLOOKUP($D2048,본공사입.출고현황!$B:$H,F$2080,0),0)</f>
        <v>Steel round bar(rebar)</v>
      </c>
      <c r="G2048" s="369" t="str">
        <f>IFERROR(VLOOKUP($D2048,본공사입.출고현황!$B:$H,G$2080,0),0)</f>
        <v>CCGG</v>
      </c>
      <c r="H2048" s="369" t="str">
        <f>IFERROR(VLOOKUP($D2048,본공사입.출고현황!$B:$H,H$2080,0),0)</f>
        <v>ф10, 1ton=1,620.7m</v>
      </c>
      <c r="I2048" s="368" t="str">
        <f>IFERROR(VLOOKUP($D2048,본공사입.출고현황!$B:$H,I$2080,0),0)</f>
        <v>M</v>
      </c>
      <c r="J2048" s="366">
        <v>1</v>
      </c>
      <c r="K2048" s="366" t="s">
        <v>352</v>
      </c>
      <c r="L2048" s="370">
        <v>25</v>
      </c>
      <c r="M2048" s="371" t="s">
        <v>1002</v>
      </c>
      <c r="N2048" s="372"/>
    </row>
    <row r="2049" spans="1:14" ht="24" customHeight="1">
      <c r="A2049" s="8">
        <v>2005</v>
      </c>
      <c r="B2049" s="366">
        <v>2005</v>
      </c>
      <c r="C2049" s="367">
        <v>46162</v>
      </c>
      <c r="D2049" s="366" t="s">
        <v>238</v>
      </c>
      <c r="E2049" s="368" t="str">
        <f>IFERROR(VLOOKUP($D2049,본공사입.출고현황!$B:$H,E$2080,0),0)</f>
        <v>Steel round bar</v>
      </c>
      <c r="F2049" s="369" t="str">
        <f>IFERROR(VLOOKUP($D2049,본공사입.출고현황!$B:$H,F$2080,0),0)</f>
        <v>Steel round bar(rebar)</v>
      </c>
      <c r="G2049" s="369" t="str">
        <f>IFERROR(VLOOKUP($D2049,본공사입.출고현황!$B:$H,G$2080,0),0)</f>
        <v>CCGG</v>
      </c>
      <c r="H2049" s="369" t="str">
        <f>IFERROR(VLOOKUP($D2049,본공사입.출고현황!$B:$H,H$2080,0),0)</f>
        <v>ф10, 1ton=1,620.7m</v>
      </c>
      <c r="I2049" s="368" t="str">
        <f>IFERROR(VLOOKUP($D2049,본공사입.출고현황!$B:$H,I$2080,0),0)</f>
        <v>M</v>
      </c>
      <c r="J2049" s="366">
        <v>1</v>
      </c>
      <c r="K2049" s="366" t="s">
        <v>363</v>
      </c>
      <c r="L2049" s="370">
        <v>20</v>
      </c>
      <c r="M2049" s="371" t="s">
        <v>1002</v>
      </c>
      <c r="N2049" s="372"/>
    </row>
    <row r="2050" spans="1:14" ht="24" customHeight="1">
      <c r="A2050" s="8">
        <v>2006</v>
      </c>
      <c r="B2050" s="366">
        <v>2006</v>
      </c>
      <c r="C2050" s="367">
        <v>46162</v>
      </c>
      <c r="D2050" s="366" t="s">
        <v>238</v>
      </c>
      <c r="E2050" s="368" t="str">
        <f>IFERROR(VLOOKUP($D2050,본공사입.출고현황!$B:$H,E$2080,0),0)</f>
        <v>Steel round bar</v>
      </c>
      <c r="F2050" s="369" t="str">
        <f>IFERROR(VLOOKUP($D2050,본공사입.출고현황!$B:$H,F$2080,0),0)</f>
        <v>Steel round bar(rebar)</v>
      </c>
      <c r="G2050" s="369" t="str">
        <f>IFERROR(VLOOKUP($D2050,본공사입.출고현황!$B:$H,G$2080,0),0)</f>
        <v>CCGG</v>
      </c>
      <c r="H2050" s="369" t="str">
        <f>IFERROR(VLOOKUP($D2050,본공사입.출고현황!$B:$H,H$2080,0),0)</f>
        <v>ф10, 1ton=1,620.7m</v>
      </c>
      <c r="I2050" s="368" t="str">
        <f>IFERROR(VLOOKUP($D2050,본공사입.출고현황!$B:$H,I$2080,0),0)</f>
        <v>M</v>
      </c>
      <c r="J2050" s="366">
        <v>1</v>
      </c>
      <c r="K2050" s="366" t="s">
        <v>547</v>
      </c>
      <c r="L2050" s="370">
        <v>25</v>
      </c>
      <c r="M2050" s="371" t="s">
        <v>1002</v>
      </c>
      <c r="N2050" s="372"/>
    </row>
    <row r="2051" spans="1:14" ht="24" customHeight="1">
      <c r="A2051" s="8">
        <v>2007</v>
      </c>
      <c r="B2051" s="366">
        <v>2007</v>
      </c>
      <c r="C2051" s="367">
        <v>46162</v>
      </c>
      <c r="D2051" s="366" t="s">
        <v>238</v>
      </c>
      <c r="E2051" s="368" t="str">
        <f>IFERROR(VLOOKUP($D2051,본공사입.출고현황!$B:$H,E$2080,0),0)</f>
        <v>Steel round bar</v>
      </c>
      <c r="F2051" s="369" t="str">
        <f>IFERROR(VLOOKUP($D2051,본공사입.출고현황!$B:$H,F$2080,0),0)</f>
        <v>Steel round bar(rebar)</v>
      </c>
      <c r="G2051" s="369" t="str">
        <f>IFERROR(VLOOKUP($D2051,본공사입.출고현황!$B:$H,G$2080,0),0)</f>
        <v>CCGG</v>
      </c>
      <c r="H2051" s="369" t="str">
        <f>IFERROR(VLOOKUP($D2051,본공사입.출고현황!$B:$H,H$2080,0),0)</f>
        <v>ф10, 1ton=1,620.7m</v>
      </c>
      <c r="I2051" s="368" t="str">
        <f>IFERROR(VLOOKUP($D2051,본공사입.출고현황!$B:$H,I$2080,0),0)</f>
        <v>M</v>
      </c>
      <c r="J2051" s="366">
        <v>2</v>
      </c>
      <c r="K2051" s="366" t="s">
        <v>360</v>
      </c>
      <c r="L2051" s="370">
        <v>25</v>
      </c>
      <c r="M2051" s="371" t="s">
        <v>1002</v>
      </c>
      <c r="N2051" s="372"/>
    </row>
    <row r="2052" spans="1:14" ht="24" customHeight="1">
      <c r="A2052" s="8">
        <v>2008</v>
      </c>
      <c r="B2052" s="366">
        <v>2008</v>
      </c>
      <c r="C2052" s="367">
        <v>46162</v>
      </c>
      <c r="D2052" s="366" t="s">
        <v>238</v>
      </c>
      <c r="E2052" s="368" t="str">
        <f>IFERROR(VLOOKUP($D2052,본공사입.출고현황!$B:$H,E$2080,0),0)</f>
        <v>Steel round bar</v>
      </c>
      <c r="F2052" s="369" t="str">
        <f>IFERROR(VLOOKUP($D2052,본공사입.출고현황!$B:$H,F$2080,0),0)</f>
        <v>Steel round bar(rebar)</v>
      </c>
      <c r="G2052" s="369" t="str">
        <f>IFERROR(VLOOKUP($D2052,본공사입.출고현황!$B:$H,G$2080,0),0)</f>
        <v>CCGG</v>
      </c>
      <c r="H2052" s="369" t="str">
        <f>IFERROR(VLOOKUP($D2052,본공사입.출고현황!$B:$H,H$2080,0),0)</f>
        <v>ф10, 1ton=1,620.7m</v>
      </c>
      <c r="I2052" s="368" t="str">
        <f>IFERROR(VLOOKUP($D2052,본공사입.출고현황!$B:$H,I$2080,0),0)</f>
        <v>M</v>
      </c>
      <c r="J2052" s="366">
        <v>2</v>
      </c>
      <c r="K2052" s="366" t="s">
        <v>546</v>
      </c>
      <c r="L2052" s="370">
        <v>25</v>
      </c>
      <c r="M2052" s="371" t="s">
        <v>1002</v>
      </c>
      <c r="N2052" s="372"/>
    </row>
    <row r="2053" spans="1:14" ht="24" customHeight="1">
      <c r="A2053" s="8">
        <v>2009</v>
      </c>
      <c r="B2053" s="366">
        <v>2009</v>
      </c>
      <c r="C2053" s="367">
        <v>46162</v>
      </c>
      <c r="D2053" s="366" t="s">
        <v>238</v>
      </c>
      <c r="E2053" s="368" t="str">
        <f>IFERROR(VLOOKUP($D2053,본공사입.출고현황!$B:$H,E$2080,0),0)</f>
        <v>Steel round bar</v>
      </c>
      <c r="F2053" s="369" t="str">
        <f>IFERROR(VLOOKUP($D2053,본공사입.출고현황!$B:$H,F$2080,0),0)</f>
        <v>Steel round bar(rebar)</v>
      </c>
      <c r="G2053" s="369" t="str">
        <f>IFERROR(VLOOKUP($D2053,본공사입.출고현황!$B:$H,G$2080,0),0)</f>
        <v>CCGG</v>
      </c>
      <c r="H2053" s="369" t="str">
        <f>IFERROR(VLOOKUP($D2053,본공사입.출고현황!$B:$H,H$2080,0),0)</f>
        <v>ф10, 1ton=1,620.7m</v>
      </c>
      <c r="I2053" s="368" t="str">
        <f>IFERROR(VLOOKUP($D2053,본공사입.출고현황!$B:$H,I$2080,0),0)</f>
        <v>M</v>
      </c>
      <c r="J2053" s="366">
        <v>3</v>
      </c>
      <c r="K2053" s="366" t="s">
        <v>237</v>
      </c>
      <c r="L2053" s="370">
        <v>50</v>
      </c>
      <c r="M2053" s="371" t="s">
        <v>1002</v>
      </c>
      <c r="N2053" s="372"/>
    </row>
    <row r="2054" spans="1:14" ht="24" customHeight="1">
      <c r="A2054" s="8">
        <v>2010</v>
      </c>
      <c r="B2054" s="366">
        <v>2010</v>
      </c>
      <c r="C2054" s="367">
        <v>46162</v>
      </c>
      <c r="D2054" s="366" t="s">
        <v>238</v>
      </c>
      <c r="E2054" s="368" t="str">
        <f>IFERROR(VLOOKUP($D2054,본공사입.출고현황!$B:$H,E$2080,0),0)</f>
        <v>Steel round bar</v>
      </c>
      <c r="F2054" s="369" t="str">
        <f>IFERROR(VLOOKUP($D2054,본공사입.출고현황!$B:$H,F$2080,0),0)</f>
        <v>Steel round bar(rebar)</v>
      </c>
      <c r="G2054" s="369" t="str">
        <f>IFERROR(VLOOKUP($D2054,본공사입.출고현황!$B:$H,G$2080,0),0)</f>
        <v>CCGG</v>
      </c>
      <c r="H2054" s="369" t="str">
        <f>IFERROR(VLOOKUP($D2054,본공사입.출고현황!$B:$H,H$2080,0),0)</f>
        <v>ф10, 1ton=1,620.7m</v>
      </c>
      <c r="I2054" s="368" t="str">
        <f>IFERROR(VLOOKUP($D2054,본공사입.출고현황!$B:$H,I$2080,0),0)</f>
        <v>M</v>
      </c>
      <c r="J2054" s="366">
        <v>3</v>
      </c>
      <c r="K2054" s="366" t="s">
        <v>550</v>
      </c>
      <c r="L2054" s="370">
        <v>15</v>
      </c>
      <c r="M2054" s="371" t="s">
        <v>1002</v>
      </c>
      <c r="N2054" s="372"/>
    </row>
    <row r="2055" spans="1:14" ht="24" customHeight="1">
      <c r="A2055" s="8">
        <v>2011</v>
      </c>
      <c r="B2055" s="366">
        <v>2011</v>
      </c>
      <c r="C2055" s="367">
        <v>46162</v>
      </c>
      <c r="D2055" s="366" t="s">
        <v>238</v>
      </c>
      <c r="E2055" s="368" t="str">
        <f>IFERROR(VLOOKUP($D2055,본공사입.출고현황!$B:$H,E$2080,0),0)</f>
        <v>Steel round bar</v>
      </c>
      <c r="F2055" s="369" t="str">
        <f>IFERROR(VLOOKUP($D2055,본공사입.출고현황!$B:$H,F$2080,0),0)</f>
        <v>Steel round bar(rebar)</v>
      </c>
      <c r="G2055" s="369" t="str">
        <f>IFERROR(VLOOKUP($D2055,본공사입.출고현황!$B:$H,G$2080,0),0)</f>
        <v>CCGG</v>
      </c>
      <c r="H2055" s="369" t="str">
        <f>IFERROR(VLOOKUP($D2055,본공사입.출고현황!$B:$H,H$2080,0),0)</f>
        <v>ф10, 1ton=1,620.7m</v>
      </c>
      <c r="I2055" s="368" t="str">
        <f>IFERROR(VLOOKUP($D2055,본공사입.출고현황!$B:$H,I$2080,0),0)</f>
        <v>M</v>
      </c>
      <c r="J2055" s="366">
        <v>4</v>
      </c>
      <c r="K2055" s="366" t="s">
        <v>359</v>
      </c>
      <c r="L2055" s="370">
        <v>25</v>
      </c>
      <c r="M2055" s="371" t="s">
        <v>1002</v>
      </c>
      <c r="N2055" s="372"/>
    </row>
    <row r="2056" spans="1:14" ht="24" customHeight="1">
      <c r="A2056" s="8">
        <v>2012</v>
      </c>
      <c r="B2056" s="366">
        <v>2012</v>
      </c>
      <c r="C2056" s="367">
        <v>46162</v>
      </c>
      <c r="D2056" s="366" t="s">
        <v>238</v>
      </c>
      <c r="E2056" s="368" t="str">
        <f>IFERROR(VLOOKUP($D2056,본공사입.출고현황!$B:$H,E$2080,0),0)</f>
        <v>Steel round bar</v>
      </c>
      <c r="F2056" s="369" t="str">
        <f>IFERROR(VLOOKUP($D2056,본공사입.출고현황!$B:$H,F$2080,0),0)</f>
        <v>Steel round bar(rebar)</v>
      </c>
      <c r="G2056" s="369" t="str">
        <f>IFERROR(VLOOKUP($D2056,본공사입.출고현황!$B:$H,G$2080,0),0)</f>
        <v>CCGG</v>
      </c>
      <c r="H2056" s="369" t="str">
        <f>IFERROR(VLOOKUP($D2056,본공사입.출고현황!$B:$H,H$2080,0),0)</f>
        <v>ф10, 1ton=1,620.7m</v>
      </c>
      <c r="I2056" s="368" t="str">
        <f>IFERROR(VLOOKUP($D2056,본공사입.출고현황!$B:$H,I$2080,0),0)</f>
        <v>M</v>
      </c>
      <c r="J2056" s="366">
        <v>4</v>
      </c>
      <c r="K2056" s="366" t="s">
        <v>351</v>
      </c>
      <c r="L2056" s="370">
        <v>50</v>
      </c>
      <c r="M2056" s="371" t="s">
        <v>1002</v>
      </c>
      <c r="N2056" s="372"/>
    </row>
    <row r="2057" spans="1:14" ht="24" customHeight="1">
      <c r="A2057" s="8">
        <v>2013</v>
      </c>
      <c r="B2057" s="9">
        <v>2013</v>
      </c>
      <c r="C2057" s="46"/>
      <c r="D2057" s="9"/>
      <c r="E2057" s="56">
        <f>IFERROR(VLOOKUP($D2057,본공사입.출고현황!$B:$H,E$2080,0),0)</f>
        <v>0</v>
      </c>
      <c r="F2057" s="18">
        <f>IFERROR(VLOOKUP($D2057,본공사입.출고현황!$B:$H,F$2080,0),0)</f>
        <v>0</v>
      </c>
      <c r="G2057" s="18">
        <f>IFERROR(VLOOKUP($D2057,본공사입.출고현황!$B:$H,G$2080,0),0)</f>
        <v>0</v>
      </c>
      <c r="H2057" s="18">
        <f>IFERROR(VLOOKUP($D2057,본공사입.출고현황!$B:$H,H$2080,0),0)</f>
        <v>0</v>
      </c>
      <c r="I2057" s="56">
        <f>IFERROR(VLOOKUP($D2057,본공사입.출고현황!$B:$H,I$2080,0),0)</f>
        <v>0</v>
      </c>
      <c r="J2057" s="9"/>
      <c r="K2057" s="9"/>
      <c r="L2057" s="37"/>
      <c r="M2057" s="64"/>
      <c r="N2057" s="4"/>
    </row>
    <row r="2058" spans="1:14" ht="24" customHeight="1">
      <c r="A2058" s="8">
        <v>2014</v>
      </c>
      <c r="B2058" s="9">
        <v>2014</v>
      </c>
      <c r="C2058" s="46"/>
      <c r="D2058" s="9"/>
      <c r="E2058" s="56">
        <f>IFERROR(VLOOKUP($D2058,본공사입.출고현황!$B:$H,E$2080,0),0)</f>
        <v>0</v>
      </c>
      <c r="F2058" s="18">
        <f>IFERROR(VLOOKUP($D2058,본공사입.출고현황!$B:$H,F$2080,0),0)</f>
        <v>0</v>
      </c>
      <c r="G2058" s="18">
        <f>IFERROR(VLOOKUP($D2058,본공사입.출고현황!$B:$H,G$2080,0),0)</f>
        <v>0</v>
      </c>
      <c r="H2058" s="18">
        <f>IFERROR(VLOOKUP($D2058,본공사입.출고현황!$B:$H,H$2080,0),0)</f>
        <v>0</v>
      </c>
      <c r="I2058" s="56">
        <f>IFERROR(VLOOKUP($D2058,본공사입.출고현황!$B:$H,I$2080,0),0)</f>
        <v>0</v>
      </c>
      <c r="J2058" s="9"/>
      <c r="K2058" s="9"/>
      <c r="L2058" s="37"/>
      <c r="M2058" s="64"/>
      <c r="N2058" s="4"/>
    </row>
    <row r="2059" spans="1:14" ht="24" customHeight="1">
      <c r="A2059" s="8">
        <v>2015</v>
      </c>
      <c r="B2059" s="9">
        <v>2015</v>
      </c>
      <c r="C2059" s="46"/>
      <c r="D2059" s="9"/>
      <c r="E2059" s="56">
        <f>IFERROR(VLOOKUP($D2059,본공사입.출고현황!$B:$H,E$2080,0),0)</f>
        <v>0</v>
      </c>
      <c r="F2059" s="18">
        <f>IFERROR(VLOOKUP($D2059,본공사입.출고현황!$B:$H,F$2080,0),0)</f>
        <v>0</v>
      </c>
      <c r="G2059" s="18">
        <f>IFERROR(VLOOKUP($D2059,본공사입.출고현황!$B:$H,G$2080,0),0)</f>
        <v>0</v>
      </c>
      <c r="H2059" s="18">
        <f>IFERROR(VLOOKUP($D2059,본공사입.출고현황!$B:$H,H$2080,0),0)</f>
        <v>0</v>
      </c>
      <c r="I2059" s="56">
        <f>IFERROR(VLOOKUP($D2059,본공사입.출고현황!$B:$H,I$2080,0),0)</f>
        <v>0</v>
      </c>
      <c r="J2059" s="9"/>
      <c r="K2059" s="9"/>
      <c r="L2059" s="37"/>
      <c r="M2059" s="64"/>
      <c r="N2059" s="4"/>
    </row>
    <row r="2060" spans="1:14" ht="24" customHeight="1">
      <c r="A2060" s="8">
        <v>2016</v>
      </c>
      <c r="B2060" s="9">
        <v>2016</v>
      </c>
      <c r="C2060" s="46"/>
      <c r="D2060" s="9"/>
      <c r="E2060" s="56">
        <f>IFERROR(VLOOKUP($D2060,본공사입.출고현황!$B:$H,E$2080,0),0)</f>
        <v>0</v>
      </c>
      <c r="F2060" s="18">
        <f>IFERROR(VLOOKUP($D2060,본공사입.출고현황!$B:$H,F$2080,0),0)</f>
        <v>0</v>
      </c>
      <c r="G2060" s="18">
        <f>IFERROR(VLOOKUP($D2060,본공사입.출고현황!$B:$H,G$2080,0),0)</f>
        <v>0</v>
      </c>
      <c r="H2060" s="18">
        <f>IFERROR(VLOOKUP($D2060,본공사입.출고현황!$B:$H,H$2080,0),0)</f>
        <v>0</v>
      </c>
      <c r="I2060" s="56">
        <f>IFERROR(VLOOKUP($D2060,본공사입.출고현황!$B:$H,I$2080,0),0)</f>
        <v>0</v>
      </c>
      <c r="J2060" s="9"/>
      <c r="K2060" s="9"/>
      <c r="L2060" s="37"/>
      <c r="M2060" s="64"/>
      <c r="N2060" s="4"/>
    </row>
    <row r="2061" spans="1:14" ht="24" customHeight="1">
      <c r="A2061" s="8">
        <v>2017</v>
      </c>
      <c r="B2061" s="9">
        <v>2017</v>
      </c>
      <c r="C2061" s="46"/>
      <c r="D2061" s="9"/>
      <c r="E2061" s="56">
        <f>IFERROR(VLOOKUP($D2061,본공사입.출고현황!$B:$H,E$2080,0),0)</f>
        <v>0</v>
      </c>
      <c r="F2061" s="18">
        <f>IFERROR(VLOOKUP($D2061,본공사입.출고현황!$B:$H,F$2080,0),0)</f>
        <v>0</v>
      </c>
      <c r="G2061" s="18">
        <f>IFERROR(VLOOKUP($D2061,본공사입.출고현황!$B:$H,G$2080,0),0)</f>
        <v>0</v>
      </c>
      <c r="H2061" s="18">
        <f>IFERROR(VLOOKUP($D2061,본공사입.출고현황!$B:$H,H$2080,0),0)</f>
        <v>0</v>
      </c>
      <c r="I2061" s="56">
        <f>IFERROR(VLOOKUP($D2061,본공사입.출고현황!$B:$H,I$2080,0),0)</f>
        <v>0</v>
      </c>
      <c r="J2061" s="9"/>
      <c r="K2061" s="9"/>
      <c r="L2061" s="37"/>
      <c r="M2061" s="64"/>
      <c r="N2061" s="4"/>
    </row>
    <row r="2062" spans="1:14" ht="24" customHeight="1">
      <c r="A2062" s="8">
        <v>2018</v>
      </c>
      <c r="B2062" s="9">
        <v>2018</v>
      </c>
      <c r="C2062" s="46"/>
      <c r="D2062" s="9"/>
      <c r="E2062" s="56">
        <f>IFERROR(VLOOKUP($D2062,본공사입.출고현황!$B:$H,E$2080,0),0)</f>
        <v>0</v>
      </c>
      <c r="F2062" s="18">
        <f>IFERROR(VLOOKUP($D2062,본공사입.출고현황!$B:$H,F$2080,0),0)</f>
        <v>0</v>
      </c>
      <c r="G2062" s="18">
        <f>IFERROR(VLOOKUP($D2062,본공사입.출고현황!$B:$H,G$2080,0),0)</f>
        <v>0</v>
      </c>
      <c r="H2062" s="18">
        <f>IFERROR(VLOOKUP($D2062,본공사입.출고현황!$B:$H,H$2080,0),0)</f>
        <v>0</v>
      </c>
      <c r="I2062" s="56">
        <f>IFERROR(VLOOKUP($D2062,본공사입.출고현황!$B:$H,I$2080,0),0)</f>
        <v>0</v>
      </c>
      <c r="J2062" s="9"/>
      <c r="K2062" s="9"/>
      <c r="L2062" s="37"/>
      <c r="M2062" s="64"/>
      <c r="N2062" s="4"/>
    </row>
    <row r="2063" spans="1:14" ht="24" customHeight="1">
      <c r="A2063" s="8">
        <v>2019</v>
      </c>
      <c r="B2063" s="9">
        <v>2019</v>
      </c>
      <c r="C2063" s="46"/>
      <c r="D2063" s="9"/>
      <c r="E2063" s="56">
        <f>IFERROR(VLOOKUP($D2063,본공사입.출고현황!$B:$H,E$2080,0),0)</f>
        <v>0</v>
      </c>
      <c r="F2063" s="18">
        <f>IFERROR(VLOOKUP($D2063,본공사입.출고현황!$B:$H,F$2080,0),0)</f>
        <v>0</v>
      </c>
      <c r="G2063" s="18">
        <f>IFERROR(VLOOKUP($D2063,본공사입.출고현황!$B:$H,G$2080,0),0)</f>
        <v>0</v>
      </c>
      <c r="H2063" s="18">
        <f>IFERROR(VLOOKUP($D2063,본공사입.출고현황!$B:$H,H$2080,0),0)</f>
        <v>0</v>
      </c>
      <c r="I2063" s="56">
        <f>IFERROR(VLOOKUP($D2063,본공사입.출고현황!$B:$H,I$2080,0),0)</f>
        <v>0</v>
      </c>
      <c r="J2063" s="9"/>
      <c r="K2063" s="9"/>
      <c r="L2063" s="37"/>
      <c r="M2063" s="64"/>
      <c r="N2063" s="4"/>
    </row>
    <row r="2064" spans="1:14" ht="24" customHeight="1">
      <c r="A2064" s="8">
        <v>2020</v>
      </c>
      <c r="B2064" s="9">
        <v>2020</v>
      </c>
      <c r="C2064" s="46"/>
      <c r="D2064" s="9"/>
      <c r="E2064" s="56">
        <f>IFERROR(VLOOKUP($D2064,본공사입.출고현황!$B:$H,E$2080,0),0)</f>
        <v>0</v>
      </c>
      <c r="F2064" s="18">
        <f>IFERROR(VLOOKUP($D2064,본공사입.출고현황!$B:$H,F$2080,0),0)</f>
        <v>0</v>
      </c>
      <c r="G2064" s="18">
        <f>IFERROR(VLOOKUP($D2064,본공사입.출고현황!$B:$H,G$2080,0),0)</f>
        <v>0</v>
      </c>
      <c r="H2064" s="18">
        <f>IFERROR(VLOOKUP($D2064,본공사입.출고현황!$B:$H,H$2080,0),0)</f>
        <v>0</v>
      </c>
      <c r="I2064" s="56">
        <f>IFERROR(VLOOKUP($D2064,본공사입.출고현황!$B:$H,I$2080,0),0)</f>
        <v>0</v>
      </c>
      <c r="J2064" s="9"/>
      <c r="K2064" s="9"/>
      <c r="L2064" s="37"/>
      <c r="M2064" s="64"/>
      <c r="N2064" s="4"/>
    </row>
    <row r="2065" spans="1:14" ht="24" customHeight="1">
      <c r="A2065" s="8">
        <v>2021</v>
      </c>
      <c r="B2065" s="9">
        <v>2021</v>
      </c>
      <c r="C2065" s="46"/>
      <c r="D2065" s="9"/>
      <c r="E2065" s="56">
        <f>IFERROR(VLOOKUP($D2065,본공사입.출고현황!$B:$H,E$2080,0),0)</f>
        <v>0</v>
      </c>
      <c r="F2065" s="18">
        <f>IFERROR(VLOOKUP($D2065,본공사입.출고현황!$B:$H,F$2080,0),0)</f>
        <v>0</v>
      </c>
      <c r="G2065" s="18">
        <f>IFERROR(VLOOKUP($D2065,본공사입.출고현황!$B:$H,G$2080,0),0)</f>
        <v>0</v>
      </c>
      <c r="H2065" s="18">
        <f>IFERROR(VLOOKUP($D2065,본공사입.출고현황!$B:$H,H$2080,0),0)</f>
        <v>0</v>
      </c>
      <c r="I2065" s="56">
        <f>IFERROR(VLOOKUP($D2065,본공사입.출고현황!$B:$H,I$2080,0),0)</f>
        <v>0</v>
      </c>
      <c r="J2065" s="9"/>
      <c r="K2065" s="9"/>
      <c r="L2065" s="37"/>
      <c r="M2065" s="64"/>
      <c r="N2065" s="4"/>
    </row>
    <row r="2066" spans="1:14" ht="24" customHeight="1">
      <c r="A2066" s="8">
        <v>2022</v>
      </c>
      <c r="B2066" s="9">
        <v>2022</v>
      </c>
      <c r="C2066" s="46"/>
      <c r="D2066" s="9"/>
      <c r="E2066" s="56">
        <f>IFERROR(VLOOKUP($D2066,본공사입.출고현황!$B:$H,E$2080,0),0)</f>
        <v>0</v>
      </c>
      <c r="F2066" s="18">
        <f>IFERROR(VLOOKUP($D2066,본공사입.출고현황!$B:$H,F$2080,0),0)</f>
        <v>0</v>
      </c>
      <c r="G2066" s="18">
        <f>IFERROR(VLOOKUP($D2066,본공사입.출고현황!$B:$H,G$2080,0),0)</f>
        <v>0</v>
      </c>
      <c r="H2066" s="18">
        <f>IFERROR(VLOOKUP($D2066,본공사입.출고현황!$B:$H,H$2080,0),0)</f>
        <v>0</v>
      </c>
      <c r="I2066" s="56">
        <f>IFERROR(VLOOKUP($D2066,본공사입.출고현황!$B:$H,I$2080,0),0)</f>
        <v>0</v>
      </c>
      <c r="J2066" s="9"/>
      <c r="K2066" s="9"/>
      <c r="L2066" s="37"/>
      <c r="M2066" s="64"/>
      <c r="N2066" s="4"/>
    </row>
    <row r="2067" spans="1:14" ht="24" customHeight="1">
      <c r="A2067" s="8">
        <v>2023</v>
      </c>
      <c r="B2067" s="9">
        <v>2023</v>
      </c>
      <c r="C2067" s="46"/>
      <c r="D2067" s="9"/>
      <c r="E2067" s="56">
        <f>IFERROR(VLOOKUP($D2067,본공사입.출고현황!$B:$H,E$2080,0),0)</f>
        <v>0</v>
      </c>
      <c r="F2067" s="18">
        <f>IFERROR(VLOOKUP($D2067,본공사입.출고현황!$B:$H,F$2080,0),0)</f>
        <v>0</v>
      </c>
      <c r="G2067" s="18">
        <f>IFERROR(VLOOKUP($D2067,본공사입.출고현황!$B:$H,G$2080,0),0)</f>
        <v>0</v>
      </c>
      <c r="H2067" s="18">
        <f>IFERROR(VLOOKUP($D2067,본공사입.출고현황!$B:$H,H$2080,0),0)</f>
        <v>0</v>
      </c>
      <c r="I2067" s="56">
        <f>IFERROR(VLOOKUP($D2067,본공사입.출고현황!$B:$H,I$2080,0),0)</f>
        <v>0</v>
      </c>
      <c r="J2067" s="9"/>
      <c r="K2067" s="9"/>
      <c r="L2067" s="37"/>
      <c r="M2067" s="64"/>
      <c r="N2067" s="4"/>
    </row>
    <row r="2068" spans="1:14" ht="24" customHeight="1">
      <c r="A2068" s="8">
        <v>2024</v>
      </c>
      <c r="B2068" s="9">
        <v>2024</v>
      </c>
      <c r="C2068" s="46"/>
      <c r="D2068" s="9"/>
      <c r="E2068" s="56">
        <f>IFERROR(VLOOKUP($D2068,본공사입.출고현황!$B:$H,E$2080,0),0)</f>
        <v>0</v>
      </c>
      <c r="F2068" s="18">
        <f>IFERROR(VLOOKUP($D2068,본공사입.출고현황!$B:$H,F$2080,0),0)</f>
        <v>0</v>
      </c>
      <c r="G2068" s="18">
        <f>IFERROR(VLOOKUP($D2068,본공사입.출고현황!$B:$H,G$2080,0),0)</f>
        <v>0</v>
      </c>
      <c r="H2068" s="18">
        <f>IFERROR(VLOOKUP($D2068,본공사입.출고현황!$B:$H,H$2080,0),0)</f>
        <v>0</v>
      </c>
      <c r="I2068" s="56">
        <f>IFERROR(VLOOKUP($D2068,본공사입.출고현황!$B:$H,I$2080,0),0)</f>
        <v>0</v>
      </c>
      <c r="J2068" s="9"/>
      <c r="K2068" s="9"/>
      <c r="L2068" s="37"/>
      <c r="M2068" s="64"/>
      <c r="N2068" s="4"/>
    </row>
    <row r="2069" spans="1:14" ht="24" customHeight="1">
      <c r="A2069" s="8">
        <v>2025</v>
      </c>
      <c r="B2069" s="9">
        <v>2025</v>
      </c>
      <c r="C2069" s="46"/>
      <c r="D2069" s="9"/>
      <c r="E2069" s="56">
        <f>IFERROR(VLOOKUP($D2069,본공사입.출고현황!$B:$H,E$2080,0),0)</f>
        <v>0</v>
      </c>
      <c r="F2069" s="18">
        <f>IFERROR(VLOOKUP($D2069,본공사입.출고현황!$B:$H,F$2080,0),0)</f>
        <v>0</v>
      </c>
      <c r="G2069" s="18">
        <f>IFERROR(VLOOKUP($D2069,본공사입.출고현황!$B:$H,G$2080,0),0)</f>
        <v>0</v>
      </c>
      <c r="H2069" s="18">
        <f>IFERROR(VLOOKUP($D2069,본공사입.출고현황!$B:$H,H$2080,0),0)</f>
        <v>0</v>
      </c>
      <c r="I2069" s="56">
        <f>IFERROR(VLOOKUP($D2069,본공사입.출고현황!$B:$H,I$2080,0),0)</f>
        <v>0</v>
      </c>
      <c r="J2069" s="9"/>
      <c r="K2069" s="9"/>
      <c r="L2069" s="37"/>
      <c r="M2069" s="64"/>
      <c r="N2069" s="4"/>
    </row>
    <row r="2070" spans="1:14" ht="24" customHeight="1">
      <c r="A2070" s="8">
        <v>2026</v>
      </c>
      <c r="B2070" s="9">
        <v>2026</v>
      </c>
      <c r="C2070" s="46"/>
      <c r="D2070" s="9"/>
      <c r="E2070" s="56">
        <f>IFERROR(VLOOKUP($D2070,본공사입.출고현황!$B:$H,E$2080,0),0)</f>
        <v>0</v>
      </c>
      <c r="F2070" s="18">
        <f>IFERROR(VLOOKUP($D2070,본공사입.출고현황!$B:$H,F$2080,0),0)</f>
        <v>0</v>
      </c>
      <c r="G2070" s="18">
        <f>IFERROR(VLOOKUP($D2070,본공사입.출고현황!$B:$H,G$2080,0),0)</f>
        <v>0</v>
      </c>
      <c r="H2070" s="18">
        <f>IFERROR(VLOOKUP($D2070,본공사입.출고현황!$B:$H,H$2080,0),0)</f>
        <v>0</v>
      </c>
      <c r="I2070" s="56">
        <f>IFERROR(VLOOKUP($D2070,본공사입.출고현황!$B:$H,I$2080,0),0)</f>
        <v>0</v>
      </c>
      <c r="J2070" s="9"/>
      <c r="K2070" s="9"/>
      <c r="L2070" s="37"/>
      <c r="M2070" s="64"/>
      <c r="N2070" s="4"/>
    </row>
    <row r="2071" spans="1:14" ht="24" customHeight="1">
      <c r="A2071" s="8">
        <v>2027</v>
      </c>
      <c r="B2071" s="9">
        <v>2027</v>
      </c>
      <c r="C2071" s="46"/>
      <c r="D2071" s="9"/>
      <c r="E2071" s="56">
        <f>IFERROR(VLOOKUP($D2071,본공사입.출고현황!$B:$H,E$2080,0),0)</f>
        <v>0</v>
      </c>
      <c r="F2071" s="18">
        <f>IFERROR(VLOOKUP($D2071,본공사입.출고현황!$B:$H,F$2080,0),0)</f>
        <v>0</v>
      </c>
      <c r="G2071" s="18">
        <f>IFERROR(VLOOKUP($D2071,본공사입.출고현황!$B:$H,G$2080,0),0)</f>
        <v>0</v>
      </c>
      <c r="H2071" s="18">
        <f>IFERROR(VLOOKUP($D2071,본공사입.출고현황!$B:$H,H$2080,0),0)</f>
        <v>0</v>
      </c>
      <c r="I2071" s="56">
        <f>IFERROR(VLOOKUP($D2071,본공사입.출고현황!$B:$H,I$2080,0),0)</f>
        <v>0</v>
      </c>
      <c r="J2071" s="9"/>
      <c r="K2071" s="9"/>
      <c r="L2071" s="37"/>
      <c r="M2071" s="64"/>
      <c r="N2071" s="4"/>
    </row>
    <row r="2072" spans="1:14" ht="24" customHeight="1">
      <c r="A2072" s="8">
        <v>2028</v>
      </c>
      <c r="B2072" s="9">
        <v>2028</v>
      </c>
      <c r="C2072" s="46"/>
      <c r="D2072" s="9"/>
      <c r="E2072" s="56">
        <f>IFERROR(VLOOKUP($D2072,본공사입.출고현황!$B:$H,E$2080,0),0)</f>
        <v>0</v>
      </c>
      <c r="F2072" s="18">
        <f>IFERROR(VLOOKUP($D2072,본공사입.출고현황!$B:$H,F$2080,0),0)</f>
        <v>0</v>
      </c>
      <c r="G2072" s="18">
        <f>IFERROR(VLOOKUP($D2072,본공사입.출고현황!$B:$H,G$2080,0),0)</f>
        <v>0</v>
      </c>
      <c r="H2072" s="18">
        <f>IFERROR(VLOOKUP($D2072,본공사입.출고현황!$B:$H,H$2080,0),0)</f>
        <v>0</v>
      </c>
      <c r="I2072" s="56">
        <f>IFERROR(VLOOKUP($D2072,본공사입.출고현황!$B:$H,I$2080,0),0)</f>
        <v>0</v>
      </c>
      <c r="J2072" s="9"/>
      <c r="K2072" s="9"/>
      <c r="L2072" s="37"/>
      <c r="M2072" s="64"/>
      <c r="N2072" s="4"/>
    </row>
    <row r="2073" spans="1:14" ht="24" customHeight="1">
      <c r="A2073" s="8">
        <v>2029</v>
      </c>
      <c r="B2073" s="9">
        <v>2029</v>
      </c>
      <c r="C2073" s="46"/>
      <c r="D2073" s="9"/>
      <c r="E2073" s="56">
        <f>IFERROR(VLOOKUP($D2073,본공사입.출고현황!$B:$H,E$2080,0),0)</f>
        <v>0</v>
      </c>
      <c r="F2073" s="18">
        <f>IFERROR(VLOOKUP($D2073,본공사입.출고현황!$B:$H,F$2080,0),0)</f>
        <v>0</v>
      </c>
      <c r="G2073" s="18">
        <f>IFERROR(VLOOKUP($D2073,본공사입.출고현황!$B:$H,G$2080,0),0)</f>
        <v>0</v>
      </c>
      <c r="H2073" s="18">
        <f>IFERROR(VLOOKUP($D2073,본공사입.출고현황!$B:$H,H$2080,0),0)</f>
        <v>0</v>
      </c>
      <c r="I2073" s="56">
        <f>IFERROR(VLOOKUP($D2073,본공사입.출고현황!$B:$H,I$2080,0),0)</f>
        <v>0</v>
      </c>
      <c r="J2073" s="9"/>
      <c r="K2073" s="9"/>
      <c r="L2073" s="37"/>
      <c r="M2073" s="64"/>
      <c r="N2073" s="4"/>
    </row>
    <row r="2074" spans="1:14" ht="24" customHeight="1">
      <c r="A2074" s="8">
        <v>2030</v>
      </c>
      <c r="B2074" s="9">
        <v>2030</v>
      </c>
      <c r="C2074" s="46"/>
      <c r="D2074" s="9"/>
      <c r="E2074" s="56">
        <f>IFERROR(VLOOKUP($D2074,본공사입.출고현황!$B:$H,E$2080,0),0)</f>
        <v>0</v>
      </c>
      <c r="F2074" s="18">
        <f>IFERROR(VLOOKUP($D2074,본공사입.출고현황!$B:$H,F$2080,0),0)</f>
        <v>0</v>
      </c>
      <c r="G2074" s="18">
        <f>IFERROR(VLOOKUP($D2074,본공사입.출고현황!$B:$H,G$2080,0),0)</f>
        <v>0</v>
      </c>
      <c r="H2074" s="18">
        <f>IFERROR(VLOOKUP($D2074,본공사입.출고현황!$B:$H,H$2080,0),0)</f>
        <v>0</v>
      </c>
      <c r="I2074" s="56">
        <f>IFERROR(VLOOKUP($D2074,본공사입.출고현황!$B:$H,I$2080,0),0)</f>
        <v>0</v>
      </c>
      <c r="J2074" s="9"/>
      <c r="K2074" s="9"/>
      <c r="L2074" s="37"/>
      <c r="M2074" s="64"/>
      <c r="N2074" s="4"/>
    </row>
    <row r="2075" spans="1:14" ht="24" customHeight="1">
      <c r="A2075" s="8">
        <v>2031</v>
      </c>
      <c r="B2075" s="9">
        <v>2031</v>
      </c>
      <c r="C2075" s="46"/>
      <c r="D2075" s="9"/>
      <c r="E2075" s="56">
        <f>IFERROR(VLOOKUP($D2075,본공사입.출고현황!$B:$H,E$2080,0),0)</f>
        <v>0</v>
      </c>
      <c r="F2075" s="18">
        <f>IFERROR(VLOOKUP($D2075,본공사입.출고현황!$B:$H,F$2080,0),0)</f>
        <v>0</v>
      </c>
      <c r="G2075" s="18">
        <f>IFERROR(VLOOKUP($D2075,본공사입.출고현황!$B:$H,G$2080,0),0)</f>
        <v>0</v>
      </c>
      <c r="H2075" s="18">
        <f>IFERROR(VLOOKUP($D2075,본공사입.출고현황!$B:$H,H$2080,0),0)</f>
        <v>0</v>
      </c>
      <c r="I2075" s="56">
        <f>IFERROR(VLOOKUP($D2075,본공사입.출고현황!$B:$H,I$2080,0),0)</f>
        <v>0</v>
      </c>
      <c r="J2075" s="9"/>
      <c r="K2075" s="9"/>
      <c r="L2075" s="37"/>
      <c r="M2075" s="64"/>
      <c r="N2075" s="4"/>
    </row>
    <row r="2076" spans="1:14" ht="24" customHeight="1">
      <c r="A2076" s="8">
        <v>2032</v>
      </c>
      <c r="B2076" s="9">
        <v>2032</v>
      </c>
      <c r="C2076" s="46"/>
      <c r="D2076" s="9"/>
      <c r="E2076" s="56">
        <f>IFERROR(VLOOKUP($D2076,본공사입.출고현황!$B:$H,E$2080,0),0)</f>
        <v>0</v>
      </c>
      <c r="F2076" s="18">
        <f>IFERROR(VLOOKUP($D2076,본공사입.출고현황!$B:$H,F$2080,0),0)</f>
        <v>0</v>
      </c>
      <c r="G2076" s="18">
        <f>IFERROR(VLOOKUP($D2076,본공사입.출고현황!$B:$H,G$2080,0),0)</f>
        <v>0</v>
      </c>
      <c r="H2076" s="18">
        <f>IFERROR(VLOOKUP($D2076,본공사입.출고현황!$B:$H,H$2080,0),0)</f>
        <v>0</v>
      </c>
      <c r="I2076" s="56">
        <f>IFERROR(VLOOKUP($D2076,본공사입.출고현황!$B:$H,I$2080,0),0)</f>
        <v>0</v>
      </c>
      <c r="J2076" s="9"/>
      <c r="K2076" s="9"/>
      <c r="L2076" s="37"/>
      <c r="M2076" s="64"/>
      <c r="N2076" s="4"/>
    </row>
    <row r="2077" spans="1:14" ht="24" customHeight="1">
      <c r="A2077" s="8">
        <v>2033</v>
      </c>
      <c r="B2077" s="9">
        <v>2033</v>
      </c>
      <c r="C2077" s="46"/>
      <c r="D2077" s="9"/>
      <c r="E2077" s="56">
        <f>IFERROR(VLOOKUP($D2077,본공사입.출고현황!$B:$H,E$2080,0),0)</f>
        <v>0</v>
      </c>
      <c r="F2077" s="18">
        <f>IFERROR(VLOOKUP($D2077,본공사입.출고현황!$B:$H,F$2080,0),0)</f>
        <v>0</v>
      </c>
      <c r="G2077" s="18">
        <f>IFERROR(VLOOKUP($D2077,본공사입.출고현황!$B:$H,G$2080,0),0)</f>
        <v>0</v>
      </c>
      <c r="H2077" s="18">
        <f>IFERROR(VLOOKUP($D2077,본공사입.출고현황!$B:$H,H$2080,0),0)</f>
        <v>0</v>
      </c>
      <c r="I2077" s="56">
        <f>IFERROR(VLOOKUP($D2077,본공사입.출고현황!$B:$H,I$2080,0),0)</f>
        <v>0</v>
      </c>
      <c r="J2077" s="9"/>
      <c r="K2077" s="9"/>
      <c r="L2077" s="37"/>
      <c r="M2077" s="64"/>
      <c r="N2077" s="4"/>
    </row>
    <row r="2078" spans="1:14" ht="24" customHeight="1">
      <c r="A2078" s="8">
        <v>2034</v>
      </c>
      <c r="B2078" s="9">
        <v>2034</v>
      </c>
      <c r="C2078" s="46"/>
      <c r="D2078" s="9"/>
      <c r="E2078" s="56">
        <f>IFERROR(VLOOKUP($D2078,본공사입.출고현황!$B:$H,E$2080,0),0)</f>
        <v>0</v>
      </c>
      <c r="F2078" s="18">
        <f>IFERROR(VLOOKUP($D2078,본공사입.출고현황!$B:$H,F$2080,0),0)</f>
        <v>0</v>
      </c>
      <c r="G2078" s="18">
        <f>IFERROR(VLOOKUP($D2078,본공사입.출고현황!$B:$H,G$2080,0),0)</f>
        <v>0</v>
      </c>
      <c r="H2078" s="18">
        <f>IFERROR(VLOOKUP($D2078,본공사입.출고현황!$B:$H,H$2080,0),0)</f>
        <v>0</v>
      </c>
      <c r="I2078" s="56">
        <f>IFERROR(VLOOKUP($D2078,본공사입.출고현황!$B:$H,I$2080,0),0)</f>
        <v>0</v>
      </c>
      <c r="J2078" s="9"/>
      <c r="K2078" s="9"/>
      <c r="L2078" s="37"/>
      <c r="M2078" s="64"/>
      <c r="N2078" s="4"/>
    </row>
    <row r="2079" spans="1:14" ht="24" customHeight="1">
      <c r="A2079" s="8">
        <v>1957</v>
      </c>
      <c r="B2079" s="9">
        <v>1957</v>
      </c>
      <c r="C2079" s="46"/>
      <c r="D2079" s="9"/>
      <c r="E2079" s="56">
        <f>IFERROR(VLOOKUP($D2079,본공사입.출고현황!$B:$H,E$2080,0),0)</f>
        <v>0</v>
      </c>
      <c r="F2079" s="18">
        <f>IFERROR(VLOOKUP($D2079,본공사입.출고현황!$B:$H,F$2080,0),0)</f>
        <v>0</v>
      </c>
      <c r="G2079" s="18">
        <f>IFERROR(VLOOKUP($D2079,본공사입.출고현황!$B:$H,G$2080,0),0)</f>
        <v>0</v>
      </c>
      <c r="H2079" s="18">
        <f>IFERROR(VLOOKUP($D2079,본공사입.출고현황!$B:$H,H$2080,0),0)</f>
        <v>0</v>
      </c>
      <c r="I2079" s="56">
        <f>IFERROR(VLOOKUP($D2079,본공사입.출고현황!$B:$H,I$2080,0),0)</f>
        <v>0</v>
      </c>
      <c r="J2079" s="9"/>
      <c r="K2079" s="9"/>
      <c r="L2079" s="37"/>
      <c r="M2079" s="64"/>
      <c r="N2079" s="4"/>
    </row>
    <row r="2080" spans="1:14">
      <c r="E2080" s="14">
        <v>3</v>
      </c>
      <c r="F2080" s="14">
        <v>4</v>
      </c>
      <c r="G2080" s="14">
        <v>5</v>
      </c>
      <c r="H2080" s="15">
        <v>6</v>
      </c>
      <c r="I2080" s="7">
        <v>7</v>
      </c>
    </row>
  </sheetData>
  <autoFilter ref="A4:P2080" xr:uid="{2C533636-601C-46D3-8429-AA2A342EEC5D}"/>
  <mergeCells count="13">
    <mergeCell ref="G3:G4"/>
    <mergeCell ref="B3:B4"/>
    <mergeCell ref="C3:C4"/>
    <mergeCell ref="D3:D4"/>
    <mergeCell ref="E3:E4"/>
    <mergeCell ref="F3:F4"/>
    <mergeCell ref="H3:H4"/>
    <mergeCell ref="I3:I4"/>
    <mergeCell ref="L3:L4"/>
    <mergeCell ref="N3:N4"/>
    <mergeCell ref="J3:J4"/>
    <mergeCell ref="K3:K4"/>
    <mergeCell ref="M3:M4"/>
  </mergeCells>
  <phoneticPr fontId="2" type="noConversion"/>
  <pageMargins left="0.39370078740157483" right="0.39370078740157483" top="0.45" bottom="0.54" header="0.31496062992125984" footer="0.31496062992125984"/>
  <pageSetup paperSize="9" scale="72" fitToHeight="0" orientation="landscape" r:id="rId1"/>
  <headerFooter>
    <oddFooter>&amp;C&amp;10&amp;P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95DE-ADCC-4441-9B46-19D212ABA879}">
  <sheetPr filterMode="1">
    <tabColor rgb="FFFF0000"/>
    <pageSetUpPr fitToPage="1"/>
  </sheetPr>
  <dimension ref="A1:AC87"/>
  <sheetViews>
    <sheetView zoomScale="70" zoomScaleNormal="70" workbookViewId="0">
      <pane xSplit="7" ySplit="4" topLeftCell="H38" activePane="bottomRight" state="frozen"/>
      <selection pane="topRight" activeCell="G1" sqref="G1"/>
      <selection pane="bottomLeft" activeCell="A5" sqref="A5"/>
      <selection pane="bottomRight" activeCell="O75" sqref="O75"/>
    </sheetView>
  </sheetViews>
  <sheetFormatPr defaultColWidth="9" defaultRowHeight="14.4"/>
  <cols>
    <col min="1" max="3" width="9" style="344"/>
    <col min="4" max="4" width="49.6640625" style="347" customWidth="1"/>
    <col min="5" max="5" width="25.109375" style="346" customWidth="1"/>
    <col min="6" max="6" width="25.6640625" style="346" customWidth="1"/>
    <col min="7" max="7" width="7" style="347" customWidth="1"/>
    <col min="8" max="8" width="13.6640625" style="346" customWidth="1"/>
    <col min="9" max="9" width="13.6640625" style="347" customWidth="1"/>
    <col min="10" max="14" width="13.6640625" style="344" customWidth="1"/>
    <col min="15" max="15" width="13.6640625" style="355" customWidth="1"/>
    <col min="16" max="18" width="13.6640625" style="356" customWidth="1"/>
    <col min="19" max="19" width="31.6640625" style="346" customWidth="1"/>
    <col min="20" max="20" width="8" style="346" customWidth="1"/>
    <col min="21" max="22" width="8.44140625" style="344" customWidth="1"/>
    <col min="23" max="23" width="18.44140625" style="344" customWidth="1"/>
    <col min="24" max="25" width="19.44140625" style="344" customWidth="1"/>
    <col min="26" max="26" width="8.6640625" style="344" customWidth="1"/>
    <col min="27" max="16384" width="9" style="344"/>
  </cols>
  <sheetData>
    <row r="1" spans="1:29" ht="64.95" customHeight="1">
      <c r="D1" s="345" t="s">
        <v>994</v>
      </c>
      <c r="S1" s="348">
        <f ca="1">TODAY()</f>
        <v>46174</v>
      </c>
    </row>
    <row r="2" spans="1:29" ht="64.2" customHeight="1">
      <c r="C2" s="26" t="s">
        <v>39</v>
      </c>
      <c r="D2" s="27"/>
      <c r="E2" s="26"/>
      <c r="F2" s="27"/>
      <c r="G2" s="43"/>
      <c r="H2" s="25"/>
      <c r="I2" s="33"/>
      <c r="J2" s="357"/>
      <c r="K2" s="357"/>
      <c r="L2" s="357"/>
      <c r="M2" s="357"/>
      <c r="N2" s="357"/>
      <c r="O2" s="357"/>
      <c r="P2" s="357"/>
      <c r="Q2" s="357"/>
      <c r="R2" s="358"/>
      <c r="S2" s="232">
        <f ca="1">TODAY()</f>
        <v>46174</v>
      </c>
      <c r="U2" s="349" t="s">
        <v>699</v>
      </c>
      <c r="V2" s="349" t="s">
        <v>313</v>
      </c>
      <c r="W2" s="333" t="s">
        <v>53</v>
      </c>
      <c r="X2" s="333" t="s">
        <v>698</v>
      </c>
      <c r="Y2" s="333" t="s">
        <v>8</v>
      </c>
      <c r="Z2" s="45" t="s">
        <v>47</v>
      </c>
      <c r="AC2" s="344" t="s">
        <v>980</v>
      </c>
    </row>
    <row r="3" spans="1:29" ht="25.95" customHeight="1">
      <c r="C3" s="437" t="s">
        <v>35</v>
      </c>
      <c r="D3" s="430" t="s">
        <v>313</v>
      </c>
      <c r="E3" s="430" t="s">
        <v>45</v>
      </c>
      <c r="F3" s="430" t="s">
        <v>46</v>
      </c>
      <c r="G3" s="430" t="s">
        <v>47</v>
      </c>
      <c r="H3" s="439" t="s">
        <v>429</v>
      </c>
      <c r="I3" s="440"/>
      <c r="J3" s="440"/>
      <c r="K3" s="440"/>
      <c r="L3" s="440"/>
      <c r="M3" s="441"/>
      <c r="N3" s="442" t="s">
        <v>430</v>
      </c>
      <c r="O3" s="443"/>
      <c r="P3" s="443"/>
      <c r="Q3" s="443"/>
      <c r="R3" s="444"/>
      <c r="S3" s="430" t="s">
        <v>10</v>
      </c>
      <c r="U3" s="350"/>
      <c r="V3" s="350"/>
      <c r="W3" s="343"/>
      <c r="X3" s="343"/>
      <c r="Y3" s="343"/>
      <c r="Z3" s="343"/>
    </row>
    <row r="4" spans="1:29" s="305" customFormat="1" ht="45" customHeight="1">
      <c r="C4" s="438"/>
      <c r="D4" s="432"/>
      <c r="E4" s="432"/>
      <c r="F4" s="432"/>
      <c r="G4" s="432"/>
      <c r="H4" s="112" t="s">
        <v>381</v>
      </c>
      <c r="I4" s="112" t="s">
        <v>382</v>
      </c>
      <c r="J4" s="112" t="s">
        <v>383</v>
      </c>
      <c r="K4" s="112" t="s">
        <v>394</v>
      </c>
      <c r="L4" s="112" t="s">
        <v>395</v>
      </c>
      <c r="M4" s="196" t="s">
        <v>441</v>
      </c>
      <c r="N4" s="152" t="s">
        <v>382</v>
      </c>
      <c r="O4" s="45" t="s">
        <v>384</v>
      </c>
      <c r="P4" s="45" t="s">
        <v>619</v>
      </c>
      <c r="Q4" s="45" t="s">
        <v>385</v>
      </c>
      <c r="R4" s="45" t="s">
        <v>442</v>
      </c>
      <c r="S4" s="432"/>
      <c r="T4" s="351"/>
    </row>
    <row r="5" spans="1:29" ht="27.6" hidden="1" customHeight="1">
      <c r="A5" s="344" t="s">
        <v>1018</v>
      </c>
      <c r="B5" s="59">
        <v>1</v>
      </c>
      <c r="C5" s="397" t="s">
        <v>701</v>
      </c>
      <c r="D5" s="388" t="s">
        <v>702</v>
      </c>
      <c r="E5" s="376" t="s">
        <v>703</v>
      </c>
      <c r="F5" s="376" t="s">
        <v>704</v>
      </c>
      <c r="G5" s="377" t="s">
        <v>705</v>
      </c>
      <c r="H5" s="378">
        <v>8</v>
      </c>
      <c r="I5" s="379">
        <v>8</v>
      </c>
      <c r="J5" s="359">
        <f>H5-I5</f>
        <v>0</v>
      </c>
      <c r="K5" s="359">
        <v>0</v>
      </c>
      <c r="L5" s="359">
        <f>SUMIFS('Cable Tray-income  '!L:L,'Cable Tray-income  '!F:F,케이블트레이입.출고현황!U5)</f>
        <v>0</v>
      </c>
      <c r="M5" s="360">
        <f t="shared" ref="M5" si="0">I5-K5-L5</f>
        <v>8</v>
      </c>
      <c r="N5" s="361"/>
      <c r="O5" s="380">
        <f>SUMIFS('Cable Tray-Log-out'!L:L,'Cable Tray-Log-out'!D:D,U5)</f>
        <v>0</v>
      </c>
      <c r="P5" s="359"/>
      <c r="Q5" s="359"/>
      <c r="R5" s="359"/>
      <c r="S5" s="389"/>
      <c r="T5" s="381"/>
      <c r="U5" s="141" t="s">
        <v>706</v>
      </c>
      <c r="V5" s="141" t="s">
        <v>701</v>
      </c>
      <c r="W5" s="141" t="str">
        <f t="shared" ref="W5:Z36" si="1">D5</f>
        <v>Straight tray LP-50</v>
      </c>
      <c r="X5" s="141" t="str">
        <f t="shared" si="1"/>
        <v>3-LP-50/200/3-M-TA4</v>
      </c>
      <c r="Y5" s="141" t="str">
        <f t="shared" si="1"/>
        <v>3000x200x50; T=1.5</v>
      </c>
      <c r="Z5" s="10" t="str">
        <f t="shared" si="1"/>
        <v>pcs</v>
      </c>
      <c r="AA5" s="59"/>
      <c r="AB5" s="59"/>
      <c r="AC5" s="59" t="s">
        <v>700</v>
      </c>
    </row>
    <row r="6" spans="1:29" ht="27.6" hidden="1" customHeight="1">
      <c r="A6" s="344" t="s">
        <v>709</v>
      </c>
      <c r="B6" s="59">
        <v>2</v>
      </c>
      <c r="C6" s="397" t="s">
        <v>701</v>
      </c>
      <c r="D6" s="388" t="s">
        <v>702</v>
      </c>
      <c r="E6" s="376" t="s">
        <v>707</v>
      </c>
      <c r="F6" s="376" t="s">
        <v>708</v>
      </c>
      <c r="G6" s="377" t="s">
        <v>700</v>
      </c>
      <c r="H6" s="378">
        <v>24</v>
      </c>
      <c r="I6" s="379">
        <v>24</v>
      </c>
      <c r="J6" s="359">
        <f t="shared" ref="J6:J69" si="2">H6-I6</f>
        <v>0</v>
      </c>
      <c r="K6" s="359">
        <v>0</v>
      </c>
      <c r="L6" s="359">
        <f>SUMIFS('Cable Tray-income  '!L:L,'Cable Tray-income  '!F:F,케이블트레이입.출고현황!U6)</f>
        <v>0</v>
      </c>
      <c r="M6" s="360">
        <f t="shared" ref="M6:M69" si="3">I6-K6-L6</f>
        <v>24</v>
      </c>
      <c r="N6" s="382">
        <f>L6</f>
        <v>0</v>
      </c>
      <c r="O6" s="380">
        <f>SUMIFS('Cable Tray-Log-out'!L:L,'Cable Tray-Log-out'!D:D,U6)</f>
        <v>0</v>
      </c>
      <c r="P6" s="382"/>
      <c r="Q6" s="383"/>
      <c r="R6" s="382">
        <f>N6-O6-P6-Q6</f>
        <v>0</v>
      </c>
      <c r="S6" s="389"/>
      <c r="T6" s="381"/>
      <c r="U6" s="141" t="s">
        <v>709</v>
      </c>
      <c r="V6" s="141" t="s">
        <v>701</v>
      </c>
      <c r="W6" s="141" t="str">
        <f t="shared" si="1"/>
        <v>Straight tray LP-50</v>
      </c>
      <c r="X6" s="141" t="str">
        <f t="shared" si="1"/>
        <v>3-LP-50/300/3-M-TA4</v>
      </c>
      <c r="Y6" s="141" t="str">
        <f t="shared" si="1"/>
        <v>3000x300x50; T=1.5</v>
      </c>
      <c r="Z6" s="10" t="str">
        <f t="shared" si="1"/>
        <v>pcs</v>
      </c>
      <c r="AA6" s="59"/>
      <c r="AB6" s="59"/>
      <c r="AC6" s="59" t="s">
        <v>700</v>
      </c>
    </row>
    <row r="7" spans="1:29" ht="27.6" hidden="1" customHeight="1">
      <c r="A7" s="344" t="s">
        <v>1019</v>
      </c>
      <c r="B7" s="59">
        <v>3</v>
      </c>
      <c r="C7" s="397" t="s">
        <v>701</v>
      </c>
      <c r="D7" s="388" t="s">
        <v>702</v>
      </c>
      <c r="E7" s="376" t="s">
        <v>710</v>
      </c>
      <c r="F7" s="376" t="s">
        <v>711</v>
      </c>
      <c r="G7" s="377" t="s">
        <v>700</v>
      </c>
      <c r="H7" s="378">
        <v>81</v>
      </c>
      <c r="I7" s="379">
        <v>81</v>
      </c>
      <c r="J7" s="359">
        <f t="shared" si="2"/>
        <v>0</v>
      </c>
      <c r="K7" s="359">
        <v>0</v>
      </c>
      <c r="L7" s="359">
        <f>SUMIFS('Cable Tray-income  '!L:L,'Cable Tray-income  '!F:F,케이블트레이입.출고현황!U7)</f>
        <v>0</v>
      </c>
      <c r="M7" s="360">
        <f t="shared" si="3"/>
        <v>81</v>
      </c>
      <c r="N7" s="382">
        <f t="shared" ref="N7:N70" si="4">L7</f>
        <v>0</v>
      </c>
      <c r="O7" s="380">
        <f>SUMIFS('Cable Tray-Log-out'!L:L,'Cable Tray-Log-out'!D:D,U7)</f>
        <v>0</v>
      </c>
      <c r="P7" s="382"/>
      <c r="Q7" s="383"/>
      <c r="R7" s="382">
        <f t="shared" ref="R7:R70" si="5">N7-O7-P7-Q7</f>
        <v>0</v>
      </c>
      <c r="S7" s="389"/>
      <c r="T7" s="381"/>
      <c r="U7" s="342" t="s">
        <v>712</v>
      </c>
      <c r="V7" s="342" t="s">
        <v>701</v>
      </c>
      <c r="W7" s="141" t="str">
        <f t="shared" si="1"/>
        <v>Straight tray LP-50</v>
      </c>
      <c r="X7" s="141" t="str">
        <f t="shared" si="1"/>
        <v>3-LP-50/400/3-M-TA4</v>
      </c>
      <c r="Y7" s="141" t="str">
        <f t="shared" si="1"/>
        <v>692x396x48.5; T=1.5</v>
      </c>
      <c r="Z7" s="10" t="str">
        <f t="shared" si="1"/>
        <v>pcs</v>
      </c>
      <c r="AA7" s="59"/>
      <c r="AB7" s="59"/>
      <c r="AC7" s="59" t="s">
        <v>700</v>
      </c>
    </row>
    <row r="8" spans="1:29" ht="27.6" hidden="1" customHeight="1">
      <c r="A8" s="344" t="s">
        <v>715</v>
      </c>
      <c r="B8" s="59">
        <v>4</v>
      </c>
      <c r="C8" s="397" t="s">
        <v>701</v>
      </c>
      <c r="D8" s="388" t="s">
        <v>702</v>
      </c>
      <c r="E8" s="376" t="s">
        <v>713</v>
      </c>
      <c r="F8" s="376" t="s">
        <v>714</v>
      </c>
      <c r="G8" s="377" t="s">
        <v>700</v>
      </c>
      <c r="H8" s="378">
        <v>1180</v>
      </c>
      <c r="I8" s="379">
        <v>1180</v>
      </c>
      <c r="J8" s="359">
        <f t="shared" si="2"/>
        <v>0</v>
      </c>
      <c r="K8" s="359">
        <v>0</v>
      </c>
      <c r="L8" s="359">
        <f>SUMIFS('Cable Tray-income  '!L:L,'Cable Tray-income  '!F:F,케이블트레이입.출고현황!U8)</f>
        <v>0</v>
      </c>
      <c r="M8" s="360">
        <f t="shared" si="3"/>
        <v>1180</v>
      </c>
      <c r="N8" s="382">
        <f t="shared" si="4"/>
        <v>0</v>
      </c>
      <c r="O8" s="380">
        <f>SUMIFS('Cable Tray-Log-out'!L:L,'Cable Tray-Log-out'!D:D,U8)</f>
        <v>0</v>
      </c>
      <c r="P8" s="382"/>
      <c r="Q8" s="383"/>
      <c r="R8" s="382">
        <f t="shared" si="5"/>
        <v>0</v>
      </c>
      <c r="S8" s="389"/>
      <c r="T8" s="381"/>
      <c r="U8" s="141" t="s">
        <v>715</v>
      </c>
      <c r="V8" s="141" t="s">
        <v>701</v>
      </c>
      <c r="W8" s="141" t="str">
        <f t="shared" si="1"/>
        <v>Straight tray LP-50</v>
      </c>
      <c r="X8" s="141" t="str">
        <f t="shared" si="1"/>
        <v>3-LP-50/500/3-M-TA4</v>
      </c>
      <c r="Y8" s="141" t="str">
        <f t="shared" si="1"/>
        <v>3000x500x50; T=1.5</v>
      </c>
      <c r="Z8" s="10" t="str">
        <f t="shared" si="1"/>
        <v>pcs</v>
      </c>
      <c r="AA8" s="59"/>
      <c r="AB8" s="59"/>
      <c r="AC8" s="59" t="s">
        <v>700</v>
      </c>
    </row>
    <row r="9" spans="1:29" ht="27.6" hidden="1" customHeight="1">
      <c r="A9" s="344" t="s">
        <v>718</v>
      </c>
      <c r="B9" s="59">
        <v>5</v>
      </c>
      <c r="C9" s="397" t="s">
        <v>701</v>
      </c>
      <c r="D9" s="388" t="s">
        <v>702</v>
      </c>
      <c r="E9" s="384" t="s">
        <v>716</v>
      </c>
      <c r="F9" s="376" t="s">
        <v>717</v>
      </c>
      <c r="G9" s="377" t="s">
        <v>700</v>
      </c>
      <c r="H9" s="378">
        <v>556</v>
      </c>
      <c r="I9" s="379">
        <v>556</v>
      </c>
      <c r="J9" s="359">
        <f t="shared" si="2"/>
        <v>0</v>
      </c>
      <c r="K9" s="359">
        <v>0</v>
      </c>
      <c r="L9" s="359">
        <f>SUMIFS('Cable Tray-income  '!L:L,'Cable Tray-income  '!F:F,케이블트레이입.출고현황!U9)</f>
        <v>0</v>
      </c>
      <c r="M9" s="360">
        <f t="shared" si="3"/>
        <v>556</v>
      </c>
      <c r="N9" s="382">
        <f t="shared" si="4"/>
        <v>0</v>
      </c>
      <c r="O9" s="380">
        <f>SUMIFS('Cable Tray-Log-out'!L:L,'Cable Tray-Log-out'!D:D,U9)</f>
        <v>0</v>
      </c>
      <c r="P9" s="382"/>
      <c r="Q9" s="383"/>
      <c r="R9" s="382">
        <f t="shared" si="5"/>
        <v>0</v>
      </c>
      <c r="S9" s="389"/>
      <c r="T9" s="381"/>
      <c r="U9" s="141" t="s">
        <v>718</v>
      </c>
      <c r="V9" s="141" t="s">
        <v>701</v>
      </c>
      <c r="W9" s="141" t="str">
        <f t="shared" si="1"/>
        <v>Straight tray LP-50</v>
      </c>
      <c r="X9" s="141" t="str">
        <f t="shared" si="1"/>
        <v>3-LP-50/600/3-M-TA4</v>
      </c>
      <c r="Y9" s="141" t="str">
        <f t="shared" si="1"/>
        <v>3000x600x50; T=1.5</v>
      </c>
      <c r="Z9" s="10" t="str">
        <f t="shared" si="1"/>
        <v>pcs</v>
      </c>
      <c r="AA9" s="59"/>
      <c r="AB9" s="59"/>
      <c r="AC9" s="59" t="s">
        <v>700</v>
      </c>
    </row>
    <row r="10" spans="1:29" ht="27.6" hidden="1" customHeight="1">
      <c r="A10" s="344" t="s">
        <v>722</v>
      </c>
      <c r="B10" s="59">
        <v>6</v>
      </c>
      <c r="C10" s="397" t="s">
        <v>701</v>
      </c>
      <c r="D10" s="388" t="s">
        <v>719</v>
      </c>
      <c r="E10" s="384" t="s">
        <v>720</v>
      </c>
      <c r="F10" s="376" t="s">
        <v>721</v>
      </c>
      <c r="G10" s="377" t="s">
        <v>700</v>
      </c>
      <c r="H10" s="378">
        <v>10</v>
      </c>
      <c r="I10" s="379">
        <v>10</v>
      </c>
      <c r="J10" s="359">
        <f t="shared" si="2"/>
        <v>0</v>
      </c>
      <c r="K10" s="359">
        <v>0</v>
      </c>
      <c r="L10" s="359">
        <f>SUMIFS('Cable Tray-income  '!L:L,'Cable Tray-income  '!F:F,케이블트레이입.출고현황!U10)</f>
        <v>0</v>
      </c>
      <c r="M10" s="360">
        <f t="shared" si="3"/>
        <v>10</v>
      </c>
      <c r="N10" s="382">
        <f t="shared" si="4"/>
        <v>0</v>
      </c>
      <c r="O10" s="380">
        <f>SUMIFS('Cable Tray-Log-out'!L:L,'Cable Tray-Log-out'!D:D,U10)</f>
        <v>0</v>
      </c>
      <c r="P10" s="382"/>
      <c r="Q10" s="383"/>
      <c r="R10" s="382">
        <f t="shared" si="5"/>
        <v>0</v>
      </c>
      <c r="S10" s="389"/>
      <c r="T10" s="381"/>
      <c r="U10" s="141" t="s">
        <v>722</v>
      </c>
      <c r="V10" s="141" t="s">
        <v>701</v>
      </c>
      <c r="W10" s="141" t="str">
        <f t="shared" si="1"/>
        <v>Straight tray LP-100</v>
      </c>
      <c r="X10" s="141" t="str">
        <f t="shared" si="1"/>
        <v>3-LP-100/200/3-M-TA4</v>
      </c>
      <c r="Y10" s="141" t="str">
        <f t="shared" si="1"/>
        <v>3000x200x100; T=1.5</v>
      </c>
      <c r="Z10" s="10" t="str">
        <f t="shared" si="1"/>
        <v>pcs</v>
      </c>
      <c r="AA10" s="59"/>
      <c r="AB10" s="59"/>
      <c r="AC10" s="59" t="s">
        <v>700</v>
      </c>
    </row>
    <row r="11" spans="1:29" ht="27.6" hidden="1" customHeight="1">
      <c r="A11" s="344" t="s">
        <v>725</v>
      </c>
      <c r="B11" s="59">
        <v>7</v>
      </c>
      <c r="C11" s="397" t="s">
        <v>701</v>
      </c>
      <c r="D11" s="388" t="s">
        <v>719</v>
      </c>
      <c r="E11" s="384" t="s">
        <v>723</v>
      </c>
      <c r="F11" s="376" t="s">
        <v>724</v>
      </c>
      <c r="G11" s="377" t="s">
        <v>700</v>
      </c>
      <c r="H11" s="378">
        <v>22</v>
      </c>
      <c r="I11" s="379">
        <v>22</v>
      </c>
      <c r="J11" s="359">
        <f t="shared" si="2"/>
        <v>0</v>
      </c>
      <c r="K11" s="359">
        <v>0</v>
      </c>
      <c r="L11" s="359">
        <f>SUMIFS('Cable Tray-income  '!L:L,'Cable Tray-income  '!F:F,케이블트레이입.출고현황!U11)</f>
        <v>0</v>
      </c>
      <c r="M11" s="360">
        <f t="shared" si="3"/>
        <v>22</v>
      </c>
      <c r="N11" s="382">
        <f t="shared" si="4"/>
        <v>0</v>
      </c>
      <c r="O11" s="380">
        <f>SUMIFS('Cable Tray-Log-out'!L:L,'Cable Tray-Log-out'!D:D,U11)</f>
        <v>0</v>
      </c>
      <c r="P11" s="382"/>
      <c r="Q11" s="383"/>
      <c r="R11" s="382">
        <f t="shared" si="5"/>
        <v>0</v>
      </c>
      <c r="S11" s="389"/>
      <c r="T11" s="381"/>
      <c r="U11" s="141" t="s">
        <v>725</v>
      </c>
      <c r="V11" s="141" t="s">
        <v>701</v>
      </c>
      <c r="W11" s="141" t="str">
        <f t="shared" si="1"/>
        <v>Straight tray LP-100</v>
      </c>
      <c r="X11" s="141" t="str">
        <f t="shared" si="1"/>
        <v>3-LP-100/300/3-M-TA4</v>
      </c>
      <c r="Y11" s="141" t="str">
        <f t="shared" si="1"/>
        <v>3000x300x100; T=1.5</v>
      </c>
      <c r="Z11" s="10" t="str">
        <f t="shared" si="1"/>
        <v>pcs</v>
      </c>
      <c r="AA11" s="59"/>
      <c r="AB11" s="59"/>
      <c r="AC11" s="59" t="s">
        <v>700</v>
      </c>
    </row>
    <row r="12" spans="1:29" ht="27.6" hidden="1" customHeight="1">
      <c r="A12" s="344" t="s">
        <v>728</v>
      </c>
      <c r="B12" s="59">
        <v>8</v>
      </c>
      <c r="C12" s="397" t="s">
        <v>701</v>
      </c>
      <c r="D12" s="388" t="s">
        <v>719</v>
      </c>
      <c r="E12" s="376" t="s">
        <v>726</v>
      </c>
      <c r="F12" s="376" t="s">
        <v>727</v>
      </c>
      <c r="G12" s="377" t="s">
        <v>700</v>
      </c>
      <c r="H12" s="378">
        <v>250</v>
      </c>
      <c r="I12" s="379">
        <v>250</v>
      </c>
      <c r="J12" s="359">
        <f t="shared" si="2"/>
        <v>0</v>
      </c>
      <c r="K12" s="359">
        <v>0</v>
      </c>
      <c r="L12" s="359">
        <f>SUMIFS('Cable Tray-income  '!L:L,'Cable Tray-income  '!F:F,케이블트레이입.출고현황!U12)</f>
        <v>0</v>
      </c>
      <c r="M12" s="360">
        <f t="shared" si="3"/>
        <v>250</v>
      </c>
      <c r="N12" s="382">
        <f t="shared" si="4"/>
        <v>0</v>
      </c>
      <c r="O12" s="380">
        <f>SUMIFS('Cable Tray-Log-out'!L:L,'Cable Tray-Log-out'!D:D,U12)</f>
        <v>0</v>
      </c>
      <c r="P12" s="382"/>
      <c r="Q12" s="383"/>
      <c r="R12" s="382">
        <f t="shared" si="5"/>
        <v>0</v>
      </c>
      <c r="S12" s="389"/>
      <c r="T12" s="381"/>
      <c r="U12" s="141" t="s">
        <v>728</v>
      </c>
      <c r="V12" s="141" t="s">
        <v>701</v>
      </c>
      <c r="W12" s="141" t="str">
        <f t="shared" si="1"/>
        <v>Straight tray LP-100</v>
      </c>
      <c r="X12" s="141" t="str">
        <f t="shared" si="1"/>
        <v>3-LP-100/500/3-M-TA4</v>
      </c>
      <c r="Y12" s="141" t="str">
        <f t="shared" si="1"/>
        <v>3000x500x100; T=1.5</v>
      </c>
      <c r="Z12" s="10" t="str">
        <f t="shared" si="1"/>
        <v>pcs</v>
      </c>
      <c r="AA12" s="59"/>
      <c r="AB12" s="59"/>
      <c r="AC12" s="59" t="s">
        <v>700</v>
      </c>
    </row>
    <row r="13" spans="1:29" ht="27.6" hidden="1" customHeight="1">
      <c r="A13" s="344" t="s">
        <v>1020</v>
      </c>
      <c r="B13" s="59">
        <v>9</v>
      </c>
      <c r="C13" s="397" t="s">
        <v>701</v>
      </c>
      <c r="D13" s="388" t="s">
        <v>729</v>
      </c>
      <c r="E13" s="376" t="s">
        <v>730</v>
      </c>
      <c r="F13" s="376" t="s">
        <v>711</v>
      </c>
      <c r="G13" s="377" t="s">
        <v>700</v>
      </c>
      <c r="H13" s="378">
        <v>11</v>
      </c>
      <c r="I13" s="379">
        <v>11</v>
      </c>
      <c r="J13" s="359">
        <f t="shared" si="2"/>
        <v>0</v>
      </c>
      <c r="K13" s="359">
        <v>0</v>
      </c>
      <c r="L13" s="359">
        <f>SUMIFS('Cable Tray-income  '!L:L,'Cable Tray-income  '!F:F,케이블트레이입.출고현황!U13)</f>
        <v>0</v>
      </c>
      <c r="M13" s="360">
        <f t="shared" si="3"/>
        <v>11</v>
      </c>
      <c r="N13" s="382">
        <f t="shared" si="4"/>
        <v>0</v>
      </c>
      <c r="O13" s="380">
        <f>SUMIFS('Cable Tray-Log-out'!L:L,'Cable Tray-Log-out'!D:D,U13)</f>
        <v>0</v>
      </c>
      <c r="P13" s="382"/>
      <c r="Q13" s="383"/>
      <c r="R13" s="382">
        <f t="shared" si="5"/>
        <v>0</v>
      </c>
      <c r="S13" s="389"/>
      <c r="T13" s="381"/>
      <c r="U13" s="342" t="s">
        <v>731</v>
      </c>
      <c r="V13" s="342" t="s">
        <v>701</v>
      </c>
      <c r="W13" s="141" t="str">
        <f t="shared" si="1"/>
        <v>Horizontal section SG-50/400-90 for turning the cable route from straight trays</v>
      </c>
      <c r="X13" s="141" t="str">
        <f t="shared" si="1"/>
        <v>3-SG-50/400-90-M-TA4</v>
      </c>
      <c r="Y13" s="141" t="str">
        <f t="shared" si="1"/>
        <v>692x396x48.5; T=1.5</v>
      </c>
      <c r="Z13" s="10" t="str">
        <f t="shared" si="1"/>
        <v>pcs</v>
      </c>
      <c r="AA13" s="59"/>
      <c r="AB13" s="59"/>
      <c r="AC13" s="59" t="s">
        <v>700</v>
      </c>
    </row>
    <row r="14" spans="1:29" ht="27.6" hidden="1" customHeight="1">
      <c r="A14" s="344" t="s">
        <v>735</v>
      </c>
      <c r="B14" s="59">
        <v>10</v>
      </c>
      <c r="C14" s="397" t="s">
        <v>701</v>
      </c>
      <c r="D14" s="388" t="s">
        <v>732</v>
      </c>
      <c r="E14" s="376" t="s">
        <v>733</v>
      </c>
      <c r="F14" s="376" t="s">
        <v>734</v>
      </c>
      <c r="G14" s="377" t="s">
        <v>700</v>
      </c>
      <c r="H14" s="378">
        <v>22</v>
      </c>
      <c r="I14" s="379">
        <v>22</v>
      </c>
      <c r="J14" s="359">
        <f t="shared" si="2"/>
        <v>0</v>
      </c>
      <c r="K14" s="359">
        <v>0</v>
      </c>
      <c r="L14" s="359">
        <f>SUMIFS('Cable Tray-income  '!L:L,'Cable Tray-income  '!F:F,케이블트레이입.출고현황!U14)</f>
        <v>0</v>
      </c>
      <c r="M14" s="360">
        <f t="shared" si="3"/>
        <v>22</v>
      </c>
      <c r="N14" s="382">
        <f t="shared" si="4"/>
        <v>0</v>
      </c>
      <c r="O14" s="380">
        <f>SUMIFS('Cable Tray-Log-out'!L:L,'Cable Tray-Log-out'!D:D,U14)</f>
        <v>0</v>
      </c>
      <c r="P14" s="382"/>
      <c r="Q14" s="383"/>
      <c r="R14" s="382">
        <f t="shared" si="5"/>
        <v>0</v>
      </c>
      <c r="S14" s="389"/>
      <c r="T14" s="381"/>
      <c r="U14" s="141" t="s">
        <v>735</v>
      </c>
      <c r="V14" s="141" t="s">
        <v>701</v>
      </c>
      <c r="W14" s="141" t="str">
        <f t="shared" si="1"/>
        <v>Horizontal section SG-50/500-90 for turning the cable route from straight trays LP-50 and LP-100 at 90°</v>
      </c>
      <c r="X14" s="141" t="str">
        <f t="shared" si="1"/>
        <v>3-SG-50/500-90-M-TA4</v>
      </c>
      <c r="Y14" s="141" t="str">
        <f t="shared" si="1"/>
        <v>792x496x48.5; T=1.5</v>
      </c>
      <c r="Z14" s="10" t="str">
        <f t="shared" si="1"/>
        <v>pcs</v>
      </c>
      <c r="AA14" s="59"/>
      <c r="AB14" s="59"/>
      <c r="AC14" s="59" t="s">
        <v>700</v>
      </c>
    </row>
    <row r="15" spans="1:29" ht="27.6" hidden="1" customHeight="1">
      <c r="A15" s="344" t="s">
        <v>739</v>
      </c>
      <c r="B15" s="59">
        <v>11</v>
      </c>
      <c r="C15" s="397" t="s">
        <v>701</v>
      </c>
      <c r="D15" s="388" t="s">
        <v>736</v>
      </c>
      <c r="E15" s="376" t="s">
        <v>737</v>
      </c>
      <c r="F15" s="376" t="s">
        <v>738</v>
      </c>
      <c r="G15" s="377" t="s">
        <v>700</v>
      </c>
      <c r="H15" s="378">
        <v>6</v>
      </c>
      <c r="I15" s="379">
        <v>6</v>
      </c>
      <c r="J15" s="359">
        <f t="shared" si="2"/>
        <v>0</v>
      </c>
      <c r="K15" s="359">
        <v>0</v>
      </c>
      <c r="L15" s="359">
        <f>SUMIFS('Cable Tray-income  '!L:L,'Cable Tray-income  '!F:F,케이블트레이입.출고현황!U15)</f>
        <v>0</v>
      </c>
      <c r="M15" s="360">
        <f t="shared" si="3"/>
        <v>6</v>
      </c>
      <c r="N15" s="382">
        <f t="shared" si="4"/>
        <v>0</v>
      </c>
      <c r="O15" s="380">
        <f>SUMIFS('Cable Tray-Log-out'!L:L,'Cable Tray-Log-out'!D:D,U15)</f>
        <v>0</v>
      </c>
      <c r="P15" s="382"/>
      <c r="Q15" s="383"/>
      <c r="R15" s="382">
        <f t="shared" si="5"/>
        <v>0</v>
      </c>
      <c r="S15" s="389"/>
      <c r="T15" s="381"/>
      <c r="U15" s="141" t="s">
        <v>739</v>
      </c>
      <c r="V15" s="141" t="s">
        <v>701</v>
      </c>
      <c r="W15" s="141" t="str">
        <f t="shared" si="1"/>
        <v>Horizontal section SG-100/500-90 for turning the cable route from straight trays LP-50 and LP-100 at 90°</v>
      </c>
      <c r="X15" s="141" t="str">
        <f t="shared" si="1"/>
        <v>3-SG-100/500-90-M-TA4</v>
      </c>
      <c r="Y15" s="141" t="str">
        <f t="shared" si="1"/>
        <v>792x496x98.5; T=1.5</v>
      </c>
      <c r="Z15" s="10" t="str">
        <f t="shared" si="1"/>
        <v>pcs</v>
      </c>
      <c r="AA15" s="59"/>
      <c r="AB15" s="59"/>
      <c r="AC15" s="59" t="s">
        <v>700</v>
      </c>
    </row>
    <row r="16" spans="1:29" ht="27.6" hidden="1" customHeight="1">
      <c r="A16" s="344" t="s">
        <v>1021</v>
      </c>
      <c r="B16" s="59">
        <v>12</v>
      </c>
      <c r="C16" s="397" t="s">
        <v>701</v>
      </c>
      <c r="D16" s="388" t="s">
        <v>740</v>
      </c>
      <c r="E16" s="376" t="s">
        <v>741</v>
      </c>
      <c r="F16" s="376" t="s">
        <v>742</v>
      </c>
      <c r="G16" s="377" t="s">
        <v>700</v>
      </c>
      <c r="H16" s="378">
        <v>40</v>
      </c>
      <c r="I16" s="379">
        <v>40</v>
      </c>
      <c r="J16" s="359">
        <f t="shared" si="2"/>
        <v>0</v>
      </c>
      <c r="K16" s="359">
        <v>0</v>
      </c>
      <c r="L16" s="359">
        <f>SUMIFS('Cable Tray-income  '!L:L,'Cable Tray-income  '!F:F,케이블트레이입.출고현황!U16)</f>
        <v>0</v>
      </c>
      <c r="M16" s="360">
        <f t="shared" si="3"/>
        <v>40</v>
      </c>
      <c r="N16" s="382">
        <f t="shared" si="4"/>
        <v>0</v>
      </c>
      <c r="O16" s="380">
        <f>SUMIFS('Cable Tray-Log-out'!L:L,'Cable Tray-Log-out'!D:D,U16)</f>
        <v>0</v>
      </c>
      <c r="P16" s="382"/>
      <c r="Q16" s="383"/>
      <c r="R16" s="382">
        <f t="shared" si="5"/>
        <v>0</v>
      </c>
      <c r="S16" s="389"/>
      <c r="T16" s="381"/>
      <c r="U16" s="342" t="s">
        <v>743</v>
      </c>
      <c r="V16" s="342" t="s">
        <v>701</v>
      </c>
      <c r="W16" s="141" t="str">
        <f t="shared" si="1"/>
        <v xml:space="preserve">Horizontal section SG-50/600-90 for turning the cable route from straight trays </v>
      </c>
      <c r="X16" s="141" t="str">
        <f t="shared" si="1"/>
        <v>3-SG-50/600-90-M-TA5</v>
      </c>
      <c r="Y16" s="141" t="str">
        <f t="shared" si="1"/>
        <v>892x596x48.5; T=1.5</v>
      </c>
      <c r="Z16" s="10" t="str">
        <f t="shared" si="1"/>
        <v>pcs</v>
      </c>
      <c r="AA16" s="59"/>
      <c r="AB16" s="59"/>
      <c r="AC16" s="59" t="s">
        <v>700</v>
      </c>
    </row>
    <row r="17" spans="1:29" ht="27.6" hidden="1" customHeight="1">
      <c r="A17" s="344" t="s">
        <v>746</v>
      </c>
      <c r="B17" s="59">
        <v>13</v>
      </c>
      <c r="C17" s="397" t="s">
        <v>701</v>
      </c>
      <c r="D17" s="388" t="s">
        <v>744</v>
      </c>
      <c r="E17" s="376" t="s">
        <v>745</v>
      </c>
      <c r="F17" s="376" t="e">
        <v>#N/A</v>
      </c>
      <c r="G17" s="377" t="s">
        <v>700</v>
      </c>
      <c r="H17" s="378">
        <v>8</v>
      </c>
      <c r="I17" s="379">
        <v>8</v>
      </c>
      <c r="J17" s="359">
        <f t="shared" si="2"/>
        <v>0</v>
      </c>
      <c r="K17" s="359">
        <v>0</v>
      </c>
      <c r="L17" s="359">
        <f>SUMIFS('Cable Tray-income  '!L:L,'Cable Tray-income  '!F:F,케이블트레이입.출고현황!U17)</f>
        <v>0</v>
      </c>
      <c r="M17" s="360">
        <f t="shared" si="3"/>
        <v>8</v>
      </c>
      <c r="N17" s="382">
        <f t="shared" si="4"/>
        <v>0</v>
      </c>
      <c r="O17" s="380">
        <f>SUMIFS('Cable Tray-Log-out'!L:L,'Cable Tray-Log-out'!D:D,U17)</f>
        <v>0</v>
      </c>
      <c r="P17" s="382"/>
      <c r="Q17" s="383"/>
      <c r="R17" s="382">
        <f t="shared" si="5"/>
        <v>0</v>
      </c>
      <c r="S17" s="389"/>
      <c r="T17" s="381"/>
      <c r="U17" s="141" t="s">
        <v>746</v>
      </c>
      <c r="V17" s="141" t="s">
        <v>701</v>
      </c>
      <c r="W17" s="141" t="str">
        <f t="shared" si="1"/>
        <v>Branch section SO-50/500 for branching the cable route from straight trays LP-50 and LP-100 for three directions</v>
      </c>
      <c r="X17" s="141" t="str">
        <f t="shared" si="1"/>
        <v>3-SO-50/500-M-TA4</v>
      </c>
      <c r="Y17" s="141" t="e">
        <f t="shared" si="1"/>
        <v>#N/A</v>
      </c>
      <c r="Z17" s="10" t="str">
        <f t="shared" si="1"/>
        <v>pcs</v>
      </c>
      <c r="AA17" s="59"/>
      <c r="AB17" s="59"/>
      <c r="AC17" s="59" t="s">
        <v>700</v>
      </c>
    </row>
    <row r="18" spans="1:29" ht="27.6" hidden="1" customHeight="1">
      <c r="A18" s="344" t="s">
        <v>1022</v>
      </c>
      <c r="B18" s="59">
        <v>14</v>
      </c>
      <c r="C18" s="397" t="s">
        <v>701</v>
      </c>
      <c r="D18" s="388" t="s">
        <v>747</v>
      </c>
      <c r="E18" s="376" t="s">
        <v>748</v>
      </c>
      <c r="F18" s="376" t="s">
        <v>749</v>
      </c>
      <c r="G18" s="377" t="s">
        <v>700</v>
      </c>
      <c r="H18" s="378">
        <v>4</v>
      </c>
      <c r="I18" s="379">
        <v>4</v>
      </c>
      <c r="J18" s="359">
        <f t="shared" si="2"/>
        <v>0</v>
      </c>
      <c r="K18" s="359">
        <v>0</v>
      </c>
      <c r="L18" s="359">
        <f>SUMIFS('Cable Tray-income  '!L:L,'Cable Tray-income  '!F:F,케이블트레이입.출고현황!U18)</f>
        <v>0</v>
      </c>
      <c r="M18" s="360">
        <f t="shared" si="3"/>
        <v>4</v>
      </c>
      <c r="N18" s="382">
        <f t="shared" si="4"/>
        <v>0</v>
      </c>
      <c r="O18" s="380">
        <f>SUMIFS('Cable Tray-Log-out'!L:L,'Cable Tray-Log-out'!D:D,U18)</f>
        <v>0</v>
      </c>
      <c r="P18" s="382"/>
      <c r="Q18" s="383"/>
      <c r="R18" s="382">
        <f t="shared" si="5"/>
        <v>0</v>
      </c>
      <c r="S18" s="389"/>
      <c r="T18" s="381"/>
      <c r="U18" s="342" t="s">
        <v>750</v>
      </c>
      <c r="V18" s="342" t="s">
        <v>701</v>
      </c>
      <c r="W18" s="141" t="str">
        <f t="shared" si="1"/>
        <v>Vertical section SV-50/400 for vertical bending of cable route from straight trays</v>
      </c>
      <c r="X18" s="141" t="str">
        <f t="shared" si="1"/>
        <v>3-SV-50/400-M-TA4</v>
      </c>
      <c r="Y18" s="141" t="str">
        <f t="shared" si="1"/>
        <v>331x396x50; T=1.5</v>
      </c>
      <c r="Z18" s="10" t="str">
        <f t="shared" si="1"/>
        <v>pcs</v>
      </c>
      <c r="AA18" s="59"/>
      <c r="AB18" s="59"/>
      <c r="AC18" s="59" t="s">
        <v>700</v>
      </c>
    </row>
    <row r="19" spans="1:29" ht="27.6" hidden="1" customHeight="1">
      <c r="A19" s="344" t="s">
        <v>754</v>
      </c>
      <c r="B19" s="59">
        <v>15</v>
      </c>
      <c r="C19" s="397" t="s">
        <v>701</v>
      </c>
      <c r="D19" s="388" t="s">
        <v>751</v>
      </c>
      <c r="E19" s="376" t="s">
        <v>752</v>
      </c>
      <c r="F19" s="376" t="s">
        <v>753</v>
      </c>
      <c r="G19" s="377" t="s">
        <v>700</v>
      </c>
      <c r="H19" s="378">
        <v>80</v>
      </c>
      <c r="I19" s="379">
        <v>80</v>
      </c>
      <c r="J19" s="359">
        <f t="shared" si="2"/>
        <v>0</v>
      </c>
      <c r="K19" s="359">
        <v>0</v>
      </c>
      <c r="L19" s="359">
        <f>SUMIFS('Cable Tray-income  '!L:L,'Cable Tray-income  '!F:F,케이블트레이입.출고현황!U19)</f>
        <v>0</v>
      </c>
      <c r="M19" s="360">
        <f t="shared" si="3"/>
        <v>80</v>
      </c>
      <c r="N19" s="382">
        <f t="shared" si="4"/>
        <v>0</v>
      </c>
      <c r="O19" s="380">
        <f>SUMIFS('Cable Tray-Log-out'!L:L,'Cable Tray-Log-out'!D:D,U19)</f>
        <v>0</v>
      </c>
      <c r="P19" s="382"/>
      <c r="Q19" s="383"/>
      <c r="R19" s="382">
        <f t="shared" si="5"/>
        <v>0</v>
      </c>
      <c r="S19" s="389"/>
      <c r="T19" s="381"/>
      <c r="U19" s="141" t="s">
        <v>754</v>
      </c>
      <c r="V19" s="141" t="s">
        <v>701</v>
      </c>
      <c r="W19" s="141" t="str">
        <f t="shared" si="1"/>
        <v>Vertical section SV-50/500 for vertical bending of cable route from straight trays LP-50 and LP-100 up or down at any angle</v>
      </c>
      <c r="X19" s="141" t="str">
        <f t="shared" si="1"/>
        <v>3-SV-50/500-M-TA4</v>
      </c>
      <c r="Y19" s="141" t="str">
        <f t="shared" si="1"/>
        <v>331x170x496x50; T=1.5</v>
      </c>
      <c r="Z19" s="10" t="str">
        <f t="shared" si="1"/>
        <v>pcs</v>
      </c>
      <c r="AA19" s="59"/>
      <c r="AB19" s="59"/>
      <c r="AC19" s="59" t="s">
        <v>700</v>
      </c>
    </row>
    <row r="20" spans="1:29" ht="27.6" hidden="1" customHeight="1">
      <c r="A20" s="344" t="s">
        <v>758</v>
      </c>
      <c r="B20" s="59">
        <v>16</v>
      </c>
      <c r="C20" s="397" t="s">
        <v>701</v>
      </c>
      <c r="D20" s="388" t="s">
        <v>755</v>
      </c>
      <c r="E20" s="376" t="s">
        <v>756</v>
      </c>
      <c r="F20" s="376" t="s">
        <v>757</v>
      </c>
      <c r="G20" s="377" t="s">
        <v>700</v>
      </c>
      <c r="H20" s="378">
        <v>20</v>
      </c>
      <c r="I20" s="379">
        <v>20</v>
      </c>
      <c r="J20" s="359">
        <f t="shared" si="2"/>
        <v>0</v>
      </c>
      <c r="K20" s="359">
        <v>0</v>
      </c>
      <c r="L20" s="359">
        <f>SUMIFS('Cable Tray-income  '!L:L,'Cable Tray-income  '!F:F,케이블트레이입.출고현황!U20)</f>
        <v>0</v>
      </c>
      <c r="M20" s="360">
        <f t="shared" si="3"/>
        <v>20</v>
      </c>
      <c r="N20" s="382">
        <f t="shared" si="4"/>
        <v>0</v>
      </c>
      <c r="O20" s="380">
        <f>SUMIFS('Cable Tray-Log-out'!L:L,'Cable Tray-Log-out'!D:D,U20)</f>
        <v>0</v>
      </c>
      <c r="P20" s="382"/>
      <c r="Q20" s="383"/>
      <c r="R20" s="382">
        <f t="shared" si="5"/>
        <v>0</v>
      </c>
      <c r="S20" s="389"/>
      <c r="T20" s="381"/>
      <c r="U20" s="141" t="s">
        <v>758</v>
      </c>
      <c r="V20" s="141" t="s">
        <v>701</v>
      </c>
      <c r="W20" s="141" t="str">
        <f t="shared" si="1"/>
        <v>Vertical section SV-100/500 for vertical bending of cable route from straight trays LP-50 and LP-100 up or down at any angle</v>
      </c>
      <c r="X20" s="141" t="str">
        <f t="shared" si="1"/>
        <v>3-SV-100/500-M-TA4</v>
      </c>
      <c r="Y20" s="141" t="str">
        <f t="shared" si="1"/>
        <v>395x205x496x100; T=1.5</v>
      </c>
      <c r="Z20" s="10" t="str">
        <f t="shared" si="1"/>
        <v>pcs</v>
      </c>
      <c r="AA20" s="59"/>
      <c r="AB20" s="59"/>
      <c r="AC20" s="59" t="s">
        <v>700</v>
      </c>
    </row>
    <row r="21" spans="1:29" ht="27.6" hidden="1" customHeight="1">
      <c r="A21" s="344" t="s">
        <v>761</v>
      </c>
      <c r="B21" s="59">
        <v>17</v>
      </c>
      <c r="C21" s="397" t="s">
        <v>701</v>
      </c>
      <c r="D21" s="388" t="s">
        <v>759</v>
      </c>
      <c r="E21" s="376" t="s">
        <v>760</v>
      </c>
      <c r="F21" s="376" t="s">
        <v>721</v>
      </c>
      <c r="G21" s="377" t="s">
        <v>700</v>
      </c>
      <c r="H21" s="378">
        <v>56</v>
      </c>
      <c r="I21" s="379">
        <v>56</v>
      </c>
      <c r="J21" s="359">
        <f t="shared" si="2"/>
        <v>0</v>
      </c>
      <c r="K21" s="359">
        <v>0</v>
      </c>
      <c r="L21" s="359">
        <f>SUMIFS('Cable Tray-income  '!L:L,'Cable Tray-income  '!F:F,케이블트레이입.출고현황!U21)</f>
        <v>0</v>
      </c>
      <c r="M21" s="360">
        <f t="shared" si="3"/>
        <v>56</v>
      </c>
      <c r="N21" s="382">
        <f t="shared" si="4"/>
        <v>0</v>
      </c>
      <c r="O21" s="380">
        <f>SUMIFS('Cable Tray-Log-out'!L:L,'Cable Tray-Log-out'!D:D,U21)</f>
        <v>0</v>
      </c>
      <c r="P21" s="382"/>
      <c r="Q21" s="383"/>
      <c r="R21" s="382">
        <f t="shared" si="5"/>
        <v>0</v>
      </c>
      <c r="S21" s="389"/>
      <c r="T21" s="381"/>
      <c r="U21" s="141" t="s">
        <v>761</v>
      </c>
      <c r="V21" s="141" t="s">
        <v>701</v>
      </c>
      <c r="W21" s="141" t="str">
        <f t="shared" si="1"/>
        <v>Straight duct KP</v>
      </c>
      <c r="X21" s="141" t="str">
        <f t="shared" si="1"/>
        <v>3-KP-0.1/0.2-3-M-TA4</v>
      </c>
      <c r="Y21" s="141" t="str">
        <f t="shared" si="1"/>
        <v>3000x200x100; T=1.5</v>
      </c>
      <c r="Z21" s="10" t="str">
        <f t="shared" si="1"/>
        <v>pcs</v>
      </c>
      <c r="AA21" s="59"/>
      <c r="AB21" s="59"/>
      <c r="AC21" s="59" t="s">
        <v>700</v>
      </c>
    </row>
    <row r="22" spans="1:29" ht="27.6" hidden="1" customHeight="1">
      <c r="A22" s="344" t="s">
        <v>764</v>
      </c>
      <c r="B22" s="59">
        <v>18</v>
      </c>
      <c r="C22" s="397" t="s">
        <v>701</v>
      </c>
      <c r="D22" s="388" t="s">
        <v>759</v>
      </c>
      <c r="E22" s="376" t="s">
        <v>762</v>
      </c>
      <c r="F22" s="376" t="s">
        <v>763</v>
      </c>
      <c r="G22" s="377" t="s">
        <v>700</v>
      </c>
      <c r="H22" s="378">
        <v>84</v>
      </c>
      <c r="I22" s="379">
        <v>84</v>
      </c>
      <c r="J22" s="359">
        <f t="shared" si="2"/>
        <v>0</v>
      </c>
      <c r="K22" s="359">
        <v>0</v>
      </c>
      <c r="L22" s="359">
        <f>SUMIFS('Cable Tray-income  '!L:L,'Cable Tray-income  '!F:F,케이블트레이입.출고현황!U22)</f>
        <v>0</v>
      </c>
      <c r="M22" s="360">
        <f t="shared" si="3"/>
        <v>84</v>
      </c>
      <c r="N22" s="382">
        <f t="shared" si="4"/>
        <v>0</v>
      </c>
      <c r="O22" s="380">
        <f>SUMIFS('Cable Tray-Log-out'!L:L,'Cable Tray-Log-out'!D:D,U22)</f>
        <v>0</v>
      </c>
      <c r="P22" s="382"/>
      <c r="Q22" s="383"/>
      <c r="R22" s="382">
        <f t="shared" si="5"/>
        <v>0</v>
      </c>
      <c r="S22" s="389"/>
      <c r="T22" s="381"/>
      <c r="U22" s="141" t="s">
        <v>764</v>
      </c>
      <c r="V22" s="141" t="s">
        <v>701</v>
      </c>
      <c r="W22" s="141" t="str">
        <f t="shared" si="1"/>
        <v>Straight duct KP</v>
      </c>
      <c r="X22" s="141" t="str">
        <f t="shared" si="1"/>
        <v>3-KP-0.1/0.3-3-M-TA4</v>
      </c>
      <c r="Y22" s="141" t="str">
        <f t="shared" si="1"/>
        <v>3000x300x 100; T=1.5</v>
      </c>
      <c r="Z22" s="10" t="str">
        <f t="shared" si="1"/>
        <v>pcs</v>
      </c>
      <c r="AA22" s="59"/>
      <c r="AB22" s="59"/>
      <c r="AC22" s="59" t="s">
        <v>700</v>
      </c>
    </row>
    <row r="23" spans="1:29" ht="27.6" hidden="1" customHeight="1">
      <c r="A23" s="344" t="s">
        <v>768</v>
      </c>
      <c r="B23" s="59">
        <v>19</v>
      </c>
      <c r="C23" s="397" t="s">
        <v>701</v>
      </c>
      <c r="D23" s="388" t="s">
        <v>765</v>
      </c>
      <c r="E23" s="376" t="s">
        <v>766</v>
      </c>
      <c r="F23" s="376" t="s">
        <v>767</v>
      </c>
      <c r="G23" s="377" t="s">
        <v>700</v>
      </c>
      <c r="H23" s="378">
        <v>40</v>
      </c>
      <c r="I23" s="379">
        <v>40</v>
      </c>
      <c r="J23" s="359">
        <f t="shared" si="2"/>
        <v>0</v>
      </c>
      <c r="K23" s="359">
        <v>0</v>
      </c>
      <c r="L23" s="359">
        <f>SUMIFS('Cable Tray-income  '!L:L,'Cable Tray-income  '!F:F,케이블트레이입.출고현황!U23)</f>
        <v>0</v>
      </c>
      <c r="M23" s="360">
        <f t="shared" si="3"/>
        <v>40</v>
      </c>
      <c r="N23" s="382">
        <f t="shared" si="4"/>
        <v>0</v>
      </c>
      <c r="O23" s="380">
        <f>SUMIFS('Cable Tray-Log-out'!L:L,'Cable Tray-Log-out'!D:D,U23)</f>
        <v>0</v>
      </c>
      <c r="P23" s="382"/>
      <c r="Q23" s="383"/>
      <c r="R23" s="382">
        <f t="shared" si="5"/>
        <v>0</v>
      </c>
      <c r="S23" s="389"/>
      <c r="T23" s="381"/>
      <c r="U23" s="141" t="s">
        <v>768</v>
      </c>
      <c r="V23" s="141" t="s">
        <v>701</v>
      </c>
      <c r="W23" s="141" t="str">
        <f t="shared" si="1"/>
        <v>Siraight duct KP</v>
      </c>
      <c r="X23" s="141" t="str">
        <f t="shared" si="1"/>
        <v>3-KP-0.1/0.5-3-M-TA4</v>
      </c>
      <c r="Y23" s="141" t="str">
        <f t="shared" si="1"/>
        <v>3000x500x 100; T=1.5</v>
      </c>
      <c r="Z23" s="10" t="str">
        <f t="shared" si="1"/>
        <v>pcs</v>
      </c>
      <c r="AA23" s="59"/>
      <c r="AB23" s="59"/>
      <c r="AC23" s="59" t="s">
        <v>700</v>
      </c>
    </row>
    <row r="24" spans="1:29" ht="27.6" hidden="1" customHeight="1">
      <c r="A24" s="344" t="s">
        <v>772</v>
      </c>
      <c r="B24" s="59">
        <v>20</v>
      </c>
      <c r="C24" s="397" t="s">
        <v>701</v>
      </c>
      <c r="D24" s="388" t="s">
        <v>769</v>
      </c>
      <c r="E24" s="376" t="s">
        <v>770</v>
      </c>
      <c r="F24" s="376" t="s">
        <v>771</v>
      </c>
      <c r="G24" s="377" t="s">
        <v>700</v>
      </c>
      <c r="H24" s="378">
        <v>10</v>
      </c>
      <c r="I24" s="379">
        <v>10</v>
      </c>
      <c r="J24" s="359">
        <f t="shared" si="2"/>
        <v>0</v>
      </c>
      <c r="K24" s="359">
        <v>0</v>
      </c>
      <c r="L24" s="359">
        <f>SUMIFS('Cable Tray-income  '!L:L,'Cable Tray-income  '!F:F,케이블트레이입.출고현황!U24)</f>
        <v>0</v>
      </c>
      <c r="M24" s="360">
        <f t="shared" si="3"/>
        <v>10</v>
      </c>
      <c r="N24" s="382">
        <f t="shared" si="4"/>
        <v>0</v>
      </c>
      <c r="O24" s="380">
        <f>SUMIFS('Cable Tray-Log-out'!L:L,'Cable Tray-Log-out'!D:D,U24)</f>
        <v>0</v>
      </c>
      <c r="P24" s="382"/>
      <c r="Q24" s="383"/>
      <c r="R24" s="382">
        <f t="shared" si="5"/>
        <v>0</v>
      </c>
      <c r="S24" s="389"/>
      <c r="T24" s="381"/>
      <c r="U24" s="141" t="s">
        <v>772</v>
      </c>
      <c r="V24" s="141" t="s">
        <v>701</v>
      </c>
      <c r="W24" s="141" t="str">
        <f t="shared" si="1"/>
        <v>Angle duct KUG for horizontal bend of cable route at 90°</v>
      </c>
      <c r="X24" s="141" t="str">
        <f t="shared" si="1"/>
        <v>3-KUG-0.1/0.2-M-TA4</v>
      </c>
      <c r="Y24" s="141" t="str">
        <f t="shared" si="1"/>
        <v>455x196x103; T=1.5</v>
      </c>
      <c r="Z24" s="10" t="str">
        <f t="shared" si="1"/>
        <v>pcs</v>
      </c>
      <c r="AA24" s="59"/>
      <c r="AB24" s="59"/>
      <c r="AC24" s="59" t="s">
        <v>700</v>
      </c>
    </row>
    <row r="25" spans="1:29" ht="27.6" hidden="1" customHeight="1">
      <c r="A25" s="344" t="s">
        <v>776</v>
      </c>
      <c r="B25" s="59">
        <v>21</v>
      </c>
      <c r="C25" s="397" t="s">
        <v>701</v>
      </c>
      <c r="D25" s="388" t="s">
        <v>773</v>
      </c>
      <c r="E25" s="376" t="s">
        <v>774</v>
      </c>
      <c r="F25" s="376" t="s">
        <v>775</v>
      </c>
      <c r="G25" s="377" t="s">
        <v>700</v>
      </c>
      <c r="H25" s="378">
        <v>8</v>
      </c>
      <c r="I25" s="379">
        <v>8</v>
      </c>
      <c r="J25" s="359">
        <f t="shared" si="2"/>
        <v>0</v>
      </c>
      <c r="K25" s="359">
        <v>0</v>
      </c>
      <c r="L25" s="359">
        <f>SUMIFS('Cable Tray-income  '!L:L,'Cable Tray-income  '!F:F,케이블트레이입.출고현황!U25)</f>
        <v>0</v>
      </c>
      <c r="M25" s="360">
        <f t="shared" si="3"/>
        <v>8</v>
      </c>
      <c r="N25" s="382">
        <f t="shared" si="4"/>
        <v>0</v>
      </c>
      <c r="O25" s="380">
        <f>SUMIFS('Cable Tray-Log-out'!L:L,'Cable Tray-Log-out'!D:D,U25)</f>
        <v>0</v>
      </c>
      <c r="P25" s="382"/>
      <c r="Q25" s="383"/>
      <c r="R25" s="382">
        <f t="shared" si="5"/>
        <v>0</v>
      </c>
      <c r="S25" s="389"/>
      <c r="T25" s="381"/>
      <c r="U25" s="141" t="s">
        <v>776</v>
      </c>
      <c r="V25" s="141" t="s">
        <v>701</v>
      </c>
      <c r="W25" s="141" t="str">
        <f t="shared" si="1"/>
        <v>Angle duct KUG for horizontal bend of cable route et 90°</v>
      </c>
      <c r="X25" s="141" t="str">
        <f t="shared" si="1"/>
        <v>3-KUG-0.1/0.3-M-TA4</v>
      </c>
      <c r="Y25" s="141" t="str">
        <f t="shared" si="1"/>
        <v>555x296x103; T=1.5</v>
      </c>
      <c r="Z25" s="10" t="str">
        <f t="shared" si="1"/>
        <v>pcs</v>
      </c>
      <c r="AA25" s="59"/>
      <c r="AB25" s="59"/>
      <c r="AC25" s="59" t="s">
        <v>700</v>
      </c>
    </row>
    <row r="26" spans="1:29" ht="27.6" hidden="1" customHeight="1">
      <c r="A26" s="344" t="s">
        <v>779</v>
      </c>
      <c r="B26" s="59">
        <v>22</v>
      </c>
      <c r="C26" s="397" t="s">
        <v>701</v>
      </c>
      <c r="D26" s="388" t="s">
        <v>769</v>
      </c>
      <c r="E26" s="376" t="s">
        <v>777</v>
      </c>
      <c r="F26" s="376" t="s">
        <v>778</v>
      </c>
      <c r="G26" s="377" t="s">
        <v>700</v>
      </c>
      <c r="H26" s="378">
        <v>6</v>
      </c>
      <c r="I26" s="379">
        <v>6</v>
      </c>
      <c r="J26" s="359">
        <f t="shared" si="2"/>
        <v>0</v>
      </c>
      <c r="K26" s="359">
        <v>0</v>
      </c>
      <c r="L26" s="359">
        <f>SUMIFS('Cable Tray-income  '!L:L,'Cable Tray-income  '!F:F,케이블트레이입.출고현황!U26)</f>
        <v>0</v>
      </c>
      <c r="M26" s="360">
        <f t="shared" si="3"/>
        <v>6</v>
      </c>
      <c r="N26" s="382">
        <f t="shared" si="4"/>
        <v>0</v>
      </c>
      <c r="O26" s="380">
        <f>SUMIFS('Cable Tray-Log-out'!L:L,'Cable Tray-Log-out'!D:D,U26)</f>
        <v>0</v>
      </c>
      <c r="P26" s="382"/>
      <c r="Q26" s="383"/>
      <c r="R26" s="382">
        <f t="shared" si="5"/>
        <v>0</v>
      </c>
      <c r="S26" s="389"/>
      <c r="T26" s="381"/>
      <c r="U26" s="141" t="s">
        <v>779</v>
      </c>
      <c r="V26" s="141" t="s">
        <v>701</v>
      </c>
      <c r="W26" s="141" t="str">
        <f t="shared" si="1"/>
        <v>Angle duct KUG for horizontal bend of cable route at 90°</v>
      </c>
      <c r="X26" s="141" t="str">
        <f t="shared" si="1"/>
        <v>3-KUG-0.1/0.5-M-TA4</v>
      </c>
      <c r="Y26" s="141" t="str">
        <f t="shared" si="1"/>
        <v>755x496x103; T=1.5</v>
      </c>
      <c r="Z26" s="10" t="str">
        <f t="shared" si="1"/>
        <v>pcs</v>
      </c>
      <c r="AA26" s="59"/>
      <c r="AB26" s="59"/>
      <c r="AC26" s="59" t="s">
        <v>700</v>
      </c>
    </row>
    <row r="27" spans="1:29" ht="27.6" hidden="1" customHeight="1">
      <c r="A27" s="344" t="s">
        <v>782</v>
      </c>
      <c r="B27" s="59">
        <v>23</v>
      </c>
      <c r="C27" s="397" t="s">
        <v>701</v>
      </c>
      <c r="D27" s="388" t="s">
        <v>780</v>
      </c>
      <c r="E27" s="376" t="s">
        <v>781</v>
      </c>
      <c r="F27" s="376" t="e">
        <v>#N/A</v>
      </c>
      <c r="G27" s="377" t="s">
        <v>700</v>
      </c>
      <c r="H27" s="378">
        <v>4</v>
      </c>
      <c r="I27" s="379">
        <v>4</v>
      </c>
      <c r="J27" s="359">
        <f t="shared" si="2"/>
        <v>0</v>
      </c>
      <c r="K27" s="359">
        <v>0</v>
      </c>
      <c r="L27" s="359">
        <f>SUMIFS('Cable Tray-income  '!L:L,'Cable Tray-income  '!F:F,케이블트레이입.출고현황!U27)</f>
        <v>0</v>
      </c>
      <c r="M27" s="360">
        <f t="shared" si="3"/>
        <v>4</v>
      </c>
      <c r="N27" s="382">
        <f t="shared" si="4"/>
        <v>0</v>
      </c>
      <c r="O27" s="380">
        <f>SUMIFS('Cable Tray-Log-out'!L:L,'Cable Tray-Log-out'!D:D,U27)</f>
        <v>0</v>
      </c>
      <c r="P27" s="382"/>
      <c r="Q27" s="383"/>
      <c r="R27" s="382">
        <f t="shared" si="5"/>
        <v>0</v>
      </c>
      <c r="S27" s="389"/>
      <c r="T27" s="381"/>
      <c r="U27" s="141" t="s">
        <v>782</v>
      </c>
      <c r="V27" s="141" t="s">
        <v>701</v>
      </c>
      <c r="W27" s="141" t="str">
        <f t="shared" si="1"/>
        <v>Angle duct KUG for horizontal bend of cable route at 45°</v>
      </c>
      <c r="X27" s="141" t="str">
        <f t="shared" si="1"/>
        <v>3-KUG-0.1/0.2-45-M-TA4</v>
      </c>
      <c r="Y27" s="141" t="e">
        <f t="shared" si="1"/>
        <v>#N/A</v>
      </c>
      <c r="Z27" s="10" t="str">
        <f t="shared" si="1"/>
        <v>pcs</v>
      </c>
      <c r="AA27" s="59"/>
      <c r="AB27" s="59"/>
      <c r="AC27" s="59" t="s">
        <v>700</v>
      </c>
    </row>
    <row r="28" spans="1:29" ht="27.6" hidden="1" customHeight="1">
      <c r="A28" s="344" t="s">
        <v>784</v>
      </c>
      <c r="B28" s="59">
        <v>24</v>
      </c>
      <c r="C28" s="397" t="s">
        <v>701</v>
      </c>
      <c r="D28" s="388" t="s">
        <v>780</v>
      </c>
      <c r="E28" s="376" t="s">
        <v>783</v>
      </c>
      <c r="F28" s="376" t="e">
        <v>#N/A</v>
      </c>
      <c r="G28" s="377" t="s">
        <v>700</v>
      </c>
      <c r="H28" s="378">
        <v>4</v>
      </c>
      <c r="I28" s="379">
        <v>4</v>
      </c>
      <c r="J28" s="359">
        <f t="shared" si="2"/>
        <v>0</v>
      </c>
      <c r="K28" s="359">
        <v>0</v>
      </c>
      <c r="L28" s="359">
        <f>SUMIFS('Cable Tray-income  '!L:L,'Cable Tray-income  '!F:F,케이블트레이입.출고현황!U28)</f>
        <v>0</v>
      </c>
      <c r="M28" s="360">
        <f t="shared" si="3"/>
        <v>4</v>
      </c>
      <c r="N28" s="382">
        <f t="shared" si="4"/>
        <v>0</v>
      </c>
      <c r="O28" s="380">
        <f>SUMIFS('Cable Tray-Log-out'!L:L,'Cable Tray-Log-out'!D:D,U28)</f>
        <v>0</v>
      </c>
      <c r="P28" s="382"/>
      <c r="Q28" s="383"/>
      <c r="R28" s="382">
        <f t="shared" si="5"/>
        <v>0</v>
      </c>
      <c r="S28" s="389"/>
      <c r="T28" s="381"/>
      <c r="U28" s="141" t="s">
        <v>784</v>
      </c>
      <c r="V28" s="141" t="s">
        <v>701</v>
      </c>
      <c r="W28" s="141" t="str">
        <f t="shared" si="1"/>
        <v>Angle duct KUG for horizontal bend of cable route at 45°</v>
      </c>
      <c r="X28" s="141" t="str">
        <f t="shared" si="1"/>
        <v>3-KUG-0.1/0.3-45-M-TA4</v>
      </c>
      <c r="Y28" s="141" t="e">
        <f t="shared" si="1"/>
        <v>#N/A</v>
      </c>
      <c r="Z28" s="10" t="str">
        <f t="shared" si="1"/>
        <v>pcs</v>
      </c>
      <c r="AA28" s="59"/>
      <c r="AB28" s="59"/>
      <c r="AC28" s="59" t="s">
        <v>700</v>
      </c>
    </row>
    <row r="29" spans="1:29" ht="27.6" hidden="1" customHeight="1">
      <c r="A29" s="344" t="s">
        <v>788</v>
      </c>
      <c r="B29" s="59">
        <v>25</v>
      </c>
      <c r="C29" s="397" t="s">
        <v>701</v>
      </c>
      <c r="D29" s="388" t="s">
        <v>785</v>
      </c>
      <c r="E29" s="376" t="s">
        <v>786</v>
      </c>
      <c r="F29" s="376" t="s">
        <v>787</v>
      </c>
      <c r="G29" s="377" t="s">
        <v>700</v>
      </c>
      <c r="H29" s="378">
        <v>4</v>
      </c>
      <c r="I29" s="379">
        <v>4</v>
      </c>
      <c r="J29" s="359">
        <f t="shared" si="2"/>
        <v>0</v>
      </c>
      <c r="K29" s="359">
        <v>0</v>
      </c>
      <c r="L29" s="359">
        <f>SUMIFS('Cable Tray-income  '!L:L,'Cable Tray-income  '!F:F,케이블트레이입.출고현황!U29)</f>
        <v>0</v>
      </c>
      <c r="M29" s="360">
        <f t="shared" si="3"/>
        <v>4</v>
      </c>
      <c r="N29" s="382">
        <f t="shared" si="4"/>
        <v>0</v>
      </c>
      <c r="O29" s="380">
        <f>SUMIFS('Cable Tray-Log-out'!L:L,'Cable Tray-Log-out'!D:D,U29)</f>
        <v>0</v>
      </c>
      <c r="P29" s="382"/>
      <c r="Q29" s="383"/>
      <c r="R29" s="382">
        <f t="shared" si="5"/>
        <v>0</v>
      </c>
      <c r="S29" s="389"/>
      <c r="T29" s="381"/>
      <c r="U29" s="141" t="s">
        <v>788</v>
      </c>
      <c r="V29" s="141" t="s">
        <v>701</v>
      </c>
      <c r="W29" s="141" t="str">
        <f t="shared" si="1"/>
        <v>Angle duct KUV for turning horizontal cable route upward at an anale of 90°</v>
      </c>
      <c r="X29" s="141" t="str">
        <f t="shared" si="1"/>
        <v>3-KUV-0.1/0.5-M-TA4</v>
      </c>
      <c r="Y29" s="141" t="str">
        <f t="shared" si="1"/>
        <v>290x496x103; T=1.5</v>
      </c>
      <c r="Z29" s="10" t="str">
        <f t="shared" si="1"/>
        <v>pcs</v>
      </c>
      <c r="AA29" s="59"/>
      <c r="AB29" s="59"/>
      <c r="AC29" s="59" t="s">
        <v>700</v>
      </c>
    </row>
    <row r="30" spans="1:29" ht="27.6" hidden="1" customHeight="1">
      <c r="A30" s="344" t="s">
        <v>792</v>
      </c>
      <c r="B30" s="59">
        <v>26</v>
      </c>
      <c r="C30" s="397" t="s">
        <v>701</v>
      </c>
      <c r="D30" s="388" t="s">
        <v>789</v>
      </c>
      <c r="E30" s="385" t="s">
        <v>790</v>
      </c>
      <c r="F30" s="376" t="s">
        <v>791</v>
      </c>
      <c r="G30" s="377" t="s">
        <v>700</v>
      </c>
      <c r="H30" s="378">
        <v>4</v>
      </c>
      <c r="I30" s="379">
        <v>4</v>
      </c>
      <c r="J30" s="359">
        <f t="shared" si="2"/>
        <v>0</v>
      </c>
      <c r="K30" s="359">
        <v>0</v>
      </c>
      <c r="L30" s="359">
        <f>SUMIFS('Cable Tray-income  '!L:L,'Cable Tray-income  '!F:F,케이블트레이입.출고현황!U30)</f>
        <v>0</v>
      </c>
      <c r="M30" s="360">
        <f t="shared" si="3"/>
        <v>4</v>
      </c>
      <c r="N30" s="382">
        <f t="shared" si="4"/>
        <v>0</v>
      </c>
      <c r="O30" s="380">
        <f>SUMIFS('Cable Tray-Log-out'!L:L,'Cable Tray-Log-out'!D:D,U30)</f>
        <v>0</v>
      </c>
      <c r="P30" s="382"/>
      <c r="Q30" s="383"/>
      <c r="R30" s="382">
        <f t="shared" si="5"/>
        <v>0</v>
      </c>
      <c r="S30" s="389"/>
      <c r="T30" s="381"/>
      <c r="U30" s="141" t="s">
        <v>792</v>
      </c>
      <c r="V30" s="141" t="s">
        <v>701</v>
      </c>
      <c r="W30" s="141" t="str">
        <f t="shared" si="1"/>
        <v>Angle duct KUN for turning horizontal cable route downwards at an anqle of 90°</v>
      </c>
      <c r="X30" s="141" t="str">
        <f t="shared" si="1"/>
        <v>3-KUN-0.1/0.5-M-TA4</v>
      </c>
      <c r="Y30" s="141" t="str">
        <f t="shared" si="1"/>
        <v>352x496x103;
T=1.5</v>
      </c>
      <c r="Z30" s="10" t="str">
        <f t="shared" si="1"/>
        <v>pcs</v>
      </c>
      <c r="AA30" s="59"/>
      <c r="AB30" s="59"/>
      <c r="AC30" s="59" t="s">
        <v>700</v>
      </c>
    </row>
    <row r="31" spans="1:29" ht="27.6" hidden="1" customHeight="1">
      <c r="A31" s="344" t="s">
        <v>1023</v>
      </c>
      <c r="B31" s="59">
        <v>27</v>
      </c>
      <c r="C31" s="397" t="s">
        <v>701</v>
      </c>
      <c r="D31" s="388" t="s">
        <v>793</v>
      </c>
      <c r="E31" s="385" t="s">
        <v>794</v>
      </c>
      <c r="F31" s="376" t="s">
        <v>795</v>
      </c>
      <c r="G31" s="377" t="s">
        <v>700</v>
      </c>
      <c r="H31" s="378">
        <v>2</v>
      </c>
      <c r="I31" s="379">
        <v>2</v>
      </c>
      <c r="J31" s="359">
        <f t="shared" si="2"/>
        <v>0</v>
      </c>
      <c r="K31" s="359">
        <v>0</v>
      </c>
      <c r="L31" s="359">
        <f>SUMIFS('Cable Tray-income  '!L:L,'Cable Tray-income  '!F:F,케이블트레이입.출고현황!U31)</f>
        <v>0</v>
      </c>
      <c r="M31" s="360">
        <f t="shared" si="3"/>
        <v>2</v>
      </c>
      <c r="N31" s="382">
        <f t="shared" si="4"/>
        <v>0</v>
      </c>
      <c r="O31" s="380">
        <f>SUMIFS('Cable Tray-Log-out'!L:L,'Cable Tray-Log-out'!D:D,U31)</f>
        <v>0</v>
      </c>
      <c r="P31" s="382"/>
      <c r="Q31" s="383"/>
      <c r="R31" s="382">
        <f t="shared" si="5"/>
        <v>0</v>
      </c>
      <c r="S31" s="389"/>
      <c r="T31" s="381"/>
      <c r="U31" s="342" t="s">
        <v>796</v>
      </c>
      <c r="V31" s="342" t="s">
        <v>701</v>
      </c>
      <c r="W31" s="141" t="str">
        <f t="shared" si="1"/>
        <v>Branch section SO</v>
      </c>
      <c r="X31" s="141" t="str">
        <f t="shared" si="1"/>
        <v>3-SO-50/400-M-TA4</v>
      </c>
      <c r="Y31" s="141" t="str">
        <f t="shared" si="1"/>
        <v>780x396x48.5; I
T=1.5</v>
      </c>
      <c r="Z31" s="10" t="str">
        <f t="shared" si="1"/>
        <v>pcs</v>
      </c>
      <c r="AA31" s="59"/>
      <c r="AB31" s="59"/>
      <c r="AC31" s="59" t="s">
        <v>700</v>
      </c>
    </row>
    <row r="32" spans="1:29" ht="27.6" hidden="1" customHeight="1">
      <c r="A32" s="344" t="s">
        <v>799</v>
      </c>
      <c r="B32" s="59">
        <v>28</v>
      </c>
      <c r="C32" s="397" t="s">
        <v>701</v>
      </c>
      <c r="D32" s="388" t="s">
        <v>793</v>
      </c>
      <c r="E32" s="385" t="s">
        <v>797</v>
      </c>
      <c r="F32" s="376" t="s">
        <v>798</v>
      </c>
      <c r="G32" s="377" t="s">
        <v>700</v>
      </c>
      <c r="H32" s="378">
        <v>3</v>
      </c>
      <c r="I32" s="379">
        <v>3</v>
      </c>
      <c r="J32" s="359">
        <f t="shared" si="2"/>
        <v>0</v>
      </c>
      <c r="K32" s="359">
        <v>0</v>
      </c>
      <c r="L32" s="359">
        <f>SUMIFS('Cable Tray-income  '!L:L,'Cable Tray-income  '!F:F,케이블트레이입.출고현황!U32)</f>
        <v>0</v>
      </c>
      <c r="M32" s="360">
        <f t="shared" si="3"/>
        <v>3</v>
      </c>
      <c r="N32" s="382">
        <f t="shared" si="4"/>
        <v>0</v>
      </c>
      <c r="O32" s="380">
        <f>SUMIFS('Cable Tray-Log-out'!L:L,'Cable Tray-Log-out'!D:D,U32)</f>
        <v>0</v>
      </c>
      <c r="P32" s="382"/>
      <c r="Q32" s="383"/>
      <c r="R32" s="382">
        <f t="shared" si="5"/>
        <v>0</v>
      </c>
      <c r="S32" s="389"/>
      <c r="T32" s="381"/>
      <c r="U32" s="342" t="s">
        <v>799</v>
      </c>
      <c r="V32" s="342" t="s">
        <v>701</v>
      </c>
      <c r="W32" s="141" t="str">
        <f t="shared" si="1"/>
        <v>Branch section SO</v>
      </c>
      <c r="X32" s="141" t="str">
        <f t="shared" si="1"/>
        <v>3-SO-50/600-M-TA4</v>
      </c>
      <c r="Y32" s="141" t="str">
        <f t="shared" si="1"/>
        <v>980x596x48.5;  I
T=1-5</v>
      </c>
      <c r="Z32" s="10" t="str">
        <f t="shared" si="1"/>
        <v>pcs</v>
      </c>
      <c r="AA32" s="59"/>
      <c r="AB32" s="59"/>
      <c r="AC32" s="59" t="s">
        <v>700</v>
      </c>
    </row>
    <row r="33" spans="1:29" ht="27.6" hidden="1" customHeight="1">
      <c r="A33" s="344" t="s">
        <v>803</v>
      </c>
      <c r="B33" s="59">
        <v>29</v>
      </c>
      <c r="C33" s="397" t="s">
        <v>701</v>
      </c>
      <c r="D33" s="388" t="s">
        <v>800</v>
      </c>
      <c r="E33" s="385" t="s">
        <v>801</v>
      </c>
      <c r="F33" s="376" t="s">
        <v>802</v>
      </c>
      <c r="G33" s="377" t="s">
        <v>700</v>
      </c>
      <c r="H33" s="378">
        <v>35</v>
      </c>
      <c r="I33" s="379">
        <v>35</v>
      </c>
      <c r="J33" s="359">
        <f t="shared" si="2"/>
        <v>0</v>
      </c>
      <c r="K33" s="359">
        <v>0</v>
      </c>
      <c r="L33" s="359">
        <f>SUMIFS('Cable Tray-income  '!L:L,'Cable Tray-income  '!F:F,케이블트레이입.출고현황!U33)</f>
        <v>0</v>
      </c>
      <c r="M33" s="360">
        <f t="shared" si="3"/>
        <v>35</v>
      </c>
      <c r="N33" s="382">
        <f t="shared" si="4"/>
        <v>0</v>
      </c>
      <c r="O33" s="380">
        <f>SUMIFS('Cable Tray-Log-out'!L:L,'Cable Tray-Log-out'!D:D,U33)</f>
        <v>0</v>
      </c>
      <c r="P33" s="382"/>
      <c r="Q33" s="383"/>
      <c r="R33" s="382">
        <f t="shared" si="5"/>
        <v>0</v>
      </c>
      <c r="S33" s="389"/>
      <c r="T33" s="381"/>
      <c r="U33" s="342" t="s">
        <v>803</v>
      </c>
      <c r="V33" s="342" t="s">
        <v>701</v>
      </c>
      <c r="W33" s="141" t="str">
        <f t="shared" si="1"/>
        <v>Vertical section SV-.. ./...</v>
      </c>
      <c r="X33" s="141" t="str">
        <f t="shared" si="1"/>
        <v>3-SV-50/600-M-TA4</v>
      </c>
      <c r="Y33" s="141" t="str">
        <f t="shared" si="1"/>
        <v>331x596x50; T=1.5</v>
      </c>
      <c r="Z33" s="10" t="str">
        <f t="shared" si="1"/>
        <v>pcs</v>
      </c>
      <c r="AA33" s="59"/>
      <c r="AB33" s="59"/>
      <c r="AC33" s="59" t="s">
        <v>700</v>
      </c>
    </row>
    <row r="34" spans="1:29" ht="27.6" hidden="1" customHeight="1">
      <c r="A34" s="344" t="s">
        <v>808</v>
      </c>
      <c r="B34" s="59">
        <v>30</v>
      </c>
      <c r="C34" s="397" t="s">
        <v>804</v>
      </c>
      <c r="D34" s="388" t="s">
        <v>805</v>
      </c>
      <c r="E34" s="376" t="s">
        <v>806</v>
      </c>
      <c r="F34" s="376" t="s">
        <v>807</v>
      </c>
      <c r="G34" s="377" t="s">
        <v>700</v>
      </c>
      <c r="H34" s="378">
        <v>54</v>
      </c>
      <c r="I34" s="379">
        <v>54</v>
      </c>
      <c r="J34" s="359">
        <f t="shared" si="2"/>
        <v>0</v>
      </c>
      <c r="K34" s="359">
        <v>0</v>
      </c>
      <c r="L34" s="359">
        <f>SUMIFS('Cable Tray-income  '!L:L,'Cable Tray-income  '!F:F,케이블트레이입.출고현황!U34)</f>
        <v>0</v>
      </c>
      <c r="M34" s="360">
        <f t="shared" si="3"/>
        <v>54</v>
      </c>
      <c r="N34" s="382">
        <f t="shared" si="4"/>
        <v>0</v>
      </c>
      <c r="O34" s="380">
        <f>SUMIFS('Cable Tray-Log-out'!L:L,'Cable Tray-Log-out'!D:D,U34)</f>
        <v>0</v>
      </c>
      <c r="P34" s="382"/>
      <c r="Q34" s="383"/>
      <c r="R34" s="382">
        <f t="shared" si="5"/>
        <v>0</v>
      </c>
      <c r="S34" s="389"/>
      <c r="T34" s="381"/>
      <c r="U34" s="141" t="s">
        <v>808</v>
      </c>
      <c r="V34" s="141" t="s">
        <v>804</v>
      </c>
      <c r="W34" s="141" t="str">
        <f t="shared" si="1"/>
        <v>Console KS3-340</v>
      </c>
      <c r="X34" s="141" t="str">
        <f t="shared" si="1"/>
        <v>3-KS3-340-M-TA4</v>
      </c>
      <c r="Y34" s="141" t="str">
        <f t="shared" si="1"/>
        <v>344x45x146; T=2.0</v>
      </c>
      <c r="Z34" s="10" t="str">
        <f t="shared" si="1"/>
        <v>pcs</v>
      </c>
      <c r="AA34" s="59"/>
      <c r="AB34" s="59"/>
      <c r="AC34" s="59" t="s">
        <v>700</v>
      </c>
    </row>
    <row r="35" spans="1:29" ht="27.6" hidden="1" customHeight="1">
      <c r="A35" s="344" t="s">
        <v>812</v>
      </c>
      <c r="B35" s="59">
        <v>31</v>
      </c>
      <c r="C35" s="397" t="s">
        <v>804</v>
      </c>
      <c r="D35" s="388" t="s">
        <v>809</v>
      </c>
      <c r="E35" s="376" t="s">
        <v>810</v>
      </c>
      <c r="F35" s="376" t="s">
        <v>811</v>
      </c>
      <c r="G35" s="377" t="s">
        <v>700</v>
      </c>
      <c r="H35" s="378">
        <v>176</v>
      </c>
      <c r="I35" s="379">
        <v>176</v>
      </c>
      <c r="J35" s="359">
        <f t="shared" si="2"/>
        <v>0</v>
      </c>
      <c r="K35" s="359">
        <v>0</v>
      </c>
      <c r="L35" s="359">
        <f>SUMIFS('Cable Tray-income  '!L:L,'Cable Tray-income  '!F:F,케이블트레이입.출고현황!U35)</f>
        <v>0</v>
      </c>
      <c r="M35" s="360">
        <f t="shared" si="3"/>
        <v>176</v>
      </c>
      <c r="N35" s="382">
        <f t="shared" si="4"/>
        <v>0</v>
      </c>
      <c r="O35" s="380">
        <f>SUMIFS('Cable Tray-Log-out'!L:L,'Cable Tray-Log-out'!D:D,U35)</f>
        <v>0</v>
      </c>
      <c r="P35" s="382"/>
      <c r="Q35" s="383"/>
      <c r="R35" s="382">
        <f t="shared" si="5"/>
        <v>0</v>
      </c>
      <c r="S35" s="389"/>
      <c r="T35" s="381"/>
      <c r="U35" s="141" t="s">
        <v>812</v>
      </c>
      <c r="V35" s="141" t="s">
        <v>804</v>
      </c>
      <c r="W35" s="141" t="str">
        <f t="shared" si="1"/>
        <v>Console KS3-440</v>
      </c>
      <c r="X35" s="141" t="str">
        <f t="shared" si="1"/>
        <v>3-KS3-440-M-TA4</v>
      </c>
      <c r="Y35" s="141" t="str">
        <f t="shared" si="1"/>
        <v>444x45x146; T=2.0</v>
      </c>
      <c r="Z35" s="10" t="str">
        <f t="shared" si="1"/>
        <v>pcs</v>
      </c>
      <c r="AA35" s="59"/>
      <c r="AB35" s="59"/>
      <c r="AC35" s="59" t="s">
        <v>700</v>
      </c>
    </row>
    <row r="36" spans="1:29" ht="27.6" hidden="1" customHeight="1">
      <c r="A36" s="344" t="s">
        <v>816</v>
      </c>
      <c r="B36" s="59">
        <v>32</v>
      </c>
      <c r="C36" s="397" t="s">
        <v>804</v>
      </c>
      <c r="D36" s="388" t="s">
        <v>813</v>
      </c>
      <c r="E36" s="376" t="s">
        <v>814</v>
      </c>
      <c r="F36" s="376" t="s">
        <v>815</v>
      </c>
      <c r="G36" s="377" t="s">
        <v>700</v>
      </c>
      <c r="H36" s="378">
        <v>348</v>
      </c>
      <c r="I36" s="379">
        <v>348</v>
      </c>
      <c r="J36" s="359">
        <f t="shared" si="2"/>
        <v>0</v>
      </c>
      <c r="K36" s="359">
        <v>0</v>
      </c>
      <c r="L36" s="359">
        <f>SUMIFS('Cable Tray-income  '!L:L,'Cable Tray-income  '!F:F,케이블트레이입.출고현황!U36)</f>
        <v>0</v>
      </c>
      <c r="M36" s="360">
        <f t="shared" si="3"/>
        <v>348</v>
      </c>
      <c r="N36" s="382">
        <f t="shared" si="4"/>
        <v>0</v>
      </c>
      <c r="O36" s="380">
        <f>SUMIFS('Cable Tray-Log-out'!L:L,'Cable Tray-Log-out'!D:D,U36)</f>
        <v>0</v>
      </c>
      <c r="P36" s="382"/>
      <c r="Q36" s="383"/>
      <c r="R36" s="382">
        <f t="shared" si="5"/>
        <v>0</v>
      </c>
      <c r="S36" s="389"/>
      <c r="T36" s="381"/>
      <c r="U36" s="141" t="s">
        <v>816</v>
      </c>
      <c r="V36" s="141" t="s">
        <v>804</v>
      </c>
      <c r="W36" s="141" t="str">
        <f t="shared" si="1"/>
        <v>Console KS3-540</v>
      </c>
      <c r="X36" s="141" t="str">
        <f t="shared" si="1"/>
        <v>3-KS3-540-M-TA4</v>
      </c>
      <c r="Y36" s="141" t="str">
        <f t="shared" si="1"/>
        <v>544x45x146;
T=2.0</v>
      </c>
      <c r="Z36" s="10" t="str">
        <f t="shared" si="1"/>
        <v>pcs</v>
      </c>
      <c r="AA36" s="59"/>
      <c r="AB36" s="59"/>
      <c r="AC36" s="59" t="s">
        <v>700</v>
      </c>
    </row>
    <row r="37" spans="1:29" ht="27.6" hidden="1" customHeight="1">
      <c r="A37" s="344" t="s">
        <v>820</v>
      </c>
      <c r="B37" s="59">
        <v>33</v>
      </c>
      <c r="C37" s="397" t="s">
        <v>804</v>
      </c>
      <c r="D37" s="388" t="s">
        <v>817</v>
      </c>
      <c r="E37" s="376" t="s">
        <v>818</v>
      </c>
      <c r="F37" s="376" t="s">
        <v>819</v>
      </c>
      <c r="G37" s="377" t="s">
        <v>700</v>
      </c>
      <c r="H37" s="378">
        <v>4094</v>
      </c>
      <c r="I37" s="379">
        <v>4094</v>
      </c>
      <c r="J37" s="359">
        <f t="shared" si="2"/>
        <v>0</v>
      </c>
      <c r="K37" s="359">
        <v>0</v>
      </c>
      <c r="L37" s="359">
        <f>SUMIFS('Cable Tray-income  '!L:L,'Cable Tray-income  '!F:F,케이블트레이입.출고현황!U37)</f>
        <v>0</v>
      </c>
      <c r="M37" s="360">
        <f t="shared" si="3"/>
        <v>4094</v>
      </c>
      <c r="N37" s="382">
        <f t="shared" si="4"/>
        <v>0</v>
      </c>
      <c r="O37" s="380">
        <f>SUMIFS('Cable Tray-Log-out'!L:L,'Cable Tray-Log-out'!D:D,U37)</f>
        <v>0</v>
      </c>
      <c r="P37" s="382"/>
      <c r="Q37" s="383"/>
      <c r="R37" s="382">
        <f t="shared" si="5"/>
        <v>0</v>
      </c>
      <c r="S37" s="389"/>
      <c r="T37" s="381"/>
      <c r="U37" s="141" t="s">
        <v>820</v>
      </c>
      <c r="V37" s="141" t="s">
        <v>804</v>
      </c>
      <c r="W37" s="141" t="str">
        <f t="shared" ref="W37:Z68" si="6">D37</f>
        <v>Console KS3-640</v>
      </c>
      <c r="X37" s="141" t="str">
        <f t="shared" si="6"/>
        <v>3-KS3-640-M-TA4</v>
      </c>
      <c r="Y37" s="141" t="str">
        <f t="shared" si="6"/>
        <v>644x45x146; T=3.0</v>
      </c>
      <c r="Z37" s="10" t="str">
        <f t="shared" si="6"/>
        <v>pcs</v>
      </c>
      <c r="AA37" s="59"/>
      <c r="AB37" s="59"/>
      <c r="AC37" s="59" t="s">
        <v>700</v>
      </c>
    </row>
    <row r="38" spans="1:29" ht="27.6" customHeight="1">
      <c r="A38" s="344" t="s">
        <v>824</v>
      </c>
      <c r="B38" s="59">
        <v>34</v>
      </c>
      <c r="C38" s="397" t="s">
        <v>804</v>
      </c>
      <c r="D38" s="388" t="s">
        <v>821</v>
      </c>
      <c r="E38" s="376" t="s">
        <v>822</v>
      </c>
      <c r="F38" s="376" t="s">
        <v>823</v>
      </c>
      <c r="G38" s="377" t="s">
        <v>700</v>
      </c>
      <c r="H38" s="378">
        <v>1865</v>
      </c>
      <c r="I38" s="379">
        <v>1865</v>
      </c>
      <c r="J38" s="359">
        <f t="shared" si="2"/>
        <v>0</v>
      </c>
      <c r="K38" s="359">
        <v>0</v>
      </c>
      <c r="L38" s="359">
        <f>SUMIFS('Cable Tray-income  '!L:L,'Cable Tray-income  '!F:F,케이블트레이입.출고현황!U38)</f>
        <v>423</v>
      </c>
      <c r="M38" s="360">
        <f t="shared" si="3"/>
        <v>1442</v>
      </c>
      <c r="N38" s="412">
        <f t="shared" si="4"/>
        <v>423</v>
      </c>
      <c r="O38" s="413">
        <f>SUMIFS('Cable Tray-Log-out'!L:L,'Cable Tray-Log-out'!D:D,U38)</f>
        <v>144</v>
      </c>
      <c r="P38" s="382"/>
      <c r="Q38" s="383"/>
      <c r="R38" s="382">
        <f t="shared" si="5"/>
        <v>279</v>
      </c>
      <c r="S38" s="389"/>
      <c r="T38" s="381"/>
      <c r="U38" s="141" t="s">
        <v>824</v>
      </c>
      <c r="V38" s="141" t="s">
        <v>804</v>
      </c>
      <c r="W38" s="141" t="str">
        <f t="shared" si="6"/>
        <v>Console KS3-750</v>
      </c>
      <c r="X38" s="141" t="str">
        <f t="shared" si="6"/>
        <v>3-KS3-750-M-TA4</v>
      </c>
      <c r="Y38" s="141" t="str">
        <f t="shared" si="6"/>
        <v>754x45x146; T=3.0</v>
      </c>
      <c r="Z38" s="10" t="str">
        <f t="shared" si="6"/>
        <v>pcs</v>
      </c>
      <c r="AA38" s="59"/>
      <c r="AB38" s="59"/>
      <c r="AC38" s="59" t="s">
        <v>700</v>
      </c>
    </row>
    <row r="39" spans="1:29" ht="27.6" hidden="1" customHeight="1">
      <c r="A39" s="344" t="s">
        <v>828</v>
      </c>
      <c r="B39" s="59">
        <v>35</v>
      </c>
      <c r="C39" s="397" t="s">
        <v>804</v>
      </c>
      <c r="D39" s="388" t="s">
        <v>825</v>
      </c>
      <c r="E39" s="376" t="s">
        <v>826</v>
      </c>
      <c r="F39" s="376" t="s">
        <v>827</v>
      </c>
      <c r="G39" s="377" t="s">
        <v>700</v>
      </c>
      <c r="H39" s="378">
        <v>82</v>
      </c>
      <c r="I39" s="379">
        <v>82</v>
      </c>
      <c r="J39" s="359">
        <f t="shared" si="2"/>
        <v>0</v>
      </c>
      <c r="K39" s="359">
        <v>0</v>
      </c>
      <c r="L39" s="359">
        <f>SUMIFS('Cable Tray-income  '!L:L,'Cable Tray-income  '!F:F,케이블트레이입.출고현황!U39)</f>
        <v>0</v>
      </c>
      <c r="M39" s="360">
        <f t="shared" si="3"/>
        <v>82</v>
      </c>
      <c r="N39" s="382">
        <f t="shared" si="4"/>
        <v>0</v>
      </c>
      <c r="O39" s="380">
        <f>SUMIFS('Cable Tray-Log-out'!L:L,'Cable Tray-Log-out'!D:D,U39)</f>
        <v>0</v>
      </c>
      <c r="P39" s="382"/>
      <c r="Q39" s="383"/>
      <c r="R39" s="382">
        <f t="shared" si="5"/>
        <v>0</v>
      </c>
      <c r="S39" s="389"/>
      <c r="T39" s="381"/>
      <c r="U39" s="141" t="s">
        <v>828</v>
      </c>
      <c r="V39" s="141" t="s">
        <v>804</v>
      </c>
      <c r="W39" s="141" t="str">
        <f t="shared" si="6"/>
        <v>Console KS3-850</v>
      </c>
      <c r="X39" s="141" t="str">
        <f t="shared" si="6"/>
        <v>3-KS3-850-M-TA4</v>
      </c>
      <c r="Y39" s="141" t="str">
        <f t="shared" si="6"/>
        <v>850x50x180; T=4.0</v>
      </c>
      <c r="Z39" s="10" t="str">
        <f t="shared" si="6"/>
        <v>pcs</v>
      </c>
      <c r="AA39" s="59"/>
      <c r="AB39" s="59"/>
      <c r="AC39" s="59" t="s">
        <v>700</v>
      </c>
    </row>
    <row r="40" spans="1:29" ht="27.6" hidden="1" customHeight="1">
      <c r="A40" s="344" t="s">
        <v>832</v>
      </c>
      <c r="B40" s="59">
        <v>36</v>
      </c>
      <c r="C40" s="397" t="s">
        <v>804</v>
      </c>
      <c r="D40" s="388" t="s">
        <v>829</v>
      </c>
      <c r="E40" s="376" t="s">
        <v>830</v>
      </c>
      <c r="F40" s="376" t="s">
        <v>831</v>
      </c>
      <c r="G40" s="377" t="s">
        <v>700</v>
      </c>
      <c r="H40" s="378">
        <v>80</v>
      </c>
      <c r="I40" s="379">
        <v>80</v>
      </c>
      <c r="J40" s="359">
        <f t="shared" si="2"/>
        <v>0</v>
      </c>
      <c r="K40" s="359">
        <v>0</v>
      </c>
      <c r="L40" s="359">
        <f>SUMIFS('Cable Tray-income  '!L:L,'Cable Tray-income  '!F:F,케이블트레이입.출고현황!U40)</f>
        <v>0</v>
      </c>
      <c r="M40" s="360">
        <f t="shared" si="3"/>
        <v>80</v>
      </c>
      <c r="N40" s="382">
        <f t="shared" si="4"/>
        <v>0</v>
      </c>
      <c r="O40" s="380">
        <f>SUMIFS('Cable Tray-Log-out'!L:L,'Cable Tray-Log-out'!D:D,U40)</f>
        <v>0</v>
      </c>
      <c r="P40" s="382"/>
      <c r="Q40" s="383"/>
      <c r="R40" s="382">
        <f t="shared" si="5"/>
        <v>0</v>
      </c>
      <c r="S40" s="389"/>
      <c r="T40" s="381"/>
      <c r="U40" s="141" t="s">
        <v>832</v>
      </c>
      <c r="V40" s="141" t="s">
        <v>804</v>
      </c>
      <c r="W40" s="141" t="str">
        <f t="shared" si="6"/>
        <v>Console KS3-1050</v>
      </c>
      <c r="X40" s="141" t="str">
        <f t="shared" si="6"/>
        <v>3-KS3-1050-M-TA4</v>
      </c>
      <c r="Y40" s="141" t="str">
        <f t="shared" si="6"/>
        <v>1050x50x180; T=4.0</v>
      </c>
      <c r="Z40" s="10" t="str">
        <f t="shared" si="6"/>
        <v>pcs</v>
      </c>
      <c r="AA40" s="59"/>
      <c r="AB40" s="59"/>
      <c r="AC40" s="59" t="s">
        <v>700</v>
      </c>
    </row>
    <row r="41" spans="1:29" ht="27.6" hidden="1" customHeight="1">
      <c r="A41" s="344" t="s">
        <v>836</v>
      </c>
      <c r="B41" s="59">
        <v>37</v>
      </c>
      <c r="C41" s="397"/>
      <c r="D41" s="388" t="s">
        <v>833</v>
      </c>
      <c r="E41" s="376" t="s">
        <v>834</v>
      </c>
      <c r="F41" s="376" t="s">
        <v>835</v>
      </c>
      <c r="G41" s="377" t="s">
        <v>700</v>
      </c>
      <c r="H41" s="378">
        <v>10</v>
      </c>
      <c r="I41" s="379">
        <v>10</v>
      </c>
      <c r="J41" s="359">
        <f t="shared" si="2"/>
        <v>0</v>
      </c>
      <c r="K41" s="359">
        <v>0</v>
      </c>
      <c r="L41" s="359">
        <f>SUMIFS('Cable Tray-income  '!L:L,'Cable Tray-income  '!F:F,케이블트레이입.출고현황!U41)</f>
        <v>0</v>
      </c>
      <c r="M41" s="360">
        <f t="shared" si="3"/>
        <v>10</v>
      </c>
      <c r="N41" s="382">
        <f t="shared" si="4"/>
        <v>0</v>
      </c>
      <c r="O41" s="380">
        <f>SUMIFS('Cable Tray-Log-out'!L:L,'Cable Tray-Log-out'!D:D,U41)</f>
        <v>0</v>
      </c>
      <c r="P41" s="382"/>
      <c r="Q41" s="383"/>
      <c r="R41" s="382">
        <f t="shared" si="5"/>
        <v>0</v>
      </c>
      <c r="S41" s="389"/>
      <c r="T41" s="381"/>
      <c r="U41" s="141" t="s">
        <v>836</v>
      </c>
      <c r="V41" s="141"/>
      <c r="W41" s="141" t="str">
        <f t="shared" si="6"/>
        <v>Perforated Z-section</v>
      </c>
      <c r="X41" s="141" t="str">
        <f t="shared" si="6"/>
        <v>3-PZ-N-83x40x80x8-TA4</v>
      </c>
      <c r="Y41" s="141" t="str">
        <f t="shared" si="6"/>
        <v>83x40x80x8; T=3.0</v>
      </c>
      <c r="Z41" s="10" t="str">
        <f t="shared" si="6"/>
        <v>pcs</v>
      </c>
      <c r="AA41" s="59"/>
      <c r="AB41" s="59"/>
      <c r="AC41" s="59" t="s">
        <v>700</v>
      </c>
    </row>
    <row r="42" spans="1:29" ht="27.6" hidden="1" customHeight="1">
      <c r="A42" s="344" t="s">
        <v>1024</v>
      </c>
      <c r="B42" s="59">
        <v>38</v>
      </c>
      <c r="C42" s="397" t="s">
        <v>837</v>
      </c>
      <c r="D42" s="388" t="s">
        <v>838</v>
      </c>
      <c r="E42" s="376" t="s">
        <v>839</v>
      </c>
      <c r="F42" s="376" t="s">
        <v>840</v>
      </c>
      <c r="G42" s="377" t="s">
        <v>700</v>
      </c>
      <c r="H42" s="378">
        <v>1</v>
      </c>
      <c r="I42" s="379">
        <v>1</v>
      </c>
      <c r="J42" s="359">
        <f t="shared" si="2"/>
        <v>0</v>
      </c>
      <c r="K42" s="359">
        <v>0</v>
      </c>
      <c r="L42" s="359">
        <f>SUMIFS('Cable Tray-income  '!L:L,'Cable Tray-income  '!F:F,케이블트레이입.출고현황!U42)</f>
        <v>0</v>
      </c>
      <c r="M42" s="360">
        <f t="shared" si="3"/>
        <v>1</v>
      </c>
      <c r="N42" s="382">
        <f t="shared" si="4"/>
        <v>0</v>
      </c>
      <c r="O42" s="380">
        <f>SUMIFS('Cable Tray-Log-out'!L:L,'Cable Tray-Log-out'!D:D,U42)</f>
        <v>0</v>
      </c>
      <c r="P42" s="382"/>
      <c r="Q42" s="383"/>
      <c r="R42" s="382">
        <f t="shared" si="5"/>
        <v>0</v>
      </c>
      <c r="S42" s="389"/>
      <c r="T42" s="381"/>
      <c r="U42" s="342" t="s">
        <v>841</v>
      </c>
      <c r="V42" s="342" t="s">
        <v>837</v>
      </c>
      <c r="W42" s="141" t="str">
        <f t="shared" si="6"/>
        <v>Rack ST</v>
      </c>
      <c r="X42" s="141" t="str">
        <f t="shared" si="6"/>
        <v>3-ST-60-4-M-TA4</v>
      </c>
      <c r="Y42" s="141" t="str">
        <f t="shared" si="6"/>
        <v>600x63x37; T=4.0</v>
      </c>
      <c r="Z42" s="10" t="str">
        <f t="shared" si="6"/>
        <v>pcs</v>
      </c>
      <c r="AA42" s="59"/>
      <c r="AB42" s="59"/>
      <c r="AC42" s="59" t="s">
        <v>700</v>
      </c>
    </row>
    <row r="43" spans="1:29" ht="27.6" hidden="1" customHeight="1">
      <c r="A43" s="344" t="s">
        <v>844</v>
      </c>
      <c r="B43" s="59">
        <v>39</v>
      </c>
      <c r="C43" s="397" t="s">
        <v>837</v>
      </c>
      <c r="D43" s="388" t="s">
        <v>838</v>
      </c>
      <c r="E43" s="376" t="s">
        <v>842</v>
      </c>
      <c r="F43" s="376" t="s">
        <v>843</v>
      </c>
      <c r="G43" s="377" t="s">
        <v>700</v>
      </c>
      <c r="H43" s="378">
        <v>15</v>
      </c>
      <c r="I43" s="379">
        <v>15</v>
      </c>
      <c r="J43" s="359">
        <f t="shared" si="2"/>
        <v>0</v>
      </c>
      <c r="K43" s="359">
        <v>0</v>
      </c>
      <c r="L43" s="359">
        <f>SUMIFS('Cable Tray-income  '!L:L,'Cable Tray-income  '!F:F,케이블트레이입.출고현황!U43)</f>
        <v>0</v>
      </c>
      <c r="M43" s="360">
        <f t="shared" si="3"/>
        <v>15</v>
      </c>
      <c r="N43" s="382">
        <f t="shared" si="4"/>
        <v>0</v>
      </c>
      <c r="O43" s="380">
        <f>SUMIFS('Cable Tray-Log-out'!L:L,'Cable Tray-Log-out'!D:D,U43)</f>
        <v>0</v>
      </c>
      <c r="P43" s="382"/>
      <c r="Q43" s="383"/>
      <c r="R43" s="382">
        <f t="shared" si="5"/>
        <v>0</v>
      </c>
      <c r="S43" s="389"/>
      <c r="T43" s="381"/>
      <c r="U43" s="342" t="s">
        <v>844</v>
      </c>
      <c r="V43" s="342" t="s">
        <v>837</v>
      </c>
      <c r="W43" s="141" t="str">
        <f t="shared" si="6"/>
        <v>Rack ST</v>
      </c>
      <c r="X43" s="141" t="str">
        <f t="shared" si="6"/>
        <v>3-ST-80-4-M-TA4</v>
      </c>
      <c r="Y43" s="141" t="str">
        <f t="shared" si="6"/>
        <v>800x63x37;
T=4.0</v>
      </c>
      <c r="Z43" s="10" t="str">
        <f t="shared" si="6"/>
        <v>pcs</v>
      </c>
      <c r="AA43" s="59"/>
      <c r="AB43" s="59"/>
      <c r="AC43" s="59" t="s">
        <v>700</v>
      </c>
    </row>
    <row r="44" spans="1:29" ht="27.6" hidden="1" customHeight="1">
      <c r="A44" s="344" t="s">
        <v>847</v>
      </c>
      <c r="B44" s="59">
        <v>40</v>
      </c>
      <c r="C44" s="397" t="s">
        <v>837</v>
      </c>
      <c r="D44" s="388" t="s">
        <v>838</v>
      </c>
      <c r="E44" s="376" t="s">
        <v>845</v>
      </c>
      <c r="F44" s="376" t="s">
        <v>846</v>
      </c>
      <c r="G44" s="377" t="s">
        <v>700</v>
      </c>
      <c r="H44" s="378">
        <v>286</v>
      </c>
      <c r="I44" s="379">
        <v>286</v>
      </c>
      <c r="J44" s="359">
        <f t="shared" si="2"/>
        <v>0</v>
      </c>
      <c r="K44" s="359">
        <v>0</v>
      </c>
      <c r="L44" s="359">
        <f>SUMIFS('Cable Tray-income  '!L:L,'Cable Tray-income  '!F:F,케이블트레이입.출고현황!U44)</f>
        <v>0</v>
      </c>
      <c r="M44" s="360">
        <f t="shared" si="3"/>
        <v>286</v>
      </c>
      <c r="N44" s="382">
        <f t="shared" si="4"/>
        <v>0</v>
      </c>
      <c r="O44" s="380">
        <f>SUMIFS('Cable Tray-Log-out'!L:L,'Cable Tray-Log-out'!D:D,U44)</f>
        <v>0</v>
      </c>
      <c r="P44" s="382"/>
      <c r="Q44" s="383"/>
      <c r="R44" s="382">
        <f t="shared" si="5"/>
        <v>0</v>
      </c>
      <c r="S44" s="389"/>
      <c r="T44" s="381"/>
      <c r="U44" s="141" t="s">
        <v>847</v>
      </c>
      <c r="V44" s="141" t="s">
        <v>837</v>
      </c>
      <c r="W44" s="141" t="str">
        <f t="shared" si="6"/>
        <v>Rack ST</v>
      </c>
      <c r="X44" s="141" t="str">
        <f t="shared" si="6"/>
        <v>3-ST-90-4-M-TA4</v>
      </c>
      <c r="Y44" s="141" t="str">
        <f t="shared" si="6"/>
        <v>900x63x37x20; T=4.0</v>
      </c>
      <c r="Z44" s="10" t="str">
        <f t="shared" si="6"/>
        <v>pcs</v>
      </c>
      <c r="AA44" s="59"/>
      <c r="AB44" s="59"/>
      <c r="AC44" s="59" t="s">
        <v>700</v>
      </c>
    </row>
    <row r="45" spans="1:29" ht="27.6" hidden="1" customHeight="1">
      <c r="A45" s="344" t="s">
        <v>1025</v>
      </c>
      <c r="B45" s="59">
        <v>41</v>
      </c>
      <c r="C45" s="397" t="s">
        <v>837</v>
      </c>
      <c r="D45" s="388" t="s">
        <v>838</v>
      </c>
      <c r="E45" s="376" t="s">
        <v>848</v>
      </c>
      <c r="F45" s="376" t="s">
        <v>849</v>
      </c>
      <c r="G45" s="377" t="s">
        <v>700</v>
      </c>
      <c r="H45" s="378">
        <v>3</v>
      </c>
      <c r="I45" s="379">
        <v>3</v>
      </c>
      <c r="J45" s="359">
        <f t="shared" si="2"/>
        <v>0</v>
      </c>
      <c r="K45" s="359">
        <v>0</v>
      </c>
      <c r="L45" s="359">
        <f>SUMIFS('Cable Tray-income  '!L:L,'Cable Tray-income  '!F:F,케이블트레이입.출고현황!U45)</f>
        <v>0</v>
      </c>
      <c r="M45" s="360">
        <f t="shared" si="3"/>
        <v>3</v>
      </c>
      <c r="N45" s="382">
        <f t="shared" si="4"/>
        <v>0</v>
      </c>
      <c r="O45" s="380">
        <f>SUMIFS('Cable Tray-Log-out'!L:L,'Cable Tray-Log-out'!D:D,U45)</f>
        <v>0</v>
      </c>
      <c r="P45" s="382"/>
      <c r="Q45" s="383"/>
      <c r="R45" s="382">
        <f t="shared" si="5"/>
        <v>0</v>
      </c>
      <c r="S45" s="389"/>
      <c r="T45" s="381"/>
      <c r="U45" s="342" t="s">
        <v>850</v>
      </c>
      <c r="V45" s="342" t="s">
        <v>837</v>
      </c>
      <c r="W45" s="141" t="str">
        <f t="shared" si="6"/>
        <v>Rack ST</v>
      </c>
      <c r="X45" s="141" t="str">
        <f t="shared" si="6"/>
        <v>3-ST-100-4-M-TA4</v>
      </c>
      <c r="Y45" s="141" t="str">
        <f t="shared" si="6"/>
        <v>1000x 63x37; T=4.0</v>
      </c>
      <c r="Z45" s="10" t="str">
        <f t="shared" si="6"/>
        <v>pcs</v>
      </c>
      <c r="AA45" s="59"/>
      <c r="AB45" s="59"/>
      <c r="AC45" s="59" t="s">
        <v>700</v>
      </c>
    </row>
    <row r="46" spans="1:29" ht="27.6" hidden="1" customHeight="1">
      <c r="A46" s="344" t="s">
        <v>853</v>
      </c>
      <c r="B46" s="59">
        <v>42</v>
      </c>
      <c r="C46" s="397" t="s">
        <v>837</v>
      </c>
      <c r="D46" s="388" t="s">
        <v>838</v>
      </c>
      <c r="E46" s="376" t="s">
        <v>851</v>
      </c>
      <c r="F46" s="376" t="s">
        <v>852</v>
      </c>
      <c r="G46" s="377" t="s">
        <v>700</v>
      </c>
      <c r="H46" s="378">
        <v>24</v>
      </c>
      <c r="I46" s="379">
        <v>24</v>
      </c>
      <c r="J46" s="359">
        <f t="shared" si="2"/>
        <v>0</v>
      </c>
      <c r="K46" s="359">
        <v>0</v>
      </c>
      <c r="L46" s="359">
        <f>SUMIFS('Cable Tray-income  '!L:L,'Cable Tray-income  '!F:F,케이블트레이입.출고현황!U46)</f>
        <v>0</v>
      </c>
      <c r="M46" s="360">
        <f t="shared" si="3"/>
        <v>24</v>
      </c>
      <c r="N46" s="382">
        <f t="shared" si="4"/>
        <v>0</v>
      </c>
      <c r="O46" s="380">
        <f>SUMIFS('Cable Tray-Log-out'!L:L,'Cable Tray-Log-out'!D:D,U46)</f>
        <v>0</v>
      </c>
      <c r="P46" s="382"/>
      <c r="Q46" s="383"/>
      <c r="R46" s="382">
        <f t="shared" si="5"/>
        <v>0</v>
      </c>
      <c r="S46" s="389"/>
      <c r="T46" s="381"/>
      <c r="U46" s="141" t="s">
        <v>853</v>
      </c>
      <c r="V46" s="141" t="s">
        <v>837</v>
      </c>
      <c r="W46" s="141" t="str">
        <f t="shared" si="6"/>
        <v>Rack ST</v>
      </c>
      <c r="X46" s="141" t="str">
        <f t="shared" si="6"/>
        <v>3-ST-120-4-M-TA4</v>
      </c>
      <c r="Y46" s="141" t="str">
        <f t="shared" si="6"/>
        <v>1200x63x37x20; T=4.0</v>
      </c>
      <c r="Z46" s="10" t="str">
        <f t="shared" si="6"/>
        <v>pcs</v>
      </c>
      <c r="AA46" s="59"/>
      <c r="AB46" s="59"/>
      <c r="AC46" s="59" t="s">
        <v>700</v>
      </c>
    </row>
    <row r="47" spans="1:29" ht="27.6" hidden="1" customHeight="1">
      <c r="A47" s="344" t="s">
        <v>856</v>
      </c>
      <c r="B47" s="59">
        <v>43</v>
      </c>
      <c r="C47" s="397" t="s">
        <v>837</v>
      </c>
      <c r="D47" s="388" t="s">
        <v>838</v>
      </c>
      <c r="E47" s="376" t="s">
        <v>854</v>
      </c>
      <c r="F47" s="376" t="s">
        <v>855</v>
      </c>
      <c r="G47" s="377" t="s">
        <v>700</v>
      </c>
      <c r="H47" s="378">
        <v>223</v>
      </c>
      <c r="I47" s="379">
        <v>223</v>
      </c>
      <c r="J47" s="359">
        <f t="shared" si="2"/>
        <v>0</v>
      </c>
      <c r="K47" s="359">
        <v>0</v>
      </c>
      <c r="L47" s="359">
        <f>SUMIFS('Cable Tray-income  '!L:L,'Cable Tray-income  '!F:F,케이블트레이입.출고현황!U47)</f>
        <v>0</v>
      </c>
      <c r="M47" s="360">
        <f t="shared" si="3"/>
        <v>223</v>
      </c>
      <c r="N47" s="382">
        <f t="shared" si="4"/>
        <v>0</v>
      </c>
      <c r="O47" s="380">
        <f>SUMIFS('Cable Tray-Log-out'!L:L,'Cable Tray-Log-out'!D:D,U47)</f>
        <v>0</v>
      </c>
      <c r="P47" s="382"/>
      <c r="Q47" s="383"/>
      <c r="R47" s="382">
        <f t="shared" si="5"/>
        <v>0</v>
      </c>
      <c r="S47" s="389"/>
      <c r="T47" s="381"/>
      <c r="U47" s="141" t="s">
        <v>856</v>
      </c>
      <c r="V47" s="141" t="s">
        <v>837</v>
      </c>
      <c r="W47" s="141" t="str">
        <f t="shared" si="6"/>
        <v>Rack ST</v>
      </c>
      <c r="X47" s="141" t="str">
        <f t="shared" si="6"/>
        <v>3-ST-150-4-M-TA4</v>
      </c>
      <c r="Y47" s="141" t="str">
        <f t="shared" si="6"/>
        <v>1500x63x37x20; T=4.0</v>
      </c>
      <c r="Z47" s="10" t="str">
        <f t="shared" si="6"/>
        <v>pcs</v>
      </c>
      <c r="AA47" s="59"/>
      <c r="AB47" s="59"/>
      <c r="AC47" s="59" t="s">
        <v>700</v>
      </c>
    </row>
    <row r="48" spans="1:29" ht="27.6" hidden="1" customHeight="1">
      <c r="A48" s="344" t="s">
        <v>1026</v>
      </c>
      <c r="B48" s="59">
        <v>44</v>
      </c>
      <c r="C48" s="397" t="s">
        <v>837</v>
      </c>
      <c r="D48" s="388" t="s">
        <v>838</v>
      </c>
      <c r="E48" s="376" t="s">
        <v>857</v>
      </c>
      <c r="F48" s="376" t="s">
        <v>858</v>
      </c>
      <c r="G48" s="377" t="s">
        <v>700</v>
      </c>
      <c r="H48" s="378">
        <v>3</v>
      </c>
      <c r="I48" s="379">
        <v>3</v>
      </c>
      <c r="J48" s="359">
        <f t="shared" si="2"/>
        <v>0</v>
      </c>
      <c r="K48" s="359">
        <v>0</v>
      </c>
      <c r="L48" s="359">
        <f>SUMIFS('Cable Tray-income  '!L:L,'Cable Tray-income  '!F:F,케이블트레이입.출고현황!U48)</f>
        <v>0</v>
      </c>
      <c r="M48" s="360">
        <f t="shared" si="3"/>
        <v>3</v>
      </c>
      <c r="N48" s="382">
        <f t="shared" si="4"/>
        <v>0</v>
      </c>
      <c r="O48" s="380">
        <f>SUMIFS('Cable Tray-Log-out'!L:L,'Cable Tray-Log-out'!D:D,U48)</f>
        <v>0</v>
      </c>
      <c r="P48" s="382"/>
      <c r="Q48" s="383"/>
      <c r="R48" s="382">
        <f t="shared" si="5"/>
        <v>0</v>
      </c>
      <c r="S48" s="389"/>
      <c r="T48" s="381"/>
      <c r="U48" s="342" t="s">
        <v>859</v>
      </c>
      <c r="V48" s="342" t="s">
        <v>837</v>
      </c>
      <c r="W48" s="141" t="str">
        <f t="shared" si="6"/>
        <v>Rack ST</v>
      </c>
      <c r="X48" s="141" t="str">
        <f t="shared" si="6"/>
        <v>3-ST-160-4-M-TA4</v>
      </c>
      <c r="Y48" s="141" t="str">
        <f t="shared" si="6"/>
        <v>1600x63x37; T=4.0</v>
      </c>
      <c r="Z48" s="10" t="str">
        <f t="shared" si="6"/>
        <v>pcs</v>
      </c>
      <c r="AA48" s="59"/>
      <c r="AB48" s="59"/>
      <c r="AC48" s="59" t="s">
        <v>700</v>
      </c>
    </row>
    <row r="49" spans="1:29" ht="27.6" hidden="1" customHeight="1">
      <c r="A49" s="344" t="s">
        <v>862</v>
      </c>
      <c r="B49" s="59">
        <v>45</v>
      </c>
      <c r="C49" s="397" t="s">
        <v>837</v>
      </c>
      <c r="D49" s="388" t="s">
        <v>838</v>
      </c>
      <c r="E49" s="376" t="s">
        <v>860</v>
      </c>
      <c r="F49" s="376" t="s">
        <v>861</v>
      </c>
      <c r="G49" s="377" t="s">
        <v>700</v>
      </c>
      <c r="H49" s="378">
        <v>56</v>
      </c>
      <c r="I49" s="379">
        <v>56</v>
      </c>
      <c r="J49" s="359">
        <f t="shared" si="2"/>
        <v>0</v>
      </c>
      <c r="K49" s="359">
        <v>0</v>
      </c>
      <c r="L49" s="359">
        <f>SUMIFS('Cable Tray-income  '!L:L,'Cable Tray-income  '!F:F,케이블트레이입.출고현황!U49)</f>
        <v>0</v>
      </c>
      <c r="M49" s="360">
        <f t="shared" si="3"/>
        <v>56</v>
      </c>
      <c r="N49" s="382">
        <f t="shared" si="4"/>
        <v>0</v>
      </c>
      <c r="O49" s="380">
        <f>SUMIFS('Cable Tray-Log-out'!L:L,'Cable Tray-Log-out'!D:D,U49)</f>
        <v>0</v>
      </c>
      <c r="P49" s="382"/>
      <c r="Q49" s="383"/>
      <c r="R49" s="382">
        <f t="shared" si="5"/>
        <v>0</v>
      </c>
      <c r="S49" s="389"/>
      <c r="T49" s="381"/>
      <c r="U49" s="342" t="s">
        <v>862</v>
      </c>
      <c r="V49" s="342" t="s">
        <v>837</v>
      </c>
      <c r="W49" s="141" t="str">
        <f t="shared" si="6"/>
        <v>Rack ST</v>
      </c>
      <c r="X49" s="141" t="str">
        <f t="shared" si="6"/>
        <v>3-ST-180-4-M-TA4</v>
      </c>
      <c r="Y49" s="141" t="str">
        <f t="shared" si="6"/>
        <v>1800x63x37; T=4.0</v>
      </c>
      <c r="Z49" s="10" t="str">
        <f t="shared" si="6"/>
        <v>pcs</v>
      </c>
      <c r="AA49" s="59"/>
      <c r="AB49" s="59"/>
      <c r="AC49" s="59" t="s">
        <v>700</v>
      </c>
    </row>
    <row r="50" spans="1:29" ht="27.6" hidden="1" customHeight="1">
      <c r="A50" s="344" t="s">
        <v>865</v>
      </c>
      <c r="B50" s="59">
        <v>46</v>
      </c>
      <c r="C50" s="397" t="s">
        <v>837</v>
      </c>
      <c r="D50" s="388" t="s">
        <v>838</v>
      </c>
      <c r="E50" s="376" t="s">
        <v>863</v>
      </c>
      <c r="F50" s="376" t="s">
        <v>864</v>
      </c>
      <c r="G50" s="377" t="s">
        <v>700</v>
      </c>
      <c r="H50" s="378">
        <v>321</v>
      </c>
      <c r="I50" s="379">
        <v>321</v>
      </c>
      <c r="J50" s="359">
        <f t="shared" si="2"/>
        <v>0</v>
      </c>
      <c r="K50" s="359">
        <v>0</v>
      </c>
      <c r="L50" s="359">
        <f>SUMIFS('Cable Tray-income  '!L:L,'Cable Tray-income  '!F:F,케이블트레이입.출고현황!U50)</f>
        <v>0</v>
      </c>
      <c r="M50" s="360">
        <f t="shared" si="3"/>
        <v>321</v>
      </c>
      <c r="N50" s="382">
        <f t="shared" si="4"/>
        <v>0</v>
      </c>
      <c r="O50" s="380">
        <f>SUMIFS('Cable Tray-Log-out'!L:L,'Cable Tray-Log-out'!D:D,U50)</f>
        <v>0</v>
      </c>
      <c r="P50" s="382"/>
      <c r="Q50" s="383"/>
      <c r="R50" s="382">
        <f t="shared" si="5"/>
        <v>0</v>
      </c>
      <c r="S50" s="389"/>
      <c r="T50" s="381"/>
      <c r="U50" s="141" t="s">
        <v>865</v>
      </c>
      <c r="V50" s="141" t="s">
        <v>837</v>
      </c>
      <c r="W50" s="141" t="str">
        <f t="shared" si="6"/>
        <v>Rack ST</v>
      </c>
      <c r="X50" s="141" t="str">
        <f t="shared" si="6"/>
        <v>3-ST-200-4-M-TA4</v>
      </c>
      <c r="Y50" s="141" t="str">
        <f t="shared" si="6"/>
        <v>2000x63x37x20; T=4.0</v>
      </c>
      <c r="Z50" s="10" t="str">
        <f t="shared" si="6"/>
        <v>pcs</v>
      </c>
      <c r="AA50" s="59"/>
      <c r="AB50" s="59"/>
      <c r="AC50" s="59" t="s">
        <v>700</v>
      </c>
    </row>
    <row r="51" spans="1:29" ht="27.6" hidden="1" customHeight="1">
      <c r="A51" s="344" t="s">
        <v>1027</v>
      </c>
      <c r="B51" s="59">
        <v>47</v>
      </c>
      <c r="C51" s="397" t="s">
        <v>837</v>
      </c>
      <c r="D51" s="388" t="s">
        <v>838</v>
      </c>
      <c r="E51" s="376" t="s">
        <v>866</v>
      </c>
      <c r="F51" s="376" t="s">
        <v>867</v>
      </c>
      <c r="G51" s="377" t="s">
        <v>700</v>
      </c>
      <c r="H51" s="378">
        <v>0</v>
      </c>
      <c r="I51" s="379">
        <v>0</v>
      </c>
      <c r="J51" s="359">
        <f t="shared" si="2"/>
        <v>0</v>
      </c>
      <c r="K51" s="359">
        <v>0</v>
      </c>
      <c r="L51" s="359">
        <f>SUMIFS('Cable Tray-income  '!L:L,'Cable Tray-income  '!F:F,케이블트레이입.출고현황!U51)</f>
        <v>0</v>
      </c>
      <c r="M51" s="360">
        <f t="shared" si="3"/>
        <v>0</v>
      </c>
      <c r="N51" s="382">
        <f t="shared" si="4"/>
        <v>0</v>
      </c>
      <c r="O51" s="380">
        <f>SUMIFS('Cable Tray-Log-out'!L:L,'Cable Tray-Log-out'!D:D,U51)</f>
        <v>0</v>
      </c>
      <c r="P51" s="382"/>
      <c r="Q51" s="383"/>
      <c r="R51" s="382">
        <f t="shared" si="5"/>
        <v>0</v>
      </c>
      <c r="S51" s="389"/>
      <c r="T51" s="381"/>
      <c r="U51" s="342" t="s">
        <v>868</v>
      </c>
      <c r="V51" s="342" t="s">
        <v>837</v>
      </c>
      <c r="W51" s="141" t="str">
        <f t="shared" si="6"/>
        <v>Rack ST</v>
      </c>
      <c r="X51" s="141" t="str">
        <f t="shared" si="6"/>
        <v>3-ST-240-4-M-TA4</v>
      </c>
      <c r="Y51" s="141" t="str">
        <f t="shared" si="6"/>
        <v>2400x63x37; T=4.0</v>
      </c>
      <c r="Z51" s="10" t="str">
        <f t="shared" si="6"/>
        <v>pcs</v>
      </c>
      <c r="AA51" s="59"/>
      <c r="AB51" s="59"/>
      <c r="AC51" s="59" t="s">
        <v>700</v>
      </c>
    </row>
    <row r="52" spans="1:29" ht="27.6" customHeight="1">
      <c r="A52" s="344" t="s">
        <v>871</v>
      </c>
      <c r="B52" s="59">
        <v>48</v>
      </c>
      <c r="C52" s="397" t="s">
        <v>837</v>
      </c>
      <c r="D52" s="388" t="s">
        <v>838</v>
      </c>
      <c r="E52" s="386" t="s">
        <v>869</v>
      </c>
      <c r="F52" s="376" t="s">
        <v>870</v>
      </c>
      <c r="G52" s="377" t="s">
        <v>700</v>
      </c>
      <c r="H52" s="378">
        <v>244</v>
      </c>
      <c r="I52" s="379">
        <v>244</v>
      </c>
      <c r="J52" s="359">
        <f t="shared" si="2"/>
        <v>0</v>
      </c>
      <c r="K52" s="359">
        <v>0</v>
      </c>
      <c r="L52" s="359">
        <f>SUMIFS('Cable Tray-income  '!L:L,'Cable Tray-income  '!F:F,케이블트레이입.출고현황!U52)</f>
        <v>119</v>
      </c>
      <c r="M52" s="360">
        <f t="shared" si="3"/>
        <v>125</v>
      </c>
      <c r="N52" s="412">
        <f t="shared" si="4"/>
        <v>119</v>
      </c>
      <c r="O52" s="413">
        <f>SUMIFS('Cable Tray-Log-out'!L:L,'Cable Tray-Log-out'!D:D,U52)</f>
        <v>18</v>
      </c>
      <c r="P52" s="382"/>
      <c r="Q52" s="383"/>
      <c r="R52" s="382">
        <f t="shared" si="5"/>
        <v>101</v>
      </c>
      <c r="S52" s="389"/>
      <c r="T52" s="381"/>
      <c r="U52" s="141" t="s">
        <v>871</v>
      </c>
      <c r="V52" s="141" t="s">
        <v>837</v>
      </c>
      <c r="W52" s="141" t="str">
        <f t="shared" si="6"/>
        <v>Rack ST</v>
      </c>
      <c r="X52" s="141" t="str">
        <f t="shared" si="6"/>
        <v>3-ST-260-4-M-TA4</v>
      </c>
      <c r="Y52" s="141" t="str">
        <f t="shared" si="6"/>
        <v>2600x63x37x20; T=4.0</v>
      </c>
      <c r="Z52" s="10" t="str">
        <f t="shared" si="6"/>
        <v>pcs</v>
      </c>
      <c r="AA52" s="59"/>
      <c r="AB52" s="59"/>
      <c r="AC52" s="59" t="s">
        <v>700</v>
      </c>
    </row>
    <row r="53" spans="1:29" ht="27.6" hidden="1" customHeight="1">
      <c r="A53" s="344" t="s">
        <v>1028</v>
      </c>
      <c r="B53" s="59">
        <v>49</v>
      </c>
      <c r="C53" s="397" t="s">
        <v>837</v>
      </c>
      <c r="D53" s="388" t="s">
        <v>838</v>
      </c>
      <c r="E53" s="386" t="s">
        <v>872</v>
      </c>
      <c r="F53" s="376" t="s">
        <v>873</v>
      </c>
      <c r="G53" s="377" t="s">
        <v>700</v>
      </c>
      <c r="H53" s="378">
        <v>2</v>
      </c>
      <c r="I53" s="379">
        <v>2</v>
      </c>
      <c r="J53" s="359">
        <f t="shared" si="2"/>
        <v>0</v>
      </c>
      <c r="K53" s="359">
        <v>0</v>
      </c>
      <c r="L53" s="359">
        <f>SUMIFS('Cable Tray-income  '!L:L,'Cable Tray-income  '!F:F,케이블트레이입.출고현황!U53)</f>
        <v>0</v>
      </c>
      <c r="M53" s="360">
        <f t="shared" si="3"/>
        <v>2</v>
      </c>
      <c r="N53" s="382">
        <f t="shared" si="4"/>
        <v>0</v>
      </c>
      <c r="O53" s="380">
        <f>SUMIFS('Cable Tray-Log-out'!L:L,'Cable Tray-Log-out'!D:D,U53)</f>
        <v>0</v>
      </c>
      <c r="P53" s="382"/>
      <c r="Q53" s="383"/>
      <c r="R53" s="382">
        <f t="shared" si="5"/>
        <v>0</v>
      </c>
      <c r="S53" s="389"/>
      <c r="T53" s="381"/>
      <c r="U53" s="342" t="s">
        <v>874</v>
      </c>
      <c r="V53" s="342" t="s">
        <v>837</v>
      </c>
      <c r="W53" s="141" t="str">
        <f t="shared" si="6"/>
        <v>Rack ST</v>
      </c>
      <c r="X53" s="141" t="str">
        <f t="shared" si="6"/>
        <v>3-ST-280-4-M-TA4</v>
      </c>
      <c r="Y53" s="141" t="str">
        <f t="shared" si="6"/>
        <v>2800x63x37; T=4.0</v>
      </c>
      <c r="Z53" s="10" t="str">
        <f t="shared" si="6"/>
        <v>pcs</v>
      </c>
      <c r="AA53" s="59"/>
      <c r="AB53" s="59"/>
      <c r="AC53" s="59" t="s">
        <v>700</v>
      </c>
    </row>
    <row r="54" spans="1:29" ht="27.6" hidden="1" customHeight="1">
      <c r="A54" s="344" t="s">
        <v>877</v>
      </c>
      <c r="B54" s="59">
        <v>50</v>
      </c>
      <c r="C54" s="397" t="s">
        <v>837</v>
      </c>
      <c r="D54" s="388" t="s">
        <v>838</v>
      </c>
      <c r="E54" s="386" t="s">
        <v>875</v>
      </c>
      <c r="F54" s="376" t="s">
        <v>876</v>
      </c>
      <c r="G54" s="377" t="s">
        <v>700</v>
      </c>
      <c r="H54" s="378">
        <v>2</v>
      </c>
      <c r="I54" s="379">
        <v>2</v>
      </c>
      <c r="J54" s="359">
        <f t="shared" si="2"/>
        <v>0</v>
      </c>
      <c r="K54" s="359">
        <v>0</v>
      </c>
      <c r="L54" s="359">
        <f>SUMIFS('Cable Tray-income  '!L:L,'Cable Tray-income  '!F:F,케이블트레이입.출고현황!U54)</f>
        <v>0</v>
      </c>
      <c r="M54" s="360">
        <f t="shared" si="3"/>
        <v>2</v>
      </c>
      <c r="N54" s="382">
        <f t="shared" si="4"/>
        <v>0</v>
      </c>
      <c r="O54" s="380">
        <f>SUMIFS('Cable Tray-Log-out'!L:L,'Cable Tray-Log-out'!D:D,U54)</f>
        <v>0</v>
      </c>
      <c r="P54" s="382"/>
      <c r="Q54" s="383"/>
      <c r="R54" s="382">
        <f t="shared" si="5"/>
        <v>0</v>
      </c>
      <c r="S54" s="389"/>
      <c r="T54" s="381"/>
      <c r="U54" s="342" t="s">
        <v>877</v>
      </c>
      <c r="V54" s="342" t="s">
        <v>837</v>
      </c>
      <c r="W54" s="141" t="str">
        <f t="shared" si="6"/>
        <v>Rack ST</v>
      </c>
      <c r="X54" s="141" t="str">
        <f t="shared" si="6"/>
        <v>3-ST-300-4-M-TA4</v>
      </c>
      <c r="Y54" s="141" t="str">
        <f t="shared" si="6"/>
        <v>3000x63x37; T=4.0</v>
      </c>
      <c r="Z54" s="10" t="str">
        <f t="shared" si="6"/>
        <v>pcs</v>
      </c>
      <c r="AA54" s="59"/>
      <c r="AB54" s="59"/>
      <c r="AC54" s="59" t="s">
        <v>700</v>
      </c>
    </row>
    <row r="55" spans="1:29" ht="27.6" hidden="1" customHeight="1">
      <c r="A55" s="344" t="s">
        <v>880</v>
      </c>
      <c r="B55" s="59">
        <v>51</v>
      </c>
      <c r="C55" s="397" t="s">
        <v>837</v>
      </c>
      <c r="D55" s="388" t="s">
        <v>838</v>
      </c>
      <c r="E55" s="376" t="s">
        <v>878</v>
      </c>
      <c r="F55" s="376" t="s">
        <v>879</v>
      </c>
      <c r="G55" s="377" t="s">
        <v>700</v>
      </c>
      <c r="H55" s="378">
        <v>76</v>
      </c>
      <c r="I55" s="379">
        <v>76</v>
      </c>
      <c r="J55" s="359">
        <f t="shared" si="2"/>
        <v>0</v>
      </c>
      <c r="K55" s="359">
        <v>0</v>
      </c>
      <c r="L55" s="359">
        <f>SUMIFS('Cable Tray-income  '!L:L,'Cable Tray-income  '!F:F,케이블트레이입.출고현황!U55)</f>
        <v>0</v>
      </c>
      <c r="M55" s="360">
        <f t="shared" si="3"/>
        <v>76</v>
      </c>
      <c r="N55" s="382">
        <f t="shared" si="4"/>
        <v>0</v>
      </c>
      <c r="O55" s="380">
        <f>SUMIFS('Cable Tray-Log-out'!L:L,'Cable Tray-Log-out'!D:D,U55)</f>
        <v>0</v>
      </c>
      <c r="P55" s="382"/>
      <c r="Q55" s="383"/>
      <c r="R55" s="382">
        <f t="shared" si="5"/>
        <v>0</v>
      </c>
      <c r="S55" s="389"/>
      <c r="T55" s="381"/>
      <c r="U55" s="141" t="s">
        <v>880</v>
      </c>
      <c r="V55" s="141" t="s">
        <v>837</v>
      </c>
      <c r="W55" s="141" t="str">
        <f t="shared" si="6"/>
        <v>Rack ST</v>
      </c>
      <c r="X55" s="141" t="str">
        <f t="shared" si="6"/>
        <v>3-ST-320-4-M-TA4</v>
      </c>
      <c r="Y55" s="141" t="str">
        <f t="shared" si="6"/>
        <v>3200x63x37x20; T=4.0</v>
      </c>
      <c r="Z55" s="10" t="str">
        <f t="shared" si="6"/>
        <v>pcs</v>
      </c>
      <c r="AA55" s="59"/>
      <c r="AB55" s="59"/>
      <c r="AC55" s="59" t="s">
        <v>700</v>
      </c>
    </row>
    <row r="56" spans="1:29" ht="27.6" hidden="1" customHeight="1">
      <c r="A56" s="344" t="s">
        <v>883</v>
      </c>
      <c r="B56" s="59">
        <v>52</v>
      </c>
      <c r="C56" s="397" t="s">
        <v>837</v>
      </c>
      <c r="D56" s="388" t="s">
        <v>838</v>
      </c>
      <c r="E56" s="376" t="s">
        <v>881</v>
      </c>
      <c r="F56" s="376" t="s">
        <v>882</v>
      </c>
      <c r="G56" s="377" t="s">
        <v>700</v>
      </c>
      <c r="H56" s="378">
        <v>116</v>
      </c>
      <c r="I56" s="379">
        <v>116</v>
      </c>
      <c r="J56" s="359">
        <f t="shared" si="2"/>
        <v>0</v>
      </c>
      <c r="K56" s="359">
        <v>0</v>
      </c>
      <c r="L56" s="359">
        <f>SUMIFS('Cable Tray-income  '!L:L,'Cable Tray-income  '!F:F,케이블트레이입.출고현황!U56)</f>
        <v>0</v>
      </c>
      <c r="M56" s="360">
        <f t="shared" si="3"/>
        <v>116</v>
      </c>
      <c r="N56" s="382">
        <f t="shared" si="4"/>
        <v>0</v>
      </c>
      <c r="O56" s="380">
        <f>SUMIFS('Cable Tray-Log-out'!L:L,'Cable Tray-Log-out'!D:D,U56)</f>
        <v>0</v>
      </c>
      <c r="P56" s="382"/>
      <c r="Q56" s="383"/>
      <c r="R56" s="382">
        <f t="shared" si="5"/>
        <v>0</v>
      </c>
      <c r="S56" s="389"/>
      <c r="T56" s="381"/>
      <c r="U56" s="141" t="s">
        <v>883</v>
      </c>
      <c r="V56" s="141" t="s">
        <v>837</v>
      </c>
      <c r="W56" s="141" t="str">
        <f t="shared" si="6"/>
        <v>Rack ST</v>
      </c>
      <c r="X56" s="141" t="str">
        <f t="shared" si="6"/>
        <v>3-ST-380-4-M-TA4</v>
      </c>
      <c r="Y56" s="141" t="str">
        <f t="shared" si="6"/>
        <v>3800x63x37x20; T=4.0</v>
      </c>
      <c r="Z56" s="10" t="str">
        <f t="shared" si="6"/>
        <v>pcs</v>
      </c>
      <c r="AA56" s="59"/>
      <c r="AB56" s="59"/>
      <c r="AC56" s="59" t="s">
        <v>700</v>
      </c>
    </row>
    <row r="57" spans="1:29" ht="27.6" hidden="1" customHeight="1">
      <c r="A57" s="344" t="s">
        <v>1029</v>
      </c>
      <c r="B57" s="59">
        <v>53</v>
      </c>
      <c r="C57" s="397" t="s">
        <v>837</v>
      </c>
      <c r="D57" s="388" t="s">
        <v>884</v>
      </c>
      <c r="E57" s="376" t="s">
        <v>885</v>
      </c>
      <c r="F57" s="376" t="s">
        <v>886</v>
      </c>
      <c r="G57" s="377" t="s">
        <v>700</v>
      </c>
      <c r="H57" s="378">
        <v>17</v>
      </c>
      <c r="I57" s="379">
        <v>17</v>
      </c>
      <c r="J57" s="359">
        <f t="shared" si="2"/>
        <v>0</v>
      </c>
      <c r="K57" s="359">
        <v>0</v>
      </c>
      <c r="L57" s="359">
        <f>SUMIFS('Cable Tray-income  '!L:L,'Cable Tray-income  '!F:F,케이블트레이입.출고현황!U57)</f>
        <v>0</v>
      </c>
      <c r="M57" s="360">
        <f t="shared" si="3"/>
        <v>17</v>
      </c>
      <c r="N57" s="382">
        <f t="shared" si="4"/>
        <v>0</v>
      </c>
      <c r="O57" s="380">
        <f>SUMIFS('Cable Tray-Log-out'!L:L,'Cable Tray-Log-out'!D:D,U57)</f>
        <v>0</v>
      </c>
      <c r="P57" s="382"/>
      <c r="Q57" s="383"/>
      <c r="R57" s="382">
        <f t="shared" si="5"/>
        <v>0</v>
      </c>
      <c r="S57" s="389"/>
      <c r="T57" s="381"/>
      <c r="U57" s="342" t="s">
        <v>887</v>
      </c>
      <c r="V57" s="342" t="s">
        <v>837</v>
      </c>
      <c r="W57" s="141" t="str">
        <f t="shared" si="6"/>
        <v>Double rack STD</v>
      </c>
      <c r="X57" s="141" t="str">
        <f t="shared" si="6"/>
        <v>3-STD-50-4-M-TA4</v>
      </c>
      <c r="Y57" s="141" t="str">
        <f t="shared" si="6"/>
        <v>500x63x105; T=4.0</v>
      </c>
      <c r="Z57" s="10" t="str">
        <f t="shared" si="6"/>
        <v>pcs</v>
      </c>
      <c r="AA57" s="59"/>
      <c r="AB57" s="59"/>
      <c r="AC57" s="59" t="s">
        <v>700</v>
      </c>
    </row>
    <row r="58" spans="1:29" ht="27.6" hidden="1" customHeight="1">
      <c r="A58" s="344" t="s">
        <v>890</v>
      </c>
      <c r="B58" s="59">
        <v>54</v>
      </c>
      <c r="C58" s="397" t="s">
        <v>837</v>
      </c>
      <c r="D58" s="388" t="s">
        <v>884</v>
      </c>
      <c r="E58" s="376" t="s">
        <v>888</v>
      </c>
      <c r="F58" s="376" t="s">
        <v>889</v>
      </c>
      <c r="G58" s="377" t="s">
        <v>700</v>
      </c>
      <c r="H58" s="378">
        <v>46</v>
      </c>
      <c r="I58" s="379">
        <v>46</v>
      </c>
      <c r="J58" s="359">
        <f t="shared" si="2"/>
        <v>0</v>
      </c>
      <c r="K58" s="359">
        <v>0</v>
      </c>
      <c r="L58" s="359">
        <f>SUMIFS('Cable Tray-income  '!L:L,'Cable Tray-income  '!F:F,케이블트레이입.출고현황!U58)</f>
        <v>0</v>
      </c>
      <c r="M58" s="360">
        <f t="shared" si="3"/>
        <v>46</v>
      </c>
      <c r="N58" s="382">
        <f t="shared" si="4"/>
        <v>0</v>
      </c>
      <c r="O58" s="380">
        <f>SUMIFS('Cable Tray-Log-out'!L:L,'Cable Tray-Log-out'!D:D,U58)</f>
        <v>0</v>
      </c>
      <c r="P58" s="382"/>
      <c r="Q58" s="383"/>
      <c r="R58" s="382">
        <f t="shared" si="5"/>
        <v>0</v>
      </c>
      <c r="S58" s="389"/>
      <c r="T58" s="381"/>
      <c r="U58" s="141" t="s">
        <v>890</v>
      </c>
      <c r="V58" s="141" t="s">
        <v>837</v>
      </c>
      <c r="W58" s="141" t="str">
        <f t="shared" si="6"/>
        <v>Double rack STD</v>
      </c>
      <c r="X58" s="141" t="str">
        <f t="shared" si="6"/>
        <v>3-STD-70-4-M-TA4</v>
      </c>
      <c r="Y58" s="141" t="str">
        <f t="shared" si="6"/>
        <v>700x63x105; T=4.0</v>
      </c>
      <c r="Z58" s="10" t="str">
        <f t="shared" si="6"/>
        <v>pcs</v>
      </c>
      <c r="AA58" s="59"/>
      <c r="AB58" s="59"/>
      <c r="AC58" s="59" t="s">
        <v>700</v>
      </c>
    </row>
    <row r="59" spans="1:29" ht="27.6" hidden="1" customHeight="1">
      <c r="A59" s="344" t="s">
        <v>893</v>
      </c>
      <c r="B59" s="59">
        <v>55</v>
      </c>
      <c r="C59" s="397" t="s">
        <v>837</v>
      </c>
      <c r="D59" s="388" t="s">
        <v>884</v>
      </c>
      <c r="E59" s="376" t="s">
        <v>891</v>
      </c>
      <c r="F59" s="376" t="s">
        <v>892</v>
      </c>
      <c r="G59" s="377" t="s">
        <v>700</v>
      </c>
      <c r="H59" s="378">
        <v>151</v>
      </c>
      <c r="I59" s="379">
        <v>151</v>
      </c>
      <c r="J59" s="359">
        <f t="shared" si="2"/>
        <v>0</v>
      </c>
      <c r="K59" s="359">
        <v>0</v>
      </c>
      <c r="L59" s="359">
        <f>SUMIFS('Cable Tray-income  '!L:L,'Cable Tray-income  '!F:F,케이블트레이입.출고현황!U59)</f>
        <v>0</v>
      </c>
      <c r="M59" s="360">
        <f t="shared" si="3"/>
        <v>151</v>
      </c>
      <c r="N59" s="382">
        <f t="shared" si="4"/>
        <v>0</v>
      </c>
      <c r="O59" s="380">
        <f>SUMIFS('Cable Tray-Log-out'!L:L,'Cable Tray-Log-out'!D:D,U59)</f>
        <v>0</v>
      </c>
      <c r="P59" s="382"/>
      <c r="Q59" s="383"/>
      <c r="R59" s="382">
        <f t="shared" si="5"/>
        <v>0</v>
      </c>
      <c r="S59" s="389"/>
      <c r="T59" s="381"/>
      <c r="U59" s="141" t="s">
        <v>893</v>
      </c>
      <c r="V59" s="141" t="s">
        <v>837</v>
      </c>
      <c r="W59" s="141" t="str">
        <f t="shared" si="6"/>
        <v>Double rack STD</v>
      </c>
      <c r="X59" s="141" t="str">
        <f t="shared" si="6"/>
        <v>3-STD-90-4-M-TA4</v>
      </c>
      <c r="Y59" s="141" t="str">
        <f t="shared" si="6"/>
        <v>900x63x105; T=4.0</v>
      </c>
      <c r="Z59" s="10" t="str">
        <f t="shared" si="6"/>
        <v>pcs</v>
      </c>
      <c r="AA59" s="59"/>
      <c r="AB59" s="59"/>
      <c r="AC59" s="59" t="s">
        <v>700</v>
      </c>
    </row>
    <row r="60" spans="1:29" ht="27.6" hidden="1" customHeight="1">
      <c r="A60" s="344" t="s">
        <v>896</v>
      </c>
      <c r="B60" s="59">
        <v>56</v>
      </c>
      <c r="C60" s="397" t="s">
        <v>837</v>
      </c>
      <c r="D60" s="388" t="s">
        <v>884</v>
      </c>
      <c r="E60" s="376" t="s">
        <v>894</v>
      </c>
      <c r="F60" s="376" t="s">
        <v>895</v>
      </c>
      <c r="G60" s="377" t="s">
        <v>700</v>
      </c>
      <c r="H60" s="378">
        <v>14</v>
      </c>
      <c r="I60" s="379">
        <v>14</v>
      </c>
      <c r="J60" s="359">
        <f t="shared" si="2"/>
        <v>0</v>
      </c>
      <c r="K60" s="359">
        <v>0</v>
      </c>
      <c r="L60" s="359">
        <f>SUMIFS('Cable Tray-income  '!L:L,'Cable Tray-income  '!F:F,케이블트레이입.출고현황!U60)</f>
        <v>0</v>
      </c>
      <c r="M60" s="360">
        <f t="shared" si="3"/>
        <v>14</v>
      </c>
      <c r="N60" s="382">
        <f t="shared" si="4"/>
        <v>0</v>
      </c>
      <c r="O60" s="380">
        <f>SUMIFS('Cable Tray-Log-out'!L:L,'Cable Tray-Log-out'!D:D,U60)</f>
        <v>0</v>
      </c>
      <c r="P60" s="382"/>
      <c r="Q60" s="383"/>
      <c r="R60" s="382">
        <f t="shared" si="5"/>
        <v>0</v>
      </c>
      <c r="S60" s="389"/>
      <c r="T60" s="381"/>
      <c r="U60" s="141" t="s">
        <v>896</v>
      </c>
      <c r="V60" s="141" t="s">
        <v>837</v>
      </c>
      <c r="W60" s="141" t="str">
        <f t="shared" si="6"/>
        <v>Double rack STD</v>
      </c>
      <c r="X60" s="141" t="str">
        <f t="shared" si="6"/>
        <v>3-STD-120-4-M-TA4</v>
      </c>
      <c r="Y60" s="141" t="str">
        <f t="shared" si="6"/>
        <v>1200x63x 105; T=4.0</v>
      </c>
      <c r="Z60" s="10" t="str">
        <f t="shared" si="6"/>
        <v>pcs</v>
      </c>
      <c r="AA60" s="59"/>
      <c r="AB60" s="59"/>
      <c r="AC60" s="59" t="s">
        <v>700</v>
      </c>
    </row>
    <row r="61" spans="1:29" ht="27.6" hidden="1" customHeight="1">
      <c r="A61" s="344" t="s">
        <v>899</v>
      </c>
      <c r="B61" s="59">
        <v>57</v>
      </c>
      <c r="C61" s="397" t="s">
        <v>837</v>
      </c>
      <c r="D61" s="388" t="s">
        <v>884</v>
      </c>
      <c r="E61" s="376" t="s">
        <v>897</v>
      </c>
      <c r="F61" s="376" t="s">
        <v>898</v>
      </c>
      <c r="G61" s="377" t="s">
        <v>700</v>
      </c>
      <c r="H61" s="378">
        <v>22</v>
      </c>
      <c r="I61" s="379">
        <v>22</v>
      </c>
      <c r="J61" s="359">
        <f t="shared" si="2"/>
        <v>0</v>
      </c>
      <c r="K61" s="359">
        <v>0</v>
      </c>
      <c r="L61" s="359">
        <f>SUMIFS('Cable Tray-income  '!L:L,'Cable Tray-income  '!F:F,케이블트레이입.출고현황!U61)</f>
        <v>0</v>
      </c>
      <c r="M61" s="360">
        <f t="shared" si="3"/>
        <v>22</v>
      </c>
      <c r="N61" s="382">
        <f t="shared" si="4"/>
        <v>0</v>
      </c>
      <c r="O61" s="380">
        <f>SUMIFS('Cable Tray-Log-out'!L:L,'Cable Tray-Log-out'!D:D,U61)</f>
        <v>0</v>
      </c>
      <c r="P61" s="382"/>
      <c r="Q61" s="383"/>
      <c r="R61" s="382">
        <f t="shared" si="5"/>
        <v>0</v>
      </c>
      <c r="S61" s="389"/>
      <c r="T61" s="381"/>
      <c r="U61" s="141" t="s">
        <v>899</v>
      </c>
      <c r="V61" s="141" t="s">
        <v>837</v>
      </c>
      <c r="W61" s="141" t="str">
        <f t="shared" si="6"/>
        <v>Double rack STD</v>
      </c>
      <c r="X61" s="141" t="str">
        <f t="shared" si="6"/>
        <v>3-STD-150-4-M-TA4</v>
      </c>
      <c r="Y61" s="141" t="str">
        <f t="shared" si="6"/>
        <v>1500x63x 105; T=4.0</v>
      </c>
      <c r="Z61" s="10" t="str">
        <f t="shared" si="6"/>
        <v>pcs</v>
      </c>
      <c r="AA61" s="59"/>
      <c r="AB61" s="59"/>
      <c r="AC61" s="59" t="s">
        <v>700</v>
      </c>
    </row>
    <row r="62" spans="1:29" ht="27.6" hidden="1" customHeight="1">
      <c r="A62" s="344" t="s">
        <v>902</v>
      </c>
      <c r="B62" s="59">
        <v>58</v>
      </c>
      <c r="C62" s="397" t="s">
        <v>837</v>
      </c>
      <c r="D62" s="388" t="s">
        <v>884</v>
      </c>
      <c r="E62" s="376" t="s">
        <v>900</v>
      </c>
      <c r="F62" s="376" t="s">
        <v>901</v>
      </c>
      <c r="G62" s="377" t="s">
        <v>700</v>
      </c>
      <c r="H62" s="378">
        <v>38</v>
      </c>
      <c r="I62" s="379">
        <v>38</v>
      </c>
      <c r="J62" s="359">
        <f t="shared" si="2"/>
        <v>0</v>
      </c>
      <c r="K62" s="359">
        <v>0</v>
      </c>
      <c r="L62" s="359">
        <f>SUMIFS('Cable Tray-income  '!L:L,'Cable Tray-income  '!F:F,케이블트레이입.출고현황!U62)</f>
        <v>0</v>
      </c>
      <c r="M62" s="360">
        <f t="shared" si="3"/>
        <v>38</v>
      </c>
      <c r="N62" s="382">
        <f t="shared" si="4"/>
        <v>0</v>
      </c>
      <c r="O62" s="380">
        <f>SUMIFS('Cable Tray-Log-out'!L:L,'Cable Tray-Log-out'!D:D,U62)</f>
        <v>0</v>
      </c>
      <c r="P62" s="382"/>
      <c r="Q62" s="383"/>
      <c r="R62" s="382">
        <f t="shared" si="5"/>
        <v>0</v>
      </c>
      <c r="S62" s="389"/>
      <c r="T62" s="381"/>
      <c r="U62" s="141" t="s">
        <v>902</v>
      </c>
      <c r="V62" s="141" t="s">
        <v>837</v>
      </c>
      <c r="W62" s="141" t="str">
        <f t="shared" si="6"/>
        <v>Double rack STD</v>
      </c>
      <c r="X62" s="141" t="str">
        <f t="shared" si="6"/>
        <v>3-STD-180-4-M-TA4</v>
      </c>
      <c r="Y62" s="141" t="str">
        <f t="shared" si="6"/>
        <v>1800x63x105; T=4.0</v>
      </c>
      <c r="Z62" s="10" t="str">
        <f t="shared" si="6"/>
        <v>pcs</v>
      </c>
      <c r="AA62" s="59"/>
      <c r="AB62" s="59"/>
      <c r="AC62" s="59" t="s">
        <v>700</v>
      </c>
    </row>
    <row r="63" spans="1:29" ht="27.6" hidden="1" customHeight="1">
      <c r="A63" s="344" t="s">
        <v>905</v>
      </c>
      <c r="B63" s="59">
        <v>59</v>
      </c>
      <c r="C63" s="397" t="s">
        <v>837</v>
      </c>
      <c r="D63" s="388" t="s">
        <v>884</v>
      </c>
      <c r="E63" s="376" t="s">
        <v>903</v>
      </c>
      <c r="F63" s="376" t="s">
        <v>904</v>
      </c>
      <c r="G63" s="377" t="s">
        <v>700</v>
      </c>
      <c r="H63" s="378">
        <v>39</v>
      </c>
      <c r="I63" s="379">
        <v>39</v>
      </c>
      <c r="J63" s="359">
        <f t="shared" si="2"/>
        <v>0</v>
      </c>
      <c r="K63" s="359">
        <v>0</v>
      </c>
      <c r="L63" s="359">
        <f>SUMIFS('Cable Tray-income  '!L:L,'Cable Tray-income  '!F:F,케이블트레이입.출고현황!U63)</f>
        <v>0</v>
      </c>
      <c r="M63" s="360">
        <f t="shared" si="3"/>
        <v>39</v>
      </c>
      <c r="N63" s="382">
        <f t="shared" si="4"/>
        <v>0</v>
      </c>
      <c r="O63" s="380">
        <f>SUMIFS('Cable Tray-Log-out'!L:L,'Cable Tray-Log-out'!D:D,U63)</f>
        <v>0</v>
      </c>
      <c r="P63" s="382"/>
      <c r="Q63" s="383"/>
      <c r="R63" s="382">
        <f t="shared" si="5"/>
        <v>0</v>
      </c>
      <c r="S63" s="389"/>
      <c r="T63" s="381"/>
      <c r="U63" s="141" t="s">
        <v>905</v>
      </c>
      <c r="V63" s="141" t="s">
        <v>837</v>
      </c>
      <c r="W63" s="141" t="str">
        <f t="shared" si="6"/>
        <v>Double rack STD</v>
      </c>
      <c r="X63" s="141" t="str">
        <f t="shared" si="6"/>
        <v>3-STD-200-4-M-TA4</v>
      </c>
      <c r="Y63" s="141" t="str">
        <f t="shared" si="6"/>
        <v>2000x63x105; T=4.0</v>
      </c>
      <c r="Z63" s="10" t="str">
        <f t="shared" si="6"/>
        <v>pcs</v>
      </c>
      <c r="AA63" s="59"/>
      <c r="AB63" s="59"/>
      <c r="AC63" s="59" t="s">
        <v>700</v>
      </c>
    </row>
    <row r="64" spans="1:29" ht="27.6" hidden="1" customHeight="1">
      <c r="A64" s="344" t="s">
        <v>1030</v>
      </c>
      <c r="B64" s="59">
        <v>60</v>
      </c>
      <c r="C64" s="397" t="s">
        <v>837</v>
      </c>
      <c r="D64" s="388" t="s">
        <v>884</v>
      </c>
      <c r="E64" s="376" t="s">
        <v>906</v>
      </c>
      <c r="F64" s="376" t="s">
        <v>907</v>
      </c>
      <c r="G64" s="377" t="s">
        <v>700</v>
      </c>
      <c r="H64" s="378">
        <v>8</v>
      </c>
      <c r="I64" s="379">
        <v>8</v>
      </c>
      <c r="J64" s="359">
        <f t="shared" si="2"/>
        <v>0</v>
      </c>
      <c r="K64" s="359">
        <v>0</v>
      </c>
      <c r="L64" s="359">
        <f>SUMIFS('Cable Tray-income  '!L:L,'Cable Tray-income  '!F:F,케이블트레이입.출고현황!U64)</f>
        <v>0</v>
      </c>
      <c r="M64" s="360">
        <f t="shared" si="3"/>
        <v>8</v>
      </c>
      <c r="N64" s="382">
        <f t="shared" si="4"/>
        <v>0</v>
      </c>
      <c r="O64" s="380">
        <f>SUMIFS('Cable Tray-Log-out'!L:L,'Cable Tray-Log-out'!D:D,U64)</f>
        <v>0</v>
      </c>
      <c r="P64" s="382"/>
      <c r="Q64" s="383"/>
      <c r="R64" s="382">
        <f t="shared" si="5"/>
        <v>0</v>
      </c>
      <c r="S64" s="389"/>
      <c r="T64" s="381"/>
      <c r="U64" s="342" t="s">
        <v>908</v>
      </c>
      <c r="V64" s="342" t="s">
        <v>837</v>
      </c>
      <c r="W64" s="141" t="str">
        <f t="shared" si="6"/>
        <v>Double rack STD</v>
      </c>
      <c r="X64" s="141" t="str">
        <f t="shared" si="6"/>
        <v>3-STD-400-4-M-TA4</v>
      </c>
      <c r="Y64" s="141" t="str">
        <f t="shared" si="6"/>
        <v>4000x63x109; T=4.0</v>
      </c>
      <c r="Z64" s="10" t="str">
        <f t="shared" si="6"/>
        <v>pcs</v>
      </c>
      <c r="AA64" s="59"/>
      <c r="AB64" s="59"/>
      <c r="AC64" s="59" t="s">
        <v>700</v>
      </c>
    </row>
    <row r="65" spans="1:29" ht="27.6" hidden="1" customHeight="1">
      <c r="A65" s="344" t="s">
        <v>911</v>
      </c>
      <c r="B65" s="59">
        <v>61</v>
      </c>
      <c r="C65" s="397" t="s">
        <v>837</v>
      </c>
      <c r="D65" s="388" t="s">
        <v>884</v>
      </c>
      <c r="E65" s="376" t="s">
        <v>909</v>
      </c>
      <c r="F65" s="376" t="s">
        <v>910</v>
      </c>
      <c r="G65" s="377" t="s">
        <v>700</v>
      </c>
      <c r="H65" s="378">
        <v>72</v>
      </c>
      <c r="I65" s="379">
        <v>72</v>
      </c>
      <c r="J65" s="359">
        <f t="shared" si="2"/>
        <v>0</v>
      </c>
      <c r="K65" s="359">
        <v>0</v>
      </c>
      <c r="L65" s="359">
        <f>SUMIFS('Cable Tray-income  '!L:L,'Cable Tray-income  '!F:F,케이블트레이입.출고현황!U65)</f>
        <v>0</v>
      </c>
      <c r="M65" s="360">
        <f t="shared" si="3"/>
        <v>72</v>
      </c>
      <c r="N65" s="382">
        <f t="shared" si="4"/>
        <v>0</v>
      </c>
      <c r="O65" s="380">
        <f>SUMIFS('Cable Tray-Log-out'!L:L,'Cable Tray-Log-out'!D:D,U65)</f>
        <v>0</v>
      </c>
      <c r="P65" s="382"/>
      <c r="Q65" s="383"/>
      <c r="R65" s="382">
        <f t="shared" si="5"/>
        <v>0</v>
      </c>
      <c r="S65" s="389"/>
      <c r="T65" s="381"/>
      <c r="U65" s="141" t="s">
        <v>911</v>
      </c>
      <c r="V65" s="141" t="s">
        <v>837</v>
      </c>
      <c r="W65" s="141" t="str">
        <f t="shared" si="6"/>
        <v>Double rack STD</v>
      </c>
      <c r="X65" s="141" t="str">
        <f t="shared" si="6"/>
        <v>3-STD-500-4-M-TA4</v>
      </c>
      <c r="Y65" s="141" t="str">
        <f t="shared" si="6"/>
        <v>5000x63x109; T=4.0</v>
      </c>
      <c r="Z65" s="10" t="str">
        <f t="shared" si="6"/>
        <v>pcs</v>
      </c>
      <c r="AA65" s="59"/>
      <c r="AB65" s="59"/>
      <c r="AC65" s="59" t="s">
        <v>700</v>
      </c>
    </row>
    <row r="66" spans="1:29" ht="27.6" hidden="1" customHeight="1">
      <c r="A66" s="344" t="s">
        <v>914</v>
      </c>
      <c r="B66" s="59">
        <v>62</v>
      </c>
      <c r="C66" s="397" t="s">
        <v>977</v>
      </c>
      <c r="D66" s="388" t="s">
        <v>975</v>
      </c>
      <c r="E66" s="376" t="s">
        <v>912</v>
      </c>
      <c r="F66" s="376" t="s">
        <v>913</v>
      </c>
      <c r="G66" s="377" t="s">
        <v>700</v>
      </c>
      <c r="H66" s="378">
        <v>18</v>
      </c>
      <c r="I66" s="379">
        <v>18</v>
      </c>
      <c r="J66" s="359">
        <f t="shared" si="2"/>
        <v>0</v>
      </c>
      <c r="K66" s="359">
        <v>0</v>
      </c>
      <c r="L66" s="359">
        <f>SUMIFS('Cable Tray-income  '!L:L,'Cable Tray-income  '!F:F,케이블트레이입.출고현황!U66)</f>
        <v>0</v>
      </c>
      <c r="M66" s="360">
        <f t="shared" si="3"/>
        <v>18</v>
      </c>
      <c r="N66" s="382">
        <f t="shared" si="4"/>
        <v>0</v>
      </c>
      <c r="O66" s="380">
        <f>SUMIFS('Cable Tray-Log-out'!L:L,'Cable Tray-Log-out'!D:D,U66)</f>
        <v>0</v>
      </c>
      <c r="P66" s="382"/>
      <c r="Q66" s="383"/>
      <c r="R66" s="382">
        <f t="shared" si="5"/>
        <v>0</v>
      </c>
      <c r="S66" s="389"/>
      <c r="T66" s="381"/>
      <c r="U66" s="141" t="s">
        <v>914</v>
      </c>
      <c r="V66" s="141" t="s">
        <v>976</v>
      </c>
      <c r="W66" s="141" t="str">
        <f t="shared" si="6"/>
        <v>Stiffening brace SZh-100-4</v>
      </c>
      <c r="X66" s="141" t="str">
        <f t="shared" si="6"/>
        <v>3-SZh-100-M-TA4</v>
      </c>
      <c r="Y66" s="141" t="str">
        <f t="shared" si="6"/>
        <v>1000x64x37; T=4.0</v>
      </c>
      <c r="Z66" s="10" t="str">
        <f t="shared" si="6"/>
        <v>pcs</v>
      </c>
      <c r="AA66" s="59"/>
      <c r="AB66" s="59"/>
      <c r="AC66" s="59" t="s">
        <v>700</v>
      </c>
    </row>
    <row r="67" spans="1:29" ht="27.6" customHeight="1">
      <c r="A67" s="344" t="s">
        <v>919</v>
      </c>
      <c r="B67" s="59">
        <v>63</v>
      </c>
      <c r="C67" s="397" t="s">
        <v>915</v>
      </c>
      <c r="D67" s="388" t="s">
        <v>916</v>
      </c>
      <c r="E67" s="376" t="s">
        <v>917</v>
      </c>
      <c r="F67" s="376" t="s">
        <v>918</v>
      </c>
      <c r="G67" s="377" t="s">
        <v>700</v>
      </c>
      <c r="H67" s="378">
        <v>74</v>
      </c>
      <c r="I67" s="379">
        <v>74</v>
      </c>
      <c r="J67" s="359">
        <f t="shared" si="2"/>
        <v>0</v>
      </c>
      <c r="K67" s="359">
        <v>0</v>
      </c>
      <c r="L67" s="359">
        <f>SUMIFS('Cable Tray-income  '!L:L,'Cable Tray-income  '!F:F,케이블트레이입.출고현황!U67)</f>
        <v>56</v>
      </c>
      <c r="M67" s="360">
        <f t="shared" si="3"/>
        <v>18</v>
      </c>
      <c r="N67" s="382">
        <f t="shared" si="4"/>
        <v>56</v>
      </c>
      <c r="O67" s="380">
        <f>SUMIFS('Cable Tray-Log-out'!L:L,'Cable Tray-Log-out'!D:D,U67)</f>
        <v>0</v>
      </c>
      <c r="P67" s="382"/>
      <c r="Q67" s="383"/>
      <c r="R67" s="382">
        <f t="shared" si="5"/>
        <v>56</v>
      </c>
      <c r="S67" s="389"/>
      <c r="T67" s="381"/>
      <c r="U67" s="141" t="s">
        <v>919</v>
      </c>
      <c r="V67" s="141" t="s">
        <v>970</v>
      </c>
      <c r="W67" s="141" t="str">
        <f t="shared" si="6"/>
        <v>Simple gusset KP for racks ST</v>
      </c>
      <c r="X67" s="141" t="str">
        <f t="shared" si="6"/>
        <v>3-KP-4-M-TA4</v>
      </c>
      <c r="Y67" s="141" t="str">
        <f t="shared" si="6"/>
        <v>170x72x110; T=4.0</v>
      </c>
      <c r="Z67" s="10" t="str">
        <f t="shared" si="6"/>
        <v>pcs</v>
      </c>
      <c r="AA67" s="59"/>
      <c r="AB67" s="59"/>
      <c r="AC67" s="59" t="s">
        <v>700</v>
      </c>
    </row>
    <row r="68" spans="1:29" ht="27.6" hidden="1" customHeight="1">
      <c r="A68" s="344" t="s">
        <v>923</v>
      </c>
      <c r="B68" s="59">
        <v>64</v>
      </c>
      <c r="C68" s="397"/>
      <c r="D68" s="388" t="s">
        <v>920</v>
      </c>
      <c r="E68" s="376" t="s">
        <v>921</v>
      </c>
      <c r="F68" s="376" t="s">
        <v>922</v>
      </c>
      <c r="G68" s="377" t="s">
        <v>700</v>
      </c>
      <c r="H68" s="378">
        <v>1176</v>
      </c>
      <c r="I68" s="379">
        <v>1176</v>
      </c>
      <c r="J68" s="359">
        <f t="shared" si="2"/>
        <v>0</v>
      </c>
      <c r="K68" s="359">
        <v>0</v>
      </c>
      <c r="L68" s="359">
        <f>SUMIFS('Cable Tray-income  '!L:L,'Cable Tray-income  '!F:F,케이블트레이입.출고현황!U68)</f>
        <v>0</v>
      </c>
      <c r="M68" s="360">
        <f t="shared" si="3"/>
        <v>1176</v>
      </c>
      <c r="N68" s="382">
        <f t="shared" si="4"/>
        <v>0</v>
      </c>
      <c r="O68" s="380">
        <f>SUMIFS('Cable Tray-Log-out'!L:L,'Cable Tray-Log-out'!D:D,U68)</f>
        <v>0</v>
      </c>
      <c r="P68" s="382"/>
      <c r="Q68" s="383"/>
      <c r="R68" s="382">
        <f t="shared" si="5"/>
        <v>0</v>
      </c>
      <c r="S68" s="389"/>
      <c r="T68" s="381"/>
      <c r="U68" s="141" t="s">
        <v>923</v>
      </c>
      <c r="V68" s="141"/>
      <c r="W68" s="141" t="str">
        <f t="shared" si="6"/>
        <v>Transition angle UP</v>
      </c>
      <c r="X68" s="141" t="str">
        <f t="shared" si="6"/>
        <v>3-UP-4-M-TA4</v>
      </c>
      <c r="Y68" s="141" t="str">
        <f t="shared" si="6"/>
        <v>60x60; T=4.0</v>
      </c>
      <c r="Z68" s="10" t="str">
        <f t="shared" si="6"/>
        <v>pcs</v>
      </c>
      <c r="AA68" s="59"/>
      <c r="AB68" s="59"/>
      <c r="AC68" s="59" t="s">
        <v>700</v>
      </c>
    </row>
    <row r="69" spans="1:29" ht="27.6" hidden="1" customHeight="1">
      <c r="A69" s="344" t="s">
        <v>927</v>
      </c>
      <c r="B69" s="59">
        <v>65</v>
      </c>
      <c r="C69" s="397"/>
      <c r="D69" s="388" t="s">
        <v>924</v>
      </c>
      <c r="E69" s="376" t="s">
        <v>925</v>
      </c>
      <c r="F69" s="376" t="s">
        <v>926</v>
      </c>
      <c r="G69" s="377" t="s">
        <v>700</v>
      </c>
      <c r="H69" s="378">
        <v>56</v>
      </c>
      <c r="I69" s="379">
        <v>56</v>
      </c>
      <c r="J69" s="359">
        <f t="shared" si="2"/>
        <v>0</v>
      </c>
      <c r="K69" s="359">
        <v>0</v>
      </c>
      <c r="L69" s="359">
        <f>SUMIFS('Cable Tray-income  '!L:L,'Cable Tray-income  '!F:F,케이블트레이입.출고현황!U69)</f>
        <v>0</v>
      </c>
      <c r="M69" s="360">
        <f t="shared" si="3"/>
        <v>56</v>
      </c>
      <c r="N69" s="382">
        <f t="shared" si="4"/>
        <v>0</v>
      </c>
      <c r="O69" s="380">
        <f>SUMIFS('Cable Tray-Log-out'!L:L,'Cable Tray-Log-out'!D:D,U69)</f>
        <v>0</v>
      </c>
      <c r="P69" s="382"/>
      <c r="Q69" s="383"/>
      <c r="R69" s="382">
        <f t="shared" si="5"/>
        <v>0</v>
      </c>
      <c r="S69" s="389"/>
      <c r="T69" s="381"/>
      <c r="U69" s="141" t="s">
        <v>927</v>
      </c>
      <c r="V69" s="141"/>
      <c r="W69" s="141" t="str">
        <f t="shared" ref="W69:W80" si="7">D69</f>
        <v>Mounting unit UK-50</v>
      </c>
      <c r="X69" s="141" t="str">
        <f t="shared" ref="X69:X80" si="8">E69</f>
        <v>3-UK-50</v>
      </c>
      <c r="Y69" s="141" t="str">
        <f t="shared" ref="Y69:Y80" si="9">F69</f>
        <v>70x30x32; T=2.0</v>
      </c>
      <c r="Z69" s="10" t="str">
        <f t="shared" ref="Z69:Z80" si="10">G69</f>
        <v>pcs</v>
      </c>
      <c r="AA69" s="59"/>
      <c r="AB69" s="59"/>
      <c r="AC69" s="59" t="s">
        <v>700</v>
      </c>
    </row>
    <row r="70" spans="1:29" ht="27.6" customHeight="1">
      <c r="A70" s="344" t="s">
        <v>931</v>
      </c>
      <c r="B70" s="59">
        <v>66</v>
      </c>
      <c r="C70" s="397" t="s">
        <v>915</v>
      </c>
      <c r="D70" s="388" t="s">
        <v>928</v>
      </c>
      <c r="E70" s="376" t="s">
        <v>929</v>
      </c>
      <c r="F70" s="376" t="s">
        <v>930</v>
      </c>
      <c r="G70" s="377" t="s">
        <v>700</v>
      </c>
      <c r="H70" s="378">
        <v>4700</v>
      </c>
      <c r="I70" s="379">
        <v>4700</v>
      </c>
      <c r="J70" s="359">
        <f t="shared" ref="J70:J80" si="11">H70-I70</f>
        <v>0</v>
      </c>
      <c r="K70" s="359">
        <v>0</v>
      </c>
      <c r="L70" s="359">
        <f>SUMIFS('Cable Tray-income  '!L:L,'Cable Tray-income  '!F:F,케이블트레이입.출고현황!U70)</f>
        <v>1046</v>
      </c>
      <c r="M70" s="360">
        <f t="shared" ref="M70:M80" si="12">I70-K70-L70</f>
        <v>3654</v>
      </c>
      <c r="N70" s="382">
        <f t="shared" si="4"/>
        <v>1046</v>
      </c>
      <c r="O70" s="413">
        <f>SUMIFS('Cable Tray-Log-out'!L:L,'Cable Tray-Log-out'!D:D,U70)</f>
        <v>90</v>
      </c>
      <c r="P70" s="382"/>
      <c r="Q70" s="383"/>
      <c r="R70" s="382">
        <f t="shared" si="5"/>
        <v>956</v>
      </c>
      <c r="S70" s="389"/>
      <c r="T70" s="381"/>
      <c r="U70" s="141" t="s">
        <v>931</v>
      </c>
      <c r="V70" s="141" t="s">
        <v>971</v>
      </c>
      <c r="W70" s="141" t="str">
        <f t="shared" si="7"/>
        <v>Side gusset KB for racks ST</v>
      </c>
      <c r="X70" s="141" t="str">
        <f t="shared" si="8"/>
        <v>3-KB-4-M-TA4</v>
      </c>
      <c r="Y70" s="141" t="str">
        <f t="shared" si="9"/>
        <v>150x72x70; T=4.0</v>
      </c>
      <c r="Z70" s="10" t="str">
        <f t="shared" si="10"/>
        <v>pcs</v>
      </c>
      <c r="AA70" s="59"/>
      <c r="AB70" s="59"/>
      <c r="AC70" s="59" t="s">
        <v>700</v>
      </c>
    </row>
    <row r="71" spans="1:29" ht="27.6" customHeight="1">
      <c r="A71" s="344" t="s">
        <v>935</v>
      </c>
      <c r="B71" s="59">
        <v>67</v>
      </c>
      <c r="C71" s="397" t="s">
        <v>915</v>
      </c>
      <c r="D71" s="388" t="s">
        <v>932</v>
      </c>
      <c r="E71" s="376" t="s">
        <v>933</v>
      </c>
      <c r="F71" s="376" t="s">
        <v>934</v>
      </c>
      <c r="G71" s="377" t="s">
        <v>700</v>
      </c>
      <c r="H71" s="378">
        <v>153</v>
      </c>
      <c r="I71" s="379">
        <v>153</v>
      </c>
      <c r="J71" s="359">
        <f t="shared" si="11"/>
        <v>0</v>
      </c>
      <c r="K71" s="359">
        <v>0</v>
      </c>
      <c r="L71" s="359">
        <f>SUMIFS('Cable Tray-income  '!L:L,'Cable Tray-income  '!F:F,케이블트레이입.출고현황!U71)</f>
        <v>141</v>
      </c>
      <c r="M71" s="360">
        <f t="shared" si="12"/>
        <v>12</v>
      </c>
      <c r="N71" s="382">
        <f t="shared" ref="N71:N80" si="13">L71</f>
        <v>141</v>
      </c>
      <c r="O71" s="380">
        <f>SUMIFS('Cable Tray-Log-out'!L:L,'Cable Tray-Log-out'!D:D,U71)</f>
        <v>0</v>
      </c>
      <c r="P71" s="382"/>
      <c r="Q71" s="383"/>
      <c r="R71" s="382">
        <f t="shared" ref="R71:R80" si="14">N71-O71-P71-Q71</f>
        <v>141</v>
      </c>
      <c r="S71" s="389"/>
      <c r="T71" s="381"/>
      <c r="U71" s="141" t="s">
        <v>935</v>
      </c>
      <c r="V71" s="141" t="s">
        <v>978</v>
      </c>
      <c r="W71" s="141" t="str">
        <f t="shared" si="7"/>
        <v>Double gusset KD for racks STD</v>
      </c>
      <c r="X71" s="141" t="str">
        <f t="shared" si="8"/>
        <v>3-KD-4-M-TA4</v>
      </c>
      <c r="Y71" s="141" t="str">
        <f t="shared" si="9"/>
        <v>109x72x72x110; T=4.0</v>
      </c>
      <c r="Z71" s="10" t="str">
        <f t="shared" si="10"/>
        <v>pcs</v>
      </c>
      <c r="AA71" s="59"/>
      <c r="AB71" s="59"/>
      <c r="AC71" s="59" t="s">
        <v>700</v>
      </c>
    </row>
    <row r="72" spans="1:29" ht="27.6" hidden="1" customHeight="1">
      <c r="A72" s="344" t="s">
        <v>939</v>
      </c>
      <c r="B72" s="59">
        <v>68</v>
      </c>
      <c r="C72" s="397" t="s">
        <v>915</v>
      </c>
      <c r="D72" s="388" t="s">
        <v>936</v>
      </c>
      <c r="E72" s="376" t="s">
        <v>937</v>
      </c>
      <c r="F72" s="376" t="s">
        <v>938</v>
      </c>
      <c r="G72" s="377" t="s">
        <v>700</v>
      </c>
      <c r="H72" s="378">
        <v>236</v>
      </c>
      <c r="I72" s="379">
        <v>236</v>
      </c>
      <c r="J72" s="359">
        <f t="shared" si="11"/>
        <v>0</v>
      </c>
      <c r="K72" s="359">
        <v>0</v>
      </c>
      <c r="L72" s="359">
        <f>SUMIFS('Cable Tray-income  '!L:L,'Cable Tray-income  '!F:F,케이블트레이입.출고현황!U72)</f>
        <v>0</v>
      </c>
      <c r="M72" s="360">
        <f t="shared" si="12"/>
        <v>236</v>
      </c>
      <c r="N72" s="382">
        <f t="shared" si="13"/>
        <v>0</v>
      </c>
      <c r="O72" s="380">
        <f>SUMIFS('Cable Tray-Log-out'!L:L,'Cable Tray-Log-out'!D:D,U72)</f>
        <v>0</v>
      </c>
      <c r="P72" s="382"/>
      <c r="Q72" s="383"/>
      <c r="R72" s="382">
        <f t="shared" si="14"/>
        <v>0</v>
      </c>
      <c r="S72" s="389"/>
      <c r="T72" s="381"/>
      <c r="U72" s="141" t="s">
        <v>939</v>
      </c>
      <c r="V72" s="141" t="s">
        <v>972</v>
      </c>
      <c r="W72" s="141" t="str">
        <f t="shared" si="7"/>
        <v>Double reinforced gusset KOU for racks ST with strut RP</v>
      </c>
      <c r="X72" s="141" t="str">
        <f t="shared" si="8"/>
        <v>3-KDU-4-M-TA4</v>
      </c>
      <c r="Y72" s="141" t="str">
        <f t="shared" si="9"/>
        <v>250x72x110; T=4.0</v>
      </c>
      <c r="Z72" s="10" t="str">
        <f t="shared" si="10"/>
        <v>pcs</v>
      </c>
      <c r="AA72" s="59"/>
      <c r="AB72" s="59"/>
      <c r="AC72" s="59" t="s">
        <v>700</v>
      </c>
    </row>
    <row r="73" spans="1:29" ht="27.6" hidden="1" customHeight="1">
      <c r="A73" s="344" t="s">
        <v>943</v>
      </c>
      <c r="B73" s="59">
        <v>69</v>
      </c>
      <c r="C73" s="397"/>
      <c r="D73" s="388" t="s">
        <v>940</v>
      </c>
      <c r="E73" s="376" t="s">
        <v>941</v>
      </c>
      <c r="F73" s="376" t="s">
        <v>942</v>
      </c>
      <c r="G73" s="377" t="s">
        <v>700</v>
      </c>
      <c r="H73" s="378">
        <v>16</v>
      </c>
      <c r="I73" s="379">
        <v>16</v>
      </c>
      <c r="J73" s="359">
        <f t="shared" si="11"/>
        <v>0</v>
      </c>
      <c r="K73" s="359">
        <v>0</v>
      </c>
      <c r="L73" s="359">
        <f>SUMIFS('Cable Tray-income  '!L:L,'Cable Tray-income  '!F:F,케이블트레이입.출고현황!U73)</f>
        <v>0</v>
      </c>
      <c r="M73" s="360">
        <f t="shared" si="12"/>
        <v>16</v>
      </c>
      <c r="N73" s="382">
        <f t="shared" si="13"/>
        <v>0</v>
      </c>
      <c r="O73" s="380">
        <f>SUMIFS('Cable Tray-Log-out'!L:L,'Cable Tray-Log-out'!D:D,U73)</f>
        <v>0</v>
      </c>
      <c r="P73" s="382"/>
      <c r="Q73" s="383"/>
      <c r="R73" s="382">
        <f t="shared" si="14"/>
        <v>0</v>
      </c>
      <c r="S73" s="389"/>
      <c r="T73" s="381"/>
      <c r="U73" s="342" t="s">
        <v>943</v>
      </c>
      <c r="V73" s="342"/>
      <c r="W73" s="141" t="str">
        <f t="shared" si="7"/>
        <v>Base OSD for racks STD</v>
      </c>
      <c r="X73" s="141" t="str">
        <f t="shared" si="8"/>
        <v>3-OSD-4-M-TA4</v>
      </c>
      <c r="Y73" s="141" t="str">
        <f t="shared" si="9"/>
        <v>109x50x260; T=4.0</v>
      </c>
      <c r="Z73" s="10" t="str">
        <f t="shared" si="10"/>
        <v>pcs</v>
      </c>
      <c r="AA73" s="59"/>
      <c r="AB73" s="59"/>
      <c r="AC73" s="59" t="s">
        <v>700</v>
      </c>
    </row>
    <row r="74" spans="1:29" ht="27.6" hidden="1" customHeight="1">
      <c r="A74" s="344" t="s">
        <v>946</v>
      </c>
      <c r="B74" s="59">
        <v>70</v>
      </c>
      <c r="C74" s="397"/>
      <c r="D74" s="388" t="s">
        <v>944</v>
      </c>
      <c r="E74" s="376" t="s">
        <v>941</v>
      </c>
      <c r="F74" s="376" t="s">
        <v>945</v>
      </c>
      <c r="G74" s="377" t="s">
        <v>700</v>
      </c>
      <c r="H74" s="378">
        <v>168</v>
      </c>
      <c r="I74" s="379">
        <v>168</v>
      </c>
      <c r="J74" s="359">
        <f t="shared" si="11"/>
        <v>0</v>
      </c>
      <c r="K74" s="359">
        <v>0</v>
      </c>
      <c r="L74" s="359">
        <f>SUMIFS('Cable Tray-income  '!L:L,'Cable Tray-income  '!F:F,케이블트레이입.출고현황!U74)</f>
        <v>0</v>
      </c>
      <c r="M74" s="360">
        <f t="shared" si="12"/>
        <v>168</v>
      </c>
      <c r="N74" s="382">
        <f t="shared" si="13"/>
        <v>0</v>
      </c>
      <c r="O74" s="380">
        <f>SUMIFS('Cable Tray-Log-out'!L:L,'Cable Tray-Log-out'!D:D,U74)</f>
        <v>0</v>
      </c>
      <c r="P74" s="382"/>
      <c r="Q74" s="383"/>
      <c r="R74" s="382">
        <f t="shared" si="14"/>
        <v>0</v>
      </c>
      <c r="S74" s="389"/>
      <c r="T74" s="381"/>
      <c r="U74" s="141" t="s">
        <v>946</v>
      </c>
      <c r="V74" s="141"/>
      <c r="W74" s="141" t="str">
        <f t="shared" si="7"/>
        <v>Base OSD for racks STD</v>
      </c>
      <c r="X74" s="141" t="str">
        <f t="shared" si="8"/>
        <v>3-OSD-4-M-TA4</v>
      </c>
      <c r="Y74" s="141" t="str">
        <f t="shared" si="9"/>
        <v>109x72x50x260; T=4.0</v>
      </c>
      <c r="Z74" s="10" t="str">
        <f t="shared" si="10"/>
        <v>pcs</v>
      </c>
      <c r="AA74" s="59"/>
      <c r="AB74" s="59"/>
      <c r="AC74" s="59" t="s">
        <v>700</v>
      </c>
    </row>
    <row r="75" spans="1:29" ht="27.6" customHeight="1">
      <c r="A75" s="344" t="s">
        <v>950</v>
      </c>
      <c r="B75" s="59">
        <v>71</v>
      </c>
      <c r="C75" s="397" t="s">
        <v>915</v>
      </c>
      <c r="D75" s="388" t="s">
        <v>947</v>
      </c>
      <c r="E75" s="376" t="s">
        <v>948</v>
      </c>
      <c r="F75" s="376" t="s">
        <v>949</v>
      </c>
      <c r="G75" s="377" t="s">
        <v>700</v>
      </c>
      <c r="H75" s="378">
        <v>4926</v>
      </c>
      <c r="I75" s="379">
        <v>4926</v>
      </c>
      <c r="J75" s="359">
        <f t="shared" si="11"/>
        <v>0</v>
      </c>
      <c r="K75" s="359">
        <v>0</v>
      </c>
      <c r="L75" s="359">
        <f>SUMIFS('Cable Tray-income  '!L:L,'Cable Tray-income  '!F:F,케이블트레이입.출고현황!U75)</f>
        <v>1102</v>
      </c>
      <c r="M75" s="360">
        <f t="shared" si="12"/>
        <v>3824</v>
      </c>
      <c r="N75" s="382">
        <f t="shared" si="13"/>
        <v>1102</v>
      </c>
      <c r="O75" s="380">
        <f>SUMIFS('Cable Tray-Log-out'!L:L,'Cable Tray-Log-out'!D:D,U75)</f>
        <v>90</v>
      </c>
      <c r="P75" s="382"/>
      <c r="Q75" s="383"/>
      <c r="R75" s="382">
        <f t="shared" si="14"/>
        <v>1012</v>
      </c>
      <c r="S75" s="389"/>
      <c r="T75" s="381"/>
      <c r="U75" s="141" t="s">
        <v>950</v>
      </c>
      <c r="V75" s="141" t="s">
        <v>973</v>
      </c>
      <c r="W75" s="141" t="str">
        <f t="shared" si="7"/>
        <v>Transition clamp SP 150 for gussets</v>
      </c>
      <c r="X75" s="141" t="str">
        <f t="shared" si="8"/>
        <v>3-SP-150-M-TA4</v>
      </c>
      <c r="Y75" s="141" t="str">
        <f t="shared" si="9"/>
        <v>150x142x59; T=4.0</v>
      </c>
      <c r="Z75" s="10" t="str">
        <f t="shared" si="10"/>
        <v>pcs</v>
      </c>
      <c r="AA75" s="59"/>
      <c r="AB75" s="59"/>
      <c r="AC75" s="59" t="s">
        <v>700</v>
      </c>
    </row>
    <row r="76" spans="1:29" ht="27.6" hidden="1" customHeight="1">
      <c r="A76" s="344" t="s">
        <v>954</v>
      </c>
      <c r="B76" s="59">
        <v>72</v>
      </c>
      <c r="C76" s="397" t="s">
        <v>915</v>
      </c>
      <c r="D76" s="388" t="s">
        <v>951</v>
      </c>
      <c r="E76" s="376" t="s">
        <v>952</v>
      </c>
      <c r="F76" s="376" t="s">
        <v>953</v>
      </c>
      <c r="G76" s="377" t="s">
        <v>700</v>
      </c>
      <c r="H76" s="378">
        <v>336</v>
      </c>
      <c r="I76" s="379">
        <v>336</v>
      </c>
      <c r="J76" s="359">
        <f t="shared" si="11"/>
        <v>0</v>
      </c>
      <c r="K76" s="359">
        <v>0</v>
      </c>
      <c r="L76" s="359">
        <f>SUMIFS('Cable Tray-income  '!L:L,'Cable Tray-income  '!F:F,케이블트레이입.출고현황!U76)</f>
        <v>0</v>
      </c>
      <c r="M76" s="360">
        <f t="shared" si="12"/>
        <v>336</v>
      </c>
      <c r="N76" s="382">
        <f t="shared" si="13"/>
        <v>0</v>
      </c>
      <c r="O76" s="380">
        <f>SUMIFS('Cable Tray-Log-out'!L:L,'Cable Tray-Log-out'!D:D,U76)</f>
        <v>0</v>
      </c>
      <c r="P76" s="382"/>
      <c r="Q76" s="383"/>
      <c r="R76" s="382">
        <f t="shared" si="14"/>
        <v>0</v>
      </c>
      <c r="S76" s="389"/>
      <c r="T76" s="381"/>
      <c r="U76" s="141" t="s">
        <v>954</v>
      </c>
      <c r="V76" s="141" t="s">
        <v>974</v>
      </c>
      <c r="W76" s="141" t="str">
        <f t="shared" si="7"/>
        <v>Transition clamp SP 150P for gussets for welding</v>
      </c>
      <c r="X76" s="141" t="str">
        <f t="shared" si="8"/>
        <v>3-SP-150P-M-TA4</v>
      </c>
      <c r="Y76" s="141" t="str">
        <f t="shared" si="9"/>
        <v>150x72x59; T=4.0</v>
      </c>
      <c r="Z76" s="10" t="str">
        <f t="shared" si="10"/>
        <v>pcs</v>
      </c>
      <c r="AA76" s="59"/>
      <c r="AB76" s="59"/>
      <c r="AC76" s="59" t="s">
        <v>700</v>
      </c>
    </row>
    <row r="77" spans="1:29" ht="27.6" hidden="1" customHeight="1">
      <c r="A77" s="344" t="s">
        <v>958</v>
      </c>
      <c r="B77" s="59">
        <v>73</v>
      </c>
      <c r="C77" s="397"/>
      <c r="D77" s="388" t="s">
        <v>955</v>
      </c>
      <c r="E77" s="376" t="s">
        <v>956</v>
      </c>
      <c r="F77" s="376" t="s">
        <v>957</v>
      </c>
      <c r="G77" s="377" t="s">
        <v>700</v>
      </c>
      <c r="H77" s="378">
        <v>0</v>
      </c>
      <c r="I77" s="379">
        <v>0</v>
      </c>
      <c r="J77" s="359">
        <f t="shared" si="11"/>
        <v>0</v>
      </c>
      <c r="K77" s="359">
        <v>0</v>
      </c>
      <c r="L77" s="359">
        <f>SUMIFS('Cable Tray-income  '!L:L,'Cable Tray-income  '!F:F,케이블트레이입.출고현황!U77)</f>
        <v>0</v>
      </c>
      <c r="M77" s="360">
        <f t="shared" si="12"/>
        <v>0</v>
      </c>
      <c r="N77" s="382">
        <f t="shared" si="13"/>
        <v>0</v>
      </c>
      <c r="O77" s="380">
        <f>SUMIFS('Cable Tray-Log-out'!L:L,'Cable Tray-Log-out'!D:D,U77)</f>
        <v>0</v>
      </c>
      <c r="P77" s="382"/>
      <c r="Q77" s="383"/>
      <c r="R77" s="382">
        <f t="shared" si="14"/>
        <v>0</v>
      </c>
      <c r="S77" s="389"/>
      <c r="T77" s="381"/>
      <c r="U77" s="141" t="s">
        <v>958</v>
      </c>
      <c r="V77" s="141"/>
      <c r="W77" s="141" t="str">
        <f t="shared" si="7"/>
        <v>Hilti anchor</v>
      </c>
      <c r="X77" s="141" t="str">
        <f t="shared" si="8"/>
        <v>HDA-P M12</v>
      </c>
      <c r="Y77" s="141" t="str">
        <f t="shared" si="9"/>
        <v>HDA-P M12x125/30</v>
      </c>
      <c r="Z77" s="10" t="str">
        <f t="shared" si="10"/>
        <v>pcs</v>
      </c>
      <c r="AA77" s="59"/>
      <c r="AB77" s="59"/>
      <c r="AC77" s="59" t="s">
        <v>700</v>
      </c>
    </row>
    <row r="78" spans="1:29" ht="27.6" hidden="1" customHeight="1">
      <c r="A78" s="344" t="s">
        <v>1031</v>
      </c>
      <c r="B78" s="59">
        <v>74</v>
      </c>
      <c r="C78" s="397"/>
      <c r="D78" s="388" t="s">
        <v>955</v>
      </c>
      <c r="E78" s="376" t="s">
        <v>959</v>
      </c>
      <c r="F78" s="376" t="s">
        <v>960</v>
      </c>
      <c r="G78" s="377" t="s">
        <v>700</v>
      </c>
      <c r="H78" s="378">
        <v>0</v>
      </c>
      <c r="I78" s="379">
        <v>0</v>
      </c>
      <c r="J78" s="359">
        <f t="shared" si="11"/>
        <v>0</v>
      </c>
      <c r="K78" s="359">
        <v>0</v>
      </c>
      <c r="L78" s="359">
        <f>SUMIFS('Cable Tray-income  '!L:L,'Cable Tray-income  '!F:F,케이블트레이입.출고현황!U78)</f>
        <v>0</v>
      </c>
      <c r="M78" s="360">
        <f t="shared" si="12"/>
        <v>0</v>
      </c>
      <c r="N78" s="382">
        <f t="shared" si="13"/>
        <v>0</v>
      </c>
      <c r="O78" s="380">
        <f>SUMIFS('Cable Tray-Log-out'!L:L,'Cable Tray-Log-out'!D:D,U78)</f>
        <v>0</v>
      </c>
      <c r="P78" s="382"/>
      <c r="Q78" s="383"/>
      <c r="R78" s="382">
        <f t="shared" si="14"/>
        <v>0</v>
      </c>
      <c r="S78" s="389"/>
      <c r="T78" s="381"/>
      <c r="U78" s="342" t="s">
        <v>961</v>
      </c>
      <c r="V78" s="342"/>
      <c r="W78" s="141" t="str">
        <f t="shared" si="7"/>
        <v>Hilti anchor</v>
      </c>
      <c r="X78" s="141" t="str">
        <f t="shared" si="8"/>
        <v>HDA-P M10</v>
      </c>
      <c r="Y78" s="141" t="str">
        <f t="shared" si="9"/>
        <v>HDA-P M10x100/20</v>
      </c>
      <c r="Z78" s="10" t="str">
        <f t="shared" si="10"/>
        <v>pcs</v>
      </c>
      <c r="AA78" s="59"/>
      <c r="AB78" s="59"/>
      <c r="AC78" s="59" t="s">
        <v>700</v>
      </c>
    </row>
    <row r="79" spans="1:29" ht="27.6" hidden="1" customHeight="1">
      <c r="A79" s="344" t="s">
        <v>965</v>
      </c>
      <c r="B79" s="59">
        <v>75</v>
      </c>
      <c r="C79" s="397"/>
      <c r="D79" s="388" t="s">
        <v>962</v>
      </c>
      <c r="E79" s="376" t="s">
        <v>963</v>
      </c>
      <c r="F79" s="376" t="s">
        <v>964</v>
      </c>
      <c r="G79" s="377" t="s">
        <v>700</v>
      </c>
      <c r="H79" s="378">
        <v>0</v>
      </c>
      <c r="I79" s="379">
        <v>0</v>
      </c>
      <c r="J79" s="359">
        <f t="shared" si="11"/>
        <v>0</v>
      </c>
      <c r="K79" s="359">
        <v>0</v>
      </c>
      <c r="L79" s="359">
        <f>SUMIFS('Cable Tray-income  '!L:L,'Cable Tray-income  '!F:F,케이블트레이입.출고현황!U79)</f>
        <v>0</v>
      </c>
      <c r="M79" s="360">
        <f t="shared" si="12"/>
        <v>0</v>
      </c>
      <c r="N79" s="382">
        <f t="shared" si="13"/>
        <v>0</v>
      </c>
      <c r="O79" s="380">
        <f>SUMIFS('Cable Tray-Log-out'!L:L,'Cable Tray-Log-out'!D:D,U79)</f>
        <v>0</v>
      </c>
      <c r="P79" s="382"/>
      <c r="Q79" s="383"/>
      <c r="R79" s="382">
        <f t="shared" si="14"/>
        <v>0</v>
      </c>
      <c r="S79" s="389"/>
      <c r="T79" s="381"/>
      <c r="U79" s="141" t="s">
        <v>965</v>
      </c>
      <c r="V79" s="141"/>
      <c r="W79" s="141" t="str">
        <f t="shared" si="7"/>
        <v>Section</v>
      </c>
      <c r="X79" s="141" t="str">
        <f t="shared" si="8"/>
        <v>-</v>
      </c>
      <c r="Y79" s="141" t="str">
        <f t="shared" si="9"/>
        <v>200x100x8; L=400</v>
      </c>
      <c r="Z79" s="10" t="str">
        <f t="shared" si="10"/>
        <v>pcs</v>
      </c>
      <c r="AA79" s="59"/>
      <c r="AB79" s="59"/>
      <c r="AC79" s="59" t="s">
        <v>700</v>
      </c>
    </row>
    <row r="80" spans="1:29" ht="27.6" hidden="1" customHeight="1">
      <c r="A80" s="344" t="s">
        <v>967</v>
      </c>
      <c r="B80" s="59">
        <v>76</v>
      </c>
      <c r="C80" s="397"/>
      <c r="D80" s="388" t="s">
        <v>962</v>
      </c>
      <c r="E80" s="376" t="s">
        <v>963</v>
      </c>
      <c r="F80" s="376" t="s">
        <v>966</v>
      </c>
      <c r="G80" s="377" t="s">
        <v>700</v>
      </c>
      <c r="H80" s="378">
        <v>0</v>
      </c>
      <c r="I80" s="379">
        <v>0</v>
      </c>
      <c r="J80" s="359">
        <f t="shared" si="11"/>
        <v>0</v>
      </c>
      <c r="K80" s="359">
        <v>0</v>
      </c>
      <c r="L80" s="359">
        <f>SUMIFS('Cable Tray-income  '!L:L,'Cable Tray-income  '!F:F,케이블트레이입.출고현황!U80)</f>
        <v>0</v>
      </c>
      <c r="M80" s="360">
        <f t="shared" si="12"/>
        <v>0</v>
      </c>
      <c r="N80" s="382">
        <f t="shared" si="13"/>
        <v>0</v>
      </c>
      <c r="O80" s="380">
        <f>SUMIFS('Cable Tray-Log-out'!L:L,'Cable Tray-Log-out'!D:D,U80)</f>
        <v>0</v>
      </c>
      <c r="P80" s="382"/>
      <c r="Q80" s="383"/>
      <c r="R80" s="382">
        <f t="shared" si="14"/>
        <v>0</v>
      </c>
      <c r="S80" s="389"/>
      <c r="T80" s="381"/>
      <c r="U80" s="342" t="s">
        <v>967</v>
      </c>
      <c r="V80" s="342"/>
      <c r="W80" s="141" t="str">
        <f t="shared" si="7"/>
        <v>Section</v>
      </c>
      <c r="X80" s="141" t="str">
        <f t="shared" si="8"/>
        <v>-</v>
      </c>
      <c r="Y80" s="141" t="str">
        <f t="shared" si="9"/>
        <v>200x100x8; L=200</v>
      </c>
      <c r="Z80" s="10" t="str">
        <f t="shared" si="10"/>
        <v>pcs</v>
      </c>
      <c r="AA80" s="59"/>
      <c r="AB80" s="59"/>
      <c r="AC80" s="59" t="s">
        <v>700</v>
      </c>
    </row>
    <row r="81" spans="1:29" ht="27.6" customHeight="1">
      <c r="B81" s="59"/>
      <c r="C81" s="397"/>
      <c r="D81" s="388"/>
      <c r="E81" s="376"/>
      <c r="F81" s="376"/>
      <c r="G81" s="377"/>
      <c r="H81" s="378"/>
      <c r="I81" s="379"/>
      <c r="J81" s="382"/>
      <c r="K81" s="382"/>
      <c r="L81" s="382"/>
      <c r="M81" s="382"/>
      <c r="N81" s="382"/>
      <c r="O81" s="380"/>
      <c r="P81" s="382"/>
      <c r="Q81" s="383"/>
      <c r="R81" s="382"/>
      <c r="S81" s="389"/>
      <c r="T81" s="381"/>
      <c r="U81" s="147" t="s">
        <v>968</v>
      </c>
      <c r="V81" s="147"/>
      <c r="W81" s="141">
        <f>D81</f>
        <v>0</v>
      </c>
      <c r="X81" s="147"/>
      <c r="Y81" s="147"/>
      <c r="Z81" s="10">
        <f>G81</f>
        <v>0</v>
      </c>
      <c r="AA81" s="59"/>
      <c r="AB81" s="59"/>
      <c r="AC81" s="59">
        <v>0</v>
      </c>
    </row>
    <row r="82" spans="1:29" ht="27.6" customHeight="1">
      <c r="C82" s="398"/>
      <c r="D82" s="399"/>
      <c r="E82" s="390"/>
      <c r="F82" s="390"/>
      <c r="G82" s="391"/>
      <c r="H82" s="392"/>
      <c r="I82" s="393"/>
      <c r="J82" s="394"/>
      <c r="K82" s="394"/>
      <c r="L82" s="394"/>
      <c r="M82" s="394"/>
      <c r="N82" s="394"/>
      <c r="O82" s="395"/>
      <c r="P82" s="394"/>
      <c r="Q82" s="396"/>
      <c r="R82" s="396"/>
      <c r="S82" s="390"/>
      <c r="U82" s="352"/>
      <c r="V82" s="352"/>
    </row>
    <row r="83" spans="1:29" ht="79.95" customHeight="1">
      <c r="D83" s="353" t="s">
        <v>969</v>
      </c>
      <c r="E83" s="354"/>
      <c r="F83" s="354"/>
    </row>
    <row r="84" spans="1:29" ht="19.2" customHeight="1">
      <c r="A84" s="344">
        <v>1</v>
      </c>
      <c r="B84" s="344">
        <v>2</v>
      </c>
      <c r="C84" s="344">
        <v>3</v>
      </c>
      <c r="D84" s="344">
        <v>4</v>
      </c>
      <c r="E84" s="344">
        <v>5</v>
      </c>
      <c r="F84" s="344">
        <v>6</v>
      </c>
      <c r="G84" s="344">
        <v>7</v>
      </c>
      <c r="H84" s="344">
        <v>8</v>
      </c>
      <c r="I84" s="344">
        <v>9</v>
      </c>
      <c r="J84" s="344">
        <v>10</v>
      </c>
      <c r="K84" s="344">
        <v>11</v>
      </c>
      <c r="L84" s="344">
        <v>12</v>
      </c>
      <c r="M84" s="344">
        <v>13</v>
      </c>
      <c r="N84" s="344">
        <v>14</v>
      </c>
      <c r="O84" s="344">
        <v>15</v>
      </c>
      <c r="P84" s="344">
        <v>16</v>
      </c>
      <c r="Q84" s="344">
        <v>17</v>
      </c>
      <c r="R84" s="344">
        <v>18</v>
      </c>
      <c r="S84" s="344">
        <v>19</v>
      </c>
      <c r="T84" s="344">
        <v>20</v>
      </c>
      <c r="U84" s="344">
        <v>21</v>
      </c>
      <c r="V84" s="344">
        <v>22</v>
      </c>
      <c r="W84" s="344">
        <v>23</v>
      </c>
      <c r="X84" s="344">
        <v>24</v>
      </c>
      <c r="Y84" s="344">
        <v>25</v>
      </c>
      <c r="Z84" s="344">
        <v>26</v>
      </c>
    </row>
    <row r="85" spans="1:29">
      <c r="J85" s="362"/>
    </row>
    <row r="87" spans="1:29">
      <c r="M87" s="362"/>
    </row>
  </sheetData>
  <autoFilter ref="D2:U80" xr:uid="{00000000-0009-0000-0000-000000000000}">
    <filterColumn colId="10">
      <filters>
        <filter val="1,046.0"/>
        <filter val="1,102.0"/>
        <filter val="119.0"/>
        <filter val="141.0"/>
        <filter val="423.0"/>
        <filter val="56.0"/>
        <filter val="DAESUN"/>
        <filter val="Incoming"/>
      </filters>
    </filterColumn>
  </autoFilter>
  <mergeCells count="8">
    <mergeCell ref="C3:C4"/>
    <mergeCell ref="S3:S4"/>
    <mergeCell ref="H3:M3"/>
    <mergeCell ref="N3:R3"/>
    <mergeCell ref="D3:D4"/>
    <mergeCell ref="E3:E4"/>
    <mergeCell ref="F3:F4"/>
    <mergeCell ref="G3:G4"/>
  </mergeCells>
  <phoneticPr fontId="2" type="noConversion"/>
  <pageMargins left="0.7" right="0.7" top="0.75" bottom="0.75" header="0.3" footer="0.3"/>
  <pageSetup paperSize="9" scale="3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4AFF-9FC8-4FF4-9039-74B0C6BCDEEB}">
  <sheetPr>
    <pageSetUpPr fitToPage="1"/>
  </sheetPr>
  <dimension ref="A1:Q179"/>
  <sheetViews>
    <sheetView zoomScale="85" zoomScaleNormal="85" workbookViewId="0">
      <selection activeCell="H10" sqref="H10"/>
    </sheetView>
  </sheetViews>
  <sheetFormatPr defaultColWidth="9" defaultRowHeight="13.8"/>
  <cols>
    <col min="1" max="1" width="6.109375" style="5" customWidth="1"/>
    <col min="2" max="2" width="7" style="8" customWidth="1"/>
    <col min="3" max="4" width="17.88671875" style="8" customWidth="1"/>
    <col min="5" max="5" width="12.6640625" style="102" customWidth="1"/>
    <col min="6" max="6" width="11.44140625" style="5" customWidth="1"/>
    <col min="7" max="7" width="14.109375" style="14" bestFit="1" customWidth="1"/>
    <col min="8" max="8" width="32.6640625" style="14" bestFit="1" customWidth="1"/>
    <col min="9" max="9" width="17.6640625" style="14" bestFit="1" customWidth="1"/>
    <col min="10" max="10" width="20.6640625" style="15" bestFit="1" customWidth="1"/>
    <col min="11" max="11" width="6.44140625" style="7" customWidth="1"/>
    <col min="12" max="12" width="11.6640625" style="38" customWidth="1"/>
    <col min="13" max="13" width="13.21875" style="5" customWidth="1"/>
    <col min="14" max="14" width="9" style="5"/>
    <col min="15" max="15" width="8.6640625" style="5" customWidth="1"/>
    <col min="16" max="16" width="10" style="5" bestFit="1" customWidth="1"/>
    <col min="17" max="16384" width="9" style="5"/>
  </cols>
  <sheetData>
    <row r="1" spans="2:13" ht="33.75" customHeight="1">
      <c r="B1" s="12" t="s">
        <v>185</v>
      </c>
      <c r="C1" s="12"/>
      <c r="D1" s="12"/>
      <c r="E1" s="363"/>
      <c r="L1" s="35"/>
    </row>
    <row r="2" spans="2:13" s="2" customFormat="1" ht="26.25" customHeight="1">
      <c r="B2" s="13" t="s">
        <v>19</v>
      </c>
      <c r="C2" s="13"/>
      <c r="D2" s="13"/>
      <c r="E2" s="364"/>
      <c r="G2" s="16"/>
      <c r="H2" s="47"/>
      <c r="I2" s="16"/>
      <c r="J2" s="47" t="s">
        <v>37</v>
      </c>
      <c r="K2" s="3"/>
      <c r="L2" s="36"/>
      <c r="M2" s="17"/>
    </row>
    <row r="3" spans="2:13" s="11" customFormat="1" ht="21.75" customHeight="1">
      <c r="B3" s="433" t="s">
        <v>4</v>
      </c>
      <c r="C3" s="433" t="s">
        <v>572</v>
      </c>
      <c r="D3" s="433" t="s">
        <v>588</v>
      </c>
      <c r="E3" s="445" t="s">
        <v>17</v>
      </c>
      <c r="F3" s="433" t="s">
        <v>5</v>
      </c>
      <c r="G3" s="433" t="s">
        <v>35</v>
      </c>
      <c r="H3" s="433" t="s">
        <v>6</v>
      </c>
      <c r="I3" s="433" t="s">
        <v>7</v>
      </c>
      <c r="J3" s="433" t="s">
        <v>8</v>
      </c>
      <c r="K3" s="433" t="s">
        <v>9</v>
      </c>
      <c r="L3" s="435" t="s">
        <v>3</v>
      </c>
      <c r="M3" s="433" t="s">
        <v>10</v>
      </c>
    </row>
    <row r="4" spans="2:13" s="11" customFormat="1" ht="21.75" customHeight="1">
      <c r="B4" s="434"/>
      <c r="C4" s="434"/>
      <c r="D4" s="434"/>
      <c r="E4" s="446"/>
      <c r="F4" s="434"/>
      <c r="G4" s="434"/>
      <c r="H4" s="434"/>
      <c r="I4" s="434"/>
      <c r="J4" s="434"/>
      <c r="K4" s="434"/>
      <c r="L4" s="436"/>
      <c r="M4" s="434"/>
    </row>
    <row r="5" spans="2:13" s="234" customFormat="1" ht="21.75" customHeight="1">
      <c r="B5" s="10">
        <v>1</v>
      </c>
      <c r="C5" s="235" t="s">
        <v>991</v>
      </c>
      <c r="D5" s="235" t="s">
        <v>979</v>
      </c>
      <c r="E5" s="365">
        <v>46109</v>
      </c>
      <c r="F5" s="235" t="s">
        <v>919</v>
      </c>
      <c r="G5" s="19" t="str">
        <f>IFERROR(VLOOKUP(F5,케이블트레이입.출고현황!U:W,2,0),"")</f>
        <v xml:space="preserve">Simple gusset </v>
      </c>
      <c r="H5" s="19" t="str">
        <f>IFERROR(VLOOKUP(G5,케이블트레이입.출고현황!V:X,2,0),"")</f>
        <v>Simple gusset KP for racks ST</v>
      </c>
      <c r="I5" s="19" t="str">
        <f>IFERROR(VLOOKUP(H5,케이블트레이입.출고현황!W:Y,2,0),"")</f>
        <v>3-KP-4-M-TA4</v>
      </c>
      <c r="J5" s="19" t="str">
        <f>IFERROR(VLOOKUP(I5,케이블트레이입.출고현황!X:Z,2,0),"")</f>
        <v>170x72x110; T=4.0</v>
      </c>
      <c r="K5" s="19" t="str">
        <f>IFERROR(VLOOKUP(J5,케이블트레이입.출고현황!Y:AA,2,0),"")</f>
        <v>pcs</v>
      </c>
      <c r="L5" s="236">
        <v>56</v>
      </c>
      <c r="M5" s="235"/>
    </row>
    <row r="6" spans="2:13" s="234" customFormat="1" ht="21.75" customHeight="1">
      <c r="B6" s="10">
        <v>2</v>
      </c>
      <c r="C6" s="235" t="s">
        <v>991</v>
      </c>
      <c r="D6" s="235" t="s">
        <v>979</v>
      </c>
      <c r="E6" s="365">
        <v>46109</v>
      </c>
      <c r="F6" s="235" t="s">
        <v>931</v>
      </c>
      <c r="G6" s="19" t="str">
        <f>IFERROR(VLOOKUP(F6,케이블트레이입.출고현황!U:W,2,0),"")</f>
        <v>Side gusset</v>
      </c>
      <c r="H6" s="19" t="str">
        <f>IFERROR(VLOOKUP(G6,케이블트레이입.출고현황!V:X,2,0),"")</f>
        <v>Side gusset KB for racks ST</v>
      </c>
      <c r="I6" s="19" t="str">
        <f>IFERROR(VLOOKUP(H6,케이블트레이입.출고현황!W:Y,2,0),"")</f>
        <v>3-KB-4-M-TA4</v>
      </c>
      <c r="J6" s="19" t="str">
        <f>IFERROR(VLOOKUP(I6,케이블트레이입.출고현황!X:Z,2,0),"")</f>
        <v>150x72x70; T=4.0</v>
      </c>
      <c r="K6" s="19" t="str">
        <f>IFERROR(VLOOKUP(J6,케이블트레이입.출고현황!Y:AA,2,0),"")</f>
        <v>pcs</v>
      </c>
      <c r="L6" s="236">
        <v>1046</v>
      </c>
      <c r="M6" s="235"/>
    </row>
    <row r="7" spans="2:13" s="234" customFormat="1" ht="21.75" customHeight="1">
      <c r="B7" s="10">
        <v>3</v>
      </c>
      <c r="C7" s="235" t="s">
        <v>991</v>
      </c>
      <c r="D7" s="235" t="s">
        <v>979</v>
      </c>
      <c r="E7" s="365">
        <v>46109</v>
      </c>
      <c r="F7" s="235" t="s">
        <v>935</v>
      </c>
      <c r="G7" s="19" t="str">
        <f>IFERROR(VLOOKUP(F7,케이블트레이입.출고현황!U:W,2,0),"")</f>
        <v>Double gusset</v>
      </c>
      <c r="H7" s="19" t="str">
        <f>IFERROR(VLOOKUP(G7,케이블트레이입.출고현황!V:X,2,0),"")</f>
        <v>Double gusset KD for racks STD</v>
      </c>
      <c r="I7" s="19" t="str">
        <f>IFERROR(VLOOKUP(H7,케이블트레이입.출고현황!W:Y,2,0),"")</f>
        <v>3-KD-4-M-TA4</v>
      </c>
      <c r="J7" s="19" t="str">
        <f>IFERROR(VLOOKUP(I7,케이블트레이입.출고현황!X:Z,2,0),"")</f>
        <v>109x72x72x110; T=4.0</v>
      </c>
      <c r="K7" s="19" t="str">
        <f>IFERROR(VLOOKUP(J7,케이블트레이입.출고현황!Y:AA,2,0),"")</f>
        <v>pcs</v>
      </c>
      <c r="L7" s="236">
        <v>141</v>
      </c>
      <c r="M7" s="235"/>
    </row>
    <row r="8" spans="2:13" s="234" customFormat="1" ht="21.75" customHeight="1">
      <c r="B8" s="10">
        <v>4</v>
      </c>
      <c r="C8" s="235" t="s">
        <v>991</v>
      </c>
      <c r="D8" s="235" t="s">
        <v>979</v>
      </c>
      <c r="E8" s="365">
        <v>46109</v>
      </c>
      <c r="F8" s="235" t="s">
        <v>950</v>
      </c>
      <c r="G8" s="19" t="str">
        <f>IFERROR(VLOOKUP(F8,케이블트레이입.출고현황!U:W,2,0),"")</f>
        <v>Transition clamp</v>
      </c>
      <c r="H8" s="19" t="str">
        <f>IFERROR(VLOOKUP(G8,케이블트레이입.출고현황!V:X,2,0),"")</f>
        <v>Transition clamp SP 150 for gussets</v>
      </c>
      <c r="I8" s="19" t="str">
        <f>IFERROR(VLOOKUP(H8,케이블트레이입.출고현황!W:Y,2,0),"")</f>
        <v>3-SP-150-M-TA4</v>
      </c>
      <c r="J8" s="19" t="str">
        <f>IFERROR(VLOOKUP(I8,케이블트레이입.출고현황!X:Z,2,0),"")</f>
        <v>150x142x59; T=4.0</v>
      </c>
      <c r="K8" s="19" t="str">
        <f>IFERROR(VLOOKUP(J8,케이블트레이입.출고현황!Y:AA,2,0),"")</f>
        <v>pcs</v>
      </c>
      <c r="L8" s="236">
        <v>1102</v>
      </c>
      <c r="M8" s="235"/>
    </row>
    <row r="9" spans="2:13" s="234" customFormat="1" ht="21.75" customHeight="1">
      <c r="B9" s="249">
        <v>5</v>
      </c>
      <c r="C9" s="235" t="s">
        <v>1003</v>
      </c>
      <c r="D9" s="235" t="s">
        <v>979</v>
      </c>
      <c r="E9" s="365">
        <v>46141</v>
      </c>
      <c r="F9" s="235" t="s">
        <v>824</v>
      </c>
      <c r="G9" s="260" t="str">
        <f>IFERROR(VLOOKUP(F9,케이블트레이입.출고현황!U:W,2,0),"")</f>
        <v>Console</v>
      </c>
      <c r="H9" s="260" t="str">
        <f>IFERROR(VLOOKUP(G9,케이블트레이입.출고현황!V:X,2,0),"")</f>
        <v>Console KS3-340</v>
      </c>
      <c r="I9" s="260" t="str">
        <f>IFERROR(VLOOKUP(H9,케이블트레이입.출고현황!W:Y,2,0),"")</f>
        <v>3-KS3-340-M-TA4</v>
      </c>
      <c r="J9" s="260" t="str">
        <f>IFERROR(VLOOKUP(I9,케이블트레이입.출고현황!X:Z,2,0),"")</f>
        <v>344x45x146; T=2.0</v>
      </c>
      <c r="K9" s="260" t="str">
        <f>IFERROR(VLOOKUP(J9,케이블트레이입.출고현황!Y:AA,2,0),"")</f>
        <v>pcs</v>
      </c>
      <c r="L9" s="236">
        <v>423</v>
      </c>
      <c r="M9" s="235"/>
    </row>
    <row r="10" spans="2:13" s="234" customFormat="1" ht="21.75" customHeight="1">
      <c r="B10" s="249">
        <v>6</v>
      </c>
      <c r="C10" s="235" t="s">
        <v>1003</v>
      </c>
      <c r="D10" s="235" t="s">
        <v>979</v>
      </c>
      <c r="E10" s="365">
        <v>46141</v>
      </c>
      <c r="F10" s="235" t="s">
        <v>871</v>
      </c>
      <c r="G10" s="260" t="str">
        <f>IFERROR(VLOOKUP(F10,케이블트레이입.출고현황!U:W,2,0),"")</f>
        <v>Rack</v>
      </c>
      <c r="H10" s="260" t="str">
        <f>IFERROR(VLOOKUP(G10,케이블트레이입.출고현황!V:X,2,0),"")</f>
        <v>Rack ST</v>
      </c>
      <c r="I10" s="260" t="str">
        <f>IFERROR(VLOOKUP(H10,케이블트레이입.출고현황!W:Y,2,0),"")</f>
        <v>3-ST-60-4-M-TA4</v>
      </c>
      <c r="J10" s="260" t="str">
        <f>IFERROR(VLOOKUP(I10,케이블트레이입.출고현황!X:Z,2,0),"")</f>
        <v>600x63x37; T=4.0</v>
      </c>
      <c r="K10" s="260" t="str">
        <f>IFERROR(VLOOKUP(J10,케이블트레이입.출고현황!Y:AA,2,0),"")</f>
        <v>pcs</v>
      </c>
      <c r="L10" s="236">
        <v>119</v>
      </c>
      <c r="M10" s="235"/>
    </row>
    <row r="11" spans="2:13" s="234" customFormat="1" ht="21.75" customHeight="1">
      <c r="B11" s="249">
        <v>7</v>
      </c>
      <c r="C11" s="235"/>
      <c r="D11" s="235"/>
      <c r="E11" s="365"/>
      <c r="F11" s="235"/>
      <c r="G11" s="260" t="str">
        <f>IFERROR(VLOOKUP(F11,케이블트레이입.출고현황!U:W,2,0),"")</f>
        <v/>
      </c>
      <c r="H11" s="260" t="str">
        <f>IFERROR(VLOOKUP(G11,케이블트레이입.출고현황!V:X,2,0),"")</f>
        <v/>
      </c>
      <c r="I11" s="260" t="str">
        <f>IFERROR(VLOOKUP(H11,케이블트레이입.출고현황!W:Y,2,0),"")</f>
        <v/>
      </c>
      <c r="J11" s="260" t="str">
        <f>IFERROR(VLOOKUP(I11,케이블트레이입.출고현황!X:Z,2,0),"")</f>
        <v/>
      </c>
      <c r="K11" s="260" t="str">
        <f>IFERROR(VLOOKUP(J11,케이블트레이입.출고현황!Y:AA,2,0),"")</f>
        <v/>
      </c>
      <c r="L11" s="236"/>
      <c r="M11" s="235"/>
    </row>
    <row r="12" spans="2:13" s="234" customFormat="1" ht="21.75" customHeight="1">
      <c r="B12" s="249">
        <v>8</v>
      </c>
      <c r="C12" s="235"/>
      <c r="D12" s="235"/>
      <c r="E12" s="365"/>
      <c r="F12" s="235"/>
      <c r="G12" s="260" t="str">
        <f>IFERROR(VLOOKUP(F12,케이블트레이입.출고현황!U:W,2,0),"")</f>
        <v/>
      </c>
      <c r="H12" s="260" t="str">
        <f>IFERROR(VLOOKUP(G12,케이블트레이입.출고현황!V:X,2,0),"")</f>
        <v/>
      </c>
      <c r="I12" s="260" t="str">
        <f>IFERROR(VLOOKUP(H12,케이블트레이입.출고현황!W:Y,2,0),"")</f>
        <v/>
      </c>
      <c r="J12" s="260" t="str">
        <f>IFERROR(VLOOKUP(I12,케이블트레이입.출고현황!X:Z,2,0),"")</f>
        <v/>
      </c>
      <c r="K12" s="260" t="str">
        <f>IFERROR(VLOOKUP(J12,케이블트레이입.출고현황!Y:AA,2,0),"")</f>
        <v/>
      </c>
      <c r="L12" s="236"/>
      <c r="M12" s="235"/>
    </row>
    <row r="13" spans="2:13" s="234" customFormat="1" ht="21.75" customHeight="1">
      <c r="B13" s="10">
        <v>9</v>
      </c>
      <c r="C13" s="235"/>
      <c r="D13" s="235"/>
      <c r="E13" s="365"/>
      <c r="F13" s="235"/>
      <c r="G13" s="19" t="str">
        <f>IFERROR(VLOOKUP(F13,케이블트레이입.출고현황!U:W,2,0),"")</f>
        <v/>
      </c>
      <c r="H13" s="19" t="str">
        <f>IFERROR(VLOOKUP(G13,케이블트레이입.출고현황!V:X,2,0),"")</f>
        <v/>
      </c>
      <c r="I13" s="19" t="str">
        <f>IFERROR(VLOOKUP(H13,케이블트레이입.출고현황!W:Y,2,0),"")</f>
        <v/>
      </c>
      <c r="J13" s="19" t="str">
        <f>IFERROR(VLOOKUP(I13,케이블트레이입.출고현황!X:Z,2,0),"")</f>
        <v/>
      </c>
      <c r="K13" s="19" t="str">
        <f>IFERROR(VLOOKUP(J13,케이블트레이입.출고현황!Y:AA,2,0),"")</f>
        <v/>
      </c>
      <c r="L13" s="236"/>
      <c r="M13" s="235"/>
    </row>
    <row r="14" spans="2:13" s="234" customFormat="1" ht="21.75" customHeight="1">
      <c r="B14" s="10"/>
      <c r="C14" s="235"/>
      <c r="D14" s="235"/>
      <c r="E14" s="365"/>
      <c r="F14" s="235"/>
      <c r="G14" s="19" t="str">
        <f>IFERROR(VLOOKUP(F14,케이블트레이입.출고현황!U:W,2,0),"")</f>
        <v/>
      </c>
      <c r="H14" s="19" t="str">
        <f>IFERROR(VLOOKUP(G14,케이블트레이입.출고현황!V:X,2,0),"")</f>
        <v/>
      </c>
      <c r="I14" s="19" t="str">
        <f>IFERROR(VLOOKUP(H14,케이블트레이입.출고현황!W:Y,2,0),"")</f>
        <v/>
      </c>
      <c r="J14" s="19" t="str">
        <f>IFERROR(VLOOKUP(I14,케이블트레이입.출고현황!X:Z,2,0),"")</f>
        <v/>
      </c>
      <c r="K14" s="19" t="str">
        <f>IFERROR(VLOOKUP(J14,케이블트레이입.출고현황!Y:AA,2,0),"")</f>
        <v/>
      </c>
      <c r="L14" s="236"/>
      <c r="M14" s="235"/>
    </row>
    <row r="15" spans="2:13" s="234" customFormat="1" ht="21.75" customHeight="1">
      <c r="B15" s="10"/>
      <c r="C15" s="235"/>
      <c r="D15" s="235"/>
      <c r="E15" s="365"/>
      <c r="F15" s="235"/>
      <c r="G15" s="19" t="str">
        <f>IFERROR(VLOOKUP(F15,케이블트레이입.출고현황!U:W,2,0),"")</f>
        <v/>
      </c>
      <c r="H15" s="19" t="str">
        <f>IFERROR(VLOOKUP(G15,케이블트레이입.출고현황!V:X,2,0),"")</f>
        <v/>
      </c>
      <c r="I15" s="19" t="str">
        <f>IFERROR(VLOOKUP(H15,케이블트레이입.출고현황!W:Y,2,0),"")</f>
        <v/>
      </c>
      <c r="J15" s="19" t="str">
        <f>IFERROR(VLOOKUP(I15,케이블트레이입.출고현황!X:Z,2,0),"")</f>
        <v/>
      </c>
      <c r="K15" s="19" t="str">
        <f>IFERROR(VLOOKUP(J15,케이블트레이입.출고현황!Y:AA,2,0),"")</f>
        <v/>
      </c>
      <c r="L15" s="236"/>
      <c r="M15" s="235"/>
    </row>
    <row r="16" spans="2:13" s="234" customFormat="1" ht="21.75" customHeight="1">
      <c r="B16" s="10"/>
      <c r="C16" s="235"/>
      <c r="D16" s="235"/>
      <c r="E16" s="365"/>
      <c r="F16" s="235"/>
      <c r="G16" s="19" t="str">
        <f>IFERROR(VLOOKUP(F16,케이블트레이입.출고현황!U:W,2,0),"")</f>
        <v/>
      </c>
      <c r="H16" s="19" t="str">
        <f>IFERROR(VLOOKUP(G16,케이블트레이입.출고현황!V:X,2,0),"")</f>
        <v/>
      </c>
      <c r="I16" s="19" t="str">
        <f>IFERROR(VLOOKUP(H16,케이블트레이입.출고현황!W:Y,2,0),"")</f>
        <v/>
      </c>
      <c r="J16" s="19" t="str">
        <f>IFERROR(VLOOKUP(I16,케이블트레이입.출고현황!X:Z,2,0),"")</f>
        <v/>
      </c>
      <c r="K16" s="19" t="str">
        <f>IFERROR(VLOOKUP(J16,케이블트레이입.출고현황!Y:AA,2,0),"")</f>
        <v/>
      </c>
      <c r="L16" s="236"/>
      <c r="M16" s="235"/>
    </row>
    <row r="17" spans="2:13" s="234" customFormat="1" ht="21.75" customHeight="1">
      <c r="B17" s="10"/>
      <c r="C17" s="235"/>
      <c r="D17" s="235"/>
      <c r="E17" s="365"/>
      <c r="F17" s="235"/>
      <c r="G17" s="19" t="str">
        <f>IFERROR(VLOOKUP(F17,케이블트레이입.출고현황!U:W,2,0),"")</f>
        <v/>
      </c>
      <c r="H17" s="19" t="str">
        <f>IFERROR(VLOOKUP(G17,케이블트레이입.출고현황!V:X,2,0),"")</f>
        <v/>
      </c>
      <c r="I17" s="19" t="str">
        <f>IFERROR(VLOOKUP(H17,케이블트레이입.출고현황!W:Y,2,0),"")</f>
        <v/>
      </c>
      <c r="J17" s="19" t="str">
        <f>IFERROR(VLOOKUP(I17,케이블트레이입.출고현황!X:Z,2,0),"")</f>
        <v/>
      </c>
      <c r="K17" s="19" t="str">
        <f>IFERROR(VLOOKUP(J17,케이블트레이입.출고현황!Y:AA,2,0),"")</f>
        <v/>
      </c>
      <c r="L17" s="236"/>
      <c r="M17" s="235"/>
    </row>
    <row r="18" spans="2:13" s="234" customFormat="1" ht="21.75" customHeight="1">
      <c r="B18" s="10"/>
      <c r="C18" s="235"/>
      <c r="D18" s="235"/>
      <c r="E18" s="365"/>
      <c r="F18" s="235"/>
      <c r="G18" s="19" t="str">
        <f>IFERROR(VLOOKUP(F18,케이블트레이입.출고현황!U:W,2,0),"")</f>
        <v/>
      </c>
      <c r="H18" s="19" t="str">
        <f>IFERROR(VLOOKUP(G18,케이블트레이입.출고현황!V:X,2,0),"")</f>
        <v/>
      </c>
      <c r="I18" s="19" t="str">
        <f>IFERROR(VLOOKUP(H18,케이블트레이입.출고현황!W:Y,2,0),"")</f>
        <v/>
      </c>
      <c r="J18" s="19" t="str">
        <f>IFERROR(VLOOKUP(I18,케이블트레이입.출고현황!X:Z,2,0),"")</f>
        <v/>
      </c>
      <c r="K18" s="19" t="str">
        <f>IFERROR(VLOOKUP(J18,케이블트레이입.출고현황!Y:AA,2,0),"")</f>
        <v/>
      </c>
      <c r="L18" s="236"/>
      <c r="M18" s="235"/>
    </row>
    <row r="19" spans="2:13" s="234" customFormat="1" ht="21.75" customHeight="1">
      <c r="B19" s="10"/>
      <c r="C19" s="235"/>
      <c r="D19" s="235"/>
      <c r="E19" s="365"/>
      <c r="F19" s="235"/>
      <c r="G19" s="19" t="str">
        <f>IFERROR(VLOOKUP(F19,케이블트레이입.출고현황!U:W,2,0),"")</f>
        <v/>
      </c>
      <c r="H19" s="19" t="str">
        <f>IFERROR(VLOOKUP(G19,케이블트레이입.출고현황!V:X,2,0),"")</f>
        <v/>
      </c>
      <c r="I19" s="19" t="str">
        <f>IFERROR(VLOOKUP(H19,케이블트레이입.출고현황!W:Y,2,0),"")</f>
        <v/>
      </c>
      <c r="J19" s="19" t="str">
        <f>IFERROR(VLOOKUP(I19,케이블트레이입.출고현황!X:Z,2,0),"")</f>
        <v/>
      </c>
      <c r="K19" s="19" t="str">
        <f>IFERROR(VLOOKUP(J19,케이블트레이입.출고현황!Y:AA,2,0),"")</f>
        <v/>
      </c>
      <c r="L19" s="236"/>
      <c r="M19" s="235"/>
    </row>
    <row r="20" spans="2:13" s="234" customFormat="1" ht="21.75" customHeight="1">
      <c r="B20" s="10"/>
      <c r="C20" s="235"/>
      <c r="D20" s="235"/>
      <c r="E20" s="365"/>
      <c r="F20" s="235"/>
      <c r="G20" s="19" t="str">
        <f>IFERROR(VLOOKUP(F20,케이블트레이입.출고현황!U:W,2,0),"")</f>
        <v/>
      </c>
      <c r="H20" s="19" t="str">
        <f>IFERROR(VLOOKUP(G20,케이블트레이입.출고현황!V:X,2,0),"")</f>
        <v/>
      </c>
      <c r="I20" s="19" t="str">
        <f>IFERROR(VLOOKUP(H20,케이블트레이입.출고현황!W:Y,2,0),"")</f>
        <v/>
      </c>
      <c r="J20" s="19" t="str">
        <f>IFERROR(VLOOKUP(I20,케이블트레이입.출고현황!X:Z,2,0),"")</f>
        <v/>
      </c>
      <c r="K20" s="19" t="str">
        <f>IFERROR(VLOOKUP(J20,케이블트레이입.출고현황!Y:AA,2,0),"")</f>
        <v/>
      </c>
      <c r="L20" s="236"/>
      <c r="M20" s="235"/>
    </row>
    <row r="21" spans="2:13" s="234" customFormat="1" ht="21.75" customHeight="1">
      <c r="B21" s="10"/>
      <c r="C21" s="235"/>
      <c r="D21" s="235"/>
      <c r="E21" s="365"/>
      <c r="F21" s="235"/>
      <c r="G21" s="19" t="str">
        <f>IFERROR(VLOOKUP(F21,케이블트레이입.출고현황!U:W,2,0),"")</f>
        <v/>
      </c>
      <c r="H21" s="19" t="str">
        <f>IFERROR(VLOOKUP(G21,케이블트레이입.출고현황!V:X,2,0),"")</f>
        <v/>
      </c>
      <c r="I21" s="19" t="str">
        <f>IFERROR(VLOOKUP(H21,케이블트레이입.출고현황!W:Y,2,0),"")</f>
        <v/>
      </c>
      <c r="J21" s="19" t="str">
        <f>IFERROR(VLOOKUP(I21,케이블트레이입.출고현황!X:Z,2,0),"")</f>
        <v/>
      </c>
      <c r="K21" s="19" t="str">
        <f>IFERROR(VLOOKUP(J21,케이블트레이입.출고현황!Y:AA,2,0),"")</f>
        <v/>
      </c>
      <c r="L21" s="236"/>
      <c r="M21" s="235"/>
    </row>
    <row r="22" spans="2:13" s="234" customFormat="1" ht="21.75" customHeight="1">
      <c r="B22" s="10"/>
      <c r="C22" s="235"/>
      <c r="D22" s="235"/>
      <c r="E22" s="365"/>
      <c r="F22" s="235"/>
      <c r="G22" s="19" t="str">
        <f>IFERROR(VLOOKUP(F22,케이블트레이입.출고현황!U:W,2,0),"")</f>
        <v/>
      </c>
      <c r="H22" s="19" t="str">
        <f>IFERROR(VLOOKUP(G22,케이블트레이입.출고현황!V:X,2,0),"")</f>
        <v/>
      </c>
      <c r="I22" s="19" t="str">
        <f>IFERROR(VLOOKUP(H22,케이블트레이입.출고현황!W:Y,2,0),"")</f>
        <v/>
      </c>
      <c r="J22" s="19" t="str">
        <f>IFERROR(VLOOKUP(I22,케이블트레이입.출고현황!X:Z,2,0),"")</f>
        <v/>
      </c>
      <c r="K22" s="19" t="str">
        <f>IFERROR(VLOOKUP(J22,케이블트레이입.출고현황!Y:AA,2,0),"")</f>
        <v/>
      </c>
      <c r="L22" s="236"/>
      <c r="M22" s="235"/>
    </row>
    <row r="23" spans="2:13" s="234" customFormat="1" ht="21.75" customHeight="1">
      <c r="B23" s="10"/>
      <c r="C23" s="235"/>
      <c r="D23" s="235"/>
      <c r="E23" s="365"/>
      <c r="F23" s="235"/>
      <c r="G23" s="19" t="str">
        <f>IFERROR(VLOOKUP(F23,케이블트레이입.출고현황!U:W,2,0),"")</f>
        <v/>
      </c>
      <c r="H23" s="19" t="str">
        <f>IFERROR(VLOOKUP(G23,케이블트레이입.출고현황!V:X,2,0),"")</f>
        <v/>
      </c>
      <c r="I23" s="19" t="str">
        <f>IFERROR(VLOOKUP(H23,케이블트레이입.출고현황!W:Y,2,0),"")</f>
        <v/>
      </c>
      <c r="J23" s="19" t="str">
        <f>IFERROR(VLOOKUP(I23,케이블트레이입.출고현황!X:Z,2,0),"")</f>
        <v/>
      </c>
      <c r="K23" s="19" t="str">
        <f>IFERROR(VLOOKUP(J23,케이블트레이입.출고현황!Y:AA,2,0),"")</f>
        <v/>
      </c>
      <c r="L23" s="236"/>
      <c r="M23" s="235"/>
    </row>
    <row r="24" spans="2:13" s="234" customFormat="1" ht="21.75" customHeight="1">
      <c r="B24" s="10"/>
      <c r="C24" s="235"/>
      <c r="D24" s="235"/>
      <c r="E24" s="365"/>
      <c r="F24" s="235"/>
      <c r="G24" s="19" t="str">
        <f>IFERROR(VLOOKUP(F24,케이블트레이입.출고현황!U:W,2,0),"")</f>
        <v/>
      </c>
      <c r="H24" s="19" t="str">
        <f>IFERROR(VLOOKUP(G24,케이블트레이입.출고현황!V:X,2,0),"")</f>
        <v/>
      </c>
      <c r="I24" s="19" t="str">
        <f>IFERROR(VLOOKUP(H24,케이블트레이입.출고현황!W:Y,2,0),"")</f>
        <v/>
      </c>
      <c r="J24" s="19" t="str">
        <f>IFERROR(VLOOKUP(I24,케이블트레이입.출고현황!X:Z,2,0),"")</f>
        <v/>
      </c>
      <c r="K24" s="19" t="str">
        <f>IFERROR(VLOOKUP(J24,케이블트레이입.출고현황!Y:AA,2,0),"")</f>
        <v/>
      </c>
      <c r="L24" s="236"/>
      <c r="M24" s="235"/>
    </row>
    <row r="25" spans="2:13" s="234" customFormat="1" ht="21.75" customHeight="1">
      <c r="B25" s="10"/>
      <c r="C25" s="235"/>
      <c r="D25" s="235"/>
      <c r="E25" s="365"/>
      <c r="F25" s="235"/>
      <c r="G25" s="19" t="str">
        <f>IFERROR(VLOOKUP(F25,케이블트레이입.출고현황!U:W,2,0),"")</f>
        <v/>
      </c>
      <c r="H25" s="19" t="str">
        <f>IFERROR(VLOOKUP(G25,케이블트레이입.출고현황!V:X,2,0),"")</f>
        <v/>
      </c>
      <c r="I25" s="19" t="str">
        <f>IFERROR(VLOOKUP(H25,케이블트레이입.출고현황!W:Y,2,0),"")</f>
        <v/>
      </c>
      <c r="J25" s="19" t="str">
        <f>IFERROR(VLOOKUP(I25,케이블트레이입.출고현황!X:Z,2,0),"")</f>
        <v/>
      </c>
      <c r="K25" s="19" t="str">
        <f>IFERROR(VLOOKUP(J25,케이블트레이입.출고현황!Y:AA,2,0),"")</f>
        <v/>
      </c>
      <c r="L25" s="236"/>
      <c r="M25" s="235"/>
    </row>
    <row r="26" spans="2:13" s="234" customFormat="1" ht="21.75" customHeight="1">
      <c r="B26" s="10"/>
      <c r="C26" s="235"/>
      <c r="D26" s="235"/>
      <c r="E26" s="365"/>
      <c r="F26" s="235"/>
      <c r="G26" s="19" t="str">
        <f>IFERROR(VLOOKUP(F26,케이블트레이입.출고현황!U:W,2,0),"")</f>
        <v/>
      </c>
      <c r="H26" s="19" t="str">
        <f>IFERROR(VLOOKUP(G26,케이블트레이입.출고현황!V:X,2,0),"")</f>
        <v/>
      </c>
      <c r="I26" s="19" t="str">
        <f>IFERROR(VLOOKUP(H26,케이블트레이입.출고현황!W:Y,2,0),"")</f>
        <v/>
      </c>
      <c r="J26" s="19" t="str">
        <f>IFERROR(VLOOKUP(I26,케이블트레이입.출고현황!X:Z,2,0),"")</f>
        <v/>
      </c>
      <c r="K26" s="19" t="str">
        <f>IFERROR(VLOOKUP(J26,케이블트레이입.출고현황!Y:AA,2,0),"")</f>
        <v/>
      </c>
      <c r="L26" s="236"/>
      <c r="M26" s="235"/>
    </row>
    <row r="27" spans="2:13" s="234" customFormat="1" ht="21.75" customHeight="1">
      <c r="B27" s="10"/>
      <c r="C27" s="235"/>
      <c r="D27" s="235"/>
      <c r="E27" s="365"/>
      <c r="F27" s="235"/>
      <c r="G27" s="19" t="str">
        <f>IFERROR(VLOOKUP(F27,케이블트레이입.출고현황!U:W,2,0),"")</f>
        <v/>
      </c>
      <c r="H27" s="19" t="str">
        <f>IFERROR(VLOOKUP(G27,케이블트레이입.출고현황!V:X,2,0),"")</f>
        <v/>
      </c>
      <c r="I27" s="19" t="str">
        <f>IFERROR(VLOOKUP(H27,케이블트레이입.출고현황!W:Y,2,0),"")</f>
        <v/>
      </c>
      <c r="J27" s="19" t="str">
        <f>IFERROR(VLOOKUP(I27,케이블트레이입.출고현황!X:Z,2,0),"")</f>
        <v/>
      </c>
      <c r="K27" s="19" t="str">
        <f>IFERROR(VLOOKUP(J27,케이블트레이입.출고현황!Y:AA,2,0),"")</f>
        <v/>
      </c>
      <c r="L27" s="236"/>
      <c r="M27" s="235"/>
    </row>
    <row r="28" spans="2:13" s="234" customFormat="1" ht="21.75" customHeight="1">
      <c r="B28" s="10"/>
      <c r="C28" s="235"/>
      <c r="D28" s="235"/>
      <c r="E28" s="365"/>
      <c r="F28" s="235"/>
      <c r="G28" s="19" t="str">
        <f>IFERROR(VLOOKUP(F28,케이블트레이입.출고현황!U:W,2,0),"")</f>
        <v/>
      </c>
      <c r="H28" s="19" t="str">
        <f>IFERROR(VLOOKUP(G28,케이블트레이입.출고현황!V:X,2,0),"")</f>
        <v/>
      </c>
      <c r="I28" s="19" t="str">
        <f>IFERROR(VLOOKUP(H28,케이블트레이입.출고현황!W:Y,2,0),"")</f>
        <v/>
      </c>
      <c r="J28" s="19" t="str">
        <f>IFERROR(VLOOKUP(I28,케이블트레이입.출고현황!X:Z,2,0),"")</f>
        <v/>
      </c>
      <c r="K28" s="19" t="str">
        <f>IFERROR(VLOOKUP(J28,케이블트레이입.출고현황!Y:AA,2,0),"")</f>
        <v/>
      </c>
      <c r="L28" s="236"/>
      <c r="M28" s="235"/>
    </row>
    <row r="29" spans="2:13" s="234" customFormat="1" ht="21.75" customHeight="1">
      <c r="B29" s="10"/>
      <c r="C29" s="235"/>
      <c r="D29" s="235"/>
      <c r="E29" s="365"/>
      <c r="F29" s="235"/>
      <c r="G29" s="19" t="str">
        <f>IFERROR(VLOOKUP(F29,케이블트레이입.출고현황!U:W,2,0),"")</f>
        <v/>
      </c>
      <c r="H29" s="19" t="str">
        <f>IFERROR(VLOOKUP(G29,케이블트레이입.출고현황!V:X,2,0),"")</f>
        <v/>
      </c>
      <c r="I29" s="19" t="str">
        <f>IFERROR(VLOOKUP(H29,케이블트레이입.출고현황!W:Y,2,0),"")</f>
        <v/>
      </c>
      <c r="J29" s="19" t="str">
        <f>IFERROR(VLOOKUP(I29,케이블트레이입.출고현황!X:Z,2,0),"")</f>
        <v/>
      </c>
      <c r="K29" s="19" t="str">
        <f>IFERROR(VLOOKUP(J29,케이블트레이입.출고현황!Y:AA,2,0),"")</f>
        <v/>
      </c>
      <c r="L29" s="236"/>
      <c r="M29" s="235"/>
    </row>
    <row r="30" spans="2:13" s="234" customFormat="1" ht="21.75" customHeight="1">
      <c r="B30" s="10"/>
      <c r="C30" s="235"/>
      <c r="D30" s="235"/>
      <c r="E30" s="365"/>
      <c r="F30" s="235"/>
      <c r="G30" s="19" t="str">
        <f>IFERROR(VLOOKUP(F30,케이블트레이입.출고현황!U:W,2,0),"")</f>
        <v/>
      </c>
      <c r="H30" s="19" t="str">
        <f>IFERROR(VLOOKUP(G30,케이블트레이입.출고현황!V:X,2,0),"")</f>
        <v/>
      </c>
      <c r="I30" s="19" t="str">
        <f>IFERROR(VLOOKUP(H30,케이블트레이입.출고현황!W:Y,2,0),"")</f>
        <v/>
      </c>
      <c r="J30" s="19" t="str">
        <f>IFERROR(VLOOKUP(I30,케이블트레이입.출고현황!X:Z,2,0),"")</f>
        <v/>
      </c>
      <c r="K30" s="19" t="str">
        <f>IFERROR(VLOOKUP(J30,케이블트레이입.출고현황!Y:AA,2,0),"")</f>
        <v/>
      </c>
      <c r="L30" s="236"/>
      <c r="M30" s="235"/>
    </row>
    <row r="31" spans="2:13" s="234" customFormat="1" ht="21.75" customHeight="1">
      <c r="B31" s="10"/>
      <c r="C31" s="235"/>
      <c r="D31" s="235"/>
      <c r="E31" s="365"/>
      <c r="F31" s="235"/>
      <c r="G31" s="19" t="str">
        <f>IFERROR(VLOOKUP(F31,케이블트레이입.출고현황!U:W,2,0),"")</f>
        <v/>
      </c>
      <c r="H31" s="19" t="str">
        <f>IFERROR(VLOOKUP(G31,케이블트레이입.출고현황!V:X,2,0),"")</f>
        <v/>
      </c>
      <c r="I31" s="19" t="str">
        <f>IFERROR(VLOOKUP(H31,케이블트레이입.출고현황!W:Y,2,0),"")</f>
        <v/>
      </c>
      <c r="J31" s="19" t="str">
        <f>IFERROR(VLOOKUP(I31,케이블트레이입.출고현황!X:Z,2,0),"")</f>
        <v/>
      </c>
      <c r="K31" s="19" t="str">
        <f>IFERROR(VLOOKUP(J31,케이블트레이입.출고현황!Y:AA,2,0),"")</f>
        <v/>
      </c>
      <c r="L31" s="236"/>
      <c r="M31" s="235"/>
    </row>
    <row r="32" spans="2:13" s="234" customFormat="1" ht="21.75" customHeight="1">
      <c r="B32" s="10"/>
      <c r="C32" s="235"/>
      <c r="D32" s="235"/>
      <c r="E32" s="365"/>
      <c r="F32" s="235"/>
      <c r="G32" s="19" t="str">
        <f>IFERROR(VLOOKUP(F32,케이블트레이입.출고현황!U:W,2,0),"")</f>
        <v/>
      </c>
      <c r="H32" s="19" t="str">
        <f>IFERROR(VLOOKUP(G32,케이블트레이입.출고현황!V:X,2,0),"")</f>
        <v/>
      </c>
      <c r="I32" s="19" t="str">
        <f>IFERROR(VLOOKUP(H32,케이블트레이입.출고현황!W:Y,2,0),"")</f>
        <v/>
      </c>
      <c r="J32" s="19" t="str">
        <f>IFERROR(VLOOKUP(I32,케이블트레이입.출고현황!X:Z,2,0),"")</f>
        <v/>
      </c>
      <c r="K32" s="19" t="str">
        <f>IFERROR(VLOOKUP(J32,케이블트레이입.출고현황!Y:AA,2,0),"")</f>
        <v/>
      </c>
      <c r="L32" s="236"/>
      <c r="M32" s="235"/>
    </row>
    <row r="33" spans="1:17" s="234" customFormat="1" ht="21.75" customHeight="1">
      <c r="B33" s="10"/>
      <c r="C33" s="235"/>
      <c r="D33" s="235"/>
      <c r="E33" s="365"/>
      <c r="F33" s="235"/>
      <c r="G33" s="19" t="str">
        <f>IFERROR(VLOOKUP(F33,케이블트레이입.출고현황!U:W,2,0),"")</f>
        <v/>
      </c>
      <c r="H33" s="19" t="str">
        <f>IFERROR(VLOOKUP(G33,케이블트레이입.출고현황!V:X,2,0),"")</f>
        <v/>
      </c>
      <c r="I33" s="19" t="str">
        <f>IFERROR(VLOOKUP(H33,케이블트레이입.출고현황!W:Y,2,0),"")</f>
        <v/>
      </c>
      <c r="J33" s="19" t="str">
        <f>IFERROR(VLOOKUP(I33,케이블트레이입.출고현황!X:Z,2,0),"")</f>
        <v/>
      </c>
      <c r="K33" s="19" t="str">
        <f>IFERROR(VLOOKUP(J33,케이블트레이입.출고현황!Y:AA,2,0),"")</f>
        <v/>
      </c>
      <c r="L33" s="236"/>
      <c r="M33" s="235"/>
    </row>
    <row r="34" spans="1:17" s="234" customFormat="1" ht="21.75" customHeight="1">
      <c r="B34" s="10"/>
      <c r="C34" s="235"/>
      <c r="D34" s="235"/>
      <c r="E34" s="365"/>
      <c r="F34" s="235"/>
      <c r="G34" s="19" t="str">
        <f>IFERROR(VLOOKUP(F34,케이블트레이입.출고현황!U:W,2,0),"")</f>
        <v/>
      </c>
      <c r="H34" s="19" t="str">
        <f>IFERROR(VLOOKUP(G34,케이블트레이입.출고현황!V:X,2,0),"")</f>
        <v/>
      </c>
      <c r="I34" s="19" t="str">
        <f>IFERROR(VLOOKUP(H34,케이블트레이입.출고현황!W:Y,2,0),"")</f>
        <v/>
      </c>
      <c r="J34" s="19" t="str">
        <f>IFERROR(VLOOKUP(I34,케이블트레이입.출고현황!X:Z,2,0),"")</f>
        <v/>
      </c>
      <c r="K34" s="19" t="str">
        <f>IFERROR(VLOOKUP(J34,케이블트레이입.출고현황!Y:AA,2,0),"")</f>
        <v/>
      </c>
      <c r="L34" s="246"/>
      <c r="M34" s="235"/>
      <c r="P34" s="313">
        <v>12893.599999999991</v>
      </c>
      <c r="Q34" s="313">
        <f>L34-P34</f>
        <v>-12893.599999999991</v>
      </c>
    </row>
    <row r="35" spans="1:17" s="234" customFormat="1" ht="21.75" customHeight="1">
      <c r="B35" s="10"/>
      <c r="C35" s="235"/>
      <c r="D35" s="235"/>
      <c r="E35" s="365"/>
      <c r="F35" s="235"/>
      <c r="G35" s="19" t="str">
        <f>IFERROR(VLOOKUP(F35,케이블트레이입.출고현황!U:W,2,0),"")</f>
        <v/>
      </c>
      <c r="H35" s="19" t="str">
        <f>IFERROR(VLOOKUP(G35,케이블트레이입.출고현황!V:X,2,0),"")</f>
        <v/>
      </c>
      <c r="I35" s="19" t="str">
        <f>IFERROR(VLOOKUP(H35,케이블트레이입.출고현황!W:Y,2,0),"")</f>
        <v/>
      </c>
      <c r="J35" s="19" t="str">
        <f>IFERROR(VLOOKUP(I35,케이블트레이입.출고현황!X:Z,2,0),"")</f>
        <v/>
      </c>
      <c r="K35" s="19" t="str">
        <f>IFERROR(VLOOKUP(J35,케이블트레이입.출고현황!Y:AA,2,0),"")</f>
        <v/>
      </c>
      <c r="L35" s="236"/>
      <c r="M35" s="235"/>
    </row>
    <row r="36" spans="1:17" s="131" customFormat="1" ht="24" customHeight="1">
      <c r="A36" s="29">
        <v>1</v>
      </c>
      <c r="B36" s="10">
        <v>1</v>
      </c>
      <c r="C36" s="10"/>
      <c r="D36" s="10"/>
      <c r="E36" s="129"/>
      <c r="F36" s="10"/>
      <c r="G36" s="19" t="str">
        <f>IFERROR(VLOOKUP(F36,케이블트레이입.출고현황!U:W,2,0),"")</f>
        <v/>
      </c>
      <c r="H36" s="19" t="str">
        <f>IFERROR(VLOOKUP(G36,케이블트레이입.출고현황!V:X,2,0),"")</f>
        <v/>
      </c>
      <c r="I36" s="19" t="str">
        <f>IFERROR(VLOOKUP(H36,케이블트레이입.출고현황!W:Y,2,0),"")</f>
        <v/>
      </c>
      <c r="J36" s="19" t="str">
        <f>IFERROR(VLOOKUP(I36,케이블트레이입.출고현황!X:Z,2,0),"")</f>
        <v/>
      </c>
      <c r="K36" s="19" t="str">
        <f>IFERROR(VLOOKUP(J36,케이블트레이입.출고현황!Y:AA,2,0),"")</f>
        <v/>
      </c>
      <c r="L36" s="126"/>
      <c r="M36" s="130"/>
    </row>
    <row r="37" spans="1:17" s="131" customFormat="1" ht="24" customHeight="1">
      <c r="A37" s="29">
        <v>2</v>
      </c>
      <c r="B37" s="10">
        <v>2</v>
      </c>
      <c r="C37" s="10"/>
      <c r="D37" s="10"/>
      <c r="E37" s="129"/>
      <c r="F37" s="10"/>
      <c r="G37" s="19" t="str">
        <f>IFERROR(VLOOKUP(F37,케이블트레이입.출고현황!U:W,2,0),"")</f>
        <v/>
      </c>
      <c r="H37" s="19" t="str">
        <f>IFERROR(VLOOKUP(G37,케이블트레이입.출고현황!V:X,2,0),"")</f>
        <v/>
      </c>
      <c r="I37" s="19" t="str">
        <f>IFERROR(VLOOKUP(H37,케이블트레이입.출고현황!W:Y,2,0),"")</f>
        <v/>
      </c>
      <c r="J37" s="19" t="str">
        <f>IFERROR(VLOOKUP(I37,케이블트레이입.출고현황!X:Z,2,0),"")</f>
        <v/>
      </c>
      <c r="K37" s="19" t="str">
        <f>IFERROR(VLOOKUP(J37,케이블트레이입.출고현황!Y:AA,2,0),"")</f>
        <v/>
      </c>
      <c r="L37" s="126"/>
      <c r="M37" s="130"/>
    </row>
    <row r="38" spans="1:17" s="131" customFormat="1" ht="24" customHeight="1">
      <c r="A38" s="29">
        <v>3</v>
      </c>
      <c r="B38" s="10">
        <v>3</v>
      </c>
      <c r="C38" s="10"/>
      <c r="D38" s="10"/>
      <c r="E38" s="129"/>
      <c r="F38" s="10"/>
      <c r="G38" s="19" t="str">
        <f>IFERROR(VLOOKUP(F38,케이블트레이입.출고현황!U:W,2,0),"")</f>
        <v/>
      </c>
      <c r="H38" s="19" t="str">
        <f>IFERROR(VLOOKUP(G38,케이블트레이입.출고현황!V:X,2,0),"")</f>
        <v/>
      </c>
      <c r="I38" s="19" t="str">
        <f>IFERROR(VLOOKUP(H38,케이블트레이입.출고현황!W:Y,2,0),"")</f>
        <v/>
      </c>
      <c r="J38" s="19" t="str">
        <f>IFERROR(VLOOKUP(I38,케이블트레이입.출고현황!X:Z,2,0),"")</f>
        <v/>
      </c>
      <c r="K38" s="19" t="str">
        <f>IFERROR(VLOOKUP(J38,케이블트레이입.출고현황!Y:AA,2,0),"")</f>
        <v/>
      </c>
      <c r="L38" s="126"/>
      <c r="M38" s="130"/>
    </row>
    <row r="39" spans="1:17" s="131" customFormat="1" ht="24" customHeight="1">
      <c r="A39" s="29">
        <v>4</v>
      </c>
      <c r="B39" s="10">
        <v>4</v>
      </c>
      <c r="C39" s="10"/>
      <c r="D39" s="10"/>
      <c r="E39" s="129"/>
      <c r="F39" s="10"/>
      <c r="G39" s="19" t="str">
        <f>IFERROR(VLOOKUP(F39,케이블트레이입.출고현황!U:W,2,0),"")</f>
        <v/>
      </c>
      <c r="H39" s="19" t="str">
        <f>IFERROR(VLOOKUP(G39,케이블트레이입.출고현황!V:X,2,0),"")</f>
        <v/>
      </c>
      <c r="I39" s="19" t="str">
        <f>IFERROR(VLOOKUP(H39,케이블트레이입.출고현황!W:Y,2,0),"")</f>
        <v/>
      </c>
      <c r="J39" s="19" t="str">
        <f>IFERROR(VLOOKUP(I39,케이블트레이입.출고현황!X:Z,2,0),"")</f>
        <v/>
      </c>
      <c r="K39" s="19" t="str">
        <f>IFERROR(VLOOKUP(J39,케이블트레이입.출고현황!Y:AA,2,0),"")</f>
        <v/>
      </c>
      <c r="L39" s="126"/>
      <c r="M39" s="130"/>
    </row>
    <row r="40" spans="1:17" s="131" customFormat="1" ht="24" customHeight="1">
      <c r="A40" s="29">
        <v>5</v>
      </c>
      <c r="B40" s="10">
        <v>5</v>
      </c>
      <c r="C40" s="10"/>
      <c r="D40" s="10"/>
      <c r="E40" s="129"/>
      <c r="F40" s="10"/>
      <c r="G40" s="19" t="str">
        <f>IFERROR(VLOOKUP(F40,케이블트레이입.출고현황!U:W,2,0),"")</f>
        <v/>
      </c>
      <c r="H40" s="19" t="str">
        <f>IFERROR(VLOOKUP(G40,케이블트레이입.출고현황!V:X,2,0),"")</f>
        <v/>
      </c>
      <c r="I40" s="19" t="str">
        <f>IFERROR(VLOOKUP(H40,케이블트레이입.출고현황!W:Y,2,0),"")</f>
        <v/>
      </c>
      <c r="J40" s="19" t="str">
        <f>IFERROR(VLOOKUP(I40,케이블트레이입.출고현황!X:Z,2,0),"")</f>
        <v/>
      </c>
      <c r="K40" s="19" t="str">
        <f>IFERROR(VLOOKUP(J40,케이블트레이입.출고현황!Y:AA,2,0),"")</f>
        <v/>
      </c>
      <c r="L40" s="126"/>
      <c r="M40" s="130"/>
    </row>
    <row r="41" spans="1:17" s="131" customFormat="1" ht="24" customHeight="1">
      <c r="A41" s="29">
        <v>6</v>
      </c>
      <c r="B41" s="10">
        <v>6</v>
      </c>
      <c r="C41" s="10"/>
      <c r="D41" s="10"/>
      <c r="E41" s="129"/>
      <c r="F41" s="10"/>
      <c r="G41" s="19" t="str">
        <f>IFERROR(VLOOKUP(F41,케이블트레이입.출고현황!U:W,2,0),"")</f>
        <v/>
      </c>
      <c r="H41" s="19" t="str">
        <f>IFERROR(VLOOKUP(G41,케이블트레이입.출고현황!V:X,2,0),"")</f>
        <v/>
      </c>
      <c r="I41" s="19" t="str">
        <f>IFERROR(VLOOKUP(H41,케이블트레이입.출고현황!W:Y,2,0),"")</f>
        <v/>
      </c>
      <c r="J41" s="19" t="str">
        <f>IFERROR(VLOOKUP(I41,케이블트레이입.출고현황!X:Z,2,0),"")</f>
        <v/>
      </c>
      <c r="K41" s="19" t="str">
        <f>IFERROR(VLOOKUP(J41,케이블트레이입.출고현황!Y:AA,2,0),"")</f>
        <v/>
      </c>
      <c r="L41" s="126"/>
      <c r="M41" s="130"/>
    </row>
    <row r="42" spans="1:17" s="131" customFormat="1" ht="24" customHeight="1">
      <c r="A42" s="29">
        <v>7</v>
      </c>
      <c r="B42" s="10">
        <v>7</v>
      </c>
      <c r="C42" s="10"/>
      <c r="D42" s="10"/>
      <c r="E42" s="129"/>
      <c r="F42" s="10"/>
      <c r="G42" s="19" t="str">
        <f>IFERROR(VLOOKUP(F42,케이블트레이입.출고현황!U:W,2,0),"")</f>
        <v/>
      </c>
      <c r="H42" s="19" t="str">
        <f>IFERROR(VLOOKUP(G42,케이블트레이입.출고현황!V:X,2,0),"")</f>
        <v/>
      </c>
      <c r="I42" s="19" t="str">
        <f>IFERROR(VLOOKUP(H42,케이블트레이입.출고현황!W:Y,2,0),"")</f>
        <v/>
      </c>
      <c r="J42" s="19" t="str">
        <f>IFERROR(VLOOKUP(I42,케이블트레이입.출고현황!X:Z,2,0),"")</f>
        <v/>
      </c>
      <c r="K42" s="19" t="str">
        <f>IFERROR(VLOOKUP(J42,케이블트레이입.출고현황!Y:AA,2,0),"")</f>
        <v/>
      </c>
      <c r="L42" s="126"/>
      <c r="M42" s="130"/>
    </row>
    <row r="43" spans="1:17" s="131" customFormat="1" ht="24" customHeight="1">
      <c r="A43" s="29">
        <v>8</v>
      </c>
      <c r="B43" s="10">
        <v>8</v>
      </c>
      <c r="C43" s="10"/>
      <c r="D43" s="10"/>
      <c r="E43" s="129"/>
      <c r="F43" s="10"/>
      <c r="G43" s="19" t="str">
        <f>IFERROR(VLOOKUP(F43,케이블트레이입.출고현황!U:W,2,0),"")</f>
        <v/>
      </c>
      <c r="H43" s="19" t="str">
        <f>IFERROR(VLOOKUP(G43,케이블트레이입.출고현황!V:X,2,0),"")</f>
        <v/>
      </c>
      <c r="I43" s="19" t="str">
        <f>IFERROR(VLOOKUP(H43,케이블트레이입.출고현황!W:Y,2,0),"")</f>
        <v/>
      </c>
      <c r="J43" s="19" t="str">
        <f>IFERROR(VLOOKUP(I43,케이블트레이입.출고현황!X:Z,2,0),"")</f>
        <v/>
      </c>
      <c r="K43" s="19" t="str">
        <f>IFERROR(VLOOKUP(J43,케이블트레이입.출고현황!Y:AA,2,0),"")</f>
        <v/>
      </c>
      <c r="L43" s="126"/>
      <c r="M43" s="130"/>
    </row>
    <row r="44" spans="1:17" s="131" customFormat="1" ht="24" customHeight="1">
      <c r="A44" s="29">
        <v>9</v>
      </c>
      <c r="B44" s="10">
        <v>9</v>
      </c>
      <c r="C44" s="10"/>
      <c r="D44" s="10"/>
      <c r="E44" s="129"/>
      <c r="F44" s="10"/>
      <c r="G44" s="19" t="str">
        <f>IFERROR(VLOOKUP(F44,케이블트레이입.출고현황!U:W,2,0),"")</f>
        <v/>
      </c>
      <c r="H44" s="19" t="str">
        <f>IFERROR(VLOOKUP(G44,케이블트레이입.출고현황!V:X,2,0),"")</f>
        <v/>
      </c>
      <c r="I44" s="19" t="str">
        <f>IFERROR(VLOOKUP(H44,케이블트레이입.출고현황!W:Y,2,0),"")</f>
        <v/>
      </c>
      <c r="J44" s="19" t="str">
        <f>IFERROR(VLOOKUP(I44,케이블트레이입.출고현황!X:Z,2,0),"")</f>
        <v/>
      </c>
      <c r="K44" s="19" t="str">
        <f>IFERROR(VLOOKUP(J44,케이블트레이입.출고현황!Y:AA,2,0),"")</f>
        <v/>
      </c>
      <c r="L44" s="126"/>
      <c r="M44" s="130"/>
    </row>
    <row r="45" spans="1:17" s="131" customFormat="1" ht="24" customHeight="1">
      <c r="A45" s="29">
        <v>10</v>
      </c>
      <c r="B45" s="10">
        <v>10</v>
      </c>
      <c r="C45" s="10"/>
      <c r="D45" s="10"/>
      <c r="E45" s="129"/>
      <c r="F45" s="10"/>
      <c r="G45" s="19" t="str">
        <f>IFERROR(VLOOKUP(F45,케이블트레이입.출고현황!U:W,2,0),"")</f>
        <v/>
      </c>
      <c r="H45" s="19" t="str">
        <f>IFERROR(VLOOKUP(G45,케이블트레이입.출고현황!V:X,2,0),"")</f>
        <v/>
      </c>
      <c r="I45" s="19" t="str">
        <f>IFERROR(VLOOKUP(H45,케이블트레이입.출고현황!W:Y,2,0),"")</f>
        <v/>
      </c>
      <c r="J45" s="19" t="str">
        <f>IFERROR(VLOOKUP(I45,케이블트레이입.출고현황!X:Z,2,0),"")</f>
        <v/>
      </c>
      <c r="K45" s="19" t="str">
        <f>IFERROR(VLOOKUP(J45,케이블트레이입.출고현황!Y:AA,2,0),"")</f>
        <v/>
      </c>
      <c r="L45" s="126"/>
      <c r="M45" s="130"/>
    </row>
    <row r="46" spans="1:17" s="131" customFormat="1" ht="24" customHeight="1">
      <c r="A46" s="29">
        <v>11</v>
      </c>
      <c r="B46" s="10">
        <v>11</v>
      </c>
      <c r="C46" s="10"/>
      <c r="D46" s="10"/>
      <c r="E46" s="129"/>
      <c r="F46" s="10"/>
      <c r="G46" s="19" t="str">
        <f>IFERROR(VLOOKUP(F46,케이블트레이입.출고현황!U:W,2,0),"")</f>
        <v/>
      </c>
      <c r="H46" s="19" t="str">
        <f>IFERROR(VLOOKUP(G46,케이블트레이입.출고현황!V:X,2,0),"")</f>
        <v/>
      </c>
      <c r="I46" s="19" t="str">
        <f>IFERROR(VLOOKUP(H46,케이블트레이입.출고현황!W:Y,2,0),"")</f>
        <v/>
      </c>
      <c r="J46" s="19" t="str">
        <f>IFERROR(VLOOKUP(I46,케이블트레이입.출고현황!X:Z,2,0),"")</f>
        <v/>
      </c>
      <c r="K46" s="19" t="str">
        <f>IFERROR(VLOOKUP(J46,케이블트레이입.출고현황!Y:AA,2,0),"")</f>
        <v/>
      </c>
      <c r="L46" s="126"/>
      <c r="M46" s="130"/>
    </row>
    <row r="47" spans="1:17" s="1" customFormat="1" ht="24" customHeight="1">
      <c r="A47" s="29">
        <v>12</v>
      </c>
      <c r="B47" s="10">
        <v>12</v>
      </c>
      <c r="C47" s="10"/>
      <c r="D47" s="10"/>
      <c r="E47" s="129"/>
      <c r="F47" s="10"/>
      <c r="G47" s="19" t="str">
        <f>IFERROR(VLOOKUP(F47,케이블트레이입.출고현황!U:W,2,0),"")</f>
        <v/>
      </c>
      <c r="H47" s="19" t="str">
        <f>IFERROR(VLOOKUP(G47,케이블트레이입.출고현황!V:X,2,0),"")</f>
        <v/>
      </c>
      <c r="I47" s="19" t="str">
        <f>IFERROR(VLOOKUP(H47,케이블트레이입.출고현황!W:Y,2,0),"")</f>
        <v/>
      </c>
      <c r="J47" s="19" t="str">
        <f>IFERROR(VLOOKUP(I47,케이블트레이입.출고현황!X:Z,2,0),"")</f>
        <v/>
      </c>
      <c r="K47" s="19" t="str">
        <f>IFERROR(VLOOKUP(J47,케이블트레이입.출고현황!Y:AA,2,0),"")</f>
        <v/>
      </c>
      <c r="L47" s="126"/>
      <c r="M47" s="10"/>
      <c r="O47" s="131"/>
    </row>
    <row r="48" spans="1:17" s="1" customFormat="1" ht="24" customHeight="1">
      <c r="A48" s="29">
        <v>13</v>
      </c>
      <c r="B48" s="10">
        <v>13</v>
      </c>
      <c r="C48" s="10"/>
      <c r="D48" s="10"/>
      <c r="E48" s="129"/>
      <c r="F48" s="10"/>
      <c r="G48" s="19" t="str">
        <f>IFERROR(VLOOKUP(F48,케이블트레이입.출고현황!U:W,2,0),"")</f>
        <v/>
      </c>
      <c r="H48" s="19" t="str">
        <f>IFERROR(VLOOKUP(G48,케이블트레이입.출고현황!V:X,2,0),"")</f>
        <v/>
      </c>
      <c r="I48" s="19" t="str">
        <f>IFERROR(VLOOKUP(H48,케이블트레이입.출고현황!W:Y,2,0),"")</f>
        <v/>
      </c>
      <c r="J48" s="19" t="str">
        <f>IFERROR(VLOOKUP(I48,케이블트레이입.출고현황!X:Z,2,0),"")</f>
        <v/>
      </c>
      <c r="K48" s="19" t="str">
        <f>IFERROR(VLOOKUP(J48,케이블트레이입.출고현황!Y:AA,2,0),"")</f>
        <v/>
      </c>
      <c r="L48" s="126"/>
      <c r="M48" s="10"/>
      <c r="O48" s="131"/>
    </row>
    <row r="49" spans="1:15" s="1" customFormat="1" ht="24" customHeight="1">
      <c r="A49" s="29">
        <v>14</v>
      </c>
      <c r="B49" s="10">
        <v>14</v>
      </c>
      <c r="C49" s="10"/>
      <c r="D49" s="10"/>
      <c r="E49" s="129"/>
      <c r="F49" s="10"/>
      <c r="G49" s="19" t="str">
        <f>IFERROR(VLOOKUP(F49,케이블트레이입.출고현황!U:W,2,0),"")</f>
        <v/>
      </c>
      <c r="H49" s="19" t="str">
        <f>IFERROR(VLOOKUP(G49,케이블트레이입.출고현황!V:X,2,0),"")</f>
        <v/>
      </c>
      <c r="I49" s="19" t="str">
        <f>IFERROR(VLOOKUP(H49,케이블트레이입.출고현황!W:Y,2,0),"")</f>
        <v/>
      </c>
      <c r="J49" s="19" t="str">
        <f>IFERROR(VLOOKUP(I49,케이블트레이입.출고현황!X:Z,2,0),"")</f>
        <v/>
      </c>
      <c r="K49" s="19" t="str">
        <f>IFERROR(VLOOKUP(J49,케이블트레이입.출고현황!Y:AA,2,0),"")</f>
        <v/>
      </c>
      <c r="L49" s="126"/>
      <c r="M49" s="10"/>
      <c r="O49" s="131"/>
    </row>
    <row r="50" spans="1:15" s="131" customFormat="1" ht="24" customHeight="1">
      <c r="A50" s="29">
        <v>15</v>
      </c>
      <c r="B50" s="10">
        <v>15</v>
      </c>
      <c r="C50" s="10"/>
      <c r="D50" s="10"/>
      <c r="E50" s="129"/>
      <c r="F50" s="10"/>
      <c r="G50" s="19" t="str">
        <f>IFERROR(VLOOKUP(F50,케이블트레이입.출고현황!U:W,2,0),"")</f>
        <v/>
      </c>
      <c r="H50" s="19" t="str">
        <f>IFERROR(VLOOKUP(G50,케이블트레이입.출고현황!V:X,2,0),"")</f>
        <v/>
      </c>
      <c r="I50" s="19" t="str">
        <f>IFERROR(VLOOKUP(H50,케이블트레이입.출고현황!W:Y,2,0),"")</f>
        <v/>
      </c>
      <c r="J50" s="19" t="str">
        <f>IFERROR(VLOOKUP(I50,케이블트레이입.출고현황!X:Z,2,0),"")</f>
        <v/>
      </c>
      <c r="K50" s="19" t="str">
        <f>IFERROR(VLOOKUP(J50,케이블트레이입.출고현황!Y:AA,2,0),"")</f>
        <v/>
      </c>
      <c r="L50" s="126"/>
      <c r="M50" s="130"/>
    </row>
    <row r="51" spans="1:15" s="131" customFormat="1" ht="24" customHeight="1">
      <c r="A51" s="29">
        <v>16</v>
      </c>
      <c r="B51" s="10">
        <v>16</v>
      </c>
      <c r="C51" s="10"/>
      <c r="D51" s="10"/>
      <c r="E51" s="129"/>
      <c r="F51" s="10"/>
      <c r="G51" s="19" t="str">
        <f>IFERROR(VLOOKUP(F51,케이블트레이입.출고현황!U:W,2,0),"")</f>
        <v/>
      </c>
      <c r="H51" s="19" t="str">
        <f>IFERROR(VLOOKUP(G51,케이블트레이입.출고현황!V:X,2,0),"")</f>
        <v/>
      </c>
      <c r="I51" s="19" t="str">
        <f>IFERROR(VLOOKUP(H51,케이블트레이입.출고현황!W:Y,2,0),"")</f>
        <v/>
      </c>
      <c r="J51" s="19" t="str">
        <f>IFERROR(VLOOKUP(I51,케이블트레이입.출고현황!X:Z,2,0),"")</f>
        <v/>
      </c>
      <c r="K51" s="19" t="str">
        <f>IFERROR(VLOOKUP(J51,케이블트레이입.출고현황!Y:AA,2,0),"")</f>
        <v/>
      </c>
      <c r="L51" s="126"/>
      <c r="M51" s="130"/>
    </row>
    <row r="52" spans="1:15" s="131" customFormat="1" ht="24" customHeight="1">
      <c r="A52" s="29">
        <v>17</v>
      </c>
      <c r="B52" s="10">
        <v>17</v>
      </c>
      <c r="C52" s="10"/>
      <c r="D52" s="10"/>
      <c r="E52" s="129"/>
      <c r="F52" s="10"/>
      <c r="G52" s="19" t="str">
        <f>IFERROR(VLOOKUP(F52,케이블트레이입.출고현황!U:W,2,0),"")</f>
        <v/>
      </c>
      <c r="H52" s="19" t="str">
        <f>IFERROR(VLOOKUP(G52,케이블트레이입.출고현황!V:X,2,0),"")</f>
        <v/>
      </c>
      <c r="I52" s="19" t="str">
        <f>IFERROR(VLOOKUP(H52,케이블트레이입.출고현황!W:Y,2,0),"")</f>
        <v/>
      </c>
      <c r="J52" s="19" t="str">
        <f>IFERROR(VLOOKUP(I52,케이블트레이입.출고현황!X:Z,2,0),"")</f>
        <v/>
      </c>
      <c r="K52" s="19" t="str">
        <f>IFERROR(VLOOKUP(J52,케이블트레이입.출고현황!Y:AA,2,0),"")</f>
        <v/>
      </c>
      <c r="L52" s="126"/>
      <c r="M52" s="130"/>
    </row>
    <row r="53" spans="1:15" s="131" customFormat="1" ht="24" customHeight="1">
      <c r="A53" s="29">
        <v>18</v>
      </c>
      <c r="B53" s="10">
        <v>18</v>
      </c>
      <c r="C53" s="10"/>
      <c r="D53" s="10"/>
      <c r="E53" s="129"/>
      <c r="F53" s="10"/>
      <c r="G53" s="19" t="str">
        <f>IFERROR(VLOOKUP(F53,케이블트레이입.출고현황!U:W,2,0),"")</f>
        <v/>
      </c>
      <c r="H53" s="19" t="str">
        <f>IFERROR(VLOOKUP(G53,케이블트레이입.출고현황!V:X,2,0),"")</f>
        <v/>
      </c>
      <c r="I53" s="19" t="str">
        <f>IFERROR(VLOOKUP(H53,케이블트레이입.출고현황!W:Y,2,0),"")</f>
        <v/>
      </c>
      <c r="J53" s="19" t="str">
        <f>IFERROR(VLOOKUP(I53,케이블트레이입.출고현황!X:Z,2,0),"")</f>
        <v/>
      </c>
      <c r="K53" s="19" t="str">
        <f>IFERROR(VLOOKUP(J53,케이블트레이입.출고현황!Y:AA,2,0),"")</f>
        <v/>
      </c>
      <c r="L53" s="126"/>
      <c r="M53" s="130"/>
    </row>
    <row r="54" spans="1:15" s="131" customFormat="1" ht="24" customHeight="1">
      <c r="A54" s="29">
        <v>19</v>
      </c>
      <c r="B54" s="10">
        <v>19</v>
      </c>
      <c r="C54" s="10"/>
      <c r="D54" s="10"/>
      <c r="E54" s="129"/>
      <c r="F54" s="10"/>
      <c r="G54" s="19" t="str">
        <f>IFERROR(VLOOKUP(F54,케이블트레이입.출고현황!U:W,2,0),"")</f>
        <v/>
      </c>
      <c r="H54" s="19" t="str">
        <f>IFERROR(VLOOKUP(G54,케이블트레이입.출고현황!V:X,2,0),"")</f>
        <v/>
      </c>
      <c r="I54" s="19" t="str">
        <f>IFERROR(VLOOKUP(H54,케이블트레이입.출고현황!W:Y,2,0),"")</f>
        <v/>
      </c>
      <c r="J54" s="19" t="str">
        <f>IFERROR(VLOOKUP(I54,케이블트레이입.출고현황!X:Z,2,0),"")</f>
        <v/>
      </c>
      <c r="K54" s="19" t="str">
        <f>IFERROR(VLOOKUP(J54,케이블트레이입.출고현황!Y:AA,2,0),"")</f>
        <v/>
      </c>
      <c r="L54" s="126"/>
      <c r="M54" s="130"/>
    </row>
    <row r="55" spans="1:15" s="131" customFormat="1" ht="24" customHeight="1">
      <c r="A55" s="29">
        <v>20</v>
      </c>
      <c r="B55" s="10">
        <v>20</v>
      </c>
      <c r="C55" s="10"/>
      <c r="D55" s="10"/>
      <c r="E55" s="129"/>
      <c r="F55" s="10"/>
      <c r="G55" s="19" t="str">
        <f>IFERROR(VLOOKUP(F55,케이블트레이입.출고현황!U:W,2,0),"")</f>
        <v/>
      </c>
      <c r="H55" s="19" t="str">
        <f>IFERROR(VLOOKUP(G55,케이블트레이입.출고현황!V:X,2,0),"")</f>
        <v/>
      </c>
      <c r="I55" s="19" t="str">
        <f>IFERROR(VLOOKUP(H55,케이블트레이입.출고현황!W:Y,2,0),"")</f>
        <v/>
      </c>
      <c r="J55" s="19" t="str">
        <f>IFERROR(VLOOKUP(I55,케이블트레이입.출고현황!X:Z,2,0),"")</f>
        <v/>
      </c>
      <c r="K55" s="19" t="str">
        <f>IFERROR(VLOOKUP(J55,케이블트레이입.출고현황!Y:AA,2,0),"")</f>
        <v/>
      </c>
      <c r="L55" s="126"/>
      <c r="M55" s="130"/>
    </row>
    <row r="56" spans="1:15" s="131" customFormat="1" ht="24" customHeight="1">
      <c r="A56" s="29">
        <v>21</v>
      </c>
      <c r="B56" s="10">
        <v>21</v>
      </c>
      <c r="C56" s="10"/>
      <c r="D56" s="10"/>
      <c r="E56" s="129"/>
      <c r="F56" s="10"/>
      <c r="G56" s="19" t="str">
        <f>IFERROR(VLOOKUP(F56,케이블트레이입.출고현황!U:W,2,0),"")</f>
        <v/>
      </c>
      <c r="H56" s="19" t="str">
        <f>IFERROR(VLOOKUP(G56,케이블트레이입.출고현황!V:X,2,0),"")</f>
        <v/>
      </c>
      <c r="I56" s="19" t="str">
        <f>IFERROR(VLOOKUP(H56,케이블트레이입.출고현황!W:Y,2,0),"")</f>
        <v/>
      </c>
      <c r="J56" s="19" t="str">
        <f>IFERROR(VLOOKUP(I56,케이블트레이입.출고현황!X:Z,2,0),"")</f>
        <v/>
      </c>
      <c r="K56" s="19" t="str">
        <f>IFERROR(VLOOKUP(J56,케이블트레이입.출고현황!Y:AA,2,0),"")</f>
        <v/>
      </c>
      <c r="L56" s="126"/>
      <c r="M56" s="130"/>
    </row>
    <row r="57" spans="1:15" s="131" customFormat="1" ht="24" customHeight="1">
      <c r="A57" s="29">
        <v>22</v>
      </c>
      <c r="B57" s="10">
        <v>22</v>
      </c>
      <c r="C57" s="10"/>
      <c r="D57" s="10"/>
      <c r="E57" s="129"/>
      <c r="F57" s="10"/>
      <c r="G57" s="19" t="str">
        <f>IFERROR(VLOOKUP(F57,케이블트레이입.출고현황!U:W,2,0),"")</f>
        <v/>
      </c>
      <c r="H57" s="19" t="str">
        <f>IFERROR(VLOOKUP(G57,케이블트레이입.출고현황!V:X,2,0),"")</f>
        <v/>
      </c>
      <c r="I57" s="19" t="str">
        <f>IFERROR(VLOOKUP(H57,케이블트레이입.출고현황!W:Y,2,0),"")</f>
        <v/>
      </c>
      <c r="J57" s="19" t="str">
        <f>IFERROR(VLOOKUP(I57,케이블트레이입.출고현황!X:Z,2,0),"")</f>
        <v/>
      </c>
      <c r="K57" s="19" t="str">
        <f>IFERROR(VLOOKUP(J57,케이블트레이입.출고현황!Y:AA,2,0),"")</f>
        <v/>
      </c>
      <c r="L57" s="126"/>
      <c r="M57" s="130"/>
    </row>
    <row r="58" spans="1:15" s="131" customFormat="1" ht="24" customHeight="1">
      <c r="A58" s="29">
        <v>23</v>
      </c>
      <c r="B58" s="10">
        <v>23</v>
      </c>
      <c r="C58" s="10"/>
      <c r="D58" s="10"/>
      <c r="E58" s="129"/>
      <c r="F58" s="10"/>
      <c r="G58" s="19" t="str">
        <f>IFERROR(VLOOKUP(F58,케이블트레이입.출고현황!U:W,2,0),"")</f>
        <v/>
      </c>
      <c r="H58" s="19" t="str">
        <f>IFERROR(VLOOKUP(G58,케이블트레이입.출고현황!V:X,2,0),"")</f>
        <v/>
      </c>
      <c r="I58" s="19" t="str">
        <f>IFERROR(VLOOKUP(H58,케이블트레이입.출고현황!W:Y,2,0),"")</f>
        <v/>
      </c>
      <c r="J58" s="19" t="str">
        <f>IFERROR(VLOOKUP(I58,케이블트레이입.출고현황!X:Z,2,0),"")</f>
        <v/>
      </c>
      <c r="K58" s="19" t="str">
        <f>IFERROR(VLOOKUP(J58,케이블트레이입.출고현황!Y:AA,2,0),"")</f>
        <v/>
      </c>
      <c r="L58" s="126"/>
      <c r="M58" s="130"/>
    </row>
    <row r="59" spans="1:15" s="131" customFormat="1" ht="24" customHeight="1">
      <c r="A59" s="29">
        <v>24</v>
      </c>
      <c r="B59" s="10">
        <v>24</v>
      </c>
      <c r="C59" s="10"/>
      <c r="D59" s="10"/>
      <c r="E59" s="129"/>
      <c r="F59" s="10"/>
      <c r="G59" s="19" t="str">
        <f>IFERROR(VLOOKUP(F59,케이블트레이입.출고현황!U:W,2,0),"")</f>
        <v/>
      </c>
      <c r="H59" s="19" t="str">
        <f>IFERROR(VLOOKUP(G59,케이블트레이입.출고현황!V:X,2,0),"")</f>
        <v/>
      </c>
      <c r="I59" s="19" t="str">
        <f>IFERROR(VLOOKUP(H59,케이블트레이입.출고현황!W:Y,2,0),"")</f>
        <v/>
      </c>
      <c r="J59" s="19" t="str">
        <f>IFERROR(VLOOKUP(I59,케이블트레이입.출고현황!X:Z,2,0),"")</f>
        <v/>
      </c>
      <c r="K59" s="19" t="str">
        <f>IFERROR(VLOOKUP(J59,케이블트레이입.출고현황!Y:AA,2,0),"")</f>
        <v/>
      </c>
      <c r="L59" s="126"/>
      <c r="M59" s="130"/>
    </row>
    <row r="60" spans="1:15" s="131" customFormat="1" ht="24" customHeight="1">
      <c r="A60" s="29">
        <v>25</v>
      </c>
      <c r="B60" s="10">
        <v>25</v>
      </c>
      <c r="C60" s="10"/>
      <c r="D60" s="10"/>
      <c r="E60" s="129"/>
      <c r="F60" s="10"/>
      <c r="G60" s="19" t="str">
        <f>IFERROR(VLOOKUP(F60,케이블트레이입.출고현황!U:W,2,0),"")</f>
        <v/>
      </c>
      <c r="H60" s="19" t="str">
        <f>IFERROR(VLOOKUP(G60,케이블트레이입.출고현황!V:X,2,0),"")</f>
        <v/>
      </c>
      <c r="I60" s="19" t="str">
        <f>IFERROR(VLOOKUP(H60,케이블트레이입.출고현황!W:Y,2,0),"")</f>
        <v/>
      </c>
      <c r="J60" s="19" t="str">
        <f>IFERROR(VLOOKUP(I60,케이블트레이입.출고현황!X:Z,2,0),"")</f>
        <v/>
      </c>
      <c r="K60" s="19" t="str">
        <f>IFERROR(VLOOKUP(J60,케이블트레이입.출고현황!Y:AA,2,0),"")</f>
        <v/>
      </c>
      <c r="L60" s="126"/>
      <c r="M60" s="130"/>
    </row>
    <row r="61" spans="1:15" s="131" customFormat="1" ht="24" customHeight="1">
      <c r="A61" s="29">
        <v>26</v>
      </c>
      <c r="B61" s="10">
        <v>26</v>
      </c>
      <c r="C61" s="10"/>
      <c r="D61" s="10"/>
      <c r="E61" s="129"/>
      <c r="F61" s="10"/>
      <c r="G61" s="19" t="str">
        <f>IFERROR(VLOOKUP(F61,케이블트레이입.출고현황!U:W,2,0),"")</f>
        <v/>
      </c>
      <c r="H61" s="19" t="str">
        <f>IFERROR(VLOOKUP(G61,케이블트레이입.출고현황!V:X,2,0),"")</f>
        <v/>
      </c>
      <c r="I61" s="19" t="str">
        <f>IFERROR(VLOOKUP(H61,케이블트레이입.출고현황!W:Y,2,0),"")</f>
        <v/>
      </c>
      <c r="J61" s="19" t="str">
        <f>IFERROR(VLOOKUP(I61,케이블트레이입.출고현황!X:Z,2,0),"")</f>
        <v/>
      </c>
      <c r="K61" s="19" t="str">
        <f>IFERROR(VLOOKUP(J61,케이블트레이입.출고현황!Y:AA,2,0),"")</f>
        <v/>
      </c>
      <c r="L61" s="126"/>
      <c r="M61" s="130"/>
    </row>
    <row r="62" spans="1:15" s="131" customFormat="1" ht="24" customHeight="1">
      <c r="A62" s="29">
        <v>27</v>
      </c>
      <c r="B62" s="10">
        <v>27</v>
      </c>
      <c r="C62" s="10"/>
      <c r="D62" s="10"/>
      <c r="E62" s="129"/>
      <c r="F62" s="10"/>
      <c r="G62" s="19" t="str">
        <f>IFERROR(VLOOKUP(F62,케이블트레이입.출고현황!U:W,2,0),"")</f>
        <v/>
      </c>
      <c r="H62" s="19" t="str">
        <f>IFERROR(VLOOKUP(G62,케이블트레이입.출고현황!V:X,2,0),"")</f>
        <v/>
      </c>
      <c r="I62" s="19" t="str">
        <f>IFERROR(VLOOKUP(H62,케이블트레이입.출고현황!W:Y,2,0),"")</f>
        <v/>
      </c>
      <c r="J62" s="19" t="str">
        <f>IFERROR(VLOOKUP(I62,케이블트레이입.출고현황!X:Z,2,0),"")</f>
        <v/>
      </c>
      <c r="K62" s="19" t="str">
        <f>IFERROR(VLOOKUP(J62,케이블트레이입.출고현황!Y:AA,2,0),"")</f>
        <v/>
      </c>
      <c r="L62" s="126"/>
      <c r="M62" s="130"/>
    </row>
    <row r="63" spans="1:15" s="131" customFormat="1" ht="24" customHeight="1">
      <c r="A63" s="29">
        <v>28</v>
      </c>
      <c r="B63" s="10">
        <v>28</v>
      </c>
      <c r="C63" s="10"/>
      <c r="D63" s="10"/>
      <c r="E63" s="129"/>
      <c r="F63" s="10"/>
      <c r="G63" s="19" t="str">
        <f>IFERROR(VLOOKUP(F63,케이블트레이입.출고현황!U:W,2,0),"")</f>
        <v/>
      </c>
      <c r="H63" s="19" t="str">
        <f>IFERROR(VLOOKUP(G63,케이블트레이입.출고현황!V:X,2,0),"")</f>
        <v/>
      </c>
      <c r="I63" s="19" t="str">
        <f>IFERROR(VLOOKUP(H63,케이블트레이입.출고현황!W:Y,2,0),"")</f>
        <v/>
      </c>
      <c r="J63" s="19" t="str">
        <f>IFERROR(VLOOKUP(I63,케이블트레이입.출고현황!X:Z,2,0),"")</f>
        <v/>
      </c>
      <c r="K63" s="19" t="str">
        <f>IFERROR(VLOOKUP(J63,케이블트레이입.출고현황!Y:AA,2,0),"")</f>
        <v/>
      </c>
      <c r="L63" s="126"/>
      <c r="M63" s="130"/>
    </row>
    <row r="64" spans="1:15" s="131" customFormat="1" ht="24" customHeight="1">
      <c r="A64" s="29">
        <v>29</v>
      </c>
      <c r="B64" s="10">
        <v>29</v>
      </c>
      <c r="C64" s="10"/>
      <c r="D64" s="10"/>
      <c r="E64" s="129"/>
      <c r="F64" s="10"/>
      <c r="G64" s="19" t="str">
        <f>IFERROR(VLOOKUP(F64,케이블트레이입.출고현황!U:W,2,0),"")</f>
        <v/>
      </c>
      <c r="H64" s="19" t="str">
        <f>IFERROR(VLOOKUP(G64,케이블트레이입.출고현황!V:X,2,0),"")</f>
        <v/>
      </c>
      <c r="I64" s="19" t="str">
        <f>IFERROR(VLOOKUP(H64,케이블트레이입.출고현황!W:Y,2,0),"")</f>
        <v/>
      </c>
      <c r="J64" s="19" t="str">
        <f>IFERROR(VLOOKUP(I64,케이블트레이입.출고현황!X:Z,2,0),"")</f>
        <v/>
      </c>
      <c r="K64" s="19" t="str">
        <f>IFERROR(VLOOKUP(J64,케이블트레이입.출고현황!Y:AA,2,0),"")</f>
        <v/>
      </c>
      <c r="L64" s="126"/>
      <c r="M64" s="130"/>
    </row>
    <row r="65" spans="1:13" s="131" customFormat="1" ht="24" customHeight="1">
      <c r="A65" s="29">
        <v>30</v>
      </c>
      <c r="B65" s="10">
        <v>30</v>
      </c>
      <c r="C65" s="10"/>
      <c r="D65" s="10"/>
      <c r="E65" s="129"/>
      <c r="F65" s="29"/>
      <c r="G65" s="19" t="str">
        <f>IFERROR(VLOOKUP(F65,케이블트레이입.출고현황!U:W,2,0),"")</f>
        <v/>
      </c>
      <c r="H65" s="19" t="str">
        <f>IFERROR(VLOOKUP(G65,케이블트레이입.출고현황!V:X,2,0),"")</f>
        <v/>
      </c>
      <c r="I65" s="19" t="str">
        <f>IFERROR(VLOOKUP(H65,케이블트레이입.출고현황!W:Y,2,0),"")</f>
        <v/>
      </c>
      <c r="J65" s="19" t="str">
        <f>IFERROR(VLOOKUP(I65,케이블트레이입.출고현황!X:Z,2,0),"")</f>
        <v/>
      </c>
      <c r="K65" s="19" t="str">
        <f>IFERROR(VLOOKUP(J65,케이블트레이입.출고현황!Y:AA,2,0),"")</f>
        <v/>
      </c>
      <c r="L65" s="126"/>
      <c r="M65" s="130"/>
    </row>
    <row r="66" spans="1:13" s="131" customFormat="1" ht="24" customHeight="1">
      <c r="A66" s="29">
        <v>31</v>
      </c>
      <c r="B66" s="10">
        <v>31</v>
      </c>
      <c r="C66" s="10"/>
      <c r="D66" s="10"/>
      <c r="E66" s="129"/>
      <c r="F66" s="10"/>
      <c r="G66" s="19" t="str">
        <f>IFERROR(VLOOKUP(F66,케이블트레이입.출고현황!U:W,2,0),"")</f>
        <v/>
      </c>
      <c r="H66" s="19" t="str">
        <f>IFERROR(VLOOKUP(G66,케이블트레이입.출고현황!V:X,2,0),"")</f>
        <v/>
      </c>
      <c r="I66" s="19" t="str">
        <f>IFERROR(VLOOKUP(H66,케이블트레이입.출고현황!W:Y,2,0),"")</f>
        <v/>
      </c>
      <c r="J66" s="19" t="str">
        <f>IFERROR(VLOOKUP(I66,케이블트레이입.출고현황!X:Z,2,0),"")</f>
        <v/>
      </c>
      <c r="K66" s="19" t="str">
        <f>IFERROR(VLOOKUP(J66,케이블트레이입.출고현황!Y:AA,2,0),"")</f>
        <v/>
      </c>
      <c r="L66" s="126"/>
      <c r="M66" s="130"/>
    </row>
    <row r="67" spans="1:13" s="131" customFormat="1" ht="24" customHeight="1">
      <c r="A67" s="29">
        <v>32</v>
      </c>
      <c r="B67" s="10">
        <v>32</v>
      </c>
      <c r="C67" s="10"/>
      <c r="D67" s="10"/>
      <c r="E67" s="129"/>
      <c r="F67" s="10"/>
      <c r="G67" s="19" t="str">
        <f>IFERROR(VLOOKUP(F67,케이블트레이입.출고현황!U:W,2,0),"")</f>
        <v/>
      </c>
      <c r="H67" s="19" t="str">
        <f>IFERROR(VLOOKUP(G67,케이블트레이입.출고현황!V:X,2,0),"")</f>
        <v/>
      </c>
      <c r="I67" s="19" t="str">
        <f>IFERROR(VLOOKUP(H67,케이블트레이입.출고현황!W:Y,2,0),"")</f>
        <v/>
      </c>
      <c r="J67" s="19" t="str">
        <f>IFERROR(VLOOKUP(I67,케이블트레이입.출고현황!X:Z,2,0),"")</f>
        <v/>
      </c>
      <c r="K67" s="19" t="str">
        <f>IFERROR(VLOOKUP(J67,케이블트레이입.출고현황!Y:AA,2,0),"")</f>
        <v/>
      </c>
      <c r="L67" s="126"/>
      <c r="M67" s="130"/>
    </row>
    <row r="68" spans="1:13" s="131" customFormat="1" ht="24" customHeight="1">
      <c r="A68" s="29">
        <v>33</v>
      </c>
      <c r="B68" s="10">
        <v>33</v>
      </c>
      <c r="C68" s="10"/>
      <c r="D68" s="10"/>
      <c r="E68" s="129"/>
      <c r="F68" s="29"/>
      <c r="G68" s="19" t="str">
        <f>IFERROR(VLOOKUP(F68,케이블트레이입.출고현황!U:W,2,0),"")</f>
        <v/>
      </c>
      <c r="H68" s="19" t="str">
        <f>IFERROR(VLOOKUP(G68,케이블트레이입.출고현황!V:X,2,0),"")</f>
        <v/>
      </c>
      <c r="I68" s="19" t="str">
        <f>IFERROR(VLOOKUP(H68,케이블트레이입.출고현황!W:Y,2,0),"")</f>
        <v/>
      </c>
      <c r="J68" s="19" t="str">
        <f>IFERROR(VLOOKUP(I68,케이블트레이입.출고현황!X:Z,2,0),"")</f>
        <v/>
      </c>
      <c r="K68" s="19" t="str">
        <f>IFERROR(VLOOKUP(J68,케이블트레이입.출고현황!Y:AA,2,0),"")</f>
        <v/>
      </c>
      <c r="L68" s="126"/>
      <c r="M68" s="130"/>
    </row>
    <row r="69" spans="1:13" s="131" customFormat="1" ht="24" customHeight="1">
      <c r="A69" s="29">
        <v>34</v>
      </c>
      <c r="B69" s="10">
        <v>34</v>
      </c>
      <c r="C69" s="10"/>
      <c r="D69" s="10"/>
      <c r="E69" s="129"/>
      <c r="F69" s="29"/>
      <c r="G69" s="19" t="str">
        <f>IFERROR(VLOOKUP(F69,케이블트레이입.출고현황!U:W,2,0),"")</f>
        <v/>
      </c>
      <c r="H69" s="19" t="str">
        <f>IFERROR(VLOOKUP(G69,케이블트레이입.출고현황!V:X,2,0),"")</f>
        <v/>
      </c>
      <c r="I69" s="19" t="str">
        <f>IFERROR(VLOOKUP(H69,케이블트레이입.출고현황!W:Y,2,0),"")</f>
        <v/>
      </c>
      <c r="J69" s="19" t="str">
        <f>IFERROR(VLOOKUP(I69,케이블트레이입.출고현황!X:Z,2,0),"")</f>
        <v/>
      </c>
      <c r="K69" s="19" t="str">
        <f>IFERROR(VLOOKUP(J69,케이블트레이입.출고현황!Y:AA,2,0),"")</f>
        <v/>
      </c>
      <c r="L69" s="126"/>
      <c r="M69" s="130"/>
    </row>
    <row r="70" spans="1:13" s="131" customFormat="1" ht="24" customHeight="1">
      <c r="A70" s="29">
        <v>35</v>
      </c>
      <c r="B70" s="10">
        <v>35</v>
      </c>
      <c r="C70" s="10"/>
      <c r="D70" s="10"/>
      <c r="E70" s="129"/>
      <c r="F70" s="10"/>
      <c r="G70" s="19" t="str">
        <f>IFERROR(VLOOKUP(F70,케이블트레이입.출고현황!U:W,2,0),"")</f>
        <v/>
      </c>
      <c r="H70" s="19" t="str">
        <f>IFERROR(VLOOKUP(G70,케이블트레이입.출고현황!V:X,2,0),"")</f>
        <v/>
      </c>
      <c r="I70" s="19" t="str">
        <f>IFERROR(VLOOKUP(H70,케이블트레이입.출고현황!W:Y,2,0),"")</f>
        <v/>
      </c>
      <c r="J70" s="19" t="str">
        <f>IFERROR(VLOOKUP(I70,케이블트레이입.출고현황!X:Z,2,0),"")</f>
        <v/>
      </c>
      <c r="K70" s="19" t="str">
        <f>IFERROR(VLOOKUP(J70,케이블트레이입.출고현황!Y:AA,2,0),"")</f>
        <v/>
      </c>
      <c r="L70" s="126"/>
      <c r="M70" s="130"/>
    </row>
    <row r="71" spans="1:13" s="131" customFormat="1" ht="24" customHeight="1">
      <c r="A71" s="29">
        <v>36</v>
      </c>
      <c r="B71" s="10">
        <v>36</v>
      </c>
      <c r="C71" s="10"/>
      <c r="D71" s="41"/>
      <c r="E71" s="129"/>
      <c r="F71" s="29"/>
      <c r="G71" s="19" t="str">
        <f>IFERROR(VLOOKUP(F71,케이블트레이입.출고현황!U:W,2,0),"")</f>
        <v/>
      </c>
      <c r="H71" s="19" t="str">
        <f>IFERROR(VLOOKUP(G71,케이블트레이입.출고현황!V:X,2,0),"")</f>
        <v/>
      </c>
      <c r="I71" s="19" t="str">
        <f>IFERROR(VLOOKUP(H71,케이블트레이입.출고현황!W:Y,2,0),"")</f>
        <v/>
      </c>
      <c r="J71" s="19" t="str">
        <f>IFERROR(VLOOKUP(I71,케이블트레이입.출고현황!X:Z,2,0),"")</f>
        <v/>
      </c>
      <c r="K71" s="19" t="str">
        <f>IFERROR(VLOOKUP(J71,케이블트레이입.출고현황!Y:AA,2,0),"")</f>
        <v/>
      </c>
      <c r="L71" s="126"/>
      <c r="M71" s="132"/>
    </row>
    <row r="72" spans="1:13" s="131" customFormat="1" ht="24" customHeight="1">
      <c r="A72" s="29">
        <v>37</v>
      </c>
      <c r="B72" s="10">
        <v>37</v>
      </c>
      <c r="C72" s="10"/>
      <c r="D72" s="10"/>
      <c r="E72" s="129"/>
      <c r="F72" s="10"/>
      <c r="G72" s="19" t="str">
        <f>IFERROR(VLOOKUP(F72,케이블트레이입.출고현황!U:W,2,0),"")</f>
        <v/>
      </c>
      <c r="H72" s="19" t="str">
        <f>IFERROR(VLOOKUP(G72,케이블트레이입.출고현황!V:X,2,0),"")</f>
        <v/>
      </c>
      <c r="I72" s="19" t="str">
        <f>IFERROR(VLOOKUP(H72,케이블트레이입.출고현황!W:Y,2,0),"")</f>
        <v/>
      </c>
      <c r="J72" s="19" t="str">
        <f>IFERROR(VLOOKUP(I72,케이블트레이입.출고현황!X:Z,2,0),"")</f>
        <v/>
      </c>
      <c r="K72" s="19" t="str">
        <f>IFERROR(VLOOKUP(J72,케이블트레이입.출고현황!Y:AA,2,0),"")</f>
        <v/>
      </c>
      <c r="L72" s="126"/>
      <c r="M72" s="132"/>
    </row>
    <row r="73" spans="1:13" s="131" customFormat="1" ht="24" customHeight="1">
      <c r="A73" s="29">
        <v>38</v>
      </c>
      <c r="B73" s="10">
        <v>38</v>
      </c>
      <c r="C73" s="10"/>
      <c r="D73" s="10"/>
      <c r="E73" s="129"/>
      <c r="F73" s="10"/>
      <c r="G73" s="19" t="str">
        <f>IFERROR(VLOOKUP(F73,케이블트레이입.출고현황!U:W,2,0),"")</f>
        <v/>
      </c>
      <c r="H73" s="19" t="str">
        <f>IFERROR(VLOOKUP(G73,케이블트레이입.출고현황!V:X,2,0),"")</f>
        <v/>
      </c>
      <c r="I73" s="19" t="str">
        <f>IFERROR(VLOOKUP(H73,케이블트레이입.출고현황!W:Y,2,0),"")</f>
        <v/>
      </c>
      <c r="J73" s="19" t="str">
        <f>IFERROR(VLOOKUP(I73,케이블트레이입.출고현황!X:Z,2,0),"")</f>
        <v/>
      </c>
      <c r="K73" s="19" t="str">
        <f>IFERROR(VLOOKUP(J73,케이블트레이입.출고현황!Y:AA,2,0),"")</f>
        <v/>
      </c>
      <c r="L73" s="126"/>
      <c r="M73" s="130"/>
    </row>
    <row r="74" spans="1:13" s="131" customFormat="1" ht="24" customHeight="1">
      <c r="A74" s="29">
        <v>39</v>
      </c>
      <c r="B74" s="10">
        <v>39</v>
      </c>
      <c r="C74" s="10"/>
      <c r="D74" s="10"/>
      <c r="E74" s="129"/>
      <c r="F74" s="10"/>
      <c r="G74" s="19" t="str">
        <f>IFERROR(VLOOKUP(F74,케이블트레이입.출고현황!U:W,2,0),"")</f>
        <v/>
      </c>
      <c r="H74" s="19" t="str">
        <f>IFERROR(VLOOKUP(G74,케이블트레이입.출고현황!V:X,2,0),"")</f>
        <v/>
      </c>
      <c r="I74" s="19" t="str">
        <f>IFERROR(VLOOKUP(H74,케이블트레이입.출고현황!W:Y,2,0),"")</f>
        <v/>
      </c>
      <c r="J74" s="19" t="str">
        <f>IFERROR(VLOOKUP(I74,케이블트레이입.출고현황!X:Z,2,0),"")</f>
        <v/>
      </c>
      <c r="K74" s="19" t="str">
        <f>IFERROR(VLOOKUP(J74,케이블트레이입.출고현황!Y:AA,2,0),"")</f>
        <v/>
      </c>
      <c r="L74" s="126"/>
      <c r="M74" s="130"/>
    </row>
    <row r="75" spans="1:13" s="131" customFormat="1" ht="24" customHeight="1">
      <c r="A75" s="29">
        <v>40</v>
      </c>
      <c r="B75" s="10">
        <v>40</v>
      </c>
      <c r="C75" s="10"/>
      <c r="D75" s="10"/>
      <c r="E75" s="129"/>
      <c r="F75" s="10"/>
      <c r="G75" s="19" t="str">
        <f>IFERROR(VLOOKUP(F75,케이블트레이입.출고현황!U:W,2,0),"")</f>
        <v/>
      </c>
      <c r="H75" s="19" t="str">
        <f>IFERROR(VLOOKUP(G75,케이블트레이입.출고현황!V:X,2,0),"")</f>
        <v/>
      </c>
      <c r="I75" s="19" t="str">
        <f>IFERROR(VLOOKUP(H75,케이블트레이입.출고현황!W:Y,2,0),"")</f>
        <v/>
      </c>
      <c r="J75" s="19" t="str">
        <f>IFERROR(VLOOKUP(I75,케이블트레이입.출고현황!X:Z,2,0),"")</f>
        <v/>
      </c>
      <c r="K75" s="19" t="str">
        <f>IFERROR(VLOOKUP(J75,케이블트레이입.출고현황!Y:AA,2,0),"")</f>
        <v/>
      </c>
      <c r="L75" s="126"/>
      <c r="M75" s="130"/>
    </row>
    <row r="76" spans="1:13" s="131" customFormat="1" ht="24" customHeight="1">
      <c r="A76" s="29">
        <v>41</v>
      </c>
      <c r="B76" s="10">
        <v>41</v>
      </c>
      <c r="C76" s="10"/>
      <c r="D76" s="10"/>
      <c r="E76" s="129"/>
      <c r="F76" s="10"/>
      <c r="G76" s="19" t="str">
        <f>IFERROR(VLOOKUP(F76,케이블트레이입.출고현황!U:W,2,0),"")</f>
        <v/>
      </c>
      <c r="H76" s="19" t="str">
        <f>IFERROR(VLOOKUP(G76,케이블트레이입.출고현황!V:X,2,0),"")</f>
        <v/>
      </c>
      <c r="I76" s="19" t="str">
        <f>IFERROR(VLOOKUP(H76,케이블트레이입.출고현황!W:Y,2,0),"")</f>
        <v/>
      </c>
      <c r="J76" s="19" t="str">
        <f>IFERROR(VLOOKUP(I76,케이블트레이입.출고현황!X:Z,2,0),"")</f>
        <v/>
      </c>
      <c r="K76" s="19" t="str">
        <f>IFERROR(VLOOKUP(J76,케이블트레이입.출고현황!Y:AA,2,0),"")</f>
        <v/>
      </c>
      <c r="L76" s="126"/>
      <c r="M76" s="130"/>
    </row>
    <row r="77" spans="1:13" s="131" customFormat="1" ht="24" customHeight="1">
      <c r="A77" s="29">
        <v>42</v>
      </c>
      <c r="B77" s="10">
        <v>42</v>
      </c>
      <c r="C77" s="10"/>
      <c r="D77" s="10"/>
      <c r="E77" s="129"/>
      <c r="F77" s="10"/>
      <c r="G77" s="19" t="str">
        <f>IFERROR(VLOOKUP(F77,케이블트레이입.출고현황!U:W,2,0),"")</f>
        <v/>
      </c>
      <c r="H77" s="19" t="str">
        <f>IFERROR(VLOOKUP(G77,케이블트레이입.출고현황!V:X,2,0),"")</f>
        <v/>
      </c>
      <c r="I77" s="19" t="str">
        <f>IFERROR(VLOOKUP(H77,케이블트레이입.출고현황!W:Y,2,0),"")</f>
        <v/>
      </c>
      <c r="J77" s="19" t="str">
        <f>IFERROR(VLOOKUP(I77,케이블트레이입.출고현황!X:Z,2,0),"")</f>
        <v/>
      </c>
      <c r="K77" s="19" t="str">
        <f>IFERROR(VLOOKUP(J77,케이블트레이입.출고현황!Y:AA,2,0),"")</f>
        <v/>
      </c>
      <c r="L77" s="126"/>
      <c r="M77" s="130"/>
    </row>
    <row r="78" spans="1:13" s="131" customFormat="1" ht="24" customHeight="1">
      <c r="A78" s="29">
        <v>43</v>
      </c>
      <c r="B78" s="10">
        <v>43</v>
      </c>
      <c r="C78" s="10"/>
      <c r="D78" s="10"/>
      <c r="E78" s="129"/>
      <c r="F78" s="29"/>
      <c r="G78" s="19" t="str">
        <f>IFERROR(VLOOKUP(F78,케이블트레이입.출고현황!U:W,2,0),"")</f>
        <v/>
      </c>
      <c r="H78" s="19" t="str">
        <f>IFERROR(VLOOKUP(G78,케이블트레이입.출고현황!V:X,2,0),"")</f>
        <v/>
      </c>
      <c r="I78" s="19" t="str">
        <f>IFERROR(VLOOKUP(H78,케이블트레이입.출고현황!W:Y,2,0),"")</f>
        <v/>
      </c>
      <c r="J78" s="19" t="str">
        <f>IFERROR(VLOOKUP(I78,케이블트레이입.출고현황!X:Z,2,0),"")</f>
        <v/>
      </c>
      <c r="K78" s="19" t="str">
        <f>IFERROR(VLOOKUP(J78,케이블트레이입.출고현황!Y:AA,2,0),"")</f>
        <v/>
      </c>
      <c r="L78" s="126"/>
      <c r="M78" s="130"/>
    </row>
    <row r="79" spans="1:13" s="131" customFormat="1" ht="24" customHeight="1">
      <c r="A79" s="29">
        <v>44</v>
      </c>
      <c r="B79" s="10">
        <v>44</v>
      </c>
      <c r="C79" s="10"/>
      <c r="D79" s="10"/>
      <c r="E79" s="129"/>
      <c r="F79" s="10"/>
      <c r="G79" s="19" t="str">
        <f>IFERROR(VLOOKUP(F79,케이블트레이입.출고현황!U:W,2,0),"")</f>
        <v/>
      </c>
      <c r="H79" s="19" t="str">
        <f>IFERROR(VLOOKUP(G79,케이블트레이입.출고현황!V:X,2,0),"")</f>
        <v/>
      </c>
      <c r="I79" s="19" t="str">
        <f>IFERROR(VLOOKUP(H79,케이블트레이입.출고현황!W:Y,2,0),"")</f>
        <v/>
      </c>
      <c r="J79" s="19" t="str">
        <f>IFERROR(VLOOKUP(I79,케이블트레이입.출고현황!X:Z,2,0),"")</f>
        <v/>
      </c>
      <c r="K79" s="19" t="str">
        <f>IFERROR(VLOOKUP(J79,케이블트레이입.출고현황!Y:AA,2,0),"")</f>
        <v/>
      </c>
      <c r="L79" s="126"/>
      <c r="M79" s="130"/>
    </row>
    <row r="80" spans="1:13" s="131" customFormat="1" ht="24" customHeight="1">
      <c r="A80" s="29">
        <v>45</v>
      </c>
      <c r="B80" s="10">
        <v>45</v>
      </c>
      <c r="C80" s="10"/>
      <c r="D80" s="10"/>
      <c r="E80" s="129"/>
      <c r="F80" s="10"/>
      <c r="G80" s="19" t="str">
        <f>IFERROR(VLOOKUP(F80,케이블트레이입.출고현황!U:W,2,0),"")</f>
        <v/>
      </c>
      <c r="H80" s="19" t="str">
        <f>IFERROR(VLOOKUP(G80,케이블트레이입.출고현황!V:X,2,0),"")</f>
        <v/>
      </c>
      <c r="I80" s="19" t="str">
        <f>IFERROR(VLOOKUP(H80,케이블트레이입.출고현황!W:Y,2,0),"")</f>
        <v/>
      </c>
      <c r="J80" s="19" t="str">
        <f>IFERROR(VLOOKUP(I80,케이블트레이입.출고현황!X:Z,2,0),"")</f>
        <v/>
      </c>
      <c r="K80" s="19" t="str">
        <f>IFERROR(VLOOKUP(J80,케이블트레이입.출고현황!Y:AA,2,0),"")</f>
        <v/>
      </c>
      <c r="L80" s="126"/>
      <c r="M80" s="130"/>
    </row>
    <row r="81" spans="1:13" s="131" customFormat="1" ht="24" customHeight="1">
      <c r="A81" s="29">
        <v>46</v>
      </c>
      <c r="B81" s="10">
        <v>46</v>
      </c>
      <c r="C81" s="10"/>
      <c r="D81" s="10"/>
      <c r="E81" s="129"/>
      <c r="F81" s="10"/>
      <c r="G81" s="19" t="str">
        <f>IFERROR(VLOOKUP(F81,케이블트레이입.출고현황!U:W,2,0),"")</f>
        <v/>
      </c>
      <c r="H81" s="19" t="str">
        <f>IFERROR(VLOOKUP(G81,케이블트레이입.출고현황!V:X,2,0),"")</f>
        <v/>
      </c>
      <c r="I81" s="19" t="str">
        <f>IFERROR(VLOOKUP(H81,케이블트레이입.출고현황!W:Y,2,0),"")</f>
        <v/>
      </c>
      <c r="J81" s="19" t="str">
        <f>IFERROR(VLOOKUP(I81,케이블트레이입.출고현황!X:Z,2,0),"")</f>
        <v/>
      </c>
      <c r="K81" s="19" t="str">
        <f>IFERROR(VLOOKUP(J81,케이블트레이입.출고현황!Y:AA,2,0),"")</f>
        <v/>
      </c>
      <c r="L81" s="126"/>
      <c r="M81" s="130"/>
    </row>
    <row r="82" spans="1:13" s="131" customFormat="1" ht="24" customHeight="1">
      <c r="A82" s="29">
        <v>47</v>
      </c>
      <c r="B82" s="10">
        <v>47</v>
      </c>
      <c r="C82" s="10"/>
      <c r="D82" s="10"/>
      <c r="E82" s="129"/>
      <c r="F82" s="10"/>
      <c r="G82" s="19" t="str">
        <f>IFERROR(VLOOKUP(F82,케이블트레이입.출고현황!U:W,2,0),"")</f>
        <v/>
      </c>
      <c r="H82" s="19" t="str">
        <f>IFERROR(VLOOKUP(G82,케이블트레이입.출고현황!V:X,2,0),"")</f>
        <v/>
      </c>
      <c r="I82" s="19" t="str">
        <f>IFERROR(VLOOKUP(H82,케이블트레이입.출고현황!W:Y,2,0),"")</f>
        <v/>
      </c>
      <c r="J82" s="19" t="str">
        <f>IFERROR(VLOOKUP(I82,케이블트레이입.출고현황!X:Z,2,0),"")</f>
        <v/>
      </c>
      <c r="K82" s="19" t="str">
        <f>IFERROR(VLOOKUP(J82,케이블트레이입.출고현황!Y:AA,2,0),"")</f>
        <v/>
      </c>
      <c r="L82" s="126"/>
      <c r="M82" s="130"/>
    </row>
    <row r="83" spans="1:13" s="131" customFormat="1" ht="24" customHeight="1">
      <c r="A83" s="29">
        <v>48</v>
      </c>
      <c r="B83" s="10">
        <v>48</v>
      </c>
      <c r="C83" s="10"/>
      <c r="D83" s="10"/>
      <c r="E83" s="129"/>
      <c r="F83" s="10"/>
      <c r="G83" s="19" t="str">
        <f>IFERROR(VLOOKUP(F83,케이블트레이입.출고현황!U:W,2,0),"")</f>
        <v/>
      </c>
      <c r="H83" s="19" t="str">
        <f>IFERROR(VLOOKUP(G83,케이블트레이입.출고현황!V:X,2,0),"")</f>
        <v/>
      </c>
      <c r="I83" s="19" t="str">
        <f>IFERROR(VLOOKUP(H83,케이블트레이입.출고현황!W:Y,2,0),"")</f>
        <v/>
      </c>
      <c r="J83" s="19" t="str">
        <f>IFERROR(VLOOKUP(I83,케이블트레이입.출고현황!X:Z,2,0),"")</f>
        <v/>
      </c>
      <c r="K83" s="19" t="str">
        <f>IFERROR(VLOOKUP(J83,케이블트레이입.출고현황!Y:AA,2,0),"")</f>
        <v/>
      </c>
      <c r="L83" s="126"/>
      <c r="M83" s="130"/>
    </row>
    <row r="84" spans="1:13" s="131" customFormat="1" ht="24" customHeight="1">
      <c r="A84" s="29">
        <v>49</v>
      </c>
      <c r="B84" s="10">
        <v>49</v>
      </c>
      <c r="C84" s="10"/>
      <c r="D84" s="10"/>
      <c r="E84" s="129"/>
      <c r="F84" s="10"/>
      <c r="G84" s="19" t="str">
        <f>IFERROR(VLOOKUP(F84,케이블트레이입.출고현황!U:W,2,0),"")</f>
        <v/>
      </c>
      <c r="H84" s="19" t="str">
        <f>IFERROR(VLOOKUP(G84,케이블트레이입.출고현황!V:X,2,0),"")</f>
        <v/>
      </c>
      <c r="I84" s="19" t="str">
        <f>IFERROR(VLOOKUP(H84,케이블트레이입.출고현황!W:Y,2,0),"")</f>
        <v/>
      </c>
      <c r="J84" s="19" t="str">
        <f>IFERROR(VLOOKUP(I84,케이블트레이입.출고현황!X:Z,2,0),"")</f>
        <v/>
      </c>
      <c r="K84" s="19" t="str">
        <f>IFERROR(VLOOKUP(J84,케이블트레이입.출고현황!Y:AA,2,0),"")</f>
        <v/>
      </c>
      <c r="L84" s="126"/>
      <c r="M84" s="130"/>
    </row>
    <row r="85" spans="1:13" s="131" customFormat="1" ht="24" customHeight="1">
      <c r="A85" s="29">
        <v>50</v>
      </c>
      <c r="B85" s="10">
        <v>50</v>
      </c>
      <c r="C85" s="10"/>
      <c r="D85" s="10"/>
      <c r="E85" s="129"/>
      <c r="F85" s="10"/>
      <c r="G85" s="19" t="str">
        <f>IFERROR(VLOOKUP(F85,케이블트레이입.출고현황!U:W,2,0),"")</f>
        <v/>
      </c>
      <c r="H85" s="19" t="str">
        <f>IFERROR(VLOOKUP(G85,케이블트레이입.출고현황!V:X,2,0),"")</f>
        <v/>
      </c>
      <c r="I85" s="19" t="str">
        <f>IFERROR(VLOOKUP(H85,케이블트레이입.출고현황!W:Y,2,0),"")</f>
        <v/>
      </c>
      <c r="J85" s="19" t="str">
        <f>IFERROR(VLOOKUP(I85,케이블트레이입.출고현황!X:Z,2,0),"")</f>
        <v/>
      </c>
      <c r="K85" s="19" t="str">
        <f>IFERROR(VLOOKUP(J85,케이블트레이입.출고현황!Y:AA,2,0),"")</f>
        <v/>
      </c>
      <c r="L85" s="126"/>
      <c r="M85" s="130"/>
    </row>
    <row r="86" spans="1:13" s="131" customFormat="1" ht="24" customHeight="1">
      <c r="A86" s="29">
        <v>51</v>
      </c>
      <c r="B86" s="10">
        <v>51</v>
      </c>
      <c r="C86" s="10"/>
      <c r="D86" s="10"/>
      <c r="E86" s="129"/>
      <c r="F86" s="10"/>
      <c r="G86" s="19" t="str">
        <f>IFERROR(VLOOKUP(F86,케이블트레이입.출고현황!U:W,2,0),"")</f>
        <v/>
      </c>
      <c r="H86" s="19" t="str">
        <f>IFERROR(VLOOKUP(G86,케이블트레이입.출고현황!V:X,2,0),"")</f>
        <v/>
      </c>
      <c r="I86" s="19" t="str">
        <f>IFERROR(VLOOKUP(H86,케이블트레이입.출고현황!W:Y,2,0),"")</f>
        <v/>
      </c>
      <c r="J86" s="19" t="str">
        <f>IFERROR(VLOOKUP(I86,케이블트레이입.출고현황!X:Z,2,0),"")</f>
        <v/>
      </c>
      <c r="K86" s="19" t="str">
        <f>IFERROR(VLOOKUP(J86,케이블트레이입.출고현황!Y:AA,2,0),"")</f>
        <v/>
      </c>
      <c r="L86" s="126"/>
      <c r="M86" s="130"/>
    </row>
    <row r="87" spans="1:13" s="131" customFormat="1" ht="24" customHeight="1">
      <c r="A87" s="29">
        <v>52</v>
      </c>
      <c r="B87" s="10">
        <v>52</v>
      </c>
      <c r="C87" s="10"/>
      <c r="D87" s="10"/>
      <c r="E87" s="129"/>
      <c r="F87" s="10"/>
      <c r="G87" s="19" t="str">
        <f>IFERROR(VLOOKUP(F87,케이블트레이입.출고현황!U:W,2,0),"")</f>
        <v/>
      </c>
      <c r="H87" s="19" t="str">
        <f>IFERROR(VLOOKUP(G87,케이블트레이입.출고현황!V:X,2,0),"")</f>
        <v/>
      </c>
      <c r="I87" s="19" t="str">
        <f>IFERROR(VLOOKUP(H87,케이블트레이입.출고현황!W:Y,2,0),"")</f>
        <v/>
      </c>
      <c r="J87" s="19" t="str">
        <f>IFERROR(VLOOKUP(I87,케이블트레이입.출고현황!X:Z,2,0),"")</f>
        <v/>
      </c>
      <c r="K87" s="19" t="str">
        <f>IFERROR(VLOOKUP(J87,케이블트레이입.출고현황!Y:AA,2,0),"")</f>
        <v/>
      </c>
      <c r="L87" s="126"/>
      <c r="M87" s="130"/>
    </row>
    <row r="88" spans="1:13" s="131" customFormat="1" ht="24" customHeight="1">
      <c r="A88" s="29">
        <v>53</v>
      </c>
      <c r="B88" s="10">
        <v>53</v>
      </c>
      <c r="C88" s="10"/>
      <c r="D88" s="10"/>
      <c r="E88" s="129"/>
      <c r="F88" s="10"/>
      <c r="G88" s="19" t="str">
        <f>IFERROR(VLOOKUP(F88,케이블트레이입.출고현황!U:W,2,0),"")</f>
        <v/>
      </c>
      <c r="H88" s="19" t="str">
        <f>IFERROR(VLOOKUP(G88,케이블트레이입.출고현황!V:X,2,0),"")</f>
        <v/>
      </c>
      <c r="I88" s="19" t="str">
        <f>IFERROR(VLOOKUP(H88,케이블트레이입.출고현황!W:Y,2,0),"")</f>
        <v/>
      </c>
      <c r="J88" s="19" t="str">
        <f>IFERROR(VLOOKUP(I88,케이블트레이입.출고현황!X:Z,2,0),"")</f>
        <v/>
      </c>
      <c r="K88" s="19" t="str">
        <f>IFERROR(VLOOKUP(J88,케이블트레이입.출고현황!Y:AA,2,0),"")</f>
        <v/>
      </c>
      <c r="L88" s="126"/>
      <c r="M88" s="130"/>
    </row>
    <row r="89" spans="1:13" s="131" customFormat="1" ht="24" customHeight="1">
      <c r="A89" s="29">
        <v>54</v>
      </c>
      <c r="B89" s="10">
        <v>54</v>
      </c>
      <c r="C89" s="10"/>
      <c r="D89" s="10"/>
      <c r="E89" s="129"/>
      <c r="F89" s="10"/>
      <c r="G89" s="19" t="str">
        <f>IFERROR(VLOOKUP(F89,케이블트레이입.출고현황!U:W,2,0),"")</f>
        <v/>
      </c>
      <c r="H89" s="19" t="str">
        <f>IFERROR(VLOOKUP(G89,케이블트레이입.출고현황!V:X,2,0),"")</f>
        <v/>
      </c>
      <c r="I89" s="19" t="str">
        <f>IFERROR(VLOOKUP(H89,케이블트레이입.출고현황!W:Y,2,0),"")</f>
        <v/>
      </c>
      <c r="J89" s="19" t="str">
        <f>IFERROR(VLOOKUP(I89,케이블트레이입.출고현황!X:Z,2,0),"")</f>
        <v/>
      </c>
      <c r="K89" s="19" t="str">
        <f>IFERROR(VLOOKUP(J89,케이블트레이입.출고현황!Y:AA,2,0),"")</f>
        <v/>
      </c>
      <c r="L89" s="126"/>
      <c r="M89" s="130"/>
    </row>
    <row r="90" spans="1:13" s="131" customFormat="1" ht="24" customHeight="1">
      <c r="A90" s="29">
        <v>55</v>
      </c>
      <c r="B90" s="10">
        <v>55</v>
      </c>
      <c r="C90" s="10"/>
      <c r="D90" s="10"/>
      <c r="E90" s="129"/>
      <c r="F90" s="10"/>
      <c r="G90" s="19" t="str">
        <f>IFERROR(VLOOKUP(F90,케이블트레이입.출고현황!U:W,2,0),"")</f>
        <v/>
      </c>
      <c r="H90" s="19" t="str">
        <f>IFERROR(VLOOKUP(G90,케이블트레이입.출고현황!V:X,2,0),"")</f>
        <v/>
      </c>
      <c r="I90" s="19" t="str">
        <f>IFERROR(VLOOKUP(H90,케이블트레이입.출고현황!W:Y,2,0),"")</f>
        <v/>
      </c>
      <c r="J90" s="19" t="str">
        <f>IFERROR(VLOOKUP(I90,케이블트레이입.출고현황!X:Z,2,0),"")</f>
        <v/>
      </c>
      <c r="K90" s="19" t="str">
        <f>IFERROR(VLOOKUP(J90,케이블트레이입.출고현황!Y:AA,2,0),"")</f>
        <v/>
      </c>
      <c r="L90" s="126"/>
      <c r="M90" s="130"/>
    </row>
    <row r="91" spans="1:13" s="131" customFormat="1" ht="24" customHeight="1">
      <c r="A91" s="29">
        <v>56</v>
      </c>
      <c r="B91" s="10">
        <v>56</v>
      </c>
      <c r="C91" s="10"/>
      <c r="D91" s="10"/>
      <c r="E91" s="129"/>
      <c r="F91" s="10"/>
      <c r="G91" s="19" t="str">
        <f>IFERROR(VLOOKUP(F91,케이블트레이입.출고현황!U:W,2,0),"")</f>
        <v/>
      </c>
      <c r="H91" s="19" t="str">
        <f>IFERROR(VLOOKUP(G91,케이블트레이입.출고현황!V:X,2,0),"")</f>
        <v/>
      </c>
      <c r="I91" s="19" t="str">
        <f>IFERROR(VLOOKUP(H91,케이블트레이입.출고현황!W:Y,2,0),"")</f>
        <v/>
      </c>
      <c r="J91" s="19" t="str">
        <f>IFERROR(VLOOKUP(I91,케이블트레이입.출고현황!X:Z,2,0),"")</f>
        <v/>
      </c>
      <c r="K91" s="19" t="str">
        <f>IFERROR(VLOOKUP(J91,케이블트레이입.출고현황!Y:AA,2,0),"")</f>
        <v/>
      </c>
      <c r="L91" s="126"/>
      <c r="M91" s="130"/>
    </row>
    <row r="92" spans="1:13" s="131" customFormat="1" ht="24" customHeight="1">
      <c r="A92" s="29">
        <v>57</v>
      </c>
      <c r="B92" s="10">
        <v>57</v>
      </c>
      <c r="C92" s="10"/>
      <c r="D92" s="10"/>
      <c r="E92" s="129"/>
      <c r="F92" s="10"/>
      <c r="G92" s="19" t="str">
        <f>IFERROR(VLOOKUP(F92,케이블트레이입.출고현황!U:W,2,0),"")</f>
        <v/>
      </c>
      <c r="H92" s="19" t="str">
        <f>IFERROR(VLOOKUP(G92,케이블트레이입.출고현황!V:X,2,0),"")</f>
        <v/>
      </c>
      <c r="I92" s="19" t="str">
        <f>IFERROR(VLOOKUP(H92,케이블트레이입.출고현황!W:Y,2,0),"")</f>
        <v/>
      </c>
      <c r="J92" s="19" t="str">
        <f>IFERROR(VLOOKUP(I92,케이블트레이입.출고현황!X:Z,2,0),"")</f>
        <v/>
      </c>
      <c r="K92" s="19" t="str">
        <f>IFERROR(VLOOKUP(J92,케이블트레이입.출고현황!Y:AA,2,0),"")</f>
        <v/>
      </c>
      <c r="L92" s="126"/>
      <c r="M92" s="130"/>
    </row>
    <row r="93" spans="1:13" s="131" customFormat="1" ht="24" customHeight="1">
      <c r="A93" s="29">
        <v>58</v>
      </c>
      <c r="B93" s="10">
        <v>58</v>
      </c>
      <c r="C93" s="10"/>
      <c r="D93" s="10"/>
      <c r="E93" s="129"/>
      <c r="F93" s="29"/>
      <c r="G93" s="19" t="str">
        <f>IFERROR(VLOOKUP(F93,케이블트레이입.출고현황!U:W,2,0),"")</f>
        <v/>
      </c>
      <c r="H93" s="19" t="str">
        <f>IFERROR(VLOOKUP(G93,케이블트레이입.출고현황!V:X,2,0),"")</f>
        <v/>
      </c>
      <c r="I93" s="19" t="str">
        <f>IFERROR(VLOOKUP(H93,케이블트레이입.출고현황!W:Y,2,0),"")</f>
        <v/>
      </c>
      <c r="J93" s="19" t="str">
        <f>IFERROR(VLOOKUP(I93,케이블트레이입.출고현황!X:Z,2,0),"")</f>
        <v/>
      </c>
      <c r="K93" s="19" t="str">
        <f>IFERROR(VLOOKUP(J93,케이블트레이입.출고현황!Y:AA,2,0),"")</f>
        <v/>
      </c>
      <c r="L93" s="126"/>
      <c r="M93" s="130"/>
    </row>
    <row r="94" spans="1:13" s="131" customFormat="1" ht="24" customHeight="1">
      <c r="A94" s="29">
        <v>59</v>
      </c>
      <c r="B94" s="10">
        <v>59</v>
      </c>
      <c r="C94" s="10"/>
      <c r="D94" s="10"/>
      <c r="E94" s="129"/>
      <c r="F94" s="10"/>
      <c r="G94" s="19" t="str">
        <f>IFERROR(VLOOKUP(F94,케이블트레이입.출고현황!U:W,2,0),"")</f>
        <v/>
      </c>
      <c r="H94" s="19" t="str">
        <f>IFERROR(VLOOKUP(G94,케이블트레이입.출고현황!V:X,2,0),"")</f>
        <v/>
      </c>
      <c r="I94" s="19" t="str">
        <f>IFERROR(VLOOKUP(H94,케이블트레이입.출고현황!W:Y,2,0),"")</f>
        <v/>
      </c>
      <c r="J94" s="19" t="str">
        <f>IFERROR(VLOOKUP(I94,케이블트레이입.출고현황!X:Z,2,0),"")</f>
        <v/>
      </c>
      <c r="K94" s="19" t="str">
        <f>IFERROR(VLOOKUP(J94,케이블트레이입.출고현황!Y:AA,2,0),"")</f>
        <v/>
      </c>
      <c r="L94" s="126"/>
      <c r="M94" s="130"/>
    </row>
    <row r="95" spans="1:13" s="131" customFormat="1" ht="24" customHeight="1">
      <c r="A95" s="29">
        <v>60</v>
      </c>
      <c r="B95" s="10">
        <v>60</v>
      </c>
      <c r="C95" s="10"/>
      <c r="D95" s="10"/>
      <c r="E95" s="129"/>
      <c r="F95" s="29"/>
      <c r="G95" s="19" t="str">
        <f>IFERROR(VLOOKUP(F95,케이블트레이입.출고현황!U:W,2,0),"")</f>
        <v/>
      </c>
      <c r="H95" s="19" t="str">
        <f>IFERROR(VLOOKUP(G95,케이블트레이입.출고현황!V:X,2,0),"")</f>
        <v/>
      </c>
      <c r="I95" s="19" t="str">
        <f>IFERROR(VLOOKUP(H95,케이블트레이입.출고현황!W:Y,2,0),"")</f>
        <v/>
      </c>
      <c r="J95" s="19" t="str">
        <f>IFERROR(VLOOKUP(I95,케이블트레이입.출고현황!X:Z,2,0),"")</f>
        <v/>
      </c>
      <c r="K95" s="19" t="str">
        <f>IFERROR(VLOOKUP(J95,케이블트레이입.출고현황!Y:AA,2,0),"")</f>
        <v/>
      </c>
      <c r="L95" s="126"/>
      <c r="M95" s="130"/>
    </row>
    <row r="96" spans="1:13" s="131" customFormat="1" ht="24" customHeight="1">
      <c r="A96" s="29">
        <v>61</v>
      </c>
      <c r="B96" s="10">
        <v>61</v>
      </c>
      <c r="C96" s="10"/>
      <c r="D96" s="10"/>
      <c r="E96" s="129"/>
      <c r="F96" s="10"/>
      <c r="G96" s="19" t="str">
        <f>IFERROR(VLOOKUP(F96,케이블트레이입.출고현황!U:W,2,0),"")</f>
        <v/>
      </c>
      <c r="H96" s="19" t="str">
        <f>IFERROR(VLOOKUP(G96,케이블트레이입.출고현황!V:X,2,0),"")</f>
        <v/>
      </c>
      <c r="I96" s="19" t="str">
        <f>IFERROR(VLOOKUP(H96,케이블트레이입.출고현황!W:Y,2,0),"")</f>
        <v/>
      </c>
      <c r="J96" s="19" t="str">
        <f>IFERROR(VLOOKUP(I96,케이블트레이입.출고현황!X:Z,2,0),"")</f>
        <v/>
      </c>
      <c r="K96" s="19" t="str">
        <f>IFERROR(VLOOKUP(J96,케이블트레이입.출고현황!Y:AA,2,0),"")</f>
        <v/>
      </c>
      <c r="L96" s="126"/>
      <c r="M96" s="130"/>
    </row>
    <row r="97" spans="1:13" s="131" customFormat="1" ht="24" customHeight="1">
      <c r="A97" s="29">
        <v>62</v>
      </c>
      <c r="B97" s="10">
        <v>62</v>
      </c>
      <c r="C97" s="10"/>
      <c r="D97" s="10"/>
      <c r="E97" s="129"/>
      <c r="F97" s="10"/>
      <c r="G97" s="19" t="str">
        <f>IFERROR(VLOOKUP(F97,케이블트레이입.출고현황!U:W,2,0),"")</f>
        <v/>
      </c>
      <c r="H97" s="19" t="str">
        <f>IFERROR(VLOOKUP(G97,케이블트레이입.출고현황!V:X,2,0),"")</f>
        <v/>
      </c>
      <c r="I97" s="19" t="str">
        <f>IFERROR(VLOOKUP(H97,케이블트레이입.출고현황!W:Y,2,0),"")</f>
        <v/>
      </c>
      <c r="J97" s="19" t="str">
        <f>IFERROR(VLOOKUP(I97,케이블트레이입.출고현황!X:Z,2,0),"")</f>
        <v/>
      </c>
      <c r="K97" s="19" t="str">
        <f>IFERROR(VLOOKUP(J97,케이블트레이입.출고현황!Y:AA,2,0),"")</f>
        <v/>
      </c>
      <c r="L97" s="126"/>
      <c r="M97" s="130"/>
    </row>
    <row r="98" spans="1:13" s="131" customFormat="1" ht="24" customHeight="1">
      <c r="A98" s="29">
        <v>63</v>
      </c>
      <c r="B98" s="10">
        <v>63</v>
      </c>
      <c r="C98" s="10"/>
      <c r="D98" s="10"/>
      <c r="E98" s="129"/>
      <c r="F98" s="10"/>
      <c r="G98" s="19" t="str">
        <f>IFERROR(VLOOKUP(F98,케이블트레이입.출고현황!U:W,2,0),"")</f>
        <v/>
      </c>
      <c r="H98" s="19" t="str">
        <f>IFERROR(VLOOKUP(G98,케이블트레이입.출고현황!V:X,2,0),"")</f>
        <v/>
      </c>
      <c r="I98" s="19" t="str">
        <f>IFERROR(VLOOKUP(H98,케이블트레이입.출고현황!W:Y,2,0),"")</f>
        <v/>
      </c>
      <c r="J98" s="19" t="str">
        <f>IFERROR(VLOOKUP(I98,케이블트레이입.출고현황!X:Z,2,0),"")</f>
        <v/>
      </c>
      <c r="K98" s="19" t="str">
        <f>IFERROR(VLOOKUP(J98,케이블트레이입.출고현황!Y:AA,2,0),"")</f>
        <v/>
      </c>
      <c r="L98" s="126"/>
      <c r="M98" s="130"/>
    </row>
    <row r="99" spans="1:13" s="131" customFormat="1" ht="24" customHeight="1">
      <c r="A99" s="29">
        <v>64</v>
      </c>
      <c r="B99" s="10">
        <v>64</v>
      </c>
      <c r="C99" s="10"/>
      <c r="D99" s="10"/>
      <c r="E99" s="129"/>
      <c r="F99" s="10"/>
      <c r="G99" s="19" t="str">
        <f>IFERROR(VLOOKUP(F99,케이블트레이입.출고현황!U:W,2,0),"")</f>
        <v/>
      </c>
      <c r="H99" s="19" t="str">
        <f>IFERROR(VLOOKUP(G99,케이블트레이입.출고현황!V:X,2,0),"")</f>
        <v/>
      </c>
      <c r="I99" s="19" t="str">
        <f>IFERROR(VLOOKUP(H99,케이블트레이입.출고현황!W:Y,2,0),"")</f>
        <v/>
      </c>
      <c r="J99" s="19" t="str">
        <f>IFERROR(VLOOKUP(I99,케이블트레이입.출고현황!X:Z,2,0),"")</f>
        <v/>
      </c>
      <c r="K99" s="19" t="str">
        <f>IFERROR(VLOOKUP(J99,케이블트레이입.출고현황!Y:AA,2,0),"")</f>
        <v/>
      </c>
      <c r="L99" s="126"/>
      <c r="M99" s="130"/>
    </row>
    <row r="100" spans="1:13" s="131" customFormat="1" ht="24" customHeight="1">
      <c r="A100" s="29">
        <v>65</v>
      </c>
      <c r="B100" s="10">
        <v>65</v>
      </c>
      <c r="C100" s="10"/>
      <c r="D100" s="10"/>
      <c r="E100" s="129"/>
      <c r="F100" s="10"/>
      <c r="G100" s="19" t="str">
        <f>IFERROR(VLOOKUP(F100,케이블트레이입.출고현황!U:W,2,0),"")</f>
        <v/>
      </c>
      <c r="H100" s="19" t="str">
        <f>IFERROR(VLOOKUP(G100,케이블트레이입.출고현황!V:X,2,0),"")</f>
        <v/>
      </c>
      <c r="I100" s="19" t="str">
        <f>IFERROR(VLOOKUP(H100,케이블트레이입.출고현황!W:Y,2,0),"")</f>
        <v/>
      </c>
      <c r="J100" s="19" t="str">
        <f>IFERROR(VLOOKUP(I100,케이블트레이입.출고현황!X:Z,2,0),"")</f>
        <v/>
      </c>
      <c r="K100" s="19" t="str">
        <f>IFERROR(VLOOKUP(J100,케이블트레이입.출고현황!Y:AA,2,0),"")</f>
        <v/>
      </c>
      <c r="L100" s="126"/>
      <c r="M100" s="130"/>
    </row>
    <row r="101" spans="1:13" s="131" customFormat="1" ht="24" customHeight="1">
      <c r="A101" s="29">
        <v>66</v>
      </c>
      <c r="B101" s="10">
        <v>66</v>
      </c>
      <c r="C101" s="10"/>
      <c r="D101" s="10"/>
      <c r="E101" s="129"/>
      <c r="F101" s="10"/>
      <c r="G101" s="19" t="str">
        <f>IFERROR(VLOOKUP(F101,케이블트레이입.출고현황!U:W,2,0),"")</f>
        <v/>
      </c>
      <c r="H101" s="19" t="str">
        <f>IFERROR(VLOOKUP(G101,케이블트레이입.출고현황!V:X,2,0),"")</f>
        <v/>
      </c>
      <c r="I101" s="19" t="str">
        <f>IFERROR(VLOOKUP(H101,케이블트레이입.출고현황!W:Y,2,0),"")</f>
        <v/>
      </c>
      <c r="J101" s="19" t="str">
        <f>IFERROR(VLOOKUP(I101,케이블트레이입.출고현황!X:Z,2,0),"")</f>
        <v/>
      </c>
      <c r="K101" s="19" t="str">
        <f>IFERROR(VLOOKUP(J101,케이블트레이입.출고현황!Y:AA,2,0),"")</f>
        <v/>
      </c>
      <c r="L101" s="126"/>
      <c r="M101" s="130"/>
    </row>
    <row r="102" spans="1:13" s="131" customFormat="1" ht="24" customHeight="1">
      <c r="A102" s="29">
        <v>67</v>
      </c>
      <c r="B102" s="10">
        <v>67</v>
      </c>
      <c r="C102" s="10"/>
      <c r="D102" s="10"/>
      <c r="E102" s="129"/>
      <c r="F102" s="10"/>
      <c r="G102" s="19" t="str">
        <f>IFERROR(VLOOKUP(F102,케이블트레이입.출고현황!U:W,2,0),"")</f>
        <v/>
      </c>
      <c r="H102" s="19" t="str">
        <f>IFERROR(VLOOKUP(G102,케이블트레이입.출고현황!V:X,2,0),"")</f>
        <v/>
      </c>
      <c r="I102" s="19" t="str">
        <f>IFERROR(VLOOKUP(H102,케이블트레이입.출고현황!W:Y,2,0),"")</f>
        <v/>
      </c>
      <c r="J102" s="19" t="str">
        <f>IFERROR(VLOOKUP(I102,케이블트레이입.출고현황!X:Z,2,0),"")</f>
        <v/>
      </c>
      <c r="K102" s="19" t="str">
        <f>IFERROR(VLOOKUP(J102,케이블트레이입.출고현황!Y:AA,2,0),"")</f>
        <v/>
      </c>
      <c r="L102" s="126"/>
      <c r="M102" s="130"/>
    </row>
    <row r="103" spans="1:13" s="131" customFormat="1" ht="24" customHeight="1">
      <c r="A103" s="29">
        <v>68</v>
      </c>
      <c r="B103" s="10">
        <v>68</v>
      </c>
      <c r="C103" s="10"/>
      <c r="D103" s="10"/>
      <c r="E103" s="129"/>
      <c r="F103" s="10"/>
      <c r="G103" s="19" t="str">
        <f>IFERROR(VLOOKUP(F103,케이블트레이입.출고현황!U:W,2,0),"")</f>
        <v/>
      </c>
      <c r="H103" s="19" t="str">
        <f>IFERROR(VLOOKUP(G103,케이블트레이입.출고현황!V:X,2,0),"")</f>
        <v/>
      </c>
      <c r="I103" s="19" t="str">
        <f>IFERROR(VLOOKUP(H103,케이블트레이입.출고현황!W:Y,2,0),"")</f>
        <v/>
      </c>
      <c r="J103" s="19" t="str">
        <f>IFERROR(VLOOKUP(I103,케이블트레이입.출고현황!X:Z,2,0),"")</f>
        <v/>
      </c>
      <c r="K103" s="19" t="str">
        <f>IFERROR(VLOOKUP(J103,케이블트레이입.출고현황!Y:AA,2,0),"")</f>
        <v/>
      </c>
      <c r="L103" s="126"/>
      <c r="M103" s="130"/>
    </row>
    <row r="104" spans="1:13" s="131" customFormat="1" ht="24" customHeight="1">
      <c r="A104" s="29">
        <v>69</v>
      </c>
      <c r="B104" s="10">
        <v>69</v>
      </c>
      <c r="C104" s="10"/>
      <c r="D104" s="10"/>
      <c r="E104" s="129"/>
      <c r="F104" s="10"/>
      <c r="G104" s="19" t="str">
        <f>IFERROR(VLOOKUP(F104,케이블트레이입.출고현황!U:W,2,0),"")</f>
        <v/>
      </c>
      <c r="H104" s="19" t="str">
        <f>IFERROR(VLOOKUP(G104,케이블트레이입.출고현황!V:X,2,0),"")</f>
        <v/>
      </c>
      <c r="I104" s="19" t="str">
        <f>IFERROR(VLOOKUP(H104,케이블트레이입.출고현황!W:Y,2,0),"")</f>
        <v/>
      </c>
      <c r="J104" s="19" t="str">
        <f>IFERROR(VLOOKUP(I104,케이블트레이입.출고현황!X:Z,2,0),"")</f>
        <v/>
      </c>
      <c r="K104" s="19" t="str">
        <f>IFERROR(VLOOKUP(J104,케이블트레이입.출고현황!Y:AA,2,0),"")</f>
        <v/>
      </c>
      <c r="L104" s="126"/>
      <c r="M104" s="130"/>
    </row>
    <row r="105" spans="1:13" s="131" customFormat="1" ht="24" customHeight="1">
      <c r="A105" s="29">
        <v>70</v>
      </c>
      <c r="B105" s="10">
        <v>70</v>
      </c>
      <c r="C105" s="10"/>
      <c r="D105" s="10"/>
      <c r="E105" s="129"/>
      <c r="F105" s="10"/>
      <c r="G105" s="19" t="str">
        <f>IFERROR(VLOOKUP(F105,케이블트레이입.출고현황!U:W,2,0),"")</f>
        <v/>
      </c>
      <c r="H105" s="19" t="str">
        <f>IFERROR(VLOOKUP(G105,케이블트레이입.출고현황!V:X,2,0),"")</f>
        <v/>
      </c>
      <c r="I105" s="19" t="str">
        <f>IFERROR(VLOOKUP(H105,케이블트레이입.출고현황!W:Y,2,0),"")</f>
        <v/>
      </c>
      <c r="J105" s="19" t="str">
        <f>IFERROR(VLOOKUP(I105,케이블트레이입.출고현황!X:Z,2,0),"")</f>
        <v/>
      </c>
      <c r="K105" s="19" t="str">
        <f>IFERROR(VLOOKUP(J105,케이블트레이입.출고현황!Y:AA,2,0),"")</f>
        <v/>
      </c>
      <c r="L105" s="126"/>
      <c r="M105" s="130"/>
    </row>
    <row r="106" spans="1:13" s="131" customFormat="1" ht="24" customHeight="1">
      <c r="A106" s="29">
        <v>71</v>
      </c>
      <c r="B106" s="10">
        <v>71</v>
      </c>
      <c r="C106" s="10"/>
      <c r="D106" s="10"/>
      <c r="E106" s="129"/>
      <c r="F106" s="10"/>
      <c r="G106" s="19" t="str">
        <f>IFERROR(VLOOKUP(F106,케이블트레이입.출고현황!U:W,2,0),"")</f>
        <v/>
      </c>
      <c r="H106" s="19" t="str">
        <f>IFERROR(VLOOKUP(G106,케이블트레이입.출고현황!V:X,2,0),"")</f>
        <v/>
      </c>
      <c r="I106" s="19" t="str">
        <f>IFERROR(VLOOKUP(H106,케이블트레이입.출고현황!W:Y,2,0),"")</f>
        <v/>
      </c>
      <c r="J106" s="19" t="str">
        <f>IFERROR(VLOOKUP(I106,케이블트레이입.출고현황!X:Z,2,0),"")</f>
        <v/>
      </c>
      <c r="K106" s="19" t="str">
        <f>IFERROR(VLOOKUP(J106,케이블트레이입.출고현황!Y:AA,2,0),"")</f>
        <v/>
      </c>
      <c r="L106" s="126"/>
      <c r="M106" s="130"/>
    </row>
    <row r="107" spans="1:13" s="131" customFormat="1" ht="24" customHeight="1">
      <c r="A107" s="29">
        <v>72</v>
      </c>
      <c r="B107" s="10">
        <v>72</v>
      </c>
      <c r="C107" s="10"/>
      <c r="D107" s="10"/>
      <c r="E107" s="129"/>
      <c r="F107" s="10"/>
      <c r="G107" s="19" t="str">
        <f>IFERROR(VLOOKUP(F107,케이블트레이입.출고현황!U:W,2,0),"")</f>
        <v/>
      </c>
      <c r="H107" s="19" t="str">
        <f>IFERROR(VLOOKUP(G107,케이블트레이입.출고현황!V:X,2,0),"")</f>
        <v/>
      </c>
      <c r="I107" s="19" t="str">
        <f>IFERROR(VLOOKUP(H107,케이블트레이입.출고현황!W:Y,2,0),"")</f>
        <v/>
      </c>
      <c r="J107" s="19" t="str">
        <f>IFERROR(VLOOKUP(I107,케이블트레이입.출고현황!X:Z,2,0),"")</f>
        <v/>
      </c>
      <c r="K107" s="19" t="str">
        <f>IFERROR(VLOOKUP(J107,케이블트레이입.출고현황!Y:AA,2,0),"")</f>
        <v/>
      </c>
      <c r="L107" s="126"/>
      <c r="M107" s="130"/>
    </row>
    <row r="108" spans="1:13" s="131" customFormat="1" ht="24" customHeight="1">
      <c r="A108" s="29">
        <v>73</v>
      </c>
      <c r="B108" s="10">
        <v>73</v>
      </c>
      <c r="C108" s="10"/>
      <c r="D108" s="10"/>
      <c r="E108" s="129"/>
      <c r="F108" s="10"/>
      <c r="G108" s="19" t="str">
        <f>IFERROR(VLOOKUP(F108,케이블트레이입.출고현황!U:W,2,0),"")</f>
        <v/>
      </c>
      <c r="H108" s="19" t="str">
        <f>IFERROR(VLOOKUP(G108,케이블트레이입.출고현황!V:X,2,0),"")</f>
        <v/>
      </c>
      <c r="I108" s="19" t="str">
        <f>IFERROR(VLOOKUP(H108,케이블트레이입.출고현황!W:Y,2,0),"")</f>
        <v/>
      </c>
      <c r="J108" s="19" t="str">
        <f>IFERROR(VLOOKUP(I108,케이블트레이입.출고현황!X:Z,2,0),"")</f>
        <v/>
      </c>
      <c r="K108" s="19" t="str">
        <f>IFERROR(VLOOKUP(J108,케이블트레이입.출고현황!Y:AA,2,0),"")</f>
        <v/>
      </c>
      <c r="L108" s="126"/>
      <c r="M108" s="130"/>
    </row>
    <row r="109" spans="1:13" s="131" customFormat="1" ht="24" customHeight="1">
      <c r="A109" s="29">
        <v>74</v>
      </c>
      <c r="B109" s="10">
        <v>74</v>
      </c>
      <c r="C109" s="10"/>
      <c r="D109" s="10"/>
      <c r="E109" s="129"/>
      <c r="F109" s="10"/>
      <c r="G109" s="19" t="str">
        <f>IFERROR(VLOOKUP(F109,케이블트레이입.출고현황!U:W,2,0),"")</f>
        <v/>
      </c>
      <c r="H109" s="19" t="str">
        <f>IFERROR(VLOOKUP(G109,케이블트레이입.출고현황!V:X,2,0),"")</f>
        <v/>
      </c>
      <c r="I109" s="19" t="str">
        <f>IFERROR(VLOOKUP(H109,케이블트레이입.출고현황!W:Y,2,0),"")</f>
        <v/>
      </c>
      <c r="J109" s="19" t="str">
        <f>IFERROR(VLOOKUP(I109,케이블트레이입.출고현황!X:Z,2,0),"")</f>
        <v/>
      </c>
      <c r="K109" s="19" t="str">
        <f>IFERROR(VLOOKUP(J109,케이블트레이입.출고현황!Y:AA,2,0),"")</f>
        <v/>
      </c>
      <c r="L109" s="126"/>
      <c r="M109" s="130"/>
    </row>
    <row r="110" spans="1:13" s="131" customFormat="1" ht="24" customHeight="1">
      <c r="A110" s="29">
        <v>75</v>
      </c>
      <c r="B110" s="10">
        <v>75</v>
      </c>
      <c r="C110" s="10"/>
      <c r="D110" s="10"/>
      <c r="E110" s="129"/>
      <c r="F110" s="10"/>
      <c r="G110" s="19" t="str">
        <f>IFERROR(VLOOKUP(F110,케이블트레이입.출고현황!U:W,2,0),"")</f>
        <v/>
      </c>
      <c r="H110" s="19" t="str">
        <f>IFERROR(VLOOKUP(G110,케이블트레이입.출고현황!V:X,2,0),"")</f>
        <v/>
      </c>
      <c r="I110" s="19" t="str">
        <f>IFERROR(VLOOKUP(H110,케이블트레이입.출고현황!W:Y,2,0),"")</f>
        <v/>
      </c>
      <c r="J110" s="19" t="str">
        <f>IFERROR(VLOOKUP(I110,케이블트레이입.출고현황!X:Z,2,0),"")</f>
        <v/>
      </c>
      <c r="K110" s="19" t="str">
        <f>IFERROR(VLOOKUP(J110,케이블트레이입.출고현황!Y:AA,2,0),"")</f>
        <v/>
      </c>
      <c r="L110" s="126"/>
      <c r="M110" s="130"/>
    </row>
    <row r="111" spans="1:13" s="1" customFormat="1" ht="24" customHeight="1">
      <c r="A111" s="29">
        <v>76</v>
      </c>
      <c r="B111" s="10">
        <v>76</v>
      </c>
      <c r="C111" s="10"/>
      <c r="D111" s="10"/>
      <c r="E111" s="129"/>
      <c r="F111" s="10"/>
      <c r="G111" s="19" t="str">
        <f>IFERROR(VLOOKUP(F111,케이블트레이입.출고현황!U:W,2,0),"")</f>
        <v/>
      </c>
      <c r="H111" s="19" t="str">
        <f>IFERROR(VLOOKUP(G111,케이블트레이입.출고현황!V:X,2,0),"")</f>
        <v/>
      </c>
      <c r="I111" s="19" t="str">
        <f>IFERROR(VLOOKUP(H111,케이블트레이입.출고현황!W:Y,2,0),"")</f>
        <v/>
      </c>
      <c r="J111" s="19" t="str">
        <f>IFERROR(VLOOKUP(I111,케이블트레이입.출고현황!X:Z,2,0),"")</f>
        <v/>
      </c>
      <c r="K111" s="19" t="str">
        <f>IFERROR(VLOOKUP(J111,케이블트레이입.출고현황!Y:AA,2,0),"")</f>
        <v/>
      </c>
      <c r="L111" s="126"/>
      <c r="M111" s="10"/>
    </row>
    <row r="112" spans="1:13" s="131" customFormat="1" ht="24" customHeight="1">
      <c r="A112" s="29">
        <v>77</v>
      </c>
      <c r="B112" s="10">
        <v>77</v>
      </c>
      <c r="C112" s="10"/>
      <c r="D112" s="10"/>
      <c r="E112" s="129"/>
      <c r="F112" s="10"/>
      <c r="G112" s="19" t="str">
        <f>IFERROR(VLOOKUP(F112,케이블트레이입.출고현황!U:W,2,0),"")</f>
        <v/>
      </c>
      <c r="H112" s="19" t="str">
        <f>IFERROR(VLOOKUP(G112,케이블트레이입.출고현황!V:X,2,0),"")</f>
        <v/>
      </c>
      <c r="I112" s="19" t="str">
        <f>IFERROR(VLOOKUP(H112,케이블트레이입.출고현황!W:Y,2,0),"")</f>
        <v/>
      </c>
      <c r="J112" s="19" t="str">
        <f>IFERROR(VLOOKUP(I112,케이블트레이입.출고현황!X:Z,2,0),"")</f>
        <v/>
      </c>
      <c r="K112" s="19" t="str">
        <f>IFERROR(VLOOKUP(J112,케이블트레이입.출고현황!Y:AA,2,0),"")</f>
        <v/>
      </c>
      <c r="L112" s="126"/>
      <c r="M112" s="130"/>
    </row>
    <row r="113" spans="1:15" s="131" customFormat="1" ht="24" customHeight="1">
      <c r="A113" s="29">
        <v>78</v>
      </c>
      <c r="B113" s="10">
        <v>78</v>
      </c>
      <c r="C113" s="10"/>
      <c r="D113" s="10"/>
      <c r="E113" s="129"/>
      <c r="F113" s="10"/>
      <c r="G113" s="19" t="str">
        <f>IFERROR(VLOOKUP(F113,케이블트레이입.출고현황!U:W,2,0),"")</f>
        <v/>
      </c>
      <c r="H113" s="19" t="str">
        <f>IFERROR(VLOOKUP(G113,케이블트레이입.출고현황!V:X,2,0),"")</f>
        <v/>
      </c>
      <c r="I113" s="19" t="str">
        <f>IFERROR(VLOOKUP(H113,케이블트레이입.출고현황!W:Y,2,0),"")</f>
        <v/>
      </c>
      <c r="J113" s="19" t="str">
        <f>IFERROR(VLOOKUP(I113,케이블트레이입.출고현황!X:Z,2,0),"")</f>
        <v/>
      </c>
      <c r="K113" s="19" t="str">
        <f>IFERROR(VLOOKUP(J113,케이블트레이입.출고현황!Y:AA,2,0),"")</f>
        <v/>
      </c>
      <c r="L113" s="126"/>
      <c r="M113" s="130"/>
    </row>
    <row r="114" spans="1:15" s="131" customFormat="1" ht="24" customHeight="1">
      <c r="A114" s="29">
        <v>79</v>
      </c>
      <c r="B114" s="10">
        <v>79</v>
      </c>
      <c r="C114" s="10"/>
      <c r="D114" s="10"/>
      <c r="E114" s="129"/>
      <c r="F114" s="10"/>
      <c r="G114" s="19" t="str">
        <f>IFERROR(VLOOKUP(F114,케이블트레이입.출고현황!U:W,2,0),"")</f>
        <v/>
      </c>
      <c r="H114" s="19" t="str">
        <f>IFERROR(VLOOKUP(G114,케이블트레이입.출고현황!V:X,2,0),"")</f>
        <v/>
      </c>
      <c r="I114" s="19" t="str">
        <f>IFERROR(VLOOKUP(H114,케이블트레이입.출고현황!W:Y,2,0),"")</f>
        <v/>
      </c>
      <c r="J114" s="19" t="str">
        <f>IFERROR(VLOOKUP(I114,케이블트레이입.출고현황!X:Z,2,0),"")</f>
        <v/>
      </c>
      <c r="K114" s="19" t="str">
        <f>IFERROR(VLOOKUP(J114,케이블트레이입.출고현황!Y:AA,2,0),"")</f>
        <v/>
      </c>
      <c r="L114" s="126"/>
      <c r="M114" s="130"/>
    </row>
    <row r="115" spans="1:15" s="131" customFormat="1" ht="24" customHeight="1">
      <c r="A115" s="29">
        <v>80</v>
      </c>
      <c r="B115" s="10">
        <v>80</v>
      </c>
      <c r="C115" s="10"/>
      <c r="D115" s="10"/>
      <c r="E115" s="129"/>
      <c r="F115" s="10"/>
      <c r="G115" s="19" t="str">
        <f>IFERROR(VLOOKUP(F115,케이블트레이입.출고현황!U:W,2,0),"")</f>
        <v/>
      </c>
      <c r="H115" s="19" t="str">
        <f>IFERROR(VLOOKUP(G115,케이블트레이입.출고현황!V:X,2,0),"")</f>
        <v/>
      </c>
      <c r="I115" s="19" t="str">
        <f>IFERROR(VLOOKUP(H115,케이블트레이입.출고현황!W:Y,2,0),"")</f>
        <v/>
      </c>
      <c r="J115" s="19" t="str">
        <f>IFERROR(VLOOKUP(I115,케이블트레이입.출고현황!X:Z,2,0),"")</f>
        <v/>
      </c>
      <c r="K115" s="19" t="str">
        <f>IFERROR(VLOOKUP(J115,케이블트레이입.출고현황!Y:AA,2,0),"")</f>
        <v/>
      </c>
      <c r="L115" s="126"/>
      <c r="M115" s="130"/>
    </row>
    <row r="116" spans="1:15" s="131" customFormat="1" ht="24" customHeight="1">
      <c r="A116" s="29">
        <v>81</v>
      </c>
      <c r="B116" s="10">
        <v>81</v>
      </c>
      <c r="C116" s="10"/>
      <c r="D116" s="10"/>
      <c r="E116" s="129"/>
      <c r="F116" s="10"/>
      <c r="G116" s="19" t="str">
        <f>IFERROR(VLOOKUP(F116,케이블트레이입.출고현황!U:W,2,0),"")</f>
        <v/>
      </c>
      <c r="H116" s="19" t="str">
        <f>IFERROR(VLOOKUP(G116,케이블트레이입.출고현황!V:X,2,0),"")</f>
        <v/>
      </c>
      <c r="I116" s="19" t="str">
        <f>IFERROR(VLOOKUP(H116,케이블트레이입.출고현황!W:Y,2,0),"")</f>
        <v/>
      </c>
      <c r="J116" s="19" t="str">
        <f>IFERROR(VLOOKUP(I116,케이블트레이입.출고현황!X:Z,2,0),"")</f>
        <v/>
      </c>
      <c r="K116" s="19" t="str">
        <f>IFERROR(VLOOKUP(J116,케이블트레이입.출고현황!Y:AA,2,0),"")</f>
        <v/>
      </c>
      <c r="L116" s="126"/>
      <c r="M116" s="130"/>
      <c r="O116" s="131" t="s">
        <v>674</v>
      </c>
    </row>
    <row r="117" spans="1:15" s="131" customFormat="1" ht="24" customHeight="1">
      <c r="A117" s="29">
        <v>82</v>
      </c>
      <c r="B117" s="10">
        <v>82</v>
      </c>
      <c r="C117" s="10"/>
      <c r="D117" s="10"/>
      <c r="E117" s="129"/>
      <c r="F117" s="10"/>
      <c r="G117" s="19" t="str">
        <f>IFERROR(VLOOKUP(F117,케이블트레이입.출고현황!U:W,2,0),"")</f>
        <v/>
      </c>
      <c r="H117" s="19" t="str">
        <f>IFERROR(VLOOKUP(G117,케이블트레이입.출고현황!V:X,2,0),"")</f>
        <v/>
      </c>
      <c r="I117" s="19" t="str">
        <f>IFERROR(VLOOKUP(H117,케이블트레이입.출고현황!W:Y,2,0),"")</f>
        <v/>
      </c>
      <c r="J117" s="19" t="str">
        <f>IFERROR(VLOOKUP(I117,케이블트레이입.출고현황!X:Z,2,0),"")</f>
        <v/>
      </c>
      <c r="K117" s="19" t="str">
        <f>IFERROR(VLOOKUP(J117,케이블트레이입.출고현황!Y:AA,2,0),"")</f>
        <v/>
      </c>
      <c r="L117" s="126"/>
      <c r="M117" s="130"/>
      <c r="O117" s="131" t="s">
        <v>289</v>
      </c>
    </row>
    <row r="118" spans="1:15" s="131" customFormat="1" ht="24" customHeight="1">
      <c r="A118" s="29">
        <v>83</v>
      </c>
      <c r="B118" s="10">
        <v>83</v>
      </c>
      <c r="C118" s="10"/>
      <c r="D118" s="10"/>
      <c r="E118" s="129"/>
      <c r="F118" s="10"/>
      <c r="G118" s="19" t="str">
        <f>IFERROR(VLOOKUP(F118,케이블트레이입.출고현황!U:W,2,0),"")</f>
        <v/>
      </c>
      <c r="H118" s="19" t="str">
        <f>IFERROR(VLOOKUP(G118,케이블트레이입.출고현황!V:X,2,0),"")</f>
        <v/>
      </c>
      <c r="I118" s="19" t="str">
        <f>IFERROR(VLOOKUP(H118,케이블트레이입.출고현황!W:Y,2,0),"")</f>
        <v/>
      </c>
      <c r="J118" s="19" t="str">
        <f>IFERROR(VLOOKUP(I118,케이블트레이입.출고현황!X:Z,2,0),"")</f>
        <v/>
      </c>
      <c r="K118" s="19" t="str">
        <f>IFERROR(VLOOKUP(J118,케이블트레이입.출고현황!Y:AA,2,0),"")</f>
        <v/>
      </c>
      <c r="L118" s="126"/>
      <c r="M118" s="130"/>
      <c r="O118" s="131" t="s">
        <v>292</v>
      </c>
    </row>
    <row r="119" spans="1:15" s="131" customFormat="1" ht="24" customHeight="1">
      <c r="A119" s="29">
        <v>84</v>
      </c>
      <c r="B119" s="10">
        <v>84</v>
      </c>
      <c r="C119" s="10"/>
      <c r="D119" s="10"/>
      <c r="E119" s="129"/>
      <c r="F119" s="10"/>
      <c r="G119" s="19" t="str">
        <f>IFERROR(VLOOKUP(F119,케이블트레이입.출고현황!U:W,2,0),"")</f>
        <v/>
      </c>
      <c r="H119" s="19" t="str">
        <f>IFERROR(VLOOKUP(G119,케이블트레이입.출고현황!V:X,2,0),"")</f>
        <v/>
      </c>
      <c r="I119" s="19" t="str">
        <f>IFERROR(VLOOKUP(H119,케이블트레이입.출고현황!W:Y,2,0),"")</f>
        <v/>
      </c>
      <c r="J119" s="19" t="str">
        <f>IFERROR(VLOOKUP(I119,케이블트레이입.출고현황!X:Z,2,0),"")</f>
        <v/>
      </c>
      <c r="K119" s="19" t="str">
        <f>IFERROR(VLOOKUP(J119,케이블트레이입.출고현황!Y:AA,2,0),"")</f>
        <v/>
      </c>
      <c r="L119" s="126"/>
      <c r="M119" s="130"/>
      <c r="O119" s="131" t="s">
        <v>289</v>
      </c>
    </row>
    <row r="120" spans="1:15" s="131" customFormat="1" ht="24" customHeight="1">
      <c r="A120" s="29">
        <v>85</v>
      </c>
      <c r="B120" s="10">
        <v>85</v>
      </c>
      <c r="C120" s="10"/>
      <c r="D120" s="10"/>
      <c r="E120" s="129"/>
      <c r="F120" s="10"/>
      <c r="G120" s="19" t="str">
        <f>IFERROR(VLOOKUP(F120,케이블트레이입.출고현황!U:W,2,0),"")</f>
        <v/>
      </c>
      <c r="H120" s="19" t="str">
        <f>IFERROR(VLOOKUP(G120,케이블트레이입.출고현황!V:X,2,0),"")</f>
        <v/>
      </c>
      <c r="I120" s="19" t="str">
        <f>IFERROR(VLOOKUP(H120,케이블트레이입.출고현황!W:Y,2,0),"")</f>
        <v/>
      </c>
      <c r="J120" s="19" t="str">
        <f>IFERROR(VLOOKUP(I120,케이블트레이입.출고현황!X:Z,2,0),"")</f>
        <v/>
      </c>
      <c r="K120" s="19" t="str">
        <f>IFERROR(VLOOKUP(J120,케이블트레이입.출고현황!Y:AA,2,0),"")</f>
        <v/>
      </c>
      <c r="L120" s="126"/>
      <c r="M120" s="130"/>
      <c r="O120" s="131" t="s">
        <v>290</v>
      </c>
    </row>
    <row r="121" spans="1:15" s="131" customFormat="1" ht="24" customHeight="1">
      <c r="A121" s="29">
        <v>86</v>
      </c>
      <c r="B121" s="10">
        <v>86</v>
      </c>
      <c r="C121" s="10"/>
      <c r="D121" s="10"/>
      <c r="E121" s="129"/>
      <c r="F121" s="10"/>
      <c r="G121" s="19" t="str">
        <f>IFERROR(VLOOKUP(F121,케이블트레이입.출고현황!U:W,2,0),"")</f>
        <v/>
      </c>
      <c r="H121" s="19" t="str">
        <f>IFERROR(VLOOKUP(G121,케이블트레이입.출고현황!V:X,2,0),"")</f>
        <v/>
      </c>
      <c r="I121" s="19" t="str">
        <f>IFERROR(VLOOKUP(H121,케이블트레이입.출고현황!W:Y,2,0),"")</f>
        <v/>
      </c>
      <c r="J121" s="19" t="str">
        <f>IFERROR(VLOOKUP(I121,케이블트레이입.출고현황!X:Z,2,0),"")</f>
        <v/>
      </c>
      <c r="K121" s="19" t="str">
        <f>IFERROR(VLOOKUP(J121,케이블트레이입.출고현황!Y:AA,2,0),"")</f>
        <v/>
      </c>
      <c r="L121" s="126"/>
      <c r="M121" s="130"/>
      <c r="O121" s="131" t="s">
        <v>291</v>
      </c>
    </row>
    <row r="122" spans="1:15" s="131" customFormat="1" ht="24" customHeight="1">
      <c r="A122" s="29">
        <v>87</v>
      </c>
      <c r="B122" s="10">
        <v>87</v>
      </c>
      <c r="C122" s="10"/>
      <c r="D122" s="10"/>
      <c r="E122" s="129"/>
      <c r="F122" s="10"/>
      <c r="G122" s="19" t="str">
        <f>IFERROR(VLOOKUP(F122,케이블트레이입.출고현황!U:W,2,0),"")</f>
        <v/>
      </c>
      <c r="H122" s="19" t="str">
        <f>IFERROR(VLOOKUP(G122,케이블트레이입.출고현황!V:X,2,0),"")</f>
        <v/>
      </c>
      <c r="I122" s="19" t="str">
        <f>IFERROR(VLOOKUP(H122,케이블트레이입.출고현황!W:Y,2,0),"")</f>
        <v/>
      </c>
      <c r="J122" s="19" t="str">
        <f>IFERROR(VLOOKUP(I122,케이블트레이입.출고현황!X:Z,2,0),"")</f>
        <v/>
      </c>
      <c r="K122" s="19" t="str">
        <f>IFERROR(VLOOKUP(J122,케이블트레이입.출고현황!Y:AA,2,0),"")</f>
        <v/>
      </c>
      <c r="L122" s="126"/>
      <c r="M122" s="130"/>
    </row>
    <row r="123" spans="1:15" s="131" customFormat="1" ht="24" customHeight="1">
      <c r="A123" s="29">
        <v>88</v>
      </c>
      <c r="B123" s="10">
        <v>88</v>
      </c>
      <c r="C123" s="10"/>
      <c r="D123" s="10"/>
      <c r="E123" s="129"/>
      <c r="F123" s="10"/>
      <c r="G123" s="19" t="str">
        <f>IFERROR(VLOOKUP(F123,케이블트레이입.출고현황!U:W,2,0),"")</f>
        <v/>
      </c>
      <c r="H123" s="19" t="str">
        <f>IFERROR(VLOOKUP(G123,케이블트레이입.출고현황!V:X,2,0),"")</f>
        <v/>
      </c>
      <c r="I123" s="19" t="str">
        <f>IFERROR(VLOOKUP(H123,케이블트레이입.출고현황!W:Y,2,0),"")</f>
        <v/>
      </c>
      <c r="J123" s="19" t="str">
        <f>IFERROR(VLOOKUP(I123,케이블트레이입.출고현황!X:Z,2,0),"")</f>
        <v/>
      </c>
      <c r="K123" s="19" t="str">
        <f>IFERROR(VLOOKUP(J123,케이블트레이입.출고현황!Y:AA,2,0),"")</f>
        <v/>
      </c>
      <c r="L123" s="126"/>
      <c r="M123" s="130"/>
    </row>
    <row r="124" spans="1:15" s="131" customFormat="1" ht="24" customHeight="1">
      <c r="A124" s="29">
        <v>89</v>
      </c>
      <c r="B124" s="10">
        <v>89</v>
      </c>
      <c r="C124" s="10"/>
      <c r="D124" s="10"/>
      <c r="E124" s="129"/>
      <c r="F124" s="10"/>
      <c r="G124" s="19" t="str">
        <f>IFERROR(VLOOKUP(F124,케이블트레이입.출고현황!U:W,2,0),"")</f>
        <v/>
      </c>
      <c r="H124" s="19" t="str">
        <f>IFERROR(VLOOKUP(G124,케이블트레이입.출고현황!V:X,2,0),"")</f>
        <v/>
      </c>
      <c r="I124" s="19" t="str">
        <f>IFERROR(VLOOKUP(H124,케이블트레이입.출고현황!W:Y,2,0),"")</f>
        <v/>
      </c>
      <c r="J124" s="19" t="str">
        <f>IFERROR(VLOOKUP(I124,케이블트레이입.출고현황!X:Z,2,0),"")</f>
        <v/>
      </c>
      <c r="K124" s="19" t="str">
        <f>IFERROR(VLOOKUP(J124,케이블트레이입.출고현황!Y:AA,2,0),"")</f>
        <v/>
      </c>
      <c r="L124" s="126"/>
      <c r="M124" s="130"/>
      <c r="O124" s="131" t="s">
        <v>356</v>
      </c>
    </row>
    <row r="125" spans="1:15" s="131" customFormat="1" ht="24" customHeight="1">
      <c r="A125" s="29">
        <v>90</v>
      </c>
      <c r="B125" s="10">
        <v>90</v>
      </c>
      <c r="C125" s="10"/>
      <c r="D125" s="10"/>
      <c r="E125" s="129"/>
      <c r="F125" s="10"/>
      <c r="G125" s="19" t="str">
        <f>IFERROR(VLOOKUP(F125,케이블트레이입.출고현황!U:W,2,0),"")</f>
        <v/>
      </c>
      <c r="H125" s="19" t="str">
        <f>IFERROR(VLOOKUP(G125,케이블트레이입.출고현황!V:X,2,0),"")</f>
        <v/>
      </c>
      <c r="I125" s="19" t="str">
        <f>IFERROR(VLOOKUP(H125,케이블트레이입.출고현황!W:Y,2,0),"")</f>
        <v/>
      </c>
      <c r="J125" s="19" t="str">
        <f>IFERROR(VLOOKUP(I125,케이블트레이입.출고현황!X:Z,2,0),"")</f>
        <v/>
      </c>
      <c r="K125" s="19" t="str">
        <f>IFERROR(VLOOKUP(J125,케이블트레이입.출고현황!Y:AA,2,0),"")</f>
        <v/>
      </c>
      <c r="L125" s="126"/>
      <c r="M125" s="130"/>
    </row>
    <row r="126" spans="1:15" s="131" customFormat="1" ht="24" customHeight="1">
      <c r="A126" s="29">
        <v>91</v>
      </c>
      <c r="B126" s="10">
        <v>91</v>
      </c>
      <c r="C126" s="10"/>
      <c r="D126" s="10"/>
      <c r="E126" s="129"/>
      <c r="F126" s="10"/>
      <c r="G126" s="19" t="str">
        <f>IFERROR(VLOOKUP(F126,케이블트레이입.출고현황!U:W,2,0),"")</f>
        <v/>
      </c>
      <c r="H126" s="19" t="str">
        <f>IFERROR(VLOOKUP(G126,케이블트레이입.출고현황!V:X,2,0),"")</f>
        <v/>
      </c>
      <c r="I126" s="19" t="str">
        <f>IFERROR(VLOOKUP(H126,케이블트레이입.출고현황!W:Y,2,0),"")</f>
        <v/>
      </c>
      <c r="J126" s="19" t="str">
        <f>IFERROR(VLOOKUP(I126,케이블트레이입.출고현황!X:Z,2,0),"")</f>
        <v/>
      </c>
      <c r="K126" s="19" t="str">
        <f>IFERROR(VLOOKUP(J126,케이블트레이입.출고현황!Y:AA,2,0),"")</f>
        <v/>
      </c>
      <c r="L126" s="126"/>
      <c r="M126" s="130"/>
    </row>
    <row r="127" spans="1:15" s="131" customFormat="1" ht="24" customHeight="1">
      <c r="A127" s="29">
        <v>92</v>
      </c>
      <c r="B127" s="10">
        <v>92</v>
      </c>
      <c r="C127" s="10"/>
      <c r="D127" s="10"/>
      <c r="E127" s="129"/>
      <c r="F127" s="10"/>
      <c r="G127" s="19" t="str">
        <f>IFERROR(VLOOKUP(F127,케이블트레이입.출고현황!U:W,2,0),"")</f>
        <v/>
      </c>
      <c r="H127" s="19" t="str">
        <f>IFERROR(VLOOKUP(G127,케이블트레이입.출고현황!V:X,2,0),"")</f>
        <v/>
      </c>
      <c r="I127" s="19" t="str">
        <f>IFERROR(VLOOKUP(H127,케이블트레이입.출고현황!W:Y,2,0),"")</f>
        <v/>
      </c>
      <c r="J127" s="19" t="str">
        <f>IFERROR(VLOOKUP(I127,케이블트레이입.출고현황!X:Z,2,0),"")</f>
        <v/>
      </c>
      <c r="K127" s="19" t="str">
        <f>IFERROR(VLOOKUP(J127,케이블트레이입.출고현황!Y:AA,2,0),"")</f>
        <v/>
      </c>
      <c r="L127" s="126"/>
      <c r="M127" s="130"/>
    </row>
    <row r="128" spans="1:15" s="131" customFormat="1" ht="24" customHeight="1">
      <c r="A128" s="29">
        <v>93</v>
      </c>
      <c r="B128" s="10">
        <v>93</v>
      </c>
      <c r="C128" s="10"/>
      <c r="D128" s="10"/>
      <c r="E128" s="129"/>
      <c r="F128" s="10"/>
      <c r="G128" s="19" t="str">
        <f>IFERROR(VLOOKUP(F128,케이블트레이입.출고현황!U:W,2,0),"")</f>
        <v/>
      </c>
      <c r="H128" s="19" t="str">
        <f>IFERROR(VLOOKUP(G128,케이블트레이입.출고현황!V:X,2,0),"")</f>
        <v/>
      </c>
      <c r="I128" s="19" t="str">
        <f>IFERROR(VLOOKUP(H128,케이블트레이입.출고현황!W:Y,2,0),"")</f>
        <v/>
      </c>
      <c r="J128" s="19" t="str">
        <f>IFERROR(VLOOKUP(I128,케이블트레이입.출고현황!X:Z,2,0),"")</f>
        <v/>
      </c>
      <c r="K128" s="19" t="str">
        <f>IFERROR(VLOOKUP(J128,케이블트레이입.출고현황!Y:AA,2,0),"")</f>
        <v/>
      </c>
      <c r="L128" s="126"/>
      <c r="M128" s="130"/>
    </row>
    <row r="129" spans="1:16" s="131" customFormat="1" ht="24" customHeight="1">
      <c r="A129" s="29">
        <v>94</v>
      </c>
      <c r="B129" s="10">
        <v>94</v>
      </c>
      <c r="C129" s="41"/>
      <c r="D129" s="41"/>
      <c r="E129" s="129"/>
      <c r="F129" s="10"/>
      <c r="G129" s="19" t="str">
        <f>IFERROR(VLOOKUP(F129,케이블트레이입.출고현황!U:W,2,0),"")</f>
        <v/>
      </c>
      <c r="H129" s="19" t="str">
        <f>IFERROR(VLOOKUP(G129,케이블트레이입.출고현황!V:X,2,0),"")</f>
        <v/>
      </c>
      <c r="I129" s="19" t="str">
        <f>IFERROR(VLOOKUP(H129,케이블트레이입.출고현황!W:Y,2,0),"")</f>
        <v/>
      </c>
      <c r="J129" s="19" t="str">
        <f>IFERROR(VLOOKUP(I129,케이블트레이입.출고현황!X:Z,2,0),"")</f>
        <v/>
      </c>
      <c r="K129" s="19" t="str">
        <f>IFERROR(VLOOKUP(J129,케이블트레이입.출고현황!Y:AA,2,0),"")</f>
        <v/>
      </c>
      <c r="L129" s="126"/>
      <c r="M129" s="130"/>
      <c r="O129" s="131" t="s">
        <v>405</v>
      </c>
    </row>
    <row r="130" spans="1:16" s="131" customFormat="1" ht="24" customHeight="1">
      <c r="A130" s="29">
        <v>95</v>
      </c>
      <c r="B130" s="10">
        <v>95</v>
      </c>
      <c r="C130" s="10"/>
      <c r="D130" s="10"/>
      <c r="E130" s="129"/>
      <c r="F130" s="10"/>
      <c r="G130" s="19" t="str">
        <f>IFERROR(VLOOKUP(F130,케이블트레이입.출고현황!U:W,2,0),"")</f>
        <v/>
      </c>
      <c r="H130" s="19" t="str">
        <f>IFERROR(VLOOKUP(G130,케이블트레이입.출고현황!V:X,2,0),"")</f>
        <v/>
      </c>
      <c r="I130" s="19" t="str">
        <f>IFERROR(VLOOKUP(H130,케이블트레이입.출고현황!W:Y,2,0),"")</f>
        <v/>
      </c>
      <c r="J130" s="19" t="str">
        <f>IFERROR(VLOOKUP(I130,케이블트레이입.출고현황!X:Z,2,0),"")</f>
        <v/>
      </c>
      <c r="K130" s="19" t="str">
        <f>IFERROR(VLOOKUP(J130,케이블트레이입.출고현황!Y:AA,2,0),"")</f>
        <v/>
      </c>
      <c r="L130" s="126"/>
      <c r="M130" s="130"/>
    </row>
    <row r="131" spans="1:16" s="131" customFormat="1" ht="24" customHeight="1">
      <c r="A131" s="29">
        <v>96</v>
      </c>
      <c r="B131" s="10">
        <v>96</v>
      </c>
      <c r="C131" s="10"/>
      <c r="D131" s="10"/>
      <c r="E131" s="129"/>
      <c r="F131" s="10"/>
      <c r="G131" s="19" t="str">
        <f>IFERROR(VLOOKUP(F131,케이블트레이입.출고현황!U:W,2,0),"")</f>
        <v/>
      </c>
      <c r="H131" s="19" t="str">
        <f>IFERROR(VLOOKUP(G131,케이블트레이입.출고현황!V:X,2,0),"")</f>
        <v/>
      </c>
      <c r="I131" s="19" t="str">
        <f>IFERROR(VLOOKUP(H131,케이블트레이입.출고현황!W:Y,2,0),"")</f>
        <v/>
      </c>
      <c r="J131" s="19" t="str">
        <f>IFERROR(VLOOKUP(I131,케이블트레이입.출고현황!X:Z,2,0),"")</f>
        <v/>
      </c>
      <c r="K131" s="19" t="str">
        <f>IFERROR(VLOOKUP(J131,케이블트레이입.출고현황!Y:AA,2,0),"")</f>
        <v/>
      </c>
      <c r="L131" s="126"/>
      <c r="M131" s="130"/>
    </row>
    <row r="132" spans="1:16" s="131" customFormat="1" ht="24" customHeight="1">
      <c r="A132" s="29">
        <v>97</v>
      </c>
      <c r="B132" s="10">
        <v>97</v>
      </c>
      <c r="C132" s="10"/>
      <c r="D132" s="10"/>
      <c r="E132" s="129"/>
      <c r="F132" s="10"/>
      <c r="G132" s="19" t="str">
        <f>IFERROR(VLOOKUP(F132,케이블트레이입.출고현황!U:W,2,0),"")</f>
        <v/>
      </c>
      <c r="H132" s="19" t="str">
        <f>IFERROR(VLOOKUP(G132,케이블트레이입.출고현황!V:X,2,0),"")</f>
        <v/>
      </c>
      <c r="I132" s="19" t="str">
        <f>IFERROR(VLOOKUP(H132,케이블트레이입.출고현황!W:Y,2,0),"")</f>
        <v/>
      </c>
      <c r="J132" s="19" t="str">
        <f>IFERROR(VLOOKUP(I132,케이블트레이입.출고현황!X:Z,2,0),"")</f>
        <v/>
      </c>
      <c r="K132" s="19" t="str">
        <f>IFERROR(VLOOKUP(J132,케이블트레이입.출고현황!Y:AA,2,0),"")</f>
        <v/>
      </c>
      <c r="L132" s="126"/>
      <c r="M132" s="130"/>
    </row>
    <row r="133" spans="1:16" s="131" customFormat="1" ht="24" customHeight="1">
      <c r="A133" s="29">
        <v>98</v>
      </c>
      <c r="B133" s="10">
        <v>98</v>
      </c>
      <c r="C133" s="41"/>
      <c r="D133" s="41"/>
      <c r="E133" s="129"/>
      <c r="F133" s="10"/>
      <c r="G133" s="19" t="str">
        <f>IFERROR(VLOOKUP(F133,케이블트레이입.출고현황!U:W,2,0),"")</f>
        <v/>
      </c>
      <c r="H133" s="19" t="str">
        <f>IFERROR(VLOOKUP(G133,케이블트레이입.출고현황!V:X,2,0),"")</f>
        <v/>
      </c>
      <c r="I133" s="19" t="str">
        <f>IFERROR(VLOOKUP(H133,케이블트레이입.출고현황!W:Y,2,0),"")</f>
        <v/>
      </c>
      <c r="J133" s="19" t="str">
        <f>IFERROR(VLOOKUP(I133,케이블트레이입.출고현황!X:Z,2,0),"")</f>
        <v/>
      </c>
      <c r="K133" s="19" t="str">
        <f>IFERROR(VLOOKUP(J133,케이블트레이입.출고현황!Y:AA,2,0),"")</f>
        <v/>
      </c>
      <c r="L133" s="126"/>
      <c r="M133" s="130"/>
      <c r="O133" s="131">
        <f>L133/4</f>
        <v>0</v>
      </c>
      <c r="P133" s="245"/>
    </row>
    <row r="134" spans="1:16" s="131" customFormat="1" ht="24" customHeight="1">
      <c r="A134" s="29">
        <v>99</v>
      </c>
      <c r="B134" s="10">
        <v>99</v>
      </c>
      <c r="C134" s="10"/>
      <c r="D134" s="10"/>
      <c r="E134" s="129"/>
      <c r="F134" s="10"/>
      <c r="G134" s="19" t="str">
        <f>IFERROR(VLOOKUP(F134,케이블트레이입.출고현황!U:W,2,0),"")</f>
        <v/>
      </c>
      <c r="H134" s="19" t="str">
        <f>IFERROR(VLOOKUP(G134,케이블트레이입.출고현황!V:X,2,0),"")</f>
        <v/>
      </c>
      <c r="I134" s="19" t="str">
        <f>IFERROR(VLOOKUP(H134,케이블트레이입.출고현황!W:Y,2,0),"")</f>
        <v/>
      </c>
      <c r="J134" s="19" t="str">
        <f>IFERROR(VLOOKUP(I134,케이블트레이입.출고현황!X:Z,2,0),"")</f>
        <v/>
      </c>
      <c r="K134" s="19" t="str">
        <f>IFERROR(VLOOKUP(J134,케이블트레이입.출고현황!Y:AA,2,0),"")</f>
        <v/>
      </c>
      <c r="L134" s="126"/>
      <c r="M134" s="130"/>
      <c r="P134" s="245">
        <f>40690</f>
        <v>40690</v>
      </c>
    </row>
    <row r="135" spans="1:16" s="131" customFormat="1" ht="24" customHeight="1">
      <c r="A135" s="29">
        <v>100</v>
      </c>
      <c r="B135" s="10">
        <v>100</v>
      </c>
      <c r="C135" s="10"/>
      <c r="D135" s="10"/>
      <c r="E135" s="129"/>
      <c r="F135" s="10"/>
      <c r="G135" s="19" t="str">
        <f>IFERROR(VLOOKUP(F135,케이블트레이입.출고현황!U:W,2,0),"")</f>
        <v/>
      </c>
      <c r="H135" s="19" t="str">
        <f>IFERROR(VLOOKUP(G135,케이블트레이입.출고현황!V:X,2,0),"")</f>
        <v/>
      </c>
      <c r="I135" s="19" t="str">
        <f>IFERROR(VLOOKUP(H135,케이블트레이입.출고현황!W:Y,2,0),"")</f>
        <v/>
      </c>
      <c r="J135" s="19" t="str">
        <f>IFERROR(VLOOKUP(I135,케이블트레이입.출고현황!X:Z,2,0),"")</f>
        <v/>
      </c>
      <c r="K135" s="19" t="str">
        <f>IFERROR(VLOOKUP(J135,케이블트레이입.출고현황!Y:AA,2,0),"")</f>
        <v/>
      </c>
      <c r="L135" s="126"/>
      <c r="M135" s="130"/>
      <c r="P135" s="245">
        <f>SUM(L133,L141,L146,L147)</f>
        <v>0</v>
      </c>
    </row>
    <row r="136" spans="1:16" s="131" customFormat="1" ht="24" customHeight="1">
      <c r="A136" s="29">
        <v>101</v>
      </c>
      <c r="B136" s="10">
        <v>101</v>
      </c>
      <c r="C136" s="10"/>
      <c r="D136" s="10"/>
      <c r="E136" s="129"/>
      <c r="F136" s="10"/>
      <c r="G136" s="19" t="str">
        <f>IFERROR(VLOOKUP(F136,케이블트레이입.출고현황!U:W,2,0),"")</f>
        <v/>
      </c>
      <c r="H136" s="19" t="str">
        <f>IFERROR(VLOOKUP(G136,케이블트레이입.출고현황!V:X,2,0),"")</f>
        <v/>
      </c>
      <c r="I136" s="19" t="str">
        <f>IFERROR(VLOOKUP(H136,케이블트레이입.출고현황!W:Y,2,0),"")</f>
        <v/>
      </c>
      <c r="J136" s="19" t="str">
        <f>IFERROR(VLOOKUP(I136,케이블트레이입.출고현황!X:Z,2,0),"")</f>
        <v/>
      </c>
      <c r="K136" s="19" t="str">
        <f>IFERROR(VLOOKUP(J136,케이블트레이입.출고현황!Y:AA,2,0),"")</f>
        <v/>
      </c>
      <c r="L136" s="126"/>
      <c r="M136" s="130"/>
      <c r="P136" s="245">
        <f>P134-P135</f>
        <v>40690</v>
      </c>
    </row>
    <row r="137" spans="1:16" s="131" customFormat="1" ht="24" customHeight="1">
      <c r="A137" s="29">
        <v>102</v>
      </c>
      <c r="B137" s="10">
        <v>102</v>
      </c>
      <c r="C137" s="10"/>
      <c r="D137" s="10"/>
      <c r="E137" s="129"/>
      <c r="F137" s="10"/>
      <c r="G137" s="19" t="str">
        <f>IFERROR(VLOOKUP(F137,케이블트레이입.출고현황!U:W,2,0),"")</f>
        <v/>
      </c>
      <c r="H137" s="19" t="str">
        <f>IFERROR(VLOOKUP(G137,케이블트레이입.출고현황!V:X,2,0),"")</f>
        <v/>
      </c>
      <c r="I137" s="19" t="str">
        <f>IFERROR(VLOOKUP(H137,케이블트레이입.출고현황!W:Y,2,0),"")</f>
        <v/>
      </c>
      <c r="J137" s="19" t="str">
        <f>IFERROR(VLOOKUP(I137,케이블트레이입.출고현황!X:Z,2,0),"")</f>
        <v/>
      </c>
      <c r="K137" s="19" t="str">
        <f>IFERROR(VLOOKUP(J137,케이블트레이입.출고현황!Y:AA,2,0),"")</f>
        <v/>
      </c>
      <c r="L137" s="126"/>
      <c r="M137" s="130"/>
      <c r="P137" s="245"/>
    </row>
    <row r="138" spans="1:16" s="131" customFormat="1" ht="24" customHeight="1">
      <c r="A138" s="29">
        <v>103</v>
      </c>
      <c r="B138" s="10">
        <v>103</v>
      </c>
      <c r="C138" s="10"/>
      <c r="D138" s="41"/>
      <c r="E138" s="129"/>
      <c r="F138" s="10"/>
      <c r="G138" s="19" t="str">
        <f>IFERROR(VLOOKUP(F138,케이블트레이입.출고현황!U:W,2,0),"")</f>
        <v/>
      </c>
      <c r="H138" s="19" t="str">
        <f>IFERROR(VLOOKUP(G138,케이블트레이입.출고현황!V:X,2,0),"")</f>
        <v/>
      </c>
      <c r="I138" s="19" t="str">
        <f>IFERROR(VLOOKUP(H138,케이블트레이입.출고현황!W:Y,2,0),"")</f>
        <v/>
      </c>
      <c r="J138" s="19" t="str">
        <f>IFERROR(VLOOKUP(I138,케이블트레이입.출고현황!X:Z,2,0),"")</f>
        <v/>
      </c>
      <c r="K138" s="19" t="str">
        <f>IFERROR(VLOOKUP(J138,케이블트레이입.출고현황!Y:AA,2,0),"")</f>
        <v/>
      </c>
      <c r="L138" s="126"/>
      <c r="M138" s="130"/>
      <c r="P138" s="245"/>
    </row>
    <row r="139" spans="1:16" s="131" customFormat="1" ht="24" customHeight="1">
      <c r="A139" s="29">
        <v>104</v>
      </c>
      <c r="B139" s="10">
        <v>104</v>
      </c>
      <c r="C139" s="10"/>
      <c r="D139" s="10"/>
      <c r="E139" s="129"/>
      <c r="F139" s="10"/>
      <c r="G139" s="19" t="str">
        <f>IFERROR(VLOOKUP(F139,케이블트레이입.출고현황!U:W,2,0),"")</f>
        <v/>
      </c>
      <c r="H139" s="19" t="str">
        <f>IFERROR(VLOOKUP(G139,케이블트레이입.출고현황!V:X,2,0),"")</f>
        <v/>
      </c>
      <c r="I139" s="19" t="str">
        <f>IFERROR(VLOOKUP(H139,케이블트레이입.출고현황!W:Y,2,0),"")</f>
        <v/>
      </c>
      <c r="J139" s="19" t="str">
        <f>IFERROR(VLOOKUP(I139,케이블트레이입.출고현황!X:Z,2,0),"")</f>
        <v/>
      </c>
      <c r="K139" s="19" t="str">
        <f>IFERROR(VLOOKUP(J139,케이블트레이입.출고현황!Y:AA,2,0),"")</f>
        <v/>
      </c>
      <c r="L139" s="126"/>
      <c r="M139" s="130"/>
    </row>
    <row r="140" spans="1:16" s="131" customFormat="1" ht="24" customHeight="1">
      <c r="A140" s="29">
        <v>105</v>
      </c>
      <c r="B140" s="10">
        <v>105</v>
      </c>
      <c r="C140" s="10"/>
      <c r="D140" s="10"/>
      <c r="E140" s="129"/>
      <c r="F140" s="10"/>
      <c r="G140" s="19" t="str">
        <f>IFERROR(VLOOKUP(F140,케이블트레이입.출고현황!U:W,2,0),"")</f>
        <v/>
      </c>
      <c r="H140" s="19" t="str">
        <f>IFERROR(VLOOKUP(G140,케이블트레이입.출고현황!V:X,2,0),"")</f>
        <v/>
      </c>
      <c r="I140" s="19" t="str">
        <f>IFERROR(VLOOKUP(H140,케이블트레이입.출고현황!W:Y,2,0),"")</f>
        <v/>
      </c>
      <c r="J140" s="19" t="str">
        <f>IFERROR(VLOOKUP(I140,케이블트레이입.출고현황!X:Z,2,0),"")</f>
        <v/>
      </c>
      <c r="K140" s="19" t="str">
        <f>IFERROR(VLOOKUP(J140,케이블트레이입.출고현황!Y:AA,2,0),"")</f>
        <v/>
      </c>
      <c r="L140" s="126"/>
      <c r="M140" s="130"/>
    </row>
    <row r="141" spans="1:16" s="131" customFormat="1" ht="24" customHeight="1">
      <c r="A141" s="29">
        <v>106</v>
      </c>
      <c r="B141" s="10">
        <v>106</v>
      </c>
      <c r="C141" s="10"/>
      <c r="D141" s="41"/>
      <c r="E141" s="129"/>
      <c r="F141" s="10"/>
      <c r="G141" s="19" t="str">
        <f>IFERROR(VLOOKUP(F141,케이블트레이입.출고현황!U:W,2,0),"")</f>
        <v/>
      </c>
      <c r="H141" s="19" t="str">
        <f>IFERROR(VLOOKUP(G141,케이블트레이입.출고현황!V:X,2,0),"")</f>
        <v/>
      </c>
      <c r="I141" s="19" t="str">
        <f>IFERROR(VLOOKUP(H141,케이블트레이입.출고현황!W:Y,2,0),"")</f>
        <v/>
      </c>
      <c r="J141" s="19" t="str">
        <f>IFERROR(VLOOKUP(I141,케이블트레이입.출고현황!X:Z,2,0),"")</f>
        <v/>
      </c>
      <c r="K141" s="19" t="str">
        <f>IFERROR(VLOOKUP(J141,케이블트레이입.출고현황!Y:AA,2,0),"")</f>
        <v/>
      </c>
      <c r="L141" s="126"/>
      <c r="M141" s="130"/>
    </row>
    <row r="142" spans="1:16" s="131" customFormat="1" ht="24" customHeight="1">
      <c r="A142" s="29">
        <v>107</v>
      </c>
      <c r="B142" s="10">
        <v>107</v>
      </c>
      <c r="C142" s="10"/>
      <c r="D142" s="10"/>
      <c r="E142" s="129"/>
      <c r="F142" s="10"/>
      <c r="G142" s="19" t="str">
        <f>IFERROR(VLOOKUP(F142,케이블트레이입.출고현황!U:W,2,0),"")</f>
        <v/>
      </c>
      <c r="H142" s="19" t="str">
        <f>IFERROR(VLOOKUP(G142,케이블트레이입.출고현황!V:X,2,0),"")</f>
        <v/>
      </c>
      <c r="I142" s="19" t="str">
        <f>IFERROR(VLOOKUP(H142,케이블트레이입.출고현황!W:Y,2,0),"")</f>
        <v/>
      </c>
      <c r="J142" s="19" t="str">
        <f>IFERROR(VLOOKUP(I142,케이블트레이입.출고현황!X:Z,2,0),"")</f>
        <v/>
      </c>
      <c r="K142" s="19" t="str">
        <f>IFERROR(VLOOKUP(J142,케이블트레이입.출고현황!Y:AA,2,0),"")</f>
        <v/>
      </c>
      <c r="L142" s="126"/>
      <c r="M142" s="130"/>
    </row>
    <row r="143" spans="1:16" s="131" customFormat="1" ht="24" customHeight="1">
      <c r="A143" s="29">
        <v>108</v>
      </c>
      <c r="B143" s="10">
        <v>108</v>
      </c>
      <c r="C143" s="10"/>
      <c r="D143" s="10"/>
      <c r="E143" s="129"/>
      <c r="F143" s="10"/>
      <c r="G143" s="19" t="str">
        <f>IFERROR(VLOOKUP(F143,케이블트레이입.출고현황!U:W,2,0),"")</f>
        <v/>
      </c>
      <c r="H143" s="19" t="str">
        <f>IFERROR(VLOOKUP(G143,케이블트레이입.출고현황!V:X,2,0),"")</f>
        <v/>
      </c>
      <c r="I143" s="19" t="str">
        <f>IFERROR(VLOOKUP(H143,케이블트레이입.출고현황!W:Y,2,0),"")</f>
        <v/>
      </c>
      <c r="J143" s="19" t="str">
        <f>IFERROR(VLOOKUP(I143,케이블트레이입.출고현황!X:Z,2,0),"")</f>
        <v/>
      </c>
      <c r="K143" s="19" t="str">
        <f>IFERROR(VLOOKUP(J143,케이블트레이입.출고현황!Y:AA,2,0),"")</f>
        <v/>
      </c>
      <c r="L143" s="126"/>
      <c r="M143" s="130"/>
    </row>
    <row r="144" spans="1:16" s="131" customFormat="1" ht="24" customHeight="1">
      <c r="A144" s="29">
        <v>109</v>
      </c>
      <c r="B144" s="10">
        <v>109</v>
      </c>
      <c r="C144" s="10"/>
      <c r="D144" s="10"/>
      <c r="E144" s="129"/>
      <c r="F144" s="10"/>
      <c r="G144" s="19" t="str">
        <f>IFERROR(VLOOKUP(F144,케이블트레이입.출고현황!U:W,2,0),"")</f>
        <v/>
      </c>
      <c r="H144" s="19" t="str">
        <f>IFERROR(VLOOKUP(G144,케이블트레이입.출고현황!V:X,2,0),"")</f>
        <v/>
      </c>
      <c r="I144" s="19" t="str">
        <f>IFERROR(VLOOKUP(H144,케이블트레이입.출고현황!W:Y,2,0),"")</f>
        <v/>
      </c>
      <c r="J144" s="19" t="str">
        <f>IFERROR(VLOOKUP(I144,케이블트레이입.출고현황!X:Z,2,0),"")</f>
        <v/>
      </c>
      <c r="K144" s="19" t="str">
        <f>IFERROR(VLOOKUP(J144,케이블트레이입.출고현황!Y:AA,2,0),"")</f>
        <v/>
      </c>
      <c r="L144" s="126"/>
      <c r="M144" s="130"/>
    </row>
    <row r="145" spans="1:13" s="131" customFormat="1" ht="24" customHeight="1">
      <c r="A145" s="29">
        <v>110</v>
      </c>
      <c r="B145" s="10">
        <v>110</v>
      </c>
      <c r="C145" s="10"/>
      <c r="D145" s="10"/>
      <c r="E145" s="129"/>
      <c r="F145" s="10"/>
      <c r="G145" s="19" t="str">
        <f>IFERROR(VLOOKUP(F145,케이블트레이입.출고현황!U:W,2,0),"")</f>
        <v/>
      </c>
      <c r="H145" s="19" t="str">
        <f>IFERROR(VLOOKUP(G145,케이블트레이입.출고현황!V:X,2,0),"")</f>
        <v/>
      </c>
      <c r="I145" s="19" t="str">
        <f>IFERROR(VLOOKUP(H145,케이블트레이입.출고현황!W:Y,2,0),"")</f>
        <v/>
      </c>
      <c r="J145" s="19" t="str">
        <f>IFERROR(VLOOKUP(I145,케이블트레이입.출고현황!X:Z,2,0),"")</f>
        <v/>
      </c>
      <c r="K145" s="19" t="str">
        <f>IFERROR(VLOOKUP(J145,케이블트레이입.출고현황!Y:AA,2,0),"")</f>
        <v/>
      </c>
      <c r="L145" s="126"/>
      <c r="M145" s="130"/>
    </row>
    <row r="146" spans="1:13" s="131" customFormat="1" ht="24" customHeight="1">
      <c r="A146" s="29">
        <v>111</v>
      </c>
      <c r="B146" s="10">
        <v>111</v>
      </c>
      <c r="C146" s="10"/>
      <c r="D146" s="10"/>
      <c r="E146" s="129"/>
      <c r="F146" s="10"/>
      <c r="G146" s="19" t="str">
        <f>IFERROR(VLOOKUP(F146,케이블트레이입.출고현황!U:W,2,0),"")</f>
        <v/>
      </c>
      <c r="H146" s="19" t="str">
        <f>IFERROR(VLOOKUP(G146,케이블트레이입.출고현황!V:X,2,0),"")</f>
        <v/>
      </c>
      <c r="I146" s="19" t="str">
        <f>IFERROR(VLOOKUP(H146,케이블트레이입.출고현황!W:Y,2,0),"")</f>
        <v/>
      </c>
      <c r="J146" s="19" t="str">
        <f>IFERROR(VLOOKUP(I146,케이블트레이입.출고현황!X:Z,2,0),"")</f>
        <v/>
      </c>
      <c r="K146" s="19" t="str">
        <f>IFERROR(VLOOKUP(J146,케이블트레이입.출고현황!Y:AA,2,0),"")</f>
        <v/>
      </c>
      <c r="L146" s="126"/>
      <c r="M146" s="130"/>
    </row>
    <row r="147" spans="1:13" s="131" customFormat="1" ht="24" customHeight="1">
      <c r="A147" s="29">
        <v>112</v>
      </c>
      <c r="B147" s="10">
        <v>112</v>
      </c>
      <c r="C147" s="10"/>
      <c r="D147" s="10"/>
      <c r="E147" s="129"/>
      <c r="F147" s="10"/>
      <c r="G147" s="19" t="str">
        <f>IFERROR(VLOOKUP(F147,케이블트레이입.출고현황!U:W,2,0),"")</f>
        <v/>
      </c>
      <c r="H147" s="19" t="str">
        <f>IFERROR(VLOOKUP(G147,케이블트레이입.출고현황!V:X,2,0),"")</f>
        <v/>
      </c>
      <c r="I147" s="19" t="str">
        <f>IFERROR(VLOOKUP(H147,케이블트레이입.출고현황!W:Y,2,0),"")</f>
        <v/>
      </c>
      <c r="J147" s="19" t="str">
        <f>IFERROR(VLOOKUP(I147,케이블트레이입.출고현황!X:Z,2,0),"")</f>
        <v/>
      </c>
      <c r="K147" s="19" t="str">
        <f>IFERROR(VLOOKUP(J147,케이블트레이입.출고현황!Y:AA,2,0),"")</f>
        <v/>
      </c>
      <c r="L147" s="126"/>
      <c r="M147" s="130"/>
    </row>
    <row r="148" spans="1:13" s="131" customFormat="1" ht="24" customHeight="1">
      <c r="A148" s="29">
        <v>113</v>
      </c>
      <c r="B148" s="10">
        <v>113</v>
      </c>
      <c r="C148" s="10"/>
      <c r="D148" s="10"/>
      <c r="E148" s="129"/>
      <c r="F148" s="10"/>
      <c r="G148" s="19" t="str">
        <f>IFERROR(VLOOKUP(F148,케이블트레이입.출고현황!U:W,2,0),"")</f>
        <v/>
      </c>
      <c r="H148" s="19" t="str">
        <f>IFERROR(VLOOKUP(G148,케이블트레이입.출고현황!V:X,2,0),"")</f>
        <v/>
      </c>
      <c r="I148" s="19" t="str">
        <f>IFERROR(VLOOKUP(H148,케이블트레이입.출고현황!W:Y,2,0),"")</f>
        <v/>
      </c>
      <c r="J148" s="19" t="str">
        <f>IFERROR(VLOOKUP(I148,케이블트레이입.출고현황!X:Z,2,0),"")</f>
        <v/>
      </c>
      <c r="K148" s="19" t="str">
        <f>IFERROR(VLOOKUP(J148,케이블트레이입.출고현황!Y:AA,2,0),"")</f>
        <v/>
      </c>
      <c r="L148" s="126"/>
      <c r="M148" s="130"/>
    </row>
    <row r="149" spans="1:13" s="131" customFormat="1" ht="24" customHeight="1">
      <c r="A149" s="29">
        <v>114</v>
      </c>
      <c r="B149" s="10">
        <v>114</v>
      </c>
      <c r="C149" s="10"/>
      <c r="D149" s="10"/>
      <c r="E149" s="129"/>
      <c r="F149" s="10"/>
      <c r="G149" s="19" t="str">
        <f>IFERROR(VLOOKUP(F149,케이블트레이입.출고현황!U:W,2,0),"")</f>
        <v/>
      </c>
      <c r="H149" s="19" t="str">
        <f>IFERROR(VLOOKUP(G149,케이블트레이입.출고현황!V:X,2,0),"")</f>
        <v/>
      </c>
      <c r="I149" s="19" t="str">
        <f>IFERROR(VLOOKUP(H149,케이블트레이입.출고현황!W:Y,2,0),"")</f>
        <v/>
      </c>
      <c r="J149" s="19" t="str">
        <f>IFERROR(VLOOKUP(I149,케이블트레이입.출고현황!X:Z,2,0),"")</f>
        <v/>
      </c>
      <c r="K149" s="19" t="str">
        <f>IFERROR(VLOOKUP(J149,케이블트레이입.출고현황!Y:AA,2,0),"")</f>
        <v/>
      </c>
      <c r="L149" s="126"/>
      <c r="M149" s="130"/>
    </row>
    <row r="150" spans="1:13" s="131" customFormat="1" ht="24" customHeight="1">
      <c r="A150" s="29">
        <v>115</v>
      </c>
      <c r="B150" s="10">
        <v>115</v>
      </c>
      <c r="C150" s="10"/>
      <c r="D150" s="10"/>
      <c r="E150" s="129"/>
      <c r="F150" s="10"/>
      <c r="G150" s="19" t="str">
        <f>IFERROR(VLOOKUP(F150,케이블트레이입.출고현황!U:W,2,0),"")</f>
        <v/>
      </c>
      <c r="H150" s="19" t="str">
        <f>IFERROR(VLOOKUP(G150,케이블트레이입.출고현황!V:X,2,0),"")</f>
        <v/>
      </c>
      <c r="I150" s="19" t="str">
        <f>IFERROR(VLOOKUP(H150,케이블트레이입.출고현황!W:Y,2,0),"")</f>
        <v/>
      </c>
      <c r="J150" s="19" t="str">
        <f>IFERROR(VLOOKUP(I150,케이블트레이입.출고현황!X:Z,2,0),"")</f>
        <v/>
      </c>
      <c r="K150" s="19" t="str">
        <f>IFERROR(VLOOKUP(J150,케이블트레이입.출고현황!Y:AA,2,0),"")</f>
        <v/>
      </c>
      <c r="L150" s="126"/>
      <c r="M150" s="130"/>
    </row>
    <row r="151" spans="1:13" s="131" customFormat="1" ht="24" customHeight="1">
      <c r="A151" s="29">
        <v>116</v>
      </c>
      <c r="B151" s="10">
        <v>116</v>
      </c>
      <c r="C151" s="10"/>
      <c r="D151" s="10"/>
      <c r="E151" s="129"/>
      <c r="F151" s="10"/>
      <c r="G151" s="19" t="str">
        <f>IFERROR(VLOOKUP(F151,케이블트레이입.출고현황!U:W,2,0),"")</f>
        <v/>
      </c>
      <c r="H151" s="19" t="str">
        <f>IFERROR(VLOOKUP(G151,케이블트레이입.출고현황!V:X,2,0),"")</f>
        <v/>
      </c>
      <c r="I151" s="19" t="str">
        <f>IFERROR(VLOOKUP(H151,케이블트레이입.출고현황!W:Y,2,0),"")</f>
        <v/>
      </c>
      <c r="J151" s="19" t="str">
        <f>IFERROR(VLOOKUP(I151,케이블트레이입.출고현황!X:Z,2,0),"")</f>
        <v/>
      </c>
      <c r="K151" s="19" t="str">
        <f>IFERROR(VLOOKUP(J151,케이블트레이입.출고현황!Y:AA,2,0),"")</f>
        <v/>
      </c>
      <c r="L151" s="126"/>
      <c r="M151" s="130"/>
    </row>
    <row r="152" spans="1:13" s="131" customFormat="1" ht="24" customHeight="1">
      <c r="A152" s="29">
        <v>117</v>
      </c>
      <c r="B152" s="10">
        <v>117</v>
      </c>
      <c r="C152" s="249"/>
      <c r="D152" s="249"/>
      <c r="E152" s="259"/>
      <c r="F152" s="249"/>
      <c r="G152" s="19" t="str">
        <f>IFERROR(VLOOKUP(F152,케이블트레이입.출고현황!U:W,2,0),"")</f>
        <v/>
      </c>
      <c r="H152" s="19" t="str">
        <f>IFERROR(VLOOKUP(G152,케이블트레이입.출고현황!V:X,2,0),"")</f>
        <v/>
      </c>
      <c r="I152" s="19" t="str">
        <f>IFERROR(VLOOKUP(H152,케이블트레이입.출고현황!W:Y,2,0),"")</f>
        <v/>
      </c>
      <c r="J152" s="19" t="str">
        <f>IFERROR(VLOOKUP(I152,케이블트레이입.출고현황!X:Z,2,0),"")</f>
        <v/>
      </c>
      <c r="K152" s="19" t="str">
        <f>IFERROR(VLOOKUP(J152,케이블트레이입.출고현황!Y:AA,2,0),"")</f>
        <v/>
      </c>
      <c r="L152" s="280"/>
      <c r="M152" s="291"/>
    </row>
    <row r="153" spans="1:13" s="131" customFormat="1" ht="24" customHeight="1">
      <c r="A153" s="29">
        <v>118</v>
      </c>
      <c r="B153" s="10">
        <v>118</v>
      </c>
      <c r="C153" s="10"/>
      <c r="D153" s="10"/>
      <c r="E153" s="129"/>
      <c r="F153" s="10"/>
      <c r="G153" s="19" t="str">
        <f>IFERROR(VLOOKUP(F153,케이블트레이입.출고현황!U:W,2,0),"")</f>
        <v/>
      </c>
      <c r="H153" s="19" t="str">
        <f>IFERROR(VLOOKUP(G153,케이블트레이입.출고현황!V:X,2,0),"")</f>
        <v/>
      </c>
      <c r="I153" s="19" t="str">
        <f>IFERROR(VLOOKUP(H153,케이블트레이입.출고현황!W:Y,2,0),"")</f>
        <v/>
      </c>
      <c r="J153" s="19" t="str">
        <f>IFERROR(VLOOKUP(I153,케이블트레이입.출고현황!X:Z,2,0),"")</f>
        <v/>
      </c>
      <c r="K153" s="19" t="str">
        <f>IFERROR(VLOOKUP(J153,케이블트레이입.출고현황!Y:AA,2,0),"")</f>
        <v/>
      </c>
      <c r="L153" s="126"/>
      <c r="M153" s="130"/>
    </row>
    <row r="154" spans="1:13" s="131" customFormat="1" ht="24" customHeight="1">
      <c r="A154" s="29">
        <v>119</v>
      </c>
      <c r="B154" s="10">
        <v>119</v>
      </c>
      <c r="C154" s="10"/>
      <c r="D154" s="10"/>
      <c r="E154" s="129"/>
      <c r="F154" s="10"/>
      <c r="G154" s="19" t="str">
        <f>IFERROR(VLOOKUP(F154,케이블트레이입.출고현황!U:W,2,0),"")</f>
        <v/>
      </c>
      <c r="H154" s="19" t="str">
        <f>IFERROR(VLOOKUP(G154,케이블트레이입.출고현황!V:X,2,0),"")</f>
        <v/>
      </c>
      <c r="I154" s="19" t="str">
        <f>IFERROR(VLOOKUP(H154,케이블트레이입.출고현황!W:Y,2,0),"")</f>
        <v/>
      </c>
      <c r="J154" s="19" t="str">
        <f>IFERROR(VLOOKUP(I154,케이블트레이입.출고현황!X:Z,2,0),"")</f>
        <v/>
      </c>
      <c r="K154" s="19" t="str">
        <f>IFERROR(VLOOKUP(J154,케이블트레이입.출고현황!Y:AA,2,0),"")</f>
        <v/>
      </c>
      <c r="L154" s="126"/>
      <c r="M154" s="130"/>
    </row>
    <row r="155" spans="1:13" s="131" customFormat="1" ht="24" customHeight="1">
      <c r="A155" s="29">
        <v>120</v>
      </c>
      <c r="B155" s="10">
        <v>120</v>
      </c>
      <c r="C155" s="249"/>
      <c r="D155" s="249"/>
      <c r="E155" s="259"/>
      <c r="F155" s="249"/>
      <c r="G155" s="19" t="str">
        <f>IFERROR(VLOOKUP(F155,케이블트레이입.출고현황!U:W,2,0),"")</f>
        <v/>
      </c>
      <c r="H155" s="19" t="str">
        <f>IFERROR(VLOOKUP(G155,케이블트레이입.출고현황!V:X,2,0),"")</f>
        <v/>
      </c>
      <c r="I155" s="19" t="str">
        <f>IFERROR(VLOOKUP(H155,케이블트레이입.출고현황!W:Y,2,0),"")</f>
        <v/>
      </c>
      <c r="J155" s="19" t="str">
        <f>IFERROR(VLOOKUP(I155,케이블트레이입.출고현황!X:Z,2,0),"")</f>
        <v/>
      </c>
      <c r="K155" s="19" t="str">
        <f>IFERROR(VLOOKUP(J155,케이블트레이입.출고현황!Y:AA,2,0),"")</f>
        <v/>
      </c>
      <c r="L155" s="280"/>
      <c r="M155" s="291"/>
    </row>
    <row r="156" spans="1:13" s="131" customFormat="1" ht="24" customHeight="1">
      <c r="A156" s="29">
        <v>121</v>
      </c>
      <c r="B156" s="10">
        <v>121</v>
      </c>
      <c r="C156" s="10"/>
      <c r="D156" s="10"/>
      <c r="E156" s="129"/>
      <c r="F156" s="10"/>
      <c r="G156" s="19" t="str">
        <f>IFERROR(VLOOKUP(F156,케이블트레이입.출고현황!U:W,2,0),"")</f>
        <v/>
      </c>
      <c r="H156" s="19" t="str">
        <f>IFERROR(VLOOKUP(G156,케이블트레이입.출고현황!V:X,2,0),"")</f>
        <v/>
      </c>
      <c r="I156" s="19" t="str">
        <f>IFERROR(VLOOKUP(H156,케이블트레이입.출고현황!W:Y,2,0),"")</f>
        <v/>
      </c>
      <c r="J156" s="19" t="str">
        <f>IFERROR(VLOOKUP(I156,케이블트레이입.출고현황!X:Z,2,0),"")</f>
        <v/>
      </c>
      <c r="K156" s="19" t="str">
        <f>IFERROR(VLOOKUP(J156,케이블트레이입.출고현황!Y:AA,2,0),"")</f>
        <v/>
      </c>
      <c r="L156" s="126"/>
      <c r="M156" s="130"/>
    </row>
    <row r="157" spans="1:13" s="131" customFormat="1" ht="24" customHeight="1">
      <c r="A157" s="29">
        <v>122</v>
      </c>
      <c r="B157" s="10">
        <v>122</v>
      </c>
      <c r="C157" s="10"/>
      <c r="D157" s="10"/>
      <c r="E157" s="129"/>
      <c r="F157" s="10"/>
      <c r="G157" s="19" t="str">
        <f>IFERROR(VLOOKUP(F157,케이블트레이입.출고현황!U:W,2,0),"")</f>
        <v/>
      </c>
      <c r="H157" s="19" t="str">
        <f>IFERROR(VLOOKUP(G157,케이블트레이입.출고현황!V:X,2,0),"")</f>
        <v/>
      </c>
      <c r="I157" s="19" t="str">
        <f>IFERROR(VLOOKUP(H157,케이블트레이입.출고현황!W:Y,2,0),"")</f>
        <v/>
      </c>
      <c r="J157" s="19" t="str">
        <f>IFERROR(VLOOKUP(I157,케이블트레이입.출고현황!X:Z,2,0),"")</f>
        <v/>
      </c>
      <c r="K157" s="19" t="str">
        <f>IFERROR(VLOOKUP(J157,케이블트레이입.출고현황!Y:AA,2,0),"")</f>
        <v/>
      </c>
      <c r="L157" s="126"/>
      <c r="M157" s="130"/>
    </row>
    <row r="158" spans="1:13" s="131" customFormat="1" ht="24" customHeight="1">
      <c r="A158" s="29">
        <v>123</v>
      </c>
      <c r="B158" s="10">
        <v>123</v>
      </c>
      <c r="C158" s="10"/>
      <c r="D158" s="10"/>
      <c r="E158" s="129"/>
      <c r="F158" s="10"/>
      <c r="G158" s="19" t="str">
        <f>IFERROR(VLOOKUP(F158,케이블트레이입.출고현황!U:W,2,0),"")</f>
        <v/>
      </c>
      <c r="H158" s="19" t="str">
        <f>IFERROR(VLOOKUP(G158,케이블트레이입.출고현황!V:X,2,0),"")</f>
        <v/>
      </c>
      <c r="I158" s="19" t="str">
        <f>IFERROR(VLOOKUP(H158,케이블트레이입.출고현황!W:Y,2,0),"")</f>
        <v/>
      </c>
      <c r="J158" s="19" t="str">
        <f>IFERROR(VLOOKUP(I158,케이블트레이입.출고현황!X:Z,2,0),"")</f>
        <v/>
      </c>
      <c r="K158" s="19" t="str">
        <f>IFERROR(VLOOKUP(J158,케이블트레이입.출고현황!Y:AA,2,0),"")</f>
        <v/>
      </c>
      <c r="L158" s="126"/>
      <c r="M158" s="130"/>
    </row>
    <row r="159" spans="1:13" s="131" customFormat="1" ht="24" customHeight="1">
      <c r="A159" s="29">
        <v>124</v>
      </c>
      <c r="B159" s="10">
        <v>124</v>
      </c>
      <c r="C159" s="10"/>
      <c r="D159" s="10"/>
      <c r="E159" s="129"/>
      <c r="F159" s="10"/>
      <c r="G159" s="19" t="str">
        <f>IFERROR(VLOOKUP(F159,케이블트레이입.출고현황!U:W,2,0),"")</f>
        <v/>
      </c>
      <c r="H159" s="19" t="str">
        <f>IFERROR(VLOOKUP(G159,케이블트레이입.출고현황!V:X,2,0),"")</f>
        <v/>
      </c>
      <c r="I159" s="19" t="str">
        <f>IFERROR(VLOOKUP(H159,케이블트레이입.출고현황!W:Y,2,0),"")</f>
        <v/>
      </c>
      <c r="J159" s="19" t="str">
        <f>IFERROR(VLOOKUP(I159,케이블트레이입.출고현황!X:Z,2,0),"")</f>
        <v/>
      </c>
      <c r="K159" s="19" t="str">
        <f>IFERROR(VLOOKUP(J159,케이블트레이입.출고현황!Y:AA,2,0),"")</f>
        <v/>
      </c>
      <c r="L159" s="126"/>
      <c r="M159" s="130"/>
    </row>
    <row r="160" spans="1:13" s="131" customFormat="1" ht="24" customHeight="1">
      <c r="A160" s="29">
        <v>125</v>
      </c>
      <c r="B160" s="10">
        <v>125</v>
      </c>
      <c r="C160" s="10"/>
      <c r="D160" s="10"/>
      <c r="E160" s="129"/>
      <c r="F160" s="10"/>
      <c r="G160" s="19" t="str">
        <f>IFERROR(VLOOKUP(F160,케이블트레이입.출고현황!U:W,2,0),"")</f>
        <v/>
      </c>
      <c r="H160" s="19" t="str">
        <f>IFERROR(VLOOKUP(G160,케이블트레이입.출고현황!V:X,2,0),"")</f>
        <v/>
      </c>
      <c r="I160" s="19" t="str">
        <f>IFERROR(VLOOKUP(H160,케이블트레이입.출고현황!W:Y,2,0),"")</f>
        <v/>
      </c>
      <c r="J160" s="19" t="str">
        <f>IFERROR(VLOOKUP(I160,케이블트레이입.출고현황!X:Z,2,0),"")</f>
        <v/>
      </c>
      <c r="K160" s="19" t="str">
        <f>IFERROR(VLOOKUP(J160,케이블트레이입.출고현황!Y:AA,2,0),"")</f>
        <v/>
      </c>
      <c r="L160" s="126"/>
      <c r="M160" s="130"/>
    </row>
    <row r="161" spans="1:13" s="131" customFormat="1" ht="24" customHeight="1">
      <c r="A161" s="29">
        <v>126</v>
      </c>
      <c r="B161" s="10">
        <v>126</v>
      </c>
      <c r="C161" s="10"/>
      <c r="D161" s="10"/>
      <c r="E161" s="129"/>
      <c r="F161" s="10"/>
      <c r="G161" s="19" t="str">
        <f>IFERROR(VLOOKUP(F161,케이블트레이입.출고현황!U:W,2,0),"")</f>
        <v/>
      </c>
      <c r="H161" s="19" t="str">
        <f>IFERROR(VLOOKUP(G161,케이블트레이입.출고현황!V:X,2,0),"")</f>
        <v/>
      </c>
      <c r="I161" s="19" t="str">
        <f>IFERROR(VLOOKUP(H161,케이블트레이입.출고현황!W:Y,2,0),"")</f>
        <v/>
      </c>
      <c r="J161" s="19" t="str">
        <f>IFERROR(VLOOKUP(I161,케이블트레이입.출고현황!X:Z,2,0),"")</f>
        <v/>
      </c>
      <c r="K161" s="19" t="str">
        <f>IFERROR(VLOOKUP(J161,케이블트레이입.출고현황!Y:AA,2,0),"")</f>
        <v/>
      </c>
      <c r="L161" s="126"/>
      <c r="M161" s="130"/>
    </row>
    <row r="162" spans="1:13" s="131" customFormat="1" ht="24" customHeight="1">
      <c r="A162" s="29">
        <v>127</v>
      </c>
      <c r="B162" s="10">
        <v>127</v>
      </c>
      <c r="C162" s="10"/>
      <c r="D162" s="10"/>
      <c r="E162" s="129"/>
      <c r="F162" s="10"/>
      <c r="G162" s="19" t="str">
        <f>IFERROR(VLOOKUP(F162,케이블트레이입.출고현황!U:W,2,0),"")</f>
        <v/>
      </c>
      <c r="H162" s="19" t="str">
        <f>IFERROR(VLOOKUP(G162,케이블트레이입.출고현황!V:X,2,0),"")</f>
        <v/>
      </c>
      <c r="I162" s="19" t="str">
        <f>IFERROR(VLOOKUP(H162,케이블트레이입.출고현황!W:Y,2,0),"")</f>
        <v/>
      </c>
      <c r="J162" s="19" t="str">
        <f>IFERROR(VLOOKUP(I162,케이블트레이입.출고현황!X:Z,2,0),"")</f>
        <v/>
      </c>
      <c r="K162" s="19" t="str">
        <f>IFERROR(VLOOKUP(J162,케이블트레이입.출고현황!Y:AA,2,0),"")</f>
        <v/>
      </c>
      <c r="L162" s="126"/>
      <c r="M162" s="130"/>
    </row>
    <row r="163" spans="1:13" s="131" customFormat="1" ht="24" customHeight="1">
      <c r="A163" s="29">
        <v>128</v>
      </c>
      <c r="B163" s="10">
        <v>128</v>
      </c>
      <c r="C163" s="10"/>
      <c r="D163" s="10"/>
      <c r="E163" s="129"/>
      <c r="F163" s="10"/>
      <c r="G163" s="19" t="str">
        <f>IFERROR(VLOOKUP(F163,케이블트레이입.출고현황!U:W,2,0),"")</f>
        <v/>
      </c>
      <c r="H163" s="19" t="str">
        <f>IFERROR(VLOOKUP(G163,케이블트레이입.출고현황!V:X,2,0),"")</f>
        <v/>
      </c>
      <c r="I163" s="19" t="str">
        <f>IFERROR(VLOOKUP(H163,케이블트레이입.출고현황!W:Y,2,0),"")</f>
        <v/>
      </c>
      <c r="J163" s="19" t="str">
        <f>IFERROR(VLOOKUP(I163,케이블트레이입.출고현황!X:Z,2,0),"")</f>
        <v/>
      </c>
      <c r="K163" s="19" t="str">
        <f>IFERROR(VLOOKUP(J163,케이블트레이입.출고현황!Y:AA,2,0),"")</f>
        <v/>
      </c>
      <c r="L163" s="126"/>
      <c r="M163" s="130"/>
    </row>
    <row r="164" spans="1:13" s="131" customFormat="1" ht="24" customHeight="1">
      <c r="A164" s="29">
        <v>129</v>
      </c>
      <c r="B164" s="10">
        <v>129</v>
      </c>
      <c r="C164" s="10"/>
      <c r="D164" s="10"/>
      <c r="E164" s="129"/>
      <c r="F164" s="10"/>
      <c r="G164" s="19" t="str">
        <f>IFERROR(VLOOKUP(F164,케이블트레이입.출고현황!U:W,2,0),"")</f>
        <v/>
      </c>
      <c r="H164" s="19" t="str">
        <f>IFERROR(VLOOKUP(G164,케이블트레이입.출고현황!V:X,2,0),"")</f>
        <v/>
      </c>
      <c r="I164" s="19" t="str">
        <f>IFERROR(VLOOKUP(H164,케이블트레이입.출고현황!W:Y,2,0),"")</f>
        <v/>
      </c>
      <c r="J164" s="19" t="str">
        <f>IFERROR(VLOOKUP(I164,케이블트레이입.출고현황!X:Z,2,0),"")</f>
        <v/>
      </c>
      <c r="K164" s="19" t="str">
        <f>IFERROR(VLOOKUP(J164,케이블트레이입.출고현황!Y:AA,2,0),"")</f>
        <v/>
      </c>
      <c r="L164" s="126"/>
      <c r="M164" s="130"/>
    </row>
    <row r="165" spans="1:13" s="131" customFormat="1" ht="24" customHeight="1">
      <c r="A165" s="29">
        <v>130</v>
      </c>
      <c r="B165" s="10">
        <v>130</v>
      </c>
      <c r="C165" s="10"/>
      <c r="D165" s="10"/>
      <c r="E165" s="129"/>
      <c r="F165" s="10"/>
      <c r="G165" s="19" t="str">
        <f>IFERROR(VLOOKUP(F165,케이블트레이입.출고현황!U:W,2,0),"")</f>
        <v/>
      </c>
      <c r="H165" s="19" t="str">
        <f>IFERROR(VLOOKUP(G165,케이블트레이입.출고현황!V:X,2,0),"")</f>
        <v/>
      </c>
      <c r="I165" s="19" t="str">
        <f>IFERROR(VLOOKUP(H165,케이블트레이입.출고현황!W:Y,2,0),"")</f>
        <v/>
      </c>
      <c r="J165" s="19" t="str">
        <f>IFERROR(VLOOKUP(I165,케이블트레이입.출고현황!X:Z,2,0),"")</f>
        <v/>
      </c>
      <c r="K165" s="19" t="str">
        <f>IFERROR(VLOOKUP(J165,케이블트레이입.출고현황!Y:AA,2,0),"")</f>
        <v/>
      </c>
      <c r="L165" s="126"/>
      <c r="M165" s="130"/>
    </row>
    <row r="166" spans="1:13" s="131" customFormat="1" ht="24" customHeight="1">
      <c r="A166" s="29">
        <v>131</v>
      </c>
      <c r="B166" s="10">
        <v>131</v>
      </c>
      <c r="C166" s="10"/>
      <c r="D166" s="10"/>
      <c r="E166" s="129"/>
      <c r="F166" s="10"/>
      <c r="G166" s="19" t="str">
        <f>IFERROR(VLOOKUP(F166,케이블트레이입.출고현황!U:W,2,0),"")</f>
        <v/>
      </c>
      <c r="H166" s="19" t="str">
        <f>IFERROR(VLOOKUP(G166,케이블트레이입.출고현황!V:X,2,0),"")</f>
        <v/>
      </c>
      <c r="I166" s="19" t="str">
        <f>IFERROR(VLOOKUP(H166,케이블트레이입.출고현황!W:Y,2,0),"")</f>
        <v/>
      </c>
      <c r="J166" s="19" t="str">
        <f>IFERROR(VLOOKUP(I166,케이블트레이입.출고현황!X:Z,2,0),"")</f>
        <v/>
      </c>
      <c r="K166" s="19" t="str">
        <f>IFERROR(VLOOKUP(J166,케이블트레이입.출고현황!Y:AA,2,0),"")</f>
        <v/>
      </c>
      <c r="L166" s="126"/>
      <c r="M166" s="130"/>
    </row>
    <row r="167" spans="1:13" s="131" customFormat="1" ht="24" customHeight="1">
      <c r="A167" s="29">
        <v>132</v>
      </c>
      <c r="B167" s="10">
        <v>132</v>
      </c>
      <c r="C167" s="10"/>
      <c r="D167" s="10"/>
      <c r="E167" s="129"/>
      <c r="F167" s="10"/>
      <c r="G167" s="19" t="str">
        <f>IFERROR(VLOOKUP(F167,케이블트레이입.출고현황!U:W,2,0),"")</f>
        <v/>
      </c>
      <c r="H167" s="19" t="str">
        <f>IFERROR(VLOOKUP(G167,케이블트레이입.출고현황!V:X,2,0),"")</f>
        <v/>
      </c>
      <c r="I167" s="19" t="str">
        <f>IFERROR(VLOOKUP(H167,케이블트레이입.출고현황!W:Y,2,0),"")</f>
        <v/>
      </c>
      <c r="J167" s="19" t="str">
        <f>IFERROR(VLOOKUP(I167,케이블트레이입.출고현황!X:Z,2,0),"")</f>
        <v/>
      </c>
      <c r="K167" s="19" t="str">
        <f>IFERROR(VLOOKUP(J167,케이블트레이입.출고현황!Y:AA,2,0),"")</f>
        <v/>
      </c>
      <c r="L167" s="126"/>
      <c r="M167" s="130"/>
    </row>
    <row r="168" spans="1:13" s="131" customFormat="1" ht="24" customHeight="1">
      <c r="A168" s="29">
        <v>133</v>
      </c>
      <c r="B168" s="10">
        <v>133</v>
      </c>
      <c r="C168" s="10"/>
      <c r="D168" s="10"/>
      <c r="E168" s="129"/>
      <c r="F168" s="10"/>
      <c r="G168" s="19" t="str">
        <f>IFERROR(VLOOKUP(F168,케이블트레이입.출고현황!U:W,2,0),"")</f>
        <v/>
      </c>
      <c r="H168" s="19" t="str">
        <f>IFERROR(VLOOKUP(G168,케이블트레이입.출고현황!V:X,2,0),"")</f>
        <v/>
      </c>
      <c r="I168" s="19" t="str">
        <f>IFERROR(VLOOKUP(H168,케이블트레이입.출고현황!W:Y,2,0),"")</f>
        <v/>
      </c>
      <c r="J168" s="19" t="str">
        <f>IFERROR(VLOOKUP(I168,케이블트레이입.출고현황!X:Z,2,0),"")</f>
        <v/>
      </c>
      <c r="K168" s="19" t="str">
        <f>IFERROR(VLOOKUP(J168,케이블트레이입.출고현황!Y:AA,2,0),"")</f>
        <v/>
      </c>
      <c r="L168" s="126"/>
      <c r="M168" s="130"/>
    </row>
    <row r="169" spans="1:13" s="131" customFormat="1" ht="24" customHeight="1">
      <c r="A169" s="29">
        <v>134</v>
      </c>
      <c r="B169" s="10">
        <v>134</v>
      </c>
      <c r="C169" s="10"/>
      <c r="D169" s="10"/>
      <c r="E169" s="129"/>
      <c r="F169" s="10"/>
      <c r="G169" s="19" t="str">
        <f>IFERROR(VLOOKUP(F169,케이블트레이입.출고현황!U:W,2,0),"")</f>
        <v/>
      </c>
      <c r="H169" s="19" t="str">
        <f>IFERROR(VLOOKUP(G169,케이블트레이입.출고현황!V:X,2,0),"")</f>
        <v/>
      </c>
      <c r="I169" s="19" t="str">
        <f>IFERROR(VLOOKUP(H169,케이블트레이입.출고현황!W:Y,2,0),"")</f>
        <v/>
      </c>
      <c r="J169" s="19" t="str">
        <f>IFERROR(VLOOKUP(I169,케이블트레이입.출고현황!X:Z,2,0),"")</f>
        <v/>
      </c>
      <c r="K169" s="19" t="str">
        <f>IFERROR(VLOOKUP(J169,케이블트레이입.출고현황!Y:AA,2,0),"")</f>
        <v/>
      </c>
      <c r="L169" s="126"/>
      <c r="M169" s="130"/>
    </row>
    <row r="170" spans="1:13" s="131" customFormat="1" ht="24" customHeight="1">
      <c r="A170" s="29">
        <v>135</v>
      </c>
      <c r="B170" s="10">
        <v>135</v>
      </c>
      <c r="C170" s="10"/>
      <c r="D170" s="10"/>
      <c r="E170" s="129"/>
      <c r="F170" s="10"/>
      <c r="G170" s="19" t="str">
        <f>IFERROR(VLOOKUP(F170,케이블트레이입.출고현황!U:W,2,0),"")</f>
        <v/>
      </c>
      <c r="H170" s="19" t="str">
        <f>IFERROR(VLOOKUP(G170,케이블트레이입.출고현황!V:X,2,0),"")</f>
        <v/>
      </c>
      <c r="I170" s="19" t="str">
        <f>IFERROR(VLOOKUP(H170,케이블트레이입.출고현황!W:Y,2,0),"")</f>
        <v/>
      </c>
      <c r="J170" s="19" t="str">
        <f>IFERROR(VLOOKUP(I170,케이블트레이입.출고현황!X:Z,2,0),"")</f>
        <v/>
      </c>
      <c r="K170" s="19" t="str">
        <f>IFERROR(VLOOKUP(J170,케이블트레이입.출고현황!Y:AA,2,0),"")</f>
        <v/>
      </c>
      <c r="L170" s="126"/>
      <c r="M170" s="130"/>
    </row>
    <row r="171" spans="1:13" s="131" customFormat="1" ht="24" customHeight="1">
      <c r="A171" s="29">
        <v>136</v>
      </c>
      <c r="B171" s="10">
        <v>136</v>
      </c>
      <c r="C171" s="10"/>
      <c r="D171" s="10"/>
      <c r="E171" s="129"/>
      <c r="F171" s="10"/>
      <c r="G171" s="19" t="str">
        <f>IFERROR(VLOOKUP(F171,케이블트레이입.출고현황!U:W,2,0),"")</f>
        <v/>
      </c>
      <c r="H171" s="19" t="str">
        <f>IFERROR(VLOOKUP(G171,케이블트레이입.출고현황!V:X,2,0),"")</f>
        <v/>
      </c>
      <c r="I171" s="19" t="str">
        <f>IFERROR(VLOOKUP(H171,케이블트레이입.출고현황!W:Y,2,0),"")</f>
        <v/>
      </c>
      <c r="J171" s="19" t="str">
        <f>IFERROR(VLOOKUP(I171,케이블트레이입.출고현황!X:Z,2,0),"")</f>
        <v/>
      </c>
      <c r="K171" s="19" t="str">
        <f>IFERROR(VLOOKUP(J171,케이블트레이입.출고현황!Y:AA,2,0),"")</f>
        <v/>
      </c>
      <c r="L171" s="126"/>
      <c r="M171" s="130"/>
    </row>
    <row r="172" spans="1:13" s="131" customFormat="1" ht="24" customHeight="1">
      <c r="A172" s="29">
        <v>137</v>
      </c>
      <c r="B172" s="10">
        <v>137</v>
      </c>
      <c r="C172" s="10"/>
      <c r="D172" s="10"/>
      <c r="E172" s="129"/>
      <c r="F172" s="10"/>
      <c r="G172" s="19" t="str">
        <f>IFERROR(VLOOKUP(F172,케이블트레이입.출고현황!U:W,2,0),"")</f>
        <v/>
      </c>
      <c r="H172" s="19" t="str">
        <f>IFERROR(VLOOKUP(G172,케이블트레이입.출고현황!V:X,2,0),"")</f>
        <v/>
      </c>
      <c r="I172" s="19" t="str">
        <f>IFERROR(VLOOKUP(H172,케이블트레이입.출고현황!W:Y,2,0),"")</f>
        <v/>
      </c>
      <c r="J172" s="19" t="str">
        <f>IFERROR(VLOOKUP(I172,케이블트레이입.출고현황!X:Z,2,0),"")</f>
        <v/>
      </c>
      <c r="K172" s="19" t="str">
        <f>IFERROR(VLOOKUP(J172,케이블트레이입.출고현황!Y:AA,2,0),"")</f>
        <v/>
      </c>
      <c r="L172" s="126"/>
      <c r="M172" s="130"/>
    </row>
    <row r="173" spans="1:13" s="131" customFormat="1" ht="24" customHeight="1">
      <c r="A173" s="29">
        <v>138</v>
      </c>
      <c r="B173" s="10">
        <v>138</v>
      </c>
      <c r="C173" s="10"/>
      <c r="D173" s="10"/>
      <c r="E173" s="129"/>
      <c r="F173" s="10"/>
      <c r="G173" s="19" t="str">
        <f>IFERROR(VLOOKUP(F173,케이블트레이입.출고현황!U:W,2,0),"")</f>
        <v/>
      </c>
      <c r="H173" s="19" t="str">
        <f>IFERROR(VLOOKUP(G173,케이블트레이입.출고현황!V:X,2,0),"")</f>
        <v/>
      </c>
      <c r="I173" s="19" t="str">
        <f>IFERROR(VLOOKUP(H173,케이블트레이입.출고현황!W:Y,2,0),"")</f>
        <v/>
      </c>
      <c r="J173" s="19" t="str">
        <f>IFERROR(VLOOKUP(I173,케이블트레이입.출고현황!X:Z,2,0),"")</f>
        <v/>
      </c>
      <c r="K173" s="19" t="str">
        <f>IFERROR(VLOOKUP(J173,케이블트레이입.출고현황!Y:AA,2,0),"")</f>
        <v/>
      </c>
      <c r="L173" s="126"/>
      <c r="M173" s="130"/>
    </row>
    <row r="174" spans="1:13" s="131" customFormat="1" ht="24" customHeight="1">
      <c r="A174" s="29">
        <v>139</v>
      </c>
      <c r="B174" s="10">
        <v>139</v>
      </c>
      <c r="C174" s="10"/>
      <c r="D174" s="10"/>
      <c r="E174" s="129"/>
      <c r="F174" s="10"/>
      <c r="G174" s="19" t="str">
        <f>IFERROR(VLOOKUP(F174,케이블트레이입.출고현황!U:W,2,0),"")</f>
        <v/>
      </c>
      <c r="H174" s="19" t="str">
        <f>IFERROR(VLOOKUP(G174,케이블트레이입.출고현황!V:X,2,0),"")</f>
        <v/>
      </c>
      <c r="I174" s="19" t="str">
        <f>IFERROR(VLOOKUP(H174,케이블트레이입.출고현황!W:Y,2,0),"")</f>
        <v/>
      </c>
      <c r="J174" s="19" t="str">
        <f>IFERROR(VLOOKUP(I174,케이블트레이입.출고현황!X:Z,2,0),"")</f>
        <v/>
      </c>
      <c r="K174" s="19" t="str">
        <f>IFERROR(VLOOKUP(J174,케이블트레이입.출고현황!Y:AA,2,0),"")</f>
        <v/>
      </c>
      <c r="L174" s="126"/>
      <c r="M174" s="130"/>
    </row>
    <row r="175" spans="1:13" s="131" customFormat="1" ht="24" customHeight="1">
      <c r="A175" s="29">
        <v>140</v>
      </c>
      <c r="B175" s="10">
        <v>140</v>
      </c>
      <c r="C175" s="10"/>
      <c r="D175" s="10"/>
      <c r="E175" s="129"/>
      <c r="F175" s="10"/>
      <c r="G175" s="19" t="str">
        <f>IFERROR(VLOOKUP(F175,케이블트레이입.출고현황!U:W,2,0),"")</f>
        <v/>
      </c>
      <c r="H175" s="19" t="str">
        <f>IFERROR(VLOOKUP(G175,케이블트레이입.출고현황!V:X,2,0),"")</f>
        <v/>
      </c>
      <c r="I175" s="19" t="str">
        <f>IFERROR(VLOOKUP(H175,케이블트레이입.출고현황!W:Y,2,0),"")</f>
        <v/>
      </c>
      <c r="J175" s="19" t="str">
        <f>IFERROR(VLOOKUP(I175,케이블트레이입.출고현황!X:Z,2,0),"")</f>
        <v/>
      </c>
      <c r="K175" s="19" t="str">
        <f>IFERROR(VLOOKUP(J175,케이블트레이입.출고현황!Y:AA,2,0),"")</f>
        <v/>
      </c>
      <c r="L175" s="126"/>
      <c r="M175" s="130"/>
    </row>
    <row r="176" spans="1:13" s="131" customFormat="1" ht="24" customHeight="1">
      <c r="A176" s="29">
        <v>141</v>
      </c>
      <c r="B176" s="10">
        <v>141</v>
      </c>
      <c r="C176" s="10"/>
      <c r="D176" s="10"/>
      <c r="E176" s="129"/>
      <c r="F176" s="10"/>
      <c r="G176" s="19" t="str">
        <f>IFERROR(VLOOKUP(F176,케이블트레이입.출고현황!U:W,2,0),"")</f>
        <v/>
      </c>
      <c r="H176" s="19" t="str">
        <f>IFERROR(VLOOKUP(G176,케이블트레이입.출고현황!V:X,2,0),"")</f>
        <v/>
      </c>
      <c r="I176" s="19" t="str">
        <f>IFERROR(VLOOKUP(H176,케이블트레이입.출고현황!W:Y,2,0),"")</f>
        <v/>
      </c>
      <c r="J176" s="19" t="str">
        <f>IFERROR(VLOOKUP(I176,케이블트레이입.출고현황!X:Z,2,0),"")</f>
        <v/>
      </c>
      <c r="K176" s="19" t="str">
        <f>IFERROR(VLOOKUP(J176,케이블트레이입.출고현황!Y:AA,2,0),"")</f>
        <v/>
      </c>
      <c r="L176" s="57"/>
      <c r="M176" s="130"/>
    </row>
    <row r="177" spans="5:13">
      <c r="E177" s="101"/>
    </row>
    <row r="178" spans="5:13">
      <c r="G178" s="39"/>
      <c r="H178" s="39"/>
      <c r="I178" s="39"/>
      <c r="J178" s="39"/>
      <c r="K178" s="39"/>
      <c r="L178" s="39"/>
      <c r="M178" s="39"/>
    </row>
    <row r="179" spans="5:13">
      <c r="G179" s="39">
        <v>3</v>
      </c>
      <c r="H179" s="39">
        <v>4</v>
      </c>
      <c r="I179" s="39">
        <v>5</v>
      </c>
      <c r="J179" s="39">
        <v>6</v>
      </c>
      <c r="K179" s="39">
        <v>7</v>
      </c>
    </row>
  </sheetData>
  <autoFilter ref="A4:O176" xr:uid="{00000000-0001-0000-0100-000000000000}"/>
  <mergeCells count="12">
    <mergeCell ref="M3:M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honeticPr fontId="2" type="noConversion"/>
  <pageMargins left="0.39370078740157483" right="0.39370078740157483" top="0.45" bottom="0.54" header="0.31496062992125984" footer="0.31496062992125984"/>
  <pageSetup paperSize="9" scale="93" fitToHeight="0" orientation="landscape" r:id="rId1"/>
  <headerFooter>
    <oddFooter>&amp;C&amp;10&amp;P / &amp;N</oddFooter>
  </headerFooter>
  <rowBreaks count="1" manualBreakCount="1">
    <brk id="94" min="1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C74C-61D5-48AC-BBC8-290C3E3F8A42}">
  <sheetPr>
    <pageSetUpPr fitToPage="1"/>
  </sheetPr>
  <dimension ref="A1:P1620"/>
  <sheetViews>
    <sheetView zoomScale="85" zoomScaleNormal="85" workbookViewId="0">
      <selection activeCell="L12" sqref="L12"/>
    </sheetView>
  </sheetViews>
  <sheetFormatPr defaultColWidth="9" defaultRowHeight="13.8"/>
  <cols>
    <col min="1" max="1" width="6.109375" style="5" customWidth="1"/>
    <col min="2" max="2" width="7" style="8" customWidth="1"/>
    <col min="3" max="3" width="12.6640625" style="8" customWidth="1"/>
    <col min="4" max="4" width="10" style="5" customWidth="1"/>
    <col min="5" max="5" width="23.21875" style="14" bestFit="1" customWidth="1"/>
    <col min="6" max="6" width="33.88671875" style="14" bestFit="1" customWidth="1"/>
    <col min="7" max="7" width="21.44140625" style="14" customWidth="1"/>
    <col min="8" max="8" width="19.44140625" style="15" customWidth="1"/>
    <col min="9" max="9" width="6.21875" style="7" customWidth="1"/>
    <col min="10" max="10" width="7.21875" style="7" customWidth="1"/>
    <col min="11" max="11" width="9.6640625" style="7" customWidth="1"/>
    <col min="12" max="12" width="8.88671875" style="38" customWidth="1"/>
    <col min="13" max="13" width="20.6640625" style="38" bestFit="1" customWidth="1"/>
    <col min="14" max="14" width="19.6640625" style="5" bestFit="1" customWidth="1"/>
    <col min="15" max="15" width="9" style="5"/>
    <col min="16" max="16" width="9.109375" style="5" customWidth="1"/>
    <col min="17" max="16384" width="9" style="5"/>
  </cols>
  <sheetData>
    <row r="1" spans="2:14" ht="33.75" customHeight="1">
      <c r="B1" s="12" t="s">
        <v>184</v>
      </c>
      <c r="C1" s="12"/>
      <c r="L1" s="35"/>
      <c r="M1" s="35"/>
    </row>
    <row r="2" spans="2:14" s="2" customFormat="1" ht="26.25" customHeight="1">
      <c r="B2" s="13" t="s">
        <v>19</v>
      </c>
      <c r="C2" s="13"/>
      <c r="E2" s="16"/>
      <c r="F2" s="47"/>
      <c r="G2" s="16"/>
      <c r="H2" s="85" t="s">
        <v>240</v>
      </c>
      <c r="I2" s="3"/>
      <c r="J2" s="3"/>
      <c r="K2" s="3"/>
      <c r="L2" s="36"/>
      <c r="M2" s="36"/>
      <c r="N2" s="17"/>
    </row>
    <row r="3" spans="2:14" s="11" customFormat="1" ht="21.75" customHeight="1">
      <c r="B3" s="433" t="s">
        <v>4</v>
      </c>
      <c r="C3" s="433" t="s">
        <v>17</v>
      </c>
      <c r="D3" s="433" t="s">
        <v>5</v>
      </c>
      <c r="E3" s="433" t="s">
        <v>35</v>
      </c>
      <c r="F3" s="433" t="s">
        <v>6</v>
      </c>
      <c r="G3" s="433" t="s">
        <v>7</v>
      </c>
      <c r="H3" s="433" t="s">
        <v>8</v>
      </c>
      <c r="I3" s="433" t="s">
        <v>9</v>
      </c>
      <c r="J3" s="433" t="s">
        <v>182</v>
      </c>
      <c r="K3" s="433" t="s">
        <v>181</v>
      </c>
      <c r="L3" s="435" t="s">
        <v>3</v>
      </c>
      <c r="M3" s="435" t="s">
        <v>183</v>
      </c>
      <c r="N3" s="433" t="s">
        <v>10</v>
      </c>
    </row>
    <row r="4" spans="2:14" s="11" customFormat="1" ht="21.75" customHeight="1"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6"/>
      <c r="M4" s="436"/>
      <c r="N4" s="434"/>
    </row>
    <row r="5" spans="2:14" s="11" customFormat="1" ht="21.6" customHeight="1">
      <c r="B5" s="235">
        <v>1</v>
      </c>
      <c r="C5" s="365">
        <v>46111</v>
      </c>
      <c r="D5" s="235" t="s">
        <v>950</v>
      </c>
      <c r="E5" s="19" t="str">
        <f>IFERROR(VLOOKUP(D5,케이블트레이입.출고현황!U5:Z80,2,0),"")</f>
        <v>Transition clamp</v>
      </c>
      <c r="F5" s="19" t="str">
        <f>IFERROR(VLOOKUP(E5,케이블트레이입.출고현황!V5:AA80,2,0),"")</f>
        <v>Transition clamp SP 150 for gussets</v>
      </c>
      <c r="G5" s="19" t="str">
        <f>IFERROR(VLOOKUP(F5,케이블트레이입.출고현황!W5:AB80,2,0),"")</f>
        <v>3-SP-150-M-TA4</v>
      </c>
      <c r="H5" s="19" t="str">
        <f>IFERROR(VLOOKUP(G5,케이블트레이입.출고현황!X5:AC80,2,0),"")</f>
        <v>150x142x59; T=4.0</v>
      </c>
      <c r="I5" s="19" t="str">
        <f>IFERROR(VLOOKUP(H5,케이블트레이입.출고현황!Y5:AD80,2,0),"")</f>
        <v>pcs</v>
      </c>
      <c r="J5" s="235">
        <v>1</v>
      </c>
      <c r="K5" s="235" t="s">
        <v>545</v>
      </c>
      <c r="L5" s="236">
        <v>30</v>
      </c>
      <c r="M5" s="289" t="s">
        <v>992</v>
      </c>
      <c r="N5" s="288"/>
    </row>
    <row r="6" spans="2:14" s="11" customFormat="1" ht="21.6" customHeight="1">
      <c r="B6" s="235">
        <v>2</v>
      </c>
      <c r="C6" s="365">
        <v>46116</v>
      </c>
      <c r="D6" s="235" t="s">
        <v>950</v>
      </c>
      <c r="E6" s="19" t="str">
        <f>IFERROR(VLOOKUP(D6,케이블트레이입.출고현황!U6:Z81,2,0),"")</f>
        <v>Transition clamp</v>
      </c>
      <c r="F6" s="19" t="str">
        <f>IFERROR(VLOOKUP(E6,케이블트레이입.출고현황!V6:AA81,2,0),"")</f>
        <v>Transition clamp SP 150 for gussets</v>
      </c>
      <c r="G6" s="19" t="str">
        <f>IFERROR(VLOOKUP(F6,케이블트레이입.출고현황!W6:AB81,2,0),"")</f>
        <v>3-SP-150-M-TA4</v>
      </c>
      <c r="H6" s="19" t="str">
        <f>IFERROR(VLOOKUP(G6,케이블트레이입.출고현황!X6:AC81,2,0),"")</f>
        <v>150x142x59; T=4.0</v>
      </c>
      <c r="I6" s="19" t="str">
        <f>IFERROR(VLOOKUP(H6,케이블트레이입.출고현황!Y6:AD81,2,0),"")</f>
        <v>pcs</v>
      </c>
      <c r="J6" s="235">
        <v>1</v>
      </c>
      <c r="K6" s="235" t="s">
        <v>545</v>
      </c>
      <c r="L6" s="236">
        <v>10</v>
      </c>
      <c r="M6" s="289" t="s">
        <v>992</v>
      </c>
      <c r="N6" s="288"/>
    </row>
    <row r="7" spans="2:14" s="11" customFormat="1" ht="21.6" customHeight="1">
      <c r="B7" s="235">
        <v>3</v>
      </c>
      <c r="C7" s="365">
        <v>46120</v>
      </c>
      <c r="D7" s="235" t="s">
        <v>950</v>
      </c>
      <c r="E7" s="19" t="str">
        <f>IFERROR(VLOOKUP(D7,케이블트레이입.출고현황!U7:Z82,2,0),"")</f>
        <v>Transition clamp</v>
      </c>
      <c r="F7" s="19" t="str">
        <f>IFERROR(VLOOKUP(E7,케이블트레이입.출고현황!V7:AA82,2,0),"")</f>
        <v>Transition clamp SP 150 for gussets</v>
      </c>
      <c r="G7" s="19" t="str">
        <f>IFERROR(VLOOKUP(F7,케이블트레이입.출고현황!W7:AB82,2,0),"")</f>
        <v>3-SP-150-M-TA4</v>
      </c>
      <c r="H7" s="19" t="str">
        <f>IFERROR(VLOOKUP(G7,케이블트레이입.출고현황!X7:AC82,2,0),"")</f>
        <v>150x142x59; T=4.0</v>
      </c>
      <c r="I7" s="19" t="str">
        <f>IFERROR(VLOOKUP(H7,케이블트레이입.출고현황!Y7:AD82,2,0),"")</f>
        <v>pcs</v>
      </c>
      <c r="J7" s="235">
        <v>1</v>
      </c>
      <c r="K7" s="235" t="s">
        <v>545</v>
      </c>
      <c r="L7" s="236">
        <v>15</v>
      </c>
      <c r="M7" s="289" t="s">
        <v>993</v>
      </c>
      <c r="N7" s="288"/>
    </row>
    <row r="8" spans="2:14" s="11" customFormat="1" ht="21.75" customHeight="1">
      <c r="B8" s="235">
        <v>4</v>
      </c>
      <c r="C8" s="365">
        <v>46121</v>
      </c>
      <c r="D8" s="235" t="s">
        <v>950</v>
      </c>
      <c r="E8" s="260" t="str">
        <f>IFERROR(VLOOKUP(D8,케이블트레이입.출고현황!U8:Z83,2,0),"")</f>
        <v>Transition clamp</v>
      </c>
      <c r="F8" s="260" t="str">
        <f>IFERROR(VLOOKUP(E8,케이블트레이입.출고현황!V8:AA83,2,0),"")</f>
        <v>Transition clamp SP 150 for gussets</v>
      </c>
      <c r="G8" s="260" t="str">
        <f>IFERROR(VLOOKUP(F8,케이블트레이입.출고현황!W8:AB83,2,0),"")</f>
        <v>3-SP-150-M-TA4</v>
      </c>
      <c r="H8" s="260" t="str">
        <f>IFERROR(VLOOKUP(G8,케이블트레이입.출고현황!X8:AC83,2,0),"")</f>
        <v>150x142x59; T=4.0</v>
      </c>
      <c r="I8" s="260" t="str">
        <f>IFERROR(VLOOKUP(H8,케이블트레이입.출고현황!Y8:AD83,2,0),"")</f>
        <v>pcs</v>
      </c>
      <c r="J8" s="235">
        <v>1</v>
      </c>
      <c r="K8" s="235" t="s">
        <v>545</v>
      </c>
      <c r="L8" s="236">
        <v>15</v>
      </c>
      <c r="M8" s="289" t="s">
        <v>995</v>
      </c>
      <c r="N8" s="288"/>
    </row>
    <row r="9" spans="2:14" s="11" customFormat="1" ht="21.75" customHeight="1">
      <c r="B9" s="235">
        <v>5</v>
      </c>
      <c r="C9" s="365">
        <v>46123</v>
      </c>
      <c r="D9" s="235" t="s">
        <v>950</v>
      </c>
      <c r="E9" s="260" t="str">
        <f>IFERROR(VLOOKUP(D9,케이블트레이입.출고현황!U9:Z84,2,0),"")</f>
        <v>Transition clamp</v>
      </c>
      <c r="F9" s="260" t="str">
        <f>IFERROR(VLOOKUP(E9,케이블트레이입.출고현황!V9:AA84,2,0),"")</f>
        <v>Transition clamp SP 150 for gussets</v>
      </c>
      <c r="G9" s="260" t="str">
        <f>IFERROR(VLOOKUP(F9,케이블트레이입.출고현황!W9:AB84,2,0),"")</f>
        <v>3-SP-150-M-TA4</v>
      </c>
      <c r="H9" s="260" t="str">
        <f>IFERROR(VLOOKUP(G9,케이블트레이입.출고현황!X9:AC84,2,0),"")</f>
        <v>150x142x59; T=4.0</v>
      </c>
      <c r="I9" s="260" t="str">
        <f>IFERROR(VLOOKUP(H9,케이블트레이입.출고현황!Y9:AD84,2,0),"")</f>
        <v>pcs</v>
      </c>
      <c r="J9" s="235">
        <v>1</v>
      </c>
      <c r="K9" s="235" t="s">
        <v>545</v>
      </c>
      <c r="L9" s="236">
        <v>6</v>
      </c>
      <c r="M9" s="289" t="s">
        <v>995</v>
      </c>
      <c r="N9" s="288"/>
    </row>
    <row r="10" spans="2:14" s="11" customFormat="1" ht="21.75" customHeight="1">
      <c r="B10" s="235">
        <v>6</v>
      </c>
      <c r="C10" s="365">
        <v>46124</v>
      </c>
      <c r="D10" s="235" t="s">
        <v>950</v>
      </c>
      <c r="E10" s="260" t="str">
        <f>IFERROR(VLOOKUP(D10,케이블트레이입.출고현황!U10:Z85,2,0),"")</f>
        <v>Transition clamp</v>
      </c>
      <c r="F10" s="260" t="str">
        <f>IFERROR(VLOOKUP(E10,케이블트레이입.출고현황!V10:AA85,2,0),"")</f>
        <v>Transition clamp SP 150 for gussets</v>
      </c>
      <c r="G10" s="260" t="str">
        <f>IFERROR(VLOOKUP(F10,케이블트레이입.출고현황!W10:AB85,2,0),"")</f>
        <v>3-SP-150-M-TA4</v>
      </c>
      <c r="H10" s="260" t="str">
        <f>IFERROR(VLOOKUP(G10,케이블트레이입.출고현황!X10:AC85,2,0),"")</f>
        <v>150x142x59; T=4.0</v>
      </c>
      <c r="I10" s="260" t="str">
        <f>IFERROR(VLOOKUP(H10,케이블트레이입.출고현황!Y10:AD85,2,0),"")</f>
        <v>pcs</v>
      </c>
      <c r="J10" s="235">
        <v>1</v>
      </c>
      <c r="K10" s="235" t="s">
        <v>545</v>
      </c>
      <c r="L10" s="236">
        <v>9</v>
      </c>
      <c r="M10" s="289" t="s">
        <v>995</v>
      </c>
      <c r="N10" s="288"/>
    </row>
    <row r="11" spans="2:14" s="11" customFormat="1" ht="21.75" customHeight="1">
      <c r="B11" s="235">
        <v>7</v>
      </c>
      <c r="C11" s="365">
        <v>46141</v>
      </c>
      <c r="D11" s="235" t="s">
        <v>950</v>
      </c>
      <c r="E11" s="260" t="str">
        <f>IFERROR(VLOOKUP(D11,케이블트레이입.출고현황!U11:Z86,2,0),"")</f>
        <v>Transition clamp</v>
      </c>
      <c r="F11" s="260" t="str">
        <f>IFERROR(VLOOKUP(E11,케이블트레이입.출고현황!V11:AA86,2,0),"")</f>
        <v>Transition clamp SP 150 for gussets</v>
      </c>
      <c r="G11" s="260" t="str">
        <f>IFERROR(VLOOKUP(F11,케이블트레이입.출고현황!W11:AB86,2,0),"")</f>
        <v>3-SP-150-M-TA4</v>
      </c>
      <c r="H11" s="260" t="str">
        <f>IFERROR(VLOOKUP(G11,케이블트레이입.출고현황!X11:AC86,2,0),"")</f>
        <v>150x142x59; T=4.0</v>
      </c>
      <c r="I11" s="260" t="str">
        <f>IFERROR(VLOOKUP(H11,케이블트레이입.출고현황!Y11:AD86,2,0),"")</f>
        <v>pcs</v>
      </c>
      <c r="J11" s="235">
        <v>1</v>
      </c>
      <c r="K11" s="235" t="s">
        <v>545</v>
      </c>
      <c r="L11" s="236">
        <v>5</v>
      </c>
      <c r="M11" s="289" t="s">
        <v>995</v>
      </c>
      <c r="N11" s="288"/>
    </row>
    <row r="12" spans="2:14" s="11" customFormat="1" ht="21.75" customHeight="1">
      <c r="B12" s="235">
        <v>8</v>
      </c>
      <c r="C12" s="365">
        <v>46143</v>
      </c>
      <c r="D12" s="235" t="s">
        <v>871</v>
      </c>
      <c r="E12" s="260" t="str">
        <f>IFERROR(VLOOKUP(D12,케이블트레이입.출고현황!U12:Z87,2,0),"")</f>
        <v>Rack</v>
      </c>
      <c r="F12" s="260" t="str">
        <f>IFERROR(VLOOKUP(E12,케이블트레이입.출고현황!V12:AA87,2,0),"")</f>
        <v>Rack ST</v>
      </c>
      <c r="G12" s="260" t="str">
        <f>IFERROR(VLOOKUP(F12,케이블트레이입.출고현황!W12:AB87,2,0),"")</f>
        <v>3-ST-60-4-M-TA4</v>
      </c>
      <c r="H12" s="260" t="str">
        <f>IFERROR(VLOOKUP(G12,케이블트레이입.출고현황!X12:AC87,2,0),"")</f>
        <v>600x63x37; T=4.0</v>
      </c>
      <c r="I12" s="260" t="str">
        <f>IFERROR(VLOOKUP(H12,케이블트레이입.출고현황!Y12:AD87,2,0),"")</f>
        <v>pcs</v>
      </c>
      <c r="J12" s="235">
        <v>1</v>
      </c>
      <c r="K12" s="235" t="s">
        <v>545</v>
      </c>
      <c r="L12" s="236">
        <v>18</v>
      </c>
      <c r="M12" s="289" t="s">
        <v>992</v>
      </c>
      <c r="N12" s="288"/>
    </row>
    <row r="13" spans="2:14" s="11" customFormat="1" ht="21.75" customHeight="1">
      <c r="B13" s="235">
        <v>9</v>
      </c>
      <c r="C13" s="365">
        <v>46143</v>
      </c>
      <c r="D13" s="235" t="s">
        <v>931</v>
      </c>
      <c r="E13" s="260" t="str">
        <f>IFERROR(VLOOKUP(D13,케이블트레이입.출고현황!U13:Z88,2,0),"")</f>
        <v>Side gusset</v>
      </c>
      <c r="F13" s="260" t="str">
        <f>IFERROR(VLOOKUP(E13,케이블트레이입.출고현황!V13:AA88,2,0),"")</f>
        <v>Side gusset KB for racks ST</v>
      </c>
      <c r="G13" s="260" t="str">
        <f>IFERROR(VLOOKUP(F13,케이블트레이입.출고현황!W13:AB88,2,0),"")</f>
        <v>3-KB-4-M-TA4</v>
      </c>
      <c r="H13" s="260" t="str">
        <f>IFERROR(VLOOKUP(G13,케이블트레이입.출고현황!X13:AC88,2,0),"")</f>
        <v>150x72x70; T=4.0</v>
      </c>
      <c r="I13" s="260" t="str">
        <f>IFERROR(VLOOKUP(H13,케이블트레이입.출고현황!Y13:AD88,2,0),"")</f>
        <v>pcs</v>
      </c>
      <c r="J13" s="235">
        <v>1</v>
      </c>
      <c r="K13" s="235" t="s">
        <v>545</v>
      </c>
      <c r="L13" s="236">
        <v>90</v>
      </c>
      <c r="M13" s="289" t="s">
        <v>992</v>
      </c>
      <c r="N13" s="288"/>
    </row>
    <row r="14" spans="2:14" s="11" customFormat="1" ht="21.75" customHeight="1">
      <c r="B14" s="235">
        <v>10</v>
      </c>
      <c r="C14" s="365">
        <v>46146</v>
      </c>
      <c r="D14" s="235" t="s">
        <v>824</v>
      </c>
      <c r="E14" s="260" t="str">
        <f>IFERROR(VLOOKUP(D14,케이블트레이입.출고현황!U14:Z89,2,0),"")</f>
        <v>Console</v>
      </c>
      <c r="F14" s="260" t="str">
        <f>IFERROR(VLOOKUP(E14,케이블트레이입.출고현황!V14:AA89,2,0),"")</f>
        <v>Console KS3-340</v>
      </c>
      <c r="G14" s="260" t="str">
        <f>IFERROR(VLOOKUP(F14,케이블트레이입.출고현황!W14:AB89,2,0),"")</f>
        <v>3-KS3-340-M-TA4</v>
      </c>
      <c r="H14" s="260" t="str">
        <f>IFERROR(VLOOKUP(G14,케이블트레이입.출고현황!X14:AC89,2,0),"")</f>
        <v>344x45x146; T=2.0</v>
      </c>
      <c r="I14" s="260" t="str">
        <f>IFERROR(VLOOKUP(H14,케이블트레이입.출고현황!Y14:AD89,2,0),"")</f>
        <v>pcs</v>
      </c>
      <c r="J14" s="235">
        <v>1</v>
      </c>
      <c r="K14" s="235" t="s">
        <v>545</v>
      </c>
      <c r="L14" s="236">
        <v>56</v>
      </c>
      <c r="M14" s="289" t="s">
        <v>992</v>
      </c>
      <c r="N14" s="288"/>
    </row>
    <row r="15" spans="2:14" s="11" customFormat="1" ht="21.75" customHeight="1">
      <c r="B15" s="235">
        <v>11</v>
      </c>
      <c r="C15" s="365">
        <v>46147</v>
      </c>
      <c r="D15" s="235" t="s">
        <v>824</v>
      </c>
      <c r="E15" s="260" t="str">
        <f>IFERROR(VLOOKUP(D15,케이블트레이입.출고현황!U15:Z90,2,0),"")</f>
        <v>Console</v>
      </c>
      <c r="F15" s="260" t="str">
        <f>IFERROR(VLOOKUP(E15,케이블트레이입.출고현황!V15:AA90,2,0),"")</f>
        <v>Console KS3-340</v>
      </c>
      <c r="G15" s="260" t="str">
        <f>IFERROR(VLOOKUP(F15,케이블트레이입.출고현황!W15:AB90,2,0),"")</f>
        <v>3-KS3-340-M-TA4</v>
      </c>
      <c r="H15" s="260" t="str">
        <f>IFERROR(VLOOKUP(G15,케이블트레이입.출고현황!X15:AC90,2,0),"")</f>
        <v>344x45x146; T=2.0</v>
      </c>
      <c r="I15" s="260" t="str">
        <f>IFERROR(VLOOKUP(H15,케이블트레이입.출고현황!Y15:AD90,2,0),"")</f>
        <v>pcs</v>
      </c>
      <c r="J15" s="235">
        <v>1</v>
      </c>
      <c r="K15" s="235" t="s">
        <v>545</v>
      </c>
      <c r="L15" s="236">
        <v>88</v>
      </c>
      <c r="M15" s="289" t="s">
        <v>992</v>
      </c>
      <c r="N15" s="288"/>
    </row>
    <row r="16" spans="2:14" s="11" customFormat="1" ht="21.75" customHeight="1">
      <c r="B16" s="235">
        <v>16</v>
      </c>
      <c r="C16" s="365"/>
      <c r="D16" s="235"/>
      <c r="E16" s="19" t="str">
        <f>IFERROR(VLOOKUP(D16,케이블트레이입.출고현황!U19:Z94,2,0),"")</f>
        <v/>
      </c>
      <c r="F16" s="19" t="str">
        <f>IFERROR(VLOOKUP(E16,케이블트레이입.출고현황!V19:AA94,2,0),"")</f>
        <v/>
      </c>
      <c r="G16" s="19" t="str">
        <f>IFERROR(VLOOKUP(F16,케이블트레이입.출고현황!W19:AB94,2,0),"")</f>
        <v/>
      </c>
      <c r="H16" s="19" t="str">
        <f>IFERROR(VLOOKUP(G16,케이블트레이입.출고현황!X19:AC94,2,0),"")</f>
        <v/>
      </c>
      <c r="I16" s="19" t="str">
        <f>IFERROR(VLOOKUP(H16,케이블트레이입.출고현황!Y19:AD94,2,0),"")</f>
        <v/>
      </c>
      <c r="J16" s="235"/>
      <c r="K16" s="235"/>
      <c r="L16" s="236"/>
      <c r="M16" s="289"/>
      <c r="N16" s="288"/>
    </row>
    <row r="17" spans="2:14" s="11" customFormat="1" ht="21.75" customHeight="1">
      <c r="B17" s="235">
        <v>17</v>
      </c>
      <c r="C17" s="365"/>
      <c r="D17" s="235"/>
      <c r="E17" s="19" t="str">
        <f>IFERROR(VLOOKUP(D17,케이블트레이입.출고현황!U20:Z95,2,0),"")</f>
        <v/>
      </c>
      <c r="F17" s="19" t="str">
        <f>IFERROR(VLOOKUP(E17,케이블트레이입.출고현황!V20:AA95,2,0),"")</f>
        <v/>
      </c>
      <c r="G17" s="19" t="str">
        <f>IFERROR(VLOOKUP(F17,케이블트레이입.출고현황!W20:AB95,2,0),"")</f>
        <v/>
      </c>
      <c r="H17" s="19" t="str">
        <f>IFERROR(VLOOKUP(G17,케이블트레이입.출고현황!X20:AC95,2,0),"")</f>
        <v/>
      </c>
      <c r="I17" s="19" t="str">
        <f>IFERROR(VLOOKUP(H17,케이블트레이입.출고현황!Y20:AD95,2,0),"")</f>
        <v/>
      </c>
      <c r="J17" s="235"/>
      <c r="K17" s="235"/>
      <c r="L17" s="236"/>
      <c r="M17" s="289"/>
      <c r="N17" s="288"/>
    </row>
    <row r="18" spans="2:14" s="11" customFormat="1" ht="21.75" customHeight="1">
      <c r="B18" s="235">
        <v>18</v>
      </c>
      <c r="C18" s="365"/>
      <c r="D18" s="235"/>
      <c r="E18" s="19" t="str">
        <f>IFERROR(VLOOKUP(D18,케이블트레이입.출고현황!U21:Z96,2,0),"")</f>
        <v/>
      </c>
      <c r="F18" s="19" t="str">
        <f>IFERROR(VLOOKUP(E18,케이블트레이입.출고현황!V21:AA96,2,0),"")</f>
        <v/>
      </c>
      <c r="G18" s="19" t="str">
        <f>IFERROR(VLOOKUP(F18,케이블트레이입.출고현황!W21:AB96,2,0),"")</f>
        <v/>
      </c>
      <c r="H18" s="19" t="str">
        <f>IFERROR(VLOOKUP(G18,케이블트레이입.출고현황!X21:AC96,2,0),"")</f>
        <v/>
      </c>
      <c r="I18" s="19" t="str">
        <f>IFERROR(VLOOKUP(H18,케이블트레이입.출고현황!Y21:AD96,2,0),"")</f>
        <v/>
      </c>
      <c r="J18" s="235"/>
      <c r="K18" s="235"/>
      <c r="L18" s="236"/>
      <c r="M18" s="289"/>
      <c r="N18" s="288"/>
    </row>
    <row r="19" spans="2:14" s="11" customFormat="1" ht="21.75" customHeight="1">
      <c r="B19" s="235">
        <v>19</v>
      </c>
      <c r="C19" s="365"/>
      <c r="D19" s="235"/>
      <c r="E19" s="19" t="str">
        <f>IFERROR(VLOOKUP(D19,케이블트레이입.출고현황!U22:Z97,2,0),"")</f>
        <v/>
      </c>
      <c r="F19" s="19" t="str">
        <f>IFERROR(VLOOKUP(E19,케이블트레이입.출고현황!V22:AA97,2,0),"")</f>
        <v/>
      </c>
      <c r="G19" s="19" t="str">
        <f>IFERROR(VLOOKUP(F19,케이블트레이입.출고현황!W22:AB97,2,0),"")</f>
        <v/>
      </c>
      <c r="H19" s="19" t="str">
        <f>IFERROR(VLOOKUP(G19,케이블트레이입.출고현황!X22:AC97,2,0),"")</f>
        <v/>
      </c>
      <c r="I19" s="19" t="str">
        <f>IFERROR(VLOOKUP(H19,케이블트레이입.출고현황!Y22:AD97,2,0),"")</f>
        <v/>
      </c>
      <c r="J19" s="235"/>
      <c r="K19" s="235"/>
      <c r="L19" s="236"/>
      <c r="M19" s="289"/>
      <c r="N19" s="288"/>
    </row>
    <row r="20" spans="2:14" s="11" customFormat="1" ht="21.75" customHeight="1">
      <c r="B20" s="235">
        <v>20</v>
      </c>
      <c r="C20" s="365"/>
      <c r="D20" s="235"/>
      <c r="E20" s="19" t="str">
        <f>IFERROR(VLOOKUP(D20,케이블트레이입.출고현황!U23:Z98,2,0),"")</f>
        <v/>
      </c>
      <c r="F20" s="19" t="str">
        <f>IFERROR(VLOOKUP(E20,케이블트레이입.출고현황!V23:AA98,2,0),"")</f>
        <v/>
      </c>
      <c r="G20" s="19" t="str">
        <f>IFERROR(VLOOKUP(F20,케이블트레이입.출고현황!W23:AB98,2,0),"")</f>
        <v/>
      </c>
      <c r="H20" s="19" t="str">
        <f>IFERROR(VLOOKUP(G20,케이블트레이입.출고현황!X23:AC98,2,0),"")</f>
        <v/>
      </c>
      <c r="I20" s="19" t="str">
        <f>IFERROR(VLOOKUP(H20,케이블트레이입.출고현황!Y23:AD98,2,0),"")</f>
        <v/>
      </c>
      <c r="J20" s="235"/>
      <c r="K20" s="235"/>
      <c r="L20" s="236"/>
      <c r="M20" s="289"/>
      <c r="N20" s="288"/>
    </row>
    <row r="21" spans="2:14" s="11" customFormat="1" ht="21.75" customHeight="1">
      <c r="B21" s="235">
        <v>21</v>
      </c>
      <c r="C21" s="365"/>
      <c r="D21" s="235"/>
      <c r="E21" s="19" t="str">
        <f>IFERROR(VLOOKUP(D21,케이블트레이입.출고현황!U24:Z99,2,0),"")</f>
        <v/>
      </c>
      <c r="F21" s="19" t="str">
        <f>IFERROR(VLOOKUP(E21,케이블트레이입.출고현황!V24:AA99,2,0),"")</f>
        <v/>
      </c>
      <c r="G21" s="19" t="str">
        <f>IFERROR(VLOOKUP(F21,케이블트레이입.출고현황!W24:AB99,2,0),"")</f>
        <v/>
      </c>
      <c r="H21" s="19" t="str">
        <f>IFERROR(VLOOKUP(G21,케이블트레이입.출고현황!X24:AC99,2,0),"")</f>
        <v/>
      </c>
      <c r="I21" s="19" t="str">
        <f>IFERROR(VLOOKUP(H21,케이블트레이입.출고현황!Y24:AD99,2,0),"")</f>
        <v/>
      </c>
      <c r="J21" s="235"/>
      <c r="K21" s="235"/>
      <c r="L21" s="236"/>
      <c r="M21" s="289"/>
      <c r="N21" s="288"/>
    </row>
    <row r="22" spans="2:14" s="11" customFormat="1" ht="21.75" customHeight="1">
      <c r="B22" s="235">
        <v>22</v>
      </c>
      <c r="C22" s="365"/>
      <c r="D22" s="235"/>
      <c r="E22" s="19" t="str">
        <f>IFERROR(VLOOKUP(D22,케이블트레이입.출고현황!U25:Z100,2,0),"")</f>
        <v/>
      </c>
      <c r="F22" s="19" t="str">
        <f>IFERROR(VLOOKUP(E22,케이블트레이입.출고현황!V25:AA100,2,0),"")</f>
        <v/>
      </c>
      <c r="G22" s="19" t="str">
        <f>IFERROR(VLOOKUP(F22,케이블트레이입.출고현황!W25:AB100,2,0),"")</f>
        <v/>
      </c>
      <c r="H22" s="19" t="str">
        <f>IFERROR(VLOOKUP(G22,케이블트레이입.출고현황!X25:AC100,2,0),"")</f>
        <v/>
      </c>
      <c r="I22" s="19" t="str">
        <f>IFERROR(VLOOKUP(H22,케이블트레이입.출고현황!Y25:AD100,2,0),"")</f>
        <v/>
      </c>
      <c r="J22" s="235"/>
      <c r="K22" s="235"/>
      <c r="L22" s="236"/>
      <c r="M22" s="289"/>
      <c r="N22" s="288"/>
    </row>
    <row r="23" spans="2:14" s="11" customFormat="1" ht="21.75" customHeight="1">
      <c r="B23" s="235">
        <v>23</v>
      </c>
      <c r="C23" s="365"/>
      <c r="D23" s="235"/>
      <c r="E23" s="19" t="str">
        <f>IFERROR(VLOOKUP(D23,케이블트레이입.출고현황!U26:Z101,2,0),"")</f>
        <v/>
      </c>
      <c r="F23" s="19" t="str">
        <f>IFERROR(VLOOKUP(E23,케이블트레이입.출고현황!V26:AA101,2,0),"")</f>
        <v/>
      </c>
      <c r="G23" s="19" t="str">
        <f>IFERROR(VLOOKUP(F23,케이블트레이입.출고현황!W26:AB101,2,0),"")</f>
        <v/>
      </c>
      <c r="H23" s="19" t="str">
        <f>IFERROR(VLOOKUP(G23,케이블트레이입.출고현황!X26:AC101,2,0),"")</f>
        <v/>
      </c>
      <c r="I23" s="19" t="str">
        <f>IFERROR(VLOOKUP(H23,케이블트레이입.출고현황!Y26:AD101,2,0),"")</f>
        <v/>
      </c>
      <c r="J23" s="235"/>
      <c r="K23" s="235"/>
      <c r="L23" s="236"/>
      <c r="M23" s="289"/>
      <c r="N23" s="288"/>
    </row>
    <row r="24" spans="2:14" s="11" customFormat="1" ht="21.75" customHeight="1">
      <c r="B24" s="235">
        <v>24</v>
      </c>
      <c r="C24" s="365"/>
      <c r="D24" s="235"/>
      <c r="E24" s="19" t="str">
        <f>IFERROR(VLOOKUP(D24,케이블트레이입.출고현황!U27:Z102,2,0),"")</f>
        <v/>
      </c>
      <c r="F24" s="19" t="str">
        <f>IFERROR(VLOOKUP(E24,케이블트레이입.출고현황!V27:AA102,2,0),"")</f>
        <v/>
      </c>
      <c r="G24" s="19" t="str">
        <f>IFERROR(VLOOKUP(F24,케이블트레이입.출고현황!W27:AB102,2,0),"")</f>
        <v/>
      </c>
      <c r="H24" s="19" t="str">
        <f>IFERROR(VLOOKUP(G24,케이블트레이입.출고현황!X27:AC102,2,0),"")</f>
        <v/>
      </c>
      <c r="I24" s="19" t="str">
        <f>IFERROR(VLOOKUP(H24,케이블트레이입.출고현황!Y27:AD102,2,0),"")</f>
        <v/>
      </c>
      <c r="J24" s="235"/>
      <c r="K24" s="235"/>
      <c r="L24" s="236"/>
      <c r="M24" s="289"/>
      <c r="N24" s="288"/>
    </row>
    <row r="25" spans="2:14" s="11" customFormat="1" ht="21.75" customHeight="1">
      <c r="B25" s="235">
        <v>25</v>
      </c>
      <c r="C25" s="365"/>
      <c r="D25" s="235"/>
      <c r="E25" s="19" t="str">
        <f>IFERROR(VLOOKUP(D25,케이블트레이입.출고현황!U28:Z103,2,0),"")</f>
        <v/>
      </c>
      <c r="F25" s="19" t="str">
        <f>IFERROR(VLOOKUP(E25,케이블트레이입.출고현황!V28:AA103,2,0),"")</f>
        <v/>
      </c>
      <c r="G25" s="19" t="str">
        <f>IFERROR(VLOOKUP(F25,케이블트레이입.출고현황!W28:AB103,2,0),"")</f>
        <v/>
      </c>
      <c r="H25" s="19" t="str">
        <f>IFERROR(VLOOKUP(G25,케이블트레이입.출고현황!X28:AC103,2,0),"")</f>
        <v/>
      </c>
      <c r="I25" s="19" t="str">
        <f>IFERROR(VLOOKUP(H25,케이블트레이입.출고현황!Y28:AD103,2,0),"")</f>
        <v/>
      </c>
      <c r="J25" s="235"/>
      <c r="K25" s="235"/>
      <c r="L25" s="236"/>
      <c r="M25" s="289"/>
      <c r="N25" s="288"/>
    </row>
    <row r="26" spans="2:14" s="11" customFormat="1" ht="21.75" customHeight="1">
      <c r="B26" s="235">
        <v>26</v>
      </c>
      <c r="C26" s="365"/>
      <c r="D26" s="235"/>
      <c r="E26" s="19" t="str">
        <f>IFERROR(VLOOKUP(D26,케이블트레이입.출고현황!U29:Z104,2,0),"")</f>
        <v/>
      </c>
      <c r="F26" s="19" t="str">
        <f>IFERROR(VLOOKUP(E26,케이블트레이입.출고현황!V29:AA104,2,0),"")</f>
        <v/>
      </c>
      <c r="G26" s="19" t="str">
        <f>IFERROR(VLOOKUP(F26,케이블트레이입.출고현황!W29:AB104,2,0),"")</f>
        <v/>
      </c>
      <c r="H26" s="19" t="str">
        <f>IFERROR(VLOOKUP(G26,케이블트레이입.출고현황!X29:AC104,2,0),"")</f>
        <v/>
      </c>
      <c r="I26" s="19" t="str">
        <f>IFERROR(VLOOKUP(H26,케이블트레이입.출고현황!Y29:AD104,2,0),"")</f>
        <v/>
      </c>
      <c r="J26" s="235"/>
      <c r="K26" s="235"/>
      <c r="L26" s="236"/>
      <c r="M26" s="289"/>
      <c r="N26" s="288"/>
    </row>
    <row r="27" spans="2:14" s="11" customFormat="1" ht="21.75" customHeight="1">
      <c r="B27" s="235">
        <v>27</v>
      </c>
      <c r="C27" s="365"/>
      <c r="D27" s="235"/>
      <c r="E27" s="19" t="str">
        <f>IFERROR(VLOOKUP(D27,케이블트레이입.출고현황!U30:Z105,2,0),"")</f>
        <v/>
      </c>
      <c r="F27" s="19" t="str">
        <f>IFERROR(VLOOKUP(E27,케이블트레이입.출고현황!V30:AA105,2,0),"")</f>
        <v/>
      </c>
      <c r="G27" s="19" t="str">
        <f>IFERROR(VLOOKUP(F27,케이블트레이입.출고현황!W30:AB105,2,0),"")</f>
        <v/>
      </c>
      <c r="H27" s="19" t="str">
        <f>IFERROR(VLOOKUP(G27,케이블트레이입.출고현황!X30:AC105,2,0),"")</f>
        <v/>
      </c>
      <c r="I27" s="19" t="str">
        <f>IFERROR(VLOOKUP(H27,케이블트레이입.출고현황!Y30:AD105,2,0),"")</f>
        <v/>
      </c>
      <c r="J27" s="235"/>
      <c r="K27" s="235"/>
      <c r="L27" s="236"/>
      <c r="M27" s="289"/>
      <c r="N27" s="288"/>
    </row>
    <row r="28" spans="2:14" s="11" customFormat="1" ht="21.75" customHeight="1">
      <c r="B28" s="235">
        <v>28</v>
      </c>
      <c r="C28" s="365"/>
      <c r="D28" s="235"/>
      <c r="E28" s="19" t="str">
        <f>IFERROR(VLOOKUP(D28,케이블트레이입.출고현황!U31:Z106,2,0),"")</f>
        <v/>
      </c>
      <c r="F28" s="19" t="str">
        <f>IFERROR(VLOOKUP(E28,케이블트레이입.출고현황!V31:AA106,2,0),"")</f>
        <v/>
      </c>
      <c r="G28" s="19" t="str">
        <f>IFERROR(VLOOKUP(F28,케이블트레이입.출고현황!W31:AB106,2,0),"")</f>
        <v/>
      </c>
      <c r="H28" s="19" t="str">
        <f>IFERROR(VLOOKUP(G28,케이블트레이입.출고현황!X31:AC106,2,0),"")</f>
        <v/>
      </c>
      <c r="I28" s="19" t="str">
        <f>IFERROR(VLOOKUP(H28,케이블트레이입.출고현황!Y31:AD106,2,0),"")</f>
        <v/>
      </c>
      <c r="J28" s="235"/>
      <c r="K28" s="235"/>
      <c r="L28" s="236"/>
      <c r="M28" s="289"/>
      <c r="N28" s="288"/>
    </row>
    <row r="29" spans="2:14" s="11" customFormat="1" ht="21.75" customHeight="1">
      <c r="B29" s="235">
        <v>29</v>
      </c>
      <c r="C29" s="365"/>
      <c r="D29" s="235"/>
      <c r="E29" s="19" t="str">
        <f>IFERROR(VLOOKUP(D29,케이블트레이입.출고현황!U32:Z107,2,0),"")</f>
        <v/>
      </c>
      <c r="F29" s="19" t="str">
        <f>IFERROR(VLOOKUP(E29,케이블트레이입.출고현황!V32:AA107,2,0),"")</f>
        <v/>
      </c>
      <c r="G29" s="19" t="str">
        <f>IFERROR(VLOOKUP(F29,케이블트레이입.출고현황!W32:AB107,2,0),"")</f>
        <v/>
      </c>
      <c r="H29" s="19" t="str">
        <f>IFERROR(VLOOKUP(G29,케이블트레이입.출고현황!X32:AC107,2,0),"")</f>
        <v/>
      </c>
      <c r="I29" s="19" t="str">
        <f>IFERROR(VLOOKUP(H29,케이블트레이입.출고현황!Y32:AD107,2,0),"")</f>
        <v/>
      </c>
      <c r="J29" s="235"/>
      <c r="K29" s="235"/>
      <c r="L29" s="236"/>
      <c r="M29" s="289"/>
      <c r="N29" s="288"/>
    </row>
    <row r="30" spans="2:14" s="11" customFormat="1" ht="21.75" customHeight="1">
      <c r="B30" s="235">
        <v>30</v>
      </c>
      <c r="C30" s="365"/>
      <c r="D30" s="235"/>
      <c r="E30" s="19" t="str">
        <f>IFERROR(VLOOKUP(D30,케이블트레이입.출고현황!U33:Z108,2,0),"")</f>
        <v/>
      </c>
      <c r="F30" s="19" t="str">
        <f>IFERROR(VLOOKUP(E30,케이블트레이입.출고현황!V33:AA108,2,0),"")</f>
        <v/>
      </c>
      <c r="G30" s="19" t="str">
        <f>IFERROR(VLOOKUP(F30,케이블트레이입.출고현황!W33:AB108,2,0),"")</f>
        <v/>
      </c>
      <c r="H30" s="19" t="str">
        <f>IFERROR(VLOOKUP(G30,케이블트레이입.출고현황!X33:AC108,2,0),"")</f>
        <v/>
      </c>
      <c r="I30" s="19" t="str">
        <f>IFERROR(VLOOKUP(H30,케이블트레이입.출고현황!Y33:AD108,2,0),"")</f>
        <v/>
      </c>
      <c r="J30" s="235"/>
      <c r="K30" s="235"/>
      <c r="L30" s="236"/>
      <c r="M30" s="289"/>
      <c r="N30" s="288"/>
    </row>
    <row r="31" spans="2:14" s="11" customFormat="1" ht="21.75" customHeight="1">
      <c r="B31" s="235">
        <v>31</v>
      </c>
      <c r="C31" s="365"/>
      <c r="D31" s="235"/>
      <c r="E31" s="19" t="str">
        <f>IFERROR(VLOOKUP(D31,케이블트레이입.출고현황!U34:Z109,2,0),"")</f>
        <v/>
      </c>
      <c r="F31" s="19" t="str">
        <f>IFERROR(VLOOKUP(E31,케이블트레이입.출고현황!V34:AA109,2,0),"")</f>
        <v/>
      </c>
      <c r="G31" s="19" t="str">
        <f>IFERROR(VLOOKUP(F31,케이블트레이입.출고현황!W34:AB109,2,0),"")</f>
        <v/>
      </c>
      <c r="H31" s="19" t="str">
        <f>IFERROR(VLOOKUP(G31,케이블트레이입.출고현황!X34:AC109,2,0),"")</f>
        <v/>
      </c>
      <c r="I31" s="19" t="str">
        <f>IFERROR(VLOOKUP(H31,케이블트레이입.출고현황!Y34:AD109,2,0),"")</f>
        <v/>
      </c>
      <c r="J31" s="235"/>
      <c r="K31" s="235"/>
      <c r="L31" s="236"/>
      <c r="M31" s="289"/>
      <c r="N31" s="288"/>
    </row>
    <row r="32" spans="2:14" s="11" customFormat="1" ht="21.75" customHeight="1">
      <c r="B32" s="235">
        <v>32</v>
      </c>
      <c r="C32" s="365"/>
      <c r="D32" s="235"/>
      <c r="E32" s="19" t="str">
        <f>IFERROR(VLOOKUP(D32,케이블트레이입.출고현황!U35:Z110,2,0),"")</f>
        <v/>
      </c>
      <c r="F32" s="19" t="str">
        <f>IFERROR(VLOOKUP(E32,케이블트레이입.출고현황!V35:AA110,2,0),"")</f>
        <v/>
      </c>
      <c r="G32" s="19" t="str">
        <f>IFERROR(VLOOKUP(F32,케이블트레이입.출고현황!W35:AB110,2,0),"")</f>
        <v/>
      </c>
      <c r="H32" s="19" t="str">
        <f>IFERROR(VLOOKUP(G32,케이블트레이입.출고현황!X35:AC110,2,0),"")</f>
        <v/>
      </c>
      <c r="I32" s="19" t="str">
        <f>IFERROR(VLOOKUP(H32,케이블트레이입.출고현황!Y35:AD110,2,0),"")</f>
        <v/>
      </c>
      <c r="J32" s="235"/>
      <c r="K32" s="235"/>
      <c r="L32" s="236"/>
      <c r="M32" s="289"/>
      <c r="N32" s="288"/>
    </row>
    <row r="33" spans="1:16" s="11" customFormat="1" ht="21.75" customHeight="1">
      <c r="B33" s="235">
        <v>33</v>
      </c>
      <c r="C33" s="365"/>
      <c r="D33" s="235"/>
      <c r="E33" s="19" t="str">
        <f>IFERROR(VLOOKUP(D33,케이블트레이입.출고현황!U36:Z111,2,0),"")</f>
        <v/>
      </c>
      <c r="F33" s="19" t="str">
        <f>IFERROR(VLOOKUP(E33,케이블트레이입.출고현황!V36:AA111,2,0),"")</f>
        <v/>
      </c>
      <c r="G33" s="19" t="str">
        <f>IFERROR(VLOOKUP(F33,케이블트레이입.출고현황!W36:AB111,2,0),"")</f>
        <v/>
      </c>
      <c r="H33" s="19" t="str">
        <f>IFERROR(VLOOKUP(G33,케이블트레이입.출고현황!X36:AC111,2,0),"")</f>
        <v/>
      </c>
      <c r="I33" s="19" t="str">
        <f>IFERROR(VLOOKUP(H33,케이블트레이입.출고현황!Y36:AD111,2,0),"")</f>
        <v/>
      </c>
      <c r="J33" s="235"/>
      <c r="K33" s="235"/>
      <c r="L33" s="236"/>
      <c r="M33" s="289"/>
      <c r="N33" s="288"/>
    </row>
    <row r="34" spans="1:16" s="11" customFormat="1" ht="21.75" customHeight="1">
      <c r="B34" s="235">
        <v>34</v>
      </c>
      <c r="C34" s="365"/>
      <c r="D34" s="235"/>
      <c r="E34" s="19" t="str">
        <f>IFERROR(VLOOKUP(D34,케이블트레이입.출고현황!U37:Z112,2,0),"")</f>
        <v/>
      </c>
      <c r="F34" s="19" t="str">
        <f>IFERROR(VLOOKUP(E34,케이블트레이입.출고현황!V37:AA112,2,0),"")</f>
        <v/>
      </c>
      <c r="G34" s="19" t="str">
        <f>IFERROR(VLOOKUP(F34,케이블트레이입.출고현황!W37:AB112,2,0),"")</f>
        <v/>
      </c>
      <c r="H34" s="19" t="str">
        <f>IFERROR(VLOOKUP(G34,케이블트레이입.출고현황!X37:AC112,2,0),"")</f>
        <v/>
      </c>
      <c r="I34" s="19" t="str">
        <f>IFERROR(VLOOKUP(H34,케이블트레이입.출고현황!Y37:AD112,2,0),"")</f>
        <v/>
      </c>
      <c r="J34" s="235"/>
      <c r="K34" s="235"/>
      <c r="L34" s="236"/>
      <c r="M34" s="289"/>
      <c r="N34" s="288"/>
    </row>
    <row r="35" spans="1:16" s="11" customFormat="1" ht="21.75" customHeight="1">
      <c r="B35" s="235">
        <v>35</v>
      </c>
      <c r="C35" s="365"/>
      <c r="D35" s="235"/>
      <c r="E35" s="19" t="str">
        <f>IFERROR(VLOOKUP(D35,케이블트레이입.출고현황!U38:Z113,2,0),"")</f>
        <v/>
      </c>
      <c r="F35" s="19" t="str">
        <f>IFERROR(VLOOKUP(E35,케이블트레이입.출고현황!V38:AA113,2,0),"")</f>
        <v/>
      </c>
      <c r="G35" s="19" t="str">
        <f>IFERROR(VLOOKUP(F35,케이블트레이입.출고현황!W38:AB113,2,0),"")</f>
        <v/>
      </c>
      <c r="H35" s="19" t="str">
        <f>IFERROR(VLOOKUP(G35,케이블트레이입.출고현황!X38:AC113,2,0),"")</f>
        <v/>
      </c>
      <c r="I35" s="19" t="str">
        <f>IFERROR(VLOOKUP(H35,케이블트레이입.출고현황!Y38:AD113,2,0),"")</f>
        <v/>
      </c>
      <c r="J35" s="235"/>
      <c r="K35" s="235"/>
      <c r="L35" s="236"/>
      <c r="M35" s="289"/>
      <c r="N35" s="288"/>
    </row>
    <row r="36" spans="1:16" s="11" customFormat="1" ht="21.75" customHeight="1">
      <c r="B36" s="235">
        <v>36</v>
      </c>
      <c r="C36" s="365"/>
      <c r="D36" s="235"/>
      <c r="E36" s="19" t="str">
        <f>IFERROR(VLOOKUP(D36,케이블트레이입.출고현황!U39:Z114,2,0),"")</f>
        <v/>
      </c>
      <c r="F36" s="19" t="str">
        <f>IFERROR(VLOOKUP(E36,케이블트레이입.출고현황!V39:AA114,2,0),"")</f>
        <v/>
      </c>
      <c r="G36" s="19" t="str">
        <f>IFERROR(VLOOKUP(F36,케이블트레이입.출고현황!W39:AB114,2,0),"")</f>
        <v/>
      </c>
      <c r="H36" s="19" t="str">
        <f>IFERROR(VLOOKUP(G36,케이블트레이입.출고현황!X39:AC114,2,0),"")</f>
        <v/>
      </c>
      <c r="I36" s="19" t="str">
        <f>IFERROR(VLOOKUP(H36,케이블트레이입.출고현황!Y39:AD114,2,0),"")</f>
        <v/>
      </c>
      <c r="J36" s="235"/>
      <c r="K36" s="235"/>
      <c r="L36" s="236"/>
      <c r="M36" s="289"/>
      <c r="N36" s="288"/>
    </row>
    <row r="37" spans="1:16" s="11" customFormat="1" ht="21.75" customHeight="1">
      <c r="B37" s="235">
        <v>37</v>
      </c>
      <c r="C37" s="365"/>
      <c r="D37" s="235"/>
      <c r="E37" s="19" t="str">
        <f>IFERROR(VLOOKUP(D37,케이블트레이입.출고현황!U40:Z115,2,0),"")</f>
        <v/>
      </c>
      <c r="F37" s="19" t="str">
        <f>IFERROR(VLOOKUP(E37,케이블트레이입.출고현황!V40:AA115,2,0),"")</f>
        <v/>
      </c>
      <c r="G37" s="19" t="str">
        <f>IFERROR(VLOOKUP(F37,케이블트레이입.출고현황!W40:AB115,2,0),"")</f>
        <v/>
      </c>
      <c r="H37" s="19" t="str">
        <f>IFERROR(VLOOKUP(G37,케이블트레이입.출고현황!X40:AC115,2,0),"")</f>
        <v/>
      </c>
      <c r="I37" s="19" t="str">
        <f>IFERROR(VLOOKUP(H37,케이블트레이입.출고현황!Y40:AD115,2,0),"")</f>
        <v/>
      </c>
      <c r="J37" s="235"/>
      <c r="K37" s="235"/>
      <c r="L37" s="236"/>
      <c r="M37" s="289"/>
      <c r="N37" s="288"/>
    </row>
    <row r="38" spans="1:16" s="11" customFormat="1" ht="21.75" customHeight="1">
      <c r="B38" s="235">
        <v>38</v>
      </c>
      <c r="C38" s="365"/>
      <c r="D38" s="235"/>
      <c r="E38" s="19" t="str">
        <f>IFERROR(VLOOKUP(D38,케이블트레이입.출고현황!U41:Z116,2,0),"")</f>
        <v/>
      </c>
      <c r="F38" s="19" t="str">
        <f>IFERROR(VLOOKUP(E38,케이블트레이입.출고현황!V41:AA116,2,0),"")</f>
        <v/>
      </c>
      <c r="G38" s="19" t="str">
        <f>IFERROR(VLOOKUP(F38,케이블트레이입.출고현황!W41:AB116,2,0),"")</f>
        <v/>
      </c>
      <c r="H38" s="19" t="str">
        <f>IFERROR(VLOOKUP(G38,케이블트레이입.출고현황!X41:AC116,2,0),"")</f>
        <v/>
      </c>
      <c r="I38" s="19" t="str">
        <f>IFERROR(VLOOKUP(H38,케이블트레이입.출고현황!Y41:AD116,2,0),"")</f>
        <v/>
      </c>
      <c r="J38" s="235"/>
      <c r="K38" s="235"/>
      <c r="L38" s="236"/>
      <c r="M38" s="289"/>
      <c r="N38" s="288"/>
    </row>
    <row r="39" spans="1:16" s="11" customFormat="1" ht="21.75" customHeight="1">
      <c r="B39" s="235">
        <v>39</v>
      </c>
      <c r="C39" s="365"/>
      <c r="D39" s="235"/>
      <c r="E39" s="19" t="str">
        <f>IFERROR(VLOOKUP(D39,케이블트레이입.출고현황!U42:Z117,2,0),"")</f>
        <v/>
      </c>
      <c r="F39" s="19" t="str">
        <f>IFERROR(VLOOKUP(E39,케이블트레이입.출고현황!V42:AA117,2,0),"")</f>
        <v/>
      </c>
      <c r="G39" s="19" t="str">
        <f>IFERROR(VLOOKUP(F39,케이블트레이입.출고현황!W42:AB117,2,0),"")</f>
        <v/>
      </c>
      <c r="H39" s="19" t="str">
        <f>IFERROR(VLOOKUP(G39,케이블트레이입.출고현황!X42:AC117,2,0),"")</f>
        <v/>
      </c>
      <c r="I39" s="19" t="str">
        <f>IFERROR(VLOOKUP(H39,케이블트레이입.출고현황!Y42:AD117,2,0),"")</f>
        <v/>
      </c>
      <c r="J39" s="235"/>
      <c r="K39" s="235"/>
      <c r="L39" s="236"/>
      <c r="M39" s="289"/>
      <c r="N39" s="288"/>
    </row>
    <row r="40" spans="1:16" s="11" customFormat="1" ht="21.75" customHeight="1">
      <c r="B40" s="235">
        <v>40</v>
      </c>
      <c r="C40" s="365"/>
      <c r="D40" s="235"/>
      <c r="E40" s="19" t="str">
        <f>IFERROR(VLOOKUP(D40,케이블트레이입.출고현황!U43:Z118,2,0),"")</f>
        <v/>
      </c>
      <c r="F40" s="19" t="str">
        <f>IFERROR(VLOOKUP(E40,케이블트레이입.출고현황!V43:AA118,2,0),"")</f>
        <v/>
      </c>
      <c r="G40" s="19" t="str">
        <f>IFERROR(VLOOKUP(F40,케이블트레이입.출고현황!W43:AB118,2,0),"")</f>
        <v/>
      </c>
      <c r="H40" s="19" t="str">
        <f>IFERROR(VLOOKUP(G40,케이블트레이입.출고현황!X43:AC118,2,0),"")</f>
        <v/>
      </c>
      <c r="I40" s="19" t="str">
        <f>IFERROR(VLOOKUP(H40,케이블트레이입.출고현황!Y43:AD118,2,0),"")</f>
        <v/>
      </c>
      <c r="J40" s="235"/>
      <c r="K40" s="235"/>
      <c r="L40" s="236"/>
      <c r="M40" s="289"/>
      <c r="N40" s="288"/>
      <c r="P40" s="314"/>
    </row>
    <row r="41" spans="1:16" ht="24" customHeight="1">
      <c r="A41" s="8">
        <v>1</v>
      </c>
      <c r="B41" s="9">
        <v>1</v>
      </c>
      <c r="C41" s="46"/>
      <c r="D41" s="9"/>
      <c r="E41" s="19" t="str">
        <f>IFERROR(VLOOKUP(D41,케이블트레이입.출고현황!U44:Z119,2,0),"")</f>
        <v/>
      </c>
      <c r="F41" s="19" t="str">
        <f>IFERROR(VLOOKUP(E41,케이블트레이입.출고현황!V44:AA119,2,0),"")</f>
        <v/>
      </c>
      <c r="G41" s="19" t="str">
        <f>IFERROR(VLOOKUP(F41,케이블트레이입.출고현황!W44:AB119,2,0),"")</f>
        <v/>
      </c>
      <c r="H41" s="19" t="str">
        <f>IFERROR(VLOOKUP(G41,케이블트레이입.출고현황!X44:AC119,2,0),"")</f>
        <v/>
      </c>
      <c r="I41" s="19" t="str">
        <f>IFERROR(VLOOKUP(H41,케이블트레이입.출고현황!Y44:AD119,2,0),"")</f>
        <v/>
      </c>
      <c r="J41" s="9"/>
      <c r="K41" s="9"/>
      <c r="L41" s="65"/>
      <c r="M41" s="64"/>
      <c r="N41" s="58"/>
    </row>
    <row r="42" spans="1:16" ht="24" customHeight="1">
      <c r="A42" s="8">
        <v>2</v>
      </c>
      <c r="B42" s="9">
        <v>2</v>
      </c>
      <c r="C42" s="46"/>
      <c r="D42" s="9"/>
      <c r="E42" s="19" t="str">
        <f>IFERROR(VLOOKUP(D42,케이블트레이입.출고현황!U45:Z120,2,0),"")</f>
        <v/>
      </c>
      <c r="F42" s="19" t="str">
        <f>IFERROR(VLOOKUP(E42,케이블트레이입.출고현황!V45:AA120,2,0),"")</f>
        <v/>
      </c>
      <c r="G42" s="19" t="str">
        <f>IFERROR(VLOOKUP(F42,케이블트레이입.출고현황!W45:AB120,2,0),"")</f>
        <v/>
      </c>
      <c r="H42" s="19" t="str">
        <f>IFERROR(VLOOKUP(G42,케이블트레이입.출고현황!X45:AC120,2,0),"")</f>
        <v/>
      </c>
      <c r="I42" s="19" t="str">
        <f>IFERROR(VLOOKUP(H42,케이블트레이입.출고현황!Y45:AD120,2,0),"")</f>
        <v/>
      </c>
      <c r="J42" s="9"/>
      <c r="K42" s="9"/>
      <c r="L42" s="65"/>
      <c r="M42" s="64"/>
      <c r="N42" s="58"/>
    </row>
    <row r="43" spans="1:16" ht="24" customHeight="1">
      <c r="A43" s="8">
        <v>3</v>
      </c>
      <c r="B43" s="9">
        <v>3</v>
      </c>
      <c r="C43" s="46"/>
      <c r="D43" s="9"/>
      <c r="E43" s="19" t="str">
        <f>IFERROR(VLOOKUP(D43,케이블트레이입.출고현황!U46:Z121,2,0),"")</f>
        <v/>
      </c>
      <c r="F43" s="19" t="str">
        <f>IFERROR(VLOOKUP(E43,케이블트레이입.출고현황!V46:AA121,2,0),"")</f>
        <v/>
      </c>
      <c r="G43" s="19" t="str">
        <f>IFERROR(VLOOKUP(F43,케이블트레이입.출고현황!W46:AB121,2,0),"")</f>
        <v/>
      </c>
      <c r="H43" s="19" t="str">
        <f>IFERROR(VLOOKUP(G43,케이블트레이입.출고현황!X46:AC121,2,0),"")</f>
        <v/>
      </c>
      <c r="I43" s="19" t="str">
        <f>IFERROR(VLOOKUP(H43,케이블트레이입.출고현황!Y46:AD121,2,0),"")</f>
        <v/>
      </c>
      <c r="J43" s="9"/>
      <c r="K43" s="9"/>
      <c r="L43" s="65"/>
      <c r="M43" s="64"/>
      <c r="N43" s="4"/>
    </row>
    <row r="44" spans="1:16" ht="24" customHeight="1">
      <c r="A44" s="8">
        <v>4</v>
      </c>
      <c r="B44" s="9">
        <v>4</v>
      </c>
      <c r="C44" s="46"/>
      <c r="D44" s="9"/>
      <c r="E44" s="19" t="str">
        <f>IFERROR(VLOOKUP(D44,케이블트레이입.출고현황!U47:Z122,2,0),"")</f>
        <v/>
      </c>
      <c r="F44" s="19" t="str">
        <f>IFERROR(VLOOKUP(E44,케이블트레이입.출고현황!V47:AA122,2,0),"")</f>
        <v/>
      </c>
      <c r="G44" s="19" t="str">
        <f>IFERROR(VLOOKUP(F44,케이블트레이입.출고현황!W47:AB122,2,0),"")</f>
        <v/>
      </c>
      <c r="H44" s="19" t="str">
        <f>IFERROR(VLOOKUP(G44,케이블트레이입.출고현황!X47:AC122,2,0),"")</f>
        <v/>
      </c>
      <c r="I44" s="19" t="str">
        <f>IFERROR(VLOOKUP(H44,케이블트레이입.출고현황!Y47:AD122,2,0),"")</f>
        <v/>
      </c>
      <c r="J44" s="9"/>
      <c r="K44" s="9"/>
      <c r="L44" s="65"/>
      <c r="M44" s="64"/>
      <c r="N44" s="4"/>
    </row>
    <row r="45" spans="1:16" ht="24" customHeight="1">
      <c r="A45" s="8">
        <v>5</v>
      </c>
      <c r="B45" s="9">
        <v>5</v>
      </c>
      <c r="C45" s="46"/>
      <c r="D45" s="9"/>
      <c r="E45" s="19" t="str">
        <f>IFERROR(VLOOKUP(D45,케이블트레이입.출고현황!U48:Z123,2,0),"")</f>
        <v/>
      </c>
      <c r="F45" s="19" t="str">
        <f>IFERROR(VLOOKUP(E45,케이블트레이입.출고현황!V48:AA123,2,0),"")</f>
        <v/>
      </c>
      <c r="G45" s="19" t="str">
        <f>IFERROR(VLOOKUP(F45,케이블트레이입.출고현황!W48:AB123,2,0),"")</f>
        <v/>
      </c>
      <c r="H45" s="19" t="str">
        <f>IFERROR(VLOOKUP(G45,케이블트레이입.출고현황!X48:AC123,2,0),"")</f>
        <v/>
      </c>
      <c r="I45" s="19" t="str">
        <f>IFERROR(VLOOKUP(H45,케이블트레이입.출고현황!Y48:AD123,2,0),"")</f>
        <v/>
      </c>
      <c r="J45" s="9"/>
      <c r="K45" s="9"/>
      <c r="L45" s="65"/>
      <c r="M45" s="64"/>
      <c r="N45" s="4"/>
    </row>
    <row r="46" spans="1:16" ht="24" customHeight="1">
      <c r="A46" s="8">
        <v>6</v>
      </c>
      <c r="B46" s="9">
        <v>6</v>
      </c>
      <c r="C46" s="46"/>
      <c r="D46" s="9"/>
      <c r="E46" s="19" t="str">
        <f>IFERROR(VLOOKUP(D46,케이블트레이입.출고현황!U49:Z124,2,0),"")</f>
        <v/>
      </c>
      <c r="F46" s="19" t="str">
        <f>IFERROR(VLOOKUP(E46,케이블트레이입.출고현황!V49:AA124,2,0),"")</f>
        <v/>
      </c>
      <c r="G46" s="19" t="str">
        <f>IFERROR(VLOOKUP(F46,케이블트레이입.출고현황!W49:AB124,2,0),"")</f>
        <v/>
      </c>
      <c r="H46" s="19" t="str">
        <f>IFERROR(VLOOKUP(G46,케이블트레이입.출고현황!X49:AC124,2,0),"")</f>
        <v/>
      </c>
      <c r="I46" s="19" t="str">
        <f>IFERROR(VLOOKUP(H46,케이블트레이입.출고현황!Y49:AD124,2,0),"")</f>
        <v/>
      </c>
      <c r="J46" s="9"/>
      <c r="K46" s="9"/>
      <c r="L46" s="65"/>
      <c r="M46" s="64"/>
      <c r="N46" s="4"/>
    </row>
    <row r="47" spans="1:16" ht="24" customHeight="1">
      <c r="A47" s="8">
        <v>7</v>
      </c>
      <c r="B47" s="9">
        <v>7</v>
      </c>
      <c r="C47" s="46"/>
      <c r="D47" s="9"/>
      <c r="E47" s="19" t="str">
        <f>IFERROR(VLOOKUP(D47,케이블트레이입.출고현황!U50:Z125,2,0),"")</f>
        <v/>
      </c>
      <c r="F47" s="19" t="str">
        <f>IFERROR(VLOOKUP(E47,케이블트레이입.출고현황!V50:AA125,2,0),"")</f>
        <v/>
      </c>
      <c r="G47" s="19" t="str">
        <f>IFERROR(VLOOKUP(F47,케이블트레이입.출고현황!W50:AB125,2,0),"")</f>
        <v/>
      </c>
      <c r="H47" s="19" t="str">
        <f>IFERROR(VLOOKUP(G47,케이블트레이입.출고현황!X50:AC125,2,0),"")</f>
        <v/>
      </c>
      <c r="I47" s="19" t="str">
        <f>IFERROR(VLOOKUP(H47,케이블트레이입.출고현황!Y50:AD125,2,0),"")</f>
        <v/>
      </c>
      <c r="J47" s="9"/>
      <c r="K47" s="9"/>
      <c r="L47" s="65"/>
      <c r="M47" s="64"/>
      <c r="N47" s="4"/>
    </row>
    <row r="48" spans="1:16" ht="24" customHeight="1">
      <c r="A48" s="8">
        <v>8</v>
      </c>
      <c r="B48" s="9">
        <v>8</v>
      </c>
      <c r="C48" s="46"/>
      <c r="D48" s="9"/>
      <c r="E48" s="19" t="str">
        <f>IFERROR(VLOOKUP(D48,케이블트레이입.출고현황!U51:Z126,2,0),"")</f>
        <v/>
      </c>
      <c r="F48" s="19" t="str">
        <f>IFERROR(VLOOKUP(E48,케이블트레이입.출고현황!V51:AA126,2,0),"")</f>
        <v/>
      </c>
      <c r="G48" s="19" t="str">
        <f>IFERROR(VLOOKUP(F48,케이블트레이입.출고현황!W51:AB126,2,0),"")</f>
        <v/>
      </c>
      <c r="H48" s="19" t="str">
        <f>IFERROR(VLOOKUP(G48,케이블트레이입.출고현황!X51:AC126,2,0),"")</f>
        <v/>
      </c>
      <c r="I48" s="19" t="str">
        <f>IFERROR(VLOOKUP(H48,케이블트레이입.출고현황!Y51:AD126,2,0),"")</f>
        <v/>
      </c>
      <c r="J48" s="9"/>
      <c r="K48" s="9"/>
      <c r="L48" s="65"/>
      <c r="M48" s="64"/>
      <c r="N48" s="4"/>
    </row>
    <row r="49" spans="1:16" ht="24" customHeight="1">
      <c r="A49" s="8">
        <v>9</v>
      </c>
      <c r="B49" s="9">
        <v>9</v>
      </c>
      <c r="C49" s="46"/>
      <c r="D49" s="9"/>
      <c r="E49" s="19" t="str">
        <f>IFERROR(VLOOKUP(D49,케이블트레이입.출고현황!U52:Z127,2,0),"")</f>
        <v/>
      </c>
      <c r="F49" s="19" t="str">
        <f>IFERROR(VLOOKUP(E49,케이블트레이입.출고현황!V52:AA127,2,0),"")</f>
        <v/>
      </c>
      <c r="G49" s="19" t="str">
        <f>IFERROR(VLOOKUP(F49,케이블트레이입.출고현황!W52:AB127,2,0),"")</f>
        <v/>
      </c>
      <c r="H49" s="19" t="str">
        <f>IFERROR(VLOOKUP(G49,케이블트레이입.출고현황!X52:AC127,2,0),"")</f>
        <v/>
      </c>
      <c r="I49" s="19" t="str">
        <f>IFERROR(VLOOKUP(H49,케이블트레이입.출고현황!Y52:AD127,2,0),"")</f>
        <v/>
      </c>
      <c r="J49" s="9"/>
      <c r="K49" s="9"/>
      <c r="L49" s="37"/>
      <c r="M49" s="64"/>
      <c r="N49" s="4"/>
    </row>
    <row r="50" spans="1:16" ht="24" customHeight="1">
      <c r="A50" s="8">
        <v>10</v>
      </c>
      <c r="B50" s="9">
        <v>10</v>
      </c>
      <c r="C50" s="46"/>
      <c r="D50" s="9"/>
      <c r="E50" s="19" t="str">
        <f>IFERROR(VLOOKUP(D50,케이블트레이입.출고현황!U53:Z128,2,0),"")</f>
        <v/>
      </c>
      <c r="F50" s="19" t="str">
        <f>IFERROR(VLOOKUP(E50,케이블트레이입.출고현황!V53:AA128,2,0),"")</f>
        <v/>
      </c>
      <c r="G50" s="19" t="str">
        <f>IFERROR(VLOOKUP(F50,케이블트레이입.출고현황!W53:AB128,2,0),"")</f>
        <v/>
      </c>
      <c r="H50" s="19" t="str">
        <f>IFERROR(VLOOKUP(G50,케이블트레이입.출고현황!X53:AC128,2,0),"")</f>
        <v/>
      </c>
      <c r="I50" s="19" t="str">
        <f>IFERROR(VLOOKUP(H50,케이블트레이입.출고현황!Y53:AD128,2,0),"")</f>
        <v/>
      </c>
      <c r="J50" s="9"/>
      <c r="K50" s="9"/>
      <c r="L50" s="37"/>
      <c r="M50" s="64"/>
      <c r="N50" s="4"/>
    </row>
    <row r="51" spans="1:16" ht="24" customHeight="1">
      <c r="A51" s="8">
        <v>11</v>
      </c>
      <c r="B51" s="9">
        <v>11</v>
      </c>
      <c r="C51" s="46"/>
      <c r="D51" s="9"/>
      <c r="E51" s="19" t="str">
        <f>IFERROR(VLOOKUP(D51,케이블트레이입.출고현황!U54:Z129,2,0),"")</f>
        <v/>
      </c>
      <c r="F51" s="19" t="str">
        <f>IFERROR(VLOOKUP(E51,케이블트레이입.출고현황!V54:AA129,2,0),"")</f>
        <v/>
      </c>
      <c r="G51" s="19" t="str">
        <f>IFERROR(VLOOKUP(F51,케이블트레이입.출고현황!W54:AB129,2,0),"")</f>
        <v/>
      </c>
      <c r="H51" s="19" t="str">
        <f>IFERROR(VLOOKUP(G51,케이블트레이입.출고현황!X54:AC129,2,0),"")</f>
        <v/>
      </c>
      <c r="I51" s="19" t="str">
        <f>IFERROR(VLOOKUP(H51,케이블트레이입.출고현황!Y54:AD129,2,0),"")</f>
        <v/>
      </c>
      <c r="J51" s="9"/>
      <c r="K51" s="9"/>
      <c r="L51" s="37"/>
      <c r="M51" s="64"/>
      <c r="N51" s="4"/>
    </row>
    <row r="52" spans="1:16" s="1" customFormat="1" ht="24" customHeight="1">
      <c r="A52" s="8">
        <v>12</v>
      </c>
      <c r="B52" s="9">
        <v>12</v>
      </c>
      <c r="C52" s="46"/>
      <c r="D52" s="10"/>
      <c r="E52" s="19" t="str">
        <f>IFERROR(VLOOKUP(D52,케이블트레이입.출고현황!U55:Z130,2,0),"")</f>
        <v/>
      </c>
      <c r="F52" s="19" t="str">
        <f>IFERROR(VLOOKUP(E52,케이블트레이입.출고현황!V55:AA130,2,0),"")</f>
        <v/>
      </c>
      <c r="G52" s="19" t="str">
        <f>IFERROR(VLOOKUP(F52,케이블트레이입.출고현황!W55:AB130,2,0),"")</f>
        <v/>
      </c>
      <c r="H52" s="19" t="str">
        <f>IFERROR(VLOOKUP(G52,케이블트레이입.출고현황!X55:AC130,2,0),"")</f>
        <v/>
      </c>
      <c r="I52" s="19" t="str">
        <f>IFERROR(VLOOKUP(H52,케이블트레이입.출고현황!Y55:AD130,2,0),"")</f>
        <v/>
      </c>
      <c r="J52" s="10"/>
      <c r="K52" s="10"/>
      <c r="L52" s="37"/>
      <c r="M52" s="64"/>
      <c r="N52" s="6"/>
      <c r="P52" s="5"/>
    </row>
    <row r="53" spans="1:16" s="1" customFormat="1" ht="24" customHeight="1">
      <c r="A53" s="8">
        <v>13</v>
      </c>
      <c r="B53" s="9">
        <v>13</v>
      </c>
      <c r="C53" s="46"/>
      <c r="D53" s="10"/>
      <c r="E53" s="19" t="str">
        <f>IFERROR(VLOOKUP(D53,케이블트레이입.출고현황!U56:Z131,2,0),"")</f>
        <v/>
      </c>
      <c r="F53" s="19" t="str">
        <f>IFERROR(VLOOKUP(E53,케이블트레이입.출고현황!V56:AA131,2,0),"")</f>
        <v/>
      </c>
      <c r="G53" s="19" t="str">
        <f>IFERROR(VLOOKUP(F53,케이블트레이입.출고현황!W56:AB131,2,0),"")</f>
        <v/>
      </c>
      <c r="H53" s="19" t="str">
        <f>IFERROR(VLOOKUP(G53,케이블트레이입.출고현황!X56:AC131,2,0),"")</f>
        <v/>
      </c>
      <c r="I53" s="19" t="str">
        <f>IFERROR(VLOOKUP(H53,케이블트레이입.출고현황!Y56:AD131,2,0),"")</f>
        <v/>
      </c>
      <c r="J53" s="10"/>
      <c r="K53" s="10"/>
      <c r="L53" s="57"/>
      <c r="M53" s="81"/>
      <c r="N53" s="6"/>
      <c r="P53" s="5"/>
    </row>
    <row r="54" spans="1:16" s="1" customFormat="1" ht="24" customHeight="1">
      <c r="A54" s="8">
        <v>14</v>
      </c>
      <c r="B54" s="9">
        <v>14</v>
      </c>
      <c r="C54" s="46"/>
      <c r="D54" s="10"/>
      <c r="E54" s="19" t="str">
        <f>IFERROR(VLOOKUP(D54,케이블트레이입.출고현황!U57:Z132,2,0),"")</f>
        <v/>
      </c>
      <c r="F54" s="19" t="str">
        <f>IFERROR(VLOOKUP(E54,케이블트레이입.출고현황!V57:AA132,2,0),"")</f>
        <v/>
      </c>
      <c r="G54" s="19" t="str">
        <f>IFERROR(VLOOKUP(F54,케이블트레이입.출고현황!W57:AB132,2,0),"")</f>
        <v/>
      </c>
      <c r="H54" s="19" t="str">
        <f>IFERROR(VLOOKUP(G54,케이블트레이입.출고현황!X57:AC132,2,0),"")</f>
        <v/>
      </c>
      <c r="I54" s="19" t="str">
        <f>IFERROR(VLOOKUP(H54,케이블트레이입.출고현황!Y57:AD132,2,0),"")</f>
        <v/>
      </c>
      <c r="J54" s="10"/>
      <c r="K54" s="10"/>
      <c r="L54" s="57"/>
      <c r="M54" s="81"/>
      <c r="N54" s="6"/>
      <c r="P54" s="5"/>
    </row>
    <row r="55" spans="1:16" ht="24" customHeight="1">
      <c r="A55" s="8">
        <v>15</v>
      </c>
      <c r="B55" s="9">
        <v>15</v>
      </c>
      <c r="C55" s="46"/>
      <c r="D55" s="10"/>
      <c r="E55" s="19" t="str">
        <f>IFERROR(VLOOKUP(D55,케이블트레이입.출고현황!U58:Z133,2,0),"")</f>
        <v/>
      </c>
      <c r="F55" s="19" t="str">
        <f>IFERROR(VLOOKUP(E55,케이블트레이입.출고현황!V58:AA133,2,0),"")</f>
        <v/>
      </c>
      <c r="G55" s="19" t="str">
        <f>IFERROR(VLOOKUP(F55,케이블트레이입.출고현황!W58:AB133,2,0),"")</f>
        <v/>
      </c>
      <c r="H55" s="19" t="str">
        <f>IFERROR(VLOOKUP(G55,케이블트레이입.출고현황!X58:AC133,2,0),"")</f>
        <v/>
      </c>
      <c r="I55" s="19" t="str">
        <f>IFERROR(VLOOKUP(H55,케이블트레이입.출고현황!Y58:AD133,2,0),"")</f>
        <v/>
      </c>
      <c r="J55" s="9"/>
      <c r="K55" s="10"/>
      <c r="L55" s="37"/>
      <c r="M55" s="64"/>
      <c r="N55" s="6"/>
    </row>
    <row r="56" spans="1:16" ht="24" customHeight="1">
      <c r="A56" s="8">
        <v>16</v>
      </c>
      <c r="B56" s="9">
        <v>16</v>
      </c>
      <c r="C56" s="46"/>
      <c r="D56" s="9"/>
      <c r="E56" s="19" t="str">
        <f>IFERROR(VLOOKUP(D56,케이블트레이입.출고현황!U59:Z134,2,0),"")</f>
        <v/>
      </c>
      <c r="F56" s="19" t="str">
        <f>IFERROR(VLOOKUP(E56,케이블트레이입.출고현황!V59:AA134,2,0),"")</f>
        <v/>
      </c>
      <c r="G56" s="19" t="str">
        <f>IFERROR(VLOOKUP(F56,케이블트레이입.출고현황!W59:AB134,2,0),"")</f>
        <v/>
      </c>
      <c r="H56" s="19" t="str">
        <f>IFERROR(VLOOKUP(G56,케이블트레이입.출고현황!X59:AC134,2,0),"")</f>
        <v/>
      </c>
      <c r="I56" s="19" t="str">
        <f>IFERROR(VLOOKUP(H56,케이블트레이입.출고현황!Y59:AD134,2,0),"")</f>
        <v/>
      </c>
      <c r="J56" s="9"/>
      <c r="K56" s="9"/>
      <c r="L56" s="37"/>
      <c r="M56" s="64"/>
      <c r="N56" s="4"/>
    </row>
    <row r="57" spans="1:16" ht="24" customHeight="1">
      <c r="A57" s="8">
        <v>17</v>
      </c>
      <c r="B57" s="9">
        <v>17</v>
      </c>
      <c r="C57" s="46"/>
      <c r="D57" s="9"/>
      <c r="E57" s="19" t="str">
        <f>IFERROR(VLOOKUP(D57,케이블트레이입.출고현황!U60:Z135,2,0),"")</f>
        <v/>
      </c>
      <c r="F57" s="19" t="str">
        <f>IFERROR(VLOOKUP(E57,케이블트레이입.출고현황!V60:AA135,2,0),"")</f>
        <v/>
      </c>
      <c r="G57" s="19" t="str">
        <f>IFERROR(VLOOKUP(F57,케이블트레이입.출고현황!W60:AB135,2,0),"")</f>
        <v/>
      </c>
      <c r="H57" s="19" t="str">
        <f>IFERROR(VLOOKUP(G57,케이블트레이입.출고현황!X60:AC135,2,0),"")</f>
        <v/>
      </c>
      <c r="I57" s="19" t="str">
        <f>IFERROR(VLOOKUP(H57,케이블트레이입.출고현황!Y60:AD135,2,0),"")</f>
        <v/>
      </c>
      <c r="J57" s="9"/>
      <c r="K57" s="9"/>
      <c r="L57" s="37"/>
      <c r="M57" s="64"/>
      <c r="N57" s="4"/>
    </row>
    <row r="58" spans="1:16" ht="24" customHeight="1">
      <c r="A58" s="8">
        <v>18</v>
      </c>
      <c r="B58" s="9">
        <v>18</v>
      </c>
      <c r="C58" s="46"/>
      <c r="D58" s="9"/>
      <c r="E58" s="19" t="str">
        <f>IFERROR(VLOOKUP(D58,케이블트레이입.출고현황!U61:Z136,2,0),"")</f>
        <v/>
      </c>
      <c r="F58" s="19" t="str">
        <f>IFERROR(VLOOKUP(E58,케이블트레이입.출고현황!V61:AA136,2,0),"")</f>
        <v/>
      </c>
      <c r="G58" s="19" t="str">
        <f>IFERROR(VLOOKUP(F58,케이블트레이입.출고현황!W61:AB136,2,0),"")</f>
        <v/>
      </c>
      <c r="H58" s="19" t="str">
        <f>IFERROR(VLOOKUP(G58,케이블트레이입.출고현황!X61:AC136,2,0),"")</f>
        <v/>
      </c>
      <c r="I58" s="19" t="str">
        <f>IFERROR(VLOOKUP(H58,케이블트레이입.출고현황!Y61:AD136,2,0),"")</f>
        <v/>
      </c>
      <c r="J58" s="9"/>
      <c r="K58" s="9"/>
      <c r="L58" s="37"/>
      <c r="M58" s="64"/>
      <c r="N58" s="4"/>
    </row>
    <row r="59" spans="1:16" ht="24" customHeight="1">
      <c r="A59" s="8">
        <v>19</v>
      </c>
      <c r="B59" s="9">
        <v>19</v>
      </c>
      <c r="C59" s="46"/>
      <c r="D59" s="9"/>
      <c r="E59" s="19" t="str">
        <f>IFERROR(VLOOKUP(D59,케이블트레이입.출고현황!U62:Z137,2,0),"")</f>
        <v/>
      </c>
      <c r="F59" s="19" t="str">
        <f>IFERROR(VLOOKUP(E59,케이블트레이입.출고현황!V62:AA137,2,0),"")</f>
        <v/>
      </c>
      <c r="G59" s="19" t="str">
        <f>IFERROR(VLOOKUP(F59,케이블트레이입.출고현황!W62:AB137,2,0),"")</f>
        <v/>
      </c>
      <c r="H59" s="19" t="str">
        <f>IFERROR(VLOOKUP(G59,케이블트레이입.출고현황!X62:AC137,2,0),"")</f>
        <v/>
      </c>
      <c r="I59" s="19" t="str">
        <f>IFERROR(VLOOKUP(H59,케이블트레이입.출고현황!Y62:AD137,2,0),"")</f>
        <v/>
      </c>
      <c r="J59" s="9"/>
      <c r="K59" s="9"/>
      <c r="L59" s="37"/>
      <c r="M59" s="64"/>
      <c r="N59" s="4"/>
    </row>
    <row r="60" spans="1:16" ht="24" customHeight="1">
      <c r="A60" s="8">
        <v>20</v>
      </c>
      <c r="B60" s="9">
        <v>20</v>
      </c>
      <c r="C60" s="46"/>
      <c r="D60" s="9"/>
      <c r="E60" s="19" t="str">
        <f>IFERROR(VLOOKUP(D60,케이블트레이입.출고현황!U63:Z138,2,0),"")</f>
        <v/>
      </c>
      <c r="F60" s="19" t="str">
        <f>IFERROR(VLOOKUP(E60,케이블트레이입.출고현황!V63:AA138,2,0),"")</f>
        <v/>
      </c>
      <c r="G60" s="19" t="str">
        <f>IFERROR(VLOOKUP(F60,케이블트레이입.출고현황!W63:AB138,2,0),"")</f>
        <v/>
      </c>
      <c r="H60" s="19" t="str">
        <f>IFERROR(VLOOKUP(G60,케이블트레이입.출고현황!X63:AC138,2,0),"")</f>
        <v/>
      </c>
      <c r="I60" s="19" t="str">
        <f>IFERROR(VLOOKUP(H60,케이블트레이입.출고현황!Y63:AD138,2,0),"")</f>
        <v/>
      </c>
      <c r="J60" s="9"/>
      <c r="K60" s="9"/>
      <c r="L60" s="37"/>
      <c r="M60" s="64"/>
      <c r="N60" s="4"/>
    </row>
    <row r="61" spans="1:16" ht="24" customHeight="1">
      <c r="A61" s="8">
        <v>21</v>
      </c>
      <c r="B61" s="9">
        <v>21</v>
      </c>
      <c r="C61" s="46"/>
      <c r="D61" s="9"/>
      <c r="E61" s="19" t="str">
        <f>IFERROR(VLOOKUP(D61,케이블트레이입.출고현황!U64:Z139,2,0),"")</f>
        <v/>
      </c>
      <c r="F61" s="19" t="str">
        <f>IFERROR(VLOOKUP(E61,케이블트레이입.출고현황!V64:AA139,2,0),"")</f>
        <v/>
      </c>
      <c r="G61" s="19" t="str">
        <f>IFERROR(VLOOKUP(F61,케이블트레이입.출고현황!W64:AB139,2,0),"")</f>
        <v/>
      </c>
      <c r="H61" s="19" t="str">
        <f>IFERROR(VLOOKUP(G61,케이블트레이입.출고현황!X64:AC139,2,0),"")</f>
        <v/>
      </c>
      <c r="I61" s="19" t="str">
        <f>IFERROR(VLOOKUP(H61,케이블트레이입.출고현황!Y64:AD139,2,0),"")</f>
        <v/>
      </c>
      <c r="J61" s="9"/>
      <c r="K61" s="9"/>
      <c r="L61" s="37"/>
      <c r="M61" s="64"/>
      <c r="N61" s="4"/>
    </row>
    <row r="62" spans="1:16" ht="24" customHeight="1">
      <c r="A62" s="8">
        <v>22</v>
      </c>
      <c r="B62" s="9">
        <v>22</v>
      </c>
      <c r="C62" s="46"/>
      <c r="D62" s="9"/>
      <c r="E62" s="19" t="str">
        <f>IFERROR(VLOOKUP(D62,케이블트레이입.출고현황!U65:Z140,2,0),"")</f>
        <v/>
      </c>
      <c r="F62" s="19" t="str">
        <f>IFERROR(VLOOKUP(E62,케이블트레이입.출고현황!V65:AA140,2,0),"")</f>
        <v/>
      </c>
      <c r="G62" s="19" t="str">
        <f>IFERROR(VLOOKUP(F62,케이블트레이입.출고현황!W65:AB140,2,0),"")</f>
        <v/>
      </c>
      <c r="H62" s="19" t="str">
        <f>IFERROR(VLOOKUP(G62,케이블트레이입.출고현황!X65:AC140,2,0),"")</f>
        <v/>
      </c>
      <c r="I62" s="19" t="str">
        <f>IFERROR(VLOOKUP(H62,케이블트레이입.출고현황!Y65:AD140,2,0),"")</f>
        <v/>
      </c>
      <c r="J62" s="9"/>
      <c r="K62" s="9"/>
      <c r="L62" s="37"/>
      <c r="M62" s="64"/>
      <c r="N62" s="4"/>
    </row>
    <row r="63" spans="1:16" ht="24" customHeight="1">
      <c r="A63" s="8">
        <v>23</v>
      </c>
      <c r="B63" s="9">
        <v>23</v>
      </c>
      <c r="C63" s="46"/>
      <c r="D63" s="9"/>
      <c r="E63" s="19" t="str">
        <f>IFERROR(VLOOKUP(D63,케이블트레이입.출고현황!U66:Z141,2,0),"")</f>
        <v/>
      </c>
      <c r="F63" s="19" t="str">
        <f>IFERROR(VLOOKUP(E63,케이블트레이입.출고현황!V66:AA141,2,0),"")</f>
        <v/>
      </c>
      <c r="G63" s="19" t="str">
        <f>IFERROR(VLOOKUP(F63,케이블트레이입.출고현황!W66:AB141,2,0),"")</f>
        <v/>
      </c>
      <c r="H63" s="19" t="str">
        <f>IFERROR(VLOOKUP(G63,케이블트레이입.출고현황!X66:AC141,2,0),"")</f>
        <v/>
      </c>
      <c r="I63" s="19" t="str">
        <f>IFERROR(VLOOKUP(H63,케이블트레이입.출고현황!Y66:AD141,2,0),"")</f>
        <v/>
      </c>
      <c r="J63" s="9"/>
      <c r="K63" s="9"/>
      <c r="L63" s="37"/>
      <c r="M63" s="64"/>
      <c r="N63" s="4"/>
    </row>
    <row r="64" spans="1:16" ht="24" customHeight="1">
      <c r="A64" s="8">
        <v>24</v>
      </c>
      <c r="B64" s="9">
        <v>24</v>
      </c>
      <c r="C64" s="46"/>
      <c r="D64" s="9"/>
      <c r="E64" s="19" t="str">
        <f>IFERROR(VLOOKUP(D64,케이블트레이입.출고현황!U67:Z142,2,0),"")</f>
        <v/>
      </c>
      <c r="F64" s="19" t="str">
        <f>IFERROR(VLOOKUP(E64,케이블트레이입.출고현황!V67:AA142,2,0),"")</f>
        <v/>
      </c>
      <c r="G64" s="19" t="str">
        <f>IFERROR(VLOOKUP(F64,케이블트레이입.출고현황!W67:AB142,2,0),"")</f>
        <v/>
      </c>
      <c r="H64" s="19" t="str">
        <f>IFERROR(VLOOKUP(G64,케이블트레이입.출고현황!X67:AC142,2,0),"")</f>
        <v/>
      </c>
      <c r="I64" s="19" t="str">
        <f>IFERROR(VLOOKUP(H64,케이블트레이입.출고현황!Y67:AD142,2,0),"")</f>
        <v/>
      </c>
      <c r="J64" s="9"/>
      <c r="K64" s="9"/>
      <c r="L64" s="37"/>
      <c r="M64" s="64"/>
      <c r="N64" s="4"/>
    </row>
    <row r="65" spans="1:14" ht="24" customHeight="1">
      <c r="A65" s="8">
        <v>25</v>
      </c>
      <c r="B65" s="9">
        <v>25</v>
      </c>
      <c r="C65" s="46"/>
      <c r="D65" s="9"/>
      <c r="E65" s="19" t="str">
        <f>IFERROR(VLOOKUP(D65,케이블트레이입.출고현황!U68:Z143,2,0),"")</f>
        <v/>
      </c>
      <c r="F65" s="19" t="str">
        <f>IFERROR(VLOOKUP(E65,케이블트레이입.출고현황!V68:AA143,2,0),"")</f>
        <v/>
      </c>
      <c r="G65" s="19" t="str">
        <f>IFERROR(VLOOKUP(F65,케이블트레이입.출고현황!W68:AB143,2,0),"")</f>
        <v/>
      </c>
      <c r="H65" s="19" t="str">
        <f>IFERROR(VLOOKUP(G65,케이블트레이입.출고현황!X68:AC143,2,0),"")</f>
        <v/>
      </c>
      <c r="I65" s="19" t="str">
        <f>IFERROR(VLOOKUP(H65,케이블트레이입.출고현황!Y68:AD143,2,0),"")</f>
        <v/>
      </c>
      <c r="J65" s="9"/>
      <c r="K65" s="9"/>
      <c r="L65" s="37"/>
      <c r="M65" s="64"/>
      <c r="N65" s="4"/>
    </row>
    <row r="66" spans="1:14" ht="24" customHeight="1">
      <c r="A66" s="8">
        <v>26</v>
      </c>
      <c r="B66" s="9">
        <v>26</v>
      </c>
      <c r="C66" s="46"/>
      <c r="D66" s="9"/>
      <c r="E66" s="19" t="str">
        <f>IFERROR(VLOOKUP(D66,케이블트레이입.출고현황!U69:Z144,2,0),"")</f>
        <v/>
      </c>
      <c r="F66" s="19" t="str">
        <f>IFERROR(VLOOKUP(E66,케이블트레이입.출고현황!V69:AA144,2,0),"")</f>
        <v/>
      </c>
      <c r="G66" s="19" t="str">
        <f>IFERROR(VLOOKUP(F66,케이블트레이입.출고현황!W69:AB144,2,0),"")</f>
        <v/>
      </c>
      <c r="H66" s="19" t="str">
        <f>IFERROR(VLOOKUP(G66,케이블트레이입.출고현황!X69:AC144,2,0),"")</f>
        <v/>
      </c>
      <c r="I66" s="19" t="str">
        <f>IFERROR(VLOOKUP(H66,케이블트레이입.출고현황!Y69:AD144,2,0),"")</f>
        <v/>
      </c>
      <c r="J66" s="9"/>
      <c r="K66" s="9"/>
      <c r="L66" s="37"/>
      <c r="M66" s="64"/>
      <c r="N66" s="4"/>
    </row>
    <row r="67" spans="1:14" ht="24" customHeight="1">
      <c r="A67" s="8">
        <v>27</v>
      </c>
      <c r="B67" s="9">
        <v>27</v>
      </c>
      <c r="C67" s="46"/>
      <c r="D67" s="9"/>
      <c r="E67" s="19" t="str">
        <f>IFERROR(VLOOKUP(D67,케이블트레이입.출고현황!U70:Z145,2,0),"")</f>
        <v/>
      </c>
      <c r="F67" s="19" t="str">
        <f>IFERROR(VLOOKUP(E67,케이블트레이입.출고현황!V70:AA145,2,0),"")</f>
        <v/>
      </c>
      <c r="G67" s="19" t="str">
        <f>IFERROR(VLOOKUP(F67,케이블트레이입.출고현황!W70:AB145,2,0),"")</f>
        <v/>
      </c>
      <c r="H67" s="19" t="str">
        <f>IFERROR(VLOOKUP(G67,케이블트레이입.출고현황!X70:AC145,2,0),"")</f>
        <v/>
      </c>
      <c r="I67" s="19" t="str">
        <f>IFERROR(VLOOKUP(H67,케이블트레이입.출고현황!Y70:AD145,2,0),"")</f>
        <v/>
      </c>
      <c r="J67" s="9"/>
      <c r="K67" s="9"/>
      <c r="L67" s="37"/>
      <c r="M67" s="64"/>
      <c r="N67" s="4"/>
    </row>
    <row r="68" spans="1:14" ht="24" customHeight="1">
      <c r="A68" s="8">
        <v>28</v>
      </c>
      <c r="B68" s="9">
        <v>28</v>
      </c>
      <c r="C68" s="46"/>
      <c r="D68" s="9"/>
      <c r="E68" s="19" t="str">
        <f>IFERROR(VLOOKUP(D68,케이블트레이입.출고현황!U71:Z146,2,0),"")</f>
        <v/>
      </c>
      <c r="F68" s="19" t="str">
        <f>IFERROR(VLOOKUP(E68,케이블트레이입.출고현황!V71:AA146,2,0),"")</f>
        <v/>
      </c>
      <c r="G68" s="19" t="str">
        <f>IFERROR(VLOOKUP(F68,케이블트레이입.출고현황!W71:AB146,2,0),"")</f>
        <v/>
      </c>
      <c r="H68" s="19" t="str">
        <f>IFERROR(VLOOKUP(G68,케이블트레이입.출고현황!X71:AC146,2,0),"")</f>
        <v/>
      </c>
      <c r="I68" s="19" t="str">
        <f>IFERROR(VLOOKUP(H68,케이블트레이입.출고현황!Y71:AD146,2,0),"")</f>
        <v/>
      </c>
      <c r="J68" s="9"/>
      <c r="K68" s="9"/>
      <c r="L68" s="37"/>
      <c r="M68" s="64"/>
      <c r="N68" s="4"/>
    </row>
    <row r="69" spans="1:14" ht="24" customHeight="1">
      <c r="A69" s="8">
        <v>29</v>
      </c>
      <c r="B69" s="9">
        <v>29</v>
      </c>
      <c r="C69" s="46"/>
      <c r="D69" s="9"/>
      <c r="E69" s="19" t="str">
        <f>IFERROR(VLOOKUP(D69,케이블트레이입.출고현황!U72:Z147,2,0),"")</f>
        <v/>
      </c>
      <c r="F69" s="19" t="str">
        <f>IFERROR(VLOOKUP(E69,케이블트레이입.출고현황!V72:AA147,2,0),"")</f>
        <v/>
      </c>
      <c r="G69" s="19" t="str">
        <f>IFERROR(VLOOKUP(F69,케이블트레이입.출고현황!W72:AB147,2,0),"")</f>
        <v/>
      </c>
      <c r="H69" s="19" t="str">
        <f>IFERROR(VLOOKUP(G69,케이블트레이입.출고현황!X72:AC147,2,0),"")</f>
        <v/>
      </c>
      <c r="I69" s="19" t="str">
        <f>IFERROR(VLOOKUP(H69,케이블트레이입.출고현황!Y72:AD147,2,0),"")</f>
        <v/>
      </c>
      <c r="J69" s="9"/>
      <c r="K69" s="9"/>
      <c r="L69" s="37"/>
      <c r="M69" s="64"/>
      <c r="N69" s="4"/>
    </row>
    <row r="70" spans="1:14" ht="24" customHeight="1">
      <c r="A70" s="8">
        <v>30</v>
      </c>
      <c r="B70" s="9">
        <v>30</v>
      </c>
      <c r="C70" s="46"/>
      <c r="D70" s="9"/>
      <c r="E70" s="19" t="str">
        <f>IFERROR(VLOOKUP(D70,케이블트레이입.출고현황!U73:Z148,2,0),"")</f>
        <v/>
      </c>
      <c r="F70" s="19" t="str">
        <f>IFERROR(VLOOKUP(E70,케이블트레이입.출고현황!V73:AA148,2,0),"")</f>
        <v/>
      </c>
      <c r="G70" s="19" t="str">
        <f>IFERROR(VLOOKUP(F70,케이블트레이입.출고현황!W73:AB148,2,0),"")</f>
        <v/>
      </c>
      <c r="H70" s="19" t="str">
        <f>IFERROR(VLOOKUP(G70,케이블트레이입.출고현황!X73:AC148,2,0),"")</f>
        <v/>
      </c>
      <c r="I70" s="19" t="str">
        <f>IFERROR(VLOOKUP(H70,케이블트레이입.출고현황!Y73:AD148,2,0),"")</f>
        <v/>
      </c>
      <c r="J70" s="9"/>
      <c r="K70" s="9"/>
      <c r="L70" s="37"/>
      <c r="M70" s="64"/>
      <c r="N70" s="4"/>
    </row>
    <row r="71" spans="1:14" ht="24" customHeight="1">
      <c r="A71" s="8">
        <v>31</v>
      </c>
      <c r="B71" s="9">
        <v>31</v>
      </c>
      <c r="C71" s="46"/>
      <c r="D71" s="9"/>
      <c r="E71" s="19" t="str">
        <f>IFERROR(VLOOKUP(D71,케이블트레이입.출고현황!U74:Z149,2,0),"")</f>
        <v/>
      </c>
      <c r="F71" s="19" t="str">
        <f>IFERROR(VLOOKUP(E71,케이블트레이입.출고현황!V74:AA149,2,0),"")</f>
        <v/>
      </c>
      <c r="G71" s="19" t="str">
        <f>IFERROR(VLOOKUP(F71,케이블트레이입.출고현황!W74:AB149,2,0),"")</f>
        <v/>
      </c>
      <c r="H71" s="19" t="str">
        <f>IFERROR(VLOOKUP(G71,케이블트레이입.출고현황!X74:AC149,2,0),"")</f>
        <v/>
      </c>
      <c r="I71" s="19" t="str">
        <f>IFERROR(VLOOKUP(H71,케이블트레이입.출고현황!Y74:AD149,2,0),"")</f>
        <v/>
      </c>
      <c r="J71" s="9"/>
      <c r="K71" s="9"/>
      <c r="L71" s="37"/>
      <c r="M71" s="64"/>
      <c r="N71" s="4"/>
    </row>
    <row r="72" spans="1:14" ht="24" customHeight="1">
      <c r="A72" s="8">
        <v>32</v>
      </c>
      <c r="B72" s="9">
        <v>32</v>
      </c>
      <c r="C72" s="46"/>
      <c r="D72" s="9"/>
      <c r="E72" s="19" t="str">
        <f>IFERROR(VLOOKUP(D72,케이블트레이입.출고현황!U75:Z150,2,0),"")</f>
        <v/>
      </c>
      <c r="F72" s="19" t="str">
        <f>IFERROR(VLOOKUP(E72,케이블트레이입.출고현황!V75:AA150,2,0),"")</f>
        <v/>
      </c>
      <c r="G72" s="19" t="str">
        <f>IFERROR(VLOOKUP(F72,케이블트레이입.출고현황!W75:AB150,2,0),"")</f>
        <v/>
      </c>
      <c r="H72" s="19" t="str">
        <f>IFERROR(VLOOKUP(G72,케이블트레이입.출고현황!X75:AC150,2,0),"")</f>
        <v/>
      </c>
      <c r="I72" s="19" t="str">
        <f>IFERROR(VLOOKUP(H72,케이블트레이입.출고현황!Y75:AD150,2,0),"")</f>
        <v/>
      </c>
      <c r="J72" s="9"/>
      <c r="K72" s="9"/>
      <c r="L72" s="37"/>
      <c r="M72" s="64"/>
      <c r="N72" s="4"/>
    </row>
    <row r="73" spans="1:14" ht="24" customHeight="1">
      <c r="A73" s="8">
        <v>33</v>
      </c>
      <c r="B73" s="9">
        <v>33</v>
      </c>
      <c r="C73" s="46"/>
      <c r="D73" s="9"/>
      <c r="E73" s="19" t="str">
        <f>IFERROR(VLOOKUP(D73,케이블트레이입.출고현황!U76:Z151,2,0),"")</f>
        <v/>
      </c>
      <c r="F73" s="19" t="str">
        <f>IFERROR(VLOOKUP(E73,케이블트레이입.출고현황!V76:AA151,2,0),"")</f>
        <v/>
      </c>
      <c r="G73" s="19" t="str">
        <f>IFERROR(VLOOKUP(F73,케이블트레이입.출고현황!W76:AB151,2,0),"")</f>
        <v/>
      </c>
      <c r="H73" s="19" t="str">
        <f>IFERROR(VLOOKUP(G73,케이블트레이입.출고현황!X76:AC151,2,0),"")</f>
        <v/>
      </c>
      <c r="I73" s="19" t="str">
        <f>IFERROR(VLOOKUP(H73,케이블트레이입.출고현황!Y76:AD151,2,0),"")</f>
        <v/>
      </c>
      <c r="J73" s="9"/>
      <c r="K73" s="9"/>
      <c r="L73" s="37"/>
      <c r="M73" s="64"/>
      <c r="N73" s="4"/>
    </row>
    <row r="74" spans="1:14" ht="24" customHeight="1">
      <c r="A74" s="8">
        <v>34</v>
      </c>
      <c r="B74" s="9">
        <v>34</v>
      </c>
      <c r="C74" s="46"/>
      <c r="D74" s="9"/>
      <c r="E74" s="19" t="str">
        <f>IFERROR(VLOOKUP(D74,케이블트레이입.출고현황!U77:Z152,2,0),"")</f>
        <v/>
      </c>
      <c r="F74" s="19" t="str">
        <f>IFERROR(VLOOKUP(E74,케이블트레이입.출고현황!V77:AA152,2,0),"")</f>
        <v/>
      </c>
      <c r="G74" s="19" t="str">
        <f>IFERROR(VLOOKUP(F74,케이블트레이입.출고현황!W77:AB152,2,0),"")</f>
        <v/>
      </c>
      <c r="H74" s="19" t="str">
        <f>IFERROR(VLOOKUP(G74,케이블트레이입.출고현황!X77:AC152,2,0),"")</f>
        <v/>
      </c>
      <c r="I74" s="19" t="str">
        <f>IFERROR(VLOOKUP(H74,케이블트레이입.출고현황!Y77:AD152,2,0),"")</f>
        <v/>
      </c>
      <c r="J74" s="9"/>
      <c r="K74" s="9"/>
      <c r="L74" s="37"/>
      <c r="M74" s="64"/>
      <c r="N74" s="42"/>
    </row>
    <row r="75" spans="1:14" ht="24" customHeight="1">
      <c r="A75" s="8">
        <v>35</v>
      </c>
      <c r="B75" s="9">
        <v>35</v>
      </c>
      <c r="C75" s="46"/>
      <c r="D75" s="9"/>
      <c r="E75" s="19" t="str">
        <f>IFERROR(VLOOKUP(D75,케이블트레이입.출고현황!U78:Z153,2,0),"")</f>
        <v/>
      </c>
      <c r="F75" s="19" t="str">
        <f>IFERROR(VLOOKUP(E75,케이블트레이입.출고현황!V78:AA153,2,0),"")</f>
        <v/>
      </c>
      <c r="G75" s="19" t="str">
        <f>IFERROR(VLOOKUP(F75,케이블트레이입.출고현황!W78:AB153,2,0),"")</f>
        <v/>
      </c>
      <c r="H75" s="19" t="str">
        <f>IFERROR(VLOOKUP(G75,케이블트레이입.출고현황!X78:AC153,2,0),"")</f>
        <v/>
      </c>
      <c r="I75" s="19" t="str">
        <f>IFERROR(VLOOKUP(H75,케이블트레이입.출고현황!Y78:AD153,2,0),"")</f>
        <v/>
      </c>
      <c r="J75" s="9"/>
      <c r="K75" s="9"/>
      <c r="L75" s="37"/>
      <c r="M75" s="64"/>
      <c r="N75" s="42"/>
    </row>
    <row r="76" spans="1:14" ht="24" customHeight="1">
      <c r="A76" s="8">
        <v>36</v>
      </c>
      <c r="B76" s="9">
        <v>36</v>
      </c>
      <c r="C76" s="46"/>
      <c r="D76" s="9"/>
      <c r="E76" s="19" t="str">
        <f>IFERROR(VLOOKUP(D76,케이블트레이입.출고현황!U79:Z154,2,0),"")</f>
        <v/>
      </c>
      <c r="F76" s="19" t="str">
        <f>IFERROR(VLOOKUP(E76,케이블트레이입.출고현황!V79:AA154,2,0),"")</f>
        <v/>
      </c>
      <c r="G76" s="19" t="str">
        <f>IFERROR(VLOOKUP(F76,케이블트레이입.출고현황!W79:AB154,2,0),"")</f>
        <v/>
      </c>
      <c r="H76" s="19" t="str">
        <f>IFERROR(VLOOKUP(G76,케이블트레이입.출고현황!X79:AC154,2,0),"")</f>
        <v/>
      </c>
      <c r="I76" s="19" t="str">
        <f>IFERROR(VLOOKUP(H76,케이블트레이입.출고현황!Y79:AD154,2,0),"")</f>
        <v/>
      </c>
      <c r="J76" s="9"/>
      <c r="K76" s="9"/>
      <c r="L76" s="37"/>
      <c r="M76" s="64"/>
      <c r="N76" s="42"/>
    </row>
    <row r="77" spans="1:14" ht="24" customHeight="1">
      <c r="A77" s="8">
        <v>37</v>
      </c>
      <c r="B77" s="9">
        <v>37</v>
      </c>
      <c r="C77" s="46"/>
      <c r="D77" s="9"/>
      <c r="E77" s="19" t="str">
        <f>IFERROR(VLOOKUP(D77,케이블트레이입.출고현황!U80:Z155,2,0),"")</f>
        <v/>
      </c>
      <c r="F77" s="19" t="str">
        <f>IFERROR(VLOOKUP(E77,케이블트레이입.출고현황!V80:AA155,2,0),"")</f>
        <v/>
      </c>
      <c r="G77" s="19" t="str">
        <f>IFERROR(VLOOKUP(F77,케이블트레이입.출고현황!W80:AB155,2,0),"")</f>
        <v/>
      </c>
      <c r="H77" s="19" t="str">
        <f>IFERROR(VLOOKUP(G77,케이블트레이입.출고현황!X80:AC155,2,0),"")</f>
        <v/>
      </c>
      <c r="I77" s="19" t="str">
        <f>IFERROR(VLOOKUP(H77,케이블트레이입.출고현황!Y80:AD155,2,0),"")</f>
        <v/>
      </c>
      <c r="J77" s="9"/>
      <c r="K77" s="9"/>
      <c r="L77" s="37"/>
      <c r="M77" s="64"/>
      <c r="N77" s="42"/>
    </row>
    <row r="78" spans="1:14" ht="24" customHeight="1">
      <c r="A78" s="8">
        <v>38</v>
      </c>
      <c r="B78" s="9">
        <v>38</v>
      </c>
      <c r="C78" s="46"/>
      <c r="D78" s="9"/>
      <c r="E78" s="19" t="str">
        <f>IFERROR(VLOOKUP(D78,케이블트레이입.출고현황!U81:Z156,2,0),"")</f>
        <v/>
      </c>
      <c r="F78" s="19" t="str">
        <f>IFERROR(VLOOKUP(E78,케이블트레이입.출고현황!V81:AA156,2,0),"")</f>
        <v/>
      </c>
      <c r="G78" s="19" t="str">
        <f>IFERROR(VLOOKUP(F78,케이블트레이입.출고현황!W81:AB156,2,0),"")</f>
        <v/>
      </c>
      <c r="H78" s="19" t="str">
        <f>IFERROR(VLOOKUP(G78,케이블트레이입.출고현황!X81:AC156,2,0),"")</f>
        <v/>
      </c>
      <c r="I78" s="19" t="str">
        <f>IFERROR(VLOOKUP(H78,케이블트레이입.출고현황!Y81:AD156,2,0),"")</f>
        <v/>
      </c>
      <c r="J78" s="9"/>
      <c r="K78" s="9"/>
      <c r="L78" s="37"/>
      <c r="M78" s="64"/>
      <c r="N78" s="42"/>
    </row>
    <row r="79" spans="1:14" ht="24" customHeight="1">
      <c r="A79" s="8">
        <v>39</v>
      </c>
      <c r="B79" s="9">
        <v>39</v>
      </c>
      <c r="C79" s="46"/>
      <c r="D79" s="9"/>
      <c r="E79" s="19" t="str">
        <f>IFERROR(VLOOKUP(D79,케이블트레이입.출고현황!U82:Z157,2,0),"")</f>
        <v/>
      </c>
      <c r="F79" s="19" t="str">
        <f>IFERROR(VLOOKUP(E79,케이블트레이입.출고현황!V82:AA157,2,0),"")</f>
        <v/>
      </c>
      <c r="G79" s="19" t="str">
        <f>IFERROR(VLOOKUP(F79,케이블트레이입.출고현황!W82:AB157,2,0),"")</f>
        <v/>
      </c>
      <c r="H79" s="19" t="str">
        <f>IFERROR(VLOOKUP(G79,케이블트레이입.출고현황!X82:AC157,2,0),"")</f>
        <v/>
      </c>
      <c r="I79" s="19" t="str">
        <f>IFERROR(VLOOKUP(H79,케이블트레이입.출고현황!Y82:AD157,2,0),"")</f>
        <v/>
      </c>
      <c r="J79" s="9"/>
      <c r="K79" s="9"/>
      <c r="L79" s="37"/>
      <c r="M79" s="64"/>
      <c r="N79" s="42"/>
    </row>
    <row r="80" spans="1:14" ht="24" customHeight="1">
      <c r="A80" s="8">
        <v>40</v>
      </c>
      <c r="B80" s="9">
        <v>40</v>
      </c>
      <c r="C80" s="46"/>
      <c r="D80" s="9"/>
      <c r="E80" s="19" t="str">
        <f>IFERROR(VLOOKUP(D80,케이블트레이입.출고현황!U83:Z158,2,0),"")</f>
        <v/>
      </c>
      <c r="F80" s="19" t="str">
        <f>IFERROR(VLOOKUP(E80,케이블트레이입.출고현황!V83:AA158,2,0),"")</f>
        <v/>
      </c>
      <c r="G80" s="19" t="str">
        <f>IFERROR(VLOOKUP(F80,케이블트레이입.출고현황!W83:AB158,2,0),"")</f>
        <v/>
      </c>
      <c r="H80" s="19" t="str">
        <f>IFERROR(VLOOKUP(G80,케이블트레이입.출고현황!X83:AC158,2,0),"")</f>
        <v/>
      </c>
      <c r="I80" s="19" t="str">
        <f>IFERROR(VLOOKUP(H80,케이블트레이입.출고현황!Y83:AD158,2,0),"")</f>
        <v/>
      </c>
      <c r="J80" s="9"/>
      <c r="K80" s="9"/>
      <c r="L80" s="37"/>
      <c r="M80" s="64"/>
      <c r="N80" s="42"/>
    </row>
    <row r="81" spans="1:14" ht="24" customHeight="1">
      <c r="A81" s="8">
        <v>41</v>
      </c>
      <c r="B81" s="9">
        <v>41</v>
      </c>
      <c r="C81" s="46"/>
      <c r="D81" s="9"/>
      <c r="E81" s="19" t="str">
        <f>IFERROR(VLOOKUP(D81,케이블트레이입.출고현황!U84:Z159,2,0),"")</f>
        <v/>
      </c>
      <c r="F81" s="19" t="str">
        <f>IFERROR(VLOOKUP(E81,케이블트레이입.출고현황!V84:AA159,2,0),"")</f>
        <v/>
      </c>
      <c r="G81" s="19" t="str">
        <f>IFERROR(VLOOKUP(F81,케이블트레이입.출고현황!W84:AB159,2,0),"")</f>
        <v/>
      </c>
      <c r="H81" s="19" t="str">
        <f>IFERROR(VLOOKUP(G81,케이블트레이입.출고현황!X84:AC159,2,0),"")</f>
        <v/>
      </c>
      <c r="I81" s="19" t="str">
        <f>IFERROR(VLOOKUP(H81,케이블트레이입.출고현황!Y84:AD159,2,0),"")</f>
        <v/>
      </c>
      <c r="J81" s="9"/>
      <c r="K81" s="9"/>
      <c r="L81" s="37"/>
      <c r="M81" s="64"/>
      <c r="N81" s="42"/>
    </row>
    <row r="82" spans="1:14" ht="24" customHeight="1">
      <c r="A82" s="8">
        <v>42</v>
      </c>
      <c r="B82" s="9">
        <v>42</v>
      </c>
      <c r="C82" s="46"/>
      <c r="D82" s="9"/>
      <c r="E82" s="19" t="str">
        <f>IFERROR(VLOOKUP(D82,케이블트레이입.출고현황!U85:Z160,2,0),"")</f>
        <v/>
      </c>
      <c r="F82" s="19" t="str">
        <f>IFERROR(VLOOKUP(E82,케이블트레이입.출고현황!V85:AA160,2,0),"")</f>
        <v/>
      </c>
      <c r="G82" s="19" t="str">
        <f>IFERROR(VLOOKUP(F82,케이블트레이입.출고현황!W85:AB160,2,0),"")</f>
        <v/>
      </c>
      <c r="H82" s="19" t="str">
        <f>IFERROR(VLOOKUP(G82,케이블트레이입.출고현황!X85:AC160,2,0),"")</f>
        <v/>
      </c>
      <c r="I82" s="19" t="str">
        <f>IFERROR(VLOOKUP(H82,케이블트레이입.출고현황!Y85:AD160,2,0),"")</f>
        <v/>
      </c>
      <c r="J82" s="9"/>
      <c r="K82" s="9"/>
      <c r="L82" s="37"/>
      <c r="M82" s="64"/>
      <c r="N82" s="42"/>
    </row>
    <row r="83" spans="1:14" ht="24" customHeight="1">
      <c r="A83" s="8">
        <v>43</v>
      </c>
      <c r="B83" s="9">
        <v>43</v>
      </c>
      <c r="C83" s="46"/>
      <c r="D83" s="9"/>
      <c r="E83" s="19" t="str">
        <f>IFERROR(VLOOKUP(D83,케이블트레이입.출고현황!U86:Z161,2,0),"")</f>
        <v/>
      </c>
      <c r="F83" s="19" t="str">
        <f>IFERROR(VLOOKUP(E83,케이블트레이입.출고현황!V86:AA161,2,0),"")</f>
        <v/>
      </c>
      <c r="G83" s="19" t="str">
        <f>IFERROR(VLOOKUP(F83,케이블트레이입.출고현황!W86:AB161,2,0),"")</f>
        <v/>
      </c>
      <c r="H83" s="19" t="str">
        <f>IFERROR(VLOOKUP(G83,케이블트레이입.출고현황!X86:AC161,2,0),"")</f>
        <v/>
      </c>
      <c r="I83" s="19" t="str">
        <f>IFERROR(VLOOKUP(H83,케이블트레이입.출고현황!Y86:AD161,2,0),"")</f>
        <v/>
      </c>
      <c r="J83" s="9">
        <v>4</v>
      </c>
      <c r="K83" s="9"/>
      <c r="L83" s="37"/>
      <c r="M83" s="64"/>
      <c r="N83" s="42"/>
    </row>
    <row r="84" spans="1:14" ht="24" customHeight="1">
      <c r="A84" s="8">
        <v>44</v>
      </c>
      <c r="B84" s="9">
        <v>44</v>
      </c>
      <c r="C84" s="46"/>
      <c r="D84" s="9"/>
      <c r="E84" s="19" t="str">
        <f>IFERROR(VLOOKUP(D84,케이블트레이입.출고현황!U87:Z162,2,0),"")</f>
        <v/>
      </c>
      <c r="F84" s="19" t="str">
        <f>IFERROR(VLOOKUP(E84,케이블트레이입.출고현황!V87:AA162,2,0),"")</f>
        <v/>
      </c>
      <c r="G84" s="19" t="str">
        <f>IFERROR(VLOOKUP(F84,케이블트레이입.출고현황!W87:AB162,2,0),"")</f>
        <v/>
      </c>
      <c r="H84" s="19" t="str">
        <f>IFERROR(VLOOKUP(G84,케이블트레이입.출고현황!X87:AC162,2,0),"")</f>
        <v/>
      </c>
      <c r="I84" s="19" t="str">
        <f>IFERROR(VLOOKUP(H84,케이블트레이입.출고현황!Y87:AD162,2,0),"")</f>
        <v/>
      </c>
      <c r="J84" s="9">
        <v>4</v>
      </c>
      <c r="K84" s="9"/>
      <c r="L84" s="37"/>
      <c r="M84" s="64"/>
      <c r="N84" s="42"/>
    </row>
    <row r="85" spans="1:14" ht="24" customHeight="1">
      <c r="A85" s="8">
        <v>45</v>
      </c>
      <c r="B85" s="9">
        <v>45</v>
      </c>
      <c r="C85" s="46"/>
      <c r="D85" s="9"/>
      <c r="E85" s="19" t="str">
        <f>IFERROR(VLOOKUP(D85,케이블트레이입.출고현황!U88:Z163,2,0),"")</f>
        <v/>
      </c>
      <c r="F85" s="19" t="str">
        <f>IFERROR(VLOOKUP(E85,케이블트레이입.출고현황!V88:AA163,2,0),"")</f>
        <v/>
      </c>
      <c r="G85" s="19" t="str">
        <f>IFERROR(VLOOKUP(F85,케이블트레이입.출고현황!W88:AB163,2,0),"")</f>
        <v/>
      </c>
      <c r="H85" s="19" t="str">
        <f>IFERROR(VLOOKUP(G85,케이블트레이입.출고현황!X88:AC163,2,0),"")</f>
        <v/>
      </c>
      <c r="I85" s="19" t="str">
        <f>IFERROR(VLOOKUP(H85,케이블트레이입.출고현황!Y88:AD163,2,0),"")</f>
        <v/>
      </c>
      <c r="J85" s="9">
        <v>3</v>
      </c>
      <c r="K85" s="9"/>
      <c r="L85" s="37"/>
      <c r="M85" s="64"/>
      <c r="N85" s="42"/>
    </row>
    <row r="86" spans="1:14" ht="24" customHeight="1">
      <c r="A86" s="8">
        <v>46</v>
      </c>
      <c r="B86" s="9">
        <v>46</v>
      </c>
      <c r="C86" s="46"/>
      <c r="D86" s="9"/>
      <c r="E86" s="19" t="str">
        <f>IFERROR(VLOOKUP(D86,케이블트레이입.출고현황!U89:Z164,2,0),"")</f>
        <v/>
      </c>
      <c r="F86" s="19" t="str">
        <f>IFERROR(VLOOKUP(E86,케이블트레이입.출고현황!V89:AA164,2,0),"")</f>
        <v/>
      </c>
      <c r="G86" s="19" t="str">
        <f>IFERROR(VLOOKUP(F86,케이블트레이입.출고현황!W89:AB164,2,0),"")</f>
        <v/>
      </c>
      <c r="H86" s="19" t="str">
        <f>IFERROR(VLOOKUP(G86,케이블트레이입.출고현황!X89:AC164,2,0),"")</f>
        <v/>
      </c>
      <c r="I86" s="19" t="str">
        <f>IFERROR(VLOOKUP(H86,케이블트레이입.출고현황!Y89:AD164,2,0),"")</f>
        <v/>
      </c>
      <c r="J86" s="9">
        <v>3</v>
      </c>
      <c r="K86" s="9"/>
      <c r="L86" s="37"/>
      <c r="M86" s="64"/>
      <c r="N86" s="42"/>
    </row>
    <row r="87" spans="1:14" ht="24" customHeight="1">
      <c r="A87" s="8">
        <v>47</v>
      </c>
      <c r="B87" s="9">
        <v>47</v>
      </c>
      <c r="C87" s="46"/>
      <c r="D87" s="9"/>
      <c r="E87" s="19" t="str">
        <f>IFERROR(VLOOKUP(D87,케이블트레이입.출고현황!U90:Z165,2,0),"")</f>
        <v/>
      </c>
      <c r="F87" s="19" t="str">
        <f>IFERROR(VLOOKUP(E87,케이블트레이입.출고현황!V90:AA165,2,0),"")</f>
        <v/>
      </c>
      <c r="G87" s="19" t="str">
        <f>IFERROR(VLOOKUP(F87,케이블트레이입.출고현황!W90:AB165,2,0),"")</f>
        <v/>
      </c>
      <c r="H87" s="19" t="str">
        <f>IFERROR(VLOOKUP(G87,케이블트레이입.출고현황!X90:AC165,2,0),"")</f>
        <v/>
      </c>
      <c r="I87" s="19" t="str">
        <f>IFERROR(VLOOKUP(H87,케이블트레이입.출고현황!Y90:AD165,2,0),"")</f>
        <v/>
      </c>
      <c r="J87" s="9">
        <v>3</v>
      </c>
      <c r="K87" s="9"/>
      <c r="L87" s="37"/>
      <c r="M87" s="64"/>
      <c r="N87" s="42"/>
    </row>
    <row r="88" spans="1:14" ht="24" customHeight="1">
      <c r="A88" s="8">
        <v>48</v>
      </c>
      <c r="B88" s="9">
        <v>48</v>
      </c>
      <c r="C88" s="46"/>
      <c r="D88" s="9"/>
      <c r="E88" s="19" t="str">
        <f>IFERROR(VLOOKUP(D88,케이블트레이입.출고현황!U91:Z166,2,0),"")</f>
        <v/>
      </c>
      <c r="F88" s="19" t="str">
        <f>IFERROR(VLOOKUP(E88,케이블트레이입.출고현황!V91:AA166,2,0),"")</f>
        <v/>
      </c>
      <c r="G88" s="19" t="str">
        <f>IFERROR(VLOOKUP(F88,케이블트레이입.출고현황!W91:AB166,2,0),"")</f>
        <v/>
      </c>
      <c r="H88" s="19" t="str">
        <f>IFERROR(VLOOKUP(G88,케이블트레이입.출고현황!X91:AC166,2,0),"")</f>
        <v/>
      </c>
      <c r="I88" s="19" t="str">
        <f>IFERROR(VLOOKUP(H88,케이블트레이입.출고현황!Y91:AD166,2,0),"")</f>
        <v/>
      </c>
      <c r="J88" s="9"/>
      <c r="K88" s="9"/>
      <c r="L88" s="37"/>
      <c r="M88" s="64"/>
      <c r="N88" s="42"/>
    </row>
    <row r="89" spans="1:14" ht="24" customHeight="1">
      <c r="A89" s="8">
        <v>49</v>
      </c>
      <c r="B89" s="9">
        <v>49</v>
      </c>
      <c r="C89" s="46"/>
      <c r="D89" s="9"/>
      <c r="E89" s="19" t="str">
        <f>IFERROR(VLOOKUP(D89,케이블트레이입.출고현황!U92:Z167,2,0),"")</f>
        <v/>
      </c>
      <c r="F89" s="19" t="str">
        <f>IFERROR(VLOOKUP(E89,케이블트레이입.출고현황!V92:AA167,2,0),"")</f>
        <v/>
      </c>
      <c r="G89" s="19" t="str">
        <f>IFERROR(VLOOKUP(F89,케이블트레이입.출고현황!W92:AB167,2,0),"")</f>
        <v/>
      </c>
      <c r="H89" s="19" t="str">
        <f>IFERROR(VLOOKUP(G89,케이블트레이입.출고현황!X92:AC167,2,0),"")</f>
        <v/>
      </c>
      <c r="I89" s="19" t="str">
        <f>IFERROR(VLOOKUP(H89,케이블트레이입.출고현황!Y92:AD167,2,0),"")</f>
        <v/>
      </c>
      <c r="J89" s="9"/>
      <c r="K89" s="9"/>
      <c r="L89" s="37"/>
      <c r="M89" s="64"/>
      <c r="N89" s="42"/>
    </row>
    <row r="90" spans="1:14" ht="24" customHeight="1">
      <c r="A90" s="8">
        <v>50</v>
      </c>
      <c r="B90" s="9">
        <v>50</v>
      </c>
      <c r="C90" s="46"/>
      <c r="D90" s="9"/>
      <c r="E90" s="19" t="str">
        <f>IFERROR(VLOOKUP(D90,케이블트레이입.출고현황!U93:Z168,2,0),"")</f>
        <v/>
      </c>
      <c r="F90" s="19" t="str">
        <f>IFERROR(VLOOKUP(E90,케이블트레이입.출고현황!V93:AA168,2,0),"")</f>
        <v/>
      </c>
      <c r="G90" s="19" t="str">
        <f>IFERROR(VLOOKUP(F90,케이블트레이입.출고현황!W93:AB168,2,0),"")</f>
        <v/>
      </c>
      <c r="H90" s="19" t="str">
        <f>IFERROR(VLOOKUP(G90,케이블트레이입.출고현황!X93:AC168,2,0),"")</f>
        <v/>
      </c>
      <c r="I90" s="19" t="str">
        <f>IFERROR(VLOOKUP(H90,케이블트레이입.출고현황!Y93:AD168,2,0),"")</f>
        <v/>
      </c>
      <c r="J90" s="9">
        <v>4</v>
      </c>
      <c r="K90" s="9"/>
      <c r="L90" s="37"/>
      <c r="M90" s="64"/>
      <c r="N90" s="42"/>
    </row>
    <row r="91" spans="1:14" ht="24" customHeight="1">
      <c r="A91" s="8">
        <v>51</v>
      </c>
      <c r="B91" s="9">
        <v>51</v>
      </c>
      <c r="C91" s="46"/>
      <c r="D91" s="9"/>
      <c r="E91" s="19" t="str">
        <f>IFERROR(VLOOKUP(D91,케이블트레이입.출고현황!U94:Z169,2,0),"")</f>
        <v/>
      </c>
      <c r="F91" s="19" t="str">
        <f>IFERROR(VLOOKUP(E91,케이블트레이입.출고현황!V94:AA169,2,0),"")</f>
        <v/>
      </c>
      <c r="G91" s="19" t="str">
        <f>IFERROR(VLOOKUP(F91,케이블트레이입.출고현황!W94:AB169,2,0),"")</f>
        <v/>
      </c>
      <c r="H91" s="19" t="str">
        <f>IFERROR(VLOOKUP(G91,케이블트레이입.출고현황!X94:AC169,2,0),"")</f>
        <v/>
      </c>
      <c r="I91" s="19" t="str">
        <f>IFERROR(VLOOKUP(H91,케이블트레이입.출고현황!Y94:AD169,2,0),"")</f>
        <v/>
      </c>
      <c r="J91" s="9">
        <v>1</v>
      </c>
      <c r="K91" s="9"/>
      <c r="L91" s="37"/>
      <c r="M91" s="64"/>
      <c r="N91" s="42"/>
    </row>
    <row r="92" spans="1:14" ht="24" customHeight="1">
      <c r="A92" s="8">
        <v>52</v>
      </c>
      <c r="B92" s="9">
        <v>52</v>
      </c>
      <c r="C92" s="46"/>
      <c r="D92" s="9"/>
      <c r="E92" s="19" t="str">
        <f>IFERROR(VLOOKUP(D92,케이블트레이입.출고현황!U95:Z170,2,0),"")</f>
        <v/>
      </c>
      <c r="F92" s="19" t="str">
        <f>IFERROR(VLOOKUP(E92,케이블트레이입.출고현황!V95:AA170,2,0),"")</f>
        <v/>
      </c>
      <c r="G92" s="19" t="str">
        <f>IFERROR(VLOOKUP(F92,케이블트레이입.출고현황!W95:AB170,2,0),"")</f>
        <v/>
      </c>
      <c r="H92" s="19" t="str">
        <f>IFERROR(VLOOKUP(G92,케이블트레이입.출고현황!X95:AC170,2,0),"")</f>
        <v/>
      </c>
      <c r="I92" s="19" t="str">
        <f>IFERROR(VLOOKUP(H92,케이블트레이입.출고현황!Y95:AD170,2,0),"")</f>
        <v/>
      </c>
      <c r="J92" s="9">
        <v>4</v>
      </c>
      <c r="K92" s="9"/>
      <c r="L92" s="37"/>
      <c r="M92" s="64"/>
      <c r="N92" s="42"/>
    </row>
    <row r="93" spans="1:14" ht="24" customHeight="1">
      <c r="A93" s="8">
        <v>53</v>
      </c>
      <c r="B93" s="9">
        <v>53</v>
      </c>
      <c r="C93" s="46"/>
      <c r="D93" s="9"/>
      <c r="E93" s="19" t="str">
        <f>IFERROR(VLOOKUP(D93,케이블트레이입.출고현황!U96:Z171,2,0),"")</f>
        <v/>
      </c>
      <c r="F93" s="19" t="str">
        <f>IFERROR(VLOOKUP(E93,케이블트레이입.출고현황!V96:AA171,2,0),"")</f>
        <v/>
      </c>
      <c r="G93" s="19" t="str">
        <f>IFERROR(VLOOKUP(F93,케이블트레이입.출고현황!W96:AB171,2,0),"")</f>
        <v/>
      </c>
      <c r="H93" s="19" t="str">
        <f>IFERROR(VLOOKUP(G93,케이블트레이입.출고현황!X96:AC171,2,0),"")</f>
        <v/>
      </c>
      <c r="I93" s="19" t="str">
        <f>IFERROR(VLOOKUP(H93,케이블트레이입.출고현황!Y96:AD171,2,0),"")</f>
        <v/>
      </c>
      <c r="J93" s="9">
        <v>1</v>
      </c>
      <c r="K93" s="9"/>
      <c r="L93" s="37"/>
      <c r="M93" s="64"/>
      <c r="N93" s="42"/>
    </row>
    <row r="94" spans="1:14" ht="24" customHeight="1">
      <c r="A94" s="8">
        <v>54</v>
      </c>
      <c r="B94" s="9">
        <v>54</v>
      </c>
      <c r="C94" s="46"/>
      <c r="D94" s="9"/>
      <c r="E94" s="19" t="str">
        <f>IFERROR(VLOOKUP(D94,케이블트레이입.출고현황!U97:Z172,2,0),"")</f>
        <v/>
      </c>
      <c r="F94" s="19" t="str">
        <f>IFERROR(VLOOKUP(E94,케이블트레이입.출고현황!V97:AA172,2,0),"")</f>
        <v/>
      </c>
      <c r="G94" s="19" t="str">
        <f>IFERROR(VLOOKUP(F94,케이블트레이입.출고현황!W97:AB172,2,0),"")</f>
        <v/>
      </c>
      <c r="H94" s="19" t="str">
        <f>IFERROR(VLOOKUP(G94,케이블트레이입.출고현황!X97:AC172,2,0),"")</f>
        <v/>
      </c>
      <c r="I94" s="19" t="str">
        <f>IFERROR(VLOOKUP(H94,케이블트레이입.출고현황!Y97:AD172,2,0),"")</f>
        <v/>
      </c>
      <c r="J94" s="9">
        <v>2</v>
      </c>
      <c r="K94" s="9"/>
      <c r="L94" s="37"/>
      <c r="M94" s="64"/>
      <c r="N94" s="42"/>
    </row>
    <row r="95" spans="1:14" ht="24" customHeight="1">
      <c r="A95" s="8">
        <v>55</v>
      </c>
      <c r="B95" s="9">
        <v>55</v>
      </c>
      <c r="C95" s="46"/>
      <c r="D95" s="9"/>
      <c r="E95" s="19" t="str">
        <f>IFERROR(VLOOKUP(D95,케이블트레이입.출고현황!U98:Z173,2,0),"")</f>
        <v/>
      </c>
      <c r="F95" s="19" t="str">
        <f>IFERROR(VLOOKUP(E95,케이블트레이입.출고현황!V98:AA173,2,0),"")</f>
        <v/>
      </c>
      <c r="G95" s="19" t="str">
        <f>IFERROR(VLOOKUP(F95,케이블트레이입.출고현황!W98:AB173,2,0),"")</f>
        <v/>
      </c>
      <c r="H95" s="19" t="str">
        <f>IFERROR(VLOOKUP(G95,케이블트레이입.출고현황!X98:AC173,2,0),"")</f>
        <v/>
      </c>
      <c r="I95" s="19" t="str">
        <f>IFERROR(VLOOKUP(H95,케이블트레이입.출고현황!Y98:AD173,2,0),"")</f>
        <v/>
      </c>
      <c r="J95" s="9">
        <v>2</v>
      </c>
      <c r="K95" s="9"/>
      <c r="L95" s="37"/>
      <c r="M95" s="64"/>
      <c r="N95" s="42"/>
    </row>
    <row r="96" spans="1:14" ht="24" customHeight="1">
      <c r="A96" s="8">
        <v>56</v>
      </c>
      <c r="B96" s="9">
        <v>56</v>
      </c>
      <c r="C96" s="46"/>
      <c r="D96" s="9"/>
      <c r="E96" s="19" t="str">
        <f>IFERROR(VLOOKUP(D96,케이블트레이입.출고현황!U99:Z174,2,0),"")</f>
        <v/>
      </c>
      <c r="F96" s="19" t="str">
        <f>IFERROR(VLOOKUP(E96,케이블트레이입.출고현황!V99:AA174,2,0),"")</f>
        <v/>
      </c>
      <c r="G96" s="19" t="str">
        <f>IFERROR(VLOOKUP(F96,케이블트레이입.출고현황!W99:AB174,2,0),"")</f>
        <v/>
      </c>
      <c r="H96" s="19" t="str">
        <f>IFERROR(VLOOKUP(G96,케이블트레이입.출고현황!X99:AC174,2,0),"")</f>
        <v/>
      </c>
      <c r="I96" s="19" t="str">
        <f>IFERROR(VLOOKUP(H96,케이블트레이입.출고현황!Y99:AD174,2,0),"")</f>
        <v/>
      </c>
      <c r="J96" s="9">
        <v>3</v>
      </c>
      <c r="K96" s="9"/>
      <c r="L96" s="37"/>
      <c r="M96" s="64"/>
      <c r="N96" s="42"/>
    </row>
    <row r="97" spans="1:14" ht="24" customHeight="1">
      <c r="A97" s="8">
        <v>57</v>
      </c>
      <c r="B97" s="9">
        <v>57</v>
      </c>
      <c r="C97" s="46"/>
      <c r="D97" s="9"/>
      <c r="E97" s="19" t="str">
        <f>IFERROR(VLOOKUP(D97,케이블트레이입.출고현황!U100:Z175,2,0),"")</f>
        <v/>
      </c>
      <c r="F97" s="19" t="str">
        <f>IFERROR(VLOOKUP(E97,케이블트레이입.출고현황!V100:AA175,2,0),"")</f>
        <v/>
      </c>
      <c r="G97" s="19" t="str">
        <f>IFERROR(VLOOKUP(F97,케이블트레이입.출고현황!W100:AB175,2,0),"")</f>
        <v/>
      </c>
      <c r="H97" s="19" t="str">
        <f>IFERROR(VLOOKUP(G97,케이블트레이입.출고현황!X100:AC175,2,0),"")</f>
        <v/>
      </c>
      <c r="I97" s="19" t="str">
        <f>IFERROR(VLOOKUP(H97,케이블트레이입.출고현황!Y100:AD175,2,0),"")</f>
        <v/>
      </c>
      <c r="J97" s="9"/>
      <c r="K97" s="9"/>
      <c r="L97" s="37"/>
      <c r="M97" s="64"/>
      <c r="N97" s="42"/>
    </row>
    <row r="98" spans="1:14" ht="24" customHeight="1">
      <c r="A98" s="8">
        <v>58</v>
      </c>
      <c r="B98" s="9">
        <v>58</v>
      </c>
      <c r="C98" s="46"/>
      <c r="D98" s="9"/>
      <c r="E98" s="19" t="str">
        <f>IFERROR(VLOOKUP(D98,케이블트레이입.출고현황!U101:Z176,2,0),"")</f>
        <v/>
      </c>
      <c r="F98" s="19" t="str">
        <f>IFERROR(VLOOKUP(E98,케이블트레이입.출고현황!V101:AA176,2,0),"")</f>
        <v/>
      </c>
      <c r="G98" s="19" t="str">
        <f>IFERROR(VLOOKUP(F98,케이블트레이입.출고현황!W101:AB176,2,0),"")</f>
        <v/>
      </c>
      <c r="H98" s="19" t="str">
        <f>IFERROR(VLOOKUP(G98,케이블트레이입.출고현황!X101:AC176,2,0),"")</f>
        <v/>
      </c>
      <c r="I98" s="19" t="str">
        <f>IFERROR(VLOOKUP(H98,케이블트레이입.출고현황!Y101:AD176,2,0),"")</f>
        <v/>
      </c>
      <c r="J98" s="9"/>
      <c r="K98" s="9"/>
      <c r="L98" s="37"/>
      <c r="M98" s="64"/>
      <c r="N98" s="42"/>
    </row>
    <row r="99" spans="1:14" ht="24" customHeight="1">
      <c r="A99" s="8">
        <v>59</v>
      </c>
      <c r="B99" s="9">
        <v>59</v>
      </c>
      <c r="C99" s="46"/>
      <c r="D99" s="9"/>
      <c r="E99" s="19" t="str">
        <f>IFERROR(VLOOKUP(D99,케이블트레이입.출고현황!U102:Z177,2,0),"")</f>
        <v/>
      </c>
      <c r="F99" s="19" t="str">
        <f>IFERROR(VLOOKUP(E99,케이블트레이입.출고현황!V102:AA177,2,0),"")</f>
        <v/>
      </c>
      <c r="G99" s="19" t="str">
        <f>IFERROR(VLOOKUP(F99,케이블트레이입.출고현황!W102:AB177,2,0),"")</f>
        <v/>
      </c>
      <c r="H99" s="19" t="str">
        <f>IFERROR(VLOOKUP(G99,케이블트레이입.출고현황!X102:AC177,2,0),"")</f>
        <v/>
      </c>
      <c r="I99" s="19" t="str">
        <f>IFERROR(VLOOKUP(H99,케이블트레이입.출고현황!Y102:AD177,2,0),"")</f>
        <v/>
      </c>
      <c r="J99" s="9"/>
      <c r="K99" s="9"/>
      <c r="L99" s="37"/>
      <c r="M99" s="64"/>
      <c r="N99" s="42"/>
    </row>
    <row r="100" spans="1:14" ht="24" customHeight="1">
      <c r="A100" s="8">
        <v>60</v>
      </c>
      <c r="B100" s="9">
        <v>60</v>
      </c>
      <c r="C100" s="46"/>
      <c r="D100" s="9"/>
      <c r="E100" s="19" t="str">
        <f>IFERROR(VLOOKUP(D100,케이블트레이입.출고현황!U103:Z178,2,0),"")</f>
        <v/>
      </c>
      <c r="F100" s="19" t="str">
        <f>IFERROR(VLOOKUP(E100,케이블트레이입.출고현황!V103:AA178,2,0),"")</f>
        <v/>
      </c>
      <c r="G100" s="19" t="str">
        <f>IFERROR(VLOOKUP(F100,케이블트레이입.출고현황!W103:AB178,2,0),"")</f>
        <v/>
      </c>
      <c r="H100" s="19" t="str">
        <f>IFERROR(VLOOKUP(G100,케이블트레이입.출고현황!X103:AC178,2,0),"")</f>
        <v/>
      </c>
      <c r="I100" s="19" t="str">
        <f>IFERROR(VLOOKUP(H100,케이블트레이입.출고현황!Y103:AD178,2,0),"")</f>
        <v/>
      </c>
      <c r="J100" s="9"/>
      <c r="K100" s="9"/>
      <c r="L100" s="37"/>
      <c r="M100" s="64"/>
      <c r="N100" s="42"/>
    </row>
    <row r="101" spans="1:14" ht="24" customHeight="1">
      <c r="A101" s="8">
        <v>61</v>
      </c>
      <c r="B101" s="9">
        <v>61</v>
      </c>
      <c r="C101" s="46"/>
      <c r="D101" s="9"/>
      <c r="E101" s="19" t="str">
        <f>IFERROR(VLOOKUP(D101,케이블트레이입.출고현황!U104:Z179,2,0),"")</f>
        <v/>
      </c>
      <c r="F101" s="19" t="str">
        <f>IFERROR(VLOOKUP(E101,케이블트레이입.출고현황!V104:AA179,2,0),"")</f>
        <v/>
      </c>
      <c r="G101" s="19" t="str">
        <f>IFERROR(VLOOKUP(F101,케이블트레이입.출고현황!W104:AB179,2,0),"")</f>
        <v/>
      </c>
      <c r="H101" s="19" t="str">
        <f>IFERROR(VLOOKUP(G101,케이블트레이입.출고현황!X104:AC179,2,0),"")</f>
        <v/>
      </c>
      <c r="I101" s="19" t="str">
        <f>IFERROR(VLOOKUP(H101,케이블트레이입.출고현황!Y104:AD179,2,0),"")</f>
        <v/>
      </c>
      <c r="J101" s="9"/>
      <c r="K101" s="9"/>
      <c r="L101" s="37"/>
      <c r="M101" s="64"/>
      <c r="N101" s="42"/>
    </row>
    <row r="102" spans="1:14" ht="24" customHeight="1">
      <c r="A102" s="8">
        <v>62</v>
      </c>
      <c r="B102" s="9">
        <v>62</v>
      </c>
      <c r="C102" s="46"/>
      <c r="D102" s="9"/>
      <c r="E102" s="19" t="str">
        <f>IFERROR(VLOOKUP(D102,케이블트레이입.출고현황!U105:Z180,2,0),"")</f>
        <v/>
      </c>
      <c r="F102" s="19" t="str">
        <f>IFERROR(VLOOKUP(E102,케이블트레이입.출고현황!V105:AA180,2,0),"")</f>
        <v/>
      </c>
      <c r="G102" s="19" t="str">
        <f>IFERROR(VLOOKUP(F102,케이블트레이입.출고현황!W105:AB180,2,0),"")</f>
        <v/>
      </c>
      <c r="H102" s="19" t="str">
        <f>IFERROR(VLOOKUP(G102,케이블트레이입.출고현황!X105:AC180,2,0),"")</f>
        <v/>
      </c>
      <c r="I102" s="19" t="str">
        <f>IFERROR(VLOOKUP(H102,케이블트레이입.출고현황!Y105:AD180,2,0),"")</f>
        <v/>
      </c>
      <c r="J102" s="9"/>
      <c r="K102" s="9"/>
      <c r="L102" s="37"/>
      <c r="M102" s="64"/>
      <c r="N102" s="42"/>
    </row>
    <row r="103" spans="1:14" ht="24" customHeight="1">
      <c r="A103" s="8">
        <v>63</v>
      </c>
      <c r="B103" s="9">
        <v>63</v>
      </c>
      <c r="C103" s="46"/>
      <c r="D103" s="9"/>
      <c r="E103" s="19" t="str">
        <f>IFERROR(VLOOKUP(D103,케이블트레이입.출고현황!U106:Z181,2,0),"")</f>
        <v/>
      </c>
      <c r="F103" s="19" t="str">
        <f>IFERROR(VLOOKUP(E103,케이블트레이입.출고현황!V106:AA181,2,0),"")</f>
        <v/>
      </c>
      <c r="G103" s="19" t="str">
        <f>IFERROR(VLOOKUP(F103,케이블트레이입.출고현황!W106:AB181,2,0),"")</f>
        <v/>
      </c>
      <c r="H103" s="19" t="str">
        <f>IFERROR(VLOOKUP(G103,케이블트레이입.출고현황!X106:AC181,2,0),"")</f>
        <v/>
      </c>
      <c r="I103" s="19" t="str">
        <f>IFERROR(VLOOKUP(H103,케이블트레이입.출고현황!Y106:AD181,2,0),"")</f>
        <v/>
      </c>
      <c r="J103" s="9"/>
      <c r="K103" s="9"/>
      <c r="L103" s="37"/>
      <c r="M103" s="64"/>
      <c r="N103" s="42"/>
    </row>
    <row r="104" spans="1:14" ht="24" customHeight="1">
      <c r="A104" s="8">
        <v>64</v>
      </c>
      <c r="B104" s="9">
        <v>64</v>
      </c>
      <c r="C104" s="46"/>
      <c r="D104" s="9"/>
      <c r="E104" s="19" t="str">
        <f>IFERROR(VLOOKUP(D104,케이블트레이입.출고현황!U107:Z182,2,0),"")</f>
        <v/>
      </c>
      <c r="F104" s="19" t="str">
        <f>IFERROR(VLOOKUP(E104,케이블트레이입.출고현황!V107:AA182,2,0),"")</f>
        <v/>
      </c>
      <c r="G104" s="19" t="str">
        <f>IFERROR(VLOOKUP(F104,케이블트레이입.출고현황!W107:AB182,2,0),"")</f>
        <v/>
      </c>
      <c r="H104" s="19" t="str">
        <f>IFERROR(VLOOKUP(G104,케이블트레이입.출고현황!X107:AC182,2,0),"")</f>
        <v/>
      </c>
      <c r="I104" s="19" t="str">
        <f>IFERROR(VLOOKUP(H104,케이블트레이입.출고현황!Y107:AD182,2,0),"")</f>
        <v/>
      </c>
      <c r="J104" s="9"/>
      <c r="K104" s="9"/>
      <c r="L104" s="37"/>
      <c r="M104" s="64"/>
      <c r="N104" s="42"/>
    </row>
    <row r="105" spans="1:14" ht="24" customHeight="1">
      <c r="A105" s="8">
        <v>65</v>
      </c>
      <c r="B105" s="9">
        <v>65</v>
      </c>
      <c r="C105" s="46"/>
      <c r="D105" s="9"/>
      <c r="E105" s="19" t="str">
        <f>IFERROR(VLOOKUP(D105,케이블트레이입.출고현황!U108:Z183,2,0),"")</f>
        <v/>
      </c>
      <c r="F105" s="19" t="str">
        <f>IFERROR(VLOOKUP(E105,케이블트레이입.출고현황!V108:AA183,2,0),"")</f>
        <v/>
      </c>
      <c r="G105" s="19" t="str">
        <f>IFERROR(VLOOKUP(F105,케이블트레이입.출고현황!W108:AB183,2,0),"")</f>
        <v/>
      </c>
      <c r="H105" s="19" t="str">
        <f>IFERROR(VLOOKUP(G105,케이블트레이입.출고현황!X108:AC183,2,0),"")</f>
        <v/>
      </c>
      <c r="I105" s="19" t="str">
        <f>IFERROR(VLOOKUP(H105,케이블트레이입.출고현황!Y108:AD183,2,0),"")</f>
        <v/>
      </c>
      <c r="J105" s="9"/>
      <c r="K105" s="9"/>
      <c r="L105" s="37"/>
      <c r="M105" s="64"/>
      <c r="N105" s="42"/>
    </row>
    <row r="106" spans="1:14" ht="24" customHeight="1">
      <c r="A106" s="8">
        <v>66</v>
      </c>
      <c r="B106" s="9">
        <v>66</v>
      </c>
      <c r="C106" s="46"/>
      <c r="D106" s="9"/>
      <c r="E106" s="19" t="str">
        <f>IFERROR(VLOOKUP(D106,케이블트레이입.출고현황!U109:Z184,2,0),"")</f>
        <v/>
      </c>
      <c r="F106" s="19" t="str">
        <f>IFERROR(VLOOKUP(E106,케이블트레이입.출고현황!V109:AA184,2,0),"")</f>
        <v/>
      </c>
      <c r="G106" s="19" t="str">
        <f>IFERROR(VLOOKUP(F106,케이블트레이입.출고현황!W109:AB184,2,0),"")</f>
        <v/>
      </c>
      <c r="H106" s="19" t="str">
        <f>IFERROR(VLOOKUP(G106,케이블트레이입.출고현황!X109:AC184,2,0),"")</f>
        <v/>
      </c>
      <c r="I106" s="19" t="str">
        <f>IFERROR(VLOOKUP(H106,케이블트레이입.출고현황!Y109:AD184,2,0),"")</f>
        <v/>
      </c>
      <c r="J106" s="9"/>
      <c r="K106" s="9"/>
      <c r="L106" s="37"/>
      <c r="M106" s="64"/>
      <c r="N106" s="42"/>
    </row>
    <row r="107" spans="1:14" ht="24" customHeight="1">
      <c r="A107" s="8">
        <v>67</v>
      </c>
      <c r="B107" s="9">
        <v>67</v>
      </c>
      <c r="C107" s="46"/>
      <c r="D107" s="9"/>
      <c r="E107" s="19" t="str">
        <f>IFERROR(VLOOKUP(D107,케이블트레이입.출고현황!U110:Z185,2,0),"")</f>
        <v/>
      </c>
      <c r="F107" s="19" t="str">
        <f>IFERROR(VLOOKUP(E107,케이블트레이입.출고현황!V110:AA185,2,0),"")</f>
        <v/>
      </c>
      <c r="G107" s="19" t="str">
        <f>IFERROR(VLOOKUP(F107,케이블트레이입.출고현황!W110:AB185,2,0),"")</f>
        <v/>
      </c>
      <c r="H107" s="19" t="str">
        <f>IFERROR(VLOOKUP(G107,케이블트레이입.출고현황!X110:AC185,2,0),"")</f>
        <v/>
      </c>
      <c r="I107" s="19" t="str">
        <f>IFERROR(VLOOKUP(H107,케이블트레이입.출고현황!Y110:AD185,2,0),"")</f>
        <v/>
      </c>
      <c r="J107" s="9"/>
      <c r="K107" s="9"/>
      <c r="L107" s="37"/>
      <c r="M107" s="64"/>
      <c r="N107" s="42"/>
    </row>
    <row r="108" spans="1:14" ht="24" customHeight="1">
      <c r="A108" s="8">
        <v>68</v>
      </c>
      <c r="B108" s="9">
        <v>68</v>
      </c>
      <c r="C108" s="46"/>
      <c r="D108" s="9"/>
      <c r="E108" s="19" t="str">
        <f>IFERROR(VLOOKUP(D108,케이블트레이입.출고현황!U111:Z186,2,0),"")</f>
        <v/>
      </c>
      <c r="F108" s="19" t="str">
        <f>IFERROR(VLOOKUP(E108,케이블트레이입.출고현황!V111:AA186,2,0),"")</f>
        <v/>
      </c>
      <c r="G108" s="19" t="str">
        <f>IFERROR(VLOOKUP(F108,케이블트레이입.출고현황!W111:AB186,2,0),"")</f>
        <v/>
      </c>
      <c r="H108" s="19" t="str">
        <f>IFERROR(VLOOKUP(G108,케이블트레이입.출고현황!X111:AC186,2,0),"")</f>
        <v/>
      </c>
      <c r="I108" s="19" t="str">
        <f>IFERROR(VLOOKUP(H108,케이블트레이입.출고현황!Y111:AD186,2,0),"")</f>
        <v/>
      </c>
      <c r="J108" s="9"/>
      <c r="K108" s="9"/>
      <c r="L108" s="37"/>
      <c r="M108" s="64"/>
      <c r="N108" s="42"/>
    </row>
    <row r="109" spans="1:14" ht="24" customHeight="1">
      <c r="A109" s="8">
        <v>69</v>
      </c>
      <c r="B109" s="9">
        <v>69</v>
      </c>
      <c r="C109" s="46"/>
      <c r="D109" s="9"/>
      <c r="E109" s="19" t="str">
        <f>IFERROR(VLOOKUP(D109,케이블트레이입.출고현황!U112:Z187,2,0),"")</f>
        <v/>
      </c>
      <c r="F109" s="19" t="str">
        <f>IFERROR(VLOOKUP(E109,케이블트레이입.출고현황!V112:AA187,2,0),"")</f>
        <v/>
      </c>
      <c r="G109" s="19" t="str">
        <f>IFERROR(VLOOKUP(F109,케이블트레이입.출고현황!W112:AB187,2,0),"")</f>
        <v/>
      </c>
      <c r="H109" s="19" t="str">
        <f>IFERROR(VLOOKUP(G109,케이블트레이입.출고현황!X112:AC187,2,0),"")</f>
        <v/>
      </c>
      <c r="I109" s="19" t="str">
        <f>IFERROR(VLOOKUP(H109,케이블트레이입.출고현황!Y112:AD187,2,0),"")</f>
        <v/>
      </c>
      <c r="J109" s="9">
        <v>4</v>
      </c>
      <c r="K109" s="9"/>
      <c r="L109" s="37"/>
      <c r="M109" s="64"/>
      <c r="N109" s="42"/>
    </row>
    <row r="110" spans="1:14" ht="24" customHeight="1">
      <c r="A110" s="8">
        <v>70</v>
      </c>
      <c r="B110" s="9">
        <v>70</v>
      </c>
      <c r="C110" s="46"/>
      <c r="D110" s="9"/>
      <c r="E110" s="19" t="str">
        <f>IFERROR(VLOOKUP(D110,케이블트레이입.출고현황!U113:Z188,2,0),"")</f>
        <v/>
      </c>
      <c r="F110" s="19" t="str">
        <f>IFERROR(VLOOKUP(E110,케이블트레이입.출고현황!V113:AA188,2,0),"")</f>
        <v/>
      </c>
      <c r="G110" s="19" t="str">
        <f>IFERROR(VLOOKUP(F110,케이블트레이입.출고현황!W113:AB188,2,0),"")</f>
        <v/>
      </c>
      <c r="H110" s="19" t="str">
        <f>IFERROR(VLOOKUP(G110,케이블트레이입.출고현황!X113:AC188,2,0),"")</f>
        <v/>
      </c>
      <c r="I110" s="19" t="str">
        <f>IFERROR(VLOOKUP(H110,케이블트레이입.출고현황!Y113:AD188,2,0),"")</f>
        <v/>
      </c>
      <c r="J110" s="9"/>
      <c r="K110" s="9"/>
      <c r="L110" s="37"/>
      <c r="M110" s="64"/>
      <c r="N110" s="42"/>
    </row>
    <row r="111" spans="1:14" ht="24" customHeight="1">
      <c r="A111" s="8">
        <v>71</v>
      </c>
      <c r="B111" s="9">
        <v>71</v>
      </c>
      <c r="C111" s="46"/>
      <c r="D111" s="9"/>
      <c r="E111" s="19" t="str">
        <f>IFERROR(VLOOKUP(D111,케이블트레이입.출고현황!U114:Z189,2,0),"")</f>
        <v/>
      </c>
      <c r="F111" s="19" t="str">
        <f>IFERROR(VLOOKUP(E111,케이블트레이입.출고현황!V114:AA189,2,0),"")</f>
        <v/>
      </c>
      <c r="G111" s="19" t="str">
        <f>IFERROR(VLOOKUP(F111,케이블트레이입.출고현황!W114:AB189,2,0),"")</f>
        <v/>
      </c>
      <c r="H111" s="19" t="str">
        <f>IFERROR(VLOOKUP(G111,케이블트레이입.출고현황!X114:AC189,2,0),"")</f>
        <v/>
      </c>
      <c r="I111" s="19" t="str">
        <f>IFERROR(VLOOKUP(H111,케이블트레이입.출고현황!Y114:AD189,2,0),"")</f>
        <v/>
      </c>
      <c r="J111" s="9"/>
      <c r="K111" s="9"/>
      <c r="L111" s="37"/>
      <c r="M111" s="64"/>
      <c r="N111" s="42"/>
    </row>
    <row r="112" spans="1:14" ht="24" customHeight="1">
      <c r="A112" s="8">
        <v>72</v>
      </c>
      <c r="B112" s="9">
        <v>72</v>
      </c>
      <c r="C112" s="46"/>
      <c r="D112" s="9"/>
      <c r="E112" s="19" t="str">
        <f>IFERROR(VLOOKUP(D112,케이블트레이입.출고현황!U115:Z190,2,0),"")</f>
        <v/>
      </c>
      <c r="F112" s="19" t="str">
        <f>IFERROR(VLOOKUP(E112,케이블트레이입.출고현황!V115:AA190,2,0),"")</f>
        <v/>
      </c>
      <c r="G112" s="19" t="str">
        <f>IFERROR(VLOOKUP(F112,케이블트레이입.출고현황!W115:AB190,2,0),"")</f>
        <v/>
      </c>
      <c r="H112" s="19" t="str">
        <f>IFERROR(VLOOKUP(G112,케이블트레이입.출고현황!X115:AC190,2,0),"")</f>
        <v/>
      </c>
      <c r="I112" s="19" t="str">
        <f>IFERROR(VLOOKUP(H112,케이블트레이입.출고현황!Y115:AD190,2,0),"")</f>
        <v/>
      </c>
      <c r="J112" s="9"/>
      <c r="K112" s="9"/>
      <c r="L112" s="37"/>
      <c r="M112" s="64"/>
      <c r="N112" s="42"/>
    </row>
    <row r="113" spans="1:14" ht="24" customHeight="1">
      <c r="A113" s="8">
        <v>73</v>
      </c>
      <c r="B113" s="9">
        <v>73</v>
      </c>
      <c r="C113" s="46"/>
      <c r="D113" s="9"/>
      <c r="E113" s="19" t="str">
        <f>IFERROR(VLOOKUP(D113,케이블트레이입.출고현황!U116:Z191,2,0),"")</f>
        <v/>
      </c>
      <c r="F113" s="19" t="str">
        <f>IFERROR(VLOOKUP(E113,케이블트레이입.출고현황!V116:AA191,2,0),"")</f>
        <v/>
      </c>
      <c r="G113" s="19" t="str">
        <f>IFERROR(VLOOKUP(F113,케이블트레이입.출고현황!W116:AB191,2,0),"")</f>
        <v/>
      </c>
      <c r="H113" s="19" t="str">
        <f>IFERROR(VLOOKUP(G113,케이블트레이입.출고현황!X116:AC191,2,0),"")</f>
        <v/>
      </c>
      <c r="I113" s="19" t="str">
        <f>IFERROR(VLOOKUP(H113,케이블트레이입.출고현황!Y116:AD191,2,0),"")</f>
        <v/>
      </c>
      <c r="J113" s="9"/>
      <c r="K113" s="9"/>
      <c r="L113" s="37"/>
      <c r="M113" s="64"/>
      <c r="N113" s="42"/>
    </row>
    <row r="114" spans="1:14" ht="24" customHeight="1">
      <c r="A114" s="8">
        <v>74</v>
      </c>
      <c r="B114" s="9">
        <v>74</v>
      </c>
      <c r="C114" s="46"/>
      <c r="D114" s="9"/>
      <c r="E114" s="19" t="str">
        <f>IFERROR(VLOOKUP(D114,케이블트레이입.출고현황!U117:Z192,2,0),"")</f>
        <v/>
      </c>
      <c r="F114" s="19" t="str">
        <f>IFERROR(VLOOKUP(E114,케이블트레이입.출고현황!V117:AA192,2,0),"")</f>
        <v/>
      </c>
      <c r="G114" s="19" t="str">
        <f>IFERROR(VLOOKUP(F114,케이블트레이입.출고현황!W117:AB192,2,0),"")</f>
        <v/>
      </c>
      <c r="H114" s="19" t="str">
        <f>IFERROR(VLOOKUP(G114,케이블트레이입.출고현황!X117:AC192,2,0),"")</f>
        <v/>
      </c>
      <c r="I114" s="19" t="str">
        <f>IFERROR(VLOOKUP(H114,케이블트레이입.출고현황!Y117:AD192,2,0),"")</f>
        <v/>
      </c>
      <c r="J114" s="9"/>
      <c r="K114" s="9"/>
      <c r="L114" s="37"/>
      <c r="M114" s="64"/>
      <c r="N114" s="42"/>
    </row>
    <row r="115" spans="1:14" ht="24" customHeight="1">
      <c r="A115" s="8">
        <v>75</v>
      </c>
      <c r="B115" s="9">
        <v>75</v>
      </c>
      <c r="C115" s="46"/>
      <c r="D115" s="9"/>
      <c r="E115" s="19" t="str">
        <f>IFERROR(VLOOKUP(D115,케이블트레이입.출고현황!U118:Z193,2,0),"")</f>
        <v/>
      </c>
      <c r="F115" s="19" t="str">
        <f>IFERROR(VLOOKUP(E115,케이블트레이입.출고현황!V118:AA193,2,0),"")</f>
        <v/>
      </c>
      <c r="G115" s="19" t="str">
        <f>IFERROR(VLOOKUP(F115,케이블트레이입.출고현황!W118:AB193,2,0),"")</f>
        <v/>
      </c>
      <c r="H115" s="19" t="str">
        <f>IFERROR(VLOOKUP(G115,케이블트레이입.출고현황!X118:AC193,2,0),"")</f>
        <v/>
      </c>
      <c r="I115" s="19" t="str">
        <f>IFERROR(VLOOKUP(H115,케이블트레이입.출고현황!Y118:AD193,2,0),"")</f>
        <v/>
      </c>
      <c r="J115" s="9"/>
      <c r="K115" s="9"/>
      <c r="L115" s="37"/>
      <c r="M115" s="64"/>
      <c r="N115" s="42"/>
    </row>
    <row r="116" spans="1:14" ht="24" customHeight="1">
      <c r="A116" s="8">
        <v>76</v>
      </c>
      <c r="B116" s="9">
        <v>76</v>
      </c>
      <c r="C116" s="46"/>
      <c r="D116" s="9"/>
      <c r="E116" s="19" t="str">
        <f>IFERROR(VLOOKUP(D116,케이블트레이입.출고현황!U119:Z194,2,0),"")</f>
        <v/>
      </c>
      <c r="F116" s="19" t="str">
        <f>IFERROR(VLOOKUP(E116,케이블트레이입.출고현황!V119:AA194,2,0),"")</f>
        <v/>
      </c>
      <c r="G116" s="19" t="str">
        <f>IFERROR(VLOOKUP(F116,케이블트레이입.출고현황!W119:AB194,2,0),"")</f>
        <v/>
      </c>
      <c r="H116" s="19" t="str">
        <f>IFERROR(VLOOKUP(G116,케이블트레이입.출고현황!X119:AC194,2,0),"")</f>
        <v/>
      </c>
      <c r="I116" s="19" t="str">
        <f>IFERROR(VLOOKUP(H116,케이블트레이입.출고현황!Y119:AD194,2,0),"")</f>
        <v/>
      </c>
      <c r="J116" s="9"/>
      <c r="K116" s="9"/>
      <c r="L116" s="37"/>
      <c r="M116" s="64"/>
      <c r="N116" s="42"/>
    </row>
    <row r="117" spans="1:14" ht="24" customHeight="1">
      <c r="A117" s="8">
        <v>77</v>
      </c>
      <c r="B117" s="9">
        <v>77</v>
      </c>
      <c r="C117" s="46"/>
      <c r="D117" s="9"/>
      <c r="E117" s="19" t="str">
        <f>IFERROR(VLOOKUP(D117,케이블트레이입.출고현황!U120:Z195,2,0),"")</f>
        <v/>
      </c>
      <c r="F117" s="19" t="str">
        <f>IFERROR(VLOOKUP(E117,케이블트레이입.출고현황!V120:AA195,2,0),"")</f>
        <v/>
      </c>
      <c r="G117" s="19" t="str">
        <f>IFERROR(VLOOKUP(F117,케이블트레이입.출고현황!W120:AB195,2,0),"")</f>
        <v/>
      </c>
      <c r="H117" s="19" t="str">
        <f>IFERROR(VLOOKUP(G117,케이블트레이입.출고현황!X120:AC195,2,0),"")</f>
        <v/>
      </c>
      <c r="I117" s="19" t="str">
        <f>IFERROR(VLOOKUP(H117,케이블트레이입.출고현황!Y120:AD195,2,0),"")</f>
        <v/>
      </c>
      <c r="J117" s="9"/>
      <c r="K117" s="9"/>
      <c r="L117" s="37"/>
      <c r="M117" s="64"/>
      <c r="N117" s="42"/>
    </row>
    <row r="118" spans="1:14" ht="24" customHeight="1">
      <c r="A118" s="8">
        <v>78</v>
      </c>
      <c r="B118" s="9">
        <v>78</v>
      </c>
      <c r="C118" s="46"/>
      <c r="D118" s="9"/>
      <c r="E118" s="19" t="str">
        <f>IFERROR(VLOOKUP(D118,케이블트레이입.출고현황!U121:Z196,2,0),"")</f>
        <v/>
      </c>
      <c r="F118" s="19" t="str">
        <f>IFERROR(VLOOKUP(E118,케이블트레이입.출고현황!V121:AA196,2,0),"")</f>
        <v/>
      </c>
      <c r="G118" s="19" t="str">
        <f>IFERROR(VLOOKUP(F118,케이블트레이입.출고현황!W121:AB196,2,0),"")</f>
        <v/>
      </c>
      <c r="H118" s="19" t="str">
        <f>IFERROR(VLOOKUP(G118,케이블트레이입.출고현황!X121:AC196,2,0),"")</f>
        <v/>
      </c>
      <c r="I118" s="19" t="str">
        <f>IFERROR(VLOOKUP(H118,케이블트레이입.출고현황!Y121:AD196,2,0),"")</f>
        <v/>
      </c>
      <c r="J118" s="9"/>
      <c r="K118" s="9"/>
      <c r="L118" s="37"/>
      <c r="M118" s="64"/>
      <c r="N118" s="42"/>
    </row>
    <row r="119" spans="1:14" ht="24" customHeight="1">
      <c r="A119" s="8">
        <v>79</v>
      </c>
      <c r="B119" s="9">
        <v>79</v>
      </c>
      <c r="C119" s="46"/>
      <c r="D119" s="9"/>
      <c r="E119" s="19" t="str">
        <f>IFERROR(VLOOKUP(D119,케이블트레이입.출고현황!U122:Z197,2,0),"")</f>
        <v/>
      </c>
      <c r="F119" s="19" t="str">
        <f>IFERROR(VLOOKUP(E119,케이블트레이입.출고현황!V122:AA197,2,0),"")</f>
        <v/>
      </c>
      <c r="G119" s="19" t="str">
        <f>IFERROR(VLOOKUP(F119,케이블트레이입.출고현황!W122:AB197,2,0),"")</f>
        <v/>
      </c>
      <c r="H119" s="19" t="str">
        <f>IFERROR(VLOOKUP(G119,케이블트레이입.출고현황!X122:AC197,2,0),"")</f>
        <v/>
      </c>
      <c r="I119" s="19" t="str">
        <f>IFERROR(VLOOKUP(H119,케이블트레이입.출고현황!Y122:AD197,2,0),"")</f>
        <v/>
      </c>
      <c r="J119" s="9"/>
      <c r="K119" s="9"/>
      <c r="L119" s="37"/>
      <c r="M119" s="64"/>
      <c r="N119" s="42"/>
    </row>
    <row r="120" spans="1:14" ht="24" customHeight="1">
      <c r="A120" s="8">
        <v>80</v>
      </c>
      <c r="B120" s="9">
        <v>80</v>
      </c>
      <c r="C120" s="46"/>
      <c r="D120" s="9"/>
      <c r="E120" s="19" t="str">
        <f>IFERROR(VLOOKUP(D120,케이블트레이입.출고현황!U123:Z198,2,0),"")</f>
        <v/>
      </c>
      <c r="F120" s="19" t="str">
        <f>IFERROR(VLOOKUP(E120,케이블트레이입.출고현황!V123:AA198,2,0),"")</f>
        <v/>
      </c>
      <c r="G120" s="19" t="str">
        <f>IFERROR(VLOOKUP(F120,케이블트레이입.출고현황!W123:AB198,2,0),"")</f>
        <v/>
      </c>
      <c r="H120" s="19" t="str">
        <f>IFERROR(VLOOKUP(G120,케이블트레이입.출고현황!X123:AC198,2,0),"")</f>
        <v/>
      </c>
      <c r="I120" s="19" t="str">
        <f>IFERROR(VLOOKUP(H120,케이블트레이입.출고현황!Y123:AD198,2,0),"")</f>
        <v/>
      </c>
      <c r="J120" s="9"/>
      <c r="K120" s="9"/>
      <c r="L120" s="37"/>
      <c r="M120" s="64"/>
      <c r="N120" s="42"/>
    </row>
    <row r="121" spans="1:14" ht="24" customHeight="1">
      <c r="A121" s="8">
        <v>81</v>
      </c>
      <c r="B121" s="9">
        <v>81</v>
      </c>
      <c r="C121" s="46"/>
      <c r="D121" s="9"/>
      <c r="E121" s="19" t="str">
        <f>IFERROR(VLOOKUP(D121,케이블트레이입.출고현황!U124:Z199,2,0),"")</f>
        <v/>
      </c>
      <c r="F121" s="19" t="str">
        <f>IFERROR(VLOOKUP(E121,케이블트레이입.출고현황!V124:AA199,2,0),"")</f>
        <v/>
      </c>
      <c r="G121" s="19" t="str">
        <f>IFERROR(VLOOKUP(F121,케이블트레이입.출고현황!W124:AB199,2,0),"")</f>
        <v/>
      </c>
      <c r="H121" s="19" t="str">
        <f>IFERROR(VLOOKUP(G121,케이블트레이입.출고현황!X124:AC199,2,0),"")</f>
        <v/>
      </c>
      <c r="I121" s="19" t="str">
        <f>IFERROR(VLOOKUP(H121,케이블트레이입.출고현황!Y124:AD199,2,0),"")</f>
        <v/>
      </c>
      <c r="J121" s="9"/>
      <c r="K121" s="9"/>
      <c r="L121" s="37"/>
      <c r="M121" s="64"/>
      <c r="N121" s="42"/>
    </row>
    <row r="122" spans="1:14" ht="24" customHeight="1">
      <c r="A122" s="8">
        <v>82</v>
      </c>
      <c r="B122" s="9">
        <v>82</v>
      </c>
      <c r="C122" s="46"/>
      <c r="D122" s="9"/>
      <c r="E122" s="19" t="str">
        <f>IFERROR(VLOOKUP(D122,케이블트레이입.출고현황!U125:Z200,2,0),"")</f>
        <v/>
      </c>
      <c r="F122" s="19" t="str">
        <f>IFERROR(VLOOKUP(E122,케이블트레이입.출고현황!V125:AA200,2,0),"")</f>
        <v/>
      </c>
      <c r="G122" s="19" t="str">
        <f>IFERROR(VLOOKUP(F122,케이블트레이입.출고현황!W125:AB200,2,0),"")</f>
        <v/>
      </c>
      <c r="H122" s="19" t="str">
        <f>IFERROR(VLOOKUP(G122,케이블트레이입.출고현황!X125:AC200,2,0),"")</f>
        <v/>
      </c>
      <c r="I122" s="19" t="str">
        <f>IFERROR(VLOOKUP(H122,케이블트레이입.출고현황!Y125:AD200,2,0),"")</f>
        <v/>
      </c>
      <c r="J122" s="9"/>
      <c r="K122" s="9"/>
      <c r="L122" s="37"/>
      <c r="M122" s="64"/>
      <c r="N122" s="42"/>
    </row>
    <row r="123" spans="1:14" ht="24" customHeight="1">
      <c r="A123" s="8">
        <v>83</v>
      </c>
      <c r="B123" s="9">
        <v>83</v>
      </c>
      <c r="C123" s="46"/>
      <c r="D123" s="9"/>
      <c r="E123" s="19" t="str">
        <f>IFERROR(VLOOKUP(D123,케이블트레이입.출고현황!U126:Z201,2,0),"")</f>
        <v/>
      </c>
      <c r="F123" s="19" t="str">
        <f>IFERROR(VLOOKUP(E123,케이블트레이입.출고현황!V126:AA201,2,0),"")</f>
        <v/>
      </c>
      <c r="G123" s="19" t="str">
        <f>IFERROR(VLOOKUP(F123,케이블트레이입.출고현황!W126:AB201,2,0),"")</f>
        <v/>
      </c>
      <c r="H123" s="19" t="str">
        <f>IFERROR(VLOOKUP(G123,케이블트레이입.출고현황!X126:AC201,2,0),"")</f>
        <v/>
      </c>
      <c r="I123" s="19" t="str">
        <f>IFERROR(VLOOKUP(H123,케이블트레이입.출고현황!Y126:AD201,2,0),"")</f>
        <v/>
      </c>
      <c r="J123" s="9"/>
      <c r="K123" s="9"/>
      <c r="L123" s="37"/>
      <c r="M123" s="64"/>
      <c r="N123" s="42"/>
    </row>
    <row r="124" spans="1:14" ht="24" customHeight="1">
      <c r="A124" s="8">
        <v>84</v>
      </c>
      <c r="B124" s="9">
        <v>84</v>
      </c>
      <c r="C124" s="46"/>
      <c r="D124" s="9"/>
      <c r="E124" s="19" t="str">
        <f>IFERROR(VLOOKUP(D124,케이블트레이입.출고현황!U127:Z202,2,0),"")</f>
        <v/>
      </c>
      <c r="F124" s="19" t="str">
        <f>IFERROR(VLOOKUP(E124,케이블트레이입.출고현황!V127:AA202,2,0),"")</f>
        <v/>
      </c>
      <c r="G124" s="19" t="str">
        <f>IFERROR(VLOOKUP(F124,케이블트레이입.출고현황!W127:AB202,2,0),"")</f>
        <v/>
      </c>
      <c r="H124" s="19" t="str">
        <f>IFERROR(VLOOKUP(G124,케이블트레이입.출고현황!X127:AC202,2,0),"")</f>
        <v/>
      </c>
      <c r="I124" s="19" t="str">
        <f>IFERROR(VLOOKUP(H124,케이블트레이입.출고현황!Y127:AD202,2,0),"")</f>
        <v/>
      </c>
      <c r="J124" s="9"/>
      <c r="K124" s="9"/>
      <c r="L124" s="37"/>
      <c r="M124" s="64"/>
      <c r="N124" s="42"/>
    </row>
    <row r="125" spans="1:14" ht="24" customHeight="1">
      <c r="A125" s="8">
        <v>85</v>
      </c>
      <c r="B125" s="9">
        <v>85</v>
      </c>
      <c r="C125" s="46"/>
      <c r="D125" s="9"/>
      <c r="E125" s="19" t="str">
        <f>IFERROR(VLOOKUP(D125,케이블트레이입.출고현황!U128:Z203,2,0),"")</f>
        <v/>
      </c>
      <c r="F125" s="19" t="str">
        <f>IFERROR(VLOOKUP(E125,케이블트레이입.출고현황!V128:AA203,2,0),"")</f>
        <v/>
      </c>
      <c r="G125" s="19" t="str">
        <f>IFERROR(VLOOKUP(F125,케이블트레이입.출고현황!W128:AB203,2,0),"")</f>
        <v/>
      </c>
      <c r="H125" s="19" t="str">
        <f>IFERROR(VLOOKUP(G125,케이블트레이입.출고현황!X128:AC203,2,0),"")</f>
        <v/>
      </c>
      <c r="I125" s="19" t="str">
        <f>IFERROR(VLOOKUP(H125,케이블트레이입.출고현황!Y128:AD203,2,0),"")</f>
        <v/>
      </c>
      <c r="J125" s="9"/>
      <c r="K125" s="9"/>
      <c r="L125" s="37"/>
      <c r="M125" s="64"/>
      <c r="N125" s="42"/>
    </row>
    <row r="126" spans="1:14" ht="24" customHeight="1">
      <c r="A126" s="8">
        <v>86</v>
      </c>
      <c r="B126" s="9">
        <v>86</v>
      </c>
      <c r="C126" s="46"/>
      <c r="D126" s="9"/>
      <c r="E126" s="19" t="str">
        <f>IFERROR(VLOOKUP(D126,케이블트레이입.출고현황!U129:Z204,2,0),"")</f>
        <v/>
      </c>
      <c r="F126" s="19" t="str">
        <f>IFERROR(VLOOKUP(E126,케이블트레이입.출고현황!V129:AA204,2,0),"")</f>
        <v/>
      </c>
      <c r="G126" s="19" t="str">
        <f>IFERROR(VLOOKUP(F126,케이블트레이입.출고현황!W129:AB204,2,0),"")</f>
        <v/>
      </c>
      <c r="H126" s="19" t="str">
        <f>IFERROR(VLOOKUP(G126,케이블트레이입.출고현황!X129:AC204,2,0),"")</f>
        <v/>
      </c>
      <c r="I126" s="19" t="str">
        <f>IFERROR(VLOOKUP(H126,케이블트레이입.출고현황!Y129:AD204,2,0),"")</f>
        <v/>
      </c>
      <c r="J126" s="9"/>
      <c r="K126" s="9"/>
      <c r="L126" s="37"/>
      <c r="M126" s="64"/>
      <c r="N126" s="42"/>
    </row>
    <row r="127" spans="1:14" ht="24" customHeight="1">
      <c r="A127" s="8">
        <v>87</v>
      </c>
      <c r="B127" s="9">
        <v>87</v>
      </c>
      <c r="C127" s="46"/>
      <c r="D127" s="9"/>
      <c r="E127" s="19" t="str">
        <f>IFERROR(VLOOKUP(D127,케이블트레이입.출고현황!U130:Z205,2,0),"")</f>
        <v/>
      </c>
      <c r="F127" s="19" t="str">
        <f>IFERROR(VLOOKUP(E127,케이블트레이입.출고현황!V130:AA205,2,0),"")</f>
        <v/>
      </c>
      <c r="G127" s="19" t="str">
        <f>IFERROR(VLOOKUP(F127,케이블트레이입.출고현황!W130:AB205,2,0),"")</f>
        <v/>
      </c>
      <c r="H127" s="19" t="str">
        <f>IFERROR(VLOOKUP(G127,케이블트레이입.출고현황!X130:AC205,2,0),"")</f>
        <v/>
      </c>
      <c r="I127" s="19" t="str">
        <f>IFERROR(VLOOKUP(H127,케이블트레이입.출고현황!Y130:AD205,2,0),"")</f>
        <v/>
      </c>
      <c r="J127" s="9"/>
      <c r="K127" s="9"/>
      <c r="L127" s="37"/>
      <c r="M127" s="64"/>
      <c r="N127" s="42"/>
    </row>
    <row r="128" spans="1:14" ht="24" customHeight="1">
      <c r="A128" s="8">
        <v>88</v>
      </c>
      <c r="B128" s="9">
        <v>88</v>
      </c>
      <c r="C128" s="46"/>
      <c r="D128" s="9"/>
      <c r="E128" s="19" t="str">
        <f>IFERROR(VLOOKUP(D128,케이블트레이입.출고현황!U131:Z206,2,0),"")</f>
        <v/>
      </c>
      <c r="F128" s="19" t="str">
        <f>IFERROR(VLOOKUP(E128,케이블트레이입.출고현황!V131:AA206,2,0),"")</f>
        <v/>
      </c>
      <c r="G128" s="19" t="str">
        <f>IFERROR(VLOOKUP(F128,케이블트레이입.출고현황!W131:AB206,2,0),"")</f>
        <v/>
      </c>
      <c r="H128" s="19" t="str">
        <f>IFERROR(VLOOKUP(G128,케이블트레이입.출고현황!X131:AC206,2,0),"")</f>
        <v/>
      </c>
      <c r="I128" s="19" t="str">
        <f>IFERROR(VLOOKUP(H128,케이블트레이입.출고현황!Y131:AD206,2,0),"")</f>
        <v/>
      </c>
      <c r="J128" s="9"/>
      <c r="K128" s="9"/>
      <c r="L128" s="37"/>
      <c r="M128" s="64"/>
      <c r="N128" s="42"/>
    </row>
    <row r="129" spans="1:14" ht="24" customHeight="1">
      <c r="A129" s="8">
        <v>89</v>
      </c>
      <c r="B129" s="9">
        <v>89</v>
      </c>
      <c r="C129" s="46"/>
      <c r="D129" s="9"/>
      <c r="E129" s="19" t="str">
        <f>IFERROR(VLOOKUP(D129,케이블트레이입.출고현황!U132:Z207,2,0),"")</f>
        <v/>
      </c>
      <c r="F129" s="19" t="str">
        <f>IFERROR(VLOOKUP(E129,케이블트레이입.출고현황!V132:AA207,2,0),"")</f>
        <v/>
      </c>
      <c r="G129" s="19" t="str">
        <f>IFERROR(VLOOKUP(F129,케이블트레이입.출고현황!W132:AB207,2,0),"")</f>
        <v/>
      </c>
      <c r="H129" s="19" t="str">
        <f>IFERROR(VLOOKUP(G129,케이블트레이입.출고현황!X132:AC207,2,0),"")</f>
        <v/>
      </c>
      <c r="I129" s="19" t="str">
        <f>IFERROR(VLOOKUP(H129,케이블트레이입.출고현황!Y132:AD207,2,0),"")</f>
        <v/>
      </c>
      <c r="J129" s="9"/>
      <c r="K129" s="9"/>
      <c r="L129" s="37"/>
      <c r="M129" s="64"/>
      <c r="N129" s="42"/>
    </row>
    <row r="130" spans="1:14" ht="24" customHeight="1">
      <c r="A130" s="8">
        <v>90</v>
      </c>
      <c r="B130" s="9">
        <v>90</v>
      </c>
      <c r="C130" s="46"/>
      <c r="D130" s="9"/>
      <c r="E130" s="19" t="str">
        <f>IFERROR(VLOOKUP(D130,케이블트레이입.출고현황!U133:Z208,2,0),"")</f>
        <v/>
      </c>
      <c r="F130" s="19" t="str">
        <f>IFERROR(VLOOKUP(E130,케이블트레이입.출고현황!V133:AA208,2,0),"")</f>
        <v/>
      </c>
      <c r="G130" s="19" t="str">
        <f>IFERROR(VLOOKUP(F130,케이블트레이입.출고현황!W133:AB208,2,0),"")</f>
        <v/>
      </c>
      <c r="H130" s="19" t="str">
        <f>IFERROR(VLOOKUP(G130,케이블트레이입.출고현황!X133:AC208,2,0),"")</f>
        <v/>
      </c>
      <c r="I130" s="19" t="str">
        <f>IFERROR(VLOOKUP(H130,케이블트레이입.출고현황!Y133:AD208,2,0),"")</f>
        <v/>
      </c>
      <c r="J130" s="9"/>
      <c r="K130" s="9"/>
      <c r="L130" s="37"/>
      <c r="M130" s="64"/>
      <c r="N130" s="42"/>
    </row>
    <row r="131" spans="1:14" ht="24" customHeight="1">
      <c r="A131" s="8">
        <v>91</v>
      </c>
      <c r="B131" s="9">
        <v>91</v>
      </c>
      <c r="C131" s="46"/>
      <c r="D131" s="9"/>
      <c r="E131" s="19" t="str">
        <f>IFERROR(VLOOKUP(D131,케이블트레이입.출고현황!U134:Z209,2,0),"")</f>
        <v/>
      </c>
      <c r="F131" s="19" t="str">
        <f>IFERROR(VLOOKUP(E131,케이블트레이입.출고현황!V134:AA209,2,0),"")</f>
        <v/>
      </c>
      <c r="G131" s="19" t="str">
        <f>IFERROR(VLOOKUP(F131,케이블트레이입.출고현황!W134:AB209,2,0),"")</f>
        <v/>
      </c>
      <c r="H131" s="19" t="str">
        <f>IFERROR(VLOOKUP(G131,케이블트레이입.출고현황!X134:AC209,2,0),"")</f>
        <v/>
      </c>
      <c r="I131" s="19" t="str">
        <f>IFERROR(VLOOKUP(H131,케이블트레이입.출고현황!Y134:AD209,2,0),"")</f>
        <v/>
      </c>
      <c r="J131" s="9"/>
      <c r="K131" s="9"/>
      <c r="L131" s="37"/>
      <c r="M131" s="64"/>
      <c r="N131" s="42"/>
    </row>
    <row r="132" spans="1:14" ht="24" customHeight="1">
      <c r="A132" s="8">
        <v>92</v>
      </c>
      <c r="B132" s="9">
        <v>92</v>
      </c>
      <c r="C132" s="46"/>
      <c r="D132" s="9"/>
      <c r="E132" s="19" t="str">
        <f>IFERROR(VLOOKUP(D132,케이블트레이입.출고현황!U135:Z210,2,0),"")</f>
        <v/>
      </c>
      <c r="F132" s="19" t="str">
        <f>IFERROR(VLOOKUP(E132,케이블트레이입.출고현황!V135:AA210,2,0),"")</f>
        <v/>
      </c>
      <c r="G132" s="19" t="str">
        <f>IFERROR(VLOOKUP(F132,케이블트레이입.출고현황!W135:AB210,2,0),"")</f>
        <v/>
      </c>
      <c r="H132" s="19" t="str">
        <f>IFERROR(VLOOKUP(G132,케이블트레이입.출고현황!X135:AC210,2,0),"")</f>
        <v/>
      </c>
      <c r="I132" s="19" t="str">
        <f>IFERROR(VLOOKUP(H132,케이블트레이입.출고현황!Y135:AD210,2,0),"")</f>
        <v/>
      </c>
      <c r="J132" s="9"/>
      <c r="K132" s="9"/>
      <c r="L132" s="37"/>
      <c r="M132" s="64"/>
      <c r="N132" s="42"/>
    </row>
    <row r="133" spans="1:14" ht="24" customHeight="1">
      <c r="A133" s="8">
        <v>93</v>
      </c>
      <c r="B133" s="9">
        <v>93</v>
      </c>
      <c r="C133" s="46"/>
      <c r="D133" s="9"/>
      <c r="E133" s="19" t="str">
        <f>IFERROR(VLOOKUP(D133,케이블트레이입.출고현황!U136:Z211,2,0),"")</f>
        <v/>
      </c>
      <c r="F133" s="19" t="str">
        <f>IFERROR(VLOOKUP(E133,케이블트레이입.출고현황!V136:AA211,2,0),"")</f>
        <v/>
      </c>
      <c r="G133" s="19" t="str">
        <f>IFERROR(VLOOKUP(F133,케이블트레이입.출고현황!W136:AB211,2,0),"")</f>
        <v/>
      </c>
      <c r="H133" s="19" t="str">
        <f>IFERROR(VLOOKUP(G133,케이블트레이입.출고현황!X136:AC211,2,0),"")</f>
        <v/>
      </c>
      <c r="I133" s="19" t="str">
        <f>IFERROR(VLOOKUP(H133,케이블트레이입.출고현황!Y136:AD211,2,0),"")</f>
        <v/>
      </c>
      <c r="J133" s="9"/>
      <c r="K133" s="9"/>
      <c r="L133" s="37"/>
      <c r="M133" s="64"/>
      <c r="N133" s="42"/>
    </row>
    <row r="134" spans="1:14" ht="24" customHeight="1">
      <c r="A134" s="8">
        <v>94</v>
      </c>
      <c r="B134" s="9">
        <v>94</v>
      </c>
      <c r="C134" s="46"/>
      <c r="D134" s="9"/>
      <c r="E134" s="19" t="str">
        <f>IFERROR(VLOOKUP(D134,케이블트레이입.출고현황!U137:Z212,2,0),"")</f>
        <v/>
      </c>
      <c r="F134" s="19" t="str">
        <f>IFERROR(VLOOKUP(E134,케이블트레이입.출고현황!V137:AA212,2,0),"")</f>
        <v/>
      </c>
      <c r="G134" s="19" t="str">
        <f>IFERROR(VLOOKUP(F134,케이블트레이입.출고현황!W137:AB212,2,0),"")</f>
        <v/>
      </c>
      <c r="H134" s="19" t="str">
        <f>IFERROR(VLOOKUP(G134,케이블트레이입.출고현황!X137:AC212,2,0),"")</f>
        <v/>
      </c>
      <c r="I134" s="19" t="str">
        <f>IFERROR(VLOOKUP(H134,케이블트레이입.출고현황!Y137:AD212,2,0),"")</f>
        <v/>
      </c>
      <c r="J134" s="9"/>
      <c r="K134" s="9"/>
      <c r="L134" s="37"/>
      <c r="M134" s="64"/>
      <c r="N134" s="42"/>
    </row>
    <row r="135" spans="1:14" ht="24" customHeight="1">
      <c r="A135" s="8">
        <v>95</v>
      </c>
      <c r="B135" s="9">
        <v>95</v>
      </c>
      <c r="C135" s="46"/>
      <c r="D135" s="9"/>
      <c r="E135" s="19" t="str">
        <f>IFERROR(VLOOKUP(D135,케이블트레이입.출고현황!U138:Z213,2,0),"")</f>
        <v/>
      </c>
      <c r="F135" s="19" t="str">
        <f>IFERROR(VLOOKUP(E135,케이블트레이입.출고현황!V138:AA213,2,0),"")</f>
        <v/>
      </c>
      <c r="G135" s="19" t="str">
        <f>IFERROR(VLOOKUP(F135,케이블트레이입.출고현황!W138:AB213,2,0),"")</f>
        <v/>
      </c>
      <c r="H135" s="19" t="str">
        <f>IFERROR(VLOOKUP(G135,케이블트레이입.출고현황!X138:AC213,2,0),"")</f>
        <v/>
      </c>
      <c r="I135" s="19" t="str">
        <f>IFERROR(VLOOKUP(H135,케이블트레이입.출고현황!Y138:AD213,2,0),"")</f>
        <v/>
      </c>
      <c r="J135" s="9"/>
      <c r="K135" s="9"/>
      <c r="L135" s="37"/>
      <c r="M135" s="64"/>
      <c r="N135" s="42"/>
    </row>
    <row r="136" spans="1:14" ht="24" customHeight="1">
      <c r="A136" s="8">
        <v>96</v>
      </c>
      <c r="B136" s="9">
        <v>96</v>
      </c>
      <c r="C136" s="46"/>
      <c r="D136" s="9"/>
      <c r="E136" s="19" t="str">
        <f>IFERROR(VLOOKUP(D136,케이블트레이입.출고현황!U139:Z214,2,0),"")</f>
        <v/>
      </c>
      <c r="F136" s="19" t="str">
        <f>IFERROR(VLOOKUP(E136,케이블트레이입.출고현황!V139:AA214,2,0),"")</f>
        <v/>
      </c>
      <c r="G136" s="19" t="str">
        <f>IFERROR(VLOOKUP(F136,케이블트레이입.출고현황!W139:AB214,2,0),"")</f>
        <v/>
      </c>
      <c r="H136" s="19" t="str">
        <f>IFERROR(VLOOKUP(G136,케이블트레이입.출고현황!X139:AC214,2,0),"")</f>
        <v/>
      </c>
      <c r="I136" s="19" t="str">
        <f>IFERROR(VLOOKUP(H136,케이블트레이입.출고현황!Y139:AD214,2,0),"")</f>
        <v/>
      </c>
      <c r="J136" s="9"/>
      <c r="K136" s="9"/>
      <c r="L136" s="37"/>
      <c r="M136" s="64"/>
      <c r="N136" s="42"/>
    </row>
    <row r="137" spans="1:14" ht="24" customHeight="1">
      <c r="A137" s="8">
        <v>97</v>
      </c>
      <c r="B137" s="9">
        <v>97</v>
      </c>
      <c r="C137" s="46"/>
      <c r="D137" s="9"/>
      <c r="E137" s="19" t="str">
        <f>IFERROR(VLOOKUP(D137,케이블트레이입.출고현황!U140:Z215,2,0),"")</f>
        <v/>
      </c>
      <c r="F137" s="19" t="str">
        <f>IFERROR(VLOOKUP(E137,케이블트레이입.출고현황!V140:AA215,2,0),"")</f>
        <v/>
      </c>
      <c r="G137" s="19" t="str">
        <f>IFERROR(VLOOKUP(F137,케이블트레이입.출고현황!W140:AB215,2,0),"")</f>
        <v/>
      </c>
      <c r="H137" s="19" t="str">
        <f>IFERROR(VLOOKUP(G137,케이블트레이입.출고현황!X140:AC215,2,0),"")</f>
        <v/>
      </c>
      <c r="I137" s="19" t="str">
        <f>IFERROR(VLOOKUP(H137,케이블트레이입.출고현황!Y140:AD215,2,0),"")</f>
        <v/>
      </c>
      <c r="J137" s="9"/>
      <c r="K137" s="9"/>
      <c r="L137" s="37"/>
      <c r="M137" s="64"/>
      <c r="N137" s="42"/>
    </row>
    <row r="138" spans="1:14" ht="24" customHeight="1">
      <c r="A138" s="8">
        <v>98</v>
      </c>
      <c r="B138" s="9">
        <v>98</v>
      </c>
      <c r="C138" s="46"/>
      <c r="D138" s="9"/>
      <c r="E138" s="19" t="str">
        <f>IFERROR(VLOOKUP(D138,케이블트레이입.출고현황!U141:Z216,2,0),"")</f>
        <v/>
      </c>
      <c r="F138" s="19" t="str">
        <f>IFERROR(VLOOKUP(E138,케이블트레이입.출고현황!V141:AA216,2,0),"")</f>
        <v/>
      </c>
      <c r="G138" s="19" t="str">
        <f>IFERROR(VLOOKUP(F138,케이블트레이입.출고현황!W141:AB216,2,0),"")</f>
        <v/>
      </c>
      <c r="H138" s="19" t="str">
        <f>IFERROR(VLOOKUP(G138,케이블트레이입.출고현황!X141:AC216,2,0),"")</f>
        <v/>
      </c>
      <c r="I138" s="19" t="str">
        <f>IFERROR(VLOOKUP(H138,케이블트레이입.출고현황!Y141:AD216,2,0),"")</f>
        <v/>
      </c>
      <c r="J138" s="9"/>
      <c r="K138" s="9"/>
      <c r="L138" s="37"/>
      <c r="M138" s="64"/>
      <c r="N138" s="42"/>
    </row>
    <row r="139" spans="1:14" ht="24" customHeight="1">
      <c r="A139" s="8">
        <v>99</v>
      </c>
      <c r="B139" s="9">
        <v>99</v>
      </c>
      <c r="C139" s="46"/>
      <c r="D139" s="9"/>
      <c r="E139" s="19" t="str">
        <f>IFERROR(VLOOKUP(D139,케이블트레이입.출고현황!U142:Z217,2,0),"")</f>
        <v/>
      </c>
      <c r="F139" s="19" t="str">
        <f>IFERROR(VLOOKUP(E139,케이블트레이입.출고현황!V142:AA217,2,0),"")</f>
        <v/>
      </c>
      <c r="G139" s="19" t="str">
        <f>IFERROR(VLOOKUP(F139,케이블트레이입.출고현황!W142:AB217,2,0),"")</f>
        <v/>
      </c>
      <c r="H139" s="19" t="str">
        <f>IFERROR(VLOOKUP(G139,케이블트레이입.출고현황!X142:AC217,2,0),"")</f>
        <v/>
      </c>
      <c r="I139" s="19" t="str">
        <f>IFERROR(VLOOKUP(H139,케이블트레이입.출고현황!Y142:AD217,2,0),"")</f>
        <v/>
      </c>
      <c r="J139" s="9"/>
      <c r="K139" s="9"/>
      <c r="L139" s="37"/>
      <c r="M139" s="64"/>
      <c r="N139" s="42"/>
    </row>
    <row r="140" spans="1:14" ht="24" customHeight="1">
      <c r="A140" s="8">
        <v>100</v>
      </c>
      <c r="B140" s="9">
        <v>100</v>
      </c>
      <c r="C140" s="46"/>
      <c r="D140" s="9"/>
      <c r="E140" s="19" t="str">
        <f>IFERROR(VLOOKUP(D140,케이블트레이입.출고현황!U143:Z218,2,0),"")</f>
        <v/>
      </c>
      <c r="F140" s="19" t="str">
        <f>IFERROR(VLOOKUP(E140,케이블트레이입.출고현황!V143:AA218,2,0),"")</f>
        <v/>
      </c>
      <c r="G140" s="19" t="str">
        <f>IFERROR(VLOOKUP(F140,케이블트레이입.출고현황!W143:AB218,2,0),"")</f>
        <v/>
      </c>
      <c r="H140" s="19" t="str">
        <f>IFERROR(VLOOKUP(G140,케이블트레이입.출고현황!X143:AC218,2,0),"")</f>
        <v/>
      </c>
      <c r="I140" s="19" t="str">
        <f>IFERROR(VLOOKUP(H140,케이블트레이입.출고현황!Y143:AD218,2,0),"")</f>
        <v/>
      </c>
      <c r="J140" s="9"/>
      <c r="K140" s="9"/>
      <c r="L140" s="37"/>
      <c r="M140" s="64"/>
      <c r="N140" s="42"/>
    </row>
    <row r="141" spans="1:14" ht="24" customHeight="1">
      <c r="A141" s="8">
        <v>101</v>
      </c>
      <c r="B141" s="9">
        <v>101</v>
      </c>
      <c r="C141" s="46"/>
      <c r="D141" s="9"/>
      <c r="E141" s="19" t="str">
        <f>IFERROR(VLOOKUP(D141,케이블트레이입.출고현황!U144:Z219,2,0),"")</f>
        <v/>
      </c>
      <c r="F141" s="19" t="str">
        <f>IFERROR(VLOOKUP(E141,케이블트레이입.출고현황!V144:AA219,2,0),"")</f>
        <v/>
      </c>
      <c r="G141" s="19" t="str">
        <f>IFERROR(VLOOKUP(F141,케이블트레이입.출고현황!W144:AB219,2,0),"")</f>
        <v/>
      </c>
      <c r="H141" s="19" t="str">
        <f>IFERROR(VLOOKUP(G141,케이블트레이입.출고현황!X144:AC219,2,0),"")</f>
        <v/>
      </c>
      <c r="I141" s="19" t="str">
        <f>IFERROR(VLOOKUP(H141,케이블트레이입.출고현황!Y144:AD219,2,0),"")</f>
        <v/>
      </c>
      <c r="J141" s="9"/>
      <c r="K141" s="9"/>
      <c r="L141" s="37"/>
      <c r="M141" s="64"/>
      <c r="N141" s="42"/>
    </row>
    <row r="142" spans="1:14" ht="24" customHeight="1">
      <c r="A142" s="8">
        <v>102</v>
      </c>
      <c r="B142" s="9">
        <v>102</v>
      </c>
      <c r="C142" s="46"/>
      <c r="D142" s="9"/>
      <c r="E142" s="19" t="str">
        <f>IFERROR(VLOOKUP(D142,케이블트레이입.출고현황!U145:Z220,2,0),"")</f>
        <v/>
      </c>
      <c r="F142" s="19" t="str">
        <f>IFERROR(VLOOKUP(E142,케이블트레이입.출고현황!V145:AA220,2,0),"")</f>
        <v/>
      </c>
      <c r="G142" s="19" t="str">
        <f>IFERROR(VLOOKUP(F142,케이블트레이입.출고현황!W145:AB220,2,0),"")</f>
        <v/>
      </c>
      <c r="H142" s="19" t="str">
        <f>IFERROR(VLOOKUP(G142,케이블트레이입.출고현황!X145:AC220,2,0),"")</f>
        <v/>
      </c>
      <c r="I142" s="19" t="str">
        <f>IFERROR(VLOOKUP(H142,케이블트레이입.출고현황!Y145:AD220,2,0),"")</f>
        <v/>
      </c>
      <c r="J142" s="9"/>
      <c r="K142" s="9"/>
      <c r="L142" s="37"/>
      <c r="M142" s="64"/>
      <c r="N142" s="42"/>
    </row>
    <row r="143" spans="1:14" ht="24" customHeight="1">
      <c r="A143" s="8">
        <v>103</v>
      </c>
      <c r="B143" s="9">
        <v>103</v>
      </c>
      <c r="C143" s="46"/>
      <c r="D143" s="9"/>
      <c r="E143" s="19" t="str">
        <f>IFERROR(VLOOKUP(D143,케이블트레이입.출고현황!U146:Z221,2,0),"")</f>
        <v/>
      </c>
      <c r="F143" s="19" t="str">
        <f>IFERROR(VLOOKUP(E143,케이블트레이입.출고현황!V146:AA221,2,0),"")</f>
        <v/>
      </c>
      <c r="G143" s="19" t="str">
        <f>IFERROR(VLOOKUP(F143,케이블트레이입.출고현황!W146:AB221,2,0),"")</f>
        <v/>
      </c>
      <c r="H143" s="19" t="str">
        <f>IFERROR(VLOOKUP(G143,케이블트레이입.출고현황!X146:AC221,2,0),"")</f>
        <v/>
      </c>
      <c r="I143" s="19" t="str">
        <f>IFERROR(VLOOKUP(H143,케이블트레이입.출고현황!Y146:AD221,2,0),"")</f>
        <v/>
      </c>
      <c r="J143" s="9"/>
      <c r="K143" s="9"/>
      <c r="L143" s="37"/>
      <c r="M143" s="64"/>
      <c r="N143" s="42"/>
    </row>
    <row r="144" spans="1:14" ht="24" customHeight="1">
      <c r="A144" s="8">
        <v>104</v>
      </c>
      <c r="B144" s="9">
        <v>104</v>
      </c>
      <c r="C144" s="46"/>
      <c r="D144" s="9"/>
      <c r="E144" s="19" t="str">
        <f>IFERROR(VLOOKUP(D144,케이블트레이입.출고현황!U147:Z222,2,0),"")</f>
        <v/>
      </c>
      <c r="F144" s="19" t="str">
        <f>IFERROR(VLOOKUP(E144,케이블트레이입.출고현황!V147:AA222,2,0),"")</f>
        <v/>
      </c>
      <c r="G144" s="19" t="str">
        <f>IFERROR(VLOOKUP(F144,케이블트레이입.출고현황!W147:AB222,2,0),"")</f>
        <v/>
      </c>
      <c r="H144" s="19" t="str">
        <f>IFERROR(VLOOKUP(G144,케이블트레이입.출고현황!X147:AC222,2,0),"")</f>
        <v/>
      </c>
      <c r="I144" s="19" t="str">
        <f>IFERROR(VLOOKUP(H144,케이블트레이입.출고현황!Y147:AD222,2,0),"")</f>
        <v/>
      </c>
      <c r="J144" s="9"/>
      <c r="K144" s="9"/>
      <c r="L144" s="37"/>
      <c r="M144" s="64"/>
      <c r="N144" s="42"/>
    </row>
    <row r="145" spans="1:14" ht="24" customHeight="1">
      <c r="A145" s="8">
        <v>105</v>
      </c>
      <c r="B145" s="9">
        <v>105</v>
      </c>
      <c r="C145" s="46"/>
      <c r="D145" s="9"/>
      <c r="E145" s="19" t="str">
        <f>IFERROR(VLOOKUP(D145,케이블트레이입.출고현황!U148:Z223,2,0),"")</f>
        <v/>
      </c>
      <c r="F145" s="19" t="str">
        <f>IFERROR(VLOOKUP(E145,케이블트레이입.출고현황!V148:AA223,2,0),"")</f>
        <v/>
      </c>
      <c r="G145" s="19" t="str">
        <f>IFERROR(VLOOKUP(F145,케이블트레이입.출고현황!W148:AB223,2,0),"")</f>
        <v/>
      </c>
      <c r="H145" s="19" t="str">
        <f>IFERROR(VLOOKUP(G145,케이블트레이입.출고현황!X148:AC223,2,0),"")</f>
        <v/>
      </c>
      <c r="I145" s="19" t="str">
        <f>IFERROR(VLOOKUP(H145,케이블트레이입.출고현황!Y148:AD223,2,0),"")</f>
        <v/>
      </c>
      <c r="J145" s="9"/>
      <c r="K145" s="9"/>
      <c r="L145" s="37"/>
      <c r="M145" s="64"/>
      <c r="N145" s="42"/>
    </row>
    <row r="146" spans="1:14" ht="24" customHeight="1">
      <c r="A146" s="8">
        <v>106</v>
      </c>
      <c r="B146" s="9">
        <v>106</v>
      </c>
      <c r="C146" s="46"/>
      <c r="D146" s="9"/>
      <c r="E146" s="19" t="str">
        <f>IFERROR(VLOOKUP(D146,케이블트레이입.출고현황!U149:Z224,2,0),"")</f>
        <v/>
      </c>
      <c r="F146" s="19" t="str">
        <f>IFERROR(VLOOKUP(E146,케이블트레이입.출고현황!V149:AA224,2,0),"")</f>
        <v/>
      </c>
      <c r="G146" s="19" t="str">
        <f>IFERROR(VLOOKUP(F146,케이블트레이입.출고현황!W149:AB224,2,0),"")</f>
        <v/>
      </c>
      <c r="H146" s="19" t="str">
        <f>IFERROR(VLOOKUP(G146,케이블트레이입.출고현황!X149:AC224,2,0),"")</f>
        <v/>
      </c>
      <c r="I146" s="19" t="str">
        <f>IFERROR(VLOOKUP(H146,케이블트레이입.출고현황!Y149:AD224,2,0),"")</f>
        <v/>
      </c>
      <c r="J146" s="9"/>
      <c r="K146" s="9"/>
      <c r="L146" s="37"/>
      <c r="M146" s="64"/>
      <c r="N146" s="42"/>
    </row>
    <row r="147" spans="1:14" ht="24" customHeight="1">
      <c r="A147" s="8">
        <v>107</v>
      </c>
      <c r="B147" s="9">
        <v>107</v>
      </c>
      <c r="C147" s="46"/>
      <c r="D147" s="9"/>
      <c r="E147" s="19" t="str">
        <f>IFERROR(VLOOKUP(D147,케이블트레이입.출고현황!U150:Z225,2,0),"")</f>
        <v/>
      </c>
      <c r="F147" s="19" t="str">
        <f>IFERROR(VLOOKUP(E147,케이블트레이입.출고현황!V150:AA225,2,0),"")</f>
        <v/>
      </c>
      <c r="G147" s="19" t="str">
        <f>IFERROR(VLOOKUP(F147,케이블트레이입.출고현황!W150:AB225,2,0),"")</f>
        <v/>
      </c>
      <c r="H147" s="19" t="str">
        <f>IFERROR(VLOOKUP(G147,케이블트레이입.출고현황!X150:AC225,2,0),"")</f>
        <v/>
      </c>
      <c r="I147" s="19" t="str">
        <f>IFERROR(VLOOKUP(H147,케이블트레이입.출고현황!Y150:AD225,2,0),"")</f>
        <v/>
      </c>
      <c r="J147" s="9"/>
      <c r="K147" s="9"/>
      <c r="L147" s="37"/>
      <c r="M147" s="64"/>
      <c r="N147" s="42"/>
    </row>
    <row r="148" spans="1:14" ht="24" customHeight="1">
      <c r="A148" s="8">
        <v>108</v>
      </c>
      <c r="B148" s="9">
        <v>108</v>
      </c>
      <c r="C148" s="46"/>
      <c r="D148" s="9"/>
      <c r="E148" s="19" t="str">
        <f>IFERROR(VLOOKUP(D148,케이블트레이입.출고현황!U151:Z226,2,0),"")</f>
        <v/>
      </c>
      <c r="F148" s="19" t="str">
        <f>IFERROR(VLOOKUP(E148,케이블트레이입.출고현황!V151:AA226,2,0),"")</f>
        <v/>
      </c>
      <c r="G148" s="19" t="str">
        <f>IFERROR(VLOOKUP(F148,케이블트레이입.출고현황!W151:AB226,2,0),"")</f>
        <v/>
      </c>
      <c r="H148" s="19" t="str">
        <f>IFERROR(VLOOKUP(G148,케이블트레이입.출고현황!X151:AC226,2,0),"")</f>
        <v/>
      </c>
      <c r="I148" s="19" t="str">
        <f>IFERROR(VLOOKUP(H148,케이블트레이입.출고현황!Y151:AD226,2,0),"")</f>
        <v/>
      </c>
      <c r="J148" s="9"/>
      <c r="K148" s="9"/>
      <c r="L148" s="37"/>
      <c r="M148" s="64"/>
      <c r="N148" s="42"/>
    </row>
    <row r="149" spans="1:14" ht="24" customHeight="1">
      <c r="A149" s="8">
        <v>109</v>
      </c>
      <c r="B149" s="9">
        <v>109</v>
      </c>
      <c r="C149" s="46"/>
      <c r="D149" s="9"/>
      <c r="E149" s="19" t="str">
        <f>IFERROR(VLOOKUP(D149,케이블트레이입.출고현황!U152:Z227,2,0),"")</f>
        <v/>
      </c>
      <c r="F149" s="19" t="str">
        <f>IFERROR(VLOOKUP(E149,케이블트레이입.출고현황!V152:AA227,2,0),"")</f>
        <v/>
      </c>
      <c r="G149" s="19" t="str">
        <f>IFERROR(VLOOKUP(F149,케이블트레이입.출고현황!W152:AB227,2,0),"")</f>
        <v/>
      </c>
      <c r="H149" s="19" t="str">
        <f>IFERROR(VLOOKUP(G149,케이블트레이입.출고현황!X152:AC227,2,0),"")</f>
        <v/>
      </c>
      <c r="I149" s="19" t="str">
        <f>IFERROR(VLOOKUP(H149,케이블트레이입.출고현황!Y152:AD227,2,0),"")</f>
        <v/>
      </c>
      <c r="J149" s="9"/>
      <c r="K149" s="9"/>
      <c r="L149" s="37"/>
      <c r="M149" s="64"/>
      <c r="N149" s="42"/>
    </row>
    <row r="150" spans="1:14" ht="24" customHeight="1">
      <c r="A150" s="8">
        <v>110</v>
      </c>
      <c r="B150" s="9">
        <v>110</v>
      </c>
      <c r="C150" s="46"/>
      <c r="D150" s="9"/>
      <c r="E150" s="19" t="str">
        <f>IFERROR(VLOOKUP(D150,케이블트레이입.출고현황!U153:Z228,2,0),"")</f>
        <v/>
      </c>
      <c r="F150" s="19" t="str">
        <f>IFERROR(VLOOKUP(E150,케이블트레이입.출고현황!V153:AA228,2,0),"")</f>
        <v/>
      </c>
      <c r="G150" s="19" t="str">
        <f>IFERROR(VLOOKUP(F150,케이블트레이입.출고현황!W153:AB228,2,0),"")</f>
        <v/>
      </c>
      <c r="H150" s="19" t="str">
        <f>IFERROR(VLOOKUP(G150,케이블트레이입.출고현황!X153:AC228,2,0),"")</f>
        <v/>
      </c>
      <c r="I150" s="19" t="str">
        <f>IFERROR(VLOOKUP(H150,케이블트레이입.출고현황!Y153:AD228,2,0),"")</f>
        <v/>
      </c>
      <c r="J150" s="9"/>
      <c r="K150" s="9"/>
      <c r="L150" s="37"/>
      <c r="M150" s="64"/>
      <c r="N150" s="42"/>
    </row>
    <row r="151" spans="1:14" ht="24" customHeight="1">
      <c r="A151" s="8">
        <v>111</v>
      </c>
      <c r="B151" s="9">
        <v>111</v>
      </c>
      <c r="C151" s="46"/>
      <c r="D151" s="9"/>
      <c r="E151" s="19" t="str">
        <f>IFERROR(VLOOKUP(D151,케이블트레이입.출고현황!U154:Z229,2,0),"")</f>
        <v/>
      </c>
      <c r="F151" s="19" t="str">
        <f>IFERROR(VLOOKUP(E151,케이블트레이입.출고현황!V154:AA229,2,0),"")</f>
        <v/>
      </c>
      <c r="G151" s="19" t="str">
        <f>IFERROR(VLOOKUP(F151,케이블트레이입.출고현황!W154:AB229,2,0),"")</f>
        <v/>
      </c>
      <c r="H151" s="19" t="str">
        <f>IFERROR(VLOOKUP(G151,케이블트레이입.출고현황!X154:AC229,2,0),"")</f>
        <v/>
      </c>
      <c r="I151" s="19" t="str">
        <f>IFERROR(VLOOKUP(H151,케이블트레이입.출고현황!Y154:AD229,2,0),"")</f>
        <v/>
      </c>
      <c r="J151" s="9"/>
      <c r="K151" s="9"/>
      <c r="L151" s="37"/>
      <c r="M151" s="64"/>
      <c r="N151" s="42"/>
    </row>
    <row r="152" spans="1:14" ht="24" customHeight="1">
      <c r="A152" s="8">
        <v>112</v>
      </c>
      <c r="B152" s="9">
        <v>112</v>
      </c>
      <c r="C152" s="46"/>
      <c r="D152" s="9"/>
      <c r="E152" s="19" t="str">
        <f>IFERROR(VLOOKUP(D152,케이블트레이입.출고현황!U155:Z230,2,0),"")</f>
        <v/>
      </c>
      <c r="F152" s="19" t="str">
        <f>IFERROR(VLOOKUP(E152,케이블트레이입.출고현황!V155:AA230,2,0),"")</f>
        <v/>
      </c>
      <c r="G152" s="19" t="str">
        <f>IFERROR(VLOOKUP(F152,케이블트레이입.출고현황!W155:AB230,2,0),"")</f>
        <v/>
      </c>
      <c r="H152" s="19" t="str">
        <f>IFERROR(VLOOKUP(G152,케이블트레이입.출고현황!X155:AC230,2,0),"")</f>
        <v/>
      </c>
      <c r="I152" s="19" t="str">
        <f>IFERROR(VLOOKUP(H152,케이블트레이입.출고현황!Y155:AD230,2,0),"")</f>
        <v/>
      </c>
      <c r="J152" s="9"/>
      <c r="K152" s="9"/>
      <c r="L152" s="37"/>
      <c r="M152" s="64"/>
      <c r="N152" s="42"/>
    </row>
    <row r="153" spans="1:14" ht="24" customHeight="1">
      <c r="A153" s="8">
        <v>113</v>
      </c>
      <c r="B153" s="9">
        <v>113</v>
      </c>
      <c r="C153" s="46"/>
      <c r="D153" s="9"/>
      <c r="E153" s="19" t="str">
        <f>IFERROR(VLOOKUP(D153,케이블트레이입.출고현황!U156:Z231,2,0),"")</f>
        <v/>
      </c>
      <c r="F153" s="19" t="str">
        <f>IFERROR(VLOOKUP(E153,케이블트레이입.출고현황!V156:AA231,2,0),"")</f>
        <v/>
      </c>
      <c r="G153" s="19" t="str">
        <f>IFERROR(VLOOKUP(F153,케이블트레이입.출고현황!W156:AB231,2,0),"")</f>
        <v/>
      </c>
      <c r="H153" s="19" t="str">
        <f>IFERROR(VLOOKUP(G153,케이블트레이입.출고현황!X156:AC231,2,0),"")</f>
        <v/>
      </c>
      <c r="I153" s="19" t="str">
        <f>IFERROR(VLOOKUP(H153,케이블트레이입.출고현황!Y156:AD231,2,0),"")</f>
        <v/>
      </c>
      <c r="J153" s="9"/>
      <c r="K153" s="9"/>
      <c r="L153" s="37"/>
      <c r="M153" s="64"/>
      <c r="N153" s="42"/>
    </row>
    <row r="154" spans="1:14" ht="24" customHeight="1">
      <c r="A154" s="8">
        <v>114</v>
      </c>
      <c r="B154" s="9">
        <v>114</v>
      </c>
      <c r="C154" s="46"/>
      <c r="D154" s="9"/>
      <c r="E154" s="19" t="str">
        <f>IFERROR(VLOOKUP(D154,케이블트레이입.출고현황!U157:Z232,2,0),"")</f>
        <v/>
      </c>
      <c r="F154" s="19" t="str">
        <f>IFERROR(VLOOKUP(E154,케이블트레이입.출고현황!V157:AA232,2,0),"")</f>
        <v/>
      </c>
      <c r="G154" s="19" t="str">
        <f>IFERROR(VLOOKUP(F154,케이블트레이입.출고현황!W157:AB232,2,0),"")</f>
        <v/>
      </c>
      <c r="H154" s="19" t="str">
        <f>IFERROR(VLOOKUP(G154,케이블트레이입.출고현황!X157:AC232,2,0),"")</f>
        <v/>
      </c>
      <c r="I154" s="19" t="str">
        <f>IFERROR(VLOOKUP(H154,케이블트레이입.출고현황!Y157:AD232,2,0),"")</f>
        <v/>
      </c>
      <c r="J154" s="9"/>
      <c r="K154" s="9"/>
      <c r="L154" s="37"/>
      <c r="M154" s="64"/>
      <c r="N154" s="42"/>
    </row>
    <row r="155" spans="1:14" ht="24" customHeight="1">
      <c r="A155" s="8">
        <v>115</v>
      </c>
      <c r="B155" s="9">
        <v>115</v>
      </c>
      <c r="C155" s="46"/>
      <c r="D155" s="9"/>
      <c r="E155" s="19" t="str">
        <f>IFERROR(VLOOKUP(D155,케이블트레이입.출고현황!U158:Z233,2,0),"")</f>
        <v/>
      </c>
      <c r="F155" s="19" t="str">
        <f>IFERROR(VLOOKUP(E155,케이블트레이입.출고현황!V158:AA233,2,0),"")</f>
        <v/>
      </c>
      <c r="G155" s="19" t="str">
        <f>IFERROR(VLOOKUP(F155,케이블트레이입.출고현황!W158:AB233,2,0),"")</f>
        <v/>
      </c>
      <c r="H155" s="19" t="str">
        <f>IFERROR(VLOOKUP(G155,케이블트레이입.출고현황!X158:AC233,2,0),"")</f>
        <v/>
      </c>
      <c r="I155" s="19" t="str">
        <f>IFERROR(VLOOKUP(H155,케이블트레이입.출고현황!Y158:AD233,2,0),"")</f>
        <v/>
      </c>
      <c r="J155" s="9"/>
      <c r="K155" s="9"/>
      <c r="L155" s="37"/>
      <c r="M155" s="64"/>
      <c r="N155" s="42"/>
    </row>
    <row r="156" spans="1:14" ht="24" customHeight="1">
      <c r="A156" s="8">
        <v>116</v>
      </c>
      <c r="B156" s="9">
        <v>116</v>
      </c>
      <c r="C156" s="46"/>
      <c r="D156" s="9"/>
      <c r="E156" s="19" t="str">
        <f>IFERROR(VLOOKUP(D156,케이블트레이입.출고현황!U159:Z234,2,0),"")</f>
        <v/>
      </c>
      <c r="F156" s="19" t="str">
        <f>IFERROR(VLOOKUP(E156,케이블트레이입.출고현황!V159:AA234,2,0),"")</f>
        <v/>
      </c>
      <c r="G156" s="19" t="str">
        <f>IFERROR(VLOOKUP(F156,케이블트레이입.출고현황!W159:AB234,2,0),"")</f>
        <v/>
      </c>
      <c r="H156" s="19" t="str">
        <f>IFERROR(VLOOKUP(G156,케이블트레이입.출고현황!X159:AC234,2,0),"")</f>
        <v/>
      </c>
      <c r="I156" s="19" t="str">
        <f>IFERROR(VLOOKUP(H156,케이블트레이입.출고현황!Y159:AD234,2,0),"")</f>
        <v/>
      </c>
      <c r="J156" s="9"/>
      <c r="K156" s="9"/>
      <c r="L156" s="37"/>
      <c r="M156" s="64"/>
      <c r="N156" s="42"/>
    </row>
    <row r="157" spans="1:14" ht="24" customHeight="1">
      <c r="A157" s="8">
        <v>117</v>
      </c>
      <c r="B157" s="9">
        <v>117</v>
      </c>
      <c r="C157" s="46"/>
      <c r="D157" s="9"/>
      <c r="E157" s="19" t="str">
        <f>IFERROR(VLOOKUP(D157,케이블트레이입.출고현황!U160:Z235,2,0),"")</f>
        <v/>
      </c>
      <c r="F157" s="19" t="str">
        <f>IFERROR(VLOOKUP(E157,케이블트레이입.출고현황!V160:AA235,2,0),"")</f>
        <v/>
      </c>
      <c r="G157" s="19" t="str">
        <f>IFERROR(VLOOKUP(F157,케이블트레이입.출고현황!W160:AB235,2,0),"")</f>
        <v/>
      </c>
      <c r="H157" s="19" t="str">
        <f>IFERROR(VLOOKUP(G157,케이블트레이입.출고현황!X160:AC235,2,0),"")</f>
        <v/>
      </c>
      <c r="I157" s="19" t="str">
        <f>IFERROR(VLOOKUP(H157,케이블트레이입.출고현황!Y160:AD235,2,0),"")</f>
        <v/>
      </c>
      <c r="J157" s="9"/>
      <c r="K157" s="9"/>
      <c r="L157" s="37"/>
      <c r="M157" s="64"/>
      <c r="N157" s="42"/>
    </row>
    <row r="158" spans="1:14" ht="24" customHeight="1">
      <c r="A158" s="8">
        <v>118</v>
      </c>
      <c r="B158" s="9">
        <v>118</v>
      </c>
      <c r="C158" s="46"/>
      <c r="D158" s="9"/>
      <c r="E158" s="19" t="str">
        <f>IFERROR(VLOOKUP(D158,케이블트레이입.출고현황!U161:Z236,2,0),"")</f>
        <v/>
      </c>
      <c r="F158" s="19" t="str">
        <f>IFERROR(VLOOKUP(E158,케이블트레이입.출고현황!V161:AA236,2,0),"")</f>
        <v/>
      </c>
      <c r="G158" s="19" t="str">
        <f>IFERROR(VLOOKUP(F158,케이블트레이입.출고현황!W161:AB236,2,0),"")</f>
        <v/>
      </c>
      <c r="H158" s="19" t="str">
        <f>IFERROR(VLOOKUP(G158,케이블트레이입.출고현황!X161:AC236,2,0),"")</f>
        <v/>
      </c>
      <c r="I158" s="19" t="str">
        <f>IFERROR(VLOOKUP(H158,케이블트레이입.출고현황!Y161:AD236,2,0),"")</f>
        <v/>
      </c>
      <c r="J158" s="9"/>
      <c r="K158" s="9"/>
      <c r="L158" s="37"/>
      <c r="M158" s="64"/>
      <c r="N158" s="42"/>
    </row>
    <row r="159" spans="1:14" ht="24" customHeight="1">
      <c r="A159" s="8">
        <v>119</v>
      </c>
      <c r="B159" s="9">
        <v>119</v>
      </c>
      <c r="C159" s="46"/>
      <c r="D159" s="9"/>
      <c r="E159" s="19" t="str">
        <f>IFERROR(VLOOKUP(D159,케이블트레이입.출고현황!U162:Z237,2,0),"")</f>
        <v/>
      </c>
      <c r="F159" s="19" t="str">
        <f>IFERROR(VLOOKUP(E159,케이블트레이입.출고현황!V162:AA237,2,0),"")</f>
        <v/>
      </c>
      <c r="G159" s="19" t="str">
        <f>IFERROR(VLOOKUP(F159,케이블트레이입.출고현황!W162:AB237,2,0),"")</f>
        <v/>
      </c>
      <c r="H159" s="19" t="str">
        <f>IFERROR(VLOOKUP(G159,케이블트레이입.출고현황!X162:AC237,2,0),"")</f>
        <v/>
      </c>
      <c r="I159" s="19" t="str">
        <f>IFERROR(VLOOKUP(H159,케이블트레이입.출고현황!Y162:AD237,2,0),"")</f>
        <v/>
      </c>
      <c r="J159" s="9"/>
      <c r="K159" s="9"/>
      <c r="L159" s="37"/>
      <c r="M159" s="64"/>
      <c r="N159" s="42"/>
    </row>
    <row r="160" spans="1:14" ht="24" customHeight="1">
      <c r="A160" s="8">
        <v>120</v>
      </c>
      <c r="B160" s="9">
        <v>120</v>
      </c>
      <c r="C160" s="46"/>
      <c r="D160" s="9"/>
      <c r="E160" s="19" t="str">
        <f>IFERROR(VLOOKUP(D160,케이블트레이입.출고현황!U163:Z238,2,0),"")</f>
        <v/>
      </c>
      <c r="F160" s="19" t="str">
        <f>IFERROR(VLOOKUP(E160,케이블트레이입.출고현황!V163:AA238,2,0),"")</f>
        <v/>
      </c>
      <c r="G160" s="19" t="str">
        <f>IFERROR(VLOOKUP(F160,케이블트레이입.출고현황!W163:AB238,2,0),"")</f>
        <v/>
      </c>
      <c r="H160" s="19" t="str">
        <f>IFERROR(VLOOKUP(G160,케이블트레이입.출고현황!X163:AC238,2,0),"")</f>
        <v/>
      </c>
      <c r="I160" s="19" t="str">
        <f>IFERROR(VLOOKUP(H160,케이블트레이입.출고현황!Y163:AD238,2,0),"")</f>
        <v/>
      </c>
      <c r="J160" s="9"/>
      <c r="K160" s="9"/>
      <c r="L160" s="37"/>
      <c r="M160" s="64"/>
      <c r="N160" s="42"/>
    </row>
    <row r="161" spans="1:14" ht="24" customHeight="1">
      <c r="A161" s="8">
        <v>121</v>
      </c>
      <c r="B161" s="9">
        <v>121</v>
      </c>
      <c r="C161" s="46"/>
      <c r="D161" s="9"/>
      <c r="E161" s="19" t="str">
        <f>IFERROR(VLOOKUP(D161,케이블트레이입.출고현황!U164:Z239,2,0),"")</f>
        <v/>
      </c>
      <c r="F161" s="19" t="str">
        <f>IFERROR(VLOOKUP(E161,케이블트레이입.출고현황!V164:AA239,2,0),"")</f>
        <v/>
      </c>
      <c r="G161" s="19" t="str">
        <f>IFERROR(VLOOKUP(F161,케이블트레이입.출고현황!W164:AB239,2,0),"")</f>
        <v/>
      </c>
      <c r="H161" s="19" t="str">
        <f>IFERROR(VLOOKUP(G161,케이블트레이입.출고현황!X164:AC239,2,0),"")</f>
        <v/>
      </c>
      <c r="I161" s="19" t="str">
        <f>IFERROR(VLOOKUP(H161,케이블트레이입.출고현황!Y164:AD239,2,0),"")</f>
        <v/>
      </c>
      <c r="J161" s="9"/>
      <c r="K161" s="9"/>
      <c r="L161" s="37"/>
      <c r="M161" s="64"/>
      <c r="N161" s="42"/>
    </row>
    <row r="162" spans="1:14" ht="24" customHeight="1">
      <c r="A162" s="8">
        <v>122</v>
      </c>
      <c r="B162" s="9">
        <v>122</v>
      </c>
      <c r="C162" s="46"/>
      <c r="D162" s="9"/>
      <c r="E162" s="19" t="str">
        <f>IFERROR(VLOOKUP(D162,케이블트레이입.출고현황!U165:Z240,2,0),"")</f>
        <v/>
      </c>
      <c r="F162" s="19" t="str">
        <f>IFERROR(VLOOKUP(E162,케이블트레이입.출고현황!V165:AA240,2,0),"")</f>
        <v/>
      </c>
      <c r="G162" s="19" t="str">
        <f>IFERROR(VLOOKUP(F162,케이블트레이입.출고현황!W165:AB240,2,0),"")</f>
        <v/>
      </c>
      <c r="H162" s="19" t="str">
        <f>IFERROR(VLOOKUP(G162,케이블트레이입.출고현황!X165:AC240,2,0),"")</f>
        <v/>
      </c>
      <c r="I162" s="19" t="str">
        <f>IFERROR(VLOOKUP(H162,케이블트레이입.출고현황!Y165:AD240,2,0),"")</f>
        <v/>
      </c>
      <c r="J162" s="9"/>
      <c r="K162" s="9"/>
      <c r="L162" s="37"/>
      <c r="M162" s="64"/>
      <c r="N162" s="42"/>
    </row>
    <row r="163" spans="1:14" ht="24" customHeight="1">
      <c r="A163" s="8">
        <v>123</v>
      </c>
      <c r="B163" s="9">
        <v>123</v>
      </c>
      <c r="C163" s="46"/>
      <c r="D163" s="9"/>
      <c r="E163" s="19" t="str">
        <f>IFERROR(VLOOKUP(D163,케이블트레이입.출고현황!U166:Z241,2,0),"")</f>
        <v/>
      </c>
      <c r="F163" s="19" t="str">
        <f>IFERROR(VLOOKUP(E163,케이블트레이입.출고현황!V166:AA241,2,0),"")</f>
        <v/>
      </c>
      <c r="G163" s="19" t="str">
        <f>IFERROR(VLOOKUP(F163,케이블트레이입.출고현황!W166:AB241,2,0),"")</f>
        <v/>
      </c>
      <c r="H163" s="19" t="str">
        <f>IFERROR(VLOOKUP(G163,케이블트레이입.출고현황!X166:AC241,2,0),"")</f>
        <v/>
      </c>
      <c r="I163" s="19" t="str">
        <f>IFERROR(VLOOKUP(H163,케이블트레이입.출고현황!Y166:AD241,2,0),"")</f>
        <v/>
      </c>
      <c r="J163" s="9"/>
      <c r="K163" s="9"/>
      <c r="L163" s="37"/>
      <c r="M163" s="64"/>
      <c r="N163" s="42"/>
    </row>
    <row r="164" spans="1:14" ht="24" customHeight="1">
      <c r="A164" s="8">
        <v>124</v>
      </c>
      <c r="B164" s="9">
        <v>124</v>
      </c>
      <c r="C164" s="46"/>
      <c r="D164" s="9"/>
      <c r="E164" s="19" t="str">
        <f>IFERROR(VLOOKUP(D164,케이블트레이입.출고현황!U167:Z242,2,0),"")</f>
        <v/>
      </c>
      <c r="F164" s="19" t="str">
        <f>IFERROR(VLOOKUP(E164,케이블트레이입.출고현황!V167:AA242,2,0),"")</f>
        <v/>
      </c>
      <c r="G164" s="19" t="str">
        <f>IFERROR(VLOOKUP(F164,케이블트레이입.출고현황!W167:AB242,2,0),"")</f>
        <v/>
      </c>
      <c r="H164" s="19" t="str">
        <f>IFERROR(VLOOKUP(G164,케이블트레이입.출고현황!X167:AC242,2,0),"")</f>
        <v/>
      </c>
      <c r="I164" s="19" t="str">
        <f>IFERROR(VLOOKUP(H164,케이블트레이입.출고현황!Y167:AD242,2,0),"")</f>
        <v/>
      </c>
      <c r="J164" s="9"/>
      <c r="K164" s="9"/>
      <c r="L164" s="37"/>
      <c r="M164" s="64"/>
      <c r="N164" s="42"/>
    </row>
    <row r="165" spans="1:14" ht="24" customHeight="1">
      <c r="A165" s="8">
        <v>125</v>
      </c>
      <c r="B165" s="9">
        <v>125</v>
      </c>
      <c r="C165" s="46"/>
      <c r="D165" s="9"/>
      <c r="E165" s="19" t="str">
        <f>IFERROR(VLOOKUP(D165,케이블트레이입.출고현황!U168:Z243,2,0),"")</f>
        <v/>
      </c>
      <c r="F165" s="19" t="str">
        <f>IFERROR(VLOOKUP(E165,케이블트레이입.출고현황!V168:AA243,2,0),"")</f>
        <v/>
      </c>
      <c r="G165" s="19" t="str">
        <f>IFERROR(VLOOKUP(F165,케이블트레이입.출고현황!W168:AB243,2,0),"")</f>
        <v/>
      </c>
      <c r="H165" s="19" t="str">
        <f>IFERROR(VLOOKUP(G165,케이블트레이입.출고현황!X168:AC243,2,0),"")</f>
        <v/>
      </c>
      <c r="I165" s="19" t="str">
        <f>IFERROR(VLOOKUP(H165,케이블트레이입.출고현황!Y168:AD243,2,0),"")</f>
        <v/>
      </c>
      <c r="J165" s="9"/>
      <c r="K165" s="9"/>
      <c r="L165" s="37"/>
      <c r="M165" s="64"/>
      <c r="N165" s="42"/>
    </row>
    <row r="166" spans="1:14" ht="24" customHeight="1">
      <c r="A166" s="8">
        <v>126</v>
      </c>
      <c r="B166" s="9">
        <v>126</v>
      </c>
      <c r="C166" s="46"/>
      <c r="D166" s="9"/>
      <c r="E166" s="19" t="str">
        <f>IFERROR(VLOOKUP(D166,케이블트레이입.출고현황!U169:Z244,2,0),"")</f>
        <v/>
      </c>
      <c r="F166" s="19" t="str">
        <f>IFERROR(VLOOKUP(E166,케이블트레이입.출고현황!V169:AA244,2,0),"")</f>
        <v/>
      </c>
      <c r="G166" s="19" t="str">
        <f>IFERROR(VLOOKUP(F166,케이블트레이입.출고현황!W169:AB244,2,0),"")</f>
        <v/>
      </c>
      <c r="H166" s="19" t="str">
        <f>IFERROR(VLOOKUP(G166,케이블트레이입.출고현황!X169:AC244,2,0),"")</f>
        <v/>
      </c>
      <c r="I166" s="19" t="str">
        <f>IFERROR(VLOOKUP(H166,케이블트레이입.출고현황!Y169:AD244,2,0),"")</f>
        <v/>
      </c>
      <c r="J166" s="9"/>
      <c r="K166" s="9"/>
      <c r="L166" s="37"/>
      <c r="M166" s="64"/>
      <c r="N166" s="42"/>
    </row>
    <row r="167" spans="1:14" ht="24" customHeight="1">
      <c r="A167" s="8">
        <v>127</v>
      </c>
      <c r="B167" s="9">
        <v>127</v>
      </c>
      <c r="C167" s="46"/>
      <c r="D167" s="9"/>
      <c r="E167" s="19" t="str">
        <f>IFERROR(VLOOKUP(D167,케이블트레이입.출고현황!U170:Z245,2,0),"")</f>
        <v/>
      </c>
      <c r="F167" s="19" t="str">
        <f>IFERROR(VLOOKUP(E167,케이블트레이입.출고현황!V170:AA245,2,0),"")</f>
        <v/>
      </c>
      <c r="G167" s="19" t="str">
        <f>IFERROR(VLOOKUP(F167,케이블트레이입.출고현황!W170:AB245,2,0),"")</f>
        <v/>
      </c>
      <c r="H167" s="19" t="str">
        <f>IFERROR(VLOOKUP(G167,케이블트레이입.출고현황!X170:AC245,2,0),"")</f>
        <v/>
      </c>
      <c r="I167" s="19" t="str">
        <f>IFERROR(VLOOKUP(H167,케이블트레이입.출고현황!Y170:AD245,2,0),"")</f>
        <v/>
      </c>
      <c r="J167" s="9"/>
      <c r="K167" s="9"/>
      <c r="L167" s="37"/>
      <c r="M167" s="64"/>
      <c r="N167" s="42"/>
    </row>
    <row r="168" spans="1:14" ht="24" customHeight="1">
      <c r="A168" s="8">
        <v>128</v>
      </c>
      <c r="B168" s="9">
        <v>128</v>
      </c>
      <c r="C168" s="46"/>
      <c r="D168" s="9"/>
      <c r="E168" s="19" t="str">
        <f>IFERROR(VLOOKUP(D168,케이블트레이입.출고현황!U171:Z246,2,0),"")</f>
        <v/>
      </c>
      <c r="F168" s="19" t="str">
        <f>IFERROR(VLOOKUP(E168,케이블트레이입.출고현황!V171:AA246,2,0),"")</f>
        <v/>
      </c>
      <c r="G168" s="19" t="str">
        <f>IFERROR(VLOOKUP(F168,케이블트레이입.출고현황!W171:AB246,2,0),"")</f>
        <v/>
      </c>
      <c r="H168" s="19" t="str">
        <f>IFERROR(VLOOKUP(G168,케이블트레이입.출고현황!X171:AC246,2,0),"")</f>
        <v/>
      </c>
      <c r="I168" s="19" t="str">
        <f>IFERROR(VLOOKUP(H168,케이블트레이입.출고현황!Y171:AD246,2,0),"")</f>
        <v/>
      </c>
      <c r="J168" s="9"/>
      <c r="K168" s="9"/>
      <c r="L168" s="37"/>
      <c r="M168" s="64"/>
      <c r="N168" s="42"/>
    </row>
    <row r="169" spans="1:14" ht="24" customHeight="1">
      <c r="A169" s="8">
        <v>129</v>
      </c>
      <c r="B169" s="9">
        <v>129</v>
      </c>
      <c r="C169" s="46"/>
      <c r="D169" s="9"/>
      <c r="E169" s="19" t="str">
        <f>IFERROR(VLOOKUP(D169,케이블트레이입.출고현황!U172:Z247,2,0),"")</f>
        <v/>
      </c>
      <c r="F169" s="19" t="str">
        <f>IFERROR(VLOOKUP(E169,케이블트레이입.출고현황!V172:AA247,2,0),"")</f>
        <v/>
      </c>
      <c r="G169" s="19" t="str">
        <f>IFERROR(VLOOKUP(F169,케이블트레이입.출고현황!W172:AB247,2,0),"")</f>
        <v/>
      </c>
      <c r="H169" s="19" t="str">
        <f>IFERROR(VLOOKUP(G169,케이블트레이입.출고현황!X172:AC247,2,0),"")</f>
        <v/>
      </c>
      <c r="I169" s="19" t="str">
        <f>IFERROR(VLOOKUP(H169,케이블트레이입.출고현황!Y172:AD247,2,0),"")</f>
        <v/>
      </c>
      <c r="J169" s="9"/>
      <c r="K169" s="9"/>
      <c r="L169" s="37"/>
      <c r="M169" s="64"/>
      <c r="N169" s="42"/>
    </row>
    <row r="170" spans="1:14" ht="24" customHeight="1">
      <c r="A170" s="8">
        <v>130</v>
      </c>
      <c r="B170" s="9">
        <v>130</v>
      </c>
      <c r="C170" s="46"/>
      <c r="D170" s="9"/>
      <c r="E170" s="19" t="str">
        <f>IFERROR(VLOOKUP(D170,케이블트레이입.출고현황!U173:Z248,2,0),"")</f>
        <v/>
      </c>
      <c r="F170" s="19" t="str">
        <f>IFERROR(VLOOKUP(E170,케이블트레이입.출고현황!V173:AA248,2,0),"")</f>
        <v/>
      </c>
      <c r="G170" s="19" t="str">
        <f>IFERROR(VLOOKUP(F170,케이블트레이입.출고현황!W173:AB248,2,0),"")</f>
        <v/>
      </c>
      <c r="H170" s="19" t="str">
        <f>IFERROR(VLOOKUP(G170,케이블트레이입.출고현황!X173:AC248,2,0),"")</f>
        <v/>
      </c>
      <c r="I170" s="19" t="str">
        <f>IFERROR(VLOOKUP(H170,케이블트레이입.출고현황!Y173:AD248,2,0),"")</f>
        <v/>
      </c>
      <c r="J170" s="9"/>
      <c r="K170" s="9"/>
      <c r="L170" s="37"/>
      <c r="M170" s="64"/>
      <c r="N170" s="42"/>
    </row>
    <row r="171" spans="1:14" ht="24" customHeight="1">
      <c r="A171" s="8">
        <v>131</v>
      </c>
      <c r="B171" s="9">
        <v>131</v>
      </c>
      <c r="C171" s="46"/>
      <c r="D171" s="9"/>
      <c r="E171" s="19" t="str">
        <f>IFERROR(VLOOKUP(D171,케이블트레이입.출고현황!U174:Z249,2,0),"")</f>
        <v/>
      </c>
      <c r="F171" s="19" t="str">
        <f>IFERROR(VLOOKUP(E171,케이블트레이입.출고현황!V174:AA249,2,0),"")</f>
        <v/>
      </c>
      <c r="G171" s="19" t="str">
        <f>IFERROR(VLOOKUP(F171,케이블트레이입.출고현황!W174:AB249,2,0),"")</f>
        <v/>
      </c>
      <c r="H171" s="19" t="str">
        <f>IFERROR(VLOOKUP(G171,케이블트레이입.출고현황!X174:AC249,2,0),"")</f>
        <v/>
      </c>
      <c r="I171" s="19" t="str">
        <f>IFERROR(VLOOKUP(H171,케이블트레이입.출고현황!Y174:AD249,2,0),"")</f>
        <v/>
      </c>
      <c r="J171" s="9"/>
      <c r="K171" s="9"/>
      <c r="L171" s="37"/>
      <c r="M171" s="64"/>
      <c r="N171" s="42"/>
    </row>
    <row r="172" spans="1:14" ht="24" customHeight="1">
      <c r="A172" s="8">
        <v>132</v>
      </c>
      <c r="B172" s="9">
        <v>132</v>
      </c>
      <c r="C172" s="46"/>
      <c r="D172" s="9"/>
      <c r="E172" s="19" t="str">
        <f>IFERROR(VLOOKUP(D172,케이블트레이입.출고현황!U175:Z250,2,0),"")</f>
        <v/>
      </c>
      <c r="F172" s="19" t="str">
        <f>IFERROR(VLOOKUP(E172,케이블트레이입.출고현황!V175:AA250,2,0),"")</f>
        <v/>
      </c>
      <c r="G172" s="19" t="str">
        <f>IFERROR(VLOOKUP(F172,케이블트레이입.출고현황!W175:AB250,2,0),"")</f>
        <v/>
      </c>
      <c r="H172" s="19" t="str">
        <f>IFERROR(VLOOKUP(G172,케이블트레이입.출고현황!X175:AC250,2,0),"")</f>
        <v/>
      </c>
      <c r="I172" s="19" t="str">
        <f>IFERROR(VLOOKUP(H172,케이블트레이입.출고현황!Y175:AD250,2,0),"")</f>
        <v/>
      </c>
      <c r="J172" s="9"/>
      <c r="K172" s="9"/>
      <c r="L172" s="37"/>
      <c r="M172" s="64"/>
      <c r="N172" s="42"/>
    </row>
    <row r="173" spans="1:14" ht="24" customHeight="1">
      <c r="A173" s="8">
        <v>133</v>
      </c>
      <c r="B173" s="9">
        <v>133</v>
      </c>
      <c r="C173" s="46"/>
      <c r="D173" s="9"/>
      <c r="E173" s="19" t="str">
        <f>IFERROR(VLOOKUP(D173,케이블트레이입.출고현황!U176:Z251,2,0),"")</f>
        <v/>
      </c>
      <c r="F173" s="19" t="str">
        <f>IFERROR(VLOOKUP(E173,케이블트레이입.출고현황!V176:AA251,2,0),"")</f>
        <v/>
      </c>
      <c r="G173" s="19" t="str">
        <f>IFERROR(VLOOKUP(F173,케이블트레이입.출고현황!W176:AB251,2,0),"")</f>
        <v/>
      </c>
      <c r="H173" s="19" t="str">
        <f>IFERROR(VLOOKUP(G173,케이블트레이입.출고현황!X176:AC251,2,0),"")</f>
        <v/>
      </c>
      <c r="I173" s="19" t="str">
        <f>IFERROR(VLOOKUP(H173,케이블트레이입.출고현황!Y176:AD251,2,0),"")</f>
        <v/>
      </c>
      <c r="J173" s="9"/>
      <c r="K173" s="9"/>
      <c r="L173" s="37"/>
      <c r="M173" s="64"/>
      <c r="N173" s="42"/>
    </row>
    <row r="174" spans="1:14" ht="24" customHeight="1">
      <c r="A174" s="8">
        <v>134</v>
      </c>
      <c r="B174" s="9">
        <v>134</v>
      </c>
      <c r="C174" s="46"/>
      <c r="D174" s="9"/>
      <c r="E174" s="19" t="str">
        <f>IFERROR(VLOOKUP(D174,케이블트레이입.출고현황!U177:Z252,2,0),"")</f>
        <v/>
      </c>
      <c r="F174" s="19" t="str">
        <f>IFERROR(VLOOKUP(E174,케이블트레이입.출고현황!V177:AA252,2,0),"")</f>
        <v/>
      </c>
      <c r="G174" s="19" t="str">
        <f>IFERROR(VLOOKUP(F174,케이블트레이입.출고현황!W177:AB252,2,0),"")</f>
        <v/>
      </c>
      <c r="H174" s="19" t="str">
        <f>IFERROR(VLOOKUP(G174,케이블트레이입.출고현황!X177:AC252,2,0),"")</f>
        <v/>
      </c>
      <c r="I174" s="19" t="str">
        <f>IFERROR(VLOOKUP(H174,케이블트레이입.출고현황!Y177:AD252,2,0),"")</f>
        <v/>
      </c>
      <c r="J174" s="9"/>
      <c r="K174" s="9"/>
      <c r="L174" s="37"/>
      <c r="M174" s="64"/>
      <c r="N174" s="42"/>
    </row>
    <row r="175" spans="1:14" ht="24" customHeight="1">
      <c r="A175" s="8">
        <v>135</v>
      </c>
      <c r="B175" s="9">
        <v>135</v>
      </c>
      <c r="C175" s="46"/>
      <c r="D175" s="9"/>
      <c r="E175" s="19" t="str">
        <f>IFERROR(VLOOKUP(D175,케이블트레이입.출고현황!U178:Z253,2,0),"")</f>
        <v/>
      </c>
      <c r="F175" s="19" t="str">
        <f>IFERROR(VLOOKUP(E175,케이블트레이입.출고현황!V178:AA253,2,0),"")</f>
        <v/>
      </c>
      <c r="G175" s="19" t="str">
        <f>IFERROR(VLOOKUP(F175,케이블트레이입.출고현황!W178:AB253,2,0),"")</f>
        <v/>
      </c>
      <c r="H175" s="19" t="str">
        <f>IFERROR(VLOOKUP(G175,케이블트레이입.출고현황!X178:AC253,2,0),"")</f>
        <v/>
      </c>
      <c r="I175" s="19" t="str">
        <f>IFERROR(VLOOKUP(H175,케이블트레이입.출고현황!Y178:AD253,2,0),"")</f>
        <v/>
      </c>
      <c r="J175" s="9"/>
      <c r="K175" s="9"/>
      <c r="L175" s="37"/>
      <c r="M175" s="64"/>
      <c r="N175" s="42"/>
    </row>
    <row r="176" spans="1:14" ht="24" customHeight="1">
      <c r="A176" s="8">
        <v>136</v>
      </c>
      <c r="B176" s="9">
        <v>136</v>
      </c>
      <c r="C176" s="46"/>
      <c r="D176" s="9"/>
      <c r="E176" s="19" t="str">
        <f>IFERROR(VLOOKUP(D176,케이블트레이입.출고현황!U179:Z254,2,0),"")</f>
        <v/>
      </c>
      <c r="F176" s="19" t="str">
        <f>IFERROR(VLOOKUP(E176,케이블트레이입.출고현황!V179:AA254,2,0),"")</f>
        <v/>
      </c>
      <c r="G176" s="19" t="str">
        <f>IFERROR(VLOOKUP(F176,케이블트레이입.출고현황!W179:AB254,2,0),"")</f>
        <v/>
      </c>
      <c r="H176" s="19" t="str">
        <f>IFERROR(VLOOKUP(G176,케이블트레이입.출고현황!X179:AC254,2,0),"")</f>
        <v/>
      </c>
      <c r="I176" s="19" t="str">
        <f>IFERROR(VLOOKUP(H176,케이블트레이입.출고현황!Y179:AD254,2,0),"")</f>
        <v/>
      </c>
      <c r="J176" s="9"/>
      <c r="K176" s="9"/>
      <c r="L176" s="37"/>
      <c r="M176" s="64"/>
      <c r="N176" s="42"/>
    </row>
    <row r="177" spans="1:14" ht="24" customHeight="1">
      <c r="A177" s="8">
        <v>137</v>
      </c>
      <c r="B177" s="9">
        <v>137</v>
      </c>
      <c r="C177" s="46"/>
      <c r="D177" s="9"/>
      <c r="E177" s="19" t="str">
        <f>IFERROR(VLOOKUP(D177,케이블트레이입.출고현황!U180:Z255,2,0),"")</f>
        <v/>
      </c>
      <c r="F177" s="19" t="str">
        <f>IFERROR(VLOOKUP(E177,케이블트레이입.출고현황!V180:AA255,2,0),"")</f>
        <v/>
      </c>
      <c r="G177" s="19" t="str">
        <f>IFERROR(VLOOKUP(F177,케이블트레이입.출고현황!W180:AB255,2,0),"")</f>
        <v/>
      </c>
      <c r="H177" s="19" t="str">
        <f>IFERROR(VLOOKUP(G177,케이블트레이입.출고현황!X180:AC255,2,0),"")</f>
        <v/>
      </c>
      <c r="I177" s="19" t="str">
        <f>IFERROR(VLOOKUP(H177,케이블트레이입.출고현황!Y180:AD255,2,0),"")</f>
        <v/>
      </c>
      <c r="J177" s="9"/>
      <c r="K177" s="9"/>
      <c r="L177" s="37"/>
      <c r="M177" s="64"/>
      <c r="N177" s="42"/>
    </row>
    <row r="178" spans="1:14" ht="24" customHeight="1">
      <c r="A178" s="8">
        <v>138</v>
      </c>
      <c r="B178" s="9">
        <v>138</v>
      </c>
      <c r="C178" s="46"/>
      <c r="D178" s="9"/>
      <c r="E178" s="19" t="str">
        <f>IFERROR(VLOOKUP(D178,케이블트레이입.출고현황!U181:Z256,2,0),"")</f>
        <v/>
      </c>
      <c r="F178" s="19" t="str">
        <f>IFERROR(VLOOKUP(E178,케이블트레이입.출고현황!V181:AA256,2,0),"")</f>
        <v/>
      </c>
      <c r="G178" s="19" t="str">
        <f>IFERROR(VLOOKUP(F178,케이블트레이입.출고현황!W181:AB256,2,0),"")</f>
        <v/>
      </c>
      <c r="H178" s="19" t="str">
        <f>IFERROR(VLOOKUP(G178,케이블트레이입.출고현황!X181:AC256,2,0),"")</f>
        <v/>
      </c>
      <c r="I178" s="19" t="str">
        <f>IFERROR(VLOOKUP(H178,케이블트레이입.출고현황!Y181:AD256,2,0),"")</f>
        <v/>
      </c>
      <c r="J178" s="9"/>
      <c r="K178" s="9"/>
      <c r="L178" s="37"/>
      <c r="M178" s="64"/>
      <c r="N178" s="42"/>
    </row>
    <row r="179" spans="1:14" ht="24" customHeight="1">
      <c r="A179" s="8">
        <v>139</v>
      </c>
      <c r="B179" s="9">
        <v>139</v>
      </c>
      <c r="C179" s="46"/>
      <c r="D179" s="9"/>
      <c r="E179" s="19" t="str">
        <f>IFERROR(VLOOKUP(D179,케이블트레이입.출고현황!U182:Z257,2,0),"")</f>
        <v/>
      </c>
      <c r="F179" s="19" t="str">
        <f>IFERROR(VLOOKUP(E179,케이블트레이입.출고현황!V182:AA257,2,0),"")</f>
        <v/>
      </c>
      <c r="G179" s="19" t="str">
        <f>IFERROR(VLOOKUP(F179,케이블트레이입.출고현황!W182:AB257,2,0),"")</f>
        <v/>
      </c>
      <c r="H179" s="19" t="str">
        <f>IFERROR(VLOOKUP(G179,케이블트레이입.출고현황!X182:AC257,2,0),"")</f>
        <v/>
      </c>
      <c r="I179" s="19" t="str">
        <f>IFERROR(VLOOKUP(H179,케이블트레이입.출고현황!Y182:AD257,2,0),"")</f>
        <v/>
      </c>
      <c r="J179" s="9"/>
      <c r="K179" s="9"/>
      <c r="L179" s="37"/>
      <c r="M179" s="64"/>
      <c r="N179" s="42"/>
    </row>
    <row r="180" spans="1:14" ht="24" customHeight="1">
      <c r="A180" s="8">
        <v>140</v>
      </c>
      <c r="B180" s="9">
        <v>140</v>
      </c>
      <c r="C180" s="46"/>
      <c r="D180" s="9"/>
      <c r="E180" s="19" t="str">
        <f>IFERROR(VLOOKUP(D180,케이블트레이입.출고현황!U183:Z258,2,0),"")</f>
        <v/>
      </c>
      <c r="F180" s="19" t="str">
        <f>IFERROR(VLOOKUP(E180,케이블트레이입.출고현황!V183:AA258,2,0),"")</f>
        <v/>
      </c>
      <c r="G180" s="19" t="str">
        <f>IFERROR(VLOOKUP(F180,케이블트레이입.출고현황!W183:AB258,2,0),"")</f>
        <v/>
      </c>
      <c r="H180" s="19" t="str">
        <f>IFERROR(VLOOKUP(G180,케이블트레이입.출고현황!X183:AC258,2,0),"")</f>
        <v/>
      </c>
      <c r="I180" s="19" t="str">
        <f>IFERROR(VLOOKUP(H180,케이블트레이입.출고현황!Y183:AD258,2,0),"")</f>
        <v/>
      </c>
      <c r="J180" s="9"/>
      <c r="K180" s="9"/>
      <c r="L180" s="37"/>
      <c r="M180" s="64"/>
      <c r="N180" s="42"/>
    </row>
    <row r="181" spans="1:14" ht="24" customHeight="1">
      <c r="A181" s="8">
        <v>141</v>
      </c>
      <c r="B181" s="9">
        <v>141</v>
      </c>
      <c r="C181" s="46"/>
      <c r="D181" s="9"/>
      <c r="E181" s="19" t="str">
        <f>IFERROR(VLOOKUP(D181,케이블트레이입.출고현황!U184:Z259,2,0),"")</f>
        <v/>
      </c>
      <c r="F181" s="19" t="str">
        <f>IFERROR(VLOOKUP(E181,케이블트레이입.출고현황!V184:AA259,2,0),"")</f>
        <v/>
      </c>
      <c r="G181" s="19" t="str">
        <f>IFERROR(VLOOKUP(F181,케이블트레이입.출고현황!W184:AB259,2,0),"")</f>
        <v/>
      </c>
      <c r="H181" s="19" t="str">
        <f>IFERROR(VLOOKUP(G181,케이블트레이입.출고현황!X184:AC259,2,0),"")</f>
        <v/>
      </c>
      <c r="I181" s="19" t="str">
        <f>IFERROR(VLOOKUP(H181,케이블트레이입.출고현황!Y184:AD259,2,0),"")</f>
        <v/>
      </c>
      <c r="J181" s="9"/>
      <c r="K181" s="9"/>
      <c r="L181" s="37"/>
      <c r="M181" s="64"/>
      <c r="N181" s="42"/>
    </row>
    <row r="182" spans="1:14" ht="24" customHeight="1">
      <c r="A182" s="8">
        <v>142</v>
      </c>
      <c r="B182" s="9">
        <v>142</v>
      </c>
      <c r="C182" s="46"/>
      <c r="D182" s="9"/>
      <c r="E182" s="19" t="str">
        <f>IFERROR(VLOOKUP(D182,케이블트레이입.출고현황!U185:Z260,2,0),"")</f>
        <v/>
      </c>
      <c r="F182" s="19" t="str">
        <f>IFERROR(VLOOKUP(E182,케이블트레이입.출고현황!V185:AA260,2,0),"")</f>
        <v/>
      </c>
      <c r="G182" s="19" t="str">
        <f>IFERROR(VLOOKUP(F182,케이블트레이입.출고현황!W185:AB260,2,0),"")</f>
        <v/>
      </c>
      <c r="H182" s="19" t="str">
        <f>IFERROR(VLOOKUP(G182,케이블트레이입.출고현황!X185:AC260,2,0),"")</f>
        <v/>
      </c>
      <c r="I182" s="19" t="str">
        <f>IFERROR(VLOOKUP(H182,케이블트레이입.출고현황!Y185:AD260,2,0),"")</f>
        <v/>
      </c>
      <c r="J182" s="9"/>
      <c r="K182" s="9"/>
      <c r="L182" s="37"/>
      <c r="M182" s="64"/>
      <c r="N182" s="42"/>
    </row>
    <row r="183" spans="1:14" ht="24" customHeight="1">
      <c r="A183" s="8">
        <v>143</v>
      </c>
      <c r="B183" s="9">
        <v>143</v>
      </c>
      <c r="C183" s="46"/>
      <c r="D183" s="9"/>
      <c r="E183" s="19" t="str">
        <f>IFERROR(VLOOKUP(D183,케이블트레이입.출고현황!U186:Z261,2,0),"")</f>
        <v/>
      </c>
      <c r="F183" s="19" t="str">
        <f>IFERROR(VLOOKUP(E183,케이블트레이입.출고현황!V186:AA261,2,0),"")</f>
        <v/>
      </c>
      <c r="G183" s="19" t="str">
        <f>IFERROR(VLOOKUP(F183,케이블트레이입.출고현황!W186:AB261,2,0),"")</f>
        <v/>
      </c>
      <c r="H183" s="19" t="str">
        <f>IFERROR(VLOOKUP(G183,케이블트레이입.출고현황!X186:AC261,2,0),"")</f>
        <v/>
      </c>
      <c r="I183" s="19" t="str">
        <f>IFERROR(VLOOKUP(H183,케이블트레이입.출고현황!Y186:AD261,2,0),"")</f>
        <v/>
      </c>
      <c r="J183" s="9"/>
      <c r="K183" s="9"/>
      <c r="L183" s="37"/>
      <c r="M183" s="64"/>
      <c r="N183" s="42"/>
    </row>
    <row r="184" spans="1:14" ht="24" customHeight="1">
      <c r="A184" s="8">
        <v>144</v>
      </c>
      <c r="B184" s="9">
        <v>144</v>
      </c>
      <c r="C184" s="46"/>
      <c r="D184" s="9"/>
      <c r="E184" s="19" t="str">
        <f>IFERROR(VLOOKUP(D184,케이블트레이입.출고현황!U187:Z262,2,0),"")</f>
        <v/>
      </c>
      <c r="F184" s="19" t="str">
        <f>IFERROR(VLOOKUP(E184,케이블트레이입.출고현황!V187:AA262,2,0),"")</f>
        <v/>
      </c>
      <c r="G184" s="19" t="str">
        <f>IFERROR(VLOOKUP(F184,케이블트레이입.출고현황!W187:AB262,2,0),"")</f>
        <v/>
      </c>
      <c r="H184" s="19" t="str">
        <f>IFERROR(VLOOKUP(G184,케이블트레이입.출고현황!X187:AC262,2,0),"")</f>
        <v/>
      </c>
      <c r="I184" s="19" t="str">
        <f>IFERROR(VLOOKUP(H184,케이블트레이입.출고현황!Y187:AD262,2,0),"")</f>
        <v/>
      </c>
      <c r="J184" s="9"/>
      <c r="K184" s="9"/>
      <c r="L184" s="37"/>
      <c r="M184" s="64"/>
      <c r="N184" s="42"/>
    </row>
    <row r="185" spans="1:14" ht="24" customHeight="1">
      <c r="A185" s="8">
        <v>145</v>
      </c>
      <c r="B185" s="9">
        <v>145</v>
      </c>
      <c r="C185" s="46"/>
      <c r="D185" s="9"/>
      <c r="E185" s="19" t="str">
        <f>IFERROR(VLOOKUP(D185,케이블트레이입.출고현황!U188:Z263,2,0),"")</f>
        <v/>
      </c>
      <c r="F185" s="19" t="str">
        <f>IFERROR(VLOOKUP(E185,케이블트레이입.출고현황!V188:AA263,2,0),"")</f>
        <v/>
      </c>
      <c r="G185" s="19" t="str">
        <f>IFERROR(VLOOKUP(F185,케이블트레이입.출고현황!W188:AB263,2,0),"")</f>
        <v/>
      </c>
      <c r="H185" s="19" t="str">
        <f>IFERROR(VLOOKUP(G185,케이블트레이입.출고현황!X188:AC263,2,0),"")</f>
        <v/>
      </c>
      <c r="I185" s="19" t="str">
        <f>IFERROR(VLOOKUP(H185,케이블트레이입.출고현황!Y188:AD263,2,0),"")</f>
        <v/>
      </c>
      <c r="J185" s="9"/>
      <c r="K185" s="9"/>
      <c r="L185" s="37"/>
      <c r="M185" s="64"/>
      <c r="N185" s="42"/>
    </row>
    <row r="186" spans="1:14" ht="24" customHeight="1">
      <c r="A186" s="8">
        <v>146</v>
      </c>
      <c r="B186" s="9">
        <v>146</v>
      </c>
      <c r="C186" s="46"/>
      <c r="D186" s="9"/>
      <c r="E186" s="19" t="str">
        <f>IFERROR(VLOOKUP(D186,케이블트레이입.출고현황!U189:Z264,2,0),"")</f>
        <v/>
      </c>
      <c r="F186" s="19" t="str">
        <f>IFERROR(VLOOKUP(E186,케이블트레이입.출고현황!V189:AA264,2,0),"")</f>
        <v/>
      </c>
      <c r="G186" s="19" t="str">
        <f>IFERROR(VLOOKUP(F186,케이블트레이입.출고현황!W189:AB264,2,0),"")</f>
        <v/>
      </c>
      <c r="H186" s="19" t="str">
        <f>IFERROR(VLOOKUP(G186,케이블트레이입.출고현황!X189:AC264,2,0),"")</f>
        <v/>
      </c>
      <c r="I186" s="19" t="str">
        <f>IFERROR(VLOOKUP(H186,케이블트레이입.출고현황!Y189:AD264,2,0),"")</f>
        <v/>
      </c>
      <c r="J186" s="9"/>
      <c r="K186" s="9"/>
      <c r="L186" s="37"/>
      <c r="M186" s="64"/>
      <c r="N186" s="42"/>
    </row>
    <row r="187" spans="1:14" ht="24" customHeight="1">
      <c r="A187" s="8">
        <v>147</v>
      </c>
      <c r="B187" s="9">
        <v>147</v>
      </c>
      <c r="C187" s="46"/>
      <c r="D187" s="9"/>
      <c r="E187" s="19" t="str">
        <f>IFERROR(VLOOKUP(D187,케이블트레이입.출고현황!U190:Z265,2,0),"")</f>
        <v/>
      </c>
      <c r="F187" s="19" t="str">
        <f>IFERROR(VLOOKUP(E187,케이블트레이입.출고현황!V190:AA265,2,0),"")</f>
        <v/>
      </c>
      <c r="G187" s="19" t="str">
        <f>IFERROR(VLOOKUP(F187,케이블트레이입.출고현황!W190:AB265,2,0),"")</f>
        <v/>
      </c>
      <c r="H187" s="19" t="str">
        <f>IFERROR(VLOOKUP(G187,케이블트레이입.출고현황!X190:AC265,2,0),"")</f>
        <v/>
      </c>
      <c r="I187" s="19" t="str">
        <f>IFERROR(VLOOKUP(H187,케이블트레이입.출고현황!Y190:AD265,2,0),"")</f>
        <v/>
      </c>
      <c r="J187" s="9"/>
      <c r="K187" s="9"/>
      <c r="L187" s="37"/>
      <c r="M187" s="64"/>
      <c r="N187" s="42"/>
    </row>
    <row r="188" spans="1:14" ht="24" customHeight="1">
      <c r="A188" s="8">
        <v>148</v>
      </c>
      <c r="B188" s="9">
        <v>148</v>
      </c>
      <c r="C188" s="46"/>
      <c r="D188" s="9"/>
      <c r="E188" s="19" t="str">
        <f>IFERROR(VLOOKUP(D188,케이블트레이입.출고현황!U191:Z266,2,0),"")</f>
        <v/>
      </c>
      <c r="F188" s="19" t="str">
        <f>IFERROR(VLOOKUP(E188,케이블트레이입.출고현황!V191:AA266,2,0),"")</f>
        <v/>
      </c>
      <c r="G188" s="19" t="str">
        <f>IFERROR(VLOOKUP(F188,케이블트레이입.출고현황!W191:AB266,2,0),"")</f>
        <v/>
      </c>
      <c r="H188" s="19" t="str">
        <f>IFERROR(VLOOKUP(G188,케이블트레이입.출고현황!X191:AC266,2,0),"")</f>
        <v/>
      </c>
      <c r="I188" s="19" t="str">
        <f>IFERROR(VLOOKUP(H188,케이블트레이입.출고현황!Y191:AD266,2,0),"")</f>
        <v/>
      </c>
      <c r="J188" s="9"/>
      <c r="K188" s="9"/>
      <c r="L188" s="37"/>
      <c r="M188" s="64"/>
      <c r="N188" s="42"/>
    </row>
    <row r="189" spans="1:14" ht="24" customHeight="1">
      <c r="A189" s="8">
        <v>149</v>
      </c>
      <c r="B189" s="9">
        <v>149</v>
      </c>
      <c r="C189" s="46"/>
      <c r="D189" s="9"/>
      <c r="E189" s="19" t="str">
        <f>IFERROR(VLOOKUP(D189,케이블트레이입.출고현황!U192:Z267,2,0),"")</f>
        <v/>
      </c>
      <c r="F189" s="19" t="str">
        <f>IFERROR(VLOOKUP(E189,케이블트레이입.출고현황!V192:AA267,2,0),"")</f>
        <v/>
      </c>
      <c r="G189" s="19" t="str">
        <f>IFERROR(VLOOKUP(F189,케이블트레이입.출고현황!W192:AB267,2,0),"")</f>
        <v/>
      </c>
      <c r="H189" s="19" t="str">
        <f>IFERROR(VLOOKUP(G189,케이블트레이입.출고현황!X192:AC267,2,0),"")</f>
        <v/>
      </c>
      <c r="I189" s="19" t="str">
        <f>IFERROR(VLOOKUP(H189,케이블트레이입.출고현황!Y192:AD267,2,0),"")</f>
        <v/>
      </c>
      <c r="J189" s="9"/>
      <c r="K189" s="9"/>
      <c r="L189" s="37"/>
      <c r="M189" s="64"/>
      <c r="N189" s="42"/>
    </row>
    <row r="190" spans="1:14" ht="24" customHeight="1">
      <c r="A190" s="8">
        <v>150</v>
      </c>
      <c r="B190" s="9">
        <v>150</v>
      </c>
      <c r="C190" s="46"/>
      <c r="D190" s="9"/>
      <c r="E190" s="19" t="str">
        <f>IFERROR(VLOOKUP(D190,케이블트레이입.출고현황!U193:Z268,2,0),"")</f>
        <v/>
      </c>
      <c r="F190" s="19" t="str">
        <f>IFERROR(VLOOKUP(E190,케이블트레이입.출고현황!V193:AA268,2,0),"")</f>
        <v/>
      </c>
      <c r="G190" s="19" t="str">
        <f>IFERROR(VLOOKUP(F190,케이블트레이입.출고현황!W193:AB268,2,0),"")</f>
        <v/>
      </c>
      <c r="H190" s="19" t="str">
        <f>IFERROR(VLOOKUP(G190,케이블트레이입.출고현황!X193:AC268,2,0),"")</f>
        <v/>
      </c>
      <c r="I190" s="19" t="str">
        <f>IFERROR(VLOOKUP(H190,케이블트레이입.출고현황!Y193:AD268,2,0),"")</f>
        <v/>
      </c>
      <c r="J190" s="9"/>
      <c r="K190" s="9"/>
      <c r="L190" s="37"/>
      <c r="M190" s="64"/>
      <c r="N190" s="42"/>
    </row>
    <row r="191" spans="1:14" ht="24" customHeight="1">
      <c r="A191" s="8">
        <v>151</v>
      </c>
      <c r="B191" s="9">
        <v>151</v>
      </c>
      <c r="C191" s="46"/>
      <c r="D191" s="9"/>
      <c r="E191" s="19" t="str">
        <f>IFERROR(VLOOKUP(D191,케이블트레이입.출고현황!U194:Z269,2,0),"")</f>
        <v/>
      </c>
      <c r="F191" s="19" t="str">
        <f>IFERROR(VLOOKUP(E191,케이블트레이입.출고현황!V194:AA269,2,0),"")</f>
        <v/>
      </c>
      <c r="G191" s="19" t="str">
        <f>IFERROR(VLOOKUP(F191,케이블트레이입.출고현황!W194:AB269,2,0),"")</f>
        <v/>
      </c>
      <c r="H191" s="19" t="str">
        <f>IFERROR(VLOOKUP(G191,케이블트레이입.출고현황!X194:AC269,2,0),"")</f>
        <v/>
      </c>
      <c r="I191" s="19" t="str">
        <f>IFERROR(VLOOKUP(H191,케이블트레이입.출고현황!Y194:AD269,2,0),"")</f>
        <v/>
      </c>
      <c r="J191" s="9"/>
      <c r="K191" s="9"/>
      <c r="L191" s="37"/>
      <c r="M191" s="64"/>
      <c r="N191" s="42"/>
    </row>
    <row r="192" spans="1:14" ht="24" customHeight="1">
      <c r="A192" s="8">
        <v>152</v>
      </c>
      <c r="B192" s="9">
        <v>152</v>
      </c>
      <c r="C192" s="46"/>
      <c r="D192" s="9"/>
      <c r="E192" s="19" t="str">
        <f>IFERROR(VLOOKUP(D192,케이블트레이입.출고현황!U195:Z270,2,0),"")</f>
        <v/>
      </c>
      <c r="F192" s="19" t="str">
        <f>IFERROR(VLOOKUP(E192,케이블트레이입.출고현황!V195:AA270,2,0),"")</f>
        <v/>
      </c>
      <c r="G192" s="19" t="str">
        <f>IFERROR(VLOOKUP(F192,케이블트레이입.출고현황!W195:AB270,2,0),"")</f>
        <v/>
      </c>
      <c r="H192" s="19" t="str">
        <f>IFERROR(VLOOKUP(G192,케이블트레이입.출고현황!X195:AC270,2,0),"")</f>
        <v/>
      </c>
      <c r="I192" s="19" t="str">
        <f>IFERROR(VLOOKUP(H192,케이블트레이입.출고현황!Y195:AD270,2,0),"")</f>
        <v/>
      </c>
      <c r="J192" s="9"/>
      <c r="K192" s="9"/>
      <c r="L192" s="37"/>
      <c r="M192" s="64"/>
      <c r="N192" s="42"/>
    </row>
    <row r="193" spans="1:14" ht="24" customHeight="1">
      <c r="A193" s="8">
        <v>153</v>
      </c>
      <c r="B193" s="9">
        <v>153</v>
      </c>
      <c r="C193" s="46"/>
      <c r="D193" s="9"/>
      <c r="E193" s="19" t="str">
        <f>IFERROR(VLOOKUP(D193,케이블트레이입.출고현황!U196:Z271,2,0),"")</f>
        <v/>
      </c>
      <c r="F193" s="19" t="str">
        <f>IFERROR(VLOOKUP(E193,케이블트레이입.출고현황!V196:AA271,2,0),"")</f>
        <v/>
      </c>
      <c r="G193" s="19" t="str">
        <f>IFERROR(VLOOKUP(F193,케이블트레이입.출고현황!W196:AB271,2,0),"")</f>
        <v/>
      </c>
      <c r="H193" s="19" t="str">
        <f>IFERROR(VLOOKUP(G193,케이블트레이입.출고현황!X196:AC271,2,0),"")</f>
        <v/>
      </c>
      <c r="I193" s="19" t="str">
        <f>IFERROR(VLOOKUP(H193,케이블트레이입.출고현황!Y196:AD271,2,0),"")</f>
        <v/>
      </c>
      <c r="J193" s="9"/>
      <c r="K193" s="9"/>
      <c r="L193" s="37"/>
      <c r="M193" s="64"/>
      <c r="N193" s="42"/>
    </row>
    <row r="194" spans="1:14" ht="24" customHeight="1">
      <c r="A194" s="8">
        <v>154</v>
      </c>
      <c r="B194" s="9">
        <v>154</v>
      </c>
      <c r="C194" s="46"/>
      <c r="D194" s="9"/>
      <c r="E194" s="19" t="str">
        <f>IFERROR(VLOOKUP(D194,케이블트레이입.출고현황!U197:Z272,2,0),"")</f>
        <v/>
      </c>
      <c r="F194" s="19" t="str">
        <f>IFERROR(VLOOKUP(E194,케이블트레이입.출고현황!V197:AA272,2,0),"")</f>
        <v/>
      </c>
      <c r="G194" s="19" t="str">
        <f>IFERROR(VLOOKUP(F194,케이블트레이입.출고현황!W197:AB272,2,0),"")</f>
        <v/>
      </c>
      <c r="H194" s="19" t="str">
        <f>IFERROR(VLOOKUP(G194,케이블트레이입.출고현황!X197:AC272,2,0),"")</f>
        <v/>
      </c>
      <c r="I194" s="19" t="str">
        <f>IFERROR(VLOOKUP(H194,케이블트레이입.출고현황!Y197:AD272,2,0),"")</f>
        <v/>
      </c>
      <c r="J194" s="9"/>
      <c r="K194" s="9"/>
      <c r="L194" s="37"/>
      <c r="M194" s="64"/>
      <c r="N194" s="42"/>
    </row>
    <row r="195" spans="1:14" ht="24" customHeight="1">
      <c r="A195" s="8">
        <v>155</v>
      </c>
      <c r="B195" s="9">
        <v>155</v>
      </c>
      <c r="C195" s="46"/>
      <c r="D195" s="9"/>
      <c r="E195" s="19" t="str">
        <f>IFERROR(VLOOKUP(D195,케이블트레이입.출고현황!U198:Z273,2,0),"")</f>
        <v/>
      </c>
      <c r="F195" s="19" t="str">
        <f>IFERROR(VLOOKUP(E195,케이블트레이입.출고현황!V198:AA273,2,0),"")</f>
        <v/>
      </c>
      <c r="G195" s="19" t="str">
        <f>IFERROR(VLOOKUP(F195,케이블트레이입.출고현황!W198:AB273,2,0),"")</f>
        <v/>
      </c>
      <c r="H195" s="19" t="str">
        <f>IFERROR(VLOOKUP(G195,케이블트레이입.출고현황!X198:AC273,2,0),"")</f>
        <v/>
      </c>
      <c r="I195" s="19" t="str">
        <f>IFERROR(VLOOKUP(H195,케이블트레이입.출고현황!Y198:AD273,2,0),"")</f>
        <v/>
      </c>
      <c r="J195" s="9"/>
      <c r="K195" s="9"/>
      <c r="L195" s="37"/>
      <c r="M195" s="64"/>
      <c r="N195" s="42"/>
    </row>
    <row r="196" spans="1:14" ht="24" customHeight="1">
      <c r="A196" s="8">
        <v>156</v>
      </c>
      <c r="B196" s="9">
        <v>156</v>
      </c>
      <c r="C196" s="46"/>
      <c r="D196" s="9"/>
      <c r="E196" s="19" t="str">
        <f>IFERROR(VLOOKUP(D196,케이블트레이입.출고현황!U199:Z274,2,0),"")</f>
        <v/>
      </c>
      <c r="F196" s="19" t="str">
        <f>IFERROR(VLOOKUP(E196,케이블트레이입.출고현황!V199:AA274,2,0),"")</f>
        <v/>
      </c>
      <c r="G196" s="19" t="str">
        <f>IFERROR(VLOOKUP(F196,케이블트레이입.출고현황!W199:AB274,2,0),"")</f>
        <v/>
      </c>
      <c r="H196" s="19" t="str">
        <f>IFERROR(VLOOKUP(G196,케이블트레이입.출고현황!X199:AC274,2,0),"")</f>
        <v/>
      </c>
      <c r="I196" s="19" t="str">
        <f>IFERROR(VLOOKUP(H196,케이블트레이입.출고현황!Y199:AD274,2,0),"")</f>
        <v/>
      </c>
      <c r="J196" s="9"/>
      <c r="K196" s="9"/>
      <c r="L196" s="37"/>
      <c r="M196" s="64"/>
      <c r="N196" s="42"/>
    </row>
    <row r="197" spans="1:14" ht="24" customHeight="1">
      <c r="A197" s="8">
        <v>157</v>
      </c>
      <c r="B197" s="9">
        <v>157</v>
      </c>
      <c r="C197" s="46"/>
      <c r="D197" s="9"/>
      <c r="E197" s="19" t="str">
        <f>IFERROR(VLOOKUP(D197,케이블트레이입.출고현황!U200:Z275,2,0),"")</f>
        <v/>
      </c>
      <c r="F197" s="19" t="str">
        <f>IFERROR(VLOOKUP(E197,케이블트레이입.출고현황!V200:AA275,2,0),"")</f>
        <v/>
      </c>
      <c r="G197" s="19" t="str">
        <f>IFERROR(VLOOKUP(F197,케이블트레이입.출고현황!W200:AB275,2,0),"")</f>
        <v/>
      </c>
      <c r="H197" s="19" t="str">
        <f>IFERROR(VLOOKUP(G197,케이블트레이입.출고현황!X200:AC275,2,0),"")</f>
        <v/>
      </c>
      <c r="I197" s="19" t="str">
        <f>IFERROR(VLOOKUP(H197,케이블트레이입.출고현황!Y200:AD275,2,0),"")</f>
        <v/>
      </c>
      <c r="J197" s="9"/>
      <c r="K197" s="9"/>
      <c r="L197" s="37"/>
      <c r="M197" s="64"/>
      <c r="N197" s="42"/>
    </row>
    <row r="198" spans="1:14" ht="24" customHeight="1">
      <c r="A198" s="8">
        <v>158</v>
      </c>
      <c r="B198" s="9">
        <v>158</v>
      </c>
      <c r="C198" s="46"/>
      <c r="D198" s="9"/>
      <c r="E198" s="19" t="str">
        <f>IFERROR(VLOOKUP(D198,케이블트레이입.출고현황!U201:Z276,2,0),"")</f>
        <v/>
      </c>
      <c r="F198" s="19" t="str">
        <f>IFERROR(VLOOKUP(E198,케이블트레이입.출고현황!V201:AA276,2,0),"")</f>
        <v/>
      </c>
      <c r="G198" s="19" t="str">
        <f>IFERROR(VLOOKUP(F198,케이블트레이입.출고현황!W201:AB276,2,0),"")</f>
        <v/>
      </c>
      <c r="H198" s="19" t="str">
        <f>IFERROR(VLOOKUP(G198,케이블트레이입.출고현황!X201:AC276,2,0),"")</f>
        <v/>
      </c>
      <c r="I198" s="19" t="str">
        <f>IFERROR(VLOOKUP(H198,케이블트레이입.출고현황!Y201:AD276,2,0),"")</f>
        <v/>
      </c>
      <c r="J198" s="9"/>
      <c r="K198" s="9"/>
      <c r="L198" s="37"/>
      <c r="M198" s="64"/>
      <c r="N198" s="42"/>
    </row>
    <row r="199" spans="1:14" ht="24" customHeight="1">
      <c r="A199" s="8">
        <v>159</v>
      </c>
      <c r="B199" s="9">
        <v>159</v>
      </c>
      <c r="C199" s="46"/>
      <c r="D199" s="9"/>
      <c r="E199" s="19" t="str">
        <f>IFERROR(VLOOKUP(D199,케이블트레이입.출고현황!U202:Z277,2,0),"")</f>
        <v/>
      </c>
      <c r="F199" s="19" t="str">
        <f>IFERROR(VLOOKUP(E199,케이블트레이입.출고현황!V202:AA277,2,0),"")</f>
        <v/>
      </c>
      <c r="G199" s="19" t="str">
        <f>IFERROR(VLOOKUP(F199,케이블트레이입.출고현황!W202:AB277,2,0),"")</f>
        <v/>
      </c>
      <c r="H199" s="19" t="str">
        <f>IFERROR(VLOOKUP(G199,케이블트레이입.출고현황!X202:AC277,2,0),"")</f>
        <v/>
      </c>
      <c r="I199" s="19" t="str">
        <f>IFERROR(VLOOKUP(H199,케이블트레이입.출고현황!Y202:AD277,2,0),"")</f>
        <v/>
      </c>
      <c r="J199" s="9"/>
      <c r="K199" s="9"/>
      <c r="L199" s="37"/>
      <c r="M199" s="64"/>
      <c r="N199" s="42"/>
    </row>
    <row r="200" spans="1:14" ht="24" customHeight="1">
      <c r="A200" s="8">
        <v>160</v>
      </c>
      <c r="B200" s="9">
        <v>160</v>
      </c>
      <c r="C200" s="46"/>
      <c r="D200" s="9"/>
      <c r="E200" s="19" t="str">
        <f>IFERROR(VLOOKUP(D200,케이블트레이입.출고현황!U203:Z278,2,0),"")</f>
        <v/>
      </c>
      <c r="F200" s="19" t="str">
        <f>IFERROR(VLOOKUP(E200,케이블트레이입.출고현황!V203:AA278,2,0),"")</f>
        <v/>
      </c>
      <c r="G200" s="19" t="str">
        <f>IFERROR(VLOOKUP(F200,케이블트레이입.출고현황!W203:AB278,2,0),"")</f>
        <v/>
      </c>
      <c r="H200" s="19" t="str">
        <f>IFERROR(VLOOKUP(G200,케이블트레이입.출고현황!X203:AC278,2,0),"")</f>
        <v/>
      </c>
      <c r="I200" s="19" t="str">
        <f>IFERROR(VLOOKUP(H200,케이블트레이입.출고현황!Y203:AD278,2,0),"")</f>
        <v/>
      </c>
      <c r="J200" s="9"/>
      <c r="K200" s="9"/>
      <c r="L200" s="37"/>
      <c r="M200" s="64"/>
      <c r="N200" s="42"/>
    </row>
    <row r="201" spans="1:14" ht="24" customHeight="1">
      <c r="A201" s="8">
        <v>161</v>
      </c>
      <c r="B201" s="9">
        <v>161</v>
      </c>
      <c r="C201" s="46"/>
      <c r="D201" s="9"/>
      <c r="E201" s="19" t="str">
        <f>IFERROR(VLOOKUP(D201,케이블트레이입.출고현황!U204:Z279,2,0),"")</f>
        <v/>
      </c>
      <c r="F201" s="19" t="str">
        <f>IFERROR(VLOOKUP(E201,케이블트레이입.출고현황!V204:AA279,2,0),"")</f>
        <v/>
      </c>
      <c r="G201" s="19" t="str">
        <f>IFERROR(VLOOKUP(F201,케이블트레이입.출고현황!W204:AB279,2,0),"")</f>
        <v/>
      </c>
      <c r="H201" s="19" t="str">
        <f>IFERROR(VLOOKUP(G201,케이블트레이입.출고현황!X204:AC279,2,0),"")</f>
        <v/>
      </c>
      <c r="I201" s="19" t="str">
        <f>IFERROR(VLOOKUP(H201,케이블트레이입.출고현황!Y204:AD279,2,0),"")</f>
        <v/>
      </c>
      <c r="J201" s="9"/>
      <c r="K201" s="9"/>
      <c r="L201" s="37"/>
      <c r="M201" s="64"/>
      <c r="N201" s="42"/>
    </row>
    <row r="202" spans="1:14" ht="24" customHeight="1">
      <c r="A202" s="8">
        <v>162</v>
      </c>
      <c r="B202" s="9">
        <v>162</v>
      </c>
      <c r="C202" s="46"/>
      <c r="D202" s="9"/>
      <c r="E202" s="19" t="str">
        <f>IFERROR(VLOOKUP(D202,케이블트레이입.출고현황!U205:Z280,2,0),"")</f>
        <v/>
      </c>
      <c r="F202" s="19" t="str">
        <f>IFERROR(VLOOKUP(E202,케이블트레이입.출고현황!V205:AA280,2,0),"")</f>
        <v/>
      </c>
      <c r="G202" s="19" t="str">
        <f>IFERROR(VLOOKUP(F202,케이블트레이입.출고현황!W205:AB280,2,0),"")</f>
        <v/>
      </c>
      <c r="H202" s="19" t="str">
        <f>IFERROR(VLOOKUP(G202,케이블트레이입.출고현황!X205:AC280,2,0),"")</f>
        <v/>
      </c>
      <c r="I202" s="19" t="str">
        <f>IFERROR(VLOOKUP(H202,케이블트레이입.출고현황!Y205:AD280,2,0),"")</f>
        <v/>
      </c>
      <c r="J202" s="9"/>
      <c r="K202" s="9"/>
      <c r="L202" s="37"/>
      <c r="M202" s="64"/>
      <c r="N202" s="42"/>
    </row>
    <row r="203" spans="1:14" ht="24" customHeight="1">
      <c r="A203" s="8">
        <v>163</v>
      </c>
      <c r="B203" s="9">
        <v>163</v>
      </c>
      <c r="C203" s="46"/>
      <c r="D203" s="9"/>
      <c r="E203" s="19" t="str">
        <f>IFERROR(VLOOKUP(D203,케이블트레이입.출고현황!U206:Z281,2,0),"")</f>
        <v/>
      </c>
      <c r="F203" s="19" t="str">
        <f>IFERROR(VLOOKUP(E203,케이블트레이입.출고현황!V206:AA281,2,0),"")</f>
        <v/>
      </c>
      <c r="G203" s="19" t="str">
        <f>IFERROR(VLOOKUP(F203,케이블트레이입.출고현황!W206:AB281,2,0),"")</f>
        <v/>
      </c>
      <c r="H203" s="19" t="str">
        <f>IFERROR(VLOOKUP(G203,케이블트레이입.출고현황!X206:AC281,2,0),"")</f>
        <v/>
      </c>
      <c r="I203" s="19" t="str">
        <f>IFERROR(VLOOKUP(H203,케이블트레이입.출고현황!Y206:AD281,2,0),"")</f>
        <v/>
      </c>
      <c r="J203" s="9"/>
      <c r="K203" s="9"/>
      <c r="L203" s="37"/>
      <c r="M203" s="64"/>
      <c r="N203" s="42"/>
    </row>
    <row r="204" spans="1:14" ht="24" customHeight="1">
      <c r="A204" s="8">
        <v>164</v>
      </c>
      <c r="B204" s="9">
        <v>164</v>
      </c>
      <c r="C204" s="46"/>
      <c r="D204" s="9"/>
      <c r="E204" s="19" t="str">
        <f>IFERROR(VLOOKUP(D204,케이블트레이입.출고현황!U207:Z282,2,0),"")</f>
        <v/>
      </c>
      <c r="F204" s="19" t="str">
        <f>IFERROR(VLOOKUP(E204,케이블트레이입.출고현황!V207:AA282,2,0),"")</f>
        <v/>
      </c>
      <c r="G204" s="19" t="str">
        <f>IFERROR(VLOOKUP(F204,케이블트레이입.출고현황!W207:AB282,2,0),"")</f>
        <v/>
      </c>
      <c r="H204" s="19" t="str">
        <f>IFERROR(VLOOKUP(G204,케이블트레이입.출고현황!X207:AC282,2,0),"")</f>
        <v/>
      </c>
      <c r="I204" s="19" t="str">
        <f>IFERROR(VLOOKUP(H204,케이블트레이입.출고현황!Y207:AD282,2,0),"")</f>
        <v/>
      </c>
      <c r="J204" s="9"/>
      <c r="K204" s="9"/>
      <c r="L204" s="37"/>
      <c r="M204" s="64"/>
      <c r="N204" s="42"/>
    </row>
    <row r="205" spans="1:14" ht="24" customHeight="1">
      <c r="A205" s="8">
        <v>165</v>
      </c>
      <c r="B205" s="9">
        <v>165</v>
      </c>
      <c r="C205" s="46"/>
      <c r="D205" s="9"/>
      <c r="E205" s="19" t="str">
        <f>IFERROR(VLOOKUP(D205,케이블트레이입.출고현황!U208:Z283,2,0),"")</f>
        <v/>
      </c>
      <c r="F205" s="19" t="str">
        <f>IFERROR(VLOOKUP(E205,케이블트레이입.출고현황!V208:AA283,2,0),"")</f>
        <v/>
      </c>
      <c r="G205" s="19" t="str">
        <f>IFERROR(VLOOKUP(F205,케이블트레이입.출고현황!W208:AB283,2,0),"")</f>
        <v/>
      </c>
      <c r="H205" s="19" t="str">
        <f>IFERROR(VLOOKUP(G205,케이블트레이입.출고현황!X208:AC283,2,0),"")</f>
        <v/>
      </c>
      <c r="I205" s="19" t="str">
        <f>IFERROR(VLOOKUP(H205,케이블트레이입.출고현황!Y208:AD283,2,0),"")</f>
        <v/>
      </c>
      <c r="J205" s="9"/>
      <c r="K205" s="9"/>
      <c r="L205" s="37"/>
      <c r="M205" s="64"/>
      <c r="N205" s="42"/>
    </row>
    <row r="206" spans="1:14" ht="24" customHeight="1">
      <c r="A206" s="8">
        <v>166</v>
      </c>
      <c r="B206" s="9">
        <v>166</v>
      </c>
      <c r="C206" s="46"/>
      <c r="D206" s="9"/>
      <c r="E206" s="19" t="str">
        <f>IFERROR(VLOOKUP(D206,케이블트레이입.출고현황!U209:Z284,2,0),"")</f>
        <v/>
      </c>
      <c r="F206" s="19" t="str">
        <f>IFERROR(VLOOKUP(E206,케이블트레이입.출고현황!V209:AA284,2,0),"")</f>
        <v/>
      </c>
      <c r="G206" s="19" t="str">
        <f>IFERROR(VLOOKUP(F206,케이블트레이입.출고현황!W209:AB284,2,0),"")</f>
        <v/>
      </c>
      <c r="H206" s="19" t="str">
        <f>IFERROR(VLOOKUP(G206,케이블트레이입.출고현황!X209:AC284,2,0),"")</f>
        <v/>
      </c>
      <c r="I206" s="19" t="str">
        <f>IFERROR(VLOOKUP(H206,케이블트레이입.출고현황!Y209:AD284,2,0),"")</f>
        <v/>
      </c>
      <c r="J206" s="9"/>
      <c r="K206" s="9"/>
      <c r="L206" s="37"/>
      <c r="M206" s="64"/>
      <c r="N206" s="42"/>
    </row>
    <row r="207" spans="1:14" ht="24" customHeight="1">
      <c r="A207" s="8">
        <v>167</v>
      </c>
      <c r="B207" s="9">
        <v>167</v>
      </c>
      <c r="C207" s="46"/>
      <c r="D207" s="9"/>
      <c r="E207" s="19" t="str">
        <f>IFERROR(VLOOKUP(D207,케이블트레이입.출고현황!U210:Z285,2,0),"")</f>
        <v/>
      </c>
      <c r="F207" s="19" t="str">
        <f>IFERROR(VLOOKUP(E207,케이블트레이입.출고현황!V210:AA285,2,0),"")</f>
        <v/>
      </c>
      <c r="G207" s="19" t="str">
        <f>IFERROR(VLOOKUP(F207,케이블트레이입.출고현황!W210:AB285,2,0),"")</f>
        <v/>
      </c>
      <c r="H207" s="19" t="str">
        <f>IFERROR(VLOOKUP(G207,케이블트레이입.출고현황!X210:AC285,2,0),"")</f>
        <v/>
      </c>
      <c r="I207" s="19" t="str">
        <f>IFERROR(VLOOKUP(H207,케이블트레이입.출고현황!Y210:AD285,2,0),"")</f>
        <v/>
      </c>
      <c r="J207" s="9"/>
      <c r="K207" s="9"/>
      <c r="L207" s="37"/>
      <c r="M207" s="64"/>
      <c r="N207" s="42"/>
    </row>
    <row r="208" spans="1:14" ht="24" customHeight="1">
      <c r="A208" s="8">
        <v>168</v>
      </c>
      <c r="B208" s="9">
        <v>168</v>
      </c>
      <c r="C208" s="46"/>
      <c r="D208" s="9"/>
      <c r="E208" s="19" t="str">
        <f>IFERROR(VLOOKUP(D208,케이블트레이입.출고현황!U211:Z286,2,0),"")</f>
        <v/>
      </c>
      <c r="F208" s="19" t="str">
        <f>IFERROR(VLOOKUP(E208,케이블트레이입.출고현황!V211:AA286,2,0),"")</f>
        <v/>
      </c>
      <c r="G208" s="19" t="str">
        <f>IFERROR(VLOOKUP(F208,케이블트레이입.출고현황!W211:AB286,2,0),"")</f>
        <v/>
      </c>
      <c r="H208" s="19" t="str">
        <f>IFERROR(VLOOKUP(G208,케이블트레이입.출고현황!X211:AC286,2,0),"")</f>
        <v/>
      </c>
      <c r="I208" s="19" t="str">
        <f>IFERROR(VLOOKUP(H208,케이블트레이입.출고현황!Y211:AD286,2,0),"")</f>
        <v/>
      </c>
      <c r="J208" s="9"/>
      <c r="K208" s="9"/>
      <c r="L208" s="37"/>
      <c r="M208" s="64"/>
      <c r="N208" s="42"/>
    </row>
    <row r="209" spans="1:14" ht="24" customHeight="1">
      <c r="A209" s="8">
        <v>169</v>
      </c>
      <c r="B209" s="9">
        <v>169</v>
      </c>
      <c r="C209" s="46"/>
      <c r="D209" s="9"/>
      <c r="E209" s="19" t="str">
        <f>IFERROR(VLOOKUP(D209,케이블트레이입.출고현황!U212:Z287,2,0),"")</f>
        <v/>
      </c>
      <c r="F209" s="19" t="str">
        <f>IFERROR(VLOOKUP(E209,케이블트레이입.출고현황!V212:AA287,2,0),"")</f>
        <v/>
      </c>
      <c r="G209" s="19" t="str">
        <f>IFERROR(VLOOKUP(F209,케이블트레이입.출고현황!W212:AB287,2,0),"")</f>
        <v/>
      </c>
      <c r="H209" s="19" t="str">
        <f>IFERROR(VLOOKUP(G209,케이블트레이입.출고현황!X212:AC287,2,0),"")</f>
        <v/>
      </c>
      <c r="I209" s="19" t="str">
        <f>IFERROR(VLOOKUP(H209,케이블트레이입.출고현황!Y212:AD287,2,0),"")</f>
        <v/>
      </c>
      <c r="J209" s="9"/>
      <c r="K209" s="9"/>
      <c r="L209" s="37"/>
      <c r="M209" s="64"/>
      <c r="N209" s="42"/>
    </row>
    <row r="210" spans="1:14" ht="24" customHeight="1">
      <c r="A210" s="8">
        <v>170</v>
      </c>
      <c r="B210" s="9">
        <v>170</v>
      </c>
      <c r="C210" s="46"/>
      <c r="D210" s="9"/>
      <c r="E210" s="19" t="str">
        <f>IFERROR(VLOOKUP(D210,케이블트레이입.출고현황!U213:Z288,2,0),"")</f>
        <v/>
      </c>
      <c r="F210" s="19" t="str">
        <f>IFERROR(VLOOKUP(E210,케이블트레이입.출고현황!V213:AA288,2,0),"")</f>
        <v/>
      </c>
      <c r="G210" s="19" t="str">
        <f>IFERROR(VLOOKUP(F210,케이블트레이입.출고현황!W213:AB288,2,0),"")</f>
        <v/>
      </c>
      <c r="H210" s="19" t="str">
        <f>IFERROR(VLOOKUP(G210,케이블트레이입.출고현황!X213:AC288,2,0),"")</f>
        <v/>
      </c>
      <c r="I210" s="19" t="str">
        <f>IFERROR(VLOOKUP(H210,케이블트레이입.출고현황!Y213:AD288,2,0),"")</f>
        <v/>
      </c>
      <c r="J210" s="9"/>
      <c r="K210" s="9"/>
      <c r="L210" s="37"/>
      <c r="M210" s="64"/>
      <c r="N210" s="42"/>
    </row>
    <row r="211" spans="1:14" ht="24" customHeight="1">
      <c r="A211" s="8">
        <v>171</v>
      </c>
      <c r="B211" s="9">
        <v>171</v>
      </c>
      <c r="C211" s="46"/>
      <c r="D211" s="9"/>
      <c r="E211" s="19" t="str">
        <f>IFERROR(VLOOKUP(D211,케이블트레이입.출고현황!U214:Z289,2,0),"")</f>
        <v/>
      </c>
      <c r="F211" s="19" t="str">
        <f>IFERROR(VLOOKUP(E211,케이블트레이입.출고현황!V214:AA289,2,0),"")</f>
        <v/>
      </c>
      <c r="G211" s="19" t="str">
        <f>IFERROR(VLOOKUP(F211,케이블트레이입.출고현황!W214:AB289,2,0),"")</f>
        <v/>
      </c>
      <c r="H211" s="19" t="str">
        <f>IFERROR(VLOOKUP(G211,케이블트레이입.출고현황!X214:AC289,2,0),"")</f>
        <v/>
      </c>
      <c r="I211" s="19" t="str">
        <f>IFERROR(VLOOKUP(H211,케이블트레이입.출고현황!Y214:AD289,2,0),"")</f>
        <v/>
      </c>
      <c r="J211" s="9"/>
      <c r="K211" s="9"/>
      <c r="L211" s="37"/>
      <c r="M211" s="64"/>
      <c r="N211" s="42"/>
    </row>
    <row r="212" spans="1:14" ht="24" customHeight="1">
      <c r="A212" s="8">
        <v>172</v>
      </c>
      <c r="B212" s="9">
        <v>172</v>
      </c>
      <c r="C212" s="46"/>
      <c r="D212" s="9"/>
      <c r="E212" s="19" t="str">
        <f>IFERROR(VLOOKUP(D212,케이블트레이입.출고현황!U215:Z290,2,0),"")</f>
        <v/>
      </c>
      <c r="F212" s="19" t="str">
        <f>IFERROR(VLOOKUP(E212,케이블트레이입.출고현황!V215:AA290,2,0),"")</f>
        <v/>
      </c>
      <c r="G212" s="19" t="str">
        <f>IFERROR(VLOOKUP(F212,케이블트레이입.출고현황!W215:AB290,2,0),"")</f>
        <v/>
      </c>
      <c r="H212" s="19" t="str">
        <f>IFERROR(VLOOKUP(G212,케이블트레이입.출고현황!X215:AC290,2,0),"")</f>
        <v/>
      </c>
      <c r="I212" s="19" t="str">
        <f>IFERROR(VLOOKUP(H212,케이블트레이입.출고현황!Y215:AD290,2,0),"")</f>
        <v/>
      </c>
      <c r="J212" s="9"/>
      <c r="K212" s="9"/>
      <c r="L212" s="37"/>
      <c r="M212" s="64"/>
      <c r="N212" s="42"/>
    </row>
    <row r="213" spans="1:14" ht="24" customHeight="1">
      <c r="A213" s="8">
        <v>173</v>
      </c>
      <c r="B213" s="9">
        <v>173</v>
      </c>
      <c r="C213" s="46"/>
      <c r="D213" s="9"/>
      <c r="E213" s="19" t="str">
        <f>IFERROR(VLOOKUP(D213,케이블트레이입.출고현황!U216:Z291,2,0),"")</f>
        <v/>
      </c>
      <c r="F213" s="19" t="str">
        <f>IFERROR(VLOOKUP(E213,케이블트레이입.출고현황!V216:AA291,2,0),"")</f>
        <v/>
      </c>
      <c r="G213" s="19" t="str">
        <f>IFERROR(VLOOKUP(F213,케이블트레이입.출고현황!W216:AB291,2,0),"")</f>
        <v/>
      </c>
      <c r="H213" s="19" t="str">
        <f>IFERROR(VLOOKUP(G213,케이블트레이입.출고현황!X216:AC291,2,0),"")</f>
        <v/>
      </c>
      <c r="I213" s="19" t="str">
        <f>IFERROR(VLOOKUP(H213,케이블트레이입.출고현황!Y216:AD291,2,0),"")</f>
        <v/>
      </c>
      <c r="J213" s="9"/>
      <c r="K213" s="9"/>
      <c r="L213" s="37"/>
      <c r="M213" s="64"/>
      <c r="N213" s="42"/>
    </row>
    <row r="214" spans="1:14" ht="24" customHeight="1">
      <c r="A214" s="8">
        <v>174</v>
      </c>
      <c r="B214" s="9">
        <v>174</v>
      </c>
      <c r="C214" s="46"/>
      <c r="D214" s="9"/>
      <c r="E214" s="19" t="str">
        <f>IFERROR(VLOOKUP(D214,케이블트레이입.출고현황!U217:Z292,2,0),"")</f>
        <v/>
      </c>
      <c r="F214" s="19" t="str">
        <f>IFERROR(VLOOKUP(E214,케이블트레이입.출고현황!V217:AA292,2,0),"")</f>
        <v/>
      </c>
      <c r="G214" s="19" t="str">
        <f>IFERROR(VLOOKUP(F214,케이블트레이입.출고현황!W217:AB292,2,0),"")</f>
        <v/>
      </c>
      <c r="H214" s="19" t="str">
        <f>IFERROR(VLOOKUP(G214,케이블트레이입.출고현황!X217:AC292,2,0),"")</f>
        <v/>
      </c>
      <c r="I214" s="19" t="str">
        <f>IFERROR(VLOOKUP(H214,케이블트레이입.출고현황!Y217:AD292,2,0),"")</f>
        <v/>
      </c>
      <c r="J214" s="9"/>
      <c r="K214" s="9"/>
      <c r="L214" s="37"/>
      <c r="M214" s="64"/>
      <c r="N214" s="42"/>
    </row>
    <row r="215" spans="1:14" ht="24" customHeight="1">
      <c r="A215" s="8">
        <v>175</v>
      </c>
      <c r="B215" s="9">
        <v>175</v>
      </c>
      <c r="C215" s="46"/>
      <c r="D215" s="9"/>
      <c r="E215" s="19" t="str">
        <f>IFERROR(VLOOKUP(D215,케이블트레이입.출고현황!U218:Z293,2,0),"")</f>
        <v/>
      </c>
      <c r="F215" s="19" t="str">
        <f>IFERROR(VLOOKUP(E215,케이블트레이입.출고현황!V218:AA293,2,0),"")</f>
        <v/>
      </c>
      <c r="G215" s="19" t="str">
        <f>IFERROR(VLOOKUP(F215,케이블트레이입.출고현황!W218:AB293,2,0),"")</f>
        <v/>
      </c>
      <c r="H215" s="19" t="str">
        <f>IFERROR(VLOOKUP(G215,케이블트레이입.출고현황!X218:AC293,2,0),"")</f>
        <v/>
      </c>
      <c r="I215" s="19" t="str">
        <f>IFERROR(VLOOKUP(H215,케이블트레이입.출고현황!Y218:AD293,2,0),"")</f>
        <v/>
      </c>
      <c r="J215" s="9"/>
      <c r="K215" s="9"/>
      <c r="L215" s="37"/>
      <c r="M215" s="64"/>
      <c r="N215" s="42"/>
    </row>
    <row r="216" spans="1:14" ht="24" customHeight="1">
      <c r="A216" s="8">
        <v>176</v>
      </c>
      <c r="B216" s="9">
        <v>176</v>
      </c>
      <c r="C216" s="46"/>
      <c r="D216" s="9"/>
      <c r="E216" s="19" t="str">
        <f>IFERROR(VLOOKUP(D216,케이블트레이입.출고현황!U219:Z294,2,0),"")</f>
        <v/>
      </c>
      <c r="F216" s="19" t="str">
        <f>IFERROR(VLOOKUP(E216,케이블트레이입.출고현황!V219:AA294,2,0),"")</f>
        <v/>
      </c>
      <c r="G216" s="19" t="str">
        <f>IFERROR(VLOOKUP(F216,케이블트레이입.출고현황!W219:AB294,2,0),"")</f>
        <v/>
      </c>
      <c r="H216" s="19" t="str">
        <f>IFERROR(VLOOKUP(G216,케이블트레이입.출고현황!X219:AC294,2,0),"")</f>
        <v/>
      </c>
      <c r="I216" s="19" t="str">
        <f>IFERROR(VLOOKUP(H216,케이블트레이입.출고현황!Y219:AD294,2,0),"")</f>
        <v/>
      </c>
      <c r="J216" s="9"/>
      <c r="K216" s="9"/>
      <c r="L216" s="37"/>
      <c r="M216" s="64"/>
      <c r="N216" s="42"/>
    </row>
    <row r="217" spans="1:14" ht="24" customHeight="1">
      <c r="A217" s="8">
        <v>177</v>
      </c>
      <c r="B217" s="9">
        <v>177</v>
      </c>
      <c r="C217" s="46"/>
      <c r="D217" s="9"/>
      <c r="E217" s="19" t="str">
        <f>IFERROR(VLOOKUP(D217,케이블트레이입.출고현황!U220:Z295,2,0),"")</f>
        <v/>
      </c>
      <c r="F217" s="19" t="str">
        <f>IFERROR(VLOOKUP(E217,케이블트레이입.출고현황!V220:AA295,2,0),"")</f>
        <v/>
      </c>
      <c r="G217" s="19" t="str">
        <f>IFERROR(VLOOKUP(F217,케이블트레이입.출고현황!W220:AB295,2,0),"")</f>
        <v/>
      </c>
      <c r="H217" s="19" t="str">
        <f>IFERROR(VLOOKUP(G217,케이블트레이입.출고현황!X220:AC295,2,0),"")</f>
        <v/>
      </c>
      <c r="I217" s="19" t="str">
        <f>IFERROR(VLOOKUP(H217,케이블트레이입.출고현황!Y220:AD295,2,0),"")</f>
        <v/>
      </c>
      <c r="J217" s="9"/>
      <c r="K217" s="9"/>
      <c r="L217" s="37"/>
      <c r="M217" s="64"/>
      <c r="N217" s="42"/>
    </row>
    <row r="218" spans="1:14" ht="24" customHeight="1">
      <c r="A218" s="8">
        <v>178</v>
      </c>
      <c r="B218" s="9">
        <v>178</v>
      </c>
      <c r="C218" s="46"/>
      <c r="D218" s="9"/>
      <c r="E218" s="19" t="str">
        <f>IFERROR(VLOOKUP(D218,케이블트레이입.출고현황!U221:Z296,2,0),"")</f>
        <v/>
      </c>
      <c r="F218" s="19" t="str">
        <f>IFERROR(VLOOKUP(E218,케이블트레이입.출고현황!V221:AA296,2,0),"")</f>
        <v/>
      </c>
      <c r="G218" s="19" t="str">
        <f>IFERROR(VLOOKUP(F218,케이블트레이입.출고현황!W221:AB296,2,0),"")</f>
        <v/>
      </c>
      <c r="H218" s="19" t="str">
        <f>IFERROR(VLOOKUP(G218,케이블트레이입.출고현황!X221:AC296,2,0),"")</f>
        <v/>
      </c>
      <c r="I218" s="19" t="str">
        <f>IFERROR(VLOOKUP(H218,케이블트레이입.출고현황!Y221:AD296,2,0),"")</f>
        <v/>
      </c>
      <c r="J218" s="9"/>
      <c r="K218" s="9"/>
      <c r="L218" s="37"/>
      <c r="M218" s="64"/>
      <c r="N218" s="42"/>
    </row>
    <row r="219" spans="1:14" ht="24" customHeight="1">
      <c r="A219" s="8">
        <v>179</v>
      </c>
      <c r="B219" s="9">
        <v>179</v>
      </c>
      <c r="C219" s="46"/>
      <c r="D219" s="9"/>
      <c r="E219" s="19" t="str">
        <f>IFERROR(VLOOKUP(D219,케이블트레이입.출고현황!U222:Z297,2,0),"")</f>
        <v/>
      </c>
      <c r="F219" s="19" t="str">
        <f>IFERROR(VLOOKUP(E219,케이블트레이입.출고현황!V222:AA297,2,0),"")</f>
        <v/>
      </c>
      <c r="G219" s="19" t="str">
        <f>IFERROR(VLOOKUP(F219,케이블트레이입.출고현황!W222:AB297,2,0),"")</f>
        <v/>
      </c>
      <c r="H219" s="19" t="str">
        <f>IFERROR(VLOOKUP(G219,케이블트레이입.출고현황!X222:AC297,2,0),"")</f>
        <v/>
      </c>
      <c r="I219" s="19" t="str">
        <f>IFERROR(VLOOKUP(H219,케이블트레이입.출고현황!Y222:AD297,2,0),"")</f>
        <v/>
      </c>
      <c r="J219" s="9"/>
      <c r="K219" s="9"/>
      <c r="L219" s="37"/>
      <c r="M219" s="64"/>
      <c r="N219" s="42"/>
    </row>
    <row r="220" spans="1:14" ht="24" customHeight="1">
      <c r="A220" s="8">
        <v>180</v>
      </c>
      <c r="B220" s="9">
        <v>180</v>
      </c>
      <c r="C220" s="46"/>
      <c r="D220" s="9"/>
      <c r="E220" s="19" t="str">
        <f>IFERROR(VLOOKUP(D220,케이블트레이입.출고현황!U223:Z298,2,0),"")</f>
        <v/>
      </c>
      <c r="F220" s="19" t="str">
        <f>IFERROR(VLOOKUP(E220,케이블트레이입.출고현황!V223:AA298,2,0),"")</f>
        <v/>
      </c>
      <c r="G220" s="19" t="str">
        <f>IFERROR(VLOOKUP(F220,케이블트레이입.출고현황!W223:AB298,2,0),"")</f>
        <v/>
      </c>
      <c r="H220" s="19" t="str">
        <f>IFERROR(VLOOKUP(G220,케이블트레이입.출고현황!X223:AC298,2,0),"")</f>
        <v/>
      </c>
      <c r="I220" s="19" t="str">
        <f>IFERROR(VLOOKUP(H220,케이블트레이입.출고현황!Y223:AD298,2,0),"")</f>
        <v/>
      </c>
      <c r="J220" s="9"/>
      <c r="K220" s="9"/>
      <c r="L220" s="37"/>
      <c r="M220" s="64"/>
      <c r="N220" s="42"/>
    </row>
    <row r="221" spans="1:14" ht="24" customHeight="1">
      <c r="A221" s="8">
        <v>181</v>
      </c>
      <c r="B221" s="9">
        <v>181</v>
      </c>
      <c r="C221" s="46"/>
      <c r="D221" s="9"/>
      <c r="E221" s="19" t="str">
        <f>IFERROR(VLOOKUP(D221,케이블트레이입.출고현황!U224:Z299,2,0),"")</f>
        <v/>
      </c>
      <c r="F221" s="19" t="str">
        <f>IFERROR(VLOOKUP(E221,케이블트레이입.출고현황!V224:AA299,2,0),"")</f>
        <v/>
      </c>
      <c r="G221" s="19" t="str">
        <f>IFERROR(VLOOKUP(F221,케이블트레이입.출고현황!W224:AB299,2,0),"")</f>
        <v/>
      </c>
      <c r="H221" s="19" t="str">
        <f>IFERROR(VLOOKUP(G221,케이블트레이입.출고현황!X224:AC299,2,0),"")</f>
        <v/>
      </c>
      <c r="I221" s="19" t="str">
        <f>IFERROR(VLOOKUP(H221,케이블트레이입.출고현황!Y224:AD299,2,0),"")</f>
        <v/>
      </c>
      <c r="J221" s="9"/>
      <c r="K221" s="9"/>
      <c r="L221" s="37"/>
      <c r="M221" s="64"/>
      <c r="N221" s="42"/>
    </row>
    <row r="222" spans="1:14" ht="24" customHeight="1">
      <c r="A222" s="8">
        <v>182</v>
      </c>
      <c r="B222" s="9">
        <v>182</v>
      </c>
      <c r="C222" s="46"/>
      <c r="D222" s="9"/>
      <c r="E222" s="19" t="str">
        <f>IFERROR(VLOOKUP(D222,케이블트레이입.출고현황!U225:Z300,2,0),"")</f>
        <v/>
      </c>
      <c r="F222" s="19" t="str">
        <f>IFERROR(VLOOKUP(E222,케이블트레이입.출고현황!V225:AA300,2,0),"")</f>
        <v/>
      </c>
      <c r="G222" s="19" t="str">
        <f>IFERROR(VLOOKUP(F222,케이블트레이입.출고현황!W225:AB300,2,0),"")</f>
        <v/>
      </c>
      <c r="H222" s="19" t="str">
        <f>IFERROR(VLOOKUP(G222,케이블트레이입.출고현황!X225:AC300,2,0),"")</f>
        <v/>
      </c>
      <c r="I222" s="19" t="str">
        <f>IFERROR(VLOOKUP(H222,케이블트레이입.출고현황!Y225:AD300,2,0),"")</f>
        <v/>
      </c>
      <c r="J222" s="9"/>
      <c r="K222" s="9"/>
      <c r="L222" s="37"/>
      <c r="M222" s="64"/>
      <c r="N222" s="42"/>
    </row>
    <row r="223" spans="1:14" ht="24" customHeight="1">
      <c r="A223" s="8">
        <v>183</v>
      </c>
      <c r="B223" s="9">
        <v>183</v>
      </c>
      <c r="C223" s="46"/>
      <c r="D223" s="9"/>
      <c r="E223" s="19" t="str">
        <f>IFERROR(VLOOKUP(D223,케이블트레이입.출고현황!U226:Z301,2,0),"")</f>
        <v/>
      </c>
      <c r="F223" s="19" t="str">
        <f>IFERROR(VLOOKUP(E223,케이블트레이입.출고현황!V226:AA301,2,0),"")</f>
        <v/>
      </c>
      <c r="G223" s="19" t="str">
        <f>IFERROR(VLOOKUP(F223,케이블트레이입.출고현황!W226:AB301,2,0),"")</f>
        <v/>
      </c>
      <c r="H223" s="19" t="str">
        <f>IFERROR(VLOOKUP(G223,케이블트레이입.출고현황!X226:AC301,2,0),"")</f>
        <v/>
      </c>
      <c r="I223" s="19" t="str">
        <f>IFERROR(VLOOKUP(H223,케이블트레이입.출고현황!Y226:AD301,2,0),"")</f>
        <v/>
      </c>
      <c r="J223" s="9"/>
      <c r="K223" s="9"/>
      <c r="L223" s="37"/>
      <c r="M223" s="64"/>
      <c r="N223" s="42"/>
    </row>
    <row r="224" spans="1:14" ht="24" customHeight="1">
      <c r="A224" s="8">
        <v>184</v>
      </c>
      <c r="B224" s="9">
        <v>184</v>
      </c>
      <c r="C224" s="46"/>
      <c r="D224" s="9"/>
      <c r="E224" s="19" t="str">
        <f>IFERROR(VLOOKUP(D224,케이블트레이입.출고현황!U227:Z302,2,0),"")</f>
        <v/>
      </c>
      <c r="F224" s="19" t="str">
        <f>IFERROR(VLOOKUP(E224,케이블트레이입.출고현황!V227:AA302,2,0),"")</f>
        <v/>
      </c>
      <c r="G224" s="19" t="str">
        <f>IFERROR(VLOOKUP(F224,케이블트레이입.출고현황!W227:AB302,2,0),"")</f>
        <v/>
      </c>
      <c r="H224" s="19" t="str">
        <f>IFERROR(VLOOKUP(G224,케이블트레이입.출고현황!X227:AC302,2,0),"")</f>
        <v/>
      </c>
      <c r="I224" s="19" t="str">
        <f>IFERROR(VLOOKUP(H224,케이블트레이입.출고현황!Y227:AD302,2,0),"")</f>
        <v/>
      </c>
      <c r="J224" s="9"/>
      <c r="K224" s="9"/>
      <c r="L224" s="37"/>
      <c r="M224" s="64"/>
      <c r="N224" s="42"/>
    </row>
    <row r="225" spans="1:14" ht="24" customHeight="1">
      <c r="A225" s="8">
        <v>185</v>
      </c>
      <c r="B225" s="9">
        <v>185</v>
      </c>
      <c r="C225" s="46"/>
      <c r="D225" s="9"/>
      <c r="E225" s="19" t="str">
        <f>IFERROR(VLOOKUP(D225,케이블트레이입.출고현황!U228:Z303,2,0),"")</f>
        <v/>
      </c>
      <c r="F225" s="19" t="str">
        <f>IFERROR(VLOOKUP(E225,케이블트레이입.출고현황!V228:AA303,2,0),"")</f>
        <v/>
      </c>
      <c r="G225" s="19" t="str">
        <f>IFERROR(VLOOKUP(F225,케이블트레이입.출고현황!W228:AB303,2,0),"")</f>
        <v/>
      </c>
      <c r="H225" s="19" t="str">
        <f>IFERROR(VLOOKUP(G225,케이블트레이입.출고현황!X228:AC303,2,0),"")</f>
        <v/>
      </c>
      <c r="I225" s="19" t="str">
        <f>IFERROR(VLOOKUP(H225,케이블트레이입.출고현황!Y228:AD303,2,0),"")</f>
        <v/>
      </c>
      <c r="J225" s="9"/>
      <c r="K225" s="9"/>
      <c r="L225" s="37"/>
      <c r="M225" s="64"/>
      <c r="N225" s="42"/>
    </row>
    <row r="226" spans="1:14" ht="24" customHeight="1">
      <c r="A226" s="8">
        <v>186</v>
      </c>
      <c r="B226" s="9">
        <v>186</v>
      </c>
      <c r="C226" s="46"/>
      <c r="D226" s="9"/>
      <c r="E226" s="19" t="str">
        <f>IFERROR(VLOOKUP(D226,케이블트레이입.출고현황!U229:Z304,2,0),"")</f>
        <v/>
      </c>
      <c r="F226" s="19" t="str">
        <f>IFERROR(VLOOKUP(E226,케이블트레이입.출고현황!V229:AA304,2,0),"")</f>
        <v/>
      </c>
      <c r="G226" s="19" t="str">
        <f>IFERROR(VLOOKUP(F226,케이블트레이입.출고현황!W229:AB304,2,0),"")</f>
        <v/>
      </c>
      <c r="H226" s="19" t="str">
        <f>IFERROR(VLOOKUP(G226,케이블트레이입.출고현황!X229:AC304,2,0),"")</f>
        <v/>
      </c>
      <c r="I226" s="19" t="str">
        <f>IFERROR(VLOOKUP(H226,케이블트레이입.출고현황!Y229:AD304,2,0),"")</f>
        <v/>
      </c>
      <c r="J226" s="9"/>
      <c r="K226" s="9"/>
      <c r="L226" s="37"/>
      <c r="M226" s="64"/>
      <c r="N226" s="42"/>
    </row>
    <row r="227" spans="1:14" ht="24" customHeight="1">
      <c r="A227" s="8">
        <v>187</v>
      </c>
      <c r="B227" s="9">
        <v>187</v>
      </c>
      <c r="C227" s="46"/>
      <c r="D227" s="9"/>
      <c r="E227" s="19" t="str">
        <f>IFERROR(VLOOKUP(D227,케이블트레이입.출고현황!U230:Z305,2,0),"")</f>
        <v/>
      </c>
      <c r="F227" s="19" t="str">
        <f>IFERROR(VLOOKUP(E227,케이블트레이입.출고현황!V230:AA305,2,0),"")</f>
        <v/>
      </c>
      <c r="G227" s="19" t="str">
        <f>IFERROR(VLOOKUP(F227,케이블트레이입.출고현황!W230:AB305,2,0),"")</f>
        <v/>
      </c>
      <c r="H227" s="19" t="str">
        <f>IFERROR(VLOOKUP(G227,케이블트레이입.출고현황!X230:AC305,2,0),"")</f>
        <v/>
      </c>
      <c r="I227" s="19" t="str">
        <f>IFERROR(VLOOKUP(H227,케이블트레이입.출고현황!Y230:AD305,2,0),"")</f>
        <v/>
      </c>
      <c r="J227" s="9"/>
      <c r="K227" s="9"/>
      <c r="L227" s="37"/>
      <c r="M227" s="64"/>
      <c r="N227" s="42"/>
    </row>
    <row r="228" spans="1:14" ht="24" customHeight="1">
      <c r="A228" s="8">
        <v>188</v>
      </c>
      <c r="B228" s="9">
        <v>188</v>
      </c>
      <c r="C228" s="46"/>
      <c r="D228" s="9"/>
      <c r="E228" s="19" t="str">
        <f>IFERROR(VLOOKUP(D228,케이블트레이입.출고현황!U231:Z306,2,0),"")</f>
        <v/>
      </c>
      <c r="F228" s="19" t="str">
        <f>IFERROR(VLOOKUP(E228,케이블트레이입.출고현황!V231:AA306,2,0),"")</f>
        <v/>
      </c>
      <c r="G228" s="19" t="str">
        <f>IFERROR(VLOOKUP(F228,케이블트레이입.출고현황!W231:AB306,2,0),"")</f>
        <v/>
      </c>
      <c r="H228" s="19" t="str">
        <f>IFERROR(VLOOKUP(G228,케이블트레이입.출고현황!X231:AC306,2,0),"")</f>
        <v/>
      </c>
      <c r="I228" s="19" t="str">
        <f>IFERROR(VLOOKUP(H228,케이블트레이입.출고현황!Y231:AD306,2,0),"")</f>
        <v/>
      </c>
      <c r="J228" s="9"/>
      <c r="K228" s="9"/>
      <c r="L228" s="37"/>
      <c r="M228" s="64"/>
      <c r="N228" s="42"/>
    </row>
    <row r="229" spans="1:14" ht="24" customHeight="1">
      <c r="A229" s="8">
        <v>189</v>
      </c>
      <c r="B229" s="9">
        <v>189</v>
      </c>
      <c r="C229" s="46"/>
      <c r="D229" s="9"/>
      <c r="E229" s="19" t="str">
        <f>IFERROR(VLOOKUP(D229,케이블트레이입.출고현황!U232:Z307,2,0),"")</f>
        <v/>
      </c>
      <c r="F229" s="19" t="str">
        <f>IFERROR(VLOOKUP(E229,케이블트레이입.출고현황!V232:AA307,2,0),"")</f>
        <v/>
      </c>
      <c r="G229" s="19" t="str">
        <f>IFERROR(VLOOKUP(F229,케이블트레이입.출고현황!W232:AB307,2,0),"")</f>
        <v/>
      </c>
      <c r="H229" s="19" t="str">
        <f>IFERROR(VLOOKUP(G229,케이블트레이입.출고현황!X232:AC307,2,0),"")</f>
        <v/>
      </c>
      <c r="I229" s="19" t="str">
        <f>IFERROR(VLOOKUP(H229,케이블트레이입.출고현황!Y232:AD307,2,0),"")</f>
        <v/>
      </c>
      <c r="J229" s="9"/>
      <c r="K229" s="9"/>
      <c r="L229" s="37"/>
      <c r="M229" s="64"/>
      <c r="N229" s="42"/>
    </row>
    <row r="230" spans="1:14" ht="24" customHeight="1">
      <c r="A230" s="8">
        <v>190</v>
      </c>
      <c r="B230" s="9">
        <v>190</v>
      </c>
      <c r="C230" s="46"/>
      <c r="D230" s="9"/>
      <c r="E230" s="19" t="str">
        <f>IFERROR(VLOOKUP(D230,케이블트레이입.출고현황!U233:Z308,2,0),"")</f>
        <v/>
      </c>
      <c r="F230" s="19" t="str">
        <f>IFERROR(VLOOKUP(E230,케이블트레이입.출고현황!V233:AA308,2,0),"")</f>
        <v/>
      </c>
      <c r="G230" s="19" t="str">
        <f>IFERROR(VLOOKUP(F230,케이블트레이입.출고현황!W233:AB308,2,0),"")</f>
        <v/>
      </c>
      <c r="H230" s="19" t="str">
        <f>IFERROR(VLOOKUP(G230,케이블트레이입.출고현황!X233:AC308,2,0),"")</f>
        <v/>
      </c>
      <c r="I230" s="19" t="str">
        <f>IFERROR(VLOOKUP(H230,케이블트레이입.출고현황!Y233:AD308,2,0),"")</f>
        <v/>
      </c>
      <c r="J230" s="9"/>
      <c r="K230" s="9"/>
      <c r="L230" s="37"/>
      <c r="M230" s="64"/>
      <c r="N230" s="42"/>
    </row>
    <row r="231" spans="1:14" ht="24" customHeight="1">
      <c r="A231" s="8">
        <v>191</v>
      </c>
      <c r="B231" s="9">
        <v>191</v>
      </c>
      <c r="C231" s="46"/>
      <c r="D231" s="9"/>
      <c r="E231" s="19" t="str">
        <f>IFERROR(VLOOKUP(D231,케이블트레이입.출고현황!U234:Z309,2,0),"")</f>
        <v/>
      </c>
      <c r="F231" s="19" t="str">
        <f>IFERROR(VLOOKUP(E231,케이블트레이입.출고현황!V234:AA309,2,0),"")</f>
        <v/>
      </c>
      <c r="G231" s="19" t="str">
        <f>IFERROR(VLOOKUP(F231,케이블트레이입.출고현황!W234:AB309,2,0),"")</f>
        <v/>
      </c>
      <c r="H231" s="19" t="str">
        <f>IFERROR(VLOOKUP(G231,케이블트레이입.출고현황!X234:AC309,2,0),"")</f>
        <v/>
      </c>
      <c r="I231" s="19" t="str">
        <f>IFERROR(VLOOKUP(H231,케이블트레이입.출고현황!Y234:AD309,2,0),"")</f>
        <v/>
      </c>
      <c r="J231" s="9"/>
      <c r="K231" s="9"/>
      <c r="L231" s="37"/>
      <c r="M231" s="64"/>
      <c r="N231" s="42"/>
    </row>
    <row r="232" spans="1:14" ht="24" customHeight="1">
      <c r="A232" s="8">
        <v>192</v>
      </c>
      <c r="B232" s="9">
        <v>192</v>
      </c>
      <c r="C232" s="46"/>
      <c r="D232" s="9"/>
      <c r="E232" s="19" t="str">
        <f>IFERROR(VLOOKUP(D232,케이블트레이입.출고현황!U235:Z310,2,0),"")</f>
        <v/>
      </c>
      <c r="F232" s="19" t="str">
        <f>IFERROR(VLOOKUP(E232,케이블트레이입.출고현황!V235:AA310,2,0),"")</f>
        <v/>
      </c>
      <c r="G232" s="19" t="str">
        <f>IFERROR(VLOOKUP(F232,케이블트레이입.출고현황!W235:AB310,2,0),"")</f>
        <v/>
      </c>
      <c r="H232" s="19" t="str">
        <f>IFERROR(VLOOKUP(G232,케이블트레이입.출고현황!X235:AC310,2,0),"")</f>
        <v/>
      </c>
      <c r="I232" s="19" t="str">
        <f>IFERROR(VLOOKUP(H232,케이블트레이입.출고현황!Y235:AD310,2,0),"")</f>
        <v/>
      </c>
      <c r="J232" s="9"/>
      <c r="K232" s="9"/>
      <c r="L232" s="37"/>
      <c r="M232" s="64"/>
      <c r="N232" s="42"/>
    </row>
    <row r="233" spans="1:14" ht="24" customHeight="1">
      <c r="A233" s="8">
        <v>193</v>
      </c>
      <c r="B233" s="9">
        <v>193</v>
      </c>
      <c r="C233" s="46"/>
      <c r="D233" s="9"/>
      <c r="E233" s="19" t="str">
        <f>IFERROR(VLOOKUP(D233,케이블트레이입.출고현황!U236:Z311,2,0),"")</f>
        <v/>
      </c>
      <c r="F233" s="19" t="str">
        <f>IFERROR(VLOOKUP(E233,케이블트레이입.출고현황!V236:AA311,2,0),"")</f>
        <v/>
      </c>
      <c r="G233" s="19" t="str">
        <f>IFERROR(VLOOKUP(F233,케이블트레이입.출고현황!W236:AB311,2,0),"")</f>
        <v/>
      </c>
      <c r="H233" s="19" t="str">
        <f>IFERROR(VLOOKUP(G233,케이블트레이입.출고현황!X236:AC311,2,0),"")</f>
        <v/>
      </c>
      <c r="I233" s="19" t="str">
        <f>IFERROR(VLOOKUP(H233,케이블트레이입.출고현황!Y236:AD311,2,0),"")</f>
        <v/>
      </c>
      <c r="J233" s="9"/>
      <c r="K233" s="9"/>
      <c r="L233" s="37"/>
      <c r="M233" s="64"/>
      <c r="N233" s="42"/>
    </row>
    <row r="234" spans="1:14" ht="24" customHeight="1">
      <c r="A234" s="8">
        <v>194</v>
      </c>
      <c r="B234" s="9">
        <v>194</v>
      </c>
      <c r="C234" s="46"/>
      <c r="D234" s="9"/>
      <c r="E234" s="19" t="str">
        <f>IFERROR(VLOOKUP(D234,케이블트레이입.출고현황!U237:Z312,2,0),"")</f>
        <v/>
      </c>
      <c r="F234" s="19" t="str">
        <f>IFERROR(VLOOKUP(E234,케이블트레이입.출고현황!V237:AA312,2,0),"")</f>
        <v/>
      </c>
      <c r="G234" s="19" t="str">
        <f>IFERROR(VLOOKUP(F234,케이블트레이입.출고현황!W237:AB312,2,0),"")</f>
        <v/>
      </c>
      <c r="H234" s="19" t="str">
        <f>IFERROR(VLOOKUP(G234,케이블트레이입.출고현황!X237:AC312,2,0),"")</f>
        <v/>
      </c>
      <c r="I234" s="19" t="str">
        <f>IFERROR(VLOOKUP(H234,케이블트레이입.출고현황!Y237:AD312,2,0),"")</f>
        <v/>
      </c>
      <c r="J234" s="9"/>
      <c r="K234" s="9"/>
      <c r="L234" s="37"/>
      <c r="M234" s="64"/>
      <c r="N234" s="42"/>
    </row>
    <row r="235" spans="1:14" ht="24" customHeight="1">
      <c r="A235" s="8">
        <v>195</v>
      </c>
      <c r="B235" s="9">
        <v>195</v>
      </c>
      <c r="C235" s="46"/>
      <c r="D235" s="9"/>
      <c r="E235" s="19" t="str">
        <f>IFERROR(VLOOKUP(D235,케이블트레이입.출고현황!U238:Z313,2,0),"")</f>
        <v/>
      </c>
      <c r="F235" s="19" t="str">
        <f>IFERROR(VLOOKUP(E235,케이블트레이입.출고현황!V238:AA313,2,0),"")</f>
        <v/>
      </c>
      <c r="G235" s="19" t="str">
        <f>IFERROR(VLOOKUP(F235,케이블트레이입.출고현황!W238:AB313,2,0),"")</f>
        <v/>
      </c>
      <c r="H235" s="19" t="str">
        <f>IFERROR(VLOOKUP(G235,케이블트레이입.출고현황!X238:AC313,2,0),"")</f>
        <v/>
      </c>
      <c r="I235" s="19" t="str">
        <f>IFERROR(VLOOKUP(H235,케이블트레이입.출고현황!Y238:AD313,2,0),"")</f>
        <v/>
      </c>
      <c r="J235" s="9"/>
      <c r="K235" s="9"/>
      <c r="L235" s="37"/>
      <c r="M235" s="64"/>
      <c r="N235" s="42"/>
    </row>
    <row r="236" spans="1:14" ht="24" customHeight="1">
      <c r="A236" s="8">
        <v>196</v>
      </c>
      <c r="B236" s="9">
        <v>196</v>
      </c>
      <c r="C236" s="46"/>
      <c r="D236" s="9"/>
      <c r="E236" s="19" t="str">
        <f>IFERROR(VLOOKUP(D236,케이블트레이입.출고현황!U239:Z314,2,0),"")</f>
        <v/>
      </c>
      <c r="F236" s="19" t="str">
        <f>IFERROR(VLOOKUP(E236,케이블트레이입.출고현황!V239:AA314,2,0),"")</f>
        <v/>
      </c>
      <c r="G236" s="19" t="str">
        <f>IFERROR(VLOOKUP(F236,케이블트레이입.출고현황!W239:AB314,2,0),"")</f>
        <v/>
      </c>
      <c r="H236" s="19" t="str">
        <f>IFERROR(VLOOKUP(G236,케이블트레이입.출고현황!X239:AC314,2,0),"")</f>
        <v/>
      </c>
      <c r="I236" s="19" t="str">
        <f>IFERROR(VLOOKUP(H236,케이블트레이입.출고현황!Y239:AD314,2,0),"")</f>
        <v/>
      </c>
      <c r="J236" s="9"/>
      <c r="K236" s="9"/>
      <c r="L236" s="37"/>
      <c r="M236" s="64"/>
      <c r="N236" s="42"/>
    </row>
    <row r="237" spans="1:14" ht="24" customHeight="1">
      <c r="A237" s="8">
        <v>197</v>
      </c>
      <c r="B237" s="9">
        <v>197</v>
      </c>
      <c r="C237" s="46"/>
      <c r="D237" s="9"/>
      <c r="E237" s="19" t="str">
        <f>IFERROR(VLOOKUP(D237,케이블트레이입.출고현황!U240:Z315,2,0),"")</f>
        <v/>
      </c>
      <c r="F237" s="19" t="str">
        <f>IFERROR(VLOOKUP(E237,케이블트레이입.출고현황!V240:AA315,2,0),"")</f>
        <v/>
      </c>
      <c r="G237" s="19" t="str">
        <f>IFERROR(VLOOKUP(F237,케이블트레이입.출고현황!W240:AB315,2,0),"")</f>
        <v/>
      </c>
      <c r="H237" s="19" t="str">
        <f>IFERROR(VLOOKUP(G237,케이블트레이입.출고현황!X240:AC315,2,0),"")</f>
        <v/>
      </c>
      <c r="I237" s="19" t="str">
        <f>IFERROR(VLOOKUP(H237,케이블트레이입.출고현황!Y240:AD315,2,0),"")</f>
        <v/>
      </c>
      <c r="J237" s="9"/>
      <c r="K237" s="9"/>
      <c r="L237" s="37"/>
      <c r="M237" s="64"/>
      <c r="N237" s="42"/>
    </row>
    <row r="238" spans="1:14" ht="24" customHeight="1">
      <c r="A238" s="8">
        <v>198</v>
      </c>
      <c r="B238" s="9">
        <v>198</v>
      </c>
      <c r="C238" s="46"/>
      <c r="D238" s="9"/>
      <c r="E238" s="19" t="str">
        <f>IFERROR(VLOOKUP(D238,케이블트레이입.출고현황!U241:Z316,2,0),"")</f>
        <v/>
      </c>
      <c r="F238" s="19" t="str">
        <f>IFERROR(VLOOKUP(E238,케이블트레이입.출고현황!V241:AA316,2,0),"")</f>
        <v/>
      </c>
      <c r="G238" s="19" t="str">
        <f>IFERROR(VLOOKUP(F238,케이블트레이입.출고현황!W241:AB316,2,0),"")</f>
        <v/>
      </c>
      <c r="H238" s="19" t="str">
        <f>IFERROR(VLOOKUP(G238,케이블트레이입.출고현황!X241:AC316,2,0),"")</f>
        <v/>
      </c>
      <c r="I238" s="19" t="str">
        <f>IFERROR(VLOOKUP(H238,케이블트레이입.출고현황!Y241:AD316,2,0),"")</f>
        <v/>
      </c>
      <c r="J238" s="9"/>
      <c r="K238" s="9"/>
      <c r="L238" s="37"/>
      <c r="M238" s="64"/>
      <c r="N238" s="42"/>
    </row>
    <row r="239" spans="1:14" ht="24" customHeight="1">
      <c r="A239" s="8">
        <v>199</v>
      </c>
      <c r="B239" s="9">
        <v>199</v>
      </c>
      <c r="C239" s="46"/>
      <c r="D239" s="9"/>
      <c r="E239" s="19" t="str">
        <f>IFERROR(VLOOKUP(D239,케이블트레이입.출고현황!U242:Z317,2,0),"")</f>
        <v/>
      </c>
      <c r="F239" s="19" t="str">
        <f>IFERROR(VLOOKUP(E239,케이블트레이입.출고현황!V242:AA317,2,0),"")</f>
        <v/>
      </c>
      <c r="G239" s="19" t="str">
        <f>IFERROR(VLOOKUP(F239,케이블트레이입.출고현황!W242:AB317,2,0),"")</f>
        <v/>
      </c>
      <c r="H239" s="19" t="str">
        <f>IFERROR(VLOOKUP(G239,케이블트레이입.출고현황!X242:AC317,2,0),"")</f>
        <v/>
      </c>
      <c r="I239" s="19" t="str">
        <f>IFERROR(VLOOKUP(H239,케이블트레이입.출고현황!Y242:AD317,2,0),"")</f>
        <v/>
      </c>
      <c r="J239" s="9"/>
      <c r="K239" s="9"/>
      <c r="L239" s="37"/>
      <c r="M239" s="64"/>
      <c r="N239" s="42"/>
    </row>
    <row r="240" spans="1:14" ht="24" customHeight="1">
      <c r="A240" s="8">
        <v>200</v>
      </c>
      <c r="B240" s="9">
        <v>200</v>
      </c>
      <c r="C240" s="46"/>
      <c r="D240" s="9"/>
      <c r="E240" s="19" t="str">
        <f>IFERROR(VLOOKUP(D240,케이블트레이입.출고현황!U243:Z318,2,0),"")</f>
        <v/>
      </c>
      <c r="F240" s="19" t="str">
        <f>IFERROR(VLOOKUP(E240,케이블트레이입.출고현황!V243:AA318,2,0),"")</f>
        <v/>
      </c>
      <c r="G240" s="19" t="str">
        <f>IFERROR(VLOOKUP(F240,케이블트레이입.출고현황!W243:AB318,2,0),"")</f>
        <v/>
      </c>
      <c r="H240" s="19" t="str">
        <f>IFERROR(VLOOKUP(G240,케이블트레이입.출고현황!X243:AC318,2,0),"")</f>
        <v/>
      </c>
      <c r="I240" s="19" t="str">
        <f>IFERROR(VLOOKUP(H240,케이블트레이입.출고현황!Y243:AD318,2,0),"")</f>
        <v/>
      </c>
      <c r="J240" s="9"/>
      <c r="K240" s="9"/>
      <c r="L240" s="37"/>
      <c r="M240" s="64"/>
      <c r="N240" s="42"/>
    </row>
    <row r="241" spans="1:14" ht="24" customHeight="1">
      <c r="A241" s="8">
        <v>201</v>
      </c>
      <c r="B241" s="9">
        <v>201</v>
      </c>
      <c r="C241" s="46"/>
      <c r="D241" s="9"/>
      <c r="E241" s="19" t="str">
        <f>IFERROR(VLOOKUP(D241,케이블트레이입.출고현황!U244:Z319,2,0),"")</f>
        <v/>
      </c>
      <c r="F241" s="19" t="str">
        <f>IFERROR(VLOOKUP(E241,케이블트레이입.출고현황!V244:AA319,2,0),"")</f>
        <v/>
      </c>
      <c r="G241" s="19" t="str">
        <f>IFERROR(VLOOKUP(F241,케이블트레이입.출고현황!W244:AB319,2,0),"")</f>
        <v/>
      </c>
      <c r="H241" s="19" t="str">
        <f>IFERROR(VLOOKUP(G241,케이블트레이입.출고현황!X244:AC319,2,0),"")</f>
        <v/>
      </c>
      <c r="I241" s="19" t="str">
        <f>IFERROR(VLOOKUP(H241,케이블트레이입.출고현황!Y244:AD319,2,0),"")</f>
        <v/>
      </c>
      <c r="J241" s="9"/>
      <c r="K241" s="9"/>
      <c r="L241" s="37"/>
      <c r="M241" s="64"/>
      <c r="N241" s="42"/>
    </row>
    <row r="242" spans="1:14" ht="24" customHeight="1">
      <c r="A242" s="8">
        <v>202</v>
      </c>
      <c r="B242" s="9">
        <v>202</v>
      </c>
      <c r="C242" s="46"/>
      <c r="D242" s="9"/>
      <c r="E242" s="19" t="str">
        <f>IFERROR(VLOOKUP(D242,케이블트레이입.출고현황!U245:Z320,2,0),"")</f>
        <v/>
      </c>
      <c r="F242" s="19" t="str">
        <f>IFERROR(VLOOKUP(E242,케이블트레이입.출고현황!V245:AA320,2,0),"")</f>
        <v/>
      </c>
      <c r="G242" s="19" t="str">
        <f>IFERROR(VLOOKUP(F242,케이블트레이입.출고현황!W245:AB320,2,0),"")</f>
        <v/>
      </c>
      <c r="H242" s="19" t="str">
        <f>IFERROR(VLOOKUP(G242,케이블트레이입.출고현황!X245:AC320,2,0),"")</f>
        <v/>
      </c>
      <c r="I242" s="19" t="str">
        <f>IFERROR(VLOOKUP(H242,케이블트레이입.출고현황!Y245:AD320,2,0),"")</f>
        <v/>
      </c>
      <c r="J242" s="9"/>
      <c r="K242" s="9"/>
      <c r="L242" s="37"/>
      <c r="M242" s="64"/>
      <c r="N242" s="42"/>
    </row>
    <row r="243" spans="1:14" ht="24" customHeight="1">
      <c r="A243" s="8">
        <v>203</v>
      </c>
      <c r="B243" s="9">
        <v>203</v>
      </c>
      <c r="C243" s="46"/>
      <c r="D243" s="9"/>
      <c r="E243" s="19" t="str">
        <f>IFERROR(VLOOKUP(D243,케이블트레이입.출고현황!U246:Z321,2,0),"")</f>
        <v/>
      </c>
      <c r="F243" s="19" t="str">
        <f>IFERROR(VLOOKUP(E243,케이블트레이입.출고현황!V246:AA321,2,0),"")</f>
        <v/>
      </c>
      <c r="G243" s="19" t="str">
        <f>IFERROR(VLOOKUP(F243,케이블트레이입.출고현황!W246:AB321,2,0),"")</f>
        <v/>
      </c>
      <c r="H243" s="19" t="str">
        <f>IFERROR(VLOOKUP(G243,케이블트레이입.출고현황!X246:AC321,2,0),"")</f>
        <v/>
      </c>
      <c r="I243" s="19" t="str">
        <f>IFERROR(VLOOKUP(H243,케이블트레이입.출고현황!Y246:AD321,2,0),"")</f>
        <v/>
      </c>
      <c r="J243" s="9"/>
      <c r="K243" s="9"/>
      <c r="L243" s="37"/>
      <c r="M243" s="64"/>
      <c r="N243" s="42"/>
    </row>
    <row r="244" spans="1:14" ht="24" customHeight="1">
      <c r="A244" s="8">
        <v>204</v>
      </c>
      <c r="B244" s="9">
        <v>204</v>
      </c>
      <c r="C244" s="46"/>
      <c r="D244" s="9"/>
      <c r="E244" s="19" t="str">
        <f>IFERROR(VLOOKUP(D244,케이블트레이입.출고현황!U247:Z322,2,0),"")</f>
        <v/>
      </c>
      <c r="F244" s="19" t="str">
        <f>IFERROR(VLOOKUP(E244,케이블트레이입.출고현황!V247:AA322,2,0),"")</f>
        <v/>
      </c>
      <c r="G244" s="19" t="str">
        <f>IFERROR(VLOOKUP(F244,케이블트레이입.출고현황!W247:AB322,2,0),"")</f>
        <v/>
      </c>
      <c r="H244" s="19" t="str">
        <f>IFERROR(VLOOKUP(G244,케이블트레이입.출고현황!X247:AC322,2,0),"")</f>
        <v/>
      </c>
      <c r="I244" s="19" t="str">
        <f>IFERROR(VLOOKUP(H244,케이블트레이입.출고현황!Y247:AD322,2,0),"")</f>
        <v/>
      </c>
      <c r="J244" s="9"/>
      <c r="K244" s="9"/>
      <c r="L244" s="37"/>
      <c r="M244" s="64"/>
      <c r="N244" s="42"/>
    </row>
    <row r="245" spans="1:14" ht="24" customHeight="1">
      <c r="A245" s="8">
        <v>205</v>
      </c>
      <c r="B245" s="9">
        <v>205</v>
      </c>
      <c r="C245" s="46"/>
      <c r="D245" s="9"/>
      <c r="E245" s="19" t="str">
        <f>IFERROR(VLOOKUP(D245,케이블트레이입.출고현황!U248:Z323,2,0),"")</f>
        <v/>
      </c>
      <c r="F245" s="19" t="str">
        <f>IFERROR(VLOOKUP(E245,케이블트레이입.출고현황!V248:AA323,2,0),"")</f>
        <v/>
      </c>
      <c r="G245" s="19" t="str">
        <f>IFERROR(VLOOKUP(F245,케이블트레이입.출고현황!W248:AB323,2,0),"")</f>
        <v/>
      </c>
      <c r="H245" s="19" t="str">
        <f>IFERROR(VLOOKUP(G245,케이블트레이입.출고현황!X248:AC323,2,0),"")</f>
        <v/>
      </c>
      <c r="I245" s="19" t="str">
        <f>IFERROR(VLOOKUP(H245,케이블트레이입.출고현황!Y248:AD323,2,0),"")</f>
        <v/>
      </c>
      <c r="J245" s="9"/>
      <c r="K245" s="9"/>
      <c r="L245" s="37"/>
      <c r="M245" s="64"/>
      <c r="N245" s="42"/>
    </row>
    <row r="246" spans="1:14" ht="24" customHeight="1">
      <c r="A246" s="8">
        <v>206</v>
      </c>
      <c r="B246" s="9">
        <v>206</v>
      </c>
      <c r="C246" s="46"/>
      <c r="D246" s="9"/>
      <c r="E246" s="19" t="str">
        <f>IFERROR(VLOOKUP(D246,케이블트레이입.출고현황!U249:Z324,2,0),"")</f>
        <v/>
      </c>
      <c r="F246" s="19" t="str">
        <f>IFERROR(VLOOKUP(E246,케이블트레이입.출고현황!V249:AA324,2,0),"")</f>
        <v/>
      </c>
      <c r="G246" s="19" t="str">
        <f>IFERROR(VLOOKUP(F246,케이블트레이입.출고현황!W249:AB324,2,0),"")</f>
        <v/>
      </c>
      <c r="H246" s="19" t="str">
        <f>IFERROR(VLOOKUP(G246,케이블트레이입.출고현황!X249:AC324,2,0),"")</f>
        <v/>
      </c>
      <c r="I246" s="19" t="str">
        <f>IFERROR(VLOOKUP(H246,케이블트레이입.출고현황!Y249:AD324,2,0),"")</f>
        <v/>
      </c>
      <c r="J246" s="9"/>
      <c r="K246" s="9"/>
      <c r="L246" s="37"/>
      <c r="M246" s="64"/>
      <c r="N246" s="42"/>
    </row>
    <row r="247" spans="1:14" ht="24" customHeight="1">
      <c r="A247" s="8">
        <v>207</v>
      </c>
      <c r="B247" s="9">
        <v>207</v>
      </c>
      <c r="C247" s="46"/>
      <c r="D247" s="9"/>
      <c r="E247" s="19" t="str">
        <f>IFERROR(VLOOKUP(D247,케이블트레이입.출고현황!U250:Z325,2,0),"")</f>
        <v/>
      </c>
      <c r="F247" s="19" t="str">
        <f>IFERROR(VLOOKUP(E247,케이블트레이입.출고현황!V250:AA325,2,0),"")</f>
        <v/>
      </c>
      <c r="G247" s="19" t="str">
        <f>IFERROR(VLOOKUP(F247,케이블트레이입.출고현황!W250:AB325,2,0),"")</f>
        <v/>
      </c>
      <c r="H247" s="19" t="str">
        <f>IFERROR(VLOOKUP(G247,케이블트레이입.출고현황!X250:AC325,2,0),"")</f>
        <v/>
      </c>
      <c r="I247" s="19" t="str">
        <f>IFERROR(VLOOKUP(H247,케이블트레이입.출고현황!Y250:AD325,2,0),"")</f>
        <v/>
      </c>
      <c r="J247" s="9"/>
      <c r="K247" s="9"/>
      <c r="L247" s="37"/>
      <c r="M247" s="64"/>
      <c r="N247" s="42"/>
    </row>
    <row r="248" spans="1:14" ht="24" customHeight="1">
      <c r="A248" s="8">
        <v>208</v>
      </c>
      <c r="B248" s="9">
        <v>208</v>
      </c>
      <c r="C248" s="46"/>
      <c r="D248" s="9"/>
      <c r="E248" s="19" t="str">
        <f>IFERROR(VLOOKUP(D248,케이블트레이입.출고현황!U251:Z326,2,0),"")</f>
        <v/>
      </c>
      <c r="F248" s="19" t="str">
        <f>IFERROR(VLOOKUP(E248,케이블트레이입.출고현황!V251:AA326,2,0),"")</f>
        <v/>
      </c>
      <c r="G248" s="19" t="str">
        <f>IFERROR(VLOOKUP(F248,케이블트레이입.출고현황!W251:AB326,2,0),"")</f>
        <v/>
      </c>
      <c r="H248" s="19" t="str">
        <f>IFERROR(VLOOKUP(G248,케이블트레이입.출고현황!X251:AC326,2,0),"")</f>
        <v/>
      </c>
      <c r="I248" s="19" t="str">
        <f>IFERROR(VLOOKUP(H248,케이블트레이입.출고현황!Y251:AD326,2,0),"")</f>
        <v/>
      </c>
      <c r="J248" s="9"/>
      <c r="K248" s="9"/>
      <c r="L248" s="37"/>
      <c r="M248" s="64"/>
      <c r="N248" s="42"/>
    </row>
    <row r="249" spans="1:14" ht="24" customHeight="1">
      <c r="A249" s="8">
        <v>209</v>
      </c>
      <c r="B249" s="9">
        <v>209</v>
      </c>
      <c r="C249" s="46"/>
      <c r="D249" s="9"/>
      <c r="E249" s="19" t="str">
        <f>IFERROR(VLOOKUP(D249,케이블트레이입.출고현황!U252:Z327,2,0),"")</f>
        <v/>
      </c>
      <c r="F249" s="19" t="str">
        <f>IFERROR(VLOOKUP(E249,케이블트레이입.출고현황!V252:AA327,2,0),"")</f>
        <v/>
      </c>
      <c r="G249" s="19" t="str">
        <f>IFERROR(VLOOKUP(F249,케이블트레이입.출고현황!W252:AB327,2,0),"")</f>
        <v/>
      </c>
      <c r="H249" s="19" t="str">
        <f>IFERROR(VLOOKUP(G249,케이블트레이입.출고현황!X252:AC327,2,0),"")</f>
        <v/>
      </c>
      <c r="I249" s="19" t="str">
        <f>IFERROR(VLOOKUP(H249,케이블트레이입.출고현황!Y252:AD327,2,0),"")</f>
        <v/>
      </c>
      <c r="J249" s="9"/>
      <c r="K249" s="9"/>
      <c r="L249" s="37"/>
      <c r="M249" s="64"/>
      <c r="N249" s="42"/>
    </row>
    <row r="250" spans="1:14" ht="24" customHeight="1">
      <c r="A250" s="8">
        <v>210</v>
      </c>
      <c r="B250" s="9">
        <v>210</v>
      </c>
      <c r="C250" s="46"/>
      <c r="D250" s="9"/>
      <c r="E250" s="19" t="str">
        <f>IFERROR(VLOOKUP(D250,케이블트레이입.출고현황!U253:Z328,2,0),"")</f>
        <v/>
      </c>
      <c r="F250" s="19" t="str">
        <f>IFERROR(VLOOKUP(E250,케이블트레이입.출고현황!V253:AA328,2,0),"")</f>
        <v/>
      </c>
      <c r="G250" s="19" t="str">
        <f>IFERROR(VLOOKUP(F250,케이블트레이입.출고현황!W253:AB328,2,0),"")</f>
        <v/>
      </c>
      <c r="H250" s="19" t="str">
        <f>IFERROR(VLOOKUP(G250,케이블트레이입.출고현황!X253:AC328,2,0),"")</f>
        <v/>
      </c>
      <c r="I250" s="19" t="str">
        <f>IFERROR(VLOOKUP(H250,케이블트레이입.출고현황!Y253:AD328,2,0),"")</f>
        <v/>
      </c>
      <c r="J250" s="9"/>
      <c r="K250" s="9"/>
      <c r="L250" s="37"/>
      <c r="M250" s="64"/>
      <c r="N250" s="42"/>
    </row>
    <row r="251" spans="1:14" ht="24" customHeight="1">
      <c r="A251" s="8">
        <v>211</v>
      </c>
      <c r="B251" s="9">
        <v>211</v>
      </c>
      <c r="C251" s="46"/>
      <c r="D251" s="9"/>
      <c r="E251" s="19" t="str">
        <f>IFERROR(VLOOKUP(D251,케이블트레이입.출고현황!U254:Z329,2,0),"")</f>
        <v/>
      </c>
      <c r="F251" s="19" t="str">
        <f>IFERROR(VLOOKUP(E251,케이블트레이입.출고현황!V254:AA329,2,0),"")</f>
        <v/>
      </c>
      <c r="G251" s="19" t="str">
        <f>IFERROR(VLOOKUP(F251,케이블트레이입.출고현황!W254:AB329,2,0),"")</f>
        <v/>
      </c>
      <c r="H251" s="19" t="str">
        <f>IFERROR(VLOOKUP(G251,케이블트레이입.출고현황!X254:AC329,2,0),"")</f>
        <v/>
      </c>
      <c r="I251" s="19" t="str">
        <f>IFERROR(VLOOKUP(H251,케이블트레이입.출고현황!Y254:AD329,2,0),"")</f>
        <v/>
      </c>
      <c r="J251" s="9"/>
      <c r="K251" s="9"/>
      <c r="L251" s="37"/>
      <c r="M251" s="64"/>
      <c r="N251" s="42"/>
    </row>
    <row r="252" spans="1:14" ht="24" customHeight="1">
      <c r="A252" s="8">
        <v>212</v>
      </c>
      <c r="B252" s="9">
        <v>212</v>
      </c>
      <c r="C252" s="46"/>
      <c r="D252" s="9"/>
      <c r="E252" s="19" t="str">
        <f>IFERROR(VLOOKUP(D252,케이블트레이입.출고현황!U255:Z330,2,0),"")</f>
        <v/>
      </c>
      <c r="F252" s="19" t="str">
        <f>IFERROR(VLOOKUP(E252,케이블트레이입.출고현황!V255:AA330,2,0),"")</f>
        <v/>
      </c>
      <c r="G252" s="19" t="str">
        <f>IFERROR(VLOOKUP(F252,케이블트레이입.출고현황!W255:AB330,2,0),"")</f>
        <v/>
      </c>
      <c r="H252" s="19" t="str">
        <f>IFERROR(VLOOKUP(G252,케이블트레이입.출고현황!X255:AC330,2,0),"")</f>
        <v/>
      </c>
      <c r="I252" s="19" t="str">
        <f>IFERROR(VLOOKUP(H252,케이블트레이입.출고현황!Y255:AD330,2,0),"")</f>
        <v/>
      </c>
      <c r="J252" s="9"/>
      <c r="K252" s="9"/>
      <c r="L252" s="37"/>
      <c r="M252" s="64"/>
      <c r="N252" s="42"/>
    </row>
    <row r="253" spans="1:14" ht="24" customHeight="1">
      <c r="A253" s="8">
        <v>213</v>
      </c>
      <c r="B253" s="9">
        <v>213</v>
      </c>
      <c r="C253" s="46"/>
      <c r="D253" s="9"/>
      <c r="E253" s="19" t="str">
        <f>IFERROR(VLOOKUP(D253,케이블트레이입.출고현황!U256:Z331,2,0),"")</f>
        <v/>
      </c>
      <c r="F253" s="19" t="str">
        <f>IFERROR(VLOOKUP(E253,케이블트레이입.출고현황!V256:AA331,2,0),"")</f>
        <v/>
      </c>
      <c r="G253" s="19" t="str">
        <f>IFERROR(VLOOKUP(F253,케이블트레이입.출고현황!W256:AB331,2,0),"")</f>
        <v/>
      </c>
      <c r="H253" s="19" t="str">
        <f>IFERROR(VLOOKUP(G253,케이블트레이입.출고현황!X256:AC331,2,0),"")</f>
        <v/>
      </c>
      <c r="I253" s="19" t="str">
        <f>IFERROR(VLOOKUP(H253,케이블트레이입.출고현황!Y256:AD331,2,0),"")</f>
        <v/>
      </c>
      <c r="J253" s="9"/>
      <c r="K253" s="9"/>
      <c r="L253" s="37"/>
      <c r="M253" s="64"/>
      <c r="N253" s="42"/>
    </row>
    <row r="254" spans="1:14" ht="24" customHeight="1">
      <c r="A254" s="8">
        <v>214</v>
      </c>
      <c r="B254" s="9">
        <v>214</v>
      </c>
      <c r="C254" s="46"/>
      <c r="D254" s="9"/>
      <c r="E254" s="19" t="str">
        <f>IFERROR(VLOOKUP(D254,케이블트레이입.출고현황!U257:Z332,2,0),"")</f>
        <v/>
      </c>
      <c r="F254" s="19" t="str">
        <f>IFERROR(VLOOKUP(E254,케이블트레이입.출고현황!V257:AA332,2,0),"")</f>
        <v/>
      </c>
      <c r="G254" s="19" t="str">
        <f>IFERROR(VLOOKUP(F254,케이블트레이입.출고현황!W257:AB332,2,0),"")</f>
        <v/>
      </c>
      <c r="H254" s="19" t="str">
        <f>IFERROR(VLOOKUP(G254,케이블트레이입.출고현황!X257:AC332,2,0),"")</f>
        <v/>
      </c>
      <c r="I254" s="19" t="str">
        <f>IFERROR(VLOOKUP(H254,케이블트레이입.출고현황!Y257:AD332,2,0),"")</f>
        <v/>
      </c>
      <c r="J254" s="9"/>
      <c r="K254" s="9"/>
      <c r="L254" s="37"/>
      <c r="M254" s="64"/>
      <c r="N254" s="42"/>
    </row>
    <row r="255" spans="1:14" ht="24" customHeight="1">
      <c r="A255" s="8">
        <v>215</v>
      </c>
      <c r="B255" s="9">
        <v>215</v>
      </c>
      <c r="C255" s="46"/>
      <c r="D255" s="9"/>
      <c r="E255" s="19" t="str">
        <f>IFERROR(VLOOKUP(D255,케이블트레이입.출고현황!U258:Z333,2,0),"")</f>
        <v/>
      </c>
      <c r="F255" s="19" t="str">
        <f>IFERROR(VLOOKUP(E255,케이블트레이입.출고현황!V258:AA333,2,0),"")</f>
        <v/>
      </c>
      <c r="G255" s="19" t="str">
        <f>IFERROR(VLOOKUP(F255,케이블트레이입.출고현황!W258:AB333,2,0),"")</f>
        <v/>
      </c>
      <c r="H255" s="19" t="str">
        <f>IFERROR(VLOOKUP(G255,케이블트레이입.출고현황!X258:AC333,2,0),"")</f>
        <v/>
      </c>
      <c r="I255" s="19" t="str">
        <f>IFERROR(VLOOKUP(H255,케이블트레이입.출고현황!Y258:AD333,2,0),"")</f>
        <v/>
      </c>
      <c r="J255" s="9"/>
      <c r="K255" s="9"/>
      <c r="L255" s="37"/>
      <c r="M255" s="64"/>
      <c r="N255" s="42"/>
    </row>
    <row r="256" spans="1:14" ht="24" customHeight="1">
      <c r="A256" s="8">
        <v>216</v>
      </c>
      <c r="B256" s="9">
        <v>216</v>
      </c>
      <c r="C256" s="46"/>
      <c r="D256" s="9"/>
      <c r="E256" s="19" t="str">
        <f>IFERROR(VLOOKUP(D256,케이블트레이입.출고현황!U259:Z334,2,0),"")</f>
        <v/>
      </c>
      <c r="F256" s="19" t="str">
        <f>IFERROR(VLOOKUP(E256,케이블트레이입.출고현황!V259:AA334,2,0),"")</f>
        <v/>
      </c>
      <c r="G256" s="19" t="str">
        <f>IFERROR(VLOOKUP(F256,케이블트레이입.출고현황!W259:AB334,2,0),"")</f>
        <v/>
      </c>
      <c r="H256" s="19" t="str">
        <f>IFERROR(VLOOKUP(G256,케이블트레이입.출고현황!X259:AC334,2,0),"")</f>
        <v/>
      </c>
      <c r="I256" s="19" t="str">
        <f>IFERROR(VLOOKUP(H256,케이블트레이입.출고현황!Y259:AD334,2,0),"")</f>
        <v/>
      </c>
      <c r="J256" s="9"/>
      <c r="K256" s="9"/>
      <c r="L256" s="37"/>
      <c r="M256" s="64"/>
      <c r="N256" s="42"/>
    </row>
    <row r="257" spans="1:14" ht="24" customHeight="1">
      <c r="A257" s="8">
        <v>217</v>
      </c>
      <c r="B257" s="9">
        <v>217</v>
      </c>
      <c r="C257" s="46"/>
      <c r="D257" s="9"/>
      <c r="E257" s="19" t="str">
        <f>IFERROR(VLOOKUP(D257,케이블트레이입.출고현황!U260:Z335,2,0),"")</f>
        <v/>
      </c>
      <c r="F257" s="19" t="str">
        <f>IFERROR(VLOOKUP(E257,케이블트레이입.출고현황!V260:AA335,2,0),"")</f>
        <v/>
      </c>
      <c r="G257" s="19" t="str">
        <f>IFERROR(VLOOKUP(F257,케이블트레이입.출고현황!W260:AB335,2,0),"")</f>
        <v/>
      </c>
      <c r="H257" s="19" t="str">
        <f>IFERROR(VLOOKUP(G257,케이블트레이입.출고현황!X260:AC335,2,0),"")</f>
        <v/>
      </c>
      <c r="I257" s="19" t="str">
        <f>IFERROR(VLOOKUP(H257,케이블트레이입.출고현황!Y260:AD335,2,0),"")</f>
        <v/>
      </c>
      <c r="J257" s="9"/>
      <c r="K257" s="9"/>
      <c r="L257" s="37"/>
      <c r="M257" s="64"/>
      <c r="N257" s="42"/>
    </row>
    <row r="258" spans="1:14" ht="24" customHeight="1">
      <c r="A258" s="8">
        <v>218</v>
      </c>
      <c r="B258" s="9">
        <v>218</v>
      </c>
      <c r="C258" s="46"/>
      <c r="D258" s="9"/>
      <c r="E258" s="19" t="str">
        <f>IFERROR(VLOOKUP(D258,케이블트레이입.출고현황!U261:Z336,2,0),"")</f>
        <v/>
      </c>
      <c r="F258" s="19" t="str">
        <f>IFERROR(VLOOKUP(E258,케이블트레이입.출고현황!V261:AA336,2,0),"")</f>
        <v/>
      </c>
      <c r="G258" s="19" t="str">
        <f>IFERROR(VLOOKUP(F258,케이블트레이입.출고현황!W261:AB336,2,0),"")</f>
        <v/>
      </c>
      <c r="H258" s="19" t="str">
        <f>IFERROR(VLOOKUP(G258,케이블트레이입.출고현황!X261:AC336,2,0),"")</f>
        <v/>
      </c>
      <c r="I258" s="19" t="str">
        <f>IFERROR(VLOOKUP(H258,케이블트레이입.출고현황!Y261:AD336,2,0),"")</f>
        <v/>
      </c>
      <c r="J258" s="9"/>
      <c r="K258" s="9"/>
      <c r="L258" s="37"/>
      <c r="M258" s="64"/>
      <c r="N258" s="42"/>
    </row>
    <row r="259" spans="1:14" ht="24" customHeight="1">
      <c r="A259" s="8">
        <v>219</v>
      </c>
      <c r="B259" s="9">
        <v>219</v>
      </c>
      <c r="C259" s="46"/>
      <c r="D259" s="9"/>
      <c r="E259" s="19" t="str">
        <f>IFERROR(VLOOKUP(D259,케이블트레이입.출고현황!U262:Z337,2,0),"")</f>
        <v/>
      </c>
      <c r="F259" s="19" t="str">
        <f>IFERROR(VLOOKUP(E259,케이블트레이입.출고현황!V262:AA337,2,0),"")</f>
        <v/>
      </c>
      <c r="G259" s="19" t="str">
        <f>IFERROR(VLOOKUP(F259,케이블트레이입.출고현황!W262:AB337,2,0),"")</f>
        <v/>
      </c>
      <c r="H259" s="19" t="str">
        <f>IFERROR(VLOOKUP(G259,케이블트레이입.출고현황!X262:AC337,2,0),"")</f>
        <v/>
      </c>
      <c r="I259" s="19" t="str">
        <f>IFERROR(VLOOKUP(H259,케이블트레이입.출고현황!Y262:AD337,2,0),"")</f>
        <v/>
      </c>
      <c r="J259" s="9"/>
      <c r="K259" s="9"/>
      <c r="L259" s="37"/>
      <c r="M259" s="64"/>
      <c r="N259" s="42"/>
    </row>
    <row r="260" spans="1:14" ht="24" customHeight="1">
      <c r="A260" s="8">
        <v>220</v>
      </c>
      <c r="B260" s="9">
        <v>220</v>
      </c>
      <c r="C260" s="46"/>
      <c r="D260" s="9"/>
      <c r="E260" s="19" t="str">
        <f>IFERROR(VLOOKUP(D260,케이블트레이입.출고현황!U263:Z338,2,0),"")</f>
        <v/>
      </c>
      <c r="F260" s="19" t="str">
        <f>IFERROR(VLOOKUP(E260,케이블트레이입.출고현황!V263:AA338,2,0),"")</f>
        <v/>
      </c>
      <c r="G260" s="19" t="str">
        <f>IFERROR(VLOOKUP(F260,케이블트레이입.출고현황!W263:AB338,2,0),"")</f>
        <v/>
      </c>
      <c r="H260" s="19" t="str">
        <f>IFERROR(VLOOKUP(G260,케이블트레이입.출고현황!X263:AC338,2,0),"")</f>
        <v/>
      </c>
      <c r="I260" s="19" t="str">
        <f>IFERROR(VLOOKUP(H260,케이블트레이입.출고현황!Y263:AD338,2,0),"")</f>
        <v/>
      </c>
      <c r="J260" s="9"/>
      <c r="K260" s="9"/>
      <c r="L260" s="37"/>
      <c r="M260" s="64"/>
      <c r="N260" s="42"/>
    </row>
    <row r="261" spans="1:14" ht="24" customHeight="1">
      <c r="A261" s="8">
        <v>221</v>
      </c>
      <c r="B261" s="9">
        <v>221</v>
      </c>
      <c r="C261" s="46"/>
      <c r="D261" s="9"/>
      <c r="E261" s="19" t="str">
        <f>IFERROR(VLOOKUP(D261,케이블트레이입.출고현황!U264:Z339,2,0),"")</f>
        <v/>
      </c>
      <c r="F261" s="19" t="str">
        <f>IFERROR(VLOOKUP(E261,케이블트레이입.출고현황!V264:AA339,2,0),"")</f>
        <v/>
      </c>
      <c r="G261" s="19" t="str">
        <f>IFERROR(VLOOKUP(F261,케이블트레이입.출고현황!W264:AB339,2,0),"")</f>
        <v/>
      </c>
      <c r="H261" s="19" t="str">
        <f>IFERROR(VLOOKUP(G261,케이블트레이입.출고현황!X264:AC339,2,0),"")</f>
        <v/>
      </c>
      <c r="I261" s="19" t="str">
        <f>IFERROR(VLOOKUP(H261,케이블트레이입.출고현황!Y264:AD339,2,0),"")</f>
        <v/>
      </c>
      <c r="J261" s="9"/>
      <c r="K261" s="9"/>
      <c r="L261" s="37"/>
      <c r="M261" s="64"/>
      <c r="N261" s="42"/>
    </row>
    <row r="262" spans="1:14" ht="24" customHeight="1">
      <c r="A262" s="8">
        <v>222</v>
      </c>
      <c r="B262" s="9">
        <v>222</v>
      </c>
      <c r="C262" s="46"/>
      <c r="D262" s="9"/>
      <c r="E262" s="19" t="str">
        <f>IFERROR(VLOOKUP(D262,케이블트레이입.출고현황!U265:Z340,2,0),"")</f>
        <v/>
      </c>
      <c r="F262" s="19" t="str">
        <f>IFERROR(VLOOKUP(E262,케이블트레이입.출고현황!V265:AA340,2,0),"")</f>
        <v/>
      </c>
      <c r="G262" s="19" t="str">
        <f>IFERROR(VLOOKUP(F262,케이블트레이입.출고현황!W265:AB340,2,0),"")</f>
        <v/>
      </c>
      <c r="H262" s="19" t="str">
        <f>IFERROR(VLOOKUP(G262,케이블트레이입.출고현황!X265:AC340,2,0),"")</f>
        <v/>
      </c>
      <c r="I262" s="19" t="str">
        <f>IFERROR(VLOOKUP(H262,케이블트레이입.출고현황!Y265:AD340,2,0),"")</f>
        <v/>
      </c>
      <c r="J262" s="9"/>
      <c r="K262" s="9"/>
      <c r="L262" s="37"/>
      <c r="M262" s="64"/>
      <c r="N262" s="42"/>
    </row>
    <row r="263" spans="1:14" ht="24" customHeight="1">
      <c r="A263" s="8">
        <v>223</v>
      </c>
      <c r="B263" s="9">
        <v>223</v>
      </c>
      <c r="C263" s="46"/>
      <c r="D263" s="9"/>
      <c r="E263" s="19" t="str">
        <f>IFERROR(VLOOKUP(D263,케이블트레이입.출고현황!U266:Z341,2,0),"")</f>
        <v/>
      </c>
      <c r="F263" s="19" t="str">
        <f>IFERROR(VLOOKUP(E263,케이블트레이입.출고현황!V266:AA341,2,0),"")</f>
        <v/>
      </c>
      <c r="G263" s="19" t="str">
        <f>IFERROR(VLOOKUP(F263,케이블트레이입.출고현황!W266:AB341,2,0),"")</f>
        <v/>
      </c>
      <c r="H263" s="19" t="str">
        <f>IFERROR(VLOOKUP(G263,케이블트레이입.출고현황!X266:AC341,2,0),"")</f>
        <v/>
      </c>
      <c r="I263" s="19" t="str">
        <f>IFERROR(VLOOKUP(H263,케이블트레이입.출고현황!Y266:AD341,2,0),"")</f>
        <v/>
      </c>
      <c r="J263" s="9"/>
      <c r="K263" s="9"/>
      <c r="L263" s="37"/>
      <c r="M263" s="64"/>
      <c r="N263" s="42"/>
    </row>
    <row r="264" spans="1:14" ht="24" customHeight="1">
      <c r="A264" s="8">
        <v>224</v>
      </c>
      <c r="B264" s="9">
        <v>224</v>
      </c>
      <c r="C264" s="46"/>
      <c r="D264" s="9"/>
      <c r="E264" s="19" t="str">
        <f>IFERROR(VLOOKUP(D264,케이블트레이입.출고현황!U267:Z342,2,0),"")</f>
        <v/>
      </c>
      <c r="F264" s="19" t="str">
        <f>IFERROR(VLOOKUP(E264,케이블트레이입.출고현황!V267:AA342,2,0),"")</f>
        <v/>
      </c>
      <c r="G264" s="19" t="str">
        <f>IFERROR(VLOOKUP(F264,케이블트레이입.출고현황!W267:AB342,2,0),"")</f>
        <v/>
      </c>
      <c r="H264" s="19" t="str">
        <f>IFERROR(VLOOKUP(G264,케이블트레이입.출고현황!X267:AC342,2,0),"")</f>
        <v/>
      </c>
      <c r="I264" s="19" t="str">
        <f>IFERROR(VLOOKUP(H264,케이블트레이입.출고현황!Y267:AD342,2,0),"")</f>
        <v/>
      </c>
      <c r="J264" s="9"/>
      <c r="K264" s="9"/>
      <c r="L264" s="37"/>
      <c r="M264" s="64"/>
      <c r="N264" s="42"/>
    </row>
    <row r="265" spans="1:14" ht="24" customHeight="1">
      <c r="A265" s="8">
        <v>225</v>
      </c>
      <c r="B265" s="9">
        <v>225</v>
      </c>
      <c r="C265" s="46"/>
      <c r="D265" s="9"/>
      <c r="E265" s="19" t="str">
        <f>IFERROR(VLOOKUP(D265,케이블트레이입.출고현황!U268:Z343,2,0),"")</f>
        <v/>
      </c>
      <c r="F265" s="19" t="str">
        <f>IFERROR(VLOOKUP(E265,케이블트레이입.출고현황!V268:AA343,2,0),"")</f>
        <v/>
      </c>
      <c r="G265" s="19" t="str">
        <f>IFERROR(VLOOKUP(F265,케이블트레이입.출고현황!W268:AB343,2,0),"")</f>
        <v/>
      </c>
      <c r="H265" s="19" t="str">
        <f>IFERROR(VLOOKUP(G265,케이블트레이입.출고현황!X268:AC343,2,0),"")</f>
        <v/>
      </c>
      <c r="I265" s="19" t="str">
        <f>IFERROR(VLOOKUP(H265,케이블트레이입.출고현황!Y268:AD343,2,0),"")</f>
        <v/>
      </c>
      <c r="J265" s="9"/>
      <c r="K265" s="9"/>
      <c r="L265" s="37"/>
      <c r="M265" s="64"/>
      <c r="N265" s="42"/>
    </row>
    <row r="266" spans="1:14" ht="24" customHeight="1">
      <c r="A266" s="8">
        <v>226</v>
      </c>
      <c r="B266" s="9">
        <v>226</v>
      </c>
      <c r="C266" s="46"/>
      <c r="D266" s="9"/>
      <c r="E266" s="19" t="str">
        <f>IFERROR(VLOOKUP(D266,케이블트레이입.출고현황!U269:Z344,2,0),"")</f>
        <v/>
      </c>
      <c r="F266" s="19" t="str">
        <f>IFERROR(VLOOKUP(E266,케이블트레이입.출고현황!V269:AA344,2,0),"")</f>
        <v/>
      </c>
      <c r="G266" s="19" t="str">
        <f>IFERROR(VLOOKUP(F266,케이블트레이입.출고현황!W269:AB344,2,0),"")</f>
        <v/>
      </c>
      <c r="H266" s="19" t="str">
        <f>IFERROR(VLOOKUP(G266,케이블트레이입.출고현황!X269:AC344,2,0),"")</f>
        <v/>
      </c>
      <c r="I266" s="19" t="str">
        <f>IFERROR(VLOOKUP(H266,케이블트레이입.출고현황!Y269:AD344,2,0),"")</f>
        <v/>
      </c>
      <c r="J266" s="9"/>
      <c r="K266" s="9"/>
      <c r="L266" s="37"/>
      <c r="M266" s="64"/>
      <c r="N266" s="42"/>
    </row>
    <row r="267" spans="1:14" ht="24" customHeight="1">
      <c r="A267" s="8">
        <v>227</v>
      </c>
      <c r="B267" s="9">
        <v>227</v>
      </c>
      <c r="C267" s="46"/>
      <c r="D267" s="9"/>
      <c r="E267" s="19" t="str">
        <f>IFERROR(VLOOKUP(D267,케이블트레이입.출고현황!U270:Z345,2,0),"")</f>
        <v/>
      </c>
      <c r="F267" s="19" t="str">
        <f>IFERROR(VLOOKUP(E267,케이블트레이입.출고현황!V270:AA345,2,0),"")</f>
        <v/>
      </c>
      <c r="G267" s="19" t="str">
        <f>IFERROR(VLOOKUP(F267,케이블트레이입.출고현황!W270:AB345,2,0),"")</f>
        <v/>
      </c>
      <c r="H267" s="19" t="str">
        <f>IFERROR(VLOOKUP(G267,케이블트레이입.출고현황!X270:AC345,2,0),"")</f>
        <v/>
      </c>
      <c r="I267" s="19" t="str">
        <f>IFERROR(VLOOKUP(H267,케이블트레이입.출고현황!Y270:AD345,2,0),"")</f>
        <v/>
      </c>
      <c r="J267" s="9"/>
      <c r="K267" s="9"/>
      <c r="L267" s="37"/>
      <c r="M267" s="64"/>
      <c r="N267" s="42"/>
    </row>
    <row r="268" spans="1:14" ht="24" customHeight="1">
      <c r="A268" s="8">
        <v>228</v>
      </c>
      <c r="B268" s="9">
        <v>228</v>
      </c>
      <c r="C268" s="46"/>
      <c r="D268" s="9"/>
      <c r="E268" s="19" t="str">
        <f>IFERROR(VLOOKUP(D268,케이블트레이입.출고현황!U271:Z346,2,0),"")</f>
        <v/>
      </c>
      <c r="F268" s="19" t="str">
        <f>IFERROR(VLOOKUP(E268,케이블트레이입.출고현황!V271:AA346,2,0),"")</f>
        <v/>
      </c>
      <c r="G268" s="19" t="str">
        <f>IFERROR(VLOOKUP(F268,케이블트레이입.출고현황!W271:AB346,2,0),"")</f>
        <v/>
      </c>
      <c r="H268" s="19" t="str">
        <f>IFERROR(VLOOKUP(G268,케이블트레이입.출고현황!X271:AC346,2,0),"")</f>
        <v/>
      </c>
      <c r="I268" s="19" t="str">
        <f>IFERROR(VLOOKUP(H268,케이블트레이입.출고현황!Y271:AD346,2,0),"")</f>
        <v/>
      </c>
      <c r="J268" s="9"/>
      <c r="K268" s="9"/>
      <c r="L268" s="37"/>
      <c r="M268" s="64"/>
      <c r="N268" s="42"/>
    </row>
    <row r="269" spans="1:14" ht="24" customHeight="1">
      <c r="A269" s="8">
        <v>229</v>
      </c>
      <c r="B269" s="9">
        <v>229</v>
      </c>
      <c r="C269" s="46"/>
      <c r="D269" s="9"/>
      <c r="E269" s="19" t="str">
        <f>IFERROR(VLOOKUP(D269,케이블트레이입.출고현황!U272:Z347,2,0),"")</f>
        <v/>
      </c>
      <c r="F269" s="19" t="str">
        <f>IFERROR(VLOOKUP(E269,케이블트레이입.출고현황!V272:AA347,2,0),"")</f>
        <v/>
      </c>
      <c r="G269" s="19" t="str">
        <f>IFERROR(VLOOKUP(F269,케이블트레이입.출고현황!W272:AB347,2,0),"")</f>
        <v/>
      </c>
      <c r="H269" s="19" t="str">
        <f>IFERROR(VLOOKUP(G269,케이블트레이입.출고현황!X272:AC347,2,0),"")</f>
        <v/>
      </c>
      <c r="I269" s="19" t="str">
        <f>IFERROR(VLOOKUP(H269,케이블트레이입.출고현황!Y272:AD347,2,0),"")</f>
        <v/>
      </c>
      <c r="J269" s="9"/>
      <c r="K269" s="9"/>
      <c r="L269" s="37"/>
      <c r="M269" s="64"/>
      <c r="N269" s="42"/>
    </row>
    <row r="270" spans="1:14" ht="24" customHeight="1">
      <c r="A270" s="8">
        <v>230</v>
      </c>
      <c r="B270" s="9">
        <v>230</v>
      </c>
      <c r="C270" s="46"/>
      <c r="D270" s="9"/>
      <c r="E270" s="19" t="str">
        <f>IFERROR(VLOOKUP(D270,케이블트레이입.출고현황!U273:Z348,2,0),"")</f>
        <v/>
      </c>
      <c r="F270" s="19" t="str">
        <f>IFERROR(VLOOKUP(E270,케이블트레이입.출고현황!V273:AA348,2,0),"")</f>
        <v/>
      </c>
      <c r="G270" s="19" t="str">
        <f>IFERROR(VLOOKUP(F270,케이블트레이입.출고현황!W273:AB348,2,0),"")</f>
        <v/>
      </c>
      <c r="H270" s="19" t="str">
        <f>IFERROR(VLOOKUP(G270,케이블트레이입.출고현황!X273:AC348,2,0),"")</f>
        <v/>
      </c>
      <c r="I270" s="19" t="str">
        <f>IFERROR(VLOOKUP(H270,케이블트레이입.출고현황!Y273:AD348,2,0),"")</f>
        <v/>
      </c>
      <c r="J270" s="9"/>
      <c r="K270" s="9"/>
      <c r="L270" s="37"/>
      <c r="M270" s="64"/>
      <c r="N270" s="42"/>
    </row>
    <row r="271" spans="1:14" ht="24" customHeight="1">
      <c r="A271" s="8">
        <v>231</v>
      </c>
      <c r="B271" s="9">
        <v>231</v>
      </c>
      <c r="C271" s="46"/>
      <c r="D271" s="9"/>
      <c r="E271" s="19" t="str">
        <f>IFERROR(VLOOKUP(D271,케이블트레이입.출고현황!U274:Z349,2,0),"")</f>
        <v/>
      </c>
      <c r="F271" s="19" t="str">
        <f>IFERROR(VLOOKUP(E271,케이블트레이입.출고현황!V274:AA349,2,0),"")</f>
        <v/>
      </c>
      <c r="G271" s="19" t="str">
        <f>IFERROR(VLOOKUP(F271,케이블트레이입.출고현황!W274:AB349,2,0),"")</f>
        <v/>
      </c>
      <c r="H271" s="19" t="str">
        <f>IFERROR(VLOOKUP(G271,케이블트레이입.출고현황!X274:AC349,2,0),"")</f>
        <v/>
      </c>
      <c r="I271" s="19" t="str">
        <f>IFERROR(VLOOKUP(H271,케이블트레이입.출고현황!Y274:AD349,2,0),"")</f>
        <v/>
      </c>
      <c r="J271" s="9"/>
      <c r="K271" s="9"/>
      <c r="L271" s="37"/>
      <c r="M271" s="64"/>
      <c r="N271" s="42"/>
    </row>
    <row r="272" spans="1:14" ht="24" customHeight="1">
      <c r="A272" s="8">
        <v>232</v>
      </c>
      <c r="B272" s="9">
        <v>232</v>
      </c>
      <c r="C272" s="46"/>
      <c r="D272" s="9"/>
      <c r="E272" s="19" t="str">
        <f>IFERROR(VLOOKUP(D272,케이블트레이입.출고현황!U275:Z350,2,0),"")</f>
        <v/>
      </c>
      <c r="F272" s="19" t="str">
        <f>IFERROR(VLOOKUP(E272,케이블트레이입.출고현황!V275:AA350,2,0),"")</f>
        <v/>
      </c>
      <c r="G272" s="19" t="str">
        <f>IFERROR(VLOOKUP(F272,케이블트레이입.출고현황!W275:AB350,2,0),"")</f>
        <v/>
      </c>
      <c r="H272" s="19" t="str">
        <f>IFERROR(VLOOKUP(G272,케이블트레이입.출고현황!X275:AC350,2,0),"")</f>
        <v/>
      </c>
      <c r="I272" s="19" t="str">
        <f>IFERROR(VLOOKUP(H272,케이블트레이입.출고현황!Y275:AD350,2,0),"")</f>
        <v/>
      </c>
      <c r="J272" s="9"/>
      <c r="K272" s="9"/>
      <c r="L272" s="37"/>
      <c r="M272" s="64"/>
      <c r="N272" s="42"/>
    </row>
    <row r="273" spans="1:14" ht="24" customHeight="1">
      <c r="A273" s="8">
        <v>233</v>
      </c>
      <c r="B273" s="9">
        <v>233</v>
      </c>
      <c r="C273" s="46"/>
      <c r="D273" s="9"/>
      <c r="E273" s="19" t="str">
        <f>IFERROR(VLOOKUP(D273,케이블트레이입.출고현황!U276:Z351,2,0),"")</f>
        <v/>
      </c>
      <c r="F273" s="19" t="str">
        <f>IFERROR(VLOOKUP(E273,케이블트레이입.출고현황!V276:AA351,2,0),"")</f>
        <v/>
      </c>
      <c r="G273" s="19" t="str">
        <f>IFERROR(VLOOKUP(F273,케이블트레이입.출고현황!W276:AB351,2,0),"")</f>
        <v/>
      </c>
      <c r="H273" s="19" t="str">
        <f>IFERROR(VLOOKUP(G273,케이블트레이입.출고현황!X276:AC351,2,0),"")</f>
        <v/>
      </c>
      <c r="I273" s="19" t="str">
        <f>IFERROR(VLOOKUP(H273,케이블트레이입.출고현황!Y276:AD351,2,0),"")</f>
        <v/>
      </c>
      <c r="J273" s="9"/>
      <c r="K273" s="9"/>
      <c r="L273" s="37"/>
      <c r="M273" s="64"/>
      <c r="N273" s="42"/>
    </row>
    <row r="274" spans="1:14" ht="24" customHeight="1">
      <c r="A274" s="8">
        <v>234</v>
      </c>
      <c r="B274" s="9">
        <v>234</v>
      </c>
      <c r="C274" s="46"/>
      <c r="D274" s="9"/>
      <c r="E274" s="19" t="str">
        <f>IFERROR(VLOOKUP(D274,케이블트레이입.출고현황!U277:Z352,2,0),"")</f>
        <v/>
      </c>
      <c r="F274" s="19" t="str">
        <f>IFERROR(VLOOKUP(E274,케이블트레이입.출고현황!V277:AA352,2,0),"")</f>
        <v/>
      </c>
      <c r="G274" s="19" t="str">
        <f>IFERROR(VLOOKUP(F274,케이블트레이입.출고현황!W277:AB352,2,0),"")</f>
        <v/>
      </c>
      <c r="H274" s="19" t="str">
        <f>IFERROR(VLOOKUP(G274,케이블트레이입.출고현황!X277:AC352,2,0),"")</f>
        <v/>
      </c>
      <c r="I274" s="19" t="str">
        <f>IFERROR(VLOOKUP(H274,케이블트레이입.출고현황!Y277:AD352,2,0),"")</f>
        <v/>
      </c>
      <c r="J274" s="9"/>
      <c r="K274" s="9"/>
      <c r="L274" s="37"/>
      <c r="M274" s="64"/>
      <c r="N274" s="42"/>
    </row>
    <row r="275" spans="1:14" ht="24" customHeight="1">
      <c r="A275" s="8">
        <v>235</v>
      </c>
      <c r="B275" s="9">
        <v>235</v>
      </c>
      <c r="C275" s="46"/>
      <c r="D275" s="9"/>
      <c r="E275" s="19" t="str">
        <f>IFERROR(VLOOKUP(D275,케이블트레이입.출고현황!U278:Z353,2,0),"")</f>
        <v/>
      </c>
      <c r="F275" s="19" t="str">
        <f>IFERROR(VLOOKUP(E275,케이블트레이입.출고현황!V278:AA353,2,0),"")</f>
        <v/>
      </c>
      <c r="G275" s="19" t="str">
        <f>IFERROR(VLOOKUP(F275,케이블트레이입.출고현황!W278:AB353,2,0),"")</f>
        <v/>
      </c>
      <c r="H275" s="19" t="str">
        <f>IFERROR(VLOOKUP(G275,케이블트레이입.출고현황!X278:AC353,2,0),"")</f>
        <v/>
      </c>
      <c r="I275" s="19" t="str">
        <f>IFERROR(VLOOKUP(H275,케이블트레이입.출고현황!Y278:AD353,2,0),"")</f>
        <v/>
      </c>
      <c r="J275" s="9"/>
      <c r="K275" s="9"/>
      <c r="L275" s="37"/>
      <c r="M275" s="64"/>
      <c r="N275" s="42"/>
    </row>
    <row r="276" spans="1:14" ht="24" customHeight="1">
      <c r="A276" s="8">
        <v>236</v>
      </c>
      <c r="B276" s="9">
        <v>236</v>
      </c>
      <c r="C276" s="46"/>
      <c r="D276" s="9"/>
      <c r="E276" s="19" t="str">
        <f>IFERROR(VLOOKUP(D276,케이블트레이입.출고현황!U279:Z354,2,0),"")</f>
        <v/>
      </c>
      <c r="F276" s="19" t="str">
        <f>IFERROR(VLOOKUP(E276,케이블트레이입.출고현황!V279:AA354,2,0),"")</f>
        <v/>
      </c>
      <c r="G276" s="19" t="str">
        <f>IFERROR(VLOOKUP(F276,케이블트레이입.출고현황!W279:AB354,2,0),"")</f>
        <v/>
      </c>
      <c r="H276" s="19" t="str">
        <f>IFERROR(VLOOKUP(G276,케이블트레이입.출고현황!X279:AC354,2,0),"")</f>
        <v/>
      </c>
      <c r="I276" s="19" t="str">
        <f>IFERROR(VLOOKUP(H276,케이블트레이입.출고현황!Y279:AD354,2,0),"")</f>
        <v/>
      </c>
      <c r="J276" s="9"/>
      <c r="K276" s="9"/>
      <c r="L276" s="37"/>
      <c r="M276" s="64"/>
      <c r="N276" s="42"/>
    </row>
    <row r="277" spans="1:14" ht="24" customHeight="1">
      <c r="A277" s="8">
        <v>237</v>
      </c>
      <c r="B277" s="9">
        <v>237</v>
      </c>
      <c r="C277" s="46"/>
      <c r="D277" s="9"/>
      <c r="E277" s="19" t="str">
        <f>IFERROR(VLOOKUP(D277,케이블트레이입.출고현황!U280:Z355,2,0),"")</f>
        <v/>
      </c>
      <c r="F277" s="19" t="str">
        <f>IFERROR(VLOOKUP(E277,케이블트레이입.출고현황!V280:AA355,2,0),"")</f>
        <v/>
      </c>
      <c r="G277" s="19" t="str">
        <f>IFERROR(VLOOKUP(F277,케이블트레이입.출고현황!W280:AB355,2,0),"")</f>
        <v/>
      </c>
      <c r="H277" s="19" t="str">
        <f>IFERROR(VLOOKUP(G277,케이블트레이입.출고현황!X280:AC355,2,0),"")</f>
        <v/>
      </c>
      <c r="I277" s="19" t="str">
        <f>IFERROR(VLOOKUP(H277,케이블트레이입.출고현황!Y280:AD355,2,0),"")</f>
        <v/>
      </c>
      <c r="J277" s="9"/>
      <c r="K277" s="9"/>
      <c r="L277" s="37"/>
      <c r="M277" s="64"/>
      <c r="N277" s="42"/>
    </row>
    <row r="278" spans="1:14" ht="24" customHeight="1">
      <c r="A278" s="8">
        <v>238</v>
      </c>
      <c r="B278" s="9">
        <v>238</v>
      </c>
      <c r="C278" s="46"/>
      <c r="D278" s="9"/>
      <c r="E278" s="19" t="str">
        <f>IFERROR(VLOOKUP(D278,케이블트레이입.출고현황!U281:Z356,2,0),"")</f>
        <v/>
      </c>
      <c r="F278" s="19" t="str">
        <f>IFERROR(VLOOKUP(E278,케이블트레이입.출고현황!V281:AA356,2,0),"")</f>
        <v/>
      </c>
      <c r="G278" s="19" t="str">
        <f>IFERROR(VLOOKUP(F278,케이블트레이입.출고현황!W281:AB356,2,0),"")</f>
        <v/>
      </c>
      <c r="H278" s="19" t="str">
        <f>IFERROR(VLOOKUP(G278,케이블트레이입.출고현황!X281:AC356,2,0),"")</f>
        <v/>
      </c>
      <c r="I278" s="19" t="str">
        <f>IFERROR(VLOOKUP(H278,케이블트레이입.출고현황!Y281:AD356,2,0),"")</f>
        <v/>
      </c>
      <c r="J278" s="9"/>
      <c r="K278" s="9"/>
      <c r="L278" s="37"/>
      <c r="M278" s="64"/>
      <c r="N278" s="42"/>
    </row>
    <row r="279" spans="1:14" ht="24" customHeight="1">
      <c r="A279" s="8">
        <v>239</v>
      </c>
      <c r="B279" s="9">
        <v>239</v>
      </c>
      <c r="C279" s="46"/>
      <c r="D279" s="9"/>
      <c r="E279" s="19" t="str">
        <f>IFERROR(VLOOKUP(D279,케이블트레이입.출고현황!U282:Z357,2,0),"")</f>
        <v/>
      </c>
      <c r="F279" s="19" t="str">
        <f>IFERROR(VLOOKUP(E279,케이블트레이입.출고현황!V282:AA357,2,0),"")</f>
        <v/>
      </c>
      <c r="G279" s="19" t="str">
        <f>IFERROR(VLOOKUP(F279,케이블트레이입.출고현황!W282:AB357,2,0),"")</f>
        <v/>
      </c>
      <c r="H279" s="19" t="str">
        <f>IFERROR(VLOOKUP(G279,케이블트레이입.출고현황!X282:AC357,2,0),"")</f>
        <v/>
      </c>
      <c r="I279" s="19" t="str">
        <f>IFERROR(VLOOKUP(H279,케이블트레이입.출고현황!Y282:AD357,2,0),"")</f>
        <v/>
      </c>
      <c r="J279" s="9"/>
      <c r="K279" s="9"/>
      <c r="L279" s="37"/>
      <c r="M279" s="64"/>
      <c r="N279" s="42"/>
    </row>
    <row r="280" spans="1:14" ht="24" customHeight="1">
      <c r="A280" s="8">
        <v>240</v>
      </c>
      <c r="B280" s="9">
        <v>240</v>
      </c>
      <c r="C280" s="46"/>
      <c r="D280" s="9"/>
      <c r="E280" s="19" t="str">
        <f>IFERROR(VLOOKUP(D280,케이블트레이입.출고현황!U283:Z358,2,0),"")</f>
        <v/>
      </c>
      <c r="F280" s="19" t="str">
        <f>IFERROR(VLOOKUP(E280,케이블트레이입.출고현황!V283:AA358,2,0),"")</f>
        <v/>
      </c>
      <c r="G280" s="19" t="str">
        <f>IFERROR(VLOOKUP(F280,케이블트레이입.출고현황!W283:AB358,2,0),"")</f>
        <v/>
      </c>
      <c r="H280" s="19" t="str">
        <f>IFERROR(VLOOKUP(G280,케이블트레이입.출고현황!X283:AC358,2,0),"")</f>
        <v/>
      </c>
      <c r="I280" s="19" t="str">
        <f>IFERROR(VLOOKUP(H280,케이블트레이입.출고현황!Y283:AD358,2,0),"")</f>
        <v/>
      </c>
      <c r="J280" s="9"/>
      <c r="K280" s="9"/>
      <c r="L280" s="37"/>
      <c r="M280" s="64"/>
      <c r="N280" s="42"/>
    </row>
    <row r="281" spans="1:14" ht="24" customHeight="1">
      <c r="A281" s="8">
        <v>241</v>
      </c>
      <c r="B281" s="9">
        <v>241</v>
      </c>
      <c r="C281" s="46"/>
      <c r="D281" s="9"/>
      <c r="E281" s="19" t="str">
        <f>IFERROR(VLOOKUP(D281,케이블트레이입.출고현황!U284:Z359,2,0),"")</f>
        <v/>
      </c>
      <c r="F281" s="19" t="str">
        <f>IFERROR(VLOOKUP(E281,케이블트레이입.출고현황!V284:AA359,2,0),"")</f>
        <v/>
      </c>
      <c r="G281" s="19" t="str">
        <f>IFERROR(VLOOKUP(F281,케이블트레이입.출고현황!W284:AB359,2,0),"")</f>
        <v/>
      </c>
      <c r="H281" s="19" t="str">
        <f>IFERROR(VLOOKUP(G281,케이블트레이입.출고현황!X284:AC359,2,0),"")</f>
        <v/>
      </c>
      <c r="I281" s="19" t="str">
        <f>IFERROR(VLOOKUP(H281,케이블트레이입.출고현황!Y284:AD359,2,0),"")</f>
        <v/>
      </c>
      <c r="J281" s="9"/>
      <c r="K281" s="9"/>
      <c r="L281" s="37"/>
      <c r="M281" s="64"/>
      <c r="N281" s="42"/>
    </row>
    <row r="282" spans="1:14" ht="24" customHeight="1">
      <c r="A282" s="8">
        <v>242</v>
      </c>
      <c r="B282" s="9">
        <v>242</v>
      </c>
      <c r="C282" s="46"/>
      <c r="D282" s="9"/>
      <c r="E282" s="19" t="str">
        <f>IFERROR(VLOOKUP(D282,케이블트레이입.출고현황!U285:Z360,2,0),"")</f>
        <v/>
      </c>
      <c r="F282" s="19" t="str">
        <f>IFERROR(VLOOKUP(E282,케이블트레이입.출고현황!V285:AA360,2,0),"")</f>
        <v/>
      </c>
      <c r="G282" s="19" t="str">
        <f>IFERROR(VLOOKUP(F282,케이블트레이입.출고현황!W285:AB360,2,0),"")</f>
        <v/>
      </c>
      <c r="H282" s="19" t="str">
        <f>IFERROR(VLOOKUP(G282,케이블트레이입.출고현황!X285:AC360,2,0),"")</f>
        <v/>
      </c>
      <c r="I282" s="19" t="str">
        <f>IFERROR(VLOOKUP(H282,케이블트레이입.출고현황!Y285:AD360,2,0),"")</f>
        <v/>
      </c>
      <c r="J282" s="9"/>
      <c r="K282" s="9"/>
      <c r="L282" s="37"/>
      <c r="M282" s="64"/>
      <c r="N282" s="42"/>
    </row>
    <row r="283" spans="1:14" ht="24" customHeight="1">
      <c r="A283" s="8">
        <v>243</v>
      </c>
      <c r="B283" s="9">
        <v>243</v>
      </c>
      <c r="C283" s="46"/>
      <c r="D283" s="9"/>
      <c r="E283" s="19" t="str">
        <f>IFERROR(VLOOKUP(D283,케이블트레이입.출고현황!U286:Z361,2,0),"")</f>
        <v/>
      </c>
      <c r="F283" s="19" t="str">
        <f>IFERROR(VLOOKUP(E283,케이블트레이입.출고현황!V286:AA361,2,0),"")</f>
        <v/>
      </c>
      <c r="G283" s="19" t="str">
        <f>IFERROR(VLOOKUP(F283,케이블트레이입.출고현황!W286:AB361,2,0),"")</f>
        <v/>
      </c>
      <c r="H283" s="19" t="str">
        <f>IFERROR(VLOOKUP(G283,케이블트레이입.출고현황!X286:AC361,2,0),"")</f>
        <v/>
      </c>
      <c r="I283" s="19" t="str">
        <f>IFERROR(VLOOKUP(H283,케이블트레이입.출고현황!Y286:AD361,2,0),"")</f>
        <v/>
      </c>
      <c r="J283" s="9">
        <v>1</v>
      </c>
      <c r="K283" s="9"/>
      <c r="L283" s="37"/>
      <c r="M283" s="64"/>
      <c r="N283" s="42"/>
    </row>
    <row r="284" spans="1:14" ht="24" customHeight="1">
      <c r="A284" s="8">
        <v>244</v>
      </c>
      <c r="B284" s="9">
        <v>244</v>
      </c>
      <c r="C284" s="46"/>
      <c r="D284" s="9"/>
      <c r="E284" s="19" t="str">
        <f>IFERROR(VLOOKUP(D284,케이블트레이입.출고현황!U287:Z362,2,0),"")</f>
        <v/>
      </c>
      <c r="F284" s="19" t="str">
        <f>IFERROR(VLOOKUP(E284,케이블트레이입.출고현황!V287:AA362,2,0),"")</f>
        <v/>
      </c>
      <c r="G284" s="19" t="str">
        <f>IFERROR(VLOOKUP(F284,케이블트레이입.출고현황!W287:AB362,2,0),"")</f>
        <v/>
      </c>
      <c r="H284" s="19" t="str">
        <f>IFERROR(VLOOKUP(G284,케이블트레이입.출고현황!X287:AC362,2,0),"")</f>
        <v/>
      </c>
      <c r="I284" s="19" t="str">
        <f>IFERROR(VLOOKUP(H284,케이블트레이입.출고현황!Y287:AD362,2,0),"")</f>
        <v/>
      </c>
      <c r="J284" s="9"/>
      <c r="K284" s="9"/>
      <c r="L284" s="37"/>
      <c r="M284" s="64"/>
      <c r="N284" s="42"/>
    </row>
    <row r="285" spans="1:14" ht="24" customHeight="1">
      <c r="A285" s="8">
        <v>245</v>
      </c>
      <c r="B285" s="9">
        <v>245</v>
      </c>
      <c r="C285" s="46"/>
      <c r="D285" s="9"/>
      <c r="E285" s="19" t="str">
        <f>IFERROR(VLOOKUP(D285,케이블트레이입.출고현황!U288:Z363,2,0),"")</f>
        <v/>
      </c>
      <c r="F285" s="19" t="str">
        <f>IFERROR(VLOOKUP(E285,케이블트레이입.출고현황!V288:AA363,2,0),"")</f>
        <v/>
      </c>
      <c r="G285" s="19" t="str">
        <f>IFERROR(VLOOKUP(F285,케이블트레이입.출고현황!W288:AB363,2,0),"")</f>
        <v/>
      </c>
      <c r="H285" s="19" t="str">
        <f>IFERROR(VLOOKUP(G285,케이블트레이입.출고현황!X288:AC363,2,0),"")</f>
        <v/>
      </c>
      <c r="I285" s="19" t="str">
        <f>IFERROR(VLOOKUP(H285,케이블트레이입.출고현황!Y288:AD363,2,0),"")</f>
        <v/>
      </c>
      <c r="J285" s="9">
        <v>1</v>
      </c>
      <c r="K285" s="9"/>
      <c r="L285" s="37"/>
      <c r="M285" s="64"/>
      <c r="N285" s="42"/>
    </row>
    <row r="286" spans="1:14" ht="24" customHeight="1">
      <c r="A286" s="8">
        <v>246</v>
      </c>
      <c r="B286" s="9">
        <v>246</v>
      </c>
      <c r="C286" s="46"/>
      <c r="D286" s="9"/>
      <c r="E286" s="19" t="str">
        <f>IFERROR(VLOOKUP(D286,케이블트레이입.출고현황!U289:Z364,2,0),"")</f>
        <v/>
      </c>
      <c r="F286" s="19" t="str">
        <f>IFERROR(VLOOKUP(E286,케이블트레이입.출고현황!V289:AA364,2,0),"")</f>
        <v/>
      </c>
      <c r="G286" s="19" t="str">
        <f>IFERROR(VLOOKUP(F286,케이블트레이입.출고현황!W289:AB364,2,0),"")</f>
        <v/>
      </c>
      <c r="H286" s="19" t="str">
        <f>IFERROR(VLOOKUP(G286,케이블트레이입.출고현황!X289:AC364,2,0),"")</f>
        <v/>
      </c>
      <c r="I286" s="19" t="str">
        <f>IFERROR(VLOOKUP(H286,케이블트레이입.출고현황!Y289:AD364,2,0),"")</f>
        <v/>
      </c>
      <c r="J286" s="9">
        <v>2</v>
      </c>
      <c r="K286" s="9"/>
      <c r="L286" s="37"/>
      <c r="M286" s="64"/>
      <c r="N286" s="42"/>
    </row>
    <row r="287" spans="1:14" ht="24" customHeight="1">
      <c r="A287" s="8">
        <v>247</v>
      </c>
      <c r="B287" s="9">
        <v>247</v>
      </c>
      <c r="C287" s="46"/>
      <c r="D287" s="9"/>
      <c r="E287" s="19" t="str">
        <f>IFERROR(VLOOKUP(D287,케이블트레이입.출고현황!U290:Z365,2,0),"")</f>
        <v/>
      </c>
      <c r="F287" s="19" t="str">
        <f>IFERROR(VLOOKUP(E287,케이블트레이입.출고현황!V290:AA365,2,0),"")</f>
        <v/>
      </c>
      <c r="G287" s="19" t="str">
        <f>IFERROR(VLOOKUP(F287,케이블트레이입.출고현황!W290:AB365,2,0),"")</f>
        <v/>
      </c>
      <c r="H287" s="19" t="str">
        <f>IFERROR(VLOOKUP(G287,케이블트레이입.출고현황!X290:AC365,2,0),"")</f>
        <v/>
      </c>
      <c r="I287" s="19" t="str">
        <f>IFERROR(VLOOKUP(H287,케이블트레이입.출고현황!Y290:AD365,2,0),"")</f>
        <v/>
      </c>
      <c r="J287" s="9">
        <v>2</v>
      </c>
      <c r="K287" s="9"/>
      <c r="L287" s="37"/>
      <c r="M287" s="64"/>
      <c r="N287" s="42"/>
    </row>
    <row r="288" spans="1:14" ht="24" customHeight="1">
      <c r="A288" s="8">
        <v>248</v>
      </c>
      <c r="B288" s="9">
        <v>248</v>
      </c>
      <c r="C288" s="46"/>
      <c r="D288" s="9"/>
      <c r="E288" s="19" t="str">
        <f>IFERROR(VLOOKUP(D288,케이블트레이입.출고현황!U291:Z366,2,0),"")</f>
        <v/>
      </c>
      <c r="F288" s="19" t="str">
        <f>IFERROR(VLOOKUP(E288,케이블트레이입.출고현황!V291:AA366,2,0),"")</f>
        <v/>
      </c>
      <c r="G288" s="19" t="str">
        <f>IFERROR(VLOOKUP(F288,케이블트레이입.출고현황!W291:AB366,2,0),"")</f>
        <v/>
      </c>
      <c r="H288" s="19" t="str">
        <f>IFERROR(VLOOKUP(G288,케이블트레이입.출고현황!X291:AC366,2,0),"")</f>
        <v/>
      </c>
      <c r="I288" s="19" t="str">
        <f>IFERROR(VLOOKUP(H288,케이블트레이입.출고현황!Y291:AD366,2,0),"")</f>
        <v/>
      </c>
      <c r="J288" s="9">
        <v>4</v>
      </c>
      <c r="K288" s="9"/>
      <c r="L288" s="37"/>
      <c r="M288" s="64"/>
      <c r="N288" s="42"/>
    </row>
    <row r="289" spans="1:14" ht="24" customHeight="1">
      <c r="A289" s="8">
        <v>249</v>
      </c>
      <c r="B289" s="9">
        <v>249</v>
      </c>
      <c r="C289" s="46"/>
      <c r="D289" s="9"/>
      <c r="E289" s="19" t="str">
        <f>IFERROR(VLOOKUP(D289,케이블트레이입.출고현황!U292:Z367,2,0),"")</f>
        <v/>
      </c>
      <c r="F289" s="19" t="str">
        <f>IFERROR(VLOOKUP(E289,케이블트레이입.출고현황!V292:AA367,2,0),"")</f>
        <v/>
      </c>
      <c r="G289" s="19" t="str">
        <f>IFERROR(VLOOKUP(F289,케이블트레이입.출고현황!W292:AB367,2,0),"")</f>
        <v/>
      </c>
      <c r="H289" s="19" t="str">
        <f>IFERROR(VLOOKUP(G289,케이블트레이입.출고현황!X292:AC367,2,0),"")</f>
        <v/>
      </c>
      <c r="I289" s="19" t="str">
        <f>IFERROR(VLOOKUP(H289,케이블트레이입.출고현황!Y292:AD367,2,0),"")</f>
        <v/>
      </c>
      <c r="J289" s="9">
        <v>1</v>
      </c>
      <c r="K289" s="9"/>
      <c r="L289" s="37"/>
      <c r="M289" s="64"/>
      <c r="N289" s="42"/>
    </row>
    <row r="290" spans="1:14" ht="24" customHeight="1">
      <c r="A290" s="8">
        <v>250</v>
      </c>
      <c r="B290" s="9">
        <v>250</v>
      </c>
      <c r="C290" s="46"/>
      <c r="D290" s="9"/>
      <c r="E290" s="19" t="str">
        <f>IFERROR(VLOOKUP(D290,케이블트레이입.출고현황!U293:Z368,2,0),"")</f>
        <v/>
      </c>
      <c r="F290" s="19" t="str">
        <f>IFERROR(VLOOKUP(E290,케이블트레이입.출고현황!V293:AA368,2,0),"")</f>
        <v/>
      </c>
      <c r="G290" s="19" t="str">
        <f>IFERROR(VLOOKUP(F290,케이블트레이입.출고현황!W293:AB368,2,0),"")</f>
        <v/>
      </c>
      <c r="H290" s="19" t="str">
        <f>IFERROR(VLOOKUP(G290,케이블트레이입.출고현황!X293:AC368,2,0),"")</f>
        <v/>
      </c>
      <c r="I290" s="19" t="str">
        <f>IFERROR(VLOOKUP(H290,케이블트레이입.출고현황!Y293:AD368,2,0),"")</f>
        <v/>
      </c>
      <c r="J290" s="9">
        <v>2</v>
      </c>
      <c r="K290" s="9"/>
      <c r="L290" s="37"/>
      <c r="M290" s="64"/>
      <c r="N290" s="42"/>
    </row>
    <row r="291" spans="1:14" ht="24" customHeight="1">
      <c r="A291" s="8">
        <v>251</v>
      </c>
      <c r="B291" s="9">
        <v>251</v>
      </c>
      <c r="C291" s="46"/>
      <c r="D291" s="9"/>
      <c r="E291" s="19" t="str">
        <f>IFERROR(VLOOKUP(D291,케이블트레이입.출고현황!U294:Z369,2,0),"")</f>
        <v/>
      </c>
      <c r="F291" s="19" t="str">
        <f>IFERROR(VLOOKUP(E291,케이블트레이입.출고현황!V294:AA369,2,0),"")</f>
        <v/>
      </c>
      <c r="G291" s="19" t="str">
        <f>IFERROR(VLOOKUP(F291,케이블트레이입.출고현황!W294:AB369,2,0),"")</f>
        <v/>
      </c>
      <c r="H291" s="19" t="str">
        <f>IFERROR(VLOOKUP(G291,케이블트레이입.출고현황!X294:AC369,2,0),"")</f>
        <v/>
      </c>
      <c r="I291" s="19" t="str">
        <f>IFERROR(VLOOKUP(H291,케이블트레이입.출고현황!Y294:AD369,2,0),"")</f>
        <v/>
      </c>
      <c r="J291" s="9">
        <v>1</v>
      </c>
      <c r="K291" s="9"/>
      <c r="L291" s="37"/>
      <c r="M291" s="64"/>
      <c r="N291" s="42"/>
    </row>
    <row r="292" spans="1:14" ht="24" customHeight="1">
      <c r="A292" s="8">
        <v>252</v>
      </c>
      <c r="B292" s="9">
        <v>252</v>
      </c>
      <c r="C292" s="46"/>
      <c r="D292" s="9"/>
      <c r="E292" s="19" t="str">
        <f>IFERROR(VLOOKUP(D292,케이블트레이입.출고현황!U295:Z370,2,0),"")</f>
        <v/>
      </c>
      <c r="F292" s="19" t="str">
        <f>IFERROR(VLOOKUP(E292,케이블트레이입.출고현황!V295:AA370,2,0),"")</f>
        <v/>
      </c>
      <c r="G292" s="19" t="str">
        <f>IFERROR(VLOOKUP(F292,케이블트레이입.출고현황!W295:AB370,2,0),"")</f>
        <v/>
      </c>
      <c r="H292" s="19" t="str">
        <f>IFERROR(VLOOKUP(G292,케이블트레이입.출고현황!X295:AC370,2,0),"")</f>
        <v/>
      </c>
      <c r="I292" s="19" t="str">
        <f>IFERROR(VLOOKUP(H292,케이블트레이입.출고현황!Y295:AD370,2,0),"")</f>
        <v/>
      </c>
      <c r="J292" s="9">
        <v>1</v>
      </c>
      <c r="K292" s="9"/>
      <c r="L292" s="37"/>
      <c r="M292" s="64"/>
      <c r="N292" s="42"/>
    </row>
    <row r="293" spans="1:14" ht="24" customHeight="1">
      <c r="A293" s="8">
        <v>253</v>
      </c>
      <c r="B293" s="9">
        <v>253</v>
      </c>
      <c r="C293" s="46"/>
      <c r="D293" s="9"/>
      <c r="E293" s="19" t="str">
        <f>IFERROR(VLOOKUP(D293,케이블트레이입.출고현황!U296:Z371,2,0),"")</f>
        <v/>
      </c>
      <c r="F293" s="19" t="str">
        <f>IFERROR(VLOOKUP(E293,케이블트레이입.출고현황!V296:AA371,2,0),"")</f>
        <v/>
      </c>
      <c r="G293" s="19" t="str">
        <f>IFERROR(VLOOKUP(F293,케이블트레이입.출고현황!W296:AB371,2,0),"")</f>
        <v/>
      </c>
      <c r="H293" s="19" t="str">
        <f>IFERROR(VLOOKUP(G293,케이블트레이입.출고현황!X296:AC371,2,0),"")</f>
        <v/>
      </c>
      <c r="I293" s="19" t="str">
        <f>IFERROR(VLOOKUP(H293,케이블트레이입.출고현황!Y296:AD371,2,0),"")</f>
        <v/>
      </c>
      <c r="J293" s="9">
        <v>2</v>
      </c>
      <c r="K293" s="9"/>
      <c r="L293" s="37"/>
      <c r="M293" s="64"/>
      <c r="N293" s="42"/>
    </row>
    <row r="294" spans="1:14" ht="24" customHeight="1">
      <c r="A294" s="8">
        <v>254</v>
      </c>
      <c r="B294" s="9">
        <v>254</v>
      </c>
      <c r="C294" s="46"/>
      <c r="D294" s="9"/>
      <c r="E294" s="19" t="str">
        <f>IFERROR(VLOOKUP(D294,케이블트레이입.출고현황!U297:Z372,2,0),"")</f>
        <v/>
      </c>
      <c r="F294" s="19" t="str">
        <f>IFERROR(VLOOKUP(E294,케이블트레이입.출고현황!V297:AA372,2,0),"")</f>
        <v/>
      </c>
      <c r="G294" s="19" t="str">
        <f>IFERROR(VLOOKUP(F294,케이블트레이입.출고현황!W297:AB372,2,0),"")</f>
        <v/>
      </c>
      <c r="H294" s="19" t="str">
        <f>IFERROR(VLOOKUP(G294,케이블트레이입.출고현황!X297:AC372,2,0),"")</f>
        <v/>
      </c>
      <c r="I294" s="19" t="str">
        <f>IFERROR(VLOOKUP(H294,케이블트레이입.출고현황!Y297:AD372,2,0),"")</f>
        <v/>
      </c>
      <c r="J294" s="9">
        <v>1</v>
      </c>
      <c r="K294" s="9"/>
      <c r="L294" s="37"/>
      <c r="M294" s="64"/>
      <c r="N294" s="42"/>
    </row>
    <row r="295" spans="1:14" ht="24" customHeight="1">
      <c r="A295" s="8">
        <v>255</v>
      </c>
      <c r="B295" s="9">
        <v>255</v>
      </c>
      <c r="C295" s="46"/>
      <c r="D295" s="9"/>
      <c r="E295" s="19" t="str">
        <f>IFERROR(VLOOKUP(D295,케이블트레이입.출고현황!U298:Z373,2,0),"")</f>
        <v/>
      </c>
      <c r="F295" s="19" t="str">
        <f>IFERROR(VLOOKUP(E295,케이블트레이입.출고현황!V298:AA373,2,0),"")</f>
        <v/>
      </c>
      <c r="G295" s="19" t="str">
        <f>IFERROR(VLOOKUP(F295,케이블트레이입.출고현황!W298:AB373,2,0),"")</f>
        <v/>
      </c>
      <c r="H295" s="19" t="str">
        <f>IFERROR(VLOOKUP(G295,케이블트레이입.출고현황!X298:AC373,2,0),"")</f>
        <v/>
      </c>
      <c r="I295" s="19" t="str">
        <f>IFERROR(VLOOKUP(H295,케이블트레이입.출고현황!Y298:AD373,2,0),"")</f>
        <v/>
      </c>
      <c r="J295" s="9">
        <v>1</v>
      </c>
      <c r="K295" s="9"/>
      <c r="L295" s="37"/>
      <c r="M295" s="64"/>
      <c r="N295" s="42"/>
    </row>
    <row r="296" spans="1:14" ht="24" customHeight="1">
      <c r="A296" s="8">
        <v>256</v>
      </c>
      <c r="B296" s="9">
        <v>256</v>
      </c>
      <c r="C296" s="46"/>
      <c r="D296" s="9"/>
      <c r="E296" s="19" t="str">
        <f>IFERROR(VLOOKUP(D296,케이블트레이입.출고현황!U299:Z374,2,0),"")</f>
        <v/>
      </c>
      <c r="F296" s="19" t="str">
        <f>IFERROR(VLOOKUP(E296,케이블트레이입.출고현황!V299:AA374,2,0),"")</f>
        <v/>
      </c>
      <c r="G296" s="19" t="str">
        <f>IFERROR(VLOOKUP(F296,케이블트레이입.출고현황!W299:AB374,2,0),"")</f>
        <v/>
      </c>
      <c r="H296" s="19" t="str">
        <f>IFERROR(VLOOKUP(G296,케이블트레이입.출고현황!X299:AC374,2,0),"")</f>
        <v/>
      </c>
      <c r="I296" s="19" t="str">
        <f>IFERROR(VLOOKUP(H296,케이블트레이입.출고현황!Y299:AD374,2,0),"")</f>
        <v/>
      </c>
      <c r="J296" s="9">
        <v>1</v>
      </c>
      <c r="K296" s="9"/>
      <c r="L296" s="37"/>
      <c r="M296" s="64"/>
      <c r="N296" s="42"/>
    </row>
    <row r="297" spans="1:14" ht="24" customHeight="1">
      <c r="A297" s="8">
        <v>257</v>
      </c>
      <c r="B297" s="9">
        <v>257</v>
      </c>
      <c r="C297" s="46"/>
      <c r="D297" s="9"/>
      <c r="E297" s="19" t="str">
        <f>IFERROR(VLOOKUP(D297,케이블트레이입.출고현황!U300:Z375,2,0),"")</f>
        <v/>
      </c>
      <c r="F297" s="19" t="str">
        <f>IFERROR(VLOOKUP(E297,케이블트레이입.출고현황!V300:AA375,2,0),"")</f>
        <v/>
      </c>
      <c r="G297" s="19" t="str">
        <f>IFERROR(VLOOKUP(F297,케이블트레이입.출고현황!W300:AB375,2,0),"")</f>
        <v/>
      </c>
      <c r="H297" s="19" t="str">
        <f>IFERROR(VLOOKUP(G297,케이블트레이입.출고현황!X300:AC375,2,0),"")</f>
        <v/>
      </c>
      <c r="I297" s="19" t="str">
        <f>IFERROR(VLOOKUP(H297,케이블트레이입.출고현황!Y300:AD375,2,0),"")</f>
        <v/>
      </c>
      <c r="J297" s="9">
        <v>1</v>
      </c>
      <c r="K297" s="9"/>
      <c r="L297" s="37"/>
      <c r="M297" s="64"/>
      <c r="N297" s="42"/>
    </row>
    <row r="298" spans="1:14" ht="24" customHeight="1">
      <c r="A298" s="8">
        <v>258</v>
      </c>
      <c r="B298" s="9">
        <v>258</v>
      </c>
      <c r="C298" s="46"/>
      <c r="D298" s="9"/>
      <c r="E298" s="19" t="str">
        <f>IFERROR(VLOOKUP(D298,케이블트레이입.출고현황!U301:Z376,2,0),"")</f>
        <v/>
      </c>
      <c r="F298" s="19" t="str">
        <f>IFERROR(VLOOKUP(E298,케이블트레이입.출고현황!V301:AA376,2,0),"")</f>
        <v/>
      </c>
      <c r="G298" s="19" t="str">
        <f>IFERROR(VLOOKUP(F298,케이블트레이입.출고현황!W301:AB376,2,0),"")</f>
        <v/>
      </c>
      <c r="H298" s="19" t="str">
        <f>IFERROR(VLOOKUP(G298,케이블트레이입.출고현황!X301:AC376,2,0),"")</f>
        <v/>
      </c>
      <c r="I298" s="19" t="str">
        <f>IFERROR(VLOOKUP(H298,케이블트레이입.출고현황!Y301:AD376,2,0),"")</f>
        <v/>
      </c>
      <c r="J298" s="9">
        <v>2</v>
      </c>
      <c r="K298" s="9"/>
      <c r="L298" s="37"/>
      <c r="M298" s="64"/>
      <c r="N298" s="42"/>
    </row>
    <row r="299" spans="1:14" ht="24" customHeight="1">
      <c r="A299" s="8">
        <v>259</v>
      </c>
      <c r="B299" s="9">
        <v>259</v>
      </c>
      <c r="C299" s="46"/>
      <c r="D299" s="9"/>
      <c r="E299" s="19" t="str">
        <f>IFERROR(VLOOKUP(D299,케이블트레이입.출고현황!U302:Z377,2,0),"")</f>
        <v/>
      </c>
      <c r="F299" s="19" t="str">
        <f>IFERROR(VLOOKUP(E299,케이블트레이입.출고현황!V302:AA377,2,0),"")</f>
        <v/>
      </c>
      <c r="G299" s="19" t="str">
        <f>IFERROR(VLOOKUP(F299,케이블트레이입.출고현황!W302:AB377,2,0),"")</f>
        <v/>
      </c>
      <c r="H299" s="19" t="str">
        <f>IFERROR(VLOOKUP(G299,케이블트레이입.출고현황!X302:AC377,2,0),"")</f>
        <v/>
      </c>
      <c r="I299" s="19" t="str">
        <f>IFERROR(VLOOKUP(H299,케이블트레이입.출고현황!Y302:AD377,2,0),"")</f>
        <v/>
      </c>
      <c r="J299" s="9">
        <v>2</v>
      </c>
      <c r="K299" s="9"/>
      <c r="L299" s="37"/>
      <c r="M299" s="64"/>
      <c r="N299" s="42"/>
    </row>
    <row r="300" spans="1:14" ht="24" customHeight="1">
      <c r="A300" s="8">
        <v>260</v>
      </c>
      <c r="B300" s="9">
        <v>260</v>
      </c>
      <c r="C300" s="46"/>
      <c r="D300" s="9"/>
      <c r="E300" s="19" t="str">
        <f>IFERROR(VLOOKUP(D300,케이블트레이입.출고현황!U303:Z378,2,0),"")</f>
        <v/>
      </c>
      <c r="F300" s="19" t="str">
        <f>IFERROR(VLOOKUP(E300,케이블트레이입.출고현황!V303:AA378,2,0),"")</f>
        <v/>
      </c>
      <c r="G300" s="19" t="str">
        <f>IFERROR(VLOOKUP(F300,케이블트레이입.출고현황!W303:AB378,2,0),"")</f>
        <v/>
      </c>
      <c r="H300" s="19" t="str">
        <f>IFERROR(VLOOKUP(G300,케이블트레이입.출고현황!X303:AC378,2,0),"")</f>
        <v/>
      </c>
      <c r="I300" s="19" t="str">
        <f>IFERROR(VLOOKUP(H300,케이블트레이입.출고현황!Y303:AD378,2,0),"")</f>
        <v/>
      </c>
      <c r="J300" s="9">
        <v>2</v>
      </c>
      <c r="K300" s="9"/>
      <c r="L300" s="37"/>
      <c r="M300" s="64"/>
      <c r="N300" s="42"/>
    </row>
    <row r="301" spans="1:14" ht="24" customHeight="1">
      <c r="A301" s="8">
        <v>261</v>
      </c>
      <c r="B301" s="9">
        <v>261</v>
      </c>
      <c r="C301" s="46"/>
      <c r="D301" s="9"/>
      <c r="E301" s="19" t="str">
        <f>IFERROR(VLOOKUP(D301,케이블트레이입.출고현황!U304:Z379,2,0),"")</f>
        <v/>
      </c>
      <c r="F301" s="19" t="str">
        <f>IFERROR(VLOOKUP(E301,케이블트레이입.출고현황!V304:AA379,2,0),"")</f>
        <v/>
      </c>
      <c r="G301" s="19" t="str">
        <f>IFERROR(VLOOKUP(F301,케이블트레이입.출고현황!W304:AB379,2,0),"")</f>
        <v/>
      </c>
      <c r="H301" s="19" t="str">
        <f>IFERROR(VLOOKUP(G301,케이블트레이입.출고현황!X304:AC379,2,0),"")</f>
        <v/>
      </c>
      <c r="I301" s="19" t="str">
        <f>IFERROR(VLOOKUP(H301,케이블트레이입.출고현황!Y304:AD379,2,0),"")</f>
        <v/>
      </c>
      <c r="J301" s="9">
        <v>2</v>
      </c>
      <c r="K301" s="9"/>
      <c r="L301" s="37"/>
      <c r="M301" s="64"/>
      <c r="N301" s="42"/>
    </row>
    <row r="302" spans="1:14" ht="24" customHeight="1">
      <c r="A302" s="8">
        <v>262</v>
      </c>
      <c r="B302" s="9">
        <v>262</v>
      </c>
      <c r="C302" s="46"/>
      <c r="D302" s="9"/>
      <c r="E302" s="19" t="str">
        <f>IFERROR(VLOOKUP(D302,케이블트레이입.출고현황!U305:Z380,2,0),"")</f>
        <v/>
      </c>
      <c r="F302" s="19" t="str">
        <f>IFERROR(VLOOKUP(E302,케이블트레이입.출고현황!V305:AA380,2,0),"")</f>
        <v/>
      </c>
      <c r="G302" s="19" t="str">
        <f>IFERROR(VLOOKUP(F302,케이블트레이입.출고현황!W305:AB380,2,0),"")</f>
        <v/>
      </c>
      <c r="H302" s="19" t="str">
        <f>IFERROR(VLOOKUP(G302,케이블트레이입.출고현황!X305:AC380,2,0),"")</f>
        <v/>
      </c>
      <c r="I302" s="19" t="str">
        <f>IFERROR(VLOOKUP(H302,케이블트레이입.출고현황!Y305:AD380,2,0),"")</f>
        <v/>
      </c>
      <c r="J302" s="9">
        <v>4</v>
      </c>
      <c r="K302" s="9"/>
      <c r="L302" s="37"/>
      <c r="M302" s="64"/>
      <c r="N302" s="42"/>
    </row>
    <row r="303" spans="1:14" ht="24" customHeight="1">
      <c r="A303" s="8">
        <v>263</v>
      </c>
      <c r="B303" s="9">
        <v>263</v>
      </c>
      <c r="C303" s="46"/>
      <c r="D303" s="9"/>
      <c r="E303" s="19" t="str">
        <f>IFERROR(VLOOKUP(D303,케이블트레이입.출고현황!U306:Z381,2,0),"")</f>
        <v/>
      </c>
      <c r="F303" s="19" t="str">
        <f>IFERROR(VLOOKUP(E303,케이블트레이입.출고현황!V306:AA381,2,0),"")</f>
        <v/>
      </c>
      <c r="G303" s="19" t="str">
        <f>IFERROR(VLOOKUP(F303,케이블트레이입.출고현황!W306:AB381,2,0),"")</f>
        <v/>
      </c>
      <c r="H303" s="19" t="str">
        <f>IFERROR(VLOOKUP(G303,케이블트레이입.출고현황!X306:AC381,2,0),"")</f>
        <v/>
      </c>
      <c r="I303" s="19" t="str">
        <f>IFERROR(VLOOKUP(H303,케이블트레이입.출고현황!Y306:AD381,2,0),"")</f>
        <v/>
      </c>
      <c r="J303" s="9">
        <v>1</v>
      </c>
      <c r="K303" s="9"/>
      <c r="L303" s="37"/>
      <c r="M303" s="64"/>
      <c r="N303" s="42"/>
    </row>
    <row r="304" spans="1:14" ht="24" customHeight="1">
      <c r="A304" s="8">
        <v>264</v>
      </c>
      <c r="B304" s="9">
        <v>264</v>
      </c>
      <c r="C304" s="46"/>
      <c r="D304" s="9"/>
      <c r="E304" s="19" t="str">
        <f>IFERROR(VLOOKUP(D304,케이블트레이입.출고현황!U307:Z382,2,0),"")</f>
        <v/>
      </c>
      <c r="F304" s="19" t="str">
        <f>IFERROR(VLOOKUP(E304,케이블트레이입.출고현황!V307:AA382,2,0),"")</f>
        <v/>
      </c>
      <c r="G304" s="19" t="str">
        <f>IFERROR(VLOOKUP(F304,케이블트레이입.출고현황!W307:AB382,2,0),"")</f>
        <v/>
      </c>
      <c r="H304" s="19" t="str">
        <f>IFERROR(VLOOKUP(G304,케이블트레이입.출고현황!X307:AC382,2,0),"")</f>
        <v/>
      </c>
      <c r="I304" s="19" t="str">
        <f>IFERROR(VLOOKUP(H304,케이블트레이입.출고현황!Y307:AD382,2,0),"")</f>
        <v/>
      </c>
      <c r="J304" s="9">
        <v>3</v>
      </c>
      <c r="K304" s="9"/>
      <c r="L304" s="37"/>
      <c r="M304" s="64"/>
      <c r="N304" s="42"/>
    </row>
    <row r="305" spans="1:14" ht="24" customHeight="1">
      <c r="A305" s="8">
        <v>265</v>
      </c>
      <c r="B305" s="9">
        <v>265</v>
      </c>
      <c r="C305" s="46"/>
      <c r="D305" s="9"/>
      <c r="E305" s="19" t="str">
        <f>IFERROR(VLOOKUP(D305,케이블트레이입.출고현황!U308:Z383,2,0),"")</f>
        <v/>
      </c>
      <c r="F305" s="19" t="str">
        <f>IFERROR(VLOOKUP(E305,케이블트레이입.출고현황!V308:AA383,2,0),"")</f>
        <v/>
      </c>
      <c r="G305" s="19" t="str">
        <f>IFERROR(VLOOKUP(F305,케이블트레이입.출고현황!W308:AB383,2,0),"")</f>
        <v/>
      </c>
      <c r="H305" s="19" t="str">
        <f>IFERROR(VLOOKUP(G305,케이블트레이입.출고현황!X308:AC383,2,0),"")</f>
        <v/>
      </c>
      <c r="I305" s="19" t="str">
        <f>IFERROR(VLOOKUP(H305,케이블트레이입.출고현황!Y308:AD383,2,0),"")</f>
        <v/>
      </c>
      <c r="J305" s="9">
        <v>1</v>
      </c>
      <c r="K305" s="9"/>
      <c r="L305" s="37"/>
      <c r="M305" s="64"/>
      <c r="N305" s="42"/>
    </row>
    <row r="306" spans="1:14" ht="24" customHeight="1">
      <c r="A306" s="8">
        <v>266</v>
      </c>
      <c r="B306" s="9">
        <v>266</v>
      </c>
      <c r="C306" s="46"/>
      <c r="D306" s="9"/>
      <c r="E306" s="19" t="str">
        <f>IFERROR(VLOOKUP(D306,케이블트레이입.출고현황!U309:Z384,2,0),"")</f>
        <v/>
      </c>
      <c r="F306" s="19" t="str">
        <f>IFERROR(VLOOKUP(E306,케이블트레이입.출고현황!V309:AA384,2,0),"")</f>
        <v/>
      </c>
      <c r="G306" s="19" t="str">
        <f>IFERROR(VLOOKUP(F306,케이블트레이입.출고현황!W309:AB384,2,0),"")</f>
        <v/>
      </c>
      <c r="H306" s="19" t="str">
        <f>IFERROR(VLOOKUP(G306,케이블트레이입.출고현황!X309:AC384,2,0),"")</f>
        <v/>
      </c>
      <c r="I306" s="19" t="str">
        <f>IFERROR(VLOOKUP(H306,케이블트레이입.출고현황!Y309:AD384,2,0),"")</f>
        <v/>
      </c>
      <c r="J306" s="9">
        <v>1</v>
      </c>
      <c r="K306" s="9"/>
      <c r="L306" s="37"/>
      <c r="M306" s="64"/>
      <c r="N306" s="42"/>
    </row>
    <row r="307" spans="1:14" ht="24" customHeight="1">
      <c r="A307" s="8">
        <v>267</v>
      </c>
      <c r="B307" s="9">
        <v>267</v>
      </c>
      <c r="C307" s="46"/>
      <c r="D307" s="9"/>
      <c r="E307" s="19" t="str">
        <f>IFERROR(VLOOKUP(D307,케이블트레이입.출고현황!U310:Z385,2,0),"")</f>
        <v/>
      </c>
      <c r="F307" s="19" t="str">
        <f>IFERROR(VLOOKUP(E307,케이블트레이입.출고현황!V310:AA385,2,0),"")</f>
        <v/>
      </c>
      <c r="G307" s="19" t="str">
        <f>IFERROR(VLOOKUP(F307,케이블트레이입.출고현황!W310:AB385,2,0),"")</f>
        <v/>
      </c>
      <c r="H307" s="19" t="str">
        <f>IFERROR(VLOOKUP(G307,케이블트레이입.출고현황!X310:AC385,2,0),"")</f>
        <v/>
      </c>
      <c r="I307" s="19" t="str">
        <f>IFERROR(VLOOKUP(H307,케이블트레이입.출고현황!Y310:AD385,2,0),"")</f>
        <v/>
      </c>
      <c r="J307" s="9">
        <v>1</v>
      </c>
      <c r="K307" s="9"/>
      <c r="L307" s="37"/>
      <c r="M307" s="64"/>
      <c r="N307" s="42"/>
    </row>
    <row r="308" spans="1:14" ht="24" customHeight="1">
      <c r="A308" s="8">
        <v>268</v>
      </c>
      <c r="B308" s="9">
        <v>268</v>
      </c>
      <c r="C308" s="46"/>
      <c r="D308" s="9"/>
      <c r="E308" s="19" t="str">
        <f>IFERROR(VLOOKUP(D308,케이블트레이입.출고현황!U311:Z386,2,0),"")</f>
        <v/>
      </c>
      <c r="F308" s="19" t="str">
        <f>IFERROR(VLOOKUP(E308,케이블트레이입.출고현황!V311:AA386,2,0),"")</f>
        <v/>
      </c>
      <c r="G308" s="19" t="str">
        <f>IFERROR(VLOOKUP(F308,케이블트레이입.출고현황!W311:AB386,2,0),"")</f>
        <v/>
      </c>
      <c r="H308" s="19" t="str">
        <f>IFERROR(VLOOKUP(G308,케이블트레이입.출고현황!X311:AC386,2,0),"")</f>
        <v/>
      </c>
      <c r="I308" s="19" t="str">
        <f>IFERROR(VLOOKUP(H308,케이블트레이입.출고현황!Y311:AD386,2,0),"")</f>
        <v/>
      </c>
      <c r="J308" s="9">
        <v>2</v>
      </c>
      <c r="K308" s="9"/>
      <c r="L308" s="37"/>
      <c r="M308" s="64"/>
      <c r="N308" s="42"/>
    </row>
    <row r="309" spans="1:14" ht="24" customHeight="1">
      <c r="A309" s="8">
        <v>269</v>
      </c>
      <c r="B309" s="9">
        <v>269</v>
      </c>
      <c r="C309" s="46"/>
      <c r="D309" s="9"/>
      <c r="E309" s="19" t="str">
        <f>IFERROR(VLOOKUP(D309,케이블트레이입.출고현황!U312:Z387,2,0),"")</f>
        <v/>
      </c>
      <c r="F309" s="19" t="str">
        <f>IFERROR(VLOOKUP(E309,케이블트레이입.출고현황!V312:AA387,2,0),"")</f>
        <v/>
      </c>
      <c r="G309" s="19" t="str">
        <f>IFERROR(VLOOKUP(F309,케이블트레이입.출고현황!W312:AB387,2,0),"")</f>
        <v/>
      </c>
      <c r="H309" s="19" t="str">
        <f>IFERROR(VLOOKUP(G309,케이블트레이입.출고현황!X312:AC387,2,0),"")</f>
        <v/>
      </c>
      <c r="I309" s="19" t="str">
        <f>IFERROR(VLOOKUP(H309,케이블트레이입.출고현황!Y312:AD387,2,0),"")</f>
        <v/>
      </c>
      <c r="J309" s="9">
        <v>1</v>
      </c>
      <c r="K309" s="9"/>
      <c r="L309" s="37"/>
      <c r="M309" s="64"/>
      <c r="N309" s="42"/>
    </row>
    <row r="310" spans="1:14" ht="24" customHeight="1">
      <c r="A310" s="8">
        <v>270</v>
      </c>
      <c r="B310" s="9">
        <v>270</v>
      </c>
      <c r="C310" s="46"/>
      <c r="D310" s="9"/>
      <c r="E310" s="19" t="str">
        <f>IFERROR(VLOOKUP(D310,케이블트레이입.출고현황!U313:Z388,2,0),"")</f>
        <v/>
      </c>
      <c r="F310" s="19" t="str">
        <f>IFERROR(VLOOKUP(E310,케이블트레이입.출고현황!V313:AA388,2,0),"")</f>
        <v/>
      </c>
      <c r="G310" s="19" t="str">
        <f>IFERROR(VLOOKUP(F310,케이블트레이입.출고현황!W313:AB388,2,0),"")</f>
        <v/>
      </c>
      <c r="H310" s="19" t="str">
        <f>IFERROR(VLOOKUP(G310,케이블트레이입.출고현황!X313:AC388,2,0),"")</f>
        <v/>
      </c>
      <c r="I310" s="19" t="str">
        <f>IFERROR(VLOOKUP(H310,케이블트레이입.출고현황!Y313:AD388,2,0),"")</f>
        <v/>
      </c>
      <c r="J310" s="9">
        <v>1</v>
      </c>
      <c r="K310" s="9"/>
      <c r="L310" s="37"/>
      <c r="M310" s="64"/>
      <c r="N310" s="42"/>
    </row>
    <row r="311" spans="1:14" ht="24" customHeight="1">
      <c r="A311" s="8">
        <v>271</v>
      </c>
      <c r="B311" s="9">
        <v>271</v>
      </c>
      <c r="C311" s="46"/>
      <c r="D311" s="9"/>
      <c r="E311" s="19" t="str">
        <f>IFERROR(VLOOKUP(D311,케이블트레이입.출고현황!U314:Z389,2,0),"")</f>
        <v/>
      </c>
      <c r="F311" s="19" t="str">
        <f>IFERROR(VLOOKUP(E311,케이블트레이입.출고현황!V314:AA389,2,0),"")</f>
        <v/>
      </c>
      <c r="G311" s="19" t="str">
        <f>IFERROR(VLOOKUP(F311,케이블트레이입.출고현황!W314:AB389,2,0),"")</f>
        <v/>
      </c>
      <c r="H311" s="19" t="str">
        <f>IFERROR(VLOOKUP(G311,케이블트레이입.출고현황!X314:AC389,2,0),"")</f>
        <v/>
      </c>
      <c r="I311" s="19" t="str">
        <f>IFERROR(VLOOKUP(H311,케이블트레이입.출고현황!Y314:AD389,2,0),"")</f>
        <v/>
      </c>
      <c r="J311" s="9">
        <v>1</v>
      </c>
      <c r="K311" s="9"/>
      <c r="L311" s="37"/>
      <c r="M311" s="64"/>
      <c r="N311" s="42"/>
    </row>
    <row r="312" spans="1:14" ht="24" customHeight="1">
      <c r="A312" s="8">
        <v>272</v>
      </c>
      <c r="B312" s="9">
        <v>272</v>
      </c>
      <c r="C312" s="46"/>
      <c r="D312" s="9"/>
      <c r="E312" s="19" t="str">
        <f>IFERROR(VLOOKUP(D312,케이블트레이입.출고현황!U315:Z390,2,0),"")</f>
        <v/>
      </c>
      <c r="F312" s="19" t="str">
        <f>IFERROR(VLOOKUP(E312,케이블트레이입.출고현황!V315:AA390,2,0),"")</f>
        <v/>
      </c>
      <c r="G312" s="19" t="str">
        <f>IFERROR(VLOOKUP(F312,케이블트레이입.출고현황!W315:AB390,2,0),"")</f>
        <v/>
      </c>
      <c r="H312" s="19" t="str">
        <f>IFERROR(VLOOKUP(G312,케이블트레이입.출고현황!X315:AC390,2,0),"")</f>
        <v/>
      </c>
      <c r="I312" s="19" t="str">
        <f>IFERROR(VLOOKUP(H312,케이블트레이입.출고현황!Y315:AD390,2,0),"")</f>
        <v/>
      </c>
      <c r="J312" s="9">
        <v>2</v>
      </c>
      <c r="K312" s="9"/>
      <c r="L312" s="37"/>
      <c r="M312" s="64"/>
      <c r="N312" s="42"/>
    </row>
    <row r="313" spans="1:14" ht="24" customHeight="1">
      <c r="A313" s="8">
        <v>273</v>
      </c>
      <c r="B313" s="9">
        <v>273</v>
      </c>
      <c r="C313" s="46"/>
      <c r="D313" s="9"/>
      <c r="E313" s="19" t="str">
        <f>IFERROR(VLOOKUP(D313,케이블트레이입.출고현황!U316:Z391,2,0),"")</f>
        <v/>
      </c>
      <c r="F313" s="19" t="str">
        <f>IFERROR(VLOOKUP(E313,케이블트레이입.출고현황!V316:AA391,2,0),"")</f>
        <v/>
      </c>
      <c r="G313" s="19" t="str">
        <f>IFERROR(VLOOKUP(F313,케이블트레이입.출고현황!W316:AB391,2,0),"")</f>
        <v/>
      </c>
      <c r="H313" s="19" t="str">
        <f>IFERROR(VLOOKUP(G313,케이블트레이입.출고현황!X316:AC391,2,0),"")</f>
        <v/>
      </c>
      <c r="I313" s="19" t="str">
        <f>IFERROR(VLOOKUP(H313,케이블트레이입.출고현황!Y316:AD391,2,0),"")</f>
        <v/>
      </c>
      <c r="J313" s="9">
        <v>1</v>
      </c>
      <c r="K313" s="9"/>
      <c r="L313" s="37"/>
      <c r="M313" s="64"/>
      <c r="N313" s="42"/>
    </row>
    <row r="314" spans="1:14" ht="24" customHeight="1">
      <c r="A314" s="8">
        <v>274</v>
      </c>
      <c r="B314" s="9">
        <v>274</v>
      </c>
      <c r="C314" s="46"/>
      <c r="D314" s="9"/>
      <c r="E314" s="19" t="str">
        <f>IFERROR(VLOOKUP(D314,케이블트레이입.출고현황!U317:Z392,2,0),"")</f>
        <v/>
      </c>
      <c r="F314" s="19" t="str">
        <f>IFERROR(VLOOKUP(E314,케이블트레이입.출고현황!V317:AA392,2,0),"")</f>
        <v/>
      </c>
      <c r="G314" s="19" t="str">
        <f>IFERROR(VLOOKUP(F314,케이블트레이입.출고현황!W317:AB392,2,0),"")</f>
        <v/>
      </c>
      <c r="H314" s="19" t="str">
        <f>IFERROR(VLOOKUP(G314,케이블트레이입.출고현황!X317:AC392,2,0),"")</f>
        <v/>
      </c>
      <c r="I314" s="19" t="str">
        <f>IFERROR(VLOOKUP(H314,케이블트레이입.출고현황!Y317:AD392,2,0),"")</f>
        <v/>
      </c>
      <c r="J314" s="9">
        <v>2</v>
      </c>
      <c r="K314" s="9"/>
      <c r="L314" s="37"/>
      <c r="M314" s="64"/>
      <c r="N314" s="42"/>
    </row>
    <row r="315" spans="1:14" ht="24" customHeight="1">
      <c r="A315" s="8">
        <v>275</v>
      </c>
      <c r="B315" s="9">
        <v>275</v>
      </c>
      <c r="C315" s="46"/>
      <c r="D315" s="9"/>
      <c r="E315" s="19" t="str">
        <f>IFERROR(VLOOKUP(D315,케이블트레이입.출고현황!U318:Z393,2,0),"")</f>
        <v/>
      </c>
      <c r="F315" s="19" t="str">
        <f>IFERROR(VLOOKUP(E315,케이블트레이입.출고현황!V318:AA393,2,0),"")</f>
        <v/>
      </c>
      <c r="G315" s="19" t="str">
        <f>IFERROR(VLOOKUP(F315,케이블트레이입.출고현황!W318:AB393,2,0),"")</f>
        <v/>
      </c>
      <c r="H315" s="19" t="str">
        <f>IFERROR(VLOOKUP(G315,케이블트레이입.출고현황!X318:AC393,2,0),"")</f>
        <v/>
      </c>
      <c r="I315" s="19" t="str">
        <f>IFERROR(VLOOKUP(H315,케이블트레이입.출고현황!Y318:AD393,2,0),"")</f>
        <v/>
      </c>
      <c r="J315" s="9">
        <v>2</v>
      </c>
      <c r="K315" s="9"/>
      <c r="L315" s="37"/>
      <c r="M315" s="64"/>
      <c r="N315" s="42"/>
    </row>
    <row r="316" spans="1:14" ht="24" customHeight="1">
      <c r="A316" s="8">
        <v>276</v>
      </c>
      <c r="B316" s="9">
        <v>276</v>
      </c>
      <c r="C316" s="46"/>
      <c r="D316" s="9"/>
      <c r="E316" s="19" t="str">
        <f>IFERROR(VLOOKUP(D316,케이블트레이입.출고현황!U319:Z394,2,0),"")</f>
        <v/>
      </c>
      <c r="F316" s="19" t="str">
        <f>IFERROR(VLOOKUP(E316,케이블트레이입.출고현황!V319:AA394,2,0),"")</f>
        <v/>
      </c>
      <c r="G316" s="19" t="str">
        <f>IFERROR(VLOOKUP(F316,케이블트레이입.출고현황!W319:AB394,2,0),"")</f>
        <v/>
      </c>
      <c r="H316" s="19" t="str">
        <f>IFERROR(VLOOKUP(G316,케이블트레이입.출고현황!X319:AC394,2,0),"")</f>
        <v/>
      </c>
      <c r="I316" s="19" t="str">
        <f>IFERROR(VLOOKUP(H316,케이블트레이입.출고현황!Y319:AD394,2,0),"")</f>
        <v/>
      </c>
      <c r="J316" s="9">
        <v>4</v>
      </c>
      <c r="K316" s="9"/>
      <c r="L316" s="37"/>
      <c r="M316" s="64"/>
      <c r="N316" s="42"/>
    </row>
    <row r="317" spans="1:14" ht="24" customHeight="1">
      <c r="A317" s="8">
        <v>277</v>
      </c>
      <c r="B317" s="9">
        <v>277</v>
      </c>
      <c r="C317" s="46"/>
      <c r="D317" s="9"/>
      <c r="E317" s="19" t="str">
        <f>IFERROR(VLOOKUP(D317,케이블트레이입.출고현황!U320:Z395,2,0),"")</f>
        <v/>
      </c>
      <c r="F317" s="19" t="str">
        <f>IFERROR(VLOOKUP(E317,케이블트레이입.출고현황!V320:AA395,2,0),"")</f>
        <v/>
      </c>
      <c r="G317" s="19" t="str">
        <f>IFERROR(VLOOKUP(F317,케이블트레이입.출고현황!W320:AB395,2,0),"")</f>
        <v/>
      </c>
      <c r="H317" s="19" t="str">
        <f>IFERROR(VLOOKUP(G317,케이블트레이입.출고현황!X320:AC395,2,0),"")</f>
        <v/>
      </c>
      <c r="I317" s="19" t="str">
        <f>IFERROR(VLOOKUP(H317,케이블트레이입.출고현황!Y320:AD395,2,0),"")</f>
        <v/>
      </c>
      <c r="J317" s="9">
        <v>1</v>
      </c>
      <c r="K317" s="9"/>
      <c r="L317" s="37"/>
      <c r="M317" s="64"/>
      <c r="N317" s="42"/>
    </row>
    <row r="318" spans="1:14" ht="24" customHeight="1">
      <c r="A318" s="8">
        <v>278</v>
      </c>
      <c r="B318" s="9">
        <v>278</v>
      </c>
      <c r="C318" s="46"/>
      <c r="D318" s="9"/>
      <c r="E318" s="19" t="str">
        <f>IFERROR(VLOOKUP(D318,케이블트레이입.출고현황!U321:Z396,2,0),"")</f>
        <v/>
      </c>
      <c r="F318" s="19" t="str">
        <f>IFERROR(VLOOKUP(E318,케이블트레이입.출고현황!V321:AA396,2,0),"")</f>
        <v/>
      </c>
      <c r="G318" s="19" t="str">
        <f>IFERROR(VLOOKUP(F318,케이블트레이입.출고현황!W321:AB396,2,0),"")</f>
        <v/>
      </c>
      <c r="H318" s="19" t="str">
        <f>IFERROR(VLOOKUP(G318,케이블트레이입.출고현황!X321:AC396,2,0),"")</f>
        <v/>
      </c>
      <c r="I318" s="19" t="str">
        <f>IFERROR(VLOOKUP(H318,케이블트레이입.출고현황!Y321:AD396,2,0),"")</f>
        <v/>
      </c>
      <c r="J318" s="9">
        <v>2</v>
      </c>
      <c r="K318" s="9"/>
      <c r="L318" s="37"/>
      <c r="M318" s="64"/>
      <c r="N318" s="42"/>
    </row>
    <row r="319" spans="1:14" ht="24" customHeight="1">
      <c r="A319" s="8">
        <v>279</v>
      </c>
      <c r="B319" s="9">
        <v>279</v>
      </c>
      <c r="C319" s="46"/>
      <c r="D319" s="9"/>
      <c r="E319" s="19" t="str">
        <f>IFERROR(VLOOKUP(D319,케이블트레이입.출고현황!U322:Z397,2,0),"")</f>
        <v/>
      </c>
      <c r="F319" s="19" t="str">
        <f>IFERROR(VLOOKUP(E319,케이블트레이입.출고현황!V322:AA397,2,0),"")</f>
        <v/>
      </c>
      <c r="G319" s="19" t="str">
        <f>IFERROR(VLOOKUP(F319,케이블트레이입.출고현황!W322:AB397,2,0),"")</f>
        <v/>
      </c>
      <c r="H319" s="19" t="str">
        <f>IFERROR(VLOOKUP(G319,케이블트레이입.출고현황!X322:AC397,2,0),"")</f>
        <v/>
      </c>
      <c r="I319" s="19" t="str">
        <f>IFERROR(VLOOKUP(H319,케이블트레이입.출고현황!Y322:AD397,2,0),"")</f>
        <v/>
      </c>
      <c r="J319" s="9">
        <v>4</v>
      </c>
      <c r="K319" s="9"/>
      <c r="L319" s="37"/>
      <c r="M319" s="64"/>
      <c r="N319" s="42"/>
    </row>
    <row r="320" spans="1:14" ht="24" customHeight="1">
      <c r="A320" s="8">
        <v>280</v>
      </c>
      <c r="B320" s="9">
        <v>280</v>
      </c>
      <c r="C320" s="46"/>
      <c r="D320" s="9"/>
      <c r="E320" s="19" t="str">
        <f>IFERROR(VLOOKUP(D320,케이블트레이입.출고현황!U323:Z398,2,0),"")</f>
        <v/>
      </c>
      <c r="F320" s="19" t="str">
        <f>IFERROR(VLOOKUP(E320,케이블트레이입.출고현황!V323:AA398,2,0),"")</f>
        <v/>
      </c>
      <c r="G320" s="19" t="str">
        <f>IFERROR(VLOOKUP(F320,케이블트레이입.출고현황!W323:AB398,2,0),"")</f>
        <v/>
      </c>
      <c r="H320" s="19" t="str">
        <f>IFERROR(VLOOKUP(G320,케이블트레이입.출고현황!X323:AC398,2,0),"")</f>
        <v/>
      </c>
      <c r="I320" s="19" t="str">
        <f>IFERROR(VLOOKUP(H320,케이블트레이입.출고현황!Y323:AD398,2,0),"")</f>
        <v/>
      </c>
      <c r="J320" s="9">
        <v>1</v>
      </c>
      <c r="K320" s="9"/>
      <c r="L320" s="37"/>
      <c r="M320" s="64"/>
      <c r="N320" s="42"/>
    </row>
    <row r="321" spans="1:14" ht="24" customHeight="1">
      <c r="A321" s="8">
        <v>281</v>
      </c>
      <c r="B321" s="9">
        <v>281</v>
      </c>
      <c r="C321" s="46"/>
      <c r="D321" s="9"/>
      <c r="E321" s="19" t="str">
        <f>IFERROR(VLOOKUP(D321,케이블트레이입.출고현황!U324:Z399,2,0),"")</f>
        <v/>
      </c>
      <c r="F321" s="19" t="str">
        <f>IFERROR(VLOOKUP(E321,케이블트레이입.출고현황!V324:AA399,2,0),"")</f>
        <v/>
      </c>
      <c r="G321" s="19" t="str">
        <f>IFERROR(VLOOKUP(F321,케이블트레이입.출고현황!W324:AB399,2,0),"")</f>
        <v/>
      </c>
      <c r="H321" s="19" t="str">
        <f>IFERROR(VLOOKUP(G321,케이블트레이입.출고현황!X324:AC399,2,0),"")</f>
        <v/>
      </c>
      <c r="I321" s="19" t="str">
        <f>IFERROR(VLOOKUP(H321,케이블트레이입.출고현황!Y324:AD399,2,0),"")</f>
        <v/>
      </c>
      <c r="J321" s="9">
        <v>3</v>
      </c>
      <c r="K321" s="9"/>
      <c r="L321" s="37"/>
      <c r="M321" s="64"/>
      <c r="N321" s="42"/>
    </row>
    <row r="322" spans="1:14" ht="24" customHeight="1">
      <c r="A322" s="8">
        <v>282</v>
      </c>
      <c r="B322" s="9">
        <v>282</v>
      </c>
      <c r="C322" s="46"/>
      <c r="D322" s="9"/>
      <c r="E322" s="19" t="str">
        <f>IFERROR(VLOOKUP(D322,케이블트레이입.출고현황!U325:Z400,2,0),"")</f>
        <v/>
      </c>
      <c r="F322" s="19" t="str">
        <f>IFERROR(VLOOKUP(E322,케이블트레이입.출고현황!V325:AA400,2,0),"")</f>
        <v/>
      </c>
      <c r="G322" s="19" t="str">
        <f>IFERROR(VLOOKUP(F322,케이블트레이입.출고현황!W325:AB400,2,0),"")</f>
        <v/>
      </c>
      <c r="H322" s="19" t="str">
        <f>IFERROR(VLOOKUP(G322,케이블트레이입.출고현황!X325:AC400,2,0),"")</f>
        <v/>
      </c>
      <c r="I322" s="19" t="str">
        <f>IFERROR(VLOOKUP(H322,케이블트레이입.출고현황!Y325:AD400,2,0),"")</f>
        <v/>
      </c>
      <c r="J322" s="9">
        <v>1</v>
      </c>
      <c r="K322" s="9"/>
      <c r="L322" s="37"/>
      <c r="M322" s="64"/>
      <c r="N322" s="42"/>
    </row>
    <row r="323" spans="1:14" ht="24" customHeight="1">
      <c r="A323" s="8">
        <v>283</v>
      </c>
      <c r="B323" s="9">
        <v>283</v>
      </c>
      <c r="C323" s="46"/>
      <c r="D323" s="9"/>
      <c r="E323" s="19" t="str">
        <f>IFERROR(VLOOKUP(D323,케이블트레이입.출고현황!U326:Z401,2,0),"")</f>
        <v/>
      </c>
      <c r="F323" s="19" t="str">
        <f>IFERROR(VLOOKUP(E323,케이블트레이입.출고현황!V326:AA401,2,0),"")</f>
        <v/>
      </c>
      <c r="G323" s="19" t="str">
        <f>IFERROR(VLOOKUP(F323,케이블트레이입.출고현황!W326:AB401,2,0),"")</f>
        <v/>
      </c>
      <c r="H323" s="19" t="str">
        <f>IFERROR(VLOOKUP(G323,케이블트레이입.출고현황!X326:AC401,2,0),"")</f>
        <v/>
      </c>
      <c r="I323" s="19" t="str">
        <f>IFERROR(VLOOKUP(H323,케이블트레이입.출고현황!Y326:AD401,2,0),"")</f>
        <v/>
      </c>
      <c r="J323" s="9">
        <v>1</v>
      </c>
      <c r="K323" s="9"/>
      <c r="L323" s="37"/>
      <c r="M323" s="64"/>
      <c r="N323" s="42"/>
    </row>
    <row r="324" spans="1:14" ht="24" customHeight="1">
      <c r="A324" s="8">
        <v>284</v>
      </c>
      <c r="B324" s="9">
        <v>284</v>
      </c>
      <c r="C324" s="46"/>
      <c r="D324" s="9"/>
      <c r="E324" s="19" t="str">
        <f>IFERROR(VLOOKUP(D324,케이블트레이입.출고현황!U327:Z402,2,0),"")</f>
        <v/>
      </c>
      <c r="F324" s="19" t="str">
        <f>IFERROR(VLOOKUP(E324,케이블트레이입.출고현황!V327:AA402,2,0),"")</f>
        <v/>
      </c>
      <c r="G324" s="19" t="str">
        <f>IFERROR(VLOOKUP(F324,케이블트레이입.출고현황!W327:AB402,2,0),"")</f>
        <v/>
      </c>
      <c r="H324" s="19" t="str">
        <f>IFERROR(VLOOKUP(G324,케이블트레이입.출고현황!X327:AC402,2,0),"")</f>
        <v/>
      </c>
      <c r="I324" s="19" t="str">
        <f>IFERROR(VLOOKUP(H324,케이블트레이입.출고현황!Y327:AD402,2,0),"")</f>
        <v/>
      </c>
      <c r="J324" s="9">
        <v>1</v>
      </c>
      <c r="K324" s="9"/>
      <c r="L324" s="37"/>
      <c r="M324" s="64"/>
      <c r="N324" s="42"/>
    </row>
    <row r="325" spans="1:14" ht="24" customHeight="1">
      <c r="A325" s="8">
        <v>285</v>
      </c>
      <c r="B325" s="9">
        <v>285</v>
      </c>
      <c r="C325" s="46"/>
      <c r="D325" s="9"/>
      <c r="E325" s="19" t="str">
        <f>IFERROR(VLOOKUP(D325,케이블트레이입.출고현황!U328:Z403,2,0),"")</f>
        <v/>
      </c>
      <c r="F325" s="19" t="str">
        <f>IFERROR(VLOOKUP(E325,케이블트레이입.출고현황!V328:AA403,2,0),"")</f>
        <v/>
      </c>
      <c r="G325" s="19" t="str">
        <f>IFERROR(VLOOKUP(F325,케이블트레이입.출고현황!W328:AB403,2,0),"")</f>
        <v/>
      </c>
      <c r="H325" s="19" t="str">
        <f>IFERROR(VLOOKUP(G325,케이블트레이입.출고현황!X328:AC403,2,0),"")</f>
        <v/>
      </c>
      <c r="I325" s="19" t="str">
        <f>IFERROR(VLOOKUP(H325,케이블트레이입.출고현황!Y328:AD403,2,0),"")</f>
        <v/>
      </c>
      <c r="J325" s="9">
        <v>2</v>
      </c>
      <c r="K325" s="9"/>
      <c r="L325" s="37"/>
      <c r="M325" s="64"/>
      <c r="N325" s="42"/>
    </row>
    <row r="326" spans="1:14" ht="24" customHeight="1">
      <c r="A326" s="8">
        <v>286</v>
      </c>
      <c r="B326" s="9">
        <v>286</v>
      </c>
      <c r="C326" s="46"/>
      <c r="D326" s="9"/>
      <c r="E326" s="19" t="str">
        <f>IFERROR(VLOOKUP(D326,케이블트레이입.출고현황!U329:Z404,2,0),"")</f>
        <v/>
      </c>
      <c r="F326" s="19" t="str">
        <f>IFERROR(VLOOKUP(E326,케이블트레이입.출고현황!V329:AA404,2,0),"")</f>
        <v/>
      </c>
      <c r="G326" s="19" t="str">
        <f>IFERROR(VLOOKUP(F326,케이블트레이입.출고현황!W329:AB404,2,0),"")</f>
        <v/>
      </c>
      <c r="H326" s="19" t="str">
        <f>IFERROR(VLOOKUP(G326,케이블트레이입.출고현황!X329:AC404,2,0),"")</f>
        <v/>
      </c>
      <c r="I326" s="19" t="str">
        <f>IFERROR(VLOOKUP(H326,케이블트레이입.출고현황!Y329:AD404,2,0),"")</f>
        <v/>
      </c>
      <c r="J326" s="9">
        <v>1</v>
      </c>
      <c r="K326" s="9"/>
      <c r="L326" s="37"/>
      <c r="M326" s="64"/>
      <c r="N326" s="42"/>
    </row>
    <row r="327" spans="1:14" ht="24" customHeight="1">
      <c r="A327" s="8">
        <v>287</v>
      </c>
      <c r="B327" s="9">
        <v>287</v>
      </c>
      <c r="C327" s="46"/>
      <c r="D327" s="9"/>
      <c r="E327" s="19" t="str">
        <f>IFERROR(VLOOKUP(D327,케이블트레이입.출고현황!U330:Z405,2,0),"")</f>
        <v/>
      </c>
      <c r="F327" s="19" t="str">
        <f>IFERROR(VLOOKUP(E327,케이블트레이입.출고현황!V330:AA405,2,0),"")</f>
        <v/>
      </c>
      <c r="G327" s="19" t="str">
        <f>IFERROR(VLOOKUP(F327,케이블트레이입.출고현황!W330:AB405,2,0),"")</f>
        <v/>
      </c>
      <c r="H327" s="19" t="str">
        <f>IFERROR(VLOOKUP(G327,케이블트레이입.출고현황!X330:AC405,2,0),"")</f>
        <v/>
      </c>
      <c r="I327" s="19" t="str">
        <f>IFERROR(VLOOKUP(H327,케이블트레이입.출고현황!Y330:AD405,2,0),"")</f>
        <v/>
      </c>
      <c r="J327" s="9">
        <v>1</v>
      </c>
      <c r="K327" s="9"/>
      <c r="L327" s="37"/>
      <c r="M327" s="64"/>
      <c r="N327" s="42"/>
    </row>
    <row r="328" spans="1:14" ht="24" customHeight="1">
      <c r="A328" s="8">
        <v>288</v>
      </c>
      <c r="B328" s="9">
        <v>288</v>
      </c>
      <c r="C328" s="46"/>
      <c r="D328" s="9"/>
      <c r="E328" s="19" t="str">
        <f>IFERROR(VLOOKUP(D328,케이블트레이입.출고현황!U331:Z406,2,0),"")</f>
        <v/>
      </c>
      <c r="F328" s="19" t="str">
        <f>IFERROR(VLOOKUP(E328,케이블트레이입.출고현황!V331:AA406,2,0),"")</f>
        <v/>
      </c>
      <c r="G328" s="19" t="str">
        <f>IFERROR(VLOOKUP(F328,케이블트레이입.출고현황!W331:AB406,2,0),"")</f>
        <v/>
      </c>
      <c r="H328" s="19" t="str">
        <f>IFERROR(VLOOKUP(G328,케이블트레이입.출고현황!X331:AC406,2,0),"")</f>
        <v/>
      </c>
      <c r="I328" s="19" t="str">
        <f>IFERROR(VLOOKUP(H328,케이블트레이입.출고현황!Y331:AD406,2,0),"")</f>
        <v/>
      </c>
      <c r="J328" s="9">
        <v>2</v>
      </c>
      <c r="K328" s="9"/>
      <c r="L328" s="37"/>
      <c r="M328" s="64"/>
      <c r="N328" s="42"/>
    </row>
    <row r="329" spans="1:14" ht="24" customHeight="1">
      <c r="A329" s="8">
        <v>289</v>
      </c>
      <c r="B329" s="9">
        <v>289</v>
      </c>
      <c r="C329" s="46"/>
      <c r="D329" s="9"/>
      <c r="E329" s="19" t="str">
        <f>IFERROR(VLOOKUP(D329,케이블트레이입.출고현황!U332:Z407,2,0),"")</f>
        <v/>
      </c>
      <c r="F329" s="19" t="str">
        <f>IFERROR(VLOOKUP(E329,케이블트레이입.출고현황!V332:AA407,2,0),"")</f>
        <v/>
      </c>
      <c r="G329" s="19" t="str">
        <f>IFERROR(VLOOKUP(F329,케이블트레이입.출고현황!W332:AB407,2,0),"")</f>
        <v/>
      </c>
      <c r="H329" s="19" t="str">
        <f>IFERROR(VLOOKUP(G329,케이블트레이입.출고현황!X332:AC407,2,0),"")</f>
        <v/>
      </c>
      <c r="I329" s="19" t="str">
        <f>IFERROR(VLOOKUP(H329,케이블트레이입.출고현황!Y332:AD407,2,0),"")</f>
        <v/>
      </c>
      <c r="J329" s="9">
        <v>4</v>
      </c>
      <c r="K329" s="9"/>
      <c r="L329" s="37"/>
      <c r="M329" s="64"/>
      <c r="N329" s="42"/>
    </row>
    <row r="330" spans="1:14" ht="24" customHeight="1">
      <c r="A330" s="8">
        <v>290</v>
      </c>
      <c r="B330" s="9">
        <v>290</v>
      </c>
      <c r="C330" s="46"/>
      <c r="D330" s="9"/>
      <c r="E330" s="19" t="str">
        <f>IFERROR(VLOOKUP(D330,케이블트레이입.출고현황!U333:Z408,2,0),"")</f>
        <v/>
      </c>
      <c r="F330" s="19" t="str">
        <f>IFERROR(VLOOKUP(E330,케이블트레이입.출고현황!V333:AA408,2,0),"")</f>
        <v/>
      </c>
      <c r="G330" s="19" t="str">
        <f>IFERROR(VLOOKUP(F330,케이블트레이입.출고현황!W333:AB408,2,0),"")</f>
        <v/>
      </c>
      <c r="H330" s="19" t="str">
        <f>IFERROR(VLOOKUP(G330,케이블트레이입.출고현황!X333:AC408,2,0),"")</f>
        <v/>
      </c>
      <c r="I330" s="19" t="str">
        <f>IFERROR(VLOOKUP(H330,케이블트레이입.출고현황!Y333:AD408,2,0),"")</f>
        <v/>
      </c>
      <c r="J330" s="9">
        <v>4</v>
      </c>
      <c r="K330" s="9"/>
      <c r="L330" s="37"/>
      <c r="M330" s="64"/>
      <c r="N330" s="42"/>
    </row>
    <row r="331" spans="1:14" ht="24" customHeight="1">
      <c r="A331" s="8">
        <v>291</v>
      </c>
      <c r="B331" s="9">
        <v>291</v>
      </c>
      <c r="C331" s="46"/>
      <c r="D331" s="9"/>
      <c r="E331" s="19" t="str">
        <f>IFERROR(VLOOKUP(D331,케이블트레이입.출고현황!U334:Z409,2,0),"")</f>
        <v/>
      </c>
      <c r="F331" s="19" t="str">
        <f>IFERROR(VLOOKUP(E331,케이블트레이입.출고현황!V334:AA409,2,0),"")</f>
        <v/>
      </c>
      <c r="G331" s="19" t="str">
        <f>IFERROR(VLOOKUP(F331,케이블트레이입.출고현황!W334:AB409,2,0),"")</f>
        <v/>
      </c>
      <c r="H331" s="19" t="str">
        <f>IFERROR(VLOOKUP(G331,케이블트레이입.출고현황!X334:AC409,2,0),"")</f>
        <v/>
      </c>
      <c r="I331" s="19" t="str">
        <f>IFERROR(VLOOKUP(H331,케이블트레이입.출고현황!Y334:AD409,2,0),"")</f>
        <v/>
      </c>
      <c r="J331" s="9">
        <v>1</v>
      </c>
      <c r="K331" s="9"/>
      <c r="L331" s="37"/>
      <c r="M331" s="64"/>
      <c r="N331" s="42"/>
    </row>
    <row r="332" spans="1:14" ht="24" customHeight="1">
      <c r="A332" s="8">
        <v>292</v>
      </c>
      <c r="B332" s="9">
        <v>292</v>
      </c>
      <c r="C332" s="46"/>
      <c r="D332" s="9"/>
      <c r="E332" s="19" t="str">
        <f>IFERROR(VLOOKUP(D332,케이블트레이입.출고현황!U335:Z410,2,0),"")</f>
        <v/>
      </c>
      <c r="F332" s="19" t="str">
        <f>IFERROR(VLOOKUP(E332,케이블트레이입.출고현황!V335:AA410,2,0),"")</f>
        <v/>
      </c>
      <c r="G332" s="19" t="str">
        <f>IFERROR(VLOOKUP(F332,케이블트레이입.출고현황!W335:AB410,2,0),"")</f>
        <v/>
      </c>
      <c r="H332" s="19" t="str">
        <f>IFERROR(VLOOKUP(G332,케이블트레이입.출고현황!X335:AC410,2,0),"")</f>
        <v/>
      </c>
      <c r="I332" s="19" t="str">
        <f>IFERROR(VLOOKUP(H332,케이블트레이입.출고현황!Y335:AD410,2,0),"")</f>
        <v/>
      </c>
      <c r="J332" s="9">
        <v>3</v>
      </c>
      <c r="K332" s="9"/>
      <c r="L332" s="37"/>
      <c r="M332" s="64"/>
      <c r="N332" s="42"/>
    </row>
    <row r="333" spans="1:14" ht="24" customHeight="1">
      <c r="A333" s="8">
        <v>293</v>
      </c>
      <c r="B333" s="9">
        <v>293</v>
      </c>
      <c r="C333" s="46"/>
      <c r="D333" s="9"/>
      <c r="E333" s="19" t="str">
        <f>IFERROR(VLOOKUP(D333,케이블트레이입.출고현황!U336:Z411,2,0),"")</f>
        <v/>
      </c>
      <c r="F333" s="19" t="str">
        <f>IFERROR(VLOOKUP(E333,케이블트레이입.출고현황!V336:AA411,2,0),"")</f>
        <v/>
      </c>
      <c r="G333" s="19" t="str">
        <f>IFERROR(VLOOKUP(F333,케이블트레이입.출고현황!W336:AB411,2,0),"")</f>
        <v/>
      </c>
      <c r="H333" s="19" t="str">
        <f>IFERROR(VLOOKUP(G333,케이블트레이입.출고현황!X336:AC411,2,0),"")</f>
        <v/>
      </c>
      <c r="I333" s="19" t="str">
        <f>IFERROR(VLOOKUP(H333,케이블트레이입.출고현황!Y336:AD411,2,0),"")</f>
        <v/>
      </c>
      <c r="J333" s="9">
        <v>1</v>
      </c>
      <c r="K333" s="9"/>
      <c r="L333" s="37"/>
      <c r="M333" s="64"/>
      <c r="N333" s="42"/>
    </row>
    <row r="334" spans="1:14" ht="24" customHeight="1">
      <c r="A334" s="8">
        <v>294</v>
      </c>
      <c r="B334" s="9">
        <v>294</v>
      </c>
      <c r="C334" s="46"/>
      <c r="D334" s="9"/>
      <c r="E334" s="19" t="str">
        <f>IFERROR(VLOOKUP(D334,케이블트레이입.출고현황!U337:Z412,2,0),"")</f>
        <v/>
      </c>
      <c r="F334" s="19" t="str">
        <f>IFERROR(VLOOKUP(E334,케이블트레이입.출고현황!V337:AA412,2,0),"")</f>
        <v/>
      </c>
      <c r="G334" s="19" t="str">
        <f>IFERROR(VLOOKUP(F334,케이블트레이입.출고현황!W337:AB412,2,0),"")</f>
        <v/>
      </c>
      <c r="H334" s="19" t="str">
        <f>IFERROR(VLOOKUP(G334,케이블트레이입.출고현황!X337:AC412,2,0),"")</f>
        <v/>
      </c>
      <c r="I334" s="19" t="str">
        <f>IFERROR(VLOOKUP(H334,케이블트레이입.출고현황!Y337:AD412,2,0),"")</f>
        <v/>
      </c>
      <c r="J334" s="9">
        <v>1</v>
      </c>
      <c r="K334" s="9"/>
      <c r="L334" s="37"/>
      <c r="M334" s="64"/>
      <c r="N334" s="42"/>
    </row>
    <row r="335" spans="1:14" ht="24" customHeight="1">
      <c r="A335" s="8">
        <v>295</v>
      </c>
      <c r="B335" s="9">
        <v>295</v>
      </c>
      <c r="C335" s="46"/>
      <c r="D335" s="9"/>
      <c r="E335" s="19" t="str">
        <f>IFERROR(VLOOKUP(D335,케이블트레이입.출고현황!U338:Z413,2,0),"")</f>
        <v/>
      </c>
      <c r="F335" s="19" t="str">
        <f>IFERROR(VLOOKUP(E335,케이블트레이입.출고현황!V338:AA413,2,0),"")</f>
        <v/>
      </c>
      <c r="G335" s="19" t="str">
        <f>IFERROR(VLOOKUP(F335,케이블트레이입.출고현황!W338:AB413,2,0),"")</f>
        <v/>
      </c>
      <c r="H335" s="19" t="str">
        <f>IFERROR(VLOOKUP(G335,케이블트레이입.출고현황!X338:AC413,2,0),"")</f>
        <v/>
      </c>
      <c r="I335" s="19" t="str">
        <f>IFERROR(VLOOKUP(H335,케이블트레이입.출고현황!Y338:AD413,2,0),"")</f>
        <v/>
      </c>
      <c r="J335" s="9">
        <v>2</v>
      </c>
      <c r="K335" s="9"/>
      <c r="L335" s="37"/>
      <c r="M335" s="64"/>
      <c r="N335" s="42"/>
    </row>
    <row r="336" spans="1:14" ht="24" customHeight="1">
      <c r="A336" s="8">
        <v>296</v>
      </c>
      <c r="B336" s="9">
        <v>296</v>
      </c>
      <c r="C336" s="46"/>
      <c r="D336" s="9"/>
      <c r="E336" s="19" t="str">
        <f>IFERROR(VLOOKUP(D336,케이블트레이입.출고현황!U339:Z414,2,0),"")</f>
        <v/>
      </c>
      <c r="F336" s="19" t="str">
        <f>IFERROR(VLOOKUP(E336,케이블트레이입.출고현황!V339:AA414,2,0),"")</f>
        <v/>
      </c>
      <c r="G336" s="19" t="str">
        <f>IFERROR(VLOOKUP(F336,케이블트레이입.출고현황!W339:AB414,2,0),"")</f>
        <v/>
      </c>
      <c r="H336" s="19" t="str">
        <f>IFERROR(VLOOKUP(G336,케이블트레이입.출고현황!X339:AC414,2,0),"")</f>
        <v/>
      </c>
      <c r="I336" s="19" t="str">
        <f>IFERROR(VLOOKUP(H336,케이블트레이입.출고현황!Y339:AD414,2,0),"")</f>
        <v/>
      </c>
      <c r="J336" s="9">
        <v>3</v>
      </c>
      <c r="K336" s="9"/>
      <c r="L336" s="37"/>
      <c r="M336" s="64"/>
      <c r="N336" s="42"/>
    </row>
    <row r="337" spans="1:14" ht="24" customHeight="1">
      <c r="A337" s="8">
        <v>297</v>
      </c>
      <c r="B337" s="9">
        <v>297</v>
      </c>
      <c r="C337" s="46"/>
      <c r="D337" s="9"/>
      <c r="E337" s="19" t="str">
        <f>IFERROR(VLOOKUP(D337,케이블트레이입.출고현황!U340:Z415,2,0),"")</f>
        <v/>
      </c>
      <c r="F337" s="19" t="str">
        <f>IFERROR(VLOOKUP(E337,케이블트레이입.출고현황!V340:AA415,2,0),"")</f>
        <v/>
      </c>
      <c r="G337" s="19" t="str">
        <f>IFERROR(VLOOKUP(F337,케이블트레이입.출고현황!W340:AB415,2,0),"")</f>
        <v/>
      </c>
      <c r="H337" s="19" t="str">
        <f>IFERROR(VLOOKUP(G337,케이블트레이입.출고현황!X340:AC415,2,0),"")</f>
        <v/>
      </c>
      <c r="I337" s="19" t="str">
        <f>IFERROR(VLOOKUP(H337,케이블트레이입.출고현황!Y340:AD415,2,0),"")</f>
        <v/>
      </c>
      <c r="J337" s="9">
        <v>1</v>
      </c>
      <c r="K337" s="9"/>
      <c r="L337" s="37"/>
      <c r="M337" s="64"/>
      <c r="N337" s="42"/>
    </row>
    <row r="338" spans="1:14" ht="24" customHeight="1">
      <c r="A338" s="8">
        <v>298</v>
      </c>
      <c r="B338" s="9">
        <v>298</v>
      </c>
      <c r="C338" s="46"/>
      <c r="D338" s="9"/>
      <c r="E338" s="19" t="str">
        <f>IFERROR(VLOOKUP(D338,케이블트레이입.출고현황!U341:Z416,2,0),"")</f>
        <v/>
      </c>
      <c r="F338" s="19" t="str">
        <f>IFERROR(VLOOKUP(E338,케이블트레이입.출고현황!V341:AA416,2,0),"")</f>
        <v/>
      </c>
      <c r="G338" s="19" t="str">
        <f>IFERROR(VLOOKUP(F338,케이블트레이입.출고현황!W341:AB416,2,0),"")</f>
        <v/>
      </c>
      <c r="H338" s="19" t="str">
        <f>IFERROR(VLOOKUP(G338,케이블트레이입.출고현황!X341:AC416,2,0),"")</f>
        <v/>
      </c>
      <c r="I338" s="19" t="str">
        <f>IFERROR(VLOOKUP(H338,케이블트레이입.출고현황!Y341:AD416,2,0),"")</f>
        <v/>
      </c>
      <c r="J338" s="9">
        <v>2</v>
      </c>
      <c r="K338" s="9"/>
      <c r="L338" s="37"/>
      <c r="M338" s="64"/>
      <c r="N338" s="42"/>
    </row>
    <row r="339" spans="1:14" ht="24" customHeight="1">
      <c r="A339" s="8">
        <v>299</v>
      </c>
      <c r="B339" s="9">
        <v>299</v>
      </c>
      <c r="C339" s="46"/>
      <c r="D339" s="9"/>
      <c r="E339" s="19" t="str">
        <f>IFERROR(VLOOKUP(D339,케이블트레이입.출고현황!U342:Z417,2,0),"")</f>
        <v/>
      </c>
      <c r="F339" s="19" t="str">
        <f>IFERROR(VLOOKUP(E339,케이블트레이입.출고현황!V342:AA417,2,0),"")</f>
        <v/>
      </c>
      <c r="G339" s="19" t="str">
        <f>IFERROR(VLOOKUP(F339,케이블트레이입.출고현황!W342:AB417,2,0),"")</f>
        <v/>
      </c>
      <c r="H339" s="19" t="str">
        <f>IFERROR(VLOOKUP(G339,케이블트레이입.출고현황!X342:AC417,2,0),"")</f>
        <v/>
      </c>
      <c r="I339" s="19" t="str">
        <f>IFERROR(VLOOKUP(H339,케이블트레이입.출고현황!Y342:AD417,2,0),"")</f>
        <v/>
      </c>
      <c r="J339" s="9">
        <v>1</v>
      </c>
      <c r="K339" s="9"/>
      <c r="L339" s="37"/>
      <c r="M339" s="64"/>
      <c r="N339" s="42"/>
    </row>
    <row r="340" spans="1:14" ht="24" customHeight="1">
      <c r="A340" s="8">
        <v>300</v>
      </c>
      <c r="B340" s="9">
        <v>300</v>
      </c>
      <c r="C340" s="46"/>
      <c r="D340" s="9"/>
      <c r="E340" s="19" t="str">
        <f>IFERROR(VLOOKUP(D340,케이블트레이입.출고현황!U343:Z418,2,0),"")</f>
        <v/>
      </c>
      <c r="F340" s="19" t="str">
        <f>IFERROR(VLOOKUP(E340,케이블트레이입.출고현황!V343:AA418,2,0),"")</f>
        <v/>
      </c>
      <c r="G340" s="19" t="str">
        <f>IFERROR(VLOOKUP(F340,케이블트레이입.출고현황!W343:AB418,2,0),"")</f>
        <v/>
      </c>
      <c r="H340" s="19" t="str">
        <f>IFERROR(VLOOKUP(G340,케이블트레이입.출고현황!X343:AC418,2,0),"")</f>
        <v/>
      </c>
      <c r="I340" s="19" t="str">
        <f>IFERROR(VLOOKUP(H340,케이블트레이입.출고현황!Y343:AD418,2,0),"")</f>
        <v/>
      </c>
      <c r="J340" s="9">
        <v>3</v>
      </c>
      <c r="K340" s="9"/>
      <c r="L340" s="37"/>
      <c r="M340" s="64"/>
      <c r="N340" s="42"/>
    </row>
    <row r="341" spans="1:14" ht="24" customHeight="1">
      <c r="A341" s="8">
        <v>301</v>
      </c>
      <c r="B341" s="9">
        <v>301</v>
      </c>
      <c r="C341" s="46"/>
      <c r="D341" s="9"/>
      <c r="E341" s="19" t="str">
        <f>IFERROR(VLOOKUP(D341,케이블트레이입.출고현황!U344:Z419,2,0),"")</f>
        <v/>
      </c>
      <c r="F341" s="19" t="str">
        <f>IFERROR(VLOOKUP(E341,케이블트레이입.출고현황!V344:AA419,2,0),"")</f>
        <v/>
      </c>
      <c r="G341" s="19" t="str">
        <f>IFERROR(VLOOKUP(F341,케이블트레이입.출고현황!W344:AB419,2,0),"")</f>
        <v/>
      </c>
      <c r="H341" s="19" t="str">
        <f>IFERROR(VLOOKUP(G341,케이블트레이입.출고현황!X344:AC419,2,0),"")</f>
        <v/>
      </c>
      <c r="I341" s="19" t="str">
        <f>IFERROR(VLOOKUP(H341,케이블트레이입.출고현황!Y344:AD419,2,0),"")</f>
        <v/>
      </c>
      <c r="J341" s="9">
        <v>3</v>
      </c>
      <c r="K341" s="9"/>
      <c r="L341" s="37"/>
      <c r="M341" s="64"/>
      <c r="N341" s="42"/>
    </row>
    <row r="342" spans="1:14" ht="24" customHeight="1">
      <c r="A342" s="8">
        <v>302</v>
      </c>
      <c r="B342" s="9">
        <v>302</v>
      </c>
      <c r="C342" s="46"/>
      <c r="D342" s="9"/>
      <c r="E342" s="19" t="str">
        <f>IFERROR(VLOOKUP(D342,케이블트레이입.출고현황!U345:Z420,2,0),"")</f>
        <v/>
      </c>
      <c r="F342" s="19" t="str">
        <f>IFERROR(VLOOKUP(E342,케이블트레이입.출고현황!V345:AA420,2,0),"")</f>
        <v/>
      </c>
      <c r="G342" s="19" t="str">
        <f>IFERROR(VLOOKUP(F342,케이블트레이입.출고현황!W345:AB420,2,0),"")</f>
        <v/>
      </c>
      <c r="H342" s="19" t="str">
        <f>IFERROR(VLOOKUP(G342,케이블트레이입.출고현황!X345:AC420,2,0),"")</f>
        <v/>
      </c>
      <c r="I342" s="19" t="str">
        <f>IFERROR(VLOOKUP(H342,케이블트레이입.출고현황!Y345:AD420,2,0),"")</f>
        <v/>
      </c>
      <c r="J342" s="9">
        <v>4</v>
      </c>
      <c r="K342" s="9"/>
      <c r="L342" s="37"/>
      <c r="M342" s="64"/>
      <c r="N342" s="42"/>
    </row>
    <row r="343" spans="1:14" ht="24" customHeight="1">
      <c r="A343" s="8">
        <v>303</v>
      </c>
      <c r="B343" s="9">
        <v>303</v>
      </c>
      <c r="C343" s="46"/>
      <c r="D343" s="9"/>
      <c r="E343" s="19" t="str">
        <f>IFERROR(VLOOKUP(D343,케이블트레이입.출고현황!U346:Z421,2,0),"")</f>
        <v/>
      </c>
      <c r="F343" s="19" t="str">
        <f>IFERROR(VLOOKUP(E343,케이블트레이입.출고현황!V346:AA421,2,0),"")</f>
        <v/>
      </c>
      <c r="G343" s="19" t="str">
        <f>IFERROR(VLOOKUP(F343,케이블트레이입.출고현황!W346:AB421,2,0),"")</f>
        <v/>
      </c>
      <c r="H343" s="19" t="str">
        <f>IFERROR(VLOOKUP(G343,케이블트레이입.출고현황!X346:AC421,2,0),"")</f>
        <v/>
      </c>
      <c r="I343" s="19" t="str">
        <f>IFERROR(VLOOKUP(H343,케이블트레이입.출고현황!Y346:AD421,2,0),"")</f>
        <v/>
      </c>
      <c r="J343" s="9">
        <v>2</v>
      </c>
      <c r="K343" s="9"/>
      <c r="L343" s="37"/>
      <c r="M343" s="64"/>
      <c r="N343" s="42"/>
    </row>
    <row r="344" spans="1:14" ht="24" customHeight="1">
      <c r="A344" s="8">
        <v>304</v>
      </c>
      <c r="B344" s="9">
        <v>304</v>
      </c>
      <c r="C344" s="46"/>
      <c r="D344" s="9"/>
      <c r="E344" s="19" t="str">
        <f>IFERROR(VLOOKUP(D344,케이블트레이입.출고현황!U347:Z422,2,0),"")</f>
        <v/>
      </c>
      <c r="F344" s="19" t="str">
        <f>IFERROR(VLOOKUP(E344,케이블트레이입.출고현황!V347:AA422,2,0),"")</f>
        <v/>
      </c>
      <c r="G344" s="19" t="str">
        <f>IFERROR(VLOOKUP(F344,케이블트레이입.출고현황!W347:AB422,2,0),"")</f>
        <v/>
      </c>
      <c r="H344" s="19" t="str">
        <f>IFERROR(VLOOKUP(G344,케이블트레이입.출고현황!X347:AC422,2,0),"")</f>
        <v/>
      </c>
      <c r="I344" s="19" t="str">
        <f>IFERROR(VLOOKUP(H344,케이블트레이입.출고현황!Y347:AD422,2,0),"")</f>
        <v/>
      </c>
      <c r="J344" s="9">
        <v>1</v>
      </c>
      <c r="K344" s="9"/>
      <c r="L344" s="37"/>
      <c r="M344" s="64"/>
      <c r="N344" s="42"/>
    </row>
    <row r="345" spans="1:14" ht="24" customHeight="1">
      <c r="A345" s="8">
        <v>305</v>
      </c>
      <c r="B345" s="9">
        <v>305</v>
      </c>
      <c r="C345" s="46"/>
      <c r="D345" s="9"/>
      <c r="E345" s="19" t="str">
        <f>IFERROR(VLOOKUP(D345,케이블트레이입.출고현황!U348:Z423,2,0),"")</f>
        <v/>
      </c>
      <c r="F345" s="19" t="str">
        <f>IFERROR(VLOOKUP(E345,케이블트레이입.출고현황!V348:AA423,2,0),"")</f>
        <v/>
      </c>
      <c r="G345" s="19" t="str">
        <f>IFERROR(VLOOKUP(F345,케이블트레이입.출고현황!W348:AB423,2,0),"")</f>
        <v/>
      </c>
      <c r="H345" s="19" t="str">
        <f>IFERROR(VLOOKUP(G345,케이블트레이입.출고현황!X348:AC423,2,0),"")</f>
        <v/>
      </c>
      <c r="I345" s="19" t="str">
        <f>IFERROR(VLOOKUP(H345,케이블트레이입.출고현황!Y348:AD423,2,0),"")</f>
        <v/>
      </c>
      <c r="J345" s="9">
        <v>1</v>
      </c>
      <c r="K345" s="9"/>
      <c r="L345" s="37"/>
      <c r="M345" s="64"/>
      <c r="N345" s="42"/>
    </row>
    <row r="346" spans="1:14" ht="24" customHeight="1">
      <c r="A346" s="8">
        <v>306</v>
      </c>
      <c r="B346" s="9">
        <v>306</v>
      </c>
      <c r="C346" s="46"/>
      <c r="D346" s="9"/>
      <c r="E346" s="19" t="str">
        <f>IFERROR(VLOOKUP(D346,케이블트레이입.출고현황!U349:Z424,2,0),"")</f>
        <v/>
      </c>
      <c r="F346" s="19" t="str">
        <f>IFERROR(VLOOKUP(E346,케이블트레이입.출고현황!V349:AA424,2,0),"")</f>
        <v/>
      </c>
      <c r="G346" s="19" t="str">
        <f>IFERROR(VLOOKUP(F346,케이블트레이입.출고현황!W349:AB424,2,0),"")</f>
        <v/>
      </c>
      <c r="H346" s="19" t="str">
        <f>IFERROR(VLOOKUP(G346,케이블트레이입.출고현황!X349:AC424,2,0),"")</f>
        <v/>
      </c>
      <c r="I346" s="19" t="str">
        <f>IFERROR(VLOOKUP(H346,케이블트레이입.출고현황!Y349:AD424,2,0),"")</f>
        <v/>
      </c>
      <c r="J346" s="9">
        <v>1</v>
      </c>
      <c r="K346" s="9"/>
      <c r="L346" s="37"/>
      <c r="M346" s="64"/>
      <c r="N346" s="42"/>
    </row>
    <row r="347" spans="1:14" ht="24" customHeight="1">
      <c r="A347" s="8">
        <v>307</v>
      </c>
      <c r="B347" s="9">
        <v>307</v>
      </c>
      <c r="C347" s="46"/>
      <c r="D347" s="9"/>
      <c r="E347" s="19" t="str">
        <f>IFERROR(VLOOKUP(D347,케이블트레이입.출고현황!U350:Z425,2,0),"")</f>
        <v/>
      </c>
      <c r="F347" s="19" t="str">
        <f>IFERROR(VLOOKUP(E347,케이블트레이입.출고현황!V350:AA425,2,0),"")</f>
        <v/>
      </c>
      <c r="G347" s="19" t="str">
        <f>IFERROR(VLOOKUP(F347,케이블트레이입.출고현황!W350:AB425,2,0),"")</f>
        <v/>
      </c>
      <c r="H347" s="19" t="str">
        <f>IFERROR(VLOOKUP(G347,케이블트레이입.출고현황!X350:AC425,2,0),"")</f>
        <v/>
      </c>
      <c r="I347" s="19" t="str">
        <f>IFERROR(VLOOKUP(H347,케이블트레이입.출고현황!Y350:AD425,2,0),"")</f>
        <v/>
      </c>
      <c r="J347" s="9">
        <v>4</v>
      </c>
      <c r="K347" s="9"/>
      <c r="L347" s="37"/>
      <c r="M347" s="64"/>
      <c r="N347" s="42"/>
    </row>
    <row r="348" spans="1:14" ht="24" customHeight="1">
      <c r="A348" s="8">
        <v>308</v>
      </c>
      <c r="B348" s="9">
        <v>308</v>
      </c>
      <c r="C348" s="46"/>
      <c r="D348" s="9"/>
      <c r="E348" s="19" t="str">
        <f>IFERROR(VLOOKUP(D348,케이블트레이입.출고현황!U351:Z426,2,0),"")</f>
        <v/>
      </c>
      <c r="F348" s="19" t="str">
        <f>IFERROR(VLOOKUP(E348,케이블트레이입.출고현황!V351:AA426,2,0),"")</f>
        <v/>
      </c>
      <c r="G348" s="19" t="str">
        <f>IFERROR(VLOOKUP(F348,케이블트레이입.출고현황!W351:AB426,2,0),"")</f>
        <v/>
      </c>
      <c r="H348" s="19" t="str">
        <f>IFERROR(VLOOKUP(G348,케이블트레이입.출고현황!X351:AC426,2,0),"")</f>
        <v/>
      </c>
      <c r="I348" s="19" t="str">
        <f>IFERROR(VLOOKUP(H348,케이블트레이입.출고현황!Y351:AD426,2,0),"")</f>
        <v/>
      </c>
      <c r="J348" s="9">
        <v>1</v>
      </c>
      <c r="K348" s="9"/>
      <c r="L348" s="37"/>
      <c r="M348" s="64"/>
      <c r="N348" s="42"/>
    </row>
    <row r="349" spans="1:14" ht="24" customHeight="1">
      <c r="A349" s="8">
        <v>309</v>
      </c>
      <c r="B349" s="9">
        <v>309</v>
      </c>
      <c r="C349" s="46"/>
      <c r="D349" s="9"/>
      <c r="E349" s="19" t="str">
        <f>IFERROR(VLOOKUP(D349,케이블트레이입.출고현황!U352:Z427,2,0),"")</f>
        <v/>
      </c>
      <c r="F349" s="19" t="str">
        <f>IFERROR(VLOOKUP(E349,케이블트레이입.출고현황!V352:AA427,2,0),"")</f>
        <v/>
      </c>
      <c r="G349" s="19" t="str">
        <f>IFERROR(VLOOKUP(F349,케이블트레이입.출고현황!W352:AB427,2,0),"")</f>
        <v/>
      </c>
      <c r="H349" s="19" t="str">
        <f>IFERROR(VLOOKUP(G349,케이블트레이입.출고현황!X352:AC427,2,0),"")</f>
        <v/>
      </c>
      <c r="I349" s="19" t="str">
        <f>IFERROR(VLOOKUP(H349,케이블트레이입.출고현황!Y352:AD427,2,0),"")</f>
        <v/>
      </c>
      <c r="J349" s="9">
        <v>1</v>
      </c>
      <c r="K349" s="9"/>
      <c r="L349" s="37"/>
      <c r="M349" s="64"/>
      <c r="N349" s="42"/>
    </row>
    <row r="350" spans="1:14" ht="24" customHeight="1">
      <c r="A350" s="8">
        <v>310</v>
      </c>
      <c r="B350" s="9">
        <v>310</v>
      </c>
      <c r="C350" s="46"/>
      <c r="D350" s="9"/>
      <c r="E350" s="19" t="str">
        <f>IFERROR(VLOOKUP(D350,케이블트레이입.출고현황!U353:Z428,2,0),"")</f>
        <v/>
      </c>
      <c r="F350" s="19" t="str">
        <f>IFERROR(VLOOKUP(E350,케이블트레이입.출고현황!V353:AA428,2,0),"")</f>
        <v/>
      </c>
      <c r="G350" s="19" t="str">
        <f>IFERROR(VLOOKUP(F350,케이블트레이입.출고현황!W353:AB428,2,0),"")</f>
        <v/>
      </c>
      <c r="H350" s="19" t="str">
        <f>IFERROR(VLOOKUP(G350,케이블트레이입.출고현황!X353:AC428,2,0),"")</f>
        <v/>
      </c>
      <c r="I350" s="19" t="str">
        <f>IFERROR(VLOOKUP(H350,케이블트레이입.출고현황!Y353:AD428,2,0),"")</f>
        <v/>
      </c>
      <c r="J350" s="9">
        <v>3</v>
      </c>
      <c r="K350" s="9"/>
      <c r="L350" s="37"/>
      <c r="M350" s="64"/>
      <c r="N350" s="42"/>
    </row>
    <row r="351" spans="1:14" ht="24" customHeight="1">
      <c r="A351" s="8">
        <v>311</v>
      </c>
      <c r="B351" s="9">
        <v>311</v>
      </c>
      <c r="C351" s="46"/>
      <c r="D351" s="9"/>
      <c r="E351" s="19" t="str">
        <f>IFERROR(VLOOKUP(D351,케이블트레이입.출고현황!U354:Z429,2,0),"")</f>
        <v/>
      </c>
      <c r="F351" s="19" t="str">
        <f>IFERROR(VLOOKUP(E351,케이블트레이입.출고현황!V354:AA429,2,0),"")</f>
        <v/>
      </c>
      <c r="G351" s="19" t="str">
        <f>IFERROR(VLOOKUP(F351,케이블트레이입.출고현황!W354:AB429,2,0),"")</f>
        <v/>
      </c>
      <c r="H351" s="19" t="str">
        <f>IFERROR(VLOOKUP(G351,케이블트레이입.출고현황!X354:AC429,2,0),"")</f>
        <v/>
      </c>
      <c r="I351" s="19" t="str">
        <f>IFERROR(VLOOKUP(H351,케이블트레이입.출고현황!Y354:AD429,2,0),"")</f>
        <v/>
      </c>
      <c r="J351" s="9">
        <v>2</v>
      </c>
      <c r="K351" s="9"/>
      <c r="L351" s="37"/>
      <c r="M351" s="64"/>
      <c r="N351" s="42"/>
    </row>
    <row r="352" spans="1:14" ht="24" customHeight="1">
      <c r="A352" s="8">
        <v>312</v>
      </c>
      <c r="B352" s="9">
        <v>312</v>
      </c>
      <c r="C352" s="46"/>
      <c r="D352" s="9"/>
      <c r="E352" s="19" t="str">
        <f>IFERROR(VLOOKUP(D352,케이블트레이입.출고현황!U355:Z430,2,0),"")</f>
        <v/>
      </c>
      <c r="F352" s="19" t="str">
        <f>IFERROR(VLOOKUP(E352,케이블트레이입.출고현황!V355:AA430,2,0),"")</f>
        <v/>
      </c>
      <c r="G352" s="19" t="str">
        <f>IFERROR(VLOOKUP(F352,케이블트레이입.출고현황!W355:AB430,2,0),"")</f>
        <v/>
      </c>
      <c r="H352" s="19" t="str">
        <f>IFERROR(VLOOKUP(G352,케이블트레이입.출고현황!X355:AC430,2,0),"")</f>
        <v/>
      </c>
      <c r="I352" s="19" t="str">
        <f>IFERROR(VLOOKUP(H352,케이블트레이입.출고현황!Y355:AD430,2,0),"")</f>
        <v/>
      </c>
      <c r="J352" s="9">
        <v>2</v>
      </c>
      <c r="K352" s="9"/>
      <c r="L352" s="37"/>
      <c r="M352" s="64"/>
      <c r="N352" s="42"/>
    </row>
    <row r="353" spans="1:14" ht="24" customHeight="1">
      <c r="A353" s="8">
        <v>313</v>
      </c>
      <c r="B353" s="9">
        <v>313</v>
      </c>
      <c r="C353" s="46"/>
      <c r="D353" s="9"/>
      <c r="E353" s="19" t="str">
        <f>IFERROR(VLOOKUP(D353,케이블트레이입.출고현황!U356:Z431,2,0),"")</f>
        <v/>
      </c>
      <c r="F353" s="19" t="str">
        <f>IFERROR(VLOOKUP(E353,케이블트레이입.출고현황!V356:AA431,2,0),"")</f>
        <v/>
      </c>
      <c r="G353" s="19" t="str">
        <f>IFERROR(VLOOKUP(F353,케이블트레이입.출고현황!W356:AB431,2,0),"")</f>
        <v/>
      </c>
      <c r="H353" s="19" t="str">
        <f>IFERROR(VLOOKUP(G353,케이블트레이입.출고현황!X356:AC431,2,0),"")</f>
        <v/>
      </c>
      <c r="I353" s="19" t="str">
        <f>IFERROR(VLOOKUP(H353,케이블트레이입.출고현황!Y356:AD431,2,0),"")</f>
        <v/>
      </c>
      <c r="J353" s="9">
        <v>2</v>
      </c>
      <c r="K353" s="9"/>
      <c r="L353" s="37"/>
      <c r="M353" s="64"/>
      <c r="N353" s="42"/>
    </row>
    <row r="354" spans="1:14" ht="24" customHeight="1">
      <c r="A354" s="8">
        <v>314</v>
      </c>
      <c r="B354" s="9">
        <v>314</v>
      </c>
      <c r="C354" s="46"/>
      <c r="D354" s="9"/>
      <c r="E354" s="19" t="str">
        <f>IFERROR(VLOOKUP(D354,케이블트레이입.출고현황!U357:Z432,2,0),"")</f>
        <v/>
      </c>
      <c r="F354" s="19" t="str">
        <f>IFERROR(VLOOKUP(E354,케이블트레이입.출고현황!V357:AA432,2,0),"")</f>
        <v/>
      </c>
      <c r="G354" s="19" t="str">
        <f>IFERROR(VLOOKUP(F354,케이블트레이입.출고현황!W357:AB432,2,0),"")</f>
        <v/>
      </c>
      <c r="H354" s="19" t="str">
        <f>IFERROR(VLOOKUP(G354,케이블트레이입.출고현황!X357:AC432,2,0),"")</f>
        <v/>
      </c>
      <c r="I354" s="19" t="str">
        <f>IFERROR(VLOOKUP(H354,케이블트레이입.출고현황!Y357:AD432,2,0),"")</f>
        <v/>
      </c>
      <c r="J354" s="9">
        <v>4</v>
      </c>
      <c r="K354" s="9"/>
      <c r="L354" s="37"/>
      <c r="M354" s="64"/>
      <c r="N354" s="42"/>
    </row>
    <row r="355" spans="1:14" ht="24" customHeight="1">
      <c r="A355" s="8">
        <v>315</v>
      </c>
      <c r="B355" s="9">
        <v>315</v>
      </c>
      <c r="C355" s="46"/>
      <c r="D355" s="9"/>
      <c r="E355" s="19" t="str">
        <f>IFERROR(VLOOKUP(D355,케이블트레이입.출고현황!U358:Z433,2,0),"")</f>
        <v/>
      </c>
      <c r="F355" s="19" t="str">
        <f>IFERROR(VLOOKUP(E355,케이블트레이입.출고현황!V358:AA433,2,0),"")</f>
        <v/>
      </c>
      <c r="G355" s="19" t="str">
        <f>IFERROR(VLOOKUP(F355,케이블트레이입.출고현황!W358:AB433,2,0),"")</f>
        <v/>
      </c>
      <c r="H355" s="19" t="str">
        <f>IFERROR(VLOOKUP(G355,케이블트레이입.출고현황!X358:AC433,2,0),"")</f>
        <v/>
      </c>
      <c r="I355" s="19" t="str">
        <f>IFERROR(VLOOKUP(H355,케이블트레이입.출고현황!Y358:AD433,2,0),"")</f>
        <v/>
      </c>
      <c r="J355" s="9">
        <v>1</v>
      </c>
      <c r="K355" s="9"/>
      <c r="L355" s="37"/>
      <c r="M355" s="64"/>
      <c r="N355" s="42"/>
    </row>
    <row r="356" spans="1:14" ht="24" customHeight="1">
      <c r="A356" s="8">
        <v>316</v>
      </c>
      <c r="B356" s="9">
        <v>316</v>
      </c>
      <c r="C356" s="46"/>
      <c r="D356" s="9"/>
      <c r="E356" s="19" t="str">
        <f>IFERROR(VLOOKUP(D356,케이블트레이입.출고현황!U359:Z434,2,0),"")</f>
        <v/>
      </c>
      <c r="F356" s="19" t="str">
        <f>IFERROR(VLOOKUP(E356,케이블트레이입.출고현황!V359:AA434,2,0),"")</f>
        <v/>
      </c>
      <c r="G356" s="19" t="str">
        <f>IFERROR(VLOOKUP(F356,케이블트레이입.출고현황!W359:AB434,2,0),"")</f>
        <v/>
      </c>
      <c r="H356" s="19" t="str">
        <f>IFERROR(VLOOKUP(G356,케이블트레이입.출고현황!X359:AC434,2,0),"")</f>
        <v/>
      </c>
      <c r="I356" s="19" t="str">
        <f>IFERROR(VLOOKUP(H356,케이블트레이입.출고현황!Y359:AD434,2,0),"")</f>
        <v/>
      </c>
      <c r="J356" s="9">
        <v>3</v>
      </c>
      <c r="K356" s="9"/>
      <c r="L356" s="37"/>
      <c r="M356" s="64"/>
      <c r="N356" s="42"/>
    </row>
    <row r="357" spans="1:14" ht="24" customHeight="1">
      <c r="A357" s="8">
        <v>317</v>
      </c>
      <c r="B357" s="9">
        <v>317</v>
      </c>
      <c r="C357" s="46"/>
      <c r="D357" s="9"/>
      <c r="E357" s="19" t="str">
        <f>IFERROR(VLOOKUP(D357,케이블트레이입.출고현황!U360:Z435,2,0),"")</f>
        <v/>
      </c>
      <c r="F357" s="19" t="str">
        <f>IFERROR(VLOOKUP(E357,케이블트레이입.출고현황!V360:AA435,2,0),"")</f>
        <v/>
      </c>
      <c r="G357" s="19" t="str">
        <f>IFERROR(VLOOKUP(F357,케이블트레이입.출고현황!W360:AB435,2,0),"")</f>
        <v/>
      </c>
      <c r="H357" s="19" t="str">
        <f>IFERROR(VLOOKUP(G357,케이블트레이입.출고현황!X360:AC435,2,0),"")</f>
        <v/>
      </c>
      <c r="I357" s="19" t="str">
        <f>IFERROR(VLOOKUP(H357,케이블트레이입.출고현황!Y360:AD435,2,0),"")</f>
        <v/>
      </c>
      <c r="J357" s="9">
        <v>1</v>
      </c>
      <c r="K357" s="9"/>
      <c r="L357" s="37"/>
      <c r="M357" s="64"/>
      <c r="N357" s="42"/>
    </row>
    <row r="358" spans="1:14" ht="24" customHeight="1">
      <c r="A358" s="8">
        <v>318</v>
      </c>
      <c r="B358" s="9">
        <v>318</v>
      </c>
      <c r="C358" s="46"/>
      <c r="D358" s="9"/>
      <c r="E358" s="19" t="str">
        <f>IFERROR(VLOOKUP(D358,케이블트레이입.출고현황!U361:Z436,2,0),"")</f>
        <v/>
      </c>
      <c r="F358" s="19" t="str">
        <f>IFERROR(VLOOKUP(E358,케이블트레이입.출고현황!V361:AA436,2,0),"")</f>
        <v/>
      </c>
      <c r="G358" s="19" t="str">
        <f>IFERROR(VLOOKUP(F358,케이블트레이입.출고현황!W361:AB436,2,0),"")</f>
        <v/>
      </c>
      <c r="H358" s="19" t="str">
        <f>IFERROR(VLOOKUP(G358,케이블트레이입.출고현황!X361:AC436,2,0),"")</f>
        <v/>
      </c>
      <c r="I358" s="19" t="str">
        <f>IFERROR(VLOOKUP(H358,케이블트레이입.출고현황!Y361:AD436,2,0),"")</f>
        <v/>
      </c>
      <c r="J358" s="9">
        <v>2</v>
      </c>
      <c r="K358" s="9"/>
      <c r="L358" s="37"/>
      <c r="M358" s="64"/>
      <c r="N358" s="42"/>
    </row>
    <row r="359" spans="1:14" ht="24" customHeight="1">
      <c r="A359" s="8">
        <v>319</v>
      </c>
      <c r="B359" s="9">
        <v>319</v>
      </c>
      <c r="C359" s="46"/>
      <c r="D359" s="9"/>
      <c r="E359" s="19" t="str">
        <f>IFERROR(VLOOKUP(D359,케이블트레이입.출고현황!U362:Z437,2,0),"")</f>
        <v/>
      </c>
      <c r="F359" s="19" t="str">
        <f>IFERROR(VLOOKUP(E359,케이블트레이입.출고현황!V362:AA437,2,0),"")</f>
        <v/>
      </c>
      <c r="G359" s="19" t="str">
        <f>IFERROR(VLOOKUP(F359,케이블트레이입.출고현황!W362:AB437,2,0),"")</f>
        <v/>
      </c>
      <c r="H359" s="19" t="str">
        <f>IFERROR(VLOOKUP(G359,케이블트레이입.출고현황!X362:AC437,2,0),"")</f>
        <v/>
      </c>
      <c r="I359" s="19" t="str">
        <f>IFERROR(VLOOKUP(H359,케이블트레이입.출고현황!Y362:AD437,2,0),"")</f>
        <v/>
      </c>
      <c r="J359" s="9">
        <v>3</v>
      </c>
      <c r="K359" s="9"/>
      <c r="L359" s="37"/>
      <c r="M359" s="64"/>
      <c r="N359" s="42"/>
    </row>
    <row r="360" spans="1:14" ht="24" customHeight="1">
      <c r="A360" s="8">
        <v>320</v>
      </c>
      <c r="B360" s="9">
        <v>320</v>
      </c>
      <c r="C360" s="46"/>
      <c r="D360" s="9"/>
      <c r="E360" s="19" t="str">
        <f>IFERROR(VLOOKUP(D360,케이블트레이입.출고현황!U363:Z438,2,0),"")</f>
        <v/>
      </c>
      <c r="F360" s="19" t="str">
        <f>IFERROR(VLOOKUP(E360,케이블트레이입.출고현황!V363:AA438,2,0),"")</f>
        <v/>
      </c>
      <c r="G360" s="19" t="str">
        <f>IFERROR(VLOOKUP(F360,케이블트레이입.출고현황!W363:AB438,2,0),"")</f>
        <v/>
      </c>
      <c r="H360" s="19" t="str">
        <f>IFERROR(VLOOKUP(G360,케이블트레이입.출고현황!X363:AC438,2,0),"")</f>
        <v/>
      </c>
      <c r="I360" s="19" t="str">
        <f>IFERROR(VLOOKUP(H360,케이블트레이입.출고현황!Y363:AD438,2,0),"")</f>
        <v/>
      </c>
      <c r="J360" s="9">
        <v>1</v>
      </c>
      <c r="K360" s="9"/>
      <c r="L360" s="37"/>
      <c r="M360" s="64"/>
      <c r="N360" s="42"/>
    </row>
    <row r="361" spans="1:14" ht="24" customHeight="1">
      <c r="A361" s="8">
        <v>321</v>
      </c>
      <c r="B361" s="9">
        <v>321</v>
      </c>
      <c r="C361" s="46"/>
      <c r="D361" s="9"/>
      <c r="E361" s="19" t="str">
        <f>IFERROR(VLOOKUP(D361,케이블트레이입.출고현황!U364:Z439,2,0),"")</f>
        <v/>
      </c>
      <c r="F361" s="19" t="str">
        <f>IFERROR(VLOOKUP(E361,케이블트레이입.출고현황!V364:AA439,2,0),"")</f>
        <v/>
      </c>
      <c r="G361" s="19" t="str">
        <f>IFERROR(VLOOKUP(F361,케이블트레이입.출고현황!W364:AB439,2,0),"")</f>
        <v/>
      </c>
      <c r="H361" s="19" t="str">
        <f>IFERROR(VLOOKUP(G361,케이블트레이입.출고현황!X364:AC439,2,0),"")</f>
        <v/>
      </c>
      <c r="I361" s="19" t="str">
        <f>IFERROR(VLOOKUP(H361,케이블트레이입.출고현황!Y364:AD439,2,0),"")</f>
        <v/>
      </c>
      <c r="J361" s="9">
        <v>1</v>
      </c>
      <c r="K361" s="9"/>
      <c r="L361" s="37"/>
      <c r="M361" s="64"/>
      <c r="N361" s="42"/>
    </row>
    <row r="362" spans="1:14" ht="24" customHeight="1">
      <c r="A362" s="8">
        <v>322</v>
      </c>
      <c r="B362" s="9">
        <v>322</v>
      </c>
      <c r="C362" s="46"/>
      <c r="D362" s="9"/>
      <c r="E362" s="19" t="str">
        <f>IFERROR(VLOOKUP(D362,케이블트레이입.출고현황!U365:Z440,2,0),"")</f>
        <v/>
      </c>
      <c r="F362" s="19" t="str">
        <f>IFERROR(VLOOKUP(E362,케이블트레이입.출고현황!V365:AA440,2,0),"")</f>
        <v/>
      </c>
      <c r="G362" s="19" t="str">
        <f>IFERROR(VLOOKUP(F362,케이블트레이입.출고현황!W365:AB440,2,0),"")</f>
        <v/>
      </c>
      <c r="H362" s="19" t="str">
        <f>IFERROR(VLOOKUP(G362,케이블트레이입.출고현황!X365:AC440,2,0),"")</f>
        <v/>
      </c>
      <c r="I362" s="19" t="str">
        <f>IFERROR(VLOOKUP(H362,케이블트레이입.출고현황!Y365:AD440,2,0),"")</f>
        <v/>
      </c>
      <c r="J362" s="9">
        <v>3</v>
      </c>
      <c r="K362" s="9"/>
      <c r="L362" s="37"/>
      <c r="M362" s="64"/>
      <c r="N362" s="42"/>
    </row>
    <row r="363" spans="1:14" ht="24" customHeight="1">
      <c r="A363" s="8">
        <v>323</v>
      </c>
      <c r="B363" s="9">
        <v>323</v>
      </c>
      <c r="C363" s="46"/>
      <c r="D363" s="9"/>
      <c r="E363" s="19" t="str">
        <f>IFERROR(VLOOKUP(D363,케이블트레이입.출고현황!U366:Z441,2,0),"")</f>
        <v/>
      </c>
      <c r="F363" s="19" t="str">
        <f>IFERROR(VLOOKUP(E363,케이블트레이입.출고현황!V366:AA441,2,0),"")</f>
        <v/>
      </c>
      <c r="G363" s="19" t="str">
        <f>IFERROR(VLOOKUP(F363,케이블트레이입.출고현황!W366:AB441,2,0),"")</f>
        <v/>
      </c>
      <c r="H363" s="19" t="str">
        <f>IFERROR(VLOOKUP(G363,케이블트레이입.출고현황!X366:AC441,2,0),"")</f>
        <v/>
      </c>
      <c r="I363" s="19" t="str">
        <f>IFERROR(VLOOKUP(H363,케이블트레이입.출고현황!Y366:AD441,2,0),"")</f>
        <v/>
      </c>
      <c r="J363" s="9">
        <v>2</v>
      </c>
      <c r="K363" s="9"/>
      <c r="L363" s="37"/>
      <c r="M363" s="64"/>
      <c r="N363" s="42"/>
    </row>
    <row r="364" spans="1:14" ht="24" customHeight="1">
      <c r="A364" s="8">
        <v>324</v>
      </c>
      <c r="B364" s="9">
        <v>324</v>
      </c>
      <c r="C364" s="46"/>
      <c r="D364" s="9"/>
      <c r="E364" s="19" t="str">
        <f>IFERROR(VLOOKUP(D364,케이블트레이입.출고현황!U367:Z442,2,0),"")</f>
        <v/>
      </c>
      <c r="F364" s="19" t="str">
        <f>IFERROR(VLOOKUP(E364,케이블트레이입.출고현황!V367:AA442,2,0),"")</f>
        <v/>
      </c>
      <c r="G364" s="19" t="str">
        <f>IFERROR(VLOOKUP(F364,케이블트레이입.출고현황!W367:AB442,2,0),"")</f>
        <v/>
      </c>
      <c r="H364" s="19" t="str">
        <f>IFERROR(VLOOKUP(G364,케이블트레이입.출고현황!X367:AC442,2,0),"")</f>
        <v/>
      </c>
      <c r="I364" s="19" t="str">
        <f>IFERROR(VLOOKUP(H364,케이블트레이입.출고현황!Y367:AD442,2,0),"")</f>
        <v/>
      </c>
      <c r="J364" s="9">
        <v>4</v>
      </c>
      <c r="K364" s="9"/>
      <c r="L364" s="37"/>
      <c r="M364" s="64"/>
      <c r="N364" s="42"/>
    </row>
    <row r="365" spans="1:14" ht="24" customHeight="1">
      <c r="A365" s="8">
        <v>325</v>
      </c>
      <c r="B365" s="9">
        <v>325</v>
      </c>
      <c r="C365" s="46"/>
      <c r="D365" s="9"/>
      <c r="E365" s="19" t="str">
        <f>IFERROR(VLOOKUP(D365,케이블트레이입.출고현황!U368:Z443,2,0),"")</f>
        <v/>
      </c>
      <c r="F365" s="19" t="str">
        <f>IFERROR(VLOOKUP(E365,케이블트레이입.출고현황!V368:AA443,2,0),"")</f>
        <v/>
      </c>
      <c r="G365" s="19" t="str">
        <f>IFERROR(VLOOKUP(F365,케이블트레이입.출고현황!W368:AB443,2,0),"")</f>
        <v/>
      </c>
      <c r="H365" s="19" t="str">
        <f>IFERROR(VLOOKUP(G365,케이블트레이입.출고현황!X368:AC443,2,0),"")</f>
        <v/>
      </c>
      <c r="I365" s="19" t="str">
        <f>IFERROR(VLOOKUP(H365,케이블트레이입.출고현황!Y368:AD443,2,0),"")</f>
        <v/>
      </c>
      <c r="J365" s="9">
        <v>1</v>
      </c>
      <c r="K365" s="9"/>
      <c r="L365" s="37"/>
      <c r="M365" s="64"/>
      <c r="N365" s="42"/>
    </row>
    <row r="366" spans="1:14" ht="24" customHeight="1">
      <c r="A366" s="8">
        <v>326</v>
      </c>
      <c r="B366" s="9">
        <v>326</v>
      </c>
      <c r="C366" s="46"/>
      <c r="D366" s="9"/>
      <c r="E366" s="19" t="str">
        <f>IFERROR(VLOOKUP(D366,케이블트레이입.출고현황!U369:Z444,2,0),"")</f>
        <v/>
      </c>
      <c r="F366" s="19" t="str">
        <f>IFERROR(VLOOKUP(E366,케이블트레이입.출고현황!V369:AA444,2,0),"")</f>
        <v/>
      </c>
      <c r="G366" s="19" t="str">
        <f>IFERROR(VLOOKUP(F366,케이블트레이입.출고현황!W369:AB444,2,0),"")</f>
        <v/>
      </c>
      <c r="H366" s="19" t="str">
        <f>IFERROR(VLOOKUP(G366,케이블트레이입.출고현황!X369:AC444,2,0),"")</f>
        <v/>
      </c>
      <c r="I366" s="19" t="str">
        <f>IFERROR(VLOOKUP(H366,케이블트레이입.출고현황!Y369:AD444,2,0),"")</f>
        <v/>
      </c>
      <c r="J366" s="9">
        <v>1</v>
      </c>
      <c r="K366" s="9"/>
      <c r="L366" s="37"/>
      <c r="M366" s="64"/>
      <c r="N366" s="42"/>
    </row>
    <row r="367" spans="1:14" ht="24" customHeight="1">
      <c r="A367" s="8">
        <v>327</v>
      </c>
      <c r="B367" s="9">
        <v>327</v>
      </c>
      <c r="C367" s="46"/>
      <c r="D367" s="9"/>
      <c r="E367" s="19" t="str">
        <f>IFERROR(VLOOKUP(D367,케이블트레이입.출고현황!U370:Z445,2,0),"")</f>
        <v/>
      </c>
      <c r="F367" s="19" t="str">
        <f>IFERROR(VLOOKUP(E367,케이블트레이입.출고현황!V370:AA445,2,0),"")</f>
        <v/>
      </c>
      <c r="G367" s="19" t="str">
        <f>IFERROR(VLOOKUP(F367,케이블트레이입.출고현황!W370:AB445,2,0),"")</f>
        <v/>
      </c>
      <c r="H367" s="19" t="str">
        <f>IFERROR(VLOOKUP(G367,케이블트레이입.출고현황!X370:AC445,2,0),"")</f>
        <v/>
      </c>
      <c r="I367" s="19" t="str">
        <f>IFERROR(VLOOKUP(H367,케이블트레이입.출고현황!Y370:AD445,2,0),"")</f>
        <v/>
      </c>
      <c r="J367" s="9">
        <v>2</v>
      </c>
      <c r="K367" s="9"/>
      <c r="L367" s="37"/>
      <c r="M367" s="64"/>
      <c r="N367" s="42"/>
    </row>
    <row r="368" spans="1:14" ht="24" customHeight="1">
      <c r="A368" s="8">
        <v>328</v>
      </c>
      <c r="B368" s="9">
        <v>328</v>
      </c>
      <c r="C368" s="46"/>
      <c r="D368" s="9"/>
      <c r="E368" s="19" t="str">
        <f>IFERROR(VLOOKUP(D368,케이블트레이입.출고현황!U371:Z446,2,0),"")</f>
        <v/>
      </c>
      <c r="F368" s="19" t="str">
        <f>IFERROR(VLOOKUP(E368,케이블트레이입.출고현황!V371:AA446,2,0),"")</f>
        <v/>
      </c>
      <c r="G368" s="19" t="str">
        <f>IFERROR(VLOOKUP(F368,케이블트레이입.출고현황!W371:AB446,2,0),"")</f>
        <v/>
      </c>
      <c r="H368" s="19" t="str">
        <f>IFERROR(VLOOKUP(G368,케이블트레이입.출고현황!X371:AC446,2,0),"")</f>
        <v/>
      </c>
      <c r="I368" s="19" t="str">
        <f>IFERROR(VLOOKUP(H368,케이블트레이입.출고현황!Y371:AD446,2,0),"")</f>
        <v/>
      </c>
      <c r="J368" s="9">
        <v>1</v>
      </c>
      <c r="K368" s="9"/>
      <c r="L368" s="37"/>
      <c r="M368" s="64"/>
      <c r="N368" s="42"/>
    </row>
    <row r="369" spans="1:14" ht="24" customHeight="1">
      <c r="A369" s="8">
        <v>329</v>
      </c>
      <c r="B369" s="9">
        <v>329</v>
      </c>
      <c r="C369" s="46"/>
      <c r="D369" s="9"/>
      <c r="E369" s="19" t="str">
        <f>IFERROR(VLOOKUP(D369,케이블트레이입.출고현황!U372:Z447,2,0),"")</f>
        <v/>
      </c>
      <c r="F369" s="19" t="str">
        <f>IFERROR(VLOOKUP(E369,케이블트레이입.출고현황!V372:AA447,2,0),"")</f>
        <v/>
      </c>
      <c r="G369" s="19" t="str">
        <f>IFERROR(VLOOKUP(F369,케이블트레이입.출고현황!W372:AB447,2,0),"")</f>
        <v/>
      </c>
      <c r="H369" s="19" t="str">
        <f>IFERROR(VLOOKUP(G369,케이블트레이입.출고현황!X372:AC447,2,0),"")</f>
        <v/>
      </c>
      <c r="I369" s="19" t="str">
        <f>IFERROR(VLOOKUP(H369,케이블트레이입.출고현황!Y372:AD447,2,0),"")</f>
        <v/>
      </c>
      <c r="J369" s="9">
        <v>1</v>
      </c>
      <c r="K369" s="9"/>
      <c r="L369" s="37"/>
      <c r="M369" s="64"/>
      <c r="N369" s="42"/>
    </row>
    <row r="370" spans="1:14" ht="24" customHeight="1">
      <c r="A370" s="8">
        <v>330</v>
      </c>
      <c r="B370" s="9">
        <v>330</v>
      </c>
      <c r="C370" s="46"/>
      <c r="D370" s="9"/>
      <c r="E370" s="19" t="str">
        <f>IFERROR(VLOOKUP(D370,케이블트레이입.출고현황!U373:Z448,2,0),"")</f>
        <v/>
      </c>
      <c r="F370" s="19" t="str">
        <f>IFERROR(VLOOKUP(E370,케이블트레이입.출고현황!V373:AA448,2,0),"")</f>
        <v/>
      </c>
      <c r="G370" s="19" t="str">
        <f>IFERROR(VLOOKUP(F370,케이블트레이입.출고현황!W373:AB448,2,0),"")</f>
        <v/>
      </c>
      <c r="H370" s="19" t="str">
        <f>IFERROR(VLOOKUP(G370,케이블트레이입.출고현황!X373:AC448,2,0),"")</f>
        <v/>
      </c>
      <c r="I370" s="19" t="str">
        <f>IFERROR(VLOOKUP(H370,케이블트레이입.출고현황!Y373:AD448,2,0),"")</f>
        <v/>
      </c>
      <c r="J370" s="9">
        <v>2</v>
      </c>
      <c r="K370" s="9"/>
      <c r="L370" s="37"/>
      <c r="M370" s="64"/>
      <c r="N370" s="42"/>
    </row>
    <row r="371" spans="1:14" ht="24" customHeight="1">
      <c r="A371" s="8">
        <v>331</v>
      </c>
      <c r="B371" s="9">
        <v>331</v>
      </c>
      <c r="C371" s="46"/>
      <c r="D371" s="9"/>
      <c r="E371" s="19" t="str">
        <f>IFERROR(VLOOKUP(D371,케이블트레이입.출고현황!U374:Z449,2,0),"")</f>
        <v/>
      </c>
      <c r="F371" s="19" t="str">
        <f>IFERROR(VLOOKUP(E371,케이블트레이입.출고현황!V374:AA449,2,0),"")</f>
        <v/>
      </c>
      <c r="G371" s="19" t="str">
        <f>IFERROR(VLOOKUP(F371,케이블트레이입.출고현황!W374:AB449,2,0),"")</f>
        <v/>
      </c>
      <c r="H371" s="19" t="str">
        <f>IFERROR(VLOOKUP(G371,케이블트레이입.출고현황!X374:AC449,2,0),"")</f>
        <v/>
      </c>
      <c r="I371" s="19" t="str">
        <f>IFERROR(VLOOKUP(H371,케이블트레이입.출고현황!Y374:AD449,2,0),"")</f>
        <v/>
      </c>
      <c r="J371" s="9">
        <v>3</v>
      </c>
      <c r="K371" s="9"/>
      <c r="L371" s="37"/>
      <c r="M371" s="64"/>
      <c r="N371" s="42"/>
    </row>
    <row r="372" spans="1:14" ht="24" customHeight="1">
      <c r="A372" s="8">
        <v>332</v>
      </c>
      <c r="B372" s="9">
        <v>332</v>
      </c>
      <c r="C372" s="46"/>
      <c r="D372" s="9"/>
      <c r="E372" s="19" t="str">
        <f>IFERROR(VLOOKUP(D372,케이블트레이입.출고현황!U375:Z450,2,0),"")</f>
        <v/>
      </c>
      <c r="F372" s="19" t="str">
        <f>IFERROR(VLOOKUP(E372,케이블트레이입.출고현황!V375:AA450,2,0),"")</f>
        <v/>
      </c>
      <c r="G372" s="19" t="str">
        <f>IFERROR(VLOOKUP(F372,케이블트레이입.출고현황!W375:AB450,2,0),"")</f>
        <v/>
      </c>
      <c r="H372" s="19" t="str">
        <f>IFERROR(VLOOKUP(G372,케이블트레이입.출고현황!X375:AC450,2,0),"")</f>
        <v/>
      </c>
      <c r="I372" s="19" t="str">
        <f>IFERROR(VLOOKUP(H372,케이블트레이입.출고현황!Y375:AD450,2,0),"")</f>
        <v/>
      </c>
      <c r="J372" s="9"/>
      <c r="K372" s="9"/>
      <c r="L372" s="37"/>
      <c r="M372" s="64"/>
      <c r="N372" s="42"/>
    </row>
    <row r="373" spans="1:14" ht="24" customHeight="1">
      <c r="A373" s="8">
        <v>333</v>
      </c>
      <c r="B373" s="9">
        <v>333</v>
      </c>
      <c r="C373" s="46"/>
      <c r="D373" s="9"/>
      <c r="E373" s="19" t="str">
        <f>IFERROR(VLOOKUP(D373,케이블트레이입.출고현황!U376:Z451,2,0),"")</f>
        <v/>
      </c>
      <c r="F373" s="19" t="str">
        <f>IFERROR(VLOOKUP(E373,케이블트레이입.출고현황!V376:AA451,2,0),"")</f>
        <v/>
      </c>
      <c r="G373" s="19" t="str">
        <f>IFERROR(VLOOKUP(F373,케이블트레이입.출고현황!W376:AB451,2,0),"")</f>
        <v/>
      </c>
      <c r="H373" s="19" t="str">
        <f>IFERROR(VLOOKUP(G373,케이블트레이입.출고현황!X376:AC451,2,0),"")</f>
        <v/>
      </c>
      <c r="I373" s="19" t="str">
        <f>IFERROR(VLOOKUP(H373,케이블트레이입.출고현황!Y376:AD451,2,0),"")</f>
        <v/>
      </c>
      <c r="J373" s="9">
        <v>4</v>
      </c>
      <c r="K373" s="9"/>
      <c r="L373" s="37"/>
      <c r="M373" s="64"/>
      <c r="N373" s="42"/>
    </row>
    <row r="374" spans="1:14" ht="24" customHeight="1">
      <c r="A374" s="8">
        <v>334</v>
      </c>
      <c r="B374" s="9">
        <v>334</v>
      </c>
      <c r="C374" s="46"/>
      <c r="D374" s="9"/>
      <c r="E374" s="19" t="str">
        <f>IFERROR(VLOOKUP(D374,케이블트레이입.출고현황!U377:Z452,2,0),"")</f>
        <v/>
      </c>
      <c r="F374" s="19" t="str">
        <f>IFERROR(VLOOKUP(E374,케이블트레이입.출고현황!V377:AA452,2,0),"")</f>
        <v/>
      </c>
      <c r="G374" s="19" t="str">
        <f>IFERROR(VLOOKUP(F374,케이블트레이입.출고현황!W377:AB452,2,0),"")</f>
        <v/>
      </c>
      <c r="H374" s="19" t="str">
        <f>IFERROR(VLOOKUP(G374,케이블트레이입.출고현황!X377:AC452,2,0),"")</f>
        <v/>
      </c>
      <c r="I374" s="19" t="str">
        <f>IFERROR(VLOOKUP(H374,케이블트레이입.출고현황!Y377:AD452,2,0),"")</f>
        <v/>
      </c>
      <c r="J374" s="9">
        <v>2</v>
      </c>
      <c r="K374" s="9"/>
      <c r="L374" s="37"/>
      <c r="M374" s="64"/>
      <c r="N374" s="42"/>
    </row>
    <row r="375" spans="1:14" ht="24" customHeight="1">
      <c r="A375" s="8">
        <v>335</v>
      </c>
      <c r="B375" s="9">
        <v>335</v>
      </c>
      <c r="C375" s="46"/>
      <c r="D375" s="9"/>
      <c r="E375" s="19" t="str">
        <f>IFERROR(VLOOKUP(D375,케이블트레이입.출고현황!U378:Z453,2,0),"")</f>
        <v/>
      </c>
      <c r="F375" s="19" t="str">
        <f>IFERROR(VLOOKUP(E375,케이블트레이입.출고현황!V378:AA453,2,0),"")</f>
        <v/>
      </c>
      <c r="G375" s="19" t="str">
        <f>IFERROR(VLOOKUP(F375,케이블트레이입.출고현황!W378:AB453,2,0),"")</f>
        <v/>
      </c>
      <c r="H375" s="19" t="str">
        <f>IFERROR(VLOOKUP(G375,케이블트레이입.출고현황!X378:AC453,2,0),"")</f>
        <v/>
      </c>
      <c r="I375" s="19" t="str">
        <f>IFERROR(VLOOKUP(H375,케이블트레이입.출고현황!Y378:AD453,2,0),"")</f>
        <v/>
      </c>
      <c r="J375" s="9">
        <v>1</v>
      </c>
      <c r="K375" s="9"/>
      <c r="L375" s="37"/>
      <c r="M375" s="64"/>
      <c r="N375" s="42"/>
    </row>
    <row r="376" spans="1:14" ht="24" customHeight="1">
      <c r="A376" s="8">
        <v>336</v>
      </c>
      <c r="B376" s="9">
        <v>336</v>
      </c>
      <c r="C376" s="46"/>
      <c r="D376" s="9"/>
      <c r="E376" s="19" t="str">
        <f>IFERROR(VLOOKUP(D376,케이블트레이입.출고현황!U379:Z454,2,0),"")</f>
        <v/>
      </c>
      <c r="F376" s="19" t="str">
        <f>IFERROR(VLOOKUP(E376,케이블트레이입.출고현황!V379:AA454,2,0),"")</f>
        <v/>
      </c>
      <c r="G376" s="19" t="str">
        <f>IFERROR(VLOOKUP(F376,케이블트레이입.출고현황!W379:AB454,2,0),"")</f>
        <v/>
      </c>
      <c r="H376" s="19" t="str">
        <f>IFERROR(VLOOKUP(G376,케이블트레이입.출고현황!X379:AC454,2,0),"")</f>
        <v/>
      </c>
      <c r="I376" s="19" t="str">
        <f>IFERROR(VLOOKUP(H376,케이블트레이입.출고현황!Y379:AD454,2,0),"")</f>
        <v/>
      </c>
      <c r="J376" s="9">
        <v>3</v>
      </c>
      <c r="K376" s="9"/>
      <c r="L376" s="37"/>
      <c r="M376" s="64"/>
      <c r="N376" s="42"/>
    </row>
    <row r="377" spans="1:14" ht="24" customHeight="1">
      <c r="A377" s="8">
        <v>337</v>
      </c>
      <c r="B377" s="9">
        <v>337</v>
      </c>
      <c r="C377" s="46"/>
      <c r="D377" s="9"/>
      <c r="E377" s="19" t="str">
        <f>IFERROR(VLOOKUP(D377,케이블트레이입.출고현황!U380:Z455,2,0),"")</f>
        <v/>
      </c>
      <c r="F377" s="19" t="str">
        <f>IFERROR(VLOOKUP(E377,케이블트레이입.출고현황!V380:AA455,2,0),"")</f>
        <v/>
      </c>
      <c r="G377" s="19" t="str">
        <f>IFERROR(VLOOKUP(F377,케이블트레이입.출고현황!W380:AB455,2,0),"")</f>
        <v/>
      </c>
      <c r="H377" s="19" t="str">
        <f>IFERROR(VLOOKUP(G377,케이블트레이입.출고현황!X380:AC455,2,0),"")</f>
        <v/>
      </c>
      <c r="I377" s="19" t="str">
        <f>IFERROR(VLOOKUP(H377,케이블트레이입.출고현황!Y380:AD455,2,0),"")</f>
        <v/>
      </c>
      <c r="J377" s="9">
        <v>3</v>
      </c>
      <c r="K377" s="9"/>
      <c r="L377" s="37"/>
      <c r="M377" s="64"/>
      <c r="N377" s="42"/>
    </row>
    <row r="378" spans="1:14" ht="24" customHeight="1">
      <c r="A378" s="8">
        <v>338</v>
      </c>
      <c r="B378" s="9">
        <v>338</v>
      </c>
      <c r="C378" s="46"/>
      <c r="D378" s="9"/>
      <c r="E378" s="19" t="str">
        <f>IFERROR(VLOOKUP(D378,케이블트레이입.출고현황!U381:Z456,2,0),"")</f>
        <v/>
      </c>
      <c r="F378" s="19" t="str">
        <f>IFERROR(VLOOKUP(E378,케이블트레이입.출고현황!V381:AA456,2,0),"")</f>
        <v/>
      </c>
      <c r="G378" s="19" t="str">
        <f>IFERROR(VLOOKUP(F378,케이블트레이입.출고현황!W381:AB456,2,0),"")</f>
        <v/>
      </c>
      <c r="H378" s="19" t="str">
        <f>IFERROR(VLOOKUP(G378,케이블트레이입.출고현황!X381:AC456,2,0),"")</f>
        <v/>
      </c>
      <c r="I378" s="19" t="str">
        <f>IFERROR(VLOOKUP(H378,케이블트레이입.출고현황!Y381:AD456,2,0),"")</f>
        <v/>
      </c>
      <c r="J378" s="9">
        <v>1</v>
      </c>
      <c r="K378" s="9"/>
      <c r="L378" s="37"/>
      <c r="M378" s="64"/>
      <c r="N378" s="42"/>
    </row>
    <row r="379" spans="1:14" ht="24" customHeight="1">
      <c r="A379" s="8">
        <v>339</v>
      </c>
      <c r="B379" s="9">
        <v>339</v>
      </c>
      <c r="C379" s="46"/>
      <c r="D379" s="9"/>
      <c r="E379" s="19" t="str">
        <f>IFERROR(VLOOKUP(D379,케이블트레이입.출고현황!U382:Z457,2,0),"")</f>
        <v/>
      </c>
      <c r="F379" s="19" t="str">
        <f>IFERROR(VLOOKUP(E379,케이블트레이입.출고현황!V382:AA457,2,0),"")</f>
        <v/>
      </c>
      <c r="G379" s="19" t="str">
        <f>IFERROR(VLOOKUP(F379,케이블트레이입.출고현황!W382:AB457,2,0),"")</f>
        <v/>
      </c>
      <c r="H379" s="19" t="str">
        <f>IFERROR(VLOOKUP(G379,케이블트레이입.출고현황!X382:AC457,2,0),"")</f>
        <v/>
      </c>
      <c r="I379" s="19" t="str">
        <f>IFERROR(VLOOKUP(H379,케이블트레이입.출고현황!Y382:AD457,2,0),"")</f>
        <v/>
      </c>
      <c r="J379" s="9">
        <v>4</v>
      </c>
      <c r="K379" s="9"/>
      <c r="L379" s="37"/>
      <c r="M379" s="64"/>
      <c r="N379" s="42"/>
    </row>
    <row r="380" spans="1:14" ht="24" customHeight="1">
      <c r="A380" s="8">
        <v>340</v>
      </c>
      <c r="B380" s="9">
        <v>340</v>
      </c>
      <c r="C380" s="46"/>
      <c r="D380" s="9"/>
      <c r="E380" s="19" t="str">
        <f>IFERROR(VLOOKUP(D380,케이블트레이입.출고현황!U383:Z458,2,0),"")</f>
        <v/>
      </c>
      <c r="F380" s="19" t="str">
        <f>IFERROR(VLOOKUP(E380,케이블트레이입.출고현황!V383:AA458,2,0),"")</f>
        <v/>
      </c>
      <c r="G380" s="19" t="str">
        <f>IFERROR(VLOOKUP(F380,케이블트레이입.출고현황!W383:AB458,2,0),"")</f>
        <v/>
      </c>
      <c r="H380" s="19" t="str">
        <f>IFERROR(VLOOKUP(G380,케이블트레이입.출고현황!X383:AC458,2,0),"")</f>
        <v/>
      </c>
      <c r="I380" s="19" t="str">
        <f>IFERROR(VLOOKUP(H380,케이블트레이입.출고현황!Y383:AD458,2,0),"")</f>
        <v/>
      </c>
      <c r="J380" s="9" t="s">
        <v>123</v>
      </c>
      <c r="K380" s="9"/>
      <c r="L380" s="37"/>
      <c r="M380" s="64"/>
      <c r="N380" s="42"/>
    </row>
    <row r="381" spans="1:14" ht="24" customHeight="1">
      <c r="A381" s="8">
        <v>341</v>
      </c>
      <c r="B381" s="9">
        <v>341</v>
      </c>
      <c r="C381" s="46"/>
      <c r="D381" s="9"/>
      <c r="E381" s="19" t="str">
        <f>IFERROR(VLOOKUP(D381,케이블트레이입.출고현황!U384:Z459,2,0),"")</f>
        <v/>
      </c>
      <c r="F381" s="19" t="str">
        <f>IFERROR(VLOOKUP(E381,케이블트레이입.출고현황!V384:AA459,2,0),"")</f>
        <v/>
      </c>
      <c r="G381" s="19" t="str">
        <f>IFERROR(VLOOKUP(F381,케이블트레이입.출고현황!W384:AB459,2,0),"")</f>
        <v/>
      </c>
      <c r="H381" s="19" t="str">
        <f>IFERROR(VLOOKUP(G381,케이블트레이입.출고현황!X384:AC459,2,0),"")</f>
        <v/>
      </c>
      <c r="I381" s="19" t="str">
        <f>IFERROR(VLOOKUP(H381,케이블트레이입.출고현황!Y384:AD459,2,0),"")</f>
        <v/>
      </c>
      <c r="J381" s="9">
        <v>1</v>
      </c>
      <c r="K381" s="9"/>
      <c r="L381" s="37"/>
      <c r="M381" s="64"/>
      <c r="N381" s="42"/>
    </row>
    <row r="382" spans="1:14" ht="24" customHeight="1">
      <c r="A382" s="8">
        <v>342</v>
      </c>
      <c r="B382" s="9">
        <v>342</v>
      </c>
      <c r="C382" s="46"/>
      <c r="D382" s="9"/>
      <c r="E382" s="19" t="str">
        <f>IFERROR(VLOOKUP(D382,케이블트레이입.출고현황!U385:Z460,2,0),"")</f>
        <v/>
      </c>
      <c r="F382" s="19" t="str">
        <f>IFERROR(VLOOKUP(E382,케이블트레이입.출고현황!V385:AA460,2,0),"")</f>
        <v/>
      </c>
      <c r="G382" s="19" t="str">
        <f>IFERROR(VLOOKUP(F382,케이블트레이입.출고현황!W385:AB460,2,0),"")</f>
        <v/>
      </c>
      <c r="H382" s="19" t="str">
        <f>IFERROR(VLOOKUP(G382,케이블트레이입.출고현황!X385:AC460,2,0),"")</f>
        <v/>
      </c>
      <c r="I382" s="19" t="str">
        <f>IFERROR(VLOOKUP(H382,케이블트레이입.출고현황!Y385:AD460,2,0),"")</f>
        <v/>
      </c>
      <c r="J382" s="9">
        <v>2</v>
      </c>
      <c r="K382" s="9"/>
      <c r="L382" s="37"/>
      <c r="M382" s="64"/>
      <c r="N382" s="42"/>
    </row>
    <row r="383" spans="1:14" ht="24" customHeight="1">
      <c r="A383" s="8">
        <v>343</v>
      </c>
      <c r="B383" s="9">
        <v>343</v>
      </c>
      <c r="C383" s="46"/>
      <c r="D383" s="9"/>
      <c r="E383" s="19" t="str">
        <f>IFERROR(VLOOKUP(D383,케이블트레이입.출고현황!U386:Z461,2,0),"")</f>
        <v/>
      </c>
      <c r="F383" s="19" t="str">
        <f>IFERROR(VLOOKUP(E383,케이블트레이입.출고현황!V386:AA461,2,0),"")</f>
        <v/>
      </c>
      <c r="G383" s="19" t="str">
        <f>IFERROR(VLOOKUP(F383,케이블트레이입.출고현황!W386:AB461,2,0),"")</f>
        <v/>
      </c>
      <c r="H383" s="19" t="str">
        <f>IFERROR(VLOOKUP(G383,케이블트레이입.출고현황!X386:AC461,2,0),"")</f>
        <v/>
      </c>
      <c r="I383" s="19" t="str">
        <f>IFERROR(VLOOKUP(H383,케이블트레이입.출고현황!Y386:AD461,2,0),"")</f>
        <v/>
      </c>
      <c r="J383" s="9">
        <v>1</v>
      </c>
      <c r="K383" s="9"/>
      <c r="L383" s="37"/>
      <c r="M383" s="64"/>
      <c r="N383" s="42"/>
    </row>
    <row r="384" spans="1:14" ht="24" customHeight="1">
      <c r="A384" s="8">
        <v>344</v>
      </c>
      <c r="B384" s="9">
        <v>344</v>
      </c>
      <c r="C384" s="46"/>
      <c r="D384" s="9"/>
      <c r="E384" s="19" t="str">
        <f>IFERROR(VLOOKUP(D384,케이블트레이입.출고현황!U387:Z462,2,0),"")</f>
        <v/>
      </c>
      <c r="F384" s="19" t="str">
        <f>IFERROR(VLOOKUP(E384,케이블트레이입.출고현황!V387:AA462,2,0),"")</f>
        <v/>
      </c>
      <c r="G384" s="19" t="str">
        <f>IFERROR(VLOOKUP(F384,케이블트레이입.출고현황!W387:AB462,2,0),"")</f>
        <v/>
      </c>
      <c r="H384" s="19" t="str">
        <f>IFERROR(VLOOKUP(G384,케이블트레이입.출고현황!X387:AC462,2,0),"")</f>
        <v/>
      </c>
      <c r="I384" s="19" t="str">
        <f>IFERROR(VLOOKUP(H384,케이블트레이입.출고현황!Y387:AD462,2,0),"")</f>
        <v/>
      </c>
      <c r="J384" s="9">
        <v>4</v>
      </c>
      <c r="K384" s="9"/>
      <c r="L384" s="37"/>
      <c r="M384" s="64"/>
      <c r="N384" s="42"/>
    </row>
    <row r="385" spans="1:14" ht="24" customHeight="1">
      <c r="A385" s="8">
        <v>345</v>
      </c>
      <c r="B385" s="9">
        <v>345</v>
      </c>
      <c r="C385" s="46"/>
      <c r="D385" s="9"/>
      <c r="E385" s="19" t="str">
        <f>IFERROR(VLOOKUP(D385,케이블트레이입.출고현황!U388:Z463,2,0),"")</f>
        <v/>
      </c>
      <c r="F385" s="19" t="str">
        <f>IFERROR(VLOOKUP(E385,케이블트레이입.출고현황!V388:AA463,2,0),"")</f>
        <v/>
      </c>
      <c r="G385" s="19" t="str">
        <f>IFERROR(VLOOKUP(F385,케이블트레이입.출고현황!W388:AB463,2,0),"")</f>
        <v/>
      </c>
      <c r="H385" s="19" t="str">
        <f>IFERROR(VLOOKUP(G385,케이블트레이입.출고현황!X388:AC463,2,0),"")</f>
        <v/>
      </c>
      <c r="I385" s="19" t="str">
        <f>IFERROR(VLOOKUP(H385,케이블트레이입.출고현황!Y388:AD463,2,0),"")</f>
        <v/>
      </c>
      <c r="J385" s="9" t="s">
        <v>123</v>
      </c>
      <c r="K385" s="9"/>
      <c r="L385" s="37"/>
      <c r="M385" s="64"/>
      <c r="N385" s="42"/>
    </row>
    <row r="386" spans="1:14" ht="24" customHeight="1">
      <c r="A386" s="8">
        <v>346</v>
      </c>
      <c r="B386" s="9">
        <v>346</v>
      </c>
      <c r="C386" s="46"/>
      <c r="D386" s="9"/>
      <c r="E386" s="19" t="str">
        <f>IFERROR(VLOOKUP(D386,케이블트레이입.출고현황!U389:Z464,2,0),"")</f>
        <v/>
      </c>
      <c r="F386" s="19" t="str">
        <f>IFERROR(VLOOKUP(E386,케이블트레이입.출고현황!V389:AA464,2,0),"")</f>
        <v/>
      </c>
      <c r="G386" s="19" t="str">
        <f>IFERROR(VLOOKUP(F386,케이블트레이입.출고현황!W389:AB464,2,0),"")</f>
        <v/>
      </c>
      <c r="H386" s="19" t="str">
        <f>IFERROR(VLOOKUP(G386,케이블트레이입.출고현황!X389:AC464,2,0),"")</f>
        <v/>
      </c>
      <c r="I386" s="19" t="str">
        <f>IFERROR(VLOOKUP(H386,케이블트레이입.출고현황!Y389:AD464,2,0),"")</f>
        <v/>
      </c>
      <c r="J386" s="9">
        <v>1</v>
      </c>
      <c r="K386" s="9"/>
      <c r="L386" s="37"/>
      <c r="M386" s="64"/>
      <c r="N386" s="42"/>
    </row>
    <row r="387" spans="1:14" ht="24" customHeight="1">
      <c r="A387" s="8">
        <v>347</v>
      </c>
      <c r="B387" s="9">
        <v>347</v>
      </c>
      <c r="C387" s="46"/>
      <c r="D387" s="9"/>
      <c r="E387" s="19" t="str">
        <f>IFERROR(VLOOKUP(D387,케이블트레이입.출고현황!U390:Z465,2,0),"")</f>
        <v/>
      </c>
      <c r="F387" s="19" t="str">
        <f>IFERROR(VLOOKUP(E387,케이블트레이입.출고현황!V390:AA465,2,0),"")</f>
        <v/>
      </c>
      <c r="G387" s="19" t="str">
        <f>IFERROR(VLOOKUP(F387,케이블트레이입.출고현황!W390:AB465,2,0),"")</f>
        <v/>
      </c>
      <c r="H387" s="19" t="str">
        <f>IFERROR(VLOOKUP(G387,케이블트레이입.출고현황!X390:AC465,2,0),"")</f>
        <v/>
      </c>
      <c r="I387" s="19" t="str">
        <f>IFERROR(VLOOKUP(H387,케이블트레이입.출고현황!Y390:AD465,2,0),"")</f>
        <v/>
      </c>
      <c r="J387" s="9">
        <v>3</v>
      </c>
      <c r="K387" s="9"/>
      <c r="L387" s="37"/>
      <c r="M387" s="64"/>
      <c r="N387" s="42"/>
    </row>
    <row r="388" spans="1:14" ht="24" customHeight="1">
      <c r="A388" s="8">
        <v>348</v>
      </c>
      <c r="B388" s="9">
        <v>348</v>
      </c>
      <c r="C388" s="46"/>
      <c r="D388" s="9"/>
      <c r="E388" s="19" t="str">
        <f>IFERROR(VLOOKUP(D388,케이블트레이입.출고현황!U391:Z466,2,0),"")</f>
        <v/>
      </c>
      <c r="F388" s="19" t="str">
        <f>IFERROR(VLOOKUP(E388,케이블트레이입.출고현황!V391:AA466,2,0),"")</f>
        <v/>
      </c>
      <c r="G388" s="19" t="str">
        <f>IFERROR(VLOOKUP(F388,케이블트레이입.출고현황!W391:AB466,2,0),"")</f>
        <v/>
      </c>
      <c r="H388" s="19" t="str">
        <f>IFERROR(VLOOKUP(G388,케이블트레이입.출고현황!X391:AC466,2,0),"")</f>
        <v/>
      </c>
      <c r="I388" s="19" t="str">
        <f>IFERROR(VLOOKUP(H388,케이블트레이입.출고현황!Y391:AD466,2,0),"")</f>
        <v/>
      </c>
      <c r="J388" s="9">
        <v>1</v>
      </c>
      <c r="K388" s="9"/>
      <c r="L388" s="37"/>
      <c r="M388" s="64"/>
      <c r="N388" s="42"/>
    </row>
    <row r="389" spans="1:14" ht="24" customHeight="1">
      <c r="A389" s="8">
        <v>349</v>
      </c>
      <c r="B389" s="9">
        <v>349</v>
      </c>
      <c r="C389" s="46"/>
      <c r="D389" s="9"/>
      <c r="E389" s="19" t="str">
        <f>IFERROR(VLOOKUP(D389,케이블트레이입.출고현황!U392:Z467,2,0),"")</f>
        <v/>
      </c>
      <c r="F389" s="19" t="str">
        <f>IFERROR(VLOOKUP(E389,케이블트레이입.출고현황!V392:AA467,2,0),"")</f>
        <v/>
      </c>
      <c r="G389" s="19" t="str">
        <f>IFERROR(VLOOKUP(F389,케이블트레이입.출고현황!W392:AB467,2,0),"")</f>
        <v/>
      </c>
      <c r="H389" s="19" t="str">
        <f>IFERROR(VLOOKUP(G389,케이블트레이입.출고현황!X392:AC467,2,0),"")</f>
        <v/>
      </c>
      <c r="I389" s="19" t="str">
        <f>IFERROR(VLOOKUP(H389,케이블트레이입.출고현황!Y392:AD467,2,0),"")</f>
        <v/>
      </c>
      <c r="J389" s="9">
        <v>1</v>
      </c>
      <c r="K389" s="9"/>
      <c r="L389" s="37"/>
      <c r="M389" s="64"/>
      <c r="N389" s="42"/>
    </row>
    <row r="390" spans="1:14" ht="24" customHeight="1">
      <c r="A390" s="8">
        <v>350</v>
      </c>
      <c r="B390" s="9">
        <v>350</v>
      </c>
      <c r="C390" s="46"/>
      <c r="D390" s="9"/>
      <c r="E390" s="19" t="str">
        <f>IFERROR(VLOOKUP(D390,케이블트레이입.출고현황!U393:Z468,2,0),"")</f>
        <v/>
      </c>
      <c r="F390" s="19" t="str">
        <f>IFERROR(VLOOKUP(E390,케이블트레이입.출고현황!V393:AA468,2,0),"")</f>
        <v/>
      </c>
      <c r="G390" s="19" t="str">
        <f>IFERROR(VLOOKUP(F390,케이블트레이입.출고현황!W393:AB468,2,0),"")</f>
        <v/>
      </c>
      <c r="H390" s="19" t="str">
        <f>IFERROR(VLOOKUP(G390,케이블트레이입.출고현황!X393:AC468,2,0),"")</f>
        <v/>
      </c>
      <c r="I390" s="19" t="str">
        <f>IFERROR(VLOOKUP(H390,케이블트레이입.출고현황!Y393:AD468,2,0),"")</f>
        <v/>
      </c>
      <c r="J390" s="9">
        <v>3</v>
      </c>
      <c r="K390" s="9"/>
      <c r="L390" s="37"/>
      <c r="M390" s="64"/>
      <c r="N390" s="42"/>
    </row>
    <row r="391" spans="1:14" ht="24" customHeight="1">
      <c r="A391" s="8">
        <v>351</v>
      </c>
      <c r="B391" s="9">
        <v>351</v>
      </c>
      <c r="C391" s="46"/>
      <c r="D391" s="9"/>
      <c r="E391" s="19" t="str">
        <f>IFERROR(VLOOKUP(D391,케이블트레이입.출고현황!U394:Z469,2,0),"")</f>
        <v/>
      </c>
      <c r="F391" s="19" t="str">
        <f>IFERROR(VLOOKUP(E391,케이블트레이입.출고현황!V394:AA469,2,0),"")</f>
        <v/>
      </c>
      <c r="G391" s="19" t="str">
        <f>IFERROR(VLOOKUP(F391,케이블트레이입.출고현황!W394:AB469,2,0),"")</f>
        <v/>
      </c>
      <c r="H391" s="19" t="str">
        <f>IFERROR(VLOOKUP(G391,케이블트레이입.출고현황!X394:AC469,2,0),"")</f>
        <v/>
      </c>
      <c r="I391" s="19" t="str">
        <f>IFERROR(VLOOKUP(H391,케이블트레이입.출고현황!Y394:AD469,2,0),"")</f>
        <v/>
      </c>
      <c r="J391" s="9">
        <v>3</v>
      </c>
      <c r="K391" s="9"/>
      <c r="L391" s="37"/>
      <c r="M391" s="64"/>
      <c r="N391" s="42"/>
    </row>
    <row r="392" spans="1:14" ht="24" customHeight="1">
      <c r="A392" s="8">
        <v>352</v>
      </c>
      <c r="B392" s="9">
        <v>352</v>
      </c>
      <c r="C392" s="46"/>
      <c r="D392" s="9"/>
      <c r="E392" s="19" t="str">
        <f>IFERROR(VLOOKUP(D392,케이블트레이입.출고현황!U395:Z470,2,0),"")</f>
        <v/>
      </c>
      <c r="F392" s="19" t="str">
        <f>IFERROR(VLOOKUP(E392,케이블트레이입.출고현황!V395:AA470,2,0),"")</f>
        <v/>
      </c>
      <c r="G392" s="19" t="str">
        <f>IFERROR(VLOOKUP(F392,케이블트레이입.출고현황!W395:AB470,2,0),"")</f>
        <v/>
      </c>
      <c r="H392" s="19" t="str">
        <f>IFERROR(VLOOKUP(G392,케이블트레이입.출고현황!X395:AC470,2,0),"")</f>
        <v/>
      </c>
      <c r="I392" s="19" t="str">
        <f>IFERROR(VLOOKUP(H392,케이블트레이입.출고현황!Y395:AD470,2,0),"")</f>
        <v/>
      </c>
      <c r="J392" s="9">
        <v>1</v>
      </c>
      <c r="K392" s="9"/>
      <c r="L392" s="37"/>
      <c r="M392" s="64"/>
      <c r="N392" s="42"/>
    </row>
    <row r="393" spans="1:14" ht="24" customHeight="1">
      <c r="A393" s="8">
        <v>353</v>
      </c>
      <c r="B393" s="9">
        <v>353</v>
      </c>
      <c r="C393" s="46"/>
      <c r="D393" s="9"/>
      <c r="E393" s="19" t="str">
        <f>IFERROR(VLOOKUP(D393,케이블트레이입.출고현황!U396:Z471,2,0),"")</f>
        <v/>
      </c>
      <c r="F393" s="19" t="str">
        <f>IFERROR(VLOOKUP(E393,케이블트레이입.출고현황!V396:AA471,2,0),"")</f>
        <v/>
      </c>
      <c r="G393" s="19" t="str">
        <f>IFERROR(VLOOKUP(F393,케이블트레이입.출고현황!W396:AB471,2,0),"")</f>
        <v/>
      </c>
      <c r="H393" s="19" t="str">
        <f>IFERROR(VLOOKUP(G393,케이블트레이입.출고현황!X396:AC471,2,0),"")</f>
        <v/>
      </c>
      <c r="I393" s="19" t="str">
        <f>IFERROR(VLOOKUP(H393,케이블트레이입.출고현황!Y396:AD471,2,0),"")</f>
        <v/>
      </c>
      <c r="J393" s="9">
        <v>4</v>
      </c>
      <c r="K393" s="9"/>
      <c r="L393" s="37"/>
      <c r="M393" s="64"/>
      <c r="N393" s="42"/>
    </row>
    <row r="394" spans="1:14" ht="24" customHeight="1">
      <c r="A394" s="8">
        <v>354</v>
      </c>
      <c r="B394" s="9">
        <v>354</v>
      </c>
      <c r="C394" s="46"/>
      <c r="D394" s="9"/>
      <c r="E394" s="19" t="str">
        <f>IFERROR(VLOOKUP(D394,케이블트레이입.출고현황!U397:Z472,2,0),"")</f>
        <v/>
      </c>
      <c r="F394" s="19" t="str">
        <f>IFERROR(VLOOKUP(E394,케이블트레이입.출고현황!V397:AA472,2,0),"")</f>
        <v/>
      </c>
      <c r="G394" s="19" t="str">
        <f>IFERROR(VLOOKUP(F394,케이블트레이입.출고현황!W397:AB472,2,0),"")</f>
        <v/>
      </c>
      <c r="H394" s="19" t="str">
        <f>IFERROR(VLOOKUP(G394,케이블트레이입.출고현황!X397:AC472,2,0),"")</f>
        <v/>
      </c>
      <c r="I394" s="19" t="str">
        <f>IFERROR(VLOOKUP(H394,케이블트레이입.출고현황!Y397:AD472,2,0),"")</f>
        <v/>
      </c>
      <c r="J394" s="9">
        <v>1</v>
      </c>
      <c r="K394" s="9"/>
      <c r="L394" s="37"/>
      <c r="M394" s="64"/>
      <c r="N394" s="42"/>
    </row>
    <row r="395" spans="1:14" ht="24" customHeight="1">
      <c r="A395" s="8">
        <v>355</v>
      </c>
      <c r="B395" s="9">
        <v>355</v>
      </c>
      <c r="C395" s="46"/>
      <c r="D395" s="9"/>
      <c r="E395" s="19" t="str">
        <f>IFERROR(VLOOKUP(D395,케이블트레이입.출고현황!U398:Z473,2,0),"")</f>
        <v/>
      </c>
      <c r="F395" s="19" t="str">
        <f>IFERROR(VLOOKUP(E395,케이블트레이입.출고현황!V398:AA473,2,0),"")</f>
        <v/>
      </c>
      <c r="G395" s="19" t="str">
        <f>IFERROR(VLOOKUP(F395,케이블트레이입.출고현황!W398:AB473,2,0),"")</f>
        <v/>
      </c>
      <c r="H395" s="19" t="str">
        <f>IFERROR(VLOOKUP(G395,케이블트레이입.출고현황!X398:AC473,2,0),"")</f>
        <v/>
      </c>
      <c r="I395" s="19" t="str">
        <f>IFERROR(VLOOKUP(H395,케이블트레이입.출고현황!Y398:AD473,2,0),"")</f>
        <v/>
      </c>
      <c r="J395" s="9">
        <v>1</v>
      </c>
      <c r="K395" s="9"/>
      <c r="L395" s="37"/>
      <c r="M395" s="64"/>
      <c r="N395" s="42"/>
    </row>
    <row r="396" spans="1:14" ht="24" customHeight="1">
      <c r="A396" s="8">
        <v>356</v>
      </c>
      <c r="B396" s="9">
        <v>356</v>
      </c>
      <c r="C396" s="46"/>
      <c r="D396" s="9"/>
      <c r="E396" s="19" t="str">
        <f>IFERROR(VLOOKUP(D396,케이블트레이입.출고현황!U399:Z474,2,0),"")</f>
        <v/>
      </c>
      <c r="F396" s="19" t="str">
        <f>IFERROR(VLOOKUP(E396,케이블트레이입.출고현황!V399:AA474,2,0),"")</f>
        <v/>
      </c>
      <c r="G396" s="19" t="str">
        <f>IFERROR(VLOOKUP(F396,케이블트레이입.출고현황!W399:AB474,2,0),"")</f>
        <v/>
      </c>
      <c r="H396" s="19" t="str">
        <f>IFERROR(VLOOKUP(G396,케이블트레이입.출고현황!X399:AC474,2,0),"")</f>
        <v/>
      </c>
      <c r="I396" s="19" t="str">
        <f>IFERROR(VLOOKUP(H396,케이블트레이입.출고현황!Y399:AD474,2,0),"")</f>
        <v/>
      </c>
      <c r="J396" s="9" t="s">
        <v>557</v>
      </c>
      <c r="K396" s="9"/>
      <c r="L396" s="37"/>
      <c r="M396" s="64"/>
      <c r="N396" s="42"/>
    </row>
    <row r="397" spans="1:14" ht="24" customHeight="1">
      <c r="A397" s="8">
        <v>357</v>
      </c>
      <c r="B397" s="9">
        <v>357</v>
      </c>
      <c r="C397" s="46"/>
      <c r="D397" s="9"/>
      <c r="E397" s="19" t="str">
        <f>IFERROR(VLOOKUP(D397,케이블트레이입.출고현황!U400:Z475,2,0),"")</f>
        <v/>
      </c>
      <c r="F397" s="19" t="str">
        <f>IFERROR(VLOOKUP(E397,케이블트레이입.출고현황!V400:AA475,2,0),"")</f>
        <v/>
      </c>
      <c r="G397" s="19" t="str">
        <f>IFERROR(VLOOKUP(F397,케이블트레이입.출고현황!W400:AB475,2,0),"")</f>
        <v/>
      </c>
      <c r="H397" s="19" t="str">
        <f>IFERROR(VLOOKUP(G397,케이블트레이입.출고현황!X400:AC475,2,0),"")</f>
        <v/>
      </c>
      <c r="I397" s="19" t="str">
        <f>IFERROR(VLOOKUP(H397,케이블트레이입.출고현황!Y400:AD475,2,0),"")</f>
        <v/>
      </c>
      <c r="J397" s="9">
        <v>2</v>
      </c>
      <c r="K397" s="9"/>
      <c r="L397" s="37"/>
      <c r="M397" s="64"/>
      <c r="N397" s="42"/>
    </row>
    <row r="398" spans="1:14" ht="24" customHeight="1">
      <c r="A398" s="8">
        <v>358</v>
      </c>
      <c r="B398" s="9">
        <v>358</v>
      </c>
      <c r="C398" s="46"/>
      <c r="D398" s="9"/>
      <c r="E398" s="19" t="str">
        <f>IFERROR(VLOOKUP(D398,케이블트레이입.출고현황!U401:Z476,2,0),"")</f>
        <v/>
      </c>
      <c r="F398" s="19" t="str">
        <f>IFERROR(VLOOKUP(E398,케이블트레이입.출고현황!V401:AA476,2,0),"")</f>
        <v/>
      </c>
      <c r="G398" s="19" t="str">
        <f>IFERROR(VLOOKUP(F398,케이블트레이입.출고현황!W401:AB476,2,0),"")</f>
        <v/>
      </c>
      <c r="H398" s="19" t="str">
        <f>IFERROR(VLOOKUP(G398,케이블트레이입.출고현황!X401:AC476,2,0),"")</f>
        <v/>
      </c>
      <c r="I398" s="19" t="str">
        <f>IFERROR(VLOOKUP(H398,케이블트레이입.출고현황!Y401:AD476,2,0),"")</f>
        <v/>
      </c>
      <c r="J398" s="9">
        <v>2</v>
      </c>
      <c r="K398" s="9"/>
      <c r="L398" s="37"/>
      <c r="M398" s="64"/>
      <c r="N398" s="42"/>
    </row>
    <row r="399" spans="1:14" ht="24" customHeight="1">
      <c r="A399" s="8">
        <v>359</v>
      </c>
      <c r="B399" s="9">
        <v>359</v>
      </c>
      <c r="C399" s="46"/>
      <c r="D399" s="9"/>
      <c r="E399" s="19" t="str">
        <f>IFERROR(VLOOKUP(D399,케이블트레이입.출고현황!U402:Z477,2,0),"")</f>
        <v/>
      </c>
      <c r="F399" s="19" t="str">
        <f>IFERROR(VLOOKUP(E399,케이블트레이입.출고현황!V402:AA477,2,0),"")</f>
        <v/>
      </c>
      <c r="G399" s="19" t="str">
        <f>IFERROR(VLOOKUP(F399,케이블트레이입.출고현황!W402:AB477,2,0),"")</f>
        <v/>
      </c>
      <c r="H399" s="19" t="str">
        <f>IFERROR(VLOOKUP(G399,케이블트레이입.출고현황!X402:AC477,2,0),"")</f>
        <v/>
      </c>
      <c r="I399" s="19" t="str">
        <f>IFERROR(VLOOKUP(H399,케이블트레이입.출고현황!Y402:AD477,2,0),"")</f>
        <v/>
      </c>
      <c r="J399" s="9">
        <v>3</v>
      </c>
      <c r="K399" s="9"/>
      <c r="L399" s="37"/>
      <c r="M399" s="64"/>
      <c r="N399" s="42"/>
    </row>
    <row r="400" spans="1:14" ht="24" customHeight="1">
      <c r="A400" s="8">
        <v>360</v>
      </c>
      <c r="B400" s="9">
        <v>360</v>
      </c>
      <c r="C400" s="46"/>
      <c r="D400" s="9"/>
      <c r="E400" s="19" t="str">
        <f>IFERROR(VLOOKUP(D400,케이블트레이입.출고현황!U403:Z478,2,0),"")</f>
        <v/>
      </c>
      <c r="F400" s="19" t="str">
        <f>IFERROR(VLOOKUP(E400,케이블트레이입.출고현황!V403:AA478,2,0),"")</f>
        <v/>
      </c>
      <c r="G400" s="19" t="str">
        <f>IFERROR(VLOOKUP(F400,케이블트레이입.출고현황!W403:AB478,2,0),"")</f>
        <v/>
      </c>
      <c r="H400" s="19" t="str">
        <f>IFERROR(VLOOKUP(G400,케이블트레이입.출고현황!X403:AC478,2,0),"")</f>
        <v/>
      </c>
      <c r="I400" s="19" t="str">
        <f>IFERROR(VLOOKUP(H400,케이블트레이입.출고현황!Y403:AD478,2,0),"")</f>
        <v/>
      </c>
      <c r="J400" s="9">
        <v>1</v>
      </c>
      <c r="K400" s="9"/>
      <c r="L400" s="37"/>
      <c r="M400" s="64"/>
      <c r="N400" s="42"/>
    </row>
    <row r="401" spans="1:14" ht="24" customHeight="1">
      <c r="A401" s="8">
        <v>361</v>
      </c>
      <c r="B401" s="9">
        <v>361</v>
      </c>
      <c r="C401" s="46"/>
      <c r="D401" s="9"/>
      <c r="E401" s="19" t="str">
        <f>IFERROR(VLOOKUP(D401,케이블트레이입.출고현황!U404:Z479,2,0),"")</f>
        <v/>
      </c>
      <c r="F401" s="19" t="str">
        <f>IFERROR(VLOOKUP(E401,케이블트레이입.출고현황!V404:AA479,2,0),"")</f>
        <v/>
      </c>
      <c r="G401" s="19" t="str">
        <f>IFERROR(VLOOKUP(F401,케이블트레이입.출고현황!W404:AB479,2,0),"")</f>
        <v/>
      </c>
      <c r="H401" s="19" t="str">
        <f>IFERROR(VLOOKUP(G401,케이블트레이입.출고현황!X404:AC479,2,0),"")</f>
        <v/>
      </c>
      <c r="I401" s="19" t="str">
        <f>IFERROR(VLOOKUP(H401,케이블트레이입.출고현황!Y404:AD479,2,0),"")</f>
        <v/>
      </c>
      <c r="J401" s="9" t="s">
        <v>557</v>
      </c>
      <c r="K401" s="9"/>
      <c r="L401" s="37"/>
      <c r="M401" s="64"/>
      <c r="N401" s="42"/>
    </row>
    <row r="402" spans="1:14" ht="24" customHeight="1">
      <c r="A402" s="8">
        <v>362</v>
      </c>
      <c r="B402" s="9">
        <v>362</v>
      </c>
      <c r="C402" s="46"/>
      <c r="D402" s="9"/>
      <c r="E402" s="19" t="str">
        <f>IFERROR(VLOOKUP(D402,케이블트레이입.출고현황!U405:Z480,2,0),"")</f>
        <v/>
      </c>
      <c r="F402" s="19" t="str">
        <f>IFERROR(VLOOKUP(E402,케이블트레이입.출고현황!V405:AA480,2,0),"")</f>
        <v/>
      </c>
      <c r="G402" s="19" t="str">
        <f>IFERROR(VLOOKUP(F402,케이블트레이입.출고현황!W405:AB480,2,0),"")</f>
        <v/>
      </c>
      <c r="H402" s="19" t="str">
        <f>IFERROR(VLOOKUP(G402,케이블트레이입.출고현황!X405:AC480,2,0),"")</f>
        <v/>
      </c>
      <c r="I402" s="19" t="str">
        <f>IFERROR(VLOOKUP(H402,케이블트레이입.출고현황!Y405:AD480,2,0),"")</f>
        <v/>
      </c>
      <c r="J402" s="9">
        <v>1</v>
      </c>
      <c r="K402" s="9"/>
      <c r="L402" s="37"/>
      <c r="M402" s="64"/>
      <c r="N402" s="42"/>
    </row>
    <row r="403" spans="1:14" ht="24" customHeight="1">
      <c r="A403" s="8">
        <v>363</v>
      </c>
      <c r="B403" s="9">
        <v>363</v>
      </c>
      <c r="C403" s="46"/>
      <c r="D403" s="9"/>
      <c r="E403" s="19" t="str">
        <f>IFERROR(VLOOKUP(D403,케이블트레이입.출고현황!U406:Z481,2,0),"")</f>
        <v/>
      </c>
      <c r="F403" s="19" t="str">
        <f>IFERROR(VLOOKUP(E403,케이블트레이입.출고현황!V406:AA481,2,0),"")</f>
        <v/>
      </c>
      <c r="G403" s="19" t="str">
        <f>IFERROR(VLOOKUP(F403,케이블트레이입.출고현황!W406:AB481,2,0),"")</f>
        <v/>
      </c>
      <c r="H403" s="19" t="str">
        <f>IFERROR(VLOOKUP(G403,케이블트레이입.출고현황!X406:AC481,2,0),"")</f>
        <v/>
      </c>
      <c r="I403" s="19" t="str">
        <f>IFERROR(VLOOKUP(H403,케이블트레이입.출고현황!Y406:AD481,2,0),"")</f>
        <v/>
      </c>
      <c r="J403" s="9">
        <v>3</v>
      </c>
      <c r="K403" s="9"/>
      <c r="L403" s="37"/>
      <c r="M403" s="64"/>
      <c r="N403" s="42"/>
    </row>
    <row r="404" spans="1:14" ht="24" customHeight="1">
      <c r="A404" s="8">
        <v>364</v>
      </c>
      <c r="B404" s="9">
        <v>364</v>
      </c>
      <c r="C404" s="46"/>
      <c r="D404" s="9"/>
      <c r="E404" s="19" t="str">
        <f>IFERROR(VLOOKUP(D404,케이블트레이입.출고현황!U407:Z482,2,0),"")</f>
        <v/>
      </c>
      <c r="F404" s="19" t="str">
        <f>IFERROR(VLOOKUP(E404,케이블트레이입.출고현황!V407:AA482,2,0),"")</f>
        <v/>
      </c>
      <c r="G404" s="19" t="str">
        <f>IFERROR(VLOOKUP(F404,케이블트레이입.출고현황!W407:AB482,2,0),"")</f>
        <v/>
      </c>
      <c r="H404" s="19" t="str">
        <f>IFERROR(VLOOKUP(G404,케이블트레이입.출고현황!X407:AC482,2,0),"")</f>
        <v/>
      </c>
      <c r="I404" s="19" t="str">
        <f>IFERROR(VLOOKUP(H404,케이블트레이입.출고현황!Y407:AD482,2,0),"")</f>
        <v/>
      </c>
      <c r="J404" s="9" t="s">
        <v>557</v>
      </c>
      <c r="K404" s="9"/>
      <c r="L404" s="37"/>
      <c r="M404" s="64"/>
      <c r="N404" s="42"/>
    </row>
    <row r="405" spans="1:14" ht="24" customHeight="1">
      <c r="A405" s="8">
        <v>365</v>
      </c>
      <c r="B405" s="9">
        <v>365</v>
      </c>
      <c r="C405" s="46"/>
      <c r="D405" s="9"/>
      <c r="E405" s="19" t="str">
        <f>IFERROR(VLOOKUP(D405,케이블트레이입.출고현황!U408:Z483,2,0),"")</f>
        <v/>
      </c>
      <c r="F405" s="19" t="str">
        <f>IFERROR(VLOOKUP(E405,케이블트레이입.출고현황!V408:AA483,2,0),"")</f>
        <v/>
      </c>
      <c r="G405" s="19" t="str">
        <f>IFERROR(VLOOKUP(F405,케이블트레이입.출고현황!W408:AB483,2,0),"")</f>
        <v/>
      </c>
      <c r="H405" s="19" t="str">
        <f>IFERROR(VLOOKUP(G405,케이블트레이입.출고현황!X408:AC483,2,0),"")</f>
        <v/>
      </c>
      <c r="I405" s="19" t="str">
        <f>IFERROR(VLOOKUP(H405,케이블트레이입.출고현황!Y408:AD483,2,0),"")</f>
        <v/>
      </c>
      <c r="J405" s="9">
        <v>1</v>
      </c>
      <c r="K405" s="9"/>
      <c r="L405" s="37"/>
      <c r="M405" s="64"/>
      <c r="N405" s="42"/>
    </row>
    <row r="406" spans="1:14" ht="24" customHeight="1">
      <c r="A406" s="8">
        <v>366</v>
      </c>
      <c r="B406" s="9">
        <v>366</v>
      </c>
      <c r="C406" s="46"/>
      <c r="D406" s="9"/>
      <c r="E406" s="19" t="str">
        <f>IFERROR(VLOOKUP(D406,케이블트레이입.출고현황!U409:Z484,2,0),"")</f>
        <v/>
      </c>
      <c r="F406" s="19" t="str">
        <f>IFERROR(VLOOKUP(E406,케이블트레이입.출고현황!V409:AA484,2,0),"")</f>
        <v/>
      </c>
      <c r="G406" s="19" t="str">
        <f>IFERROR(VLOOKUP(F406,케이블트레이입.출고현황!W409:AB484,2,0),"")</f>
        <v/>
      </c>
      <c r="H406" s="19" t="str">
        <f>IFERROR(VLOOKUP(G406,케이블트레이입.출고현황!X409:AC484,2,0),"")</f>
        <v/>
      </c>
      <c r="I406" s="19" t="str">
        <f>IFERROR(VLOOKUP(H406,케이블트레이입.출고현황!Y409:AD484,2,0),"")</f>
        <v/>
      </c>
      <c r="J406" s="9">
        <v>4</v>
      </c>
      <c r="K406" s="9"/>
      <c r="L406" s="37"/>
      <c r="M406" s="64"/>
      <c r="N406" s="42"/>
    </row>
    <row r="407" spans="1:14" ht="24" customHeight="1">
      <c r="A407" s="8">
        <v>367</v>
      </c>
      <c r="B407" s="9">
        <v>367</v>
      </c>
      <c r="C407" s="46"/>
      <c r="D407" s="9"/>
      <c r="E407" s="19" t="str">
        <f>IFERROR(VLOOKUP(D407,케이블트레이입.출고현황!U410:Z485,2,0),"")</f>
        <v/>
      </c>
      <c r="F407" s="19" t="str">
        <f>IFERROR(VLOOKUP(E407,케이블트레이입.출고현황!V410:AA485,2,0),"")</f>
        <v/>
      </c>
      <c r="G407" s="19" t="str">
        <f>IFERROR(VLOOKUP(F407,케이블트레이입.출고현황!W410:AB485,2,0),"")</f>
        <v/>
      </c>
      <c r="H407" s="19" t="str">
        <f>IFERROR(VLOOKUP(G407,케이블트레이입.출고현황!X410:AC485,2,0),"")</f>
        <v/>
      </c>
      <c r="I407" s="19" t="str">
        <f>IFERROR(VLOOKUP(H407,케이블트레이입.출고현황!Y410:AD485,2,0),"")</f>
        <v/>
      </c>
      <c r="J407" s="9">
        <v>4</v>
      </c>
      <c r="K407" s="9"/>
      <c r="L407" s="37"/>
      <c r="M407" s="64"/>
      <c r="N407" s="42"/>
    </row>
    <row r="408" spans="1:14" ht="24" customHeight="1">
      <c r="A408" s="8">
        <v>368</v>
      </c>
      <c r="B408" s="9">
        <v>368</v>
      </c>
      <c r="C408" s="46"/>
      <c r="D408" s="9"/>
      <c r="E408" s="19" t="str">
        <f>IFERROR(VLOOKUP(D408,케이블트레이입.출고현황!U411:Z486,2,0),"")</f>
        <v/>
      </c>
      <c r="F408" s="19" t="str">
        <f>IFERROR(VLOOKUP(E408,케이블트레이입.출고현황!V411:AA486,2,0),"")</f>
        <v/>
      </c>
      <c r="G408" s="19" t="str">
        <f>IFERROR(VLOOKUP(F408,케이블트레이입.출고현황!W411:AB486,2,0),"")</f>
        <v/>
      </c>
      <c r="H408" s="19" t="str">
        <f>IFERROR(VLOOKUP(G408,케이블트레이입.출고현황!X411:AC486,2,0),"")</f>
        <v/>
      </c>
      <c r="I408" s="19" t="str">
        <f>IFERROR(VLOOKUP(H408,케이블트레이입.출고현황!Y411:AD486,2,0),"")</f>
        <v/>
      </c>
      <c r="J408" s="9">
        <v>1</v>
      </c>
      <c r="K408" s="9"/>
      <c r="L408" s="37"/>
      <c r="M408" s="64"/>
      <c r="N408" s="42"/>
    </row>
    <row r="409" spans="1:14" ht="24" customHeight="1">
      <c r="A409" s="8">
        <v>369</v>
      </c>
      <c r="B409" s="9">
        <v>369</v>
      </c>
      <c r="C409" s="46"/>
      <c r="D409" s="9"/>
      <c r="E409" s="19" t="str">
        <f>IFERROR(VLOOKUP(D409,케이블트레이입.출고현황!U412:Z487,2,0),"")</f>
        <v/>
      </c>
      <c r="F409" s="19" t="str">
        <f>IFERROR(VLOOKUP(E409,케이블트레이입.출고현황!V412:AA487,2,0),"")</f>
        <v/>
      </c>
      <c r="G409" s="19" t="str">
        <f>IFERROR(VLOOKUP(F409,케이블트레이입.출고현황!W412:AB487,2,0),"")</f>
        <v/>
      </c>
      <c r="H409" s="19" t="str">
        <f>IFERROR(VLOOKUP(G409,케이블트레이입.출고현황!X412:AC487,2,0),"")</f>
        <v/>
      </c>
      <c r="I409" s="19" t="str">
        <f>IFERROR(VLOOKUP(H409,케이블트레이입.출고현황!Y412:AD487,2,0),"")</f>
        <v/>
      </c>
      <c r="J409" s="9" t="s">
        <v>557</v>
      </c>
      <c r="K409" s="9"/>
      <c r="L409" s="37"/>
      <c r="M409" s="64"/>
      <c r="N409" s="42"/>
    </row>
    <row r="410" spans="1:14" ht="24" customHeight="1">
      <c r="A410" s="8">
        <v>370</v>
      </c>
      <c r="B410" s="9">
        <v>370</v>
      </c>
      <c r="C410" s="46"/>
      <c r="D410" s="9"/>
      <c r="E410" s="19" t="str">
        <f>IFERROR(VLOOKUP(D410,케이블트레이입.출고현황!U413:Z488,2,0),"")</f>
        <v/>
      </c>
      <c r="F410" s="19" t="str">
        <f>IFERROR(VLOOKUP(E410,케이블트레이입.출고현황!V413:AA488,2,0),"")</f>
        <v/>
      </c>
      <c r="G410" s="19" t="str">
        <f>IFERROR(VLOOKUP(F410,케이블트레이입.출고현황!W413:AB488,2,0),"")</f>
        <v/>
      </c>
      <c r="H410" s="19" t="str">
        <f>IFERROR(VLOOKUP(G410,케이블트레이입.출고현황!X413:AC488,2,0),"")</f>
        <v/>
      </c>
      <c r="I410" s="19" t="str">
        <f>IFERROR(VLOOKUP(H410,케이블트레이입.출고현황!Y413:AD488,2,0),"")</f>
        <v/>
      </c>
      <c r="J410" s="9">
        <v>1</v>
      </c>
      <c r="K410" s="9"/>
      <c r="L410" s="37"/>
      <c r="M410" s="64"/>
      <c r="N410" s="42"/>
    </row>
    <row r="411" spans="1:14" ht="24" customHeight="1">
      <c r="A411" s="8">
        <v>371</v>
      </c>
      <c r="B411" s="9">
        <v>371</v>
      </c>
      <c r="C411" s="46"/>
      <c r="D411" s="9"/>
      <c r="E411" s="19" t="str">
        <f>IFERROR(VLOOKUP(D411,케이블트레이입.출고현황!U414:Z489,2,0),"")</f>
        <v/>
      </c>
      <c r="F411" s="19" t="str">
        <f>IFERROR(VLOOKUP(E411,케이블트레이입.출고현황!V414:AA489,2,0),"")</f>
        <v/>
      </c>
      <c r="G411" s="19" t="str">
        <f>IFERROR(VLOOKUP(F411,케이블트레이입.출고현황!W414:AB489,2,0),"")</f>
        <v/>
      </c>
      <c r="H411" s="19" t="str">
        <f>IFERROR(VLOOKUP(G411,케이블트레이입.출고현황!X414:AC489,2,0),"")</f>
        <v/>
      </c>
      <c r="I411" s="19" t="str">
        <f>IFERROR(VLOOKUP(H411,케이블트레이입.출고현황!Y414:AD489,2,0),"")</f>
        <v/>
      </c>
      <c r="J411" s="9">
        <v>2</v>
      </c>
      <c r="K411" s="9"/>
      <c r="L411" s="37"/>
      <c r="M411" s="64"/>
      <c r="N411" s="42"/>
    </row>
    <row r="412" spans="1:14" ht="24" customHeight="1">
      <c r="A412" s="8">
        <v>372</v>
      </c>
      <c r="B412" s="9">
        <v>372</v>
      </c>
      <c r="C412" s="46"/>
      <c r="D412" s="9"/>
      <c r="E412" s="19" t="str">
        <f>IFERROR(VLOOKUP(D412,케이블트레이입.출고현황!U415:Z490,2,0),"")</f>
        <v/>
      </c>
      <c r="F412" s="19" t="str">
        <f>IFERROR(VLOOKUP(E412,케이블트레이입.출고현황!V415:AA490,2,0),"")</f>
        <v/>
      </c>
      <c r="G412" s="19" t="str">
        <f>IFERROR(VLOOKUP(F412,케이블트레이입.출고현황!W415:AB490,2,0),"")</f>
        <v/>
      </c>
      <c r="H412" s="19" t="str">
        <f>IFERROR(VLOOKUP(G412,케이블트레이입.출고현황!X415:AC490,2,0),"")</f>
        <v/>
      </c>
      <c r="I412" s="19" t="str">
        <f>IFERROR(VLOOKUP(H412,케이블트레이입.출고현황!Y415:AD490,2,0),"")</f>
        <v/>
      </c>
      <c r="J412" s="9">
        <v>1</v>
      </c>
      <c r="K412" s="9"/>
      <c r="L412" s="37"/>
      <c r="M412" s="64"/>
      <c r="N412" s="42"/>
    </row>
    <row r="413" spans="1:14" ht="24" customHeight="1">
      <c r="A413" s="8">
        <v>373</v>
      </c>
      <c r="B413" s="9">
        <v>373</v>
      </c>
      <c r="C413" s="46"/>
      <c r="D413" s="9"/>
      <c r="E413" s="19" t="str">
        <f>IFERROR(VLOOKUP(D413,케이블트레이입.출고현황!U416:Z491,2,0),"")</f>
        <v/>
      </c>
      <c r="F413" s="19" t="str">
        <f>IFERROR(VLOOKUP(E413,케이블트레이입.출고현황!V416:AA491,2,0),"")</f>
        <v/>
      </c>
      <c r="G413" s="19" t="str">
        <f>IFERROR(VLOOKUP(F413,케이블트레이입.출고현황!W416:AB491,2,0),"")</f>
        <v/>
      </c>
      <c r="H413" s="19" t="str">
        <f>IFERROR(VLOOKUP(G413,케이블트레이입.출고현황!X416:AC491,2,0),"")</f>
        <v/>
      </c>
      <c r="I413" s="19" t="str">
        <f>IFERROR(VLOOKUP(H413,케이블트레이입.출고현황!Y416:AD491,2,0),"")</f>
        <v/>
      </c>
      <c r="J413" s="9">
        <v>1</v>
      </c>
      <c r="K413" s="9"/>
      <c r="L413" s="37"/>
      <c r="M413" s="64"/>
      <c r="N413" s="42"/>
    </row>
    <row r="414" spans="1:14" ht="24" customHeight="1">
      <c r="A414" s="8">
        <v>374</v>
      </c>
      <c r="B414" s="9">
        <v>374</v>
      </c>
      <c r="C414" s="46"/>
      <c r="D414" s="9"/>
      <c r="E414" s="19" t="str">
        <f>IFERROR(VLOOKUP(D414,케이블트레이입.출고현황!U417:Z492,2,0),"")</f>
        <v/>
      </c>
      <c r="F414" s="19" t="str">
        <f>IFERROR(VLOOKUP(E414,케이블트레이입.출고현황!V417:AA492,2,0),"")</f>
        <v/>
      </c>
      <c r="G414" s="19" t="str">
        <f>IFERROR(VLOOKUP(F414,케이블트레이입.출고현황!W417:AB492,2,0),"")</f>
        <v/>
      </c>
      <c r="H414" s="19" t="str">
        <f>IFERROR(VLOOKUP(G414,케이블트레이입.출고현황!X417:AC492,2,0),"")</f>
        <v/>
      </c>
      <c r="I414" s="19" t="str">
        <f>IFERROR(VLOOKUP(H414,케이블트레이입.출고현황!Y417:AD492,2,0),"")</f>
        <v/>
      </c>
      <c r="J414" s="9">
        <v>1</v>
      </c>
      <c r="K414" s="9"/>
      <c r="L414" s="37"/>
      <c r="M414" s="64"/>
      <c r="N414" s="42"/>
    </row>
    <row r="415" spans="1:14" ht="24" customHeight="1">
      <c r="A415" s="8">
        <v>375</v>
      </c>
      <c r="B415" s="9">
        <v>375</v>
      </c>
      <c r="C415" s="46"/>
      <c r="D415" s="9"/>
      <c r="E415" s="19" t="str">
        <f>IFERROR(VLOOKUP(D415,케이블트레이입.출고현황!U418:Z493,2,0),"")</f>
        <v/>
      </c>
      <c r="F415" s="19" t="str">
        <f>IFERROR(VLOOKUP(E415,케이블트레이입.출고현황!V418:AA493,2,0),"")</f>
        <v/>
      </c>
      <c r="G415" s="19" t="str">
        <f>IFERROR(VLOOKUP(F415,케이블트레이입.출고현황!W418:AB493,2,0),"")</f>
        <v/>
      </c>
      <c r="H415" s="19" t="str">
        <f>IFERROR(VLOOKUP(G415,케이블트레이입.출고현황!X418:AC493,2,0),"")</f>
        <v/>
      </c>
      <c r="I415" s="19" t="str">
        <f>IFERROR(VLOOKUP(H415,케이블트레이입.출고현황!Y418:AD493,2,0),"")</f>
        <v/>
      </c>
      <c r="J415" s="9" t="s">
        <v>557</v>
      </c>
      <c r="K415" s="9"/>
      <c r="L415" s="37"/>
      <c r="M415" s="64"/>
      <c r="N415" s="42"/>
    </row>
    <row r="416" spans="1:14" ht="24" customHeight="1">
      <c r="A416" s="8">
        <v>376</v>
      </c>
      <c r="B416" s="9">
        <v>376</v>
      </c>
      <c r="C416" s="46"/>
      <c r="D416" s="9"/>
      <c r="E416" s="19" t="str">
        <f>IFERROR(VLOOKUP(D416,케이블트레이입.출고현황!U419:Z494,2,0),"")</f>
        <v/>
      </c>
      <c r="F416" s="19" t="str">
        <f>IFERROR(VLOOKUP(E416,케이블트레이입.출고현황!V419:AA494,2,0),"")</f>
        <v/>
      </c>
      <c r="G416" s="19" t="str">
        <f>IFERROR(VLOOKUP(F416,케이블트레이입.출고현황!W419:AB494,2,0),"")</f>
        <v/>
      </c>
      <c r="H416" s="19" t="str">
        <f>IFERROR(VLOOKUP(G416,케이블트레이입.출고현황!X419:AC494,2,0),"")</f>
        <v/>
      </c>
      <c r="I416" s="19" t="str">
        <f>IFERROR(VLOOKUP(H416,케이블트레이입.출고현황!Y419:AD494,2,0),"")</f>
        <v/>
      </c>
      <c r="J416" s="9">
        <v>3</v>
      </c>
      <c r="K416" s="9"/>
      <c r="L416" s="37"/>
      <c r="M416" s="64"/>
      <c r="N416" s="42"/>
    </row>
    <row r="417" spans="1:14" ht="24" customHeight="1">
      <c r="A417" s="8">
        <v>377</v>
      </c>
      <c r="B417" s="9">
        <v>377</v>
      </c>
      <c r="C417" s="46"/>
      <c r="D417" s="9"/>
      <c r="E417" s="19" t="str">
        <f>IFERROR(VLOOKUP(D417,케이블트레이입.출고현황!U420:Z495,2,0),"")</f>
        <v/>
      </c>
      <c r="F417" s="19" t="str">
        <f>IFERROR(VLOOKUP(E417,케이블트레이입.출고현황!V420:AA495,2,0),"")</f>
        <v/>
      </c>
      <c r="G417" s="19" t="str">
        <f>IFERROR(VLOOKUP(F417,케이블트레이입.출고현황!W420:AB495,2,0),"")</f>
        <v/>
      </c>
      <c r="H417" s="19" t="str">
        <f>IFERROR(VLOOKUP(G417,케이블트레이입.출고현황!X420:AC495,2,0),"")</f>
        <v/>
      </c>
      <c r="I417" s="19" t="str">
        <f>IFERROR(VLOOKUP(H417,케이블트레이입.출고현황!Y420:AD495,2,0),"")</f>
        <v/>
      </c>
      <c r="J417" s="9">
        <v>1</v>
      </c>
      <c r="K417" s="9"/>
      <c r="L417" s="37"/>
      <c r="M417" s="64"/>
      <c r="N417" s="42"/>
    </row>
    <row r="418" spans="1:14" ht="24" customHeight="1">
      <c r="A418" s="8">
        <v>378</v>
      </c>
      <c r="B418" s="9">
        <v>378</v>
      </c>
      <c r="C418" s="46"/>
      <c r="D418" s="9"/>
      <c r="E418" s="19" t="str">
        <f>IFERROR(VLOOKUP(D418,케이블트레이입.출고현황!U421:Z496,2,0),"")</f>
        <v/>
      </c>
      <c r="F418" s="19" t="str">
        <f>IFERROR(VLOOKUP(E418,케이블트레이입.출고현황!V421:AA496,2,0),"")</f>
        <v/>
      </c>
      <c r="G418" s="19" t="str">
        <f>IFERROR(VLOOKUP(F418,케이블트레이입.출고현황!W421:AB496,2,0),"")</f>
        <v/>
      </c>
      <c r="H418" s="19" t="str">
        <f>IFERROR(VLOOKUP(G418,케이블트레이입.출고현황!X421:AC496,2,0),"")</f>
        <v/>
      </c>
      <c r="I418" s="19" t="str">
        <f>IFERROR(VLOOKUP(H418,케이블트레이입.출고현황!Y421:AD496,2,0),"")</f>
        <v/>
      </c>
      <c r="J418" s="9">
        <v>1</v>
      </c>
      <c r="K418" s="9"/>
      <c r="L418" s="37"/>
      <c r="M418" s="64"/>
      <c r="N418" s="42"/>
    </row>
    <row r="419" spans="1:14" ht="24" customHeight="1">
      <c r="A419" s="8">
        <v>379</v>
      </c>
      <c r="B419" s="9">
        <v>379</v>
      </c>
      <c r="C419" s="46"/>
      <c r="D419" s="9"/>
      <c r="E419" s="19" t="str">
        <f>IFERROR(VLOOKUP(D419,케이블트레이입.출고현황!U422:Z497,2,0),"")</f>
        <v/>
      </c>
      <c r="F419" s="19" t="str">
        <f>IFERROR(VLOOKUP(E419,케이블트레이입.출고현황!V422:AA497,2,0),"")</f>
        <v/>
      </c>
      <c r="G419" s="19" t="str">
        <f>IFERROR(VLOOKUP(F419,케이블트레이입.출고현황!W422:AB497,2,0),"")</f>
        <v/>
      </c>
      <c r="H419" s="19" t="str">
        <f>IFERROR(VLOOKUP(G419,케이블트레이입.출고현황!X422:AC497,2,0),"")</f>
        <v/>
      </c>
      <c r="I419" s="19" t="str">
        <f>IFERROR(VLOOKUP(H419,케이블트레이입.출고현황!Y422:AD497,2,0),"")</f>
        <v/>
      </c>
      <c r="J419" s="9">
        <v>2</v>
      </c>
      <c r="K419" s="9"/>
      <c r="L419" s="37"/>
      <c r="M419" s="64"/>
      <c r="N419" s="42"/>
    </row>
    <row r="420" spans="1:14" ht="24" customHeight="1">
      <c r="A420" s="8">
        <v>380</v>
      </c>
      <c r="B420" s="9">
        <v>380</v>
      </c>
      <c r="C420" s="46"/>
      <c r="D420" s="9"/>
      <c r="E420" s="19" t="str">
        <f>IFERROR(VLOOKUP(D420,케이블트레이입.출고현황!U423:Z498,2,0),"")</f>
        <v/>
      </c>
      <c r="F420" s="19" t="str">
        <f>IFERROR(VLOOKUP(E420,케이블트레이입.출고현황!V423:AA498,2,0),"")</f>
        <v/>
      </c>
      <c r="G420" s="19" t="str">
        <f>IFERROR(VLOOKUP(F420,케이블트레이입.출고현황!W423:AB498,2,0),"")</f>
        <v/>
      </c>
      <c r="H420" s="19" t="str">
        <f>IFERROR(VLOOKUP(G420,케이블트레이입.출고현황!X423:AC498,2,0),"")</f>
        <v/>
      </c>
      <c r="I420" s="19" t="str">
        <f>IFERROR(VLOOKUP(H420,케이블트레이입.출고현황!Y423:AD498,2,0),"")</f>
        <v/>
      </c>
      <c r="J420" s="9">
        <v>1</v>
      </c>
      <c r="K420" s="9"/>
      <c r="L420" s="37"/>
      <c r="M420" s="64"/>
      <c r="N420" s="42"/>
    </row>
    <row r="421" spans="1:14" ht="24" customHeight="1">
      <c r="A421" s="8">
        <v>381</v>
      </c>
      <c r="B421" s="9">
        <v>381</v>
      </c>
      <c r="C421" s="46"/>
      <c r="D421" s="9"/>
      <c r="E421" s="19" t="str">
        <f>IFERROR(VLOOKUP(D421,케이블트레이입.출고현황!U424:Z499,2,0),"")</f>
        <v/>
      </c>
      <c r="F421" s="19" t="str">
        <f>IFERROR(VLOOKUP(E421,케이블트레이입.출고현황!V424:AA499,2,0),"")</f>
        <v/>
      </c>
      <c r="G421" s="19" t="str">
        <f>IFERROR(VLOOKUP(F421,케이블트레이입.출고현황!W424:AB499,2,0),"")</f>
        <v/>
      </c>
      <c r="H421" s="19" t="str">
        <f>IFERROR(VLOOKUP(G421,케이블트레이입.출고현황!X424:AC499,2,0),"")</f>
        <v/>
      </c>
      <c r="I421" s="19" t="str">
        <f>IFERROR(VLOOKUP(H421,케이블트레이입.출고현황!Y424:AD499,2,0),"")</f>
        <v/>
      </c>
      <c r="J421" s="9">
        <v>1</v>
      </c>
      <c r="K421" s="9"/>
      <c r="L421" s="37"/>
      <c r="M421" s="64"/>
      <c r="N421" s="42"/>
    </row>
    <row r="422" spans="1:14" ht="24" customHeight="1">
      <c r="A422" s="8">
        <v>382</v>
      </c>
      <c r="B422" s="9">
        <v>382</v>
      </c>
      <c r="C422" s="46"/>
      <c r="D422" s="9"/>
      <c r="E422" s="19" t="str">
        <f>IFERROR(VLOOKUP(D422,케이블트레이입.출고현황!U425:Z500,2,0),"")</f>
        <v/>
      </c>
      <c r="F422" s="19" t="str">
        <f>IFERROR(VLOOKUP(E422,케이블트레이입.출고현황!V425:AA500,2,0),"")</f>
        <v/>
      </c>
      <c r="G422" s="19" t="str">
        <f>IFERROR(VLOOKUP(F422,케이블트레이입.출고현황!W425:AB500,2,0),"")</f>
        <v/>
      </c>
      <c r="H422" s="19" t="str">
        <f>IFERROR(VLOOKUP(G422,케이블트레이입.출고현황!X425:AC500,2,0),"")</f>
        <v/>
      </c>
      <c r="I422" s="19" t="str">
        <f>IFERROR(VLOOKUP(H422,케이블트레이입.출고현황!Y425:AD500,2,0),"")</f>
        <v/>
      </c>
      <c r="J422" s="9">
        <v>1</v>
      </c>
      <c r="K422" s="9"/>
      <c r="L422" s="37"/>
      <c r="M422" s="64"/>
      <c r="N422" s="42"/>
    </row>
    <row r="423" spans="1:14" ht="24" customHeight="1">
      <c r="A423" s="8">
        <v>383</v>
      </c>
      <c r="B423" s="9">
        <v>383</v>
      </c>
      <c r="C423" s="46"/>
      <c r="D423" s="9"/>
      <c r="E423" s="19" t="str">
        <f>IFERROR(VLOOKUP(D423,케이블트레이입.출고현황!U426:Z501,2,0),"")</f>
        <v/>
      </c>
      <c r="F423" s="19" t="str">
        <f>IFERROR(VLOOKUP(E423,케이블트레이입.출고현황!V426:AA501,2,0),"")</f>
        <v/>
      </c>
      <c r="G423" s="19" t="str">
        <f>IFERROR(VLOOKUP(F423,케이블트레이입.출고현황!W426:AB501,2,0),"")</f>
        <v/>
      </c>
      <c r="H423" s="19" t="str">
        <f>IFERROR(VLOOKUP(G423,케이블트레이입.출고현황!X426:AC501,2,0),"")</f>
        <v/>
      </c>
      <c r="I423" s="19" t="str">
        <f>IFERROR(VLOOKUP(H423,케이블트레이입.출고현황!Y426:AD501,2,0),"")</f>
        <v/>
      </c>
      <c r="J423" s="9" t="s">
        <v>557</v>
      </c>
      <c r="K423" s="9"/>
      <c r="L423" s="37"/>
      <c r="M423" s="64"/>
      <c r="N423" s="42"/>
    </row>
    <row r="424" spans="1:14" ht="24" customHeight="1">
      <c r="A424" s="8">
        <v>384</v>
      </c>
      <c r="B424" s="9">
        <v>384</v>
      </c>
      <c r="C424" s="46"/>
      <c r="D424" s="9"/>
      <c r="E424" s="19" t="str">
        <f>IFERROR(VLOOKUP(D424,케이블트레이입.출고현황!U427:Z502,2,0),"")</f>
        <v/>
      </c>
      <c r="F424" s="19" t="str">
        <f>IFERROR(VLOOKUP(E424,케이블트레이입.출고현황!V427:AA502,2,0),"")</f>
        <v/>
      </c>
      <c r="G424" s="19" t="str">
        <f>IFERROR(VLOOKUP(F424,케이블트레이입.출고현황!W427:AB502,2,0),"")</f>
        <v/>
      </c>
      <c r="H424" s="19" t="str">
        <f>IFERROR(VLOOKUP(G424,케이블트레이입.출고현황!X427:AC502,2,0),"")</f>
        <v/>
      </c>
      <c r="I424" s="19" t="str">
        <f>IFERROR(VLOOKUP(H424,케이블트레이입.출고현황!Y427:AD502,2,0),"")</f>
        <v/>
      </c>
      <c r="J424" s="9">
        <v>1</v>
      </c>
      <c r="K424" s="9"/>
      <c r="L424" s="37"/>
      <c r="M424" s="64"/>
      <c r="N424" s="42"/>
    </row>
    <row r="425" spans="1:14" ht="24" customHeight="1">
      <c r="A425" s="8">
        <v>385</v>
      </c>
      <c r="B425" s="9">
        <v>385</v>
      </c>
      <c r="C425" s="46"/>
      <c r="D425" s="9"/>
      <c r="E425" s="19" t="str">
        <f>IFERROR(VLOOKUP(D425,케이블트레이입.출고현황!U428:Z503,2,0),"")</f>
        <v/>
      </c>
      <c r="F425" s="19" t="str">
        <f>IFERROR(VLOOKUP(E425,케이블트레이입.출고현황!V428:AA503,2,0),"")</f>
        <v/>
      </c>
      <c r="G425" s="19" t="str">
        <f>IFERROR(VLOOKUP(F425,케이블트레이입.출고현황!W428:AB503,2,0),"")</f>
        <v/>
      </c>
      <c r="H425" s="19" t="str">
        <f>IFERROR(VLOOKUP(G425,케이블트레이입.출고현황!X428:AC503,2,0),"")</f>
        <v/>
      </c>
      <c r="I425" s="19" t="str">
        <f>IFERROR(VLOOKUP(H425,케이블트레이입.출고현황!Y428:AD503,2,0),"")</f>
        <v/>
      </c>
      <c r="J425" s="9">
        <v>2</v>
      </c>
      <c r="K425" s="9"/>
      <c r="L425" s="37"/>
      <c r="M425" s="64"/>
      <c r="N425" s="42"/>
    </row>
    <row r="426" spans="1:14" ht="24" customHeight="1">
      <c r="A426" s="8">
        <v>386</v>
      </c>
      <c r="B426" s="9">
        <v>386</v>
      </c>
      <c r="C426" s="46"/>
      <c r="D426" s="9"/>
      <c r="E426" s="19" t="str">
        <f>IFERROR(VLOOKUP(D426,케이블트레이입.출고현황!U429:Z504,2,0),"")</f>
        <v/>
      </c>
      <c r="F426" s="19" t="str">
        <f>IFERROR(VLOOKUP(E426,케이블트레이입.출고현황!V429:AA504,2,0),"")</f>
        <v/>
      </c>
      <c r="G426" s="19" t="str">
        <f>IFERROR(VLOOKUP(F426,케이블트레이입.출고현황!W429:AB504,2,0),"")</f>
        <v/>
      </c>
      <c r="H426" s="19" t="str">
        <f>IFERROR(VLOOKUP(G426,케이블트레이입.출고현황!X429:AC504,2,0),"")</f>
        <v/>
      </c>
      <c r="I426" s="19" t="str">
        <f>IFERROR(VLOOKUP(H426,케이블트레이입.출고현황!Y429:AD504,2,0),"")</f>
        <v/>
      </c>
      <c r="J426" s="9">
        <v>1</v>
      </c>
      <c r="K426" s="9"/>
      <c r="L426" s="37"/>
      <c r="M426" s="64"/>
      <c r="N426" s="42"/>
    </row>
    <row r="427" spans="1:14" ht="24" customHeight="1">
      <c r="A427" s="8">
        <v>387</v>
      </c>
      <c r="B427" s="9">
        <v>387</v>
      </c>
      <c r="C427" s="46"/>
      <c r="D427" s="9"/>
      <c r="E427" s="19" t="str">
        <f>IFERROR(VLOOKUP(D427,케이블트레이입.출고현황!U430:Z505,2,0),"")</f>
        <v/>
      </c>
      <c r="F427" s="19" t="str">
        <f>IFERROR(VLOOKUP(E427,케이블트레이입.출고현황!V430:AA505,2,0),"")</f>
        <v/>
      </c>
      <c r="G427" s="19" t="str">
        <f>IFERROR(VLOOKUP(F427,케이블트레이입.출고현황!W430:AB505,2,0),"")</f>
        <v/>
      </c>
      <c r="H427" s="19" t="str">
        <f>IFERROR(VLOOKUP(G427,케이블트레이입.출고현황!X430:AC505,2,0),"")</f>
        <v/>
      </c>
      <c r="I427" s="19" t="str">
        <f>IFERROR(VLOOKUP(H427,케이블트레이입.출고현황!Y430:AD505,2,0),"")</f>
        <v/>
      </c>
      <c r="J427" s="9">
        <v>1</v>
      </c>
      <c r="K427" s="9"/>
      <c r="L427" s="37"/>
      <c r="M427" s="64"/>
      <c r="N427" s="42"/>
    </row>
    <row r="428" spans="1:14" ht="24" customHeight="1">
      <c r="A428" s="8">
        <v>388</v>
      </c>
      <c r="B428" s="9">
        <v>388</v>
      </c>
      <c r="C428" s="46"/>
      <c r="D428" s="9"/>
      <c r="E428" s="19" t="str">
        <f>IFERROR(VLOOKUP(D428,케이블트레이입.출고현황!U431:Z506,2,0),"")</f>
        <v/>
      </c>
      <c r="F428" s="19" t="str">
        <f>IFERROR(VLOOKUP(E428,케이블트레이입.출고현황!V431:AA506,2,0),"")</f>
        <v/>
      </c>
      <c r="G428" s="19" t="str">
        <f>IFERROR(VLOOKUP(F428,케이블트레이입.출고현황!W431:AB506,2,0),"")</f>
        <v/>
      </c>
      <c r="H428" s="19" t="str">
        <f>IFERROR(VLOOKUP(G428,케이블트레이입.출고현황!X431:AC506,2,0),"")</f>
        <v/>
      </c>
      <c r="I428" s="19" t="str">
        <f>IFERROR(VLOOKUP(H428,케이블트레이입.출고현황!Y431:AD506,2,0),"")</f>
        <v/>
      </c>
      <c r="J428" s="9">
        <v>1</v>
      </c>
      <c r="K428" s="9"/>
      <c r="L428" s="37"/>
      <c r="M428" s="64"/>
      <c r="N428" s="42"/>
    </row>
    <row r="429" spans="1:14" ht="24" customHeight="1">
      <c r="A429" s="8">
        <v>389</v>
      </c>
      <c r="B429" s="9">
        <v>389</v>
      </c>
      <c r="C429" s="46"/>
      <c r="D429" s="9"/>
      <c r="E429" s="19" t="str">
        <f>IFERROR(VLOOKUP(D429,케이블트레이입.출고현황!U432:Z507,2,0),"")</f>
        <v/>
      </c>
      <c r="F429" s="19" t="str">
        <f>IFERROR(VLOOKUP(E429,케이블트레이입.출고현황!V432:AA507,2,0),"")</f>
        <v/>
      </c>
      <c r="G429" s="19" t="str">
        <f>IFERROR(VLOOKUP(F429,케이블트레이입.출고현황!W432:AB507,2,0),"")</f>
        <v/>
      </c>
      <c r="H429" s="19" t="str">
        <f>IFERROR(VLOOKUP(G429,케이블트레이입.출고현황!X432:AC507,2,0),"")</f>
        <v/>
      </c>
      <c r="I429" s="19" t="str">
        <f>IFERROR(VLOOKUP(H429,케이블트레이입.출고현황!Y432:AD507,2,0),"")</f>
        <v/>
      </c>
      <c r="J429" s="9">
        <v>1</v>
      </c>
      <c r="K429" s="9"/>
      <c r="L429" s="37"/>
      <c r="M429" s="64"/>
      <c r="N429" s="42"/>
    </row>
    <row r="430" spans="1:14" ht="24" customHeight="1">
      <c r="A430" s="8">
        <v>390</v>
      </c>
      <c r="B430" s="9">
        <v>390</v>
      </c>
      <c r="C430" s="46"/>
      <c r="D430" s="9"/>
      <c r="E430" s="19" t="str">
        <f>IFERROR(VLOOKUP(D430,케이블트레이입.출고현황!U433:Z508,2,0),"")</f>
        <v/>
      </c>
      <c r="F430" s="19" t="str">
        <f>IFERROR(VLOOKUP(E430,케이블트레이입.출고현황!V433:AA508,2,0),"")</f>
        <v/>
      </c>
      <c r="G430" s="19" t="str">
        <f>IFERROR(VLOOKUP(F430,케이블트레이입.출고현황!W433:AB508,2,0),"")</f>
        <v/>
      </c>
      <c r="H430" s="19" t="str">
        <f>IFERROR(VLOOKUP(G430,케이블트레이입.출고현황!X433:AC508,2,0),"")</f>
        <v/>
      </c>
      <c r="I430" s="19" t="str">
        <f>IFERROR(VLOOKUP(H430,케이블트레이입.출고현황!Y433:AD508,2,0),"")</f>
        <v/>
      </c>
      <c r="J430" s="9">
        <v>10</v>
      </c>
      <c r="K430" s="9"/>
      <c r="L430" s="37"/>
      <c r="M430" s="64"/>
      <c r="N430" s="42"/>
    </row>
    <row r="431" spans="1:14" ht="24" customHeight="1">
      <c r="A431" s="8">
        <v>391</v>
      </c>
      <c r="B431" s="9">
        <v>391</v>
      </c>
      <c r="C431" s="46"/>
      <c r="D431" s="9"/>
      <c r="E431" s="19" t="str">
        <f>IFERROR(VLOOKUP(D431,케이블트레이입.출고현황!U434:Z509,2,0),"")</f>
        <v/>
      </c>
      <c r="F431" s="19" t="str">
        <f>IFERROR(VLOOKUP(E431,케이블트레이입.출고현황!V434:AA509,2,0),"")</f>
        <v/>
      </c>
      <c r="G431" s="19" t="str">
        <f>IFERROR(VLOOKUP(F431,케이블트레이입.출고현황!W434:AB509,2,0),"")</f>
        <v/>
      </c>
      <c r="H431" s="19" t="str">
        <f>IFERROR(VLOOKUP(G431,케이블트레이입.출고현황!X434:AC509,2,0),"")</f>
        <v/>
      </c>
      <c r="I431" s="19" t="str">
        <f>IFERROR(VLOOKUP(H431,케이블트레이입.출고현황!Y434:AD509,2,0),"")</f>
        <v/>
      </c>
      <c r="J431" s="9">
        <v>1</v>
      </c>
      <c r="K431" s="9"/>
      <c r="L431" s="37"/>
      <c r="M431" s="64"/>
      <c r="N431" s="42"/>
    </row>
    <row r="432" spans="1:14" ht="24" customHeight="1">
      <c r="A432" s="8">
        <v>392</v>
      </c>
      <c r="B432" s="9">
        <v>392</v>
      </c>
      <c r="C432" s="46"/>
      <c r="D432" s="9"/>
      <c r="E432" s="19" t="str">
        <f>IFERROR(VLOOKUP(D432,케이블트레이입.출고현황!U435:Z510,2,0),"")</f>
        <v/>
      </c>
      <c r="F432" s="19" t="str">
        <f>IFERROR(VLOOKUP(E432,케이블트레이입.출고현황!V435:AA510,2,0),"")</f>
        <v/>
      </c>
      <c r="G432" s="19" t="str">
        <f>IFERROR(VLOOKUP(F432,케이블트레이입.출고현황!W435:AB510,2,0),"")</f>
        <v/>
      </c>
      <c r="H432" s="19" t="str">
        <f>IFERROR(VLOOKUP(G432,케이블트레이입.출고현황!X435:AC510,2,0),"")</f>
        <v/>
      </c>
      <c r="I432" s="19" t="str">
        <f>IFERROR(VLOOKUP(H432,케이블트레이입.출고현황!Y435:AD510,2,0),"")</f>
        <v/>
      </c>
      <c r="J432" s="9">
        <v>1</v>
      </c>
      <c r="K432" s="9"/>
      <c r="L432" s="37"/>
      <c r="M432" s="64"/>
      <c r="N432" s="42"/>
    </row>
    <row r="433" spans="1:14" ht="24" customHeight="1">
      <c r="A433" s="8">
        <v>393</v>
      </c>
      <c r="B433" s="9">
        <v>393</v>
      </c>
      <c r="C433" s="46"/>
      <c r="D433" s="9"/>
      <c r="E433" s="19" t="str">
        <f>IFERROR(VLOOKUP(D433,케이블트레이입.출고현황!U436:Z511,2,0),"")</f>
        <v/>
      </c>
      <c r="F433" s="19" t="str">
        <f>IFERROR(VLOOKUP(E433,케이블트레이입.출고현황!V436:AA511,2,0),"")</f>
        <v/>
      </c>
      <c r="G433" s="19" t="str">
        <f>IFERROR(VLOOKUP(F433,케이블트레이입.출고현황!W436:AB511,2,0),"")</f>
        <v/>
      </c>
      <c r="H433" s="19" t="str">
        <f>IFERROR(VLOOKUP(G433,케이블트레이입.출고현황!X436:AC511,2,0),"")</f>
        <v/>
      </c>
      <c r="I433" s="19" t="str">
        <f>IFERROR(VLOOKUP(H433,케이블트레이입.출고현황!Y436:AD511,2,0),"")</f>
        <v/>
      </c>
      <c r="J433" s="9">
        <v>2</v>
      </c>
      <c r="K433" s="9"/>
      <c r="L433" s="37"/>
      <c r="M433" s="64"/>
      <c r="N433" s="42"/>
    </row>
    <row r="434" spans="1:14" ht="24" customHeight="1">
      <c r="A434" s="8">
        <v>394</v>
      </c>
      <c r="B434" s="9">
        <v>394</v>
      </c>
      <c r="C434" s="46"/>
      <c r="D434" s="9"/>
      <c r="E434" s="19" t="str">
        <f>IFERROR(VLOOKUP(D434,케이블트레이입.출고현황!U437:Z512,2,0),"")</f>
        <v/>
      </c>
      <c r="F434" s="19" t="str">
        <f>IFERROR(VLOOKUP(E434,케이블트레이입.출고현황!V437:AA512,2,0),"")</f>
        <v/>
      </c>
      <c r="G434" s="19" t="str">
        <f>IFERROR(VLOOKUP(F434,케이블트레이입.출고현황!W437:AB512,2,0),"")</f>
        <v/>
      </c>
      <c r="H434" s="19" t="str">
        <f>IFERROR(VLOOKUP(G434,케이블트레이입.출고현황!X437:AC512,2,0),"")</f>
        <v/>
      </c>
      <c r="I434" s="19" t="str">
        <f>IFERROR(VLOOKUP(H434,케이블트레이입.출고현황!Y437:AD512,2,0),"")</f>
        <v/>
      </c>
      <c r="J434" s="9">
        <v>2</v>
      </c>
      <c r="K434" s="9"/>
      <c r="L434" s="37"/>
      <c r="M434" s="64"/>
      <c r="N434" s="42"/>
    </row>
    <row r="435" spans="1:14" ht="24" customHeight="1">
      <c r="A435" s="8">
        <v>395</v>
      </c>
      <c r="B435" s="9">
        <v>395</v>
      </c>
      <c r="C435" s="46"/>
      <c r="D435" s="9"/>
      <c r="E435" s="19" t="str">
        <f>IFERROR(VLOOKUP(D435,케이블트레이입.출고현황!U438:Z513,2,0),"")</f>
        <v/>
      </c>
      <c r="F435" s="19" t="str">
        <f>IFERROR(VLOOKUP(E435,케이블트레이입.출고현황!V438:AA513,2,0),"")</f>
        <v/>
      </c>
      <c r="G435" s="19" t="str">
        <f>IFERROR(VLOOKUP(F435,케이블트레이입.출고현황!W438:AB513,2,0),"")</f>
        <v/>
      </c>
      <c r="H435" s="19" t="str">
        <f>IFERROR(VLOOKUP(G435,케이블트레이입.출고현황!X438:AC513,2,0),"")</f>
        <v/>
      </c>
      <c r="I435" s="19" t="str">
        <f>IFERROR(VLOOKUP(H435,케이블트레이입.출고현황!Y438:AD513,2,0),"")</f>
        <v/>
      </c>
      <c r="J435" s="9">
        <v>1</v>
      </c>
      <c r="K435" s="9"/>
      <c r="L435" s="37"/>
      <c r="M435" s="64"/>
      <c r="N435" s="42"/>
    </row>
    <row r="436" spans="1:14" ht="24" customHeight="1">
      <c r="A436" s="8">
        <v>396</v>
      </c>
      <c r="B436" s="9">
        <v>396</v>
      </c>
      <c r="C436" s="46"/>
      <c r="D436" s="9"/>
      <c r="E436" s="19" t="str">
        <f>IFERROR(VLOOKUP(D436,케이블트레이입.출고현황!U439:Z514,2,0),"")</f>
        <v/>
      </c>
      <c r="F436" s="19" t="str">
        <f>IFERROR(VLOOKUP(E436,케이블트레이입.출고현황!V439:AA514,2,0),"")</f>
        <v/>
      </c>
      <c r="G436" s="19" t="str">
        <f>IFERROR(VLOOKUP(F436,케이블트레이입.출고현황!W439:AB514,2,0),"")</f>
        <v/>
      </c>
      <c r="H436" s="19" t="str">
        <f>IFERROR(VLOOKUP(G436,케이블트레이입.출고현황!X439:AC514,2,0),"")</f>
        <v/>
      </c>
      <c r="I436" s="19" t="str">
        <f>IFERROR(VLOOKUP(H436,케이블트레이입.출고현황!Y439:AD514,2,0),"")</f>
        <v/>
      </c>
      <c r="J436" s="9">
        <v>2</v>
      </c>
      <c r="K436" s="9"/>
      <c r="L436" s="37"/>
      <c r="M436" s="64"/>
      <c r="N436" s="42"/>
    </row>
    <row r="437" spans="1:14" ht="24" customHeight="1">
      <c r="A437" s="8">
        <v>397</v>
      </c>
      <c r="B437" s="9">
        <v>397</v>
      </c>
      <c r="C437" s="46"/>
      <c r="D437" s="9"/>
      <c r="E437" s="19" t="str">
        <f>IFERROR(VLOOKUP(D437,케이블트레이입.출고현황!U440:Z515,2,0),"")</f>
        <v/>
      </c>
      <c r="F437" s="19" t="str">
        <f>IFERROR(VLOOKUP(E437,케이블트레이입.출고현황!V440:AA515,2,0),"")</f>
        <v/>
      </c>
      <c r="G437" s="19" t="str">
        <f>IFERROR(VLOOKUP(F437,케이블트레이입.출고현황!W440:AB515,2,0),"")</f>
        <v/>
      </c>
      <c r="H437" s="19" t="str">
        <f>IFERROR(VLOOKUP(G437,케이블트레이입.출고현황!X440:AC515,2,0),"")</f>
        <v/>
      </c>
      <c r="I437" s="19" t="str">
        <f>IFERROR(VLOOKUP(H437,케이블트레이입.출고현황!Y440:AD515,2,0),"")</f>
        <v/>
      </c>
      <c r="J437" s="9">
        <v>1</v>
      </c>
      <c r="K437" s="9"/>
      <c r="L437" s="37"/>
      <c r="M437" s="64"/>
      <c r="N437" s="42"/>
    </row>
    <row r="438" spans="1:14" ht="24" customHeight="1">
      <c r="A438" s="8">
        <v>398</v>
      </c>
      <c r="B438" s="9">
        <v>398</v>
      </c>
      <c r="C438" s="46"/>
      <c r="D438" s="9"/>
      <c r="E438" s="19" t="str">
        <f>IFERROR(VLOOKUP(D438,케이블트레이입.출고현황!U441:Z516,2,0),"")</f>
        <v/>
      </c>
      <c r="F438" s="19" t="str">
        <f>IFERROR(VLOOKUP(E438,케이블트레이입.출고현황!V441:AA516,2,0),"")</f>
        <v/>
      </c>
      <c r="G438" s="19" t="str">
        <f>IFERROR(VLOOKUP(F438,케이블트레이입.출고현황!W441:AB516,2,0),"")</f>
        <v/>
      </c>
      <c r="H438" s="19" t="str">
        <f>IFERROR(VLOOKUP(G438,케이블트레이입.출고현황!X441:AC516,2,0),"")</f>
        <v/>
      </c>
      <c r="I438" s="19" t="str">
        <f>IFERROR(VLOOKUP(H438,케이블트레이입.출고현황!Y441:AD516,2,0),"")</f>
        <v/>
      </c>
      <c r="J438" s="9">
        <v>1</v>
      </c>
      <c r="K438" s="9"/>
      <c r="L438" s="37"/>
      <c r="M438" s="64"/>
      <c r="N438" s="42"/>
    </row>
    <row r="439" spans="1:14" ht="24" customHeight="1">
      <c r="A439" s="8">
        <v>399</v>
      </c>
      <c r="B439" s="9">
        <v>399</v>
      </c>
      <c r="C439" s="46"/>
      <c r="D439" s="9"/>
      <c r="E439" s="19" t="str">
        <f>IFERROR(VLOOKUP(D439,케이블트레이입.출고현황!U442:Z517,2,0),"")</f>
        <v/>
      </c>
      <c r="F439" s="19" t="str">
        <f>IFERROR(VLOOKUP(E439,케이블트레이입.출고현황!V442:AA517,2,0),"")</f>
        <v/>
      </c>
      <c r="G439" s="19" t="str">
        <f>IFERROR(VLOOKUP(F439,케이블트레이입.출고현황!W442:AB517,2,0),"")</f>
        <v/>
      </c>
      <c r="H439" s="19" t="str">
        <f>IFERROR(VLOOKUP(G439,케이블트레이입.출고현황!X442:AC517,2,0),"")</f>
        <v/>
      </c>
      <c r="I439" s="19" t="str">
        <f>IFERROR(VLOOKUP(H439,케이블트레이입.출고현황!Y442:AD517,2,0),"")</f>
        <v/>
      </c>
      <c r="J439" s="9">
        <v>1</v>
      </c>
      <c r="K439" s="9"/>
      <c r="L439" s="37"/>
      <c r="M439" s="64"/>
      <c r="N439" s="42"/>
    </row>
    <row r="440" spans="1:14" ht="24" customHeight="1">
      <c r="A440" s="8">
        <v>400</v>
      </c>
      <c r="B440" s="9">
        <v>400</v>
      </c>
      <c r="C440" s="46"/>
      <c r="D440" s="9"/>
      <c r="E440" s="19" t="str">
        <f>IFERROR(VLOOKUP(D440,케이블트레이입.출고현황!U443:Z518,2,0),"")</f>
        <v/>
      </c>
      <c r="F440" s="19" t="str">
        <f>IFERROR(VLOOKUP(E440,케이블트레이입.출고현황!V443:AA518,2,0),"")</f>
        <v/>
      </c>
      <c r="G440" s="19" t="str">
        <f>IFERROR(VLOOKUP(F440,케이블트레이입.출고현황!W443:AB518,2,0),"")</f>
        <v/>
      </c>
      <c r="H440" s="19" t="str">
        <f>IFERROR(VLOOKUP(G440,케이블트레이입.출고현황!X443:AC518,2,0),"")</f>
        <v/>
      </c>
      <c r="I440" s="19" t="str">
        <f>IFERROR(VLOOKUP(H440,케이블트레이입.출고현황!Y443:AD518,2,0),"")</f>
        <v/>
      </c>
      <c r="J440" s="9">
        <v>2</v>
      </c>
      <c r="K440" s="9"/>
      <c r="L440" s="37"/>
      <c r="M440" s="64"/>
      <c r="N440" s="42"/>
    </row>
    <row r="441" spans="1:14" ht="24" customHeight="1">
      <c r="A441" s="8">
        <v>401</v>
      </c>
      <c r="B441" s="9">
        <v>401</v>
      </c>
      <c r="C441" s="46"/>
      <c r="D441" s="9"/>
      <c r="E441" s="19" t="str">
        <f>IFERROR(VLOOKUP(D441,케이블트레이입.출고현황!U444:Z519,2,0),"")</f>
        <v/>
      </c>
      <c r="F441" s="19" t="str">
        <f>IFERROR(VLOOKUP(E441,케이블트레이입.출고현황!V444:AA519,2,0),"")</f>
        <v/>
      </c>
      <c r="G441" s="19" t="str">
        <f>IFERROR(VLOOKUP(F441,케이블트레이입.출고현황!W444:AB519,2,0),"")</f>
        <v/>
      </c>
      <c r="H441" s="19" t="str">
        <f>IFERROR(VLOOKUP(G441,케이블트레이입.출고현황!X444:AC519,2,0),"")</f>
        <v/>
      </c>
      <c r="I441" s="19" t="str">
        <f>IFERROR(VLOOKUP(H441,케이블트레이입.출고현황!Y444:AD519,2,0),"")</f>
        <v/>
      </c>
      <c r="J441" s="9">
        <v>2</v>
      </c>
      <c r="K441" s="9"/>
      <c r="L441" s="37"/>
      <c r="M441" s="64"/>
      <c r="N441" s="42"/>
    </row>
    <row r="442" spans="1:14" ht="24" customHeight="1">
      <c r="A442" s="8">
        <v>402</v>
      </c>
      <c r="B442" s="9">
        <v>402</v>
      </c>
      <c r="C442" s="46"/>
      <c r="D442" s="9"/>
      <c r="E442" s="19" t="str">
        <f>IFERROR(VLOOKUP(D442,케이블트레이입.출고현황!U445:Z520,2,0),"")</f>
        <v/>
      </c>
      <c r="F442" s="19" t="str">
        <f>IFERROR(VLOOKUP(E442,케이블트레이입.출고현황!V445:AA520,2,0),"")</f>
        <v/>
      </c>
      <c r="G442" s="19" t="str">
        <f>IFERROR(VLOOKUP(F442,케이블트레이입.출고현황!W445:AB520,2,0),"")</f>
        <v/>
      </c>
      <c r="H442" s="19" t="str">
        <f>IFERROR(VLOOKUP(G442,케이블트레이입.출고현황!X445:AC520,2,0),"")</f>
        <v/>
      </c>
      <c r="I442" s="19" t="str">
        <f>IFERROR(VLOOKUP(H442,케이블트레이입.출고현황!Y445:AD520,2,0),"")</f>
        <v/>
      </c>
      <c r="J442" s="9">
        <v>1</v>
      </c>
      <c r="K442" s="9"/>
      <c r="L442" s="37"/>
      <c r="M442" s="64"/>
      <c r="N442" s="42"/>
    </row>
    <row r="443" spans="1:14" ht="24" customHeight="1">
      <c r="A443" s="8">
        <v>403</v>
      </c>
      <c r="B443" s="9">
        <v>403</v>
      </c>
      <c r="C443" s="46"/>
      <c r="D443" s="9"/>
      <c r="E443" s="19" t="str">
        <f>IFERROR(VLOOKUP(D443,케이블트레이입.출고현황!U446:Z521,2,0),"")</f>
        <v/>
      </c>
      <c r="F443" s="19" t="str">
        <f>IFERROR(VLOOKUP(E443,케이블트레이입.출고현황!V446:AA521,2,0),"")</f>
        <v/>
      </c>
      <c r="G443" s="19" t="str">
        <f>IFERROR(VLOOKUP(F443,케이블트레이입.출고현황!W446:AB521,2,0),"")</f>
        <v/>
      </c>
      <c r="H443" s="19" t="str">
        <f>IFERROR(VLOOKUP(G443,케이블트레이입.출고현황!X446:AC521,2,0),"")</f>
        <v/>
      </c>
      <c r="I443" s="19" t="str">
        <f>IFERROR(VLOOKUP(H443,케이블트레이입.출고현황!Y446:AD521,2,0),"")</f>
        <v/>
      </c>
      <c r="J443" s="9">
        <v>1</v>
      </c>
      <c r="K443" s="9"/>
      <c r="L443" s="37"/>
      <c r="M443" s="64"/>
      <c r="N443" s="42"/>
    </row>
    <row r="444" spans="1:14" ht="24" customHeight="1">
      <c r="A444" s="8">
        <v>404</v>
      </c>
      <c r="B444" s="9">
        <v>404</v>
      </c>
      <c r="C444" s="46"/>
      <c r="D444" s="9"/>
      <c r="E444" s="19" t="str">
        <f>IFERROR(VLOOKUP(D444,케이블트레이입.출고현황!U447:Z522,2,0),"")</f>
        <v/>
      </c>
      <c r="F444" s="19" t="str">
        <f>IFERROR(VLOOKUP(E444,케이블트레이입.출고현황!V447:AA522,2,0),"")</f>
        <v/>
      </c>
      <c r="G444" s="19" t="str">
        <f>IFERROR(VLOOKUP(F444,케이블트레이입.출고현황!W447:AB522,2,0),"")</f>
        <v/>
      </c>
      <c r="H444" s="19" t="str">
        <f>IFERROR(VLOOKUP(G444,케이블트레이입.출고현황!X447:AC522,2,0),"")</f>
        <v/>
      </c>
      <c r="I444" s="19" t="str">
        <f>IFERROR(VLOOKUP(H444,케이블트레이입.출고현황!Y447:AD522,2,0),"")</f>
        <v/>
      </c>
      <c r="J444" s="9">
        <v>2</v>
      </c>
      <c r="K444" s="9"/>
      <c r="L444" s="37"/>
      <c r="M444" s="64"/>
      <c r="N444" s="42"/>
    </row>
    <row r="445" spans="1:14" ht="24" customHeight="1">
      <c r="A445" s="8">
        <v>405</v>
      </c>
      <c r="B445" s="9">
        <v>405</v>
      </c>
      <c r="C445" s="46"/>
      <c r="D445" s="9"/>
      <c r="E445" s="19" t="str">
        <f>IFERROR(VLOOKUP(D445,케이블트레이입.출고현황!U448:Z523,2,0),"")</f>
        <v/>
      </c>
      <c r="F445" s="19" t="str">
        <f>IFERROR(VLOOKUP(E445,케이블트레이입.출고현황!V448:AA523,2,0),"")</f>
        <v/>
      </c>
      <c r="G445" s="19" t="str">
        <f>IFERROR(VLOOKUP(F445,케이블트레이입.출고현황!W448:AB523,2,0),"")</f>
        <v/>
      </c>
      <c r="H445" s="19" t="str">
        <f>IFERROR(VLOOKUP(G445,케이블트레이입.출고현황!X448:AC523,2,0),"")</f>
        <v/>
      </c>
      <c r="I445" s="19" t="str">
        <f>IFERROR(VLOOKUP(H445,케이블트레이입.출고현황!Y448:AD523,2,0),"")</f>
        <v/>
      </c>
      <c r="J445" s="9">
        <v>1</v>
      </c>
      <c r="K445" s="9"/>
      <c r="L445" s="37"/>
      <c r="M445" s="64"/>
      <c r="N445" s="42"/>
    </row>
    <row r="446" spans="1:14" ht="24" customHeight="1">
      <c r="A446" s="8">
        <v>406</v>
      </c>
      <c r="B446" s="9">
        <v>406</v>
      </c>
      <c r="C446" s="46"/>
      <c r="D446" s="9"/>
      <c r="E446" s="19" t="str">
        <f>IFERROR(VLOOKUP(D446,케이블트레이입.출고현황!U449:Z524,2,0),"")</f>
        <v/>
      </c>
      <c r="F446" s="19" t="str">
        <f>IFERROR(VLOOKUP(E446,케이블트레이입.출고현황!V449:AA524,2,0),"")</f>
        <v/>
      </c>
      <c r="G446" s="19" t="str">
        <f>IFERROR(VLOOKUP(F446,케이블트레이입.출고현황!W449:AB524,2,0),"")</f>
        <v/>
      </c>
      <c r="H446" s="19" t="str">
        <f>IFERROR(VLOOKUP(G446,케이블트레이입.출고현황!X449:AC524,2,0),"")</f>
        <v/>
      </c>
      <c r="I446" s="19" t="str">
        <f>IFERROR(VLOOKUP(H446,케이블트레이입.출고현황!Y449:AD524,2,0),"")</f>
        <v/>
      </c>
      <c r="J446" s="9">
        <v>1</v>
      </c>
      <c r="K446" s="9"/>
      <c r="L446" s="37"/>
      <c r="M446" s="64"/>
      <c r="N446" s="42"/>
    </row>
    <row r="447" spans="1:14" ht="24" customHeight="1">
      <c r="A447" s="8">
        <v>407</v>
      </c>
      <c r="B447" s="9">
        <v>407</v>
      </c>
      <c r="C447" s="46"/>
      <c r="D447" s="9"/>
      <c r="E447" s="19" t="str">
        <f>IFERROR(VLOOKUP(D447,케이블트레이입.출고현황!U450:Z525,2,0),"")</f>
        <v/>
      </c>
      <c r="F447" s="19" t="str">
        <f>IFERROR(VLOOKUP(E447,케이블트레이입.출고현황!V450:AA525,2,0),"")</f>
        <v/>
      </c>
      <c r="G447" s="19" t="str">
        <f>IFERROR(VLOOKUP(F447,케이블트레이입.출고현황!W450:AB525,2,0),"")</f>
        <v/>
      </c>
      <c r="H447" s="19" t="str">
        <f>IFERROR(VLOOKUP(G447,케이블트레이입.출고현황!X450:AC525,2,0),"")</f>
        <v/>
      </c>
      <c r="I447" s="19" t="str">
        <f>IFERROR(VLOOKUP(H447,케이블트레이입.출고현황!Y450:AD525,2,0),"")</f>
        <v/>
      </c>
      <c r="J447" s="9">
        <v>1</v>
      </c>
      <c r="K447" s="9"/>
      <c r="L447" s="37"/>
      <c r="M447" s="64"/>
      <c r="N447" s="42"/>
    </row>
    <row r="448" spans="1:14" ht="24" customHeight="1">
      <c r="A448" s="8">
        <v>408</v>
      </c>
      <c r="B448" s="9">
        <v>408</v>
      </c>
      <c r="C448" s="46"/>
      <c r="D448" s="9"/>
      <c r="E448" s="19" t="str">
        <f>IFERROR(VLOOKUP(D448,케이블트레이입.출고현황!U451:Z526,2,0),"")</f>
        <v/>
      </c>
      <c r="F448" s="19" t="str">
        <f>IFERROR(VLOOKUP(E448,케이블트레이입.출고현황!V451:AA526,2,0),"")</f>
        <v/>
      </c>
      <c r="G448" s="19" t="str">
        <f>IFERROR(VLOOKUP(F448,케이블트레이입.출고현황!W451:AB526,2,0),"")</f>
        <v/>
      </c>
      <c r="H448" s="19" t="str">
        <f>IFERROR(VLOOKUP(G448,케이블트레이입.출고현황!X451:AC526,2,0),"")</f>
        <v/>
      </c>
      <c r="I448" s="19" t="str">
        <f>IFERROR(VLOOKUP(H448,케이블트레이입.출고현황!Y451:AD526,2,0),"")</f>
        <v/>
      </c>
      <c r="J448" s="9">
        <v>2</v>
      </c>
      <c r="K448" s="9"/>
      <c r="L448" s="37"/>
      <c r="M448" s="64"/>
      <c r="N448" s="42"/>
    </row>
    <row r="449" spans="1:14" ht="24" customHeight="1">
      <c r="A449" s="8">
        <v>409</v>
      </c>
      <c r="B449" s="9">
        <v>409</v>
      </c>
      <c r="C449" s="46"/>
      <c r="D449" s="9"/>
      <c r="E449" s="19" t="str">
        <f>IFERROR(VLOOKUP(D449,케이블트레이입.출고현황!U452:Z527,2,0),"")</f>
        <v/>
      </c>
      <c r="F449" s="19" t="str">
        <f>IFERROR(VLOOKUP(E449,케이블트레이입.출고현황!V452:AA527,2,0),"")</f>
        <v/>
      </c>
      <c r="G449" s="19" t="str">
        <f>IFERROR(VLOOKUP(F449,케이블트레이입.출고현황!W452:AB527,2,0),"")</f>
        <v/>
      </c>
      <c r="H449" s="19" t="str">
        <f>IFERROR(VLOOKUP(G449,케이블트레이입.출고현황!X452:AC527,2,0),"")</f>
        <v/>
      </c>
      <c r="I449" s="19" t="str">
        <f>IFERROR(VLOOKUP(H449,케이블트레이입.출고현황!Y452:AD527,2,0),"")</f>
        <v/>
      </c>
      <c r="J449" s="9">
        <v>2</v>
      </c>
      <c r="K449" s="9"/>
      <c r="L449" s="37"/>
      <c r="M449" s="64"/>
      <c r="N449" s="42"/>
    </row>
    <row r="450" spans="1:14" ht="24" customHeight="1">
      <c r="A450" s="8">
        <v>410</v>
      </c>
      <c r="B450" s="9">
        <v>410</v>
      </c>
      <c r="C450" s="46"/>
      <c r="D450" s="9"/>
      <c r="E450" s="19" t="str">
        <f>IFERROR(VLOOKUP(D450,케이블트레이입.출고현황!U453:Z528,2,0),"")</f>
        <v/>
      </c>
      <c r="F450" s="19" t="str">
        <f>IFERROR(VLOOKUP(E450,케이블트레이입.출고현황!V453:AA528,2,0),"")</f>
        <v/>
      </c>
      <c r="G450" s="19" t="str">
        <f>IFERROR(VLOOKUP(F450,케이블트레이입.출고현황!W453:AB528,2,0),"")</f>
        <v/>
      </c>
      <c r="H450" s="19" t="str">
        <f>IFERROR(VLOOKUP(G450,케이블트레이입.출고현황!X453:AC528,2,0),"")</f>
        <v/>
      </c>
      <c r="I450" s="19" t="str">
        <f>IFERROR(VLOOKUP(H450,케이블트레이입.출고현황!Y453:AD528,2,0),"")</f>
        <v/>
      </c>
      <c r="J450" s="9">
        <v>1</v>
      </c>
      <c r="K450" s="9"/>
      <c r="L450" s="37"/>
      <c r="M450" s="64"/>
      <c r="N450" s="42"/>
    </row>
    <row r="451" spans="1:14" ht="24" customHeight="1">
      <c r="A451" s="8">
        <v>411</v>
      </c>
      <c r="B451" s="9">
        <v>411</v>
      </c>
      <c r="C451" s="46"/>
      <c r="D451" s="9"/>
      <c r="E451" s="19" t="str">
        <f>IFERROR(VLOOKUP(D451,케이블트레이입.출고현황!U454:Z529,2,0),"")</f>
        <v/>
      </c>
      <c r="F451" s="19" t="str">
        <f>IFERROR(VLOOKUP(E451,케이블트레이입.출고현황!V454:AA529,2,0),"")</f>
        <v/>
      </c>
      <c r="G451" s="19" t="str">
        <f>IFERROR(VLOOKUP(F451,케이블트레이입.출고현황!W454:AB529,2,0),"")</f>
        <v/>
      </c>
      <c r="H451" s="19" t="str">
        <f>IFERROR(VLOOKUP(G451,케이블트레이입.출고현황!X454:AC529,2,0),"")</f>
        <v/>
      </c>
      <c r="I451" s="19" t="str">
        <f>IFERROR(VLOOKUP(H451,케이블트레이입.출고현황!Y454:AD529,2,0),"")</f>
        <v/>
      </c>
      <c r="J451" s="9">
        <v>1</v>
      </c>
      <c r="K451" s="9"/>
      <c r="L451" s="37"/>
      <c r="M451" s="64"/>
      <c r="N451" s="42"/>
    </row>
    <row r="452" spans="1:14" ht="24" customHeight="1">
      <c r="A452" s="8">
        <v>412</v>
      </c>
      <c r="B452" s="9">
        <v>412</v>
      </c>
      <c r="C452" s="46"/>
      <c r="D452" s="9"/>
      <c r="E452" s="19" t="str">
        <f>IFERROR(VLOOKUP(D452,케이블트레이입.출고현황!U455:Z530,2,0),"")</f>
        <v/>
      </c>
      <c r="F452" s="19" t="str">
        <f>IFERROR(VLOOKUP(E452,케이블트레이입.출고현황!V455:AA530,2,0),"")</f>
        <v/>
      </c>
      <c r="G452" s="19" t="str">
        <f>IFERROR(VLOOKUP(F452,케이블트레이입.출고현황!W455:AB530,2,0),"")</f>
        <v/>
      </c>
      <c r="H452" s="19" t="str">
        <f>IFERROR(VLOOKUP(G452,케이블트레이입.출고현황!X455:AC530,2,0),"")</f>
        <v/>
      </c>
      <c r="I452" s="19" t="str">
        <f>IFERROR(VLOOKUP(H452,케이블트레이입.출고현황!Y455:AD530,2,0),"")</f>
        <v/>
      </c>
      <c r="J452" s="9">
        <v>2</v>
      </c>
      <c r="K452" s="9"/>
      <c r="L452" s="37"/>
      <c r="M452" s="64"/>
      <c r="N452" s="42"/>
    </row>
    <row r="453" spans="1:14" ht="24" customHeight="1">
      <c r="A453" s="8">
        <v>413</v>
      </c>
      <c r="B453" s="9">
        <v>413</v>
      </c>
      <c r="C453" s="46"/>
      <c r="D453" s="9"/>
      <c r="E453" s="19" t="str">
        <f>IFERROR(VLOOKUP(D453,케이블트레이입.출고현황!U456:Z531,2,0),"")</f>
        <v/>
      </c>
      <c r="F453" s="19" t="str">
        <f>IFERROR(VLOOKUP(E453,케이블트레이입.출고현황!V456:AA531,2,0),"")</f>
        <v/>
      </c>
      <c r="G453" s="19" t="str">
        <f>IFERROR(VLOOKUP(F453,케이블트레이입.출고현황!W456:AB531,2,0),"")</f>
        <v/>
      </c>
      <c r="H453" s="19" t="str">
        <f>IFERROR(VLOOKUP(G453,케이블트레이입.출고현황!X456:AC531,2,0),"")</f>
        <v/>
      </c>
      <c r="I453" s="19" t="str">
        <f>IFERROR(VLOOKUP(H453,케이블트레이입.출고현황!Y456:AD531,2,0),"")</f>
        <v/>
      </c>
      <c r="J453" s="9">
        <v>2</v>
      </c>
      <c r="K453" s="9"/>
      <c r="L453" s="37"/>
      <c r="M453" s="64"/>
      <c r="N453" s="42"/>
    </row>
    <row r="454" spans="1:14" ht="24" customHeight="1">
      <c r="A454" s="8">
        <v>414</v>
      </c>
      <c r="B454" s="9">
        <v>414</v>
      </c>
      <c r="C454" s="46"/>
      <c r="D454" s="9"/>
      <c r="E454" s="19" t="str">
        <f>IFERROR(VLOOKUP(D454,케이블트레이입.출고현황!U457:Z532,2,0),"")</f>
        <v/>
      </c>
      <c r="F454" s="19" t="str">
        <f>IFERROR(VLOOKUP(E454,케이블트레이입.출고현황!V457:AA532,2,0),"")</f>
        <v/>
      </c>
      <c r="G454" s="19" t="str">
        <f>IFERROR(VLOOKUP(F454,케이블트레이입.출고현황!W457:AB532,2,0),"")</f>
        <v/>
      </c>
      <c r="H454" s="19" t="str">
        <f>IFERROR(VLOOKUP(G454,케이블트레이입.출고현황!X457:AC532,2,0),"")</f>
        <v/>
      </c>
      <c r="I454" s="19" t="str">
        <f>IFERROR(VLOOKUP(H454,케이블트레이입.출고현황!Y457:AD532,2,0),"")</f>
        <v/>
      </c>
      <c r="J454" s="9" t="s">
        <v>557</v>
      </c>
      <c r="K454" s="9"/>
      <c r="L454" s="37"/>
      <c r="M454" s="64"/>
      <c r="N454" s="42"/>
    </row>
    <row r="455" spans="1:14" ht="24" customHeight="1">
      <c r="A455" s="8">
        <v>415</v>
      </c>
      <c r="B455" s="9">
        <v>415</v>
      </c>
      <c r="C455" s="46"/>
      <c r="D455" s="9"/>
      <c r="E455" s="19" t="str">
        <f>IFERROR(VLOOKUP(D455,케이블트레이입.출고현황!U458:Z533,2,0),"")</f>
        <v/>
      </c>
      <c r="F455" s="19" t="str">
        <f>IFERROR(VLOOKUP(E455,케이블트레이입.출고현황!V458:AA533,2,0),"")</f>
        <v/>
      </c>
      <c r="G455" s="19" t="str">
        <f>IFERROR(VLOOKUP(F455,케이블트레이입.출고현황!W458:AB533,2,0),"")</f>
        <v/>
      </c>
      <c r="H455" s="19" t="str">
        <f>IFERROR(VLOOKUP(G455,케이블트레이입.출고현황!X458:AC533,2,0),"")</f>
        <v/>
      </c>
      <c r="I455" s="19" t="str">
        <f>IFERROR(VLOOKUP(H455,케이블트레이입.출고현황!Y458:AD533,2,0),"")</f>
        <v/>
      </c>
      <c r="J455" s="9">
        <v>1</v>
      </c>
      <c r="K455" s="9"/>
      <c r="L455" s="37"/>
      <c r="M455" s="64"/>
      <c r="N455" s="42"/>
    </row>
    <row r="456" spans="1:14" ht="24" customHeight="1">
      <c r="A456" s="8">
        <v>416</v>
      </c>
      <c r="B456" s="9">
        <v>416</v>
      </c>
      <c r="C456" s="46"/>
      <c r="D456" s="9"/>
      <c r="E456" s="19" t="str">
        <f>IFERROR(VLOOKUP(D456,케이블트레이입.출고현황!U459:Z534,2,0),"")</f>
        <v/>
      </c>
      <c r="F456" s="19" t="str">
        <f>IFERROR(VLOOKUP(E456,케이블트레이입.출고현황!V459:AA534,2,0),"")</f>
        <v/>
      </c>
      <c r="G456" s="19" t="str">
        <f>IFERROR(VLOOKUP(F456,케이블트레이입.출고현황!W459:AB534,2,0),"")</f>
        <v/>
      </c>
      <c r="H456" s="19" t="str">
        <f>IFERROR(VLOOKUP(G456,케이블트레이입.출고현황!X459:AC534,2,0),"")</f>
        <v/>
      </c>
      <c r="I456" s="19" t="str">
        <f>IFERROR(VLOOKUP(H456,케이블트레이입.출고현황!Y459:AD534,2,0),"")</f>
        <v/>
      </c>
      <c r="J456" s="9">
        <v>1</v>
      </c>
      <c r="K456" s="9"/>
      <c r="L456" s="37"/>
      <c r="M456" s="64"/>
      <c r="N456" s="42"/>
    </row>
    <row r="457" spans="1:14" ht="24" customHeight="1">
      <c r="A457" s="8">
        <v>417</v>
      </c>
      <c r="B457" s="9">
        <v>417</v>
      </c>
      <c r="C457" s="46"/>
      <c r="D457" s="9"/>
      <c r="E457" s="19" t="str">
        <f>IFERROR(VLOOKUP(D457,케이블트레이입.출고현황!U460:Z535,2,0),"")</f>
        <v/>
      </c>
      <c r="F457" s="19" t="str">
        <f>IFERROR(VLOOKUP(E457,케이블트레이입.출고현황!V460:AA535,2,0),"")</f>
        <v/>
      </c>
      <c r="G457" s="19" t="str">
        <f>IFERROR(VLOOKUP(F457,케이블트레이입.출고현황!W460:AB535,2,0),"")</f>
        <v/>
      </c>
      <c r="H457" s="19" t="str">
        <f>IFERROR(VLOOKUP(G457,케이블트레이입.출고현황!X460:AC535,2,0),"")</f>
        <v/>
      </c>
      <c r="I457" s="19" t="str">
        <f>IFERROR(VLOOKUP(H457,케이블트레이입.출고현황!Y460:AD535,2,0),"")</f>
        <v/>
      </c>
      <c r="J457" s="9" t="s">
        <v>557</v>
      </c>
      <c r="K457" s="9"/>
      <c r="L457" s="37"/>
      <c r="M457" s="64"/>
      <c r="N457" s="42"/>
    </row>
    <row r="458" spans="1:14" ht="24" customHeight="1">
      <c r="A458" s="8">
        <v>418</v>
      </c>
      <c r="B458" s="9">
        <v>418</v>
      </c>
      <c r="C458" s="46"/>
      <c r="D458" s="9"/>
      <c r="E458" s="19" t="str">
        <f>IFERROR(VLOOKUP(D458,케이블트레이입.출고현황!U461:Z536,2,0),"")</f>
        <v/>
      </c>
      <c r="F458" s="19" t="str">
        <f>IFERROR(VLOOKUP(E458,케이블트레이입.출고현황!V461:AA536,2,0),"")</f>
        <v/>
      </c>
      <c r="G458" s="19" t="str">
        <f>IFERROR(VLOOKUP(F458,케이블트레이입.출고현황!W461:AB536,2,0),"")</f>
        <v/>
      </c>
      <c r="H458" s="19" t="str">
        <f>IFERROR(VLOOKUP(G458,케이블트레이입.출고현황!X461:AC536,2,0),"")</f>
        <v/>
      </c>
      <c r="I458" s="19" t="str">
        <f>IFERROR(VLOOKUP(H458,케이블트레이입.출고현황!Y461:AD536,2,0),"")</f>
        <v/>
      </c>
      <c r="J458" s="9">
        <v>4</v>
      </c>
      <c r="K458" s="9"/>
      <c r="L458" s="37"/>
      <c r="M458" s="64"/>
      <c r="N458" s="42"/>
    </row>
    <row r="459" spans="1:14" ht="24" customHeight="1">
      <c r="A459" s="8">
        <v>419</v>
      </c>
      <c r="B459" s="9">
        <v>419</v>
      </c>
      <c r="C459" s="46"/>
      <c r="D459" s="9"/>
      <c r="E459" s="19" t="str">
        <f>IFERROR(VLOOKUP(D459,케이블트레이입.출고현황!U462:Z537,2,0),"")</f>
        <v/>
      </c>
      <c r="F459" s="19" t="str">
        <f>IFERROR(VLOOKUP(E459,케이블트레이입.출고현황!V462:AA537,2,0),"")</f>
        <v/>
      </c>
      <c r="G459" s="19" t="str">
        <f>IFERROR(VLOOKUP(F459,케이블트레이입.출고현황!W462:AB537,2,0),"")</f>
        <v/>
      </c>
      <c r="H459" s="19" t="str">
        <f>IFERROR(VLOOKUP(G459,케이블트레이입.출고현황!X462:AC537,2,0),"")</f>
        <v/>
      </c>
      <c r="I459" s="19" t="str">
        <f>IFERROR(VLOOKUP(H459,케이블트레이입.출고현황!Y462:AD537,2,0),"")</f>
        <v/>
      </c>
      <c r="J459" s="9">
        <v>2</v>
      </c>
      <c r="K459" s="9"/>
      <c r="L459" s="37"/>
      <c r="M459" s="64"/>
      <c r="N459" s="42"/>
    </row>
    <row r="460" spans="1:14" ht="24" customHeight="1">
      <c r="A460" s="8">
        <v>420</v>
      </c>
      <c r="B460" s="9">
        <v>420</v>
      </c>
      <c r="C460" s="46"/>
      <c r="D460" s="9"/>
      <c r="E460" s="19" t="str">
        <f>IFERROR(VLOOKUP(D460,케이블트레이입.출고현황!U463:Z538,2,0),"")</f>
        <v/>
      </c>
      <c r="F460" s="19" t="str">
        <f>IFERROR(VLOOKUP(E460,케이블트레이입.출고현황!V463:AA538,2,0),"")</f>
        <v/>
      </c>
      <c r="G460" s="19" t="str">
        <f>IFERROR(VLOOKUP(F460,케이블트레이입.출고현황!W463:AB538,2,0),"")</f>
        <v/>
      </c>
      <c r="H460" s="19" t="str">
        <f>IFERROR(VLOOKUP(G460,케이블트레이입.출고현황!X463:AC538,2,0),"")</f>
        <v/>
      </c>
      <c r="I460" s="19" t="str">
        <f>IFERROR(VLOOKUP(H460,케이블트레이입.출고현황!Y463:AD538,2,0),"")</f>
        <v/>
      </c>
      <c r="J460" s="9">
        <v>1</v>
      </c>
      <c r="K460" s="9"/>
      <c r="L460" s="37"/>
      <c r="M460" s="64"/>
      <c r="N460" s="42"/>
    </row>
    <row r="461" spans="1:14" ht="24" customHeight="1">
      <c r="A461" s="8">
        <v>421</v>
      </c>
      <c r="B461" s="9">
        <v>421</v>
      </c>
      <c r="C461" s="46"/>
      <c r="D461" s="9"/>
      <c r="E461" s="19" t="str">
        <f>IFERROR(VLOOKUP(D461,케이블트레이입.출고현황!U464:Z539,2,0),"")</f>
        <v/>
      </c>
      <c r="F461" s="19" t="str">
        <f>IFERROR(VLOOKUP(E461,케이블트레이입.출고현황!V464:AA539,2,0),"")</f>
        <v/>
      </c>
      <c r="G461" s="19" t="str">
        <f>IFERROR(VLOOKUP(F461,케이블트레이입.출고현황!W464:AB539,2,0),"")</f>
        <v/>
      </c>
      <c r="H461" s="19" t="str">
        <f>IFERROR(VLOOKUP(G461,케이블트레이입.출고현황!X464:AC539,2,0),"")</f>
        <v/>
      </c>
      <c r="I461" s="19" t="str">
        <f>IFERROR(VLOOKUP(H461,케이블트레이입.출고현황!Y464:AD539,2,0),"")</f>
        <v/>
      </c>
      <c r="J461" s="9">
        <v>2</v>
      </c>
      <c r="K461" s="9"/>
      <c r="L461" s="37"/>
      <c r="M461" s="64"/>
      <c r="N461" s="42"/>
    </row>
    <row r="462" spans="1:14" ht="24" customHeight="1">
      <c r="A462" s="8">
        <v>422</v>
      </c>
      <c r="B462" s="9">
        <v>422</v>
      </c>
      <c r="C462" s="46"/>
      <c r="D462" s="9"/>
      <c r="E462" s="19" t="str">
        <f>IFERROR(VLOOKUP(D462,케이블트레이입.출고현황!U465:Z540,2,0),"")</f>
        <v/>
      </c>
      <c r="F462" s="19" t="str">
        <f>IFERROR(VLOOKUP(E462,케이블트레이입.출고현황!V465:AA540,2,0),"")</f>
        <v/>
      </c>
      <c r="G462" s="19" t="str">
        <f>IFERROR(VLOOKUP(F462,케이블트레이입.출고현황!W465:AB540,2,0),"")</f>
        <v/>
      </c>
      <c r="H462" s="19" t="str">
        <f>IFERROR(VLOOKUP(G462,케이블트레이입.출고현황!X465:AC540,2,0),"")</f>
        <v/>
      </c>
      <c r="I462" s="19" t="str">
        <f>IFERROR(VLOOKUP(H462,케이블트레이입.출고현황!Y465:AD540,2,0),"")</f>
        <v/>
      </c>
      <c r="J462" s="9">
        <v>3</v>
      </c>
      <c r="K462" s="9"/>
      <c r="L462" s="37"/>
      <c r="M462" s="64"/>
      <c r="N462" s="42"/>
    </row>
    <row r="463" spans="1:14" ht="24" customHeight="1">
      <c r="A463" s="8">
        <v>423</v>
      </c>
      <c r="B463" s="9">
        <v>423</v>
      </c>
      <c r="C463" s="46"/>
      <c r="D463" s="9"/>
      <c r="E463" s="19" t="str">
        <f>IFERROR(VLOOKUP(D463,케이블트레이입.출고현황!U466:Z541,2,0),"")</f>
        <v/>
      </c>
      <c r="F463" s="19" t="str">
        <f>IFERROR(VLOOKUP(E463,케이블트레이입.출고현황!V466:AA541,2,0),"")</f>
        <v/>
      </c>
      <c r="G463" s="19" t="str">
        <f>IFERROR(VLOOKUP(F463,케이블트레이입.출고현황!W466:AB541,2,0),"")</f>
        <v/>
      </c>
      <c r="H463" s="19" t="str">
        <f>IFERROR(VLOOKUP(G463,케이블트레이입.출고현황!X466:AC541,2,0),"")</f>
        <v/>
      </c>
      <c r="I463" s="19" t="str">
        <f>IFERROR(VLOOKUP(H463,케이블트레이입.출고현황!Y466:AD541,2,0),"")</f>
        <v/>
      </c>
      <c r="J463" s="9">
        <v>1</v>
      </c>
      <c r="K463" s="9"/>
      <c r="L463" s="37"/>
      <c r="M463" s="64"/>
      <c r="N463" s="42"/>
    </row>
    <row r="464" spans="1:14" ht="24" customHeight="1">
      <c r="A464" s="8">
        <v>424</v>
      </c>
      <c r="B464" s="9">
        <v>424</v>
      </c>
      <c r="C464" s="46"/>
      <c r="D464" s="9"/>
      <c r="E464" s="19" t="str">
        <f>IFERROR(VLOOKUP(D464,케이블트레이입.출고현황!U467:Z542,2,0),"")</f>
        <v/>
      </c>
      <c r="F464" s="19" t="str">
        <f>IFERROR(VLOOKUP(E464,케이블트레이입.출고현황!V467:AA542,2,0),"")</f>
        <v/>
      </c>
      <c r="G464" s="19" t="str">
        <f>IFERROR(VLOOKUP(F464,케이블트레이입.출고현황!W467:AB542,2,0),"")</f>
        <v/>
      </c>
      <c r="H464" s="19" t="str">
        <f>IFERROR(VLOOKUP(G464,케이블트레이입.출고현황!X467:AC542,2,0),"")</f>
        <v/>
      </c>
      <c r="I464" s="19" t="str">
        <f>IFERROR(VLOOKUP(H464,케이블트레이입.출고현황!Y467:AD542,2,0),"")</f>
        <v/>
      </c>
      <c r="J464" s="9">
        <v>1</v>
      </c>
      <c r="K464" s="9"/>
      <c r="L464" s="37"/>
      <c r="M464" s="64"/>
      <c r="N464" s="42"/>
    </row>
    <row r="465" spans="1:14" ht="24" customHeight="1">
      <c r="A465" s="8">
        <v>425</v>
      </c>
      <c r="B465" s="9">
        <v>425</v>
      </c>
      <c r="C465" s="46"/>
      <c r="D465" s="9"/>
      <c r="E465" s="19" t="str">
        <f>IFERROR(VLOOKUP(D465,케이블트레이입.출고현황!U468:Z543,2,0),"")</f>
        <v/>
      </c>
      <c r="F465" s="19" t="str">
        <f>IFERROR(VLOOKUP(E465,케이블트레이입.출고현황!V468:AA543,2,0),"")</f>
        <v/>
      </c>
      <c r="G465" s="19" t="str">
        <f>IFERROR(VLOOKUP(F465,케이블트레이입.출고현황!W468:AB543,2,0),"")</f>
        <v/>
      </c>
      <c r="H465" s="19" t="str">
        <f>IFERROR(VLOOKUP(G465,케이블트레이입.출고현황!X468:AC543,2,0),"")</f>
        <v/>
      </c>
      <c r="I465" s="19" t="str">
        <f>IFERROR(VLOOKUP(H465,케이블트레이입.출고현황!Y468:AD543,2,0),"")</f>
        <v/>
      </c>
      <c r="J465" s="9">
        <v>1</v>
      </c>
      <c r="K465" s="9"/>
      <c r="L465" s="37"/>
      <c r="M465" s="64"/>
      <c r="N465" s="42"/>
    </row>
    <row r="466" spans="1:14" ht="24" customHeight="1">
      <c r="A466" s="8">
        <v>426</v>
      </c>
      <c r="B466" s="9">
        <v>426</v>
      </c>
      <c r="C466" s="46"/>
      <c r="D466" s="9"/>
      <c r="E466" s="19" t="str">
        <f>IFERROR(VLOOKUP(D466,케이블트레이입.출고현황!U469:Z544,2,0),"")</f>
        <v/>
      </c>
      <c r="F466" s="19" t="str">
        <f>IFERROR(VLOOKUP(E466,케이블트레이입.출고현황!V469:AA544,2,0),"")</f>
        <v/>
      </c>
      <c r="G466" s="19" t="str">
        <f>IFERROR(VLOOKUP(F466,케이블트레이입.출고현황!W469:AB544,2,0),"")</f>
        <v/>
      </c>
      <c r="H466" s="19" t="str">
        <f>IFERROR(VLOOKUP(G466,케이블트레이입.출고현황!X469:AC544,2,0),"")</f>
        <v/>
      </c>
      <c r="I466" s="19" t="str">
        <f>IFERROR(VLOOKUP(H466,케이블트레이입.출고현황!Y469:AD544,2,0),"")</f>
        <v/>
      </c>
      <c r="J466" s="9">
        <v>3</v>
      </c>
      <c r="K466" s="9"/>
      <c r="L466" s="37"/>
      <c r="M466" s="64"/>
      <c r="N466" s="42"/>
    </row>
    <row r="467" spans="1:14" ht="24" customHeight="1">
      <c r="A467" s="8">
        <v>427</v>
      </c>
      <c r="B467" s="9">
        <v>427</v>
      </c>
      <c r="C467" s="46"/>
      <c r="D467" s="9"/>
      <c r="E467" s="19" t="str">
        <f>IFERROR(VLOOKUP(D467,케이블트레이입.출고현황!U470:Z545,2,0),"")</f>
        <v/>
      </c>
      <c r="F467" s="19" t="str">
        <f>IFERROR(VLOOKUP(E467,케이블트레이입.출고현황!V470:AA545,2,0),"")</f>
        <v/>
      </c>
      <c r="G467" s="19" t="str">
        <f>IFERROR(VLOOKUP(F467,케이블트레이입.출고현황!W470:AB545,2,0),"")</f>
        <v/>
      </c>
      <c r="H467" s="19" t="str">
        <f>IFERROR(VLOOKUP(G467,케이블트레이입.출고현황!X470:AC545,2,0),"")</f>
        <v/>
      </c>
      <c r="I467" s="19" t="str">
        <f>IFERROR(VLOOKUP(H467,케이블트레이입.출고현황!Y470:AD545,2,0),"")</f>
        <v/>
      </c>
      <c r="J467" s="9">
        <v>2</v>
      </c>
      <c r="K467" s="9"/>
      <c r="L467" s="37"/>
      <c r="M467" s="64"/>
      <c r="N467" s="42"/>
    </row>
    <row r="468" spans="1:14" ht="24" customHeight="1">
      <c r="A468" s="8">
        <v>428</v>
      </c>
      <c r="B468" s="9">
        <v>428</v>
      </c>
      <c r="C468" s="46"/>
      <c r="D468" s="9"/>
      <c r="E468" s="19" t="str">
        <f>IFERROR(VLOOKUP(D468,케이블트레이입.출고현황!U471:Z546,2,0),"")</f>
        <v/>
      </c>
      <c r="F468" s="19" t="str">
        <f>IFERROR(VLOOKUP(E468,케이블트레이입.출고현황!V471:AA546,2,0),"")</f>
        <v/>
      </c>
      <c r="G468" s="19" t="str">
        <f>IFERROR(VLOOKUP(F468,케이블트레이입.출고현황!W471:AB546,2,0),"")</f>
        <v/>
      </c>
      <c r="H468" s="19" t="str">
        <f>IFERROR(VLOOKUP(G468,케이블트레이입.출고현황!X471:AC546,2,0),"")</f>
        <v/>
      </c>
      <c r="I468" s="19" t="str">
        <f>IFERROR(VLOOKUP(H468,케이블트레이입.출고현황!Y471:AD546,2,0),"")</f>
        <v/>
      </c>
      <c r="J468" s="9">
        <v>1</v>
      </c>
      <c r="K468" s="9"/>
      <c r="L468" s="37"/>
      <c r="M468" s="64"/>
      <c r="N468" s="42"/>
    </row>
    <row r="469" spans="1:14" ht="24" customHeight="1">
      <c r="A469" s="8">
        <v>429</v>
      </c>
      <c r="B469" s="9">
        <v>429</v>
      </c>
      <c r="C469" s="46"/>
      <c r="D469" s="9"/>
      <c r="E469" s="19" t="str">
        <f>IFERROR(VLOOKUP(D469,케이블트레이입.출고현황!U472:Z547,2,0),"")</f>
        <v/>
      </c>
      <c r="F469" s="19" t="str">
        <f>IFERROR(VLOOKUP(E469,케이블트레이입.출고현황!V472:AA547,2,0),"")</f>
        <v/>
      </c>
      <c r="G469" s="19" t="str">
        <f>IFERROR(VLOOKUP(F469,케이블트레이입.출고현황!W472:AB547,2,0),"")</f>
        <v/>
      </c>
      <c r="H469" s="19" t="str">
        <f>IFERROR(VLOOKUP(G469,케이블트레이입.출고현황!X472:AC547,2,0),"")</f>
        <v/>
      </c>
      <c r="I469" s="19" t="str">
        <f>IFERROR(VLOOKUP(H469,케이블트레이입.출고현황!Y472:AD547,2,0),"")</f>
        <v/>
      </c>
      <c r="J469" s="9" t="s">
        <v>557</v>
      </c>
      <c r="K469" s="9"/>
      <c r="L469" s="37"/>
      <c r="M469" s="64"/>
      <c r="N469" s="42"/>
    </row>
    <row r="470" spans="1:14" ht="24" customHeight="1">
      <c r="A470" s="8">
        <v>430</v>
      </c>
      <c r="B470" s="9">
        <v>430</v>
      </c>
      <c r="C470" s="46"/>
      <c r="D470" s="9"/>
      <c r="E470" s="19" t="str">
        <f>IFERROR(VLOOKUP(D470,케이블트레이입.출고현황!U473:Z548,2,0),"")</f>
        <v/>
      </c>
      <c r="F470" s="19" t="str">
        <f>IFERROR(VLOOKUP(E470,케이블트레이입.출고현황!V473:AA548,2,0),"")</f>
        <v/>
      </c>
      <c r="G470" s="19" t="str">
        <f>IFERROR(VLOOKUP(F470,케이블트레이입.출고현황!W473:AB548,2,0),"")</f>
        <v/>
      </c>
      <c r="H470" s="19" t="str">
        <f>IFERROR(VLOOKUP(G470,케이블트레이입.출고현황!X473:AC548,2,0),"")</f>
        <v/>
      </c>
      <c r="I470" s="19" t="str">
        <f>IFERROR(VLOOKUP(H470,케이블트레이입.출고현황!Y473:AD548,2,0),"")</f>
        <v/>
      </c>
      <c r="J470" s="9" t="s">
        <v>557</v>
      </c>
      <c r="K470" s="9"/>
      <c r="L470" s="37"/>
      <c r="M470" s="64"/>
      <c r="N470" s="42"/>
    </row>
    <row r="471" spans="1:14" ht="24" customHeight="1">
      <c r="A471" s="8">
        <v>431</v>
      </c>
      <c r="B471" s="9">
        <v>431</v>
      </c>
      <c r="C471" s="46"/>
      <c r="D471" s="9"/>
      <c r="E471" s="19" t="str">
        <f>IFERROR(VLOOKUP(D471,케이블트레이입.출고현황!U474:Z549,2,0),"")</f>
        <v/>
      </c>
      <c r="F471" s="19" t="str">
        <f>IFERROR(VLOOKUP(E471,케이블트레이입.출고현황!V474:AA549,2,0),"")</f>
        <v/>
      </c>
      <c r="G471" s="19" t="str">
        <f>IFERROR(VLOOKUP(F471,케이블트레이입.출고현황!W474:AB549,2,0),"")</f>
        <v/>
      </c>
      <c r="H471" s="19" t="str">
        <f>IFERROR(VLOOKUP(G471,케이블트레이입.출고현황!X474:AC549,2,0),"")</f>
        <v/>
      </c>
      <c r="I471" s="19" t="str">
        <f>IFERROR(VLOOKUP(H471,케이블트레이입.출고현황!Y474:AD549,2,0),"")</f>
        <v/>
      </c>
      <c r="J471" s="9">
        <v>2</v>
      </c>
      <c r="K471" s="9"/>
      <c r="L471" s="37"/>
      <c r="M471" s="64"/>
      <c r="N471" s="42"/>
    </row>
    <row r="472" spans="1:14" ht="24" customHeight="1">
      <c r="A472" s="8">
        <v>432</v>
      </c>
      <c r="B472" s="9">
        <v>432</v>
      </c>
      <c r="C472" s="46"/>
      <c r="D472" s="9"/>
      <c r="E472" s="19" t="str">
        <f>IFERROR(VLOOKUP(D472,케이블트레이입.출고현황!U475:Z550,2,0),"")</f>
        <v/>
      </c>
      <c r="F472" s="19" t="str">
        <f>IFERROR(VLOOKUP(E472,케이블트레이입.출고현황!V475:AA550,2,0),"")</f>
        <v/>
      </c>
      <c r="G472" s="19" t="str">
        <f>IFERROR(VLOOKUP(F472,케이블트레이입.출고현황!W475:AB550,2,0),"")</f>
        <v/>
      </c>
      <c r="H472" s="19" t="str">
        <f>IFERROR(VLOOKUP(G472,케이블트레이입.출고현황!X475:AC550,2,0),"")</f>
        <v/>
      </c>
      <c r="I472" s="19" t="str">
        <f>IFERROR(VLOOKUP(H472,케이블트레이입.출고현황!Y475:AD550,2,0),"")</f>
        <v/>
      </c>
      <c r="J472" s="9">
        <v>3</v>
      </c>
      <c r="K472" s="9"/>
      <c r="L472" s="37"/>
      <c r="M472" s="64"/>
      <c r="N472" s="42"/>
    </row>
    <row r="473" spans="1:14" ht="24" customHeight="1">
      <c r="A473" s="8">
        <v>433</v>
      </c>
      <c r="B473" s="9">
        <v>433</v>
      </c>
      <c r="C473" s="46"/>
      <c r="D473" s="9"/>
      <c r="E473" s="19" t="str">
        <f>IFERROR(VLOOKUP(D473,케이블트레이입.출고현황!U476:Z551,2,0),"")</f>
        <v/>
      </c>
      <c r="F473" s="19" t="str">
        <f>IFERROR(VLOOKUP(E473,케이블트레이입.출고현황!V476:AA551,2,0),"")</f>
        <v/>
      </c>
      <c r="G473" s="19" t="str">
        <f>IFERROR(VLOOKUP(F473,케이블트레이입.출고현황!W476:AB551,2,0),"")</f>
        <v/>
      </c>
      <c r="H473" s="19" t="str">
        <f>IFERROR(VLOOKUP(G473,케이블트레이입.출고현황!X476:AC551,2,0),"")</f>
        <v/>
      </c>
      <c r="I473" s="19" t="str">
        <f>IFERROR(VLOOKUP(H473,케이블트레이입.출고현황!Y476:AD551,2,0),"")</f>
        <v/>
      </c>
      <c r="J473" s="9">
        <v>1</v>
      </c>
      <c r="K473" s="9"/>
      <c r="L473" s="37"/>
      <c r="M473" s="64"/>
      <c r="N473" s="42"/>
    </row>
    <row r="474" spans="1:14" ht="24" customHeight="1">
      <c r="A474" s="8">
        <v>434</v>
      </c>
      <c r="B474" s="9">
        <v>434</v>
      </c>
      <c r="C474" s="46"/>
      <c r="D474" s="9"/>
      <c r="E474" s="19" t="str">
        <f>IFERROR(VLOOKUP(D474,케이블트레이입.출고현황!U477:Z552,2,0),"")</f>
        <v/>
      </c>
      <c r="F474" s="19" t="str">
        <f>IFERROR(VLOOKUP(E474,케이블트레이입.출고현황!V477:AA552,2,0),"")</f>
        <v/>
      </c>
      <c r="G474" s="19" t="str">
        <f>IFERROR(VLOOKUP(F474,케이블트레이입.출고현황!W477:AB552,2,0),"")</f>
        <v/>
      </c>
      <c r="H474" s="19" t="str">
        <f>IFERROR(VLOOKUP(G474,케이블트레이입.출고현황!X477:AC552,2,0),"")</f>
        <v/>
      </c>
      <c r="I474" s="19" t="str">
        <f>IFERROR(VLOOKUP(H474,케이블트레이입.출고현황!Y477:AD552,2,0),"")</f>
        <v/>
      </c>
      <c r="J474" s="9">
        <v>3</v>
      </c>
      <c r="K474" s="9"/>
      <c r="L474" s="37"/>
      <c r="M474" s="64"/>
      <c r="N474" s="42"/>
    </row>
    <row r="475" spans="1:14" ht="24" customHeight="1">
      <c r="A475" s="8">
        <v>435</v>
      </c>
      <c r="B475" s="9">
        <v>435</v>
      </c>
      <c r="C475" s="46"/>
      <c r="D475" s="9"/>
      <c r="E475" s="19" t="str">
        <f>IFERROR(VLOOKUP(D475,케이블트레이입.출고현황!U478:Z553,2,0),"")</f>
        <v/>
      </c>
      <c r="F475" s="19" t="str">
        <f>IFERROR(VLOOKUP(E475,케이블트레이입.출고현황!V478:AA553,2,0),"")</f>
        <v/>
      </c>
      <c r="G475" s="19" t="str">
        <f>IFERROR(VLOOKUP(F475,케이블트레이입.출고현황!W478:AB553,2,0),"")</f>
        <v/>
      </c>
      <c r="H475" s="19" t="str">
        <f>IFERROR(VLOOKUP(G475,케이블트레이입.출고현황!X478:AC553,2,0),"")</f>
        <v/>
      </c>
      <c r="I475" s="19" t="str">
        <f>IFERROR(VLOOKUP(H475,케이블트레이입.출고현황!Y478:AD553,2,0),"")</f>
        <v/>
      </c>
      <c r="J475" s="9">
        <v>1</v>
      </c>
      <c r="K475" s="9"/>
      <c r="L475" s="37"/>
      <c r="M475" s="64"/>
      <c r="N475" s="42"/>
    </row>
    <row r="476" spans="1:14" ht="24" customHeight="1">
      <c r="A476" s="8">
        <v>436</v>
      </c>
      <c r="B476" s="9">
        <v>436</v>
      </c>
      <c r="C476" s="46"/>
      <c r="D476" s="9"/>
      <c r="E476" s="19" t="str">
        <f>IFERROR(VLOOKUP(D476,케이블트레이입.출고현황!U479:Z554,2,0),"")</f>
        <v/>
      </c>
      <c r="F476" s="19" t="str">
        <f>IFERROR(VLOOKUP(E476,케이블트레이입.출고현황!V479:AA554,2,0),"")</f>
        <v/>
      </c>
      <c r="G476" s="19" t="str">
        <f>IFERROR(VLOOKUP(F476,케이블트레이입.출고현황!W479:AB554,2,0),"")</f>
        <v/>
      </c>
      <c r="H476" s="19" t="str">
        <f>IFERROR(VLOOKUP(G476,케이블트레이입.출고현황!X479:AC554,2,0),"")</f>
        <v/>
      </c>
      <c r="I476" s="19" t="str">
        <f>IFERROR(VLOOKUP(H476,케이블트레이입.출고현황!Y479:AD554,2,0),"")</f>
        <v/>
      </c>
      <c r="J476" s="9">
        <v>1</v>
      </c>
      <c r="K476" s="9"/>
      <c r="L476" s="37"/>
      <c r="M476" s="64"/>
      <c r="N476" s="42"/>
    </row>
    <row r="477" spans="1:14" ht="24" customHeight="1">
      <c r="A477" s="8">
        <v>437</v>
      </c>
      <c r="B477" s="9">
        <v>437</v>
      </c>
      <c r="C477" s="46"/>
      <c r="D477" s="9"/>
      <c r="E477" s="19" t="str">
        <f>IFERROR(VLOOKUP(D477,케이블트레이입.출고현황!U480:Z555,2,0),"")</f>
        <v/>
      </c>
      <c r="F477" s="19" t="str">
        <f>IFERROR(VLOOKUP(E477,케이블트레이입.출고현황!V480:AA555,2,0),"")</f>
        <v/>
      </c>
      <c r="G477" s="19" t="str">
        <f>IFERROR(VLOOKUP(F477,케이블트레이입.출고현황!W480:AB555,2,0),"")</f>
        <v/>
      </c>
      <c r="H477" s="19" t="str">
        <f>IFERROR(VLOOKUP(G477,케이블트레이입.출고현황!X480:AC555,2,0),"")</f>
        <v/>
      </c>
      <c r="I477" s="19" t="str">
        <f>IFERROR(VLOOKUP(H477,케이블트레이입.출고현황!Y480:AD555,2,0),"")</f>
        <v/>
      </c>
      <c r="J477" s="9">
        <v>2</v>
      </c>
      <c r="K477" s="9"/>
      <c r="L477" s="37"/>
      <c r="M477" s="64"/>
      <c r="N477" s="42"/>
    </row>
    <row r="478" spans="1:14" ht="24" customHeight="1">
      <c r="A478" s="8">
        <v>438</v>
      </c>
      <c r="B478" s="9">
        <v>438</v>
      </c>
      <c r="C478" s="46"/>
      <c r="D478" s="9"/>
      <c r="E478" s="19" t="str">
        <f>IFERROR(VLOOKUP(D478,케이블트레이입.출고현황!U481:Z556,2,0),"")</f>
        <v/>
      </c>
      <c r="F478" s="19" t="str">
        <f>IFERROR(VLOOKUP(E478,케이블트레이입.출고현황!V481:AA556,2,0),"")</f>
        <v/>
      </c>
      <c r="G478" s="19" t="str">
        <f>IFERROR(VLOOKUP(F478,케이블트레이입.출고현황!W481:AB556,2,0),"")</f>
        <v/>
      </c>
      <c r="H478" s="19" t="str">
        <f>IFERROR(VLOOKUP(G478,케이블트레이입.출고현황!X481:AC556,2,0),"")</f>
        <v/>
      </c>
      <c r="I478" s="19" t="str">
        <f>IFERROR(VLOOKUP(H478,케이블트레이입.출고현황!Y481:AD556,2,0),"")</f>
        <v/>
      </c>
      <c r="J478" s="9">
        <v>1</v>
      </c>
      <c r="K478" s="9"/>
      <c r="L478" s="37"/>
      <c r="M478" s="64"/>
      <c r="N478" s="42"/>
    </row>
    <row r="479" spans="1:14" ht="24" customHeight="1">
      <c r="A479" s="8">
        <v>439</v>
      </c>
      <c r="B479" s="9">
        <v>439</v>
      </c>
      <c r="C479" s="46"/>
      <c r="D479" s="9"/>
      <c r="E479" s="19" t="str">
        <f>IFERROR(VLOOKUP(D479,케이블트레이입.출고현황!U482:Z557,2,0),"")</f>
        <v/>
      </c>
      <c r="F479" s="19" t="str">
        <f>IFERROR(VLOOKUP(E479,케이블트레이입.출고현황!V482:AA557,2,0),"")</f>
        <v/>
      </c>
      <c r="G479" s="19" t="str">
        <f>IFERROR(VLOOKUP(F479,케이블트레이입.출고현황!W482:AB557,2,0),"")</f>
        <v/>
      </c>
      <c r="H479" s="19" t="str">
        <f>IFERROR(VLOOKUP(G479,케이블트레이입.출고현황!X482:AC557,2,0),"")</f>
        <v/>
      </c>
      <c r="I479" s="19" t="str">
        <f>IFERROR(VLOOKUP(H479,케이블트레이입.출고현황!Y482:AD557,2,0),"")</f>
        <v/>
      </c>
      <c r="J479" s="9">
        <v>1</v>
      </c>
      <c r="K479" s="9"/>
      <c r="L479" s="37"/>
      <c r="M479" s="64"/>
      <c r="N479" s="42"/>
    </row>
    <row r="480" spans="1:14" ht="24" customHeight="1">
      <c r="A480" s="8">
        <v>440</v>
      </c>
      <c r="B480" s="9">
        <v>440</v>
      </c>
      <c r="C480" s="46"/>
      <c r="D480" s="9"/>
      <c r="E480" s="19" t="str">
        <f>IFERROR(VLOOKUP(D480,케이블트레이입.출고현황!U483:Z558,2,0),"")</f>
        <v/>
      </c>
      <c r="F480" s="19" t="str">
        <f>IFERROR(VLOOKUP(E480,케이블트레이입.출고현황!V483:AA558,2,0),"")</f>
        <v/>
      </c>
      <c r="G480" s="19" t="str">
        <f>IFERROR(VLOOKUP(F480,케이블트레이입.출고현황!W483:AB558,2,0),"")</f>
        <v/>
      </c>
      <c r="H480" s="19" t="str">
        <f>IFERROR(VLOOKUP(G480,케이블트레이입.출고현황!X483:AC558,2,0),"")</f>
        <v/>
      </c>
      <c r="I480" s="19" t="str">
        <f>IFERROR(VLOOKUP(H480,케이블트레이입.출고현황!Y483:AD558,2,0),"")</f>
        <v/>
      </c>
      <c r="J480" s="9">
        <v>1</v>
      </c>
      <c r="K480" s="9"/>
      <c r="L480" s="37"/>
      <c r="M480" s="64"/>
      <c r="N480" s="42"/>
    </row>
    <row r="481" spans="1:14" ht="24" customHeight="1">
      <c r="A481" s="8">
        <v>441</v>
      </c>
      <c r="B481" s="9">
        <v>441</v>
      </c>
      <c r="C481" s="46"/>
      <c r="D481" s="9"/>
      <c r="E481" s="19" t="str">
        <f>IFERROR(VLOOKUP(D481,케이블트레이입.출고현황!U484:Z559,2,0),"")</f>
        <v/>
      </c>
      <c r="F481" s="19" t="str">
        <f>IFERROR(VLOOKUP(E481,케이블트레이입.출고현황!V484:AA559,2,0),"")</f>
        <v/>
      </c>
      <c r="G481" s="19" t="str">
        <f>IFERROR(VLOOKUP(F481,케이블트레이입.출고현황!W484:AB559,2,0),"")</f>
        <v/>
      </c>
      <c r="H481" s="19" t="str">
        <f>IFERROR(VLOOKUP(G481,케이블트레이입.출고현황!X484:AC559,2,0),"")</f>
        <v/>
      </c>
      <c r="I481" s="19" t="str">
        <f>IFERROR(VLOOKUP(H481,케이블트레이입.출고현황!Y484:AD559,2,0),"")</f>
        <v/>
      </c>
      <c r="J481" s="9">
        <v>2</v>
      </c>
      <c r="K481" s="9"/>
      <c r="L481" s="37"/>
      <c r="M481" s="64"/>
      <c r="N481" s="42"/>
    </row>
    <row r="482" spans="1:14" ht="24" customHeight="1">
      <c r="A482" s="8">
        <v>442</v>
      </c>
      <c r="B482" s="9">
        <v>442</v>
      </c>
      <c r="C482" s="46"/>
      <c r="D482" s="9"/>
      <c r="E482" s="19" t="str">
        <f>IFERROR(VLOOKUP(D482,케이블트레이입.출고현황!U485:Z560,2,0),"")</f>
        <v/>
      </c>
      <c r="F482" s="19" t="str">
        <f>IFERROR(VLOOKUP(E482,케이블트레이입.출고현황!V485:AA560,2,0),"")</f>
        <v/>
      </c>
      <c r="G482" s="19" t="str">
        <f>IFERROR(VLOOKUP(F482,케이블트레이입.출고현황!W485:AB560,2,0),"")</f>
        <v/>
      </c>
      <c r="H482" s="19" t="str">
        <f>IFERROR(VLOOKUP(G482,케이블트레이입.출고현황!X485:AC560,2,0),"")</f>
        <v/>
      </c>
      <c r="I482" s="19" t="str">
        <f>IFERROR(VLOOKUP(H482,케이블트레이입.출고현황!Y485:AD560,2,0),"")</f>
        <v/>
      </c>
      <c r="J482" s="9">
        <v>1</v>
      </c>
      <c r="K482" s="9"/>
      <c r="L482" s="37"/>
      <c r="M482" s="64"/>
      <c r="N482" s="42"/>
    </row>
    <row r="483" spans="1:14" ht="24" customHeight="1">
      <c r="A483" s="8">
        <v>443</v>
      </c>
      <c r="B483" s="9">
        <v>443</v>
      </c>
      <c r="C483" s="46"/>
      <c r="D483" s="9"/>
      <c r="E483" s="19" t="str">
        <f>IFERROR(VLOOKUP(D483,케이블트레이입.출고현황!U486:Z561,2,0),"")</f>
        <v/>
      </c>
      <c r="F483" s="19" t="str">
        <f>IFERROR(VLOOKUP(E483,케이블트레이입.출고현황!V486:AA561,2,0),"")</f>
        <v/>
      </c>
      <c r="G483" s="19" t="str">
        <f>IFERROR(VLOOKUP(F483,케이블트레이입.출고현황!W486:AB561,2,0),"")</f>
        <v/>
      </c>
      <c r="H483" s="19" t="str">
        <f>IFERROR(VLOOKUP(G483,케이블트레이입.출고현황!X486:AC561,2,0),"")</f>
        <v/>
      </c>
      <c r="I483" s="19" t="str">
        <f>IFERROR(VLOOKUP(H483,케이블트레이입.출고현황!Y486:AD561,2,0),"")</f>
        <v/>
      </c>
      <c r="J483" s="9">
        <v>1</v>
      </c>
      <c r="K483" s="9"/>
      <c r="L483" s="37"/>
      <c r="M483" s="64"/>
      <c r="N483" s="42"/>
    </row>
    <row r="484" spans="1:14" ht="24" customHeight="1">
      <c r="A484" s="8">
        <v>444</v>
      </c>
      <c r="B484" s="9">
        <v>444</v>
      </c>
      <c r="C484" s="46"/>
      <c r="D484" s="9"/>
      <c r="E484" s="19" t="str">
        <f>IFERROR(VLOOKUP(D484,케이블트레이입.출고현황!U487:Z562,2,0),"")</f>
        <v/>
      </c>
      <c r="F484" s="19" t="str">
        <f>IFERROR(VLOOKUP(E484,케이블트레이입.출고현황!V487:AA562,2,0),"")</f>
        <v/>
      </c>
      <c r="G484" s="19" t="str">
        <f>IFERROR(VLOOKUP(F484,케이블트레이입.출고현황!W487:AB562,2,0),"")</f>
        <v/>
      </c>
      <c r="H484" s="19" t="str">
        <f>IFERROR(VLOOKUP(G484,케이블트레이입.출고현황!X487:AC562,2,0),"")</f>
        <v/>
      </c>
      <c r="I484" s="19" t="str">
        <f>IFERROR(VLOOKUP(H484,케이블트레이입.출고현황!Y487:AD562,2,0),"")</f>
        <v/>
      </c>
      <c r="J484" s="9">
        <v>3</v>
      </c>
      <c r="K484" s="9"/>
      <c r="L484" s="37"/>
      <c r="M484" s="64"/>
      <c r="N484" s="42"/>
    </row>
    <row r="485" spans="1:14" ht="24" customHeight="1">
      <c r="A485" s="8">
        <v>445</v>
      </c>
      <c r="B485" s="9">
        <v>445</v>
      </c>
      <c r="C485" s="46"/>
      <c r="D485" s="9"/>
      <c r="E485" s="19" t="str">
        <f>IFERROR(VLOOKUP(D485,케이블트레이입.출고현황!U488:Z563,2,0),"")</f>
        <v/>
      </c>
      <c r="F485" s="19" t="str">
        <f>IFERROR(VLOOKUP(E485,케이블트레이입.출고현황!V488:AA563,2,0),"")</f>
        <v/>
      </c>
      <c r="G485" s="19" t="str">
        <f>IFERROR(VLOOKUP(F485,케이블트레이입.출고현황!W488:AB563,2,0),"")</f>
        <v/>
      </c>
      <c r="H485" s="19" t="str">
        <f>IFERROR(VLOOKUP(G485,케이블트레이입.출고현황!X488:AC563,2,0),"")</f>
        <v/>
      </c>
      <c r="I485" s="19" t="str">
        <f>IFERROR(VLOOKUP(H485,케이블트레이입.출고현황!Y488:AD563,2,0),"")</f>
        <v/>
      </c>
      <c r="J485" s="9">
        <v>1</v>
      </c>
      <c r="K485" s="9"/>
      <c r="L485" s="37"/>
      <c r="M485" s="64"/>
      <c r="N485" s="42"/>
    </row>
    <row r="486" spans="1:14" ht="24" customHeight="1">
      <c r="A486" s="8">
        <v>446</v>
      </c>
      <c r="B486" s="9">
        <v>446</v>
      </c>
      <c r="C486" s="46"/>
      <c r="D486" s="9"/>
      <c r="E486" s="19" t="str">
        <f>IFERROR(VLOOKUP(D486,케이블트레이입.출고현황!U489:Z564,2,0),"")</f>
        <v/>
      </c>
      <c r="F486" s="19" t="str">
        <f>IFERROR(VLOOKUP(E486,케이블트레이입.출고현황!V489:AA564,2,0),"")</f>
        <v/>
      </c>
      <c r="G486" s="19" t="str">
        <f>IFERROR(VLOOKUP(F486,케이블트레이입.출고현황!W489:AB564,2,0),"")</f>
        <v/>
      </c>
      <c r="H486" s="19" t="str">
        <f>IFERROR(VLOOKUP(G486,케이블트레이입.출고현황!X489:AC564,2,0),"")</f>
        <v/>
      </c>
      <c r="I486" s="19" t="str">
        <f>IFERROR(VLOOKUP(H486,케이블트레이입.출고현황!Y489:AD564,2,0),"")</f>
        <v/>
      </c>
      <c r="J486" s="9">
        <v>2</v>
      </c>
      <c r="K486" s="9"/>
      <c r="L486" s="37"/>
      <c r="M486" s="64"/>
      <c r="N486" s="42"/>
    </row>
    <row r="487" spans="1:14" ht="24" customHeight="1">
      <c r="A487" s="8">
        <v>447</v>
      </c>
      <c r="B487" s="9">
        <v>447</v>
      </c>
      <c r="C487" s="46"/>
      <c r="D487" s="9"/>
      <c r="E487" s="19" t="str">
        <f>IFERROR(VLOOKUP(D487,케이블트레이입.출고현황!U490:Z565,2,0),"")</f>
        <v/>
      </c>
      <c r="F487" s="19" t="str">
        <f>IFERROR(VLOOKUP(E487,케이블트레이입.출고현황!V490:AA565,2,0),"")</f>
        <v/>
      </c>
      <c r="G487" s="19" t="str">
        <f>IFERROR(VLOOKUP(F487,케이블트레이입.출고현황!W490:AB565,2,0),"")</f>
        <v/>
      </c>
      <c r="H487" s="19" t="str">
        <f>IFERROR(VLOOKUP(G487,케이블트레이입.출고현황!X490:AC565,2,0),"")</f>
        <v/>
      </c>
      <c r="I487" s="19" t="str">
        <f>IFERROR(VLOOKUP(H487,케이블트레이입.출고현황!Y490:AD565,2,0),"")</f>
        <v/>
      </c>
      <c r="J487" s="9">
        <v>1</v>
      </c>
      <c r="K487" s="9"/>
      <c r="L487" s="37"/>
      <c r="M487" s="64"/>
      <c r="N487" s="42"/>
    </row>
    <row r="488" spans="1:14" ht="24" customHeight="1">
      <c r="A488" s="8">
        <v>448</v>
      </c>
      <c r="B488" s="9">
        <v>448</v>
      </c>
      <c r="C488" s="46"/>
      <c r="D488" s="9"/>
      <c r="E488" s="19" t="str">
        <f>IFERROR(VLOOKUP(D488,케이블트레이입.출고현황!U491:Z566,2,0),"")</f>
        <v/>
      </c>
      <c r="F488" s="19" t="str">
        <f>IFERROR(VLOOKUP(E488,케이블트레이입.출고현황!V491:AA566,2,0),"")</f>
        <v/>
      </c>
      <c r="G488" s="19" t="str">
        <f>IFERROR(VLOOKUP(F488,케이블트레이입.출고현황!W491:AB566,2,0),"")</f>
        <v/>
      </c>
      <c r="H488" s="19" t="str">
        <f>IFERROR(VLOOKUP(G488,케이블트레이입.출고현황!X491:AC566,2,0),"")</f>
        <v/>
      </c>
      <c r="I488" s="19" t="str">
        <f>IFERROR(VLOOKUP(H488,케이블트레이입.출고현황!Y491:AD566,2,0),"")</f>
        <v/>
      </c>
      <c r="J488" s="9">
        <v>1</v>
      </c>
      <c r="K488" s="9"/>
      <c r="L488" s="37"/>
      <c r="M488" s="64"/>
      <c r="N488" s="42"/>
    </row>
    <row r="489" spans="1:14" ht="24" customHeight="1">
      <c r="A489" s="8">
        <v>449</v>
      </c>
      <c r="B489" s="9">
        <v>449</v>
      </c>
      <c r="C489" s="46"/>
      <c r="D489" s="9"/>
      <c r="E489" s="19" t="str">
        <f>IFERROR(VLOOKUP(D489,케이블트레이입.출고현황!U492:Z567,2,0),"")</f>
        <v/>
      </c>
      <c r="F489" s="19" t="str">
        <f>IFERROR(VLOOKUP(E489,케이블트레이입.출고현황!V492:AA567,2,0),"")</f>
        <v/>
      </c>
      <c r="G489" s="19" t="str">
        <f>IFERROR(VLOOKUP(F489,케이블트레이입.출고현황!W492:AB567,2,0),"")</f>
        <v/>
      </c>
      <c r="H489" s="19" t="str">
        <f>IFERROR(VLOOKUP(G489,케이블트레이입.출고현황!X492:AC567,2,0),"")</f>
        <v/>
      </c>
      <c r="I489" s="19" t="str">
        <f>IFERROR(VLOOKUP(H489,케이블트레이입.출고현황!Y492:AD567,2,0),"")</f>
        <v/>
      </c>
      <c r="J489" s="9">
        <v>1</v>
      </c>
      <c r="K489" s="9"/>
      <c r="L489" s="37"/>
      <c r="M489" s="64"/>
      <c r="N489" s="42"/>
    </row>
    <row r="490" spans="1:14" ht="24" customHeight="1">
      <c r="A490" s="8">
        <v>450</v>
      </c>
      <c r="B490" s="9">
        <v>450</v>
      </c>
      <c r="C490" s="46"/>
      <c r="D490" s="9"/>
      <c r="E490" s="19" t="str">
        <f>IFERROR(VLOOKUP(D490,케이블트레이입.출고현황!U493:Z568,2,0),"")</f>
        <v/>
      </c>
      <c r="F490" s="19" t="str">
        <f>IFERROR(VLOOKUP(E490,케이블트레이입.출고현황!V493:AA568,2,0),"")</f>
        <v/>
      </c>
      <c r="G490" s="19" t="str">
        <f>IFERROR(VLOOKUP(F490,케이블트레이입.출고현황!W493:AB568,2,0),"")</f>
        <v/>
      </c>
      <c r="H490" s="19" t="str">
        <f>IFERROR(VLOOKUP(G490,케이블트레이입.출고현황!X493:AC568,2,0),"")</f>
        <v/>
      </c>
      <c r="I490" s="19" t="str">
        <f>IFERROR(VLOOKUP(H490,케이블트레이입.출고현황!Y493:AD568,2,0),"")</f>
        <v/>
      </c>
      <c r="J490" s="9">
        <v>1</v>
      </c>
      <c r="K490" s="9"/>
      <c r="L490" s="37"/>
      <c r="M490" s="64"/>
      <c r="N490" s="42"/>
    </row>
    <row r="491" spans="1:14" ht="24" customHeight="1">
      <c r="A491" s="8">
        <v>451</v>
      </c>
      <c r="B491" s="9">
        <v>451</v>
      </c>
      <c r="C491" s="46"/>
      <c r="D491" s="9"/>
      <c r="E491" s="19" t="str">
        <f>IFERROR(VLOOKUP(D491,케이블트레이입.출고현황!U494:Z569,2,0),"")</f>
        <v/>
      </c>
      <c r="F491" s="19" t="str">
        <f>IFERROR(VLOOKUP(E491,케이블트레이입.출고현황!V494:AA569,2,0),"")</f>
        <v/>
      </c>
      <c r="G491" s="19" t="str">
        <f>IFERROR(VLOOKUP(F491,케이블트레이입.출고현황!W494:AB569,2,0),"")</f>
        <v/>
      </c>
      <c r="H491" s="19" t="str">
        <f>IFERROR(VLOOKUP(G491,케이블트레이입.출고현황!X494:AC569,2,0),"")</f>
        <v/>
      </c>
      <c r="I491" s="19" t="str">
        <f>IFERROR(VLOOKUP(H491,케이블트레이입.출고현황!Y494:AD569,2,0),"")</f>
        <v/>
      </c>
      <c r="J491" s="9">
        <v>2</v>
      </c>
      <c r="K491" s="9"/>
      <c r="L491" s="37"/>
      <c r="M491" s="64"/>
      <c r="N491" s="42"/>
    </row>
    <row r="492" spans="1:14" ht="24" customHeight="1">
      <c r="A492" s="8">
        <v>452</v>
      </c>
      <c r="B492" s="9">
        <v>452</v>
      </c>
      <c r="C492" s="46"/>
      <c r="D492" s="9"/>
      <c r="E492" s="19" t="str">
        <f>IFERROR(VLOOKUP(D492,케이블트레이입.출고현황!U495:Z570,2,0),"")</f>
        <v/>
      </c>
      <c r="F492" s="19" t="str">
        <f>IFERROR(VLOOKUP(E492,케이블트레이입.출고현황!V495:AA570,2,0),"")</f>
        <v/>
      </c>
      <c r="G492" s="19" t="str">
        <f>IFERROR(VLOOKUP(F492,케이블트레이입.출고현황!W495:AB570,2,0),"")</f>
        <v/>
      </c>
      <c r="H492" s="19" t="str">
        <f>IFERROR(VLOOKUP(G492,케이블트레이입.출고현황!X495:AC570,2,0),"")</f>
        <v/>
      </c>
      <c r="I492" s="19" t="str">
        <f>IFERROR(VLOOKUP(H492,케이블트레이입.출고현황!Y495:AD570,2,0),"")</f>
        <v/>
      </c>
      <c r="J492" s="9">
        <v>2</v>
      </c>
      <c r="K492" s="9"/>
      <c r="L492" s="37"/>
      <c r="M492" s="64"/>
      <c r="N492" s="42"/>
    </row>
    <row r="493" spans="1:14" ht="24" customHeight="1">
      <c r="A493" s="8">
        <v>453</v>
      </c>
      <c r="B493" s="9">
        <v>453</v>
      </c>
      <c r="C493" s="46"/>
      <c r="D493" s="9"/>
      <c r="E493" s="19" t="str">
        <f>IFERROR(VLOOKUP(D493,케이블트레이입.출고현황!U496:Z571,2,0),"")</f>
        <v/>
      </c>
      <c r="F493" s="19" t="str">
        <f>IFERROR(VLOOKUP(E493,케이블트레이입.출고현황!V496:AA571,2,0),"")</f>
        <v/>
      </c>
      <c r="G493" s="19" t="str">
        <f>IFERROR(VLOOKUP(F493,케이블트레이입.출고현황!W496:AB571,2,0),"")</f>
        <v/>
      </c>
      <c r="H493" s="19" t="str">
        <f>IFERROR(VLOOKUP(G493,케이블트레이입.출고현황!X496:AC571,2,0),"")</f>
        <v/>
      </c>
      <c r="I493" s="19" t="str">
        <f>IFERROR(VLOOKUP(H493,케이블트레이입.출고현황!Y496:AD571,2,0),"")</f>
        <v/>
      </c>
      <c r="J493" s="9">
        <v>1</v>
      </c>
      <c r="K493" s="9"/>
      <c r="L493" s="37"/>
      <c r="M493" s="64"/>
      <c r="N493" s="42"/>
    </row>
    <row r="494" spans="1:14" ht="24" customHeight="1">
      <c r="A494" s="8">
        <v>454</v>
      </c>
      <c r="B494" s="9">
        <v>454</v>
      </c>
      <c r="C494" s="46"/>
      <c r="D494" s="9"/>
      <c r="E494" s="19" t="str">
        <f>IFERROR(VLOOKUP(D494,케이블트레이입.출고현황!U497:Z572,2,0),"")</f>
        <v/>
      </c>
      <c r="F494" s="19" t="str">
        <f>IFERROR(VLOOKUP(E494,케이블트레이입.출고현황!V497:AA572,2,0),"")</f>
        <v/>
      </c>
      <c r="G494" s="19" t="str">
        <f>IFERROR(VLOOKUP(F494,케이블트레이입.출고현황!W497:AB572,2,0),"")</f>
        <v/>
      </c>
      <c r="H494" s="19" t="str">
        <f>IFERROR(VLOOKUP(G494,케이블트레이입.출고현황!X497:AC572,2,0),"")</f>
        <v/>
      </c>
      <c r="I494" s="19" t="str">
        <f>IFERROR(VLOOKUP(H494,케이블트레이입.출고현황!Y497:AD572,2,0),"")</f>
        <v/>
      </c>
      <c r="J494" s="9">
        <v>2</v>
      </c>
      <c r="K494" s="9"/>
      <c r="L494" s="37"/>
      <c r="M494" s="64"/>
      <c r="N494" s="42"/>
    </row>
    <row r="495" spans="1:14" ht="24" customHeight="1">
      <c r="A495" s="8">
        <v>455</v>
      </c>
      <c r="B495" s="9">
        <v>455</v>
      </c>
      <c r="C495" s="46"/>
      <c r="D495" s="9"/>
      <c r="E495" s="19" t="str">
        <f>IFERROR(VLOOKUP(D495,케이블트레이입.출고현황!U498:Z573,2,0),"")</f>
        <v/>
      </c>
      <c r="F495" s="19" t="str">
        <f>IFERROR(VLOOKUP(E495,케이블트레이입.출고현황!V498:AA573,2,0),"")</f>
        <v/>
      </c>
      <c r="G495" s="19" t="str">
        <f>IFERROR(VLOOKUP(F495,케이블트레이입.출고현황!W498:AB573,2,0),"")</f>
        <v/>
      </c>
      <c r="H495" s="19" t="str">
        <f>IFERROR(VLOOKUP(G495,케이블트레이입.출고현황!X498:AC573,2,0),"")</f>
        <v/>
      </c>
      <c r="I495" s="19" t="str">
        <f>IFERROR(VLOOKUP(H495,케이블트레이입.출고현황!Y498:AD573,2,0),"")</f>
        <v/>
      </c>
      <c r="J495" s="9" t="s">
        <v>557</v>
      </c>
      <c r="K495" s="9"/>
      <c r="L495" s="37"/>
      <c r="M495" s="64"/>
      <c r="N495" s="42"/>
    </row>
    <row r="496" spans="1:14" ht="24" customHeight="1">
      <c r="A496" s="8">
        <v>456</v>
      </c>
      <c r="B496" s="9">
        <v>456</v>
      </c>
      <c r="C496" s="46"/>
      <c r="D496" s="9"/>
      <c r="E496" s="19" t="str">
        <f>IFERROR(VLOOKUP(D496,케이블트레이입.출고현황!U499:Z574,2,0),"")</f>
        <v/>
      </c>
      <c r="F496" s="19" t="str">
        <f>IFERROR(VLOOKUP(E496,케이블트레이입.출고현황!V499:AA574,2,0),"")</f>
        <v/>
      </c>
      <c r="G496" s="19" t="str">
        <f>IFERROR(VLOOKUP(F496,케이블트레이입.출고현황!W499:AB574,2,0),"")</f>
        <v/>
      </c>
      <c r="H496" s="19" t="str">
        <f>IFERROR(VLOOKUP(G496,케이블트레이입.출고현황!X499:AC574,2,0),"")</f>
        <v/>
      </c>
      <c r="I496" s="19" t="str">
        <f>IFERROR(VLOOKUP(H496,케이블트레이입.출고현황!Y499:AD574,2,0),"")</f>
        <v/>
      </c>
      <c r="J496" s="9">
        <v>1</v>
      </c>
      <c r="K496" s="9"/>
      <c r="L496" s="37"/>
      <c r="M496" s="64"/>
      <c r="N496" s="42"/>
    </row>
    <row r="497" spans="1:14" ht="24" customHeight="1">
      <c r="A497" s="8">
        <v>457</v>
      </c>
      <c r="B497" s="9">
        <v>457</v>
      </c>
      <c r="C497" s="46"/>
      <c r="D497" s="9"/>
      <c r="E497" s="19" t="str">
        <f>IFERROR(VLOOKUP(D497,케이블트레이입.출고현황!U500:Z575,2,0),"")</f>
        <v/>
      </c>
      <c r="F497" s="19" t="str">
        <f>IFERROR(VLOOKUP(E497,케이블트레이입.출고현황!V500:AA575,2,0),"")</f>
        <v/>
      </c>
      <c r="G497" s="19" t="str">
        <f>IFERROR(VLOOKUP(F497,케이블트레이입.출고현황!W500:AB575,2,0),"")</f>
        <v/>
      </c>
      <c r="H497" s="19" t="str">
        <f>IFERROR(VLOOKUP(G497,케이블트레이입.출고현황!X500:AC575,2,0),"")</f>
        <v/>
      </c>
      <c r="I497" s="19" t="str">
        <f>IFERROR(VLOOKUP(H497,케이블트레이입.출고현황!Y500:AD575,2,0),"")</f>
        <v/>
      </c>
      <c r="J497" s="9">
        <v>3</v>
      </c>
      <c r="K497" s="9"/>
      <c r="L497" s="37"/>
      <c r="M497" s="64"/>
      <c r="N497" s="42"/>
    </row>
    <row r="498" spans="1:14" ht="24" customHeight="1">
      <c r="A498" s="8">
        <v>458</v>
      </c>
      <c r="B498" s="9">
        <v>458</v>
      </c>
      <c r="C498" s="46"/>
      <c r="D498" s="9"/>
      <c r="E498" s="19" t="str">
        <f>IFERROR(VLOOKUP(D498,케이블트레이입.출고현황!U501:Z576,2,0),"")</f>
        <v/>
      </c>
      <c r="F498" s="19" t="str">
        <f>IFERROR(VLOOKUP(E498,케이블트레이입.출고현황!V501:AA576,2,0),"")</f>
        <v/>
      </c>
      <c r="G498" s="19" t="str">
        <f>IFERROR(VLOOKUP(F498,케이블트레이입.출고현황!W501:AB576,2,0),"")</f>
        <v/>
      </c>
      <c r="H498" s="19" t="str">
        <f>IFERROR(VLOOKUP(G498,케이블트레이입.출고현황!X501:AC576,2,0),"")</f>
        <v/>
      </c>
      <c r="I498" s="19" t="str">
        <f>IFERROR(VLOOKUP(H498,케이블트레이입.출고현황!Y501:AD576,2,0),"")</f>
        <v/>
      </c>
      <c r="J498" s="9">
        <v>1</v>
      </c>
      <c r="K498" s="9"/>
      <c r="L498" s="37"/>
      <c r="M498" s="64"/>
      <c r="N498" s="42"/>
    </row>
    <row r="499" spans="1:14" ht="24" customHeight="1">
      <c r="A499" s="8">
        <v>459</v>
      </c>
      <c r="B499" s="9">
        <v>459</v>
      </c>
      <c r="C499" s="46"/>
      <c r="D499" s="9"/>
      <c r="E499" s="19" t="str">
        <f>IFERROR(VLOOKUP(D499,케이블트레이입.출고현황!U502:Z577,2,0),"")</f>
        <v/>
      </c>
      <c r="F499" s="19" t="str">
        <f>IFERROR(VLOOKUP(E499,케이블트레이입.출고현황!V502:AA577,2,0),"")</f>
        <v/>
      </c>
      <c r="G499" s="19" t="str">
        <f>IFERROR(VLOOKUP(F499,케이블트레이입.출고현황!W502:AB577,2,0),"")</f>
        <v/>
      </c>
      <c r="H499" s="19" t="str">
        <f>IFERROR(VLOOKUP(G499,케이블트레이입.출고현황!X502:AC577,2,0),"")</f>
        <v/>
      </c>
      <c r="I499" s="19" t="str">
        <f>IFERROR(VLOOKUP(H499,케이블트레이입.출고현황!Y502:AD577,2,0),"")</f>
        <v/>
      </c>
      <c r="J499" s="9">
        <v>1</v>
      </c>
      <c r="K499" s="9"/>
      <c r="L499" s="37"/>
      <c r="M499" s="64"/>
      <c r="N499" s="42"/>
    </row>
    <row r="500" spans="1:14" ht="24" customHeight="1">
      <c r="A500" s="8">
        <v>460</v>
      </c>
      <c r="B500" s="9">
        <v>460</v>
      </c>
      <c r="C500" s="46"/>
      <c r="D500" s="9"/>
      <c r="E500" s="19" t="str">
        <f>IFERROR(VLOOKUP(D500,케이블트레이입.출고현황!U503:Z578,2,0),"")</f>
        <v/>
      </c>
      <c r="F500" s="19" t="str">
        <f>IFERROR(VLOOKUP(E500,케이블트레이입.출고현황!V503:AA578,2,0),"")</f>
        <v/>
      </c>
      <c r="G500" s="19" t="str">
        <f>IFERROR(VLOOKUP(F500,케이블트레이입.출고현황!W503:AB578,2,0),"")</f>
        <v/>
      </c>
      <c r="H500" s="19" t="str">
        <f>IFERROR(VLOOKUP(G500,케이블트레이입.출고현황!X503:AC578,2,0),"")</f>
        <v/>
      </c>
      <c r="I500" s="19" t="str">
        <f>IFERROR(VLOOKUP(H500,케이블트레이입.출고현황!Y503:AD578,2,0),"")</f>
        <v/>
      </c>
      <c r="J500" s="9">
        <v>2</v>
      </c>
      <c r="K500" s="9"/>
      <c r="L500" s="37"/>
      <c r="M500" s="64"/>
      <c r="N500" s="42"/>
    </row>
    <row r="501" spans="1:14" ht="24" customHeight="1">
      <c r="A501" s="8">
        <v>461</v>
      </c>
      <c r="B501" s="9">
        <v>461</v>
      </c>
      <c r="C501" s="46"/>
      <c r="D501" s="9"/>
      <c r="E501" s="19" t="str">
        <f>IFERROR(VLOOKUP(D501,케이블트레이입.출고현황!U504:Z579,2,0),"")</f>
        <v/>
      </c>
      <c r="F501" s="19" t="str">
        <f>IFERROR(VLOOKUP(E501,케이블트레이입.출고현황!V504:AA579,2,0),"")</f>
        <v/>
      </c>
      <c r="G501" s="19" t="str">
        <f>IFERROR(VLOOKUP(F501,케이블트레이입.출고현황!W504:AB579,2,0),"")</f>
        <v/>
      </c>
      <c r="H501" s="19" t="str">
        <f>IFERROR(VLOOKUP(G501,케이블트레이입.출고현황!X504:AC579,2,0),"")</f>
        <v/>
      </c>
      <c r="I501" s="19" t="str">
        <f>IFERROR(VLOOKUP(H501,케이블트레이입.출고현황!Y504:AD579,2,0),"")</f>
        <v/>
      </c>
      <c r="J501" s="9" t="s">
        <v>557</v>
      </c>
      <c r="K501" s="9"/>
      <c r="L501" s="37"/>
      <c r="M501" s="64"/>
      <c r="N501" s="42"/>
    </row>
    <row r="502" spans="1:14" ht="24" customHeight="1">
      <c r="A502" s="8">
        <v>462</v>
      </c>
      <c r="B502" s="9">
        <v>462</v>
      </c>
      <c r="C502" s="46"/>
      <c r="D502" s="9"/>
      <c r="E502" s="19" t="str">
        <f>IFERROR(VLOOKUP(D502,케이블트레이입.출고현황!U505:Z580,2,0),"")</f>
        <v/>
      </c>
      <c r="F502" s="19" t="str">
        <f>IFERROR(VLOOKUP(E502,케이블트레이입.출고현황!V505:AA580,2,0),"")</f>
        <v/>
      </c>
      <c r="G502" s="19" t="str">
        <f>IFERROR(VLOOKUP(F502,케이블트레이입.출고현황!W505:AB580,2,0),"")</f>
        <v/>
      </c>
      <c r="H502" s="19" t="str">
        <f>IFERROR(VLOOKUP(G502,케이블트레이입.출고현황!X505:AC580,2,0),"")</f>
        <v/>
      </c>
      <c r="I502" s="19" t="str">
        <f>IFERROR(VLOOKUP(H502,케이블트레이입.출고현황!Y505:AD580,2,0),"")</f>
        <v/>
      </c>
      <c r="J502" s="9">
        <v>3</v>
      </c>
      <c r="K502" s="9"/>
      <c r="L502" s="37"/>
      <c r="M502" s="64"/>
      <c r="N502" s="42"/>
    </row>
    <row r="503" spans="1:14" ht="24" customHeight="1">
      <c r="A503" s="8">
        <v>463</v>
      </c>
      <c r="B503" s="9">
        <v>463</v>
      </c>
      <c r="C503" s="46"/>
      <c r="D503" s="9"/>
      <c r="E503" s="19" t="str">
        <f>IFERROR(VLOOKUP(D503,케이블트레이입.출고현황!U506:Z581,2,0),"")</f>
        <v/>
      </c>
      <c r="F503" s="19" t="str">
        <f>IFERROR(VLOOKUP(E503,케이블트레이입.출고현황!V506:AA581,2,0),"")</f>
        <v/>
      </c>
      <c r="G503" s="19" t="str">
        <f>IFERROR(VLOOKUP(F503,케이블트레이입.출고현황!W506:AB581,2,0),"")</f>
        <v/>
      </c>
      <c r="H503" s="19" t="str">
        <f>IFERROR(VLOOKUP(G503,케이블트레이입.출고현황!X506:AC581,2,0),"")</f>
        <v/>
      </c>
      <c r="I503" s="19" t="str">
        <f>IFERROR(VLOOKUP(H503,케이블트레이입.출고현황!Y506:AD581,2,0),"")</f>
        <v/>
      </c>
      <c r="J503" s="9">
        <v>3</v>
      </c>
      <c r="K503" s="9"/>
      <c r="L503" s="37"/>
      <c r="M503" s="64"/>
      <c r="N503" s="42"/>
    </row>
    <row r="504" spans="1:14" ht="24" customHeight="1">
      <c r="A504" s="8">
        <v>464</v>
      </c>
      <c r="B504" s="9">
        <v>464</v>
      </c>
      <c r="C504" s="46"/>
      <c r="D504" s="9"/>
      <c r="E504" s="19" t="str">
        <f>IFERROR(VLOOKUP(D504,케이블트레이입.출고현황!U507:Z582,2,0),"")</f>
        <v/>
      </c>
      <c r="F504" s="19" t="str">
        <f>IFERROR(VLOOKUP(E504,케이블트레이입.출고현황!V507:AA582,2,0),"")</f>
        <v/>
      </c>
      <c r="G504" s="19" t="str">
        <f>IFERROR(VLOOKUP(F504,케이블트레이입.출고현황!W507:AB582,2,0),"")</f>
        <v/>
      </c>
      <c r="H504" s="19" t="str">
        <f>IFERROR(VLOOKUP(G504,케이블트레이입.출고현황!X507:AC582,2,0),"")</f>
        <v/>
      </c>
      <c r="I504" s="19" t="str">
        <f>IFERROR(VLOOKUP(H504,케이블트레이입.출고현황!Y507:AD582,2,0),"")</f>
        <v/>
      </c>
      <c r="J504" s="9" t="s">
        <v>557</v>
      </c>
      <c r="K504" s="9"/>
      <c r="L504" s="37"/>
      <c r="M504" s="64"/>
      <c r="N504" s="42"/>
    </row>
    <row r="505" spans="1:14" ht="24" customHeight="1">
      <c r="A505" s="8">
        <v>465</v>
      </c>
      <c r="B505" s="9">
        <v>465</v>
      </c>
      <c r="C505" s="46"/>
      <c r="D505" s="9"/>
      <c r="E505" s="19" t="str">
        <f>IFERROR(VLOOKUP(D505,케이블트레이입.출고현황!U508:Z583,2,0),"")</f>
        <v/>
      </c>
      <c r="F505" s="19" t="str">
        <f>IFERROR(VLOOKUP(E505,케이블트레이입.출고현황!V508:AA583,2,0),"")</f>
        <v/>
      </c>
      <c r="G505" s="19" t="str">
        <f>IFERROR(VLOOKUP(F505,케이블트레이입.출고현황!W508:AB583,2,0),"")</f>
        <v/>
      </c>
      <c r="H505" s="19" t="str">
        <f>IFERROR(VLOOKUP(G505,케이블트레이입.출고현황!X508:AC583,2,0),"")</f>
        <v/>
      </c>
      <c r="I505" s="19" t="str">
        <f>IFERROR(VLOOKUP(H505,케이블트레이입.출고현황!Y508:AD583,2,0),"")</f>
        <v/>
      </c>
      <c r="J505" s="9">
        <v>1</v>
      </c>
      <c r="K505" s="9"/>
      <c r="L505" s="37"/>
      <c r="M505" s="64"/>
      <c r="N505" s="42"/>
    </row>
    <row r="506" spans="1:14" ht="24" customHeight="1">
      <c r="A506" s="8">
        <v>466</v>
      </c>
      <c r="B506" s="9">
        <v>466</v>
      </c>
      <c r="C506" s="46"/>
      <c r="D506" s="9"/>
      <c r="E506" s="19" t="str">
        <f>IFERROR(VLOOKUP(D506,케이블트레이입.출고현황!U509:Z584,2,0),"")</f>
        <v/>
      </c>
      <c r="F506" s="19" t="str">
        <f>IFERROR(VLOOKUP(E506,케이블트레이입.출고현황!V509:AA584,2,0),"")</f>
        <v/>
      </c>
      <c r="G506" s="19" t="str">
        <f>IFERROR(VLOOKUP(F506,케이블트레이입.출고현황!W509:AB584,2,0),"")</f>
        <v/>
      </c>
      <c r="H506" s="19" t="str">
        <f>IFERROR(VLOOKUP(G506,케이블트레이입.출고현황!X509:AC584,2,0),"")</f>
        <v/>
      </c>
      <c r="I506" s="19" t="str">
        <f>IFERROR(VLOOKUP(H506,케이블트레이입.출고현황!Y509:AD584,2,0),"")</f>
        <v/>
      </c>
      <c r="J506" s="9">
        <v>3</v>
      </c>
      <c r="K506" s="9"/>
      <c r="L506" s="37"/>
      <c r="M506" s="64"/>
      <c r="N506" s="42"/>
    </row>
    <row r="507" spans="1:14" ht="24" customHeight="1">
      <c r="A507" s="8">
        <v>467</v>
      </c>
      <c r="B507" s="9">
        <v>467</v>
      </c>
      <c r="C507" s="46"/>
      <c r="D507" s="9"/>
      <c r="E507" s="19" t="str">
        <f>IFERROR(VLOOKUP(D507,케이블트레이입.출고현황!U510:Z585,2,0),"")</f>
        <v/>
      </c>
      <c r="F507" s="19" t="str">
        <f>IFERROR(VLOOKUP(E507,케이블트레이입.출고현황!V510:AA585,2,0),"")</f>
        <v/>
      </c>
      <c r="G507" s="19" t="str">
        <f>IFERROR(VLOOKUP(F507,케이블트레이입.출고현황!W510:AB585,2,0),"")</f>
        <v/>
      </c>
      <c r="H507" s="19" t="str">
        <f>IFERROR(VLOOKUP(G507,케이블트레이입.출고현황!X510:AC585,2,0),"")</f>
        <v/>
      </c>
      <c r="I507" s="19" t="str">
        <f>IFERROR(VLOOKUP(H507,케이블트레이입.출고현황!Y510:AD585,2,0),"")</f>
        <v/>
      </c>
      <c r="J507" s="9">
        <v>2</v>
      </c>
      <c r="K507" s="9"/>
      <c r="L507" s="37"/>
      <c r="M507" s="64"/>
      <c r="N507" s="42"/>
    </row>
    <row r="508" spans="1:14" ht="24" customHeight="1">
      <c r="A508" s="8">
        <v>468</v>
      </c>
      <c r="B508" s="9">
        <v>468</v>
      </c>
      <c r="C508" s="46"/>
      <c r="D508" s="9"/>
      <c r="E508" s="19" t="str">
        <f>IFERROR(VLOOKUP(D508,케이블트레이입.출고현황!U511:Z586,2,0),"")</f>
        <v/>
      </c>
      <c r="F508" s="19" t="str">
        <f>IFERROR(VLOOKUP(E508,케이블트레이입.출고현황!V511:AA586,2,0),"")</f>
        <v/>
      </c>
      <c r="G508" s="19" t="str">
        <f>IFERROR(VLOOKUP(F508,케이블트레이입.출고현황!W511:AB586,2,0),"")</f>
        <v/>
      </c>
      <c r="H508" s="19" t="str">
        <f>IFERROR(VLOOKUP(G508,케이블트레이입.출고현황!X511:AC586,2,0),"")</f>
        <v/>
      </c>
      <c r="I508" s="19" t="str">
        <f>IFERROR(VLOOKUP(H508,케이블트레이입.출고현황!Y511:AD586,2,0),"")</f>
        <v/>
      </c>
      <c r="J508" s="9">
        <v>3</v>
      </c>
      <c r="K508" s="9"/>
      <c r="L508" s="37"/>
      <c r="M508" s="64"/>
      <c r="N508" s="42"/>
    </row>
    <row r="509" spans="1:14" ht="24" customHeight="1">
      <c r="A509" s="8">
        <v>469</v>
      </c>
      <c r="B509" s="9">
        <v>469</v>
      </c>
      <c r="C509" s="46"/>
      <c r="D509" s="9"/>
      <c r="E509" s="19" t="str">
        <f>IFERROR(VLOOKUP(D509,케이블트레이입.출고현황!U512:Z587,2,0),"")</f>
        <v/>
      </c>
      <c r="F509" s="19" t="str">
        <f>IFERROR(VLOOKUP(E509,케이블트레이입.출고현황!V512:AA587,2,0),"")</f>
        <v/>
      </c>
      <c r="G509" s="19" t="str">
        <f>IFERROR(VLOOKUP(F509,케이블트레이입.출고현황!W512:AB587,2,0),"")</f>
        <v/>
      </c>
      <c r="H509" s="19" t="str">
        <f>IFERROR(VLOOKUP(G509,케이블트레이입.출고현황!X512:AC587,2,0),"")</f>
        <v/>
      </c>
      <c r="I509" s="19" t="str">
        <f>IFERROR(VLOOKUP(H509,케이블트레이입.출고현황!Y512:AD587,2,0),"")</f>
        <v/>
      </c>
      <c r="J509" s="9">
        <v>1</v>
      </c>
      <c r="K509" s="9"/>
      <c r="L509" s="37"/>
      <c r="M509" s="64"/>
      <c r="N509" s="42"/>
    </row>
    <row r="510" spans="1:14" ht="24" customHeight="1">
      <c r="A510" s="8">
        <v>470</v>
      </c>
      <c r="B510" s="9">
        <v>470</v>
      </c>
      <c r="C510" s="46"/>
      <c r="D510" s="9"/>
      <c r="E510" s="19" t="str">
        <f>IFERROR(VLOOKUP(D510,케이블트레이입.출고현황!U513:Z588,2,0),"")</f>
        <v/>
      </c>
      <c r="F510" s="19" t="str">
        <f>IFERROR(VLOOKUP(E510,케이블트레이입.출고현황!V513:AA588,2,0),"")</f>
        <v/>
      </c>
      <c r="G510" s="19" t="str">
        <f>IFERROR(VLOOKUP(F510,케이블트레이입.출고현황!W513:AB588,2,0),"")</f>
        <v/>
      </c>
      <c r="H510" s="19" t="str">
        <f>IFERROR(VLOOKUP(G510,케이블트레이입.출고현황!X513:AC588,2,0),"")</f>
        <v/>
      </c>
      <c r="I510" s="19" t="str">
        <f>IFERROR(VLOOKUP(H510,케이블트레이입.출고현황!Y513:AD588,2,0),"")</f>
        <v/>
      </c>
      <c r="J510" s="9">
        <v>1</v>
      </c>
      <c r="K510" s="9"/>
      <c r="L510" s="37"/>
      <c r="M510" s="64"/>
      <c r="N510" s="42"/>
    </row>
    <row r="511" spans="1:14" ht="24" customHeight="1">
      <c r="A511" s="8">
        <v>471</v>
      </c>
      <c r="B511" s="9">
        <v>471</v>
      </c>
      <c r="C511" s="46"/>
      <c r="D511" s="9"/>
      <c r="E511" s="19" t="str">
        <f>IFERROR(VLOOKUP(D511,케이블트레이입.출고현황!U514:Z589,2,0),"")</f>
        <v/>
      </c>
      <c r="F511" s="19" t="str">
        <f>IFERROR(VLOOKUP(E511,케이블트레이입.출고현황!V514:AA589,2,0),"")</f>
        <v/>
      </c>
      <c r="G511" s="19" t="str">
        <f>IFERROR(VLOOKUP(F511,케이블트레이입.출고현황!W514:AB589,2,0),"")</f>
        <v/>
      </c>
      <c r="H511" s="19" t="str">
        <f>IFERROR(VLOOKUP(G511,케이블트레이입.출고현황!X514:AC589,2,0),"")</f>
        <v/>
      </c>
      <c r="I511" s="19" t="str">
        <f>IFERROR(VLOOKUP(H511,케이블트레이입.출고현황!Y514:AD589,2,0),"")</f>
        <v/>
      </c>
      <c r="J511" s="9">
        <v>2</v>
      </c>
      <c r="K511" s="9"/>
      <c r="L511" s="37"/>
      <c r="M511" s="64"/>
      <c r="N511" s="42"/>
    </row>
    <row r="512" spans="1:14" ht="24" customHeight="1">
      <c r="A512" s="8">
        <v>472</v>
      </c>
      <c r="B512" s="9">
        <v>472</v>
      </c>
      <c r="C512" s="46"/>
      <c r="D512" s="9"/>
      <c r="E512" s="19" t="str">
        <f>IFERROR(VLOOKUP(D512,케이블트레이입.출고현황!U515:Z590,2,0),"")</f>
        <v/>
      </c>
      <c r="F512" s="19" t="str">
        <f>IFERROR(VLOOKUP(E512,케이블트레이입.출고현황!V515:AA590,2,0),"")</f>
        <v/>
      </c>
      <c r="G512" s="19" t="str">
        <f>IFERROR(VLOOKUP(F512,케이블트레이입.출고현황!W515:AB590,2,0),"")</f>
        <v/>
      </c>
      <c r="H512" s="19" t="str">
        <f>IFERROR(VLOOKUP(G512,케이블트레이입.출고현황!X515:AC590,2,0),"")</f>
        <v/>
      </c>
      <c r="I512" s="19" t="str">
        <f>IFERROR(VLOOKUP(H512,케이블트레이입.출고현황!Y515:AD590,2,0),"")</f>
        <v/>
      </c>
      <c r="J512" s="9">
        <v>3</v>
      </c>
      <c r="K512" s="9"/>
      <c r="L512" s="37"/>
      <c r="M512" s="64"/>
      <c r="N512" s="42"/>
    </row>
    <row r="513" spans="1:14" ht="24" customHeight="1">
      <c r="A513" s="8">
        <v>473</v>
      </c>
      <c r="B513" s="9">
        <v>473</v>
      </c>
      <c r="C513" s="46"/>
      <c r="D513" s="9"/>
      <c r="E513" s="19" t="str">
        <f>IFERROR(VLOOKUP(D513,케이블트레이입.출고현황!U516:Z591,2,0),"")</f>
        <v/>
      </c>
      <c r="F513" s="19" t="str">
        <f>IFERROR(VLOOKUP(E513,케이블트레이입.출고현황!V516:AA591,2,0),"")</f>
        <v/>
      </c>
      <c r="G513" s="19" t="str">
        <f>IFERROR(VLOOKUP(F513,케이블트레이입.출고현황!W516:AB591,2,0),"")</f>
        <v/>
      </c>
      <c r="H513" s="19" t="str">
        <f>IFERROR(VLOOKUP(G513,케이블트레이입.출고현황!X516:AC591,2,0),"")</f>
        <v/>
      </c>
      <c r="I513" s="19" t="str">
        <f>IFERROR(VLOOKUP(H513,케이블트레이입.출고현황!Y516:AD591,2,0),"")</f>
        <v/>
      </c>
      <c r="J513" s="9">
        <v>1</v>
      </c>
      <c r="K513" s="9"/>
      <c r="L513" s="37"/>
      <c r="M513" s="64"/>
      <c r="N513" s="42"/>
    </row>
    <row r="514" spans="1:14" ht="24" customHeight="1">
      <c r="A514" s="8">
        <v>474</v>
      </c>
      <c r="B514" s="9">
        <v>474</v>
      </c>
      <c r="C514" s="46"/>
      <c r="D514" s="9"/>
      <c r="E514" s="19" t="str">
        <f>IFERROR(VLOOKUP(D514,케이블트레이입.출고현황!U517:Z592,2,0),"")</f>
        <v/>
      </c>
      <c r="F514" s="19" t="str">
        <f>IFERROR(VLOOKUP(E514,케이블트레이입.출고현황!V517:AA592,2,0),"")</f>
        <v/>
      </c>
      <c r="G514" s="19" t="str">
        <f>IFERROR(VLOOKUP(F514,케이블트레이입.출고현황!W517:AB592,2,0),"")</f>
        <v/>
      </c>
      <c r="H514" s="19" t="str">
        <f>IFERROR(VLOOKUP(G514,케이블트레이입.출고현황!X517:AC592,2,0),"")</f>
        <v/>
      </c>
      <c r="I514" s="19" t="str">
        <f>IFERROR(VLOOKUP(H514,케이블트레이입.출고현황!Y517:AD592,2,0),"")</f>
        <v/>
      </c>
      <c r="J514" s="9">
        <v>2</v>
      </c>
      <c r="K514" s="9"/>
      <c r="L514" s="37"/>
      <c r="M514" s="64"/>
      <c r="N514" s="42"/>
    </row>
    <row r="515" spans="1:14" ht="24" customHeight="1">
      <c r="A515" s="8">
        <v>475</v>
      </c>
      <c r="B515" s="9">
        <v>475</v>
      </c>
      <c r="C515" s="46"/>
      <c r="D515" s="9"/>
      <c r="E515" s="19" t="str">
        <f>IFERROR(VLOOKUP(D515,케이블트레이입.출고현황!U518:Z593,2,0),"")</f>
        <v/>
      </c>
      <c r="F515" s="19" t="str">
        <f>IFERROR(VLOOKUP(E515,케이블트레이입.출고현황!V518:AA593,2,0),"")</f>
        <v/>
      </c>
      <c r="G515" s="19" t="str">
        <f>IFERROR(VLOOKUP(F515,케이블트레이입.출고현황!W518:AB593,2,0),"")</f>
        <v/>
      </c>
      <c r="H515" s="19" t="str">
        <f>IFERROR(VLOOKUP(G515,케이블트레이입.출고현황!X518:AC593,2,0),"")</f>
        <v/>
      </c>
      <c r="I515" s="19" t="str">
        <f>IFERROR(VLOOKUP(H515,케이블트레이입.출고현황!Y518:AD593,2,0),"")</f>
        <v/>
      </c>
      <c r="J515" s="9">
        <v>3</v>
      </c>
      <c r="K515" s="9"/>
      <c r="L515" s="37"/>
      <c r="M515" s="64"/>
      <c r="N515" s="42"/>
    </row>
    <row r="516" spans="1:14" ht="24" customHeight="1">
      <c r="A516" s="8">
        <v>476</v>
      </c>
      <c r="B516" s="9">
        <v>476</v>
      </c>
      <c r="C516" s="46"/>
      <c r="D516" s="9"/>
      <c r="E516" s="19" t="str">
        <f>IFERROR(VLOOKUP(D516,케이블트레이입.출고현황!U519:Z594,2,0),"")</f>
        <v/>
      </c>
      <c r="F516" s="19" t="str">
        <f>IFERROR(VLOOKUP(E516,케이블트레이입.출고현황!V519:AA594,2,0),"")</f>
        <v/>
      </c>
      <c r="G516" s="19" t="str">
        <f>IFERROR(VLOOKUP(F516,케이블트레이입.출고현황!W519:AB594,2,0),"")</f>
        <v/>
      </c>
      <c r="H516" s="19" t="str">
        <f>IFERROR(VLOOKUP(G516,케이블트레이입.출고현황!X519:AC594,2,0),"")</f>
        <v/>
      </c>
      <c r="I516" s="19" t="str">
        <f>IFERROR(VLOOKUP(H516,케이블트레이입.출고현황!Y519:AD594,2,0),"")</f>
        <v/>
      </c>
      <c r="J516" s="9">
        <v>1</v>
      </c>
      <c r="K516" s="9"/>
      <c r="L516" s="37"/>
      <c r="M516" s="64"/>
      <c r="N516" s="42"/>
    </row>
    <row r="517" spans="1:14" ht="24" customHeight="1">
      <c r="A517" s="8">
        <v>477</v>
      </c>
      <c r="B517" s="9">
        <v>477</v>
      </c>
      <c r="C517" s="46"/>
      <c r="D517" s="9"/>
      <c r="E517" s="19" t="str">
        <f>IFERROR(VLOOKUP(D517,케이블트레이입.출고현황!U520:Z595,2,0),"")</f>
        <v/>
      </c>
      <c r="F517" s="19" t="str">
        <f>IFERROR(VLOOKUP(E517,케이블트레이입.출고현황!V520:AA595,2,0),"")</f>
        <v/>
      </c>
      <c r="G517" s="19" t="str">
        <f>IFERROR(VLOOKUP(F517,케이블트레이입.출고현황!W520:AB595,2,0),"")</f>
        <v/>
      </c>
      <c r="H517" s="19" t="str">
        <f>IFERROR(VLOOKUP(G517,케이블트레이입.출고현황!X520:AC595,2,0),"")</f>
        <v/>
      </c>
      <c r="I517" s="19" t="str">
        <f>IFERROR(VLOOKUP(H517,케이블트레이입.출고현황!Y520:AD595,2,0),"")</f>
        <v/>
      </c>
      <c r="J517" s="9">
        <v>2</v>
      </c>
      <c r="K517" s="9"/>
      <c r="L517" s="37"/>
      <c r="M517" s="64"/>
      <c r="N517" s="42"/>
    </row>
    <row r="518" spans="1:14" ht="24" customHeight="1">
      <c r="A518" s="8">
        <v>478</v>
      </c>
      <c r="B518" s="9">
        <v>478</v>
      </c>
      <c r="C518" s="46"/>
      <c r="D518" s="9"/>
      <c r="E518" s="19" t="str">
        <f>IFERROR(VLOOKUP(D518,케이블트레이입.출고현황!U521:Z596,2,0),"")</f>
        <v/>
      </c>
      <c r="F518" s="19" t="str">
        <f>IFERROR(VLOOKUP(E518,케이블트레이입.출고현황!V521:AA596,2,0),"")</f>
        <v/>
      </c>
      <c r="G518" s="19" t="str">
        <f>IFERROR(VLOOKUP(F518,케이블트레이입.출고현황!W521:AB596,2,0),"")</f>
        <v/>
      </c>
      <c r="H518" s="19" t="str">
        <f>IFERROR(VLOOKUP(G518,케이블트레이입.출고현황!X521:AC596,2,0),"")</f>
        <v/>
      </c>
      <c r="I518" s="19" t="str">
        <f>IFERROR(VLOOKUP(H518,케이블트레이입.출고현황!Y521:AD596,2,0),"")</f>
        <v/>
      </c>
      <c r="J518" s="9" t="s">
        <v>557</v>
      </c>
      <c r="K518" s="9"/>
      <c r="L518" s="37"/>
      <c r="M518" s="64"/>
      <c r="N518" s="42"/>
    </row>
    <row r="519" spans="1:14" ht="24" customHeight="1">
      <c r="A519" s="8">
        <v>479</v>
      </c>
      <c r="B519" s="9">
        <v>479</v>
      </c>
      <c r="C519" s="46"/>
      <c r="D519" s="9"/>
      <c r="E519" s="19" t="str">
        <f>IFERROR(VLOOKUP(D519,케이블트레이입.출고현황!U522:Z597,2,0),"")</f>
        <v/>
      </c>
      <c r="F519" s="19" t="str">
        <f>IFERROR(VLOOKUP(E519,케이블트레이입.출고현황!V522:AA597,2,0),"")</f>
        <v/>
      </c>
      <c r="G519" s="19" t="str">
        <f>IFERROR(VLOOKUP(F519,케이블트레이입.출고현황!W522:AB597,2,0),"")</f>
        <v/>
      </c>
      <c r="H519" s="19" t="str">
        <f>IFERROR(VLOOKUP(G519,케이블트레이입.출고현황!X522:AC597,2,0),"")</f>
        <v/>
      </c>
      <c r="I519" s="19" t="str">
        <f>IFERROR(VLOOKUP(H519,케이블트레이입.출고현황!Y522:AD597,2,0),"")</f>
        <v/>
      </c>
      <c r="J519" s="9">
        <v>3</v>
      </c>
      <c r="K519" s="9"/>
      <c r="L519" s="37"/>
      <c r="M519" s="64"/>
      <c r="N519" s="42"/>
    </row>
    <row r="520" spans="1:14" ht="24" customHeight="1">
      <c r="A520" s="8">
        <v>480</v>
      </c>
      <c r="B520" s="9">
        <v>480</v>
      </c>
      <c r="C520" s="46"/>
      <c r="D520" s="9"/>
      <c r="E520" s="19" t="str">
        <f>IFERROR(VLOOKUP(D520,케이블트레이입.출고현황!U523:Z598,2,0),"")</f>
        <v/>
      </c>
      <c r="F520" s="19" t="str">
        <f>IFERROR(VLOOKUP(E520,케이블트레이입.출고현황!V523:AA598,2,0),"")</f>
        <v/>
      </c>
      <c r="G520" s="19" t="str">
        <f>IFERROR(VLOOKUP(F520,케이블트레이입.출고현황!W523:AB598,2,0),"")</f>
        <v/>
      </c>
      <c r="H520" s="19" t="str">
        <f>IFERROR(VLOOKUP(G520,케이블트레이입.출고현황!X523:AC598,2,0),"")</f>
        <v/>
      </c>
      <c r="I520" s="19" t="str">
        <f>IFERROR(VLOOKUP(H520,케이블트레이입.출고현황!Y523:AD598,2,0),"")</f>
        <v/>
      </c>
      <c r="J520" s="9">
        <v>1</v>
      </c>
      <c r="K520" s="9"/>
      <c r="L520" s="37"/>
      <c r="M520" s="64"/>
      <c r="N520" s="42"/>
    </row>
    <row r="521" spans="1:14" ht="24" customHeight="1">
      <c r="A521" s="8">
        <v>481</v>
      </c>
      <c r="B521" s="9">
        <v>481</v>
      </c>
      <c r="C521" s="46"/>
      <c r="D521" s="9"/>
      <c r="E521" s="19" t="str">
        <f>IFERROR(VLOOKUP(D521,케이블트레이입.출고현황!U524:Z599,2,0),"")</f>
        <v/>
      </c>
      <c r="F521" s="19" t="str">
        <f>IFERROR(VLOOKUP(E521,케이블트레이입.출고현황!V524:AA599,2,0),"")</f>
        <v/>
      </c>
      <c r="G521" s="19" t="str">
        <f>IFERROR(VLOOKUP(F521,케이블트레이입.출고현황!W524:AB599,2,0),"")</f>
        <v/>
      </c>
      <c r="H521" s="19" t="str">
        <f>IFERROR(VLOOKUP(G521,케이블트레이입.출고현황!X524:AC599,2,0),"")</f>
        <v/>
      </c>
      <c r="I521" s="19" t="str">
        <f>IFERROR(VLOOKUP(H521,케이블트레이입.출고현황!Y524:AD599,2,0),"")</f>
        <v/>
      </c>
      <c r="J521" s="9">
        <v>1</v>
      </c>
      <c r="K521" s="9"/>
      <c r="L521" s="37"/>
      <c r="M521" s="64"/>
      <c r="N521" s="42"/>
    </row>
    <row r="522" spans="1:14" ht="24" customHeight="1">
      <c r="A522" s="8">
        <v>482</v>
      </c>
      <c r="B522" s="9">
        <v>482</v>
      </c>
      <c r="C522" s="46"/>
      <c r="D522" s="9"/>
      <c r="E522" s="19" t="str">
        <f>IFERROR(VLOOKUP(D522,케이블트레이입.출고현황!U525:Z600,2,0),"")</f>
        <v/>
      </c>
      <c r="F522" s="19" t="str">
        <f>IFERROR(VLOOKUP(E522,케이블트레이입.출고현황!V525:AA600,2,0),"")</f>
        <v/>
      </c>
      <c r="G522" s="19" t="str">
        <f>IFERROR(VLOOKUP(F522,케이블트레이입.출고현황!W525:AB600,2,0),"")</f>
        <v/>
      </c>
      <c r="H522" s="19" t="str">
        <f>IFERROR(VLOOKUP(G522,케이블트레이입.출고현황!X525:AC600,2,0),"")</f>
        <v/>
      </c>
      <c r="I522" s="19" t="str">
        <f>IFERROR(VLOOKUP(H522,케이블트레이입.출고현황!Y525:AD600,2,0),"")</f>
        <v/>
      </c>
      <c r="J522" s="9">
        <v>1</v>
      </c>
      <c r="K522" s="9"/>
      <c r="L522" s="37"/>
      <c r="M522" s="64"/>
      <c r="N522" s="42"/>
    </row>
    <row r="523" spans="1:14" ht="24" customHeight="1">
      <c r="A523" s="8">
        <v>483</v>
      </c>
      <c r="B523" s="9">
        <v>483</v>
      </c>
      <c r="C523" s="46"/>
      <c r="D523" s="9"/>
      <c r="E523" s="19" t="str">
        <f>IFERROR(VLOOKUP(D523,케이블트레이입.출고현황!U526:Z601,2,0),"")</f>
        <v/>
      </c>
      <c r="F523" s="19" t="str">
        <f>IFERROR(VLOOKUP(E523,케이블트레이입.출고현황!V526:AA601,2,0),"")</f>
        <v/>
      </c>
      <c r="G523" s="19" t="str">
        <f>IFERROR(VLOOKUP(F523,케이블트레이입.출고현황!W526:AB601,2,0),"")</f>
        <v/>
      </c>
      <c r="H523" s="19" t="str">
        <f>IFERROR(VLOOKUP(G523,케이블트레이입.출고현황!X526:AC601,2,0),"")</f>
        <v/>
      </c>
      <c r="I523" s="19" t="str">
        <f>IFERROR(VLOOKUP(H523,케이블트레이입.출고현황!Y526:AD601,2,0),"")</f>
        <v/>
      </c>
      <c r="J523" s="9">
        <v>2</v>
      </c>
      <c r="K523" s="9"/>
      <c r="L523" s="37"/>
      <c r="M523" s="64"/>
      <c r="N523" s="42"/>
    </row>
    <row r="524" spans="1:14" ht="24" customHeight="1">
      <c r="A524" s="8">
        <v>484</v>
      </c>
      <c r="B524" s="9">
        <v>484</v>
      </c>
      <c r="C524" s="46"/>
      <c r="D524" s="9"/>
      <c r="E524" s="19" t="str">
        <f>IFERROR(VLOOKUP(D524,케이블트레이입.출고현황!U527:Z602,2,0),"")</f>
        <v/>
      </c>
      <c r="F524" s="19" t="str">
        <f>IFERROR(VLOOKUP(E524,케이블트레이입.출고현황!V527:AA602,2,0),"")</f>
        <v/>
      </c>
      <c r="G524" s="19" t="str">
        <f>IFERROR(VLOOKUP(F524,케이블트레이입.출고현황!W527:AB602,2,0),"")</f>
        <v/>
      </c>
      <c r="H524" s="19" t="str">
        <f>IFERROR(VLOOKUP(G524,케이블트레이입.출고현황!X527:AC602,2,0),"")</f>
        <v/>
      </c>
      <c r="I524" s="19" t="str">
        <f>IFERROR(VLOOKUP(H524,케이블트레이입.출고현황!Y527:AD602,2,0),"")</f>
        <v/>
      </c>
      <c r="J524" s="9">
        <v>1</v>
      </c>
      <c r="K524" s="9"/>
      <c r="L524" s="37"/>
      <c r="M524" s="64"/>
      <c r="N524" s="42"/>
    </row>
    <row r="525" spans="1:14" ht="24" customHeight="1">
      <c r="A525" s="8">
        <v>485</v>
      </c>
      <c r="B525" s="9">
        <v>485</v>
      </c>
      <c r="C525" s="46"/>
      <c r="D525" s="9"/>
      <c r="E525" s="19" t="str">
        <f>IFERROR(VLOOKUP(D525,케이블트레이입.출고현황!U528:Z603,2,0),"")</f>
        <v/>
      </c>
      <c r="F525" s="19" t="str">
        <f>IFERROR(VLOOKUP(E525,케이블트레이입.출고현황!V528:AA603,2,0),"")</f>
        <v/>
      </c>
      <c r="G525" s="19" t="str">
        <f>IFERROR(VLOOKUP(F525,케이블트레이입.출고현황!W528:AB603,2,0),"")</f>
        <v/>
      </c>
      <c r="H525" s="19" t="str">
        <f>IFERROR(VLOOKUP(G525,케이블트레이입.출고현황!X528:AC603,2,0),"")</f>
        <v/>
      </c>
      <c r="I525" s="19" t="str">
        <f>IFERROR(VLOOKUP(H525,케이블트레이입.출고현황!Y528:AD603,2,0),"")</f>
        <v/>
      </c>
      <c r="J525" s="9">
        <v>2</v>
      </c>
      <c r="K525" s="9"/>
      <c r="L525" s="37"/>
      <c r="M525" s="64"/>
      <c r="N525" s="42"/>
    </row>
    <row r="526" spans="1:14" ht="24" customHeight="1">
      <c r="A526" s="8">
        <v>486</v>
      </c>
      <c r="B526" s="9">
        <v>486</v>
      </c>
      <c r="C526" s="46"/>
      <c r="D526" s="9"/>
      <c r="E526" s="19" t="str">
        <f>IFERROR(VLOOKUP(D526,케이블트레이입.출고현황!U529:Z604,2,0),"")</f>
        <v/>
      </c>
      <c r="F526" s="19" t="str">
        <f>IFERROR(VLOOKUP(E526,케이블트레이입.출고현황!V529:AA604,2,0),"")</f>
        <v/>
      </c>
      <c r="G526" s="19" t="str">
        <f>IFERROR(VLOOKUP(F526,케이블트레이입.출고현황!W529:AB604,2,0),"")</f>
        <v/>
      </c>
      <c r="H526" s="19" t="str">
        <f>IFERROR(VLOOKUP(G526,케이블트레이입.출고현황!X529:AC604,2,0),"")</f>
        <v/>
      </c>
      <c r="I526" s="19" t="str">
        <f>IFERROR(VLOOKUP(H526,케이블트레이입.출고현황!Y529:AD604,2,0),"")</f>
        <v/>
      </c>
      <c r="J526" s="9">
        <v>1</v>
      </c>
      <c r="K526" s="9"/>
      <c r="L526" s="37"/>
      <c r="M526" s="64"/>
      <c r="N526" s="42"/>
    </row>
    <row r="527" spans="1:14" ht="24" customHeight="1">
      <c r="A527" s="8">
        <v>487</v>
      </c>
      <c r="B527" s="9">
        <v>487</v>
      </c>
      <c r="C527" s="46"/>
      <c r="D527" s="9"/>
      <c r="E527" s="19" t="str">
        <f>IFERROR(VLOOKUP(D527,케이블트레이입.출고현황!U530:Z605,2,0),"")</f>
        <v/>
      </c>
      <c r="F527" s="19" t="str">
        <f>IFERROR(VLOOKUP(E527,케이블트레이입.출고현황!V530:AA605,2,0),"")</f>
        <v/>
      </c>
      <c r="G527" s="19" t="str">
        <f>IFERROR(VLOOKUP(F527,케이블트레이입.출고현황!W530:AB605,2,0),"")</f>
        <v/>
      </c>
      <c r="H527" s="19" t="str">
        <f>IFERROR(VLOOKUP(G527,케이블트레이입.출고현황!X530:AC605,2,0),"")</f>
        <v/>
      </c>
      <c r="I527" s="19" t="str">
        <f>IFERROR(VLOOKUP(H527,케이블트레이입.출고현황!Y530:AD605,2,0),"")</f>
        <v/>
      </c>
      <c r="J527" s="9">
        <v>1</v>
      </c>
      <c r="K527" s="9"/>
      <c r="L527" s="37"/>
      <c r="M527" s="64"/>
      <c r="N527" s="42"/>
    </row>
    <row r="528" spans="1:14" ht="24" customHeight="1">
      <c r="A528" s="8">
        <v>488</v>
      </c>
      <c r="B528" s="9">
        <v>488</v>
      </c>
      <c r="C528" s="46"/>
      <c r="D528" s="9"/>
      <c r="E528" s="19" t="str">
        <f>IFERROR(VLOOKUP(D528,케이블트레이입.출고현황!U531:Z606,2,0),"")</f>
        <v/>
      </c>
      <c r="F528" s="19" t="str">
        <f>IFERROR(VLOOKUP(E528,케이블트레이입.출고현황!V531:AA606,2,0),"")</f>
        <v/>
      </c>
      <c r="G528" s="19" t="str">
        <f>IFERROR(VLOOKUP(F528,케이블트레이입.출고현황!W531:AB606,2,0),"")</f>
        <v/>
      </c>
      <c r="H528" s="19" t="str">
        <f>IFERROR(VLOOKUP(G528,케이블트레이입.출고현황!X531:AC606,2,0),"")</f>
        <v/>
      </c>
      <c r="I528" s="19" t="str">
        <f>IFERROR(VLOOKUP(H528,케이블트레이입.출고현황!Y531:AD606,2,0),"")</f>
        <v/>
      </c>
      <c r="J528" s="9">
        <v>1</v>
      </c>
      <c r="K528" s="9"/>
      <c r="L528" s="37"/>
      <c r="M528" s="64"/>
      <c r="N528" s="42"/>
    </row>
    <row r="529" spans="1:14" ht="24" customHeight="1">
      <c r="A529" s="8">
        <v>489</v>
      </c>
      <c r="B529" s="9">
        <v>489</v>
      </c>
      <c r="C529" s="46"/>
      <c r="D529" s="9"/>
      <c r="E529" s="19" t="str">
        <f>IFERROR(VLOOKUP(D529,케이블트레이입.출고현황!U532:Z607,2,0),"")</f>
        <v/>
      </c>
      <c r="F529" s="19" t="str">
        <f>IFERROR(VLOOKUP(E529,케이블트레이입.출고현황!V532:AA607,2,0),"")</f>
        <v/>
      </c>
      <c r="G529" s="19" t="str">
        <f>IFERROR(VLOOKUP(F529,케이블트레이입.출고현황!W532:AB607,2,0),"")</f>
        <v/>
      </c>
      <c r="H529" s="19" t="str">
        <f>IFERROR(VLOOKUP(G529,케이블트레이입.출고현황!X532:AC607,2,0),"")</f>
        <v/>
      </c>
      <c r="I529" s="19" t="str">
        <f>IFERROR(VLOOKUP(H529,케이블트레이입.출고현황!Y532:AD607,2,0),"")</f>
        <v/>
      </c>
      <c r="J529" s="9">
        <v>1</v>
      </c>
      <c r="K529" s="9"/>
      <c r="L529" s="37"/>
      <c r="M529" s="64"/>
      <c r="N529" s="42"/>
    </row>
    <row r="530" spans="1:14" ht="24" customHeight="1">
      <c r="A530" s="8">
        <v>490</v>
      </c>
      <c r="B530" s="9">
        <v>490</v>
      </c>
      <c r="C530" s="46"/>
      <c r="D530" s="9"/>
      <c r="E530" s="19" t="str">
        <f>IFERROR(VLOOKUP(D530,케이블트레이입.출고현황!U533:Z608,2,0),"")</f>
        <v/>
      </c>
      <c r="F530" s="19" t="str">
        <f>IFERROR(VLOOKUP(E530,케이블트레이입.출고현황!V533:AA608,2,0),"")</f>
        <v/>
      </c>
      <c r="G530" s="19" t="str">
        <f>IFERROR(VLOOKUP(F530,케이블트레이입.출고현황!W533:AB608,2,0),"")</f>
        <v/>
      </c>
      <c r="H530" s="19" t="str">
        <f>IFERROR(VLOOKUP(G530,케이블트레이입.출고현황!X533:AC608,2,0),"")</f>
        <v/>
      </c>
      <c r="I530" s="19" t="str">
        <f>IFERROR(VLOOKUP(H530,케이블트레이입.출고현황!Y533:AD608,2,0),"")</f>
        <v/>
      </c>
      <c r="J530" s="9">
        <v>3</v>
      </c>
      <c r="K530" s="9"/>
      <c r="L530" s="37"/>
      <c r="M530" s="64"/>
      <c r="N530" s="42"/>
    </row>
    <row r="531" spans="1:14" ht="24" customHeight="1">
      <c r="A531" s="8">
        <v>491</v>
      </c>
      <c r="B531" s="9">
        <v>491</v>
      </c>
      <c r="C531" s="46"/>
      <c r="D531" s="9"/>
      <c r="E531" s="19" t="str">
        <f>IFERROR(VLOOKUP(D531,케이블트레이입.출고현황!U534:Z609,2,0),"")</f>
        <v/>
      </c>
      <c r="F531" s="19" t="str">
        <f>IFERROR(VLOOKUP(E531,케이블트레이입.출고현황!V534:AA609,2,0),"")</f>
        <v/>
      </c>
      <c r="G531" s="19" t="str">
        <f>IFERROR(VLOOKUP(F531,케이블트레이입.출고현황!W534:AB609,2,0),"")</f>
        <v/>
      </c>
      <c r="H531" s="19" t="str">
        <f>IFERROR(VLOOKUP(G531,케이블트레이입.출고현황!X534:AC609,2,0),"")</f>
        <v/>
      </c>
      <c r="I531" s="19" t="str">
        <f>IFERROR(VLOOKUP(H531,케이블트레이입.출고현황!Y534:AD609,2,0),"")</f>
        <v/>
      </c>
      <c r="J531" s="9">
        <v>3</v>
      </c>
      <c r="K531" s="9"/>
      <c r="L531" s="37"/>
      <c r="M531" s="64"/>
      <c r="N531" s="42"/>
    </row>
    <row r="532" spans="1:14" ht="24" customHeight="1">
      <c r="A532" s="8">
        <v>492</v>
      </c>
      <c r="B532" s="9">
        <v>492</v>
      </c>
      <c r="C532" s="46"/>
      <c r="D532" s="9"/>
      <c r="E532" s="19" t="str">
        <f>IFERROR(VLOOKUP(D532,케이블트레이입.출고현황!U535:Z610,2,0),"")</f>
        <v/>
      </c>
      <c r="F532" s="19" t="str">
        <f>IFERROR(VLOOKUP(E532,케이블트레이입.출고현황!V535:AA610,2,0),"")</f>
        <v/>
      </c>
      <c r="G532" s="19" t="str">
        <f>IFERROR(VLOOKUP(F532,케이블트레이입.출고현황!W535:AB610,2,0),"")</f>
        <v/>
      </c>
      <c r="H532" s="19" t="str">
        <f>IFERROR(VLOOKUP(G532,케이블트레이입.출고현황!X535:AC610,2,0),"")</f>
        <v/>
      </c>
      <c r="I532" s="19" t="str">
        <f>IFERROR(VLOOKUP(H532,케이블트레이입.출고현황!Y535:AD610,2,0),"")</f>
        <v/>
      </c>
      <c r="J532" s="9">
        <v>2</v>
      </c>
      <c r="K532" s="9"/>
      <c r="L532" s="37"/>
      <c r="M532" s="64"/>
      <c r="N532" s="42"/>
    </row>
    <row r="533" spans="1:14" ht="24" customHeight="1">
      <c r="A533" s="8">
        <v>493</v>
      </c>
      <c r="B533" s="9">
        <v>493</v>
      </c>
      <c r="C533" s="46"/>
      <c r="D533" s="9"/>
      <c r="E533" s="19" t="str">
        <f>IFERROR(VLOOKUP(D533,케이블트레이입.출고현황!U536:Z611,2,0),"")</f>
        <v/>
      </c>
      <c r="F533" s="19" t="str">
        <f>IFERROR(VLOOKUP(E533,케이블트레이입.출고현황!V536:AA611,2,0),"")</f>
        <v/>
      </c>
      <c r="G533" s="19" t="str">
        <f>IFERROR(VLOOKUP(F533,케이블트레이입.출고현황!W536:AB611,2,0),"")</f>
        <v/>
      </c>
      <c r="H533" s="19" t="str">
        <f>IFERROR(VLOOKUP(G533,케이블트레이입.출고현황!X536:AC611,2,0),"")</f>
        <v/>
      </c>
      <c r="I533" s="19" t="str">
        <f>IFERROR(VLOOKUP(H533,케이블트레이입.출고현황!Y536:AD611,2,0),"")</f>
        <v/>
      </c>
      <c r="J533" s="9">
        <v>1</v>
      </c>
      <c r="K533" s="9"/>
      <c r="L533" s="37"/>
      <c r="M533" s="64"/>
      <c r="N533" s="42"/>
    </row>
    <row r="534" spans="1:14" ht="24" customHeight="1">
      <c r="A534" s="8">
        <v>494</v>
      </c>
      <c r="B534" s="9">
        <v>494</v>
      </c>
      <c r="C534" s="46"/>
      <c r="D534" s="9"/>
      <c r="E534" s="19" t="str">
        <f>IFERROR(VLOOKUP(D534,케이블트레이입.출고현황!U537:Z612,2,0),"")</f>
        <v/>
      </c>
      <c r="F534" s="19" t="str">
        <f>IFERROR(VLOOKUP(E534,케이블트레이입.출고현황!V537:AA612,2,0),"")</f>
        <v/>
      </c>
      <c r="G534" s="19" t="str">
        <f>IFERROR(VLOOKUP(F534,케이블트레이입.출고현황!W537:AB612,2,0),"")</f>
        <v/>
      </c>
      <c r="H534" s="19" t="str">
        <f>IFERROR(VLOOKUP(G534,케이블트레이입.출고현황!X537:AC612,2,0),"")</f>
        <v/>
      </c>
      <c r="I534" s="19" t="str">
        <f>IFERROR(VLOOKUP(H534,케이블트레이입.출고현황!Y537:AD612,2,0),"")</f>
        <v/>
      </c>
      <c r="J534" s="9">
        <v>1</v>
      </c>
      <c r="K534" s="9"/>
      <c r="L534" s="37"/>
      <c r="M534" s="64"/>
      <c r="N534" s="42"/>
    </row>
    <row r="535" spans="1:14" ht="24" customHeight="1">
      <c r="A535" s="8">
        <v>495</v>
      </c>
      <c r="B535" s="9">
        <v>495</v>
      </c>
      <c r="C535" s="46"/>
      <c r="D535" s="9"/>
      <c r="E535" s="19" t="str">
        <f>IFERROR(VLOOKUP(D535,케이블트레이입.출고현황!U538:Z613,2,0),"")</f>
        <v/>
      </c>
      <c r="F535" s="19" t="str">
        <f>IFERROR(VLOOKUP(E535,케이블트레이입.출고현황!V538:AA613,2,0),"")</f>
        <v/>
      </c>
      <c r="G535" s="19" t="str">
        <f>IFERROR(VLOOKUP(F535,케이블트레이입.출고현황!W538:AB613,2,0),"")</f>
        <v/>
      </c>
      <c r="H535" s="19" t="str">
        <f>IFERROR(VLOOKUP(G535,케이블트레이입.출고현황!X538:AC613,2,0),"")</f>
        <v/>
      </c>
      <c r="I535" s="19" t="str">
        <f>IFERROR(VLOOKUP(H535,케이블트레이입.출고현황!Y538:AD613,2,0),"")</f>
        <v/>
      </c>
      <c r="J535" s="9">
        <v>3</v>
      </c>
      <c r="K535" s="9"/>
      <c r="L535" s="37"/>
      <c r="M535" s="64"/>
      <c r="N535" s="42"/>
    </row>
    <row r="536" spans="1:14" ht="24" customHeight="1">
      <c r="A536" s="8">
        <v>496</v>
      </c>
      <c r="B536" s="9">
        <v>496</v>
      </c>
      <c r="C536" s="46"/>
      <c r="D536" s="9"/>
      <c r="E536" s="19" t="str">
        <f>IFERROR(VLOOKUP(D536,케이블트레이입.출고현황!U539:Z614,2,0),"")</f>
        <v/>
      </c>
      <c r="F536" s="19" t="str">
        <f>IFERROR(VLOOKUP(E536,케이블트레이입.출고현황!V539:AA614,2,0),"")</f>
        <v/>
      </c>
      <c r="G536" s="19" t="str">
        <f>IFERROR(VLOOKUP(F536,케이블트레이입.출고현황!W539:AB614,2,0),"")</f>
        <v/>
      </c>
      <c r="H536" s="19" t="str">
        <f>IFERROR(VLOOKUP(G536,케이블트레이입.출고현황!X539:AC614,2,0),"")</f>
        <v/>
      </c>
      <c r="I536" s="19" t="str">
        <f>IFERROR(VLOOKUP(H536,케이블트레이입.출고현황!Y539:AD614,2,0),"")</f>
        <v/>
      </c>
      <c r="J536" s="9">
        <v>1</v>
      </c>
      <c r="K536" s="9"/>
      <c r="L536" s="65"/>
      <c r="M536" s="64"/>
      <c r="N536" s="42"/>
    </row>
    <row r="537" spans="1:14" ht="24" customHeight="1">
      <c r="A537" s="8">
        <v>497</v>
      </c>
      <c r="B537" s="9">
        <v>497</v>
      </c>
      <c r="C537" s="46"/>
      <c r="D537" s="9"/>
      <c r="E537" s="19" t="str">
        <f>IFERROR(VLOOKUP(D537,케이블트레이입.출고현황!U540:Z615,2,0),"")</f>
        <v/>
      </c>
      <c r="F537" s="19" t="str">
        <f>IFERROR(VLOOKUP(E537,케이블트레이입.출고현황!V540:AA615,2,0),"")</f>
        <v/>
      </c>
      <c r="G537" s="19" t="str">
        <f>IFERROR(VLOOKUP(F537,케이블트레이입.출고현황!W540:AB615,2,0),"")</f>
        <v/>
      </c>
      <c r="H537" s="19" t="str">
        <f>IFERROR(VLOOKUP(G537,케이블트레이입.출고현황!X540:AC615,2,0),"")</f>
        <v/>
      </c>
      <c r="I537" s="19" t="str">
        <f>IFERROR(VLOOKUP(H537,케이블트레이입.출고현황!Y540:AD615,2,0),"")</f>
        <v/>
      </c>
      <c r="J537" s="9">
        <v>1</v>
      </c>
      <c r="K537" s="9"/>
      <c r="L537" s="37"/>
      <c r="M537" s="64"/>
      <c r="N537" s="42"/>
    </row>
    <row r="538" spans="1:14" ht="24" customHeight="1">
      <c r="A538" s="8">
        <v>498</v>
      </c>
      <c r="B538" s="9">
        <v>498</v>
      </c>
      <c r="C538" s="46"/>
      <c r="D538" s="9"/>
      <c r="E538" s="19" t="str">
        <f>IFERROR(VLOOKUP(D538,케이블트레이입.출고현황!U541:Z616,2,0),"")</f>
        <v/>
      </c>
      <c r="F538" s="19" t="str">
        <f>IFERROR(VLOOKUP(E538,케이블트레이입.출고현황!V541:AA616,2,0),"")</f>
        <v/>
      </c>
      <c r="G538" s="19" t="str">
        <f>IFERROR(VLOOKUP(F538,케이블트레이입.출고현황!W541:AB616,2,0),"")</f>
        <v/>
      </c>
      <c r="H538" s="19" t="str">
        <f>IFERROR(VLOOKUP(G538,케이블트레이입.출고현황!X541:AC616,2,0),"")</f>
        <v/>
      </c>
      <c r="I538" s="19" t="str">
        <f>IFERROR(VLOOKUP(H538,케이블트레이입.출고현황!Y541:AD616,2,0),"")</f>
        <v/>
      </c>
      <c r="J538" s="9">
        <v>2</v>
      </c>
      <c r="K538" s="9"/>
      <c r="L538" s="37"/>
      <c r="M538" s="64"/>
      <c r="N538" s="42"/>
    </row>
    <row r="539" spans="1:14" ht="24" customHeight="1">
      <c r="A539" s="8">
        <v>499</v>
      </c>
      <c r="B539" s="9">
        <v>499</v>
      </c>
      <c r="C539" s="46"/>
      <c r="D539" s="9"/>
      <c r="E539" s="19" t="str">
        <f>IFERROR(VLOOKUP(D539,케이블트레이입.출고현황!U542:Z617,2,0),"")</f>
        <v/>
      </c>
      <c r="F539" s="19" t="str">
        <f>IFERROR(VLOOKUP(E539,케이블트레이입.출고현황!V542:AA617,2,0),"")</f>
        <v/>
      </c>
      <c r="G539" s="19" t="str">
        <f>IFERROR(VLOOKUP(F539,케이블트레이입.출고현황!W542:AB617,2,0),"")</f>
        <v/>
      </c>
      <c r="H539" s="19" t="str">
        <f>IFERROR(VLOOKUP(G539,케이블트레이입.출고현황!X542:AC617,2,0),"")</f>
        <v/>
      </c>
      <c r="I539" s="19" t="str">
        <f>IFERROR(VLOOKUP(H539,케이블트레이입.출고현황!Y542:AD617,2,0),"")</f>
        <v/>
      </c>
      <c r="J539" s="9">
        <v>2</v>
      </c>
      <c r="K539" s="9"/>
      <c r="L539" s="37"/>
      <c r="M539" s="64"/>
      <c r="N539" s="42"/>
    </row>
    <row r="540" spans="1:14" ht="24" customHeight="1">
      <c r="A540" s="8">
        <v>500</v>
      </c>
      <c r="B540" s="9">
        <v>500</v>
      </c>
      <c r="C540" s="46"/>
      <c r="D540" s="9"/>
      <c r="E540" s="19" t="str">
        <f>IFERROR(VLOOKUP(D540,케이블트레이입.출고현황!U543:Z618,2,0),"")</f>
        <v/>
      </c>
      <c r="F540" s="19" t="str">
        <f>IFERROR(VLOOKUP(E540,케이블트레이입.출고현황!V543:AA618,2,0),"")</f>
        <v/>
      </c>
      <c r="G540" s="19" t="str">
        <f>IFERROR(VLOOKUP(F540,케이블트레이입.출고현황!W543:AB618,2,0),"")</f>
        <v/>
      </c>
      <c r="H540" s="19" t="str">
        <f>IFERROR(VLOOKUP(G540,케이블트레이입.출고현황!X543:AC618,2,0),"")</f>
        <v/>
      </c>
      <c r="I540" s="19" t="str">
        <f>IFERROR(VLOOKUP(H540,케이블트레이입.출고현황!Y543:AD618,2,0),"")</f>
        <v/>
      </c>
      <c r="J540" s="9">
        <v>1</v>
      </c>
      <c r="K540" s="9"/>
      <c r="L540" s="37"/>
      <c r="M540" s="64"/>
      <c r="N540" s="42"/>
    </row>
    <row r="541" spans="1:14" ht="24" customHeight="1">
      <c r="A541" s="8">
        <v>501</v>
      </c>
      <c r="B541" s="9">
        <v>501</v>
      </c>
      <c r="C541" s="46"/>
      <c r="D541" s="9"/>
      <c r="E541" s="19" t="str">
        <f>IFERROR(VLOOKUP(D541,케이블트레이입.출고현황!U544:Z619,2,0),"")</f>
        <v/>
      </c>
      <c r="F541" s="19" t="str">
        <f>IFERROR(VLOOKUP(E541,케이블트레이입.출고현황!V544:AA619,2,0),"")</f>
        <v/>
      </c>
      <c r="G541" s="19" t="str">
        <f>IFERROR(VLOOKUP(F541,케이블트레이입.출고현황!W544:AB619,2,0),"")</f>
        <v/>
      </c>
      <c r="H541" s="19" t="str">
        <f>IFERROR(VLOOKUP(G541,케이블트레이입.출고현황!X544:AC619,2,0),"")</f>
        <v/>
      </c>
      <c r="I541" s="19" t="str">
        <f>IFERROR(VLOOKUP(H541,케이블트레이입.출고현황!Y544:AD619,2,0),"")</f>
        <v/>
      </c>
      <c r="J541" s="9">
        <v>1</v>
      </c>
      <c r="K541" s="9"/>
      <c r="L541" s="37"/>
      <c r="M541" s="64"/>
      <c r="N541" s="42"/>
    </row>
    <row r="542" spans="1:14" ht="24" customHeight="1">
      <c r="A542" s="8">
        <v>502</v>
      </c>
      <c r="B542" s="9">
        <v>502</v>
      </c>
      <c r="C542" s="46"/>
      <c r="D542" s="9"/>
      <c r="E542" s="19" t="str">
        <f>IFERROR(VLOOKUP(D542,케이블트레이입.출고현황!U545:Z620,2,0),"")</f>
        <v/>
      </c>
      <c r="F542" s="19" t="str">
        <f>IFERROR(VLOOKUP(E542,케이블트레이입.출고현황!V545:AA620,2,0),"")</f>
        <v/>
      </c>
      <c r="G542" s="19" t="str">
        <f>IFERROR(VLOOKUP(F542,케이블트레이입.출고현황!W545:AB620,2,0),"")</f>
        <v/>
      </c>
      <c r="H542" s="19" t="str">
        <f>IFERROR(VLOOKUP(G542,케이블트레이입.출고현황!X545:AC620,2,0),"")</f>
        <v/>
      </c>
      <c r="I542" s="19" t="str">
        <f>IFERROR(VLOOKUP(H542,케이블트레이입.출고현황!Y545:AD620,2,0),"")</f>
        <v/>
      </c>
      <c r="J542" s="9">
        <v>3</v>
      </c>
      <c r="K542" s="9"/>
      <c r="L542" s="37"/>
      <c r="M542" s="64"/>
      <c r="N542" s="42"/>
    </row>
    <row r="543" spans="1:14" ht="24" customHeight="1">
      <c r="A543" s="8">
        <v>503</v>
      </c>
      <c r="B543" s="9">
        <v>503</v>
      </c>
      <c r="C543" s="46"/>
      <c r="D543" s="9"/>
      <c r="E543" s="19" t="str">
        <f>IFERROR(VLOOKUP(D543,케이블트레이입.출고현황!U546:Z621,2,0),"")</f>
        <v/>
      </c>
      <c r="F543" s="19" t="str">
        <f>IFERROR(VLOOKUP(E543,케이블트레이입.출고현황!V546:AA621,2,0),"")</f>
        <v/>
      </c>
      <c r="G543" s="19" t="str">
        <f>IFERROR(VLOOKUP(F543,케이블트레이입.출고현황!W546:AB621,2,0),"")</f>
        <v/>
      </c>
      <c r="H543" s="19" t="str">
        <f>IFERROR(VLOOKUP(G543,케이블트레이입.출고현황!X546:AC621,2,0),"")</f>
        <v/>
      </c>
      <c r="I543" s="19" t="str">
        <f>IFERROR(VLOOKUP(H543,케이블트레이입.출고현황!Y546:AD621,2,0),"")</f>
        <v/>
      </c>
      <c r="J543" s="9">
        <v>2</v>
      </c>
      <c r="K543" s="9"/>
      <c r="L543" s="37"/>
      <c r="M543" s="64"/>
      <c r="N543" s="42"/>
    </row>
    <row r="544" spans="1:14" ht="24" customHeight="1">
      <c r="A544" s="8">
        <v>504</v>
      </c>
      <c r="B544" s="9">
        <v>504</v>
      </c>
      <c r="C544" s="46"/>
      <c r="D544" s="9"/>
      <c r="E544" s="19" t="str">
        <f>IFERROR(VLOOKUP(D544,케이블트레이입.출고현황!U547:Z622,2,0),"")</f>
        <v/>
      </c>
      <c r="F544" s="19" t="str">
        <f>IFERROR(VLOOKUP(E544,케이블트레이입.출고현황!V547:AA622,2,0),"")</f>
        <v/>
      </c>
      <c r="G544" s="19" t="str">
        <f>IFERROR(VLOOKUP(F544,케이블트레이입.출고현황!W547:AB622,2,0),"")</f>
        <v/>
      </c>
      <c r="H544" s="19" t="str">
        <f>IFERROR(VLOOKUP(G544,케이블트레이입.출고현황!X547:AC622,2,0),"")</f>
        <v/>
      </c>
      <c r="I544" s="19" t="str">
        <f>IFERROR(VLOOKUP(H544,케이블트레이입.출고현황!Y547:AD622,2,0),"")</f>
        <v/>
      </c>
      <c r="J544" s="9">
        <v>3</v>
      </c>
      <c r="K544" s="9"/>
      <c r="L544" s="37"/>
      <c r="M544" s="64"/>
      <c r="N544" s="42"/>
    </row>
    <row r="545" spans="1:14" ht="24" customHeight="1">
      <c r="A545" s="8">
        <v>505</v>
      </c>
      <c r="B545" s="9">
        <v>505</v>
      </c>
      <c r="C545" s="46"/>
      <c r="D545" s="9"/>
      <c r="E545" s="19" t="str">
        <f>IFERROR(VLOOKUP(D545,케이블트레이입.출고현황!U548:Z623,2,0),"")</f>
        <v/>
      </c>
      <c r="F545" s="19" t="str">
        <f>IFERROR(VLOOKUP(E545,케이블트레이입.출고현황!V548:AA623,2,0),"")</f>
        <v/>
      </c>
      <c r="G545" s="19" t="str">
        <f>IFERROR(VLOOKUP(F545,케이블트레이입.출고현황!W548:AB623,2,0),"")</f>
        <v/>
      </c>
      <c r="H545" s="19" t="str">
        <f>IFERROR(VLOOKUP(G545,케이블트레이입.출고현황!X548:AC623,2,0),"")</f>
        <v/>
      </c>
      <c r="I545" s="19" t="str">
        <f>IFERROR(VLOOKUP(H545,케이블트레이입.출고현황!Y548:AD623,2,0),"")</f>
        <v/>
      </c>
      <c r="J545" s="9">
        <v>1</v>
      </c>
      <c r="K545" s="9"/>
      <c r="L545" s="37"/>
      <c r="M545" s="64"/>
      <c r="N545" s="42"/>
    </row>
    <row r="546" spans="1:14" ht="24" customHeight="1">
      <c r="A546" s="8">
        <v>506</v>
      </c>
      <c r="B546" s="9">
        <v>506</v>
      </c>
      <c r="C546" s="46"/>
      <c r="D546" s="9"/>
      <c r="E546" s="19" t="str">
        <f>IFERROR(VLOOKUP(D546,케이블트레이입.출고현황!U549:Z624,2,0),"")</f>
        <v/>
      </c>
      <c r="F546" s="19" t="str">
        <f>IFERROR(VLOOKUP(E546,케이블트레이입.출고현황!V549:AA624,2,0),"")</f>
        <v/>
      </c>
      <c r="G546" s="19" t="str">
        <f>IFERROR(VLOOKUP(F546,케이블트레이입.출고현황!W549:AB624,2,0),"")</f>
        <v/>
      </c>
      <c r="H546" s="19" t="str">
        <f>IFERROR(VLOOKUP(G546,케이블트레이입.출고현황!X549:AC624,2,0),"")</f>
        <v/>
      </c>
      <c r="I546" s="19" t="str">
        <f>IFERROR(VLOOKUP(H546,케이블트레이입.출고현황!Y549:AD624,2,0),"")</f>
        <v/>
      </c>
      <c r="J546" s="9">
        <v>1</v>
      </c>
      <c r="K546" s="9"/>
      <c r="L546" s="37"/>
      <c r="M546" s="64"/>
      <c r="N546" s="42"/>
    </row>
    <row r="547" spans="1:14" ht="24" customHeight="1">
      <c r="A547" s="8">
        <v>507</v>
      </c>
      <c r="B547" s="9">
        <v>507</v>
      </c>
      <c r="C547" s="46"/>
      <c r="D547" s="9"/>
      <c r="E547" s="19" t="str">
        <f>IFERROR(VLOOKUP(D547,케이블트레이입.출고현황!U550:Z625,2,0),"")</f>
        <v/>
      </c>
      <c r="F547" s="19" t="str">
        <f>IFERROR(VLOOKUP(E547,케이블트레이입.출고현황!V550:AA625,2,0),"")</f>
        <v/>
      </c>
      <c r="G547" s="19" t="str">
        <f>IFERROR(VLOOKUP(F547,케이블트레이입.출고현황!W550:AB625,2,0),"")</f>
        <v/>
      </c>
      <c r="H547" s="19" t="str">
        <f>IFERROR(VLOOKUP(G547,케이블트레이입.출고현황!X550:AC625,2,0),"")</f>
        <v/>
      </c>
      <c r="I547" s="19" t="str">
        <f>IFERROR(VLOOKUP(H547,케이블트레이입.출고현황!Y550:AD625,2,0),"")</f>
        <v/>
      </c>
      <c r="J547" s="9">
        <v>2</v>
      </c>
      <c r="K547" s="9"/>
      <c r="L547" s="37"/>
      <c r="M547" s="64"/>
      <c r="N547" s="42"/>
    </row>
    <row r="548" spans="1:14" ht="24" customHeight="1">
      <c r="A548" s="8">
        <v>508</v>
      </c>
      <c r="B548" s="9">
        <v>508</v>
      </c>
      <c r="C548" s="46"/>
      <c r="D548" s="9"/>
      <c r="E548" s="19" t="str">
        <f>IFERROR(VLOOKUP(D548,케이블트레이입.출고현황!U551:Z626,2,0),"")</f>
        <v/>
      </c>
      <c r="F548" s="19" t="str">
        <f>IFERROR(VLOOKUP(E548,케이블트레이입.출고현황!V551:AA626,2,0),"")</f>
        <v/>
      </c>
      <c r="G548" s="19" t="str">
        <f>IFERROR(VLOOKUP(F548,케이블트레이입.출고현황!W551:AB626,2,0),"")</f>
        <v/>
      </c>
      <c r="H548" s="19" t="str">
        <f>IFERROR(VLOOKUP(G548,케이블트레이입.출고현황!X551:AC626,2,0),"")</f>
        <v/>
      </c>
      <c r="I548" s="19" t="str">
        <f>IFERROR(VLOOKUP(H548,케이블트레이입.출고현황!Y551:AD626,2,0),"")</f>
        <v/>
      </c>
      <c r="J548" s="9">
        <v>3</v>
      </c>
      <c r="K548" s="9"/>
      <c r="L548" s="37"/>
      <c r="M548" s="64"/>
      <c r="N548" s="42"/>
    </row>
    <row r="549" spans="1:14" ht="24" customHeight="1">
      <c r="A549" s="8">
        <v>509</v>
      </c>
      <c r="B549" s="9">
        <v>509</v>
      </c>
      <c r="C549" s="46"/>
      <c r="D549" s="9"/>
      <c r="E549" s="19" t="str">
        <f>IFERROR(VLOOKUP(D549,케이블트레이입.출고현황!U552:Z627,2,0),"")</f>
        <v/>
      </c>
      <c r="F549" s="19" t="str">
        <f>IFERROR(VLOOKUP(E549,케이블트레이입.출고현황!V552:AA627,2,0),"")</f>
        <v/>
      </c>
      <c r="G549" s="19" t="str">
        <f>IFERROR(VLOOKUP(F549,케이블트레이입.출고현황!W552:AB627,2,0),"")</f>
        <v/>
      </c>
      <c r="H549" s="19" t="str">
        <f>IFERROR(VLOOKUP(G549,케이블트레이입.출고현황!X552:AC627,2,0),"")</f>
        <v/>
      </c>
      <c r="I549" s="19" t="str">
        <f>IFERROR(VLOOKUP(H549,케이블트레이입.출고현황!Y552:AD627,2,0),"")</f>
        <v/>
      </c>
      <c r="J549" s="9">
        <v>1</v>
      </c>
      <c r="K549" s="9"/>
      <c r="L549" s="37"/>
      <c r="M549" s="64"/>
      <c r="N549" s="42"/>
    </row>
    <row r="550" spans="1:14" ht="24" customHeight="1">
      <c r="A550" s="8">
        <v>510</v>
      </c>
      <c r="B550" s="9">
        <v>510</v>
      </c>
      <c r="C550" s="46"/>
      <c r="D550" s="9"/>
      <c r="E550" s="19" t="str">
        <f>IFERROR(VLOOKUP(D550,케이블트레이입.출고현황!U553:Z628,2,0),"")</f>
        <v/>
      </c>
      <c r="F550" s="19" t="str">
        <f>IFERROR(VLOOKUP(E550,케이블트레이입.출고현황!V553:AA628,2,0),"")</f>
        <v/>
      </c>
      <c r="G550" s="19" t="str">
        <f>IFERROR(VLOOKUP(F550,케이블트레이입.출고현황!W553:AB628,2,0),"")</f>
        <v/>
      </c>
      <c r="H550" s="19" t="str">
        <f>IFERROR(VLOOKUP(G550,케이블트레이입.출고현황!X553:AC628,2,0),"")</f>
        <v/>
      </c>
      <c r="I550" s="19" t="str">
        <f>IFERROR(VLOOKUP(H550,케이블트레이입.출고현황!Y553:AD628,2,0),"")</f>
        <v/>
      </c>
      <c r="J550" s="9">
        <v>4</v>
      </c>
      <c r="K550" s="9"/>
      <c r="L550" s="37"/>
      <c r="M550" s="64"/>
      <c r="N550" s="42"/>
    </row>
    <row r="551" spans="1:14" ht="24" customHeight="1">
      <c r="A551" s="8">
        <v>511</v>
      </c>
      <c r="B551" s="9">
        <v>511</v>
      </c>
      <c r="C551" s="46"/>
      <c r="D551" s="9"/>
      <c r="E551" s="19" t="str">
        <f>IFERROR(VLOOKUP(D551,케이블트레이입.출고현황!U554:Z629,2,0),"")</f>
        <v/>
      </c>
      <c r="F551" s="19" t="str">
        <f>IFERROR(VLOOKUP(E551,케이블트레이입.출고현황!V554:AA629,2,0),"")</f>
        <v/>
      </c>
      <c r="G551" s="19" t="str">
        <f>IFERROR(VLOOKUP(F551,케이블트레이입.출고현황!W554:AB629,2,0),"")</f>
        <v/>
      </c>
      <c r="H551" s="19" t="str">
        <f>IFERROR(VLOOKUP(G551,케이블트레이입.출고현황!X554:AC629,2,0),"")</f>
        <v/>
      </c>
      <c r="I551" s="19" t="str">
        <f>IFERROR(VLOOKUP(H551,케이블트레이입.출고현황!Y554:AD629,2,0),"")</f>
        <v/>
      </c>
      <c r="J551" s="9">
        <v>2</v>
      </c>
      <c r="K551" s="9"/>
      <c r="L551" s="37"/>
      <c r="M551" s="64"/>
      <c r="N551" s="42"/>
    </row>
    <row r="552" spans="1:14" ht="24" customHeight="1">
      <c r="A552" s="8">
        <v>512</v>
      </c>
      <c r="B552" s="9">
        <v>512</v>
      </c>
      <c r="C552" s="46"/>
      <c r="D552" s="9"/>
      <c r="E552" s="19" t="str">
        <f>IFERROR(VLOOKUP(D552,케이블트레이입.출고현황!U555:Z630,2,0),"")</f>
        <v/>
      </c>
      <c r="F552" s="19" t="str">
        <f>IFERROR(VLOOKUP(E552,케이블트레이입.출고현황!V555:AA630,2,0),"")</f>
        <v/>
      </c>
      <c r="G552" s="19" t="str">
        <f>IFERROR(VLOOKUP(F552,케이블트레이입.출고현황!W555:AB630,2,0),"")</f>
        <v/>
      </c>
      <c r="H552" s="19" t="str">
        <f>IFERROR(VLOOKUP(G552,케이블트레이입.출고현황!X555:AC630,2,0),"")</f>
        <v/>
      </c>
      <c r="I552" s="19" t="str">
        <f>IFERROR(VLOOKUP(H552,케이블트레이입.출고현황!Y555:AD630,2,0),"")</f>
        <v/>
      </c>
      <c r="J552" s="9">
        <v>1</v>
      </c>
      <c r="K552" s="9"/>
      <c r="L552" s="37"/>
      <c r="M552" s="64"/>
      <c r="N552" s="42"/>
    </row>
    <row r="553" spans="1:14" ht="24" customHeight="1">
      <c r="A553" s="8">
        <v>513</v>
      </c>
      <c r="B553" s="9">
        <v>513</v>
      </c>
      <c r="C553" s="46"/>
      <c r="D553" s="9"/>
      <c r="E553" s="19" t="str">
        <f>IFERROR(VLOOKUP(D553,케이블트레이입.출고현황!U556:Z631,2,0),"")</f>
        <v/>
      </c>
      <c r="F553" s="19" t="str">
        <f>IFERROR(VLOOKUP(E553,케이블트레이입.출고현황!V556:AA631,2,0),"")</f>
        <v/>
      </c>
      <c r="G553" s="19" t="str">
        <f>IFERROR(VLOOKUP(F553,케이블트레이입.출고현황!W556:AB631,2,0),"")</f>
        <v/>
      </c>
      <c r="H553" s="19" t="str">
        <f>IFERROR(VLOOKUP(G553,케이블트레이입.출고현황!X556:AC631,2,0),"")</f>
        <v/>
      </c>
      <c r="I553" s="19" t="str">
        <f>IFERROR(VLOOKUP(H553,케이블트레이입.출고현황!Y556:AD631,2,0),"")</f>
        <v/>
      </c>
      <c r="J553" s="9">
        <v>2</v>
      </c>
      <c r="K553" s="9"/>
      <c r="L553" s="37"/>
      <c r="M553" s="64"/>
      <c r="N553" s="42"/>
    </row>
    <row r="554" spans="1:14" ht="24" customHeight="1">
      <c r="A554" s="8">
        <v>514</v>
      </c>
      <c r="B554" s="9">
        <v>514</v>
      </c>
      <c r="C554" s="46"/>
      <c r="D554" s="9"/>
      <c r="E554" s="19" t="str">
        <f>IFERROR(VLOOKUP(D554,케이블트레이입.출고현황!U557:Z632,2,0),"")</f>
        <v/>
      </c>
      <c r="F554" s="19" t="str">
        <f>IFERROR(VLOOKUP(E554,케이블트레이입.출고현황!V557:AA632,2,0),"")</f>
        <v/>
      </c>
      <c r="G554" s="19" t="str">
        <f>IFERROR(VLOOKUP(F554,케이블트레이입.출고현황!W557:AB632,2,0),"")</f>
        <v/>
      </c>
      <c r="H554" s="19" t="str">
        <f>IFERROR(VLOOKUP(G554,케이블트레이입.출고현황!X557:AC632,2,0),"")</f>
        <v/>
      </c>
      <c r="I554" s="19" t="str">
        <f>IFERROR(VLOOKUP(H554,케이블트레이입.출고현황!Y557:AD632,2,0),"")</f>
        <v/>
      </c>
      <c r="J554" s="9">
        <v>3</v>
      </c>
      <c r="K554" s="9"/>
      <c r="L554" s="37"/>
      <c r="M554" s="64"/>
      <c r="N554" s="42"/>
    </row>
    <row r="555" spans="1:14" ht="24" customHeight="1">
      <c r="A555" s="8">
        <v>515</v>
      </c>
      <c r="B555" s="9">
        <v>515</v>
      </c>
      <c r="C555" s="46"/>
      <c r="D555" s="9"/>
      <c r="E555" s="19" t="str">
        <f>IFERROR(VLOOKUP(D555,케이블트레이입.출고현황!U558:Z633,2,0),"")</f>
        <v/>
      </c>
      <c r="F555" s="19" t="str">
        <f>IFERROR(VLOOKUP(E555,케이블트레이입.출고현황!V558:AA633,2,0),"")</f>
        <v/>
      </c>
      <c r="G555" s="19" t="str">
        <f>IFERROR(VLOOKUP(F555,케이블트레이입.출고현황!W558:AB633,2,0),"")</f>
        <v/>
      </c>
      <c r="H555" s="19" t="str">
        <f>IFERROR(VLOOKUP(G555,케이블트레이입.출고현황!X558:AC633,2,0),"")</f>
        <v/>
      </c>
      <c r="I555" s="19" t="str">
        <f>IFERROR(VLOOKUP(H555,케이블트레이입.출고현황!Y558:AD633,2,0),"")</f>
        <v/>
      </c>
      <c r="J555" s="9">
        <v>1</v>
      </c>
      <c r="K555" s="9"/>
      <c r="L555" s="37"/>
      <c r="M555" s="64"/>
      <c r="N555" s="42"/>
    </row>
    <row r="556" spans="1:14" ht="24" customHeight="1">
      <c r="A556" s="8">
        <v>516</v>
      </c>
      <c r="B556" s="9">
        <v>516</v>
      </c>
      <c r="C556" s="46"/>
      <c r="D556" s="9"/>
      <c r="E556" s="19" t="str">
        <f>IFERROR(VLOOKUP(D556,케이블트레이입.출고현황!U559:Z634,2,0),"")</f>
        <v/>
      </c>
      <c r="F556" s="19" t="str">
        <f>IFERROR(VLOOKUP(E556,케이블트레이입.출고현황!V559:AA634,2,0),"")</f>
        <v/>
      </c>
      <c r="G556" s="19" t="str">
        <f>IFERROR(VLOOKUP(F556,케이블트레이입.출고현황!W559:AB634,2,0),"")</f>
        <v/>
      </c>
      <c r="H556" s="19" t="str">
        <f>IFERROR(VLOOKUP(G556,케이블트레이입.출고현황!X559:AC634,2,0),"")</f>
        <v/>
      </c>
      <c r="I556" s="19" t="str">
        <f>IFERROR(VLOOKUP(H556,케이블트레이입.출고현황!Y559:AD634,2,0),"")</f>
        <v/>
      </c>
      <c r="J556" s="9">
        <v>1</v>
      </c>
      <c r="K556" s="9"/>
      <c r="L556" s="37"/>
      <c r="M556" s="64"/>
      <c r="N556" s="42"/>
    </row>
    <row r="557" spans="1:14" ht="24" customHeight="1">
      <c r="A557" s="8">
        <v>517</v>
      </c>
      <c r="B557" s="9">
        <v>517</v>
      </c>
      <c r="C557" s="46"/>
      <c r="D557" s="9"/>
      <c r="E557" s="19" t="str">
        <f>IFERROR(VLOOKUP(D557,케이블트레이입.출고현황!U560:Z635,2,0),"")</f>
        <v/>
      </c>
      <c r="F557" s="19" t="str">
        <f>IFERROR(VLOOKUP(E557,케이블트레이입.출고현황!V560:AA635,2,0),"")</f>
        <v/>
      </c>
      <c r="G557" s="19" t="str">
        <f>IFERROR(VLOOKUP(F557,케이블트레이입.출고현황!W560:AB635,2,0),"")</f>
        <v/>
      </c>
      <c r="H557" s="19" t="str">
        <f>IFERROR(VLOOKUP(G557,케이블트레이입.출고현황!X560:AC635,2,0),"")</f>
        <v/>
      </c>
      <c r="I557" s="19" t="str">
        <f>IFERROR(VLOOKUP(H557,케이블트레이입.출고현황!Y560:AD635,2,0),"")</f>
        <v/>
      </c>
      <c r="J557" s="9">
        <v>1</v>
      </c>
      <c r="K557" s="9"/>
      <c r="L557" s="37"/>
      <c r="M557" s="64"/>
      <c r="N557" s="42"/>
    </row>
    <row r="558" spans="1:14" ht="24" customHeight="1">
      <c r="A558" s="8">
        <v>518</v>
      </c>
      <c r="B558" s="9">
        <v>518</v>
      </c>
      <c r="C558" s="46"/>
      <c r="D558" s="9"/>
      <c r="E558" s="19" t="str">
        <f>IFERROR(VLOOKUP(D558,케이블트레이입.출고현황!U561:Z636,2,0),"")</f>
        <v/>
      </c>
      <c r="F558" s="19" t="str">
        <f>IFERROR(VLOOKUP(E558,케이블트레이입.출고현황!V561:AA636,2,0),"")</f>
        <v/>
      </c>
      <c r="G558" s="19" t="str">
        <f>IFERROR(VLOOKUP(F558,케이블트레이입.출고현황!W561:AB636,2,0),"")</f>
        <v/>
      </c>
      <c r="H558" s="19" t="str">
        <f>IFERROR(VLOOKUP(G558,케이블트레이입.출고현황!X561:AC636,2,0),"")</f>
        <v/>
      </c>
      <c r="I558" s="19" t="str">
        <f>IFERROR(VLOOKUP(H558,케이블트레이입.출고현황!Y561:AD636,2,0),"")</f>
        <v/>
      </c>
      <c r="J558" s="9">
        <v>3</v>
      </c>
      <c r="K558" s="9"/>
      <c r="L558" s="37"/>
      <c r="M558" s="64"/>
      <c r="N558" s="42"/>
    </row>
    <row r="559" spans="1:14" ht="24" customHeight="1">
      <c r="A559" s="8">
        <v>519</v>
      </c>
      <c r="B559" s="9">
        <v>519</v>
      </c>
      <c r="C559" s="46"/>
      <c r="D559" s="9"/>
      <c r="E559" s="19" t="str">
        <f>IFERROR(VLOOKUP(D559,케이블트레이입.출고현황!U562:Z637,2,0),"")</f>
        <v/>
      </c>
      <c r="F559" s="19" t="str">
        <f>IFERROR(VLOOKUP(E559,케이블트레이입.출고현황!V562:AA637,2,0),"")</f>
        <v/>
      </c>
      <c r="G559" s="19" t="str">
        <f>IFERROR(VLOOKUP(F559,케이블트레이입.출고현황!W562:AB637,2,0),"")</f>
        <v/>
      </c>
      <c r="H559" s="19" t="str">
        <f>IFERROR(VLOOKUP(G559,케이블트레이입.출고현황!X562:AC637,2,0),"")</f>
        <v/>
      </c>
      <c r="I559" s="19" t="str">
        <f>IFERROR(VLOOKUP(H559,케이블트레이입.출고현황!Y562:AD637,2,0),"")</f>
        <v/>
      </c>
      <c r="J559" s="9">
        <v>2</v>
      </c>
      <c r="K559" s="9"/>
      <c r="L559" s="37"/>
      <c r="M559" s="64"/>
      <c r="N559" s="42"/>
    </row>
    <row r="560" spans="1:14" ht="24" customHeight="1">
      <c r="A560" s="8">
        <v>520</v>
      </c>
      <c r="B560" s="9">
        <v>520</v>
      </c>
      <c r="C560" s="46"/>
      <c r="D560" s="9"/>
      <c r="E560" s="19" t="str">
        <f>IFERROR(VLOOKUP(D560,케이블트레이입.출고현황!U563:Z638,2,0),"")</f>
        <v/>
      </c>
      <c r="F560" s="19" t="str">
        <f>IFERROR(VLOOKUP(E560,케이블트레이입.출고현황!V563:AA638,2,0),"")</f>
        <v/>
      </c>
      <c r="G560" s="19" t="str">
        <f>IFERROR(VLOOKUP(F560,케이블트레이입.출고현황!W563:AB638,2,0),"")</f>
        <v/>
      </c>
      <c r="H560" s="19" t="str">
        <f>IFERROR(VLOOKUP(G560,케이블트레이입.출고현황!X563:AC638,2,0),"")</f>
        <v/>
      </c>
      <c r="I560" s="19" t="str">
        <f>IFERROR(VLOOKUP(H560,케이블트레이입.출고현황!Y563:AD638,2,0),"")</f>
        <v/>
      </c>
      <c r="J560" s="9">
        <v>1</v>
      </c>
      <c r="K560" s="9"/>
      <c r="L560" s="37"/>
      <c r="M560" s="64"/>
      <c r="N560" s="42"/>
    </row>
    <row r="561" spans="1:14" ht="24" customHeight="1">
      <c r="A561" s="8">
        <v>521</v>
      </c>
      <c r="B561" s="9">
        <v>521</v>
      </c>
      <c r="C561" s="46"/>
      <c r="D561" s="9"/>
      <c r="E561" s="19" t="str">
        <f>IFERROR(VLOOKUP(D561,케이블트레이입.출고현황!U564:Z639,2,0),"")</f>
        <v/>
      </c>
      <c r="F561" s="19" t="str">
        <f>IFERROR(VLOOKUP(E561,케이블트레이입.출고현황!V564:AA639,2,0),"")</f>
        <v/>
      </c>
      <c r="G561" s="19" t="str">
        <f>IFERROR(VLOOKUP(F561,케이블트레이입.출고현황!W564:AB639,2,0),"")</f>
        <v/>
      </c>
      <c r="H561" s="19" t="str">
        <f>IFERROR(VLOOKUP(G561,케이블트레이입.출고현황!X564:AC639,2,0),"")</f>
        <v/>
      </c>
      <c r="I561" s="19" t="str">
        <f>IFERROR(VLOOKUP(H561,케이블트레이입.출고현황!Y564:AD639,2,0),"")</f>
        <v/>
      </c>
      <c r="J561" s="9" t="s">
        <v>557</v>
      </c>
      <c r="K561" s="9"/>
      <c r="L561" s="37"/>
      <c r="M561" s="64"/>
      <c r="N561" s="42"/>
    </row>
    <row r="562" spans="1:14" ht="24" customHeight="1">
      <c r="A562" s="8">
        <v>522</v>
      </c>
      <c r="B562" s="9">
        <v>522</v>
      </c>
      <c r="C562" s="46"/>
      <c r="D562" s="9"/>
      <c r="E562" s="19" t="str">
        <f>IFERROR(VLOOKUP(D562,케이블트레이입.출고현황!U565:Z640,2,0),"")</f>
        <v/>
      </c>
      <c r="F562" s="19" t="str">
        <f>IFERROR(VLOOKUP(E562,케이블트레이입.출고현황!V565:AA640,2,0),"")</f>
        <v/>
      </c>
      <c r="G562" s="19" t="str">
        <f>IFERROR(VLOOKUP(F562,케이블트레이입.출고현황!W565:AB640,2,0),"")</f>
        <v/>
      </c>
      <c r="H562" s="19" t="str">
        <f>IFERROR(VLOOKUP(G562,케이블트레이입.출고현황!X565:AC640,2,0),"")</f>
        <v/>
      </c>
      <c r="I562" s="19" t="str">
        <f>IFERROR(VLOOKUP(H562,케이블트레이입.출고현황!Y565:AD640,2,0),"")</f>
        <v/>
      </c>
      <c r="J562" s="9" t="s">
        <v>557</v>
      </c>
      <c r="K562" s="9"/>
      <c r="L562" s="37"/>
      <c r="M562" s="64"/>
      <c r="N562" s="42"/>
    </row>
    <row r="563" spans="1:14" ht="24" customHeight="1">
      <c r="A563" s="8">
        <v>523</v>
      </c>
      <c r="B563" s="9">
        <v>523</v>
      </c>
      <c r="C563" s="46"/>
      <c r="D563" s="9"/>
      <c r="E563" s="19" t="str">
        <f>IFERROR(VLOOKUP(D563,케이블트레이입.출고현황!U566:Z641,2,0),"")</f>
        <v/>
      </c>
      <c r="F563" s="19" t="str">
        <f>IFERROR(VLOOKUP(E563,케이블트레이입.출고현황!V566:AA641,2,0),"")</f>
        <v/>
      </c>
      <c r="G563" s="19" t="str">
        <f>IFERROR(VLOOKUP(F563,케이블트레이입.출고현황!W566:AB641,2,0),"")</f>
        <v/>
      </c>
      <c r="H563" s="19" t="str">
        <f>IFERROR(VLOOKUP(G563,케이블트레이입.출고현황!X566:AC641,2,0),"")</f>
        <v/>
      </c>
      <c r="I563" s="19" t="str">
        <f>IFERROR(VLOOKUP(H563,케이블트레이입.출고현황!Y566:AD641,2,0),"")</f>
        <v/>
      </c>
      <c r="J563" s="9">
        <v>2</v>
      </c>
      <c r="K563" s="9"/>
      <c r="L563" s="37"/>
      <c r="M563" s="64"/>
      <c r="N563" s="42"/>
    </row>
    <row r="564" spans="1:14" ht="24" customHeight="1">
      <c r="A564" s="8">
        <v>524</v>
      </c>
      <c r="B564" s="9">
        <v>524</v>
      </c>
      <c r="C564" s="46"/>
      <c r="D564" s="9"/>
      <c r="E564" s="19" t="str">
        <f>IFERROR(VLOOKUP(D564,케이블트레이입.출고현황!U567:Z642,2,0),"")</f>
        <v/>
      </c>
      <c r="F564" s="19" t="str">
        <f>IFERROR(VLOOKUP(E564,케이블트레이입.출고현황!V567:AA642,2,0),"")</f>
        <v/>
      </c>
      <c r="G564" s="19" t="str">
        <f>IFERROR(VLOOKUP(F564,케이블트레이입.출고현황!W567:AB642,2,0),"")</f>
        <v/>
      </c>
      <c r="H564" s="19" t="str">
        <f>IFERROR(VLOOKUP(G564,케이블트레이입.출고현황!X567:AC642,2,0),"")</f>
        <v/>
      </c>
      <c r="I564" s="19" t="str">
        <f>IFERROR(VLOOKUP(H564,케이블트레이입.출고현황!Y567:AD642,2,0),"")</f>
        <v/>
      </c>
      <c r="J564" s="9">
        <v>3</v>
      </c>
      <c r="K564" s="9"/>
      <c r="L564" s="37"/>
      <c r="M564" s="64"/>
      <c r="N564" s="42"/>
    </row>
    <row r="565" spans="1:14" ht="24" customHeight="1">
      <c r="A565" s="8">
        <v>525</v>
      </c>
      <c r="B565" s="9">
        <v>525</v>
      </c>
      <c r="C565" s="46"/>
      <c r="D565" s="9"/>
      <c r="E565" s="19" t="str">
        <f>IFERROR(VLOOKUP(D565,케이블트레이입.출고현황!U568:Z643,2,0),"")</f>
        <v/>
      </c>
      <c r="F565" s="19" t="str">
        <f>IFERROR(VLOOKUP(E565,케이블트레이입.출고현황!V568:AA643,2,0),"")</f>
        <v/>
      </c>
      <c r="G565" s="19" t="str">
        <f>IFERROR(VLOOKUP(F565,케이블트레이입.출고현황!W568:AB643,2,0),"")</f>
        <v/>
      </c>
      <c r="H565" s="19" t="str">
        <f>IFERROR(VLOOKUP(G565,케이블트레이입.출고현황!X568:AC643,2,0),"")</f>
        <v/>
      </c>
      <c r="I565" s="19" t="str">
        <f>IFERROR(VLOOKUP(H565,케이블트레이입.출고현황!Y568:AD643,2,0),"")</f>
        <v/>
      </c>
      <c r="J565" s="9">
        <v>1</v>
      </c>
      <c r="K565" s="9"/>
      <c r="L565" s="37"/>
      <c r="M565" s="64"/>
      <c r="N565" s="42"/>
    </row>
    <row r="566" spans="1:14" ht="24" customHeight="1">
      <c r="A566" s="8">
        <v>526</v>
      </c>
      <c r="B566" s="9">
        <v>526</v>
      </c>
      <c r="C566" s="46"/>
      <c r="D566" s="9"/>
      <c r="E566" s="19" t="str">
        <f>IFERROR(VLOOKUP(D566,케이블트레이입.출고현황!U569:Z644,2,0),"")</f>
        <v/>
      </c>
      <c r="F566" s="19" t="str">
        <f>IFERROR(VLOOKUP(E566,케이블트레이입.출고현황!V569:AA644,2,0),"")</f>
        <v/>
      </c>
      <c r="G566" s="19" t="str">
        <f>IFERROR(VLOOKUP(F566,케이블트레이입.출고현황!W569:AB644,2,0),"")</f>
        <v/>
      </c>
      <c r="H566" s="19" t="str">
        <f>IFERROR(VLOOKUP(G566,케이블트레이입.출고현황!X569:AC644,2,0),"")</f>
        <v/>
      </c>
      <c r="I566" s="19" t="str">
        <f>IFERROR(VLOOKUP(H566,케이블트레이입.출고현황!Y569:AD644,2,0),"")</f>
        <v/>
      </c>
      <c r="J566" s="9">
        <v>1</v>
      </c>
      <c r="K566" s="9"/>
      <c r="L566" s="37"/>
      <c r="M566" s="64"/>
      <c r="N566" s="42"/>
    </row>
    <row r="567" spans="1:14" ht="24" customHeight="1">
      <c r="A567" s="8">
        <v>527</v>
      </c>
      <c r="B567" s="9">
        <v>527</v>
      </c>
      <c r="C567" s="46"/>
      <c r="D567" s="9"/>
      <c r="E567" s="19" t="str">
        <f>IFERROR(VLOOKUP(D567,케이블트레이입.출고현황!U570:Z645,2,0),"")</f>
        <v/>
      </c>
      <c r="F567" s="19" t="str">
        <f>IFERROR(VLOOKUP(E567,케이블트레이입.출고현황!V570:AA645,2,0),"")</f>
        <v/>
      </c>
      <c r="G567" s="19" t="str">
        <f>IFERROR(VLOOKUP(F567,케이블트레이입.출고현황!W570:AB645,2,0),"")</f>
        <v/>
      </c>
      <c r="H567" s="19" t="str">
        <f>IFERROR(VLOOKUP(G567,케이블트레이입.출고현황!X570:AC645,2,0),"")</f>
        <v/>
      </c>
      <c r="I567" s="19" t="str">
        <f>IFERROR(VLOOKUP(H567,케이블트레이입.출고현황!Y570:AD645,2,0),"")</f>
        <v/>
      </c>
      <c r="J567" s="9">
        <v>2</v>
      </c>
      <c r="K567" s="9"/>
      <c r="L567" s="37"/>
      <c r="M567" s="64"/>
      <c r="N567" s="42"/>
    </row>
    <row r="568" spans="1:14" ht="24" customHeight="1">
      <c r="A568" s="8">
        <v>528</v>
      </c>
      <c r="B568" s="9">
        <v>528</v>
      </c>
      <c r="C568" s="46"/>
      <c r="D568" s="9"/>
      <c r="E568" s="19" t="str">
        <f>IFERROR(VLOOKUP(D568,케이블트레이입.출고현황!U571:Z646,2,0),"")</f>
        <v/>
      </c>
      <c r="F568" s="19" t="str">
        <f>IFERROR(VLOOKUP(E568,케이블트레이입.출고현황!V571:AA646,2,0),"")</f>
        <v/>
      </c>
      <c r="G568" s="19" t="str">
        <f>IFERROR(VLOOKUP(F568,케이블트레이입.출고현황!W571:AB646,2,0),"")</f>
        <v/>
      </c>
      <c r="H568" s="19" t="str">
        <f>IFERROR(VLOOKUP(G568,케이블트레이입.출고현황!X571:AC646,2,0),"")</f>
        <v/>
      </c>
      <c r="I568" s="19" t="str">
        <f>IFERROR(VLOOKUP(H568,케이블트레이입.출고현황!Y571:AD646,2,0),"")</f>
        <v/>
      </c>
      <c r="J568" s="9">
        <v>4</v>
      </c>
      <c r="K568" s="9"/>
      <c r="L568" s="37"/>
      <c r="M568" s="64"/>
      <c r="N568" s="42"/>
    </row>
    <row r="569" spans="1:14" ht="24" customHeight="1">
      <c r="A569" s="8">
        <v>529</v>
      </c>
      <c r="B569" s="9">
        <v>529</v>
      </c>
      <c r="C569" s="46"/>
      <c r="D569" s="9"/>
      <c r="E569" s="19" t="str">
        <f>IFERROR(VLOOKUP(D569,케이블트레이입.출고현황!U572:Z647,2,0),"")</f>
        <v/>
      </c>
      <c r="F569" s="19" t="str">
        <f>IFERROR(VLOOKUP(E569,케이블트레이입.출고현황!V572:AA647,2,0),"")</f>
        <v/>
      </c>
      <c r="G569" s="19" t="str">
        <f>IFERROR(VLOOKUP(F569,케이블트레이입.출고현황!W572:AB647,2,0),"")</f>
        <v/>
      </c>
      <c r="H569" s="19" t="str">
        <f>IFERROR(VLOOKUP(G569,케이블트레이입.출고현황!X572:AC647,2,0),"")</f>
        <v/>
      </c>
      <c r="I569" s="19" t="str">
        <f>IFERROR(VLOOKUP(H569,케이블트레이입.출고현황!Y572:AD647,2,0),"")</f>
        <v/>
      </c>
      <c r="J569" s="9">
        <v>2</v>
      </c>
      <c r="K569" s="9"/>
      <c r="L569" s="37"/>
      <c r="M569" s="64"/>
      <c r="N569" s="42"/>
    </row>
    <row r="570" spans="1:14" ht="24" customHeight="1">
      <c r="A570" s="8">
        <v>530</v>
      </c>
      <c r="B570" s="9">
        <v>530</v>
      </c>
      <c r="C570" s="46"/>
      <c r="D570" s="9"/>
      <c r="E570" s="19" t="str">
        <f>IFERROR(VLOOKUP(D570,케이블트레이입.출고현황!U573:Z648,2,0),"")</f>
        <v/>
      </c>
      <c r="F570" s="19" t="str">
        <f>IFERROR(VLOOKUP(E570,케이블트레이입.출고현황!V573:AA648,2,0),"")</f>
        <v/>
      </c>
      <c r="G570" s="19" t="str">
        <f>IFERROR(VLOOKUP(F570,케이블트레이입.출고현황!W573:AB648,2,0),"")</f>
        <v/>
      </c>
      <c r="H570" s="19" t="str">
        <f>IFERROR(VLOOKUP(G570,케이블트레이입.출고현황!X573:AC648,2,0),"")</f>
        <v/>
      </c>
      <c r="I570" s="19" t="str">
        <f>IFERROR(VLOOKUP(H570,케이블트레이입.출고현황!Y573:AD648,2,0),"")</f>
        <v/>
      </c>
      <c r="J570" s="9">
        <v>1</v>
      </c>
      <c r="K570" s="9"/>
      <c r="L570" s="37"/>
      <c r="M570" s="64"/>
      <c r="N570" s="42"/>
    </row>
    <row r="571" spans="1:14" ht="24" customHeight="1">
      <c r="A571" s="8">
        <v>531</v>
      </c>
      <c r="B571" s="9">
        <v>531</v>
      </c>
      <c r="C571" s="46"/>
      <c r="D571" s="9"/>
      <c r="E571" s="19" t="str">
        <f>IFERROR(VLOOKUP(D571,케이블트레이입.출고현황!U574:Z649,2,0),"")</f>
        <v/>
      </c>
      <c r="F571" s="19" t="str">
        <f>IFERROR(VLOOKUP(E571,케이블트레이입.출고현황!V574:AA649,2,0),"")</f>
        <v/>
      </c>
      <c r="G571" s="19" t="str">
        <f>IFERROR(VLOOKUP(F571,케이블트레이입.출고현황!W574:AB649,2,0),"")</f>
        <v/>
      </c>
      <c r="H571" s="19" t="str">
        <f>IFERROR(VLOOKUP(G571,케이블트레이입.출고현황!X574:AC649,2,0),"")</f>
        <v/>
      </c>
      <c r="I571" s="19" t="str">
        <f>IFERROR(VLOOKUP(H571,케이블트레이입.출고현황!Y574:AD649,2,0),"")</f>
        <v/>
      </c>
      <c r="J571" s="9">
        <v>2</v>
      </c>
      <c r="K571" s="9"/>
      <c r="L571" s="37"/>
      <c r="M571" s="64"/>
      <c r="N571" s="42"/>
    </row>
    <row r="572" spans="1:14" ht="24" customHeight="1">
      <c r="A572" s="8">
        <v>532</v>
      </c>
      <c r="B572" s="9">
        <v>532</v>
      </c>
      <c r="C572" s="46"/>
      <c r="D572" s="9"/>
      <c r="E572" s="19" t="str">
        <f>IFERROR(VLOOKUP(D572,케이블트레이입.출고현황!U575:Z650,2,0),"")</f>
        <v/>
      </c>
      <c r="F572" s="19" t="str">
        <f>IFERROR(VLOOKUP(E572,케이블트레이입.출고현황!V575:AA650,2,0),"")</f>
        <v/>
      </c>
      <c r="G572" s="19" t="str">
        <f>IFERROR(VLOOKUP(F572,케이블트레이입.출고현황!W575:AB650,2,0),"")</f>
        <v/>
      </c>
      <c r="H572" s="19" t="str">
        <f>IFERROR(VLOOKUP(G572,케이블트레이입.출고현황!X575:AC650,2,0),"")</f>
        <v/>
      </c>
      <c r="I572" s="19" t="str">
        <f>IFERROR(VLOOKUP(H572,케이블트레이입.출고현황!Y575:AD650,2,0),"")</f>
        <v/>
      </c>
      <c r="J572" s="9">
        <v>1</v>
      </c>
      <c r="K572" s="9"/>
      <c r="L572" s="37"/>
      <c r="M572" s="64"/>
      <c r="N572" s="42"/>
    </row>
    <row r="573" spans="1:14" ht="24" customHeight="1">
      <c r="A573" s="8">
        <v>533</v>
      </c>
      <c r="B573" s="9">
        <v>533</v>
      </c>
      <c r="C573" s="46"/>
      <c r="D573" s="9"/>
      <c r="E573" s="19" t="str">
        <f>IFERROR(VLOOKUP(D573,케이블트레이입.출고현황!U576:Z651,2,0),"")</f>
        <v/>
      </c>
      <c r="F573" s="19" t="str">
        <f>IFERROR(VLOOKUP(E573,케이블트레이입.출고현황!V576:AA651,2,0),"")</f>
        <v/>
      </c>
      <c r="G573" s="19" t="str">
        <f>IFERROR(VLOOKUP(F573,케이블트레이입.출고현황!W576:AB651,2,0),"")</f>
        <v/>
      </c>
      <c r="H573" s="19" t="str">
        <f>IFERROR(VLOOKUP(G573,케이블트레이입.출고현황!X576:AC651,2,0),"")</f>
        <v/>
      </c>
      <c r="I573" s="19" t="str">
        <f>IFERROR(VLOOKUP(H573,케이블트레이입.출고현황!Y576:AD651,2,0),"")</f>
        <v/>
      </c>
      <c r="J573" s="9">
        <v>1</v>
      </c>
      <c r="K573" s="9"/>
      <c r="L573" s="37"/>
      <c r="M573" s="64"/>
      <c r="N573" s="42"/>
    </row>
    <row r="574" spans="1:14" ht="24" customHeight="1">
      <c r="A574" s="8">
        <v>534</v>
      </c>
      <c r="B574" s="9">
        <v>534</v>
      </c>
      <c r="C574" s="46"/>
      <c r="D574" s="9"/>
      <c r="E574" s="19" t="str">
        <f>IFERROR(VLOOKUP(D574,케이블트레이입.출고현황!U577:Z652,2,0),"")</f>
        <v/>
      </c>
      <c r="F574" s="19" t="str">
        <f>IFERROR(VLOOKUP(E574,케이블트레이입.출고현황!V577:AA652,2,0),"")</f>
        <v/>
      </c>
      <c r="G574" s="19" t="str">
        <f>IFERROR(VLOOKUP(F574,케이블트레이입.출고현황!W577:AB652,2,0),"")</f>
        <v/>
      </c>
      <c r="H574" s="19" t="str">
        <f>IFERROR(VLOOKUP(G574,케이블트레이입.출고현황!X577:AC652,2,0),"")</f>
        <v/>
      </c>
      <c r="I574" s="19" t="str">
        <f>IFERROR(VLOOKUP(H574,케이블트레이입.출고현황!Y577:AD652,2,0),"")</f>
        <v/>
      </c>
      <c r="J574" s="9">
        <v>1</v>
      </c>
      <c r="K574" s="9"/>
      <c r="L574" s="37"/>
      <c r="M574" s="64"/>
      <c r="N574" s="42"/>
    </row>
    <row r="575" spans="1:14" ht="24" customHeight="1">
      <c r="A575" s="8">
        <v>535</v>
      </c>
      <c r="B575" s="9">
        <v>535</v>
      </c>
      <c r="C575" s="46"/>
      <c r="D575" s="9"/>
      <c r="E575" s="19" t="str">
        <f>IFERROR(VLOOKUP(D575,케이블트레이입.출고현황!U578:Z653,2,0),"")</f>
        <v/>
      </c>
      <c r="F575" s="19" t="str">
        <f>IFERROR(VLOOKUP(E575,케이블트레이입.출고현황!V578:AA653,2,0),"")</f>
        <v/>
      </c>
      <c r="G575" s="19" t="str">
        <f>IFERROR(VLOOKUP(F575,케이블트레이입.출고현황!W578:AB653,2,0),"")</f>
        <v/>
      </c>
      <c r="H575" s="19" t="str">
        <f>IFERROR(VLOOKUP(G575,케이블트레이입.출고현황!X578:AC653,2,0),"")</f>
        <v/>
      </c>
      <c r="I575" s="19" t="str">
        <f>IFERROR(VLOOKUP(H575,케이블트레이입.출고현황!Y578:AD653,2,0),"")</f>
        <v/>
      </c>
      <c r="J575" s="9">
        <v>2</v>
      </c>
      <c r="K575" s="9"/>
      <c r="L575" s="37"/>
      <c r="M575" s="64"/>
      <c r="N575" s="42"/>
    </row>
    <row r="576" spans="1:14" ht="24" customHeight="1">
      <c r="A576" s="8">
        <v>536</v>
      </c>
      <c r="B576" s="9">
        <v>536</v>
      </c>
      <c r="C576" s="46"/>
      <c r="D576" s="9"/>
      <c r="E576" s="19" t="str">
        <f>IFERROR(VLOOKUP(D576,케이블트레이입.출고현황!U579:Z654,2,0),"")</f>
        <v/>
      </c>
      <c r="F576" s="19" t="str">
        <f>IFERROR(VLOOKUP(E576,케이블트레이입.출고현황!V579:AA654,2,0),"")</f>
        <v/>
      </c>
      <c r="G576" s="19" t="str">
        <f>IFERROR(VLOOKUP(F576,케이블트레이입.출고현황!W579:AB654,2,0),"")</f>
        <v/>
      </c>
      <c r="H576" s="19" t="str">
        <f>IFERROR(VLOOKUP(G576,케이블트레이입.출고현황!X579:AC654,2,0),"")</f>
        <v/>
      </c>
      <c r="I576" s="19" t="str">
        <f>IFERROR(VLOOKUP(H576,케이블트레이입.출고현황!Y579:AD654,2,0),"")</f>
        <v/>
      </c>
      <c r="J576" s="9">
        <v>4</v>
      </c>
      <c r="K576" s="9"/>
      <c r="L576" s="37"/>
      <c r="M576" s="64"/>
      <c r="N576" s="42"/>
    </row>
    <row r="577" spans="1:14" ht="24" customHeight="1">
      <c r="A577" s="8">
        <v>537</v>
      </c>
      <c r="B577" s="9">
        <v>537</v>
      </c>
      <c r="C577" s="46"/>
      <c r="D577" s="9"/>
      <c r="E577" s="19" t="str">
        <f>IFERROR(VLOOKUP(D577,케이블트레이입.출고현황!U580:Z655,2,0),"")</f>
        <v/>
      </c>
      <c r="F577" s="19" t="str">
        <f>IFERROR(VLOOKUP(E577,케이블트레이입.출고현황!V580:AA655,2,0),"")</f>
        <v/>
      </c>
      <c r="G577" s="19" t="str">
        <f>IFERROR(VLOOKUP(F577,케이블트레이입.출고현황!W580:AB655,2,0),"")</f>
        <v/>
      </c>
      <c r="H577" s="19" t="str">
        <f>IFERROR(VLOOKUP(G577,케이블트레이입.출고현황!X580:AC655,2,0),"")</f>
        <v/>
      </c>
      <c r="I577" s="19" t="str">
        <f>IFERROR(VLOOKUP(H577,케이블트레이입.출고현황!Y580:AD655,2,0),"")</f>
        <v/>
      </c>
      <c r="J577" s="9" t="s">
        <v>557</v>
      </c>
      <c r="K577" s="9"/>
      <c r="L577" s="37"/>
      <c r="M577" s="64"/>
      <c r="N577" s="42"/>
    </row>
    <row r="578" spans="1:14" ht="24" customHeight="1">
      <c r="A578" s="8">
        <v>538</v>
      </c>
      <c r="B578" s="9">
        <v>538</v>
      </c>
      <c r="C578" s="46"/>
      <c r="D578" s="9"/>
      <c r="E578" s="19" t="str">
        <f>IFERROR(VLOOKUP(D578,케이블트레이입.출고현황!U581:Z656,2,0),"")</f>
        <v/>
      </c>
      <c r="F578" s="19" t="str">
        <f>IFERROR(VLOOKUP(E578,케이블트레이입.출고현황!V581:AA656,2,0),"")</f>
        <v/>
      </c>
      <c r="G578" s="19" t="str">
        <f>IFERROR(VLOOKUP(F578,케이블트레이입.출고현황!W581:AB656,2,0),"")</f>
        <v/>
      </c>
      <c r="H578" s="19" t="str">
        <f>IFERROR(VLOOKUP(G578,케이블트레이입.출고현황!X581:AC656,2,0),"")</f>
        <v/>
      </c>
      <c r="I578" s="19" t="str">
        <f>IFERROR(VLOOKUP(H578,케이블트레이입.출고현황!Y581:AD656,2,0),"")</f>
        <v/>
      </c>
      <c r="J578" s="9" t="s">
        <v>557</v>
      </c>
      <c r="K578" s="9"/>
      <c r="L578" s="65"/>
      <c r="M578" s="64"/>
      <c r="N578" s="42"/>
    </row>
    <row r="579" spans="1:14" ht="24" customHeight="1">
      <c r="A579" s="8">
        <v>539</v>
      </c>
      <c r="B579" s="9">
        <v>539</v>
      </c>
      <c r="C579" s="46"/>
      <c r="D579" s="9"/>
      <c r="E579" s="19" t="str">
        <f>IFERROR(VLOOKUP(D579,케이블트레이입.출고현황!U582:Z657,2,0),"")</f>
        <v/>
      </c>
      <c r="F579" s="19" t="str">
        <f>IFERROR(VLOOKUP(E579,케이블트레이입.출고현황!V582:AA657,2,0),"")</f>
        <v/>
      </c>
      <c r="G579" s="19" t="str">
        <f>IFERROR(VLOOKUP(F579,케이블트레이입.출고현황!W582:AB657,2,0),"")</f>
        <v/>
      </c>
      <c r="H579" s="19" t="str">
        <f>IFERROR(VLOOKUP(G579,케이블트레이입.출고현황!X582:AC657,2,0),"")</f>
        <v/>
      </c>
      <c r="I579" s="19" t="str">
        <f>IFERROR(VLOOKUP(H579,케이블트레이입.출고현황!Y582:AD657,2,0),"")</f>
        <v/>
      </c>
      <c r="J579" s="9">
        <v>1</v>
      </c>
      <c r="K579" s="9"/>
      <c r="L579" s="37"/>
      <c r="M579" s="64"/>
      <c r="N579" s="42"/>
    </row>
    <row r="580" spans="1:14" ht="24" customHeight="1">
      <c r="A580" s="8">
        <v>540</v>
      </c>
      <c r="B580" s="9">
        <v>540</v>
      </c>
      <c r="C580" s="46"/>
      <c r="D580" s="9"/>
      <c r="E580" s="19" t="str">
        <f>IFERROR(VLOOKUP(D580,케이블트레이입.출고현황!U583:Z658,2,0),"")</f>
        <v/>
      </c>
      <c r="F580" s="19" t="str">
        <f>IFERROR(VLOOKUP(E580,케이블트레이입.출고현황!V583:AA658,2,0),"")</f>
        <v/>
      </c>
      <c r="G580" s="19" t="str">
        <f>IFERROR(VLOOKUP(F580,케이블트레이입.출고현황!W583:AB658,2,0),"")</f>
        <v/>
      </c>
      <c r="H580" s="19" t="str">
        <f>IFERROR(VLOOKUP(G580,케이블트레이입.출고현황!X583:AC658,2,0),"")</f>
        <v/>
      </c>
      <c r="I580" s="19" t="str">
        <f>IFERROR(VLOOKUP(H580,케이블트레이입.출고현황!Y583:AD658,2,0),"")</f>
        <v/>
      </c>
      <c r="J580" s="9">
        <v>1</v>
      </c>
      <c r="K580" s="9"/>
      <c r="L580" s="37"/>
      <c r="M580" s="64"/>
      <c r="N580" s="42"/>
    </row>
    <row r="581" spans="1:14" ht="24" customHeight="1">
      <c r="A581" s="8">
        <v>541</v>
      </c>
      <c r="B581" s="9">
        <v>541</v>
      </c>
      <c r="C581" s="46"/>
      <c r="D581" s="9"/>
      <c r="E581" s="19" t="str">
        <f>IFERROR(VLOOKUP(D581,케이블트레이입.출고현황!U584:Z659,2,0),"")</f>
        <v/>
      </c>
      <c r="F581" s="19" t="str">
        <f>IFERROR(VLOOKUP(E581,케이블트레이입.출고현황!V584:AA659,2,0),"")</f>
        <v/>
      </c>
      <c r="G581" s="19" t="str">
        <f>IFERROR(VLOOKUP(F581,케이블트레이입.출고현황!W584:AB659,2,0),"")</f>
        <v/>
      </c>
      <c r="H581" s="19" t="str">
        <f>IFERROR(VLOOKUP(G581,케이블트레이입.출고현황!X584:AC659,2,0),"")</f>
        <v/>
      </c>
      <c r="I581" s="19" t="str">
        <f>IFERROR(VLOOKUP(H581,케이블트레이입.출고현황!Y584:AD659,2,0),"")</f>
        <v/>
      </c>
      <c r="J581" s="9">
        <v>1</v>
      </c>
      <c r="K581" s="9"/>
      <c r="L581" s="37"/>
      <c r="M581" s="64"/>
      <c r="N581" s="42"/>
    </row>
    <row r="582" spans="1:14" ht="24" customHeight="1">
      <c r="A582" s="8">
        <v>542</v>
      </c>
      <c r="B582" s="9">
        <v>542</v>
      </c>
      <c r="C582" s="46"/>
      <c r="D582" s="9"/>
      <c r="E582" s="19" t="str">
        <f>IFERROR(VLOOKUP(D582,케이블트레이입.출고현황!U585:Z660,2,0),"")</f>
        <v/>
      </c>
      <c r="F582" s="19" t="str">
        <f>IFERROR(VLOOKUP(E582,케이블트레이입.출고현황!V585:AA660,2,0),"")</f>
        <v/>
      </c>
      <c r="G582" s="19" t="str">
        <f>IFERROR(VLOOKUP(F582,케이블트레이입.출고현황!W585:AB660,2,0),"")</f>
        <v/>
      </c>
      <c r="H582" s="19" t="str">
        <f>IFERROR(VLOOKUP(G582,케이블트레이입.출고현황!X585:AC660,2,0),"")</f>
        <v/>
      </c>
      <c r="I582" s="19" t="str">
        <f>IFERROR(VLOOKUP(H582,케이블트레이입.출고현황!Y585:AD660,2,0),"")</f>
        <v/>
      </c>
      <c r="J582" s="9">
        <v>1</v>
      </c>
      <c r="K582" s="9"/>
      <c r="L582" s="37"/>
      <c r="M582" s="64"/>
      <c r="N582" s="42"/>
    </row>
    <row r="583" spans="1:14" ht="24" customHeight="1">
      <c r="A583" s="8">
        <v>543</v>
      </c>
      <c r="B583" s="9">
        <v>543</v>
      </c>
      <c r="C583" s="46"/>
      <c r="D583" s="9"/>
      <c r="E583" s="19" t="str">
        <f>IFERROR(VLOOKUP(D583,케이블트레이입.출고현황!U586:Z661,2,0),"")</f>
        <v/>
      </c>
      <c r="F583" s="19" t="str">
        <f>IFERROR(VLOOKUP(E583,케이블트레이입.출고현황!V586:AA661,2,0),"")</f>
        <v/>
      </c>
      <c r="G583" s="19" t="str">
        <f>IFERROR(VLOOKUP(F583,케이블트레이입.출고현황!W586:AB661,2,0),"")</f>
        <v/>
      </c>
      <c r="H583" s="19" t="str">
        <f>IFERROR(VLOOKUP(G583,케이블트레이입.출고현황!X586:AC661,2,0),"")</f>
        <v/>
      </c>
      <c r="I583" s="19" t="str">
        <f>IFERROR(VLOOKUP(H583,케이블트레이입.출고현황!Y586:AD661,2,0),"")</f>
        <v/>
      </c>
      <c r="J583" s="9" t="s">
        <v>557</v>
      </c>
      <c r="K583" s="9"/>
      <c r="L583" s="37"/>
      <c r="M583" s="64"/>
      <c r="N583" s="42"/>
    </row>
    <row r="584" spans="1:14" ht="24" customHeight="1">
      <c r="A584" s="8">
        <v>544</v>
      </c>
      <c r="B584" s="9">
        <v>544</v>
      </c>
      <c r="C584" s="46"/>
      <c r="D584" s="9"/>
      <c r="E584" s="19" t="str">
        <f>IFERROR(VLOOKUP(D584,케이블트레이입.출고현황!U587:Z662,2,0),"")</f>
        <v/>
      </c>
      <c r="F584" s="19" t="str">
        <f>IFERROR(VLOOKUP(E584,케이블트레이입.출고현황!V587:AA662,2,0),"")</f>
        <v/>
      </c>
      <c r="G584" s="19" t="str">
        <f>IFERROR(VLOOKUP(F584,케이블트레이입.출고현황!W587:AB662,2,0),"")</f>
        <v/>
      </c>
      <c r="H584" s="19" t="str">
        <f>IFERROR(VLOOKUP(G584,케이블트레이입.출고현황!X587:AC662,2,0),"")</f>
        <v/>
      </c>
      <c r="I584" s="19" t="str">
        <f>IFERROR(VLOOKUP(H584,케이블트레이입.출고현황!Y587:AD662,2,0),"")</f>
        <v/>
      </c>
      <c r="J584" s="9" t="s">
        <v>557</v>
      </c>
      <c r="K584" s="9"/>
      <c r="L584" s="65"/>
      <c r="M584" s="64"/>
      <c r="N584" s="42"/>
    </row>
    <row r="585" spans="1:14" ht="24" customHeight="1">
      <c r="A585" s="8">
        <v>545</v>
      </c>
      <c r="B585" s="9">
        <v>545</v>
      </c>
      <c r="C585" s="46"/>
      <c r="D585" s="9"/>
      <c r="E585" s="19" t="str">
        <f>IFERROR(VLOOKUP(D585,케이블트레이입.출고현황!U588:Z663,2,0),"")</f>
        <v/>
      </c>
      <c r="F585" s="19" t="str">
        <f>IFERROR(VLOOKUP(E585,케이블트레이입.출고현황!V588:AA663,2,0),"")</f>
        <v/>
      </c>
      <c r="G585" s="19" t="str">
        <f>IFERROR(VLOOKUP(F585,케이블트레이입.출고현황!W588:AB663,2,0),"")</f>
        <v/>
      </c>
      <c r="H585" s="19" t="str">
        <f>IFERROR(VLOOKUP(G585,케이블트레이입.출고현황!X588:AC663,2,0),"")</f>
        <v/>
      </c>
      <c r="I585" s="19" t="str">
        <f>IFERROR(VLOOKUP(H585,케이블트레이입.출고현황!Y588:AD663,2,0),"")</f>
        <v/>
      </c>
      <c r="J585" s="9">
        <v>1</v>
      </c>
      <c r="K585" s="9"/>
      <c r="L585" s="37"/>
      <c r="M585" s="64"/>
      <c r="N585" s="42"/>
    </row>
    <row r="586" spans="1:14" ht="24" customHeight="1">
      <c r="A586" s="8">
        <v>546</v>
      </c>
      <c r="B586" s="9">
        <v>546</v>
      </c>
      <c r="C586" s="46"/>
      <c r="D586" s="9"/>
      <c r="E586" s="19" t="str">
        <f>IFERROR(VLOOKUP(D586,케이블트레이입.출고현황!U589:Z664,2,0),"")</f>
        <v/>
      </c>
      <c r="F586" s="19" t="str">
        <f>IFERROR(VLOOKUP(E586,케이블트레이입.출고현황!V589:AA664,2,0),"")</f>
        <v/>
      </c>
      <c r="G586" s="19" t="str">
        <f>IFERROR(VLOOKUP(F586,케이블트레이입.출고현황!W589:AB664,2,0),"")</f>
        <v/>
      </c>
      <c r="H586" s="19" t="str">
        <f>IFERROR(VLOOKUP(G586,케이블트레이입.출고현황!X589:AC664,2,0),"")</f>
        <v/>
      </c>
      <c r="I586" s="19" t="str">
        <f>IFERROR(VLOOKUP(H586,케이블트레이입.출고현황!Y589:AD664,2,0),"")</f>
        <v/>
      </c>
      <c r="J586" s="9">
        <v>1</v>
      </c>
      <c r="K586" s="9"/>
      <c r="L586" s="37"/>
      <c r="M586" s="64"/>
      <c r="N586" s="42"/>
    </row>
    <row r="587" spans="1:14" ht="24" customHeight="1">
      <c r="A587" s="8">
        <v>547</v>
      </c>
      <c r="B587" s="9">
        <v>547</v>
      </c>
      <c r="C587" s="46"/>
      <c r="D587" s="9"/>
      <c r="E587" s="19" t="str">
        <f>IFERROR(VLOOKUP(D587,케이블트레이입.출고현황!U590:Z665,2,0),"")</f>
        <v/>
      </c>
      <c r="F587" s="19" t="str">
        <f>IFERROR(VLOOKUP(E587,케이블트레이입.출고현황!V590:AA665,2,0),"")</f>
        <v/>
      </c>
      <c r="G587" s="19" t="str">
        <f>IFERROR(VLOOKUP(F587,케이블트레이입.출고현황!W590:AB665,2,0),"")</f>
        <v/>
      </c>
      <c r="H587" s="19" t="str">
        <f>IFERROR(VLOOKUP(G587,케이블트레이입.출고현황!X590:AC665,2,0),"")</f>
        <v/>
      </c>
      <c r="I587" s="19" t="str">
        <f>IFERROR(VLOOKUP(H587,케이블트레이입.출고현황!Y590:AD665,2,0),"")</f>
        <v/>
      </c>
      <c r="J587" s="9">
        <v>1</v>
      </c>
      <c r="K587" s="9"/>
      <c r="L587" s="65"/>
      <c r="M587" s="64"/>
      <c r="N587" s="42"/>
    </row>
    <row r="588" spans="1:14" ht="24" customHeight="1">
      <c r="A588" s="8">
        <v>548</v>
      </c>
      <c r="B588" s="9">
        <v>548</v>
      </c>
      <c r="C588" s="46"/>
      <c r="D588" s="9"/>
      <c r="E588" s="19" t="str">
        <f>IFERROR(VLOOKUP(D588,케이블트레이입.출고현황!U591:Z666,2,0),"")</f>
        <v/>
      </c>
      <c r="F588" s="19" t="str">
        <f>IFERROR(VLOOKUP(E588,케이블트레이입.출고현황!V591:AA666,2,0),"")</f>
        <v/>
      </c>
      <c r="G588" s="19" t="str">
        <f>IFERROR(VLOOKUP(F588,케이블트레이입.출고현황!W591:AB666,2,0),"")</f>
        <v/>
      </c>
      <c r="H588" s="19" t="str">
        <f>IFERROR(VLOOKUP(G588,케이블트레이입.출고현황!X591:AC666,2,0),"")</f>
        <v/>
      </c>
      <c r="I588" s="19" t="str">
        <f>IFERROR(VLOOKUP(H588,케이블트레이입.출고현황!Y591:AD666,2,0),"")</f>
        <v/>
      </c>
      <c r="J588" s="9">
        <v>3</v>
      </c>
      <c r="K588" s="9"/>
      <c r="L588" s="37"/>
      <c r="M588" s="64"/>
      <c r="N588" s="42"/>
    </row>
    <row r="589" spans="1:14" ht="24" customHeight="1">
      <c r="A589" s="8">
        <v>549</v>
      </c>
      <c r="B589" s="9">
        <v>549</v>
      </c>
      <c r="C589" s="46"/>
      <c r="D589" s="9"/>
      <c r="E589" s="19" t="str">
        <f>IFERROR(VLOOKUP(D589,케이블트레이입.출고현황!U592:Z667,2,0),"")</f>
        <v/>
      </c>
      <c r="F589" s="19" t="str">
        <f>IFERROR(VLOOKUP(E589,케이블트레이입.출고현황!V592:AA667,2,0),"")</f>
        <v/>
      </c>
      <c r="G589" s="19" t="str">
        <f>IFERROR(VLOOKUP(F589,케이블트레이입.출고현황!W592:AB667,2,0),"")</f>
        <v/>
      </c>
      <c r="H589" s="19" t="str">
        <f>IFERROR(VLOOKUP(G589,케이블트레이입.출고현황!X592:AC667,2,0),"")</f>
        <v/>
      </c>
      <c r="I589" s="19" t="str">
        <f>IFERROR(VLOOKUP(H589,케이블트레이입.출고현황!Y592:AD667,2,0),"")</f>
        <v/>
      </c>
      <c r="J589" s="9" t="s">
        <v>557</v>
      </c>
      <c r="K589" s="9"/>
      <c r="L589" s="65"/>
      <c r="M589" s="64"/>
      <c r="N589" s="42"/>
    </row>
    <row r="590" spans="1:14" ht="24" customHeight="1">
      <c r="A590" s="8">
        <v>550</v>
      </c>
      <c r="B590" s="9">
        <v>550</v>
      </c>
      <c r="C590" s="46"/>
      <c r="D590" s="9"/>
      <c r="E590" s="19" t="str">
        <f>IFERROR(VLOOKUP(D590,케이블트레이입.출고현황!U593:Z668,2,0),"")</f>
        <v/>
      </c>
      <c r="F590" s="19" t="str">
        <f>IFERROR(VLOOKUP(E590,케이블트레이입.출고현황!V593:AA668,2,0),"")</f>
        <v/>
      </c>
      <c r="G590" s="19" t="str">
        <f>IFERROR(VLOOKUP(F590,케이블트레이입.출고현황!W593:AB668,2,0),"")</f>
        <v/>
      </c>
      <c r="H590" s="19" t="str">
        <f>IFERROR(VLOOKUP(G590,케이블트레이입.출고현황!X593:AC668,2,0),"")</f>
        <v/>
      </c>
      <c r="I590" s="19" t="str">
        <f>IFERROR(VLOOKUP(H590,케이블트레이입.출고현황!Y593:AD668,2,0),"")</f>
        <v/>
      </c>
      <c r="J590" s="9" t="s">
        <v>557</v>
      </c>
      <c r="K590" s="9"/>
      <c r="L590" s="37"/>
      <c r="M590" s="64"/>
      <c r="N590" s="42"/>
    </row>
    <row r="591" spans="1:14" ht="24" customHeight="1">
      <c r="A591" s="8">
        <v>551</v>
      </c>
      <c r="B591" s="9">
        <v>551</v>
      </c>
      <c r="C591" s="46"/>
      <c r="D591" s="9"/>
      <c r="E591" s="19" t="str">
        <f>IFERROR(VLOOKUP(D591,케이블트레이입.출고현황!U594:Z669,2,0),"")</f>
        <v/>
      </c>
      <c r="F591" s="19" t="str">
        <f>IFERROR(VLOOKUP(E591,케이블트레이입.출고현황!V594:AA669,2,0),"")</f>
        <v/>
      </c>
      <c r="G591" s="19" t="str">
        <f>IFERROR(VLOOKUP(F591,케이블트레이입.출고현황!W594:AB669,2,0),"")</f>
        <v/>
      </c>
      <c r="H591" s="19" t="str">
        <f>IFERROR(VLOOKUP(G591,케이블트레이입.출고현황!X594:AC669,2,0),"")</f>
        <v/>
      </c>
      <c r="I591" s="19" t="str">
        <f>IFERROR(VLOOKUP(H591,케이블트레이입.출고현황!Y594:AD669,2,0),"")</f>
        <v/>
      </c>
      <c r="J591" s="9">
        <v>1</v>
      </c>
      <c r="K591" s="9"/>
      <c r="L591" s="37"/>
      <c r="M591" s="64"/>
      <c r="N591" s="42"/>
    </row>
    <row r="592" spans="1:14" ht="24" customHeight="1">
      <c r="A592" s="8">
        <v>552</v>
      </c>
      <c r="B592" s="9">
        <v>552</v>
      </c>
      <c r="C592" s="46"/>
      <c r="D592" s="9"/>
      <c r="E592" s="19" t="str">
        <f>IFERROR(VLOOKUP(D592,케이블트레이입.출고현황!U595:Z670,2,0),"")</f>
        <v/>
      </c>
      <c r="F592" s="19" t="str">
        <f>IFERROR(VLOOKUP(E592,케이블트레이입.출고현황!V595:AA670,2,0),"")</f>
        <v/>
      </c>
      <c r="G592" s="19" t="str">
        <f>IFERROR(VLOOKUP(F592,케이블트레이입.출고현황!W595:AB670,2,0),"")</f>
        <v/>
      </c>
      <c r="H592" s="19" t="str">
        <f>IFERROR(VLOOKUP(G592,케이블트레이입.출고현황!X595:AC670,2,0),"")</f>
        <v/>
      </c>
      <c r="I592" s="19" t="str">
        <f>IFERROR(VLOOKUP(H592,케이블트레이입.출고현황!Y595:AD670,2,0),"")</f>
        <v/>
      </c>
      <c r="J592" s="9">
        <v>2</v>
      </c>
      <c r="K592" s="9"/>
      <c r="L592" s="37"/>
      <c r="M592" s="64"/>
      <c r="N592" s="42"/>
    </row>
    <row r="593" spans="1:14" ht="24" customHeight="1">
      <c r="A593" s="8">
        <v>553</v>
      </c>
      <c r="B593" s="9">
        <v>553</v>
      </c>
      <c r="C593" s="46"/>
      <c r="D593" s="9"/>
      <c r="E593" s="19" t="str">
        <f>IFERROR(VLOOKUP(D593,케이블트레이입.출고현황!U596:Z671,2,0),"")</f>
        <v/>
      </c>
      <c r="F593" s="19" t="str">
        <f>IFERROR(VLOOKUP(E593,케이블트레이입.출고현황!V596:AA671,2,0),"")</f>
        <v/>
      </c>
      <c r="G593" s="19" t="str">
        <f>IFERROR(VLOOKUP(F593,케이블트레이입.출고현황!W596:AB671,2,0),"")</f>
        <v/>
      </c>
      <c r="H593" s="19" t="str">
        <f>IFERROR(VLOOKUP(G593,케이블트레이입.출고현황!X596:AC671,2,0),"")</f>
        <v/>
      </c>
      <c r="I593" s="19" t="str">
        <f>IFERROR(VLOOKUP(H593,케이블트레이입.출고현황!Y596:AD671,2,0),"")</f>
        <v/>
      </c>
      <c r="J593" s="9">
        <v>4</v>
      </c>
      <c r="K593" s="9"/>
      <c r="L593" s="37"/>
      <c r="M593" s="64"/>
      <c r="N593" s="42"/>
    </row>
    <row r="594" spans="1:14" ht="24" customHeight="1">
      <c r="A594" s="8">
        <v>554</v>
      </c>
      <c r="B594" s="9">
        <v>554</v>
      </c>
      <c r="C594" s="46"/>
      <c r="D594" s="9"/>
      <c r="E594" s="19" t="str">
        <f>IFERROR(VLOOKUP(D594,케이블트레이입.출고현황!U597:Z672,2,0),"")</f>
        <v/>
      </c>
      <c r="F594" s="19" t="str">
        <f>IFERROR(VLOOKUP(E594,케이블트레이입.출고현황!V597:AA672,2,0),"")</f>
        <v/>
      </c>
      <c r="G594" s="19" t="str">
        <f>IFERROR(VLOOKUP(F594,케이블트레이입.출고현황!W597:AB672,2,0),"")</f>
        <v/>
      </c>
      <c r="H594" s="19" t="str">
        <f>IFERROR(VLOOKUP(G594,케이블트레이입.출고현황!X597:AC672,2,0),"")</f>
        <v/>
      </c>
      <c r="I594" s="19" t="str">
        <f>IFERROR(VLOOKUP(H594,케이블트레이입.출고현황!Y597:AD672,2,0),"")</f>
        <v/>
      </c>
      <c r="J594" s="9">
        <v>3</v>
      </c>
      <c r="K594" s="9"/>
      <c r="L594" s="37"/>
      <c r="M594" s="64"/>
      <c r="N594" s="42"/>
    </row>
    <row r="595" spans="1:14" ht="24" customHeight="1">
      <c r="A595" s="8">
        <v>555</v>
      </c>
      <c r="B595" s="9">
        <v>555</v>
      </c>
      <c r="C595" s="46"/>
      <c r="D595" s="9"/>
      <c r="E595" s="19" t="str">
        <f>IFERROR(VLOOKUP(D595,케이블트레이입.출고현황!U598:Z673,2,0),"")</f>
        <v/>
      </c>
      <c r="F595" s="19" t="str">
        <f>IFERROR(VLOOKUP(E595,케이블트레이입.출고현황!V598:AA673,2,0),"")</f>
        <v/>
      </c>
      <c r="G595" s="19" t="str">
        <f>IFERROR(VLOOKUP(F595,케이블트레이입.출고현황!W598:AB673,2,0),"")</f>
        <v/>
      </c>
      <c r="H595" s="19" t="str">
        <f>IFERROR(VLOOKUP(G595,케이블트레이입.출고현황!X598:AC673,2,0),"")</f>
        <v/>
      </c>
      <c r="I595" s="19" t="str">
        <f>IFERROR(VLOOKUP(H595,케이블트레이입.출고현황!Y598:AD673,2,0),"")</f>
        <v/>
      </c>
      <c r="J595" s="9">
        <v>4</v>
      </c>
      <c r="K595" s="9"/>
      <c r="L595" s="37"/>
      <c r="M595" s="64"/>
      <c r="N595" s="42"/>
    </row>
    <row r="596" spans="1:14" ht="24" customHeight="1">
      <c r="A596" s="8">
        <v>556</v>
      </c>
      <c r="B596" s="9">
        <v>556</v>
      </c>
      <c r="C596" s="46"/>
      <c r="D596" s="9"/>
      <c r="E596" s="19" t="str">
        <f>IFERROR(VLOOKUP(D596,케이블트레이입.출고현황!U599:Z674,2,0),"")</f>
        <v/>
      </c>
      <c r="F596" s="19" t="str">
        <f>IFERROR(VLOOKUP(E596,케이블트레이입.출고현황!V599:AA674,2,0),"")</f>
        <v/>
      </c>
      <c r="G596" s="19" t="str">
        <f>IFERROR(VLOOKUP(F596,케이블트레이입.출고현황!W599:AB674,2,0),"")</f>
        <v/>
      </c>
      <c r="H596" s="19" t="str">
        <f>IFERROR(VLOOKUP(G596,케이블트레이입.출고현황!X599:AC674,2,0),"")</f>
        <v/>
      </c>
      <c r="I596" s="19" t="str">
        <f>IFERROR(VLOOKUP(H596,케이블트레이입.출고현황!Y599:AD674,2,0),"")</f>
        <v/>
      </c>
      <c r="J596" s="9">
        <v>2</v>
      </c>
      <c r="K596" s="9"/>
      <c r="L596" s="37"/>
      <c r="M596" s="64"/>
      <c r="N596" s="42"/>
    </row>
    <row r="597" spans="1:14" ht="24" customHeight="1">
      <c r="A597" s="8">
        <v>557</v>
      </c>
      <c r="B597" s="9">
        <v>557</v>
      </c>
      <c r="C597" s="46"/>
      <c r="D597" s="9"/>
      <c r="E597" s="19" t="str">
        <f>IFERROR(VLOOKUP(D597,케이블트레이입.출고현황!U600:Z675,2,0),"")</f>
        <v/>
      </c>
      <c r="F597" s="19" t="str">
        <f>IFERROR(VLOOKUP(E597,케이블트레이입.출고현황!V600:AA675,2,0),"")</f>
        <v/>
      </c>
      <c r="G597" s="19" t="str">
        <f>IFERROR(VLOOKUP(F597,케이블트레이입.출고현황!W600:AB675,2,0),"")</f>
        <v/>
      </c>
      <c r="H597" s="19" t="str">
        <f>IFERROR(VLOOKUP(G597,케이블트레이입.출고현황!X600:AC675,2,0),"")</f>
        <v/>
      </c>
      <c r="I597" s="19" t="str">
        <f>IFERROR(VLOOKUP(H597,케이블트레이입.출고현황!Y600:AD675,2,0),"")</f>
        <v/>
      </c>
      <c r="J597" s="9">
        <v>1</v>
      </c>
      <c r="K597" s="9"/>
      <c r="L597" s="37"/>
      <c r="M597" s="64"/>
      <c r="N597" s="42"/>
    </row>
    <row r="598" spans="1:14" ht="24" customHeight="1">
      <c r="A598" s="8">
        <v>558</v>
      </c>
      <c r="B598" s="9">
        <v>558</v>
      </c>
      <c r="C598" s="46"/>
      <c r="D598" s="9"/>
      <c r="E598" s="19" t="str">
        <f>IFERROR(VLOOKUP(D598,케이블트레이입.출고현황!U601:Z676,2,0),"")</f>
        <v/>
      </c>
      <c r="F598" s="19" t="str">
        <f>IFERROR(VLOOKUP(E598,케이블트레이입.출고현황!V601:AA676,2,0),"")</f>
        <v/>
      </c>
      <c r="G598" s="19" t="str">
        <f>IFERROR(VLOOKUP(F598,케이블트레이입.출고현황!W601:AB676,2,0),"")</f>
        <v/>
      </c>
      <c r="H598" s="19" t="str">
        <f>IFERROR(VLOOKUP(G598,케이블트레이입.출고현황!X601:AC676,2,0),"")</f>
        <v/>
      </c>
      <c r="I598" s="19" t="str">
        <f>IFERROR(VLOOKUP(H598,케이블트레이입.출고현황!Y601:AD676,2,0),"")</f>
        <v/>
      </c>
      <c r="J598" s="9">
        <v>2</v>
      </c>
      <c r="K598" s="9"/>
      <c r="L598" s="37"/>
      <c r="M598" s="64"/>
      <c r="N598" s="42"/>
    </row>
    <row r="599" spans="1:14" ht="24" customHeight="1">
      <c r="A599" s="8">
        <v>559</v>
      </c>
      <c r="B599" s="9">
        <v>559</v>
      </c>
      <c r="C599" s="46"/>
      <c r="D599" s="9"/>
      <c r="E599" s="19" t="str">
        <f>IFERROR(VLOOKUP(D599,케이블트레이입.출고현황!U602:Z677,2,0),"")</f>
        <v/>
      </c>
      <c r="F599" s="19" t="str">
        <f>IFERROR(VLOOKUP(E599,케이블트레이입.출고현황!V602:AA677,2,0),"")</f>
        <v/>
      </c>
      <c r="G599" s="19" t="str">
        <f>IFERROR(VLOOKUP(F599,케이블트레이입.출고현황!W602:AB677,2,0),"")</f>
        <v/>
      </c>
      <c r="H599" s="19" t="str">
        <f>IFERROR(VLOOKUP(G599,케이블트레이입.출고현황!X602:AC677,2,0),"")</f>
        <v/>
      </c>
      <c r="I599" s="19" t="str">
        <f>IFERROR(VLOOKUP(H599,케이블트레이입.출고현황!Y602:AD677,2,0),"")</f>
        <v/>
      </c>
      <c r="J599" s="9">
        <v>3</v>
      </c>
      <c r="K599" s="9"/>
      <c r="L599" s="37"/>
      <c r="M599" s="64"/>
      <c r="N599" s="42"/>
    </row>
    <row r="600" spans="1:14" ht="24" customHeight="1">
      <c r="A600" s="8">
        <v>560</v>
      </c>
      <c r="B600" s="9">
        <v>560</v>
      </c>
      <c r="C600" s="46"/>
      <c r="D600" s="9"/>
      <c r="E600" s="19" t="str">
        <f>IFERROR(VLOOKUP(D600,케이블트레이입.출고현황!U603:Z678,2,0),"")</f>
        <v/>
      </c>
      <c r="F600" s="19" t="str">
        <f>IFERROR(VLOOKUP(E600,케이블트레이입.출고현황!V603:AA678,2,0),"")</f>
        <v/>
      </c>
      <c r="G600" s="19" t="str">
        <f>IFERROR(VLOOKUP(F600,케이블트레이입.출고현황!W603:AB678,2,0),"")</f>
        <v/>
      </c>
      <c r="H600" s="19" t="str">
        <f>IFERROR(VLOOKUP(G600,케이블트레이입.출고현황!X603:AC678,2,0),"")</f>
        <v/>
      </c>
      <c r="I600" s="19" t="str">
        <f>IFERROR(VLOOKUP(H600,케이블트레이입.출고현황!Y603:AD678,2,0),"")</f>
        <v/>
      </c>
      <c r="J600" s="9">
        <v>1</v>
      </c>
      <c r="K600" s="9"/>
      <c r="L600" s="37"/>
      <c r="M600" s="64"/>
      <c r="N600" s="42"/>
    </row>
    <row r="601" spans="1:14" ht="24" customHeight="1">
      <c r="A601" s="8">
        <v>561</v>
      </c>
      <c r="B601" s="9">
        <v>561</v>
      </c>
      <c r="C601" s="46"/>
      <c r="D601" s="9"/>
      <c r="E601" s="19" t="str">
        <f>IFERROR(VLOOKUP(D601,케이블트레이입.출고현황!U604:Z679,2,0),"")</f>
        <v/>
      </c>
      <c r="F601" s="19" t="str">
        <f>IFERROR(VLOOKUP(E601,케이블트레이입.출고현황!V604:AA679,2,0),"")</f>
        <v/>
      </c>
      <c r="G601" s="19" t="str">
        <f>IFERROR(VLOOKUP(F601,케이블트레이입.출고현황!W604:AB679,2,0),"")</f>
        <v/>
      </c>
      <c r="H601" s="19" t="str">
        <f>IFERROR(VLOOKUP(G601,케이블트레이입.출고현황!X604:AC679,2,0),"")</f>
        <v/>
      </c>
      <c r="I601" s="19" t="str">
        <f>IFERROR(VLOOKUP(H601,케이블트레이입.출고현황!Y604:AD679,2,0),"")</f>
        <v/>
      </c>
      <c r="J601" s="9">
        <v>1</v>
      </c>
      <c r="K601" s="9"/>
      <c r="L601" s="37"/>
      <c r="M601" s="64"/>
      <c r="N601" s="42"/>
    </row>
    <row r="602" spans="1:14" ht="24" customHeight="1">
      <c r="A602" s="8">
        <v>562</v>
      </c>
      <c r="B602" s="9">
        <v>562</v>
      </c>
      <c r="C602" s="46"/>
      <c r="D602" s="9"/>
      <c r="E602" s="19" t="str">
        <f>IFERROR(VLOOKUP(D602,케이블트레이입.출고현황!U605:Z680,2,0),"")</f>
        <v/>
      </c>
      <c r="F602" s="19" t="str">
        <f>IFERROR(VLOOKUP(E602,케이블트레이입.출고현황!V605:AA680,2,0),"")</f>
        <v/>
      </c>
      <c r="G602" s="19" t="str">
        <f>IFERROR(VLOOKUP(F602,케이블트레이입.출고현황!W605:AB680,2,0),"")</f>
        <v/>
      </c>
      <c r="H602" s="19" t="str">
        <f>IFERROR(VLOOKUP(G602,케이블트레이입.출고현황!X605:AC680,2,0),"")</f>
        <v/>
      </c>
      <c r="I602" s="19" t="str">
        <f>IFERROR(VLOOKUP(H602,케이블트레이입.출고현황!Y605:AD680,2,0),"")</f>
        <v/>
      </c>
      <c r="J602" s="9">
        <v>2</v>
      </c>
      <c r="K602" s="9"/>
      <c r="L602" s="37"/>
      <c r="M602" s="64"/>
      <c r="N602" s="42"/>
    </row>
    <row r="603" spans="1:14" ht="24" customHeight="1">
      <c r="A603" s="8">
        <v>563</v>
      </c>
      <c r="B603" s="9">
        <v>563</v>
      </c>
      <c r="C603" s="46"/>
      <c r="D603" s="9"/>
      <c r="E603" s="19" t="str">
        <f>IFERROR(VLOOKUP(D603,케이블트레이입.출고현황!U606:Z681,2,0),"")</f>
        <v/>
      </c>
      <c r="F603" s="19" t="str">
        <f>IFERROR(VLOOKUP(E603,케이블트레이입.출고현황!V606:AA681,2,0),"")</f>
        <v/>
      </c>
      <c r="G603" s="19" t="str">
        <f>IFERROR(VLOOKUP(F603,케이블트레이입.출고현황!W606:AB681,2,0),"")</f>
        <v/>
      </c>
      <c r="H603" s="19" t="str">
        <f>IFERROR(VLOOKUP(G603,케이블트레이입.출고현황!X606:AC681,2,0),"")</f>
        <v/>
      </c>
      <c r="I603" s="19" t="str">
        <f>IFERROR(VLOOKUP(H603,케이블트레이입.출고현황!Y606:AD681,2,0),"")</f>
        <v/>
      </c>
      <c r="J603" s="9">
        <v>2</v>
      </c>
      <c r="K603" s="9"/>
      <c r="L603" s="37"/>
      <c r="M603" s="64"/>
      <c r="N603" s="42"/>
    </row>
    <row r="604" spans="1:14" ht="24" customHeight="1">
      <c r="A604" s="8">
        <v>564</v>
      </c>
      <c r="B604" s="9">
        <v>564</v>
      </c>
      <c r="C604" s="46"/>
      <c r="D604" s="9"/>
      <c r="E604" s="19" t="str">
        <f>IFERROR(VLOOKUP(D604,케이블트레이입.출고현황!U607:Z682,2,0),"")</f>
        <v/>
      </c>
      <c r="F604" s="19" t="str">
        <f>IFERROR(VLOOKUP(E604,케이블트레이입.출고현황!V607:AA682,2,0),"")</f>
        <v/>
      </c>
      <c r="G604" s="19" t="str">
        <f>IFERROR(VLOOKUP(F604,케이블트레이입.출고현황!W607:AB682,2,0),"")</f>
        <v/>
      </c>
      <c r="H604" s="19" t="str">
        <f>IFERROR(VLOOKUP(G604,케이블트레이입.출고현황!X607:AC682,2,0),"")</f>
        <v/>
      </c>
      <c r="I604" s="19" t="str">
        <f>IFERROR(VLOOKUP(H604,케이블트레이입.출고현황!Y607:AD682,2,0),"")</f>
        <v/>
      </c>
      <c r="J604" s="9">
        <v>1</v>
      </c>
      <c r="K604" s="9"/>
      <c r="L604" s="37"/>
      <c r="M604" s="64"/>
      <c r="N604" s="42"/>
    </row>
    <row r="605" spans="1:14" ht="24" customHeight="1">
      <c r="A605" s="8">
        <v>565</v>
      </c>
      <c r="B605" s="9">
        <v>565</v>
      </c>
      <c r="C605" s="46"/>
      <c r="D605" s="9"/>
      <c r="E605" s="19" t="str">
        <f>IFERROR(VLOOKUP(D605,케이블트레이입.출고현황!U608:Z683,2,0),"")</f>
        <v/>
      </c>
      <c r="F605" s="19" t="str">
        <f>IFERROR(VLOOKUP(E605,케이블트레이입.출고현황!V608:AA683,2,0),"")</f>
        <v/>
      </c>
      <c r="G605" s="19" t="str">
        <f>IFERROR(VLOOKUP(F605,케이블트레이입.출고현황!W608:AB683,2,0),"")</f>
        <v/>
      </c>
      <c r="H605" s="19" t="str">
        <f>IFERROR(VLOOKUP(G605,케이블트레이입.출고현황!X608:AC683,2,0),"")</f>
        <v/>
      </c>
      <c r="I605" s="19" t="str">
        <f>IFERROR(VLOOKUP(H605,케이블트레이입.출고현황!Y608:AD683,2,0),"")</f>
        <v/>
      </c>
      <c r="J605" s="9">
        <v>1</v>
      </c>
      <c r="K605" s="9"/>
      <c r="L605" s="37"/>
      <c r="M605" s="64"/>
      <c r="N605" s="42"/>
    </row>
    <row r="606" spans="1:14" ht="24" customHeight="1">
      <c r="A606" s="8">
        <v>566</v>
      </c>
      <c r="B606" s="9">
        <v>566</v>
      </c>
      <c r="C606" s="46"/>
      <c r="D606" s="9"/>
      <c r="E606" s="19" t="str">
        <f>IFERROR(VLOOKUP(D606,케이블트레이입.출고현황!U609:Z684,2,0),"")</f>
        <v/>
      </c>
      <c r="F606" s="19" t="str">
        <f>IFERROR(VLOOKUP(E606,케이블트레이입.출고현황!V609:AA684,2,0),"")</f>
        <v/>
      </c>
      <c r="G606" s="19" t="str">
        <f>IFERROR(VLOOKUP(F606,케이블트레이입.출고현황!W609:AB684,2,0),"")</f>
        <v/>
      </c>
      <c r="H606" s="19" t="str">
        <f>IFERROR(VLOOKUP(G606,케이블트레이입.출고현황!X609:AC684,2,0),"")</f>
        <v/>
      </c>
      <c r="I606" s="19" t="str">
        <f>IFERROR(VLOOKUP(H606,케이블트레이입.출고현황!Y609:AD684,2,0),"")</f>
        <v/>
      </c>
      <c r="J606" s="9">
        <v>3</v>
      </c>
      <c r="K606" s="9"/>
      <c r="L606" s="37"/>
      <c r="M606" s="64"/>
      <c r="N606" s="42"/>
    </row>
    <row r="607" spans="1:14" ht="24" customHeight="1">
      <c r="A607" s="8">
        <v>567</v>
      </c>
      <c r="B607" s="9">
        <v>567</v>
      </c>
      <c r="C607" s="46"/>
      <c r="D607" s="9"/>
      <c r="E607" s="19" t="str">
        <f>IFERROR(VLOOKUP(D607,케이블트레이입.출고현황!U610:Z685,2,0),"")</f>
        <v/>
      </c>
      <c r="F607" s="19" t="str">
        <f>IFERROR(VLOOKUP(E607,케이블트레이입.출고현황!V610:AA685,2,0),"")</f>
        <v/>
      </c>
      <c r="G607" s="19" t="str">
        <f>IFERROR(VLOOKUP(F607,케이블트레이입.출고현황!W610:AB685,2,0),"")</f>
        <v/>
      </c>
      <c r="H607" s="19" t="str">
        <f>IFERROR(VLOOKUP(G607,케이블트레이입.출고현황!X610:AC685,2,0),"")</f>
        <v/>
      </c>
      <c r="I607" s="19" t="str">
        <f>IFERROR(VLOOKUP(H607,케이블트레이입.출고현황!Y610:AD685,2,0),"")</f>
        <v/>
      </c>
      <c r="J607" s="9">
        <v>2</v>
      </c>
      <c r="K607" s="9"/>
      <c r="L607" s="37"/>
      <c r="M607" s="64"/>
      <c r="N607" s="42"/>
    </row>
    <row r="608" spans="1:14" ht="24" customHeight="1">
      <c r="A608" s="8">
        <v>568</v>
      </c>
      <c r="B608" s="9">
        <v>568</v>
      </c>
      <c r="C608" s="46"/>
      <c r="D608" s="9"/>
      <c r="E608" s="19" t="str">
        <f>IFERROR(VLOOKUP(D608,케이블트레이입.출고현황!U611:Z686,2,0),"")</f>
        <v/>
      </c>
      <c r="F608" s="19" t="str">
        <f>IFERROR(VLOOKUP(E608,케이블트레이입.출고현황!V611:AA686,2,0),"")</f>
        <v/>
      </c>
      <c r="G608" s="19" t="str">
        <f>IFERROR(VLOOKUP(F608,케이블트레이입.출고현황!W611:AB686,2,0),"")</f>
        <v/>
      </c>
      <c r="H608" s="19" t="str">
        <f>IFERROR(VLOOKUP(G608,케이블트레이입.출고현황!X611:AC686,2,0),"")</f>
        <v/>
      </c>
      <c r="I608" s="19" t="str">
        <f>IFERROR(VLOOKUP(H608,케이블트레이입.출고현황!Y611:AD686,2,0),"")</f>
        <v/>
      </c>
      <c r="J608" s="9">
        <v>3</v>
      </c>
      <c r="K608" s="9"/>
      <c r="L608" s="37"/>
      <c r="M608" s="64"/>
      <c r="N608" s="42"/>
    </row>
    <row r="609" spans="1:14" ht="24" customHeight="1">
      <c r="A609" s="8">
        <v>569</v>
      </c>
      <c r="B609" s="9">
        <v>569</v>
      </c>
      <c r="C609" s="46"/>
      <c r="D609" s="9"/>
      <c r="E609" s="19" t="str">
        <f>IFERROR(VLOOKUP(D609,케이블트레이입.출고현황!U612:Z687,2,0),"")</f>
        <v/>
      </c>
      <c r="F609" s="19" t="str">
        <f>IFERROR(VLOOKUP(E609,케이블트레이입.출고현황!V612:AA687,2,0),"")</f>
        <v/>
      </c>
      <c r="G609" s="19" t="str">
        <f>IFERROR(VLOOKUP(F609,케이블트레이입.출고현황!W612:AB687,2,0),"")</f>
        <v/>
      </c>
      <c r="H609" s="19" t="str">
        <f>IFERROR(VLOOKUP(G609,케이블트레이입.출고현황!X612:AC687,2,0),"")</f>
        <v/>
      </c>
      <c r="I609" s="19" t="str">
        <f>IFERROR(VLOOKUP(H609,케이블트레이입.출고현황!Y612:AD687,2,0),"")</f>
        <v/>
      </c>
      <c r="J609" s="9">
        <v>1</v>
      </c>
      <c r="K609" s="9"/>
      <c r="L609" s="37"/>
      <c r="M609" s="64"/>
      <c r="N609" s="42"/>
    </row>
    <row r="610" spans="1:14" ht="24" customHeight="1">
      <c r="A610" s="8">
        <v>570</v>
      </c>
      <c r="B610" s="9">
        <v>570</v>
      </c>
      <c r="C610" s="46"/>
      <c r="D610" s="9"/>
      <c r="E610" s="19" t="str">
        <f>IFERROR(VLOOKUP(D610,케이블트레이입.출고현황!U613:Z688,2,0),"")</f>
        <v/>
      </c>
      <c r="F610" s="19" t="str">
        <f>IFERROR(VLOOKUP(E610,케이블트레이입.출고현황!V613:AA688,2,0),"")</f>
        <v/>
      </c>
      <c r="G610" s="19" t="str">
        <f>IFERROR(VLOOKUP(F610,케이블트레이입.출고현황!W613:AB688,2,0),"")</f>
        <v/>
      </c>
      <c r="H610" s="19" t="str">
        <f>IFERROR(VLOOKUP(G610,케이블트레이입.출고현황!X613:AC688,2,0),"")</f>
        <v/>
      </c>
      <c r="I610" s="19" t="str">
        <f>IFERROR(VLOOKUP(H610,케이블트레이입.출고현황!Y613:AD688,2,0),"")</f>
        <v/>
      </c>
      <c r="J610" s="9">
        <v>1</v>
      </c>
      <c r="K610" s="9"/>
      <c r="L610" s="37"/>
      <c r="M610" s="64"/>
      <c r="N610" s="42"/>
    </row>
    <row r="611" spans="1:14" ht="24" customHeight="1">
      <c r="A611" s="8">
        <v>571</v>
      </c>
      <c r="B611" s="9">
        <v>571</v>
      </c>
      <c r="C611" s="46"/>
      <c r="D611" s="9"/>
      <c r="E611" s="19" t="str">
        <f>IFERROR(VLOOKUP(D611,케이블트레이입.출고현황!U614:Z689,2,0),"")</f>
        <v/>
      </c>
      <c r="F611" s="19" t="str">
        <f>IFERROR(VLOOKUP(E611,케이블트레이입.출고현황!V614:AA689,2,0),"")</f>
        <v/>
      </c>
      <c r="G611" s="19" t="str">
        <f>IFERROR(VLOOKUP(F611,케이블트레이입.출고현황!W614:AB689,2,0),"")</f>
        <v/>
      </c>
      <c r="H611" s="19" t="str">
        <f>IFERROR(VLOOKUP(G611,케이블트레이입.출고현황!X614:AC689,2,0),"")</f>
        <v/>
      </c>
      <c r="I611" s="19" t="str">
        <f>IFERROR(VLOOKUP(H611,케이블트레이입.출고현황!Y614:AD689,2,0),"")</f>
        <v/>
      </c>
      <c r="J611" s="9">
        <v>2</v>
      </c>
      <c r="K611" s="9"/>
      <c r="L611" s="37"/>
      <c r="M611" s="64"/>
      <c r="N611" s="42"/>
    </row>
    <row r="612" spans="1:14" ht="24" customHeight="1">
      <c r="A612" s="8">
        <v>572</v>
      </c>
      <c r="B612" s="9">
        <v>572</v>
      </c>
      <c r="C612" s="46"/>
      <c r="D612" s="9"/>
      <c r="E612" s="19" t="str">
        <f>IFERROR(VLOOKUP(D612,케이블트레이입.출고현황!U615:Z690,2,0),"")</f>
        <v/>
      </c>
      <c r="F612" s="19" t="str">
        <f>IFERROR(VLOOKUP(E612,케이블트레이입.출고현황!V615:AA690,2,0),"")</f>
        <v/>
      </c>
      <c r="G612" s="19" t="str">
        <f>IFERROR(VLOOKUP(F612,케이블트레이입.출고현황!W615:AB690,2,0),"")</f>
        <v/>
      </c>
      <c r="H612" s="19" t="str">
        <f>IFERROR(VLOOKUP(G612,케이블트레이입.출고현황!X615:AC690,2,0),"")</f>
        <v/>
      </c>
      <c r="I612" s="19" t="str">
        <f>IFERROR(VLOOKUP(H612,케이블트레이입.출고현황!Y615:AD690,2,0),"")</f>
        <v/>
      </c>
      <c r="J612" s="9">
        <v>3</v>
      </c>
      <c r="K612" s="9"/>
      <c r="L612" s="37"/>
      <c r="M612" s="64"/>
      <c r="N612" s="42"/>
    </row>
    <row r="613" spans="1:14" ht="24" customHeight="1">
      <c r="A613" s="8">
        <v>573</v>
      </c>
      <c r="B613" s="9">
        <v>573</v>
      </c>
      <c r="C613" s="46"/>
      <c r="D613" s="9"/>
      <c r="E613" s="19" t="str">
        <f>IFERROR(VLOOKUP(D613,케이블트레이입.출고현황!U616:Z691,2,0),"")</f>
        <v/>
      </c>
      <c r="F613" s="19" t="str">
        <f>IFERROR(VLOOKUP(E613,케이블트레이입.출고현황!V616:AA691,2,0),"")</f>
        <v/>
      </c>
      <c r="G613" s="19" t="str">
        <f>IFERROR(VLOOKUP(F613,케이블트레이입.출고현황!W616:AB691,2,0),"")</f>
        <v/>
      </c>
      <c r="H613" s="19" t="str">
        <f>IFERROR(VLOOKUP(G613,케이블트레이입.출고현황!X616:AC691,2,0),"")</f>
        <v/>
      </c>
      <c r="I613" s="19" t="str">
        <f>IFERROR(VLOOKUP(H613,케이블트레이입.출고현황!Y616:AD691,2,0),"")</f>
        <v/>
      </c>
      <c r="J613" s="9">
        <v>1</v>
      </c>
      <c r="K613" s="9"/>
      <c r="L613" s="37"/>
      <c r="M613" s="64"/>
      <c r="N613" s="42"/>
    </row>
    <row r="614" spans="1:14" ht="24" customHeight="1">
      <c r="A614" s="8">
        <v>574</v>
      </c>
      <c r="B614" s="9">
        <v>574</v>
      </c>
      <c r="C614" s="46"/>
      <c r="D614" s="9"/>
      <c r="E614" s="19" t="str">
        <f>IFERROR(VLOOKUP(D614,케이블트레이입.출고현황!U617:Z692,2,0),"")</f>
        <v/>
      </c>
      <c r="F614" s="19" t="str">
        <f>IFERROR(VLOOKUP(E614,케이블트레이입.출고현황!V617:AA692,2,0),"")</f>
        <v/>
      </c>
      <c r="G614" s="19" t="str">
        <f>IFERROR(VLOOKUP(F614,케이블트레이입.출고현황!W617:AB692,2,0),"")</f>
        <v/>
      </c>
      <c r="H614" s="19" t="str">
        <f>IFERROR(VLOOKUP(G614,케이블트레이입.출고현황!X617:AC692,2,0),"")</f>
        <v/>
      </c>
      <c r="I614" s="19" t="str">
        <f>IFERROR(VLOOKUP(H614,케이블트레이입.출고현황!Y617:AD692,2,0),"")</f>
        <v/>
      </c>
      <c r="J614" s="9">
        <v>4</v>
      </c>
      <c r="K614" s="9"/>
      <c r="L614" s="37"/>
      <c r="M614" s="64"/>
      <c r="N614" s="42"/>
    </row>
    <row r="615" spans="1:14" ht="24" customHeight="1">
      <c r="A615" s="8">
        <v>575</v>
      </c>
      <c r="B615" s="9">
        <v>575</v>
      </c>
      <c r="C615" s="46"/>
      <c r="D615" s="9"/>
      <c r="E615" s="19" t="str">
        <f>IFERROR(VLOOKUP(D615,케이블트레이입.출고현황!U618:Z693,2,0),"")</f>
        <v/>
      </c>
      <c r="F615" s="19" t="str">
        <f>IFERROR(VLOOKUP(E615,케이블트레이입.출고현황!V618:AA693,2,0),"")</f>
        <v/>
      </c>
      <c r="G615" s="19" t="str">
        <f>IFERROR(VLOOKUP(F615,케이블트레이입.출고현황!W618:AB693,2,0),"")</f>
        <v/>
      </c>
      <c r="H615" s="19" t="str">
        <f>IFERROR(VLOOKUP(G615,케이블트레이입.출고현황!X618:AC693,2,0),"")</f>
        <v/>
      </c>
      <c r="I615" s="19" t="str">
        <f>IFERROR(VLOOKUP(H615,케이블트레이입.출고현황!Y618:AD693,2,0),"")</f>
        <v/>
      </c>
      <c r="J615" s="9">
        <v>2</v>
      </c>
      <c r="K615" s="9"/>
      <c r="L615" s="37"/>
      <c r="M615" s="64"/>
      <c r="N615" s="42"/>
    </row>
    <row r="616" spans="1:14" ht="24" customHeight="1">
      <c r="A616" s="8">
        <v>576</v>
      </c>
      <c r="B616" s="9">
        <v>576</v>
      </c>
      <c r="C616" s="46"/>
      <c r="D616" s="9"/>
      <c r="E616" s="19" t="str">
        <f>IFERROR(VLOOKUP(D616,케이블트레이입.출고현황!U619:Z694,2,0),"")</f>
        <v/>
      </c>
      <c r="F616" s="19" t="str">
        <f>IFERROR(VLOOKUP(E616,케이블트레이입.출고현황!V619:AA694,2,0),"")</f>
        <v/>
      </c>
      <c r="G616" s="19" t="str">
        <f>IFERROR(VLOOKUP(F616,케이블트레이입.출고현황!W619:AB694,2,0),"")</f>
        <v/>
      </c>
      <c r="H616" s="19" t="str">
        <f>IFERROR(VLOOKUP(G616,케이블트레이입.출고현황!X619:AC694,2,0),"")</f>
        <v/>
      </c>
      <c r="I616" s="19" t="str">
        <f>IFERROR(VLOOKUP(H616,케이블트레이입.출고현황!Y619:AD694,2,0),"")</f>
        <v/>
      </c>
      <c r="J616" s="9">
        <v>1</v>
      </c>
      <c r="K616" s="9"/>
      <c r="L616" s="37"/>
      <c r="M616" s="64"/>
      <c r="N616" s="42"/>
    </row>
    <row r="617" spans="1:14" ht="24" customHeight="1">
      <c r="A617" s="8">
        <v>577</v>
      </c>
      <c r="B617" s="9">
        <v>577</v>
      </c>
      <c r="C617" s="46"/>
      <c r="D617" s="9"/>
      <c r="E617" s="19" t="str">
        <f>IFERROR(VLOOKUP(D617,케이블트레이입.출고현황!U620:Z695,2,0),"")</f>
        <v/>
      </c>
      <c r="F617" s="19" t="str">
        <f>IFERROR(VLOOKUP(E617,케이블트레이입.출고현황!V620:AA695,2,0),"")</f>
        <v/>
      </c>
      <c r="G617" s="19" t="str">
        <f>IFERROR(VLOOKUP(F617,케이블트레이입.출고현황!W620:AB695,2,0),"")</f>
        <v/>
      </c>
      <c r="H617" s="19" t="str">
        <f>IFERROR(VLOOKUP(G617,케이블트레이입.출고현황!X620:AC695,2,0),"")</f>
        <v/>
      </c>
      <c r="I617" s="19" t="str">
        <f>IFERROR(VLOOKUP(H617,케이블트레이입.출고현황!Y620:AD695,2,0),"")</f>
        <v/>
      </c>
      <c r="J617" s="9">
        <v>2</v>
      </c>
      <c r="K617" s="9"/>
      <c r="L617" s="37"/>
      <c r="M617" s="64"/>
      <c r="N617" s="42"/>
    </row>
    <row r="618" spans="1:14" ht="24" customHeight="1">
      <c r="A618" s="8">
        <v>578</v>
      </c>
      <c r="B618" s="9">
        <v>578</v>
      </c>
      <c r="C618" s="46"/>
      <c r="D618" s="9"/>
      <c r="E618" s="19" t="str">
        <f>IFERROR(VLOOKUP(D618,케이블트레이입.출고현황!U621:Z696,2,0),"")</f>
        <v/>
      </c>
      <c r="F618" s="19" t="str">
        <f>IFERROR(VLOOKUP(E618,케이블트레이입.출고현황!V621:AA696,2,0),"")</f>
        <v/>
      </c>
      <c r="G618" s="19" t="str">
        <f>IFERROR(VLOOKUP(F618,케이블트레이입.출고현황!W621:AB696,2,0),"")</f>
        <v/>
      </c>
      <c r="H618" s="19" t="str">
        <f>IFERROR(VLOOKUP(G618,케이블트레이입.출고현황!X621:AC696,2,0),"")</f>
        <v/>
      </c>
      <c r="I618" s="19" t="str">
        <f>IFERROR(VLOOKUP(H618,케이블트레이입.출고현황!Y621:AD696,2,0),"")</f>
        <v/>
      </c>
      <c r="J618" s="9">
        <v>3</v>
      </c>
      <c r="K618" s="9"/>
      <c r="L618" s="37"/>
      <c r="M618" s="64"/>
      <c r="N618" s="42"/>
    </row>
    <row r="619" spans="1:14" ht="24" customHeight="1">
      <c r="A619" s="8">
        <v>579</v>
      </c>
      <c r="B619" s="9">
        <v>579</v>
      </c>
      <c r="C619" s="46"/>
      <c r="D619" s="9"/>
      <c r="E619" s="19" t="str">
        <f>IFERROR(VLOOKUP(D619,케이블트레이입.출고현황!U622:Z697,2,0),"")</f>
        <v/>
      </c>
      <c r="F619" s="19" t="str">
        <f>IFERROR(VLOOKUP(E619,케이블트레이입.출고현황!V622:AA697,2,0),"")</f>
        <v/>
      </c>
      <c r="G619" s="19" t="str">
        <f>IFERROR(VLOOKUP(F619,케이블트레이입.출고현황!W622:AB697,2,0),"")</f>
        <v/>
      </c>
      <c r="H619" s="19" t="str">
        <f>IFERROR(VLOOKUP(G619,케이블트레이입.출고현황!X622:AC697,2,0),"")</f>
        <v/>
      </c>
      <c r="I619" s="19" t="str">
        <f>IFERROR(VLOOKUP(H619,케이블트레이입.출고현황!Y622:AD697,2,0),"")</f>
        <v/>
      </c>
      <c r="J619" s="9">
        <v>1</v>
      </c>
      <c r="K619" s="9"/>
      <c r="L619" s="37"/>
      <c r="M619" s="64"/>
      <c r="N619" s="42"/>
    </row>
    <row r="620" spans="1:14" ht="24" customHeight="1">
      <c r="A620" s="8">
        <v>580</v>
      </c>
      <c r="B620" s="9">
        <v>580</v>
      </c>
      <c r="C620" s="46"/>
      <c r="D620" s="9"/>
      <c r="E620" s="19" t="str">
        <f>IFERROR(VLOOKUP(D620,케이블트레이입.출고현황!U623:Z698,2,0),"")</f>
        <v/>
      </c>
      <c r="F620" s="19" t="str">
        <f>IFERROR(VLOOKUP(E620,케이블트레이입.출고현황!V623:AA698,2,0),"")</f>
        <v/>
      </c>
      <c r="G620" s="19" t="str">
        <f>IFERROR(VLOOKUP(F620,케이블트레이입.출고현황!W623:AB698,2,0),"")</f>
        <v/>
      </c>
      <c r="H620" s="19" t="str">
        <f>IFERROR(VLOOKUP(G620,케이블트레이입.출고현황!X623:AC698,2,0),"")</f>
        <v/>
      </c>
      <c r="I620" s="19" t="str">
        <f>IFERROR(VLOOKUP(H620,케이블트레이입.출고현황!Y623:AD698,2,0),"")</f>
        <v/>
      </c>
      <c r="J620" s="9">
        <v>1</v>
      </c>
      <c r="K620" s="9"/>
      <c r="L620" s="37"/>
      <c r="M620" s="64"/>
      <c r="N620" s="42"/>
    </row>
    <row r="621" spans="1:14" ht="24" customHeight="1">
      <c r="A621" s="8">
        <v>581</v>
      </c>
      <c r="B621" s="9">
        <v>581</v>
      </c>
      <c r="C621" s="46"/>
      <c r="D621" s="9"/>
      <c r="E621" s="19" t="str">
        <f>IFERROR(VLOOKUP(D621,케이블트레이입.출고현황!U624:Z699,2,0),"")</f>
        <v/>
      </c>
      <c r="F621" s="19" t="str">
        <f>IFERROR(VLOOKUP(E621,케이블트레이입.출고현황!V624:AA699,2,0),"")</f>
        <v/>
      </c>
      <c r="G621" s="19" t="str">
        <f>IFERROR(VLOOKUP(F621,케이블트레이입.출고현황!W624:AB699,2,0),"")</f>
        <v/>
      </c>
      <c r="H621" s="19" t="str">
        <f>IFERROR(VLOOKUP(G621,케이블트레이입.출고현황!X624:AC699,2,0),"")</f>
        <v/>
      </c>
      <c r="I621" s="19" t="str">
        <f>IFERROR(VLOOKUP(H621,케이블트레이입.출고현황!Y624:AD699,2,0),"")</f>
        <v/>
      </c>
      <c r="J621" s="9">
        <v>1</v>
      </c>
      <c r="K621" s="9"/>
      <c r="L621" s="37"/>
      <c r="M621" s="64"/>
      <c r="N621" s="42"/>
    </row>
    <row r="622" spans="1:14" ht="24" customHeight="1">
      <c r="A622" s="8">
        <v>582</v>
      </c>
      <c r="B622" s="9">
        <v>582</v>
      </c>
      <c r="C622" s="46"/>
      <c r="D622" s="9"/>
      <c r="E622" s="19" t="str">
        <f>IFERROR(VLOOKUP(D622,케이블트레이입.출고현황!U625:Z700,2,0),"")</f>
        <v/>
      </c>
      <c r="F622" s="19" t="str">
        <f>IFERROR(VLOOKUP(E622,케이블트레이입.출고현황!V625:AA700,2,0),"")</f>
        <v/>
      </c>
      <c r="G622" s="19" t="str">
        <f>IFERROR(VLOOKUP(F622,케이블트레이입.출고현황!W625:AB700,2,0),"")</f>
        <v/>
      </c>
      <c r="H622" s="19" t="str">
        <f>IFERROR(VLOOKUP(G622,케이블트레이입.출고현황!X625:AC700,2,0),"")</f>
        <v/>
      </c>
      <c r="I622" s="19" t="str">
        <f>IFERROR(VLOOKUP(H622,케이블트레이입.출고현황!Y625:AD700,2,0),"")</f>
        <v/>
      </c>
      <c r="J622" s="9">
        <v>3</v>
      </c>
      <c r="K622" s="9"/>
      <c r="L622" s="37"/>
      <c r="M622" s="64"/>
      <c r="N622" s="42"/>
    </row>
    <row r="623" spans="1:14" ht="24" customHeight="1">
      <c r="A623" s="8">
        <v>583</v>
      </c>
      <c r="B623" s="9">
        <v>583</v>
      </c>
      <c r="C623" s="46"/>
      <c r="D623" s="9"/>
      <c r="E623" s="19" t="str">
        <f>IFERROR(VLOOKUP(D623,케이블트레이입.출고현황!U626:Z701,2,0),"")</f>
        <v/>
      </c>
      <c r="F623" s="19" t="str">
        <f>IFERROR(VLOOKUP(E623,케이블트레이입.출고현황!V626:AA701,2,0),"")</f>
        <v/>
      </c>
      <c r="G623" s="19" t="str">
        <f>IFERROR(VLOOKUP(F623,케이블트레이입.출고현황!W626:AB701,2,0),"")</f>
        <v/>
      </c>
      <c r="H623" s="19" t="str">
        <f>IFERROR(VLOOKUP(G623,케이블트레이입.출고현황!X626:AC701,2,0),"")</f>
        <v/>
      </c>
      <c r="I623" s="19" t="str">
        <f>IFERROR(VLOOKUP(H623,케이블트레이입.출고현황!Y626:AD701,2,0),"")</f>
        <v/>
      </c>
      <c r="J623" s="9">
        <v>2</v>
      </c>
      <c r="K623" s="9"/>
      <c r="L623" s="37"/>
      <c r="M623" s="64"/>
      <c r="N623" s="42"/>
    </row>
    <row r="624" spans="1:14" ht="24" customHeight="1">
      <c r="A624" s="8">
        <v>584</v>
      </c>
      <c r="B624" s="9">
        <v>584</v>
      </c>
      <c r="C624" s="46"/>
      <c r="D624" s="9"/>
      <c r="E624" s="19" t="str">
        <f>IFERROR(VLOOKUP(D624,케이블트레이입.출고현황!U627:Z702,2,0),"")</f>
        <v/>
      </c>
      <c r="F624" s="19" t="str">
        <f>IFERROR(VLOOKUP(E624,케이블트레이입.출고현황!V627:AA702,2,0),"")</f>
        <v/>
      </c>
      <c r="G624" s="19" t="str">
        <f>IFERROR(VLOOKUP(F624,케이블트레이입.출고현황!W627:AB702,2,0),"")</f>
        <v/>
      </c>
      <c r="H624" s="19" t="str">
        <f>IFERROR(VLOOKUP(G624,케이블트레이입.출고현황!X627:AC702,2,0),"")</f>
        <v/>
      </c>
      <c r="I624" s="19" t="str">
        <f>IFERROR(VLOOKUP(H624,케이블트레이입.출고현황!Y627:AD702,2,0),"")</f>
        <v/>
      </c>
      <c r="J624" s="9">
        <v>1</v>
      </c>
      <c r="K624" s="9"/>
      <c r="L624" s="37"/>
      <c r="M624" s="64"/>
      <c r="N624" s="42"/>
    </row>
    <row r="625" spans="1:14" ht="24" customHeight="1">
      <c r="A625" s="8">
        <v>585</v>
      </c>
      <c r="B625" s="9">
        <v>585</v>
      </c>
      <c r="C625" s="46"/>
      <c r="D625" s="9"/>
      <c r="E625" s="19" t="str">
        <f>IFERROR(VLOOKUP(D625,케이블트레이입.출고현황!U628:Z703,2,0),"")</f>
        <v/>
      </c>
      <c r="F625" s="19" t="str">
        <f>IFERROR(VLOOKUP(E625,케이블트레이입.출고현황!V628:AA703,2,0),"")</f>
        <v/>
      </c>
      <c r="G625" s="19" t="str">
        <f>IFERROR(VLOOKUP(F625,케이블트레이입.출고현황!W628:AB703,2,0),"")</f>
        <v/>
      </c>
      <c r="H625" s="19" t="str">
        <f>IFERROR(VLOOKUP(G625,케이블트레이입.출고현황!X628:AC703,2,0),"")</f>
        <v/>
      </c>
      <c r="I625" s="19" t="str">
        <f>IFERROR(VLOOKUP(H625,케이블트레이입.출고현황!Y628:AD703,2,0),"")</f>
        <v/>
      </c>
      <c r="J625" s="9" t="s">
        <v>557</v>
      </c>
      <c r="K625" s="9"/>
      <c r="L625" s="37"/>
      <c r="M625" s="64"/>
      <c r="N625" s="42"/>
    </row>
    <row r="626" spans="1:14" ht="24" customHeight="1">
      <c r="A626" s="8">
        <v>586</v>
      </c>
      <c r="B626" s="9">
        <v>586</v>
      </c>
      <c r="C626" s="46"/>
      <c r="D626" s="9"/>
      <c r="E626" s="19" t="str">
        <f>IFERROR(VLOOKUP(D626,케이블트레이입.출고현황!U629:Z704,2,0),"")</f>
        <v/>
      </c>
      <c r="F626" s="19" t="str">
        <f>IFERROR(VLOOKUP(E626,케이블트레이입.출고현황!V629:AA704,2,0),"")</f>
        <v/>
      </c>
      <c r="G626" s="19" t="str">
        <f>IFERROR(VLOOKUP(F626,케이블트레이입.출고현황!W629:AB704,2,0),"")</f>
        <v/>
      </c>
      <c r="H626" s="19" t="str">
        <f>IFERROR(VLOOKUP(G626,케이블트레이입.출고현황!X629:AC704,2,0),"")</f>
        <v/>
      </c>
      <c r="I626" s="19" t="str">
        <f>IFERROR(VLOOKUP(H626,케이블트레이입.출고현황!Y629:AD704,2,0),"")</f>
        <v/>
      </c>
      <c r="J626" s="9" t="s">
        <v>557</v>
      </c>
      <c r="K626" s="9"/>
      <c r="L626" s="37"/>
      <c r="M626" s="64"/>
      <c r="N626" s="42"/>
    </row>
    <row r="627" spans="1:14" ht="24" customHeight="1">
      <c r="A627" s="8">
        <v>587</v>
      </c>
      <c r="B627" s="9">
        <v>587</v>
      </c>
      <c r="C627" s="46"/>
      <c r="D627" s="9"/>
      <c r="E627" s="19" t="str">
        <f>IFERROR(VLOOKUP(D627,케이블트레이입.출고현황!U630:Z705,2,0),"")</f>
        <v/>
      </c>
      <c r="F627" s="19" t="str">
        <f>IFERROR(VLOOKUP(E627,케이블트레이입.출고현황!V630:AA705,2,0),"")</f>
        <v/>
      </c>
      <c r="G627" s="19" t="str">
        <f>IFERROR(VLOOKUP(F627,케이블트레이입.출고현황!W630:AB705,2,0),"")</f>
        <v/>
      </c>
      <c r="H627" s="19" t="str">
        <f>IFERROR(VLOOKUP(G627,케이블트레이입.출고현황!X630:AC705,2,0),"")</f>
        <v/>
      </c>
      <c r="I627" s="19" t="str">
        <f>IFERROR(VLOOKUP(H627,케이블트레이입.출고현황!Y630:AD705,2,0),"")</f>
        <v/>
      </c>
      <c r="J627" s="9">
        <v>1</v>
      </c>
      <c r="K627" s="9"/>
      <c r="L627" s="37"/>
      <c r="M627" s="64"/>
      <c r="N627" s="42"/>
    </row>
    <row r="628" spans="1:14" ht="24" customHeight="1">
      <c r="A628" s="8">
        <v>588</v>
      </c>
      <c r="B628" s="9">
        <v>588</v>
      </c>
      <c r="C628" s="46"/>
      <c r="D628" s="9"/>
      <c r="E628" s="19" t="str">
        <f>IFERROR(VLOOKUP(D628,케이블트레이입.출고현황!U631:Z706,2,0),"")</f>
        <v/>
      </c>
      <c r="F628" s="19" t="str">
        <f>IFERROR(VLOOKUP(E628,케이블트레이입.출고현황!V631:AA706,2,0),"")</f>
        <v/>
      </c>
      <c r="G628" s="19" t="str">
        <f>IFERROR(VLOOKUP(F628,케이블트레이입.출고현황!W631:AB706,2,0),"")</f>
        <v/>
      </c>
      <c r="H628" s="19" t="str">
        <f>IFERROR(VLOOKUP(G628,케이블트레이입.출고현황!X631:AC706,2,0),"")</f>
        <v/>
      </c>
      <c r="I628" s="19" t="str">
        <f>IFERROR(VLOOKUP(H628,케이블트레이입.출고현황!Y631:AD706,2,0),"")</f>
        <v/>
      </c>
      <c r="J628" s="9">
        <v>1</v>
      </c>
      <c r="K628" s="9"/>
      <c r="L628" s="37"/>
      <c r="M628" s="64"/>
      <c r="N628" s="42"/>
    </row>
    <row r="629" spans="1:14" ht="24" customHeight="1">
      <c r="A629" s="8">
        <v>589</v>
      </c>
      <c r="B629" s="9">
        <v>589</v>
      </c>
      <c r="C629" s="46"/>
      <c r="D629" s="9"/>
      <c r="E629" s="19" t="str">
        <f>IFERROR(VLOOKUP(D629,케이블트레이입.출고현황!U632:Z707,2,0),"")</f>
        <v/>
      </c>
      <c r="F629" s="19" t="str">
        <f>IFERROR(VLOOKUP(E629,케이블트레이입.출고현황!V632:AA707,2,0),"")</f>
        <v/>
      </c>
      <c r="G629" s="19" t="str">
        <f>IFERROR(VLOOKUP(F629,케이블트레이입.출고현황!W632:AB707,2,0),"")</f>
        <v/>
      </c>
      <c r="H629" s="19" t="str">
        <f>IFERROR(VLOOKUP(G629,케이블트레이입.출고현황!X632:AC707,2,0),"")</f>
        <v/>
      </c>
      <c r="I629" s="19" t="str">
        <f>IFERROR(VLOOKUP(H629,케이블트레이입.출고현황!Y632:AD707,2,0),"")</f>
        <v/>
      </c>
      <c r="J629" s="9">
        <v>1</v>
      </c>
      <c r="K629" s="9"/>
      <c r="L629" s="37"/>
      <c r="M629" s="64"/>
      <c r="N629" s="42"/>
    </row>
    <row r="630" spans="1:14" ht="24" customHeight="1">
      <c r="A630" s="8">
        <v>590</v>
      </c>
      <c r="B630" s="9">
        <v>590</v>
      </c>
      <c r="C630" s="46"/>
      <c r="D630" s="9"/>
      <c r="E630" s="19" t="str">
        <f>IFERROR(VLOOKUP(D630,케이블트레이입.출고현황!U633:Z708,2,0),"")</f>
        <v/>
      </c>
      <c r="F630" s="19" t="str">
        <f>IFERROR(VLOOKUP(E630,케이블트레이입.출고현황!V633:AA708,2,0),"")</f>
        <v/>
      </c>
      <c r="G630" s="19" t="str">
        <f>IFERROR(VLOOKUP(F630,케이블트레이입.출고현황!W633:AB708,2,0),"")</f>
        <v/>
      </c>
      <c r="H630" s="19" t="str">
        <f>IFERROR(VLOOKUP(G630,케이블트레이입.출고현황!X633:AC708,2,0),"")</f>
        <v/>
      </c>
      <c r="I630" s="19" t="str">
        <f>IFERROR(VLOOKUP(H630,케이블트레이입.출고현황!Y633:AD708,2,0),"")</f>
        <v/>
      </c>
      <c r="J630" s="9">
        <v>2</v>
      </c>
      <c r="K630" s="9"/>
      <c r="L630" s="37"/>
      <c r="M630" s="64"/>
      <c r="N630" s="42"/>
    </row>
    <row r="631" spans="1:14" ht="24" customHeight="1">
      <c r="A631" s="8">
        <v>591</v>
      </c>
      <c r="B631" s="9">
        <v>591</v>
      </c>
      <c r="C631" s="46"/>
      <c r="D631" s="9"/>
      <c r="E631" s="19" t="str">
        <f>IFERROR(VLOOKUP(D631,케이블트레이입.출고현황!U634:Z709,2,0),"")</f>
        <v/>
      </c>
      <c r="F631" s="19" t="str">
        <f>IFERROR(VLOOKUP(E631,케이블트레이입.출고현황!V634:AA709,2,0),"")</f>
        <v/>
      </c>
      <c r="G631" s="19" t="str">
        <f>IFERROR(VLOOKUP(F631,케이블트레이입.출고현황!W634:AB709,2,0),"")</f>
        <v/>
      </c>
      <c r="H631" s="19" t="str">
        <f>IFERROR(VLOOKUP(G631,케이블트레이입.출고현황!X634:AC709,2,0),"")</f>
        <v/>
      </c>
      <c r="I631" s="19" t="str">
        <f>IFERROR(VLOOKUP(H631,케이블트레이입.출고현황!Y634:AD709,2,0),"")</f>
        <v/>
      </c>
      <c r="J631" s="9">
        <v>2</v>
      </c>
      <c r="K631" s="9"/>
      <c r="L631" s="37"/>
      <c r="M631" s="64"/>
      <c r="N631" s="42"/>
    </row>
    <row r="632" spans="1:14" ht="24" customHeight="1">
      <c r="A632" s="8">
        <v>592</v>
      </c>
      <c r="B632" s="9">
        <v>592</v>
      </c>
      <c r="C632" s="46"/>
      <c r="D632" s="9"/>
      <c r="E632" s="19" t="str">
        <f>IFERROR(VLOOKUP(D632,케이블트레이입.출고현황!U635:Z710,2,0),"")</f>
        <v/>
      </c>
      <c r="F632" s="19" t="str">
        <f>IFERROR(VLOOKUP(E632,케이블트레이입.출고현황!V635:AA710,2,0),"")</f>
        <v/>
      </c>
      <c r="G632" s="19" t="str">
        <f>IFERROR(VLOOKUP(F632,케이블트레이입.출고현황!W635:AB710,2,0),"")</f>
        <v/>
      </c>
      <c r="H632" s="19" t="str">
        <f>IFERROR(VLOOKUP(G632,케이블트레이입.출고현황!X635:AC710,2,0),"")</f>
        <v/>
      </c>
      <c r="I632" s="19" t="str">
        <f>IFERROR(VLOOKUP(H632,케이블트레이입.출고현황!Y635:AD710,2,0),"")</f>
        <v/>
      </c>
      <c r="J632" s="9">
        <v>1</v>
      </c>
      <c r="K632" s="9"/>
      <c r="L632" s="37"/>
      <c r="M632" s="64"/>
      <c r="N632" s="42"/>
    </row>
    <row r="633" spans="1:14" ht="24" customHeight="1">
      <c r="A633" s="8">
        <v>593</v>
      </c>
      <c r="B633" s="9">
        <v>593</v>
      </c>
      <c r="C633" s="46"/>
      <c r="D633" s="9"/>
      <c r="E633" s="19" t="str">
        <f>IFERROR(VLOOKUP(D633,케이블트레이입.출고현황!U636:Z711,2,0),"")</f>
        <v/>
      </c>
      <c r="F633" s="19" t="str">
        <f>IFERROR(VLOOKUP(E633,케이블트레이입.출고현황!V636:AA711,2,0),"")</f>
        <v/>
      </c>
      <c r="G633" s="19" t="str">
        <f>IFERROR(VLOOKUP(F633,케이블트레이입.출고현황!W636:AB711,2,0),"")</f>
        <v/>
      </c>
      <c r="H633" s="19" t="str">
        <f>IFERROR(VLOOKUP(G633,케이블트레이입.출고현황!X636:AC711,2,0),"")</f>
        <v/>
      </c>
      <c r="I633" s="19" t="str">
        <f>IFERROR(VLOOKUP(H633,케이블트레이입.출고현황!Y636:AD711,2,0),"")</f>
        <v/>
      </c>
      <c r="J633" s="9">
        <v>1</v>
      </c>
      <c r="K633" s="9"/>
      <c r="L633" s="37"/>
      <c r="M633" s="64"/>
      <c r="N633" s="42"/>
    </row>
    <row r="634" spans="1:14" ht="24" customHeight="1">
      <c r="A634" s="8">
        <v>594</v>
      </c>
      <c r="B634" s="9">
        <v>594</v>
      </c>
      <c r="C634" s="46"/>
      <c r="D634" s="9"/>
      <c r="E634" s="19" t="str">
        <f>IFERROR(VLOOKUP(D634,케이블트레이입.출고현황!U637:Z712,2,0),"")</f>
        <v/>
      </c>
      <c r="F634" s="19" t="str">
        <f>IFERROR(VLOOKUP(E634,케이블트레이입.출고현황!V637:AA712,2,0),"")</f>
        <v/>
      </c>
      <c r="G634" s="19" t="str">
        <f>IFERROR(VLOOKUP(F634,케이블트레이입.출고현황!W637:AB712,2,0),"")</f>
        <v/>
      </c>
      <c r="H634" s="19" t="str">
        <f>IFERROR(VLOOKUP(G634,케이블트레이입.출고현황!X637:AC712,2,0),"")</f>
        <v/>
      </c>
      <c r="I634" s="19" t="str">
        <f>IFERROR(VLOOKUP(H634,케이블트레이입.출고현황!Y637:AD712,2,0),"")</f>
        <v/>
      </c>
      <c r="J634" s="9">
        <v>2</v>
      </c>
      <c r="K634" s="9"/>
      <c r="L634" s="37"/>
      <c r="M634" s="64"/>
      <c r="N634" s="42"/>
    </row>
    <row r="635" spans="1:14" ht="24" customHeight="1">
      <c r="A635" s="8">
        <v>595</v>
      </c>
      <c r="B635" s="9">
        <v>595</v>
      </c>
      <c r="C635" s="46"/>
      <c r="D635" s="9"/>
      <c r="E635" s="19" t="str">
        <f>IFERROR(VLOOKUP(D635,케이블트레이입.출고현황!U638:Z713,2,0),"")</f>
        <v/>
      </c>
      <c r="F635" s="19" t="str">
        <f>IFERROR(VLOOKUP(E635,케이블트레이입.출고현황!V638:AA713,2,0),"")</f>
        <v/>
      </c>
      <c r="G635" s="19" t="str">
        <f>IFERROR(VLOOKUP(F635,케이블트레이입.출고현황!W638:AB713,2,0),"")</f>
        <v/>
      </c>
      <c r="H635" s="19" t="str">
        <f>IFERROR(VLOOKUP(G635,케이블트레이입.출고현황!X638:AC713,2,0),"")</f>
        <v/>
      </c>
      <c r="I635" s="19" t="str">
        <f>IFERROR(VLOOKUP(H635,케이블트레이입.출고현황!Y638:AD713,2,0),"")</f>
        <v/>
      </c>
      <c r="J635" s="9">
        <v>1</v>
      </c>
      <c r="K635" s="9"/>
      <c r="L635" s="37"/>
      <c r="M635" s="64"/>
      <c r="N635" s="42"/>
    </row>
    <row r="636" spans="1:14" ht="24" customHeight="1">
      <c r="A636" s="8">
        <v>596</v>
      </c>
      <c r="B636" s="9">
        <v>596</v>
      </c>
      <c r="C636" s="46"/>
      <c r="D636" s="9"/>
      <c r="E636" s="19" t="str">
        <f>IFERROR(VLOOKUP(D636,케이블트레이입.출고현황!U639:Z714,2,0),"")</f>
        <v/>
      </c>
      <c r="F636" s="19" t="str">
        <f>IFERROR(VLOOKUP(E636,케이블트레이입.출고현황!V639:AA714,2,0),"")</f>
        <v/>
      </c>
      <c r="G636" s="19" t="str">
        <f>IFERROR(VLOOKUP(F636,케이블트레이입.출고현황!W639:AB714,2,0),"")</f>
        <v/>
      </c>
      <c r="H636" s="19" t="str">
        <f>IFERROR(VLOOKUP(G636,케이블트레이입.출고현황!X639:AC714,2,0),"")</f>
        <v/>
      </c>
      <c r="I636" s="19" t="str">
        <f>IFERROR(VLOOKUP(H636,케이블트레이입.출고현황!Y639:AD714,2,0),"")</f>
        <v/>
      </c>
      <c r="J636" s="9">
        <v>1</v>
      </c>
      <c r="K636" s="9"/>
      <c r="L636" s="37"/>
      <c r="M636" s="64"/>
      <c r="N636" s="42"/>
    </row>
    <row r="637" spans="1:14" ht="24" customHeight="1">
      <c r="A637" s="8">
        <v>597</v>
      </c>
      <c r="B637" s="9">
        <v>597</v>
      </c>
      <c r="C637" s="46"/>
      <c r="D637" s="9"/>
      <c r="E637" s="19" t="str">
        <f>IFERROR(VLOOKUP(D637,케이블트레이입.출고현황!U640:Z715,2,0),"")</f>
        <v/>
      </c>
      <c r="F637" s="19" t="str">
        <f>IFERROR(VLOOKUP(E637,케이블트레이입.출고현황!V640:AA715,2,0),"")</f>
        <v/>
      </c>
      <c r="G637" s="19" t="str">
        <f>IFERROR(VLOOKUP(F637,케이블트레이입.출고현황!W640:AB715,2,0),"")</f>
        <v/>
      </c>
      <c r="H637" s="19" t="str">
        <f>IFERROR(VLOOKUP(G637,케이블트레이입.출고현황!X640:AC715,2,0),"")</f>
        <v/>
      </c>
      <c r="I637" s="19" t="str">
        <f>IFERROR(VLOOKUP(H637,케이블트레이입.출고현황!Y640:AD715,2,0),"")</f>
        <v/>
      </c>
      <c r="J637" s="9">
        <v>1</v>
      </c>
      <c r="K637" s="9"/>
      <c r="L637" s="37"/>
      <c r="M637" s="64"/>
      <c r="N637" s="42"/>
    </row>
    <row r="638" spans="1:14" ht="24" customHeight="1">
      <c r="A638" s="8">
        <v>598</v>
      </c>
      <c r="B638" s="9">
        <v>598</v>
      </c>
      <c r="C638" s="46"/>
      <c r="D638" s="9"/>
      <c r="E638" s="19" t="str">
        <f>IFERROR(VLOOKUP(D638,케이블트레이입.출고현황!U641:Z716,2,0),"")</f>
        <v/>
      </c>
      <c r="F638" s="19" t="str">
        <f>IFERROR(VLOOKUP(E638,케이블트레이입.출고현황!V641:AA716,2,0),"")</f>
        <v/>
      </c>
      <c r="G638" s="19" t="str">
        <f>IFERROR(VLOOKUP(F638,케이블트레이입.출고현황!W641:AB716,2,0),"")</f>
        <v/>
      </c>
      <c r="H638" s="19" t="str">
        <f>IFERROR(VLOOKUP(G638,케이블트레이입.출고현황!X641:AC716,2,0),"")</f>
        <v/>
      </c>
      <c r="I638" s="19" t="str">
        <f>IFERROR(VLOOKUP(H638,케이블트레이입.출고현황!Y641:AD716,2,0),"")</f>
        <v/>
      </c>
      <c r="J638" s="9">
        <v>2</v>
      </c>
      <c r="K638" s="9"/>
      <c r="L638" s="37"/>
      <c r="M638" s="64"/>
      <c r="N638" s="42"/>
    </row>
    <row r="639" spans="1:14" ht="24" customHeight="1">
      <c r="A639" s="8">
        <v>599</v>
      </c>
      <c r="B639" s="9">
        <v>599</v>
      </c>
      <c r="C639" s="46"/>
      <c r="D639" s="9"/>
      <c r="E639" s="19" t="str">
        <f>IFERROR(VLOOKUP(D639,케이블트레이입.출고현황!U642:Z717,2,0),"")</f>
        <v/>
      </c>
      <c r="F639" s="19" t="str">
        <f>IFERROR(VLOOKUP(E639,케이블트레이입.출고현황!V642:AA717,2,0),"")</f>
        <v/>
      </c>
      <c r="G639" s="19" t="str">
        <f>IFERROR(VLOOKUP(F639,케이블트레이입.출고현황!W642:AB717,2,0),"")</f>
        <v/>
      </c>
      <c r="H639" s="19" t="str">
        <f>IFERROR(VLOOKUP(G639,케이블트레이입.출고현황!X642:AC717,2,0),"")</f>
        <v/>
      </c>
      <c r="I639" s="19" t="str">
        <f>IFERROR(VLOOKUP(H639,케이블트레이입.출고현황!Y642:AD717,2,0),"")</f>
        <v/>
      </c>
      <c r="J639" s="9">
        <v>2</v>
      </c>
      <c r="K639" s="9"/>
      <c r="L639" s="37"/>
      <c r="M639" s="64"/>
      <c r="N639" s="42"/>
    </row>
    <row r="640" spans="1:14" ht="24" customHeight="1">
      <c r="A640" s="8">
        <v>600</v>
      </c>
      <c r="B640" s="9">
        <v>600</v>
      </c>
      <c r="C640" s="46"/>
      <c r="D640" s="9"/>
      <c r="E640" s="19" t="str">
        <f>IFERROR(VLOOKUP(D640,케이블트레이입.출고현황!U643:Z718,2,0),"")</f>
        <v/>
      </c>
      <c r="F640" s="19" t="str">
        <f>IFERROR(VLOOKUP(E640,케이블트레이입.출고현황!V643:AA718,2,0),"")</f>
        <v/>
      </c>
      <c r="G640" s="19" t="str">
        <f>IFERROR(VLOOKUP(F640,케이블트레이입.출고현황!W643:AB718,2,0),"")</f>
        <v/>
      </c>
      <c r="H640" s="19" t="str">
        <f>IFERROR(VLOOKUP(G640,케이블트레이입.출고현황!X643:AC718,2,0),"")</f>
        <v/>
      </c>
      <c r="I640" s="19" t="str">
        <f>IFERROR(VLOOKUP(H640,케이블트레이입.출고현황!Y643:AD718,2,0),"")</f>
        <v/>
      </c>
      <c r="J640" s="9">
        <v>1</v>
      </c>
      <c r="K640" s="9"/>
      <c r="L640" s="37"/>
      <c r="M640" s="64"/>
      <c r="N640" s="42"/>
    </row>
    <row r="641" spans="1:14" ht="24" customHeight="1">
      <c r="A641" s="8">
        <v>601</v>
      </c>
      <c r="B641" s="9">
        <v>601</v>
      </c>
      <c r="C641" s="46"/>
      <c r="D641" s="9"/>
      <c r="E641" s="19" t="str">
        <f>IFERROR(VLOOKUP(D641,케이블트레이입.출고현황!U644:Z719,2,0),"")</f>
        <v/>
      </c>
      <c r="F641" s="19" t="str">
        <f>IFERROR(VLOOKUP(E641,케이블트레이입.출고현황!V644:AA719,2,0),"")</f>
        <v/>
      </c>
      <c r="G641" s="19" t="str">
        <f>IFERROR(VLOOKUP(F641,케이블트레이입.출고현황!W644:AB719,2,0),"")</f>
        <v/>
      </c>
      <c r="H641" s="19" t="str">
        <f>IFERROR(VLOOKUP(G641,케이블트레이입.출고현황!X644:AC719,2,0),"")</f>
        <v/>
      </c>
      <c r="I641" s="19" t="str">
        <f>IFERROR(VLOOKUP(H641,케이블트레이입.출고현황!Y644:AD719,2,0),"")</f>
        <v/>
      </c>
      <c r="J641" s="9">
        <v>1</v>
      </c>
      <c r="K641" s="9"/>
      <c r="L641" s="37"/>
      <c r="M641" s="64"/>
      <c r="N641" s="42"/>
    </row>
    <row r="642" spans="1:14" ht="24" customHeight="1">
      <c r="A642" s="8">
        <v>602</v>
      </c>
      <c r="B642" s="9">
        <v>602</v>
      </c>
      <c r="C642" s="46"/>
      <c r="D642" s="9"/>
      <c r="E642" s="19" t="str">
        <f>IFERROR(VLOOKUP(D642,케이블트레이입.출고현황!U645:Z720,2,0),"")</f>
        <v/>
      </c>
      <c r="F642" s="19" t="str">
        <f>IFERROR(VLOOKUP(E642,케이블트레이입.출고현황!V645:AA720,2,0),"")</f>
        <v/>
      </c>
      <c r="G642" s="19" t="str">
        <f>IFERROR(VLOOKUP(F642,케이블트레이입.출고현황!W645:AB720,2,0),"")</f>
        <v/>
      </c>
      <c r="H642" s="19" t="str">
        <f>IFERROR(VLOOKUP(G642,케이블트레이입.출고현황!X645:AC720,2,0),"")</f>
        <v/>
      </c>
      <c r="I642" s="19" t="str">
        <f>IFERROR(VLOOKUP(H642,케이블트레이입.출고현황!Y645:AD720,2,0),"")</f>
        <v/>
      </c>
      <c r="J642" s="9">
        <v>2</v>
      </c>
      <c r="K642" s="9"/>
      <c r="L642" s="37"/>
      <c r="M642" s="64"/>
      <c r="N642" s="42"/>
    </row>
    <row r="643" spans="1:14" ht="24" customHeight="1">
      <c r="A643" s="8">
        <v>603</v>
      </c>
      <c r="B643" s="9">
        <v>603</v>
      </c>
      <c r="C643" s="46"/>
      <c r="D643" s="9"/>
      <c r="E643" s="19" t="str">
        <f>IFERROR(VLOOKUP(D643,케이블트레이입.출고현황!U646:Z721,2,0),"")</f>
        <v/>
      </c>
      <c r="F643" s="19" t="str">
        <f>IFERROR(VLOOKUP(E643,케이블트레이입.출고현황!V646:AA721,2,0),"")</f>
        <v/>
      </c>
      <c r="G643" s="19" t="str">
        <f>IFERROR(VLOOKUP(F643,케이블트레이입.출고현황!W646:AB721,2,0),"")</f>
        <v/>
      </c>
      <c r="H643" s="19" t="str">
        <f>IFERROR(VLOOKUP(G643,케이블트레이입.출고현황!X646:AC721,2,0),"")</f>
        <v/>
      </c>
      <c r="I643" s="19" t="str">
        <f>IFERROR(VLOOKUP(H643,케이블트레이입.출고현황!Y646:AD721,2,0),"")</f>
        <v/>
      </c>
      <c r="J643" s="9">
        <v>4</v>
      </c>
      <c r="K643" s="9"/>
      <c r="L643" s="37"/>
      <c r="M643" s="64"/>
      <c r="N643" s="42"/>
    </row>
    <row r="644" spans="1:14" ht="24" customHeight="1">
      <c r="A644" s="8">
        <v>604</v>
      </c>
      <c r="B644" s="9">
        <v>604</v>
      </c>
      <c r="C644" s="46"/>
      <c r="D644" s="9"/>
      <c r="E644" s="19" t="str">
        <f>IFERROR(VLOOKUP(D644,케이블트레이입.출고현황!U647:Z722,2,0),"")</f>
        <v/>
      </c>
      <c r="F644" s="19" t="str">
        <f>IFERROR(VLOOKUP(E644,케이블트레이입.출고현황!V647:AA722,2,0),"")</f>
        <v/>
      </c>
      <c r="G644" s="19" t="str">
        <f>IFERROR(VLOOKUP(F644,케이블트레이입.출고현황!W647:AB722,2,0),"")</f>
        <v/>
      </c>
      <c r="H644" s="19" t="str">
        <f>IFERROR(VLOOKUP(G644,케이블트레이입.출고현황!X647:AC722,2,0),"")</f>
        <v/>
      </c>
      <c r="I644" s="19" t="str">
        <f>IFERROR(VLOOKUP(H644,케이블트레이입.출고현황!Y647:AD722,2,0),"")</f>
        <v/>
      </c>
      <c r="J644" s="9">
        <v>2</v>
      </c>
      <c r="K644" s="9"/>
      <c r="L644" s="37"/>
      <c r="M644" s="64"/>
      <c r="N644" s="42"/>
    </row>
    <row r="645" spans="1:14" ht="24" customHeight="1">
      <c r="A645" s="8">
        <v>605</v>
      </c>
      <c r="B645" s="9">
        <v>605</v>
      </c>
      <c r="C645" s="46"/>
      <c r="D645" s="9"/>
      <c r="E645" s="19" t="str">
        <f>IFERROR(VLOOKUP(D645,케이블트레이입.출고현황!U648:Z723,2,0),"")</f>
        <v/>
      </c>
      <c r="F645" s="19" t="str">
        <f>IFERROR(VLOOKUP(E645,케이블트레이입.출고현황!V648:AA723,2,0),"")</f>
        <v/>
      </c>
      <c r="G645" s="19" t="str">
        <f>IFERROR(VLOOKUP(F645,케이블트레이입.출고현황!W648:AB723,2,0),"")</f>
        <v/>
      </c>
      <c r="H645" s="19" t="str">
        <f>IFERROR(VLOOKUP(G645,케이블트레이입.출고현황!X648:AC723,2,0),"")</f>
        <v/>
      </c>
      <c r="I645" s="19" t="str">
        <f>IFERROR(VLOOKUP(H645,케이블트레이입.출고현황!Y648:AD723,2,0),"")</f>
        <v/>
      </c>
      <c r="J645" s="9">
        <v>1</v>
      </c>
      <c r="K645" s="9"/>
      <c r="L645" s="37"/>
      <c r="M645" s="64"/>
      <c r="N645" s="42"/>
    </row>
    <row r="646" spans="1:14" ht="24" customHeight="1">
      <c r="A646" s="8">
        <v>606</v>
      </c>
      <c r="B646" s="9">
        <v>606</v>
      </c>
      <c r="C646" s="46"/>
      <c r="D646" s="9"/>
      <c r="E646" s="19" t="str">
        <f>IFERROR(VLOOKUP(D646,케이블트레이입.출고현황!U649:Z724,2,0),"")</f>
        <v/>
      </c>
      <c r="F646" s="19" t="str">
        <f>IFERROR(VLOOKUP(E646,케이블트레이입.출고현황!V649:AA724,2,0),"")</f>
        <v/>
      </c>
      <c r="G646" s="19" t="str">
        <f>IFERROR(VLOOKUP(F646,케이블트레이입.출고현황!W649:AB724,2,0),"")</f>
        <v/>
      </c>
      <c r="H646" s="19" t="str">
        <f>IFERROR(VLOOKUP(G646,케이블트레이입.출고현황!X649:AC724,2,0),"")</f>
        <v/>
      </c>
      <c r="I646" s="19" t="str">
        <f>IFERROR(VLOOKUP(H646,케이블트레이입.출고현황!Y649:AD724,2,0),"")</f>
        <v/>
      </c>
      <c r="J646" s="9">
        <v>2</v>
      </c>
      <c r="K646" s="9"/>
      <c r="L646" s="37"/>
      <c r="M646" s="64"/>
      <c r="N646" s="42"/>
    </row>
    <row r="647" spans="1:14" ht="24" customHeight="1">
      <c r="A647" s="8">
        <v>607</v>
      </c>
      <c r="B647" s="9">
        <v>607</v>
      </c>
      <c r="C647" s="46"/>
      <c r="D647" s="9"/>
      <c r="E647" s="19" t="str">
        <f>IFERROR(VLOOKUP(D647,케이블트레이입.출고현황!U650:Z725,2,0),"")</f>
        <v/>
      </c>
      <c r="F647" s="19" t="str">
        <f>IFERROR(VLOOKUP(E647,케이블트레이입.출고현황!V650:AA725,2,0),"")</f>
        <v/>
      </c>
      <c r="G647" s="19" t="str">
        <f>IFERROR(VLOOKUP(F647,케이블트레이입.출고현황!W650:AB725,2,0),"")</f>
        <v/>
      </c>
      <c r="H647" s="19" t="str">
        <f>IFERROR(VLOOKUP(G647,케이블트레이입.출고현황!X650:AC725,2,0),"")</f>
        <v/>
      </c>
      <c r="I647" s="19" t="str">
        <f>IFERROR(VLOOKUP(H647,케이블트레이입.출고현황!Y650:AD725,2,0),"")</f>
        <v/>
      </c>
      <c r="J647" s="9">
        <v>1</v>
      </c>
      <c r="K647" s="9"/>
      <c r="L647" s="37"/>
      <c r="M647" s="64"/>
      <c r="N647" s="42"/>
    </row>
    <row r="648" spans="1:14" ht="24" customHeight="1">
      <c r="A648" s="8">
        <v>608</v>
      </c>
      <c r="B648" s="9">
        <v>608</v>
      </c>
      <c r="C648" s="46"/>
      <c r="D648" s="9"/>
      <c r="E648" s="19" t="str">
        <f>IFERROR(VLOOKUP(D648,케이블트레이입.출고현황!U651:Z726,2,0),"")</f>
        <v/>
      </c>
      <c r="F648" s="19" t="str">
        <f>IFERROR(VLOOKUP(E648,케이블트레이입.출고현황!V651:AA726,2,0),"")</f>
        <v/>
      </c>
      <c r="G648" s="19" t="str">
        <f>IFERROR(VLOOKUP(F648,케이블트레이입.출고현황!W651:AB726,2,0),"")</f>
        <v/>
      </c>
      <c r="H648" s="19" t="str">
        <f>IFERROR(VLOOKUP(G648,케이블트레이입.출고현황!X651:AC726,2,0),"")</f>
        <v/>
      </c>
      <c r="I648" s="19" t="str">
        <f>IFERROR(VLOOKUP(H648,케이블트레이입.출고현황!Y651:AD726,2,0),"")</f>
        <v/>
      </c>
      <c r="J648" s="9">
        <v>1</v>
      </c>
      <c r="K648" s="9"/>
      <c r="L648" s="37"/>
      <c r="M648" s="64"/>
      <c r="N648" s="42"/>
    </row>
    <row r="649" spans="1:14" ht="24" customHeight="1">
      <c r="A649" s="8">
        <v>609</v>
      </c>
      <c r="B649" s="9">
        <v>609</v>
      </c>
      <c r="C649" s="46"/>
      <c r="D649" s="9"/>
      <c r="E649" s="19" t="str">
        <f>IFERROR(VLOOKUP(D649,케이블트레이입.출고현황!U652:Z727,2,0),"")</f>
        <v/>
      </c>
      <c r="F649" s="19" t="str">
        <f>IFERROR(VLOOKUP(E649,케이블트레이입.출고현황!V652:AA727,2,0),"")</f>
        <v/>
      </c>
      <c r="G649" s="19" t="str">
        <f>IFERROR(VLOOKUP(F649,케이블트레이입.출고현황!W652:AB727,2,0),"")</f>
        <v/>
      </c>
      <c r="H649" s="19" t="str">
        <f>IFERROR(VLOOKUP(G649,케이블트레이입.출고현황!X652:AC727,2,0),"")</f>
        <v/>
      </c>
      <c r="I649" s="19" t="str">
        <f>IFERROR(VLOOKUP(H649,케이블트레이입.출고현황!Y652:AD727,2,0),"")</f>
        <v/>
      </c>
      <c r="J649" s="9">
        <v>1</v>
      </c>
      <c r="K649" s="9"/>
      <c r="L649" s="37"/>
      <c r="M649" s="64"/>
      <c r="N649" s="42"/>
    </row>
    <row r="650" spans="1:14" ht="24" customHeight="1">
      <c r="A650" s="8">
        <v>610</v>
      </c>
      <c r="B650" s="9">
        <v>610</v>
      </c>
      <c r="C650" s="46"/>
      <c r="D650" s="9"/>
      <c r="E650" s="19" t="str">
        <f>IFERROR(VLOOKUP(D650,케이블트레이입.출고현황!U653:Z728,2,0),"")</f>
        <v/>
      </c>
      <c r="F650" s="19" t="str">
        <f>IFERROR(VLOOKUP(E650,케이블트레이입.출고현황!V653:AA728,2,0),"")</f>
        <v/>
      </c>
      <c r="G650" s="19" t="str">
        <f>IFERROR(VLOOKUP(F650,케이블트레이입.출고현황!W653:AB728,2,0),"")</f>
        <v/>
      </c>
      <c r="H650" s="19" t="str">
        <f>IFERROR(VLOOKUP(G650,케이블트레이입.출고현황!X653:AC728,2,0),"")</f>
        <v/>
      </c>
      <c r="I650" s="19" t="str">
        <f>IFERROR(VLOOKUP(H650,케이블트레이입.출고현황!Y653:AD728,2,0),"")</f>
        <v/>
      </c>
      <c r="J650" s="9">
        <v>2</v>
      </c>
      <c r="K650" s="9"/>
      <c r="L650" s="37"/>
      <c r="M650" s="64"/>
      <c r="N650" s="42"/>
    </row>
    <row r="651" spans="1:14" ht="24" customHeight="1">
      <c r="A651" s="8">
        <v>611</v>
      </c>
      <c r="B651" s="9">
        <v>611</v>
      </c>
      <c r="C651" s="46"/>
      <c r="D651" s="9"/>
      <c r="E651" s="19" t="str">
        <f>IFERROR(VLOOKUP(D651,케이블트레이입.출고현황!U654:Z729,2,0),"")</f>
        <v/>
      </c>
      <c r="F651" s="19" t="str">
        <f>IFERROR(VLOOKUP(E651,케이블트레이입.출고현황!V654:AA729,2,0),"")</f>
        <v/>
      </c>
      <c r="G651" s="19" t="str">
        <f>IFERROR(VLOOKUP(F651,케이블트레이입.출고현황!W654:AB729,2,0),"")</f>
        <v/>
      </c>
      <c r="H651" s="19" t="str">
        <f>IFERROR(VLOOKUP(G651,케이블트레이입.출고현황!X654:AC729,2,0),"")</f>
        <v/>
      </c>
      <c r="I651" s="19" t="str">
        <f>IFERROR(VLOOKUP(H651,케이블트레이입.출고현황!Y654:AD729,2,0),"")</f>
        <v/>
      </c>
      <c r="J651" s="9">
        <v>4</v>
      </c>
      <c r="K651" s="9"/>
      <c r="L651" s="37"/>
      <c r="M651" s="64"/>
      <c r="N651" s="42"/>
    </row>
    <row r="652" spans="1:14" ht="24" customHeight="1">
      <c r="A652" s="8">
        <v>612</v>
      </c>
      <c r="B652" s="9">
        <v>612</v>
      </c>
      <c r="C652" s="46"/>
      <c r="D652" s="9"/>
      <c r="E652" s="19" t="str">
        <f>IFERROR(VLOOKUP(D652,케이블트레이입.출고현황!U655:Z730,2,0),"")</f>
        <v/>
      </c>
      <c r="F652" s="19" t="str">
        <f>IFERROR(VLOOKUP(E652,케이블트레이입.출고현황!V655:AA730,2,0),"")</f>
        <v/>
      </c>
      <c r="G652" s="19" t="str">
        <f>IFERROR(VLOOKUP(F652,케이블트레이입.출고현황!W655:AB730,2,0),"")</f>
        <v/>
      </c>
      <c r="H652" s="19" t="str">
        <f>IFERROR(VLOOKUP(G652,케이블트레이입.출고현황!X655:AC730,2,0),"")</f>
        <v/>
      </c>
      <c r="I652" s="19" t="str">
        <f>IFERROR(VLOOKUP(H652,케이블트레이입.출고현황!Y655:AD730,2,0),"")</f>
        <v/>
      </c>
      <c r="J652" s="9" t="s">
        <v>557</v>
      </c>
      <c r="K652" s="9"/>
      <c r="L652" s="37"/>
      <c r="M652" s="64"/>
      <c r="N652" s="42"/>
    </row>
    <row r="653" spans="1:14" ht="24" customHeight="1">
      <c r="A653" s="8">
        <v>613</v>
      </c>
      <c r="B653" s="9">
        <v>613</v>
      </c>
      <c r="C653" s="46"/>
      <c r="D653" s="9"/>
      <c r="E653" s="19" t="str">
        <f>IFERROR(VLOOKUP(D653,케이블트레이입.출고현황!U656:Z731,2,0),"")</f>
        <v/>
      </c>
      <c r="F653" s="19" t="str">
        <f>IFERROR(VLOOKUP(E653,케이블트레이입.출고현황!V656:AA731,2,0),"")</f>
        <v/>
      </c>
      <c r="G653" s="19" t="str">
        <f>IFERROR(VLOOKUP(F653,케이블트레이입.출고현황!W656:AB731,2,0),"")</f>
        <v/>
      </c>
      <c r="H653" s="19" t="str">
        <f>IFERROR(VLOOKUP(G653,케이블트레이입.출고현황!X656:AC731,2,0),"")</f>
        <v/>
      </c>
      <c r="I653" s="19" t="str">
        <f>IFERROR(VLOOKUP(H653,케이블트레이입.출고현황!Y656:AD731,2,0),"")</f>
        <v/>
      </c>
      <c r="J653" s="9" t="s">
        <v>557</v>
      </c>
      <c r="K653" s="9"/>
      <c r="L653" s="37"/>
      <c r="M653" s="64"/>
      <c r="N653" s="42"/>
    </row>
    <row r="654" spans="1:14" ht="24" customHeight="1">
      <c r="A654" s="8">
        <v>614</v>
      </c>
      <c r="B654" s="9">
        <v>614</v>
      </c>
      <c r="C654" s="46"/>
      <c r="D654" s="9"/>
      <c r="E654" s="19" t="str">
        <f>IFERROR(VLOOKUP(D654,케이블트레이입.출고현황!U657:Z732,2,0),"")</f>
        <v/>
      </c>
      <c r="F654" s="19" t="str">
        <f>IFERROR(VLOOKUP(E654,케이블트레이입.출고현황!V657:AA732,2,0),"")</f>
        <v/>
      </c>
      <c r="G654" s="19" t="str">
        <f>IFERROR(VLOOKUP(F654,케이블트레이입.출고현황!W657:AB732,2,0),"")</f>
        <v/>
      </c>
      <c r="H654" s="19" t="str">
        <f>IFERROR(VLOOKUP(G654,케이블트레이입.출고현황!X657:AC732,2,0),"")</f>
        <v/>
      </c>
      <c r="I654" s="19" t="str">
        <f>IFERROR(VLOOKUP(H654,케이블트레이입.출고현황!Y657:AD732,2,0),"")</f>
        <v/>
      </c>
      <c r="J654" s="9">
        <v>1</v>
      </c>
      <c r="K654" s="9"/>
      <c r="L654" s="37"/>
      <c r="M654" s="64"/>
      <c r="N654" s="42"/>
    </row>
    <row r="655" spans="1:14" ht="24" customHeight="1">
      <c r="A655" s="8">
        <v>615</v>
      </c>
      <c r="B655" s="9">
        <v>615</v>
      </c>
      <c r="C655" s="46"/>
      <c r="D655" s="9"/>
      <c r="E655" s="19" t="str">
        <f>IFERROR(VLOOKUP(D655,케이블트레이입.출고현황!U658:Z733,2,0),"")</f>
        <v/>
      </c>
      <c r="F655" s="19" t="str">
        <f>IFERROR(VLOOKUP(E655,케이블트레이입.출고현황!V658:AA733,2,0),"")</f>
        <v/>
      </c>
      <c r="G655" s="19" t="str">
        <f>IFERROR(VLOOKUP(F655,케이블트레이입.출고현황!W658:AB733,2,0),"")</f>
        <v/>
      </c>
      <c r="H655" s="19" t="str">
        <f>IFERROR(VLOOKUP(G655,케이블트레이입.출고현황!X658:AC733,2,0),"")</f>
        <v/>
      </c>
      <c r="I655" s="19" t="str">
        <f>IFERROR(VLOOKUP(H655,케이블트레이입.출고현황!Y658:AD733,2,0),"")</f>
        <v/>
      </c>
      <c r="J655" s="9">
        <v>2</v>
      </c>
      <c r="K655" s="9"/>
      <c r="L655" s="37"/>
      <c r="M655" s="64"/>
      <c r="N655" s="42"/>
    </row>
    <row r="656" spans="1:14" ht="24" customHeight="1">
      <c r="A656" s="8">
        <v>616</v>
      </c>
      <c r="B656" s="9">
        <v>616</v>
      </c>
      <c r="C656" s="46"/>
      <c r="D656" s="9"/>
      <c r="E656" s="19" t="str">
        <f>IFERROR(VLOOKUP(D656,케이블트레이입.출고현황!U659:Z734,2,0),"")</f>
        <v/>
      </c>
      <c r="F656" s="19" t="str">
        <f>IFERROR(VLOOKUP(E656,케이블트레이입.출고현황!V659:AA734,2,0),"")</f>
        <v/>
      </c>
      <c r="G656" s="19" t="str">
        <f>IFERROR(VLOOKUP(F656,케이블트레이입.출고현황!W659:AB734,2,0),"")</f>
        <v/>
      </c>
      <c r="H656" s="19" t="str">
        <f>IFERROR(VLOOKUP(G656,케이블트레이입.출고현황!X659:AC734,2,0),"")</f>
        <v/>
      </c>
      <c r="I656" s="19" t="str">
        <f>IFERROR(VLOOKUP(H656,케이블트레이입.출고현황!Y659:AD734,2,0),"")</f>
        <v/>
      </c>
      <c r="J656" s="9">
        <v>4</v>
      </c>
      <c r="K656" s="9"/>
      <c r="L656" s="37"/>
      <c r="M656" s="64"/>
      <c r="N656" s="42"/>
    </row>
    <row r="657" spans="1:14" ht="24" customHeight="1">
      <c r="A657" s="8">
        <v>617</v>
      </c>
      <c r="B657" s="9">
        <v>617</v>
      </c>
      <c r="C657" s="46"/>
      <c r="D657" s="9"/>
      <c r="E657" s="19" t="str">
        <f>IFERROR(VLOOKUP(D657,케이블트레이입.출고현황!U660:Z735,2,0),"")</f>
        <v/>
      </c>
      <c r="F657" s="19" t="str">
        <f>IFERROR(VLOOKUP(E657,케이블트레이입.출고현황!V660:AA735,2,0),"")</f>
        <v/>
      </c>
      <c r="G657" s="19" t="str">
        <f>IFERROR(VLOOKUP(F657,케이블트레이입.출고현황!W660:AB735,2,0),"")</f>
        <v/>
      </c>
      <c r="H657" s="19" t="str">
        <f>IFERROR(VLOOKUP(G657,케이블트레이입.출고현황!X660:AC735,2,0),"")</f>
        <v/>
      </c>
      <c r="I657" s="19" t="str">
        <f>IFERROR(VLOOKUP(H657,케이블트레이입.출고현황!Y660:AD735,2,0),"")</f>
        <v/>
      </c>
      <c r="J657" s="9">
        <v>3</v>
      </c>
      <c r="K657" s="9"/>
      <c r="L657" s="37"/>
      <c r="M657" s="64"/>
      <c r="N657" s="42"/>
    </row>
    <row r="658" spans="1:14" ht="24" customHeight="1">
      <c r="A658" s="8">
        <v>618</v>
      </c>
      <c r="B658" s="9">
        <v>618</v>
      </c>
      <c r="C658" s="46"/>
      <c r="D658" s="9"/>
      <c r="E658" s="19" t="str">
        <f>IFERROR(VLOOKUP(D658,케이블트레이입.출고현황!U661:Z736,2,0),"")</f>
        <v/>
      </c>
      <c r="F658" s="19" t="str">
        <f>IFERROR(VLOOKUP(E658,케이블트레이입.출고현황!V661:AA736,2,0),"")</f>
        <v/>
      </c>
      <c r="G658" s="19" t="str">
        <f>IFERROR(VLOOKUP(F658,케이블트레이입.출고현황!W661:AB736,2,0),"")</f>
        <v/>
      </c>
      <c r="H658" s="19" t="str">
        <f>IFERROR(VLOOKUP(G658,케이블트레이입.출고현황!X661:AC736,2,0),"")</f>
        <v/>
      </c>
      <c r="I658" s="19" t="str">
        <f>IFERROR(VLOOKUP(H658,케이블트레이입.출고현황!Y661:AD736,2,0),"")</f>
        <v/>
      </c>
      <c r="J658" s="9">
        <v>4</v>
      </c>
      <c r="K658" s="9"/>
      <c r="L658" s="37"/>
      <c r="M658" s="64"/>
      <c r="N658" s="42"/>
    </row>
    <row r="659" spans="1:14" ht="24" customHeight="1">
      <c r="A659" s="8">
        <v>619</v>
      </c>
      <c r="B659" s="9">
        <v>619</v>
      </c>
      <c r="C659" s="46"/>
      <c r="D659" s="9"/>
      <c r="E659" s="19" t="str">
        <f>IFERROR(VLOOKUP(D659,케이블트레이입.출고현황!U662:Z737,2,0),"")</f>
        <v/>
      </c>
      <c r="F659" s="19" t="str">
        <f>IFERROR(VLOOKUP(E659,케이블트레이입.출고현황!V662:AA737,2,0),"")</f>
        <v/>
      </c>
      <c r="G659" s="19" t="str">
        <f>IFERROR(VLOOKUP(F659,케이블트레이입.출고현황!W662:AB737,2,0),"")</f>
        <v/>
      </c>
      <c r="H659" s="19" t="str">
        <f>IFERROR(VLOOKUP(G659,케이블트레이입.출고현황!X662:AC737,2,0),"")</f>
        <v/>
      </c>
      <c r="I659" s="19" t="str">
        <f>IFERROR(VLOOKUP(H659,케이블트레이입.출고현황!Y662:AD737,2,0),"")</f>
        <v/>
      </c>
      <c r="J659" s="9">
        <v>2</v>
      </c>
      <c r="K659" s="9"/>
      <c r="L659" s="37"/>
      <c r="M659" s="64"/>
      <c r="N659" s="42"/>
    </row>
    <row r="660" spans="1:14" ht="24" customHeight="1">
      <c r="A660" s="8">
        <v>620</v>
      </c>
      <c r="B660" s="9">
        <v>620</v>
      </c>
      <c r="C660" s="46"/>
      <c r="D660" s="9"/>
      <c r="E660" s="19" t="str">
        <f>IFERROR(VLOOKUP(D660,케이블트레이입.출고현황!U663:Z738,2,0),"")</f>
        <v/>
      </c>
      <c r="F660" s="19" t="str">
        <f>IFERROR(VLOOKUP(E660,케이블트레이입.출고현황!V663:AA738,2,0),"")</f>
        <v/>
      </c>
      <c r="G660" s="19" t="str">
        <f>IFERROR(VLOOKUP(F660,케이블트레이입.출고현황!W663:AB738,2,0),"")</f>
        <v/>
      </c>
      <c r="H660" s="19" t="str">
        <f>IFERROR(VLOOKUP(G660,케이블트레이입.출고현황!X663:AC738,2,0),"")</f>
        <v/>
      </c>
      <c r="I660" s="19" t="str">
        <f>IFERROR(VLOOKUP(H660,케이블트레이입.출고현황!Y663:AD738,2,0),"")</f>
        <v/>
      </c>
      <c r="J660" s="9">
        <v>1</v>
      </c>
      <c r="K660" s="9"/>
      <c r="L660" s="37"/>
      <c r="M660" s="64"/>
      <c r="N660" s="42"/>
    </row>
    <row r="661" spans="1:14" ht="24" customHeight="1">
      <c r="A661" s="8">
        <v>621</v>
      </c>
      <c r="B661" s="9">
        <v>621</v>
      </c>
      <c r="C661" s="46"/>
      <c r="D661" s="9"/>
      <c r="E661" s="19" t="str">
        <f>IFERROR(VLOOKUP(D661,케이블트레이입.출고현황!U664:Z739,2,0),"")</f>
        <v/>
      </c>
      <c r="F661" s="19" t="str">
        <f>IFERROR(VLOOKUP(E661,케이블트레이입.출고현황!V664:AA739,2,0),"")</f>
        <v/>
      </c>
      <c r="G661" s="19" t="str">
        <f>IFERROR(VLOOKUP(F661,케이블트레이입.출고현황!W664:AB739,2,0),"")</f>
        <v/>
      </c>
      <c r="H661" s="19" t="str">
        <f>IFERROR(VLOOKUP(G661,케이블트레이입.출고현황!X664:AC739,2,0),"")</f>
        <v/>
      </c>
      <c r="I661" s="19" t="str">
        <f>IFERROR(VLOOKUP(H661,케이블트레이입.출고현황!Y664:AD739,2,0),"")</f>
        <v/>
      </c>
      <c r="J661" s="9">
        <v>2</v>
      </c>
      <c r="K661" s="9"/>
      <c r="L661" s="37"/>
      <c r="M661" s="64"/>
      <c r="N661" s="42"/>
    </row>
    <row r="662" spans="1:14" ht="24" customHeight="1">
      <c r="A662" s="8">
        <v>622</v>
      </c>
      <c r="B662" s="9">
        <v>622</v>
      </c>
      <c r="C662" s="46"/>
      <c r="D662" s="9"/>
      <c r="E662" s="19" t="str">
        <f>IFERROR(VLOOKUP(D662,케이블트레이입.출고현황!U665:Z740,2,0),"")</f>
        <v/>
      </c>
      <c r="F662" s="19" t="str">
        <f>IFERROR(VLOOKUP(E662,케이블트레이입.출고현황!V665:AA740,2,0),"")</f>
        <v/>
      </c>
      <c r="G662" s="19" t="str">
        <f>IFERROR(VLOOKUP(F662,케이블트레이입.출고현황!W665:AB740,2,0),"")</f>
        <v/>
      </c>
      <c r="H662" s="19" t="str">
        <f>IFERROR(VLOOKUP(G662,케이블트레이입.출고현황!X665:AC740,2,0),"")</f>
        <v/>
      </c>
      <c r="I662" s="19" t="str">
        <f>IFERROR(VLOOKUP(H662,케이블트레이입.출고현황!Y665:AD740,2,0),"")</f>
        <v/>
      </c>
      <c r="J662" s="9">
        <v>3</v>
      </c>
      <c r="K662" s="9"/>
      <c r="L662" s="37"/>
      <c r="M662" s="64"/>
      <c r="N662" s="42"/>
    </row>
    <row r="663" spans="1:14" ht="24" customHeight="1">
      <c r="A663" s="8">
        <v>623</v>
      </c>
      <c r="B663" s="9">
        <v>623</v>
      </c>
      <c r="C663" s="46"/>
      <c r="D663" s="9"/>
      <c r="E663" s="19" t="str">
        <f>IFERROR(VLOOKUP(D663,케이블트레이입.출고현황!U666:Z741,2,0),"")</f>
        <v/>
      </c>
      <c r="F663" s="19" t="str">
        <f>IFERROR(VLOOKUP(E663,케이블트레이입.출고현황!V666:AA741,2,0),"")</f>
        <v/>
      </c>
      <c r="G663" s="19" t="str">
        <f>IFERROR(VLOOKUP(F663,케이블트레이입.출고현황!W666:AB741,2,0),"")</f>
        <v/>
      </c>
      <c r="H663" s="19" t="str">
        <f>IFERROR(VLOOKUP(G663,케이블트레이입.출고현황!X666:AC741,2,0),"")</f>
        <v/>
      </c>
      <c r="I663" s="19" t="str">
        <f>IFERROR(VLOOKUP(H663,케이블트레이입.출고현황!Y666:AD741,2,0),"")</f>
        <v/>
      </c>
      <c r="J663" s="9">
        <v>1</v>
      </c>
      <c r="K663" s="9"/>
      <c r="L663" s="37"/>
      <c r="M663" s="64"/>
      <c r="N663" s="42"/>
    </row>
    <row r="664" spans="1:14" ht="24" customHeight="1">
      <c r="A664" s="8">
        <v>624</v>
      </c>
      <c r="B664" s="9">
        <v>624</v>
      </c>
      <c r="C664" s="46"/>
      <c r="D664" s="9"/>
      <c r="E664" s="19" t="str">
        <f>IFERROR(VLOOKUP(D664,케이블트레이입.출고현황!U667:Z742,2,0),"")</f>
        <v/>
      </c>
      <c r="F664" s="19" t="str">
        <f>IFERROR(VLOOKUP(E664,케이블트레이입.출고현황!V667:AA742,2,0),"")</f>
        <v/>
      </c>
      <c r="G664" s="19" t="str">
        <f>IFERROR(VLOOKUP(F664,케이블트레이입.출고현황!W667:AB742,2,0),"")</f>
        <v/>
      </c>
      <c r="H664" s="19" t="str">
        <f>IFERROR(VLOOKUP(G664,케이블트레이입.출고현황!X667:AC742,2,0),"")</f>
        <v/>
      </c>
      <c r="I664" s="19" t="str">
        <f>IFERROR(VLOOKUP(H664,케이블트레이입.출고현황!Y667:AD742,2,0),"")</f>
        <v/>
      </c>
      <c r="J664" s="9">
        <v>1</v>
      </c>
      <c r="K664" s="9"/>
      <c r="L664" s="37"/>
      <c r="M664" s="64"/>
      <c r="N664" s="42"/>
    </row>
    <row r="665" spans="1:14" ht="24" customHeight="1">
      <c r="A665" s="8">
        <v>625</v>
      </c>
      <c r="B665" s="9">
        <v>625</v>
      </c>
      <c r="C665" s="46"/>
      <c r="D665" s="9"/>
      <c r="E665" s="19" t="str">
        <f>IFERROR(VLOOKUP(D665,케이블트레이입.출고현황!U668:Z743,2,0),"")</f>
        <v/>
      </c>
      <c r="F665" s="19" t="str">
        <f>IFERROR(VLOOKUP(E665,케이블트레이입.출고현황!V668:AA743,2,0),"")</f>
        <v/>
      </c>
      <c r="G665" s="19" t="str">
        <f>IFERROR(VLOOKUP(F665,케이블트레이입.출고현황!W668:AB743,2,0),"")</f>
        <v/>
      </c>
      <c r="H665" s="19" t="str">
        <f>IFERROR(VLOOKUP(G665,케이블트레이입.출고현황!X668:AC743,2,0),"")</f>
        <v/>
      </c>
      <c r="I665" s="19" t="str">
        <f>IFERROR(VLOOKUP(H665,케이블트레이입.출고현황!Y668:AD743,2,0),"")</f>
        <v/>
      </c>
      <c r="J665" s="9">
        <v>2</v>
      </c>
      <c r="K665" s="9"/>
      <c r="L665" s="37"/>
      <c r="M665" s="64"/>
      <c r="N665" s="42"/>
    </row>
    <row r="666" spans="1:14" ht="24" customHeight="1">
      <c r="A666" s="8">
        <v>626</v>
      </c>
      <c r="B666" s="9">
        <v>626</v>
      </c>
      <c r="C666" s="46"/>
      <c r="D666" s="9"/>
      <c r="E666" s="19" t="str">
        <f>IFERROR(VLOOKUP(D666,케이블트레이입.출고현황!U669:Z744,2,0),"")</f>
        <v/>
      </c>
      <c r="F666" s="19" t="str">
        <f>IFERROR(VLOOKUP(E666,케이블트레이입.출고현황!V669:AA744,2,0),"")</f>
        <v/>
      </c>
      <c r="G666" s="19" t="str">
        <f>IFERROR(VLOOKUP(F666,케이블트레이입.출고현황!W669:AB744,2,0),"")</f>
        <v/>
      </c>
      <c r="H666" s="19" t="str">
        <f>IFERROR(VLOOKUP(G666,케이블트레이입.출고현황!X669:AC744,2,0),"")</f>
        <v/>
      </c>
      <c r="I666" s="19" t="str">
        <f>IFERROR(VLOOKUP(H666,케이블트레이입.출고현황!Y669:AD744,2,0),"")</f>
        <v/>
      </c>
      <c r="J666" s="9">
        <v>2</v>
      </c>
      <c r="K666" s="9"/>
      <c r="L666" s="37"/>
      <c r="M666" s="64"/>
      <c r="N666" s="42"/>
    </row>
    <row r="667" spans="1:14" ht="24" customHeight="1">
      <c r="A667" s="8">
        <v>627</v>
      </c>
      <c r="B667" s="9">
        <v>627</v>
      </c>
      <c r="C667" s="46"/>
      <c r="D667" s="9"/>
      <c r="E667" s="19" t="str">
        <f>IFERROR(VLOOKUP(D667,케이블트레이입.출고현황!U670:Z745,2,0),"")</f>
        <v/>
      </c>
      <c r="F667" s="19" t="str">
        <f>IFERROR(VLOOKUP(E667,케이블트레이입.출고현황!V670:AA745,2,0),"")</f>
        <v/>
      </c>
      <c r="G667" s="19" t="str">
        <f>IFERROR(VLOOKUP(F667,케이블트레이입.출고현황!W670:AB745,2,0),"")</f>
        <v/>
      </c>
      <c r="H667" s="19" t="str">
        <f>IFERROR(VLOOKUP(G667,케이블트레이입.출고현황!X670:AC745,2,0),"")</f>
        <v/>
      </c>
      <c r="I667" s="19" t="str">
        <f>IFERROR(VLOOKUP(H667,케이블트레이입.출고현황!Y670:AD745,2,0),"")</f>
        <v/>
      </c>
      <c r="J667" s="9">
        <v>1</v>
      </c>
      <c r="K667" s="9"/>
      <c r="L667" s="37"/>
      <c r="M667" s="64"/>
      <c r="N667" s="42"/>
    </row>
    <row r="668" spans="1:14" ht="24" customHeight="1">
      <c r="A668" s="8">
        <v>628</v>
      </c>
      <c r="B668" s="9">
        <v>628</v>
      </c>
      <c r="C668" s="46"/>
      <c r="D668" s="9"/>
      <c r="E668" s="19" t="str">
        <f>IFERROR(VLOOKUP(D668,케이블트레이입.출고현황!U671:Z746,2,0),"")</f>
        <v/>
      </c>
      <c r="F668" s="19" t="str">
        <f>IFERROR(VLOOKUP(E668,케이블트레이입.출고현황!V671:AA746,2,0),"")</f>
        <v/>
      </c>
      <c r="G668" s="19" t="str">
        <f>IFERROR(VLOOKUP(F668,케이블트레이입.출고현황!W671:AB746,2,0),"")</f>
        <v/>
      </c>
      <c r="H668" s="19" t="str">
        <f>IFERROR(VLOOKUP(G668,케이블트레이입.출고현황!X671:AC746,2,0),"")</f>
        <v/>
      </c>
      <c r="I668" s="19" t="str">
        <f>IFERROR(VLOOKUP(H668,케이블트레이입.출고현황!Y671:AD746,2,0),"")</f>
        <v/>
      </c>
      <c r="J668" s="9">
        <v>1</v>
      </c>
      <c r="K668" s="9"/>
      <c r="L668" s="37"/>
      <c r="M668" s="64"/>
      <c r="N668" s="42"/>
    </row>
    <row r="669" spans="1:14" ht="24" customHeight="1">
      <c r="A669" s="8">
        <v>629</v>
      </c>
      <c r="B669" s="9">
        <v>629</v>
      </c>
      <c r="C669" s="46"/>
      <c r="D669" s="9"/>
      <c r="E669" s="19" t="str">
        <f>IFERROR(VLOOKUP(D669,케이블트레이입.출고현황!U672:Z747,2,0),"")</f>
        <v/>
      </c>
      <c r="F669" s="19" t="str">
        <f>IFERROR(VLOOKUP(E669,케이블트레이입.출고현황!V672:AA747,2,0),"")</f>
        <v/>
      </c>
      <c r="G669" s="19" t="str">
        <f>IFERROR(VLOOKUP(F669,케이블트레이입.출고현황!W672:AB747,2,0),"")</f>
        <v/>
      </c>
      <c r="H669" s="19" t="str">
        <f>IFERROR(VLOOKUP(G669,케이블트레이입.출고현황!X672:AC747,2,0),"")</f>
        <v/>
      </c>
      <c r="I669" s="19" t="str">
        <f>IFERROR(VLOOKUP(H669,케이블트레이입.출고현황!Y672:AD747,2,0),"")</f>
        <v/>
      </c>
      <c r="J669" s="9">
        <v>3</v>
      </c>
      <c r="K669" s="9"/>
      <c r="L669" s="37"/>
      <c r="M669" s="64"/>
      <c r="N669" s="42"/>
    </row>
    <row r="670" spans="1:14" ht="24" customHeight="1">
      <c r="A670" s="8">
        <v>630</v>
      </c>
      <c r="B670" s="9">
        <v>630</v>
      </c>
      <c r="C670" s="46"/>
      <c r="D670" s="9"/>
      <c r="E670" s="19" t="str">
        <f>IFERROR(VLOOKUP(D670,케이블트레이입.출고현황!U673:Z748,2,0),"")</f>
        <v/>
      </c>
      <c r="F670" s="19" t="str">
        <f>IFERROR(VLOOKUP(E670,케이블트레이입.출고현황!V673:AA748,2,0),"")</f>
        <v/>
      </c>
      <c r="G670" s="19" t="str">
        <f>IFERROR(VLOOKUP(F670,케이블트레이입.출고현황!W673:AB748,2,0),"")</f>
        <v/>
      </c>
      <c r="H670" s="19" t="str">
        <f>IFERROR(VLOOKUP(G670,케이블트레이입.출고현황!X673:AC748,2,0),"")</f>
        <v/>
      </c>
      <c r="I670" s="19" t="str">
        <f>IFERROR(VLOOKUP(H670,케이블트레이입.출고현황!Y673:AD748,2,0),"")</f>
        <v/>
      </c>
      <c r="J670" s="9">
        <v>2</v>
      </c>
      <c r="K670" s="9"/>
      <c r="L670" s="37"/>
      <c r="M670" s="64"/>
      <c r="N670" s="42"/>
    </row>
    <row r="671" spans="1:14" ht="24" customHeight="1">
      <c r="A671" s="8">
        <v>631</v>
      </c>
      <c r="B671" s="9">
        <v>631</v>
      </c>
      <c r="C671" s="46"/>
      <c r="D671" s="9"/>
      <c r="E671" s="19" t="str">
        <f>IFERROR(VLOOKUP(D671,케이블트레이입.출고현황!U674:Z749,2,0),"")</f>
        <v/>
      </c>
      <c r="F671" s="19" t="str">
        <f>IFERROR(VLOOKUP(E671,케이블트레이입.출고현황!V674:AA749,2,0),"")</f>
        <v/>
      </c>
      <c r="G671" s="19" t="str">
        <f>IFERROR(VLOOKUP(F671,케이블트레이입.출고현황!W674:AB749,2,0),"")</f>
        <v/>
      </c>
      <c r="H671" s="19" t="str">
        <f>IFERROR(VLOOKUP(G671,케이블트레이입.출고현황!X674:AC749,2,0),"")</f>
        <v/>
      </c>
      <c r="I671" s="19" t="str">
        <f>IFERROR(VLOOKUP(H671,케이블트레이입.출고현황!Y674:AD749,2,0),"")</f>
        <v/>
      </c>
      <c r="J671" s="9">
        <v>3</v>
      </c>
      <c r="K671" s="9"/>
      <c r="L671" s="37"/>
      <c r="M671" s="64"/>
      <c r="N671" s="42"/>
    </row>
    <row r="672" spans="1:14" ht="24" customHeight="1">
      <c r="A672" s="8">
        <v>632</v>
      </c>
      <c r="B672" s="9">
        <v>632</v>
      </c>
      <c r="C672" s="46"/>
      <c r="D672" s="9"/>
      <c r="E672" s="19" t="str">
        <f>IFERROR(VLOOKUP(D672,케이블트레이입.출고현황!U675:Z750,2,0),"")</f>
        <v/>
      </c>
      <c r="F672" s="19" t="str">
        <f>IFERROR(VLOOKUP(E672,케이블트레이입.출고현황!V675:AA750,2,0),"")</f>
        <v/>
      </c>
      <c r="G672" s="19" t="str">
        <f>IFERROR(VLOOKUP(F672,케이블트레이입.출고현황!W675:AB750,2,0),"")</f>
        <v/>
      </c>
      <c r="H672" s="19" t="str">
        <f>IFERROR(VLOOKUP(G672,케이블트레이입.출고현황!X675:AC750,2,0),"")</f>
        <v/>
      </c>
      <c r="I672" s="19" t="str">
        <f>IFERROR(VLOOKUP(H672,케이블트레이입.출고현황!Y675:AD750,2,0),"")</f>
        <v/>
      </c>
      <c r="J672" s="9">
        <v>1</v>
      </c>
      <c r="K672" s="9"/>
      <c r="L672" s="37"/>
      <c r="M672" s="64"/>
      <c r="N672" s="42"/>
    </row>
    <row r="673" spans="1:14" ht="24" customHeight="1">
      <c r="A673" s="8">
        <v>633</v>
      </c>
      <c r="B673" s="9">
        <v>633</v>
      </c>
      <c r="C673" s="46"/>
      <c r="D673" s="9"/>
      <c r="E673" s="19" t="str">
        <f>IFERROR(VLOOKUP(D673,케이블트레이입.출고현황!U676:Z751,2,0),"")</f>
        <v/>
      </c>
      <c r="F673" s="19" t="str">
        <f>IFERROR(VLOOKUP(E673,케이블트레이입.출고현황!V676:AA751,2,0),"")</f>
        <v/>
      </c>
      <c r="G673" s="19" t="str">
        <f>IFERROR(VLOOKUP(F673,케이블트레이입.출고현황!W676:AB751,2,0),"")</f>
        <v/>
      </c>
      <c r="H673" s="19" t="str">
        <f>IFERROR(VLOOKUP(G673,케이블트레이입.출고현황!X676:AC751,2,0),"")</f>
        <v/>
      </c>
      <c r="I673" s="19" t="str">
        <f>IFERROR(VLOOKUP(H673,케이블트레이입.출고현황!Y676:AD751,2,0),"")</f>
        <v/>
      </c>
      <c r="J673" s="9">
        <v>1</v>
      </c>
      <c r="K673" s="9"/>
      <c r="L673" s="37"/>
      <c r="M673" s="64"/>
      <c r="N673" s="42"/>
    </row>
    <row r="674" spans="1:14" ht="24" customHeight="1">
      <c r="A674" s="8">
        <v>634</v>
      </c>
      <c r="B674" s="9">
        <v>634</v>
      </c>
      <c r="C674" s="46"/>
      <c r="D674" s="9"/>
      <c r="E674" s="19" t="str">
        <f>IFERROR(VLOOKUP(D674,케이블트레이입.출고현황!U677:Z752,2,0),"")</f>
        <v/>
      </c>
      <c r="F674" s="19" t="str">
        <f>IFERROR(VLOOKUP(E674,케이블트레이입.출고현황!V677:AA752,2,0),"")</f>
        <v/>
      </c>
      <c r="G674" s="19" t="str">
        <f>IFERROR(VLOOKUP(F674,케이블트레이입.출고현황!W677:AB752,2,0),"")</f>
        <v/>
      </c>
      <c r="H674" s="19" t="str">
        <f>IFERROR(VLOOKUP(G674,케이블트레이입.출고현황!X677:AC752,2,0),"")</f>
        <v/>
      </c>
      <c r="I674" s="19" t="str">
        <f>IFERROR(VLOOKUP(H674,케이블트레이입.출고현황!Y677:AD752,2,0),"")</f>
        <v/>
      </c>
      <c r="J674" s="9">
        <v>2</v>
      </c>
      <c r="K674" s="9"/>
      <c r="L674" s="37"/>
      <c r="M674" s="64"/>
      <c r="N674" s="42"/>
    </row>
    <row r="675" spans="1:14" ht="24" customHeight="1">
      <c r="A675" s="8">
        <v>635</v>
      </c>
      <c r="B675" s="9">
        <v>635</v>
      </c>
      <c r="C675" s="46"/>
      <c r="D675" s="9"/>
      <c r="E675" s="19" t="str">
        <f>IFERROR(VLOOKUP(D675,케이블트레이입.출고현황!U678:Z753,2,0),"")</f>
        <v/>
      </c>
      <c r="F675" s="19" t="str">
        <f>IFERROR(VLOOKUP(E675,케이블트레이입.출고현황!V678:AA753,2,0),"")</f>
        <v/>
      </c>
      <c r="G675" s="19" t="str">
        <f>IFERROR(VLOOKUP(F675,케이블트레이입.출고현황!W678:AB753,2,0),"")</f>
        <v/>
      </c>
      <c r="H675" s="19" t="str">
        <f>IFERROR(VLOOKUP(G675,케이블트레이입.출고현황!X678:AC753,2,0),"")</f>
        <v/>
      </c>
      <c r="I675" s="19" t="str">
        <f>IFERROR(VLOOKUP(H675,케이블트레이입.출고현황!Y678:AD753,2,0),"")</f>
        <v/>
      </c>
      <c r="J675" s="9">
        <v>3</v>
      </c>
      <c r="K675" s="9"/>
      <c r="L675" s="37"/>
      <c r="M675" s="64"/>
      <c r="N675" s="42"/>
    </row>
    <row r="676" spans="1:14" ht="24" customHeight="1">
      <c r="A676" s="8">
        <v>636</v>
      </c>
      <c r="B676" s="9">
        <v>636</v>
      </c>
      <c r="C676" s="46"/>
      <c r="D676" s="9"/>
      <c r="E676" s="19" t="str">
        <f>IFERROR(VLOOKUP(D676,케이블트레이입.출고현황!U679:Z754,2,0),"")</f>
        <v/>
      </c>
      <c r="F676" s="19" t="str">
        <f>IFERROR(VLOOKUP(E676,케이블트레이입.출고현황!V679:AA754,2,0),"")</f>
        <v/>
      </c>
      <c r="G676" s="19" t="str">
        <f>IFERROR(VLOOKUP(F676,케이블트레이입.출고현황!W679:AB754,2,0),"")</f>
        <v/>
      </c>
      <c r="H676" s="19" t="str">
        <f>IFERROR(VLOOKUP(G676,케이블트레이입.출고현황!X679:AC754,2,0),"")</f>
        <v/>
      </c>
      <c r="I676" s="19" t="str">
        <f>IFERROR(VLOOKUP(H676,케이블트레이입.출고현황!Y679:AD754,2,0),"")</f>
        <v/>
      </c>
      <c r="J676" s="9">
        <v>1</v>
      </c>
      <c r="K676" s="9"/>
      <c r="L676" s="37"/>
      <c r="M676" s="64"/>
      <c r="N676" s="42"/>
    </row>
    <row r="677" spans="1:14" ht="24" customHeight="1">
      <c r="A677" s="8">
        <v>637</v>
      </c>
      <c r="B677" s="9">
        <v>637</v>
      </c>
      <c r="C677" s="46"/>
      <c r="D677" s="9"/>
      <c r="E677" s="19" t="str">
        <f>IFERROR(VLOOKUP(D677,케이블트레이입.출고현황!U680:Z755,2,0),"")</f>
        <v/>
      </c>
      <c r="F677" s="19" t="str">
        <f>IFERROR(VLOOKUP(E677,케이블트레이입.출고현황!V680:AA755,2,0),"")</f>
        <v/>
      </c>
      <c r="G677" s="19" t="str">
        <f>IFERROR(VLOOKUP(F677,케이블트레이입.출고현황!W680:AB755,2,0),"")</f>
        <v/>
      </c>
      <c r="H677" s="19" t="str">
        <f>IFERROR(VLOOKUP(G677,케이블트레이입.출고현황!X680:AC755,2,0),"")</f>
        <v/>
      </c>
      <c r="I677" s="19" t="str">
        <f>IFERROR(VLOOKUP(H677,케이블트레이입.출고현황!Y680:AD755,2,0),"")</f>
        <v/>
      </c>
      <c r="J677" s="9">
        <v>4</v>
      </c>
      <c r="K677" s="9"/>
      <c r="L677" s="37"/>
      <c r="M677" s="64"/>
      <c r="N677" s="42"/>
    </row>
    <row r="678" spans="1:14" ht="24" customHeight="1">
      <c r="A678" s="8">
        <v>638</v>
      </c>
      <c r="B678" s="9">
        <v>638</v>
      </c>
      <c r="C678" s="46"/>
      <c r="D678" s="9"/>
      <c r="E678" s="19" t="str">
        <f>IFERROR(VLOOKUP(D678,케이블트레이입.출고현황!U681:Z756,2,0),"")</f>
        <v/>
      </c>
      <c r="F678" s="19" t="str">
        <f>IFERROR(VLOOKUP(E678,케이블트레이입.출고현황!V681:AA756,2,0),"")</f>
        <v/>
      </c>
      <c r="G678" s="19" t="str">
        <f>IFERROR(VLOOKUP(F678,케이블트레이입.출고현황!W681:AB756,2,0),"")</f>
        <v/>
      </c>
      <c r="H678" s="19" t="str">
        <f>IFERROR(VLOOKUP(G678,케이블트레이입.출고현황!X681:AC756,2,0),"")</f>
        <v/>
      </c>
      <c r="I678" s="19" t="str">
        <f>IFERROR(VLOOKUP(H678,케이블트레이입.출고현황!Y681:AD756,2,0),"")</f>
        <v/>
      </c>
      <c r="J678" s="9">
        <v>2</v>
      </c>
      <c r="K678" s="9"/>
      <c r="L678" s="37"/>
      <c r="M678" s="64"/>
      <c r="N678" s="42"/>
    </row>
    <row r="679" spans="1:14" ht="24" customHeight="1">
      <c r="A679" s="8">
        <v>639</v>
      </c>
      <c r="B679" s="9">
        <v>639</v>
      </c>
      <c r="C679" s="46"/>
      <c r="D679" s="9"/>
      <c r="E679" s="19" t="str">
        <f>IFERROR(VLOOKUP(D679,케이블트레이입.출고현황!U682:Z757,2,0),"")</f>
        <v/>
      </c>
      <c r="F679" s="19" t="str">
        <f>IFERROR(VLOOKUP(E679,케이블트레이입.출고현황!V682:AA757,2,0),"")</f>
        <v/>
      </c>
      <c r="G679" s="19" t="str">
        <f>IFERROR(VLOOKUP(F679,케이블트레이입.출고현황!W682:AB757,2,0),"")</f>
        <v/>
      </c>
      <c r="H679" s="19" t="str">
        <f>IFERROR(VLOOKUP(G679,케이블트레이입.출고현황!X682:AC757,2,0),"")</f>
        <v/>
      </c>
      <c r="I679" s="19" t="str">
        <f>IFERROR(VLOOKUP(H679,케이블트레이입.출고현황!Y682:AD757,2,0),"")</f>
        <v/>
      </c>
      <c r="J679" s="9">
        <v>1</v>
      </c>
      <c r="K679" s="9"/>
      <c r="L679" s="37"/>
      <c r="M679" s="64"/>
      <c r="N679" s="42"/>
    </row>
    <row r="680" spans="1:14" ht="24" customHeight="1">
      <c r="A680" s="8">
        <v>640</v>
      </c>
      <c r="B680" s="9">
        <v>640</v>
      </c>
      <c r="C680" s="46"/>
      <c r="D680" s="9"/>
      <c r="E680" s="19" t="str">
        <f>IFERROR(VLOOKUP(D680,케이블트레이입.출고현황!U683:Z758,2,0),"")</f>
        <v/>
      </c>
      <c r="F680" s="19" t="str">
        <f>IFERROR(VLOOKUP(E680,케이블트레이입.출고현황!V683:AA758,2,0),"")</f>
        <v/>
      </c>
      <c r="G680" s="19" t="str">
        <f>IFERROR(VLOOKUP(F680,케이블트레이입.출고현황!W683:AB758,2,0),"")</f>
        <v/>
      </c>
      <c r="H680" s="19" t="str">
        <f>IFERROR(VLOOKUP(G680,케이블트레이입.출고현황!X683:AC758,2,0),"")</f>
        <v/>
      </c>
      <c r="I680" s="19" t="str">
        <f>IFERROR(VLOOKUP(H680,케이블트레이입.출고현황!Y683:AD758,2,0),"")</f>
        <v/>
      </c>
      <c r="J680" s="9">
        <v>2</v>
      </c>
      <c r="K680" s="9"/>
      <c r="L680" s="37"/>
      <c r="M680" s="64"/>
      <c r="N680" s="42"/>
    </row>
    <row r="681" spans="1:14" ht="24" customHeight="1">
      <c r="A681" s="8">
        <v>641</v>
      </c>
      <c r="B681" s="9">
        <v>641</v>
      </c>
      <c r="C681" s="46"/>
      <c r="D681" s="9"/>
      <c r="E681" s="19" t="str">
        <f>IFERROR(VLOOKUP(D681,케이블트레이입.출고현황!U684:Z759,2,0),"")</f>
        <v/>
      </c>
      <c r="F681" s="19" t="str">
        <f>IFERROR(VLOOKUP(E681,케이블트레이입.출고현황!V684:AA759,2,0),"")</f>
        <v/>
      </c>
      <c r="G681" s="19" t="str">
        <f>IFERROR(VLOOKUP(F681,케이블트레이입.출고현황!W684:AB759,2,0),"")</f>
        <v/>
      </c>
      <c r="H681" s="19" t="str">
        <f>IFERROR(VLOOKUP(G681,케이블트레이입.출고현황!X684:AC759,2,0),"")</f>
        <v/>
      </c>
      <c r="I681" s="19" t="str">
        <f>IFERROR(VLOOKUP(H681,케이블트레이입.출고현황!Y684:AD759,2,0),"")</f>
        <v/>
      </c>
      <c r="J681" s="9">
        <v>3</v>
      </c>
      <c r="K681" s="9"/>
      <c r="L681" s="37"/>
      <c r="M681" s="64"/>
      <c r="N681" s="42"/>
    </row>
    <row r="682" spans="1:14" ht="24" customHeight="1">
      <c r="A682" s="8">
        <v>642</v>
      </c>
      <c r="B682" s="9">
        <v>642</v>
      </c>
      <c r="C682" s="46"/>
      <c r="D682" s="9"/>
      <c r="E682" s="19" t="str">
        <f>IFERROR(VLOOKUP(D682,케이블트레이입.출고현황!U685:Z760,2,0),"")</f>
        <v/>
      </c>
      <c r="F682" s="19" t="str">
        <f>IFERROR(VLOOKUP(E682,케이블트레이입.출고현황!V685:AA760,2,0),"")</f>
        <v/>
      </c>
      <c r="G682" s="19" t="str">
        <f>IFERROR(VLOOKUP(F682,케이블트레이입.출고현황!W685:AB760,2,0),"")</f>
        <v/>
      </c>
      <c r="H682" s="19" t="str">
        <f>IFERROR(VLOOKUP(G682,케이블트레이입.출고현황!X685:AC760,2,0),"")</f>
        <v/>
      </c>
      <c r="I682" s="19" t="str">
        <f>IFERROR(VLOOKUP(H682,케이블트레이입.출고현황!Y685:AD760,2,0),"")</f>
        <v/>
      </c>
      <c r="J682" s="9">
        <v>1</v>
      </c>
      <c r="K682" s="9"/>
      <c r="L682" s="37"/>
      <c r="M682" s="64"/>
      <c r="N682" s="42"/>
    </row>
    <row r="683" spans="1:14" ht="24" customHeight="1">
      <c r="A683" s="8">
        <v>643</v>
      </c>
      <c r="B683" s="9">
        <v>643</v>
      </c>
      <c r="C683" s="46"/>
      <c r="D683" s="9"/>
      <c r="E683" s="19" t="str">
        <f>IFERROR(VLOOKUP(D683,케이블트레이입.출고현황!U686:Z761,2,0),"")</f>
        <v/>
      </c>
      <c r="F683" s="19" t="str">
        <f>IFERROR(VLOOKUP(E683,케이블트레이입.출고현황!V686:AA761,2,0),"")</f>
        <v/>
      </c>
      <c r="G683" s="19" t="str">
        <f>IFERROR(VLOOKUP(F683,케이블트레이입.출고현황!W686:AB761,2,0),"")</f>
        <v/>
      </c>
      <c r="H683" s="19" t="str">
        <f>IFERROR(VLOOKUP(G683,케이블트레이입.출고현황!X686:AC761,2,0),"")</f>
        <v/>
      </c>
      <c r="I683" s="19" t="str">
        <f>IFERROR(VLOOKUP(H683,케이블트레이입.출고현황!Y686:AD761,2,0),"")</f>
        <v/>
      </c>
      <c r="J683" s="9">
        <v>1</v>
      </c>
      <c r="K683" s="9"/>
      <c r="L683" s="37"/>
      <c r="M683" s="64"/>
      <c r="N683" s="42"/>
    </row>
    <row r="684" spans="1:14" ht="24" customHeight="1">
      <c r="A684" s="8">
        <v>644</v>
      </c>
      <c r="B684" s="9">
        <v>644</v>
      </c>
      <c r="C684" s="46"/>
      <c r="D684" s="9"/>
      <c r="E684" s="19" t="str">
        <f>IFERROR(VLOOKUP(D684,케이블트레이입.출고현황!U687:Z762,2,0),"")</f>
        <v/>
      </c>
      <c r="F684" s="19" t="str">
        <f>IFERROR(VLOOKUP(E684,케이블트레이입.출고현황!V687:AA762,2,0),"")</f>
        <v/>
      </c>
      <c r="G684" s="19" t="str">
        <f>IFERROR(VLOOKUP(F684,케이블트레이입.출고현황!W687:AB762,2,0),"")</f>
        <v/>
      </c>
      <c r="H684" s="19" t="str">
        <f>IFERROR(VLOOKUP(G684,케이블트레이입.출고현황!X687:AC762,2,0),"")</f>
        <v/>
      </c>
      <c r="I684" s="19" t="str">
        <f>IFERROR(VLOOKUP(H684,케이블트레이입.출고현황!Y687:AD762,2,0),"")</f>
        <v/>
      </c>
      <c r="J684" s="9">
        <v>1</v>
      </c>
      <c r="K684" s="9"/>
      <c r="L684" s="37"/>
      <c r="M684" s="64"/>
      <c r="N684" s="42"/>
    </row>
    <row r="685" spans="1:14" ht="24" customHeight="1">
      <c r="A685" s="8">
        <v>645</v>
      </c>
      <c r="B685" s="9">
        <v>645</v>
      </c>
      <c r="C685" s="46"/>
      <c r="D685" s="9"/>
      <c r="E685" s="19" t="str">
        <f>IFERROR(VLOOKUP(D685,케이블트레이입.출고현황!U688:Z763,2,0),"")</f>
        <v/>
      </c>
      <c r="F685" s="19" t="str">
        <f>IFERROR(VLOOKUP(E685,케이블트레이입.출고현황!V688:AA763,2,0),"")</f>
        <v/>
      </c>
      <c r="G685" s="19" t="str">
        <f>IFERROR(VLOOKUP(F685,케이블트레이입.출고현황!W688:AB763,2,0),"")</f>
        <v/>
      </c>
      <c r="H685" s="19" t="str">
        <f>IFERROR(VLOOKUP(G685,케이블트레이입.출고현황!X688:AC763,2,0),"")</f>
        <v/>
      </c>
      <c r="I685" s="19" t="str">
        <f>IFERROR(VLOOKUP(H685,케이블트레이입.출고현황!Y688:AD763,2,0),"")</f>
        <v/>
      </c>
      <c r="J685" s="9">
        <v>1</v>
      </c>
      <c r="K685" s="9"/>
      <c r="L685" s="37"/>
      <c r="M685" s="64"/>
      <c r="N685" s="42"/>
    </row>
    <row r="686" spans="1:14" ht="24" customHeight="1">
      <c r="A686" s="8">
        <v>646</v>
      </c>
      <c r="B686" s="9">
        <v>646</v>
      </c>
      <c r="C686" s="46"/>
      <c r="D686" s="9"/>
      <c r="E686" s="19" t="str">
        <f>IFERROR(VLOOKUP(D686,케이블트레이입.출고현황!U689:Z764,2,0),"")</f>
        <v/>
      </c>
      <c r="F686" s="19" t="str">
        <f>IFERROR(VLOOKUP(E686,케이블트레이입.출고현황!V689:AA764,2,0),"")</f>
        <v/>
      </c>
      <c r="G686" s="19" t="str">
        <f>IFERROR(VLOOKUP(F686,케이블트레이입.출고현황!W689:AB764,2,0),"")</f>
        <v/>
      </c>
      <c r="H686" s="19" t="str">
        <f>IFERROR(VLOOKUP(G686,케이블트레이입.출고현황!X689:AC764,2,0),"")</f>
        <v/>
      </c>
      <c r="I686" s="19" t="str">
        <f>IFERROR(VLOOKUP(H686,케이블트레이입.출고현황!Y689:AD764,2,0),"")</f>
        <v/>
      </c>
      <c r="J686" s="9">
        <v>1</v>
      </c>
      <c r="K686" s="9"/>
      <c r="L686" s="37"/>
      <c r="M686" s="64"/>
      <c r="N686" s="42"/>
    </row>
    <row r="687" spans="1:14" ht="24" customHeight="1">
      <c r="A687" s="8">
        <v>647</v>
      </c>
      <c r="B687" s="9">
        <v>647</v>
      </c>
      <c r="C687" s="46"/>
      <c r="D687" s="9"/>
      <c r="E687" s="19" t="str">
        <f>IFERROR(VLOOKUP(D687,케이블트레이입.출고현황!U690:Z765,2,0),"")</f>
        <v/>
      </c>
      <c r="F687" s="19" t="str">
        <f>IFERROR(VLOOKUP(E687,케이블트레이입.출고현황!V690:AA765,2,0),"")</f>
        <v/>
      </c>
      <c r="G687" s="19" t="str">
        <f>IFERROR(VLOOKUP(F687,케이블트레이입.출고현황!W690:AB765,2,0),"")</f>
        <v/>
      </c>
      <c r="H687" s="19" t="str">
        <f>IFERROR(VLOOKUP(G687,케이블트레이입.출고현황!X690:AC765,2,0),"")</f>
        <v/>
      </c>
      <c r="I687" s="19" t="str">
        <f>IFERROR(VLOOKUP(H687,케이블트레이입.출고현황!Y690:AD765,2,0),"")</f>
        <v/>
      </c>
      <c r="J687" s="9">
        <v>1</v>
      </c>
      <c r="K687" s="9"/>
      <c r="L687" s="37"/>
      <c r="M687" s="64"/>
      <c r="N687" s="42"/>
    </row>
    <row r="688" spans="1:14" ht="24" customHeight="1">
      <c r="A688" s="8">
        <v>648</v>
      </c>
      <c r="B688" s="9">
        <v>648</v>
      </c>
      <c r="C688" s="46"/>
      <c r="D688" s="9"/>
      <c r="E688" s="19" t="str">
        <f>IFERROR(VLOOKUP(D688,케이블트레이입.출고현황!U691:Z766,2,0),"")</f>
        <v/>
      </c>
      <c r="F688" s="19" t="str">
        <f>IFERROR(VLOOKUP(E688,케이블트레이입.출고현황!V691:AA766,2,0),"")</f>
        <v/>
      </c>
      <c r="G688" s="19" t="str">
        <f>IFERROR(VLOOKUP(F688,케이블트레이입.출고현황!W691:AB766,2,0),"")</f>
        <v/>
      </c>
      <c r="H688" s="19" t="str">
        <f>IFERROR(VLOOKUP(G688,케이블트레이입.출고현황!X691:AC766,2,0),"")</f>
        <v/>
      </c>
      <c r="I688" s="19" t="str">
        <f>IFERROR(VLOOKUP(H688,케이블트레이입.출고현황!Y691:AD766,2,0),"")</f>
        <v/>
      </c>
      <c r="J688" s="9" t="s">
        <v>557</v>
      </c>
      <c r="K688" s="9"/>
      <c r="L688" s="37"/>
      <c r="M688" s="64"/>
      <c r="N688" s="42"/>
    </row>
    <row r="689" spans="1:14" ht="24" customHeight="1">
      <c r="A689" s="8">
        <v>649</v>
      </c>
      <c r="B689" s="9">
        <v>649</v>
      </c>
      <c r="C689" s="46"/>
      <c r="D689" s="9"/>
      <c r="E689" s="19" t="str">
        <f>IFERROR(VLOOKUP(D689,케이블트레이입.출고현황!U692:Z767,2,0),"")</f>
        <v/>
      </c>
      <c r="F689" s="19" t="str">
        <f>IFERROR(VLOOKUP(E689,케이블트레이입.출고현황!V692:AA767,2,0),"")</f>
        <v/>
      </c>
      <c r="G689" s="19" t="str">
        <f>IFERROR(VLOOKUP(F689,케이블트레이입.출고현황!W692:AB767,2,0),"")</f>
        <v/>
      </c>
      <c r="H689" s="19" t="str">
        <f>IFERROR(VLOOKUP(G689,케이블트레이입.출고현황!X692:AC767,2,0),"")</f>
        <v/>
      </c>
      <c r="I689" s="19" t="str">
        <f>IFERROR(VLOOKUP(H689,케이블트레이입.출고현황!Y692:AD767,2,0),"")</f>
        <v/>
      </c>
      <c r="J689" s="9" t="s">
        <v>557</v>
      </c>
      <c r="K689" s="9"/>
      <c r="L689" s="37"/>
      <c r="M689" s="64"/>
      <c r="N689" s="42"/>
    </row>
    <row r="690" spans="1:14" ht="24" customHeight="1">
      <c r="A690" s="8">
        <v>650</v>
      </c>
      <c r="B690" s="9">
        <v>650</v>
      </c>
      <c r="C690" s="46"/>
      <c r="D690" s="9"/>
      <c r="E690" s="19" t="str">
        <f>IFERROR(VLOOKUP(D690,케이블트레이입.출고현황!U693:Z768,2,0),"")</f>
        <v/>
      </c>
      <c r="F690" s="19" t="str">
        <f>IFERROR(VLOOKUP(E690,케이블트레이입.출고현황!V693:AA768,2,0),"")</f>
        <v/>
      </c>
      <c r="G690" s="19" t="str">
        <f>IFERROR(VLOOKUP(F690,케이블트레이입.출고현황!W693:AB768,2,0),"")</f>
        <v/>
      </c>
      <c r="H690" s="19" t="str">
        <f>IFERROR(VLOOKUP(G690,케이블트레이입.출고현황!X693:AC768,2,0),"")</f>
        <v/>
      </c>
      <c r="I690" s="19" t="str">
        <f>IFERROR(VLOOKUP(H690,케이블트레이입.출고현황!Y693:AD768,2,0),"")</f>
        <v/>
      </c>
      <c r="J690" s="9">
        <v>1</v>
      </c>
      <c r="K690" s="9"/>
      <c r="L690" s="37"/>
      <c r="M690" s="64"/>
      <c r="N690" s="42"/>
    </row>
    <row r="691" spans="1:14" ht="24" customHeight="1">
      <c r="A691" s="8">
        <v>651</v>
      </c>
      <c r="B691" s="9">
        <v>651</v>
      </c>
      <c r="C691" s="46"/>
      <c r="D691" s="9"/>
      <c r="E691" s="19" t="str">
        <f>IFERROR(VLOOKUP(D691,케이블트레이입.출고현황!U694:Z769,2,0),"")</f>
        <v/>
      </c>
      <c r="F691" s="19" t="str">
        <f>IFERROR(VLOOKUP(E691,케이블트레이입.출고현황!V694:AA769,2,0),"")</f>
        <v/>
      </c>
      <c r="G691" s="19" t="str">
        <f>IFERROR(VLOOKUP(F691,케이블트레이입.출고현황!W694:AB769,2,0),"")</f>
        <v/>
      </c>
      <c r="H691" s="19" t="str">
        <f>IFERROR(VLOOKUP(G691,케이블트레이입.출고현황!X694:AC769,2,0),"")</f>
        <v/>
      </c>
      <c r="I691" s="19" t="str">
        <f>IFERROR(VLOOKUP(H691,케이블트레이입.출고현황!Y694:AD769,2,0),"")</f>
        <v/>
      </c>
      <c r="J691" s="9">
        <v>1</v>
      </c>
      <c r="K691" s="9"/>
      <c r="L691" s="37"/>
      <c r="M691" s="64"/>
      <c r="N691" s="42"/>
    </row>
    <row r="692" spans="1:14" ht="24" customHeight="1">
      <c r="A692" s="8">
        <v>652</v>
      </c>
      <c r="B692" s="9">
        <v>652</v>
      </c>
      <c r="C692" s="46"/>
      <c r="D692" s="9"/>
      <c r="E692" s="19" t="str">
        <f>IFERROR(VLOOKUP(D692,케이블트레이입.출고현황!U695:Z770,2,0),"")</f>
        <v/>
      </c>
      <c r="F692" s="19" t="str">
        <f>IFERROR(VLOOKUP(E692,케이블트레이입.출고현황!V695:AA770,2,0),"")</f>
        <v/>
      </c>
      <c r="G692" s="19" t="str">
        <f>IFERROR(VLOOKUP(F692,케이블트레이입.출고현황!W695:AB770,2,0),"")</f>
        <v/>
      </c>
      <c r="H692" s="19" t="str">
        <f>IFERROR(VLOOKUP(G692,케이블트레이입.출고현황!X695:AC770,2,0),"")</f>
        <v/>
      </c>
      <c r="I692" s="19" t="str">
        <f>IFERROR(VLOOKUP(H692,케이블트레이입.출고현황!Y695:AD770,2,0),"")</f>
        <v/>
      </c>
      <c r="J692" s="9">
        <v>1</v>
      </c>
      <c r="K692" s="9"/>
      <c r="L692" s="37"/>
      <c r="M692" s="64"/>
      <c r="N692" s="42"/>
    </row>
    <row r="693" spans="1:14" ht="24" customHeight="1">
      <c r="A693" s="8">
        <v>653</v>
      </c>
      <c r="B693" s="9">
        <v>653</v>
      </c>
      <c r="C693" s="46"/>
      <c r="D693" s="9"/>
      <c r="E693" s="19" t="str">
        <f>IFERROR(VLOOKUP(D693,케이블트레이입.출고현황!U696:Z771,2,0),"")</f>
        <v/>
      </c>
      <c r="F693" s="19" t="str">
        <f>IFERROR(VLOOKUP(E693,케이블트레이입.출고현황!V696:AA771,2,0),"")</f>
        <v/>
      </c>
      <c r="G693" s="19" t="str">
        <f>IFERROR(VLOOKUP(F693,케이블트레이입.출고현황!W696:AB771,2,0),"")</f>
        <v/>
      </c>
      <c r="H693" s="19" t="str">
        <f>IFERROR(VLOOKUP(G693,케이블트레이입.출고현황!X696:AC771,2,0),"")</f>
        <v/>
      </c>
      <c r="I693" s="19" t="str">
        <f>IFERROR(VLOOKUP(H693,케이블트레이입.출고현황!Y696:AD771,2,0),"")</f>
        <v/>
      </c>
      <c r="J693" s="9">
        <v>2</v>
      </c>
      <c r="K693" s="9"/>
      <c r="L693" s="37"/>
      <c r="M693" s="64"/>
      <c r="N693" s="42"/>
    </row>
    <row r="694" spans="1:14" ht="24" customHeight="1">
      <c r="A694" s="8">
        <v>654</v>
      </c>
      <c r="B694" s="9">
        <v>654</v>
      </c>
      <c r="C694" s="46"/>
      <c r="D694" s="9"/>
      <c r="E694" s="19" t="str">
        <f>IFERROR(VLOOKUP(D694,케이블트레이입.출고현황!U697:Z772,2,0),"")</f>
        <v/>
      </c>
      <c r="F694" s="19" t="str">
        <f>IFERROR(VLOOKUP(E694,케이블트레이입.출고현황!V697:AA772,2,0),"")</f>
        <v/>
      </c>
      <c r="G694" s="19" t="str">
        <f>IFERROR(VLOOKUP(F694,케이블트레이입.출고현황!W697:AB772,2,0),"")</f>
        <v/>
      </c>
      <c r="H694" s="19" t="str">
        <f>IFERROR(VLOOKUP(G694,케이블트레이입.출고현황!X697:AC772,2,0),"")</f>
        <v/>
      </c>
      <c r="I694" s="19" t="str">
        <f>IFERROR(VLOOKUP(H694,케이블트레이입.출고현황!Y697:AD772,2,0),"")</f>
        <v/>
      </c>
      <c r="J694" s="9">
        <v>2</v>
      </c>
      <c r="K694" s="9"/>
      <c r="L694" s="37"/>
      <c r="M694" s="64"/>
      <c r="N694" s="42"/>
    </row>
    <row r="695" spans="1:14" ht="24" customHeight="1">
      <c r="A695" s="8">
        <v>655</v>
      </c>
      <c r="B695" s="9">
        <v>655</v>
      </c>
      <c r="C695" s="46"/>
      <c r="D695" s="9"/>
      <c r="E695" s="19" t="str">
        <f>IFERROR(VLOOKUP(D695,케이블트레이입.출고현황!U698:Z773,2,0),"")</f>
        <v/>
      </c>
      <c r="F695" s="19" t="str">
        <f>IFERROR(VLOOKUP(E695,케이블트레이입.출고현황!V698:AA773,2,0),"")</f>
        <v/>
      </c>
      <c r="G695" s="19" t="str">
        <f>IFERROR(VLOOKUP(F695,케이블트레이입.출고현황!W698:AB773,2,0),"")</f>
        <v/>
      </c>
      <c r="H695" s="19" t="str">
        <f>IFERROR(VLOOKUP(G695,케이블트레이입.출고현황!X698:AC773,2,0),"")</f>
        <v/>
      </c>
      <c r="I695" s="19" t="str">
        <f>IFERROR(VLOOKUP(H695,케이블트레이입.출고현황!Y698:AD773,2,0),"")</f>
        <v/>
      </c>
      <c r="J695" s="9">
        <v>1</v>
      </c>
      <c r="K695" s="9"/>
      <c r="L695" s="37"/>
      <c r="M695" s="64"/>
      <c r="N695" s="42"/>
    </row>
    <row r="696" spans="1:14" ht="24" customHeight="1">
      <c r="A696" s="8">
        <v>656</v>
      </c>
      <c r="B696" s="9">
        <v>656</v>
      </c>
      <c r="C696" s="46"/>
      <c r="D696" s="9"/>
      <c r="E696" s="19" t="str">
        <f>IFERROR(VLOOKUP(D696,케이블트레이입.출고현황!U699:Z774,2,0),"")</f>
        <v/>
      </c>
      <c r="F696" s="19" t="str">
        <f>IFERROR(VLOOKUP(E696,케이블트레이입.출고현황!V699:AA774,2,0),"")</f>
        <v/>
      </c>
      <c r="G696" s="19" t="str">
        <f>IFERROR(VLOOKUP(F696,케이블트레이입.출고현황!W699:AB774,2,0),"")</f>
        <v/>
      </c>
      <c r="H696" s="19" t="str">
        <f>IFERROR(VLOOKUP(G696,케이블트레이입.출고현황!X699:AC774,2,0),"")</f>
        <v/>
      </c>
      <c r="I696" s="19" t="str">
        <f>IFERROR(VLOOKUP(H696,케이블트레이입.출고현황!Y699:AD774,2,0),"")</f>
        <v/>
      </c>
      <c r="J696" s="9">
        <v>1</v>
      </c>
      <c r="K696" s="9"/>
      <c r="L696" s="37"/>
      <c r="M696" s="64"/>
      <c r="N696" s="42"/>
    </row>
    <row r="697" spans="1:14" ht="24" customHeight="1">
      <c r="A697" s="8">
        <v>657</v>
      </c>
      <c r="B697" s="9">
        <v>657</v>
      </c>
      <c r="C697" s="46"/>
      <c r="D697" s="9"/>
      <c r="E697" s="19" t="str">
        <f>IFERROR(VLOOKUP(D697,케이블트레이입.출고현황!U700:Z775,2,0),"")</f>
        <v/>
      </c>
      <c r="F697" s="19" t="str">
        <f>IFERROR(VLOOKUP(E697,케이블트레이입.출고현황!V700:AA775,2,0),"")</f>
        <v/>
      </c>
      <c r="G697" s="19" t="str">
        <f>IFERROR(VLOOKUP(F697,케이블트레이입.출고현황!W700:AB775,2,0),"")</f>
        <v/>
      </c>
      <c r="H697" s="19" t="str">
        <f>IFERROR(VLOOKUP(G697,케이블트레이입.출고현황!X700:AC775,2,0),"")</f>
        <v/>
      </c>
      <c r="I697" s="19" t="str">
        <f>IFERROR(VLOOKUP(H697,케이블트레이입.출고현황!Y700:AD775,2,0),"")</f>
        <v/>
      </c>
      <c r="J697" s="9">
        <v>2</v>
      </c>
      <c r="K697" s="9"/>
      <c r="L697" s="37"/>
      <c r="M697" s="64"/>
      <c r="N697" s="42"/>
    </row>
    <row r="698" spans="1:14" ht="24" customHeight="1">
      <c r="A698" s="8">
        <v>658</v>
      </c>
      <c r="B698" s="9">
        <v>658</v>
      </c>
      <c r="C698" s="46"/>
      <c r="D698" s="9"/>
      <c r="E698" s="19" t="str">
        <f>IFERROR(VLOOKUP(D698,케이블트레이입.출고현황!U701:Z776,2,0),"")</f>
        <v/>
      </c>
      <c r="F698" s="19" t="str">
        <f>IFERROR(VLOOKUP(E698,케이블트레이입.출고현황!V701:AA776,2,0),"")</f>
        <v/>
      </c>
      <c r="G698" s="19" t="str">
        <f>IFERROR(VLOOKUP(F698,케이블트레이입.출고현황!W701:AB776,2,0),"")</f>
        <v/>
      </c>
      <c r="H698" s="19" t="str">
        <f>IFERROR(VLOOKUP(G698,케이블트레이입.출고현황!X701:AC776,2,0),"")</f>
        <v/>
      </c>
      <c r="I698" s="19" t="str">
        <f>IFERROR(VLOOKUP(H698,케이블트레이입.출고현황!Y701:AD776,2,0),"")</f>
        <v/>
      </c>
      <c r="J698" s="9">
        <v>1</v>
      </c>
      <c r="K698" s="9"/>
      <c r="L698" s="37"/>
      <c r="M698" s="64"/>
      <c r="N698" s="42"/>
    </row>
    <row r="699" spans="1:14" ht="24" customHeight="1">
      <c r="A699" s="8">
        <v>659</v>
      </c>
      <c r="B699" s="9">
        <v>659</v>
      </c>
      <c r="C699" s="46"/>
      <c r="D699" s="9"/>
      <c r="E699" s="19" t="str">
        <f>IFERROR(VLOOKUP(D699,케이블트레이입.출고현황!U702:Z777,2,0),"")</f>
        <v/>
      </c>
      <c r="F699" s="19" t="str">
        <f>IFERROR(VLOOKUP(E699,케이블트레이입.출고현황!V702:AA777,2,0),"")</f>
        <v/>
      </c>
      <c r="G699" s="19" t="str">
        <f>IFERROR(VLOOKUP(F699,케이블트레이입.출고현황!W702:AB777,2,0),"")</f>
        <v/>
      </c>
      <c r="H699" s="19" t="str">
        <f>IFERROR(VLOOKUP(G699,케이블트레이입.출고현황!X702:AC777,2,0),"")</f>
        <v/>
      </c>
      <c r="I699" s="19" t="str">
        <f>IFERROR(VLOOKUP(H699,케이블트레이입.출고현황!Y702:AD777,2,0),"")</f>
        <v/>
      </c>
      <c r="J699" s="9">
        <v>1</v>
      </c>
      <c r="K699" s="9"/>
      <c r="L699" s="37"/>
      <c r="M699" s="64"/>
      <c r="N699" s="42"/>
    </row>
    <row r="700" spans="1:14" ht="24" customHeight="1">
      <c r="A700" s="8">
        <v>660</v>
      </c>
      <c r="B700" s="9">
        <v>660</v>
      </c>
      <c r="C700" s="46"/>
      <c r="D700" s="9"/>
      <c r="E700" s="19" t="str">
        <f>IFERROR(VLOOKUP(D700,케이블트레이입.출고현황!U703:Z778,2,0),"")</f>
        <v/>
      </c>
      <c r="F700" s="19" t="str">
        <f>IFERROR(VLOOKUP(E700,케이블트레이입.출고현황!V703:AA778,2,0),"")</f>
        <v/>
      </c>
      <c r="G700" s="19" t="str">
        <f>IFERROR(VLOOKUP(F700,케이블트레이입.출고현황!W703:AB778,2,0),"")</f>
        <v/>
      </c>
      <c r="H700" s="19" t="str">
        <f>IFERROR(VLOOKUP(G700,케이블트레이입.출고현황!X703:AC778,2,0),"")</f>
        <v/>
      </c>
      <c r="I700" s="19" t="str">
        <f>IFERROR(VLOOKUP(H700,케이블트레이입.출고현황!Y703:AD778,2,0),"")</f>
        <v/>
      </c>
      <c r="J700" s="9">
        <v>1</v>
      </c>
      <c r="K700" s="9"/>
      <c r="L700" s="37"/>
      <c r="M700" s="64"/>
      <c r="N700" s="42"/>
    </row>
    <row r="701" spans="1:14" ht="24" customHeight="1">
      <c r="A701" s="8">
        <v>661</v>
      </c>
      <c r="B701" s="9">
        <v>661</v>
      </c>
      <c r="C701" s="46"/>
      <c r="D701" s="9"/>
      <c r="E701" s="19" t="str">
        <f>IFERROR(VLOOKUP(D701,케이블트레이입.출고현황!U704:Z779,2,0),"")</f>
        <v/>
      </c>
      <c r="F701" s="19" t="str">
        <f>IFERROR(VLOOKUP(E701,케이블트레이입.출고현황!V704:AA779,2,0),"")</f>
        <v/>
      </c>
      <c r="G701" s="19" t="str">
        <f>IFERROR(VLOOKUP(F701,케이블트레이입.출고현황!W704:AB779,2,0),"")</f>
        <v/>
      </c>
      <c r="H701" s="19" t="str">
        <f>IFERROR(VLOOKUP(G701,케이블트레이입.출고현황!X704:AC779,2,0),"")</f>
        <v/>
      </c>
      <c r="I701" s="19" t="str">
        <f>IFERROR(VLOOKUP(H701,케이블트레이입.출고현황!Y704:AD779,2,0),"")</f>
        <v/>
      </c>
      <c r="J701" s="9">
        <v>2</v>
      </c>
      <c r="K701" s="9"/>
      <c r="L701" s="37"/>
      <c r="M701" s="64"/>
      <c r="N701" s="42"/>
    </row>
    <row r="702" spans="1:14" ht="24" customHeight="1">
      <c r="A702" s="8">
        <v>662</v>
      </c>
      <c r="B702" s="9">
        <v>662</v>
      </c>
      <c r="C702" s="46"/>
      <c r="D702" s="9"/>
      <c r="E702" s="19" t="str">
        <f>IFERROR(VLOOKUP(D702,케이블트레이입.출고현황!U705:Z780,2,0),"")</f>
        <v/>
      </c>
      <c r="F702" s="19" t="str">
        <f>IFERROR(VLOOKUP(E702,케이블트레이입.출고현황!V705:AA780,2,0),"")</f>
        <v/>
      </c>
      <c r="G702" s="19" t="str">
        <f>IFERROR(VLOOKUP(F702,케이블트레이입.출고현황!W705:AB780,2,0),"")</f>
        <v/>
      </c>
      <c r="H702" s="19" t="str">
        <f>IFERROR(VLOOKUP(G702,케이블트레이입.출고현황!X705:AC780,2,0),"")</f>
        <v/>
      </c>
      <c r="I702" s="19" t="str">
        <f>IFERROR(VLOOKUP(H702,케이블트레이입.출고현황!Y705:AD780,2,0),"")</f>
        <v/>
      </c>
      <c r="J702" s="9">
        <v>2</v>
      </c>
      <c r="K702" s="9"/>
      <c r="L702" s="37"/>
      <c r="M702" s="64"/>
      <c r="N702" s="42"/>
    </row>
    <row r="703" spans="1:14" ht="24" customHeight="1">
      <c r="A703" s="8">
        <v>663</v>
      </c>
      <c r="B703" s="9">
        <v>663</v>
      </c>
      <c r="C703" s="46"/>
      <c r="D703" s="9"/>
      <c r="E703" s="19" t="str">
        <f>IFERROR(VLOOKUP(D703,케이블트레이입.출고현황!U706:Z781,2,0),"")</f>
        <v/>
      </c>
      <c r="F703" s="19" t="str">
        <f>IFERROR(VLOOKUP(E703,케이블트레이입.출고현황!V706:AA781,2,0),"")</f>
        <v/>
      </c>
      <c r="G703" s="19" t="str">
        <f>IFERROR(VLOOKUP(F703,케이블트레이입.출고현황!W706:AB781,2,0),"")</f>
        <v/>
      </c>
      <c r="H703" s="19" t="str">
        <f>IFERROR(VLOOKUP(G703,케이블트레이입.출고현황!X706:AC781,2,0),"")</f>
        <v/>
      </c>
      <c r="I703" s="19" t="str">
        <f>IFERROR(VLOOKUP(H703,케이블트레이입.출고현황!Y706:AD781,2,0),"")</f>
        <v/>
      </c>
      <c r="J703" s="9">
        <v>1</v>
      </c>
      <c r="K703" s="9"/>
      <c r="L703" s="37"/>
      <c r="M703" s="64"/>
      <c r="N703" s="42"/>
    </row>
    <row r="704" spans="1:14" ht="24" customHeight="1">
      <c r="A704" s="8">
        <v>664</v>
      </c>
      <c r="B704" s="9">
        <v>664</v>
      </c>
      <c r="C704" s="46"/>
      <c r="D704" s="9"/>
      <c r="E704" s="19" t="str">
        <f>IFERROR(VLOOKUP(D704,케이블트레이입.출고현황!U707:Z782,2,0),"")</f>
        <v/>
      </c>
      <c r="F704" s="19" t="str">
        <f>IFERROR(VLOOKUP(E704,케이블트레이입.출고현황!V707:AA782,2,0),"")</f>
        <v/>
      </c>
      <c r="G704" s="19" t="str">
        <f>IFERROR(VLOOKUP(F704,케이블트레이입.출고현황!W707:AB782,2,0),"")</f>
        <v/>
      </c>
      <c r="H704" s="19" t="str">
        <f>IFERROR(VLOOKUP(G704,케이블트레이입.출고현황!X707:AC782,2,0),"")</f>
        <v/>
      </c>
      <c r="I704" s="19" t="str">
        <f>IFERROR(VLOOKUP(H704,케이블트레이입.출고현황!Y707:AD782,2,0),"")</f>
        <v/>
      </c>
      <c r="J704" s="9">
        <v>1</v>
      </c>
      <c r="K704" s="9"/>
      <c r="L704" s="37"/>
      <c r="M704" s="64"/>
      <c r="N704" s="42"/>
    </row>
    <row r="705" spans="1:14" ht="24" customHeight="1">
      <c r="A705" s="8">
        <v>665</v>
      </c>
      <c r="B705" s="9">
        <v>665</v>
      </c>
      <c r="C705" s="254"/>
      <c r="D705" s="253"/>
      <c r="E705" s="19" t="str">
        <f>IFERROR(VLOOKUP(D705,케이블트레이입.출고현황!U708:Z783,2,0),"")</f>
        <v/>
      </c>
      <c r="F705" s="19" t="str">
        <f>IFERROR(VLOOKUP(E705,케이블트레이입.출고현황!V708:AA783,2,0),"")</f>
        <v/>
      </c>
      <c r="G705" s="19" t="str">
        <f>IFERROR(VLOOKUP(F705,케이블트레이입.출고현황!W708:AB783,2,0),"")</f>
        <v/>
      </c>
      <c r="H705" s="19" t="str">
        <f>IFERROR(VLOOKUP(G705,케이블트레이입.출고현황!X708:AC783,2,0),"")</f>
        <v/>
      </c>
      <c r="I705" s="19" t="str">
        <f>IFERROR(VLOOKUP(H705,케이블트레이입.출고현황!Y708:AD783,2,0),"")</f>
        <v/>
      </c>
      <c r="J705" s="253">
        <v>1</v>
      </c>
      <c r="K705" s="253"/>
      <c r="L705" s="255"/>
      <c r="M705" s="256"/>
      <c r="N705" s="257"/>
    </row>
    <row r="706" spans="1:14" ht="24" customHeight="1">
      <c r="A706" s="8">
        <v>666</v>
      </c>
      <c r="B706" s="9">
        <v>666</v>
      </c>
      <c r="C706" s="254"/>
      <c r="D706" s="253"/>
      <c r="E706" s="19" t="str">
        <f>IFERROR(VLOOKUP(D706,케이블트레이입.출고현황!U709:Z784,2,0),"")</f>
        <v/>
      </c>
      <c r="F706" s="19" t="str">
        <f>IFERROR(VLOOKUP(E706,케이블트레이입.출고현황!V709:AA784,2,0),"")</f>
        <v/>
      </c>
      <c r="G706" s="19" t="str">
        <f>IFERROR(VLOOKUP(F706,케이블트레이입.출고현황!W709:AB784,2,0),"")</f>
        <v/>
      </c>
      <c r="H706" s="19" t="str">
        <f>IFERROR(VLOOKUP(G706,케이블트레이입.출고현황!X709:AC784,2,0),"")</f>
        <v/>
      </c>
      <c r="I706" s="19" t="str">
        <f>IFERROR(VLOOKUP(H706,케이블트레이입.출고현황!Y709:AD784,2,0),"")</f>
        <v/>
      </c>
      <c r="J706" s="253">
        <v>2</v>
      </c>
      <c r="K706" s="253"/>
      <c r="L706" s="255"/>
      <c r="M706" s="256"/>
      <c r="N706" s="257"/>
    </row>
    <row r="707" spans="1:14" ht="24" customHeight="1">
      <c r="A707" s="8">
        <v>667</v>
      </c>
      <c r="B707" s="9">
        <v>667</v>
      </c>
      <c r="C707" s="254"/>
      <c r="D707" s="253"/>
      <c r="E707" s="19" t="str">
        <f>IFERROR(VLOOKUP(D707,케이블트레이입.출고현황!U710:Z785,2,0),"")</f>
        <v/>
      </c>
      <c r="F707" s="19" t="str">
        <f>IFERROR(VLOOKUP(E707,케이블트레이입.출고현황!V710:AA785,2,0),"")</f>
        <v/>
      </c>
      <c r="G707" s="19" t="str">
        <f>IFERROR(VLOOKUP(F707,케이블트레이입.출고현황!W710:AB785,2,0),"")</f>
        <v/>
      </c>
      <c r="H707" s="19" t="str">
        <f>IFERROR(VLOOKUP(G707,케이블트레이입.출고현황!X710:AC785,2,0),"")</f>
        <v/>
      </c>
      <c r="I707" s="19" t="str">
        <f>IFERROR(VLOOKUP(H707,케이블트레이입.출고현황!Y710:AD785,2,0),"")</f>
        <v/>
      </c>
      <c r="J707" s="253">
        <v>2</v>
      </c>
      <c r="K707" s="253"/>
      <c r="L707" s="255"/>
      <c r="M707" s="256"/>
      <c r="N707" s="257"/>
    </row>
    <row r="708" spans="1:14" ht="24" customHeight="1">
      <c r="A708" s="8">
        <v>668</v>
      </c>
      <c r="B708" s="9">
        <v>668</v>
      </c>
      <c r="C708" s="254"/>
      <c r="D708" s="253"/>
      <c r="E708" s="19" t="str">
        <f>IFERROR(VLOOKUP(D708,케이블트레이입.출고현황!U711:Z786,2,0),"")</f>
        <v/>
      </c>
      <c r="F708" s="19" t="str">
        <f>IFERROR(VLOOKUP(E708,케이블트레이입.출고현황!V711:AA786,2,0),"")</f>
        <v/>
      </c>
      <c r="G708" s="19" t="str">
        <f>IFERROR(VLOOKUP(F708,케이블트레이입.출고현황!W711:AB786,2,0),"")</f>
        <v/>
      </c>
      <c r="H708" s="19" t="str">
        <f>IFERROR(VLOOKUP(G708,케이블트레이입.출고현황!X711:AC786,2,0),"")</f>
        <v/>
      </c>
      <c r="I708" s="19" t="str">
        <f>IFERROR(VLOOKUP(H708,케이블트레이입.출고현황!Y711:AD786,2,0),"")</f>
        <v/>
      </c>
      <c r="J708" s="253">
        <v>1</v>
      </c>
      <c r="K708" s="253"/>
      <c r="L708" s="255"/>
      <c r="M708" s="256"/>
      <c r="N708" s="257"/>
    </row>
    <row r="709" spans="1:14" ht="24" customHeight="1">
      <c r="A709" s="8">
        <v>669</v>
      </c>
      <c r="B709" s="9">
        <v>669</v>
      </c>
      <c r="C709" s="254"/>
      <c r="D709" s="253"/>
      <c r="E709" s="19" t="str">
        <f>IFERROR(VLOOKUP(D709,케이블트레이입.출고현황!U712:Z787,2,0),"")</f>
        <v/>
      </c>
      <c r="F709" s="19" t="str">
        <f>IFERROR(VLOOKUP(E709,케이블트레이입.출고현황!V712:AA787,2,0),"")</f>
        <v/>
      </c>
      <c r="G709" s="19" t="str">
        <f>IFERROR(VLOOKUP(F709,케이블트레이입.출고현황!W712:AB787,2,0),"")</f>
        <v/>
      </c>
      <c r="H709" s="19" t="str">
        <f>IFERROR(VLOOKUP(G709,케이블트레이입.출고현황!X712:AC787,2,0),"")</f>
        <v/>
      </c>
      <c r="I709" s="19" t="str">
        <f>IFERROR(VLOOKUP(H709,케이블트레이입.출고현황!Y712:AD787,2,0),"")</f>
        <v/>
      </c>
      <c r="J709" s="253">
        <v>1</v>
      </c>
      <c r="K709" s="253"/>
      <c r="L709" s="255"/>
      <c r="M709" s="256"/>
      <c r="N709" s="257"/>
    </row>
    <row r="710" spans="1:14" ht="24" customHeight="1">
      <c r="A710" s="8">
        <v>670</v>
      </c>
      <c r="B710" s="9">
        <v>670</v>
      </c>
      <c r="C710" s="254"/>
      <c r="D710" s="253"/>
      <c r="E710" s="19" t="str">
        <f>IFERROR(VLOOKUP(D710,케이블트레이입.출고현황!U713:Z788,2,0),"")</f>
        <v/>
      </c>
      <c r="F710" s="19" t="str">
        <f>IFERROR(VLOOKUP(E710,케이블트레이입.출고현황!V713:AA788,2,0),"")</f>
        <v/>
      </c>
      <c r="G710" s="19" t="str">
        <f>IFERROR(VLOOKUP(F710,케이블트레이입.출고현황!W713:AB788,2,0),"")</f>
        <v/>
      </c>
      <c r="H710" s="19" t="str">
        <f>IFERROR(VLOOKUP(G710,케이블트레이입.출고현황!X713:AC788,2,0),"")</f>
        <v/>
      </c>
      <c r="I710" s="19" t="str">
        <f>IFERROR(VLOOKUP(H710,케이블트레이입.출고현황!Y713:AD788,2,0),"")</f>
        <v/>
      </c>
      <c r="J710" s="253">
        <v>3</v>
      </c>
      <c r="K710" s="253"/>
      <c r="L710" s="255"/>
      <c r="M710" s="256"/>
      <c r="N710" s="257"/>
    </row>
    <row r="711" spans="1:14" ht="24" customHeight="1">
      <c r="A711" s="8">
        <v>671</v>
      </c>
      <c r="B711" s="9">
        <v>671</v>
      </c>
      <c r="C711" s="254"/>
      <c r="D711" s="253"/>
      <c r="E711" s="19" t="str">
        <f>IFERROR(VLOOKUP(D711,케이블트레이입.출고현황!U714:Z789,2,0),"")</f>
        <v/>
      </c>
      <c r="F711" s="19" t="str">
        <f>IFERROR(VLOOKUP(E711,케이블트레이입.출고현황!V714:AA789,2,0),"")</f>
        <v/>
      </c>
      <c r="G711" s="19" t="str">
        <f>IFERROR(VLOOKUP(F711,케이블트레이입.출고현황!W714:AB789,2,0),"")</f>
        <v/>
      </c>
      <c r="H711" s="19" t="str">
        <f>IFERROR(VLOOKUP(G711,케이블트레이입.출고현황!X714:AC789,2,0),"")</f>
        <v/>
      </c>
      <c r="I711" s="19" t="str">
        <f>IFERROR(VLOOKUP(H711,케이블트레이입.출고현황!Y714:AD789,2,0),"")</f>
        <v/>
      </c>
      <c r="J711" s="253">
        <v>2</v>
      </c>
      <c r="K711" s="253"/>
      <c r="L711" s="255"/>
      <c r="M711" s="256"/>
      <c r="N711" s="257"/>
    </row>
    <row r="712" spans="1:14" ht="24" customHeight="1">
      <c r="A712" s="8">
        <v>672</v>
      </c>
      <c r="B712" s="9">
        <v>672</v>
      </c>
      <c r="C712" s="254"/>
      <c r="D712" s="253"/>
      <c r="E712" s="19" t="str">
        <f>IFERROR(VLOOKUP(D712,케이블트레이입.출고현황!U715:Z790,2,0),"")</f>
        <v/>
      </c>
      <c r="F712" s="19" t="str">
        <f>IFERROR(VLOOKUP(E712,케이블트레이입.출고현황!V715:AA790,2,0),"")</f>
        <v/>
      </c>
      <c r="G712" s="19" t="str">
        <f>IFERROR(VLOOKUP(F712,케이블트레이입.출고현황!W715:AB790,2,0),"")</f>
        <v/>
      </c>
      <c r="H712" s="19" t="str">
        <f>IFERROR(VLOOKUP(G712,케이블트레이입.출고현황!X715:AC790,2,0),"")</f>
        <v/>
      </c>
      <c r="I712" s="19" t="str">
        <f>IFERROR(VLOOKUP(H712,케이블트레이입.출고현황!Y715:AD790,2,0),"")</f>
        <v/>
      </c>
      <c r="J712" s="253">
        <v>3</v>
      </c>
      <c r="K712" s="253"/>
      <c r="L712" s="255"/>
      <c r="M712" s="256"/>
      <c r="N712" s="257"/>
    </row>
    <row r="713" spans="1:14" ht="24" customHeight="1">
      <c r="A713" s="8">
        <v>673</v>
      </c>
      <c r="B713" s="9">
        <v>673</v>
      </c>
      <c r="C713" s="254"/>
      <c r="D713" s="253"/>
      <c r="E713" s="19" t="str">
        <f>IFERROR(VLOOKUP(D713,케이블트레이입.출고현황!U716:Z791,2,0),"")</f>
        <v/>
      </c>
      <c r="F713" s="19" t="str">
        <f>IFERROR(VLOOKUP(E713,케이블트레이입.출고현황!V716:AA791,2,0),"")</f>
        <v/>
      </c>
      <c r="G713" s="19" t="str">
        <f>IFERROR(VLOOKUP(F713,케이블트레이입.출고현황!W716:AB791,2,0),"")</f>
        <v/>
      </c>
      <c r="H713" s="19" t="str">
        <f>IFERROR(VLOOKUP(G713,케이블트레이입.출고현황!X716:AC791,2,0),"")</f>
        <v/>
      </c>
      <c r="I713" s="19" t="str">
        <f>IFERROR(VLOOKUP(H713,케이블트레이입.출고현황!Y716:AD791,2,0),"")</f>
        <v/>
      </c>
      <c r="J713" s="253">
        <v>1</v>
      </c>
      <c r="K713" s="253"/>
      <c r="L713" s="255"/>
      <c r="M713" s="256"/>
      <c r="N713" s="257"/>
    </row>
    <row r="714" spans="1:14" ht="24" customHeight="1">
      <c r="A714" s="8">
        <v>674</v>
      </c>
      <c r="B714" s="9">
        <v>674</v>
      </c>
      <c r="C714" s="254"/>
      <c r="D714" s="253"/>
      <c r="E714" s="19" t="str">
        <f>IFERROR(VLOOKUP(D714,케이블트레이입.출고현황!U717:Z792,2,0),"")</f>
        <v/>
      </c>
      <c r="F714" s="19" t="str">
        <f>IFERROR(VLOOKUP(E714,케이블트레이입.출고현황!V717:AA792,2,0),"")</f>
        <v/>
      </c>
      <c r="G714" s="19" t="str">
        <f>IFERROR(VLOOKUP(F714,케이블트레이입.출고현황!W717:AB792,2,0),"")</f>
        <v/>
      </c>
      <c r="H714" s="19" t="str">
        <f>IFERROR(VLOOKUP(G714,케이블트레이입.출고현황!X717:AC792,2,0),"")</f>
        <v/>
      </c>
      <c r="I714" s="19" t="str">
        <f>IFERROR(VLOOKUP(H714,케이블트레이입.출고현황!Y717:AD792,2,0),"")</f>
        <v/>
      </c>
      <c r="J714" s="253">
        <v>1</v>
      </c>
      <c r="K714" s="253"/>
      <c r="L714" s="255"/>
      <c r="M714" s="256"/>
      <c r="N714" s="257"/>
    </row>
    <row r="715" spans="1:14" ht="24" customHeight="1">
      <c r="A715" s="8">
        <v>675</v>
      </c>
      <c r="B715" s="9">
        <v>675</v>
      </c>
      <c r="C715" s="254"/>
      <c r="D715" s="253"/>
      <c r="E715" s="19" t="str">
        <f>IFERROR(VLOOKUP(D715,케이블트레이입.출고현황!U718:Z793,2,0),"")</f>
        <v/>
      </c>
      <c r="F715" s="19" t="str">
        <f>IFERROR(VLOOKUP(E715,케이블트레이입.출고현황!V718:AA793,2,0),"")</f>
        <v/>
      </c>
      <c r="G715" s="19" t="str">
        <f>IFERROR(VLOOKUP(F715,케이블트레이입.출고현황!W718:AB793,2,0),"")</f>
        <v/>
      </c>
      <c r="H715" s="19" t="str">
        <f>IFERROR(VLOOKUP(G715,케이블트레이입.출고현황!X718:AC793,2,0),"")</f>
        <v/>
      </c>
      <c r="I715" s="19" t="str">
        <f>IFERROR(VLOOKUP(H715,케이블트레이입.출고현황!Y718:AD793,2,0),"")</f>
        <v/>
      </c>
      <c r="J715" s="253">
        <v>2</v>
      </c>
      <c r="K715" s="253"/>
      <c r="L715" s="255"/>
      <c r="M715" s="256"/>
      <c r="N715" s="257"/>
    </row>
    <row r="716" spans="1:14" ht="24" customHeight="1">
      <c r="A716" s="8">
        <v>676</v>
      </c>
      <c r="B716" s="9">
        <v>676</v>
      </c>
      <c r="C716" s="254"/>
      <c r="D716" s="253"/>
      <c r="E716" s="19" t="str">
        <f>IFERROR(VLOOKUP(D716,케이블트레이입.출고현황!U719:Z794,2,0),"")</f>
        <v/>
      </c>
      <c r="F716" s="19" t="str">
        <f>IFERROR(VLOOKUP(E716,케이블트레이입.출고현황!V719:AA794,2,0),"")</f>
        <v/>
      </c>
      <c r="G716" s="19" t="str">
        <f>IFERROR(VLOOKUP(F716,케이블트레이입.출고현황!W719:AB794,2,0),"")</f>
        <v/>
      </c>
      <c r="H716" s="19" t="str">
        <f>IFERROR(VLOOKUP(G716,케이블트레이입.출고현황!X719:AC794,2,0),"")</f>
        <v/>
      </c>
      <c r="I716" s="19" t="str">
        <f>IFERROR(VLOOKUP(H716,케이블트레이입.출고현황!Y719:AD794,2,0),"")</f>
        <v/>
      </c>
      <c r="J716" s="253">
        <v>3</v>
      </c>
      <c r="K716" s="253"/>
      <c r="L716" s="255"/>
      <c r="M716" s="256"/>
      <c r="N716" s="257"/>
    </row>
    <row r="717" spans="1:14" ht="24" customHeight="1">
      <c r="A717" s="8">
        <v>677</v>
      </c>
      <c r="B717" s="9">
        <v>677</v>
      </c>
      <c r="C717" s="254"/>
      <c r="D717" s="253"/>
      <c r="E717" s="19" t="str">
        <f>IFERROR(VLOOKUP(D717,케이블트레이입.출고현황!U720:Z795,2,0),"")</f>
        <v/>
      </c>
      <c r="F717" s="19" t="str">
        <f>IFERROR(VLOOKUP(E717,케이블트레이입.출고현황!V720:AA795,2,0),"")</f>
        <v/>
      </c>
      <c r="G717" s="19" t="str">
        <f>IFERROR(VLOOKUP(F717,케이블트레이입.출고현황!W720:AB795,2,0),"")</f>
        <v/>
      </c>
      <c r="H717" s="19" t="str">
        <f>IFERROR(VLOOKUP(G717,케이블트레이입.출고현황!X720:AC795,2,0),"")</f>
        <v/>
      </c>
      <c r="I717" s="19" t="str">
        <f>IFERROR(VLOOKUP(H717,케이블트레이입.출고현황!Y720:AD795,2,0),"")</f>
        <v/>
      </c>
      <c r="J717" s="253">
        <v>1</v>
      </c>
      <c r="K717" s="253"/>
      <c r="L717" s="255"/>
      <c r="M717" s="256"/>
      <c r="N717" s="257"/>
    </row>
    <row r="718" spans="1:14" ht="24" customHeight="1">
      <c r="A718" s="8">
        <v>678</v>
      </c>
      <c r="B718" s="9">
        <v>678</v>
      </c>
      <c r="C718" s="254"/>
      <c r="D718" s="253"/>
      <c r="E718" s="19" t="str">
        <f>IFERROR(VLOOKUP(D718,케이블트레이입.출고현황!U721:Z796,2,0),"")</f>
        <v/>
      </c>
      <c r="F718" s="19" t="str">
        <f>IFERROR(VLOOKUP(E718,케이블트레이입.출고현황!V721:AA796,2,0),"")</f>
        <v/>
      </c>
      <c r="G718" s="19" t="str">
        <f>IFERROR(VLOOKUP(F718,케이블트레이입.출고현황!W721:AB796,2,0),"")</f>
        <v/>
      </c>
      <c r="H718" s="19" t="str">
        <f>IFERROR(VLOOKUP(G718,케이블트레이입.출고현황!X721:AC796,2,0),"")</f>
        <v/>
      </c>
      <c r="I718" s="19" t="str">
        <f>IFERROR(VLOOKUP(H718,케이블트레이입.출고현황!Y721:AD796,2,0),"")</f>
        <v/>
      </c>
      <c r="J718" s="253">
        <v>4</v>
      </c>
      <c r="K718" s="253"/>
      <c r="L718" s="255"/>
      <c r="M718" s="256"/>
      <c r="N718" s="257"/>
    </row>
    <row r="719" spans="1:14" ht="24" customHeight="1">
      <c r="A719" s="8">
        <v>679</v>
      </c>
      <c r="B719" s="9">
        <v>679</v>
      </c>
      <c r="C719" s="254"/>
      <c r="D719" s="253"/>
      <c r="E719" s="19" t="str">
        <f>IFERROR(VLOOKUP(D719,케이블트레이입.출고현황!U722:Z797,2,0),"")</f>
        <v/>
      </c>
      <c r="F719" s="19" t="str">
        <f>IFERROR(VLOOKUP(E719,케이블트레이입.출고현황!V722:AA797,2,0),"")</f>
        <v/>
      </c>
      <c r="G719" s="19" t="str">
        <f>IFERROR(VLOOKUP(F719,케이블트레이입.출고현황!W722:AB797,2,0),"")</f>
        <v/>
      </c>
      <c r="H719" s="19" t="str">
        <f>IFERROR(VLOOKUP(G719,케이블트레이입.출고현황!X722:AC797,2,0),"")</f>
        <v/>
      </c>
      <c r="I719" s="19" t="str">
        <f>IFERROR(VLOOKUP(H719,케이블트레이입.출고현황!Y722:AD797,2,0),"")</f>
        <v/>
      </c>
      <c r="J719" s="253">
        <v>2</v>
      </c>
      <c r="K719" s="253"/>
      <c r="L719" s="255"/>
      <c r="M719" s="256"/>
      <c r="N719" s="257"/>
    </row>
    <row r="720" spans="1:14" ht="24" customHeight="1">
      <c r="A720" s="8">
        <v>680</v>
      </c>
      <c r="B720" s="9">
        <v>680</v>
      </c>
      <c r="C720" s="254"/>
      <c r="D720" s="253"/>
      <c r="E720" s="19" t="str">
        <f>IFERROR(VLOOKUP(D720,케이블트레이입.출고현황!U723:Z798,2,0),"")</f>
        <v/>
      </c>
      <c r="F720" s="19" t="str">
        <f>IFERROR(VLOOKUP(E720,케이블트레이입.출고현황!V723:AA798,2,0),"")</f>
        <v/>
      </c>
      <c r="G720" s="19" t="str">
        <f>IFERROR(VLOOKUP(F720,케이블트레이입.출고현황!W723:AB798,2,0),"")</f>
        <v/>
      </c>
      <c r="H720" s="19" t="str">
        <f>IFERROR(VLOOKUP(G720,케이블트레이입.출고현황!X723:AC798,2,0),"")</f>
        <v/>
      </c>
      <c r="I720" s="19" t="str">
        <f>IFERROR(VLOOKUP(H720,케이블트레이입.출고현황!Y723:AD798,2,0),"")</f>
        <v/>
      </c>
      <c r="J720" s="253">
        <v>1</v>
      </c>
      <c r="K720" s="253"/>
      <c r="L720" s="255"/>
      <c r="M720" s="256"/>
      <c r="N720" s="257"/>
    </row>
    <row r="721" spans="1:14" ht="24" customHeight="1">
      <c r="A721" s="8">
        <v>681</v>
      </c>
      <c r="B721" s="9">
        <v>681</v>
      </c>
      <c r="C721" s="254"/>
      <c r="D721" s="253"/>
      <c r="E721" s="19" t="str">
        <f>IFERROR(VLOOKUP(D721,케이블트레이입.출고현황!U724:Z799,2,0),"")</f>
        <v/>
      </c>
      <c r="F721" s="19" t="str">
        <f>IFERROR(VLOOKUP(E721,케이블트레이입.출고현황!V724:AA799,2,0),"")</f>
        <v/>
      </c>
      <c r="G721" s="19" t="str">
        <f>IFERROR(VLOOKUP(F721,케이블트레이입.출고현황!W724:AB799,2,0),"")</f>
        <v/>
      </c>
      <c r="H721" s="19" t="str">
        <f>IFERROR(VLOOKUP(G721,케이블트레이입.출고현황!X724:AC799,2,0),"")</f>
        <v/>
      </c>
      <c r="I721" s="19" t="str">
        <f>IFERROR(VLOOKUP(H721,케이블트레이입.출고현황!Y724:AD799,2,0),"")</f>
        <v/>
      </c>
      <c r="J721" s="253">
        <v>2</v>
      </c>
      <c r="K721" s="253"/>
      <c r="L721" s="255"/>
      <c r="M721" s="256"/>
      <c r="N721" s="257"/>
    </row>
    <row r="722" spans="1:14" ht="24" customHeight="1">
      <c r="A722" s="8">
        <v>682</v>
      </c>
      <c r="B722" s="9">
        <v>682</v>
      </c>
      <c r="C722" s="254"/>
      <c r="D722" s="253"/>
      <c r="E722" s="19" t="str">
        <f>IFERROR(VLOOKUP(D722,케이블트레이입.출고현황!U725:Z800,2,0),"")</f>
        <v/>
      </c>
      <c r="F722" s="19" t="str">
        <f>IFERROR(VLOOKUP(E722,케이블트레이입.출고현황!V725:AA800,2,0),"")</f>
        <v/>
      </c>
      <c r="G722" s="19" t="str">
        <f>IFERROR(VLOOKUP(F722,케이블트레이입.출고현황!W725:AB800,2,0),"")</f>
        <v/>
      </c>
      <c r="H722" s="19" t="str">
        <f>IFERROR(VLOOKUP(G722,케이블트레이입.출고현황!X725:AC800,2,0),"")</f>
        <v/>
      </c>
      <c r="I722" s="19" t="str">
        <f>IFERROR(VLOOKUP(H722,케이블트레이입.출고현황!Y725:AD800,2,0),"")</f>
        <v/>
      </c>
      <c r="J722" s="253">
        <v>3</v>
      </c>
      <c r="K722" s="253"/>
      <c r="L722" s="255"/>
      <c r="M722" s="256"/>
      <c r="N722" s="257"/>
    </row>
    <row r="723" spans="1:14" ht="24" customHeight="1">
      <c r="A723" s="8">
        <v>683</v>
      </c>
      <c r="B723" s="9">
        <v>683</v>
      </c>
      <c r="C723" s="254"/>
      <c r="D723" s="253"/>
      <c r="E723" s="19" t="str">
        <f>IFERROR(VLOOKUP(D723,케이블트레이입.출고현황!U726:Z801,2,0),"")</f>
        <v/>
      </c>
      <c r="F723" s="19" t="str">
        <f>IFERROR(VLOOKUP(E723,케이블트레이입.출고현황!V726:AA801,2,0),"")</f>
        <v/>
      </c>
      <c r="G723" s="19" t="str">
        <f>IFERROR(VLOOKUP(F723,케이블트레이입.출고현황!W726:AB801,2,0),"")</f>
        <v/>
      </c>
      <c r="H723" s="19" t="str">
        <f>IFERROR(VLOOKUP(G723,케이블트레이입.출고현황!X726:AC801,2,0),"")</f>
        <v/>
      </c>
      <c r="I723" s="19" t="str">
        <f>IFERROR(VLOOKUP(H723,케이블트레이입.출고현황!Y726:AD801,2,0),"")</f>
        <v/>
      </c>
      <c r="J723" s="253">
        <v>1</v>
      </c>
      <c r="K723" s="253"/>
      <c r="L723" s="255"/>
      <c r="M723" s="256"/>
      <c r="N723" s="257"/>
    </row>
    <row r="724" spans="1:14" ht="24" customHeight="1">
      <c r="A724" s="8">
        <v>684</v>
      </c>
      <c r="B724" s="9">
        <v>684</v>
      </c>
      <c r="C724" s="254"/>
      <c r="D724" s="253"/>
      <c r="E724" s="19" t="str">
        <f>IFERROR(VLOOKUP(D724,케이블트레이입.출고현황!U727:Z802,2,0),"")</f>
        <v/>
      </c>
      <c r="F724" s="19" t="str">
        <f>IFERROR(VLOOKUP(E724,케이블트레이입.출고현황!V727:AA802,2,0),"")</f>
        <v/>
      </c>
      <c r="G724" s="19" t="str">
        <f>IFERROR(VLOOKUP(F724,케이블트레이입.출고현황!W727:AB802,2,0),"")</f>
        <v/>
      </c>
      <c r="H724" s="19" t="str">
        <f>IFERROR(VLOOKUP(G724,케이블트레이입.출고현황!X727:AC802,2,0),"")</f>
        <v/>
      </c>
      <c r="I724" s="19" t="str">
        <f>IFERROR(VLOOKUP(H724,케이블트레이입.출고현황!Y727:AD802,2,0),"")</f>
        <v/>
      </c>
      <c r="J724" s="253">
        <v>1</v>
      </c>
      <c r="K724" s="253"/>
      <c r="L724" s="255"/>
      <c r="M724" s="256"/>
      <c r="N724" s="257"/>
    </row>
    <row r="725" spans="1:14" ht="24" customHeight="1">
      <c r="A725" s="8">
        <v>685</v>
      </c>
      <c r="B725" s="9">
        <v>685</v>
      </c>
      <c r="C725" s="254"/>
      <c r="D725" s="253"/>
      <c r="E725" s="19" t="str">
        <f>IFERROR(VLOOKUP(D725,케이블트레이입.출고현황!U728:Z803,2,0),"")</f>
        <v/>
      </c>
      <c r="F725" s="19" t="str">
        <f>IFERROR(VLOOKUP(E725,케이블트레이입.출고현황!V728:AA803,2,0),"")</f>
        <v/>
      </c>
      <c r="G725" s="19" t="str">
        <f>IFERROR(VLOOKUP(F725,케이블트레이입.출고현황!W728:AB803,2,0),"")</f>
        <v/>
      </c>
      <c r="H725" s="19" t="str">
        <f>IFERROR(VLOOKUP(G725,케이블트레이입.출고현황!X728:AC803,2,0),"")</f>
        <v/>
      </c>
      <c r="I725" s="19" t="str">
        <f>IFERROR(VLOOKUP(H725,케이블트레이입.출고현황!Y728:AD803,2,0),"")</f>
        <v/>
      </c>
      <c r="J725" s="253">
        <v>1</v>
      </c>
      <c r="K725" s="253"/>
      <c r="L725" s="255"/>
      <c r="M725" s="256"/>
      <c r="N725" s="257"/>
    </row>
    <row r="726" spans="1:14" ht="24" customHeight="1">
      <c r="A726" s="8">
        <v>686</v>
      </c>
      <c r="B726" s="9">
        <v>686</v>
      </c>
      <c r="C726" s="254"/>
      <c r="D726" s="253"/>
      <c r="E726" s="19" t="str">
        <f>IFERROR(VLOOKUP(D726,케이블트레이입.출고현황!U729:Z804,2,0),"")</f>
        <v/>
      </c>
      <c r="F726" s="19" t="str">
        <f>IFERROR(VLOOKUP(E726,케이블트레이입.출고현황!V729:AA804,2,0),"")</f>
        <v/>
      </c>
      <c r="G726" s="19" t="str">
        <f>IFERROR(VLOOKUP(F726,케이블트레이입.출고현황!W729:AB804,2,0),"")</f>
        <v/>
      </c>
      <c r="H726" s="19" t="str">
        <f>IFERROR(VLOOKUP(G726,케이블트레이입.출고현황!X729:AC804,2,0),"")</f>
        <v/>
      </c>
      <c r="I726" s="19" t="str">
        <f>IFERROR(VLOOKUP(H726,케이블트레이입.출고현황!Y729:AD804,2,0),"")</f>
        <v/>
      </c>
      <c r="J726" s="253">
        <v>3</v>
      </c>
      <c r="K726" s="253"/>
      <c r="L726" s="255"/>
      <c r="M726" s="256"/>
      <c r="N726" s="257"/>
    </row>
    <row r="727" spans="1:14" ht="24" customHeight="1">
      <c r="A727" s="8">
        <v>687</v>
      </c>
      <c r="B727" s="9">
        <v>687</v>
      </c>
      <c r="C727" s="254"/>
      <c r="D727" s="253"/>
      <c r="E727" s="19" t="str">
        <f>IFERROR(VLOOKUP(D727,케이블트레이입.출고현황!U730:Z805,2,0),"")</f>
        <v/>
      </c>
      <c r="F727" s="19" t="str">
        <f>IFERROR(VLOOKUP(E727,케이블트레이입.출고현황!V730:AA805,2,0),"")</f>
        <v/>
      </c>
      <c r="G727" s="19" t="str">
        <f>IFERROR(VLOOKUP(F727,케이블트레이입.출고현황!W730:AB805,2,0),"")</f>
        <v/>
      </c>
      <c r="H727" s="19" t="str">
        <f>IFERROR(VLOOKUP(G727,케이블트레이입.출고현황!X730:AC805,2,0),"")</f>
        <v/>
      </c>
      <c r="I727" s="19" t="str">
        <f>IFERROR(VLOOKUP(H727,케이블트레이입.출고현황!Y730:AD805,2,0),"")</f>
        <v/>
      </c>
      <c r="J727" s="253">
        <v>2</v>
      </c>
      <c r="K727" s="253"/>
      <c r="L727" s="255"/>
      <c r="M727" s="256"/>
      <c r="N727" s="257"/>
    </row>
    <row r="728" spans="1:14" ht="24" customHeight="1">
      <c r="A728" s="8">
        <v>688</v>
      </c>
      <c r="B728" s="9">
        <v>688</v>
      </c>
      <c r="C728" s="254"/>
      <c r="D728" s="253"/>
      <c r="E728" s="19" t="str">
        <f>IFERROR(VLOOKUP(D728,케이블트레이입.출고현황!U731:Z806,2,0),"")</f>
        <v/>
      </c>
      <c r="F728" s="19" t="str">
        <f>IFERROR(VLOOKUP(E728,케이블트레이입.출고현황!V731:AA806,2,0),"")</f>
        <v/>
      </c>
      <c r="G728" s="19" t="str">
        <f>IFERROR(VLOOKUP(F728,케이블트레이입.출고현황!W731:AB806,2,0),"")</f>
        <v/>
      </c>
      <c r="H728" s="19" t="str">
        <f>IFERROR(VLOOKUP(G728,케이블트레이입.출고현황!X731:AC806,2,0),"")</f>
        <v/>
      </c>
      <c r="I728" s="19" t="str">
        <f>IFERROR(VLOOKUP(H728,케이블트레이입.출고현황!Y731:AD806,2,0),"")</f>
        <v/>
      </c>
      <c r="J728" s="253">
        <v>4</v>
      </c>
      <c r="K728" s="253"/>
      <c r="L728" s="281"/>
      <c r="M728" s="256"/>
      <c r="N728" s="257"/>
    </row>
    <row r="729" spans="1:14" ht="24" customHeight="1">
      <c r="A729" s="8">
        <v>689</v>
      </c>
      <c r="B729" s="9">
        <v>689</v>
      </c>
      <c r="C729" s="254"/>
      <c r="D729" s="253"/>
      <c r="E729" s="19" t="str">
        <f>IFERROR(VLOOKUP(D729,케이블트레이입.출고현황!U732:Z807,2,0),"")</f>
        <v/>
      </c>
      <c r="F729" s="19" t="str">
        <f>IFERROR(VLOOKUP(E729,케이블트레이입.출고현황!V732:AA807,2,0),"")</f>
        <v/>
      </c>
      <c r="G729" s="19" t="str">
        <f>IFERROR(VLOOKUP(F729,케이블트레이입.출고현황!W732:AB807,2,0),"")</f>
        <v/>
      </c>
      <c r="H729" s="19" t="str">
        <f>IFERROR(VLOOKUP(G729,케이블트레이입.출고현황!X732:AC807,2,0),"")</f>
        <v/>
      </c>
      <c r="I729" s="19" t="str">
        <f>IFERROR(VLOOKUP(H729,케이블트레이입.출고현황!Y732:AD807,2,0),"")</f>
        <v/>
      </c>
      <c r="J729" s="253">
        <v>4</v>
      </c>
      <c r="K729" s="253"/>
      <c r="L729" s="255"/>
      <c r="M729" s="256"/>
      <c r="N729" s="257"/>
    </row>
    <row r="730" spans="1:14" ht="24" customHeight="1">
      <c r="A730" s="8">
        <v>690</v>
      </c>
      <c r="B730" s="9">
        <v>690</v>
      </c>
      <c r="C730" s="254"/>
      <c r="D730" s="253"/>
      <c r="E730" s="19" t="str">
        <f>IFERROR(VLOOKUP(D730,케이블트레이입.출고현황!U733:Z808,2,0),"")</f>
        <v/>
      </c>
      <c r="F730" s="19" t="str">
        <f>IFERROR(VLOOKUP(E730,케이블트레이입.출고현황!V733:AA808,2,0),"")</f>
        <v/>
      </c>
      <c r="G730" s="19" t="str">
        <f>IFERROR(VLOOKUP(F730,케이블트레이입.출고현황!W733:AB808,2,0),"")</f>
        <v/>
      </c>
      <c r="H730" s="19" t="str">
        <f>IFERROR(VLOOKUP(G730,케이블트레이입.출고현황!X733:AC808,2,0),"")</f>
        <v/>
      </c>
      <c r="I730" s="19" t="str">
        <f>IFERROR(VLOOKUP(H730,케이블트레이입.출고현황!Y733:AD808,2,0),"")</f>
        <v/>
      </c>
      <c r="J730" s="253">
        <v>4</v>
      </c>
      <c r="K730" s="253"/>
      <c r="L730" s="255"/>
      <c r="M730" s="256"/>
      <c r="N730" s="257"/>
    </row>
    <row r="731" spans="1:14" ht="24" customHeight="1">
      <c r="A731" s="8">
        <v>691</v>
      </c>
      <c r="B731" s="9">
        <v>691</v>
      </c>
      <c r="C731" s="254"/>
      <c r="D731" s="253"/>
      <c r="E731" s="19" t="str">
        <f>IFERROR(VLOOKUP(D731,케이블트레이입.출고현황!U734:Z809,2,0),"")</f>
        <v/>
      </c>
      <c r="F731" s="19" t="str">
        <f>IFERROR(VLOOKUP(E731,케이블트레이입.출고현황!V734:AA809,2,0),"")</f>
        <v/>
      </c>
      <c r="G731" s="19" t="str">
        <f>IFERROR(VLOOKUP(F731,케이블트레이입.출고현황!W734:AB809,2,0),"")</f>
        <v/>
      </c>
      <c r="H731" s="19" t="str">
        <f>IFERROR(VLOOKUP(G731,케이블트레이입.출고현황!X734:AC809,2,0),"")</f>
        <v/>
      </c>
      <c r="I731" s="19" t="str">
        <f>IFERROR(VLOOKUP(H731,케이블트레이입.출고현황!Y734:AD809,2,0),"")</f>
        <v/>
      </c>
      <c r="J731" s="253">
        <v>4</v>
      </c>
      <c r="K731" s="253"/>
      <c r="L731" s="281"/>
      <c r="M731" s="256"/>
      <c r="N731" s="257"/>
    </row>
    <row r="732" spans="1:14" ht="24" customHeight="1">
      <c r="A732" s="8">
        <v>692</v>
      </c>
      <c r="B732" s="9">
        <v>692</v>
      </c>
      <c r="C732" s="254"/>
      <c r="D732" s="253"/>
      <c r="E732" s="19" t="str">
        <f>IFERROR(VLOOKUP(D732,케이블트레이입.출고현황!U735:Z810,2,0),"")</f>
        <v/>
      </c>
      <c r="F732" s="19" t="str">
        <f>IFERROR(VLOOKUP(E732,케이블트레이입.출고현황!V735:AA810,2,0),"")</f>
        <v/>
      </c>
      <c r="G732" s="19" t="str">
        <f>IFERROR(VLOOKUP(F732,케이블트레이입.출고현황!W735:AB810,2,0),"")</f>
        <v/>
      </c>
      <c r="H732" s="19" t="str">
        <f>IFERROR(VLOOKUP(G732,케이블트레이입.출고현황!X735:AC810,2,0),"")</f>
        <v/>
      </c>
      <c r="I732" s="19" t="str">
        <f>IFERROR(VLOOKUP(H732,케이블트레이입.출고현황!Y735:AD810,2,0),"")</f>
        <v/>
      </c>
      <c r="J732" s="253">
        <v>1</v>
      </c>
      <c r="K732" s="253"/>
      <c r="L732" s="255"/>
      <c r="M732" s="256"/>
      <c r="N732" s="257"/>
    </row>
    <row r="733" spans="1:14" ht="24" customHeight="1">
      <c r="A733" s="8">
        <v>693</v>
      </c>
      <c r="B733" s="9">
        <v>693</v>
      </c>
      <c r="C733" s="254"/>
      <c r="D733" s="253"/>
      <c r="E733" s="19" t="str">
        <f>IFERROR(VLOOKUP(D733,케이블트레이입.출고현황!U736:Z811,2,0),"")</f>
        <v/>
      </c>
      <c r="F733" s="19" t="str">
        <f>IFERROR(VLOOKUP(E733,케이블트레이입.출고현황!V736:AA811,2,0),"")</f>
        <v/>
      </c>
      <c r="G733" s="19" t="str">
        <f>IFERROR(VLOOKUP(F733,케이블트레이입.출고현황!W736:AB811,2,0),"")</f>
        <v/>
      </c>
      <c r="H733" s="19" t="str">
        <f>IFERROR(VLOOKUP(G733,케이블트레이입.출고현황!X736:AC811,2,0),"")</f>
        <v/>
      </c>
      <c r="I733" s="19" t="str">
        <f>IFERROR(VLOOKUP(H733,케이블트레이입.출고현황!Y736:AD811,2,0),"")</f>
        <v/>
      </c>
      <c r="J733" s="253">
        <v>1</v>
      </c>
      <c r="K733" s="253"/>
      <c r="L733" s="255"/>
      <c r="M733" s="256"/>
      <c r="N733" s="257"/>
    </row>
    <row r="734" spans="1:14" ht="24" customHeight="1">
      <c r="A734" s="8">
        <v>694</v>
      </c>
      <c r="B734" s="9">
        <v>694</v>
      </c>
      <c r="C734" s="254"/>
      <c r="D734" s="253"/>
      <c r="E734" s="19" t="str">
        <f>IFERROR(VLOOKUP(D734,케이블트레이입.출고현황!U737:Z812,2,0),"")</f>
        <v/>
      </c>
      <c r="F734" s="19" t="str">
        <f>IFERROR(VLOOKUP(E734,케이블트레이입.출고현황!V737:AA812,2,0),"")</f>
        <v/>
      </c>
      <c r="G734" s="19" t="str">
        <f>IFERROR(VLOOKUP(F734,케이블트레이입.출고현황!W737:AB812,2,0),"")</f>
        <v/>
      </c>
      <c r="H734" s="19" t="str">
        <f>IFERROR(VLOOKUP(G734,케이블트레이입.출고현황!X737:AC812,2,0),"")</f>
        <v/>
      </c>
      <c r="I734" s="19" t="str">
        <f>IFERROR(VLOOKUP(H734,케이블트레이입.출고현황!Y737:AD812,2,0),"")</f>
        <v/>
      </c>
      <c r="J734" s="253">
        <v>2</v>
      </c>
      <c r="K734" s="253"/>
      <c r="L734" s="255"/>
      <c r="M734" s="256"/>
      <c r="N734" s="257"/>
    </row>
    <row r="735" spans="1:14" ht="24" customHeight="1">
      <c r="A735" s="8">
        <v>695</v>
      </c>
      <c r="B735" s="9">
        <v>695</v>
      </c>
      <c r="C735" s="254"/>
      <c r="D735" s="253"/>
      <c r="E735" s="19" t="str">
        <f>IFERROR(VLOOKUP(D735,케이블트레이입.출고현황!U738:Z813,2,0),"")</f>
        <v/>
      </c>
      <c r="F735" s="19" t="str">
        <f>IFERROR(VLOOKUP(E735,케이블트레이입.출고현황!V738:AA813,2,0),"")</f>
        <v/>
      </c>
      <c r="G735" s="19" t="str">
        <f>IFERROR(VLOOKUP(F735,케이블트레이입.출고현황!W738:AB813,2,0),"")</f>
        <v/>
      </c>
      <c r="H735" s="19" t="str">
        <f>IFERROR(VLOOKUP(G735,케이블트레이입.출고현황!X738:AC813,2,0),"")</f>
        <v/>
      </c>
      <c r="I735" s="19" t="str">
        <f>IFERROR(VLOOKUP(H735,케이블트레이입.출고현황!Y738:AD813,2,0),"")</f>
        <v/>
      </c>
      <c r="J735" s="253">
        <v>2</v>
      </c>
      <c r="K735" s="253"/>
      <c r="L735" s="255"/>
      <c r="M735" s="256"/>
      <c r="N735" s="257"/>
    </row>
    <row r="736" spans="1:14" ht="24" customHeight="1">
      <c r="A736" s="8">
        <v>696</v>
      </c>
      <c r="B736" s="9">
        <v>696</v>
      </c>
      <c r="C736" s="254"/>
      <c r="D736" s="253"/>
      <c r="E736" s="19" t="str">
        <f>IFERROR(VLOOKUP(D736,케이블트레이입.출고현황!U739:Z814,2,0),"")</f>
        <v/>
      </c>
      <c r="F736" s="19" t="str">
        <f>IFERROR(VLOOKUP(E736,케이블트레이입.출고현황!V739:AA814,2,0),"")</f>
        <v/>
      </c>
      <c r="G736" s="19" t="str">
        <f>IFERROR(VLOOKUP(F736,케이블트레이입.출고현황!W739:AB814,2,0),"")</f>
        <v/>
      </c>
      <c r="H736" s="19" t="str">
        <f>IFERROR(VLOOKUP(G736,케이블트레이입.출고현황!X739:AC814,2,0),"")</f>
        <v/>
      </c>
      <c r="I736" s="19" t="str">
        <f>IFERROR(VLOOKUP(H736,케이블트레이입.출고현황!Y739:AD814,2,0),"")</f>
        <v/>
      </c>
      <c r="J736" s="253">
        <v>1</v>
      </c>
      <c r="K736" s="253"/>
      <c r="L736" s="255"/>
      <c r="M736" s="256"/>
      <c r="N736" s="257"/>
    </row>
    <row r="737" spans="1:14" ht="24" customHeight="1">
      <c r="A737" s="8">
        <v>697</v>
      </c>
      <c r="B737" s="9">
        <v>697</v>
      </c>
      <c r="C737" s="254"/>
      <c r="D737" s="253"/>
      <c r="E737" s="19" t="str">
        <f>IFERROR(VLOOKUP(D737,케이블트레이입.출고현황!U740:Z815,2,0),"")</f>
        <v/>
      </c>
      <c r="F737" s="19" t="str">
        <f>IFERROR(VLOOKUP(E737,케이블트레이입.출고현황!V740:AA815,2,0),"")</f>
        <v/>
      </c>
      <c r="G737" s="19" t="str">
        <f>IFERROR(VLOOKUP(F737,케이블트레이입.출고현황!W740:AB815,2,0),"")</f>
        <v/>
      </c>
      <c r="H737" s="19" t="str">
        <f>IFERROR(VLOOKUP(G737,케이블트레이입.출고현황!X740:AC815,2,0),"")</f>
        <v/>
      </c>
      <c r="I737" s="19" t="str">
        <f>IFERROR(VLOOKUP(H737,케이블트레이입.출고현황!Y740:AD815,2,0),"")</f>
        <v/>
      </c>
      <c r="J737" s="253">
        <v>1</v>
      </c>
      <c r="K737" s="253"/>
      <c r="L737" s="255"/>
      <c r="M737" s="256"/>
      <c r="N737" s="257"/>
    </row>
    <row r="738" spans="1:14" ht="24" customHeight="1">
      <c r="A738" s="8">
        <v>698</v>
      </c>
      <c r="B738" s="9">
        <v>698</v>
      </c>
      <c r="C738" s="254"/>
      <c r="D738" s="253"/>
      <c r="E738" s="19" t="str">
        <f>IFERROR(VLOOKUP(D738,케이블트레이입.출고현황!U741:Z816,2,0),"")</f>
        <v/>
      </c>
      <c r="F738" s="19" t="str">
        <f>IFERROR(VLOOKUP(E738,케이블트레이입.출고현황!V741:AA816,2,0),"")</f>
        <v/>
      </c>
      <c r="G738" s="19" t="str">
        <f>IFERROR(VLOOKUP(F738,케이블트레이입.출고현황!W741:AB816,2,0),"")</f>
        <v/>
      </c>
      <c r="H738" s="19" t="str">
        <f>IFERROR(VLOOKUP(G738,케이블트레이입.출고현황!X741:AC816,2,0),"")</f>
        <v/>
      </c>
      <c r="I738" s="19" t="str">
        <f>IFERROR(VLOOKUP(H738,케이블트레이입.출고현황!Y741:AD816,2,0),"")</f>
        <v/>
      </c>
      <c r="J738" s="253">
        <v>2</v>
      </c>
      <c r="K738" s="253"/>
      <c r="L738" s="255"/>
      <c r="M738" s="256"/>
      <c r="N738" s="257"/>
    </row>
    <row r="739" spans="1:14" ht="24" customHeight="1">
      <c r="A739" s="8">
        <v>699</v>
      </c>
      <c r="B739" s="9">
        <v>699</v>
      </c>
      <c r="C739" s="254"/>
      <c r="D739" s="253"/>
      <c r="E739" s="19" t="str">
        <f>IFERROR(VLOOKUP(D739,케이블트레이입.출고현황!U742:Z817,2,0),"")</f>
        <v/>
      </c>
      <c r="F739" s="19" t="str">
        <f>IFERROR(VLOOKUP(E739,케이블트레이입.출고현황!V742:AA817,2,0),"")</f>
        <v/>
      </c>
      <c r="G739" s="19" t="str">
        <f>IFERROR(VLOOKUP(F739,케이블트레이입.출고현황!W742:AB817,2,0),"")</f>
        <v/>
      </c>
      <c r="H739" s="19" t="str">
        <f>IFERROR(VLOOKUP(G739,케이블트레이입.출고현황!X742:AC817,2,0),"")</f>
        <v/>
      </c>
      <c r="I739" s="19" t="str">
        <f>IFERROR(VLOOKUP(H739,케이블트레이입.출고현황!Y742:AD817,2,0),"")</f>
        <v/>
      </c>
      <c r="J739" s="253">
        <v>1</v>
      </c>
      <c r="K739" s="253"/>
      <c r="L739" s="255"/>
      <c r="M739" s="256"/>
      <c r="N739" s="257"/>
    </row>
    <row r="740" spans="1:14" ht="24" customHeight="1">
      <c r="A740" s="8">
        <v>700</v>
      </c>
      <c r="B740" s="9">
        <v>700</v>
      </c>
      <c r="C740" s="254"/>
      <c r="D740" s="253"/>
      <c r="E740" s="19" t="str">
        <f>IFERROR(VLOOKUP(D740,케이블트레이입.출고현황!U743:Z818,2,0),"")</f>
        <v/>
      </c>
      <c r="F740" s="19" t="str">
        <f>IFERROR(VLOOKUP(E740,케이블트레이입.출고현황!V743:AA818,2,0),"")</f>
        <v/>
      </c>
      <c r="G740" s="19" t="str">
        <f>IFERROR(VLOOKUP(F740,케이블트레이입.출고현황!W743:AB818,2,0),"")</f>
        <v/>
      </c>
      <c r="H740" s="19" t="str">
        <f>IFERROR(VLOOKUP(G740,케이블트레이입.출고현황!X743:AC818,2,0),"")</f>
        <v/>
      </c>
      <c r="I740" s="19" t="str">
        <f>IFERROR(VLOOKUP(H740,케이블트레이입.출고현황!Y743:AD818,2,0),"")</f>
        <v/>
      </c>
      <c r="J740" s="253">
        <v>1</v>
      </c>
      <c r="K740" s="253"/>
      <c r="L740" s="255"/>
      <c r="M740" s="256"/>
      <c r="N740" s="257"/>
    </row>
    <row r="741" spans="1:14" ht="24" customHeight="1">
      <c r="A741" s="8">
        <v>701</v>
      </c>
      <c r="B741" s="9">
        <v>701</v>
      </c>
      <c r="C741" s="254"/>
      <c r="D741" s="253"/>
      <c r="E741" s="19" t="str">
        <f>IFERROR(VLOOKUP(D741,케이블트레이입.출고현황!U744:Z819,2,0),"")</f>
        <v/>
      </c>
      <c r="F741" s="19" t="str">
        <f>IFERROR(VLOOKUP(E741,케이블트레이입.출고현황!V744:AA819,2,0),"")</f>
        <v/>
      </c>
      <c r="G741" s="19" t="str">
        <f>IFERROR(VLOOKUP(F741,케이블트레이입.출고현황!W744:AB819,2,0),"")</f>
        <v/>
      </c>
      <c r="H741" s="19" t="str">
        <f>IFERROR(VLOOKUP(G741,케이블트레이입.출고현황!X744:AC819,2,0),"")</f>
        <v/>
      </c>
      <c r="I741" s="19" t="str">
        <f>IFERROR(VLOOKUP(H741,케이블트레이입.출고현황!Y744:AD819,2,0),"")</f>
        <v/>
      </c>
      <c r="J741" s="253">
        <v>1</v>
      </c>
      <c r="K741" s="253"/>
      <c r="L741" s="255"/>
      <c r="M741" s="256"/>
      <c r="N741" s="257"/>
    </row>
    <row r="742" spans="1:14" ht="24" customHeight="1">
      <c r="A742" s="8">
        <v>702</v>
      </c>
      <c r="B742" s="9">
        <v>702</v>
      </c>
      <c r="C742" s="254"/>
      <c r="D742" s="253"/>
      <c r="E742" s="19" t="str">
        <f>IFERROR(VLOOKUP(D742,케이블트레이입.출고현황!U745:Z820,2,0),"")</f>
        <v/>
      </c>
      <c r="F742" s="19" t="str">
        <f>IFERROR(VLOOKUP(E742,케이블트레이입.출고현황!V745:AA820,2,0),"")</f>
        <v/>
      </c>
      <c r="G742" s="19" t="str">
        <f>IFERROR(VLOOKUP(F742,케이블트레이입.출고현황!W745:AB820,2,0),"")</f>
        <v/>
      </c>
      <c r="H742" s="19" t="str">
        <f>IFERROR(VLOOKUP(G742,케이블트레이입.출고현황!X745:AC820,2,0),"")</f>
        <v/>
      </c>
      <c r="I742" s="19" t="str">
        <f>IFERROR(VLOOKUP(H742,케이블트레이입.출고현황!Y745:AD820,2,0),"")</f>
        <v/>
      </c>
      <c r="J742" s="253">
        <v>2</v>
      </c>
      <c r="K742" s="253"/>
      <c r="L742" s="255"/>
      <c r="M742" s="256"/>
      <c r="N742" s="257"/>
    </row>
    <row r="743" spans="1:14" ht="24" customHeight="1">
      <c r="A743" s="8">
        <v>703</v>
      </c>
      <c r="B743" s="9">
        <v>703</v>
      </c>
      <c r="C743" s="254"/>
      <c r="D743" s="253"/>
      <c r="E743" s="19" t="str">
        <f>IFERROR(VLOOKUP(D743,케이블트레이입.출고현황!U746:Z821,2,0),"")</f>
        <v/>
      </c>
      <c r="F743" s="19" t="str">
        <f>IFERROR(VLOOKUP(E743,케이블트레이입.출고현황!V746:AA821,2,0),"")</f>
        <v/>
      </c>
      <c r="G743" s="19" t="str">
        <f>IFERROR(VLOOKUP(F743,케이블트레이입.출고현황!W746:AB821,2,0),"")</f>
        <v/>
      </c>
      <c r="H743" s="19" t="str">
        <f>IFERROR(VLOOKUP(G743,케이블트레이입.출고현황!X746:AC821,2,0),"")</f>
        <v/>
      </c>
      <c r="I743" s="19" t="str">
        <f>IFERROR(VLOOKUP(H743,케이블트레이입.출고현황!Y746:AD821,2,0),"")</f>
        <v/>
      </c>
      <c r="J743" s="253">
        <v>2</v>
      </c>
      <c r="K743" s="253"/>
      <c r="L743" s="255"/>
      <c r="M743" s="256"/>
      <c r="N743" s="257"/>
    </row>
    <row r="744" spans="1:14" ht="24" customHeight="1">
      <c r="A744" s="8">
        <v>704</v>
      </c>
      <c r="B744" s="9">
        <v>704</v>
      </c>
      <c r="C744" s="254"/>
      <c r="D744" s="253"/>
      <c r="E744" s="19" t="str">
        <f>IFERROR(VLOOKUP(D744,케이블트레이입.출고현황!U747:Z822,2,0),"")</f>
        <v/>
      </c>
      <c r="F744" s="19" t="str">
        <f>IFERROR(VLOOKUP(E744,케이블트레이입.출고현황!V747:AA822,2,0),"")</f>
        <v/>
      </c>
      <c r="G744" s="19" t="str">
        <f>IFERROR(VLOOKUP(F744,케이블트레이입.출고현황!W747:AB822,2,0),"")</f>
        <v/>
      </c>
      <c r="H744" s="19" t="str">
        <f>IFERROR(VLOOKUP(G744,케이블트레이입.출고현황!X747:AC822,2,0),"")</f>
        <v/>
      </c>
      <c r="I744" s="19" t="str">
        <f>IFERROR(VLOOKUP(H744,케이블트레이입.출고현황!Y747:AD822,2,0),"")</f>
        <v/>
      </c>
      <c r="J744" s="253">
        <v>1</v>
      </c>
      <c r="K744" s="253"/>
      <c r="L744" s="255"/>
      <c r="M744" s="256"/>
      <c r="N744" s="257"/>
    </row>
    <row r="745" spans="1:14" ht="24" customHeight="1">
      <c r="A745" s="8">
        <v>705</v>
      </c>
      <c r="B745" s="9">
        <v>705</v>
      </c>
      <c r="C745" s="254"/>
      <c r="D745" s="253"/>
      <c r="E745" s="19" t="str">
        <f>IFERROR(VLOOKUP(D745,케이블트레이입.출고현황!U748:Z823,2,0),"")</f>
        <v/>
      </c>
      <c r="F745" s="19" t="str">
        <f>IFERROR(VLOOKUP(E745,케이블트레이입.출고현황!V748:AA823,2,0),"")</f>
        <v/>
      </c>
      <c r="G745" s="19" t="str">
        <f>IFERROR(VLOOKUP(F745,케이블트레이입.출고현황!W748:AB823,2,0),"")</f>
        <v/>
      </c>
      <c r="H745" s="19" t="str">
        <f>IFERROR(VLOOKUP(G745,케이블트레이입.출고현황!X748:AC823,2,0),"")</f>
        <v/>
      </c>
      <c r="I745" s="19" t="str">
        <f>IFERROR(VLOOKUP(H745,케이블트레이입.출고현황!Y748:AD823,2,0),"")</f>
        <v/>
      </c>
      <c r="J745" s="253">
        <v>1</v>
      </c>
      <c r="K745" s="253"/>
      <c r="L745" s="255"/>
      <c r="M745" s="256"/>
      <c r="N745" s="257"/>
    </row>
    <row r="746" spans="1:14" ht="24" customHeight="1">
      <c r="A746" s="8">
        <v>706</v>
      </c>
      <c r="B746" s="9">
        <v>706</v>
      </c>
      <c r="C746" s="254"/>
      <c r="D746" s="253"/>
      <c r="E746" s="19" t="str">
        <f>IFERROR(VLOOKUP(D746,케이블트레이입.출고현황!U749:Z824,2,0),"")</f>
        <v/>
      </c>
      <c r="F746" s="19" t="str">
        <f>IFERROR(VLOOKUP(E746,케이블트레이입.출고현황!V749:AA824,2,0),"")</f>
        <v/>
      </c>
      <c r="G746" s="19" t="str">
        <f>IFERROR(VLOOKUP(F746,케이블트레이입.출고현황!W749:AB824,2,0),"")</f>
        <v/>
      </c>
      <c r="H746" s="19" t="str">
        <f>IFERROR(VLOOKUP(G746,케이블트레이입.출고현황!X749:AC824,2,0),"")</f>
        <v/>
      </c>
      <c r="I746" s="19" t="str">
        <f>IFERROR(VLOOKUP(H746,케이블트레이입.출고현황!Y749:AD824,2,0),"")</f>
        <v/>
      </c>
      <c r="J746" s="253">
        <v>2</v>
      </c>
      <c r="K746" s="253"/>
      <c r="L746" s="255"/>
      <c r="M746" s="256"/>
      <c r="N746" s="257"/>
    </row>
    <row r="747" spans="1:14" ht="24" customHeight="1">
      <c r="A747" s="8">
        <v>707</v>
      </c>
      <c r="B747" s="9">
        <v>707</v>
      </c>
      <c r="C747" s="254"/>
      <c r="D747" s="253"/>
      <c r="E747" s="19" t="str">
        <f>IFERROR(VLOOKUP(D747,케이블트레이입.출고현황!U750:Z825,2,0),"")</f>
        <v/>
      </c>
      <c r="F747" s="19" t="str">
        <f>IFERROR(VLOOKUP(E747,케이블트레이입.출고현황!V750:AA825,2,0),"")</f>
        <v/>
      </c>
      <c r="G747" s="19" t="str">
        <f>IFERROR(VLOOKUP(F747,케이블트레이입.출고현황!W750:AB825,2,0),"")</f>
        <v/>
      </c>
      <c r="H747" s="19" t="str">
        <f>IFERROR(VLOOKUP(G747,케이블트레이입.출고현황!X750:AC825,2,0),"")</f>
        <v/>
      </c>
      <c r="I747" s="19" t="str">
        <f>IFERROR(VLOOKUP(H747,케이블트레이입.출고현황!Y750:AD825,2,0),"")</f>
        <v/>
      </c>
      <c r="J747" s="253">
        <v>4</v>
      </c>
      <c r="K747" s="253"/>
      <c r="L747" s="255"/>
      <c r="M747" s="256"/>
      <c r="N747" s="257"/>
    </row>
    <row r="748" spans="1:14" ht="24" customHeight="1">
      <c r="A748" s="8">
        <v>708</v>
      </c>
      <c r="B748" s="9">
        <v>708</v>
      </c>
      <c r="C748" s="254"/>
      <c r="D748" s="253"/>
      <c r="E748" s="19" t="str">
        <f>IFERROR(VLOOKUP(D748,케이블트레이입.출고현황!U751:Z826,2,0),"")</f>
        <v/>
      </c>
      <c r="F748" s="19" t="str">
        <f>IFERROR(VLOOKUP(E748,케이블트레이입.출고현황!V751:AA826,2,0),"")</f>
        <v/>
      </c>
      <c r="G748" s="19" t="str">
        <f>IFERROR(VLOOKUP(F748,케이블트레이입.출고현황!W751:AB826,2,0),"")</f>
        <v/>
      </c>
      <c r="H748" s="19" t="str">
        <f>IFERROR(VLOOKUP(G748,케이블트레이입.출고현황!X751:AC826,2,0),"")</f>
        <v/>
      </c>
      <c r="I748" s="19" t="str">
        <f>IFERROR(VLOOKUP(H748,케이블트레이입.출고현황!Y751:AD826,2,0),"")</f>
        <v/>
      </c>
      <c r="J748" s="253">
        <v>2</v>
      </c>
      <c r="K748" s="253"/>
      <c r="L748" s="255"/>
      <c r="M748" s="256"/>
      <c r="N748" s="257"/>
    </row>
    <row r="749" spans="1:14" ht="24" customHeight="1">
      <c r="A749" s="8">
        <v>709</v>
      </c>
      <c r="B749" s="9">
        <v>709</v>
      </c>
      <c r="C749" s="254"/>
      <c r="D749" s="253"/>
      <c r="E749" s="19" t="str">
        <f>IFERROR(VLOOKUP(D749,케이블트레이입.출고현황!U752:Z827,2,0),"")</f>
        <v/>
      </c>
      <c r="F749" s="19" t="str">
        <f>IFERROR(VLOOKUP(E749,케이블트레이입.출고현황!V752:AA827,2,0),"")</f>
        <v/>
      </c>
      <c r="G749" s="19" t="str">
        <f>IFERROR(VLOOKUP(F749,케이블트레이입.출고현황!W752:AB827,2,0),"")</f>
        <v/>
      </c>
      <c r="H749" s="19" t="str">
        <f>IFERROR(VLOOKUP(G749,케이블트레이입.출고현황!X752:AC827,2,0),"")</f>
        <v/>
      </c>
      <c r="I749" s="19" t="str">
        <f>IFERROR(VLOOKUP(H749,케이블트레이입.출고현황!Y752:AD827,2,0),"")</f>
        <v/>
      </c>
      <c r="J749" s="253">
        <v>1</v>
      </c>
      <c r="K749" s="253"/>
      <c r="L749" s="255"/>
      <c r="M749" s="256"/>
      <c r="N749" s="257"/>
    </row>
    <row r="750" spans="1:14" ht="24" customHeight="1">
      <c r="A750" s="8">
        <v>710</v>
      </c>
      <c r="B750" s="9">
        <v>710</v>
      </c>
      <c r="C750" s="254"/>
      <c r="D750" s="253"/>
      <c r="E750" s="19" t="str">
        <f>IFERROR(VLOOKUP(D750,케이블트레이입.출고현황!U753:Z828,2,0),"")</f>
        <v/>
      </c>
      <c r="F750" s="19" t="str">
        <f>IFERROR(VLOOKUP(E750,케이블트레이입.출고현황!V753:AA828,2,0),"")</f>
        <v/>
      </c>
      <c r="G750" s="19" t="str">
        <f>IFERROR(VLOOKUP(F750,케이블트레이입.출고현황!W753:AB828,2,0),"")</f>
        <v/>
      </c>
      <c r="H750" s="19" t="str">
        <f>IFERROR(VLOOKUP(G750,케이블트레이입.출고현황!X753:AC828,2,0),"")</f>
        <v/>
      </c>
      <c r="I750" s="19" t="str">
        <f>IFERROR(VLOOKUP(H750,케이블트레이입.출고현황!Y753:AD828,2,0),"")</f>
        <v/>
      </c>
      <c r="J750" s="253">
        <v>2</v>
      </c>
      <c r="K750" s="253"/>
      <c r="L750" s="255"/>
      <c r="M750" s="256"/>
      <c r="N750" s="257"/>
    </row>
    <row r="751" spans="1:14" ht="24" customHeight="1">
      <c r="A751" s="8">
        <v>711</v>
      </c>
      <c r="B751" s="9">
        <v>711</v>
      </c>
      <c r="C751" s="254"/>
      <c r="D751" s="253"/>
      <c r="E751" s="19" t="str">
        <f>IFERROR(VLOOKUP(D751,케이블트레이입.출고현황!U754:Z829,2,0),"")</f>
        <v/>
      </c>
      <c r="F751" s="19" t="str">
        <f>IFERROR(VLOOKUP(E751,케이블트레이입.출고현황!V754:AA829,2,0),"")</f>
        <v/>
      </c>
      <c r="G751" s="19" t="str">
        <f>IFERROR(VLOOKUP(F751,케이블트레이입.출고현황!W754:AB829,2,0),"")</f>
        <v/>
      </c>
      <c r="H751" s="19" t="str">
        <f>IFERROR(VLOOKUP(G751,케이블트레이입.출고현황!X754:AC829,2,0),"")</f>
        <v/>
      </c>
      <c r="I751" s="19" t="str">
        <f>IFERROR(VLOOKUP(H751,케이블트레이입.출고현황!Y754:AD829,2,0),"")</f>
        <v/>
      </c>
      <c r="J751" s="253">
        <v>1</v>
      </c>
      <c r="K751" s="253"/>
      <c r="L751" s="255"/>
      <c r="M751" s="256"/>
      <c r="N751" s="257"/>
    </row>
    <row r="752" spans="1:14" ht="24" customHeight="1">
      <c r="A752" s="8">
        <v>712</v>
      </c>
      <c r="B752" s="9">
        <v>712</v>
      </c>
      <c r="C752" s="254"/>
      <c r="D752" s="253"/>
      <c r="E752" s="19" t="str">
        <f>IFERROR(VLOOKUP(D752,케이블트레이입.출고현황!U755:Z830,2,0),"")</f>
        <v/>
      </c>
      <c r="F752" s="19" t="str">
        <f>IFERROR(VLOOKUP(E752,케이블트레이입.출고현황!V755:AA830,2,0),"")</f>
        <v/>
      </c>
      <c r="G752" s="19" t="str">
        <f>IFERROR(VLOOKUP(F752,케이블트레이입.출고현황!W755:AB830,2,0),"")</f>
        <v/>
      </c>
      <c r="H752" s="19" t="str">
        <f>IFERROR(VLOOKUP(G752,케이블트레이입.출고현황!X755:AC830,2,0),"")</f>
        <v/>
      </c>
      <c r="I752" s="19" t="str">
        <f>IFERROR(VLOOKUP(H752,케이블트레이입.출고현황!Y755:AD830,2,0),"")</f>
        <v/>
      </c>
      <c r="J752" s="253">
        <v>1</v>
      </c>
      <c r="K752" s="253"/>
      <c r="L752" s="255"/>
      <c r="M752" s="256"/>
      <c r="N752" s="257"/>
    </row>
    <row r="753" spans="1:14" ht="24" customHeight="1">
      <c r="A753" s="8">
        <v>713</v>
      </c>
      <c r="B753" s="9">
        <v>713</v>
      </c>
      <c r="C753" s="254"/>
      <c r="D753" s="253"/>
      <c r="E753" s="19" t="str">
        <f>IFERROR(VLOOKUP(D753,케이블트레이입.출고현황!U756:Z831,2,0),"")</f>
        <v/>
      </c>
      <c r="F753" s="19" t="str">
        <f>IFERROR(VLOOKUP(E753,케이블트레이입.출고현황!V756:AA831,2,0),"")</f>
        <v/>
      </c>
      <c r="G753" s="19" t="str">
        <f>IFERROR(VLOOKUP(F753,케이블트레이입.출고현황!W756:AB831,2,0),"")</f>
        <v/>
      </c>
      <c r="H753" s="19" t="str">
        <f>IFERROR(VLOOKUP(G753,케이블트레이입.출고현황!X756:AC831,2,0),"")</f>
        <v/>
      </c>
      <c r="I753" s="19" t="str">
        <f>IFERROR(VLOOKUP(H753,케이블트레이입.출고현황!Y756:AD831,2,0),"")</f>
        <v/>
      </c>
      <c r="J753" s="253">
        <v>1</v>
      </c>
      <c r="K753" s="253"/>
      <c r="L753" s="255"/>
      <c r="M753" s="256"/>
      <c r="N753" s="257"/>
    </row>
    <row r="754" spans="1:14" ht="24" customHeight="1">
      <c r="A754" s="8">
        <v>714</v>
      </c>
      <c r="B754" s="9">
        <v>714</v>
      </c>
      <c r="C754" s="254"/>
      <c r="D754" s="253"/>
      <c r="E754" s="19" t="str">
        <f>IFERROR(VLOOKUP(D754,케이블트레이입.출고현황!U757:Z832,2,0),"")</f>
        <v/>
      </c>
      <c r="F754" s="19" t="str">
        <f>IFERROR(VLOOKUP(E754,케이블트레이입.출고현황!V757:AA832,2,0),"")</f>
        <v/>
      </c>
      <c r="G754" s="19" t="str">
        <f>IFERROR(VLOOKUP(F754,케이블트레이입.출고현황!W757:AB832,2,0),"")</f>
        <v/>
      </c>
      <c r="H754" s="19" t="str">
        <f>IFERROR(VLOOKUP(G754,케이블트레이입.출고현황!X757:AC832,2,0),"")</f>
        <v/>
      </c>
      <c r="I754" s="19" t="str">
        <f>IFERROR(VLOOKUP(H754,케이블트레이입.출고현황!Y757:AD832,2,0),"")</f>
        <v/>
      </c>
      <c r="J754" s="253">
        <v>2</v>
      </c>
      <c r="K754" s="253"/>
      <c r="L754" s="255"/>
      <c r="M754" s="256"/>
      <c r="N754" s="257"/>
    </row>
    <row r="755" spans="1:14" ht="24" customHeight="1">
      <c r="A755" s="8">
        <v>715</v>
      </c>
      <c r="B755" s="9">
        <v>715</v>
      </c>
      <c r="C755" s="254"/>
      <c r="D755" s="253"/>
      <c r="E755" s="19" t="str">
        <f>IFERROR(VLOOKUP(D755,케이블트레이입.출고현황!U758:Z833,2,0),"")</f>
        <v/>
      </c>
      <c r="F755" s="19" t="str">
        <f>IFERROR(VLOOKUP(E755,케이블트레이입.출고현황!V758:AA833,2,0),"")</f>
        <v/>
      </c>
      <c r="G755" s="19" t="str">
        <f>IFERROR(VLOOKUP(F755,케이블트레이입.출고현황!W758:AB833,2,0),"")</f>
        <v/>
      </c>
      <c r="H755" s="19" t="str">
        <f>IFERROR(VLOOKUP(G755,케이블트레이입.출고현황!X758:AC833,2,0),"")</f>
        <v/>
      </c>
      <c r="I755" s="19" t="str">
        <f>IFERROR(VLOOKUP(H755,케이블트레이입.출고현황!Y758:AD833,2,0),"")</f>
        <v/>
      </c>
      <c r="J755" s="253">
        <v>2</v>
      </c>
      <c r="K755" s="253"/>
      <c r="L755" s="255"/>
      <c r="M755" s="256"/>
      <c r="N755" s="257"/>
    </row>
    <row r="756" spans="1:14" ht="24" customHeight="1">
      <c r="A756" s="8">
        <v>716</v>
      </c>
      <c r="B756" s="9">
        <v>716</v>
      </c>
      <c r="C756" s="254"/>
      <c r="D756" s="253"/>
      <c r="E756" s="19" t="str">
        <f>IFERROR(VLOOKUP(D756,케이블트레이입.출고현황!U759:Z834,2,0),"")</f>
        <v/>
      </c>
      <c r="F756" s="19" t="str">
        <f>IFERROR(VLOOKUP(E756,케이블트레이입.출고현황!V759:AA834,2,0),"")</f>
        <v/>
      </c>
      <c r="G756" s="19" t="str">
        <f>IFERROR(VLOOKUP(F756,케이블트레이입.출고현황!W759:AB834,2,0),"")</f>
        <v/>
      </c>
      <c r="H756" s="19" t="str">
        <f>IFERROR(VLOOKUP(G756,케이블트레이입.출고현황!X759:AC834,2,0),"")</f>
        <v/>
      </c>
      <c r="I756" s="19" t="str">
        <f>IFERROR(VLOOKUP(H756,케이블트레이입.출고현황!Y759:AD834,2,0),"")</f>
        <v/>
      </c>
      <c r="J756" s="253">
        <v>3</v>
      </c>
      <c r="K756" s="253"/>
      <c r="L756" s="255"/>
      <c r="M756" s="256"/>
      <c r="N756" s="257"/>
    </row>
    <row r="757" spans="1:14" ht="24" customHeight="1">
      <c r="A757" s="8">
        <v>717</v>
      </c>
      <c r="B757" s="9">
        <v>717</v>
      </c>
      <c r="C757" s="254"/>
      <c r="D757" s="253"/>
      <c r="E757" s="19" t="str">
        <f>IFERROR(VLOOKUP(D757,케이블트레이입.출고현황!U760:Z835,2,0),"")</f>
        <v/>
      </c>
      <c r="F757" s="19" t="str">
        <f>IFERROR(VLOOKUP(E757,케이블트레이입.출고현황!V760:AA835,2,0),"")</f>
        <v/>
      </c>
      <c r="G757" s="19" t="str">
        <f>IFERROR(VLOOKUP(F757,케이블트레이입.출고현황!W760:AB835,2,0),"")</f>
        <v/>
      </c>
      <c r="H757" s="19" t="str">
        <f>IFERROR(VLOOKUP(G757,케이블트레이입.출고현황!X760:AC835,2,0),"")</f>
        <v/>
      </c>
      <c r="I757" s="19" t="str">
        <f>IFERROR(VLOOKUP(H757,케이블트레이입.출고현황!Y760:AD835,2,0),"")</f>
        <v/>
      </c>
      <c r="J757" s="253">
        <v>1</v>
      </c>
      <c r="K757" s="253"/>
      <c r="L757" s="255"/>
      <c r="M757" s="256"/>
      <c r="N757" s="257"/>
    </row>
    <row r="758" spans="1:14" ht="24" customHeight="1">
      <c r="A758" s="8">
        <v>718</v>
      </c>
      <c r="B758" s="9">
        <v>718</v>
      </c>
      <c r="C758" s="254"/>
      <c r="D758" s="253"/>
      <c r="E758" s="19" t="str">
        <f>IFERROR(VLOOKUP(D758,케이블트레이입.출고현황!U761:Z836,2,0),"")</f>
        <v/>
      </c>
      <c r="F758" s="19" t="str">
        <f>IFERROR(VLOOKUP(E758,케이블트레이입.출고현황!V761:AA836,2,0),"")</f>
        <v/>
      </c>
      <c r="G758" s="19" t="str">
        <f>IFERROR(VLOOKUP(F758,케이블트레이입.출고현황!W761:AB836,2,0),"")</f>
        <v/>
      </c>
      <c r="H758" s="19" t="str">
        <f>IFERROR(VLOOKUP(G758,케이블트레이입.출고현황!X761:AC836,2,0),"")</f>
        <v/>
      </c>
      <c r="I758" s="19" t="str">
        <f>IFERROR(VLOOKUP(H758,케이블트레이입.출고현황!Y761:AD836,2,0),"")</f>
        <v/>
      </c>
      <c r="J758" s="253">
        <v>1</v>
      </c>
      <c r="K758" s="253"/>
      <c r="L758" s="255"/>
      <c r="M758" s="256"/>
      <c r="N758" s="257"/>
    </row>
    <row r="759" spans="1:14" ht="24" customHeight="1">
      <c r="A759" s="8">
        <v>719</v>
      </c>
      <c r="B759" s="9">
        <v>719</v>
      </c>
      <c r="C759" s="254"/>
      <c r="D759" s="253"/>
      <c r="E759" s="19" t="str">
        <f>IFERROR(VLOOKUP(D759,케이블트레이입.출고현황!U762:Z837,2,0),"")</f>
        <v/>
      </c>
      <c r="F759" s="19" t="str">
        <f>IFERROR(VLOOKUP(E759,케이블트레이입.출고현황!V762:AA837,2,0),"")</f>
        <v/>
      </c>
      <c r="G759" s="19" t="str">
        <f>IFERROR(VLOOKUP(F759,케이블트레이입.출고현황!W762:AB837,2,0),"")</f>
        <v/>
      </c>
      <c r="H759" s="19" t="str">
        <f>IFERROR(VLOOKUP(G759,케이블트레이입.출고현황!X762:AC837,2,0),"")</f>
        <v/>
      </c>
      <c r="I759" s="19" t="str">
        <f>IFERROR(VLOOKUP(H759,케이블트레이입.출고현황!Y762:AD837,2,0),"")</f>
        <v/>
      </c>
      <c r="J759" s="253">
        <v>1</v>
      </c>
      <c r="K759" s="253"/>
      <c r="L759" s="255"/>
      <c r="M759" s="256"/>
      <c r="N759" s="257"/>
    </row>
    <row r="760" spans="1:14" ht="24" customHeight="1">
      <c r="A760" s="8">
        <v>720</v>
      </c>
      <c r="B760" s="9">
        <v>720</v>
      </c>
      <c r="C760" s="254"/>
      <c r="D760" s="253"/>
      <c r="E760" s="19" t="str">
        <f>IFERROR(VLOOKUP(D760,케이블트레이입.출고현황!U763:Z838,2,0),"")</f>
        <v/>
      </c>
      <c r="F760" s="19" t="str">
        <f>IFERROR(VLOOKUP(E760,케이블트레이입.출고현황!V763:AA838,2,0),"")</f>
        <v/>
      </c>
      <c r="G760" s="19" t="str">
        <f>IFERROR(VLOOKUP(F760,케이블트레이입.출고현황!W763:AB838,2,0),"")</f>
        <v/>
      </c>
      <c r="H760" s="19" t="str">
        <f>IFERROR(VLOOKUP(G760,케이블트레이입.출고현황!X763:AC838,2,0),"")</f>
        <v/>
      </c>
      <c r="I760" s="19" t="str">
        <f>IFERROR(VLOOKUP(H760,케이블트레이입.출고현황!Y763:AD838,2,0),"")</f>
        <v/>
      </c>
      <c r="J760" s="253">
        <v>3</v>
      </c>
      <c r="K760" s="253"/>
      <c r="L760" s="255"/>
      <c r="M760" s="256"/>
      <c r="N760" s="257"/>
    </row>
    <row r="761" spans="1:14" ht="24" customHeight="1">
      <c r="A761" s="8">
        <v>721</v>
      </c>
      <c r="B761" s="9">
        <v>721</v>
      </c>
      <c r="C761" s="254"/>
      <c r="D761" s="253"/>
      <c r="E761" s="19" t="str">
        <f>IFERROR(VLOOKUP(D761,케이블트레이입.출고현황!U764:Z839,2,0),"")</f>
        <v/>
      </c>
      <c r="F761" s="19" t="str">
        <f>IFERROR(VLOOKUP(E761,케이블트레이입.출고현황!V764:AA839,2,0),"")</f>
        <v/>
      </c>
      <c r="G761" s="19" t="str">
        <f>IFERROR(VLOOKUP(F761,케이블트레이입.출고현황!W764:AB839,2,0),"")</f>
        <v/>
      </c>
      <c r="H761" s="19" t="str">
        <f>IFERROR(VLOOKUP(G761,케이블트레이입.출고현황!X764:AC839,2,0),"")</f>
        <v/>
      </c>
      <c r="I761" s="19" t="str">
        <f>IFERROR(VLOOKUP(H761,케이블트레이입.출고현황!Y764:AD839,2,0),"")</f>
        <v/>
      </c>
      <c r="J761" s="253">
        <v>2</v>
      </c>
      <c r="K761" s="253"/>
      <c r="L761" s="255"/>
      <c r="M761" s="256"/>
      <c r="N761" s="257"/>
    </row>
    <row r="762" spans="1:14" s="258" customFormat="1" ht="24" customHeight="1">
      <c r="A762" s="8">
        <v>722</v>
      </c>
      <c r="B762" s="9">
        <v>722</v>
      </c>
      <c r="C762" s="46"/>
      <c r="D762" s="9"/>
      <c r="E762" s="19" t="str">
        <f>IFERROR(VLOOKUP(D762,케이블트레이입.출고현황!U765:Z840,2,0),"")</f>
        <v/>
      </c>
      <c r="F762" s="19" t="str">
        <f>IFERROR(VLOOKUP(E762,케이블트레이입.출고현황!V765:AA840,2,0),"")</f>
        <v/>
      </c>
      <c r="G762" s="19" t="str">
        <f>IFERROR(VLOOKUP(F762,케이블트레이입.출고현황!W765:AB840,2,0),"")</f>
        <v/>
      </c>
      <c r="H762" s="19" t="str">
        <f>IFERROR(VLOOKUP(G762,케이블트레이입.출고현황!X765:AC840,2,0),"")</f>
        <v/>
      </c>
      <c r="I762" s="19" t="str">
        <f>IFERROR(VLOOKUP(H762,케이블트레이입.출고현황!Y765:AD840,2,0),"")</f>
        <v/>
      </c>
      <c r="J762" s="9">
        <v>2</v>
      </c>
      <c r="K762" s="9"/>
      <c r="L762" s="37"/>
      <c r="M762" s="64"/>
      <c r="N762" s="257"/>
    </row>
    <row r="763" spans="1:14" s="258" customFormat="1" ht="24" customHeight="1">
      <c r="A763" s="8">
        <v>723</v>
      </c>
      <c r="B763" s="9">
        <v>723</v>
      </c>
      <c r="C763" s="46"/>
      <c r="D763" s="9"/>
      <c r="E763" s="19" t="str">
        <f>IFERROR(VLOOKUP(D763,케이블트레이입.출고현황!U766:Z841,2,0),"")</f>
        <v/>
      </c>
      <c r="F763" s="19" t="str">
        <f>IFERROR(VLOOKUP(E763,케이블트레이입.출고현황!V766:AA841,2,0),"")</f>
        <v/>
      </c>
      <c r="G763" s="19" t="str">
        <f>IFERROR(VLOOKUP(F763,케이블트레이입.출고현황!W766:AB841,2,0),"")</f>
        <v/>
      </c>
      <c r="H763" s="19" t="str">
        <f>IFERROR(VLOOKUP(G763,케이블트레이입.출고현황!X766:AC841,2,0),"")</f>
        <v/>
      </c>
      <c r="I763" s="19" t="str">
        <f>IFERROR(VLOOKUP(H763,케이블트레이입.출고현황!Y766:AD841,2,0),"")</f>
        <v/>
      </c>
      <c r="J763" s="9">
        <v>3</v>
      </c>
      <c r="K763" s="9"/>
      <c r="L763" s="37"/>
      <c r="M763" s="64"/>
      <c r="N763" s="257"/>
    </row>
    <row r="764" spans="1:14" s="258" customFormat="1" ht="24" customHeight="1">
      <c r="A764" s="8">
        <v>724</v>
      </c>
      <c r="B764" s="9">
        <v>724</v>
      </c>
      <c r="C764" s="46"/>
      <c r="D764" s="9"/>
      <c r="E764" s="19" t="str">
        <f>IFERROR(VLOOKUP(D764,케이블트레이입.출고현황!U767:Z842,2,0),"")</f>
        <v/>
      </c>
      <c r="F764" s="19" t="str">
        <f>IFERROR(VLOOKUP(E764,케이블트레이입.출고현황!V767:AA842,2,0),"")</f>
        <v/>
      </c>
      <c r="G764" s="19" t="str">
        <f>IFERROR(VLOOKUP(F764,케이블트레이입.출고현황!W767:AB842,2,0),"")</f>
        <v/>
      </c>
      <c r="H764" s="19" t="str">
        <f>IFERROR(VLOOKUP(G764,케이블트레이입.출고현황!X767:AC842,2,0),"")</f>
        <v/>
      </c>
      <c r="I764" s="19" t="str">
        <f>IFERROR(VLOOKUP(H764,케이블트레이입.출고현황!Y767:AD842,2,0),"")</f>
        <v/>
      </c>
      <c r="J764" s="9">
        <v>1</v>
      </c>
      <c r="K764" s="9"/>
      <c r="L764" s="37"/>
      <c r="M764" s="64"/>
      <c r="N764" s="257"/>
    </row>
    <row r="765" spans="1:14" s="258" customFormat="1" ht="24" customHeight="1">
      <c r="A765" s="8">
        <v>725</v>
      </c>
      <c r="B765" s="9">
        <v>725</v>
      </c>
      <c r="C765" s="46"/>
      <c r="D765" s="9"/>
      <c r="E765" s="19" t="str">
        <f>IFERROR(VLOOKUP(D765,케이블트레이입.출고현황!U768:Z843,2,0),"")</f>
        <v/>
      </c>
      <c r="F765" s="19" t="str">
        <f>IFERROR(VLOOKUP(E765,케이블트레이입.출고현황!V768:AA843,2,0),"")</f>
        <v/>
      </c>
      <c r="G765" s="19" t="str">
        <f>IFERROR(VLOOKUP(F765,케이블트레이입.출고현황!W768:AB843,2,0),"")</f>
        <v/>
      </c>
      <c r="H765" s="19" t="str">
        <f>IFERROR(VLOOKUP(G765,케이블트레이입.출고현황!X768:AC843,2,0),"")</f>
        <v/>
      </c>
      <c r="I765" s="19" t="str">
        <f>IFERROR(VLOOKUP(H765,케이블트레이입.출고현황!Y768:AD843,2,0),"")</f>
        <v/>
      </c>
      <c r="J765" s="9">
        <v>1</v>
      </c>
      <c r="K765" s="9"/>
      <c r="L765" s="37"/>
      <c r="M765" s="64"/>
      <c r="N765" s="257"/>
    </row>
    <row r="766" spans="1:14" s="258" customFormat="1" ht="24" customHeight="1">
      <c r="A766" s="8">
        <v>726</v>
      </c>
      <c r="B766" s="9">
        <v>726</v>
      </c>
      <c r="C766" s="46"/>
      <c r="D766" s="9"/>
      <c r="E766" s="19" t="str">
        <f>IFERROR(VLOOKUP(D766,케이블트레이입.출고현황!U769:Z844,2,0),"")</f>
        <v/>
      </c>
      <c r="F766" s="19" t="str">
        <f>IFERROR(VLOOKUP(E766,케이블트레이입.출고현황!V769:AA844,2,0),"")</f>
        <v/>
      </c>
      <c r="G766" s="19" t="str">
        <f>IFERROR(VLOOKUP(F766,케이블트레이입.출고현황!W769:AB844,2,0),"")</f>
        <v/>
      </c>
      <c r="H766" s="19" t="str">
        <f>IFERROR(VLOOKUP(G766,케이블트레이입.출고현황!X769:AC844,2,0),"")</f>
        <v/>
      </c>
      <c r="I766" s="19" t="str">
        <f>IFERROR(VLOOKUP(H766,케이블트레이입.출고현황!Y769:AD844,2,0),"")</f>
        <v/>
      </c>
      <c r="J766" s="9">
        <v>1</v>
      </c>
      <c r="K766" s="9"/>
      <c r="L766" s="37"/>
      <c r="M766" s="64"/>
      <c r="N766" s="257"/>
    </row>
    <row r="767" spans="1:14" s="258" customFormat="1" ht="24" customHeight="1">
      <c r="A767" s="8">
        <v>727</v>
      </c>
      <c r="B767" s="9">
        <v>727</v>
      </c>
      <c r="C767" s="46"/>
      <c r="D767" s="9"/>
      <c r="E767" s="19" t="str">
        <f>IFERROR(VLOOKUP(D767,케이블트레이입.출고현황!U770:Z845,2,0),"")</f>
        <v/>
      </c>
      <c r="F767" s="19" t="str">
        <f>IFERROR(VLOOKUP(E767,케이블트레이입.출고현황!V770:AA845,2,0),"")</f>
        <v/>
      </c>
      <c r="G767" s="19" t="str">
        <f>IFERROR(VLOOKUP(F767,케이블트레이입.출고현황!W770:AB845,2,0),"")</f>
        <v/>
      </c>
      <c r="H767" s="19" t="str">
        <f>IFERROR(VLOOKUP(G767,케이블트레이입.출고현황!X770:AC845,2,0),"")</f>
        <v/>
      </c>
      <c r="I767" s="19" t="str">
        <f>IFERROR(VLOOKUP(H767,케이블트레이입.출고현황!Y770:AD845,2,0),"")</f>
        <v/>
      </c>
      <c r="J767" s="9">
        <v>3</v>
      </c>
      <c r="K767" s="9"/>
      <c r="L767" s="37"/>
      <c r="M767" s="64"/>
      <c r="N767" s="257"/>
    </row>
    <row r="768" spans="1:14" s="258" customFormat="1" ht="24" customHeight="1">
      <c r="A768" s="8">
        <v>728</v>
      </c>
      <c r="B768" s="9">
        <v>728</v>
      </c>
      <c r="C768" s="46"/>
      <c r="D768" s="9"/>
      <c r="E768" s="19" t="str">
        <f>IFERROR(VLOOKUP(D768,케이블트레이입.출고현황!U771:Z846,2,0),"")</f>
        <v/>
      </c>
      <c r="F768" s="19" t="str">
        <f>IFERROR(VLOOKUP(E768,케이블트레이입.출고현황!V771:AA846,2,0),"")</f>
        <v/>
      </c>
      <c r="G768" s="19" t="str">
        <f>IFERROR(VLOOKUP(F768,케이블트레이입.출고현황!W771:AB846,2,0),"")</f>
        <v/>
      </c>
      <c r="H768" s="19" t="str">
        <f>IFERROR(VLOOKUP(G768,케이블트레이입.출고현황!X771:AC846,2,0),"")</f>
        <v/>
      </c>
      <c r="I768" s="19" t="str">
        <f>IFERROR(VLOOKUP(H768,케이블트레이입.출고현황!Y771:AD846,2,0),"")</f>
        <v/>
      </c>
      <c r="J768" s="9">
        <v>2</v>
      </c>
      <c r="K768" s="9"/>
      <c r="L768" s="37"/>
      <c r="M768" s="64"/>
      <c r="N768" s="257"/>
    </row>
    <row r="769" spans="1:14" s="258" customFormat="1" ht="24" customHeight="1">
      <c r="A769" s="8">
        <v>729</v>
      </c>
      <c r="B769" s="9">
        <v>729</v>
      </c>
      <c r="C769" s="46"/>
      <c r="D769" s="9"/>
      <c r="E769" s="19" t="str">
        <f>IFERROR(VLOOKUP(D769,케이블트레이입.출고현황!U772:Z847,2,0),"")</f>
        <v/>
      </c>
      <c r="F769" s="19" t="str">
        <f>IFERROR(VLOOKUP(E769,케이블트레이입.출고현황!V772:AA847,2,0),"")</f>
        <v/>
      </c>
      <c r="G769" s="19" t="str">
        <f>IFERROR(VLOOKUP(F769,케이블트레이입.출고현황!W772:AB847,2,0),"")</f>
        <v/>
      </c>
      <c r="H769" s="19" t="str">
        <f>IFERROR(VLOOKUP(G769,케이블트레이입.출고현황!X772:AC847,2,0),"")</f>
        <v/>
      </c>
      <c r="I769" s="19" t="str">
        <f>IFERROR(VLOOKUP(H769,케이블트레이입.출고현황!Y772:AD847,2,0),"")</f>
        <v/>
      </c>
      <c r="J769" s="9">
        <v>1</v>
      </c>
      <c r="K769" s="9"/>
      <c r="L769" s="37"/>
      <c r="M769" s="64"/>
      <c r="N769" s="257"/>
    </row>
    <row r="770" spans="1:14" s="258" customFormat="1" ht="24" customHeight="1">
      <c r="A770" s="8">
        <v>730</v>
      </c>
      <c r="B770" s="9">
        <v>730</v>
      </c>
      <c r="C770" s="46"/>
      <c r="D770" s="9"/>
      <c r="E770" s="19" t="str">
        <f>IFERROR(VLOOKUP(D770,케이블트레이입.출고현황!U773:Z848,2,0),"")</f>
        <v/>
      </c>
      <c r="F770" s="19" t="str">
        <f>IFERROR(VLOOKUP(E770,케이블트레이입.출고현황!V773:AA848,2,0),"")</f>
        <v/>
      </c>
      <c r="G770" s="19" t="str">
        <f>IFERROR(VLOOKUP(F770,케이블트레이입.출고현황!W773:AB848,2,0),"")</f>
        <v/>
      </c>
      <c r="H770" s="19" t="str">
        <f>IFERROR(VLOOKUP(G770,케이블트레이입.출고현황!X773:AC848,2,0),"")</f>
        <v/>
      </c>
      <c r="I770" s="19" t="str">
        <f>IFERROR(VLOOKUP(H770,케이블트레이입.출고현황!Y773:AD848,2,0),"")</f>
        <v/>
      </c>
      <c r="J770" s="9" t="s">
        <v>557</v>
      </c>
      <c r="K770" s="9"/>
      <c r="L770" s="37"/>
      <c r="M770" s="64"/>
      <c r="N770" s="257"/>
    </row>
    <row r="771" spans="1:14" s="258" customFormat="1" ht="24" customHeight="1">
      <c r="A771" s="8">
        <v>731</v>
      </c>
      <c r="B771" s="9">
        <v>731</v>
      </c>
      <c r="C771" s="46"/>
      <c r="D771" s="9"/>
      <c r="E771" s="19" t="str">
        <f>IFERROR(VLOOKUP(D771,케이블트레이입.출고현황!U774:Z849,2,0),"")</f>
        <v/>
      </c>
      <c r="F771" s="19" t="str">
        <f>IFERROR(VLOOKUP(E771,케이블트레이입.출고현황!V774:AA849,2,0),"")</f>
        <v/>
      </c>
      <c r="G771" s="19" t="str">
        <f>IFERROR(VLOOKUP(F771,케이블트레이입.출고현황!W774:AB849,2,0),"")</f>
        <v/>
      </c>
      <c r="H771" s="19" t="str">
        <f>IFERROR(VLOOKUP(G771,케이블트레이입.출고현황!X774:AC849,2,0),"")</f>
        <v/>
      </c>
      <c r="I771" s="19" t="str">
        <f>IFERROR(VLOOKUP(H771,케이블트레이입.출고현황!Y774:AD849,2,0),"")</f>
        <v/>
      </c>
      <c r="J771" s="9" t="s">
        <v>557</v>
      </c>
      <c r="K771" s="9"/>
      <c r="L771" s="37"/>
      <c r="M771" s="64"/>
      <c r="N771" s="257"/>
    </row>
    <row r="772" spans="1:14" s="258" customFormat="1" ht="24" customHeight="1">
      <c r="A772" s="8">
        <v>732</v>
      </c>
      <c r="B772" s="9">
        <v>732</v>
      </c>
      <c r="C772" s="46"/>
      <c r="D772" s="9"/>
      <c r="E772" s="19" t="str">
        <f>IFERROR(VLOOKUP(D772,케이블트레이입.출고현황!U775:Z850,2,0),"")</f>
        <v/>
      </c>
      <c r="F772" s="19" t="str">
        <f>IFERROR(VLOOKUP(E772,케이블트레이입.출고현황!V775:AA850,2,0),"")</f>
        <v/>
      </c>
      <c r="G772" s="19" t="str">
        <f>IFERROR(VLOOKUP(F772,케이블트레이입.출고현황!W775:AB850,2,0),"")</f>
        <v/>
      </c>
      <c r="H772" s="19" t="str">
        <f>IFERROR(VLOOKUP(G772,케이블트레이입.출고현황!X775:AC850,2,0),"")</f>
        <v/>
      </c>
      <c r="I772" s="19" t="str">
        <f>IFERROR(VLOOKUP(H772,케이블트레이입.출고현황!Y775:AD850,2,0),"")</f>
        <v/>
      </c>
      <c r="J772" s="9">
        <v>2</v>
      </c>
      <c r="K772" s="9"/>
      <c r="L772" s="37"/>
      <c r="M772" s="64"/>
      <c r="N772" s="257"/>
    </row>
    <row r="773" spans="1:14" s="258" customFormat="1" ht="24" customHeight="1">
      <c r="A773" s="8">
        <v>733</v>
      </c>
      <c r="B773" s="9">
        <v>733</v>
      </c>
      <c r="C773" s="46"/>
      <c r="D773" s="9"/>
      <c r="E773" s="19" t="str">
        <f>IFERROR(VLOOKUP(D773,케이블트레이입.출고현황!U776:Z851,2,0),"")</f>
        <v/>
      </c>
      <c r="F773" s="19" t="str">
        <f>IFERROR(VLOOKUP(E773,케이블트레이입.출고현황!V776:AA851,2,0),"")</f>
        <v/>
      </c>
      <c r="G773" s="19" t="str">
        <f>IFERROR(VLOOKUP(F773,케이블트레이입.출고현황!W776:AB851,2,0),"")</f>
        <v/>
      </c>
      <c r="H773" s="19" t="str">
        <f>IFERROR(VLOOKUP(G773,케이블트레이입.출고현황!X776:AC851,2,0),"")</f>
        <v/>
      </c>
      <c r="I773" s="19" t="str">
        <f>IFERROR(VLOOKUP(H773,케이블트레이입.출고현황!Y776:AD851,2,0),"")</f>
        <v/>
      </c>
      <c r="J773" s="9">
        <v>3</v>
      </c>
      <c r="K773" s="9"/>
      <c r="L773" s="37"/>
      <c r="M773" s="64"/>
      <c r="N773" s="257"/>
    </row>
    <row r="774" spans="1:14" s="258" customFormat="1" ht="24" customHeight="1">
      <c r="A774" s="8">
        <v>734</v>
      </c>
      <c r="B774" s="9">
        <v>734</v>
      </c>
      <c r="C774" s="46"/>
      <c r="D774" s="9"/>
      <c r="E774" s="19" t="str">
        <f>IFERROR(VLOOKUP(D774,케이블트레이입.출고현황!U777:Z852,2,0),"")</f>
        <v/>
      </c>
      <c r="F774" s="19" t="str">
        <f>IFERROR(VLOOKUP(E774,케이블트레이입.출고현황!V777:AA852,2,0),"")</f>
        <v/>
      </c>
      <c r="G774" s="19" t="str">
        <f>IFERROR(VLOOKUP(F774,케이블트레이입.출고현황!W777:AB852,2,0),"")</f>
        <v/>
      </c>
      <c r="H774" s="19" t="str">
        <f>IFERROR(VLOOKUP(G774,케이블트레이입.출고현황!X777:AC852,2,0),"")</f>
        <v/>
      </c>
      <c r="I774" s="19" t="str">
        <f>IFERROR(VLOOKUP(H774,케이블트레이입.출고현황!Y777:AD852,2,0),"")</f>
        <v/>
      </c>
      <c r="J774" s="9">
        <v>1</v>
      </c>
      <c r="K774" s="9"/>
      <c r="L774" s="37"/>
      <c r="M774" s="64"/>
      <c r="N774" s="257"/>
    </row>
    <row r="775" spans="1:14" ht="24" customHeight="1">
      <c r="A775" s="8">
        <v>735</v>
      </c>
      <c r="B775" s="9">
        <v>735</v>
      </c>
      <c r="C775" s="46"/>
      <c r="D775" s="9"/>
      <c r="E775" s="19" t="str">
        <f>IFERROR(VLOOKUP(D775,케이블트레이입.출고현황!U778:Z853,2,0),"")</f>
        <v/>
      </c>
      <c r="F775" s="19" t="str">
        <f>IFERROR(VLOOKUP(E775,케이블트레이입.출고현황!V778:AA853,2,0),"")</f>
        <v/>
      </c>
      <c r="G775" s="19" t="str">
        <f>IFERROR(VLOOKUP(F775,케이블트레이입.출고현황!W778:AB853,2,0),"")</f>
        <v/>
      </c>
      <c r="H775" s="19" t="str">
        <f>IFERROR(VLOOKUP(G775,케이블트레이입.출고현황!X778:AC853,2,0),"")</f>
        <v/>
      </c>
      <c r="I775" s="19" t="str">
        <f>IFERROR(VLOOKUP(H775,케이블트레이입.출고현황!Y778:AD853,2,0),"")</f>
        <v/>
      </c>
      <c r="J775" s="9">
        <v>3</v>
      </c>
      <c r="K775" s="9"/>
      <c r="L775" s="37"/>
      <c r="M775" s="64"/>
      <c r="N775" s="257"/>
    </row>
    <row r="776" spans="1:14" ht="24" customHeight="1">
      <c r="A776" s="8">
        <v>736</v>
      </c>
      <c r="B776" s="9">
        <v>736</v>
      </c>
      <c r="C776" s="46"/>
      <c r="D776" s="9"/>
      <c r="E776" s="19" t="str">
        <f>IFERROR(VLOOKUP(D776,케이블트레이입.출고현황!U779:Z854,2,0),"")</f>
        <v/>
      </c>
      <c r="F776" s="19" t="str">
        <f>IFERROR(VLOOKUP(E776,케이블트레이입.출고현황!V779:AA854,2,0),"")</f>
        <v/>
      </c>
      <c r="G776" s="19" t="str">
        <f>IFERROR(VLOOKUP(F776,케이블트레이입.출고현황!W779:AB854,2,0),"")</f>
        <v/>
      </c>
      <c r="H776" s="19" t="str">
        <f>IFERROR(VLOOKUP(G776,케이블트레이입.출고현황!X779:AC854,2,0),"")</f>
        <v/>
      </c>
      <c r="I776" s="19" t="str">
        <f>IFERROR(VLOOKUP(H776,케이블트레이입.출고현황!Y779:AD854,2,0),"")</f>
        <v/>
      </c>
      <c r="J776" s="9">
        <v>1</v>
      </c>
      <c r="K776" s="9"/>
      <c r="L776" s="37"/>
      <c r="M776" s="64"/>
      <c r="N776" s="257"/>
    </row>
    <row r="777" spans="1:14" ht="24" customHeight="1">
      <c r="A777" s="8">
        <v>737</v>
      </c>
      <c r="B777" s="9">
        <v>737</v>
      </c>
      <c r="C777" s="46"/>
      <c r="D777" s="9"/>
      <c r="E777" s="19" t="str">
        <f>IFERROR(VLOOKUP(D777,케이블트레이입.출고현황!U780:Z855,2,0),"")</f>
        <v/>
      </c>
      <c r="F777" s="19" t="str">
        <f>IFERROR(VLOOKUP(E777,케이블트레이입.출고현황!V780:AA855,2,0),"")</f>
        <v/>
      </c>
      <c r="G777" s="19" t="str">
        <f>IFERROR(VLOOKUP(F777,케이블트레이입.출고현황!W780:AB855,2,0),"")</f>
        <v/>
      </c>
      <c r="H777" s="19" t="str">
        <f>IFERROR(VLOOKUP(G777,케이블트레이입.출고현황!X780:AC855,2,0),"")</f>
        <v/>
      </c>
      <c r="I777" s="19" t="str">
        <f>IFERROR(VLOOKUP(H777,케이블트레이입.출고현황!Y780:AD855,2,0),"")</f>
        <v/>
      </c>
      <c r="J777" s="9">
        <v>1</v>
      </c>
      <c r="K777" s="9"/>
      <c r="L777" s="37"/>
      <c r="M777" s="64"/>
      <c r="N777" s="257"/>
    </row>
    <row r="778" spans="1:14" ht="24" customHeight="1">
      <c r="A778" s="8">
        <v>738</v>
      </c>
      <c r="B778" s="9">
        <v>738</v>
      </c>
      <c r="C778" s="46"/>
      <c r="D778" s="9"/>
      <c r="E778" s="19" t="str">
        <f>IFERROR(VLOOKUP(D778,케이블트레이입.출고현황!U781:Z856,2,0),"")</f>
        <v/>
      </c>
      <c r="F778" s="19" t="str">
        <f>IFERROR(VLOOKUP(E778,케이블트레이입.출고현황!V781:AA856,2,0),"")</f>
        <v/>
      </c>
      <c r="G778" s="19" t="str">
        <f>IFERROR(VLOOKUP(F778,케이블트레이입.출고현황!W781:AB856,2,0),"")</f>
        <v/>
      </c>
      <c r="H778" s="19" t="str">
        <f>IFERROR(VLOOKUP(G778,케이블트레이입.출고현황!X781:AC856,2,0),"")</f>
        <v/>
      </c>
      <c r="I778" s="19" t="str">
        <f>IFERROR(VLOOKUP(H778,케이블트레이입.출고현황!Y781:AD856,2,0),"")</f>
        <v/>
      </c>
      <c r="J778" s="9">
        <v>2</v>
      </c>
      <c r="K778" s="9"/>
      <c r="L778" s="37"/>
      <c r="M778" s="64"/>
      <c r="N778" s="42"/>
    </row>
    <row r="779" spans="1:14" ht="24" customHeight="1">
      <c r="A779" s="8">
        <v>739</v>
      </c>
      <c r="B779" s="9">
        <v>739</v>
      </c>
      <c r="C779" s="46"/>
      <c r="D779" s="9"/>
      <c r="E779" s="19" t="str">
        <f>IFERROR(VLOOKUP(D779,케이블트레이입.출고현황!U782:Z857,2,0),"")</f>
        <v/>
      </c>
      <c r="F779" s="19" t="str">
        <f>IFERROR(VLOOKUP(E779,케이블트레이입.출고현황!V782:AA857,2,0),"")</f>
        <v/>
      </c>
      <c r="G779" s="19" t="str">
        <f>IFERROR(VLOOKUP(F779,케이블트레이입.출고현황!W782:AB857,2,0),"")</f>
        <v/>
      </c>
      <c r="H779" s="19" t="str">
        <f>IFERROR(VLOOKUP(G779,케이블트레이입.출고현황!X782:AC857,2,0),"")</f>
        <v/>
      </c>
      <c r="I779" s="19" t="str">
        <f>IFERROR(VLOOKUP(H779,케이블트레이입.출고현황!Y782:AD857,2,0),"")</f>
        <v/>
      </c>
      <c r="J779" s="9">
        <v>1</v>
      </c>
      <c r="K779" s="9"/>
      <c r="L779" s="37"/>
      <c r="M779" s="64"/>
      <c r="N779" s="42"/>
    </row>
    <row r="780" spans="1:14" ht="24" customHeight="1">
      <c r="A780" s="8">
        <v>740</v>
      </c>
      <c r="B780" s="9">
        <v>740</v>
      </c>
      <c r="C780" s="46"/>
      <c r="D780" s="9"/>
      <c r="E780" s="19" t="str">
        <f>IFERROR(VLOOKUP(D780,케이블트레이입.출고현황!U783:Z858,2,0),"")</f>
        <v/>
      </c>
      <c r="F780" s="19" t="str">
        <f>IFERROR(VLOOKUP(E780,케이블트레이입.출고현황!V783:AA858,2,0),"")</f>
        <v/>
      </c>
      <c r="G780" s="19" t="str">
        <f>IFERROR(VLOOKUP(F780,케이블트레이입.출고현황!W783:AB858,2,0),"")</f>
        <v/>
      </c>
      <c r="H780" s="19" t="str">
        <f>IFERROR(VLOOKUP(G780,케이블트레이입.출고현황!X783:AC858,2,0),"")</f>
        <v/>
      </c>
      <c r="I780" s="19" t="str">
        <f>IFERROR(VLOOKUP(H780,케이블트레이입.출고현황!Y783:AD858,2,0),"")</f>
        <v/>
      </c>
      <c r="J780" s="9">
        <v>1</v>
      </c>
      <c r="K780" s="9"/>
      <c r="L780" s="37"/>
      <c r="M780" s="64"/>
      <c r="N780" s="42"/>
    </row>
    <row r="781" spans="1:14" ht="24" customHeight="1">
      <c r="A781" s="8">
        <v>741</v>
      </c>
      <c r="B781" s="9">
        <v>741</v>
      </c>
      <c r="C781" s="46"/>
      <c r="D781" s="9"/>
      <c r="E781" s="19" t="str">
        <f>IFERROR(VLOOKUP(D781,케이블트레이입.출고현황!U784:Z859,2,0),"")</f>
        <v/>
      </c>
      <c r="F781" s="19" t="str">
        <f>IFERROR(VLOOKUP(E781,케이블트레이입.출고현황!V784:AA859,2,0),"")</f>
        <v/>
      </c>
      <c r="G781" s="19" t="str">
        <f>IFERROR(VLOOKUP(F781,케이블트레이입.출고현황!W784:AB859,2,0),"")</f>
        <v/>
      </c>
      <c r="H781" s="19" t="str">
        <f>IFERROR(VLOOKUP(G781,케이블트레이입.출고현황!X784:AC859,2,0),"")</f>
        <v/>
      </c>
      <c r="I781" s="19" t="str">
        <f>IFERROR(VLOOKUP(H781,케이블트레이입.출고현황!Y784:AD859,2,0),"")</f>
        <v/>
      </c>
      <c r="J781" s="9">
        <v>1</v>
      </c>
      <c r="K781" s="9"/>
      <c r="L781" s="37"/>
      <c r="M781" s="64"/>
      <c r="N781" s="42"/>
    </row>
    <row r="782" spans="1:14" ht="24" customHeight="1">
      <c r="A782" s="8">
        <v>742</v>
      </c>
      <c r="B782" s="9">
        <v>742</v>
      </c>
      <c r="C782" s="46"/>
      <c r="D782" s="9"/>
      <c r="E782" s="19" t="str">
        <f>IFERROR(VLOOKUP(D782,케이블트레이입.출고현황!U785:Z860,2,0),"")</f>
        <v/>
      </c>
      <c r="F782" s="19" t="str">
        <f>IFERROR(VLOOKUP(E782,케이블트레이입.출고현황!V785:AA860,2,0),"")</f>
        <v/>
      </c>
      <c r="G782" s="19" t="str">
        <f>IFERROR(VLOOKUP(F782,케이블트레이입.출고현황!W785:AB860,2,0),"")</f>
        <v/>
      </c>
      <c r="H782" s="19" t="str">
        <f>IFERROR(VLOOKUP(G782,케이블트레이입.출고현황!X785:AC860,2,0),"")</f>
        <v/>
      </c>
      <c r="I782" s="19" t="str">
        <f>IFERROR(VLOOKUP(H782,케이블트레이입.출고현황!Y785:AD860,2,0),"")</f>
        <v/>
      </c>
      <c r="J782" s="9">
        <v>2</v>
      </c>
      <c r="K782" s="9"/>
      <c r="L782" s="37"/>
      <c r="M782" s="64"/>
      <c r="N782" s="42"/>
    </row>
    <row r="783" spans="1:14" ht="24" customHeight="1">
      <c r="A783" s="8">
        <v>743</v>
      </c>
      <c r="B783" s="9">
        <v>743</v>
      </c>
      <c r="C783" s="46"/>
      <c r="D783" s="9"/>
      <c r="E783" s="19" t="str">
        <f>IFERROR(VLOOKUP(D783,케이블트레이입.출고현황!U786:Z861,2,0),"")</f>
        <v/>
      </c>
      <c r="F783" s="19" t="str">
        <f>IFERROR(VLOOKUP(E783,케이블트레이입.출고현황!V786:AA861,2,0),"")</f>
        <v/>
      </c>
      <c r="G783" s="19" t="str">
        <f>IFERROR(VLOOKUP(F783,케이블트레이입.출고현황!W786:AB861,2,0),"")</f>
        <v/>
      </c>
      <c r="H783" s="19" t="str">
        <f>IFERROR(VLOOKUP(G783,케이블트레이입.출고현황!X786:AC861,2,0),"")</f>
        <v/>
      </c>
      <c r="I783" s="19" t="str">
        <f>IFERROR(VLOOKUP(H783,케이블트레이입.출고현황!Y786:AD861,2,0),"")</f>
        <v/>
      </c>
      <c r="J783" s="9">
        <v>1</v>
      </c>
      <c r="K783" s="9"/>
      <c r="L783" s="37"/>
      <c r="M783" s="64"/>
      <c r="N783" s="42"/>
    </row>
    <row r="784" spans="1:14" ht="24" customHeight="1">
      <c r="A784" s="8">
        <v>744</v>
      </c>
      <c r="B784" s="9">
        <v>744</v>
      </c>
      <c r="C784" s="46"/>
      <c r="D784" s="9"/>
      <c r="E784" s="19" t="str">
        <f>IFERROR(VLOOKUP(D784,케이블트레이입.출고현황!U787:Z862,2,0),"")</f>
        <v/>
      </c>
      <c r="F784" s="19" t="str">
        <f>IFERROR(VLOOKUP(E784,케이블트레이입.출고현황!V787:AA862,2,0),"")</f>
        <v/>
      </c>
      <c r="G784" s="19" t="str">
        <f>IFERROR(VLOOKUP(F784,케이블트레이입.출고현황!W787:AB862,2,0),"")</f>
        <v/>
      </c>
      <c r="H784" s="19" t="str">
        <f>IFERROR(VLOOKUP(G784,케이블트레이입.출고현황!X787:AC862,2,0),"")</f>
        <v/>
      </c>
      <c r="I784" s="19" t="str">
        <f>IFERROR(VLOOKUP(H784,케이블트레이입.출고현황!Y787:AD862,2,0),"")</f>
        <v/>
      </c>
      <c r="J784" s="9">
        <v>1</v>
      </c>
      <c r="K784" s="9"/>
      <c r="L784" s="37"/>
      <c r="M784" s="64"/>
      <c r="N784" s="42"/>
    </row>
    <row r="785" spans="1:14" ht="24" customHeight="1">
      <c r="A785" s="8">
        <v>745</v>
      </c>
      <c r="B785" s="9">
        <v>745</v>
      </c>
      <c r="C785" s="46"/>
      <c r="D785" s="9"/>
      <c r="E785" s="19" t="str">
        <f>IFERROR(VLOOKUP(D785,케이블트레이입.출고현황!U788:Z863,2,0),"")</f>
        <v/>
      </c>
      <c r="F785" s="19" t="str">
        <f>IFERROR(VLOOKUP(E785,케이블트레이입.출고현황!V788:AA863,2,0),"")</f>
        <v/>
      </c>
      <c r="G785" s="19" t="str">
        <f>IFERROR(VLOOKUP(F785,케이블트레이입.출고현황!W788:AB863,2,0),"")</f>
        <v/>
      </c>
      <c r="H785" s="19" t="str">
        <f>IFERROR(VLOOKUP(G785,케이블트레이입.출고현황!X788:AC863,2,0),"")</f>
        <v/>
      </c>
      <c r="I785" s="19" t="str">
        <f>IFERROR(VLOOKUP(H785,케이블트레이입.출고현황!Y788:AD863,2,0),"")</f>
        <v/>
      </c>
      <c r="J785" s="9">
        <v>3</v>
      </c>
      <c r="K785" s="9"/>
      <c r="L785" s="37"/>
      <c r="M785" s="64"/>
      <c r="N785" s="42"/>
    </row>
    <row r="786" spans="1:14" ht="24" customHeight="1">
      <c r="A786" s="8">
        <v>746</v>
      </c>
      <c r="B786" s="9">
        <v>746</v>
      </c>
      <c r="C786" s="46"/>
      <c r="D786" s="9"/>
      <c r="E786" s="19" t="str">
        <f>IFERROR(VLOOKUP(D786,케이블트레이입.출고현황!U789:Z864,2,0),"")</f>
        <v/>
      </c>
      <c r="F786" s="19" t="str">
        <f>IFERROR(VLOOKUP(E786,케이블트레이입.출고현황!V789:AA864,2,0),"")</f>
        <v/>
      </c>
      <c r="G786" s="19" t="str">
        <f>IFERROR(VLOOKUP(F786,케이블트레이입.출고현황!W789:AB864,2,0),"")</f>
        <v/>
      </c>
      <c r="H786" s="19" t="str">
        <f>IFERROR(VLOOKUP(G786,케이블트레이입.출고현황!X789:AC864,2,0),"")</f>
        <v/>
      </c>
      <c r="I786" s="19" t="str">
        <f>IFERROR(VLOOKUP(H786,케이블트레이입.출고현황!Y789:AD864,2,0),"")</f>
        <v/>
      </c>
      <c r="J786" s="9">
        <v>1</v>
      </c>
      <c r="K786" s="9"/>
      <c r="L786" s="37"/>
      <c r="M786" s="64"/>
      <c r="N786" s="42"/>
    </row>
    <row r="787" spans="1:14" ht="24" customHeight="1">
      <c r="A787" s="8">
        <v>747</v>
      </c>
      <c r="B787" s="9">
        <v>747</v>
      </c>
      <c r="C787" s="46"/>
      <c r="D787" s="9"/>
      <c r="E787" s="19" t="str">
        <f>IFERROR(VLOOKUP(D787,케이블트레이입.출고현황!U790:Z865,2,0),"")</f>
        <v/>
      </c>
      <c r="F787" s="19" t="str">
        <f>IFERROR(VLOOKUP(E787,케이블트레이입.출고현황!V790:AA865,2,0),"")</f>
        <v/>
      </c>
      <c r="G787" s="19" t="str">
        <f>IFERROR(VLOOKUP(F787,케이블트레이입.출고현황!W790:AB865,2,0),"")</f>
        <v/>
      </c>
      <c r="H787" s="19" t="str">
        <f>IFERROR(VLOOKUP(G787,케이블트레이입.출고현황!X790:AC865,2,0),"")</f>
        <v/>
      </c>
      <c r="I787" s="19" t="str">
        <f>IFERROR(VLOOKUP(H787,케이블트레이입.출고현황!Y790:AD865,2,0),"")</f>
        <v/>
      </c>
      <c r="J787" s="9">
        <v>2</v>
      </c>
      <c r="K787" s="9"/>
      <c r="L787" s="37"/>
      <c r="M787" s="64"/>
      <c r="N787" s="42"/>
    </row>
    <row r="788" spans="1:14" ht="24" customHeight="1">
      <c r="A788" s="8">
        <v>748</v>
      </c>
      <c r="B788" s="9">
        <v>748</v>
      </c>
      <c r="C788" s="46"/>
      <c r="D788" s="9"/>
      <c r="E788" s="19" t="str">
        <f>IFERROR(VLOOKUP(D788,케이블트레이입.출고현황!U791:Z866,2,0),"")</f>
        <v/>
      </c>
      <c r="F788" s="19" t="str">
        <f>IFERROR(VLOOKUP(E788,케이블트레이입.출고현황!V791:AA866,2,0),"")</f>
        <v/>
      </c>
      <c r="G788" s="19" t="str">
        <f>IFERROR(VLOOKUP(F788,케이블트레이입.출고현황!W791:AB866,2,0),"")</f>
        <v/>
      </c>
      <c r="H788" s="19" t="str">
        <f>IFERROR(VLOOKUP(G788,케이블트레이입.출고현황!X791:AC866,2,0),"")</f>
        <v/>
      </c>
      <c r="I788" s="19" t="str">
        <f>IFERROR(VLOOKUP(H788,케이블트레이입.출고현황!Y791:AD866,2,0),"")</f>
        <v/>
      </c>
      <c r="J788" s="9">
        <v>1</v>
      </c>
      <c r="K788" s="9"/>
      <c r="L788" s="37"/>
      <c r="M788" s="64"/>
      <c r="N788" s="42"/>
    </row>
    <row r="789" spans="1:14" ht="24" customHeight="1">
      <c r="A789" s="8">
        <v>749</v>
      </c>
      <c r="B789" s="9">
        <v>749</v>
      </c>
      <c r="C789" s="46"/>
      <c r="D789" s="9"/>
      <c r="E789" s="19" t="str">
        <f>IFERROR(VLOOKUP(D789,케이블트레이입.출고현황!U792:Z867,2,0),"")</f>
        <v/>
      </c>
      <c r="F789" s="19" t="str">
        <f>IFERROR(VLOOKUP(E789,케이블트레이입.출고현황!V792:AA867,2,0),"")</f>
        <v/>
      </c>
      <c r="G789" s="19" t="str">
        <f>IFERROR(VLOOKUP(F789,케이블트레이입.출고현황!W792:AB867,2,0),"")</f>
        <v/>
      </c>
      <c r="H789" s="19" t="str">
        <f>IFERROR(VLOOKUP(G789,케이블트레이입.출고현황!X792:AC867,2,0),"")</f>
        <v/>
      </c>
      <c r="I789" s="19" t="str">
        <f>IFERROR(VLOOKUP(H789,케이블트레이입.출고현황!Y792:AD867,2,0),"")</f>
        <v/>
      </c>
      <c r="J789" s="9">
        <v>1</v>
      </c>
      <c r="K789" s="9"/>
      <c r="L789" s="37"/>
      <c r="M789" s="64"/>
      <c r="N789" s="42"/>
    </row>
    <row r="790" spans="1:14" ht="24" customHeight="1">
      <c r="A790" s="8">
        <v>750</v>
      </c>
      <c r="B790" s="9">
        <v>750</v>
      </c>
      <c r="C790" s="46"/>
      <c r="D790" s="9"/>
      <c r="E790" s="19" t="str">
        <f>IFERROR(VLOOKUP(D790,케이블트레이입.출고현황!U793:Z868,2,0),"")</f>
        <v/>
      </c>
      <c r="F790" s="19" t="str">
        <f>IFERROR(VLOOKUP(E790,케이블트레이입.출고현황!V793:AA868,2,0),"")</f>
        <v/>
      </c>
      <c r="G790" s="19" t="str">
        <f>IFERROR(VLOOKUP(F790,케이블트레이입.출고현황!W793:AB868,2,0),"")</f>
        <v/>
      </c>
      <c r="H790" s="19" t="str">
        <f>IFERROR(VLOOKUP(G790,케이블트레이입.출고현황!X793:AC868,2,0),"")</f>
        <v/>
      </c>
      <c r="I790" s="19" t="str">
        <f>IFERROR(VLOOKUP(H790,케이블트레이입.출고현황!Y793:AD868,2,0),"")</f>
        <v/>
      </c>
      <c r="J790" s="9">
        <v>1</v>
      </c>
      <c r="K790" s="9"/>
      <c r="L790" s="37"/>
      <c r="M790" s="64"/>
      <c r="N790" s="42"/>
    </row>
    <row r="791" spans="1:14" ht="24" customHeight="1">
      <c r="A791" s="8">
        <v>751</v>
      </c>
      <c r="B791" s="9">
        <v>751</v>
      </c>
      <c r="C791" s="46"/>
      <c r="D791" s="9"/>
      <c r="E791" s="19" t="str">
        <f>IFERROR(VLOOKUP(D791,케이블트레이입.출고현황!U794:Z869,2,0),"")</f>
        <v/>
      </c>
      <c r="F791" s="19" t="str">
        <f>IFERROR(VLOOKUP(E791,케이블트레이입.출고현황!V794:AA869,2,0),"")</f>
        <v/>
      </c>
      <c r="G791" s="19" t="str">
        <f>IFERROR(VLOOKUP(F791,케이블트레이입.출고현황!W794:AB869,2,0),"")</f>
        <v/>
      </c>
      <c r="H791" s="19" t="str">
        <f>IFERROR(VLOOKUP(G791,케이블트레이입.출고현황!X794:AC869,2,0),"")</f>
        <v/>
      </c>
      <c r="I791" s="19" t="str">
        <f>IFERROR(VLOOKUP(H791,케이블트레이입.출고현황!Y794:AD869,2,0),"")</f>
        <v/>
      </c>
      <c r="J791" s="9">
        <v>1</v>
      </c>
      <c r="K791" s="9"/>
      <c r="L791" s="37"/>
      <c r="M791" s="64"/>
      <c r="N791" s="42"/>
    </row>
    <row r="792" spans="1:14" ht="24" customHeight="1">
      <c r="A792" s="8">
        <v>752</v>
      </c>
      <c r="B792" s="9">
        <v>752</v>
      </c>
      <c r="C792" s="46"/>
      <c r="D792" s="9"/>
      <c r="E792" s="19" t="str">
        <f>IFERROR(VLOOKUP(D792,케이블트레이입.출고현황!U795:Z870,2,0),"")</f>
        <v/>
      </c>
      <c r="F792" s="19" t="str">
        <f>IFERROR(VLOOKUP(E792,케이블트레이입.출고현황!V795:AA870,2,0),"")</f>
        <v/>
      </c>
      <c r="G792" s="19" t="str">
        <f>IFERROR(VLOOKUP(F792,케이블트레이입.출고현황!W795:AB870,2,0),"")</f>
        <v/>
      </c>
      <c r="H792" s="19" t="str">
        <f>IFERROR(VLOOKUP(G792,케이블트레이입.출고현황!X795:AC870,2,0),"")</f>
        <v/>
      </c>
      <c r="I792" s="19" t="str">
        <f>IFERROR(VLOOKUP(H792,케이블트레이입.출고현황!Y795:AD870,2,0),"")</f>
        <v/>
      </c>
      <c r="J792" s="9">
        <v>2</v>
      </c>
      <c r="K792" s="9"/>
      <c r="L792" s="37"/>
      <c r="M792" s="64"/>
      <c r="N792" s="42"/>
    </row>
    <row r="793" spans="1:14" ht="24" customHeight="1">
      <c r="A793" s="8">
        <v>753</v>
      </c>
      <c r="B793" s="9">
        <v>753</v>
      </c>
      <c r="C793" s="46"/>
      <c r="D793" s="9"/>
      <c r="E793" s="19" t="str">
        <f>IFERROR(VLOOKUP(D793,케이블트레이입.출고현황!U796:Z871,2,0),"")</f>
        <v/>
      </c>
      <c r="F793" s="19" t="str">
        <f>IFERROR(VLOOKUP(E793,케이블트레이입.출고현황!V796:AA871,2,0),"")</f>
        <v/>
      </c>
      <c r="G793" s="19" t="str">
        <f>IFERROR(VLOOKUP(F793,케이블트레이입.출고현황!W796:AB871,2,0),"")</f>
        <v/>
      </c>
      <c r="H793" s="19" t="str">
        <f>IFERROR(VLOOKUP(G793,케이블트레이입.출고현황!X796:AC871,2,0),"")</f>
        <v/>
      </c>
      <c r="I793" s="19" t="str">
        <f>IFERROR(VLOOKUP(H793,케이블트레이입.출고현황!Y796:AD871,2,0),"")</f>
        <v/>
      </c>
      <c r="J793" s="9">
        <v>2</v>
      </c>
      <c r="K793" s="9"/>
      <c r="L793" s="37"/>
      <c r="M793" s="64"/>
      <c r="N793" s="42"/>
    </row>
    <row r="794" spans="1:14" ht="24" customHeight="1">
      <c r="A794" s="8">
        <v>754</v>
      </c>
      <c r="B794" s="9">
        <v>754</v>
      </c>
      <c r="C794" s="46"/>
      <c r="D794" s="9"/>
      <c r="E794" s="19" t="str">
        <f>IFERROR(VLOOKUP(D794,케이블트레이입.출고현황!U797:Z872,2,0),"")</f>
        <v/>
      </c>
      <c r="F794" s="19" t="str">
        <f>IFERROR(VLOOKUP(E794,케이블트레이입.출고현황!V797:AA872,2,0),"")</f>
        <v/>
      </c>
      <c r="G794" s="19" t="str">
        <f>IFERROR(VLOOKUP(F794,케이블트레이입.출고현황!W797:AB872,2,0),"")</f>
        <v/>
      </c>
      <c r="H794" s="19" t="str">
        <f>IFERROR(VLOOKUP(G794,케이블트레이입.출고현황!X797:AC872,2,0),"")</f>
        <v/>
      </c>
      <c r="I794" s="19" t="str">
        <f>IFERROR(VLOOKUP(H794,케이블트레이입.출고현황!Y797:AD872,2,0),"")</f>
        <v/>
      </c>
      <c r="J794" s="9">
        <v>1</v>
      </c>
      <c r="K794" s="9"/>
      <c r="L794" s="37"/>
      <c r="M794" s="64"/>
      <c r="N794" s="42"/>
    </row>
    <row r="795" spans="1:14" ht="24" customHeight="1">
      <c r="A795" s="8">
        <v>755</v>
      </c>
      <c r="B795" s="9">
        <v>755</v>
      </c>
      <c r="C795" s="46"/>
      <c r="D795" s="9"/>
      <c r="E795" s="19" t="str">
        <f>IFERROR(VLOOKUP(D795,케이블트레이입.출고현황!U798:Z873,2,0),"")</f>
        <v/>
      </c>
      <c r="F795" s="19" t="str">
        <f>IFERROR(VLOOKUP(E795,케이블트레이입.출고현황!V798:AA873,2,0),"")</f>
        <v/>
      </c>
      <c r="G795" s="19" t="str">
        <f>IFERROR(VLOOKUP(F795,케이블트레이입.출고현황!W798:AB873,2,0),"")</f>
        <v/>
      </c>
      <c r="H795" s="19" t="str">
        <f>IFERROR(VLOOKUP(G795,케이블트레이입.출고현황!X798:AC873,2,0),"")</f>
        <v/>
      </c>
      <c r="I795" s="19" t="str">
        <f>IFERROR(VLOOKUP(H795,케이블트레이입.출고현황!Y798:AD873,2,0),"")</f>
        <v/>
      </c>
      <c r="J795" s="9">
        <v>2</v>
      </c>
      <c r="K795" s="9"/>
      <c r="L795" s="37"/>
      <c r="M795" s="64"/>
      <c r="N795" s="42"/>
    </row>
    <row r="796" spans="1:14" ht="24" customHeight="1">
      <c r="A796" s="8">
        <v>756</v>
      </c>
      <c r="B796" s="9">
        <v>756</v>
      </c>
      <c r="C796" s="46"/>
      <c r="D796" s="9"/>
      <c r="E796" s="19" t="str">
        <f>IFERROR(VLOOKUP(D796,케이블트레이입.출고현황!U799:Z874,2,0),"")</f>
        <v/>
      </c>
      <c r="F796" s="19" t="str">
        <f>IFERROR(VLOOKUP(E796,케이블트레이입.출고현황!V799:AA874,2,0),"")</f>
        <v/>
      </c>
      <c r="G796" s="19" t="str">
        <f>IFERROR(VLOOKUP(F796,케이블트레이입.출고현황!W799:AB874,2,0),"")</f>
        <v/>
      </c>
      <c r="H796" s="19" t="str">
        <f>IFERROR(VLOOKUP(G796,케이블트레이입.출고현황!X799:AC874,2,0),"")</f>
        <v/>
      </c>
      <c r="I796" s="19" t="str">
        <f>IFERROR(VLOOKUP(H796,케이블트레이입.출고현황!Y799:AD874,2,0),"")</f>
        <v/>
      </c>
      <c r="J796" s="9" t="s">
        <v>557</v>
      </c>
      <c r="K796" s="9"/>
      <c r="L796" s="37"/>
      <c r="M796" s="64"/>
      <c r="N796" s="42"/>
    </row>
    <row r="797" spans="1:14" ht="24" customHeight="1">
      <c r="A797" s="8">
        <v>757</v>
      </c>
      <c r="B797" s="9">
        <v>757</v>
      </c>
      <c r="C797" s="46"/>
      <c r="D797" s="9"/>
      <c r="E797" s="19" t="str">
        <f>IFERROR(VLOOKUP(D797,케이블트레이입.출고현황!U800:Z875,2,0),"")</f>
        <v/>
      </c>
      <c r="F797" s="19" t="str">
        <f>IFERROR(VLOOKUP(E797,케이블트레이입.출고현황!V800:AA875,2,0),"")</f>
        <v/>
      </c>
      <c r="G797" s="19" t="str">
        <f>IFERROR(VLOOKUP(F797,케이블트레이입.출고현황!W800:AB875,2,0),"")</f>
        <v/>
      </c>
      <c r="H797" s="19" t="str">
        <f>IFERROR(VLOOKUP(G797,케이블트레이입.출고현황!X800:AC875,2,0),"")</f>
        <v/>
      </c>
      <c r="I797" s="19" t="str">
        <f>IFERROR(VLOOKUP(H797,케이블트레이입.출고현황!Y800:AD875,2,0),"")</f>
        <v/>
      </c>
      <c r="J797" s="9">
        <v>1</v>
      </c>
      <c r="K797" s="9"/>
      <c r="L797" s="37"/>
      <c r="M797" s="64"/>
      <c r="N797" s="42"/>
    </row>
    <row r="798" spans="1:14" ht="24" customHeight="1">
      <c r="A798" s="8">
        <v>758</v>
      </c>
      <c r="B798" s="9">
        <v>758</v>
      </c>
      <c r="C798" s="46"/>
      <c r="D798" s="9"/>
      <c r="E798" s="19" t="str">
        <f>IFERROR(VLOOKUP(D798,케이블트레이입.출고현황!U801:Z876,2,0),"")</f>
        <v/>
      </c>
      <c r="F798" s="19" t="str">
        <f>IFERROR(VLOOKUP(E798,케이블트레이입.출고현황!V801:AA876,2,0),"")</f>
        <v/>
      </c>
      <c r="G798" s="19" t="str">
        <f>IFERROR(VLOOKUP(F798,케이블트레이입.출고현황!W801:AB876,2,0),"")</f>
        <v/>
      </c>
      <c r="H798" s="19" t="str">
        <f>IFERROR(VLOOKUP(G798,케이블트레이입.출고현황!X801:AC876,2,0),"")</f>
        <v/>
      </c>
      <c r="I798" s="19" t="str">
        <f>IFERROR(VLOOKUP(H798,케이블트레이입.출고현황!Y801:AD876,2,0),"")</f>
        <v/>
      </c>
      <c r="J798" s="9">
        <v>3</v>
      </c>
      <c r="K798" s="9"/>
      <c r="L798" s="37"/>
      <c r="M798" s="64"/>
      <c r="N798" s="42"/>
    </row>
    <row r="799" spans="1:14" ht="24" customHeight="1">
      <c r="A799" s="8">
        <v>759</v>
      </c>
      <c r="B799" s="9">
        <v>759</v>
      </c>
      <c r="C799" s="46"/>
      <c r="D799" s="9"/>
      <c r="E799" s="19" t="str">
        <f>IFERROR(VLOOKUP(D799,케이블트레이입.출고현황!U802:Z877,2,0),"")</f>
        <v/>
      </c>
      <c r="F799" s="19" t="str">
        <f>IFERROR(VLOOKUP(E799,케이블트레이입.출고현황!V802:AA877,2,0),"")</f>
        <v/>
      </c>
      <c r="G799" s="19" t="str">
        <f>IFERROR(VLOOKUP(F799,케이블트레이입.출고현황!W802:AB877,2,0),"")</f>
        <v/>
      </c>
      <c r="H799" s="19" t="str">
        <f>IFERROR(VLOOKUP(G799,케이블트레이입.출고현황!X802:AC877,2,0),"")</f>
        <v/>
      </c>
      <c r="I799" s="19" t="str">
        <f>IFERROR(VLOOKUP(H799,케이블트레이입.출고현황!Y802:AD877,2,0),"")</f>
        <v/>
      </c>
      <c r="J799" s="9">
        <v>1</v>
      </c>
      <c r="K799" s="9"/>
      <c r="L799" s="37"/>
      <c r="M799" s="64"/>
      <c r="N799" s="42"/>
    </row>
    <row r="800" spans="1:14" ht="24" customHeight="1">
      <c r="A800" s="8">
        <v>760</v>
      </c>
      <c r="B800" s="9">
        <v>760</v>
      </c>
      <c r="C800" s="46"/>
      <c r="D800" s="9"/>
      <c r="E800" s="19" t="str">
        <f>IFERROR(VLOOKUP(D800,케이블트레이입.출고현황!U803:Z878,2,0),"")</f>
        <v/>
      </c>
      <c r="F800" s="19" t="str">
        <f>IFERROR(VLOOKUP(E800,케이블트레이입.출고현황!V803:AA878,2,0),"")</f>
        <v/>
      </c>
      <c r="G800" s="19" t="str">
        <f>IFERROR(VLOOKUP(F800,케이블트레이입.출고현황!W803:AB878,2,0),"")</f>
        <v/>
      </c>
      <c r="H800" s="19" t="str">
        <f>IFERROR(VLOOKUP(G800,케이블트레이입.출고현황!X803:AC878,2,0),"")</f>
        <v/>
      </c>
      <c r="I800" s="19" t="str">
        <f>IFERROR(VLOOKUP(H800,케이블트레이입.출고현황!Y803:AD878,2,0),"")</f>
        <v/>
      </c>
      <c r="J800" s="9">
        <v>1</v>
      </c>
      <c r="K800" s="9"/>
      <c r="L800" s="37"/>
      <c r="M800" s="64"/>
      <c r="N800" s="42"/>
    </row>
    <row r="801" spans="1:14" ht="24" customHeight="1">
      <c r="A801" s="8">
        <v>761</v>
      </c>
      <c r="B801" s="9">
        <v>761</v>
      </c>
      <c r="C801" s="46"/>
      <c r="D801" s="9"/>
      <c r="E801" s="19" t="str">
        <f>IFERROR(VLOOKUP(D801,케이블트레이입.출고현황!U804:Z879,2,0),"")</f>
        <v/>
      </c>
      <c r="F801" s="19" t="str">
        <f>IFERROR(VLOOKUP(E801,케이블트레이입.출고현황!V804:AA879,2,0),"")</f>
        <v/>
      </c>
      <c r="G801" s="19" t="str">
        <f>IFERROR(VLOOKUP(F801,케이블트레이입.출고현황!W804:AB879,2,0),"")</f>
        <v/>
      </c>
      <c r="H801" s="19" t="str">
        <f>IFERROR(VLOOKUP(G801,케이블트레이입.출고현황!X804:AC879,2,0),"")</f>
        <v/>
      </c>
      <c r="I801" s="19" t="str">
        <f>IFERROR(VLOOKUP(H801,케이블트레이입.출고현황!Y804:AD879,2,0),"")</f>
        <v/>
      </c>
      <c r="J801" s="9">
        <v>2</v>
      </c>
      <c r="K801" s="9"/>
      <c r="L801" s="37"/>
      <c r="M801" s="64"/>
      <c r="N801" s="42"/>
    </row>
    <row r="802" spans="1:14" ht="24" customHeight="1">
      <c r="A802" s="8">
        <v>762</v>
      </c>
      <c r="B802" s="9">
        <v>762</v>
      </c>
      <c r="C802" s="46"/>
      <c r="D802" s="9"/>
      <c r="E802" s="19" t="str">
        <f>IFERROR(VLOOKUP(D802,케이블트레이입.출고현황!U805:Z880,2,0),"")</f>
        <v/>
      </c>
      <c r="F802" s="19" t="str">
        <f>IFERROR(VLOOKUP(E802,케이블트레이입.출고현황!V805:AA880,2,0),"")</f>
        <v/>
      </c>
      <c r="G802" s="19" t="str">
        <f>IFERROR(VLOOKUP(F802,케이블트레이입.출고현황!W805:AB880,2,0),"")</f>
        <v/>
      </c>
      <c r="H802" s="19" t="str">
        <f>IFERROR(VLOOKUP(G802,케이블트레이입.출고현황!X805:AC880,2,0),"")</f>
        <v/>
      </c>
      <c r="I802" s="19" t="str">
        <f>IFERROR(VLOOKUP(H802,케이블트레이입.출고현황!Y805:AD880,2,0),"")</f>
        <v/>
      </c>
      <c r="J802" s="9">
        <v>1</v>
      </c>
      <c r="K802" s="9"/>
      <c r="L802" s="37"/>
      <c r="M802" s="64"/>
      <c r="N802" s="42"/>
    </row>
    <row r="803" spans="1:14" ht="24" customHeight="1">
      <c r="A803" s="8">
        <v>763</v>
      </c>
      <c r="B803" s="9">
        <v>763</v>
      </c>
      <c r="C803" s="46"/>
      <c r="D803" s="9"/>
      <c r="E803" s="19" t="str">
        <f>IFERROR(VLOOKUP(D803,케이블트레이입.출고현황!U806:Z881,2,0),"")</f>
        <v/>
      </c>
      <c r="F803" s="19" t="str">
        <f>IFERROR(VLOOKUP(E803,케이블트레이입.출고현황!V806:AA881,2,0),"")</f>
        <v/>
      </c>
      <c r="G803" s="19" t="str">
        <f>IFERROR(VLOOKUP(F803,케이블트레이입.출고현황!W806:AB881,2,0),"")</f>
        <v/>
      </c>
      <c r="H803" s="19" t="str">
        <f>IFERROR(VLOOKUP(G803,케이블트레이입.출고현황!X806:AC881,2,0),"")</f>
        <v/>
      </c>
      <c r="I803" s="19" t="str">
        <f>IFERROR(VLOOKUP(H803,케이블트레이입.출고현황!Y806:AD881,2,0),"")</f>
        <v/>
      </c>
      <c r="J803" s="9">
        <v>1</v>
      </c>
      <c r="K803" s="9"/>
      <c r="L803" s="37"/>
      <c r="M803" s="64"/>
      <c r="N803" s="42"/>
    </row>
    <row r="804" spans="1:14" ht="24" customHeight="1">
      <c r="A804" s="8">
        <v>764</v>
      </c>
      <c r="B804" s="9">
        <v>764</v>
      </c>
      <c r="C804" s="46"/>
      <c r="D804" s="9"/>
      <c r="E804" s="19" t="str">
        <f>IFERROR(VLOOKUP(D804,케이블트레이입.출고현황!U807:Z882,2,0),"")</f>
        <v/>
      </c>
      <c r="F804" s="19" t="str">
        <f>IFERROR(VLOOKUP(E804,케이블트레이입.출고현황!V807:AA882,2,0),"")</f>
        <v/>
      </c>
      <c r="G804" s="19" t="str">
        <f>IFERROR(VLOOKUP(F804,케이블트레이입.출고현황!W807:AB882,2,0),"")</f>
        <v/>
      </c>
      <c r="H804" s="19" t="str">
        <f>IFERROR(VLOOKUP(G804,케이블트레이입.출고현황!X807:AC882,2,0),"")</f>
        <v/>
      </c>
      <c r="I804" s="19" t="str">
        <f>IFERROR(VLOOKUP(H804,케이블트레이입.출고현황!Y807:AD882,2,0),"")</f>
        <v/>
      </c>
      <c r="J804" s="9">
        <v>2</v>
      </c>
      <c r="K804" s="9"/>
      <c r="L804" s="37"/>
      <c r="M804" s="64"/>
      <c r="N804" s="42"/>
    </row>
    <row r="805" spans="1:14" ht="24" customHeight="1">
      <c r="A805" s="8">
        <v>765</v>
      </c>
      <c r="B805" s="9">
        <v>765</v>
      </c>
      <c r="C805" s="46"/>
      <c r="D805" s="9"/>
      <c r="E805" s="19" t="str">
        <f>IFERROR(VLOOKUP(D805,케이블트레이입.출고현황!U808:Z883,2,0),"")</f>
        <v/>
      </c>
      <c r="F805" s="19" t="str">
        <f>IFERROR(VLOOKUP(E805,케이블트레이입.출고현황!V808:AA883,2,0),"")</f>
        <v/>
      </c>
      <c r="G805" s="19" t="str">
        <f>IFERROR(VLOOKUP(F805,케이블트레이입.출고현황!W808:AB883,2,0),"")</f>
        <v/>
      </c>
      <c r="H805" s="19" t="str">
        <f>IFERROR(VLOOKUP(G805,케이블트레이입.출고현황!X808:AC883,2,0),"")</f>
        <v/>
      </c>
      <c r="I805" s="19" t="str">
        <f>IFERROR(VLOOKUP(H805,케이블트레이입.출고현황!Y808:AD883,2,0),"")</f>
        <v/>
      </c>
      <c r="J805" s="9">
        <v>2</v>
      </c>
      <c r="K805" s="9"/>
      <c r="L805" s="37"/>
      <c r="M805" s="64"/>
      <c r="N805" s="42"/>
    </row>
    <row r="806" spans="1:14" ht="24" customHeight="1">
      <c r="A806" s="8">
        <v>766</v>
      </c>
      <c r="B806" s="9">
        <v>766</v>
      </c>
      <c r="C806" s="46"/>
      <c r="D806" s="9"/>
      <c r="E806" s="19" t="str">
        <f>IFERROR(VLOOKUP(D806,케이블트레이입.출고현황!U809:Z884,2,0),"")</f>
        <v/>
      </c>
      <c r="F806" s="19" t="str">
        <f>IFERROR(VLOOKUP(E806,케이블트레이입.출고현황!V809:AA884,2,0),"")</f>
        <v/>
      </c>
      <c r="G806" s="19" t="str">
        <f>IFERROR(VLOOKUP(F806,케이블트레이입.출고현황!W809:AB884,2,0),"")</f>
        <v/>
      </c>
      <c r="H806" s="19" t="str">
        <f>IFERROR(VLOOKUP(G806,케이블트레이입.출고현황!X809:AC884,2,0),"")</f>
        <v/>
      </c>
      <c r="I806" s="19" t="str">
        <f>IFERROR(VLOOKUP(H806,케이블트레이입.출고현황!Y809:AD884,2,0),"")</f>
        <v/>
      </c>
      <c r="J806" s="9">
        <v>1</v>
      </c>
      <c r="K806" s="9"/>
      <c r="L806" s="37"/>
      <c r="M806" s="64"/>
      <c r="N806" s="42"/>
    </row>
    <row r="807" spans="1:14" ht="24" customHeight="1">
      <c r="A807" s="8">
        <v>767</v>
      </c>
      <c r="B807" s="9">
        <v>767</v>
      </c>
      <c r="C807" s="46"/>
      <c r="D807" s="9"/>
      <c r="E807" s="19" t="str">
        <f>IFERROR(VLOOKUP(D807,케이블트레이입.출고현황!U810:Z885,2,0),"")</f>
        <v/>
      </c>
      <c r="F807" s="19" t="str">
        <f>IFERROR(VLOOKUP(E807,케이블트레이입.출고현황!V810:AA885,2,0),"")</f>
        <v/>
      </c>
      <c r="G807" s="19" t="str">
        <f>IFERROR(VLOOKUP(F807,케이블트레이입.출고현황!W810:AB885,2,0),"")</f>
        <v/>
      </c>
      <c r="H807" s="19" t="str">
        <f>IFERROR(VLOOKUP(G807,케이블트레이입.출고현황!X810:AC885,2,0),"")</f>
        <v/>
      </c>
      <c r="I807" s="19" t="str">
        <f>IFERROR(VLOOKUP(H807,케이블트레이입.출고현황!Y810:AD885,2,0),"")</f>
        <v/>
      </c>
      <c r="J807" s="9">
        <v>1</v>
      </c>
      <c r="K807" s="9"/>
      <c r="L807" s="37"/>
      <c r="M807" s="64"/>
      <c r="N807" s="42"/>
    </row>
    <row r="808" spans="1:14" ht="24" customHeight="1">
      <c r="A808" s="8">
        <v>768</v>
      </c>
      <c r="B808" s="9">
        <v>768</v>
      </c>
      <c r="C808" s="46"/>
      <c r="D808" s="9"/>
      <c r="E808" s="19" t="str">
        <f>IFERROR(VLOOKUP(D808,케이블트레이입.출고현황!U811:Z886,2,0),"")</f>
        <v/>
      </c>
      <c r="F808" s="19" t="str">
        <f>IFERROR(VLOOKUP(E808,케이블트레이입.출고현황!V811:AA886,2,0),"")</f>
        <v/>
      </c>
      <c r="G808" s="19" t="str">
        <f>IFERROR(VLOOKUP(F808,케이블트레이입.출고현황!W811:AB886,2,0),"")</f>
        <v/>
      </c>
      <c r="H808" s="19" t="str">
        <f>IFERROR(VLOOKUP(G808,케이블트레이입.출고현황!X811:AC886,2,0),"")</f>
        <v/>
      </c>
      <c r="I808" s="19" t="str">
        <f>IFERROR(VLOOKUP(H808,케이블트레이입.출고현황!Y811:AD886,2,0),"")</f>
        <v/>
      </c>
      <c r="J808" s="9">
        <v>2</v>
      </c>
      <c r="K808" s="9"/>
      <c r="L808" s="37"/>
      <c r="M808" s="64"/>
      <c r="N808" s="42"/>
    </row>
    <row r="809" spans="1:14" ht="24" customHeight="1">
      <c r="A809" s="8">
        <v>769</v>
      </c>
      <c r="B809" s="9">
        <v>769</v>
      </c>
      <c r="C809" s="46"/>
      <c r="D809" s="9"/>
      <c r="E809" s="19" t="str">
        <f>IFERROR(VLOOKUP(D809,케이블트레이입.출고현황!U812:Z887,2,0),"")</f>
        <v/>
      </c>
      <c r="F809" s="19" t="str">
        <f>IFERROR(VLOOKUP(E809,케이블트레이입.출고현황!V812:AA887,2,0),"")</f>
        <v/>
      </c>
      <c r="G809" s="19" t="str">
        <f>IFERROR(VLOOKUP(F809,케이블트레이입.출고현황!W812:AB887,2,0),"")</f>
        <v/>
      </c>
      <c r="H809" s="19" t="str">
        <f>IFERROR(VLOOKUP(G809,케이블트레이입.출고현황!X812:AC887,2,0),"")</f>
        <v/>
      </c>
      <c r="I809" s="19" t="str">
        <f>IFERROR(VLOOKUP(H809,케이블트레이입.출고현황!Y812:AD887,2,0),"")</f>
        <v/>
      </c>
      <c r="J809" s="9">
        <v>1</v>
      </c>
      <c r="K809" s="9"/>
      <c r="L809" s="37"/>
      <c r="M809" s="64"/>
      <c r="N809" s="42"/>
    </row>
    <row r="810" spans="1:14" ht="24" customHeight="1">
      <c r="A810" s="8">
        <v>770</v>
      </c>
      <c r="B810" s="9">
        <v>770</v>
      </c>
      <c r="C810" s="46"/>
      <c r="D810" s="9"/>
      <c r="E810" s="19" t="str">
        <f>IFERROR(VLOOKUP(D810,케이블트레이입.출고현황!U813:Z888,2,0),"")</f>
        <v/>
      </c>
      <c r="F810" s="19" t="str">
        <f>IFERROR(VLOOKUP(E810,케이블트레이입.출고현황!V813:AA888,2,0),"")</f>
        <v/>
      </c>
      <c r="G810" s="19" t="str">
        <f>IFERROR(VLOOKUP(F810,케이블트레이입.출고현황!W813:AB888,2,0),"")</f>
        <v/>
      </c>
      <c r="H810" s="19" t="str">
        <f>IFERROR(VLOOKUP(G810,케이블트레이입.출고현황!X813:AC888,2,0),"")</f>
        <v/>
      </c>
      <c r="I810" s="19" t="str">
        <f>IFERROR(VLOOKUP(H810,케이블트레이입.출고현황!Y813:AD888,2,0),"")</f>
        <v/>
      </c>
      <c r="J810" s="9">
        <v>1</v>
      </c>
      <c r="K810" s="9"/>
      <c r="L810" s="37"/>
      <c r="M810" s="64"/>
      <c r="N810" s="42"/>
    </row>
    <row r="811" spans="1:14" ht="24" customHeight="1">
      <c r="A811" s="8">
        <v>771</v>
      </c>
      <c r="B811" s="9">
        <v>771</v>
      </c>
      <c r="C811" s="46"/>
      <c r="D811" s="9"/>
      <c r="E811" s="19" t="str">
        <f>IFERROR(VLOOKUP(D811,케이블트레이입.출고현황!U814:Z889,2,0),"")</f>
        <v/>
      </c>
      <c r="F811" s="19" t="str">
        <f>IFERROR(VLOOKUP(E811,케이블트레이입.출고현황!V814:AA889,2,0),"")</f>
        <v/>
      </c>
      <c r="G811" s="19" t="str">
        <f>IFERROR(VLOOKUP(F811,케이블트레이입.출고현황!W814:AB889,2,0),"")</f>
        <v/>
      </c>
      <c r="H811" s="19" t="str">
        <f>IFERROR(VLOOKUP(G811,케이블트레이입.출고현황!X814:AC889,2,0),"")</f>
        <v/>
      </c>
      <c r="I811" s="19" t="str">
        <f>IFERROR(VLOOKUP(H811,케이블트레이입.출고현황!Y814:AD889,2,0),"")</f>
        <v/>
      </c>
      <c r="J811" s="9">
        <v>1</v>
      </c>
      <c r="K811" s="9"/>
      <c r="L811" s="37"/>
      <c r="M811" s="64"/>
      <c r="N811" s="42"/>
    </row>
    <row r="812" spans="1:14" ht="24" customHeight="1">
      <c r="A812" s="8">
        <v>772</v>
      </c>
      <c r="B812" s="9">
        <v>772</v>
      </c>
      <c r="C812" s="46"/>
      <c r="D812" s="9"/>
      <c r="E812" s="19" t="str">
        <f>IFERROR(VLOOKUP(D812,케이블트레이입.출고현황!U815:Z890,2,0),"")</f>
        <v/>
      </c>
      <c r="F812" s="19" t="str">
        <f>IFERROR(VLOOKUP(E812,케이블트레이입.출고현황!V815:AA890,2,0),"")</f>
        <v/>
      </c>
      <c r="G812" s="19" t="str">
        <f>IFERROR(VLOOKUP(F812,케이블트레이입.출고현황!W815:AB890,2,0),"")</f>
        <v/>
      </c>
      <c r="H812" s="19" t="str">
        <f>IFERROR(VLOOKUP(G812,케이블트레이입.출고현황!X815:AC890,2,0),"")</f>
        <v/>
      </c>
      <c r="I812" s="19" t="str">
        <f>IFERROR(VLOOKUP(H812,케이블트레이입.출고현황!Y815:AD890,2,0),"")</f>
        <v/>
      </c>
      <c r="J812" s="9">
        <v>2</v>
      </c>
      <c r="K812" s="9"/>
      <c r="L812" s="37"/>
      <c r="M812" s="64"/>
      <c r="N812" s="42"/>
    </row>
    <row r="813" spans="1:14" ht="24" customHeight="1">
      <c r="A813" s="8">
        <v>773</v>
      </c>
      <c r="B813" s="9">
        <v>773</v>
      </c>
      <c r="C813" s="46"/>
      <c r="D813" s="9"/>
      <c r="E813" s="19" t="str">
        <f>IFERROR(VLOOKUP(D813,케이블트레이입.출고현황!U816:Z891,2,0),"")</f>
        <v/>
      </c>
      <c r="F813" s="19" t="str">
        <f>IFERROR(VLOOKUP(E813,케이블트레이입.출고현황!V816:AA891,2,0),"")</f>
        <v/>
      </c>
      <c r="G813" s="19" t="str">
        <f>IFERROR(VLOOKUP(F813,케이블트레이입.출고현황!W816:AB891,2,0),"")</f>
        <v/>
      </c>
      <c r="H813" s="19" t="str">
        <f>IFERROR(VLOOKUP(G813,케이블트레이입.출고현황!X816:AC891,2,0),"")</f>
        <v/>
      </c>
      <c r="I813" s="19" t="str">
        <f>IFERROR(VLOOKUP(H813,케이블트레이입.출고현황!Y816:AD891,2,0),"")</f>
        <v/>
      </c>
      <c r="J813" s="9">
        <v>2</v>
      </c>
      <c r="K813" s="9"/>
      <c r="L813" s="37"/>
      <c r="M813" s="64"/>
      <c r="N813" s="42"/>
    </row>
    <row r="814" spans="1:14" ht="24" customHeight="1">
      <c r="A814" s="8">
        <v>774</v>
      </c>
      <c r="B814" s="9">
        <v>774</v>
      </c>
      <c r="C814" s="46"/>
      <c r="D814" s="9"/>
      <c r="E814" s="19" t="str">
        <f>IFERROR(VLOOKUP(D814,케이블트레이입.출고현황!U817:Z892,2,0),"")</f>
        <v/>
      </c>
      <c r="F814" s="19" t="str">
        <f>IFERROR(VLOOKUP(E814,케이블트레이입.출고현황!V817:AA892,2,0),"")</f>
        <v/>
      </c>
      <c r="G814" s="19" t="str">
        <f>IFERROR(VLOOKUP(F814,케이블트레이입.출고현황!W817:AB892,2,0),"")</f>
        <v/>
      </c>
      <c r="H814" s="19" t="str">
        <f>IFERROR(VLOOKUP(G814,케이블트레이입.출고현황!X817:AC892,2,0),"")</f>
        <v/>
      </c>
      <c r="I814" s="19" t="str">
        <f>IFERROR(VLOOKUP(H814,케이블트레이입.출고현황!Y817:AD892,2,0),"")</f>
        <v/>
      </c>
      <c r="J814" s="9">
        <v>1</v>
      </c>
      <c r="K814" s="9"/>
      <c r="L814" s="37"/>
      <c r="M814" s="64"/>
      <c r="N814" s="42"/>
    </row>
    <row r="815" spans="1:14" ht="24" customHeight="1">
      <c r="A815" s="8">
        <v>775</v>
      </c>
      <c r="B815" s="9">
        <v>775</v>
      </c>
      <c r="C815" s="46"/>
      <c r="D815" s="9"/>
      <c r="E815" s="19" t="str">
        <f>IFERROR(VLOOKUP(D815,케이블트레이입.출고현황!U818:Z893,2,0),"")</f>
        <v/>
      </c>
      <c r="F815" s="19" t="str">
        <f>IFERROR(VLOOKUP(E815,케이블트레이입.출고현황!V818:AA893,2,0),"")</f>
        <v/>
      </c>
      <c r="G815" s="19" t="str">
        <f>IFERROR(VLOOKUP(F815,케이블트레이입.출고현황!W818:AB893,2,0),"")</f>
        <v/>
      </c>
      <c r="H815" s="19" t="str">
        <f>IFERROR(VLOOKUP(G815,케이블트레이입.출고현황!X818:AC893,2,0),"")</f>
        <v/>
      </c>
      <c r="I815" s="19" t="str">
        <f>IFERROR(VLOOKUP(H815,케이블트레이입.출고현황!Y818:AD893,2,0),"")</f>
        <v/>
      </c>
      <c r="J815" s="9">
        <v>1</v>
      </c>
      <c r="K815" s="9"/>
      <c r="L815" s="37"/>
      <c r="M815" s="64"/>
      <c r="N815" s="42"/>
    </row>
    <row r="816" spans="1:14" ht="24" customHeight="1">
      <c r="A816" s="8">
        <v>776</v>
      </c>
      <c r="B816" s="9">
        <v>776</v>
      </c>
      <c r="C816" s="46"/>
      <c r="D816" s="9"/>
      <c r="E816" s="19" t="str">
        <f>IFERROR(VLOOKUP(D816,케이블트레이입.출고현황!U819:Z894,2,0),"")</f>
        <v/>
      </c>
      <c r="F816" s="19" t="str">
        <f>IFERROR(VLOOKUP(E816,케이블트레이입.출고현황!V819:AA894,2,0),"")</f>
        <v/>
      </c>
      <c r="G816" s="19" t="str">
        <f>IFERROR(VLOOKUP(F816,케이블트레이입.출고현황!W819:AB894,2,0),"")</f>
        <v/>
      </c>
      <c r="H816" s="19" t="str">
        <f>IFERROR(VLOOKUP(G816,케이블트레이입.출고현황!X819:AC894,2,0),"")</f>
        <v/>
      </c>
      <c r="I816" s="19" t="str">
        <f>IFERROR(VLOOKUP(H816,케이블트레이입.출고현황!Y819:AD894,2,0),"")</f>
        <v/>
      </c>
      <c r="J816" s="9">
        <v>2</v>
      </c>
      <c r="K816" s="9"/>
      <c r="L816" s="37"/>
      <c r="M816" s="64"/>
      <c r="N816" s="42"/>
    </row>
    <row r="817" spans="1:14" ht="24" customHeight="1">
      <c r="A817" s="8">
        <v>777</v>
      </c>
      <c r="B817" s="9">
        <v>777</v>
      </c>
      <c r="C817" s="46"/>
      <c r="D817" s="9"/>
      <c r="E817" s="19" t="str">
        <f>IFERROR(VLOOKUP(D817,케이블트레이입.출고현황!U820:Z895,2,0),"")</f>
        <v/>
      </c>
      <c r="F817" s="19" t="str">
        <f>IFERROR(VLOOKUP(E817,케이블트레이입.출고현황!V820:AA895,2,0),"")</f>
        <v/>
      </c>
      <c r="G817" s="19" t="str">
        <f>IFERROR(VLOOKUP(F817,케이블트레이입.출고현황!W820:AB895,2,0),"")</f>
        <v/>
      </c>
      <c r="H817" s="19" t="str">
        <f>IFERROR(VLOOKUP(G817,케이블트레이입.출고현황!X820:AC895,2,0),"")</f>
        <v/>
      </c>
      <c r="I817" s="19" t="str">
        <f>IFERROR(VLOOKUP(H817,케이블트레이입.출고현황!Y820:AD895,2,0),"")</f>
        <v/>
      </c>
      <c r="J817" s="9">
        <v>4</v>
      </c>
      <c r="K817" s="9"/>
      <c r="L817" s="37"/>
      <c r="M817" s="64"/>
      <c r="N817" s="42"/>
    </row>
    <row r="818" spans="1:14" ht="24" customHeight="1">
      <c r="A818" s="8">
        <v>778</v>
      </c>
      <c r="B818" s="9">
        <v>778</v>
      </c>
      <c r="C818" s="46"/>
      <c r="D818" s="9"/>
      <c r="E818" s="19" t="str">
        <f>IFERROR(VLOOKUP(D818,케이블트레이입.출고현황!U821:Z896,2,0),"")</f>
        <v/>
      </c>
      <c r="F818" s="19" t="str">
        <f>IFERROR(VLOOKUP(E818,케이블트레이입.출고현황!V821:AA896,2,0),"")</f>
        <v/>
      </c>
      <c r="G818" s="19" t="str">
        <f>IFERROR(VLOOKUP(F818,케이블트레이입.출고현황!W821:AB896,2,0),"")</f>
        <v/>
      </c>
      <c r="H818" s="19" t="str">
        <f>IFERROR(VLOOKUP(G818,케이블트레이입.출고현황!X821:AC896,2,0),"")</f>
        <v/>
      </c>
      <c r="I818" s="19" t="str">
        <f>IFERROR(VLOOKUP(H818,케이블트레이입.출고현황!Y821:AD896,2,0),"")</f>
        <v/>
      </c>
      <c r="J818" s="9">
        <v>2</v>
      </c>
      <c r="K818" s="9"/>
      <c r="L818" s="37"/>
      <c r="M818" s="64"/>
      <c r="N818" s="42"/>
    </row>
    <row r="819" spans="1:14" ht="24" customHeight="1">
      <c r="A819" s="8">
        <v>779</v>
      </c>
      <c r="B819" s="9">
        <v>779</v>
      </c>
      <c r="C819" s="46"/>
      <c r="D819" s="9"/>
      <c r="E819" s="19" t="str">
        <f>IFERROR(VLOOKUP(D819,케이블트레이입.출고현황!U822:Z897,2,0),"")</f>
        <v/>
      </c>
      <c r="F819" s="19" t="str">
        <f>IFERROR(VLOOKUP(E819,케이블트레이입.출고현황!V822:AA897,2,0),"")</f>
        <v/>
      </c>
      <c r="G819" s="19" t="str">
        <f>IFERROR(VLOOKUP(F819,케이블트레이입.출고현황!W822:AB897,2,0),"")</f>
        <v/>
      </c>
      <c r="H819" s="19" t="str">
        <f>IFERROR(VLOOKUP(G819,케이블트레이입.출고현황!X822:AC897,2,0),"")</f>
        <v/>
      </c>
      <c r="I819" s="19" t="str">
        <f>IFERROR(VLOOKUP(H819,케이블트레이입.출고현황!Y822:AD897,2,0),"")</f>
        <v/>
      </c>
      <c r="J819" s="9">
        <v>1</v>
      </c>
      <c r="K819" s="9"/>
      <c r="L819" s="37"/>
      <c r="M819" s="64"/>
      <c r="N819" s="42"/>
    </row>
    <row r="820" spans="1:14" ht="24" customHeight="1">
      <c r="A820" s="8">
        <v>780</v>
      </c>
      <c r="B820" s="9">
        <v>780</v>
      </c>
      <c r="C820" s="46"/>
      <c r="D820" s="9"/>
      <c r="E820" s="19" t="str">
        <f>IFERROR(VLOOKUP(D820,케이블트레이입.출고현황!U823:Z898,2,0),"")</f>
        <v/>
      </c>
      <c r="F820" s="19" t="str">
        <f>IFERROR(VLOOKUP(E820,케이블트레이입.출고현황!V823:AA898,2,0),"")</f>
        <v/>
      </c>
      <c r="G820" s="19" t="str">
        <f>IFERROR(VLOOKUP(F820,케이블트레이입.출고현황!W823:AB898,2,0),"")</f>
        <v/>
      </c>
      <c r="H820" s="19" t="str">
        <f>IFERROR(VLOOKUP(G820,케이블트레이입.출고현황!X823:AC898,2,0),"")</f>
        <v/>
      </c>
      <c r="I820" s="19" t="str">
        <f>IFERROR(VLOOKUP(H820,케이블트레이입.출고현황!Y823:AD898,2,0),"")</f>
        <v/>
      </c>
      <c r="J820" s="9">
        <v>2</v>
      </c>
      <c r="K820" s="9"/>
      <c r="L820" s="37"/>
      <c r="M820" s="64"/>
      <c r="N820" s="42"/>
    </row>
    <row r="821" spans="1:14" ht="24" customHeight="1">
      <c r="A821" s="8">
        <v>781</v>
      </c>
      <c r="B821" s="9">
        <v>781</v>
      </c>
      <c r="C821" s="46"/>
      <c r="D821" s="9"/>
      <c r="E821" s="19" t="str">
        <f>IFERROR(VLOOKUP(D821,케이블트레이입.출고현황!U824:Z899,2,0),"")</f>
        <v/>
      </c>
      <c r="F821" s="19" t="str">
        <f>IFERROR(VLOOKUP(E821,케이블트레이입.출고현황!V824:AA899,2,0),"")</f>
        <v/>
      </c>
      <c r="G821" s="19" t="str">
        <f>IFERROR(VLOOKUP(F821,케이블트레이입.출고현황!W824:AB899,2,0),"")</f>
        <v/>
      </c>
      <c r="H821" s="19" t="str">
        <f>IFERROR(VLOOKUP(G821,케이블트레이입.출고현황!X824:AC899,2,0),"")</f>
        <v/>
      </c>
      <c r="I821" s="19" t="str">
        <f>IFERROR(VLOOKUP(H821,케이블트레이입.출고현황!Y824:AD899,2,0),"")</f>
        <v/>
      </c>
      <c r="J821" s="9">
        <v>1</v>
      </c>
      <c r="K821" s="9"/>
      <c r="L821" s="37"/>
      <c r="M821" s="64"/>
      <c r="N821" s="42"/>
    </row>
    <row r="822" spans="1:14" ht="24" customHeight="1">
      <c r="A822" s="8">
        <v>782</v>
      </c>
      <c r="B822" s="9">
        <v>782</v>
      </c>
      <c r="C822" s="46"/>
      <c r="D822" s="9"/>
      <c r="E822" s="19" t="str">
        <f>IFERROR(VLOOKUP(D822,케이블트레이입.출고현황!U825:Z900,2,0),"")</f>
        <v/>
      </c>
      <c r="F822" s="19" t="str">
        <f>IFERROR(VLOOKUP(E822,케이블트레이입.출고현황!V825:AA900,2,0),"")</f>
        <v/>
      </c>
      <c r="G822" s="19" t="str">
        <f>IFERROR(VLOOKUP(F822,케이블트레이입.출고현황!W825:AB900,2,0),"")</f>
        <v/>
      </c>
      <c r="H822" s="19" t="str">
        <f>IFERROR(VLOOKUP(G822,케이블트레이입.출고현황!X825:AC900,2,0),"")</f>
        <v/>
      </c>
      <c r="I822" s="19" t="str">
        <f>IFERROR(VLOOKUP(H822,케이블트레이입.출고현황!Y825:AD900,2,0),"")</f>
        <v/>
      </c>
      <c r="J822" s="9">
        <v>1</v>
      </c>
      <c r="K822" s="9"/>
      <c r="L822" s="37"/>
      <c r="M822" s="64"/>
      <c r="N822" s="42"/>
    </row>
    <row r="823" spans="1:14" ht="24" customHeight="1">
      <c r="A823" s="8">
        <v>783</v>
      </c>
      <c r="B823" s="9">
        <v>783</v>
      </c>
      <c r="C823" s="46"/>
      <c r="D823" s="9"/>
      <c r="E823" s="19" t="str">
        <f>IFERROR(VLOOKUP(D823,케이블트레이입.출고현황!U826:Z901,2,0),"")</f>
        <v/>
      </c>
      <c r="F823" s="19" t="str">
        <f>IFERROR(VLOOKUP(E823,케이블트레이입.출고현황!V826:AA901,2,0),"")</f>
        <v/>
      </c>
      <c r="G823" s="19" t="str">
        <f>IFERROR(VLOOKUP(F823,케이블트레이입.출고현황!W826:AB901,2,0),"")</f>
        <v/>
      </c>
      <c r="H823" s="19" t="str">
        <f>IFERROR(VLOOKUP(G823,케이블트레이입.출고현황!X826:AC901,2,0),"")</f>
        <v/>
      </c>
      <c r="I823" s="19" t="str">
        <f>IFERROR(VLOOKUP(H823,케이블트레이입.출고현황!Y826:AD901,2,0),"")</f>
        <v/>
      </c>
      <c r="J823" s="9">
        <v>1</v>
      </c>
      <c r="K823" s="9"/>
      <c r="L823" s="37"/>
      <c r="M823" s="64"/>
      <c r="N823" s="42"/>
    </row>
    <row r="824" spans="1:14" ht="24" customHeight="1">
      <c r="A824" s="8">
        <v>784</v>
      </c>
      <c r="B824" s="9">
        <v>784</v>
      </c>
      <c r="C824" s="46"/>
      <c r="D824" s="9"/>
      <c r="E824" s="19" t="str">
        <f>IFERROR(VLOOKUP(D824,케이블트레이입.출고현황!U827:Z902,2,0),"")</f>
        <v/>
      </c>
      <c r="F824" s="19" t="str">
        <f>IFERROR(VLOOKUP(E824,케이블트레이입.출고현황!V827:AA902,2,0),"")</f>
        <v/>
      </c>
      <c r="G824" s="19" t="str">
        <f>IFERROR(VLOOKUP(F824,케이블트레이입.출고현황!W827:AB902,2,0),"")</f>
        <v/>
      </c>
      <c r="H824" s="19" t="str">
        <f>IFERROR(VLOOKUP(G824,케이블트레이입.출고현황!X827:AC902,2,0),"")</f>
        <v/>
      </c>
      <c r="I824" s="19" t="str">
        <f>IFERROR(VLOOKUP(H824,케이블트레이입.출고현황!Y827:AD902,2,0),"")</f>
        <v/>
      </c>
      <c r="J824" s="9">
        <v>2</v>
      </c>
      <c r="K824" s="9"/>
      <c r="L824" s="37"/>
      <c r="M824" s="64"/>
      <c r="N824" s="42"/>
    </row>
    <row r="825" spans="1:14" ht="24" customHeight="1">
      <c r="A825" s="8">
        <v>785</v>
      </c>
      <c r="B825" s="9">
        <v>785</v>
      </c>
      <c r="C825" s="46"/>
      <c r="D825" s="9"/>
      <c r="E825" s="19" t="str">
        <f>IFERROR(VLOOKUP(D825,케이블트레이입.출고현황!U828:Z903,2,0),"")</f>
        <v/>
      </c>
      <c r="F825" s="19" t="str">
        <f>IFERROR(VLOOKUP(E825,케이블트레이입.출고현황!V828:AA903,2,0),"")</f>
        <v/>
      </c>
      <c r="G825" s="19" t="str">
        <f>IFERROR(VLOOKUP(F825,케이블트레이입.출고현황!W828:AB903,2,0),"")</f>
        <v/>
      </c>
      <c r="H825" s="19" t="str">
        <f>IFERROR(VLOOKUP(G825,케이블트레이입.출고현황!X828:AC903,2,0),"")</f>
        <v/>
      </c>
      <c r="I825" s="19" t="str">
        <f>IFERROR(VLOOKUP(H825,케이블트레이입.출고현황!Y828:AD903,2,0),"")</f>
        <v/>
      </c>
      <c r="J825" s="9">
        <v>2</v>
      </c>
      <c r="K825" s="9"/>
      <c r="L825" s="37"/>
      <c r="M825" s="64"/>
      <c r="N825" s="42"/>
    </row>
    <row r="826" spans="1:14" ht="24" customHeight="1">
      <c r="A826" s="8">
        <v>786</v>
      </c>
      <c r="B826" s="9">
        <v>786</v>
      </c>
      <c r="C826" s="46"/>
      <c r="D826" s="9"/>
      <c r="E826" s="19" t="str">
        <f>IFERROR(VLOOKUP(D826,케이블트레이입.출고현황!U829:Z904,2,0),"")</f>
        <v/>
      </c>
      <c r="F826" s="19" t="str">
        <f>IFERROR(VLOOKUP(E826,케이블트레이입.출고현황!V829:AA904,2,0),"")</f>
        <v/>
      </c>
      <c r="G826" s="19" t="str">
        <f>IFERROR(VLOOKUP(F826,케이블트레이입.출고현황!W829:AB904,2,0),"")</f>
        <v/>
      </c>
      <c r="H826" s="19" t="str">
        <f>IFERROR(VLOOKUP(G826,케이블트레이입.출고현황!X829:AC904,2,0),"")</f>
        <v/>
      </c>
      <c r="I826" s="19" t="str">
        <f>IFERROR(VLOOKUP(H826,케이블트레이입.출고현황!Y829:AD904,2,0),"")</f>
        <v/>
      </c>
      <c r="J826" s="9">
        <v>3</v>
      </c>
      <c r="K826" s="9"/>
      <c r="L826" s="37"/>
      <c r="M826" s="64"/>
      <c r="N826" s="42"/>
    </row>
    <row r="827" spans="1:14" ht="24" customHeight="1">
      <c r="A827" s="8">
        <v>787</v>
      </c>
      <c r="B827" s="9">
        <v>787</v>
      </c>
      <c r="C827" s="46"/>
      <c r="D827" s="9"/>
      <c r="E827" s="19" t="str">
        <f>IFERROR(VLOOKUP(D827,케이블트레이입.출고현황!U830:Z905,2,0),"")</f>
        <v/>
      </c>
      <c r="F827" s="19" t="str">
        <f>IFERROR(VLOOKUP(E827,케이블트레이입.출고현황!V830:AA905,2,0),"")</f>
        <v/>
      </c>
      <c r="G827" s="19" t="str">
        <f>IFERROR(VLOOKUP(F827,케이블트레이입.출고현황!W830:AB905,2,0),"")</f>
        <v/>
      </c>
      <c r="H827" s="19" t="str">
        <f>IFERROR(VLOOKUP(G827,케이블트레이입.출고현황!X830:AC905,2,0),"")</f>
        <v/>
      </c>
      <c r="I827" s="19" t="str">
        <f>IFERROR(VLOOKUP(H827,케이블트레이입.출고현황!Y830:AD905,2,0),"")</f>
        <v/>
      </c>
      <c r="J827" s="9">
        <v>1</v>
      </c>
      <c r="K827" s="9"/>
      <c r="L827" s="37"/>
      <c r="M827" s="64"/>
      <c r="N827" s="42"/>
    </row>
    <row r="828" spans="1:14" ht="24" customHeight="1">
      <c r="A828" s="8">
        <v>788</v>
      </c>
      <c r="B828" s="9">
        <v>788</v>
      </c>
      <c r="C828" s="46"/>
      <c r="D828" s="9"/>
      <c r="E828" s="19" t="str">
        <f>IFERROR(VLOOKUP(D828,케이블트레이입.출고현황!U831:Z906,2,0),"")</f>
        <v/>
      </c>
      <c r="F828" s="19" t="str">
        <f>IFERROR(VLOOKUP(E828,케이블트레이입.출고현황!V831:AA906,2,0),"")</f>
        <v/>
      </c>
      <c r="G828" s="19" t="str">
        <f>IFERROR(VLOOKUP(F828,케이블트레이입.출고현황!W831:AB906,2,0),"")</f>
        <v/>
      </c>
      <c r="H828" s="19" t="str">
        <f>IFERROR(VLOOKUP(G828,케이블트레이입.출고현황!X831:AC906,2,0),"")</f>
        <v/>
      </c>
      <c r="I828" s="19" t="str">
        <f>IFERROR(VLOOKUP(H828,케이블트레이입.출고현황!Y831:AD906,2,0),"")</f>
        <v/>
      </c>
      <c r="J828" s="9">
        <v>1</v>
      </c>
      <c r="K828" s="9"/>
      <c r="L828" s="37"/>
      <c r="M828" s="64"/>
      <c r="N828" s="42"/>
    </row>
    <row r="829" spans="1:14" ht="24" customHeight="1">
      <c r="A829" s="8">
        <v>789</v>
      </c>
      <c r="B829" s="9">
        <v>789</v>
      </c>
      <c r="C829" s="46"/>
      <c r="D829" s="9"/>
      <c r="E829" s="19" t="str">
        <f>IFERROR(VLOOKUP(D829,케이블트레이입.출고현황!U832:Z907,2,0),"")</f>
        <v/>
      </c>
      <c r="F829" s="19" t="str">
        <f>IFERROR(VLOOKUP(E829,케이블트레이입.출고현황!V832:AA907,2,0),"")</f>
        <v/>
      </c>
      <c r="G829" s="19" t="str">
        <f>IFERROR(VLOOKUP(F829,케이블트레이입.출고현황!W832:AB907,2,0),"")</f>
        <v/>
      </c>
      <c r="H829" s="19" t="str">
        <f>IFERROR(VLOOKUP(G829,케이블트레이입.출고현황!X832:AC907,2,0),"")</f>
        <v/>
      </c>
      <c r="I829" s="19" t="str">
        <f>IFERROR(VLOOKUP(H829,케이블트레이입.출고현황!Y832:AD907,2,0),"")</f>
        <v/>
      </c>
      <c r="J829" s="9">
        <v>1</v>
      </c>
      <c r="K829" s="9"/>
      <c r="L829" s="37"/>
      <c r="M829" s="64"/>
      <c r="N829" s="42"/>
    </row>
    <row r="830" spans="1:14" ht="24" customHeight="1">
      <c r="A830" s="8">
        <v>790</v>
      </c>
      <c r="B830" s="9">
        <v>790</v>
      </c>
      <c r="C830" s="46"/>
      <c r="D830" s="9"/>
      <c r="E830" s="19" t="str">
        <f>IFERROR(VLOOKUP(D830,케이블트레이입.출고현황!U833:Z908,2,0),"")</f>
        <v/>
      </c>
      <c r="F830" s="19" t="str">
        <f>IFERROR(VLOOKUP(E830,케이블트레이입.출고현황!V833:AA908,2,0),"")</f>
        <v/>
      </c>
      <c r="G830" s="19" t="str">
        <f>IFERROR(VLOOKUP(F830,케이블트레이입.출고현황!W833:AB908,2,0),"")</f>
        <v/>
      </c>
      <c r="H830" s="19" t="str">
        <f>IFERROR(VLOOKUP(G830,케이블트레이입.출고현황!X833:AC908,2,0),"")</f>
        <v/>
      </c>
      <c r="I830" s="19" t="str">
        <f>IFERROR(VLOOKUP(H830,케이블트레이입.출고현황!Y833:AD908,2,0),"")</f>
        <v/>
      </c>
      <c r="J830" s="9">
        <v>3</v>
      </c>
      <c r="K830" s="9"/>
      <c r="L830" s="37"/>
      <c r="M830" s="64"/>
      <c r="N830" s="42"/>
    </row>
    <row r="831" spans="1:14" ht="24" customHeight="1">
      <c r="A831" s="8">
        <v>791</v>
      </c>
      <c r="B831" s="9">
        <v>791</v>
      </c>
      <c r="C831" s="46"/>
      <c r="D831" s="9"/>
      <c r="E831" s="19" t="str">
        <f>IFERROR(VLOOKUP(D831,케이블트레이입.출고현황!U834:Z909,2,0),"")</f>
        <v/>
      </c>
      <c r="F831" s="19" t="str">
        <f>IFERROR(VLOOKUP(E831,케이블트레이입.출고현황!V834:AA909,2,0),"")</f>
        <v/>
      </c>
      <c r="G831" s="19" t="str">
        <f>IFERROR(VLOOKUP(F831,케이블트레이입.출고현황!W834:AB909,2,0),"")</f>
        <v/>
      </c>
      <c r="H831" s="19" t="str">
        <f>IFERROR(VLOOKUP(G831,케이블트레이입.출고현황!X834:AC909,2,0),"")</f>
        <v/>
      </c>
      <c r="I831" s="19" t="str">
        <f>IFERROR(VLOOKUP(H831,케이블트레이입.출고현황!Y834:AD909,2,0),"")</f>
        <v/>
      </c>
      <c r="J831" s="9">
        <v>2</v>
      </c>
      <c r="K831" s="9"/>
      <c r="L831" s="37"/>
      <c r="M831" s="64"/>
      <c r="N831" s="42"/>
    </row>
    <row r="832" spans="1:14" ht="24" customHeight="1">
      <c r="A832" s="8">
        <v>792</v>
      </c>
      <c r="B832" s="9">
        <v>792</v>
      </c>
      <c r="C832" s="46"/>
      <c r="D832" s="9"/>
      <c r="E832" s="19" t="str">
        <f>IFERROR(VLOOKUP(D832,케이블트레이입.출고현황!U835:Z910,2,0),"")</f>
        <v/>
      </c>
      <c r="F832" s="19" t="str">
        <f>IFERROR(VLOOKUP(E832,케이블트레이입.출고현황!V835:AA910,2,0),"")</f>
        <v/>
      </c>
      <c r="G832" s="19" t="str">
        <f>IFERROR(VLOOKUP(F832,케이블트레이입.출고현황!W835:AB910,2,0),"")</f>
        <v/>
      </c>
      <c r="H832" s="19" t="str">
        <f>IFERROR(VLOOKUP(G832,케이블트레이입.출고현황!X835:AC910,2,0),"")</f>
        <v/>
      </c>
      <c r="I832" s="19" t="str">
        <f>IFERROR(VLOOKUP(H832,케이블트레이입.출고현황!Y835:AD910,2,0),"")</f>
        <v/>
      </c>
      <c r="J832" s="9">
        <v>2</v>
      </c>
      <c r="K832" s="9"/>
      <c r="L832" s="37"/>
      <c r="M832" s="64"/>
      <c r="N832" s="42"/>
    </row>
    <row r="833" spans="1:14" ht="24" customHeight="1">
      <c r="A833" s="8">
        <v>793</v>
      </c>
      <c r="B833" s="9">
        <v>793</v>
      </c>
      <c r="C833" s="46"/>
      <c r="D833" s="9"/>
      <c r="E833" s="19" t="str">
        <f>IFERROR(VLOOKUP(D833,케이블트레이입.출고현황!U836:Z911,2,0),"")</f>
        <v/>
      </c>
      <c r="F833" s="19" t="str">
        <f>IFERROR(VLOOKUP(E833,케이블트레이입.출고현황!V836:AA911,2,0),"")</f>
        <v/>
      </c>
      <c r="G833" s="19" t="str">
        <f>IFERROR(VLOOKUP(F833,케이블트레이입.출고현황!W836:AB911,2,0),"")</f>
        <v/>
      </c>
      <c r="H833" s="19" t="str">
        <f>IFERROR(VLOOKUP(G833,케이블트레이입.출고현황!X836:AC911,2,0),"")</f>
        <v/>
      </c>
      <c r="I833" s="19" t="str">
        <f>IFERROR(VLOOKUP(H833,케이블트레이입.출고현황!Y836:AD911,2,0),"")</f>
        <v/>
      </c>
      <c r="J833" s="9" t="s">
        <v>557</v>
      </c>
      <c r="K833" s="9"/>
      <c r="L833" s="37"/>
      <c r="M833" s="64"/>
      <c r="N833" s="42"/>
    </row>
    <row r="834" spans="1:14" ht="24" customHeight="1">
      <c r="A834" s="8">
        <v>794</v>
      </c>
      <c r="B834" s="9">
        <v>794</v>
      </c>
      <c r="C834" s="46"/>
      <c r="D834" s="9"/>
      <c r="E834" s="19" t="str">
        <f>IFERROR(VLOOKUP(D834,케이블트레이입.출고현황!U837:Z912,2,0),"")</f>
        <v/>
      </c>
      <c r="F834" s="19" t="str">
        <f>IFERROR(VLOOKUP(E834,케이블트레이입.출고현황!V837:AA912,2,0),"")</f>
        <v/>
      </c>
      <c r="G834" s="19" t="str">
        <f>IFERROR(VLOOKUP(F834,케이블트레이입.출고현황!W837:AB912,2,0),"")</f>
        <v/>
      </c>
      <c r="H834" s="19" t="str">
        <f>IFERROR(VLOOKUP(G834,케이블트레이입.출고현황!X837:AC912,2,0),"")</f>
        <v/>
      </c>
      <c r="I834" s="19" t="str">
        <f>IFERROR(VLOOKUP(H834,케이블트레이입.출고현황!Y837:AD912,2,0),"")</f>
        <v/>
      </c>
      <c r="J834" s="9" t="s">
        <v>557</v>
      </c>
      <c r="K834" s="9"/>
      <c r="L834" s="37"/>
      <c r="M834" s="64"/>
      <c r="N834" s="42"/>
    </row>
    <row r="835" spans="1:14" ht="24" customHeight="1">
      <c r="A835" s="8">
        <v>795</v>
      </c>
      <c r="B835" s="9">
        <v>795</v>
      </c>
      <c r="C835" s="46"/>
      <c r="D835" s="9"/>
      <c r="E835" s="19" t="str">
        <f>IFERROR(VLOOKUP(D835,케이블트레이입.출고현황!U838:Z913,2,0),"")</f>
        <v/>
      </c>
      <c r="F835" s="19" t="str">
        <f>IFERROR(VLOOKUP(E835,케이블트레이입.출고현황!V838:AA913,2,0),"")</f>
        <v/>
      </c>
      <c r="G835" s="19" t="str">
        <f>IFERROR(VLOOKUP(F835,케이블트레이입.출고현황!W838:AB913,2,0),"")</f>
        <v/>
      </c>
      <c r="H835" s="19" t="str">
        <f>IFERROR(VLOOKUP(G835,케이블트레이입.출고현황!X838:AC913,2,0),"")</f>
        <v/>
      </c>
      <c r="I835" s="19" t="str">
        <f>IFERROR(VLOOKUP(H835,케이블트레이입.출고현황!Y838:AD913,2,0),"")</f>
        <v/>
      </c>
      <c r="J835" s="9">
        <v>1</v>
      </c>
      <c r="K835" s="9"/>
      <c r="L835" s="37"/>
      <c r="M835" s="64"/>
      <c r="N835" s="42"/>
    </row>
    <row r="836" spans="1:14" ht="24" customHeight="1">
      <c r="A836" s="8">
        <v>796</v>
      </c>
      <c r="B836" s="9">
        <v>796</v>
      </c>
      <c r="C836" s="46"/>
      <c r="D836" s="9"/>
      <c r="E836" s="19" t="str">
        <f>IFERROR(VLOOKUP(D836,케이블트레이입.출고현황!U839:Z914,2,0),"")</f>
        <v/>
      </c>
      <c r="F836" s="19" t="str">
        <f>IFERROR(VLOOKUP(E836,케이블트레이입.출고현황!V839:AA914,2,0),"")</f>
        <v/>
      </c>
      <c r="G836" s="19" t="str">
        <f>IFERROR(VLOOKUP(F836,케이블트레이입.출고현황!W839:AB914,2,0),"")</f>
        <v/>
      </c>
      <c r="H836" s="19" t="str">
        <f>IFERROR(VLOOKUP(G836,케이블트레이입.출고현황!X839:AC914,2,0),"")</f>
        <v/>
      </c>
      <c r="I836" s="19" t="str">
        <f>IFERROR(VLOOKUP(H836,케이블트레이입.출고현황!Y839:AD914,2,0),"")</f>
        <v/>
      </c>
      <c r="J836" s="9">
        <v>1</v>
      </c>
      <c r="K836" s="9"/>
      <c r="L836" s="37"/>
      <c r="M836" s="64"/>
      <c r="N836" s="42"/>
    </row>
    <row r="837" spans="1:14" ht="24" customHeight="1">
      <c r="A837" s="8">
        <v>797</v>
      </c>
      <c r="B837" s="9">
        <v>797</v>
      </c>
      <c r="C837" s="46"/>
      <c r="D837" s="9"/>
      <c r="E837" s="19" t="str">
        <f>IFERROR(VLOOKUP(D837,케이블트레이입.출고현황!U840:Z915,2,0),"")</f>
        <v/>
      </c>
      <c r="F837" s="19" t="str">
        <f>IFERROR(VLOOKUP(E837,케이블트레이입.출고현황!V840:AA915,2,0),"")</f>
        <v/>
      </c>
      <c r="G837" s="19" t="str">
        <f>IFERROR(VLOOKUP(F837,케이블트레이입.출고현황!W840:AB915,2,0),"")</f>
        <v/>
      </c>
      <c r="H837" s="19" t="str">
        <f>IFERROR(VLOOKUP(G837,케이블트레이입.출고현황!X840:AC915,2,0),"")</f>
        <v/>
      </c>
      <c r="I837" s="19" t="str">
        <f>IFERROR(VLOOKUP(H837,케이블트레이입.출고현황!Y840:AD915,2,0),"")</f>
        <v/>
      </c>
      <c r="J837" s="9">
        <v>1</v>
      </c>
      <c r="K837" s="9"/>
      <c r="L837" s="37"/>
      <c r="M837" s="64"/>
      <c r="N837" s="42"/>
    </row>
    <row r="838" spans="1:14" ht="24" customHeight="1">
      <c r="A838" s="8">
        <v>798</v>
      </c>
      <c r="B838" s="9">
        <v>798</v>
      </c>
      <c r="C838" s="46"/>
      <c r="D838" s="9"/>
      <c r="E838" s="19" t="str">
        <f>IFERROR(VLOOKUP(D838,케이블트레이입.출고현황!U841:Z916,2,0),"")</f>
        <v/>
      </c>
      <c r="F838" s="19" t="str">
        <f>IFERROR(VLOOKUP(E838,케이블트레이입.출고현황!V841:AA916,2,0),"")</f>
        <v/>
      </c>
      <c r="G838" s="19" t="str">
        <f>IFERROR(VLOOKUP(F838,케이블트레이입.출고현황!W841:AB916,2,0),"")</f>
        <v/>
      </c>
      <c r="H838" s="19" t="str">
        <f>IFERROR(VLOOKUP(G838,케이블트레이입.출고현황!X841:AC916,2,0),"")</f>
        <v/>
      </c>
      <c r="I838" s="19" t="str">
        <f>IFERROR(VLOOKUP(H838,케이블트레이입.출고현황!Y841:AD916,2,0),"")</f>
        <v/>
      </c>
      <c r="J838" s="9">
        <v>2</v>
      </c>
      <c r="K838" s="9"/>
      <c r="L838" s="37"/>
      <c r="M838" s="64"/>
      <c r="N838" s="42"/>
    </row>
    <row r="839" spans="1:14" ht="24" customHeight="1">
      <c r="A839" s="8">
        <v>799</v>
      </c>
      <c r="B839" s="9">
        <v>799</v>
      </c>
      <c r="C839" s="46"/>
      <c r="D839" s="9"/>
      <c r="E839" s="19" t="str">
        <f>IFERROR(VLOOKUP(D839,케이블트레이입.출고현황!U842:Z917,2,0),"")</f>
        <v/>
      </c>
      <c r="F839" s="19" t="str">
        <f>IFERROR(VLOOKUP(E839,케이블트레이입.출고현황!V842:AA917,2,0),"")</f>
        <v/>
      </c>
      <c r="G839" s="19" t="str">
        <f>IFERROR(VLOOKUP(F839,케이블트레이입.출고현황!W842:AB917,2,0),"")</f>
        <v/>
      </c>
      <c r="H839" s="19" t="str">
        <f>IFERROR(VLOOKUP(G839,케이블트레이입.출고현황!X842:AC917,2,0),"")</f>
        <v/>
      </c>
      <c r="I839" s="19" t="str">
        <f>IFERROR(VLOOKUP(H839,케이블트레이입.출고현황!Y842:AD917,2,0),"")</f>
        <v/>
      </c>
      <c r="J839" s="9">
        <v>2</v>
      </c>
      <c r="K839" s="9"/>
      <c r="L839" s="37"/>
      <c r="M839" s="64"/>
      <c r="N839" s="42"/>
    </row>
    <row r="840" spans="1:14" ht="24" customHeight="1">
      <c r="A840" s="8">
        <v>800</v>
      </c>
      <c r="B840" s="9">
        <v>800</v>
      </c>
      <c r="C840" s="46"/>
      <c r="D840" s="9"/>
      <c r="E840" s="19" t="str">
        <f>IFERROR(VLOOKUP(D840,케이블트레이입.출고현황!U843:Z918,2,0),"")</f>
        <v/>
      </c>
      <c r="F840" s="19" t="str">
        <f>IFERROR(VLOOKUP(E840,케이블트레이입.출고현황!V843:AA918,2,0),"")</f>
        <v/>
      </c>
      <c r="G840" s="19" t="str">
        <f>IFERROR(VLOOKUP(F840,케이블트레이입.출고현황!W843:AB918,2,0),"")</f>
        <v/>
      </c>
      <c r="H840" s="19" t="str">
        <f>IFERROR(VLOOKUP(G840,케이블트레이입.출고현황!X843:AC918,2,0),"")</f>
        <v/>
      </c>
      <c r="I840" s="19" t="str">
        <f>IFERROR(VLOOKUP(H840,케이블트레이입.출고현황!Y843:AD918,2,0),"")</f>
        <v/>
      </c>
      <c r="J840" s="9">
        <v>1</v>
      </c>
      <c r="K840" s="9"/>
      <c r="L840" s="37"/>
      <c r="M840" s="64"/>
      <c r="N840" s="42"/>
    </row>
    <row r="841" spans="1:14" ht="24" customHeight="1">
      <c r="A841" s="8">
        <v>801</v>
      </c>
      <c r="B841" s="9">
        <v>801</v>
      </c>
      <c r="C841" s="46"/>
      <c r="D841" s="9"/>
      <c r="E841" s="19" t="str">
        <f>IFERROR(VLOOKUP(D841,케이블트레이입.출고현황!U844:Z919,2,0),"")</f>
        <v/>
      </c>
      <c r="F841" s="19" t="str">
        <f>IFERROR(VLOOKUP(E841,케이블트레이입.출고현황!V844:AA919,2,0),"")</f>
        <v/>
      </c>
      <c r="G841" s="19" t="str">
        <f>IFERROR(VLOOKUP(F841,케이블트레이입.출고현황!W844:AB919,2,0),"")</f>
        <v/>
      </c>
      <c r="H841" s="19" t="str">
        <f>IFERROR(VLOOKUP(G841,케이블트레이입.출고현황!X844:AC919,2,0),"")</f>
        <v/>
      </c>
      <c r="I841" s="19" t="str">
        <f>IFERROR(VLOOKUP(H841,케이블트레이입.출고현황!Y844:AD919,2,0),"")</f>
        <v/>
      </c>
      <c r="J841" s="9">
        <v>1</v>
      </c>
      <c r="K841" s="9"/>
      <c r="L841" s="37"/>
      <c r="M841" s="64"/>
      <c r="N841" s="42"/>
    </row>
    <row r="842" spans="1:14" ht="24" customHeight="1">
      <c r="A842" s="8">
        <v>802</v>
      </c>
      <c r="B842" s="9">
        <v>802</v>
      </c>
      <c r="C842" s="46"/>
      <c r="D842" s="9"/>
      <c r="E842" s="19" t="str">
        <f>IFERROR(VLOOKUP(D842,케이블트레이입.출고현황!U845:Z920,2,0),"")</f>
        <v/>
      </c>
      <c r="F842" s="19" t="str">
        <f>IFERROR(VLOOKUP(E842,케이블트레이입.출고현황!V845:AA920,2,0),"")</f>
        <v/>
      </c>
      <c r="G842" s="19" t="str">
        <f>IFERROR(VLOOKUP(F842,케이블트레이입.출고현황!W845:AB920,2,0),"")</f>
        <v/>
      </c>
      <c r="H842" s="19" t="str">
        <f>IFERROR(VLOOKUP(G842,케이블트레이입.출고현황!X845:AC920,2,0),"")</f>
        <v/>
      </c>
      <c r="I842" s="19" t="str">
        <f>IFERROR(VLOOKUP(H842,케이블트레이입.출고현황!Y845:AD920,2,0),"")</f>
        <v/>
      </c>
      <c r="J842" s="9">
        <v>2</v>
      </c>
      <c r="K842" s="9"/>
      <c r="L842" s="37"/>
      <c r="M842" s="64"/>
      <c r="N842" s="42"/>
    </row>
    <row r="843" spans="1:14" ht="24" customHeight="1">
      <c r="A843" s="8">
        <v>803</v>
      </c>
      <c r="B843" s="9">
        <v>803</v>
      </c>
      <c r="C843" s="46"/>
      <c r="D843" s="9"/>
      <c r="E843" s="19" t="str">
        <f>IFERROR(VLOOKUP(D843,케이블트레이입.출고현황!U846:Z921,2,0),"")</f>
        <v/>
      </c>
      <c r="F843" s="19" t="str">
        <f>IFERROR(VLOOKUP(E843,케이블트레이입.출고현황!V846:AA921,2,0),"")</f>
        <v/>
      </c>
      <c r="G843" s="19" t="str">
        <f>IFERROR(VLOOKUP(F843,케이블트레이입.출고현황!W846:AB921,2,0),"")</f>
        <v/>
      </c>
      <c r="H843" s="19" t="str">
        <f>IFERROR(VLOOKUP(G843,케이블트레이입.출고현황!X846:AC921,2,0),"")</f>
        <v/>
      </c>
      <c r="I843" s="19" t="str">
        <f>IFERROR(VLOOKUP(H843,케이블트레이입.출고현황!Y846:AD921,2,0),"")</f>
        <v/>
      </c>
      <c r="J843" s="9">
        <v>1</v>
      </c>
      <c r="K843" s="9"/>
      <c r="L843" s="37"/>
      <c r="M843" s="64"/>
      <c r="N843" s="42"/>
    </row>
    <row r="844" spans="1:14" ht="24" customHeight="1">
      <c r="A844" s="8">
        <v>804</v>
      </c>
      <c r="B844" s="9">
        <v>804</v>
      </c>
      <c r="C844" s="46"/>
      <c r="D844" s="9"/>
      <c r="E844" s="19" t="str">
        <f>IFERROR(VLOOKUP(D844,케이블트레이입.출고현황!U847:Z922,2,0),"")</f>
        <v/>
      </c>
      <c r="F844" s="19" t="str">
        <f>IFERROR(VLOOKUP(E844,케이블트레이입.출고현황!V847:AA922,2,0),"")</f>
        <v/>
      </c>
      <c r="G844" s="19" t="str">
        <f>IFERROR(VLOOKUP(F844,케이블트레이입.출고현황!W847:AB922,2,0),"")</f>
        <v/>
      </c>
      <c r="H844" s="19" t="str">
        <f>IFERROR(VLOOKUP(G844,케이블트레이입.출고현황!X847:AC922,2,0),"")</f>
        <v/>
      </c>
      <c r="I844" s="19" t="str">
        <f>IFERROR(VLOOKUP(H844,케이블트레이입.출고현황!Y847:AD922,2,0),"")</f>
        <v/>
      </c>
      <c r="J844" s="9">
        <v>1</v>
      </c>
      <c r="K844" s="9"/>
      <c r="L844" s="37"/>
      <c r="M844" s="64"/>
      <c r="N844" s="42"/>
    </row>
    <row r="845" spans="1:14" ht="24" customHeight="1">
      <c r="A845" s="8">
        <v>805</v>
      </c>
      <c r="B845" s="9">
        <v>805</v>
      </c>
      <c r="C845" s="46"/>
      <c r="D845" s="9"/>
      <c r="E845" s="19" t="str">
        <f>IFERROR(VLOOKUP(D845,케이블트레이입.출고현황!U848:Z923,2,0),"")</f>
        <v/>
      </c>
      <c r="F845" s="19" t="str">
        <f>IFERROR(VLOOKUP(E845,케이블트레이입.출고현황!V848:AA923,2,0),"")</f>
        <v/>
      </c>
      <c r="G845" s="19" t="str">
        <f>IFERROR(VLOOKUP(F845,케이블트레이입.출고현황!W848:AB923,2,0),"")</f>
        <v/>
      </c>
      <c r="H845" s="19" t="str">
        <f>IFERROR(VLOOKUP(G845,케이블트레이입.출고현황!X848:AC923,2,0),"")</f>
        <v/>
      </c>
      <c r="I845" s="19" t="str">
        <f>IFERROR(VLOOKUP(H845,케이블트레이입.출고현황!Y848:AD923,2,0),"")</f>
        <v/>
      </c>
      <c r="J845" s="9">
        <v>1</v>
      </c>
      <c r="K845" s="9"/>
      <c r="L845" s="37"/>
      <c r="M845" s="64"/>
      <c r="N845" s="42"/>
    </row>
    <row r="846" spans="1:14" ht="24" customHeight="1">
      <c r="A846" s="8">
        <v>806</v>
      </c>
      <c r="B846" s="9">
        <v>806</v>
      </c>
      <c r="C846" s="46"/>
      <c r="D846" s="9"/>
      <c r="E846" s="19" t="str">
        <f>IFERROR(VLOOKUP(D846,케이블트레이입.출고현황!U849:Z924,2,0),"")</f>
        <v/>
      </c>
      <c r="F846" s="19" t="str">
        <f>IFERROR(VLOOKUP(E846,케이블트레이입.출고현황!V849:AA924,2,0),"")</f>
        <v/>
      </c>
      <c r="G846" s="19" t="str">
        <f>IFERROR(VLOOKUP(F846,케이블트레이입.출고현황!W849:AB924,2,0),"")</f>
        <v/>
      </c>
      <c r="H846" s="19" t="str">
        <f>IFERROR(VLOOKUP(G846,케이블트레이입.출고현황!X849:AC924,2,0),"")</f>
        <v/>
      </c>
      <c r="I846" s="19" t="str">
        <f>IFERROR(VLOOKUP(H846,케이블트레이입.출고현황!Y849:AD924,2,0),"")</f>
        <v/>
      </c>
      <c r="J846" s="9">
        <v>2</v>
      </c>
      <c r="K846" s="9"/>
      <c r="L846" s="37"/>
      <c r="M846" s="64"/>
      <c r="N846" s="42"/>
    </row>
    <row r="847" spans="1:14" ht="24" customHeight="1">
      <c r="A847" s="8">
        <v>807</v>
      </c>
      <c r="B847" s="9">
        <v>807</v>
      </c>
      <c r="C847" s="46"/>
      <c r="D847" s="9"/>
      <c r="E847" s="19" t="str">
        <f>IFERROR(VLOOKUP(D847,케이블트레이입.출고현황!U850:Z925,2,0),"")</f>
        <v/>
      </c>
      <c r="F847" s="19" t="str">
        <f>IFERROR(VLOOKUP(E847,케이블트레이입.출고현황!V850:AA925,2,0),"")</f>
        <v/>
      </c>
      <c r="G847" s="19" t="str">
        <f>IFERROR(VLOOKUP(F847,케이블트레이입.출고현황!W850:AB925,2,0),"")</f>
        <v/>
      </c>
      <c r="H847" s="19" t="str">
        <f>IFERROR(VLOOKUP(G847,케이블트레이입.출고현황!X850:AC925,2,0),"")</f>
        <v/>
      </c>
      <c r="I847" s="19" t="str">
        <f>IFERROR(VLOOKUP(H847,케이블트레이입.출고현황!Y850:AD925,2,0),"")</f>
        <v/>
      </c>
      <c r="J847" s="9">
        <v>2</v>
      </c>
      <c r="K847" s="9"/>
      <c r="L847" s="37"/>
      <c r="M847" s="64"/>
      <c r="N847" s="42"/>
    </row>
    <row r="848" spans="1:14" ht="24" customHeight="1">
      <c r="A848" s="8">
        <v>808</v>
      </c>
      <c r="B848" s="9">
        <v>808</v>
      </c>
      <c r="C848" s="46"/>
      <c r="D848" s="9"/>
      <c r="E848" s="19" t="str">
        <f>IFERROR(VLOOKUP(D848,케이블트레이입.출고현황!U851:Z926,2,0),"")</f>
        <v/>
      </c>
      <c r="F848" s="19" t="str">
        <f>IFERROR(VLOOKUP(E848,케이블트레이입.출고현황!V851:AA926,2,0),"")</f>
        <v/>
      </c>
      <c r="G848" s="19" t="str">
        <f>IFERROR(VLOOKUP(F848,케이블트레이입.출고현황!W851:AB926,2,0),"")</f>
        <v/>
      </c>
      <c r="H848" s="19" t="str">
        <f>IFERROR(VLOOKUP(G848,케이블트레이입.출고현황!X851:AC926,2,0),"")</f>
        <v/>
      </c>
      <c r="I848" s="19" t="str">
        <f>IFERROR(VLOOKUP(H848,케이블트레이입.출고현황!Y851:AD926,2,0),"")</f>
        <v/>
      </c>
      <c r="J848" s="9">
        <v>1</v>
      </c>
      <c r="K848" s="9"/>
      <c r="L848" s="37"/>
      <c r="M848" s="64"/>
      <c r="N848" s="42"/>
    </row>
    <row r="849" spans="1:14" ht="24" customHeight="1">
      <c r="A849" s="8">
        <v>809</v>
      </c>
      <c r="B849" s="9">
        <v>809</v>
      </c>
      <c r="C849" s="46"/>
      <c r="D849" s="9"/>
      <c r="E849" s="19" t="str">
        <f>IFERROR(VLOOKUP(D849,케이블트레이입.출고현황!U852:Z927,2,0),"")</f>
        <v/>
      </c>
      <c r="F849" s="19" t="str">
        <f>IFERROR(VLOOKUP(E849,케이블트레이입.출고현황!V852:AA927,2,0),"")</f>
        <v/>
      </c>
      <c r="G849" s="19" t="str">
        <f>IFERROR(VLOOKUP(F849,케이블트레이입.출고현황!W852:AB927,2,0),"")</f>
        <v/>
      </c>
      <c r="H849" s="19" t="str">
        <f>IFERROR(VLOOKUP(G849,케이블트레이입.출고현황!X852:AC927,2,0),"")</f>
        <v/>
      </c>
      <c r="I849" s="19" t="str">
        <f>IFERROR(VLOOKUP(H849,케이블트레이입.출고현황!Y852:AD927,2,0),"")</f>
        <v/>
      </c>
      <c r="J849" s="9">
        <v>1</v>
      </c>
      <c r="K849" s="9"/>
      <c r="L849" s="37"/>
      <c r="M849" s="64"/>
      <c r="N849" s="42"/>
    </row>
    <row r="850" spans="1:14" ht="24" customHeight="1">
      <c r="A850" s="8">
        <v>810</v>
      </c>
      <c r="B850" s="9">
        <v>810</v>
      </c>
      <c r="C850" s="46"/>
      <c r="D850" s="9"/>
      <c r="E850" s="19" t="str">
        <f>IFERROR(VLOOKUP(D850,케이블트레이입.출고현황!U853:Z928,2,0),"")</f>
        <v/>
      </c>
      <c r="F850" s="19" t="str">
        <f>IFERROR(VLOOKUP(E850,케이블트레이입.출고현황!V853:AA928,2,0),"")</f>
        <v/>
      </c>
      <c r="G850" s="19" t="str">
        <f>IFERROR(VLOOKUP(F850,케이블트레이입.출고현황!W853:AB928,2,0),"")</f>
        <v/>
      </c>
      <c r="H850" s="19" t="str">
        <f>IFERROR(VLOOKUP(G850,케이블트레이입.출고현황!X853:AC928,2,0),"")</f>
        <v/>
      </c>
      <c r="I850" s="19" t="str">
        <f>IFERROR(VLOOKUP(H850,케이블트레이입.출고현황!Y853:AD928,2,0),"")</f>
        <v/>
      </c>
      <c r="J850" s="9">
        <v>2</v>
      </c>
      <c r="K850" s="9"/>
      <c r="L850" s="37"/>
      <c r="M850" s="64"/>
      <c r="N850" s="42"/>
    </row>
    <row r="851" spans="1:14" ht="24" customHeight="1">
      <c r="A851" s="8">
        <v>811</v>
      </c>
      <c r="B851" s="9">
        <v>811</v>
      </c>
      <c r="C851" s="46"/>
      <c r="D851" s="9"/>
      <c r="E851" s="19" t="str">
        <f>IFERROR(VLOOKUP(D851,케이블트레이입.출고현황!U854:Z929,2,0),"")</f>
        <v/>
      </c>
      <c r="F851" s="19" t="str">
        <f>IFERROR(VLOOKUP(E851,케이블트레이입.출고현황!V854:AA929,2,0),"")</f>
        <v/>
      </c>
      <c r="G851" s="19" t="str">
        <f>IFERROR(VLOOKUP(F851,케이블트레이입.출고현황!W854:AB929,2,0),"")</f>
        <v/>
      </c>
      <c r="H851" s="19" t="str">
        <f>IFERROR(VLOOKUP(G851,케이블트레이입.출고현황!X854:AC929,2,0),"")</f>
        <v/>
      </c>
      <c r="I851" s="19" t="str">
        <f>IFERROR(VLOOKUP(H851,케이블트레이입.출고현황!Y854:AD929,2,0),"")</f>
        <v/>
      </c>
      <c r="J851" s="9">
        <v>4</v>
      </c>
      <c r="K851" s="9"/>
      <c r="L851" s="37"/>
      <c r="M851" s="64"/>
      <c r="N851" s="42"/>
    </row>
    <row r="852" spans="1:14" ht="24" customHeight="1">
      <c r="A852" s="8">
        <v>812</v>
      </c>
      <c r="B852" s="9">
        <v>812</v>
      </c>
      <c r="C852" s="46"/>
      <c r="D852" s="9"/>
      <c r="E852" s="19" t="str">
        <f>IFERROR(VLOOKUP(D852,케이블트레이입.출고현황!U855:Z930,2,0),"")</f>
        <v/>
      </c>
      <c r="F852" s="19" t="str">
        <f>IFERROR(VLOOKUP(E852,케이블트레이입.출고현황!V855:AA930,2,0),"")</f>
        <v/>
      </c>
      <c r="G852" s="19" t="str">
        <f>IFERROR(VLOOKUP(F852,케이블트레이입.출고현황!W855:AB930,2,0),"")</f>
        <v/>
      </c>
      <c r="H852" s="19" t="str">
        <f>IFERROR(VLOOKUP(G852,케이블트레이입.출고현황!X855:AC930,2,0),"")</f>
        <v/>
      </c>
      <c r="I852" s="19" t="str">
        <f>IFERROR(VLOOKUP(H852,케이블트레이입.출고현황!Y855:AD930,2,0),"")</f>
        <v/>
      </c>
      <c r="J852" s="9">
        <v>2</v>
      </c>
      <c r="K852" s="9"/>
      <c r="L852" s="37"/>
      <c r="M852" s="64"/>
      <c r="N852" s="42"/>
    </row>
    <row r="853" spans="1:14" ht="24" customHeight="1">
      <c r="A853" s="8">
        <v>813</v>
      </c>
      <c r="B853" s="9">
        <v>813</v>
      </c>
      <c r="C853" s="46"/>
      <c r="D853" s="9"/>
      <c r="E853" s="19" t="str">
        <f>IFERROR(VLOOKUP(D853,케이블트레이입.출고현황!U856:Z931,2,0),"")</f>
        <v/>
      </c>
      <c r="F853" s="19" t="str">
        <f>IFERROR(VLOOKUP(E853,케이블트레이입.출고현황!V856:AA931,2,0),"")</f>
        <v/>
      </c>
      <c r="G853" s="19" t="str">
        <f>IFERROR(VLOOKUP(F853,케이블트레이입.출고현황!W856:AB931,2,0),"")</f>
        <v/>
      </c>
      <c r="H853" s="19" t="str">
        <f>IFERROR(VLOOKUP(G853,케이블트레이입.출고현황!X856:AC931,2,0),"")</f>
        <v/>
      </c>
      <c r="I853" s="19" t="str">
        <f>IFERROR(VLOOKUP(H853,케이블트레이입.출고현황!Y856:AD931,2,0),"")</f>
        <v/>
      </c>
      <c r="J853" s="9">
        <v>1</v>
      </c>
      <c r="K853" s="9"/>
      <c r="L853" s="37"/>
      <c r="M853" s="64"/>
      <c r="N853" s="42"/>
    </row>
    <row r="854" spans="1:14" ht="24" customHeight="1">
      <c r="A854" s="8">
        <v>814</v>
      </c>
      <c r="B854" s="9">
        <v>814</v>
      </c>
      <c r="C854" s="46"/>
      <c r="D854" s="9"/>
      <c r="E854" s="19" t="str">
        <f>IFERROR(VLOOKUP(D854,케이블트레이입.출고현황!U857:Z932,2,0),"")</f>
        <v/>
      </c>
      <c r="F854" s="19" t="str">
        <f>IFERROR(VLOOKUP(E854,케이블트레이입.출고현황!V857:AA932,2,0),"")</f>
        <v/>
      </c>
      <c r="G854" s="19" t="str">
        <f>IFERROR(VLOOKUP(F854,케이블트레이입.출고현황!W857:AB932,2,0),"")</f>
        <v/>
      </c>
      <c r="H854" s="19" t="str">
        <f>IFERROR(VLOOKUP(G854,케이블트레이입.출고현황!X857:AC932,2,0),"")</f>
        <v/>
      </c>
      <c r="I854" s="19" t="str">
        <f>IFERROR(VLOOKUP(H854,케이블트레이입.출고현황!Y857:AD932,2,0),"")</f>
        <v/>
      </c>
      <c r="J854" s="9">
        <v>2</v>
      </c>
      <c r="K854" s="9"/>
      <c r="L854" s="37"/>
      <c r="M854" s="64"/>
      <c r="N854" s="42"/>
    </row>
    <row r="855" spans="1:14" ht="24" customHeight="1">
      <c r="A855" s="8">
        <v>815</v>
      </c>
      <c r="B855" s="9">
        <v>815</v>
      </c>
      <c r="C855" s="46"/>
      <c r="D855" s="9"/>
      <c r="E855" s="19" t="str">
        <f>IFERROR(VLOOKUP(D855,케이블트레이입.출고현황!U858:Z933,2,0),"")</f>
        <v/>
      </c>
      <c r="F855" s="19" t="str">
        <f>IFERROR(VLOOKUP(E855,케이블트레이입.출고현황!V858:AA933,2,0),"")</f>
        <v/>
      </c>
      <c r="G855" s="19" t="str">
        <f>IFERROR(VLOOKUP(F855,케이블트레이입.출고현황!W858:AB933,2,0),"")</f>
        <v/>
      </c>
      <c r="H855" s="19" t="str">
        <f>IFERROR(VLOOKUP(G855,케이블트레이입.출고현황!X858:AC933,2,0),"")</f>
        <v/>
      </c>
      <c r="I855" s="19" t="str">
        <f>IFERROR(VLOOKUP(H855,케이블트레이입.출고현황!Y858:AD933,2,0),"")</f>
        <v/>
      </c>
      <c r="J855" s="9">
        <v>1</v>
      </c>
      <c r="K855" s="9"/>
      <c r="L855" s="37"/>
      <c r="M855" s="64"/>
      <c r="N855" s="42"/>
    </row>
    <row r="856" spans="1:14" ht="24" customHeight="1">
      <c r="A856" s="8">
        <v>816</v>
      </c>
      <c r="B856" s="9">
        <v>816</v>
      </c>
      <c r="C856" s="46"/>
      <c r="D856" s="9"/>
      <c r="E856" s="19" t="str">
        <f>IFERROR(VLOOKUP(D856,케이블트레이입.출고현황!U859:Z934,2,0),"")</f>
        <v/>
      </c>
      <c r="F856" s="19" t="str">
        <f>IFERROR(VLOOKUP(E856,케이블트레이입.출고현황!V859:AA934,2,0),"")</f>
        <v/>
      </c>
      <c r="G856" s="19" t="str">
        <f>IFERROR(VLOOKUP(F856,케이블트레이입.출고현황!W859:AB934,2,0),"")</f>
        <v/>
      </c>
      <c r="H856" s="19" t="str">
        <f>IFERROR(VLOOKUP(G856,케이블트레이입.출고현황!X859:AC934,2,0),"")</f>
        <v/>
      </c>
      <c r="I856" s="19" t="str">
        <f>IFERROR(VLOOKUP(H856,케이블트레이입.출고현황!Y859:AD934,2,0),"")</f>
        <v/>
      </c>
      <c r="J856" s="9">
        <v>1</v>
      </c>
      <c r="K856" s="9"/>
      <c r="L856" s="37"/>
      <c r="M856" s="64"/>
      <c r="N856" s="42"/>
    </row>
    <row r="857" spans="1:14" ht="24" customHeight="1">
      <c r="A857" s="8">
        <v>817</v>
      </c>
      <c r="B857" s="9">
        <v>817</v>
      </c>
      <c r="C857" s="46"/>
      <c r="D857" s="9"/>
      <c r="E857" s="19" t="str">
        <f>IFERROR(VLOOKUP(D857,케이블트레이입.출고현황!U860:Z935,2,0),"")</f>
        <v/>
      </c>
      <c r="F857" s="19" t="str">
        <f>IFERROR(VLOOKUP(E857,케이블트레이입.출고현황!V860:AA935,2,0),"")</f>
        <v/>
      </c>
      <c r="G857" s="19" t="str">
        <f>IFERROR(VLOOKUP(F857,케이블트레이입.출고현황!W860:AB935,2,0),"")</f>
        <v/>
      </c>
      <c r="H857" s="19" t="str">
        <f>IFERROR(VLOOKUP(G857,케이블트레이입.출고현황!X860:AC935,2,0),"")</f>
        <v/>
      </c>
      <c r="I857" s="19" t="str">
        <f>IFERROR(VLOOKUP(H857,케이블트레이입.출고현황!Y860:AD935,2,0),"")</f>
        <v/>
      </c>
      <c r="J857" s="9">
        <v>1</v>
      </c>
      <c r="K857" s="9"/>
      <c r="L857" s="37"/>
      <c r="M857" s="64"/>
      <c r="N857" s="42"/>
    </row>
    <row r="858" spans="1:14" ht="24" customHeight="1">
      <c r="A858" s="8">
        <v>818</v>
      </c>
      <c r="B858" s="9">
        <v>818</v>
      </c>
      <c r="C858" s="46"/>
      <c r="D858" s="9"/>
      <c r="E858" s="19" t="str">
        <f>IFERROR(VLOOKUP(D858,케이블트레이입.출고현황!U861:Z936,2,0),"")</f>
        <v/>
      </c>
      <c r="F858" s="19" t="str">
        <f>IFERROR(VLOOKUP(E858,케이블트레이입.출고현황!V861:AA936,2,0),"")</f>
        <v/>
      </c>
      <c r="G858" s="19" t="str">
        <f>IFERROR(VLOOKUP(F858,케이블트레이입.출고현황!W861:AB936,2,0),"")</f>
        <v/>
      </c>
      <c r="H858" s="19" t="str">
        <f>IFERROR(VLOOKUP(G858,케이블트레이입.출고현황!X861:AC936,2,0),"")</f>
        <v/>
      </c>
      <c r="I858" s="19" t="str">
        <f>IFERROR(VLOOKUP(H858,케이블트레이입.출고현황!Y861:AD936,2,0),"")</f>
        <v/>
      </c>
      <c r="J858" s="9">
        <v>2</v>
      </c>
      <c r="K858" s="9"/>
      <c r="L858" s="37"/>
      <c r="M858" s="64"/>
      <c r="N858" s="42"/>
    </row>
    <row r="859" spans="1:14" ht="24" customHeight="1">
      <c r="A859" s="8">
        <v>819</v>
      </c>
      <c r="B859" s="9">
        <v>819</v>
      </c>
      <c r="C859" s="46"/>
      <c r="D859" s="9"/>
      <c r="E859" s="19" t="str">
        <f>IFERROR(VLOOKUP(D859,케이블트레이입.출고현황!U862:Z937,2,0),"")</f>
        <v/>
      </c>
      <c r="F859" s="19" t="str">
        <f>IFERROR(VLOOKUP(E859,케이블트레이입.출고현황!V862:AA937,2,0),"")</f>
        <v/>
      </c>
      <c r="G859" s="19" t="str">
        <f>IFERROR(VLOOKUP(F859,케이블트레이입.출고현황!W862:AB937,2,0),"")</f>
        <v/>
      </c>
      <c r="H859" s="19" t="str">
        <f>IFERROR(VLOOKUP(G859,케이블트레이입.출고현황!X862:AC937,2,0),"")</f>
        <v/>
      </c>
      <c r="I859" s="19" t="str">
        <f>IFERROR(VLOOKUP(H859,케이블트레이입.출고현황!Y862:AD937,2,0),"")</f>
        <v/>
      </c>
      <c r="J859" s="9">
        <v>4</v>
      </c>
      <c r="K859" s="9"/>
      <c r="L859" s="37"/>
      <c r="M859" s="64"/>
      <c r="N859" s="42"/>
    </row>
    <row r="860" spans="1:14" ht="24" customHeight="1">
      <c r="A860" s="8">
        <v>820</v>
      </c>
      <c r="B860" s="9">
        <v>820</v>
      </c>
      <c r="C860" s="46"/>
      <c r="D860" s="9"/>
      <c r="E860" s="19" t="str">
        <f>IFERROR(VLOOKUP(D860,케이블트레이입.출고현황!U863:Z938,2,0),"")</f>
        <v/>
      </c>
      <c r="F860" s="19" t="str">
        <f>IFERROR(VLOOKUP(E860,케이블트레이입.출고현황!V863:AA938,2,0),"")</f>
        <v/>
      </c>
      <c r="G860" s="19" t="str">
        <f>IFERROR(VLOOKUP(F860,케이블트레이입.출고현황!W863:AB938,2,0),"")</f>
        <v/>
      </c>
      <c r="H860" s="19" t="str">
        <f>IFERROR(VLOOKUP(G860,케이블트레이입.출고현황!X863:AC938,2,0),"")</f>
        <v/>
      </c>
      <c r="I860" s="19" t="str">
        <f>IFERROR(VLOOKUP(H860,케이블트레이입.출고현황!Y863:AD938,2,0),"")</f>
        <v/>
      </c>
      <c r="J860" s="9" t="s">
        <v>557</v>
      </c>
      <c r="K860" s="9"/>
      <c r="L860" s="37"/>
      <c r="M860" s="64"/>
      <c r="N860" s="42"/>
    </row>
    <row r="861" spans="1:14" ht="24" customHeight="1">
      <c r="A861" s="8">
        <v>821</v>
      </c>
      <c r="B861" s="9">
        <v>821</v>
      </c>
      <c r="C861" s="46"/>
      <c r="D861" s="9"/>
      <c r="E861" s="19" t="str">
        <f>IFERROR(VLOOKUP(D861,케이블트레이입.출고현황!U864:Z939,2,0),"")</f>
        <v/>
      </c>
      <c r="F861" s="19" t="str">
        <f>IFERROR(VLOOKUP(E861,케이블트레이입.출고현황!V864:AA939,2,0),"")</f>
        <v/>
      </c>
      <c r="G861" s="19" t="str">
        <f>IFERROR(VLOOKUP(F861,케이블트레이입.출고현황!W864:AB939,2,0),"")</f>
        <v/>
      </c>
      <c r="H861" s="19" t="str">
        <f>IFERROR(VLOOKUP(G861,케이블트레이입.출고현황!X864:AC939,2,0),"")</f>
        <v/>
      </c>
      <c r="I861" s="19" t="str">
        <f>IFERROR(VLOOKUP(H861,케이블트레이입.출고현황!Y864:AD939,2,0),"")</f>
        <v/>
      </c>
      <c r="J861" s="9" t="s">
        <v>557</v>
      </c>
      <c r="K861" s="9"/>
      <c r="L861" s="37"/>
      <c r="M861" s="64"/>
      <c r="N861" s="42"/>
    </row>
    <row r="862" spans="1:14" ht="24" customHeight="1">
      <c r="A862" s="8">
        <v>822</v>
      </c>
      <c r="B862" s="9">
        <v>822</v>
      </c>
      <c r="C862" s="46"/>
      <c r="D862" s="9"/>
      <c r="E862" s="19" t="str">
        <f>IFERROR(VLOOKUP(D862,케이블트레이입.출고현황!U865:Z940,2,0),"")</f>
        <v/>
      </c>
      <c r="F862" s="19" t="str">
        <f>IFERROR(VLOOKUP(E862,케이블트레이입.출고현황!V865:AA940,2,0),"")</f>
        <v/>
      </c>
      <c r="G862" s="19" t="str">
        <f>IFERROR(VLOOKUP(F862,케이블트레이입.출고현황!W865:AB940,2,0),"")</f>
        <v/>
      </c>
      <c r="H862" s="19" t="str">
        <f>IFERROR(VLOOKUP(G862,케이블트레이입.출고현황!X865:AC940,2,0),"")</f>
        <v/>
      </c>
      <c r="I862" s="19" t="str">
        <f>IFERROR(VLOOKUP(H862,케이블트레이입.출고현황!Y865:AD940,2,0),"")</f>
        <v/>
      </c>
      <c r="J862" s="9">
        <v>1</v>
      </c>
      <c r="K862" s="9"/>
      <c r="L862" s="37"/>
      <c r="M862" s="64"/>
      <c r="N862" s="42"/>
    </row>
    <row r="863" spans="1:14" ht="24" customHeight="1">
      <c r="A863" s="8">
        <v>823</v>
      </c>
      <c r="B863" s="9">
        <v>823</v>
      </c>
      <c r="C863" s="46"/>
      <c r="D863" s="9"/>
      <c r="E863" s="19" t="str">
        <f>IFERROR(VLOOKUP(D863,케이블트레이입.출고현황!U866:Z941,2,0),"")</f>
        <v/>
      </c>
      <c r="F863" s="19" t="str">
        <f>IFERROR(VLOOKUP(E863,케이블트레이입.출고현황!V866:AA941,2,0),"")</f>
        <v/>
      </c>
      <c r="G863" s="19" t="str">
        <f>IFERROR(VLOOKUP(F863,케이블트레이입.출고현황!W866:AB941,2,0),"")</f>
        <v/>
      </c>
      <c r="H863" s="19" t="str">
        <f>IFERROR(VLOOKUP(G863,케이블트레이입.출고현황!X866:AC941,2,0),"")</f>
        <v/>
      </c>
      <c r="I863" s="19" t="str">
        <f>IFERROR(VLOOKUP(H863,케이블트레이입.출고현황!Y866:AD941,2,0),"")</f>
        <v/>
      </c>
      <c r="J863" s="9">
        <v>2</v>
      </c>
      <c r="K863" s="9"/>
      <c r="L863" s="37"/>
      <c r="M863" s="64"/>
      <c r="N863" s="42"/>
    </row>
    <row r="864" spans="1:14" ht="24" customHeight="1">
      <c r="A864" s="8">
        <v>824</v>
      </c>
      <c r="B864" s="9">
        <v>824</v>
      </c>
      <c r="C864" s="46"/>
      <c r="D864" s="9"/>
      <c r="E864" s="19" t="str">
        <f>IFERROR(VLOOKUP(D864,케이블트레이입.출고현황!U867:Z942,2,0),"")</f>
        <v/>
      </c>
      <c r="F864" s="19" t="str">
        <f>IFERROR(VLOOKUP(E864,케이블트레이입.출고현황!V867:AA942,2,0),"")</f>
        <v/>
      </c>
      <c r="G864" s="19" t="str">
        <f>IFERROR(VLOOKUP(F864,케이블트레이입.출고현황!W867:AB942,2,0),"")</f>
        <v/>
      </c>
      <c r="H864" s="19" t="str">
        <f>IFERROR(VLOOKUP(G864,케이블트레이입.출고현황!X867:AC942,2,0),"")</f>
        <v/>
      </c>
      <c r="I864" s="19" t="str">
        <f>IFERROR(VLOOKUP(H864,케이블트레이입.출고현황!Y867:AD942,2,0),"")</f>
        <v/>
      </c>
      <c r="J864" s="9">
        <v>4</v>
      </c>
      <c r="K864" s="9"/>
      <c r="L864" s="37"/>
      <c r="M864" s="64"/>
      <c r="N864" s="42"/>
    </row>
    <row r="865" spans="1:14" ht="24" customHeight="1">
      <c r="A865" s="8">
        <v>825</v>
      </c>
      <c r="B865" s="9">
        <v>825</v>
      </c>
      <c r="C865" s="46"/>
      <c r="D865" s="9"/>
      <c r="E865" s="19" t="str">
        <f>IFERROR(VLOOKUP(D865,케이블트레이입.출고현황!U868:Z943,2,0),"")</f>
        <v/>
      </c>
      <c r="F865" s="19" t="str">
        <f>IFERROR(VLOOKUP(E865,케이블트레이입.출고현황!V868:AA943,2,0),"")</f>
        <v/>
      </c>
      <c r="G865" s="19" t="str">
        <f>IFERROR(VLOOKUP(F865,케이블트레이입.출고현황!W868:AB943,2,0),"")</f>
        <v/>
      </c>
      <c r="H865" s="19" t="str">
        <f>IFERROR(VLOOKUP(G865,케이블트레이입.출고현황!X868:AC943,2,0),"")</f>
        <v/>
      </c>
      <c r="I865" s="19" t="str">
        <f>IFERROR(VLOOKUP(H865,케이블트레이입.출고현황!Y868:AD943,2,0),"")</f>
        <v/>
      </c>
      <c r="J865" s="9">
        <v>3</v>
      </c>
      <c r="K865" s="9"/>
      <c r="L865" s="37"/>
      <c r="M865" s="64"/>
      <c r="N865" s="42"/>
    </row>
    <row r="866" spans="1:14" ht="24" customHeight="1">
      <c r="A866" s="8">
        <v>826</v>
      </c>
      <c r="B866" s="9">
        <v>826</v>
      </c>
      <c r="C866" s="46"/>
      <c r="D866" s="9"/>
      <c r="E866" s="19" t="str">
        <f>IFERROR(VLOOKUP(D866,케이블트레이입.출고현황!U869:Z944,2,0),"")</f>
        <v/>
      </c>
      <c r="F866" s="19" t="str">
        <f>IFERROR(VLOOKUP(E866,케이블트레이입.출고현황!V869:AA944,2,0),"")</f>
        <v/>
      </c>
      <c r="G866" s="19" t="str">
        <f>IFERROR(VLOOKUP(F866,케이블트레이입.출고현황!W869:AB944,2,0),"")</f>
        <v/>
      </c>
      <c r="H866" s="19" t="str">
        <f>IFERROR(VLOOKUP(G866,케이블트레이입.출고현황!X869:AC944,2,0),"")</f>
        <v/>
      </c>
      <c r="I866" s="19" t="str">
        <f>IFERROR(VLOOKUP(H866,케이블트레이입.출고현황!Y869:AD944,2,0),"")</f>
        <v/>
      </c>
      <c r="J866" s="9">
        <v>4</v>
      </c>
      <c r="K866" s="9"/>
      <c r="L866" s="37"/>
      <c r="M866" s="64"/>
      <c r="N866" s="42"/>
    </row>
    <row r="867" spans="1:14" ht="24" customHeight="1">
      <c r="A867" s="8">
        <v>827</v>
      </c>
      <c r="B867" s="9">
        <v>827</v>
      </c>
      <c r="C867" s="46"/>
      <c r="D867" s="9"/>
      <c r="E867" s="19" t="str">
        <f>IFERROR(VLOOKUP(D867,케이블트레이입.출고현황!U870:Z945,2,0),"")</f>
        <v/>
      </c>
      <c r="F867" s="19" t="str">
        <f>IFERROR(VLOOKUP(E867,케이블트레이입.출고현황!V870:AA945,2,0),"")</f>
        <v/>
      </c>
      <c r="G867" s="19" t="str">
        <f>IFERROR(VLOOKUP(F867,케이블트레이입.출고현황!W870:AB945,2,0),"")</f>
        <v/>
      </c>
      <c r="H867" s="19" t="str">
        <f>IFERROR(VLOOKUP(G867,케이블트레이입.출고현황!X870:AC945,2,0),"")</f>
        <v/>
      </c>
      <c r="I867" s="19" t="str">
        <f>IFERROR(VLOOKUP(H867,케이블트레이입.출고현황!Y870:AD945,2,0),"")</f>
        <v/>
      </c>
      <c r="J867" s="9">
        <v>2</v>
      </c>
      <c r="K867" s="9"/>
      <c r="L867" s="37"/>
      <c r="M867" s="64"/>
      <c r="N867" s="42"/>
    </row>
    <row r="868" spans="1:14" ht="24" customHeight="1">
      <c r="A868" s="8">
        <v>828</v>
      </c>
      <c r="B868" s="9">
        <v>828</v>
      </c>
      <c r="C868" s="46"/>
      <c r="D868" s="9"/>
      <c r="E868" s="19" t="str">
        <f>IFERROR(VLOOKUP(D868,케이블트레이입.출고현황!U871:Z946,2,0),"")</f>
        <v/>
      </c>
      <c r="F868" s="19" t="str">
        <f>IFERROR(VLOOKUP(E868,케이블트레이입.출고현황!V871:AA946,2,0),"")</f>
        <v/>
      </c>
      <c r="G868" s="19" t="str">
        <f>IFERROR(VLOOKUP(F868,케이블트레이입.출고현황!W871:AB946,2,0),"")</f>
        <v/>
      </c>
      <c r="H868" s="19" t="str">
        <f>IFERROR(VLOOKUP(G868,케이블트레이입.출고현황!X871:AC946,2,0),"")</f>
        <v/>
      </c>
      <c r="I868" s="19" t="str">
        <f>IFERROR(VLOOKUP(H868,케이블트레이입.출고현황!Y871:AD946,2,0),"")</f>
        <v/>
      </c>
      <c r="J868" s="9">
        <v>1</v>
      </c>
      <c r="K868" s="9"/>
      <c r="L868" s="37"/>
      <c r="M868" s="64"/>
      <c r="N868" s="42"/>
    </row>
    <row r="869" spans="1:14" ht="24" customHeight="1">
      <c r="A869" s="8">
        <v>829</v>
      </c>
      <c r="B869" s="9">
        <v>829</v>
      </c>
      <c r="C869" s="46"/>
      <c r="D869" s="9"/>
      <c r="E869" s="19" t="str">
        <f>IFERROR(VLOOKUP(D869,케이블트레이입.출고현황!U872:Z947,2,0),"")</f>
        <v/>
      </c>
      <c r="F869" s="19" t="str">
        <f>IFERROR(VLOOKUP(E869,케이블트레이입.출고현황!V872:AA947,2,0),"")</f>
        <v/>
      </c>
      <c r="G869" s="19" t="str">
        <f>IFERROR(VLOOKUP(F869,케이블트레이입.출고현황!W872:AB947,2,0),"")</f>
        <v/>
      </c>
      <c r="H869" s="19" t="str">
        <f>IFERROR(VLOOKUP(G869,케이블트레이입.출고현황!X872:AC947,2,0),"")</f>
        <v/>
      </c>
      <c r="I869" s="19" t="str">
        <f>IFERROR(VLOOKUP(H869,케이블트레이입.출고현황!Y872:AD947,2,0),"")</f>
        <v/>
      </c>
      <c r="J869" s="9">
        <v>2</v>
      </c>
      <c r="K869" s="9"/>
      <c r="L869" s="37"/>
      <c r="M869" s="64"/>
      <c r="N869" s="42"/>
    </row>
    <row r="870" spans="1:14" ht="24" customHeight="1">
      <c r="A870" s="8">
        <v>830</v>
      </c>
      <c r="B870" s="9">
        <v>830</v>
      </c>
      <c r="C870" s="46"/>
      <c r="D870" s="9"/>
      <c r="E870" s="19" t="str">
        <f>IFERROR(VLOOKUP(D870,케이블트레이입.출고현황!U873:Z948,2,0),"")</f>
        <v/>
      </c>
      <c r="F870" s="19" t="str">
        <f>IFERROR(VLOOKUP(E870,케이블트레이입.출고현황!V873:AA948,2,0),"")</f>
        <v/>
      </c>
      <c r="G870" s="19" t="str">
        <f>IFERROR(VLOOKUP(F870,케이블트레이입.출고현황!W873:AB948,2,0),"")</f>
        <v/>
      </c>
      <c r="H870" s="19" t="str">
        <f>IFERROR(VLOOKUP(G870,케이블트레이입.출고현황!X873:AC948,2,0),"")</f>
        <v/>
      </c>
      <c r="I870" s="19" t="str">
        <f>IFERROR(VLOOKUP(H870,케이블트레이입.출고현황!Y873:AD948,2,0),"")</f>
        <v/>
      </c>
      <c r="J870" s="9">
        <v>1</v>
      </c>
      <c r="K870" s="9"/>
      <c r="L870" s="37"/>
      <c r="M870" s="64"/>
      <c r="N870" s="42"/>
    </row>
    <row r="871" spans="1:14" ht="24" customHeight="1">
      <c r="A871" s="8">
        <v>831</v>
      </c>
      <c r="B871" s="9">
        <v>831</v>
      </c>
      <c r="C871" s="46"/>
      <c r="D871" s="9"/>
      <c r="E871" s="19" t="str">
        <f>IFERROR(VLOOKUP(D871,케이블트레이입.출고현황!U874:Z949,2,0),"")</f>
        <v/>
      </c>
      <c r="F871" s="19" t="str">
        <f>IFERROR(VLOOKUP(E871,케이블트레이입.출고현황!V874:AA949,2,0),"")</f>
        <v/>
      </c>
      <c r="G871" s="19" t="str">
        <f>IFERROR(VLOOKUP(F871,케이블트레이입.출고현황!W874:AB949,2,0),"")</f>
        <v/>
      </c>
      <c r="H871" s="19" t="str">
        <f>IFERROR(VLOOKUP(G871,케이블트레이입.출고현황!X874:AC949,2,0),"")</f>
        <v/>
      </c>
      <c r="I871" s="19" t="str">
        <f>IFERROR(VLOOKUP(H871,케이블트레이입.출고현황!Y874:AD949,2,0),"")</f>
        <v/>
      </c>
      <c r="J871" s="9">
        <v>1</v>
      </c>
      <c r="K871" s="9"/>
      <c r="L871" s="37"/>
      <c r="M871" s="64"/>
      <c r="N871" s="42"/>
    </row>
    <row r="872" spans="1:14" ht="24" customHeight="1">
      <c r="A872" s="8">
        <v>832</v>
      </c>
      <c r="B872" s="9">
        <v>832</v>
      </c>
      <c r="C872" s="46"/>
      <c r="D872" s="9"/>
      <c r="E872" s="19" t="str">
        <f>IFERROR(VLOOKUP(D872,케이블트레이입.출고현황!U875:Z950,2,0),"")</f>
        <v/>
      </c>
      <c r="F872" s="19" t="str">
        <f>IFERROR(VLOOKUP(E872,케이블트레이입.출고현황!V875:AA950,2,0),"")</f>
        <v/>
      </c>
      <c r="G872" s="19" t="str">
        <f>IFERROR(VLOOKUP(F872,케이블트레이입.출고현황!W875:AB950,2,0),"")</f>
        <v/>
      </c>
      <c r="H872" s="19" t="str">
        <f>IFERROR(VLOOKUP(G872,케이블트레이입.출고현황!X875:AC950,2,0),"")</f>
        <v/>
      </c>
      <c r="I872" s="19" t="str">
        <f>IFERROR(VLOOKUP(H872,케이블트레이입.출고현황!Y875:AD950,2,0),"")</f>
        <v/>
      </c>
      <c r="J872" s="9">
        <v>1</v>
      </c>
      <c r="K872" s="9"/>
      <c r="L872" s="37"/>
      <c r="M872" s="64"/>
      <c r="N872" s="42"/>
    </row>
    <row r="873" spans="1:14" ht="24" customHeight="1">
      <c r="A873" s="8">
        <v>833</v>
      </c>
      <c r="B873" s="9">
        <v>833</v>
      </c>
      <c r="C873" s="46"/>
      <c r="D873" s="9"/>
      <c r="E873" s="19" t="str">
        <f>IFERROR(VLOOKUP(D873,케이블트레이입.출고현황!U876:Z951,2,0),"")</f>
        <v/>
      </c>
      <c r="F873" s="19" t="str">
        <f>IFERROR(VLOOKUP(E873,케이블트레이입.출고현황!V876:AA951,2,0),"")</f>
        <v/>
      </c>
      <c r="G873" s="19" t="str">
        <f>IFERROR(VLOOKUP(F873,케이블트레이입.출고현황!W876:AB951,2,0),"")</f>
        <v/>
      </c>
      <c r="H873" s="19" t="str">
        <f>IFERROR(VLOOKUP(G873,케이블트레이입.출고현황!X876:AC951,2,0),"")</f>
        <v/>
      </c>
      <c r="I873" s="19" t="str">
        <f>IFERROR(VLOOKUP(H873,케이블트레이입.출고현황!Y876:AD951,2,0),"")</f>
        <v/>
      </c>
      <c r="J873" s="9">
        <v>3</v>
      </c>
      <c r="K873" s="9"/>
      <c r="L873" s="37"/>
      <c r="M873" s="64"/>
      <c r="N873" s="42"/>
    </row>
    <row r="874" spans="1:14" ht="24" customHeight="1">
      <c r="A874" s="8">
        <v>834</v>
      </c>
      <c r="B874" s="9">
        <v>834</v>
      </c>
      <c r="C874" s="46"/>
      <c r="D874" s="9"/>
      <c r="E874" s="19" t="str">
        <f>IFERROR(VLOOKUP(D874,케이블트레이입.출고현황!U877:Z952,2,0),"")</f>
        <v/>
      </c>
      <c r="F874" s="19" t="str">
        <f>IFERROR(VLOOKUP(E874,케이블트레이입.출고현황!V877:AA952,2,0),"")</f>
        <v/>
      </c>
      <c r="G874" s="19" t="str">
        <f>IFERROR(VLOOKUP(F874,케이블트레이입.출고현황!W877:AB952,2,0),"")</f>
        <v/>
      </c>
      <c r="H874" s="19" t="str">
        <f>IFERROR(VLOOKUP(G874,케이블트레이입.출고현황!X877:AC952,2,0),"")</f>
        <v/>
      </c>
      <c r="I874" s="19" t="str">
        <f>IFERROR(VLOOKUP(H874,케이블트레이입.출고현황!Y877:AD952,2,0),"")</f>
        <v/>
      </c>
      <c r="J874" s="9">
        <v>2</v>
      </c>
      <c r="K874" s="9"/>
      <c r="L874" s="37"/>
      <c r="M874" s="64"/>
      <c r="N874" s="42"/>
    </row>
    <row r="875" spans="1:14" ht="24" customHeight="1">
      <c r="A875" s="8">
        <v>835</v>
      </c>
      <c r="B875" s="9">
        <v>835</v>
      </c>
      <c r="C875" s="46"/>
      <c r="D875" s="9"/>
      <c r="E875" s="19" t="str">
        <f>IFERROR(VLOOKUP(D875,케이블트레이입.출고현황!U878:Z953,2,0),"")</f>
        <v/>
      </c>
      <c r="F875" s="19" t="str">
        <f>IFERROR(VLOOKUP(E875,케이블트레이입.출고현황!V878:AA953,2,0),"")</f>
        <v/>
      </c>
      <c r="G875" s="19" t="str">
        <f>IFERROR(VLOOKUP(F875,케이블트레이입.출고현황!W878:AB953,2,0),"")</f>
        <v/>
      </c>
      <c r="H875" s="19" t="str">
        <f>IFERROR(VLOOKUP(G875,케이블트레이입.출고현황!X878:AC953,2,0),"")</f>
        <v/>
      </c>
      <c r="I875" s="19" t="str">
        <f>IFERROR(VLOOKUP(H875,케이블트레이입.출고현황!Y878:AD953,2,0),"")</f>
        <v/>
      </c>
      <c r="J875" s="9">
        <v>2</v>
      </c>
      <c r="K875" s="9"/>
      <c r="L875" s="37"/>
      <c r="M875" s="64"/>
      <c r="N875" s="42"/>
    </row>
    <row r="876" spans="1:14" ht="24" customHeight="1">
      <c r="A876" s="8">
        <v>836</v>
      </c>
      <c r="B876" s="9">
        <v>836</v>
      </c>
      <c r="C876" s="46"/>
      <c r="D876" s="9"/>
      <c r="E876" s="19" t="str">
        <f>IFERROR(VLOOKUP(D876,케이블트레이입.출고현황!U879:Z954,2,0),"")</f>
        <v/>
      </c>
      <c r="F876" s="19" t="str">
        <f>IFERROR(VLOOKUP(E876,케이블트레이입.출고현황!V879:AA954,2,0),"")</f>
        <v/>
      </c>
      <c r="G876" s="19" t="str">
        <f>IFERROR(VLOOKUP(F876,케이블트레이입.출고현황!W879:AB954,2,0),"")</f>
        <v/>
      </c>
      <c r="H876" s="19" t="str">
        <f>IFERROR(VLOOKUP(G876,케이블트레이입.출고현황!X879:AC954,2,0),"")</f>
        <v/>
      </c>
      <c r="I876" s="19" t="str">
        <f>IFERROR(VLOOKUP(H876,케이블트레이입.출고현황!Y879:AD954,2,0),"")</f>
        <v/>
      </c>
      <c r="J876" s="9">
        <v>3</v>
      </c>
      <c r="K876" s="9"/>
      <c r="L876" s="37"/>
      <c r="M876" s="64"/>
      <c r="N876" s="42"/>
    </row>
    <row r="877" spans="1:14" ht="24" customHeight="1">
      <c r="A877" s="8">
        <v>837</v>
      </c>
      <c r="B877" s="9">
        <v>837</v>
      </c>
      <c r="C877" s="46"/>
      <c r="D877" s="9"/>
      <c r="E877" s="19" t="str">
        <f>IFERROR(VLOOKUP(D877,케이블트레이입.출고현황!U880:Z955,2,0),"")</f>
        <v/>
      </c>
      <c r="F877" s="19" t="str">
        <f>IFERROR(VLOOKUP(E877,케이블트레이입.출고현황!V880:AA955,2,0),"")</f>
        <v/>
      </c>
      <c r="G877" s="19" t="str">
        <f>IFERROR(VLOOKUP(F877,케이블트레이입.출고현황!W880:AB955,2,0),"")</f>
        <v/>
      </c>
      <c r="H877" s="19" t="str">
        <f>IFERROR(VLOOKUP(G877,케이블트레이입.출고현황!X880:AC955,2,0),"")</f>
        <v/>
      </c>
      <c r="I877" s="19" t="str">
        <f>IFERROR(VLOOKUP(H877,케이블트레이입.출고현황!Y880:AD955,2,0),"")</f>
        <v/>
      </c>
      <c r="J877" s="9">
        <v>1</v>
      </c>
      <c r="K877" s="9"/>
      <c r="L877" s="37"/>
      <c r="M877" s="64"/>
      <c r="N877" s="42"/>
    </row>
    <row r="878" spans="1:14" ht="24" customHeight="1">
      <c r="A878" s="8">
        <v>838</v>
      </c>
      <c r="B878" s="9">
        <v>838</v>
      </c>
      <c r="C878" s="46"/>
      <c r="D878" s="9"/>
      <c r="E878" s="19" t="str">
        <f>IFERROR(VLOOKUP(D878,케이블트레이입.출고현황!U881:Z956,2,0),"")</f>
        <v/>
      </c>
      <c r="F878" s="19" t="str">
        <f>IFERROR(VLOOKUP(E878,케이블트레이입.출고현황!V881:AA956,2,0),"")</f>
        <v/>
      </c>
      <c r="G878" s="19" t="str">
        <f>IFERROR(VLOOKUP(F878,케이블트레이입.출고현황!W881:AB956,2,0),"")</f>
        <v/>
      </c>
      <c r="H878" s="19" t="str">
        <f>IFERROR(VLOOKUP(G878,케이블트레이입.출고현황!X881:AC956,2,0),"")</f>
        <v/>
      </c>
      <c r="I878" s="19" t="str">
        <f>IFERROR(VLOOKUP(H878,케이블트레이입.출고현황!Y881:AD956,2,0),"")</f>
        <v/>
      </c>
      <c r="J878" s="9">
        <v>1</v>
      </c>
      <c r="K878" s="9"/>
      <c r="L878" s="37"/>
      <c r="M878" s="64"/>
      <c r="N878" s="42"/>
    </row>
    <row r="879" spans="1:14" ht="24" customHeight="1">
      <c r="A879" s="8">
        <v>839</v>
      </c>
      <c r="B879" s="9">
        <v>839</v>
      </c>
      <c r="C879" s="46"/>
      <c r="D879" s="9"/>
      <c r="E879" s="19" t="str">
        <f>IFERROR(VLOOKUP(D879,케이블트레이입.출고현황!U882:Z957,2,0),"")</f>
        <v/>
      </c>
      <c r="F879" s="19" t="str">
        <f>IFERROR(VLOOKUP(E879,케이블트레이입.출고현황!V882:AA957,2,0),"")</f>
        <v/>
      </c>
      <c r="G879" s="19" t="str">
        <f>IFERROR(VLOOKUP(F879,케이블트레이입.출고현황!W882:AB957,2,0),"")</f>
        <v/>
      </c>
      <c r="H879" s="19" t="str">
        <f>IFERROR(VLOOKUP(G879,케이블트레이입.출고현황!X882:AC957,2,0),"")</f>
        <v/>
      </c>
      <c r="I879" s="19" t="str">
        <f>IFERROR(VLOOKUP(H879,케이블트레이입.출고현황!Y882:AD957,2,0),"")</f>
        <v/>
      </c>
      <c r="J879" s="9">
        <v>1</v>
      </c>
      <c r="K879" s="9"/>
      <c r="L879" s="37"/>
      <c r="M879" s="64"/>
      <c r="N879" s="42"/>
    </row>
    <row r="880" spans="1:14" ht="24" customHeight="1">
      <c r="A880" s="8">
        <v>840</v>
      </c>
      <c r="B880" s="9">
        <v>840</v>
      </c>
      <c r="C880" s="46"/>
      <c r="D880" s="9"/>
      <c r="E880" s="19" t="str">
        <f>IFERROR(VLOOKUP(D880,케이블트레이입.출고현황!U883:Z958,2,0),"")</f>
        <v/>
      </c>
      <c r="F880" s="19" t="str">
        <f>IFERROR(VLOOKUP(E880,케이블트레이입.출고현황!V883:AA958,2,0),"")</f>
        <v/>
      </c>
      <c r="G880" s="19" t="str">
        <f>IFERROR(VLOOKUP(F880,케이블트레이입.출고현황!W883:AB958,2,0),"")</f>
        <v/>
      </c>
      <c r="H880" s="19" t="str">
        <f>IFERROR(VLOOKUP(G880,케이블트레이입.출고현황!X883:AC958,2,0),"")</f>
        <v/>
      </c>
      <c r="I880" s="19" t="str">
        <f>IFERROR(VLOOKUP(H880,케이블트레이입.출고현황!Y883:AD958,2,0),"")</f>
        <v/>
      </c>
      <c r="J880" s="9">
        <v>3</v>
      </c>
      <c r="K880" s="9"/>
      <c r="L880" s="37"/>
      <c r="M880" s="64"/>
      <c r="N880" s="42"/>
    </row>
    <row r="881" spans="1:14" ht="24" customHeight="1">
      <c r="A881" s="8">
        <v>841</v>
      </c>
      <c r="B881" s="9">
        <v>841</v>
      </c>
      <c r="C881" s="46"/>
      <c r="D881" s="9"/>
      <c r="E881" s="19" t="str">
        <f>IFERROR(VLOOKUP(D881,케이블트레이입.출고현황!U884:Z959,2,0),"")</f>
        <v/>
      </c>
      <c r="F881" s="19" t="str">
        <f>IFERROR(VLOOKUP(E881,케이블트레이입.출고현황!V884:AA959,2,0),"")</f>
        <v/>
      </c>
      <c r="G881" s="19" t="str">
        <f>IFERROR(VLOOKUP(F881,케이블트레이입.출고현황!W884:AB959,2,0),"")</f>
        <v/>
      </c>
      <c r="H881" s="19" t="str">
        <f>IFERROR(VLOOKUP(G881,케이블트레이입.출고현황!X884:AC959,2,0),"")</f>
        <v/>
      </c>
      <c r="I881" s="19" t="str">
        <f>IFERROR(VLOOKUP(H881,케이블트레이입.출고현황!Y884:AD959,2,0),"")</f>
        <v/>
      </c>
      <c r="J881" s="9">
        <v>2</v>
      </c>
      <c r="K881" s="9"/>
      <c r="L881" s="37"/>
      <c r="M881" s="64"/>
      <c r="N881" s="42"/>
    </row>
    <row r="882" spans="1:14" ht="24" customHeight="1">
      <c r="A882" s="8">
        <v>842</v>
      </c>
      <c r="B882" s="9">
        <v>842</v>
      </c>
      <c r="C882" s="46"/>
      <c r="D882" s="9"/>
      <c r="E882" s="19" t="str">
        <f>IFERROR(VLOOKUP(D882,케이블트레이입.출고현황!U885:Z960,2,0),"")</f>
        <v/>
      </c>
      <c r="F882" s="19" t="str">
        <f>IFERROR(VLOOKUP(E882,케이블트레이입.출고현황!V885:AA960,2,0),"")</f>
        <v/>
      </c>
      <c r="G882" s="19" t="str">
        <f>IFERROR(VLOOKUP(F882,케이블트레이입.출고현황!W885:AB960,2,0),"")</f>
        <v/>
      </c>
      <c r="H882" s="19" t="str">
        <f>IFERROR(VLOOKUP(G882,케이블트레이입.출고현황!X885:AC960,2,0),"")</f>
        <v/>
      </c>
      <c r="I882" s="19" t="str">
        <f>IFERROR(VLOOKUP(H882,케이블트레이입.출고현황!Y885:AD960,2,0),"")</f>
        <v/>
      </c>
      <c r="J882" s="9">
        <v>1</v>
      </c>
      <c r="K882" s="9"/>
      <c r="L882" s="37"/>
      <c r="M882" s="64"/>
      <c r="N882" s="42"/>
    </row>
    <row r="883" spans="1:14" ht="24" customHeight="1">
      <c r="A883" s="8">
        <v>843</v>
      </c>
      <c r="B883" s="9">
        <v>843</v>
      </c>
      <c r="C883" s="46"/>
      <c r="D883" s="9"/>
      <c r="E883" s="19" t="str">
        <f>IFERROR(VLOOKUP(D883,케이블트레이입.출고현황!U886:Z961,2,0),"")</f>
        <v/>
      </c>
      <c r="F883" s="19" t="str">
        <f>IFERROR(VLOOKUP(E883,케이블트레이입.출고현황!V886:AA961,2,0),"")</f>
        <v/>
      </c>
      <c r="G883" s="19" t="str">
        <f>IFERROR(VLOOKUP(F883,케이블트레이입.출고현황!W886:AB961,2,0),"")</f>
        <v/>
      </c>
      <c r="H883" s="19" t="str">
        <f>IFERROR(VLOOKUP(G883,케이블트레이입.출고현황!X886:AC961,2,0),"")</f>
        <v/>
      </c>
      <c r="I883" s="19" t="str">
        <f>IFERROR(VLOOKUP(H883,케이블트레이입.출고현황!Y886:AD961,2,0),"")</f>
        <v/>
      </c>
      <c r="J883" s="9" t="s">
        <v>557</v>
      </c>
      <c r="K883" s="9"/>
      <c r="L883" s="37"/>
      <c r="M883" s="64"/>
      <c r="N883" s="42"/>
    </row>
    <row r="884" spans="1:14" ht="24" customHeight="1">
      <c r="A884" s="8">
        <v>844</v>
      </c>
      <c r="B884" s="9">
        <v>844</v>
      </c>
      <c r="C884" s="46"/>
      <c r="D884" s="9"/>
      <c r="E884" s="19" t="str">
        <f>IFERROR(VLOOKUP(D884,케이블트레이입.출고현황!U887:Z962,2,0),"")</f>
        <v/>
      </c>
      <c r="F884" s="19" t="str">
        <f>IFERROR(VLOOKUP(E884,케이블트레이입.출고현황!V887:AA962,2,0),"")</f>
        <v/>
      </c>
      <c r="G884" s="19" t="str">
        <f>IFERROR(VLOOKUP(F884,케이블트레이입.출고현황!W887:AB962,2,0),"")</f>
        <v/>
      </c>
      <c r="H884" s="19" t="str">
        <f>IFERROR(VLOOKUP(G884,케이블트레이입.출고현황!X887:AC962,2,0),"")</f>
        <v/>
      </c>
      <c r="I884" s="19" t="str">
        <f>IFERROR(VLOOKUP(H884,케이블트레이입.출고현황!Y887:AD962,2,0),"")</f>
        <v/>
      </c>
      <c r="J884" s="9" t="s">
        <v>557</v>
      </c>
      <c r="K884" s="9"/>
      <c r="L884" s="37"/>
      <c r="M884" s="64"/>
      <c r="N884" s="42"/>
    </row>
    <row r="885" spans="1:14" ht="24" customHeight="1">
      <c r="A885" s="8">
        <v>845</v>
      </c>
      <c r="B885" s="9">
        <v>845</v>
      </c>
      <c r="C885" s="46"/>
      <c r="D885" s="9"/>
      <c r="E885" s="19" t="str">
        <f>IFERROR(VLOOKUP(D885,케이블트레이입.출고현황!U888:Z963,2,0),"")</f>
        <v/>
      </c>
      <c r="F885" s="19" t="str">
        <f>IFERROR(VLOOKUP(E885,케이블트레이입.출고현황!V888:AA963,2,0),"")</f>
        <v/>
      </c>
      <c r="G885" s="19" t="str">
        <f>IFERROR(VLOOKUP(F885,케이블트레이입.출고현황!W888:AB963,2,0),"")</f>
        <v/>
      </c>
      <c r="H885" s="19" t="str">
        <f>IFERROR(VLOOKUP(G885,케이블트레이입.출고현황!X888:AC963,2,0),"")</f>
        <v/>
      </c>
      <c r="I885" s="19" t="str">
        <f>IFERROR(VLOOKUP(H885,케이블트레이입.출고현황!Y888:AD963,2,0),"")</f>
        <v/>
      </c>
      <c r="J885" s="9">
        <v>2</v>
      </c>
      <c r="K885" s="9"/>
      <c r="L885" s="37"/>
      <c r="M885" s="64"/>
      <c r="N885" s="42"/>
    </row>
    <row r="886" spans="1:14" ht="24" customHeight="1">
      <c r="A886" s="8">
        <v>846</v>
      </c>
      <c r="B886" s="9">
        <v>846</v>
      </c>
      <c r="C886" s="46"/>
      <c r="D886" s="9"/>
      <c r="E886" s="19" t="str">
        <f>IFERROR(VLOOKUP(D886,케이블트레이입.출고현황!U889:Z964,2,0),"")</f>
        <v/>
      </c>
      <c r="F886" s="19" t="str">
        <f>IFERROR(VLOOKUP(E886,케이블트레이입.출고현황!V889:AA964,2,0),"")</f>
        <v/>
      </c>
      <c r="G886" s="19" t="str">
        <f>IFERROR(VLOOKUP(F886,케이블트레이입.출고현황!W889:AB964,2,0),"")</f>
        <v/>
      </c>
      <c r="H886" s="19" t="str">
        <f>IFERROR(VLOOKUP(G886,케이블트레이입.출고현황!X889:AC964,2,0),"")</f>
        <v/>
      </c>
      <c r="I886" s="19" t="str">
        <f>IFERROR(VLOOKUP(H886,케이블트레이입.출고현황!Y889:AD964,2,0),"")</f>
        <v/>
      </c>
      <c r="J886" s="9">
        <v>3</v>
      </c>
      <c r="K886" s="9"/>
      <c r="L886" s="37"/>
      <c r="M886" s="64"/>
      <c r="N886" s="42"/>
    </row>
    <row r="887" spans="1:14" ht="24" customHeight="1">
      <c r="A887" s="8">
        <v>847</v>
      </c>
      <c r="B887" s="9">
        <v>847</v>
      </c>
      <c r="C887" s="46"/>
      <c r="D887" s="9"/>
      <c r="E887" s="19" t="str">
        <f>IFERROR(VLOOKUP(D887,케이블트레이입.출고현황!U890:Z965,2,0),"")</f>
        <v/>
      </c>
      <c r="F887" s="19" t="str">
        <f>IFERROR(VLOOKUP(E887,케이블트레이입.출고현황!V890:AA965,2,0),"")</f>
        <v/>
      </c>
      <c r="G887" s="19" t="str">
        <f>IFERROR(VLOOKUP(F887,케이블트레이입.출고현황!W890:AB965,2,0),"")</f>
        <v/>
      </c>
      <c r="H887" s="19" t="str">
        <f>IFERROR(VLOOKUP(G887,케이블트레이입.출고현황!X890:AC965,2,0),"")</f>
        <v/>
      </c>
      <c r="I887" s="19" t="str">
        <f>IFERROR(VLOOKUP(H887,케이블트레이입.출고현황!Y890:AD965,2,0),"")</f>
        <v/>
      </c>
      <c r="J887" s="9">
        <v>1</v>
      </c>
      <c r="K887" s="9"/>
      <c r="L887" s="37"/>
      <c r="M887" s="64"/>
      <c r="N887" s="42"/>
    </row>
    <row r="888" spans="1:14" ht="24" customHeight="1">
      <c r="A888" s="8">
        <v>848</v>
      </c>
      <c r="B888" s="9">
        <v>848</v>
      </c>
      <c r="C888" s="46"/>
      <c r="D888" s="9"/>
      <c r="E888" s="19" t="str">
        <f>IFERROR(VLOOKUP(D888,케이블트레이입.출고현황!U891:Z966,2,0),"")</f>
        <v/>
      </c>
      <c r="F888" s="19" t="str">
        <f>IFERROR(VLOOKUP(E888,케이블트레이입.출고현황!V891:AA966,2,0),"")</f>
        <v/>
      </c>
      <c r="G888" s="19" t="str">
        <f>IFERROR(VLOOKUP(F888,케이블트레이입.출고현황!W891:AB966,2,0),"")</f>
        <v/>
      </c>
      <c r="H888" s="19" t="str">
        <f>IFERROR(VLOOKUP(G888,케이블트레이입.출고현황!X891:AC966,2,0),"")</f>
        <v/>
      </c>
      <c r="I888" s="19" t="str">
        <f>IFERROR(VLOOKUP(H888,케이블트레이입.출고현황!Y891:AD966,2,0),"")</f>
        <v/>
      </c>
      <c r="J888" s="9">
        <v>3</v>
      </c>
      <c r="K888" s="9"/>
      <c r="L888" s="37"/>
      <c r="M888" s="64"/>
      <c r="N888" s="42"/>
    </row>
    <row r="889" spans="1:14" ht="24" customHeight="1">
      <c r="A889" s="8">
        <v>849</v>
      </c>
      <c r="B889" s="9">
        <v>849</v>
      </c>
      <c r="C889" s="46"/>
      <c r="D889" s="9"/>
      <c r="E889" s="19" t="str">
        <f>IFERROR(VLOOKUP(D889,케이블트레이입.출고현황!U892:Z967,2,0),"")</f>
        <v/>
      </c>
      <c r="F889" s="19" t="str">
        <f>IFERROR(VLOOKUP(E889,케이블트레이입.출고현황!V892:AA967,2,0),"")</f>
        <v/>
      </c>
      <c r="G889" s="19" t="str">
        <f>IFERROR(VLOOKUP(F889,케이블트레이입.출고현황!W892:AB967,2,0),"")</f>
        <v/>
      </c>
      <c r="H889" s="19" t="str">
        <f>IFERROR(VLOOKUP(G889,케이블트레이입.출고현황!X892:AC967,2,0),"")</f>
        <v/>
      </c>
      <c r="I889" s="19" t="str">
        <f>IFERROR(VLOOKUP(H889,케이블트레이입.출고현황!Y892:AD967,2,0),"")</f>
        <v/>
      </c>
      <c r="J889" s="9">
        <v>1</v>
      </c>
      <c r="K889" s="9"/>
      <c r="L889" s="37"/>
      <c r="M889" s="64"/>
      <c r="N889" s="42"/>
    </row>
    <row r="890" spans="1:14" ht="24" customHeight="1">
      <c r="A890" s="8">
        <v>850</v>
      </c>
      <c r="B890" s="9">
        <v>850</v>
      </c>
      <c r="C890" s="46"/>
      <c r="D890" s="9"/>
      <c r="E890" s="19" t="str">
        <f>IFERROR(VLOOKUP(D890,케이블트레이입.출고현황!U893:Z968,2,0),"")</f>
        <v/>
      </c>
      <c r="F890" s="19" t="str">
        <f>IFERROR(VLOOKUP(E890,케이블트레이입.출고현황!V893:AA968,2,0),"")</f>
        <v/>
      </c>
      <c r="G890" s="19" t="str">
        <f>IFERROR(VLOOKUP(F890,케이블트레이입.출고현황!W893:AB968,2,0),"")</f>
        <v/>
      </c>
      <c r="H890" s="19" t="str">
        <f>IFERROR(VLOOKUP(G890,케이블트레이입.출고현황!X893:AC968,2,0),"")</f>
        <v/>
      </c>
      <c r="I890" s="19" t="str">
        <f>IFERROR(VLOOKUP(H890,케이블트레이입.출고현황!Y893:AD968,2,0),"")</f>
        <v/>
      </c>
      <c r="J890" s="9">
        <v>1</v>
      </c>
      <c r="K890" s="9"/>
      <c r="L890" s="37"/>
      <c r="M890" s="64"/>
      <c r="N890" s="42"/>
    </row>
    <row r="891" spans="1:14" ht="24" customHeight="1">
      <c r="A891" s="8">
        <v>851</v>
      </c>
      <c r="B891" s="9">
        <v>851</v>
      </c>
      <c r="C891" s="46"/>
      <c r="D891" s="9"/>
      <c r="E891" s="19" t="str">
        <f>IFERROR(VLOOKUP(D891,케이블트레이입.출고현황!U894:Z969,2,0),"")</f>
        <v/>
      </c>
      <c r="F891" s="19" t="str">
        <f>IFERROR(VLOOKUP(E891,케이블트레이입.출고현황!V894:AA969,2,0),"")</f>
        <v/>
      </c>
      <c r="G891" s="19" t="str">
        <f>IFERROR(VLOOKUP(F891,케이블트레이입.출고현황!W894:AB969,2,0),"")</f>
        <v/>
      </c>
      <c r="H891" s="19" t="str">
        <f>IFERROR(VLOOKUP(G891,케이블트레이입.출고현황!X894:AC969,2,0),"")</f>
        <v/>
      </c>
      <c r="I891" s="19" t="str">
        <f>IFERROR(VLOOKUP(H891,케이블트레이입.출고현황!Y894:AD969,2,0),"")</f>
        <v/>
      </c>
      <c r="J891" s="9">
        <v>2</v>
      </c>
      <c r="K891" s="9"/>
      <c r="L891" s="37"/>
      <c r="M891" s="64"/>
      <c r="N891" s="42"/>
    </row>
    <row r="892" spans="1:14" ht="24" customHeight="1">
      <c r="A892" s="8">
        <v>852</v>
      </c>
      <c r="B892" s="9">
        <v>852</v>
      </c>
      <c r="C892" s="46"/>
      <c r="D892" s="9"/>
      <c r="E892" s="19" t="str">
        <f>IFERROR(VLOOKUP(D892,케이블트레이입.출고현황!U895:Z970,2,0),"")</f>
        <v/>
      </c>
      <c r="F892" s="19" t="str">
        <f>IFERROR(VLOOKUP(E892,케이블트레이입.출고현황!V895:AA970,2,0),"")</f>
        <v/>
      </c>
      <c r="G892" s="19" t="str">
        <f>IFERROR(VLOOKUP(F892,케이블트레이입.출고현황!W895:AB970,2,0),"")</f>
        <v/>
      </c>
      <c r="H892" s="19" t="str">
        <f>IFERROR(VLOOKUP(G892,케이블트레이입.출고현황!X895:AC970,2,0),"")</f>
        <v/>
      </c>
      <c r="I892" s="19" t="str">
        <f>IFERROR(VLOOKUP(H892,케이블트레이입.출고현황!Y895:AD970,2,0),"")</f>
        <v/>
      </c>
      <c r="J892" s="9">
        <v>1</v>
      </c>
      <c r="K892" s="9"/>
      <c r="L892" s="37"/>
      <c r="M892" s="64"/>
      <c r="N892" s="42"/>
    </row>
    <row r="893" spans="1:14" ht="24" customHeight="1">
      <c r="A893" s="8">
        <v>853</v>
      </c>
      <c r="B893" s="9">
        <v>853</v>
      </c>
      <c r="C893" s="46"/>
      <c r="D893" s="9"/>
      <c r="E893" s="19" t="str">
        <f>IFERROR(VLOOKUP(D893,케이블트레이입.출고현황!U896:Z971,2,0),"")</f>
        <v/>
      </c>
      <c r="F893" s="19" t="str">
        <f>IFERROR(VLOOKUP(E893,케이블트레이입.출고현황!V896:AA971,2,0),"")</f>
        <v/>
      </c>
      <c r="G893" s="19" t="str">
        <f>IFERROR(VLOOKUP(F893,케이블트레이입.출고현황!W896:AB971,2,0),"")</f>
        <v/>
      </c>
      <c r="H893" s="19" t="str">
        <f>IFERROR(VLOOKUP(G893,케이블트레이입.출고현황!X896:AC971,2,0),"")</f>
        <v/>
      </c>
      <c r="I893" s="19" t="str">
        <f>IFERROR(VLOOKUP(H893,케이블트레이입.출고현황!Y896:AD971,2,0),"")</f>
        <v/>
      </c>
      <c r="J893" s="9">
        <v>1</v>
      </c>
      <c r="K893" s="9"/>
      <c r="L893" s="37"/>
      <c r="M893" s="64"/>
      <c r="N893" s="42"/>
    </row>
    <row r="894" spans="1:14" ht="24" customHeight="1">
      <c r="A894" s="8">
        <v>854</v>
      </c>
      <c r="B894" s="9">
        <v>854</v>
      </c>
      <c r="C894" s="46"/>
      <c r="D894" s="9"/>
      <c r="E894" s="19" t="str">
        <f>IFERROR(VLOOKUP(D894,케이블트레이입.출고현황!U897:Z972,2,0),"")</f>
        <v/>
      </c>
      <c r="F894" s="19" t="str">
        <f>IFERROR(VLOOKUP(E894,케이블트레이입.출고현황!V897:AA972,2,0),"")</f>
        <v/>
      </c>
      <c r="G894" s="19" t="str">
        <f>IFERROR(VLOOKUP(F894,케이블트레이입.출고현황!W897:AB972,2,0),"")</f>
        <v/>
      </c>
      <c r="H894" s="19" t="str">
        <f>IFERROR(VLOOKUP(G894,케이블트레이입.출고현황!X897:AC972,2,0),"")</f>
        <v/>
      </c>
      <c r="I894" s="19" t="str">
        <f>IFERROR(VLOOKUP(H894,케이블트레이입.출고현황!Y897:AD972,2,0),"")</f>
        <v/>
      </c>
      <c r="J894" s="9">
        <v>1</v>
      </c>
      <c r="K894" s="9"/>
      <c r="L894" s="37"/>
      <c r="M894" s="64"/>
      <c r="N894" s="42"/>
    </row>
    <row r="895" spans="1:14" ht="24" customHeight="1">
      <c r="A895" s="8">
        <v>855</v>
      </c>
      <c r="B895" s="9">
        <v>855</v>
      </c>
      <c r="C895" s="46"/>
      <c r="D895" s="9"/>
      <c r="E895" s="19" t="str">
        <f>IFERROR(VLOOKUP(D895,케이블트레이입.출고현황!U898:Z973,2,0),"")</f>
        <v/>
      </c>
      <c r="F895" s="19" t="str">
        <f>IFERROR(VLOOKUP(E895,케이블트레이입.출고현황!V898:AA973,2,0),"")</f>
        <v/>
      </c>
      <c r="G895" s="19" t="str">
        <f>IFERROR(VLOOKUP(F895,케이블트레이입.출고현황!W898:AB973,2,0),"")</f>
        <v/>
      </c>
      <c r="H895" s="19" t="str">
        <f>IFERROR(VLOOKUP(G895,케이블트레이입.출고현황!X898:AC973,2,0),"")</f>
        <v/>
      </c>
      <c r="I895" s="19" t="str">
        <f>IFERROR(VLOOKUP(H895,케이블트레이입.출고현황!Y898:AD973,2,0),"")</f>
        <v/>
      </c>
      <c r="J895" s="9">
        <v>2</v>
      </c>
      <c r="K895" s="9"/>
      <c r="L895" s="37"/>
      <c r="M895" s="64"/>
      <c r="N895" s="42"/>
    </row>
    <row r="896" spans="1:14" ht="24" customHeight="1">
      <c r="A896" s="8">
        <v>856</v>
      </c>
      <c r="B896" s="9">
        <v>856</v>
      </c>
      <c r="C896" s="46"/>
      <c r="D896" s="9"/>
      <c r="E896" s="19" t="str">
        <f>IFERROR(VLOOKUP(D896,케이블트레이입.출고현황!U899:Z974,2,0),"")</f>
        <v/>
      </c>
      <c r="F896" s="19" t="str">
        <f>IFERROR(VLOOKUP(E896,케이블트레이입.출고현황!V899:AA974,2,0),"")</f>
        <v/>
      </c>
      <c r="G896" s="19" t="str">
        <f>IFERROR(VLOOKUP(F896,케이블트레이입.출고현황!W899:AB974,2,0),"")</f>
        <v/>
      </c>
      <c r="H896" s="19" t="str">
        <f>IFERROR(VLOOKUP(G896,케이블트레이입.출고현황!X899:AC974,2,0),"")</f>
        <v/>
      </c>
      <c r="I896" s="19" t="str">
        <f>IFERROR(VLOOKUP(H896,케이블트레이입.출고현황!Y899:AD974,2,0),"")</f>
        <v/>
      </c>
      <c r="J896" s="9">
        <v>2</v>
      </c>
      <c r="K896" s="9"/>
      <c r="L896" s="37"/>
      <c r="M896" s="64"/>
      <c r="N896" s="42"/>
    </row>
    <row r="897" spans="1:14" ht="24" customHeight="1">
      <c r="A897" s="8">
        <v>857</v>
      </c>
      <c r="B897" s="9">
        <v>857</v>
      </c>
      <c r="C897" s="46"/>
      <c r="D897" s="9"/>
      <c r="E897" s="19" t="str">
        <f>IFERROR(VLOOKUP(D897,케이블트레이입.출고현황!U900:Z975,2,0),"")</f>
        <v/>
      </c>
      <c r="F897" s="19" t="str">
        <f>IFERROR(VLOOKUP(E897,케이블트레이입.출고현황!V900:AA975,2,0),"")</f>
        <v/>
      </c>
      <c r="G897" s="19" t="str">
        <f>IFERROR(VLOOKUP(F897,케이블트레이입.출고현황!W900:AB975,2,0),"")</f>
        <v/>
      </c>
      <c r="H897" s="19" t="str">
        <f>IFERROR(VLOOKUP(G897,케이블트레이입.출고현황!X900:AC975,2,0),"")</f>
        <v/>
      </c>
      <c r="I897" s="19" t="str">
        <f>IFERROR(VLOOKUP(H897,케이블트레이입.출고현황!Y900:AD975,2,0),"")</f>
        <v/>
      </c>
      <c r="J897" s="9">
        <v>1</v>
      </c>
      <c r="K897" s="9"/>
      <c r="L897" s="37"/>
      <c r="M897" s="64"/>
      <c r="N897" s="42"/>
    </row>
    <row r="898" spans="1:14" ht="24" customHeight="1">
      <c r="A898" s="8">
        <v>858</v>
      </c>
      <c r="B898" s="9">
        <v>858</v>
      </c>
      <c r="C898" s="46"/>
      <c r="D898" s="9"/>
      <c r="E898" s="19" t="str">
        <f>IFERROR(VLOOKUP(D898,케이블트레이입.출고현황!U901:Z976,2,0),"")</f>
        <v/>
      </c>
      <c r="F898" s="19" t="str">
        <f>IFERROR(VLOOKUP(E898,케이블트레이입.출고현황!V901:AA976,2,0),"")</f>
        <v/>
      </c>
      <c r="G898" s="19" t="str">
        <f>IFERROR(VLOOKUP(F898,케이블트레이입.출고현황!W901:AB976,2,0),"")</f>
        <v/>
      </c>
      <c r="H898" s="19" t="str">
        <f>IFERROR(VLOOKUP(G898,케이블트레이입.출고현황!X901:AC976,2,0),"")</f>
        <v/>
      </c>
      <c r="I898" s="19" t="str">
        <f>IFERROR(VLOOKUP(H898,케이블트레이입.출고현황!Y901:AD976,2,0),"")</f>
        <v/>
      </c>
      <c r="J898" s="9">
        <v>1</v>
      </c>
      <c r="K898" s="9"/>
      <c r="L898" s="37"/>
      <c r="M898" s="64"/>
      <c r="N898" s="42"/>
    </row>
    <row r="899" spans="1:14" ht="24" customHeight="1">
      <c r="A899" s="8">
        <v>859</v>
      </c>
      <c r="B899" s="9">
        <v>859</v>
      </c>
      <c r="C899" s="46"/>
      <c r="D899" s="9"/>
      <c r="E899" s="19" t="str">
        <f>IFERROR(VLOOKUP(D899,케이블트레이입.출고현황!U902:Z977,2,0),"")</f>
        <v/>
      </c>
      <c r="F899" s="19" t="str">
        <f>IFERROR(VLOOKUP(E899,케이블트레이입.출고현황!V902:AA977,2,0),"")</f>
        <v/>
      </c>
      <c r="G899" s="19" t="str">
        <f>IFERROR(VLOOKUP(F899,케이블트레이입.출고현황!W902:AB977,2,0),"")</f>
        <v/>
      </c>
      <c r="H899" s="19" t="str">
        <f>IFERROR(VLOOKUP(G899,케이블트레이입.출고현황!X902:AC977,2,0),"")</f>
        <v/>
      </c>
      <c r="I899" s="19" t="str">
        <f>IFERROR(VLOOKUP(H899,케이블트레이입.출고현황!Y902:AD977,2,0),"")</f>
        <v/>
      </c>
      <c r="J899" s="9">
        <v>2</v>
      </c>
      <c r="K899" s="9"/>
      <c r="L899" s="37"/>
      <c r="M899" s="64"/>
      <c r="N899" s="42"/>
    </row>
    <row r="900" spans="1:14" ht="24" customHeight="1">
      <c r="A900" s="8">
        <v>860</v>
      </c>
      <c r="B900" s="9">
        <v>860</v>
      </c>
      <c r="C900" s="46"/>
      <c r="D900" s="9"/>
      <c r="E900" s="19" t="str">
        <f>IFERROR(VLOOKUP(D900,케이블트레이입.출고현황!U903:Z978,2,0),"")</f>
        <v/>
      </c>
      <c r="F900" s="19" t="str">
        <f>IFERROR(VLOOKUP(E900,케이블트레이입.출고현황!V903:AA978,2,0),"")</f>
        <v/>
      </c>
      <c r="G900" s="19" t="str">
        <f>IFERROR(VLOOKUP(F900,케이블트레이입.출고현황!W903:AB978,2,0),"")</f>
        <v/>
      </c>
      <c r="H900" s="19" t="str">
        <f>IFERROR(VLOOKUP(G900,케이블트레이입.출고현황!X903:AC978,2,0),"")</f>
        <v/>
      </c>
      <c r="I900" s="19" t="str">
        <f>IFERROR(VLOOKUP(H900,케이블트레이입.출고현황!Y903:AD978,2,0),"")</f>
        <v/>
      </c>
      <c r="J900" s="9">
        <v>1</v>
      </c>
      <c r="K900" s="9"/>
      <c r="L900" s="37"/>
      <c r="M900" s="64"/>
      <c r="N900" s="42"/>
    </row>
    <row r="901" spans="1:14" ht="24" customHeight="1">
      <c r="A901" s="8">
        <v>861</v>
      </c>
      <c r="B901" s="9">
        <v>861</v>
      </c>
      <c r="C901" s="46"/>
      <c r="D901" s="9"/>
      <c r="E901" s="19" t="str">
        <f>IFERROR(VLOOKUP(D901,케이블트레이입.출고현황!U904:Z979,2,0),"")</f>
        <v/>
      </c>
      <c r="F901" s="19" t="str">
        <f>IFERROR(VLOOKUP(E901,케이블트레이입.출고현황!V904:AA979,2,0),"")</f>
        <v/>
      </c>
      <c r="G901" s="19" t="str">
        <f>IFERROR(VLOOKUP(F901,케이블트레이입.출고현황!W904:AB979,2,0),"")</f>
        <v/>
      </c>
      <c r="H901" s="19" t="str">
        <f>IFERROR(VLOOKUP(G901,케이블트레이입.출고현황!X904:AC979,2,0),"")</f>
        <v/>
      </c>
      <c r="I901" s="19" t="str">
        <f>IFERROR(VLOOKUP(H901,케이블트레이입.출고현황!Y904:AD979,2,0),"")</f>
        <v/>
      </c>
      <c r="J901" s="9">
        <v>1</v>
      </c>
      <c r="K901" s="9"/>
      <c r="L901" s="37"/>
      <c r="M901" s="64"/>
      <c r="N901" s="42"/>
    </row>
    <row r="902" spans="1:14" ht="24" customHeight="1">
      <c r="A902" s="8">
        <v>862</v>
      </c>
      <c r="B902" s="9">
        <v>862</v>
      </c>
      <c r="C902" s="46"/>
      <c r="D902" s="9"/>
      <c r="E902" s="19" t="str">
        <f>IFERROR(VLOOKUP(D902,케이블트레이입.출고현황!U905:Z980,2,0),"")</f>
        <v/>
      </c>
      <c r="F902" s="19" t="str">
        <f>IFERROR(VLOOKUP(E902,케이블트레이입.출고현황!V905:AA980,2,0),"")</f>
        <v/>
      </c>
      <c r="G902" s="19" t="str">
        <f>IFERROR(VLOOKUP(F902,케이블트레이입.출고현황!W905:AB980,2,0),"")</f>
        <v/>
      </c>
      <c r="H902" s="19" t="str">
        <f>IFERROR(VLOOKUP(G902,케이블트레이입.출고현황!X905:AC980,2,0),"")</f>
        <v/>
      </c>
      <c r="I902" s="19" t="str">
        <f>IFERROR(VLOOKUP(H902,케이블트레이입.출고현황!Y905:AD980,2,0),"")</f>
        <v/>
      </c>
      <c r="J902" s="9">
        <v>1</v>
      </c>
      <c r="K902" s="9"/>
      <c r="L902" s="37"/>
      <c r="M902" s="64"/>
      <c r="N902" s="42"/>
    </row>
    <row r="903" spans="1:14" ht="24" customHeight="1">
      <c r="A903" s="8">
        <v>863</v>
      </c>
      <c r="B903" s="9">
        <v>863</v>
      </c>
      <c r="C903" s="46"/>
      <c r="D903" s="9"/>
      <c r="E903" s="19" t="str">
        <f>IFERROR(VLOOKUP(D903,케이블트레이입.출고현황!U906:Z981,2,0),"")</f>
        <v/>
      </c>
      <c r="F903" s="19" t="str">
        <f>IFERROR(VLOOKUP(E903,케이블트레이입.출고현황!V906:AA981,2,0),"")</f>
        <v/>
      </c>
      <c r="G903" s="19" t="str">
        <f>IFERROR(VLOOKUP(F903,케이블트레이입.출고현황!W906:AB981,2,0),"")</f>
        <v/>
      </c>
      <c r="H903" s="19" t="str">
        <f>IFERROR(VLOOKUP(G903,케이블트레이입.출고현황!X906:AC981,2,0),"")</f>
        <v/>
      </c>
      <c r="I903" s="19" t="str">
        <f>IFERROR(VLOOKUP(H903,케이블트레이입.출고현황!Y906:AD981,2,0),"")</f>
        <v/>
      </c>
      <c r="J903" s="9">
        <v>2</v>
      </c>
      <c r="K903" s="9"/>
      <c r="L903" s="37"/>
      <c r="M903" s="64"/>
      <c r="N903" s="42"/>
    </row>
    <row r="904" spans="1:14" ht="24" customHeight="1">
      <c r="A904" s="8">
        <v>864</v>
      </c>
      <c r="B904" s="9">
        <v>864</v>
      </c>
      <c r="C904" s="46"/>
      <c r="D904" s="9"/>
      <c r="E904" s="19" t="str">
        <f>IFERROR(VLOOKUP(D904,케이블트레이입.출고현황!U907:Z982,2,0),"")</f>
        <v/>
      </c>
      <c r="F904" s="19" t="str">
        <f>IFERROR(VLOOKUP(E904,케이블트레이입.출고현황!V907:AA982,2,0),"")</f>
        <v/>
      </c>
      <c r="G904" s="19" t="str">
        <f>IFERROR(VLOOKUP(F904,케이블트레이입.출고현황!W907:AB982,2,0),"")</f>
        <v/>
      </c>
      <c r="H904" s="19" t="str">
        <f>IFERROR(VLOOKUP(G904,케이블트레이입.출고현황!X907:AC982,2,0),"")</f>
        <v/>
      </c>
      <c r="I904" s="19" t="str">
        <f>IFERROR(VLOOKUP(H904,케이블트레이입.출고현황!Y907:AD982,2,0),"")</f>
        <v/>
      </c>
      <c r="J904" s="9" t="s">
        <v>557</v>
      </c>
      <c r="K904" s="9"/>
      <c r="L904" s="37"/>
      <c r="M904" s="64"/>
      <c r="N904" s="42"/>
    </row>
    <row r="905" spans="1:14" ht="24" customHeight="1">
      <c r="A905" s="8">
        <v>865</v>
      </c>
      <c r="B905" s="9">
        <v>865</v>
      </c>
      <c r="C905" s="46"/>
      <c r="D905" s="9"/>
      <c r="E905" s="19" t="str">
        <f>IFERROR(VLOOKUP(D905,케이블트레이입.출고현황!U908:Z983,2,0),"")</f>
        <v/>
      </c>
      <c r="F905" s="19" t="str">
        <f>IFERROR(VLOOKUP(E905,케이블트레이입.출고현황!V908:AA983,2,0),"")</f>
        <v/>
      </c>
      <c r="G905" s="19" t="str">
        <f>IFERROR(VLOOKUP(F905,케이블트레이입.출고현황!W908:AB983,2,0),"")</f>
        <v/>
      </c>
      <c r="H905" s="19" t="str">
        <f>IFERROR(VLOOKUP(G905,케이블트레이입.출고현황!X908:AC983,2,0),"")</f>
        <v/>
      </c>
      <c r="I905" s="19" t="str">
        <f>IFERROR(VLOOKUP(H905,케이블트레이입.출고현황!Y908:AD983,2,0),"")</f>
        <v/>
      </c>
      <c r="J905" s="9">
        <v>1</v>
      </c>
      <c r="K905" s="9"/>
      <c r="L905" s="37"/>
      <c r="M905" s="64"/>
      <c r="N905" s="42"/>
    </row>
    <row r="906" spans="1:14" ht="24" customHeight="1">
      <c r="A906" s="8">
        <v>866</v>
      </c>
      <c r="B906" s="9">
        <v>866</v>
      </c>
      <c r="C906" s="46"/>
      <c r="D906" s="9"/>
      <c r="E906" s="19" t="str">
        <f>IFERROR(VLOOKUP(D906,케이블트레이입.출고현황!U909:Z984,2,0),"")</f>
        <v/>
      </c>
      <c r="F906" s="19" t="str">
        <f>IFERROR(VLOOKUP(E906,케이블트레이입.출고현황!V909:AA984,2,0),"")</f>
        <v/>
      </c>
      <c r="G906" s="19" t="str">
        <f>IFERROR(VLOOKUP(F906,케이블트레이입.출고현황!W909:AB984,2,0),"")</f>
        <v/>
      </c>
      <c r="H906" s="19" t="str">
        <f>IFERROR(VLOOKUP(G906,케이블트레이입.출고현황!X909:AC984,2,0),"")</f>
        <v/>
      </c>
      <c r="I906" s="19" t="str">
        <f>IFERROR(VLOOKUP(H906,케이블트레이입.출고현황!Y909:AD984,2,0),"")</f>
        <v/>
      </c>
      <c r="J906" s="9">
        <v>1</v>
      </c>
      <c r="K906" s="9"/>
      <c r="L906" s="37"/>
      <c r="M906" s="64"/>
      <c r="N906" s="42"/>
    </row>
    <row r="907" spans="1:14" ht="24" customHeight="1">
      <c r="A907" s="8">
        <v>867</v>
      </c>
      <c r="B907" s="9">
        <v>867</v>
      </c>
      <c r="C907" s="46"/>
      <c r="D907" s="9"/>
      <c r="E907" s="19" t="str">
        <f>IFERROR(VLOOKUP(D907,케이블트레이입.출고현황!U910:Z985,2,0),"")</f>
        <v/>
      </c>
      <c r="F907" s="19" t="str">
        <f>IFERROR(VLOOKUP(E907,케이블트레이입.출고현황!V910:AA985,2,0),"")</f>
        <v/>
      </c>
      <c r="G907" s="19" t="str">
        <f>IFERROR(VLOOKUP(F907,케이블트레이입.출고현황!W910:AB985,2,0),"")</f>
        <v/>
      </c>
      <c r="H907" s="19" t="str">
        <f>IFERROR(VLOOKUP(G907,케이블트레이입.출고현황!X910:AC985,2,0),"")</f>
        <v/>
      </c>
      <c r="I907" s="19" t="str">
        <f>IFERROR(VLOOKUP(H907,케이블트레이입.출고현황!Y910:AD985,2,0),"")</f>
        <v/>
      </c>
      <c r="J907" s="9">
        <v>2</v>
      </c>
      <c r="K907" s="9"/>
      <c r="L907" s="37"/>
      <c r="M907" s="64"/>
      <c r="N907" s="42"/>
    </row>
    <row r="908" spans="1:14" ht="24" customHeight="1">
      <c r="A908" s="8">
        <v>868</v>
      </c>
      <c r="B908" s="9">
        <v>868</v>
      </c>
      <c r="C908" s="46"/>
      <c r="D908" s="9"/>
      <c r="E908" s="19" t="str">
        <f>IFERROR(VLOOKUP(D908,케이블트레이입.출고현황!U911:Z986,2,0),"")</f>
        <v/>
      </c>
      <c r="F908" s="19" t="str">
        <f>IFERROR(VLOOKUP(E908,케이블트레이입.출고현황!V911:AA986,2,0),"")</f>
        <v/>
      </c>
      <c r="G908" s="19" t="str">
        <f>IFERROR(VLOOKUP(F908,케이블트레이입.출고현황!W911:AB986,2,0),"")</f>
        <v/>
      </c>
      <c r="H908" s="19" t="str">
        <f>IFERROR(VLOOKUP(G908,케이블트레이입.출고현황!X911:AC986,2,0),"")</f>
        <v/>
      </c>
      <c r="I908" s="19" t="str">
        <f>IFERROR(VLOOKUP(H908,케이블트레이입.출고현황!Y911:AD986,2,0),"")</f>
        <v/>
      </c>
      <c r="J908" s="9">
        <v>4</v>
      </c>
      <c r="K908" s="9"/>
      <c r="L908" s="37"/>
      <c r="M908" s="64"/>
      <c r="N908" s="42"/>
    </row>
    <row r="909" spans="1:14" ht="24" customHeight="1">
      <c r="A909" s="8">
        <v>869</v>
      </c>
      <c r="B909" s="9">
        <v>869</v>
      </c>
      <c r="C909" s="46"/>
      <c r="D909" s="9"/>
      <c r="E909" s="19" t="str">
        <f>IFERROR(VLOOKUP(D909,케이블트레이입.출고현황!U912:Z987,2,0),"")</f>
        <v/>
      </c>
      <c r="F909" s="19" t="str">
        <f>IFERROR(VLOOKUP(E909,케이블트레이입.출고현황!V912:AA987,2,0),"")</f>
        <v/>
      </c>
      <c r="G909" s="19" t="str">
        <f>IFERROR(VLOOKUP(F909,케이블트레이입.출고현황!W912:AB987,2,0),"")</f>
        <v/>
      </c>
      <c r="H909" s="19" t="str">
        <f>IFERROR(VLOOKUP(G909,케이블트레이입.출고현황!X912:AC987,2,0),"")</f>
        <v/>
      </c>
      <c r="I909" s="19" t="str">
        <f>IFERROR(VLOOKUP(H909,케이블트레이입.출고현황!Y912:AD987,2,0),"")</f>
        <v/>
      </c>
      <c r="J909" s="9">
        <v>2</v>
      </c>
      <c r="K909" s="9"/>
      <c r="L909" s="37"/>
      <c r="M909" s="64"/>
      <c r="N909" s="42"/>
    </row>
    <row r="910" spans="1:14" ht="24" customHeight="1">
      <c r="A910" s="8">
        <v>870</v>
      </c>
      <c r="B910" s="9">
        <v>870</v>
      </c>
      <c r="C910" s="46"/>
      <c r="D910" s="9"/>
      <c r="E910" s="19" t="str">
        <f>IFERROR(VLOOKUP(D910,케이블트레이입.출고현황!U913:Z988,2,0),"")</f>
        <v/>
      </c>
      <c r="F910" s="19" t="str">
        <f>IFERROR(VLOOKUP(E910,케이블트레이입.출고현황!V913:AA988,2,0),"")</f>
        <v/>
      </c>
      <c r="G910" s="19" t="str">
        <f>IFERROR(VLOOKUP(F910,케이블트레이입.출고현황!W913:AB988,2,0),"")</f>
        <v/>
      </c>
      <c r="H910" s="19" t="str">
        <f>IFERROR(VLOOKUP(G910,케이블트레이입.출고현황!X913:AC988,2,0),"")</f>
        <v/>
      </c>
      <c r="I910" s="19" t="str">
        <f>IFERROR(VLOOKUP(H910,케이블트레이입.출고현황!Y913:AD988,2,0),"")</f>
        <v/>
      </c>
      <c r="J910" s="9">
        <v>1</v>
      </c>
      <c r="K910" s="9"/>
      <c r="L910" s="37"/>
      <c r="M910" s="64"/>
      <c r="N910" s="42"/>
    </row>
    <row r="911" spans="1:14" ht="24" customHeight="1">
      <c r="A911" s="8">
        <v>871</v>
      </c>
      <c r="B911" s="9">
        <v>871</v>
      </c>
      <c r="C911" s="46"/>
      <c r="D911" s="9"/>
      <c r="E911" s="19" t="str">
        <f>IFERROR(VLOOKUP(D911,케이블트레이입.출고현황!U914:Z989,2,0),"")</f>
        <v/>
      </c>
      <c r="F911" s="19" t="str">
        <f>IFERROR(VLOOKUP(E911,케이블트레이입.출고현황!V914:AA989,2,0),"")</f>
        <v/>
      </c>
      <c r="G911" s="19" t="str">
        <f>IFERROR(VLOOKUP(F911,케이블트레이입.출고현황!W914:AB989,2,0),"")</f>
        <v/>
      </c>
      <c r="H911" s="19" t="str">
        <f>IFERROR(VLOOKUP(G911,케이블트레이입.출고현황!X914:AC989,2,0),"")</f>
        <v/>
      </c>
      <c r="I911" s="19" t="str">
        <f>IFERROR(VLOOKUP(H911,케이블트레이입.출고현황!Y914:AD989,2,0),"")</f>
        <v/>
      </c>
      <c r="J911" s="9">
        <v>2</v>
      </c>
      <c r="K911" s="9"/>
      <c r="L911" s="37"/>
      <c r="M911" s="64"/>
      <c r="N911" s="42"/>
    </row>
    <row r="912" spans="1:14" ht="24" customHeight="1">
      <c r="A912" s="8">
        <v>872</v>
      </c>
      <c r="B912" s="9">
        <v>872</v>
      </c>
      <c r="C912" s="46"/>
      <c r="D912" s="9"/>
      <c r="E912" s="19" t="str">
        <f>IFERROR(VLOOKUP(D912,케이블트레이입.출고현황!U915:Z990,2,0),"")</f>
        <v/>
      </c>
      <c r="F912" s="19" t="str">
        <f>IFERROR(VLOOKUP(E912,케이블트레이입.출고현황!V915:AA990,2,0),"")</f>
        <v/>
      </c>
      <c r="G912" s="19" t="str">
        <f>IFERROR(VLOOKUP(F912,케이블트레이입.출고현황!W915:AB990,2,0),"")</f>
        <v/>
      </c>
      <c r="H912" s="19" t="str">
        <f>IFERROR(VLOOKUP(G912,케이블트레이입.출고현황!X915:AC990,2,0),"")</f>
        <v/>
      </c>
      <c r="I912" s="19" t="str">
        <f>IFERROR(VLOOKUP(H912,케이블트레이입.출고현황!Y915:AD990,2,0),"")</f>
        <v/>
      </c>
      <c r="J912" s="9">
        <v>1</v>
      </c>
      <c r="K912" s="9"/>
      <c r="L912" s="37"/>
      <c r="M912" s="64"/>
      <c r="N912" s="42"/>
    </row>
    <row r="913" spans="1:14" ht="24" customHeight="1">
      <c r="A913" s="8">
        <v>873</v>
      </c>
      <c r="B913" s="9">
        <v>873</v>
      </c>
      <c r="C913" s="46"/>
      <c r="D913" s="9"/>
      <c r="E913" s="19" t="str">
        <f>IFERROR(VLOOKUP(D913,케이블트레이입.출고현황!U916:Z991,2,0),"")</f>
        <v/>
      </c>
      <c r="F913" s="19" t="str">
        <f>IFERROR(VLOOKUP(E913,케이블트레이입.출고현황!V916:AA991,2,0),"")</f>
        <v/>
      </c>
      <c r="G913" s="19" t="str">
        <f>IFERROR(VLOOKUP(F913,케이블트레이입.출고현황!W916:AB991,2,0),"")</f>
        <v/>
      </c>
      <c r="H913" s="19" t="str">
        <f>IFERROR(VLOOKUP(G913,케이블트레이입.출고현황!X916:AC991,2,0),"")</f>
        <v/>
      </c>
      <c r="I913" s="19" t="str">
        <f>IFERROR(VLOOKUP(H913,케이블트레이입.출고현황!Y916:AD991,2,0),"")</f>
        <v/>
      </c>
      <c r="J913" s="9">
        <v>1</v>
      </c>
      <c r="K913" s="9"/>
      <c r="L913" s="37"/>
      <c r="M913" s="64"/>
      <c r="N913" s="42"/>
    </row>
    <row r="914" spans="1:14" ht="24" customHeight="1">
      <c r="A914" s="8">
        <v>874</v>
      </c>
      <c r="B914" s="9">
        <v>874</v>
      </c>
      <c r="C914" s="46"/>
      <c r="D914" s="9"/>
      <c r="E914" s="19" t="str">
        <f>IFERROR(VLOOKUP(D914,케이블트레이입.출고현황!U917:Z992,2,0),"")</f>
        <v/>
      </c>
      <c r="F914" s="19" t="str">
        <f>IFERROR(VLOOKUP(E914,케이블트레이입.출고현황!V917:AA992,2,0),"")</f>
        <v/>
      </c>
      <c r="G914" s="19" t="str">
        <f>IFERROR(VLOOKUP(F914,케이블트레이입.출고현황!W917:AB992,2,0),"")</f>
        <v/>
      </c>
      <c r="H914" s="19" t="str">
        <f>IFERROR(VLOOKUP(G914,케이블트레이입.출고현황!X917:AC992,2,0),"")</f>
        <v/>
      </c>
      <c r="I914" s="19" t="str">
        <f>IFERROR(VLOOKUP(H914,케이블트레이입.출고현황!Y917:AD992,2,0),"")</f>
        <v/>
      </c>
      <c r="J914" s="9">
        <v>1</v>
      </c>
      <c r="K914" s="9"/>
      <c r="L914" s="37"/>
      <c r="M914" s="64"/>
      <c r="N914" s="42"/>
    </row>
    <row r="915" spans="1:14" ht="24" customHeight="1">
      <c r="A915" s="8">
        <v>875</v>
      </c>
      <c r="B915" s="9">
        <v>875</v>
      </c>
      <c r="C915" s="46"/>
      <c r="D915" s="9"/>
      <c r="E915" s="19" t="str">
        <f>IFERROR(VLOOKUP(D915,케이블트레이입.출고현황!U918:Z993,2,0),"")</f>
        <v/>
      </c>
      <c r="F915" s="19" t="str">
        <f>IFERROR(VLOOKUP(E915,케이블트레이입.출고현황!V918:AA993,2,0),"")</f>
        <v/>
      </c>
      <c r="G915" s="19" t="str">
        <f>IFERROR(VLOOKUP(F915,케이블트레이입.출고현황!W918:AB993,2,0),"")</f>
        <v/>
      </c>
      <c r="H915" s="19" t="str">
        <f>IFERROR(VLOOKUP(G915,케이블트레이입.출고현황!X918:AC993,2,0),"")</f>
        <v/>
      </c>
      <c r="I915" s="19" t="str">
        <f>IFERROR(VLOOKUP(H915,케이블트레이입.출고현황!Y918:AD993,2,0),"")</f>
        <v/>
      </c>
      <c r="J915" s="9">
        <v>2</v>
      </c>
      <c r="K915" s="9"/>
      <c r="L915" s="37"/>
      <c r="M915" s="64"/>
      <c r="N915" s="42"/>
    </row>
    <row r="916" spans="1:14" ht="24" customHeight="1">
      <c r="A916" s="8">
        <v>876</v>
      </c>
      <c r="B916" s="9">
        <v>876</v>
      </c>
      <c r="C916" s="46"/>
      <c r="D916" s="9"/>
      <c r="E916" s="19" t="str">
        <f>IFERROR(VLOOKUP(D916,케이블트레이입.출고현황!U919:Z994,2,0),"")</f>
        <v/>
      </c>
      <c r="F916" s="19" t="str">
        <f>IFERROR(VLOOKUP(E916,케이블트레이입.출고현황!V919:AA994,2,0),"")</f>
        <v/>
      </c>
      <c r="G916" s="19" t="str">
        <f>IFERROR(VLOOKUP(F916,케이블트레이입.출고현황!W919:AB994,2,0),"")</f>
        <v/>
      </c>
      <c r="H916" s="19" t="str">
        <f>IFERROR(VLOOKUP(G916,케이블트레이입.출고현황!X919:AC994,2,0),"")</f>
        <v/>
      </c>
      <c r="I916" s="19" t="str">
        <f>IFERROR(VLOOKUP(H916,케이블트레이입.출고현황!Y919:AD994,2,0),"")</f>
        <v/>
      </c>
      <c r="J916" s="9">
        <v>2</v>
      </c>
      <c r="K916" s="9"/>
      <c r="L916" s="37"/>
      <c r="M916" s="64"/>
      <c r="N916" s="42"/>
    </row>
    <row r="917" spans="1:14" ht="24" customHeight="1">
      <c r="A917" s="8">
        <v>877</v>
      </c>
      <c r="B917" s="9">
        <v>877</v>
      </c>
      <c r="C917" s="46"/>
      <c r="D917" s="9"/>
      <c r="E917" s="19" t="str">
        <f>IFERROR(VLOOKUP(D917,케이블트레이입.출고현황!U920:Z995,2,0),"")</f>
        <v/>
      </c>
      <c r="F917" s="19" t="str">
        <f>IFERROR(VLOOKUP(E917,케이블트레이입.출고현황!V920:AA995,2,0),"")</f>
        <v/>
      </c>
      <c r="G917" s="19" t="str">
        <f>IFERROR(VLOOKUP(F917,케이블트레이입.출고현황!W920:AB995,2,0),"")</f>
        <v/>
      </c>
      <c r="H917" s="19" t="str">
        <f>IFERROR(VLOOKUP(G917,케이블트레이입.출고현황!X920:AC995,2,0),"")</f>
        <v/>
      </c>
      <c r="I917" s="19" t="str">
        <f>IFERROR(VLOOKUP(H917,케이블트레이입.출고현황!Y920:AD995,2,0),"")</f>
        <v/>
      </c>
      <c r="J917" s="9">
        <v>3</v>
      </c>
      <c r="K917" s="9"/>
      <c r="L917" s="37"/>
      <c r="M917" s="64"/>
      <c r="N917" s="42"/>
    </row>
    <row r="918" spans="1:14" ht="24" customHeight="1">
      <c r="A918" s="8">
        <v>878</v>
      </c>
      <c r="B918" s="9">
        <v>878</v>
      </c>
      <c r="C918" s="46"/>
      <c r="D918" s="9"/>
      <c r="E918" s="19" t="str">
        <f>IFERROR(VLOOKUP(D918,케이블트레이입.출고현황!U921:Z996,2,0),"")</f>
        <v/>
      </c>
      <c r="F918" s="19" t="str">
        <f>IFERROR(VLOOKUP(E918,케이블트레이입.출고현황!V921:AA996,2,0),"")</f>
        <v/>
      </c>
      <c r="G918" s="19" t="str">
        <f>IFERROR(VLOOKUP(F918,케이블트레이입.출고현황!W921:AB996,2,0),"")</f>
        <v/>
      </c>
      <c r="H918" s="19" t="str">
        <f>IFERROR(VLOOKUP(G918,케이블트레이입.출고현황!X921:AC996,2,0),"")</f>
        <v/>
      </c>
      <c r="I918" s="19" t="str">
        <f>IFERROR(VLOOKUP(H918,케이블트레이입.출고현황!Y921:AD996,2,0),"")</f>
        <v/>
      </c>
      <c r="J918" s="9">
        <v>1</v>
      </c>
      <c r="K918" s="9"/>
      <c r="L918" s="37"/>
      <c r="M918" s="64"/>
      <c r="N918" s="42"/>
    </row>
    <row r="919" spans="1:14" ht="24" customHeight="1">
      <c r="A919" s="8">
        <v>879</v>
      </c>
      <c r="B919" s="9">
        <v>879</v>
      </c>
      <c r="C919" s="46"/>
      <c r="D919" s="9"/>
      <c r="E919" s="19" t="str">
        <f>IFERROR(VLOOKUP(D919,케이블트레이입.출고현황!U922:Z997,2,0),"")</f>
        <v/>
      </c>
      <c r="F919" s="19" t="str">
        <f>IFERROR(VLOOKUP(E919,케이블트레이입.출고현황!V922:AA997,2,0),"")</f>
        <v/>
      </c>
      <c r="G919" s="19" t="str">
        <f>IFERROR(VLOOKUP(F919,케이블트레이입.출고현황!W922:AB997,2,0),"")</f>
        <v/>
      </c>
      <c r="H919" s="19" t="str">
        <f>IFERROR(VLOOKUP(G919,케이블트레이입.출고현황!X922:AC997,2,0),"")</f>
        <v/>
      </c>
      <c r="I919" s="19" t="str">
        <f>IFERROR(VLOOKUP(H919,케이블트레이입.출고현황!Y922:AD997,2,0),"")</f>
        <v/>
      </c>
      <c r="J919" s="9">
        <v>1</v>
      </c>
      <c r="K919" s="9"/>
      <c r="L919" s="37"/>
      <c r="M919" s="64"/>
      <c r="N919" s="42"/>
    </row>
    <row r="920" spans="1:14" ht="24" customHeight="1">
      <c r="A920" s="8">
        <v>880</v>
      </c>
      <c r="B920" s="9">
        <v>880</v>
      </c>
      <c r="C920" s="46"/>
      <c r="D920" s="9"/>
      <c r="E920" s="19" t="str">
        <f>IFERROR(VLOOKUP(D920,케이블트레이입.출고현황!U923:Z998,2,0),"")</f>
        <v/>
      </c>
      <c r="F920" s="19" t="str">
        <f>IFERROR(VLOOKUP(E920,케이블트레이입.출고현황!V923:AA998,2,0),"")</f>
        <v/>
      </c>
      <c r="G920" s="19" t="str">
        <f>IFERROR(VLOOKUP(F920,케이블트레이입.출고현황!W923:AB998,2,0),"")</f>
        <v/>
      </c>
      <c r="H920" s="19" t="str">
        <f>IFERROR(VLOOKUP(G920,케이블트레이입.출고현황!X923:AC998,2,0),"")</f>
        <v/>
      </c>
      <c r="I920" s="19" t="str">
        <f>IFERROR(VLOOKUP(H920,케이블트레이입.출고현황!Y923:AD998,2,0),"")</f>
        <v/>
      </c>
      <c r="J920" s="9">
        <v>1</v>
      </c>
      <c r="K920" s="9"/>
      <c r="L920" s="37"/>
      <c r="M920" s="64"/>
      <c r="N920" s="42"/>
    </row>
    <row r="921" spans="1:14" ht="24" customHeight="1">
      <c r="A921" s="8">
        <v>881</v>
      </c>
      <c r="B921" s="9">
        <v>881</v>
      </c>
      <c r="C921" s="46"/>
      <c r="D921" s="9"/>
      <c r="E921" s="19" t="str">
        <f>IFERROR(VLOOKUP(D921,케이블트레이입.출고현황!U924:Z999,2,0),"")</f>
        <v/>
      </c>
      <c r="F921" s="19" t="str">
        <f>IFERROR(VLOOKUP(E921,케이블트레이입.출고현황!V924:AA999,2,0),"")</f>
        <v/>
      </c>
      <c r="G921" s="19" t="str">
        <f>IFERROR(VLOOKUP(F921,케이블트레이입.출고현황!W924:AB999,2,0),"")</f>
        <v/>
      </c>
      <c r="H921" s="19" t="str">
        <f>IFERROR(VLOOKUP(G921,케이블트레이입.출고현황!X924:AC999,2,0),"")</f>
        <v/>
      </c>
      <c r="I921" s="19" t="str">
        <f>IFERROR(VLOOKUP(H921,케이블트레이입.출고현황!Y924:AD999,2,0),"")</f>
        <v/>
      </c>
      <c r="J921" s="9">
        <v>3</v>
      </c>
      <c r="K921" s="9"/>
      <c r="L921" s="37"/>
      <c r="M921" s="64"/>
      <c r="N921" s="42"/>
    </row>
    <row r="922" spans="1:14" ht="24" customHeight="1">
      <c r="A922" s="8">
        <v>882</v>
      </c>
      <c r="B922" s="9">
        <v>882</v>
      </c>
      <c r="C922" s="46"/>
      <c r="D922" s="9"/>
      <c r="E922" s="19" t="str">
        <f>IFERROR(VLOOKUP(D922,케이블트레이입.출고현황!U925:Z1000,2,0),"")</f>
        <v/>
      </c>
      <c r="F922" s="19" t="str">
        <f>IFERROR(VLOOKUP(E922,케이블트레이입.출고현황!V925:AA1000,2,0),"")</f>
        <v/>
      </c>
      <c r="G922" s="19" t="str">
        <f>IFERROR(VLOOKUP(F922,케이블트레이입.출고현황!W925:AB1000,2,0),"")</f>
        <v/>
      </c>
      <c r="H922" s="19" t="str">
        <f>IFERROR(VLOOKUP(G922,케이블트레이입.출고현황!X925:AC1000,2,0),"")</f>
        <v/>
      </c>
      <c r="I922" s="19" t="str">
        <f>IFERROR(VLOOKUP(H922,케이블트레이입.출고현황!Y925:AD1000,2,0),"")</f>
        <v/>
      </c>
      <c r="J922" s="9">
        <v>2</v>
      </c>
      <c r="K922" s="9"/>
      <c r="L922" s="37"/>
      <c r="M922" s="64"/>
      <c r="N922" s="42"/>
    </row>
    <row r="923" spans="1:14" ht="24" customHeight="1">
      <c r="A923" s="8">
        <v>883</v>
      </c>
      <c r="B923" s="9">
        <v>883</v>
      </c>
      <c r="C923" s="46"/>
      <c r="D923" s="9"/>
      <c r="E923" s="19" t="str">
        <f>IFERROR(VLOOKUP(D923,케이블트레이입.출고현황!U926:Z1001,2,0),"")</f>
        <v/>
      </c>
      <c r="F923" s="19" t="str">
        <f>IFERROR(VLOOKUP(E923,케이블트레이입.출고현황!V926:AA1001,2,0),"")</f>
        <v/>
      </c>
      <c r="G923" s="19" t="str">
        <f>IFERROR(VLOOKUP(F923,케이블트레이입.출고현황!W926:AB1001,2,0),"")</f>
        <v/>
      </c>
      <c r="H923" s="19" t="str">
        <f>IFERROR(VLOOKUP(G923,케이블트레이입.출고현황!X926:AC1001,2,0),"")</f>
        <v/>
      </c>
      <c r="I923" s="19" t="str">
        <f>IFERROR(VLOOKUP(H923,케이블트레이입.출고현황!Y926:AD1001,2,0),"")</f>
        <v/>
      </c>
      <c r="J923" s="9">
        <v>2</v>
      </c>
      <c r="K923" s="9"/>
      <c r="L923" s="37"/>
      <c r="M923" s="64"/>
      <c r="N923" s="42"/>
    </row>
    <row r="924" spans="1:14" ht="24" customHeight="1">
      <c r="A924" s="8">
        <v>884</v>
      </c>
      <c r="B924" s="9">
        <v>884</v>
      </c>
      <c r="C924" s="46"/>
      <c r="D924" s="9"/>
      <c r="E924" s="19" t="str">
        <f>IFERROR(VLOOKUP(D924,케이블트레이입.출고현황!U927:Z1002,2,0),"")</f>
        <v/>
      </c>
      <c r="F924" s="19" t="str">
        <f>IFERROR(VLOOKUP(E924,케이블트레이입.출고현황!V927:AA1002,2,0),"")</f>
        <v/>
      </c>
      <c r="G924" s="19" t="str">
        <f>IFERROR(VLOOKUP(F924,케이블트레이입.출고현황!W927:AB1002,2,0),"")</f>
        <v/>
      </c>
      <c r="H924" s="19" t="str">
        <f>IFERROR(VLOOKUP(G924,케이블트레이입.출고현황!X927:AC1002,2,0),"")</f>
        <v/>
      </c>
      <c r="I924" s="19" t="str">
        <f>IFERROR(VLOOKUP(H924,케이블트레이입.출고현황!Y927:AD1002,2,0),"")</f>
        <v/>
      </c>
      <c r="J924" s="9">
        <v>3</v>
      </c>
      <c r="K924" s="9"/>
      <c r="L924" s="37"/>
      <c r="M924" s="64"/>
      <c r="N924" s="42"/>
    </row>
    <row r="925" spans="1:14" ht="24" customHeight="1">
      <c r="A925" s="8">
        <v>885</v>
      </c>
      <c r="B925" s="9">
        <v>885</v>
      </c>
      <c r="C925" s="46"/>
      <c r="D925" s="9"/>
      <c r="E925" s="19" t="str">
        <f>IFERROR(VLOOKUP(D925,케이블트레이입.출고현황!U928:Z1003,2,0),"")</f>
        <v/>
      </c>
      <c r="F925" s="19" t="str">
        <f>IFERROR(VLOOKUP(E925,케이블트레이입.출고현황!V928:AA1003,2,0),"")</f>
        <v/>
      </c>
      <c r="G925" s="19" t="str">
        <f>IFERROR(VLOOKUP(F925,케이블트레이입.출고현황!W928:AB1003,2,0),"")</f>
        <v/>
      </c>
      <c r="H925" s="19" t="str">
        <f>IFERROR(VLOOKUP(G925,케이블트레이입.출고현황!X928:AC1003,2,0),"")</f>
        <v/>
      </c>
      <c r="I925" s="19" t="str">
        <f>IFERROR(VLOOKUP(H925,케이블트레이입.출고현황!Y928:AD1003,2,0),"")</f>
        <v/>
      </c>
      <c r="J925" s="9">
        <v>1</v>
      </c>
      <c r="K925" s="9"/>
      <c r="L925" s="37"/>
      <c r="M925" s="64"/>
      <c r="N925" s="42"/>
    </row>
    <row r="926" spans="1:14" ht="24" customHeight="1">
      <c r="A926" s="8">
        <v>886</v>
      </c>
      <c r="B926" s="9">
        <v>886</v>
      </c>
      <c r="C926" s="46"/>
      <c r="D926" s="9"/>
      <c r="E926" s="19" t="str">
        <f>IFERROR(VLOOKUP(D926,케이블트레이입.출고현황!U929:Z1004,2,0),"")</f>
        <v/>
      </c>
      <c r="F926" s="19" t="str">
        <f>IFERROR(VLOOKUP(E926,케이블트레이입.출고현황!V929:AA1004,2,0),"")</f>
        <v/>
      </c>
      <c r="G926" s="19" t="str">
        <f>IFERROR(VLOOKUP(F926,케이블트레이입.출고현황!W929:AB1004,2,0),"")</f>
        <v/>
      </c>
      <c r="H926" s="19" t="str">
        <f>IFERROR(VLOOKUP(G926,케이블트레이입.출고현황!X929:AC1004,2,0),"")</f>
        <v/>
      </c>
      <c r="I926" s="19" t="str">
        <f>IFERROR(VLOOKUP(H926,케이블트레이입.출고현황!Y929:AD1004,2,0),"")</f>
        <v/>
      </c>
      <c r="J926" s="9">
        <v>1</v>
      </c>
      <c r="K926" s="9"/>
      <c r="L926" s="37"/>
      <c r="M926" s="64"/>
      <c r="N926" s="42"/>
    </row>
    <row r="927" spans="1:14" s="258" customFormat="1" ht="24" customHeight="1">
      <c r="A927" s="8">
        <v>887</v>
      </c>
      <c r="B927" s="9">
        <v>887</v>
      </c>
      <c r="C927" s="254"/>
      <c r="D927" s="253"/>
      <c r="E927" s="19" t="str">
        <f>IFERROR(VLOOKUP(D927,케이블트레이입.출고현황!U930:Z1005,2,0),"")</f>
        <v/>
      </c>
      <c r="F927" s="19" t="str">
        <f>IFERROR(VLOOKUP(E927,케이블트레이입.출고현황!V930:AA1005,2,0),"")</f>
        <v/>
      </c>
      <c r="G927" s="19" t="str">
        <f>IFERROR(VLOOKUP(F927,케이블트레이입.출고현황!W930:AB1005,2,0),"")</f>
        <v/>
      </c>
      <c r="H927" s="19" t="str">
        <f>IFERROR(VLOOKUP(G927,케이블트레이입.출고현황!X930:AC1005,2,0),"")</f>
        <v/>
      </c>
      <c r="I927" s="19" t="str">
        <f>IFERROR(VLOOKUP(H927,케이블트레이입.출고현황!Y930:AD1005,2,0),"")</f>
        <v/>
      </c>
      <c r="J927" s="253">
        <v>1</v>
      </c>
      <c r="K927" s="253"/>
      <c r="L927" s="255"/>
      <c r="M927" s="256"/>
      <c r="N927" s="257"/>
    </row>
    <row r="928" spans="1:14" s="258" customFormat="1" ht="24" customHeight="1">
      <c r="A928" s="8">
        <v>888</v>
      </c>
      <c r="B928" s="9">
        <v>888</v>
      </c>
      <c r="C928" s="254"/>
      <c r="D928" s="253"/>
      <c r="E928" s="19" t="str">
        <f>IFERROR(VLOOKUP(D928,케이블트레이입.출고현황!U931:Z1006,2,0),"")</f>
        <v/>
      </c>
      <c r="F928" s="19" t="str">
        <f>IFERROR(VLOOKUP(E928,케이블트레이입.출고현황!V931:AA1006,2,0),"")</f>
        <v/>
      </c>
      <c r="G928" s="19" t="str">
        <f>IFERROR(VLOOKUP(F928,케이블트레이입.출고현황!W931:AB1006,2,0),"")</f>
        <v/>
      </c>
      <c r="H928" s="19" t="str">
        <f>IFERROR(VLOOKUP(G928,케이블트레이입.출고현황!X931:AC1006,2,0),"")</f>
        <v/>
      </c>
      <c r="I928" s="19" t="str">
        <f>IFERROR(VLOOKUP(H928,케이블트레이입.출고현황!Y931:AD1006,2,0),"")</f>
        <v/>
      </c>
      <c r="J928" s="253">
        <v>2</v>
      </c>
      <c r="K928" s="253"/>
      <c r="L928" s="255"/>
      <c r="M928" s="256"/>
      <c r="N928" s="257"/>
    </row>
    <row r="929" spans="1:14" s="258" customFormat="1" ht="24" customHeight="1">
      <c r="A929" s="8">
        <v>889</v>
      </c>
      <c r="B929" s="9">
        <v>889</v>
      </c>
      <c r="C929" s="254"/>
      <c r="D929" s="253"/>
      <c r="E929" s="19" t="str">
        <f>IFERROR(VLOOKUP(D929,케이블트레이입.출고현황!U932:Z1007,2,0),"")</f>
        <v/>
      </c>
      <c r="F929" s="19" t="str">
        <f>IFERROR(VLOOKUP(E929,케이블트레이입.출고현황!V932:AA1007,2,0),"")</f>
        <v/>
      </c>
      <c r="G929" s="19" t="str">
        <f>IFERROR(VLOOKUP(F929,케이블트레이입.출고현황!W932:AB1007,2,0),"")</f>
        <v/>
      </c>
      <c r="H929" s="19" t="str">
        <f>IFERROR(VLOOKUP(G929,케이블트레이입.출고현황!X932:AC1007,2,0),"")</f>
        <v/>
      </c>
      <c r="I929" s="19" t="str">
        <f>IFERROR(VLOOKUP(H929,케이블트레이입.출고현황!Y932:AD1007,2,0),"")</f>
        <v/>
      </c>
      <c r="J929" s="253" t="s">
        <v>557</v>
      </c>
      <c r="K929" s="253"/>
      <c r="L929" s="255"/>
      <c r="M929" s="256"/>
      <c r="N929" s="257"/>
    </row>
    <row r="930" spans="1:14" s="258" customFormat="1" ht="24" customHeight="1">
      <c r="A930" s="8">
        <v>890</v>
      </c>
      <c r="B930" s="9">
        <v>890</v>
      </c>
      <c r="C930" s="254"/>
      <c r="D930" s="253"/>
      <c r="E930" s="19" t="str">
        <f>IFERROR(VLOOKUP(D930,케이블트레이입.출고현황!U933:Z1008,2,0),"")</f>
        <v/>
      </c>
      <c r="F930" s="19" t="str">
        <f>IFERROR(VLOOKUP(E930,케이블트레이입.출고현황!V933:AA1008,2,0),"")</f>
        <v/>
      </c>
      <c r="G930" s="19" t="str">
        <f>IFERROR(VLOOKUP(F930,케이블트레이입.출고현황!W933:AB1008,2,0),"")</f>
        <v/>
      </c>
      <c r="H930" s="19" t="str">
        <f>IFERROR(VLOOKUP(G930,케이블트레이입.출고현황!X933:AC1008,2,0),"")</f>
        <v/>
      </c>
      <c r="I930" s="19" t="str">
        <f>IFERROR(VLOOKUP(H930,케이블트레이입.출고현황!Y933:AD1008,2,0),"")</f>
        <v/>
      </c>
      <c r="J930" s="253">
        <v>1</v>
      </c>
      <c r="K930" s="253"/>
      <c r="L930" s="255"/>
      <c r="M930" s="256"/>
      <c r="N930" s="257"/>
    </row>
    <row r="931" spans="1:14" s="258" customFormat="1" ht="24" customHeight="1">
      <c r="A931" s="8">
        <v>891</v>
      </c>
      <c r="B931" s="9">
        <v>891</v>
      </c>
      <c r="C931" s="254"/>
      <c r="D931" s="253"/>
      <c r="E931" s="19" t="str">
        <f>IFERROR(VLOOKUP(D931,케이블트레이입.출고현황!U934:Z1009,2,0),"")</f>
        <v/>
      </c>
      <c r="F931" s="19" t="str">
        <f>IFERROR(VLOOKUP(E931,케이블트레이입.출고현황!V934:AA1009,2,0),"")</f>
        <v/>
      </c>
      <c r="G931" s="19" t="str">
        <f>IFERROR(VLOOKUP(F931,케이블트레이입.출고현황!W934:AB1009,2,0),"")</f>
        <v/>
      </c>
      <c r="H931" s="19" t="str">
        <f>IFERROR(VLOOKUP(G931,케이블트레이입.출고현황!X934:AC1009,2,0),"")</f>
        <v/>
      </c>
      <c r="I931" s="19" t="str">
        <f>IFERROR(VLOOKUP(H931,케이블트레이입.출고현황!Y934:AD1009,2,0),"")</f>
        <v/>
      </c>
      <c r="J931" s="253">
        <v>3</v>
      </c>
      <c r="K931" s="253"/>
      <c r="L931" s="255"/>
      <c r="M931" s="256"/>
      <c r="N931" s="257"/>
    </row>
    <row r="932" spans="1:14" s="258" customFormat="1" ht="24" customHeight="1">
      <c r="A932" s="8">
        <v>892</v>
      </c>
      <c r="B932" s="9">
        <v>892</v>
      </c>
      <c r="C932" s="254"/>
      <c r="D932" s="253"/>
      <c r="E932" s="19" t="str">
        <f>IFERROR(VLOOKUP(D932,케이블트레이입.출고현황!U935:Z1010,2,0),"")</f>
        <v/>
      </c>
      <c r="F932" s="19" t="str">
        <f>IFERROR(VLOOKUP(E932,케이블트레이입.출고현황!V935:AA1010,2,0),"")</f>
        <v/>
      </c>
      <c r="G932" s="19" t="str">
        <f>IFERROR(VLOOKUP(F932,케이블트레이입.출고현황!W935:AB1010,2,0),"")</f>
        <v/>
      </c>
      <c r="H932" s="19" t="str">
        <f>IFERROR(VLOOKUP(G932,케이블트레이입.출고현황!X935:AC1010,2,0),"")</f>
        <v/>
      </c>
      <c r="I932" s="19" t="str">
        <f>IFERROR(VLOOKUP(H932,케이블트레이입.출고현황!Y935:AD1010,2,0),"")</f>
        <v/>
      </c>
      <c r="J932" s="253">
        <v>1</v>
      </c>
      <c r="K932" s="253"/>
      <c r="L932" s="255"/>
      <c r="M932" s="256"/>
      <c r="N932" s="257"/>
    </row>
    <row r="933" spans="1:14" s="258" customFormat="1" ht="24" customHeight="1">
      <c r="A933" s="8">
        <v>893</v>
      </c>
      <c r="B933" s="9">
        <v>893</v>
      </c>
      <c r="C933" s="254"/>
      <c r="D933" s="253"/>
      <c r="E933" s="19" t="str">
        <f>IFERROR(VLOOKUP(D933,케이블트레이입.출고현황!U936:Z1011,2,0),"")</f>
        <v/>
      </c>
      <c r="F933" s="19" t="str">
        <f>IFERROR(VLOOKUP(E933,케이블트레이입.출고현황!V936:AA1011,2,0),"")</f>
        <v/>
      </c>
      <c r="G933" s="19" t="str">
        <f>IFERROR(VLOOKUP(F933,케이블트레이입.출고현황!W936:AB1011,2,0),"")</f>
        <v/>
      </c>
      <c r="H933" s="19" t="str">
        <f>IFERROR(VLOOKUP(G933,케이블트레이입.출고현황!X936:AC1011,2,0),"")</f>
        <v/>
      </c>
      <c r="I933" s="19" t="str">
        <f>IFERROR(VLOOKUP(H933,케이블트레이입.출고현황!Y936:AD1011,2,0),"")</f>
        <v/>
      </c>
      <c r="J933" s="253">
        <v>1</v>
      </c>
      <c r="K933" s="253"/>
      <c r="L933" s="255"/>
      <c r="M933" s="256"/>
      <c r="N933" s="257"/>
    </row>
    <row r="934" spans="1:14" s="258" customFormat="1" ht="24" customHeight="1">
      <c r="A934" s="8">
        <v>894</v>
      </c>
      <c r="B934" s="9">
        <v>894</v>
      </c>
      <c r="C934" s="254"/>
      <c r="D934" s="253"/>
      <c r="E934" s="19" t="str">
        <f>IFERROR(VLOOKUP(D934,케이블트레이입.출고현황!U937:Z1012,2,0),"")</f>
        <v/>
      </c>
      <c r="F934" s="19" t="str">
        <f>IFERROR(VLOOKUP(E934,케이블트레이입.출고현황!V937:AA1012,2,0),"")</f>
        <v/>
      </c>
      <c r="G934" s="19" t="str">
        <f>IFERROR(VLOOKUP(F934,케이블트레이입.출고현황!W937:AB1012,2,0),"")</f>
        <v/>
      </c>
      <c r="H934" s="19" t="str">
        <f>IFERROR(VLOOKUP(G934,케이블트레이입.출고현황!X937:AC1012,2,0),"")</f>
        <v/>
      </c>
      <c r="I934" s="19" t="str">
        <f>IFERROR(VLOOKUP(H934,케이블트레이입.출고현황!Y937:AD1012,2,0),"")</f>
        <v/>
      </c>
      <c r="J934" s="253">
        <v>2</v>
      </c>
      <c r="K934" s="253"/>
      <c r="L934" s="255"/>
      <c r="M934" s="256"/>
      <c r="N934" s="257"/>
    </row>
    <row r="935" spans="1:14" s="258" customFormat="1" ht="24" customHeight="1">
      <c r="A935" s="8">
        <v>895</v>
      </c>
      <c r="B935" s="9">
        <v>895</v>
      </c>
      <c r="C935" s="254"/>
      <c r="D935" s="253"/>
      <c r="E935" s="19" t="str">
        <f>IFERROR(VLOOKUP(D935,케이블트레이입.출고현황!U938:Z1013,2,0),"")</f>
        <v/>
      </c>
      <c r="F935" s="19" t="str">
        <f>IFERROR(VLOOKUP(E935,케이블트레이입.출고현황!V938:AA1013,2,0),"")</f>
        <v/>
      </c>
      <c r="G935" s="19" t="str">
        <f>IFERROR(VLOOKUP(F935,케이블트레이입.출고현황!W938:AB1013,2,0),"")</f>
        <v/>
      </c>
      <c r="H935" s="19" t="str">
        <f>IFERROR(VLOOKUP(G935,케이블트레이입.출고현황!X938:AC1013,2,0),"")</f>
        <v/>
      </c>
      <c r="I935" s="19" t="str">
        <f>IFERROR(VLOOKUP(H935,케이블트레이입.출고현황!Y938:AD1013,2,0),"")</f>
        <v/>
      </c>
      <c r="J935" s="253" t="s">
        <v>557</v>
      </c>
      <c r="K935" s="253"/>
      <c r="L935" s="255"/>
      <c r="M935" s="256"/>
      <c r="N935" s="257"/>
    </row>
    <row r="936" spans="1:14" s="258" customFormat="1" ht="24" customHeight="1">
      <c r="A936" s="8">
        <v>896</v>
      </c>
      <c r="B936" s="9">
        <v>896</v>
      </c>
      <c r="C936" s="254"/>
      <c r="D936" s="253"/>
      <c r="E936" s="19" t="str">
        <f>IFERROR(VLOOKUP(D936,케이블트레이입.출고현황!U939:Z1014,2,0),"")</f>
        <v/>
      </c>
      <c r="F936" s="19" t="str">
        <f>IFERROR(VLOOKUP(E936,케이블트레이입.출고현황!V939:AA1014,2,0),"")</f>
        <v/>
      </c>
      <c r="G936" s="19" t="str">
        <f>IFERROR(VLOOKUP(F936,케이블트레이입.출고현황!W939:AB1014,2,0),"")</f>
        <v/>
      </c>
      <c r="H936" s="19" t="str">
        <f>IFERROR(VLOOKUP(G936,케이블트레이입.출고현황!X939:AC1014,2,0),"")</f>
        <v/>
      </c>
      <c r="I936" s="19" t="str">
        <f>IFERROR(VLOOKUP(H936,케이블트레이입.출고현황!Y939:AD1014,2,0),"")</f>
        <v/>
      </c>
      <c r="J936" s="253">
        <v>3</v>
      </c>
      <c r="K936" s="253"/>
      <c r="L936" s="255"/>
      <c r="M936" s="256"/>
      <c r="N936" s="257"/>
    </row>
    <row r="937" spans="1:14" s="258" customFormat="1" ht="24" customHeight="1">
      <c r="A937" s="8">
        <v>897</v>
      </c>
      <c r="B937" s="9">
        <v>897</v>
      </c>
      <c r="C937" s="254"/>
      <c r="D937" s="253"/>
      <c r="E937" s="19" t="str">
        <f>IFERROR(VLOOKUP(D937,케이블트레이입.출고현황!U940:Z1015,2,0),"")</f>
        <v/>
      </c>
      <c r="F937" s="19" t="str">
        <f>IFERROR(VLOOKUP(E937,케이블트레이입.출고현황!V940:AA1015,2,0),"")</f>
        <v/>
      </c>
      <c r="G937" s="19" t="str">
        <f>IFERROR(VLOOKUP(F937,케이블트레이입.출고현황!W940:AB1015,2,0),"")</f>
        <v/>
      </c>
      <c r="H937" s="19" t="str">
        <f>IFERROR(VLOOKUP(G937,케이블트레이입.출고현황!X940:AC1015,2,0),"")</f>
        <v/>
      </c>
      <c r="I937" s="19" t="str">
        <f>IFERROR(VLOOKUP(H937,케이블트레이입.출고현황!Y940:AD1015,2,0),"")</f>
        <v/>
      </c>
      <c r="J937" s="253">
        <v>3</v>
      </c>
      <c r="K937" s="253"/>
      <c r="L937" s="255"/>
      <c r="M937" s="256"/>
      <c r="N937" s="257"/>
    </row>
    <row r="938" spans="1:14" s="258" customFormat="1" ht="24" customHeight="1">
      <c r="A938" s="8">
        <v>898</v>
      </c>
      <c r="B938" s="9">
        <v>898</v>
      </c>
      <c r="C938" s="254"/>
      <c r="D938" s="253"/>
      <c r="E938" s="19" t="str">
        <f>IFERROR(VLOOKUP(D938,케이블트레이입.출고현황!U941:Z1016,2,0),"")</f>
        <v/>
      </c>
      <c r="F938" s="19" t="str">
        <f>IFERROR(VLOOKUP(E938,케이블트레이입.출고현황!V941:AA1016,2,0),"")</f>
        <v/>
      </c>
      <c r="G938" s="19" t="str">
        <f>IFERROR(VLOOKUP(F938,케이블트레이입.출고현황!W941:AB1016,2,0),"")</f>
        <v/>
      </c>
      <c r="H938" s="19" t="str">
        <f>IFERROR(VLOOKUP(G938,케이블트레이입.출고현황!X941:AC1016,2,0),"")</f>
        <v/>
      </c>
      <c r="I938" s="19" t="str">
        <f>IFERROR(VLOOKUP(H938,케이블트레이입.출고현황!Y941:AD1016,2,0),"")</f>
        <v/>
      </c>
      <c r="J938" s="253" t="s">
        <v>557</v>
      </c>
      <c r="K938" s="253"/>
      <c r="L938" s="255"/>
      <c r="M938" s="256"/>
      <c r="N938" s="257"/>
    </row>
    <row r="939" spans="1:14" s="258" customFormat="1" ht="24" customHeight="1">
      <c r="A939" s="8">
        <v>899</v>
      </c>
      <c r="B939" s="9">
        <v>899</v>
      </c>
      <c r="C939" s="254"/>
      <c r="D939" s="253"/>
      <c r="E939" s="19" t="str">
        <f>IFERROR(VLOOKUP(D939,케이블트레이입.출고현황!U942:Z1017,2,0),"")</f>
        <v/>
      </c>
      <c r="F939" s="19" t="str">
        <f>IFERROR(VLOOKUP(E939,케이블트레이입.출고현황!V942:AA1017,2,0),"")</f>
        <v/>
      </c>
      <c r="G939" s="19" t="str">
        <f>IFERROR(VLOOKUP(F939,케이블트레이입.출고현황!W942:AB1017,2,0),"")</f>
        <v/>
      </c>
      <c r="H939" s="19" t="str">
        <f>IFERROR(VLOOKUP(G939,케이블트레이입.출고현황!X942:AC1017,2,0),"")</f>
        <v/>
      </c>
      <c r="I939" s="19" t="str">
        <f>IFERROR(VLOOKUP(H939,케이블트레이입.출고현황!Y942:AD1017,2,0),"")</f>
        <v/>
      </c>
      <c r="J939" s="253">
        <v>1</v>
      </c>
      <c r="K939" s="253"/>
      <c r="L939" s="255"/>
      <c r="M939" s="256"/>
      <c r="N939" s="257"/>
    </row>
    <row r="940" spans="1:14" s="258" customFormat="1" ht="24" customHeight="1">
      <c r="A940" s="8">
        <v>900</v>
      </c>
      <c r="B940" s="9">
        <v>900</v>
      </c>
      <c r="C940" s="254"/>
      <c r="D940" s="253"/>
      <c r="E940" s="19" t="str">
        <f>IFERROR(VLOOKUP(D940,케이블트레이입.출고현황!U943:Z1018,2,0),"")</f>
        <v/>
      </c>
      <c r="F940" s="19" t="str">
        <f>IFERROR(VLOOKUP(E940,케이블트레이입.출고현황!V943:AA1018,2,0),"")</f>
        <v/>
      </c>
      <c r="G940" s="19" t="str">
        <f>IFERROR(VLOOKUP(F940,케이블트레이입.출고현황!W943:AB1018,2,0),"")</f>
        <v/>
      </c>
      <c r="H940" s="19" t="str">
        <f>IFERROR(VLOOKUP(G940,케이블트레이입.출고현황!X943:AC1018,2,0),"")</f>
        <v/>
      </c>
      <c r="I940" s="19" t="str">
        <f>IFERROR(VLOOKUP(H940,케이블트레이입.출고현황!Y943:AD1018,2,0),"")</f>
        <v/>
      </c>
      <c r="J940" s="253">
        <v>3</v>
      </c>
      <c r="K940" s="253"/>
      <c r="L940" s="255"/>
      <c r="M940" s="256"/>
      <c r="N940" s="257"/>
    </row>
    <row r="941" spans="1:14" s="258" customFormat="1" ht="24" customHeight="1">
      <c r="A941" s="8">
        <v>901</v>
      </c>
      <c r="B941" s="9">
        <v>901</v>
      </c>
      <c r="C941" s="254"/>
      <c r="D941" s="253"/>
      <c r="E941" s="19" t="str">
        <f>IFERROR(VLOOKUP(D941,케이블트레이입.출고현황!U944:Z1019,2,0),"")</f>
        <v/>
      </c>
      <c r="F941" s="19" t="str">
        <f>IFERROR(VLOOKUP(E941,케이블트레이입.출고현황!V944:AA1019,2,0),"")</f>
        <v/>
      </c>
      <c r="G941" s="19" t="str">
        <f>IFERROR(VLOOKUP(F941,케이블트레이입.출고현황!W944:AB1019,2,0),"")</f>
        <v/>
      </c>
      <c r="H941" s="19" t="str">
        <f>IFERROR(VLOOKUP(G941,케이블트레이입.출고현황!X944:AC1019,2,0),"")</f>
        <v/>
      </c>
      <c r="I941" s="19" t="str">
        <f>IFERROR(VLOOKUP(H941,케이블트레이입.출고현황!Y944:AD1019,2,0),"")</f>
        <v/>
      </c>
      <c r="J941" s="253">
        <v>2</v>
      </c>
      <c r="K941" s="253"/>
      <c r="L941" s="255"/>
      <c r="M941" s="256"/>
      <c r="N941" s="257"/>
    </row>
    <row r="942" spans="1:14" s="258" customFormat="1" ht="24" customHeight="1">
      <c r="A942" s="8">
        <v>902</v>
      </c>
      <c r="B942" s="9">
        <v>902</v>
      </c>
      <c r="C942" s="254"/>
      <c r="D942" s="253"/>
      <c r="E942" s="19" t="str">
        <f>IFERROR(VLOOKUP(D942,케이블트레이입.출고현황!U945:Z1020,2,0),"")</f>
        <v/>
      </c>
      <c r="F942" s="19" t="str">
        <f>IFERROR(VLOOKUP(E942,케이블트레이입.출고현황!V945:AA1020,2,0),"")</f>
        <v/>
      </c>
      <c r="G942" s="19" t="str">
        <f>IFERROR(VLOOKUP(F942,케이블트레이입.출고현황!W945:AB1020,2,0),"")</f>
        <v/>
      </c>
      <c r="H942" s="19" t="str">
        <f>IFERROR(VLOOKUP(G942,케이블트레이입.출고현황!X945:AC1020,2,0),"")</f>
        <v/>
      </c>
      <c r="I942" s="19" t="str">
        <f>IFERROR(VLOOKUP(H942,케이블트레이입.출고현황!Y945:AD1020,2,0),"")</f>
        <v/>
      </c>
      <c r="J942" s="253">
        <v>3</v>
      </c>
      <c r="K942" s="253"/>
      <c r="L942" s="255"/>
      <c r="M942" s="256"/>
      <c r="N942" s="257"/>
    </row>
    <row r="943" spans="1:14" s="258" customFormat="1" ht="24" customHeight="1">
      <c r="A943" s="8">
        <v>903</v>
      </c>
      <c r="B943" s="9">
        <v>903</v>
      </c>
      <c r="C943" s="254"/>
      <c r="D943" s="253"/>
      <c r="E943" s="19" t="str">
        <f>IFERROR(VLOOKUP(D943,케이블트레이입.출고현황!U946:Z1021,2,0),"")</f>
        <v/>
      </c>
      <c r="F943" s="19" t="str">
        <f>IFERROR(VLOOKUP(E943,케이블트레이입.출고현황!V946:AA1021,2,0),"")</f>
        <v/>
      </c>
      <c r="G943" s="19" t="str">
        <f>IFERROR(VLOOKUP(F943,케이블트레이입.출고현황!W946:AB1021,2,0),"")</f>
        <v/>
      </c>
      <c r="H943" s="19" t="str">
        <f>IFERROR(VLOOKUP(G943,케이블트레이입.출고현황!X946:AC1021,2,0),"")</f>
        <v/>
      </c>
      <c r="I943" s="19" t="str">
        <f>IFERROR(VLOOKUP(H943,케이블트레이입.출고현황!Y946:AD1021,2,0),"")</f>
        <v/>
      </c>
      <c r="J943" s="253">
        <v>1</v>
      </c>
      <c r="K943" s="253"/>
      <c r="L943" s="255"/>
      <c r="M943" s="256"/>
      <c r="N943" s="257"/>
    </row>
    <row r="944" spans="1:14" s="258" customFormat="1" ht="24" customHeight="1">
      <c r="A944" s="8">
        <v>904</v>
      </c>
      <c r="B944" s="9">
        <v>904</v>
      </c>
      <c r="C944" s="254"/>
      <c r="D944" s="253"/>
      <c r="E944" s="19" t="str">
        <f>IFERROR(VLOOKUP(D944,케이블트레이입.출고현황!U947:Z1022,2,0),"")</f>
        <v/>
      </c>
      <c r="F944" s="19" t="str">
        <f>IFERROR(VLOOKUP(E944,케이블트레이입.출고현황!V947:AA1022,2,0),"")</f>
        <v/>
      </c>
      <c r="G944" s="19" t="str">
        <f>IFERROR(VLOOKUP(F944,케이블트레이입.출고현황!W947:AB1022,2,0),"")</f>
        <v/>
      </c>
      <c r="H944" s="19" t="str">
        <f>IFERROR(VLOOKUP(G944,케이블트레이입.출고현황!X947:AC1022,2,0),"")</f>
        <v/>
      </c>
      <c r="I944" s="19" t="str">
        <f>IFERROR(VLOOKUP(H944,케이블트레이입.출고현황!Y947:AD1022,2,0),"")</f>
        <v/>
      </c>
      <c r="J944" s="253">
        <v>1</v>
      </c>
      <c r="K944" s="253"/>
      <c r="L944" s="255"/>
      <c r="M944" s="256"/>
      <c r="N944" s="257"/>
    </row>
    <row r="945" spans="1:14" s="258" customFormat="1" ht="24" customHeight="1">
      <c r="A945" s="8">
        <v>905</v>
      </c>
      <c r="B945" s="9">
        <v>905</v>
      </c>
      <c r="C945" s="254"/>
      <c r="D945" s="253"/>
      <c r="E945" s="19" t="str">
        <f>IFERROR(VLOOKUP(D945,케이블트레이입.출고현황!U948:Z1023,2,0),"")</f>
        <v/>
      </c>
      <c r="F945" s="19" t="str">
        <f>IFERROR(VLOOKUP(E945,케이블트레이입.출고현황!V948:AA1023,2,0),"")</f>
        <v/>
      </c>
      <c r="G945" s="19" t="str">
        <f>IFERROR(VLOOKUP(F945,케이블트레이입.출고현황!W948:AB1023,2,0),"")</f>
        <v/>
      </c>
      <c r="H945" s="19" t="str">
        <f>IFERROR(VLOOKUP(G945,케이블트레이입.출고현황!X948:AC1023,2,0),"")</f>
        <v/>
      </c>
      <c r="I945" s="19" t="str">
        <f>IFERROR(VLOOKUP(H945,케이블트레이입.출고현황!Y948:AD1023,2,0),"")</f>
        <v/>
      </c>
      <c r="J945" s="253">
        <v>2</v>
      </c>
      <c r="K945" s="253"/>
      <c r="L945" s="255"/>
      <c r="M945" s="256"/>
      <c r="N945" s="257"/>
    </row>
    <row r="946" spans="1:14" s="258" customFormat="1" ht="24" customHeight="1">
      <c r="A946" s="8">
        <v>906</v>
      </c>
      <c r="B946" s="9">
        <v>906</v>
      </c>
      <c r="C946" s="254"/>
      <c r="D946" s="253"/>
      <c r="E946" s="19" t="str">
        <f>IFERROR(VLOOKUP(D946,케이블트레이입.출고현황!U949:Z1024,2,0),"")</f>
        <v/>
      </c>
      <c r="F946" s="19" t="str">
        <f>IFERROR(VLOOKUP(E946,케이블트레이입.출고현황!V949:AA1024,2,0),"")</f>
        <v/>
      </c>
      <c r="G946" s="19" t="str">
        <f>IFERROR(VLOOKUP(F946,케이블트레이입.출고현황!W949:AB1024,2,0),"")</f>
        <v/>
      </c>
      <c r="H946" s="19" t="str">
        <f>IFERROR(VLOOKUP(G946,케이블트레이입.출고현황!X949:AC1024,2,0),"")</f>
        <v/>
      </c>
      <c r="I946" s="19" t="str">
        <f>IFERROR(VLOOKUP(H946,케이블트레이입.출고현황!Y949:AD1024,2,0),"")</f>
        <v/>
      </c>
      <c r="J946" s="253">
        <v>3</v>
      </c>
      <c r="K946" s="253"/>
      <c r="L946" s="255"/>
      <c r="M946" s="256"/>
      <c r="N946" s="257"/>
    </row>
    <row r="947" spans="1:14" s="258" customFormat="1" ht="24" customHeight="1">
      <c r="A947" s="8">
        <v>907</v>
      </c>
      <c r="B947" s="9">
        <v>907</v>
      </c>
      <c r="C947" s="254"/>
      <c r="D947" s="253"/>
      <c r="E947" s="19" t="str">
        <f>IFERROR(VLOOKUP(D947,케이블트레이입.출고현황!U950:Z1025,2,0),"")</f>
        <v/>
      </c>
      <c r="F947" s="19" t="str">
        <f>IFERROR(VLOOKUP(E947,케이블트레이입.출고현황!V950:AA1025,2,0),"")</f>
        <v/>
      </c>
      <c r="G947" s="19" t="str">
        <f>IFERROR(VLOOKUP(F947,케이블트레이입.출고현황!W950:AB1025,2,0),"")</f>
        <v/>
      </c>
      <c r="H947" s="19" t="str">
        <f>IFERROR(VLOOKUP(G947,케이블트레이입.출고현황!X950:AC1025,2,0),"")</f>
        <v/>
      </c>
      <c r="I947" s="19" t="str">
        <f>IFERROR(VLOOKUP(H947,케이블트레이입.출고현황!Y950:AD1025,2,0),"")</f>
        <v/>
      </c>
      <c r="J947" s="253">
        <v>1</v>
      </c>
      <c r="K947" s="253"/>
      <c r="L947" s="255"/>
      <c r="M947" s="256"/>
      <c r="N947" s="257"/>
    </row>
    <row r="948" spans="1:14" s="258" customFormat="1" ht="24" customHeight="1">
      <c r="A948" s="8">
        <v>908</v>
      </c>
      <c r="B948" s="9">
        <v>908</v>
      </c>
      <c r="C948" s="254"/>
      <c r="D948" s="253"/>
      <c r="E948" s="19" t="str">
        <f>IFERROR(VLOOKUP(D948,케이블트레이입.출고현황!U951:Z1026,2,0),"")</f>
        <v/>
      </c>
      <c r="F948" s="19" t="str">
        <f>IFERROR(VLOOKUP(E948,케이블트레이입.출고현황!V951:AA1026,2,0),"")</f>
        <v/>
      </c>
      <c r="G948" s="19" t="str">
        <f>IFERROR(VLOOKUP(F948,케이블트레이입.출고현황!W951:AB1026,2,0),"")</f>
        <v/>
      </c>
      <c r="H948" s="19" t="str">
        <f>IFERROR(VLOOKUP(G948,케이블트레이입.출고현황!X951:AC1026,2,0),"")</f>
        <v/>
      </c>
      <c r="I948" s="19" t="str">
        <f>IFERROR(VLOOKUP(H948,케이블트레이입.출고현황!Y951:AD1026,2,0),"")</f>
        <v/>
      </c>
      <c r="J948" s="253">
        <v>2</v>
      </c>
      <c r="K948" s="253"/>
      <c r="L948" s="255"/>
      <c r="M948" s="256"/>
      <c r="N948" s="257"/>
    </row>
    <row r="949" spans="1:14" s="258" customFormat="1" ht="24" customHeight="1">
      <c r="A949" s="8">
        <v>909</v>
      </c>
      <c r="B949" s="9">
        <v>909</v>
      </c>
      <c r="C949" s="254"/>
      <c r="D949" s="253"/>
      <c r="E949" s="19" t="str">
        <f>IFERROR(VLOOKUP(D949,케이블트레이입.출고현황!U952:Z1027,2,0),"")</f>
        <v/>
      </c>
      <c r="F949" s="19" t="str">
        <f>IFERROR(VLOOKUP(E949,케이블트레이입.출고현황!V952:AA1027,2,0),"")</f>
        <v/>
      </c>
      <c r="G949" s="19" t="str">
        <f>IFERROR(VLOOKUP(F949,케이블트레이입.출고현황!W952:AB1027,2,0),"")</f>
        <v/>
      </c>
      <c r="H949" s="19" t="str">
        <f>IFERROR(VLOOKUP(G949,케이블트레이입.출고현황!X952:AC1027,2,0),"")</f>
        <v/>
      </c>
      <c r="I949" s="19" t="str">
        <f>IFERROR(VLOOKUP(H949,케이블트레이입.출고현황!Y952:AD1027,2,0),"")</f>
        <v/>
      </c>
      <c r="J949" s="253">
        <v>3</v>
      </c>
      <c r="K949" s="253"/>
      <c r="L949" s="255"/>
      <c r="M949" s="256"/>
      <c r="N949" s="257"/>
    </row>
    <row r="950" spans="1:14" s="258" customFormat="1" ht="24" customHeight="1">
      <c r="A950" s="8">
        <v>910</v>
      </c>
      <c r="B950" s="9">
        <v>910</v>
      </c>
      <c r="C950" s="254"/>
      <c r="D950" s="253"/>
      <c r="E950" s="19" t="str">
        <f>IFERROR(VLOOKUP(D950,케이블트레이입.출고현황!U953:Z1028,2,0),"")</f>
        <v/>
      </c>
      <c r="F950" s="19" t="str">
        <f>IFERROR(VLOOKUP(E950,케이블트레이입.출고현황!V953:AA1028,2,0),"")</f>
        <v/>
      </c>
      <c r="G950" s="19" t="str">
        <f>IFERROR(VLOOKUP(F950,케이블트레이입.출고현황!W953:AB1028,2,0),"")</f>
        <v/>
      </c>
      <c r="H950" s="19" t="str">
        <f>IFERROR(VLOOKUP(G950,케이블트레이입.출고현황!X953:AC1028,2,0),"")</f>
        <v/>
      </c>
      <c r="I950" s="19" t="str">
        <f>IFERROR(VLOOKUP(H950,케이블트레이입.출고현황!Y953:AD1028,2,0),"")</f>
        <v/>
      </c>
      <c r="J950" s="253">
        <v>1</v>
      </c>
      <c r="K950" s="253"/>
      <c r="L950" s="255"/>
      <c r="M950" s="256"/>
      <c r="N950" s="257"/>
    </row>
    <row r="951" spans="1:14" s="258" customFormat="1" ht="24" customHeight="1">
      <c r="A951" s="8">
        <v>911</v>
      </c>
      <c r="B951" s="9">
        <v>911</v>
      </c>
      <c r="C951" s="254"/>
      <c r="D951" s="253"/>
      <c r="E951" s="19" t="str">
        <f>IFERROR(VLOOKUP(D951,케이블트레이입.출고현황!U954:Z1029,2,0),"")</f>
        <v/>
      </c>
      <c r="F951" s="19" t="str">
        <f>IFERROR(VLOOKUP(E951,케이블트레이입.출고현황!V954:AA1029,2,0),"")</f>
        <v/>
      </c>
      <c r="G951" s="19" t="str">
        <f>IFERROR(VLOOKUP(F951,케이블트레이입.출고현황!W954:AB1029,2,0),"")</f>
        <v/>
      </c>
      <c r="H951" s="19" t="str">
        <f>IFERROR(VLOOKUP(G951,케이블트레이입.출고현황!X954:AC1029,2,0),"")</f>
        <v/>
      </c>
      <c r="I951" s="19" t="str">
        <f>IFERROR(VLOOKUP(H951,케이블트레이입.출고현황!Y954:AD1029,2,0),"")</f>
        <v/>
      </c>
      <c r="J951" s="253">
        <v>2</v>
      </c>
      <c r="K951" s="253"/>
      <c r="L951" s="255"/>
      <c r="M951" s="256"/>
      <c r="N951" s="257"/>
    </row>
    <row r="952" spans="1:14" s="258" customFormat="1" ht="24" customHeight="1">
      <c r="A952" s="8">
        <v>912</v>
      </c>
      <c r="B952" s="9">
        <v>912</v>
      </c>
      <c r="C952" s="254"/>
      <c r="D952" s="253"/>
      <c r="E952" s="19" t="str">
        <f>IFERROR(VLOOKUP(D952,케이블트레이입.출고현황!U955:Z1030,2,0),"")</f>
        <v/>
      </c>
      <c r="F952" s="19" t="str">
        <f>IFERROR(VLOOKUP(E952,케이블트레이입.출고현황!V955:AA1030,2,0),"")</f>
        <v/>
      </c>
      <c r="G952" s="19" t="str">
        <f>IFERROR(VLOOKUP(F952,케이블트레이입.출고현황!W955:AB1030,2,0),"")</f>
        <v/>
      </c>
      <c r="H952" s="19" t="str">
        <f>IFERROR(VLOOKUP(G952,케이블트레이입.출고현황!X955:AC1030,2,0),"")</f>
        <v/>
      </c>
      <c r="I952" s="19" t="str">
        <f>IFERROR(VLOOKUP(H952,케이블트레이입.출고현황!Y955:AD1030,2,0),"")</f>
        <v/>
      </c>
      <c r="J952" s="253" t="s">
        <v>557</v>
      </c>
      <c r="K952" s="253"/>
      <c r="L952" s="255"/>
      <c r="M952" s="256"/>
      <c r="N952" s="257"/>
    </row>
    <row r="953" spans="1:14" s="258" customFormat="1" ht="24" customHeight="1">
      <c r="A953" s="8">
        <v>913</v>
      </c>
      <c r="B953" s="9">
        <v>913</v>
      </c>
      <c r="C953" s="254"/>
      <c r="D953" s="253"/>
      <c r="E953" s="19" t="str">
        <f>IFERROR(VLOOKUP(D953,케이블트레이입.출고현황!U956:Z1031,2,0),"")</f>
        <v/>
      </c>
      <c r="F953" s="19" t="str">
        <f>IFERROR(VLOOKUP(E953,케이블트레이입.출고현황!V956:AA1031,2,0),"")</f>
        <v/>
      </c>
      <c r="G953" s="19" t="str">
        <f>IFERROR(VLOOKUP(F953,케이블트레이입.출고현황!W956:AB1031,2,0),"")</f>
        <v/>
      </c>
      <c r="H953" s="19" t="str">
        <f>IFERROR(VLOOKUP(G953,케이블트레이입.출고현황!X956:AC1031,2,0),"")</f>
        <v/>
      </c>
      <c r="I953" s="19" t="str">
        <f>IFERROR(VLOOKUP(H953,케이블트레이입.출고현황!Y956:AD1031,2,0),"")</f>
        <v/>
      </c>
      <c r="J953" s="253">
        <v>3</v>
      </c>
      <c r="K953" s="253"/>
      <c r="L953" s="255"/>
      <c r="M953" s="256"/>
      <c r="N953" s="257"/>
    </row>
    <row r="954" spans="1:14" s="258" customFormat="1" ht="24" customHeight="1">
      <c r="A954" s="8">
        <v>914</v>
      </c>
      <c r="B954" s="9">
        <v>914</v>
      </c>
      <c r="C954" s="254"/>
      <c r="D954" s="253"/>
      <c r="E954" s="19" t="str">
        <f>IFERROR(VLOOKUP(D954,케이블트레이입.출고현황!U957:Z1032,2,0),"")</f>
        <v/>
      </c>
      <c r="F954" s="19" t="str">
        <f>IFERROR(VLOOKUP(E954,케이블트레이입.출고현황!V957:AA1032,2,0),"")</f>
        <v/>
      </c>
      <c r="G954" s="19" t="str">
        <f>IFERROR(VLOOKUP(F954,케이블트레이입.출고현황!W957:AB1032,2,0),"")</f>
        <v/>
      </c>
      <c r="H954" s="19" t="str">
        <f>IFERROR(VLOOKUP(G954,케이블트레이입.출고현황!X957:AC1032,2,0),"")</f>
        <v/>
      </c>
      <c r="I954" s="19" t="str">
        <f>IFERROR(VLOOKUP(H954,케이블트레이입.출고현황!Y957:AD1032,2,0),"")</f>
        <v/>
      </c>
      <c r="J954" s="253">
        <v>1</v>
      </c>
      <c r="K954" s="253"/>
      <c r="L954" s="255"/>
      <c r="M954" s="256"/>
      <c r="N954" s="257"/>
    </row>
    <row r="955" spans="1:14" s="258" customFormat="1" ht="24" customHeight="1">
      <c r="A955" s="8">
        <v>915</v>
      </c>
      <c r="B955" s="9">
        <v>915</v>
      </c>
      <c r="C955" s="254"/>
      <c r="D955" s="253"/>
      <c r="E955" s="19" t="str">
        <f>IFERROR(VLOOKUP(D955,케이블트레이입.출고현황!U958:Z1033,2,0),"")</f>
        <v/>
      </c>
      <c r="F955" s="19" t="str">
        <f>IFERROR(VLOOKUP(E955,케이블트레이입.출고현황!V958:AA1033,2,0),"")</f>
        <v/>
      </c>
      <c r="G955" s="19" t="str">
        <f>IFERROR(VLOOKUP(F955,케이블트레이입.출고현황!W958:AB1033,2,0),"")</f>
        <v/>
      </c>
      <c r="H955" s="19" t="str">
        <f>IFERROR(VLOOKUP(G955,케이블트레이입.출고현황!X958:AC1033,2,0),"")</f>
        <v/>
      </c>
      <c r="I955" s="19" t="str">
        <f>IFERROR(VLOOKUP(H955,케이블트레이입.출고현황!Y958:AD1033,2,0),"")</f>
        <v/>
      </c>
      <c r="J955" s="253">
        <v>1</v>
      </c>
      <c r="K955" s="253"/>
      <c r="L955" s="255"/>
      <c r="M955" s="256"/>
      <c r="N955" s="257"/>
    </row>
    <row r="956" spans="1:14" s="258" customFormat="1" ht="24" customHeight="1">
      <c r="A956" s="8">
        <v>916</v>
      </c>
      <c r="B956" s="9">
        <v>916</v>
      </c>
      <c r="C956" s="254"/>
      <c r="D956" s="253"/>
      <c r="E956" s="19" t="str">
        <f>IFERROR(VLOOKUP(D956,케이블트레이입.출고현황!U959:Z1034,2,0),"")</f>
        <v/>
      </c>
      <c r="F956" s="19" t="str">
        <f>IFERROR(VLOOKUP(E956,케이블트레이입.출고현황!V959:AA1034,2,0),"")</f>
        <v/>
      </c>
      <c r="G956" s="19" t="str">
        <f>IFERROR(VLOOKUP(F956,케이블트레이입.출고현황!W959:AB1034,2,0),"")</f>
        <v/>
      </c>
      <c r="H956" s="19" t="str">
        <f>IFERROR(VLOOKUP(G956,케이블트레이입.출고현황!X959:AC1034,2,0),"")</f>
        <v/>
      </c>
      <c r="I956" s="19" t="str">
        <f>IFERROR(VLOOKUP(H956,케이블트레이입.출고현황!Y959:AD1034,2,0),"")</f>
        <v/>
      </c>
      <c r="J956" s="253">
        <v>1</v>
      </c>
      <c r="K956" s="253"/>
      <c r="L956" s="255"/>
      <c r="M956" s="256"/>
      <c r="N956" s="257"/>
    </row>
    <row r="957" spans="1:14" s="258" customFormat="1" ht="24" customHeight="1">
      <c r="A957" s="8">
        <v>917</v>
      </c>
      <c r="B957" s="9">
        <v>917</v>
      </c>
      <c r="C957" s="254"/>
      <c r="D957" s="253"/>
      <c r="E957" s="19" t="str">
        <f>IFERROR(VLOOKUP(D957,케이블트레이입.출고현황!U960:Z1035,2,0),"")</f>
        <v/>
      </c>
      <c r="F957" s="19" t="str">
        <f>IFERROR(VLOOKUP(E957,케이블트레이입.출고현황!V960:AA1035,2,0),"")</f>
        <v/>
      </c>
      <c r="G957" s="19" t="str">
        <f>IFERROR(VLOOKUP(F957,케이블트레이입.출고현황!W960:AB1035,2,0),"")</f>
        <v/>
      </c>
      <c r="H957" s="19" t="str">
        <f>IFERROR(VLOOKUP(G957,케이블트레이입.출고현황!X960:AC1035,2,0),"")</f>
        <v/>
      </c>
      <c r="I957" s="19" t="str">
        <f>IFERROR(VLOOKUP(H957,케이블트레이입.출고현황!Y960:AD1035,2,0),"")</f>
        <v/>
      </c>
      <c r="J957" s="253">
        <v>2</v>
      </c>
      <c r="K957" s="253"/>
      <c r="L957" s="255"/>
      <c r="M957" s="256"/>
      <c r="N957" s="257"/>
    </row>
    <row r="958" spans="1:14" s="258" customFormat="1" ht="24" customHeight="1">
      <c r="A958" s="8">
        <v>918</v>
      </c>
      <c r="B958" s="9">
        <v>918</v>
      </c>
      <c r="C958" s="254"/>
      <c r="D958" s="253"/>
      <c r="E958" s="19" t="str">
        <f>IFERROR(VLOOKUP(D958,케이블트레이입.출고현황!U961:Z1036,2,0),"")</f>
        <v/>
      </c>
      <c r="F958" s="19" t="str">
        <f>IFERROR(VLOOKUP(E958,케이블트레이입.출고현황!V961:AA1036,2,0),"")</f>
        <v/>
      </c>
      <c r="G958" s="19" t="str">
        <f>IFERROR(VLOOKUP(F958,케이블트레이입.출고현황!W961:AB1036,2,0),"")</f>
        <v/>
      </c>
      <c r="H958" s="19" t="str">
        <f>IFERROR(VLOOKUP(G958,케이블트레이입.출고현황!X961:AC1036,2,0),"")</f>
        <v/>
      </c>
      <c r="I958" s="19" t="str">
        <f>IFERROR(VLOOKUP(H958,케이블트레이입.출고현황!Y961:AD1036,2,0),"")</f>
        <v/>
      </c>
      <c r="J958" s="253">
        <v>1</v>
      </c>
      <c r="K958" s="253"/>
      <c r="L958" s="255"/>
      <c r="M958" s="256"/>
      <c r="N958" s="257"/>
    </row>
    <row r="959" spans="1:14" s="258" customFormat="1" ht="24" customHeight="1">
      <c r="A959" s="8">
        <v>919</v>
      </c>
      <c r="B959" s="9">
        <v>919</v>
      </c>
      <c r="C959" s="254"/>
      <c r="D959" s="253"/>
      <c r="E959" s="19" t="str">
        <f>IFERROR(VLOOKUP(D959,케이블트레이입.출고현황!U962:Z1037,2,0),"")</f>
        <v/>
      </c>
      <c r="F959" s="19" t="str">
        <f>IFERROR(VLOOKUP(E959,케이블트레이입.출고현황!V962:AA1037,2,0),"")</f>
        <v/>
      </c>
      <c r="G959" s="19" t="str">
        <f>IFERROR(VLOOKUP(F959,케이블트레이입.출고현황!W962:AB1037,2,0),"")</f>
        <v/>
      </c>
      <c r="H959" s="19" t="str">
        <f>IFERROR(VLOOKUP(G959,케이블트레이입.출고현황!X962:AC1037,2,0),"")</f>
        <v/>
      </c>
      <c r="I959" s="19" t="str">
        <f>IFERROR(VLOOKUP(H959,케이블트레이입.출고현황!Y962:AD1037,2,0),"")</f>
        <v/>
      </c>
      <c r="J959" s="253">
        <v>2</v>
      </c>
      <c r="K959" s="253"/>
      <c r="L959" s="255"/>
      <c r="M959" s="256"/>
      <c r="N959" s="257"/>
    </row>
    <row r="960" spans="1:14" s="258" customFormat="1" ht="24" customHeight="1">
      <c r="A960" s="8">
        <v>920</v>
      </c>
      <c r="B960" s="9">
        <v>920</v>
      </c>
      <c r="C960" s="254"/>
      <c r="D960" s="253"/>
      <c r="E960" s="19" t="str">
        <f>IFERROR(VLOOKUP(D960,케이블트레이입.출고현황!U963:Z1038,2,0),"")</f>
        <v/>
      </c>
      <c r="F960" s="19" t="str">
        <f>IFERROR(VLOOKUP(E960,케이블트레이입.출고현황!V963:AA1038,2,0),"")</f>
        <v/>
      </c>
      <c r="G960" s="19" t="str">
        <f>IFERROR(VLOOKUP(F960,케이블트레이입.출고현황!W963:AB1038,2,0),"")</f>
        <v/>
      </c>
      <c r="H960" s="19" t="str">
        <f>IFERROR(VLOOKUP(G960,케이블트레이입.출고현황!X963:AC1038,2,0),"")</f>
        <v/>
      </c>
      <c r="I960" s="19" t="str">
        <f>IFERROR(VLOOKUP(H960,케이블트레이입.출고현황!Y963:AD1038,2,0),"")</f>
        <v/>
      </c>
      <c r="J960" s="253">
        <v>1</v>
      </c>
      <c r="K960" s="253"/>
      <c r="L960" s="255"/>
      <c r="M960" s="256"/>
      <c r="N960" s="257"/>
    </row>
    <row r="961" spans="1:14" s="258" customFormat="1" ht="24" customHeight="1">
      <c r="A961" s="8">
        <v>921</v>
      </c>
      <c r="B961" s="9">
        <v>921</v>
      </c>
      <c r="C961" s="254"/>
      <c r="D961" s="253"/>
      <c r="E961" s="19" t="str">
        <f>IFERROR(VLOOKUP(D961,케이블트레이입.출고현황!U964:Z1039,2,0),"")</f>
        <v/>
      </c>
      <c r="F961" s="19" t="str">
        <f>IFERROR(VLOOKUP(E961,케이블트레이입.출고현황!V964:AA1039,2,0),"")</f>
        <v/>
      </c>
      <c r="G961" s="19" t="str">
        <f>IFERROR(VLOOKUP(F961,케이블트레이입.출고현황!W964:AB1039,2,0),"")</f>
        <v/>
      </c>
      <c r="H961" s="19" t="str">
        <f>IFERROR(VLOOKUP(G961,케이블트레이입.출고현황!X964:AC1039,2,0),"")</f>
        <v/>
      </c>
      <c r="I961" s="19" t="str">
        <f>IFERROR(VLOOKUP(H961,케이블트레이입.출고현황!Y964:AD1039,2,0),"")</f>
        <v/>
      </c>
      <c r="J961" s="253">
        <v>1</v>
      </c>
      <c r="K961" s="253"/>
      <c r="L961" s="255"/>
      <c r="M961" s="256"/>
      <c r="N961" s="257"/>
    </row>
    <row r="962" spans="1:14" s="258" customFormat="1" ht="24" customHeight="1">
      <c r="A962" s="8">
        <v>922</v>
      </c>
      <c r="B962" s="9">
        <v>922</v>
      </c>
      <c r="C962" s="254"/>
      <c r="D962" s="253"/>
      <c r="E962" s="19" t="str">
        <f>IFERROR(VLOOKUP(D962,케이블트레이입.출고현황!U965:Z1040,2,0),"")</f>
        <v/>
      </c>
      <c r="F962" s="19" t="str">
        <f>IFERROR(VLOOKUP(E962,케이블트레이입.출고현황!V965:AA1040,2,0),"")</f>
        <v/>
      </c>
      <c r="G962" s="19" t="str">
        <f>IFERROR(VLOOKUP(F962,케이블트레이입.출고현황!W965:AB1040,2,0),"")</f>
        <v/>
      </c>
      <c r="H962" s="19" t="str">
        <f>IFERROR(VLOOKUP(G962,케이블트레이입.출고현황!X965:AC1040,2,0),"")</f>
        <v/>
      </c>
      <c r="I962" s="19" t="str">
        <f>IFERROR(VLOOKUP(H962,케이블트레이입.출고현황!Y965:AD1040,2,0),"")</f>
        <v/>
      </c>
      <c r="J962" s="253">
        <v>1</v>
      </c>
      <c r="K962" s="253"/>
      <c r="L962" s="255"/>
      <c r="M962" s="256"/>
      <c r="N962" s="257"/>
    </row>
    <row r="963" spans="1:14" s="258" customFormat="1" ht="24" customHeight="1">
      <c r="A963" s="8">
        <v>923</v>
      </c>
      <c r="B963" s="9">
        <v>923</v>
      </c>
      <c r="C963" s="254"/>
      <c r="D963" s="253"/>
      <c r="E963" s="19" t="str">
        <f>IFERROR(VLOOKUP(D963,케이블트레이입.출고현황!U966:Z1041,2,0),"")</f>
        <v/>
      </c>
      <c r="F963" s="19" t="str">
        <f>IFERROR(VLOOKUP(E963,케이블트레이입.출고현황!V966:AA1041,2,0),"")</f>
        <v/>
      </c>
      <c r="G963" s="19" t="str">
        <f>IFERROR(VLOOKUP(F963,케이블트레이입.출고현황!W966:AB1041,2,0),"")</f>
        <v/>
      </c>
      <c r="H963" s="19" t="str">
        <f>IFERROR(VLOOKUP(G963,케이블트레이입.출고현황!X966:AC1041,2,0),"")</f>
        <v/>
      </c>
      <c r="I963" s="19" t="str">
        <f>IFERROR(VLOOKUP(H963,케이블트레이입.출고현황!Y966:AD1041,2,0),"")</f>
        <v/>
      </c>
      <c r="J963" s="253">
        <v>1</v>
      </c>
      <c r="K963" s="253"/>
      <c r="L963" s="255"/>
      <c r="M963" s="256"/>
      <c r="N963" s="257"/>
    </row>
    <row r="964" spans="1:14" s="258" customFormat="1" ht="24" customHeight="1">
      <c r="A964" s="8">
        <v>924</v>
      </c>
      <c r="B964" s="9">
        <v>924</v>
      </c>
      <c r="C964" s="254"/>
      <c r="D964" s="253"/>
      <c r="E964" s="19" t="str">
        <f>IFERROR(VLOOKUP(D964,케이블트레이입.출고현황!U967:Z1042,2,0),"")</f>
        <v/>
      </c>
      <c r="F964" s="19" t="str">
        <f>IFERROR(VLOOKUP(E964,케이블트레이입.출고현황!V967:AA1042,2,0),"")</f>
        <v/>
      </c>
      <c r="G964" s="19" t="str">
        <f>IFERROR(VLOOKUP(F964,케이블트레이입.출고현황!W967:AB1042,2,0),"")</f>
        <v/>
      </c>
      <c r="H964" s="19" t="str">
        <f>IFERROR(VLOOKUP(G964,케이블트레이입.출고현황!X967:AC1042,2,0),"")</f>
        <v/>
      </c>
      <c r="I964" s="19" t="str">
        <f>IFERROR(VLOOKUP(H964,케이블트레이입.출고현황!Y967:AD1042,2,0),"")</f>
        <v/>
      </c>
      <c r="J964" s="253">
        <v>3</v>
      </c>
      <c r="K964" s="253"/>
      <c r="L964" s="255"/>
      <c r="M964" s="256"/>
      <c r="N964" s="257"/>
    </row>
    <row r="965" spans="1:14" s="258" customFormat="1" ht="24" customHeight="1">
      <c r="A965" s="8">
        <v>925</v>
      </c>
      <c r="B965" s="9">
        <v>925</v>
      </c>
      <c r="C965" s="254"/>
      <c r="D965" s="253"/>
      <c r="E965" s="19" t="str">
        <f>IFERROR(VLOOKUP(D965,케이블트레이입.출고현황!U968:Z1043,2,0),"")</f>
        <v/>
      </c>
      <c r="F965" s="19" t="str">
        <f>IFERROR(VLOOKUP(E965,케이블트레이입.출고현황!V968:AA1043,2,0),"")</f>
        <v/>
      </c>
      <c r="G965" s="19" t="str">
        <f>IFERROR(VLOOKUP(F965,케이블트레이입.출고현황!W968:AB1043,2,0),"")</f>
        <v/>
      </c>
      <c r="H965" s="19" t="str">
        <f>IFERROR(VLOOKUP(G965,케이블트레이입.출고현황!X968:AC1043,2,0),"")</f>
        <v/>
      </c>
      <c r="I965" s="19" t="str">
        <f>IFERROR(VLOOKUP(H965,케이블트레이입.출고현황!Y968:AD1043,2,0),"")</f>
        <v/>
      </c>
      <c r="J965" s="253">
        <v>3</v>
      </c>
      <c r="K965" s="253"/>
      <c r="L965" s="255"/>
      <c r="M965" s="256"/>
      <c r="N965" s="257"/>
    </row>
    <row r="966" spans="1:14" s="258" customFormat="1" ht="24" customHeight="1">
      <c r="A966" s="8">
        <v>926</v>
      </c>
      <c r="B966" s="9">
        <v>926</v>
      </c>
      <c r="C966" s="254"/>
      <c r="D966" s="253"/>
      <c r="E966" s="19" t="str">
        <f>IFERROR(VLOOKUP(D966,케이블트레이입.출고현황!U969:Z1044,2,0),"")</f>
        <v/>
      </c>
      <c r="F966" s="19" t="str">
        <f>IFERROR(VLOOKUP(E966,케이블트레이입.출고현황!V969:AA1044,2,0),"")</f>
        <v/>
      </c>
      <c r="G966" s="19" t="str">
        <f>IFERROR(VLOOKUP(F966,케이블트레이입.출고현황!W969:AB1044,2,0),"")</f>
        <v/>
      </c>
      <c r="H966" s="19" t="str">
        <f>IFERROR(VLOOKUP(G966,케이블트레이입.출고현황!X969:AC1044,2,0),"")</f>
        <v/>
      </c>
      <c r="I966" s="19" t="str">
        <f>IFERROR(VLOOKUP(H966,케이블트레이입.출고현황!Y969:AD1044,2,0),"")</f>
        <v/>
      </c>
      <c r="J966" s="253">
        <v>2</v>
      </c>
      <c r="K966" s="253"/>
      <c r="L966" s="255"/>
      <c r="M966" s="256"/>
      <c r="N966" s="257"/>
    </row>
    <row r="967" spans="1:14" s="258" customFormat="1" ht="24" customHeight="1">
      <c r="A967" s="8">
        <v>927</v>
      </c>
      <c r="B967" s="9">
        <v>927</v>
      </c>
      <c r="C967" s="254"/>
      <c r="D967" s="253"/>
      <c r="E967" s="19" t="str">
        <f>IFERROR(VLOOKUP(D967,케이블트레이입.출고현황!U970:Z1045,2,0),"")</f>
        <v/>
      </c>
      <c r="F967" s="19" t="str">
        <f>IFERROR(VLOOKUP(E967,케이블트레이입.출고현황!V970:AA1045,2,0),"")</f>
        <v/>
      </c>
      <c r="G967" s="19" t="str">
        <f>IFERROR(VLOOKUP(F967,케이블트레이입.출고현황!W970:AB1045,2,0),"")</f>
        <v/>
      </c>
      <c r="H967" s="19" t="str">
        <f>IFERROR(VLOOKUP(G967,케이블트레이입.출고현황!X970:AC1045,2,0),"")</f>
        <v/>
      </c>
      <c r="I967" s="19" t="str">
        <f>IFERROR(VLOOKUP(H967,케이블트레이입.출고현황!Y970:AD1045,2,0),"")</f>
        <v/>
      </c>
      <c r="J967" s="253">
        <v>1</v>
      </c>
      <c r="K967" s="253"/>
      <c r="L967" s="255"/>
      <c r="M967" s="256"/>
      <c r="N967" s="257"/>
    </row>
    <row r="968" spans="1:14" s="258" customFormat="1" ht="24" customHeight="1">
      <c r="A968" s="8">
        <v>928</v>
      </c>
      <c r="B968" s="9">
        <v>928</v>
      </c>
      <c r="C968" s="254"/>
      <c r="D968" s="253"/>
      <c r="E968" s="19" t="str">
        <f>IFERROR(VLOOKUP(D968,케이블트레이입.출고현황!U971:Z1046,2,0),"")</f>
        <v/>
      </c>
      <c r="F968" s="19" t="str">
        <f>IFERROR(VLOOKUP(E968,케이블트레이입.출고현황!V971:AA1046,2,0),"")</f>
        <v/>
      </c>
      <c r="G968" s="19" t="str">
        <f>IFERROR(VLOOKUP(F968,케이블트레이입.출고현황!W971:AB1046,2,0),"")</f>
        <v/>
      </c>
      <c r="H968" s="19" t="str">
        <f>IFERROR(VLOOKUP(G968,케이블트레이입.출고현황!X971:AC1046,2,0),"")</f>
        <v/>
      </c>
      <c r="I968" s="19" t="str">
        <f>IFERROR(VLOOKUP(H968,케이블트레이입.출고현황!Y971:AD1046,2,0),"")</f>
        <v/>
      </c>
      <c r="J968" s="253">
        <v>1</v>
      </c>
      <c r="K968" s="253"/>
      <c r="L968" s="255"/>
      <c r="M968" s="256"/>
      <c r="N968" s="257"/>
    </row>
    <row r="969" spans="1:14" s="258" customFormat="1" ht="24" customHeight="1">
      <c r="A969" s="8">
        <v>929</v>
      </c>
      <c r="B969" s="9">
        <v>929</v>
      </c>
      <c r="C969" s="254"/>
      <c r="D969" s="253"/>
      <c r="E969" s="19" t="str">
        <f>IFERROR(VLOOKUP(D969,케이블트레이입.출고현황!U972:Z1047,2,0),"")</f>
        <v/>
      </c>
      <c r="F969" s="19" t="str">
        <f>IFERROR(VLOOKUP(E969,케이블트레이입.출고현황!V972:AA1047,2,0),"")</f>
        <v/>
      </c>
      <c r="G969" s="19" t="str">
        <f>IFERROR(VLOOKUP(F969,케이블트레이입.출고현황!W972:AB1047,2,0),"")</f>
        <v/>
      </c>
      <c r="H969" s="19" t="str">
        <f>IFERROR(VLOOKUP(G969,케이블트레이입.출고현황!X972:AC1047,2,0),"")</f>
        <v/>
      </c>
      <c r="I969" s="19" t="str">
        <f>IFERROR(VLOOKUP(H969,케이블트레이입.출고현황!Y972:AD1047,2,0),"")</f>
        <v/>
      </c>
      <c r="J969" s="253">
        <v>3</v>
      </c>
      <c r="K969" s="253"/>
      <c r="L969" s="255"/>
      <c r="M969" s="256"/>
      <c r="N969" s="257"/>
    </row>
    <row r="970" spans="1:14" s="258" customFormat="1" ht="24" customHeight="1">
      <c r="A970" s="8">
        <v>930</v>
      </c>
      <c r="B970" s="9">
        <v>930</v>
      </c>
      <c r="C970" s="254"/>
      <c r="D970" s="253"/>
      <c r="E970" s="19" t="str">
        <f>IFERROR(VLOOKUP(D970,케이블트레이입.출고현황!U973:Z1048,2,0),"")</f>
        <v/>
      </c>
      <c r="F970" s="19" t="str">
        <f>IFERROR(VLOOKUP(E970,케이블트레이입.출고현황!V973:AA1048,2,0),"")</f>
        <v/>
      </c>
      <c r="G970" s="19" t="str">
        <f>IFERROR(VLOOKUP(F970,케이블트레이입.출고현황!W973:AB1048,2,0),"")</f>
        <v/>
      </c>
      <c r="H970" s="19" t="str">
        <f>IFERROR(VLOOKUP(G970,케이블트레이입.출고현황!X973:AC1048,2,0),"")</f>
        <v/>
      </c>
      <c r="I970" s="19" t="str">
        <f>IFERROR(VLOOKUP(H970,케이블트레이입.출고현황!Y973:AD1048,2,0),"")</f>
        <v/>
      </c>
      <c r="J970" s="253">
        <v>1</v>
      </c>
      <c r="K970" s="253"/>
      <c r="L970" s="255"/>
      <c r="M970" s="256"/>
      <c r="N970" s="257"/>
    </row>
    <row r="971" spans="1:14" s="258" customFormat="1" ht="24" customHeight="1">
      <c r="A971" s="8">
        <v>931</v>
      </c>
      <c r="B971" s="9">
        <v>931</v>
      </c>
      <c r="C971" s="254"/>
      <c r="D971" s="253"/>
      <c r="E971" s="19" t="str">
        <f>IFERROR(VLOOKUP(D971,케이블트레이입.출고현황!U974:Z1049,2,0),"")</f>
        <v/>
      </c>
      <c r="F971" s="19" t="str">
        <f>IFERROR(VLOOKUP(E971,케이블트레이입.출고현황!V974:AA1049,2,0),"")</f>
        <v/>
      </c>
      <c r="G971" s="19" t="str">
        <f>IFERROR(VLOOKUP(F971,케이블트레이입.출고현황!W974:AB1049,2,0),"")</f>
        <v/>
      </c>
      <c r="H971" s="19" t="str">
        <f>IFERROR(VLOOKUP(G971,케이블트레이입.출고현황!X974:AC1049,2,0),"")</f>
        <v/>
      </c>
      <c r="I971" s="19" t="str">
        <f>IFERROR(VLOOKUP(H971,케이블트레이입.출고현황!Y974:AD1049,2,0),"")</f>
        <v/>
      </c>
      <c r="J971" s="253">
        <v>1</v>
      </c>
      <c r="K971" s="253"/>
      <c r="L971" s="255"/>
      <c r="M971" s="256"/>
      <c r="N971" s="257"/>
    </row>
    <row r="972" spans="1:14" s="258" customFormat="1" ht="24" customHeight="1">
      <c r="A972" s="8">
        <v>932</v>
      </c>
      <c r="B972" s="9">
        <v>932</v>
      </c>
      <c r="C972" s="254"/>
      <c r="D972" s="253"/>
      <c r="E972" s="19" t="str">
        <f>IFERROR(VLOOKUP(D972,케이블트레이입.출고현황!U975:Z1050,2,0),"")</f>
        <v/>
      </c>
      <c r="F972" s="19" t="str">
        <f>IFERROR(VLOOKUP(E972,케이블트레이입.출고현황!V975:AA1050,2,0),"")</f>
        <v/>
      </c>
      <c r="G972" s="19" t="str">
        <f>IFERROR(VLOOKUP(F972,케이블트레이입.출고현황!W975:AB1050,2,0),"")</f>
        <v/>
      </c>
      <c r="H972" s="19" t="str">
        <f>IFERROR(VLOOKUP(G972,케이블트레이입.출고현황!X975:AC1050,2,0),"")</f>
        <v/>
      </c>
      <c r="I972" s="19" t="str">
        <f>IFERROR(VLOOKUP(H972,케이블트레이입.출고현황!Y975:AD1050,2,0),"")</f>
        <v/>
      </c>
      <c r="J972" s="253">
        <v>2</v>
      </c>
      <c r="K972" s="253"/>
      <c r="L972" s="255"/>
      <c r="M972" s="256"/>
      <c r="N972" s="257"/>
    </row>
    <row r="973" spans="1:14" s="258" customFormat="1" ht="24" customHeight="1">
      <c r="A973" s="8">
        <v>933</v>
      </c>
      <c r="B973" s="9">
        <v>933</v>
      </c>
      <c r="C973" s="254"/>
      <c r="D973" s="253"/>
      <c r="E973" s="19" t="str">
        <f>IFERROR(VLOOKUP(D973,케이블트레이입.출고현황!U976:Z1051,2,0),"")</f>
        <v/>
      </c>
      <c r="F973" s="19" t="str">
        <f>IFERROR(VLOOKUP(E973,케이블트레이입.출고현황!V976:AA1051,2,0),"")</f>
        <v/>
      </c>
      <c r="G973" s="19" t="str">
        <f>IFERROR(VLOOKUP(F973,케이블트레이입.출고현황!W976:AB1051,2,0),"")</f>
        <v/>
      </c>
      <c r="H973" s="19" t="str">
        <f>IFERROR(VLOOKUP(G973,케이블트레이입.출고현황!X976:AC1051,2,0),"")</f>
        <v/>
      </c>
      <c r="I973" s="19" t="str">
        <f>IFERROR(VLOOKUP(H973,케이블트레이입.출고현황!Y976:AD1051,2,0),"")</f>
        <v/>
      </c>
      <c r="J973" s="253">
        <v>2</v>
      </c>
      <c r="K973" s="253"/>
      <c r="L973" s="255"/>
      <c r="M973" s="256"/>
      <c r="N973" s="257"/>
    </row>
    <row r="974" spans="1:14" s="258" customFormat="1" ht="24" customHeight="1">
      <c r="A974" s="8">
        <v>934</v>
      </c>
      <c r="B974" s="9">
        <v>934</v>
      </c>
      <c r="C974" s="254"/>
      <c r="D974" s="253"/>
      <c r="E974" s="19" t="str">
        <f>IFERROR(VLOOKUP(D974,케이블트레이입.출고현황!U977:Z1052,2,0),"")</f>
        <v/>
      </c>
      <c r="F974" s="19" t="str">
        <f>IFERROR(VLOOKUP(E974,케이블트레이입.출고현황!V977:AA1052,2,0),"")</f>
        <v/>
      </c>
      <c r="G974" s="19" t="str">
        <f>IFERROR(VLOOKUP(F974,케이블트레이입.출고현황!W977:AB1052,2,0),"")</f>
        <v/>
      </c>
      <c r="H974" s="19" t="str">
        <f>IFERROR(VLOOKUP(G974,케이블트레이입.출고현황!X977:AC1052,2,0),"")</f>
        <v/>
      </c>
      <c r="I974" s="19" t="str">
        <f>IFERROR(VLOOKUP(H974,케이블트레이입.출고현황!Y977:AD1052,2,0),"")</f>
        <v/>
      </c>
      <c r="J974" s="253">
        <v>1</v>
      </c>
      <c r="K974" s="253"/>
      <c r="L974" s="255"/>
      <c r="M974" s="256"/>
      <c r="N974" s="257"/>
    </row>
    <row r="975" spans="1:14" s="258" customFormat="1" ht="24" customHeight="1">
      <c r="A975" s="8">
        <v>935</v>
      </c>
      <c r="B975" s="9">
        <v>935</v>
      </c>
      <c r="C975" s="254"/>
      <c r="D975" s="253"/>
      <c r="E975" s="19" t="str">
        <f>IFERROR(VLOOKUP(D975,케이블트레이입.출고현황!U978:Z1053,2,0),"")</f>
        <v/>
      </c>
      <c r="F975" s="19" t="str">
        <f>IFERROR(VLOOKUP(E975,케이블트레이입.출고현황!V978:AA1053,2,0),"")</f>
        <v/>
      </c>
      <c r="G975" s="19" t="str">
        <f>IFERROR(VLOOKUP(F975,케이블트레이입.출고현황!W978:AB1053,2,0),"")</f>
        <v/>
      </c>
      <c r="H975" s="19" t="str">
        <f>IFERROR(VLOOKUP(G975,케이블트레이입.출고현황!X978:AC1053,2,0),"")</f>
        <v/>
      </c>
      <c r="I975" s="19" t="str">
        <f>IFERROR(VLOOKUP(H975,케이블트레이입.출고현황!Y978:AD1053,2,0),"")</f>
        <v/>
      </c>
      <c r="J975" s="253">
        <v>1</v>
      </c>
      <c r="K975" s="253"/>
      <c r="L975" s="255"/>
      <c r="M975" s="256"/>
      <c r="N975" s="257"/>
    </row>
    <row r="976" spans="1:14" s="258" customFormat="1" ht="24" customHeight="1">
      <c r="A976" s="8">
        <v>936</v>
      </c>
      <c r="B976" s="9">
        <v>936</v>
      </c>
      <c r="C976" s="254"/>
      <c r="D976" s="253"/>
      <c r="E976" s="19" t="str">
        <f>IFERROR(VLOOKUP(D976,케이블트레이입.출고현황!U979:Z1054,2,0),"")</f>
        <v/>
      </c>
      <c r="F976" s="19" t="str">
        <f>IFERROR(VLOOKUP(E976,케이블트레이입.출고현황!V979:AA1054,2,0),"")</f>
        <v/>
      </c>
      <c r="G976" s="19" t="str">
        <f>IFERROR(VLOOKUP(F976,케이블트레이입.출고현황!W979:AB1054,2,0),"")</f>
        <v/>
      </c>
      <c r="H976" s="19" t="str">
        <f>IFERROR(VLOOKUP(G976,케이블트레이입.출고현황!X979:AC1054,2,0),"")</f>
        <v/>
      </c>
      <c r="I976" s="19" t="str">
        <f>IFERROR(VLOOKUP(H976,케이블트레이입.출고현황!Y979:AD1054,2,0),"")</f>
        <v/>
      </c>
      <c r="J976" s="253">
        <v>3</v>
      </c>
      <c r="K976" s="253"/>
      <c r="L976" s="255"/>
      <c r="M976" s="256"/>
      <c r="N976" s="257"/>
    </row>
    <row r="977" spans="1:14" s="258" customFormat="1" ht="24" customHeight="1">
      <c r="A977" s="8">
        <v>937</v>
      </c>
      <c r="B977" s="9">
        <v>937</v>
      </c>
      <c r="C977" s="254"/>
      <c r="D977" s="253"/>
      <c r="E977" s="19" t="str">
        <f>IFERROR(VLOOKUP(D977,케이블트레이입.출고현황!U980:Z1055,2,0),"")</f>
        <v/>
      </c>
      <c r="F977" s="19" t="str">
        <f>IFERROR(VLOOKUP(E977,케이블트레이입.출고현황!V980:AA1055,2,0),"")</f>
        <v/>
      </c>
      <c r="G977" s="19" t="str">
        <f>IFERROR(VLOOKUP(F977,케이블트레이입.출고현황!W980:AB1055,2,0),"")</f>
        <v/>
      </c>
      <c r="H977" s="19" t="str">
        <f>IFERROR(VLOOKUP(G977,케이블트레이입.출고현황!X980:AC1055,2,0),"")</f>
        <v/>
      </c>
      <c r="I977" s="19" t="str">
        <f>IFERROR(VLOOKUP(H977,케이블트레이입.출고현황!Y980:AD1055,2,0),"")</f>
        <v/>
      </c>
      <c r="J977" s="253">
        <v>2</v>
      </c>
      <c r="K977" s="253"/>
      <c r="L977" s="255"/>
      <c r="M977" s="256"/>
      <c r="N977" s="257"/>
    </row>
    <row r="978" spans="1:14" s="258" customFormat="1" ht="24" customHeight="1">
      <c r="A978" s="8">
        <v>938</v>
      </c>
      <c r="B978" s="9">
        <v>938</v>
      </c>
      <c r="C978" s="254"/>
      <c r="D978" s="253"/>
      <c r="E978" s="19" t="str">
        <f>IFERROR(VLOOKUP(D978,케이블트레이입.출고현황!U981:Z1056,2,0),"")</f>
        <v/>
      </c>
      <c r="F978" s="19" t="str">
        <f>IFERROR(VLOOKUP(E978,케이블트레이입.출고현황!V981:AA1056,2,0),"")</f>
        <v/>
      </c>
      <c r="G978" s="19" t="str">
        <f>IFERROR(VLOOKUP(F978,케이블트레이입.출고현황!W981:AB1056,2,0),"")</f>
        <v/>
      </c>
      <c r="H978" s="19" t="str">
        <f>IFERROR(VLOOKUP(G978,케이블트레이입.출고현황!X981:AC1056,2,0),"")</f>
        <v/>
      </c>
      <c r="I978" s="19" t="str">
        <f>IFERROR(VLOOKUP(H978,케이블트레이입.출고현황!Y981:AD1056,2,0),"")</f>
        <v/>
      </c>
      <c r="J978" s="253">
        <v>3</v>
      </c>
      <c r="K978" s="253"/>
      <c r="L978" s="255"/>
      <c r="M978" s="256"/>
      <c r="N978" s="257"/>
    </row>
    <row r="979" spans="1:14" s="258" customFormat="1" ht="24" customHeight="1">
      <c r="A979" s="8">
        <v>939</v>
      </c>
      <c r="B979" s="9">
        <v>939</v>
      </c>
      <c r="C979" s="254"/>
      <c r="D979" s="253"/>
      <c r="E979" s="19" t="str">
        <f>IFERROR(VLOOKUP(D979,케이블트레이입.출고현황!U982:Z1057,2,0),"")</f>
        <v/>
      </c>
      <c r="F979" s="19" t="str">
        <f>IFERROR(VLOOKUP(E979,케이블트레이입.출고현황!V982:AA1057,2,0),"")</f>
        <v/>
      </c>
      <c r="G979" s="19" t="str">
        <f>IFERROR(VLOOKUP(F979,케이블트레이입.출고현황!W982:AB1057,2,0),"")</f>
        <v/>
      </c>
      <c r="H979" s="19" t="str">
        <f>IFERROR(VLOOKUP(G979,케이블트레이입.출고현황!X982:AC1057,2,0),"")</f>
        <v/>
      </c>
      <c r="I979" s="19" t="str">
        <f>IFERROR(VLOOKUP(H979,케이블트레이입.출고현황!Y982:AD1057,2,0),"")</f>
        <v/>
      </c>
      <c r="J979" s="253">
        <v>1</v>
      </c>
      <c r="K979" s="253"/>
      <c r="L979" s="255"/>
      <c r="M979" s="256"/>
      <c r="N979" s="257"/>
    </row>
    <row r="980" spans="1:14" s="258" customFormat="1" ht="24" customHeight="1">
      <c r="A980" s="8">
        <v>940</v>
      </c>
      <c r="B980" s="9">
        <v>940</v>
      </c>
      <c r="C980" s="254"/>
      <c r="D980" s="253"/>
      <c r="E980" s="19" t="str">
        <f>IFERROR(VLOOKUP(D980,케이블트레이입.출고현황!U983:Z1058,2,0),"")</f>
        <v/>
      </c>
      <c r="F980" s="19" t="str">
        <f>IFERROR(VLOOKUP(E980,케이블트레이입.출고현황!V983:AA1058,2,0),"")</f>
        <v/>
      </c>
      <c r="G980" s="19" t="str">
        <f>IFERROR(VLOOKUP(F980,케이블트레이입.출고현황!W983:AB1058,2,0),"")</f>
        <v/>
      </c>
      <c r="H980" s="19" t="str">
        <f>IFERROR(VLOOKUP(G980,케이블트레이입.출고현황!X983:AC1058,2,0),"")</f>
        <v/>
      </c>
      <c r="I980" s="19" t="str">
        <f>IFERROR(VLOOKUP(H980,케이블트레이입.출고현황!Y983:AD1058,2,0),"")</f>
        <v/>
      </c>
      <c r="J980" s="253">
        <v>1</v>
      </c>
      <c r="K980" s="253"/>
      <c r="L980" s="255"/>
      <c r="M980" s="256"/>
      <c r="N980" s="257"/>
    </row>
    <row r="981" spans="1:14" s="258" customFormat="1" ht="24" customHeight="1">
      <c r="A981" s="8">
        <v>941</v>
      </c>
      <c r="B981" s="9">
        <v>941</v>
      </c>
      <c r="C981" s="254"/>
      <c r="D981" s="253"/>
      <c r="E981" s="19" t="str">
        <f>IFERROR(VLOOKUP(D981,케이블트레이입.출고현황!U984:Z1059,2,0),"")</f>
        <v/>
      </c>
      <c r="F981" s="19" t="str">
        <f>IFERROR(VLOOKUP(E981,케이블트레이입.출고현황!V984:AA1059,2,0),"")</f>
        <v/>
      </c>
      <c r="G981" s="19" t="str">
        <f>IFERROR(VLOOKUP(F981,케이블트레이입.출고현황!W984:AB1059,2,0),"")</f>
        <v/>
      </c>
      <c r="H981" s="19" t="str">
        <f>IFERROR(VLOOKUP(G981,케이블트레이입.출고현황!X984:AC1059,2,0),"")</f>
        <v/>
      </c>
      <c r="I981" s="19" t="str">
        <f>IFERROR(VLOOKUP(H981,케이블트레이입.출고현황!Y984:AD1059,2,0),"")</f>
        <v/>
      </c>
      <c r="J981" s="253">
        <v>2</v>
      </c>
      <c r="K981" s="253"/>
      <c r="L981" s="255"/>
      <c r="M981" s="256"/>
      <c r="N981" s="257"/>
    </row>
    <row r="982" spans="1:14" s="258" customFormat="1" ht="24" customHeight="1">
      <c r="A982" s="8">
        <v>942</v>
      </c>
      <c r="B982" s="9">
        <v>942</v>
      </c>
      <c r="C982" s="254"/>
      <c r="D982" s="253"/>
      <c r="E982" s="19" t="str">
        <f>IFERROR(VLOOKUP(D982,케이블트레이입.출고현황!U985:Z1060,2,0),"")</f>
        <v/>
      </c>
      <c r="F982" s="19" t="str">
        <f>IFERROR(VLOOKUP(E982,케이블트레이입.출고현황!V985:AA1060,2,0),"")</f>
        <v/>
      </c>
      <c r="G982" s="19" t="str">
        <f>IFERROR(VLOOKUP(F982,케이블트레이입.출고현황!W985:AB1060,2,0),"")</f>
        <v/>
      </c>
      <c r="H982" s="19" t="str">
        <f>IFERROR(VLOOKUP(G982,케이블트레이입.출고현황!X985:AC1060,2,0),"")</f>
        <v/>
      </c>
      <c r="I982" s="19" t="str">
        <f>IFERROR(VLOOKUP(H982,케이블트레이입.출고현황!Y985:AD1060,2,0),"")</f>
        <v/>
      </c>
      <c r="J982" s="253">
        <v>3</v>
      </c>
      <c r="K982" s="253"/>
      <c r="L982" s="255"/>
      <c r="M982" s="256"/>
      <c r="N982" s="257"/>
    </row>
    <row r="983" spans="1:14" s="258" customFormat="1" ht="24" customHeight="1">
      <c r="A983" s="8">
        <v>943</v>
      </c>
      <c r="B983" s="9">
        <v>943</v>
      </c>
      <c r="C983" s="254"/>
      <c r="D983" s="253"/>
      <c r="E983" s="19" t="str">
        <f>IFERROR(VLOOKUP(D983,케이블트레이입.출고현황!U986:Z1061,2,0),"")</f>
        <v/>
      </c>
      <c r="F983" s="19" t="str">
        <f>IFERROR(VLOOKUP(E983,케이블트레이입.출고현황!V986:AA1061,2,0),"")</f>
        <v/>
      </c>
      <c r="G983" s="19" t="str">
        <f>IFERROR(VLOOKUP(F983,케이블트레이입.출고현황!W986:AB1061,2,0),"")</f>
        <v/>
      </c>
      <c r="H983" s="19" t="str">
        <f>IFERROR(VLOOKUP(G983,케이블트레이입.출고현황!X986:AC1061,2,0),"")</f>
        <v/>
      </c>
      <c r="I983" s="19" t="str">
        <f>IFERROR(VLOOKUP(H983,케이블트레이입.출고현황!Y986:AD1061,2,0),"")</f>
        <v/>
      </c>
      <c r="J983" s="253">
        <v>1</v>
      </c>
      <c r="K983" s="253"/>
      <c r="L983" s="255"/>
      <c r="M983" s="256"/>
      <c r="N983" s="257"/>
    </row>
    <row r="984" spans="1:14" s="258" customFormat="1" ht="24" customHeight="1">
      <c r="A984" s="8">
        <v>944</v>
      </c>
      <c r="B984" s="9">
        <v>944</v>
      </c>
      <c r="C984" s="254"/>
      <c r="D984" s="253"/>
      <c r="E984" s="19" t="str">
        <f>IFERROR(VLOOKUP(D984,케이블트레이입.출고현황!U987:Z1062,2,0),"")</f>
        <v/>
      </c>
      <c r="F984" s="19" t="str">
        <f>IFERROR(VLOOKUP(E984,케이블트레이입.출고현황!V987:AA1062,2,0),"")</f>
        <v/>
      </c>
      <c r="G984" s="19" t="str">
        <f>IFERROR(VLOOKUP(F984,케이블트레이입.출고현황!W987:AB1062,2,0),"")</f>
        <v/>
      </c>
      <c r="H984" s="19" t="str">
        <f>IFERROR(VLOOKUP(G984,케이블트레이입.출고현황!X987:AC1062,2,0),"")</f>
        <v/>
      </c>
      <c r="I984" s="19" t="str">
        <f>IFERROR(VLOOKUP(H984,케이블트레이입.출고현황!Y987:AD1062,2,0),"")</f>
        <v/>
      </c>
      <c r="J984" s="253">
        <v>4</v>
      </c>
      <c r="K984" s="253"/>
      <c r="L984" s="255"/>
      <c r="M984" s="256"/>
      <c r="N984" s="257"/>
    </row>
    <row r="985" spans="1:14" s="258" customFormat="1" ht="24" customHeight="1">
      <c r="A985" s="8">
        <v>945</v>
      </c>
      <c r="B985" s="9">
        <v>945</v>
      </c>
      <c r="C985" s="254"/>
      <c r="D985" s="253"/>
      <c r="E985" s="19" t="str">
        <f>IFERROR(VLOOKUP(D985,케이블트레이입.출고현황!U988:Z1063,2,0),"")</f>
        <v/>
      </c>
      <c r="F985" s="19" t="str">
        <f>IFERROR(VLOOKUP(E985,케이블트레이입.출고현황!V988:AA1063,2,0),"")</f>
        <v/>
      </c>
      <c r="G985" s="19" t="str">
        <f>IFERROR(VLOOKUP(F985,케이블트레이입.출고현황!W988:AB1063,2,0),"")</f>
        <v/>
      </c>
      <c r="H985" s="19" t="str">
        <f>IFERROR(VLOOKUP(G985,케이블트레이입.출고현황!X988:AC1063,2,0),"")</f>
        <v/>
      </c>
      <c r="I985" s="19" t="str">
        <f>IFERROR(VLOOKUP(H985,케이블트레이입.출고현황!Y988:AD1063,2,0),"")</f>
        <v/>
      </c>
      <c r="J985" s="253">
        <v>2</v>
      </c>
      <c r="K985" s="253"/>
      <c r="L985" s="255"/>
      <c r="M985" s="256"/>
      <c r="N985" s="257"/>
    </row>
    <row r="986" spans="1:14" s="258" customFormat="1" ht="24" customHeight="1">
      <c r="A986" s="8">
        <v>946</v>
      </c>
      <c r="B986" s="9">
        <v>946</v>
      </c>
      <c r="C986" s="254"/>
      <c r="D986" s="253"/>
      <c r="E986" s="19" t="str">
        <f>IFERROR(VLOOKUP(D986,케이블트레이입.출고현황!U989:Z1064,2,0),"")</f>
        <v/>
      </c>
      <c r="F986" s="19" t="str">
        <f>IFERROR(VLOOKUP(E986,케이블트레이입.출고현황!V989:AA1064,2,0),"")</f>
        <v/>
      </c>
      <c r="G986" s="19" t="str">
        <f>IFERROR(VLOOKUP(F986,케이블트레이입.출고현황!W989:AB1064,2,0),"")</f>
        <v/>
      </c>
      <c r="H986" s="19" t="str">
        <f>IFERROR(VLOOKUP(G986,케이블트레이입.출고현황!X989:AC1064,2,0),"")</f>
        <v/>
      </c>
      <c r="I986" s="19" t="str">
        <f>IFERROR(VLOOKUP(H986,케이블트레이입.출고현황!Y989:AD1064,2,0),"")</f>
        <v/>
      </c>
      <c r="J986" s="253">
        <v>1</v>
      </c>
      <c r="K986" s="253"/>
      <c r="L986" s="255"/>
      <c r="M986" s="256"/>
      <c r="N986" s="257"/>
    </row>
    <row r="987" spans="1:14" s="258" customFormat="1" ht="24" customHeight="1">
      <c r="A987" s="8">
        <v>947</v>
      </c>
      <c r="B987" s="9">
        <v>947</v>
      </c>
      <c r="C987" s="254"/>
      <c r="D987" s="253"/>
      <c r="E987" s="19" t="str">
        <f>IFERROR(VLOOKUP(D987,케이블트레이입.출고현황!U990:Z1065,2,0),"")</f>
        <v/>
      </c>
      <c r="F987" s="19" t="str">
        <f>IFERROR(VLOOKUP(E987,케이블트레이입.출고현황!V990:AA1065,2,0),"")</f>
        <v/>
      </c>
      <c r="G987" s="19" t="str">
        <f>IFERROR(VLOOKUP(F987,케이블트레이입.출고현황!W990:AB1065,2,0),"")</f>
        <v/>
      </c>
      <c r="H987" s="19" t="str">
        <f>IFERROR(VLOOKUP(G987,케이블트레이입.출고현황!X990:AC1065,2,0),"")</f>
        <v/>
      </c>
      <c r="I987" s="19" t="str">
        <f>IFERROR(VLOOKUP(H987,케이블트레이입.출고현황!Y990:AD1065,2,0),"")</f>
        <v/>
      </c>
      <c r="J987" s="253">
        <v>2</v>
      </c>
      <c r="K987" s="253"/>
      <c r="L987" s="255"/>
      <c r="M987" s="256"/>
      <c r="N987" s="257"/>
    </row>
    <row r="988" spans="1:14" s="258" customFormat="1" ht="24" customHeight="1">
      <c r="A988" s="8">
        <v>948</v>
      </c>
      <c r="B988" s="9">
        <v>948</v>
      </c>
      <c r="C988" s="254"/>
      <c r="D988" s="253"/>
      <c r="E988" s="19" t="str">
        <f>IFERROR(VLOOKUP(D988,케이블트레이입.출고현황!U991:Z1066,2,0),"")</f>
        <v/>
      </c>
      <c r="F988" s="19" t="str">
        <f>IFERROR(VLOOKUP(E988,케이블트레이입.출고현황!V991:AA1066,2,0),"")</f>
        <v/>
      </c>
      <c r="G988" s="19" t="str">
        <f>IFERROR(VLOOKUP(F988,케이블트레이입.출고현황!W991:AB1066,2,0),"")</f>
        <v/>
      </c>
      <c r="H988" s="19" t="str">
        <f>IFERROR(VLOOKUP(G988,케이블트레이입.출고현황!X991:AC1066,2,0),"")</f>
        <v/>
      </c>
      <c r="I988" s="19" t="str">
        <f>IFERROR(VLOOKUP(H988,케이블트레이입.출고현황!Y991:AD1066,2,0),"")</f>
        <v/>
      </c>
      <c r="J988" s="253">
        <v>3</v>
      </c>
      <c r="K988" s="253"/>
      <c r="L988" s="255"/>
      <c r="M988" s="256"/>
      <c r="N988" s="257"/>
    </row>
    <row r="989" spans="1:14" s="258" customFormat="1" ht="24" customHeight="1">
      <c r="A989" s="8">
        <v>949</v>
      </c>
      <c r="B989" s="9">
        <v>949</v>
      </c>
      <c r="C989" s="254"/>
      <c r="D989" s="253"/>
      <c r="E989" s="19" t="str">
        <f>IFERROR(VLOOKUP(D989,케이블트레이입.출고현황!U992:Z1067,2,0),"")</f>
        <v/>
      </c>
      <c r="F989" s="19" t="str">
        <f>IFERROR(VLOOKUP(E989,케이블트레이입.출고현황!V992:AA1067,2,0),"")</f>
        <v/>
      </c>
      <c r="G989" s="19" t="str">
        <f>IFERROR(VLOOKUP(F989,케이블트레이입.출고현황!W992:AB1067,2,0),"")</f>
        <v/>
      </c>
      <c r="H989" s="19" t="str">
        <f>IFERROR(VLOOKUP(G989,케이블트레이입.출고현황!X992:AC1067,2,0),"")</f>
        <v/>
      </c>
      <c r="I989" s="19" t="str">
        <f>IFERROR(VLOOKUP(H989,케이블트레이입.출고현황!Y992:AD1067,2,0),"")</f>
        <v/>
      </c>
      <c r="J989" s="253">
        <v>1</v>
      </c>
      <c r="K989" s="253"/>
      <c r="L989" s="255"/>
      <c r="M989" s="256"/>
      <c r="N989" s="257"/>
    </row>
    <row r="990" spans="1:14" s="258" customFormat="1" ht="24" customHeight="1">
      <c r="A990" s="8">
        <v>950</v>
      </c>
      <c r="B990" s="9">
        <v>950</v>
      </c>
      <c r="C990" s="254"/>
      <c r="D990" s="253"/>
      <c r="E990" s="19" t="str">
        <f>IFERROR(VLOOKUP(D990,케이블트레이입.출고현황!U993:Z1068,2,0),"")</f>
        <v/>
      </c>
      <c r="F990" s="19" t="str">
        <f>IFERROR(VLOOKUP(E990,케이블트레이입.출고현황!V993:AA1068,2,0),"")</f>
        <v/>
      </c>
      <c r="G990" s="19" t="str">
        <f>IFERROR(VLOOKUP(F990,케이블트레이입.출고현황!W993:AB1068,2,0),"")</f>
        <v/>
      </c>
      <c r="H990" s="19" t="str">
        <f>IFERROR(VLOOKUP(G990,케이블트레이입.출고현황!X993:AC1068,2,0),"")</f>
        <v/>
      </c>
      <c r="I990" s="19" t="str">
        <f>IFERROR(VLOOKUP(H990,케이블트레이입.출고현황!Y993:AD1068,2,0),"")</f>
        <v/>
      </c>
      <c r="J990" s="253">
        <v>1</v>
      </c>
      <c r="K990" s="253"/>
      <c r="L990" s="255"/>
      <c r="M990" s="256"/>
      <c r="N990" s="257"/>
    </row>
    <row r="991" spans="1:14" s="258" customFormat="1" ht="24" customHeight="1">
      <c r="A991" s="8">
        <v>951</v>
      </c>
      <c r="B991" s="9">
        <v>951</v>
      </c>
      <c r="C991" s="254"/>
      <c r="D991" s="253"/>
      <c r="E991" s="19" t="str">
        <f>IFERROR(VLOOKUP(D991,케이블트레이입.출고현황!U994:Z1069,2,0),"")</f>
        <v/>
      </c>
      <c r="F991" s="19" t="str">
        <f>IFERROR(VLOOKUP(E991,케이블트레이입.출고현황!V994:AA1069,2,0),"")</f>
        <v/>
      </c>
      <c r="G991" s="19" t="str">
        <f>IFERROR(VLOOKUP(F991,케이블트레이입.출고현황!W994:AB1069,2,0),"")</f>
        <v/>
      </c>
      <c r="H991" s="19" t="str">
        <f>IFERROR(VLOOKUP(G991,케이블트레이입.출고현황!X994:AC1069,2,0),"")</f>
        <v/>
      </c>
      <c r="I991" s="19" t="str">
        <f>IFERROR(VLOOKUP(H991,케이블트레이입.출고현황!Y994:AD1069,2,0),"")</f>
        <v/>
      </c>
      <c r="J991" s="253">
        <v>1</v>
      </c>
      <c r="K991" s="253"/>
      <c r="L991" s="255"/>
      <c r="M991" s="256"/>
      <c r="N991" s="257"/>
    </row>
    <row r="992" spans="1:14" s="258" customFormat="1" ht="24" customHeight="1">
      <c r="A992" s="8">
        <v>952</v>
      </c>
      <c r="B992" s="9">
        <v>952</v>
      </c>
      <c r="C992" s="254"/>
      <c r="D992" s="253"/>
      <c r="E992" s="19" t="str">
        <f>IFERROR(VLOOKUP(D992,케이블트레이입.출고현황!U995:Z1070,2,0),"")</f>
        <v/>
      </c>
      <c r="F992" s="19" t="str">
        <f>IFERROR(VLOOKUP(E992,케이블트레이입.출고현황!V995:AA1070,2,0),"")</f>
        <v/>
      </c>
      <c r="G992" s="19" t="str">
        <f>IFERROR(VLOOKUP(F992,케이블트레이입.출고현황!W995:AB1070,2,0),"")</f>
        <v/>
      </c>
      <c r="H992" s="19" t="str">
        <f>IFERROR(VLOOKUP(G992,케이블트레이입.출고현황!X995:AC1070,2,0),"")</f>
        <v/>
      </c>
      <c r="I992" s="19" t="str">
        <f>IFERROR(VLOOKUP(H992,케이블트레이입.출고현황!Y995:AD1070,2,0),"")</f>
        <v/>
      </c>
      <c r="J992" s="253">
        <v>3</v>
      </c>
      <c r="K992" s="253"/>
      <c r="L992" s="255"/>
      <c r="M992" s="256"/>
      <c r="N992" s="257"/>
    </row>
    <row r="993" spans="1:14" s="258" customFormat="1" ht="24" customHeight="1">
      <c r="A993" s="8">
        <v>953</v>
      </c>
      <c r="B993" s="9">
        <v>953</v>
      </c>
      <c r="C993" s="254"/>
      <c r="D993" s="253"/>
      <c r="E993" s="19" t="str">
        <f>IFERROR(VLOOKUP(D993,케이블트레이입.출고현황!U996:Z1071,2,0),"")</f>
        <v/>
      </c>
      <c r="F993" s="19" t="str">
        <f>IFERROR(VLOOKUP(E993,케이블트레이입.출고현황!V996:AA1071,2,0),"")</f>
        <v/>
      </c>
      <c r="G993" s="19" t="str">
        <f>IFERROR(VLOOKUP(F993,케이블트레이입.출고현황!W996:AB1071,2,0),"")</f>
        <v/>
      </c>
      <c r="H993" s="19" t="str">
        <f>IFERROR(VLOOKUP(G993,케이블트레이입.출고현황!X996:AC1071,2,0),"")</f>
        <v/>
      </c>
      <c r="I993" s="19" t="str">
        <f>IFERROR(VLOOKUP(H993,케이블트레이입.출고현황!Y996:AD1071,2,0),"")</f>
        <v/>
      </c>
      <c r="J993" s="253">
        <v>2</v>
      </c>
      <c r="K993" s="253"/>
      <c r="L993" s="255"/>
      <c r="M993" s="256"/>
      <c r="N993" s="257"/>
    </row>
    <row r="994" spans="1:14" s="258" customFormat="1" ht="24" customHeight="1">
      <c r="A994" s="8">
        <v>954</v>
      </c>
      <c r="B994" s="9">
        <v>954</v>
      </c>
      <c r="C994" s="254"/>
      <c r="D994" s="253"/>
      <c r="E994" s="19" t="str">
        <f>IFERROR(VLOOKUP(D994,케이블트레이입.출고현황!U997:Z1072,2,0),"")</f>
        <v/>
      </c>
      <c r="F994" s="19" t="str">
        <f>IFERROR(VLOOKUP(E994,케이블트레이입.출고현황!V997:AA1072,2,0),"")</f>
        <v/>
      </c>
      <c r="G994" s="19" t="str">
        <f>IFERROR(VLOOKUP(F994,케이블트레이입.출고현황!W997:AB1072,2,0),"")</f>
        <v/>
      </c>
      <c r="H994" s="19" t="str">
        <f>IFERROR(VLOOKUP(G994,케이블트레이입.출고현황!X997:AC1072,2,0),"")</f>
        <v/>
      </c>
      <c r="I994" s="19" t="str">
        <f>IFERROR(VLOOKUP(H994,케이블트레이입.출고현황!Y997:AD1072,2,0),"")</f>
        <v/>
      </c>
      <c r="J994" s="253">
        <v>1</v>
      </c>
      <c r="K994" s="253"/>
      <c r="L994" s="255"/>
      <c r="M994" s="256"/>
      <c r="N994" s="257"/>
    </row>
    <row r="995" spans="1:14" s="258" customFormat="1" ht="24" customHeight="1">
      <c r="A995" s="8">
        <v>955</v>
      </c>
      <c r="B995" s="9">
        <v>955</v>
      </c>
      <c r="C995" s="254"/>
      <c r="D995" s="253"/>
      <c r="E995" s="19" t="str">
        <f>IFERROR(VLOOKUP(D995,케이블트레이입.출고현황!U998:Z1073,2,0),"")</f>
        <v/>
      </c>
      <c r="F995" s="19" t="str">
        <f>IFERROR(VLOOKUP(E995,케이블트레이입.출고현황!V998:AA1073,2,0),"")</f>
        <v/>
      </c>
      <c r="G995" s="19" t="str">
        <f>IFERROR(VLOOKUP(F995,케이블트레이입.출고현황!W998:AB1073,2,0),"")</f>
        <v/>
      </c>
      <c r="H995" s="19" t="str">
        <f>IFERROR(VLOOKUP(G995,케이블트레이입.출고현황!X998:AC1073,2,0),"")</f>
        <v/>
      </c>
      <c r="I995" s="19" t="str">
        <f>IFERROR(VLOOKUP(H995,케이블트레이입.출고현황!Y998:AD1073,2,0),"")</f>
        <v/>
      </c>
      <c r="J995" s="253" t="s">
        <v>557</v>
      </c>
      <c r="K995" s="253"/>
      <c r="L995" s="255"/>
      <c r="M995" s="256"/>
      <c r="N995" s="257"/>
    </row>
    <row r="996" spans="1:14" s="258" customFormat="1" ht="24" customHeight="1">
      <c r="A996" s="8">
        <v>956</v>
      </c>
      <c r="B996" s="9">
        <v>956</v>
      </c>
      <c r="C996" s="254"/>
      <c r="D996" s="253"/>
      <c r="E996" s="19" t="str">
        <f>IFERROR(VLOOKUP(D996,케이블트레이입.출고현황!U999:Z1074,2,0),"")</f>
        <v/>
      </c>
      <c r="F996" s="19" t="str">
        <f>IFERROR(VLOOKUP(E996,케이블트레이입.출고현황!V999:AA1074,2,0),"")</f>
        <v/>
      </c>
      <c r="G996" s="19" t="str">
        <f>IFERROR(VLOOKUP(F996,케이블트레이입.출고현황!W999:AB1074,2,0),"")</f>
        <v/>
      </c>
      <c r="H996" s="19" t="str">
        <f>IFERROR(VLOOKUP(G996,케이블트레이입.출고현황!X999:AC1074,2,0),"")</f>
        <v/>
      </c>
      <c r="I996" s="19" t="str">
        <f>IFERROR(VLOOKUP(H996,케이블트레이입.출고현황!Y999:AD1074,2,0),"")</f>
        <v/>
      </c>
      <c r="J996" s="253" t="s">
        <v>557</v>
      </c>
      <c r="K996" s="253"/>
      <c r="L996" s="255"/>
      <c r="M996" s="256"/>
      <c r="N996" s="257"/>
    </row>
    <row r="997" spans="1:14" s="258" customFormat="1" ht="24" customHeight="1">
      <c r="A997" s="8">
        <v>957</v>
      </c>
      <c r="B997" s="9">
        <v>957</v>
      </c>
      <c r="C997" s="254"/>
      <c r="D997" s="253"/>
      <c r="E997" s="19" t="str">
        <f>IFERROR(VLOOKUP(D997,케이블트레이입.출고현황!U1000:Z1075,2,0),"")</f>
        <v/>
      </c>
      <c r="F997" s="19" t="str">
        <f>IFERROR(VLOOKUP(E997,케이블트레이입.출고현황!V1000:AA1075,2,0),"")</f>
        <v/>
      </c>
      <c r="G997" s="19" t="str">
        <f>IFERROR(VLOOKUP(F997,케이블트레이입.출고현황!W1000:AB1075,2,0),"")</f>
        <v/>
      </c>
      <c r="H997" s="19" t="str">
        <f>IFERROR(VLOOKUP(G997,케이블트레이입.출고현황!X1000:AC1075,2,0),"")</f>
        <v/>
      </c>
      <c r="I997" s="19" t="str">
        <f>IFERROR(VLOOKUP(H997,케이블트레이입.출고현황!Y1000:AD1075,2,0),"")</f>
        <v/>
      </c>
      <c r="J997" s="253">
        <v>2</v>
      </c>
      <c r="K997" s="253"/>
      <c r="L997" s="255"/>
      <c r="M997" s="256"/>
      <c r="N997" s="257"/>
    </row>
    <row r="998" spans="1:14" s="258" customFormat="1" ht="24" customHeight="1">
      <c r="A998" s="8">
        <v>958</v>
      </c>
      <c r="B998" s="9">
        <v>958</v>
      </c>
      <c r="C998" s="254"/>
      <c r="D998" s="253"/>
      <c r="E998" s="19" t="str">
        <f>IFERROR(VLOOKUP(D998,케이블트레이입.출고현황!U1001:Z1076,2,0),"")</f>
        <v/>
      </c>
      <c r="F998" s="19" t="str">
        <f>IFERROR(VLOOKUP(E998,케이블트레이입.출고현황!V1001:AA1076,2,0),"")</f>
        <v/>
      </c>
      <c r="G998" s="19" t="str">
        <f>IFERROR(VLOOKUP(F998,케이블트레이입.출고현황!W1001:AB1076,2,0),"")</f>
        <v/>
      </c>
      <c r="H998" s="19" t="str">
        <f>IFERROR(VLOOKUP(G998,케이블트레이입.출고현황!X1001:AC1076,2,0),"")</f>
        <v/>
      </c>
      <c r="I998" s="19" t="str">
        <f>IFERROR(VLOOKUP(H998,케이블트레이입.출고현황!Y1001:AD1076,2,0),"")</f>
        <v/>
      </c>
      <c r="J998" s="253">
        <v>3</v>
      </c>
      <c r="K998" s="253"/>
      <c r="L998" s="255"/>
      <c r="M998" s="256"/>
      <c r="N998" s="257"/>
    </row>
    <row r="999" spans="1:14" s="258" customFormat="1" ht="24" customHeight="1">
      <c r="A999" s="8">
        <v>959</v>
      </c>
      <c r="B999" s="9">
        <v>959</v>
      </c>
      <c r="C999" s="254"/>
      <c r="D999" s="253"/>
      <c r="E999" s="19" t="str">
        <f>IFERROR(VLOOKUP(D999,케이블트레이입.출고현황!U1002:Z1077,2,0),"")</f>
        <v/>
      </c>
      <c r="F999" s="19" t="str">
        <f>IFERROR(VLOOKUP(E999,케이블트레이입.출고현황!V1002:AA1077,2,0),"")</f>
        <v/>
      </c>
      <c r="G999" s="19" t="str">
        <f>IFERROR(VLOOKUP(F999,케이블트레이입.출고현황!W1002:AB1077,2,0),"")</f>
        <v/>
      </c>
      <c r="H999" s="19" t="str">
        <f>IFERROR(VLOOKUP(G999,케이블트레이입.출고현황!X1002:AC1077,2,0),"")</f>
        <v/>
      </c>
      <c r="I999" s="19" t="str">
        <f>IFERROR(VLOOKUP(H999,케이블트레이입.출고현황!Y1002:AD1077,2,0),"")</f>
        <v/>
      </c>
      <c r="J999" s="253">
        <v>1</v>
      </c>
      <c r="K999" s="253"/>
      <c r="L999" s="255"/>
      <c r="M999" s="256"/>
      <c r="N999" s="257"/>
    </row>
    <row r="1000" spans="1:14" s="258" customFormat="1" ht="24" customHeight="1">
      <c r="A1000" s="8">
        <v>960</v>
      </c>
      <c r="B1000" s="9">
        <v>960</v>
      </c>
      <c r="C1000" s="254"/>
      <c r="D1000" s="253"/>
      <c r="E1000" s="19" t="str">
        <f>IFERROR(VLOOKUP(D1000,케이블트레이입.출고현황!U1003:Z1078,2,0),"")</f>
        <v/>
      </c>
      <c r="F1000" s="19" t="str">
        <f>IFERROR(VLOOKUP(E1000,케이블트레이입.출고현황!V1003:AA1078,2,0),"")</f>
        <v/>
      </c>
      <c r="G1000" s="19" t="str">
        <f>IFERROR(VLOOKUP(F1000,케이블트레이입.출고현황!W1003:AB1078,2,0),"")</f>
        <v/>
      </c>
      <c r="H1000" s="19" t="str">
        <f>IFERROR(VLOOKUP(G1000,케이블트레이입.출고현황!X1003:AC1078,2,0),"")</f>
        <v/>
      </c>
      <c r="I1000" s="19" t="str">
        <f>IFERROR(VLOOKUP(H1000,케이블트레이입.출고현황!Y1003:AD1078,2,0),"")</f>
        <v/>
      </c>
      <c r="J1000" s="253">
        <v>1</v>
      </c>
      <c r="K1000" s="253"/>
      <c r="L1000" s="255"/>
      <c r="M1000" s="256"/>
      <c r="N1000" s="257"/>
    </row>
    <row r="1001" spans="1:14" s="258" customFormat="1" ht="24" customHeight="1">
      <c r="A1001" s="8">
        <v>961</v>
      </c>
      <c r="B1001" s="9">
        <v>961</v>
      </c>
      <c r="C1001" s="254"/>
      <c r="D1001" s="253"/>
      <c r="E1001" s="19" t="str">
        <f>IFERROR(VLOOKUP(D1001,케이블트레이입.출고현황!U1004:Z1079,2,0),"")</f>
        <v/>
      </c>
      <c r="F1001" s="19" t="str">
        <f>IFERROR(VLOOKUP(E1001,케이블트레이입.출고현황!V1004:AA1079,2,0),"")</f>
        <v/>
      </c>
      <c r="G1001" s="19" t="str">
        <f>IFERROR(VLOOKUP(F1001,케이블트레이입.출고현황!W1004:AB1079,2,0),"")</f>
        <v/>
      </c>
      <c r="H1001" s="19" t="str">
        <f>IFERROR(VLOOKUP(G1001,케이블트레이입.출고현황!X1004:AC1079,2,0),"")</f>
        <v/>
      </c>
      <c r="I1001" s="19" t="str">
        <f>IFERROR(VLOOKUP(H1001,케이블트레이입.출고현황!Y1004:AD1079,2,0),"")</f>
        <v/>
      </c>
      <c r="J1001" s="253">
        <v>2</v>
      </c>
      <c r="K1001" s="253"/>
      <c r="L1001" s="255"/>
      <c r="M1001" s="256"/>
      <c r="N1001" s="257"/>
    </row>
    <row r="1002" spans="1:14" s="258" customFormat="1" ht="24" customHeight="1">
      <c r="A1002" s="8">
        <v>962</v>
      </c>
      <c r="B1002" s="9">
        <v>962</v>
      </c>
      <c r="C1002" s="254"/>
      <c r="D1002" s="253"/>
      <c r="E1002" s="19" t="str">
        <f>IFERROR(VLOOKUP(D1002,케이블트레이입.출고현황!U1005:Z1080,2,0),"")</f>
        <v/>
      </c>
      <c r="F1002" s="19" t="str">
        <f>IFERROR(VLOOKUP(E1002,케이블트레이입.출고현황!V1005:AA1080,2,0),"")</f>
        <v/>
      </c>
      <c r="G1002" s="19" t="str">
        <f>IFERROR(VLOOKUP(F1002,케이블트레이입.출고현황!W1005:AB1080,2,0),"")</f>
        <v/>
      </c>
      <c r="H1002" s="19" t="str">
        <f>IFERROR(VLOOKUP(G1002,케이블트레이입.출고현황!X1005:AC1080,2,0),"")</f>
        <v/>
      </c>
      <c r="I1002" s="19" t="str">
        <f>IFERROR(VLOOKUP(H1002,케이블트레이입.출고현황!Y1005:AD1080,2,0),"")</f>
        <v/>
      </c>
      <c r="J1002" s="253">
        <v>4</v>
      </c>
      <c r="K1002" s="253"/>
      <c r="L1002" s="255"/>
      <c r="M1002" s="256"/>
      <c r="N1002" s="257"/>
    </row>
    <row r="1003" spans="1:14" s="258" customFormat="1" ht="24" customHeight="1">
      <c r="A1003" s="8">
        <v>963</v>
      </c>
      <c r="B1003" s="9">
        <v>963</v>
      </c>
      <c r="C1003" s="254"/>
      <c r="D1003" s="253"/>
      <c r="E1003" s="19" t="str">
        <f>IFERROR(VLOOKUP(D1003,케이블트레이입.출고현황!U1006:Z1081,2,0),"")</f>
        <v/>
      </c>
      <c r="F1003" s="19" t="str">
        <f>IFERROR(VLOOKUP(E1003,케이블트레이입.출고현황!V1006:AA1081,2,0),"")</f>
        <v/>
      </c>
      <c r="G1003" s="19" t="str">
        <f>IFERROR(VLOOKUP(F1003,케이블트레이입.출고현황!W1006:AB1081,2,0),"")</f>
        <v/>
      </c>
      <c r="H1003" s="19" t="str">
        <f>IFERROR(VLOOKUP(G1003,케이블트레이입.출고현황!X1006:AC1081,2,0),"")</f>
        <v/>
      </c>
      <c r="I1003" s="19" t="str">
        <f>IFERROR(VLOOKUP(H1003,케이블트레이입.출고현황!Y1006:AD1081,2,0),"")</f>
        <v/>
      </c>
      <c r="J1003" s="253">
        <v>2</v>
      </c>
      <c r="K1003" s="253"/>
      <c r="L1003" s="255"/>
      <c r="M1003" s="256"/>
      <c r="N1003" s="257"/>
    </row>
    <row r="1004" spans="1:14" s="258" customFormat="1" ht="24" customHeight="1">
      <c r="A1004" s="8">
        <v>964</v>
      </c>
      <c r="B1004" s="9">
        <v>964</v>
      </c>
      <c r="C1004" s="254"/>
      <c r="D1004" s="253"/>
      <c r="E1004" s="19" t="str">
        <f>IFERROR(VLOOKUP(D1004,케이블트레이입.출고현황!U1007:Z1082,2,0),"")</f>
        <v/>
      </c>
      <c r="F1004" s="19" t="str">
        <f>IFERROR(VLOOKUP(E1004,케이블트레이입.출고현황!V1007:AA1082,2,0),"")</f>
        <v/>
      </c>
      <c r="G1004" s="19" t="str">
        <f>IFERROR(VLOOKUP(F1004,케이블트레이입.출고현황!W1007:AB1082,2,0),"")</f>
        <v/>
      </c>
      <c r="H1004" s="19" t="str">
        <f>IFERROR(VLOOKUP(G1004,케이블트레이입.출고현황!X1007:AC1082,2,0),"")</f>
        <v/>
      </c>
      <c r="I1004" s="19" t="str">
        <f>IFERROR(VLOOKUP(H1004,케이블트레이입.출고현황!Y1007:AD1082,2,0),"")</f>
        <v/>
      </c>
      <c r="J1004" s="253">
        <v>1</v>
      </c>
      <c r="K1004" s="253"/>
      <c r="L1004" s="255"/>
      <c r="M1004" s="256"/>
      <c r="N1004" s="257"/>
    </row>
    <row r="1005" spans="1:14" ht="24" customHeight="1">
      <c r="A1005" s="8">
        <v>965</v>
      </c>
      <c r="B1005" s="9">
        <v>965</v>
      </c>
      <c r="C1005" s="254"/>
      <c r="D1005" s="253"/>
      <c r="E1005" s="19" t="str">
        <f>IFERROR(VLOOKUP(D1005,케이블트레이입.출고현황!U1008:Z1083,2,0),"")</f>
        <v/>
      </c>
      <c r="F1005" s="19" t="str">
        <f>IFERROR(VLOOKUP(E1005,케이블트레이입.출고현황!V1008:AA1083,2,0),"")</f>
        <v/>
      </c>
      <c r="G1005" s="19" t="str">
        <f>IFERROR(VLOOKUP(F1005,케이블트레이입.출고현황!W1008:AB1083,2,0),"")</f>
        <v/>
      </c>
      <c r="H1005" s="19" t="str">
        <f>IFERROR(VLOOKUP(G1005,케이블트레이입.출고현황!X1008:AC1083,2,0),"")</f>
        <v/>
      </c>
      <c r="I1005" s="19" t="str">
        <f>IFERROR(VLOOKUP(H1005,케이블트레이입.출고현황!Y1008:AD1083,2,0),"")</f>
        <v/>
      </c>
      <c r="J1005" s="253">
        <v>2</v>
      </c>
      <c r="K1005" s="253"/>
      <c r="L1005" s="255"/>
      <c r="M1005" s="256"/>
      <c r="N1005" s="257"/>
    </row>
    <row r="1006" spans="1:14" ht="24" customHeight="1">
      <c r="A1006" s="8">
        <v>966</v>
      </c>
      <c r="B1006" s="9">
        <v>966</v>
      </c>
      <c r="C1006" s="254"/>
      <c r="D1006" s="253"/>
      <c r="E1006" s="19" t="str">
        <f>IFERROR(VLOOKUP(D1006,케이블트레이입.출고현황!U1009:Z1084,2,0),"")</f>
        <v/>
      </c>
      <c r="F1006" s="19" t="str">
        <f>IFERROR(VLOOKUP(E1006,케이블트레이입.출고현황!V1009:AA1084,2,0),"")</f>
        <v/>
      </c>
      <c r="G1006" s="19" t="str">
        <f>IFERROR(VLOOKUP(F1006,케이블트레이입.출고현황!W1009:AB1084,2,0),"")</f>
        <v/>
      </c>
      <c r="H1006" s="19" t="str">
        <f>IFERROR(VLOOKUP(G1006,케이블트레이입.출고현황!X1009:AC1084,2,0),"")</f>
        <v/>
      </c>
      <c r="I1006" s="19" t="str">
        <f>IFERROR(VLOOKUP(H1006,케이블트레이입.출고현황!Y1009:AD1084,2,0),"")</f>
        <v/>
      </c>
      <c r="J1006" s="253" t="s">
        <v>557</v>
      </c>
      <c r="K1006" s="253"/>
      <c r="L1006" s="255"/>
      <c r="M1006" s="256"/>
      <c r="N1006" s="257"/>
    </row>
    <row r="1007" spans="1:14" ht="24" customHeight="1">
      <c r="A1007" s="8">
        <v>967</v>
      </c>
      <c r="B1007" s="9">
        <v>967</v>
      </c>
      <c r="C1007" s="254"/>
      <c r="D1007" s="253"/>
      <c r="E1007" s="19" t="str">
        <f>IFERROR(VLOOKUP(D1007,케이블트레이입.출고현황!U1010:Z1085,2,0),"")</f>
        <v/>
      </c>
      <c r="F1007" s="19" t="str">
        <f>IFERROR(VLOOKUP(E1007,케이블트레이입.출고현황!V1010:AA1085,2,0),"")</f>
        <v/>
      </c>
      <c r="G1007" s="19" t="str">
        <f>IFERROR(VLOOKUP(F1007,케이블트레이입.출고현황!W1010:AB1085,2,0),"")</f>
        <v/>
      </c>
      <c r="H1007" s="19" t="str">
        <f>IFERROR(VLOOKUP(G1007,케이블트레이입.출고현황!X1010:AC1085,2,0),"")</f>
        <v/>
      </c>
      <c r="I1007" s="19" t="str">
        <f>IFERROR(VLOOKUP(H1007,케이블트레이입.출고현황!Y1010:AD1085,2,0),"")</f>
        <v/>
      </c>
      <c r="J1007" s="253">
        <v>1</v>
      </c>
      <c r="K1007" s="253"/>
      <c r="L1007" s="255"/>
      <c r="M1007" s="256"/>
      <c r="N1007" s="257"/>
    </row>
    <row r="1008" spans="1:14" ht="24" customHeight="1">
      <c r="A1008" s="8">
        <v>968</v>
      </c>
      <c r="B1008" s="9">
        <v>968</v>
      </c>
      <c r="C1008" s="254"/>
      <c r="D1008" s="253"/>
      <c r="E1008" s="19" t="str">
        <f>IFERROR(VLOOKUP(D1008,케이블트레이입.출고현황!U1011:Z1086,2,0),"")</f>
        <v/>
      </c>
      <c r="F1008" s="19" t="str">
        <f>IFERROR(VLOOKUP(E1008,케이블트레이입.출고현황!V1011:AA1086,2,0),"")</f>
        <v/>
      </c>
      <c r="G1008" s="19" t="str">
        <f>IFERROR(VLOOKUP(F1008,케이블트레이입.출고현황!W1011:AB1086,2,0),"")</f>
        <v/>
      </c>
      <c r="H1008" s="19" t="str">
        <f>IFERROR(VLOOKUP(G1008,케이블트레이입.출고현황!X1011:AC1086,2,0),"")</f>
        <v/>
      </c>
      <c r="I1008" s="19" t="str">
        <f>IFERROR(VLOOKUP(H1008,케이블트레이입.출고현황!Y1011:AD1086,2,0),"")</f>
        <v/>
      </c>
      <c r="J1008" s="253">
        <v>1</v>
      </c>
      <c r="K1008" s="253"/>
      <c r="L1008" s="255"/>
      <c r="M1008" s="256"/>
      <c r="N1008" s="257"/>
    </row>
    <row r="1009" spans="1:14" ht="24" customHeight="1">
      <c r="A1009" s="8">
        <v>969</v>
      </c>
      <c r="B1009" s="9">
        <v>969</v>
      </c>
      <c r="C1009" s="254"/>
      <c r="D1009" s="253"/>
      <c r="E1009" s="19" t="str">
        <f>IFERROR(VLOOKUP(D1009,케이블트레이입.출고현황!U1012:Z1087,2,0),"")</f>
        <v/>
      </c>
      <c r="F1009" s="19" t="str">
        <f>IFERROR(VLOOKUP(E1009,케이블트레이입.출고현황!V1012:AA1087,2,0),"")</f>
        <v/>
      </c>
      <c r="G1009" s="19" t="str">
        <f>IFERROR(VLOOKUP(F1009,케이블트레이입.출고현황!W1012:AB1087,2,0),"")</f>
        <v/>
      </c>
      <c r="H1009" s="19" t="str">
        <f>IFERROR(VLOOKUP(G1009,케이블트레이입.출고현황!X1012:AC1087,2,0),"")</f>
        <v/>
      </c>
      <c r="I1009" s="19" t="str">
        <f>IFERROR(VLOOKUP(H1009,케이블트레이입.출고현황!Y1012:AD1087,2,0),"")</f>
        <v/>
      </c>
      <c r="J1009" s="253">
        <v>2</v>
      </c>
      <c r="K1009" s="253"/>
      <c r="L1009" s="255"/>
      <c r="M1009" s="256"/>
      <c r="N1009" s="257"/>
    </row>
    <row r="1010" spans="1:14" ht="24" customHeight="1">
      <c r="A1010" s="8">
        <v>970</v>
      </c>
      <c r="B1010" s="9">
        <v>970</v>
      </c>
      <c r="C1010" s="254"/>
      <c r="D1010" s="253"/>
      <c r="E1010" s="19" t="str">
        <f>IFERROR(VLOOKUP(D1010,케이블트레이입.출고현황!U1013:Z1088,2,0),"")</f>
        <v/>
      </c>
      <c r="F1010" s="19" t="str">
        <f>IFERROR(VLOOKUP(E1010,케이블트레이입.출고현황!V1013:AA1088,2,0),"")</f>
        <v/>
      </c>
      <c r="G1010" s="19" t="str">
        <f>IFERROR(VLOOKUP(F1010,케이블트레이입.출고현황!W1013:AB1088,2,0),"")</f>
        <v/>
      </c>
      <c r="H1010" s="19" t="str">
        <f>IFERROR(VLOOKUP(G1010,케이블트레이입.출고현황!X1013:AC1088,2,0),"")</f>
        <v/>
      </c>
      <c r="I1010" s="19" t="str">
        <f>IFERROR(VLOOKUP(H1010,케이블트레이입.출고현황!Y1013:AD1088,2,0),"")</f>
        <v/>
      </c>
      <c r="J1010" s="253">
        <v>4</v>
      </c>
      <c r="K1010" s="253"/>
      <c r="L1010" s="255"/>
      <c r="M1010" s="256"/>
      <c r="N1010" s="257"/>
    </row>
    <row r="1011" spans="1:14" ht="24" customHeight="1">
      <c r="A1011" s="8">
        <v>971</v>
      </c>
      <c r="B1011" s="9">
        <v>971</v>
      </c>
      <c r="C1011" s="254"/>
      <c r="D1011" s="253"/>
      <c r="E1011" s="19" t="str">
        <f>IFERROR(VLOOKUP(D1011,케이블트레이입.출고현황!U1014:Z1089,2,0),"")</f>
        <v/>
      </c>
      <c r="F1011" s="19" t="str">
        <f>IFERROR(VLOOKUP(E1011,케이블트레이입.출고현황!V1014:AA1089,2,0),"")</f>
        <v/>
      </c>
      <c r="G1011" s="19" t="str">
        <f>IFERROR(VLOOKUP(F1011,케이블트레이입.출고현황!W1014:AB1089,2,0),"")</f>
        <v/>
      </c>
      <c r="H1011" s="19" t="str">
        <f>IFERROR(VLOOKUP(G1011,케이블트레이입.출고현황!X1014:AC1089,2,0),"")</f>
        <v/>
      </c>
      <c r="I1011" s="19" t="str">
        <f>IFERROR(VLOOKUP(H1011,케이블트레이입.출고현황!Y1014:AD1089,2,0),"")</f>
        <v/>
      </c>
      <c r="J1011" s="253">
        <v>2</v>
      </c>
      <c r="K1011" s="253"/>
      <c r="L1011" s="255"/>
      <c r="M1011" s="256"/>
      <c r="N1011" s="257"/>
    </row>
    <row r="1012" spans="1:14" ht="24" customHeight="1">
      <c r="A1012" s="8">
        <v>972</v>
      </c>
      <c r="B1012" s="9">
        <v>972</v>
      </c>
      <c r="C1012" s="254"/>
      <c r="D1012" s="253"/>
      <c r="E1012" s="19" t="str">
        <f>IFERROR(VLOOKUP(D1012,케이블트레이입.출고현황!U1015:Z1090,2,0),"")</f>
        <v/>
      </c>
      <c r="F1012" s="19" t="str">
        <f>IFERROR(VLOOKUP(E1012,케이블트레이입.출고현황!V1015:AA1090,2,0),"")</f>
        <v/>
      </c>
      <c r="G1012" s="19" t="str">
        <f>IFERROR(VLOOKUP(F1012,케이블트레이입.출고현황!W1015:AB1090,2,0),"")</f>
        <v/>
      </c>
      <c r="H1012" s="19" t="str">
        <f>IFERROR(VLOOKUP(G1012,케이블트레이입.출고현황!X1015:AC1090,2,0),"")</f>
        <v/>
      </c>
      <c r="I1012" s="19" t="str">
        <f>IFERROR(VLOOKUP(H1012,케이블트레이입.출고현황!Y1015:AD1090,2,0),"")</f>
        <v/>
      </c>
      <c r="J1012" s="253">
        <v>1</v>
      </c>
      <c r="K1012" s="253"/>
      <c r="L1012" s="255"/>
      <c r="M1012" s="256"/>
      <c r="N1012" s="257"/>
    </row>
    <row r="1013" spans="1:14" ht="24" customHeight="1">
      <c r="A1013" s="8">
        <v>973</v>
      </c>
      <c r="B1013" s="9">
        <v>973</v>
      </c>
      <c r="C1013" s="254"/>
      <c r="D1013" s="253"/>
      <c r="E1013" s="19" t="str">
        <f>IFERROR(VLOOKUP(D1013,케이블트레이입.출고현황!U1016:Z1091,2,0),"")</f>
        <v/>
      </c>
      <c r="F1013" s="19" t="str">
        <f>IFERROR(VLOOKUP(E1013,케이블트레이입.출고현황!V1016:AA1091,2,0),"")</f>
        <v/>
      </c>
      <c r="G1013" s="19" t="str">
        <f>IFERROR(VLOOKUP(F1013,케이블트레이입.출고현황!W1016:AB1091,2,0),"")</f>
        <v/>
      </c>
      <c r="H1013" s="19" t="str">
        <f>IFERROR(VLOOKUP(G1013,케이블트레이입.출고현황!X1016:AC1091,2,0),"")</f>
        <v/>
      </c>
      <c r="I1013" s="19" t="str">
        <f>IFERROR(VLOOKUP(H1013,케이블트레이입.출고현황!Y1016:AD1091,2,0),"")</f>
        <v/>
      </c>
      <c r="J1013" s="253">
        <v>2</v>
      </c>
      <c r="K1013" s="253"/>
      <c r="L1013" s="255"/>
      <c r="M1013" s="256"/>
      <c r="N1013" s="257"/>
    </row>
    <row r="1014" spans="1:14" ht="24" customHeight="1">
      <c r="A1014" s="8">
        <v>974</v>
      </c>
      <c r="B1014" s="9">
        <v>974</v>
      </c>
      <c r="C1014" s="254"/>
      <c r="D1014" s="253"/>
      <c r="E1014" s="19" t="str">
        <f>IFERROR(VLOOKUP(D1014,케이블트레이입.출고현황!U1017:Z1092,2,0),"")</f>
        <v/>
      </c>
      <c r="F1014" s="19" t="str">
        <f>IFERROR(VLOOKUP(E1014,케이블트레이입.출고현황!V1017:AA1092,2,0),"")</f>
        <v/>
      </c>
      <c r="G1014" s="19" t="str">
        <f>IFERROR(VLOOKUP(F1014,케이블트레이입.출고현황!W1017:AB1092,2,0),"")</f>
        <v/>
      </c>
      <c r="H1014" s="19" t="str">
        <f>IFERROR(VLOOKUP(G1014,케이블트레이입.출고현황!X1017:AC1092,2,0),"")</f>
        <v/>
      </c>
      <c r="I1014" s="19" t="str">
        <f>IFERROR(VLOOKUP(H1014,케이블트레이입.출고현황!Y1017:AD1092,2,0),"")</f>
        <v/>
      </c>
      <c r="J1014" s="253">
        <v>1</v>
      </c>
      <c r="K1014" s="253"/>
      <c r="L1014" s="255"/>
      <c r="M1014" s="256"/>
      <c r="N1014" s="257"/>
    </row>
    <row r="1015" spans="1:14" ht="24" customHeight="1">
      <c r="A1015" s="8">
        <v>975</v>
      </c>
      <c r="B1015" s="9">
        <v>975</v>
      </c>
      <c r="C1015" s="254"/>
      <c r="D1015" s="253"/>
      <c r="E1015" s="19" t="str">
        <f>IFERROR(VLOOKUP(D1015,케이블트레이입.출고현황!U1018:Z1093,2,0),"")</f>
        <v/>
      </c>
      <c r="F1015" s="19" t="str">
        <f>IFERROR(VLOOKUP(E1015,케이블트레이입.출고현황!V1018:AA1093,2,0),"")</f>
        <v/>
      </c>
      <c r="G1015" s="19" t="str">
        <f>IFERROR(VLOOKUP(F1015,케이블트레이입.출고현황!W1018:AB1093,2,0),"")</f>
        <v/>
      </c>
      <c r="H1015" s="19" t="str">
        <f>IFERROR(VLOOKUP(G1015,케이블트레이입.출고현황!X1018:AC1093,2,0),"")</f>
        <v/>
      </c>
      <c r="I1015" s="19" t="str">
        <f>IFERROR(VLOOKUP(H1015,케이블트레이입.출고현황!Y1018:AD1093,2,0),"")</f>
        <v/>
      </c>
      <c r="J1015" s="253">
        <v>1</v>
      </c>
      <c r="K1015" s="253"/>
      <c r="L1015" s="255"/>
      <c r="M1015" s="256"/>
      <c r="N1015" s="257"/>
    </row>
    <row r="1016" spans="1:14" ht="24" customHeight="1">
      <c r="A1016" s="8">
        <v>976</v>
      </c>
      <c r="B1016" s="9">
        <v>976</v>
      </c>
      <c r="C1016" s="254"/>
      <c r="D1016" s="253"/>
      <c r="E1016" s="19" t="str">
        <f>IFERROR(VLOOKUP(D1016,케이블트레이입.출고현황!U1019:Z1094,2,0),"")</f>
        <v/>
      </c>
      <c r="F1016" s="19" t="str">
        <f>IFERROR(VLOOKUP(E1016,케이블트레이입.출고현황!V1019:AA1094,2,0),"")</f>
        <v/>
      </c>
      <c r="G1016" s="19" t="str">
        <f>IFERROR(VLOOKUP(F1016,케이블트레이입.출고현황!W1019:AB1094,2,0),"")</f>
        <v/>
      </c>
      <c r="H1016" s="19" t="str">
        <f>IFERROR(VLOOKUP(G1016,케이블트레이입.출고현황!X1019:AC1094,2,0),"")</f>
        <v/>
      </c>
      <c r="I1016" s="19" t="str">
        <f>IFERROR(VLOOKUP(H1016,케이블트레이입.출고현황!Y1019:AD1094,2,0),"")</f>
        <v/>
      </c>
      <c r="J1016" s="253">
        <v>1</v>
      </c>
      <c r="K1016" s="253"/>
      <c r="L1016" s="255"/>
      <c r="M1016" s="256"/>
      <c r="N1016" s="257"/>
    </row>
    <row r="1017" spans="1:14" ht="24" customHeight="1">
      <c r="A1017" s="8">
        <v>977</v>
      </c>
      <c r="B1017" s="9">
        <v>977</v>
      </c>
      <c r="C1017" s="254"/>
      <c r="D1017" s="253"/>
      <c r="E1017" s="19" t="str">
        <f>IFERROR(VLOOKUP(D1017,케이블트레이입.출고현황!U1020:Z1095,2,0),"")</f>
        <v/>
      </c>
      <c r="F1017" s="19" t="str">
        <f>IFERROR(VLOOKUP(E1017,케이블트레이입.출고현황!V1020:AA1095,2,0),"")</f>
        <v/>
      </c>
      <c r="G1017" s="19" t="str">
        <f>IFERROR(VLOOKUP(F1017,케이블트레이입.출고현황!W1020:AB1095,2,0),"")</f>
        <v/>
      </c>
      <c r="H1017" s="19" t="str">
        <f>IFERROR(VLOOKUP(G1017,케이블트레이입.출고현황!X1020:AC1095,2,0),"")</f>
        <v/>
      </c>
      <c r="I1017" s="19" t="str">
        <f>IFERROR(VLOOKUP(H1017,케이블트레이입.출고현황!Y1020:AD1095,2,0),"")</f>
        <v/>
      </c>
      <c r="J1017" s="253">
        <v>2</v>
      </c>
      <c r="K1017" s="253"/>
      <c r="L1017" s="255"/>
      <c r="M1017" s="256"/>
      <c r="N1017" s="257"/>
    </row>
    <row r="1018" spans="1:14" ht="24" customHeight="1">
      <c r="A1018" s="8">
        <v>978</v>
      </c>
      <c r="B1018" s="9">
        <v>978</v>
      </c>
      <c r="C1018" s="254"/>
      <c r="D1018" s="253"/>
      <c r="E1018" s="19" t="str">
        <f>IFERROR(VLOOKUP(D1018,케이블트레이입.출고현황!U1021:Z1096,2,0),"")</f>
        <v/>
      </c>
      <c r="F1018" s="19" t="str">
        <f>IFERROR(VLOOKUP(E1018,케이블트레이입.출고현황!V1021:AA1096,2,0),"")</f>
        <v/>
      </c>
      <c r="G1018" s="19" t="str">
        <f>IFERROR(VLOOKUP(F1018,케이블트레이입.출고현황!W1021:AB1096,2,0),"")</f>
        <v/>
      </c>
      <c r="H1018" s="19" t="str">
        <f>IFERROR(VLOOKUP(G1018,케이블트레이입.출고현황!X1021:AC1096,2,0),"")</f>
        <v/>
      </c>
      <c r="I1018" s="19" t="str">
        <f>IFERROR(VLOOKUP(H1018,케이블트레이입.출고현황!Y1021:AD1096,2,0),"")</f>
        <v/>
      </c>
      <c r="J1018" s="253">
        <v>2</v>
      </c>
      <c r="K1018" s="253"/>
      <c r="L1018" s="255"/>
      <c r="M1018" s="256"/>
      <c r="N1018" s="257"/>
    </row>
    <row r="1019" spans="1:14" ht="24" customHeight="1">
      <c r="A1019" s="8">
        <v>979</v>
      </c>
      <c r="B1019" s="9">
        <v>979</v>
      </c>
      <c r="C1019" s="254"/>
      <c r="D1019" s="253"/>
      <c r="E1019" s="19" t="str">
        <f>IFERROR(VLOOKUP(D1019,케이블트레이입.출고현황!U1022:Z1097,2,0),"")</f>
        <v/>
      </c>
      <c r="F1019" s="19" t="str">
        <f>IFERROR(VLOOKUP(E1019,케이블트레이입.출고현황!V1022:AA1097,2,0),"")</f>
        <v/>
      </c>
      <c r="G1019" s="19" t="str">
        <f>IFERROR(VLOOKUP(F1019,케이블트레이입.출고현황!W1022:AB1097,2,0),"")</f>
        <v/>
      </c>
      <c r="H1019" s="19" t="str">
        <f>IFERROR(VLOOKUP(G1019,케이블트레이입.출고현황!X1022:AC1097,2,0),"")</f>
        <v/>
      </c>
      <c r="I1019" s="19" t="str">
        <f>IFERROR(VLOOKUP(H1019,케이블트레이입.출고현황!Y1022:AD1097,2,0),"")</f>
        <v/>
      </c>
      <c r="J1019" s="253">
        <v>3</v>
      </c>
      <c r="K1019" s="253"/>
      <c r="L1019" s="255"/>
      <c r="M1019" s="256"/>
      <c r="N1019" s="257"/>
    </row>
    <row r="1020" spans="1:14" ht="24" customHeight="1">
      <c r="A1020" s="8">
        <v>980</v>
      </c>
      <c r="B1020" s="9">
        <v>980</v>
      </c>
      <c r="C1020" s="254"/>
      <c r="D1020" s="253"/>
      <c r="E1020" s="19" t="str">
        <f>IFERROR(VLOOKUP(D1020,케이블트레이입.출고현황!U1023:Z1098,2,0),"")</f>
        <v/>
      </c>
      <c r="F1020" s="19" t="str">
        <f>IFERROR(VLOOKUP(E1020,케이블트레이입.출고현황!V1023:AA1098,2,0),"")</f>
        <v/>
      </c>
      <c r="G1020" s="19" t="str">
        <f>IFERROR(VLOOKUP(F1020,케이블트레이입.출고현황!W1023:AB1098,2,0),"")</f>
        <v/>
      </c>
      <c r="H1020" s="19" t="str">
        <f>IFERROR(VLOOKUP(G1020,케이블트레이입.출고현황!X1023:AC1098,2,0),"")</f>
        <v/>
      </c>
      <c r="I1020" s="19" t="str">
        <f>IFERROR(VLOOKUP(H1020,케이블트레이입.출고현황!Y1023:AD1098,2,0),"")</f>
        <v/>
      </c>
      <c r="J1020" s="253">
        <v>1</v>
      </c>
      <c r="K1020" s="253"/>
      <c r="L1020" s="255"/>
      <c r="M1020" s="256"/>
      <c r="N1020" s="257"/>
    </row>
    <row r="1021" spans="1:14" ht="24" customHeight="1">
      <c r="A1021" s="8">
        <v>981</v>
      </c>
      <c r="B1021" s="9">
        <v>981</v>
      </c>
      <c r="C1021" s="254"/>
      <c r="D1021" s="253"/>
      <c r="E1021" s="19" t="str">
        <f>IFERROR(VLOOKUP(D1021,케이블트레이입.출고현황!U1024:Z1099,2,0),"")</f>
        <v/>
      </c>
      <c r="F1021" s="19" t="str">
        <f>IFERROR(VLOOKUP(E1021,케이블트레이입.출고현황!V1024:AA1099,2,0),"")</f>
        <v/>
      </c>
      <c r="G1021" s="19" t="str">
        <f>IFERROR(VLOOKUP(F1021,케이블트레이입.출고현황!W1024:AB1099,2,0),"")</f>
        <v/>
      </c>
      <c r="H1021" s="19" t="str">
        <f>IFERROR(VLOOKUP(G1021,케이블트레이입.출고현황!X1024:AC1099,2,0),"")</f>
        <v/>
      </c>
      <c r="I1021" s="19" t="str">
        <f>IFERROR(VLOOKUP(H1021,케이블트레이입.출고현황!Y1024:AD1099,2,0),"")</f>
        <v/>
      </c>
      <c r="J1021" s="253">
        <v>1</v>
      </c>
      <c r="K1021" s="253"/>
      <c r="L1021" s="255"/>
      <c r="M1021" s="256"/>
      <c r="N1021" s="257"/>
    </row>
    <row r="1022" spans="1:14" ht="24" customHeight="1">
      <c r="A1022" s="8">
        <v>982</v>
      </c>
      <c r="B1022" s="9">
        <v>982</v>
      </c>
      <c r="C1022" s="254"/>
      <c r="D1022" s="253"/>
      <c r="E1022" s="19" t="str">
        <f>IFERROR(VLOOKUP(D1022,케이블트레이입.출고현황!U1025:Z1100,2,0),"")</f>
        <v/>
      </c>
      <c r="F1022" s="19" t="str">
        <f>IFERROR(VLOOKUP(E1022,케이블트레이입.출고현황!V1025:AA1100,2,0),"")</f>
        <v/>
      </c>
      <c r="G1022" s="19" t="str">
        <f>IFERROR(VLOOKUP(F1022,케이블트레이입.출고현황!W1025:AB1100,2,0),"")</f>
        <v/>
      </c>
      <c r="H1022" s="19" t="str">
        <f>IFERROR(VLOOKUP(G1022,케이블트레이입.출고현황!X1025:AC1100,2,0),"")</f>
        <v/>
      </c>
      <c r="I1022" s="19" t="str">
        <f>IFERROR(VLOOKUP(H1022,케이블트레이입.출고현황!Y1025:AD1100,2,0),"")</f>
        <v/>
      </c>
      <c r="J1022" s="253">
        <v>1</v>
      </c>
      <c r="K1022" s="253"/>
      <c r="L1022" s="255"/>
      <c r="M1022" s="256"/>
      <c r="N1022" s="257"/>
    </row>
    <row r="1023" spans="1:14" ht="24" customHeight="1">
      <c r="A1023" s="8">
        <v>983</v>
      </c>
      <c r="B1023" s="9">
        <v>983</v>
      </c>
      <c r="C1023" s="254"/>
      <c r="D1023" s="253"/>
      <c r="E1023" s="19" t="str">
        <f>IFERROR(VLOOKUP(D1023,케이블트레이입.출고현황!U1026:Z1101,2,0),"")</f>
        <v/>
      </c>
      <c r="F1023" s="19" t="str">
        <f>IFERROR(VLOOKUP(E1023,케이블트레이입.출고현황!V1026:AA1101,2,0),"")</f>
        <v/>
      </c>
      <c r="G1023" s="19" t="str">
        <f>IFERROR(VLOOKUP(F1023,케이블트레이입.출고현황!W1026:AB1101,2,0),"")</f>
        <v/>
      </c>
      <c r="H1023" s="19" t="str">
        <f>IFERROR(VLOOKUP(G1023,케이블트레이입.출고현황!X1026:AC1101,2,0),"")</f>
        <v/>
      </c>
      <c r="I1023" s="19" t="str">
        <f>IFERROR(VLOOKUP(H1023,케이블트레이입.출고현황!Y1026:AD1101,2,0),"")</f>
        <v/>
      </c>
      <c r="J1023" s="253">
        <v>3</v>
      </c>
      <c r="K1023" s="253"/>
      <c r="L1023" s="255"/>
      <c r="M1023" s="256"/>
      <c r="N1023" s="257"/>
    </row>
    <row r="1024" spans="1:14" ht="24" customHeight="1">
      <c r="A1024" s="8">
        <v>984</v>
      </c>
      <c r="B1024" s="9">
        <v>984</v>
      </c>
      <c r="C1024" s="254"/>
      <c r="D1024" s="253"/>
      <c r="E1024" s="19" t="str">
        <f>IFERROR(VLOOKUP(D1024,케이블트레이입.출고현황!U1027:Z1102,2,0),"")</f>
        <v/>
      </c>
      <c r="F1024" s="19" t="str">
        <f>IFERROR(VLOOKUP(E1024,케이블트레이입.출고현황!V1027:AA1102,2,0),"")</f>
        <v/>
      </c>
      <c r="G1024" s="19" t="str">
        <f>IFERROR(VLOOKUP(F1024,케이블트레이입.출고현황!W1027:AB1102,2,0),"")</f>
        <v/>
      </c>
      <c r="H1024" s="19" t="str">
        <f>IFERROR(VLOOKUP(G1024,케이블트레이입.출고현황!X1027:AC1102,2,0),"")</f>
        <v/>
      </c>
      <c r="I1024" s="19" t="str">
        <f>IFERROR(VLOOKUP(H1024,케이블트레이입.출고현황!Y1027:AD1102,2,0),"")</f>
        <v/>
      </c>
      <c r="J1024" s="253">
        <v>2</v>
      </c>
      <c r="K1024" s="253"/>
      <c r="L1024" s="255"/>
      <c r="M1024" s="256"/>
      <c r="N1024" s="257"/>
    </row>
    <row r="1025" spans="1:14" ht="24" customHeight="1">
      <c r="A1025" s="8">
        <v>985</v>
      </c>
      <c r="B1025" s="9">
        <v>985</v>
      </c>
      <c r="C1025" s="254"/>
      <c r="D1025" s="253"/>
      <c r="E1025" s="19" t="str">
        <f>IFERROR(VLOOKUP(D1025,케이블트레이입.출고현황!U1028:Z1103,2,0),"")</f>
        <v/>
      </c>
      <c r="F1025" s="19" t="str">
        <f>IFERROR(VLOOKUP(E1025,케이블트레이입.출고현황!V1028:AA1103,2,0),"")</f>
        <v/>
      </c>
      <c r="G1025" s="19" t="str">
        <f>IFERROR(VLOOKUP(F1025,케이블트레이입.출고현황!W1028:AB1103,2,0),"")</f>
        <v/>
      </c>
      <c r="H1025" s="19" t="str">
        <f>IFERROR(VLOOKUP(G1025,케이블트레이입.출고현황!X1028:AC1103,2,0),"")</f>
        <v/>
      </c>
      <c r="I1025" s="19" t="str">
        <f>IFERROR(VLOOKUP(H1025,케이블트레이입.출고현황!Y1028:AD1103,2,0),"")</f>
        <v/>
      </c>
      <c r="J1025" s="253">
        <v>2</v>
      </c>
      <c r="K1025" s="253"/>
      <c r="L1025" s="255"/>
      <c r="M1025" s="256"/>
      <c r="N1025" s="257"/>
    </row>
    <row r="1026" spans="1:14" ht="24" customHeight="1">
      <c r="A1026" s="8">
        <v>986</v>
      </c>
      <c r="B1026" s="9">
        <v>986</v>
      </c>
      <c r="C1026" s="254"/>
      <c r="D1026" s="253"/>
      <c r="E1026" s="19" t="str">
        <f>IFERROR(VLOOKUP(D1026,케이블트레이입.출고현황!U1029:Z1104,2,0),"")</f>
        <v/>
      </c>
      <c r="F1026" s="19" t="str">
        <f>IFERROR(VLOOKUP(E1026,케이블트레이입.출고현황!V1029:AA1104,2,0),"")</f>
        <v/>
      </c>
      <c r="G1026" s="19" t="str">
        <f>IFERROR(VLOOKUP(F1026,케이블트레이입.출고현황!W1029:AB1104,2,0),"")</f>
        <v/>
      </c>
      <c r="H1026" s="19" t="str">
        <f>IFERROR(VLOOKUP(G1026,케이블트레이입.출고현황!X1029:AC1104,2,0),"")</f>
        <v/>
      </c>
      <c r="I1026" s="19" t="str">
        <f>IFERROR(VLOOKUP(H1026,케이블트레이입.출고현황!Y1029:AD1104,2,0),"")</f>
        <v/>
      </c>
      <c r="J1026" s="253">
        <v>3</v>
      </c>
      <c r="K1026" s="253"/>
      <c r="L1026" s="255"/>
      <c r="M1026" s="256"/>
      <c r="N1026" s="257"/>
    </row>
    <row r="1027" spans="1:14" ht="24" customHeight="1">
      <c r="A1027" s="8">
        <v>987</v>
      </c>
      <c r="B1027" s="9">
        <v>987</v>
      </c>
      <c r="C1027" s="254"/>
      <c r="D1027" s="253"/>
      <c r="E1027" s="19" t="str">
        <f>IFERROR(VLOOKUP(D1027,케이블트레이입.출고현황!U1030:Z1105,2,0),"")</f>
        <v/>
      </c>
      <c r="F1027" s="19" t="str">
        <f>IFERROR(VLOOKUP(E1027,케이블트레이입.출고현황!V1030:AA1105,2,0),"")</f>
        <v/>
      </c>
      <c r="G1027" s="19" t="str">
        <f>IFERROR(VLOOKUP(F1027,케이블트레이입.출고현황!W1030:AB1105,2,0),"")</f>
        <v/>
      </c>
      <c r="H1027" s="19" t="str">
        <f>IFERROR(VLOOKUP(G1027,케이블트레이입.출고현황!X1030:AC1105,2,0),"")</f>
        <v/>
      </c>
      <c r="I1027" s="19" t="str">
        <f>IFERROR(VLOOKUP(H1027,케이블트레이입.출고현황!Y1030:AD1105,2,0),"")</f>
        <v/>
      </c>
      <c r="J1027" s="253">
        <v>1</v>
      </c>
      <c r="K1027" s="253"/>
      <c r="L1027" s="255"/>
      <c r="M1027" s="256"/>
      <c r="N1027" s="257"/>
    </row>
    <row r="1028" spans="1:14" ht="24" customHeight="1">
      <c r="A1028" s="8">
        <v>988</v>
      </c>
      <c r="B1028" s="9">
        <v>988</v>
      </c>
      <c r="C1028" s="254"/>
      <c r="D1028" s="253"/>
      <c r="E1028" s="19" t="str">
        <f>IFERROR(VLOOKUP(D1028,케이블트레이입.출고현황!U1031:Z1106,2,0),"")</f>
        <v/>
      </c>
      <c r="F1028" s="19" t="str">
        <f>IFERROR(VLOOKUP(E1028,케이블트레이입.출고현황!V1031:AA1106,2,0),"")</f>
        <v/>
      </c>
      <c r="G1028" s="19" t="str">
        <f>IFERROR(VLOOKUP(F1028,케이블트레이입.출고현황!W1031:AB1106,2,0),"")</f>
        <v/>
      </c>
      <c r="H1028" s="19" t="str">
        <f>IFERROR(VLOOKUP(G1028,케이블트레이입.출고현황!X1031:AC1106,2,0),"")</f>
        <v/>
      </c>
      <c r="I1028" s="19" t="str">
        <f>IFERROR(VLOOKUP(H1028,케이블트레이입.출고현황!Y1031:AD1106,2,0),"")</f>
        <v/>
      </c>
      <c r="J1028" s="253">
        <v>1</v>
      </c>
      <c r="K1028" s="253"/>
      <c r="L1028" s="255"/>
      <c r="M1028" s="256"/>
      <c r="N1028" s="257"/>
    </row>
    <row r="1029" spans="1:14" ht="24" customHeight="1">
      <c r="A1029" s="8">
        <v>989</v>
      </c>
      <c r="B1029" s="9">
        <v>989</v>
      </c>
      <c r="C1029" s="254"/>
      <c r="D1029" s="253"/>
      <c r="E1029" s="19" t="str">
        <f>IFERROR(VLOOKUP(D1029,케이블트레이입.출고현황!U1032:Z1107,2,0),"")</f>
        <v/>
      </c>
      <c r="F1029" s="19" t="str">
        <f>IFERROR(VLOOKUP(E1029,케이블트레이입.출고현황!V1032:AA1107,2,0),"")</f>
        <v/>
      </c>
      <c r="G1029" s="19" t="str">
        <f>IFERROR(VLOOKUP(F1029,케이블트레이입.출고현황!W1032:AB1107,2,0),"")</f>
        <v/>
      </c>
      <c r="H1029" s="19" t="str">
        <f>IFERROR(VLOOKUP(G1029,케이블트레이입.출고현황!X1032:AC1107,2,0),"")</f>
        <v/>
      </c>
      <c r="I1029" s="19" t="str">
        <f>IFERROR(VLOOKUP(H1029,케이블트레이입.출고현황!Y1032:AD1107,2,0),"")</f>
        <v/>
      </c>
      <c r="J1029" s="253">
        <v>1</v>
      </c>
      <c r="K1029" s="253"/>
      <c r="L1029" s="255"/>
      <c r="M1029" s="256"/>
      <c r="N1029" s="257"/>
    </row>
    <row r="1030" spans="1:14" ht="24" customHeight="1">
      <c r="A1030" s="8">
        <v>990</v>
      </c>
      <c r="B1030" s="9">
        <v>990</v>
      </c>
      <c r="C1030" s="254"/>
      <c r="D1030" s="253"/>
      <c r="E1030" s="19" t="str">
        <f>IFERROR(VLOOKUP(D1030,케이블트레이입.출고현황!U1033:Z1108,2,0),"")</f>
        <v/>
      </c>
      <c r="F1030" s="19" t="str">
        <f>IFERROR(VLOOKUP(E1030,케이블트레이입.출고현황!V1033:AA1108,2,0),"")</f>
        <v/>
      </c>
      <c r="G1030" s="19" t="str">
        <f>IFERROR(VLOOKUP(F1030,케이블트레이입.출고현황!W1033:AB1108,2,0),"")</f>
        <v/>
      </c>
      <c r="H1030" s="19" t="str">
        <f>IFERROR(VLOOKUP(G1030,케이블트레이입.출고현황!X1033:AC1108,2,0),"")</f>
        <v/>
      </c>
      <c r="I1030" s="19" t="str">
        <f>IFERROR(VLOOKUP(H1030,케이블트레이입.출고현황!Y1033:AD1108,2,0),"")</f>
        <v/>
      </c>
      <c r="J1030" s="253">
        <v>2</v>
      </c>
      <c r="K1030" s="253"/>
      <c r="L1030" s="255"/>
      <c r="M1030" s="256"/>
      <c r="N1030" s="257"/>
    </row>
    <row r="1031" spans="1:14" ht="24" customHeight="1">
      <c r="A1031" s="8">
        <v>991</v>
      </c>
      <c r="B1031" s="9">
        <v>991</v>
      </c>
      <c r="C1031" s="254"/>
      <c r="D1031" s="253"/>
      <c r="E1031" s="19" t="str">
        <f>IFERROR(VLOOKUP(D1031,케이블트레이입.출고현황!U1034:Z1109,2,0),"")</f>
        <v/>
      </c>
      <c r="F1031" s="19" t="str">
        <f>IFERROR(VLOOKUP(E1031,케이블트레이입.출고현황!V1034:AA1109,2,0),"")</f>
        <v/>
      </c>
      <c r="G1031" s="19" t="str">
        <f>IFERROR(VLOOKUP(F1031,케이블트레이입.출고현황!W1034:AB1109,2,0),"")</f>
        <v/>
      </c>
      <c r="H1031" s="19" t="str">
        <f>IFERROR(VLOOKUP(G1031,케이블트레이입.출고현황!X1034:AC1109,2,0),"")</f>
        <v/>
      </c>
      <c r="I1031" s="19" t="str">
        <f>IFERROR(VLOOKUP(H1031,케이블트레이입.출고현황!Y1034:AD1109,2,0),"")</f>
        <v/>
      </c>
      <c r="J1031" s="253" t="s">
        <v>557</v>
      </c>
      <c r="K1031" s="253"/>
      <c r="L1031" s="255"/>
      <c r="M1031" s="256"/>
      <c r="N1031" s="257"/>
    </row>
    <row r="1032" spans="1:14" ht="24" customHeight="1">
      <c r="A1032" s="8">
        <v>992</v>
      </c>
      <c r="B1032" s="9">
        <v>992</v>
      </c>
      <c r="C1032" s="254"/>
      <c r="D1032" s="253"/>
      <c r="E1032" s="19" t="str">
        <f>IFERROR(VLOOKUP(D1032,케이블트레이입.출고현황!U1035:Z1110,2,0),"")</f>
        <v/>
      </c>
      <c r="F1032" s="19" t="str">
        <f>IFERROR(VLOOKUP(E1032,케이블트레이입.출고현황!V1035:AA1110,2,0),"")</f>
        <v/>
      </c>
      <c r="G1032" s="19" t="str">
        <f>IFERROR(VLOOKUP(F1032,케이블트레이입.출고현황!W1035:AB1110,2,0),"")</f>
        <v/>
      </c>
      <c r="H1032" s="19" t="str">
        <f>IFERROR(VLOOKUP(G1032,케이블트레이입.출고현황!X1035:AC1110,2,0),"")</f>
        <v/>
      </c>
      <c r="I1032" s="19" t="str">
        <f>IFERROR(VLOOKUP(H1032,케이블트레이입.출고현황!Y1035:AD1110,2,0),"")</f>
        <v/>
      </c>
      <c r="J1032" s="253">
        <v>1</v>
      </c>
      <c r="K1032" s="253"/>
      <c r="L1032" s="255"/>
      <c r="M1032" s="256"/>
      <c r="N1032" s="257"/>
    </row>
    <row r="1033" spans="1:14" ht="24" customHeight="1">
      <c r="A1033" s="8">
        <v>993</v>
      </c>
      <c r="B1033" s="9">
        <v>993</v>
      </c>
      <c r="C1033" s="254"/>
      <c r="D1033" s="253"/>
      <c r="E1033" s="19" t="str">
        <f>IFERROR(VLOOKUP(D1033,케이블트레이입.출고현황!U1036:Z1111,2,0),"")</f>
        <v/>
      </c>
      <c r="F1033" s="19" t="str">
        <f>IFERROR(VLOOKUP(E1033,케이블트레이입.출고현황!V1036:AA1111,2,0),"")</f>
        <v/>
      </c>
      <c r="G1033" s="19" t="str">
        <f>IFERROR(VLOOKUP(F1033,케이블트레이입.출고현황!W1036:AB1111,2,0),"")</f>
        <v/>
      </c>
      <c r="H1033" s="19" t="str">
        <f>IFERROR(VLOOKUP(G1033,케이블트레이입.출고현황!X1036:AC1111,2,0),"")</f>
        <v/>
      </c>
      <c r="I1033" s="19" t="str">
        <f>IFERROR(VLOOKUP(H1033,케이블트레이입.출고현황!Y1036:AD1111,2,0),"")</f>
        <v/>
      </c>
      <c r="J1033" s="253">
        <v>3</v>
      </c>
      <c r="K1033" s="253"/>
      <c r="L1033" s="255"/>
      <c r="M1033" s="256"/>
      <c r="N1033" s="257"/>
    </row>
    <row r="1034" spans="1:14" ht="24" customHeight="1">
      <c r="A1034" s="8">
        <v>994</v>
      </c>
      <c r="B1034" s="9">
        <v>994</v>
      </c>
      <c r="C1034" s="254"/>
      <c r="D1034" s="253"/>
      <c r="E1034" s="19" t="str">
        <f>IFERROR(VLOOKUP(D1034,케이블트레이입.출고현황!U1037:Z1112,2,0),"")</f>
        <v/>
      </c>
      <c r="F1034" s="19" t="str">
        <f>IFERROR(VLOOKUP(E1034,케이블트레이입.출고현황!V1037:AA1112,2,0),"")</f>
        <v/>
      </c>
      <c r="G1034" s="19" t="str">
        <f>IFERROR(VLOOKUP(F1034,케이블트레이입.출고현황!W1037:AB1112,2,0),"")</f>
        <v/>
      </c>
      <c r="H1034" s="19" t="str">
        <f>IFERROR(VLOOKUP(G1034,케이블트레이입.출고현황!X1037:AC1112,2,0),"")</f>
        <v/>
      </c>
      <c r="I1034" s="19" t="str">
        <f>IFERROR(VLOOKUP(H1034,케이블트레이입.출고현황!Y1037:AD1112,2,0),"")</f>
        <v/>
      </c>
      <c r="J1034" s="253">
        <v>1</v>
      </c>
      <c r="K1034" s="253"/>
      <c r="L1034" s="255"/>
      <c r="M1034" s="256"/>
      <c r="N1034" s="257"/>
    </row>
    <row r="1035" spans="1:14" ht="24" customHeight="1">
      <c r="A1035" s="8">
        <v>995</v>
      </c>
      <c r="B1035" s="9">
        <v>995</v>
      </c>
      <c r="C1035" s="254"/>
      <c r="D1035" s="253"/>
      <c r="E1035" s="19" t="str">
        <f>IFERROR(VLOOKUP(D1035,케이블트레이입.출고현황!U1038:Z1113,2,0),"")</f>
        <v/>
      </c>
      <c r="F1035" s="19" t="str">
        <f>IFERROR(VLOOKUP(E1035,케이블트레이입.출고현황!V1038:AA1113,2,0),"")</f>
        <v/>
      </c>
      <c r="G1035" s="19" t="str">
        <f>IFERROR(VLOOKUP(F1035,케이블트레이입.출고현황!W1038:AB1113,2,0),"")</f>
        <v/>
      </c>
      <c r="H1035" s="19" t="str">
        <f>IFERROR(VLOOKUP(G1035,케이블트레이입.출고현황!X1038:AC1113,2,0),"")</f>
        <v/>
      </c>
      <c r="I1035" s="19" t="str">
        <f>IFERROR(VLOOKUP(H1035,케이블트레이입.출고현황!Y1038:AD1113,2,0),"")</f>
        <v/>
      </c>
      <c r="J1035" s="253">
        <v>1</v>
      </c>
      <c r="K1035" s="253"/>
      <c r="L1035" s="255"/>
      <c r="M1035" s="256"/>
      <c r="N1035" s="257"/>
    </row>
    <row r="1036" spans="1:14" ht="24" customHeight="1">
      <c r="A1036" s="8">
        <v>996</v>
      </c>
      <c r="B1036" s="9">
        <v>996</v>
      </c>
      <c r="C1036" s="254"/>
      <c r="D1036" s="253"/>
      <c r="E1036" s="19" t="str">
        <f>IFERROR(VLOOKUP(D1036,케이블트레이입.출고현황!U1039:Z1114,2,0),"")</f>
        <v/>
      </c>
      <c r="F1036" s="19" t="str">
        <f>IFERROR(VLOOKUP(E1036,케이블트레이입.출고현황!V1039:AA1114,2,0),"")</f>
        <v/>
      </c>
      <c r="G1036" s="19" t="str">
        <f>IFERROR(VLOOKUP(F1036,케이블트레이입.출고현황!W1039:AB1114,2,0),"")</f>
        <v/>
      </c>
      <c r="H1036" s="19" t="str">
        <f>IFERROR(VLOOKUP(G1036,케이블트레이입.출고현황!X1039:AC1114,2,0),"")</f>
        <v/>
      </c>
      <c r="I1036" s="19" t="str">
        <f>IFERROR(VLOOKUP(H1036,케이블트레이입.출고현황!Y1039:AD1114,2,0),"")</f>
        <v/>
      </c>
      <c r="J1036" s="253">
        <v>2</v>
      </c>
      <c r="K1036" s="253"/>
      <c r="L1036" s="255"/>
      <c r="M1036" s="256"/>
      <c r="N1036" s="257"/>
    </row>
    <row r="1037" spans="1:14" ht="24" customHeight="1">
      <c r="A1037" s="8">
        <v>997</v>
      </c>
      <c r="B1037" s="9">
        <v>997</v>
      </c>
      <c r="C1037" s="254"/>
      <c r="D1037" s="253"/>
      <c r="E1037" s="19" t="str">
        <f>IFERROR(VLOOKUP(D1037,케이블트레이입.출고현황!U1040:Z1115,2,0),"")</f>
        <v/>
      </c>
      <c r="F1037" s="19" t="str">
        <f>IFERROR(VLOOKUP(E1037,케이블트레이입.출고현황!V1040:AA1115,2,0),"")</f>
        <v/>
      </c>
      <c r="G1037" s="19" t="str">
        <f>IFERROR(VLOOKUP(F1037,케이블트레이입.출고현황!W1040:AB1115,2,0),"")</f>
        <v/>
      </c>
      <c r="H1037" s="19" t="str">
        <f>IFERROR(VLOOKUP(G1037,케이블트레이입.출고현황!X1040:AC1115,2,0),"")</f>
        <v/>
      </c>
      <c r="I1037" s="19" t="str">
        <f>IFERROR(VLOOKUP(H1037,케이블트레이입.출고현황!Y1040:AD1115,2,0),"")</f>
        <v/>
      </c>
      <c r="J1037" s="253" t="s">
        <v>557</v>
      </c>
      <c r="K1037" s="253"/>
      <c r="L1037" s="255"/>
      <c r="M1037" s="256"/>
      <c r="N1037" s="257"/>
    </row>
    <row r="1038" spans="1:14" ht="24" customHeight="1">
      <c r="A1038" s="8">
        <v>998</v>
      </c>
      <c r="B1038" s="9">
        <v>998</v>
      </c>
      <c r="C1038" s="254"/>
      <c r="D1038" s="253"/>
      <c r="E1038" s="19" t="str">
        <f>IFERROR(VLOOKUP(D1038,케이블트레이입.출고현황!U1041:Z1116,2,0),"")</f>
        <v/>
      </c>
      <c r="F1038" s="19" t="str">
        <f>IFERROR(VLOOKUP(E1038,케이블트레이입.출고현황!V1041:AA1116,2,0),"")</f>
        <v/>
      </c>
      <c r="G1038" s="19" t="str">
        <f>IFERROR(VLOOKUP(F1038,케이블트레이입.출고현황!W1041:AB1116,2,0),"")</f>
        <v/>
      </c>
      <c r="H1038" s="19" t="str">
        <f>IFERROR(VLOOKUP(G1038,케이블트레이입.출고현황!X1041:AC1116,2,0),"")</f>
        <v/>
      </c>
      <c r="I1038" s="19" t="str">
        <f>IFERROR(VLOOKUP(H1038,케이블트레이입.출고현황!Y1041:AD1116,2,0),"")</f>
        <v/>
      </c>
      <c r="J1038" s="253">
        <v>3</v>
      </c>
      <c r="K1038" s="253"/>
      <c r="L1038" s="255"/>
      <c r="M1038" s="256"/>
      <c r="N1038" s="257"/>
    </row>
    <row r="1039" spans="1:14" ht="24" customHeight="1">
      <c r="A1039" s="8">
        <v>999</v>
      </c>
      <c r="B1039" s="9">
        <v>999</v>
      </c>
      <c r="C1039" s="254"/>
      <c r="D1039" s="253"/>
      <c r="E1039" s="19" t="str">
        <f>IFERROR(VLOOKUP(D1039,케이블트레이입.출고현황!U1042:Z1117,2,0),"")</f>
        <v/>
      </c>
      <c r="F1039" s="19" t="str">
        <f>IFERROR(VLOOKUP(E1039,케이블트레이입.출고현황!V1042:AA1117,2,0),"")</f>
        <v/>
      </c>
      <c r="G1039" s="19" t="str">
        <f>IFERROR(VLOOKUP(F1039,케이블트레이입.출고현황!W1042:AB1117,2,0),"")</f>
        <v/>
      </c>
      <c r="H1039" s="19" t="str">
        <f>IFERROR(VLOOKUP(G1039,케이블트레이입.출고현황!X1042:AC1117,2,0),"")</f>
        <v/>
      </c>
      <c r="I1039" s="19" t="str">
        <f>IFERROR(VLOOKUP(H1039,케이블트레이입.출고현황!Y1042:AD1117,2,0),"")</f>
        <v/>
      </c>
      <c r="J1039" s="253">
        <v>3</v>
      </c>
      <c r="K1039" s="253"/>
      <c r="L1039" s="255"/>
      <c r="M1039" s="256"/>
      <c r="N1039" s="257"/>
    </row>
    <row r="1040" spans="1:14" ht="24" customHeight="1">
      <c r="A1040" s="8">
        <v>1000</v>
      </c>
      <c r="B1040" s="9">
        <v>1000</v>
      </c>
      <c r="C1040" s="254"/>
      <c r="D1040" s="253"/>
      <c r="E1040" s="19" t="str">
        <f>IFERROR(VLOOKUP(D1040,케이블트레이입.출고현황!U1043:Z1118,2,0),"")</f>
        <v/>
      </c>
      <c r="F1040" s="19" t="str">
        <f>IFERROR(VLOOKUP(E1040,케이블트레이입.출고현황!V1043:AA1118,2,0),"")</f>
        <v/>
      </c>
      <c r="G1040" s="19" t="str">
        <f>IFERROR(VLOOKUP(F1040,케이블트레이입.출고현황!W1043:AB1118,2,0),"")</f>
        <v/>
      </c>
      <c r="H1040" s="19" t="str">
        <f>IFERROR(VLOOKUP(G1040,케이블트레이입.출고현황!X1043:AC1118,2,0),"")</f>
        <v/>
      </c>
      <c r="I1040" s="19" t="str">
        <f>IFERROR(VLOOKUP(H1040,케이블트레이입.출고현황!Y1043:AD1118,2,0),"")</f>
        <v/>
      </c>
      <c r="J1040" s="253" t="s">
        <v>557</v>
      </c>
      <c r="K1040" s="253"/>
      <c r="L1040" s="255"/>
      <c r="M1040" s="256"/>
      <c r="N1040" s="257"/>
    </row>
    <row r="1041" spans="1:14" ht="24" customHeight="1">
      <c r="A1041" s="8">
        <v>1001</v>
      </c>
      <c r="B1041" s="9">
        <v>1001</v>
      </c>
      <c r="C1041" s="254"/>
      <c r="D1041" s="253"/>
      <c r="E1041" s="19" t="str">
        <f>IFERROR(VLOOKUP(D1041,케이블트레이입.출고현황!U1044:Z1119,2,0),"")</f>
        <v/>
      </c>
      <c r="F1041" s="19" t="str">
        <f>IFERROR(VLOOKUP(E1041,케이블트레이입.출고현황!V1044:AA1119,2,0),"")</f>
        <v/>
      </c>
      <c r="G1041" s="19" t="str">
        <f>IFERROR(VLOOKUP(F1041,케이블트레이입.출고현황!W1044:AB1119,2,0),"")</f>
        <v/>
      </c>
      <c r="H1041" s="19" t="str">
        <f>IFERROR(VLOOKUP(G1041,케이블트레이입.출고현황!X1044:AC1119,2,0),"")</f>
        <v/>
      </c>
      <c r="I1041" s="19" t="str">
        <f>IFERROR(VLOOKUP(H1041,케이블트레이입.출고현황!Y1044:AD1119,2,0),"")</f>
        <v/>
      </c>
      <c r="J1041" s="253">
        <v>1</v>
      </c>
      <c r="K1041" s="253"/>
      <c r="L1041" s="255"/>
      <c r="M1041" s="256"/>
      <c r="N1041" s="257"/>
    </row>
    <row r="1042" spans="1:14" ht="24" customHeight="1">
      <c r="A1042" s="8">
        <v>1002</v>
      </c>
      <c r="B1042" s="9">
        <v>1002</v>
      </c>
      <c r="C1042" s="254"/>
      <c r="D1042" s="253"/>
      <c r="E1042" s="19" t="str">
        <f>IFERROR(VLOOKUP(D1042,케이블트레이입.출고현황!U1045:Z1120,2,0),"")</f>
        <v/>
      </c>
      <c r="F1042" s="19" t="str">
        <f>IFERROR(VLOOKUP(E1042,케이블트레이입.출고현황!V1045:AA1120,2,0),"")</f>
        <v/>
      </c>
      <c r="G1042" s="19" t="str">
        <f>IFERROR(VLOOKUP(F1042,케이블트레이입.출고현황!W1045:AB1120,2,0),"")</f>
        <v/>
      </c>
      <c r="H1042" s="19" t="str">
        <f>IFERROR(VLOOKUP(G1042,케이블트레이입.출고현황!X1045:AC1120,2,0),"")</f>
        <v/>
      </c>
      <c r="I1042" s="19" t="str">
        <f>IFERROR(VLOOKUP(H1042,케이블트레이입.출고현황!Y1045:AD1120,2,0),"")</f>
        <v/>
      </c>
      <c r="J1042" s="253">
        <v>3</v>
      </c>
      <c r="K1042" s="253"/>
      <c r="L1042" s="255"/>
      <c r="M1042" s="256"/>
      <c r="N1042" s="257"/>
    </row>
    <row r="1043" spans="1:14" ht="24" customHeight="1">
      <c r="A1043" s="8">
        <v>1003</v>
      </c>
      <c r="B1043" s="9">
        <v>1003</v>
      </c>
      <c r="C1043" s="254"/>
      <c r="D1043" s="253"/>
      <c r="E1043" s="19" t="str">
        <f>IFERROR(VLOOKUP(D1043,케이블트레이입.출고현황!U1046:Z1121,2,0),"")</f>
        <v/>
      </c>
      <c r="F1043" s="19" t="str">
        <f>IFERROR(VLOOKUP(E1043,케이블트레이입.출고현황!V1046:AA1121,2,0),"")</f>
        <v/>
      </c>
      <c r="G1043" s="19" t="str">
        <f>IFERROR(VLOOKUP(F1043,케이블트레이입.출고현황!W1046:AB1121,2,0),"")</f>
        <v/>
      </c>
      <c r="H1043" s="19" t="str">
        <f>IFERROR(VLOOKUP(G1043,케이블트레이입.출고현황!X1046:AC1121,2,0),"")</f>
        <v/>
      </c>
      <c r="I1043" s="19" t="str">
        <f>IFERROR(VLOOKUP(H1043,케이블트레이입.출고현황!Y1046:AD1121,2,0),"")</f>
        <v/>
      </c>
      <c r="J1043" s="253">
        <v>2</v>
      </c>
      <c r="K1043" s="253"/>
      <c r="L1043" s="255"/>
      <c r="M1043" s="256"/>
      <c r="N1043" s="257"/>
    </row>
    <row r="1044" spans="1:14" ht="24" customHeight="1">
      <c r="A1044" s="8">
        <v>1004</v>
      </c>
      <c r="B1044" s="9">
        <v>1004</v>
      </c>
      <c r="C1044" s="254"/>
      <c r="D1044" s="253"/>
      <c r="E1044" s="19" t="str">
        <f>IFERROR(VLOOKUP(D1044,케이블트레이입.출고현황!U1047:Z1122,2,0),"")</f>
        <v/>
      </c>
      <c r="F1044" s="19" t="str">
        <f>IFERROR(VLOOKUP(E1044,케이블트레이입.출고현황!V1047:AA1122,2,0),"")</f>
        <v/>
      </c>
      <c r="G1044" s="19" t="str">
        <f>IFERROR(VLOOKUP(F1044,케이블트레이입.출고현황!W1047:AB1122,2,0),"")</f>
        <v/>
      </c>
      <c r="H1044" s="19" t="str">
        <f>IFERROR(VLOOKUP(G1044,케이블트레이입.출고현황!X1047:AC1122,2,0),"")</f>
        <v/>
      </c>
      <c r="I1044" s="19" t="str">
        <f>IFERROR(VLOOKUP(H1044,케이블트레이입.출고현황!Y1047:AD1122,2,0),"")</f>
        <v/>
      </c>
      <c r="J1044" s="253">
        <v>3</v>
      </c>
      <c r="K1044" s="253"/>
      <c r="L1044" s="255"/>
      <c r="M1044" s="256"/>
      <c r="N1044" s="257"/>
    </row>
    <row r="1045" spans="1:14" ht="24" customHeight="1">
      <c r="A1045" s="8">
        <v>1005</v>
      </c>
      <c r="B1045" s="9">
        <v>1005</v>
      </c>
      <c r="C1045" s="254"/>
      <c r="D1045" s="253"/>
      <c r="E1045" s="19" t="str">
        <f>IFERROR(VLOOKUP(D1045,케이블트레이입.출고현황!U1048:Z1123,2,0),"")</f>
        <v/>
      </c>
      <c r="F1045" s="19" t="str">
        <f>IFERROR(VLOOKUP(E1045,케이블트레이입.출고현황!V1048:AA1123,2,0),"")</f>
        <v/>
      </c>
      <c r="G1045" s="19" t="str">
        <f>IFERROR(VLOOKUP(F1045,케이블트레이입.출고현황!W1048:AB1123,2,0),"")</f>
        <v/>
      </c>
      <c r="H1045" s="19" t="str">
        <f>IFERROR(VLOOKUP(G1045,케이블트레이입.출고현황!X1048:AC1123,2,0),"")</f>
        <v/>
      </c>
      <c r="I1045" s="19" t="str">
        <f>IFERROR(VLOOKUP(H1045,케이블트레이입.출고현황!Y1048:AD1123,2,0),"")</f>
        <v/>
      </c>
      <c r="J1045" s="253">
        <v>1</v>
      </c>
      <c r="K1045" s="253"/>
      <c r="L1045" s="255"/>
      <c r="M1045" s="256"/>
      <c r="N1045" s="257"/>
    </row>
    <row r="1046" spans="1:14" ht="24" customHeight="1">
      <c r="A1046" s="8">
        <v>1006</v>
      </c>
      <c r="B1046" s="9">
        <v>1006</v>
      </c>
      <c r="C1046" s="254"/>
      <c r="D1046" s="253"/>
      <c r="E1046" s="19" t="str">
        <f>IFERROR(VLOOKUP(D1046,케이블트레이입.출고현황!U1049:Z1124,2,0),"")</f>
        <v/>
      </c>
      <c r="F1046" s="19" t="str">
        <f>IFERROR(VLOOKUP(E1046,케이블트레이입.출고현황!V1049:AA1124,2,0),"")</f>
        <v/>
      </c>
      <c r="G1046" s="19" t="str">
        <f>IFERROR(VLOOKUP(F1046,케이블트레이입.출고현황!W1049:AB1124,2,0),"")</f>
        <v/>
      </c>
      <c r="H1046" s="19" t="str">
        <f>IFERROR(VLOOKUP(G1046,케이블트레이입.출고현황!X1049:AC1124,2,0),"")</f>
        <v/>
      </c>
      <c r="I1046" s="19" t="str">
        <f>IFERROR(VLOOKUP(H1046,케이블트레이입.출고현황!Y1049:AD1124,2,0),"")</f>
        <v/>
      </c>
      <c r="J1046" s="253">
        <v>1</v>
      </c>
      <c r="K1046" s="253"/>
      <c r="L1046" s="255"/>
      <c r="M1046" s="256"/>
      <c r="N1046" s="257"/>
    </row>
    <row r="1047" spans="1:14" ht="24" customHeight="1">
      <c r="A1047" s="8">
        <v>1007</v>
      </c>
      <c r="B1047" s="9">
        <v>1007</v>
      </c>
      <c r="C1047" s="254"/>
      <c r="D1047" s="253"/>
      <c r="E1047" s="19" t="str">
        <f>IFERROR(VLOOKUP(D1047,케이블트레이입.출고현황!U1050:Z1125,2,0),"")</f>
        <v/>
      </c>
      <c r="F1047" s="19" t="str">
        <f>IFERROR(VLOOKUP(E1047,케이블트레이입.출고현황!V1050:AA1125,2,0),"")</f>
        <v/>
      </c>
      <c r="G1047" s="19" t="str">
        <f>IFERROR(VLOOKUP(F1047,케이블트레이입.출고현황!W1050:AB1125,2,0),"")</f>
        <v/>
      </c>
      <c r="H1047" s="19" t="str">
        <f>IFERROR(VLOOKUP(G1047,케이블트레이입.출고현황!X1050:AC1125,2,0),"")</f>
        <v/>
      </c>
      <c r="I1047" s="19" t="str">
        <f>IFERROR(VLOOKUP(H1047,케이블트레이입.출고현황!Y1050:AD1125,2,0),"")</f>
        <v/>
      </c>
      <c r="J1047" s="253">
        <v>3</v>
      </c>
      <c r="K1047" s="253"/>
      <c r="L1047" s="255"/>
      <c r="M1047" s="256"/>
      <c r="N1047" s="257"/>
    </row>
    <row r="1048" spans="1:14" ht="24" customHeight="1">
      <c r="A1048" s="8">
        <v>1008</v>
      </c>
      <c r="B1048" s="9">
        <v>1008</v>
      </c>
      <c r="C1048" s="254"/>
      <c r="D1048" s="253"/>
      <c r="E1048" s="19" t="str">
        <f>IFERROR(VLOOKUP(D1048,케이블트레이입.출고현황!U1051:Z1126,2,0),"")</f>
        <v/>
      </c>
      <c r="F1048" s="19" t="str">
        <f>IFERROR(VLOOKUP(E1048,케이블트레이입.출고현황!V1051:AA1126,2,0),"")</f>
        <v/>
      </c>
      <c r="G1048" s="19" t="str">
        <f>IFERROR(VLOOKUP(F1048,케이블트레이입.출고현황!W1051:AB1126,2,0),"")</f>
        <v/>
      </c>
      <c r="H1048" s="19" t="str">
        <f>IFERROR(VLOOKUP(G1048,케이블트레이입.출고현황!X1051:AC1126,2,0),"")</f>
        <v/>
      </c>
      <c r="I1048" s="19" t="str">
        <f>IFERROR(VLOOKUP(H1048,케이블트레이입.출고현황!Y1051:AD1126,2,0),"")</f>
        <v/>
      </c>
      <c r="J1048" s="253">
        <v>2</v>
      </c>
      <c r="K1048" s="253"/>
      <c r="L1048" s="255"/>
      <c r="M1048" s="256"/>
      <c r="N1048" s="257"/>
    </row>
    <row r="1049" spans="1:14" ht="24" customHeight="1">
      <c r="A1049" s="8">
        <v>1009</v>
      </c>
      <c r="B1049" s="9">
        <v>1009</v>
      </c>
      <c r="C1049" s="254"/>
      <c r="D1049" s="253"/>
      <c r="E1049" s="19" t="str">
        <f>IFERROR(VLOOKUP(D1049,케이블트레이입.출고현황!U1052:Z1127,2,0),"")</f>
        <v/>
      </c>
      <c r="F1049" s="19" t="str">
        <f>IFERROR(VLOOKUP(E1049,케이블트레이입.출고현황!V1052:AA1127,2,0),"")</f>
        <v/>
      </c>
      <c r="G1049" s="19" t="str">
        <f>IFERROR(VLOOKUP(F1049,케이블트레이입.출고현황!W1052:AB1127,2,0),"")</f>
        <v/>
      </c>
      <c r="H1049" s="19" t="str">
        <f>IFERROR(VLOOKUP(G1049,케이블트레이입.출고현황!X1052:AC1127,2,0),"")</f>
        <v/>
      </c>
      <c r="I1049" s="19" t="str">
        <f>IFERROR(VLOOKUP(H1049,케이블트레이입.출고현황!Y1052:AD1127,2,0),"")</f>
        <v/>
      </c>
      <c r="J1049" s="253">
        <v>3</v>
      </c>
      <c r="K1049" s="253"/>
      <c r="L1049" s="255"/>
      <c r="M1049" s="256"/>
      <c r="N1049" s="257"/>
    </row>
    <row r="1050" spans="1:14" ht="24" customHeight="1">
      <c r="A1050" s="8">
        <v>1010</v>
      </c>
      <c r="B1050" s="9">
        <v>1010</v>
      </c>
      <c r="C1050" s="254"/>
      <c r="D1050" s="253"/>
      <c r="E1050" s="19" t="str">
        <f>IFERROR(VLOOKUP(D1050,케이블트레이입.출고현황!U1053:Z1128,2,0),"")</f>
        <v/>
      </c>
      <c r="F1050" s="19" t="str">
        <f>IFERROR(VLOOKUP(E1050,케이블트레이입.출고현황!V1053:AA1128,2,0),"")</f>
        <v/>
      </c>
      <c r="G1050" s="19" t="str">
        <f>IFERROR(VLOOKUP(F1050,케이블트레이입.출고현황!W1053:AB1128,2,0),"")</f>
        <v/>
      </c>
      <c r="H1050" s="19" t="str">
        <f>IFERROR(VLOOKUP(G1050,케이블트레이입.출고현황!X1053:AC1128,2,0),"")</f>
        <v/>
      </c>
      <c r="I1050" s="19" t="str">
        <f>IFERROR(VLOOKUP(H1050,케이블트레이입.출고현황!Y1053:AD1128,2,0),"")</f>
        <v/>
      </c>
      <c r="J1050" s="253">
        <v>1</v>
      </c>
      <c r="K1050" s="253"/>
      <c r="L1050" s="255"/>
      <c r="M1050" s="256"/>
      <c r="N1050" s="257"/>
    </row>
    <row r="1051" spans="1:14" ht="24" customHeight="1">
      <c r="A1051" s="8">
        <v>1011</v>
      </c>
      <c r="B1051" s="9">
        <v>1011</v>
      </c>
      <c r="C1051" s="254"/>
      <c r="D1051" s="253"/>
      <c r="E1051" s="19" t="str">
        <f>IFERROR(VLOOKUP(D1051,케이블트레이입.출고현황!U1054:Z1129,2,0),"")</f>
        <v/>
      </c>
      <c r="F1051" s="19" t="str">
        <f>IFERROR(VLOOKUP(E1051,케이블트레이입.출고현황!V1054:AA1129,2,0),"")</f>
        <v/>
      </c>
      <c r="G1051" s="19" t="str">
        <f>IFERROR(VLOOKUP(F1051,케이블트레이입.출고현황!W1054:AB1129,2,0),"")</f>
        <v/>
      </c>
      <c r="H1051" s="19" t="str">
        <f>IFERROR(VLOOKUP(G1051,케이블트레이입.출고현황!X1054:AC1129,2,0),"")</f>
        <v/>
      </c>
      <c r="I1051" s="19" t="str">
        <f>IFERROR(VLOOKUP(H1051,케이블트레이입.출고현황!Y1054:AD1129,2,0),"")</f>
        <v/>
      </c>
      <c r="J1051" s="253">
        <v>1</v>
      </c>
      <c r="K1051" s="253"/>
      <c r="L1051" s="255"/>
      <c r="M1051" s="256"/>
      <c r="N1051" s="257"/>
    </row>
    <row r="1052" spans="1:14" ht="24" customHeight="1">
      <c r="A1052" s="8">
        <v>1012</v>
      </c>
      <c r="B1052" s="9">
        <v>1012</v>
      </c>
      <c r="C1052" s="254"/>
      <c r="D1052" s="253"/>
      <c r="E1052" s="19" t="str">
        <f>IFERROR(VLOOKUP(D1052,케이블트레이입.출고현황!U1055:Z1130,2,0),"")</f>
        <v/>
      </c>
      <c r="F1052" s="19" t="str">
        <f>IFERROR(VLOOKUP(E1052,케이블트레이입.출고현황!V1055:AA1130,2,0),"")</f>
        <v/>
      </c>
      <c r="G1052" s="19" t="str">
        <f>IFERROR(VLOOKUP(F1052,케이블트레이입.출고현황!W1055:AB1130,2,0),"")</f>
        <v/>
      </c>
      <c r="H1052" s="19" t="str">
        <f>IFERROR(VLOOKUP(G1052,케이블트레이입.출고현황!X1055:AC1130,2,0),"")</f>
        <v/>
      </c>
      <c r="I1052" s="19" t="str">
        <f>IFERROR(VLOOKUP(H1052,케이블트레이입.출고현황!Y1055:AD1130,2,0),"")</f>
        <v/>
      </c>
      <c r="J1052" s="253">
        <v>2</v>
      </c>
      <c r="K1052" s="253"/>
      <c r="L1052" s="255"/>
      <c r="M1052" s="256"/>
      <c r="N1052" s="257"/>
    </row>
    <row r="1053" spans="1:14" ht="24" customHeight="1">
      <c r="A1053" s="8">
        <v>1013</v>
      </c>
      <c r="B1053" s="9">
        <v>1013</v>
      </c>
      <c r="C1053" s="254"/>
      <c r="D1053" s="253"/>
      <c r="E1053" s="19" t="str">
        <f>IFERROR(VLOOKUP(D1053,케이블트레이입.출고현황!U1056:Z1131,2,0),"")</f>
        <v/>
      </c>
      <c r="F1053" s="19" t="str">
        <f>IFERROR(VLOOKUP(E1053,케이블트레이입.출고현황!V1056:AA1131,2,0),"")</f>
        <v/>
      </c>
      <c r="G1053" s="19" t="str">
        <f>IFERROR(VLOOKUP(F1053,케이블트레이입.출고현황!W1056:AB1131,2,0),"")</f>
        <v/>
      </c>
      <c r="H1053" s="19" t="str">
        <f>IFERROR(VLOOKUP(G1053,케이블트레이입.출고현황!X1056:AC1131,2,0),"")</f>
        <v/>
      </c>
      <c r="I1053" s="19" t="str">
        <f>IFERROR(VLOOKUP(H1053,케이블트레이입.출고현황!Y1056:AD1131,2,0),"")</f>
        <v/>
      </c>
      <c r="J1053" s="253">
        <v>3</v>
      </c>
      <c r="K1053" s="253"/>
      <c r="L1053" s="255"/>
      <c r="M1053" s="256"/>
      <c r="N1053" s="257"/>
    </row>
    <row r="1054" spans="1:14" ht="24" customHeight="1">
      <c r="A1054" s="8">
        <v>1014</v>
      </c>
      <c r="B1054" s="9">
        <v>1014</v>
      </c>
      <c r="C1054" s="254"/>
      <c r="D1054" s="253"/>
      <c r="E1054" s="19" t="str">
        <f>IFERROR(VLOOKUP(D1054,케이블트레이입.출고현황!U1057:Z1132,2,0),"")</f>
        <v/>
      </c>
      <c r="F1054" s="19" t="str">
        <f>IFERROR(VLOOKUP(E1054,케이블트레이입.출고현황!V1057:AA1132,2,0),"")</f>
        <v/>
      </c>
      <c r="G1054" s="19" t="str">
        <f>IFERROR(VLOOKUP(F1054,케이블트레이입.출고현황!W1057:AB1132,2,0),"")</f>
        <v/>
      </c>
      <c r="H1054" s="19" t="str">
        <f>IFERROR(VLOOKUP(G1054,케이블트레이입.출고현황!X1057:AC1132,2,0),"")</f>
        <v/>
      </c>
      <c r="I1054" s="19" t="str">
        <f>IFERROR(VLOOKUP(H1054,케이블트레이입.출고현황!Y1057:AD1132,2,0),"")</f>
        <v/>
      </c>
      <c r="J1054" s="253">
        <v>1</v>
      </c>
      <c r="K1054" s="253"/>
      <c r="L1054" s="255"/>
      <c r="M1054" s="256"/>
      <c r="N1054" s="257"/>
    </row>
    <row r="1055" spans="1:14" ht="24" customHeight="1">
      <c r="A1055" s="8">
        <v>1015</v>
      </c>
      <c r="B1055" s="9">
        <v>1015</v>
      </c>
      <c r="C1055" s="254"/>
      <c r="D1055" s="253"/>
      <c r="E1055" s="19" t="str">
        <f>IFERROR(VLOOKUP(D1055,케이블트레이입.출고현황!U1058:Z1133,2,0),"")</f>
        <v/>
      </c>
      <c r="F1055" s="19" t="str">
        <f>IFERROR(VLOOKUP(E1055,케이블트레이입.출고현황!V1058:AA1133,2,0),"")</f>
        <v/>
      </c>
      <c r="G1055" s="19" t="str">
        <f>IFERROR(VLOOKUP(F1055,케이블트레이입.출고현황!W1058:AB1133,2,0),"")</f>
        <v/>
      </c>
      <c r="H1055" s="19" t="str">
        <f>IFERROR(VLOOKUP(G1055,케이블트레이입.출고현황!X1058:AC1133,2,0),"")</f>
        <v/>
      </c>
      <c r="I1055" s="19" t="str">
        <f>IFERROR(VLOOKUP(H1055,케이블트레이입.출고현황!Y1058:AD1133,2,0),"")</f>
        <v/>
      </c>
      <c r="J1055" s="253">
        <v>4</v>
      </c>
      <c r="K1055" s="253"/>
      <c r="L1055" s="255"/>
      <c r="M1055" s="256"/>
      <c r="N1055" s="257"/>
    </row>
    <row r="1056" spans="1:14" ht="24" customHeight="1">
      <c r="A1056" s="8">
        <v>1016</v>
      </c>
      <c r="B1056" s="9">
        <v>1016</v>
      </c>
      <c r="C1056" s="254"/>
      <c r="D1056" s="253"/>
      <c r="E1056" s="19" t="str">
        <f>IFERROR(VLOOKUP(D1056,케이블트레이입.출고현황!U1059:Z1134,2,0),"")</f>
        <v/>
      </c>
      <c r="F1056" s="19" t="str">
        <f>IFERROR(VLOOKUP(E1056,케이블트레이입.출고현황!V1059:AA1134,2,0),"")</f>
        <v/>
      </c>
      <c r="G1056" s="19" t="str">
        <f>IFERROR(VLOOKUP(F1056,케이블트레이입.출고현황!W1059:AB1134,2,0),"")</f>
        <v/>
      </c>
      <c r="H1056" s="19" t="str">
        <f>IFERROR(VLOOKUP(G1056,케이블트레이입.출고현황!X1059:AC1134,2,0),"")</f>
        <v/>
      </c>
      <c r="I1056" s="19" t="str">
        <f>IFERROR(VLOOKUP(H1056,케이블트레이입.출고현황!Y1059:AD1134,2,0),"")</f>
        <v/>
      </c>
      <c r="J1056" s="253">
        <v>2</v>
      </c>
      <c r="K1056" s="253"/>
      <c r="L1056" s="255"/>
      <c r="M1056" s="256"/>
      <c r="N1056" s="257"/>
    </row>
    <row r="1057" spans="1:14" ht="24" customHeight="1">
      <c r="A1057" s="8">
        <v>1017</v>
      </c>
      <c r="B1057" s="9">
        <v>1017</v>
      </c>
      <c r="C1057" s="254"/>
      <c r="D1057" s="253"/>
      <c r="E1057" s="19" t="str">
        <f>IFERROR(VLOOKUP(D1057,케이블트레이입.출고현황!U1060:Z1135,2,0),"")</f>
        <v/>
      </c>
      <c r="F1057" s="19" t="str">
        <f>IFERROR(VLOOKUP(E1057,케이블트레이입.출고현황!V1060:AA1135,2,0),"")</f>
        <v/>
      </c>
      <c r="G1057" s="19" t="str">
        <f>IFERROR(VLOOKUP(F1057,케이블트레이입.출고현황!W1060:AB1135,2,0),"")</f>
        <v/>
      </c>
      <c r="H1057" s="19" t="str">
        <f>IFERROR(VLOOKUP(G1057,케이블트레이입.출고현황!X1060:AC1135,2,0),"")</f>
        <v/>
      </c>
      <c r="I1057" s="19" t="str">
        <f>IFERROR(VLOOKUP(H1057,케이블트레이입.출고현황!Y1060:AD1135,2,0),"")</f>
        <v/>
      </c>
      <c r="J1057" s="253">
        <v>1</v>
      </c>
      <c r="K1057" s="253"/>
      <c r="L1057" s="255"/>
      <c r="M1057" s="256"/>
      <c r="N1057" s="257"/>
    </row>
    <row r="1058" spans="1:14" ht="24" customHeight="1">
      <c r="A1058" s="8">
        <v>1018</v>
      </c>
      <c r="B1058" s="9">
        <v>1018</v>
      </c>
      <c r="C1058" s="254"/>
      <c r="D1058" s="253"/>
      <c r="E1058" s="19" t="str">
        <f>IFERROR(VLOOKUP(D1058,케이블트레이입.출고현황!U1061:Z1136,2,0),"")</f>
        <v/>
      </c>
      <c r="F1058" s="19" t="str">
        <f>IFERROR(VLOOKUP(E1058,케이블트레이입.출고현황!V1061:AA1136,2,0),"")</f>
        <v/>
      </c>
      <c r="G1058" s="19" t="str">
        <f>IFERROR(VLOOKUP(F1058,케이블트레이입.출고현황!W1061:AB1136,2,0),"")</f>
        <v/>
      </c>
      <c r="H1058" s="19" t="str">
        <f>IFERROR(VLOOKUP(G1058,케이블트레이입.출고현황!X1061:AC1136,2,0),"")</f>
        <v/>
      </c>
      <c r="I1058" s="19" t="str">
        <f>IFERROR(VLOOKUP(H1058,케이블트레이입.출고현황!Y1061:AD1136,2,0),"")</f>
        <v/>
      </c>
      <c r="J1058" s="253">
        <v>2</v>
      </c>
      <c r="K1058" s="253"/>
      <c r="L1058" s="255"/>
      <c r="M1058" s="256"/>
      <c r="N1058" s="257"/>
    </row>
    <row r="1059" spans="1:14" ht="24" customHeight="1">
      <c r="A1059" s="8">
        <v>1019</v>
      </c>
      <c r="B1059" s="9">
        <v>1019</v>
      </c>
      <c r="C1059" s="254"/>
      <c r="D1059" s="253"/>
      <c r="E1059" s="19" t="str">
        <f>IFERROR(VLOOKUP(D1059,케이블트레이입.출고현황!U1062:Z1137,2,0),"")</f>
        <v/>
      </c>
      <c r="F1059" s="19" t="str">
        <f>IFERROR(VLOOKUP(E1059,케이블트레이입.출고현황!V1062:AA1137,2,0),"")</f>
        <v/>
      </c>
      <c r="G1059" s="19" t="str">
        <f>IFERROR(VLOOKUP(F1059,케이블트레이입.출고현황!W1062:AB1137,2,0),"")</f>
        <v/>
      </c>
      <c r="H1059" s="19" t="str">
        <f>IFERROR(VLOOKUP(G1059,케이블트레이입.출고현황!X1062:AC1137,2,0),"")</f>
        <v/>
      </c>
      <c r="I1059" s="19" t="str">
        <f>IFERROR(VLOOKUP(H1059,케이블트레이입.출고현황!Y1062:AD1137,2,0),"")</f>
        <v/>
      </c>
      <c r="J1059" s="253">
        <v>3</v>
      </c>
      <c r="K1059" s="253"/>
      <c r="L1059" s="255"/>
      <c r="M1059" s="256"/>
      <c r="N1059" s="257"/>
    </row>
    <row r="1060" spans="1:14" ht="24" customHeight="1">
      <c r="A1060" s="8">
        <v>1020</v>
      </c>
      <c r="B1060" s="9">
        <v>1020</v>
      </c>
      <c r="C1060" s="254"/>
      <c r="D1060" s="253"/>
      <c r="E1060" s="19" t="str">
        <f>IFERROR(VLOOKUP(D1060,케이블트레이입.출고현황!U1063:Z1138,2,0),"")</f>
        <v/>
      </c>
      <c r="F1060" s="19" t="str">
        <f>IFERROR(VLOOKUP(E1060,케이블트레이입.출고현황!V1063:AA1138,2,0),"")</f>
        <v/>
      </c>
      <c r="G1060" s="19" t="str">
        <f>IFERROR(VLOOKUP(F1060,케이블트레이입.출고현황!W1063:AB1138,2,0),"")</f>
        <v/>
      </c>
      <c r="H1060" s="19" t="str">
        <f>IFERROR(VLOOKUP(G1060,케이블트레이입.출고현황!X1063:AC1138,2,0),"")</f>
        <v/>
      </c>
      <c r="I1060" s="19" t="str">
        <f>IFERROR(VLOOKUP(H1060,케이블트레이입.출고현황!Y1063:AD1138,2,0),"")</f>
        <v/>
      </c>
      <c r="J1060" s="253">
        <v>1</v>
      </c>
      <c r="K1060" s="253"/>
      <c r="L1060" s="255"/>
      <c r="M1060" s="256"/>
      <c r="N1060" s="257"/>
    </row>
    <row r="1061" spans="1:14" ht="24" customHeight="1">
      <c r="A1061" s="8">
        <v>1021</v>
      </c>
      <c r="B1061" s="9">
        <v>1021</v>
      </c>
      <c r="C1061" s="254"/>
      <c r="D1061" s="253"/>
      <c r="E1061" s="19" t="str">
        <f>IFERROR(VLOOKUP(D1061,케이블트레이입.출고현황!U1064:Z1139,2,0),"")</f>
        <v/>
      </c>
      <c r="F1061" s="19" t="str">
        <f>IFERROR(VLOOKUP(E1061,케이블트레이입.출고현황!V1064:AA1139,2,0),"")</f>
        <v/>
      </c>
      <c r="G1061" s="19" t="str">
        <f>IFERROR(VLOOKUP(F1061,케이블트레이입.출고현황!W1064:AB1139,2,0),"")</f>
        <v/>
      </c>
      <c r="H1061" s="19" t="str">
        <f>IFERROR(VLOOKUP(G1061,케이블트레이입.출고현황!X1064:AC1139,2,0),"")</f>
        <v/>
      </c>
      <c r="I1061" s="19" t="str">
        <f>IFERROR(VLOOKUP(H1061,케이블트레이입.출고현황!Y1064:AD1139,2,0),"")</f>
        <v/>
      </c>
      <c r="J1061" s="253">
        <v>1</v>
      </c>
      <c r="K1061" s="253"/>
      <c r="L1061" s="255"/>
      <c r="M1061" s="256"/>
      <c r="N1061" s="257"/>
    </row>
    <row r="1062" spans="1:14" ht="24" customHeight="1">
      <c r="A1062" s="8">
        <v>1022</v>
      </c>
      <c r="B1062" s="9">
        <v>1022</v>
      </c>
      <c r="C1062" s="254"/>
      <c r="D1062" s="253"/>
      <c r="E1062" s="19" t="str">
        <f>IFERROR(VLOOKUP(D1062,케이블트레이입.출고현황!U1065:Z1140,2,0),"")</f>
        <v/>
      </c>
      <c r="F1062" s="19" t="str">
        <f>IFERROR(VLOOKUP(E1062,케이블트레이입.출고현황!V1065:AA1140,2,0),"")</f>
        <v/>
      </c>
      <c r="G1062" s="19" t="str">
        <f>IFERROR(VLOOKUP(F1062,케이블트레이입.출고현황!W1065:AB1140,2,0),"")</f>
        <v/>
      </c>
      <c r="H1062" s="19" t="str">
        <f>IFERROR(VLOOKUP(G1062,케이블트레이입.출고현황!X1065:AC1140,2,0),"")</f>
        <v/>
      </c>
      <c r="I1062" s="19" t="str">
        <f>IFERROR(VLOOKUP(H1062,케이블트레이입.출고현황!Y1065:AD1140,2,0),"")</f>
        <v/>
      </c>
      <c r="J1062" s="253">
        <v>1</v>
      </c>
      <c r="K1062" s="253"/>
      <c r="L1062" s="255"/>
      <c r="M1062" s="256"/>
      <c r="N1062" s="257"/>
    </row>
    <row r="1063" spans="1:14" ht="24" customHeight="1">
      <c r="A1063" s="8">
        <v>1023</v>
      </c>
      <c r="B1063" s="9">
        <v>1023</v>
      </c>
      <c r="C1063" s="254"/>
      <c r="D1063" s="253"/>
      <c r="E1063" s="19" t="str">
        <f>IFERROR(VLOOKUP(D1063,케이블트레이입.출고현황!U1066:Z1141,2,0),"")</f>
        <v/>
      </c>
      <c r="F1063" s="19" t="str">
        <f>IFERROR(VLOOKUP(E1063,케이블트레이입.출고현황!V1066:AA1141,2,0),"")</f>
        <v/>
      </c>
      <c r="G1063" s="19" t="str">
        <f>IFERROR(VLOOKUP(F1063,케이블트레이입.출고현황!W1066:AB1141,2,0),"")</f>
        <v/>
      </c>
      <c r="H1063" s="19" t="str">
        <f>IFERROR(VLOOKUP(G1063,케이블트레이입.출고현황!X1066:AC1141,2,0),"")</f>
        <v/>
      </c>
      <c r="I1063" s="19" t="str">
        <f>IFERROR(VLOOKUP(H1063,케이블트레이입.출고현황!Y1066:AD1141,2,0),"")</f>
        <v/>
      </c>
      <c r="J1063" s="253">
        <v>3</v>
      </c>
      <c r="K1063" s="253"/>
      <c r="L1063" s="255"/>
      <c r="M1063" s="256"/>
      <c r="N1063" s="257"/>
    </row>
    <row r="1064" spans="1:14" ht="24" customHeight="1">
      <c r="A1064" s="8">
        <v>1024</v>
      </c>
      <c r="B1064" s="9">
        <v>1024</v>
      </c>
      <c r="C1064" s="254"/>
      <c r="D1064" s="253"/>
      <c r="E1064" s="19" t="str">
        <f>IFERROR(VLOOKUP(D1064,케이블트레이입.출고현황!U1067:Z1142,2,0),"")</f>
        <v/>
      </c>
      <c r="F1064" s="19" t="str">
        <f>IFERROR(VLOOKUP(E1064,케이블트레이입.출고현황!V1067:AA1142,2,0),"")</f>
        <v/>
      </c>
      <c r="G1064" s="19" t="str">
        <f>IFERROR(VLOOKUP(F1064,케이블트레이입.출고현황!W1067:AB1142,2,0),"")</f>
        <v/>
      </c>
      <c r="H1064" s="19" t="str">
        <f>IFERROR(VLOOKUP(G1064,케이블트레이입.출고현황!X1067:AC1142,2,0),"")</f>
        <v/>
      </c>
      <c r="I1064" s="19" t="str">
        <f>IFERROR(VLOOKUP(H1064,케이블트레이입.출고현황!Y1067:AD1142,2,0),"")</f>
        <v/>
      </c>
      <c r="J1064" s="253">
        <v>2</v>
      </c>
      <c r="K1064" s="253"/>
      <c r="L1064" s="255"/>
      <c r="M1064" s="256"/>
      <c r="N1064" s="257"/>
    </row>
    <row r="1065" spans="1:14" ht="24" customHeight="1">
      <c r="A1065" s="8">
        <v>1025</v>
      </c>
      <c r="B1065" s="9">
        <v>1025</v>
      </c>
      <c r="C1065" s="254"/>
      <c r="D1065" s="253"/>
      <c r="E1065" s="19" t="str">
        <f>IFERROR(VLOOKUP(D1065,케이블트레이입.출고현황!U1068:Z1143,2,0),"")</f>
        <v/>
      </c>
      <c r="F1065" s="19" t="str">
        <f>IFERROR(VLOOKUP(E1065,케이블트레이입.출고현황!V1068:AA1143,2,0),"")</f>
        <v/>
      </c>
      <c r="G1065" s="19" t="str">
        <f>IFERROR(VLOOKUP(F1065,케이블트레이입.출고현황!W1068:AB1143,2,0),"")</f>
        <v/>
      </c>
      <c r="H1065" s="19" t="str">
        <f>IFERROR(VLOOKUP(G1065,케이블트레이입.출고현황!X1068:AC1143,2,0),"")</f>
        <v/>
      </c>
      <c r="I1065" s="19" t="str">
        <f>IFERROR(VLOOKUP(H1065,케이블트레이입.출고현황!Y1068:AD1143,2,0),"")</f>
        <v/>
      </c>
      <c r="J1065" s="253">
        <v>1</v>
      </c>
      <c r="K1065" s="253"/>
      <c r="L1065" s="255"/>
      <c r="M1065" s="256"/>
      <c r="N1065" s="257"/>
    </row>
    <row r="1066" spans="1:14" ht="24" customHeight="1">
      <c r="A1066" s="8">
        <v>1026</v>
      </c>
      <c r="B1066" s="9">
        <v>1026</v>
      </c>
      <c r="C1066" s="254"/>
      <c r="D1066" s="253"/>
      <c r="E1066" s="19" t="str">
        <f>IFERROR(VLOOKUP(D1066,케이블트레이입.출고현황!U1069:Z1144,2,0),"")</f>
        <v/>
      </c>
      <c r="F1066" s="19" t="str">
        <f>IFERROR(VLOOKUP(E1066,케이블트레이입.출고현황!V1069:AA1144,2,0),"")</f>
        <v/>
      </c>
      <c r="G1066" s="19" t="str">
        <f>IFERROR(VLOOKUP(F1066,케이블트레이입.출고현황!W1069:AB1144,2,0),"")</f>
        <v/>
      </c>
      <c r="H1066" s="19" t="str">
        <f>IFERROR(VLOOKUP(G1066,케이블트레이입.출고현황!X1069:AC1144,2,0),"")</f>
        <v/>
      </c>
      <c r="I1066" s="19" t="str">
        <f>IFERROR(VLOOKUP(H1066,케이블트레이입.출고현황!Y1069:AD1144,2,0),"")</f>
        <v/>
      </c>
      <c r="J1066" s="253">
        <v>1</v>
      </c>
      <c r="K1066" s="253"/>
      <c r="L1066" s="255"/>
      <c r="M1066" s="256"/>
      <c r="N1066" s="257"/>
    </row>
    <row r="1067" spans="1:14" ht="24" customHeight="1">
      <c r="A1067" s="8">
        <v>1027</v>
      </c>
      <c r="B1067" s="9">
        <v>1027</v>
      </c>
      <c r="C1067" s="254"/>
      <c r="D1067" s="253"/>
      <c r="E1067" s="19" t="str">
        <f>IFERROR(VLOOKUP(D1067,케이블트레이입.출고현황!U1070:Z1145,2,0),"")</f>
        <v/>
      </c>
      <c r="F1067" s="19" t="str">
        <f>IFERROR(VLOOKUP(E1067,케이블트레이입.출고현황!V1070:AA1145,2,0),"")</f>
        <v/>
      </c>
      <c r="G1067" s="19" t="str">
        <f>IFERROR(VLOOKUP(F1067,케이블트레이입.출고현황!W1070:AB1145,2,0),"")</f>
        <v/>
      </c>
      <c r="H1067" s="19" t="str">
        <f>IFERROR(VLOOKUP(G1067,케이블트레이입.출고현황!X1070:AC1145,2,0),"")</f>
        <v/>
      </c>
      <c r="I1067" s="19" t="str">
        <f>IFERROR(VLOOKUP(H1067,케이블트레이입.출고현황!Y1070:AD1145,2,0),"")</f>
        <v/>
      </c>
      <c r="J1067" s="253">
        <v>1</v>
      </c>
      <c r="K1067" s="253"/>
      <c r="L1067" s="255"/>
      <c r="M1067" s="256"/>
      <c r="N1067" s="257"/>
    </row>
    <row r="1068" spans="1:14" ht="24" customHeight="1">
      <c r="A1068" s="8">
        <v>1028</v>
      </c>
      <c r="B1068" s="9">
        <v>1028</v>
      </c>
      <c r="C1068" s="254"/>
      <c r="D1068" s="253"/>
      <c r="E1068" s="19" t="str">
        <f>IFERROR(VLOOKUP(D1068,케이블트레이입.출고현황!U1071:Z1146,2,0),"")</f>
        <v/>
      </c>
      <c r="F1068" s="19" t="str">
        <f>IFERROR(VLOOKUP(E1068,케이블트레이입.출고현황!V1071:AA1146,2,0),"")</f>
        <v/>
      </c>
      <c r="G1068" s="19" t="str">
        <f>IFERROR(VLOOKUP(F1068,케이블트레이입.출고현황!W1071:AB1146,2,0),"")</f>
        <v/>
      </c>
      <c r="H1068" s="19" t="str">
        <f>IFERROR(VLOOKUP(G1068,케이블트레이입.출고현황!X1071:AC1146,2,0),"")</f>
        <v/>
      </c>
      <c r="I1068" s="19" t="str">
        <f>IFERROR(VLOOKUP(H1068,케이블트레이입.출고현황!Y1071:AD1146,2,0),"")</f>
        <v/>
      </c>
      <c r="J1068" s="253">
        <v>2</v>
      </c>
      <c r="K1068" s="253"/>
      <c r="L1068" s="255"/>
      <c r="M1068" s="256"/>
      <c r="N1068" s="257"/>
    </row>
    <row r="1069" spans="1:14" ht="24" customHeight="1">
      <c r="A1069" s="8">
        <v>1029</v>
      </c>
      <c r="B1069" s="9">
        <v>1029</v>
      </c>
      <c r="C1069" s="254"/>
      <c r="D1069" s="253"/>
      <c r="E1069" s="19" t="str">
        <f>IFERROR(VLOOKUP(D1069,케이블트레이입.출고현황!U1072:Z1147,2,0),"")</f>
        <v/>
      </c>
      <c r="F1069" s="19" t="str">
        <f>IFERROR(VLOOKUP(E1069,케이블트레이입.출고현황!V1072:AA1147,2,0),"")</f>
        <v/>
      </c>
      <c r="G1069" s="19" t="str">
        <f>IFERROR(VLOOKUP(F1069,케이블트레이입.출고현황!W1072:AB1147,2,0),"")</f>
        <v/>
      </c>
      <c r="H1069" s="19" t="str">
        <f>IFERROR(VLOOKUP(G1069,케이블트레이입.출고현황!X1072:AC1147,2,0),"")</f>
        <v/>
      </c>
      <c r="I1069" s="19" t="str">
        <f>IFERROR(VLOOKUP(H1069,케이블트레이입.출고현황!Y1072:AD1147,2,0),"")</f>
        <v/>
      </c>
      <c r="J1069" s="253">
        <v>3</v>
      </c>
      <c r="K1069" s="253"/>
      <c r="L1069" s="255"/>
      <c r="M1069" s="256"/>
      <c r="N1069" s="257"/>
    </row>
    <row r="1070" spans="1:14" ht="24" customHeight="1">
      <c r="A1070" s="8">
        <v>1030</v>
      </c>
      <c r="B1070" s="9">
        <v>1030</v>
      </c>
      <c r="C1070" s="254"/>
      <c r="D1070" s="253"/>
      <c r="E1070" s="19" t="str">
        <f>IFERROR(VLOOKUP(D1070,케이블트레이입.출고현황!U1073:Z1148,2,0),"")</f>
        <v/>
      </c>
      <c r="F1070" s="19" t="str">
        <f>IFERROR(VLOOKUP(E1070,케이블트레이입.출고현황!V1073:AA1148,2,0),"")</f>
        <v/>
      </c>
      <c r="G1070" s="19" t="str">
        <f>IFERROR(VLOOKUP(F1070,케이블트레이입.출고현황!W1073:AB1148,2,0),"")</f>
        <v/>
      </c>
      <c r="H1070" s="19" t="str">
        <f>IFERROR(VLOOKUP(G1070,케이블트레이입.출고현황!X1073:AC1148,2,0),"")</f>
        <v/>
      </c>
      <c r="I1070" s="19" t="str">
        <f>IFERROR(VLOOKUP(H1070,케이블트레이입.출고현황!Y1073:AD1148,2,0),"")</f>
        <v/>
      </c>
      <c r="J1070" s="253">
        <v>1</v>
      </c>
      <c r="K1070" s="253"/>
      <c r="L1070" s="255"/>
      <c r="M1070" s="256"/>
      <c r="N1070" s="257"/>
    </row>
    <row r="1071" spans="1:14" ht="24" customHeight="1">
      <c r="A1071" s="8">
        <v>1031</v>
      </c>
      <c r="B1071" s="9">
        <v>1031</v>
      </c>
      <c r="C1071" s="254"/>
      <c r="D1071" s="253"/>
      <c r="E1071" s="19" t="str">
        <f>IFERROR(VLOOKUP(D1071,케이블트레이입.출고현황!U1074:Z1149,2,0),"")</f>
        <v/>
      </c>
      <c r="F1071" s="19" t="str">
        <f>IFERROR(VLOOKUP(E1071,케이블트레이입.출고현황!V1074:AA1149,2,0),"")</f>
        <v/>
      </c>
      <c r="G1071" s="19" t="str">
        <f>IFERROR(VLOOKUP(F1071,케이블트레이입.출고현황!W1074:AB1149,2,0),"")</f>
        <v/>
      </c>
      <c r="H1071" s="19" t="str">
        <f>IFERROR(VLOOKUP(G1071,케이블트레이입.출고현황!X1074:AC1149,2,0),"")</f>
        <v/>
      </c>
      <c r="I1071" s="19" t="str">
        <f>IFERROR(VLOOKUP(H1071,케이블트레이입.출고현황!Y1074:AD1149,2,0),"")</f>
        <v/>
      </c>
      <c r="J1071" s="253">
        <v>1</v>
      </c>
      <c r="K1071" s="253"/>
      <c r="L1071" s="255"/>
      <c r="M1071" s="256"/>
      <c r="N1071" s="257"/>
    </row>
    <row r="1072" spans="1:14" ht="24" customHeight="1">
      <c r="A1072" s="8">
        <v>1032</v>
      </c>
      <c r="B1072" s="9">
        <v>1032</v>
      </c>
      <c r="C1072" s="254"/>
      <c r="D1072" s="253"/>
      <c r="E1072" s="19" t="str">
        <f>IFERROR(VLOOKUP(D1072,케이블트레이입.출고현황!U1075:Z1150,2,0),"")</f>
        <v/>
      </c>
      <c r="F1072" s="19" t="str">
        <f>IFERROR(VLOOKUP(E1072,케이블트레이입.출고현황!V1075:AA1150,2,0),"")</f>
        <v/>
      </c>
      <c r="G1072" s="19" t="str">
        <f>IFERROR(VLOOKUP(F1072,케이블트레이입.출고현황!W1075:AB1150,2,0),"")</f>
        <v/>
      </c>
      <c r="H1072" s="19" t="str">
        <f>IFERROR(VLOOKUP(G1072,케이블트레이입.출고현황!X1075:AC1150,2,0),"")</f>
        <v/>
      </c>
      <c r="I1072" s="19" t="str">
        <f>IFERROR(VLOOKUP(H1072,케이블트레이입.출고현황!Y1075:AD1150,2,0),"")</f>
        <v/>
      </c>
      <c r="J1072" s="253">
        <v>2</v>
      </c>
      <c r="K1072" s="253"/>
      <c r="L1072" s="255"/>
      <c r="M1072" s="256"/>
      <c r="N1072" s="257"/>
    </row>
    <row r="1073" spans="1:14" ht="24" customHeight="1">
      <c r="A1073" s="8">
        <v>1033</v>
      </c>
      <c r="B1073" s="9">
        <v>1033</v>
      </c>
      <c r="C1073" s="254"/>
      <c r="D1073" s="253"/>
      <c r="E1073" s="19" t="str">
        <f>IFERROR(VLOOKUP(D1073,케이블트레이입.출고현황!U1076:Z1151,2,0),"")</f>
        <v/>
      </c>
      <c r="F1073" s="19" t="str">
        <f>IFERROR(VLOOKUP(E1073,케이블트레이입.출고현황!V1076:AA1151,2,0),"")</f>
        <v/>
      </c>
      <c r="G1073" s="19" t="str">
        <f>IFERROR(VLOOKUP(F1073,케이블트레이입.출고현황!W1076:AB1151,2,0),"")</f>
        <v/>
      </c>
      <c r="H1073" s="19" t="str">
        <f>IFERROR(VLOOKUP(G1073,케이블트레이입.출고현황!X1076:AC1151,2,0),"")</f>
        <v/>
      </c>
      <c r="I1073" s="19" t="str">
        <f>IFERROR(VLOOKUP(H1073,케이블트레이입.출고현황!Y1076:AD1151,2,0),"")</f>
        <v/>
      </c>
      <c r="J1073" s="253">
        <v>4</v>
      </c>
      <c r="K1073" s="253"/>
      <c r="L1073" s="255"/>
      <c r="M1073" s="256"/>
      <c r="N1073" s="257"/>
    </row>
    <row r="1074" spans="1:14" ht="24" customHeight="1">
      <c r="A1074" s="8">
        <v>1034</v>
      </c>
      <c r="B1074" s="9">
        <v>1034</v>
      </c>
      <c r="C1074" s="254"/>
      <c r="D1074" s="253"/>
      <c r="E1074" s="19" t="str">
        <f>IFERROR(VLOOKUP(D1074,케이블트레이입.출고현황!U1077:Z1152,2,0),"")</f>
        <v/>
      </c>
      <c r="F1074" s="19" t="str">
        <f>IFERROR(VLOOKUP(E1074,케이블트레이입.출고현황!V1077:AA1152,2,0),"")</f>
        <v/>
      </c>
      <c r="G1074" s="19" t="str">
        <f>IFERROR(VLOOKUP(F1074,케이블트레이입.출고현황!W1077:AB1152,2,0),"")</f>
        <v/>
      </c>
      <c r="H1074" s="19" t="str">
        <f>IFERROR(VLOOKUP(G1074,케이블트레이입.출고현황!X1077:AC1152,2,0),"")</f>
        <v/>
      </c>
      <c r="I1074" s="19" t="str">
        <f>IFERROR(VLOOKUP(H1074,케이블트레이입.출고현황!Y1077:AD1152,2,0),"")</f>
        <v/>
      </c>
      <c r="J1074" s="253">
        <v>2</v>
      </c>
      <c r="K1074" s="253"/>
      <c r="L1074" s="255"/>
      <c r="M1074" s="256"/>
      <c r="N1074" s="257"/>
    </row>
    <row r="1075" spans="1:14" ht="24" customHeight="1">
      <c r="A1075" s="8">
        <v>1035</v>
      </c>
      <c r="B1075" s="9">
        <v>1035</v>
      </c>
      <c r="C1075" s="254"/>
      <c r="D1075" s="253"/>
      <c r="E1075" s="19" t="str">
        <f>IFERROR(VLOOKUP(D1075,케이블트레이입.출고현황!U1078:Z1153,2,0),"")</f>
        <v/>
      </c>
      <c r="F1075" s="19" t="str">
        <f>IFERROR(VLOOKUP(E1075,케이블트레이입.출고현황!V1078:AA1153,2,0),"")</f>
        <v/>
      </c>
      <c r="G1075" s="19" t="str">
        <f>IFERROR(VLOOKUP(F1075,케이블트레이입.출고현황!W1078:AB1153,2,0),"")</f>
        <v/>
      </c>
      <c r="H1075" s="19" t="str">
        <f>IFERROR(VLOOKUP(G1075,케이블트레이입.출고현황!X1078:AC1153,2,0),"")</f>
        <v/>
      </c>
      <c r="I1075" s="19" t="str">
        <f>IFERROR(VLOOKUP(H1075,케이블트레이입.출고현황!Y1078:AD1153,2,0),"")</f>
        <v/>
      </c>
      <c r="J1075" s="253">
        <v>1</v>
      </c>
      <c r="K1075" s="253"/>
      <c r="L1075" s="255"/>
      <c r="M1075" s="256"/>
      <c r="N1075" s="257"/>
    </row>
    <row r="1076" spans="1:14" ht="24" customHeight="1">
      <c r="A1076" s="8">
        <v>1036</v>
      </c>
      <c r="B1076" s="9">
        <v>1036</v>
      </c>
      <c r="C1076" s="254"/>
      <c r="D1076" s="253"/>
      <c r="E1076" s="19" t="str">
        <f>IFERROR(VLOOKUP(D1076,케이블트레이입.출고현황!U1079:Z1154,2,0),"")</f>
        <v/>
      </c>
      <c r="F1076" s="19" t="str">
        <f>IFERROR(VLOOKUP(E1076,케이블트레이입.출고현황!V1079:AA1154,2,0),"")</f>
        <v/>
      </c>
      <c r="G1076" s="19" t="str">
        <f>IFERROR(VLOOKUP(F1076,케이블트레이입.출고현황!W1079:AB1154,2,0),"")</f>
        <v/>
      </c>
      <c r="H1076" s="19" t="str">
        <f>IFERROR(VLOOKUP(G1076,케이블트레이입.출고현황!X1079:AC1154,2,0),"")</f>
        <v/>
      </c>
      <c r="I1076" s="19" t="str">
        <f>IFERROR(VLOOKUP(H1076,케이블트레이입.출고현황!Y1079:AD1154,2,0),"")</f>
        <v/>
      </c>
      <c r="J1076" s="253">
        <v>2</v>
      </c>
      <c r="K1076" s="253"/>
      <c r="L1076" s="255"/>
      <c r="M1076" s="256"/>
      <c r="N1076" s="257"/>
    </row>
    <row r="1077" spans="1:14" ht="24" customHeight="1">
      <c r="A1077" s="8">
        <v>1037</v>
      </c>
      <c r="B1077" s="9">
        <v>1037</v>
      </c>
      <c r="C1077" s="254"/>
      <c r="D1077" s="253"/>
      <c r="E1077" s="19" t="str">
        <f>IFERROR(VLOOKUP(D1077,케이블트레이입.출고현황!U1080:Z1155,2,0),"")</f>
        <v/>
      </c>
      <c r="F1077" s="19" t="str">
        <f>IFERROR(VLOOKUP(E1077,케이블트레이입.출고현황!V1080:AA1155,2,0),"")</f>
        <v/>
      </c>
      <c r="G1077" s="19" t="str">
        <f>IFERROR(VLOOKUP(F1077,케이블트레이입.출고현황!W1080:AB1155,2,0),"")</f>
        <v/>
      </c>
      <c r="H1077" s="19" t="str">
        <f>IFERROR(VLOOKUP(G1077,케이블트레이입.출고현황!X1080:AC1155,2,0),"")</f>
        <v/>
      </c>
      <c r="I1077" s="19" t="str">
        <f>IFERROR(VLOOKUP(H1077,케이블트레이입.출고현황!Y1080:AD1155,2,0),"")</f>
        <v/>
      </c>
      <c r="J1077" s="253">
        <v>2</v>
      </c>
      <c r="K1077" s="253"/>
      <c r="L1077" s="255"/>
      <c r="M1077" s="256"/>
      <c r="N1077" s="257"/>
    </row>
    <row r="1078" spans="1:14" ht="24" customHeight="1">
      <c r="A1078" s="8">
        <v>1038</v>
      </c>
      <c r="B1078" s="9">
        <v>1038</v>
      </c>
      <c r="C1078" s="254"/>
      <c r="D1078" s="253"/>
      <c r="E1078" s="19" t="str">
        <f>IFERROR(VLOOKUP(D1078,케이블트레이입.출고현황!U1081:Z1156,2,0),"")</f>
        <v/>
      </c>
      <c r="F1078" s="19" t="str">
        <f>IFERROR(VLOOKUP(E1078,케이블트레이입.출고현황!V1081:AA1156,2,0),"")</f>
        <v/>
      </c>
      <c r="G1078" s="19" t="str">
        <f>IFERROR(VLOOKUP(F1078,케이블트레이입.출고현황!W1081:AB1156,2,0),"")</f>
        <v/>
      </c>
      <c r="H1078" s="19" t="str">
        <f>IFERROR(VLOOKUP(G1078,케이블트레이입.출고현황!X1081:AC1156,2,0),"")</f>
        <v/>
      </c>
      <c r="I1078" s="19" t="str">
        <f>IFERROR(VLOOKUP(H1078,케이블트레이입.출고현황!Y1081:AD1156,2,0),"")</f>
        <v/>
      </c>
      <c r="J1078" s="253">
        <v>1</v>
      </c>
      <c r="K1078" s="253"/>
      <c r="L1078" s="255"/>
      <c r="M1078" s="256"/>
      <c r="N1078" s="257"/>
    </row>
    <row r="1079" spans="1:14" ht="24" customHeight="1">
      <c r="A1079" s="8">
        <v>1039</v>
      </c>
      <c r="B1079" s="9">
        <v>1039</v>
      </c>
      <c r="C1079" s="254"/>
      <c r="D1079" s="253"/>
      <c r="E1079" s="19" t="str">
        <f>IFERROR(VLOOKUP(D1079,케이블트레이입.출고현황!U1082:Z1157,2,0),"")</f>
        <v/>
      </c>
      <c r="F1079" s="19" t="str">
        <f>IFERROR(VLOOKUP(E1079,케이블트레이입.출고현황!V1082:AA1157,2,0),"")</f>
        <v/>
      </c>
      <c r="G1079" s="19" t="str">
        <f>IFERROR(VLOOKUP(F1079,케이블트레이입.출고현황!W1082:AB1157,2,0),"")</f>
        <v/>
      </c>
      <c r="H1079" s="19" t="str">
        <f>IFERROR(VLOOKUP(G1079,케이블트레이입.출고현황!X1082:AC1157,2,0),"")</f>
        <v/>
      </c>
      <c r="I1079" s="19" t="str">
        <f>IFERROR(VLOOKUP(H1079,케이블트레이입.출고현황!Y1082:AD1157,2,0),"")</f>
        <v/>
      </c>
      <c r="J1079" s="253">
        <v>1</v>
      </c>
      <c r="K1079" s="253"/>
      <c r="L1079" s="255"/>
      <c r="M1079" s="256"/>
      <c r="N1079" s="257"/>
    </row>
    <row r="1080" spans="1:14" ht="24" customHeight="1">
      <c r="A1080" s="8">
        <v>1040</v>
      </c>
      <c r="B1080" s="9">
        <v>1040</v>
      </c>
      <c r="C1080" s="254"/>
      <c r="D1080" s="253"/>
      <c r="E1080" s="19" t="str">
        <f>IFERROR(VLOOKUP(D1080,케이블트레이입.출고현황!U1083:Z1158,2,0),"")</f>
        <v/>
      </c>
      <c r="F1080" s="19" t="str">
        <f>IFERROR(VLOOKUP(E1080,케이블트레이입.출고현황!V1083:AA1158,2,0),"")</f>
        <v/>
      </c>
      <c r="G1080" s="19" t="str">
        <f>IFERROR(VLOOKUP(F1080,케이블트레이입.출고현황!W1083:AB1158,2,0),"")</f>
        <v/>
      </c>
      <c r="H1080" s="19" t="str">
        <f>IFERROR(VLOOKUP(G1080,케이블트레이입.출고현황!X1083:AC1158,2,0),"")</f>
        <v/>
      </c>
      <c r="I1080" s="19" t="str">
        <f>IFERROR(VLOOKUP(H1080,케이블트레이입.출고현황!Y1083:AD1158,2,0),"")</f>
        <v/>
      </c>
      <c r="J1080" s="253">
        <v>2</v>
      </c>
      <c r="K1080" s="253"/>
      <c r="L1080" s="255"/>
      <c r="M1080" s="256"/>
      <c r="N1080" s="257"/>
    </row>
    <row r="1081" spans="1:14" ht="24" customHeight="1">
      <c r="A1081" s="8">
        <v>1041</v>
      </c>
      <c r="B1081" s="9">
        <v>1041</v>
      </c>
      <c r="C1081" s="254"/>
      <c r="D1081" s="253"/>
      <c r="E1081" s="19" t="str">
        <f>IFERROR(VLOOKUP(D1081,케이블트레이입.출고현황!U1084:Z1159,2,0),"")</f>
        <v/>
      </c>
      <c r="F1081" s="19" t="str">
        <f>IFERROR(VLOOKUP(E1081,케이블트레이입.출고현황!V1084:AA1159,2,0),"")</f>
        <v/>
      </c>
      <c r="G1081" s="19" t="str">
        <f>IFERROR(VLOOKUP(F1081,케이블트레이입.출고현황!W1084:AB1159,2,0),"")</f>
        <v/>
      </c>
      <c r="H1081" s="19" t="str">
        <f>IFERROR(VLOOKUP(G1081,케이블트레이입.출고현황!X1084:AC1159,2,0),"")</f>
        <v/>
      </c>
      <c r="I1081" s="19" t="str">
        <f>IFERROR(VLOOKUP(H1081,케이블트레이입.출고현황!Y1084:AD1159,2,0),"")</f>
        <v/>
      </c>
      <c r="J1081" s="253">
        <v>3</v>
      </c>
      <c r="K1081" s="253"/>
      <c r="L1081" s="255"/>
      <c r="M1081" s="256"/>
      <c r="N1081" s="257"/>
    </row>
    <row r="1082" spans="1:14" ht="24" customHeight="1">
      <c r="A1082" s="8">
        <v>1042</v>
      </c>
      <c r="B1082" s="9">
        <v>1042</v>
      </c>
      <c r="C1082" s="254"/>
      <c r="D1082" s="253"/>
      <c r="E1082" s="19" t="str">
        <f>IFERROR(VLOOKUP(D1082,케이블트레이입.출고현황!U1085:Z1160,2,0),"")</f>
        <v/>
      </c>
      <c r="F1082" s="19" t="str">
        <f>IFERROR(VLOOKUP(E1082,케이블트레이입.출고현황!V1085:AA1160,2,0),"")</f>
        <v/>
      </c>
      <c r="G1082" s="19" t="str">
        <f>IFERROR(VLOOKUP(F1082,케이블트레이입.출고현황!W1085:AB1160,2,0),"")</f>
        <v/>
      </c>
      <c r="H1082" s="19" t="str">
        <f>IFERROR(VLOOKUP(G1082,케이블트레이입.출고현황!X1085:AC1160,2,0),"")</f>
        <v/>
      </c>
      <c r="I1082" s="19" t="str">
        <f>IFERROR(VLOOKUP(H1082,케이블트레이입.출고현황!Y1085:AD1160,2,0),"")</f>
        <v/>
      </c>
      <c r="J1082" s="253">
        <v>1</v>
      </c>
      <c r="K1082" s="253"/>
      <c r="L1082" s="255"/>
      <c r="M1082" s="256"/>
      <c r="N1082" s="257"/>
    </row>
    <row r="1083" spans="1:14" ht="24" customHeight="1">
      <c r="A1083" s="8">
        <v>1043</v>
      </c>
      <c r="B1083" s="9">
        <v>1043</v>
      </c>
      <c r="C1083" s="254"/>
      <c r="D1083" s="253"/>
      <c r="E1083" s="19" t="str">
        <f>IFERROR(VLOOKUP(D1083,케이블트레이입.출고현황!U1086:Z1161,2,0),"")</f>
        <v/>
      </c>
      <c r="F1083" s="19" t="str">
        <f>IFERROR(VLOOKUP(E1083,케이블트레이입.출고현황!V1086:AA1161,2,0),"")</f>
        <v/>
      </c>
      <c r="G1083" s="19" t="str">
        <f>IFERROR(VLOOKUP(F1083,케이블트레이입.출고현황!W1086:AB1161,2,0),"")</f>
        <v/>
      </c>
      <c r="H1083" s="19" t="str">
        <f>IFERROR(VLOOKUP(G1083,케이블트레이입.출고현황!X1086:AC1161,2,0),"")</f>
        <v/>
      </c>
      <c r="I1083" s="19" t="str">
        <f>IFERROR(VLOOKUP(H1083,케이블트레이입.출고현황!Y1086:AD1161,2,0),"")</f>
        <v/>
      </c>
      <c r="J1083" s="253">
        <v>1</v>
      </c>
      <c r="K1083" s="253"/>
      <c r="L1083" s="255"/>
      <c r="M1083" s="256"/>
      <c r="N1083" s="257"/>
    </row>
    <row r="1084" spans="1:14" ht="24" customHeight="1">
      <c r="A1084" s="8">
        <v>1044</v>
      </c>
      <c r="B1084" s="9">
        <v>1044</v>
      </c>
      <c r="C1084" s="254"/>
      <c r="D1084" s="253"/>
      <c r="E1084" s="19" t="str">
        <f>IFERROR(VLOOKUP(D1084,케이블트레이입.출고현황!U1087:Z1162,2,0),"")</f>
        <v/>
      </c>
      <c r="F1084" s="19" t="str">
        <f>IFERROR(VLOOKUP(E1084,케이블트레이입.출고현황!V1087:AA1162,2,0),"")</f>
        <v/>
      </c>
      <c r="G1084" s="19" t="str">
        <f>IFERROR(VLOOKUP(F1084,케이블트레이입.출고현황!W1087:AB1162,2,0),"")</f>
        <v/>
      </c>
      <c r="H1084" s="19" t="str">
        <f>IFERROR(VLOOKUP(G1084,케이블트레이입.출고현황!X1087:AC1162,2,0),"")</f>
        <v/>
      </c>
      <c r="I1084" s="19" t="str">
        <f>IFERROR(VLOOKUP(H1084,케이블트레이입.출고현황!Y1087:AD1162,2,0),"")</f>
        <v/>
      </c>
      <c r="J1084" s="253">
        <v>1</v>
      </c>
      <c r="K1084" s="253"/>
      <c r="L1084" s="255"/>
      <c r="M1084" s="256"/>
      <c r="N1084" s="257"/>
    </row>
    <row r="1085" spans="1:14" ht="24" customHeight="1">
      <c r="A1085" s="8">
        <v>1045</v>
      </c>
      <c r="B1085" s="9">
        <v>1045</v>
      </c>
      <c r="C1085" s="254"/>
      <c r="D1085" s="253"/>
      <c r="E1085" s="19" t="str">
        <f>IFERROR(VLOOKUP(D1085,케이블트레이입.출고현황!U1088:Z1163,2,0),"")</f>
        <v/>
      </c>
      <c r="F1085" s="19" t="str">
        <f>IFERROR(VLOOKUP(E1085,케이블트레이입.출고현황!V1088:AA1163,2,0),"")</f>
        <v/>
      </c>
      <c r="G1085" s="19" t="str">
        <f>IFERROR(VLOOKUP(F1085,케이블트레이입.출고현황!W1088:AB1163,2,0),"")</f>
        <v/>
      </c>
      <c r="H1085" s="19" t="str">
        <f>IFERROR(VLOOKUP(G1085,케이블트레이입.출고현황!X1088:AC1163,2,0),"")</f>
        <v/>
      </c>
      <c r="I1085" s="19" t="str">
        <f>IFERROR(VLOOKUP(H1085,케이블트레이입.출고현황!Y1088:AD1163,2,0),"")</f>
        <v/>
      </c>
      <c r="J1085" s="253">
        <v>3</v>
      </c>
      <c r="K1085" s="253"/>
      <c r="L1085" s="255"/>
      <c r="M1085" s="256"/>
      <c r="N1085" s="257"/>
    </row>
    <row r="1086" spans="1:14" ht="24" customHeight="1">
      <c r="A1086" s="8">
        <v>1046</v>
      </c>
      <c r="B1086" s="9">
        <v>1046</v>
      </c>
      <c r="C1086" s="254"/>
      <c r="D1086" s="253"/>
      <c r="E1086" s="19" t="str">
        <f>IFERROR(VLOOKUP(D1086,케이블트레이입.출고현황!U1089:Z1164,2,0),"")</f>
        <v/>
      </c>
      <c r="F1086" s="19" t="str">
        <f>IFERROR(VLOOKUP(E1086,케이블트레이입.출고현황!V1089:AA1164,2,0),"")</f>
        <v/>
      </c>
      <c r="G1086" s="19" t="str">
        <f>IFERROR(VLOOKUP(F1086,케이블트레이입.출고현황!W1089:AB1164,2,0),"")</f>
        <v/>
      </c>
      <c r="H1086" s="19" t="str">
        <f>IFERROR(VLOOKUP(G1086,케이블트레이입.출고현황!X1089:AC1164,2,0),"")</f>
        <v/>
      </c>
      <c r="I1086" s="19" t="str">
        <f>IFERROR(VLOOKUP(H1086,케이블트레이입.출고현황!Y1089:AD1164,2,0),"")</f>
        <v/>
      </c>
      <c r="J1086" s="253">
        <v>2</v>
      </c>
      <c r="K1086" s="253"/>
      <c r="L1086" s="255"/>
      <c r="M1086" s="256"/>
      <c r="N1086" s="257"/>
    </row>
    <row r="1087" spans="1:14" ht="24" customHeight="1">
      <c r="A1087" s="8">
        <v>1047</v>
      </c>
      <c r="B1087" s="9">
        <v>1047</v>
      </c>
      <c r="C1087" s="254"/>
      <c r="D1087" s="253"/>
      <c r="E1087" s="19" t="str">
        <f>IFERROR(VLOOKUP(D1087,케이블트레이입.출고현황!U1090:Z1165,2,0),"")</f>
        <v/>
      </c>
      <c r="F1087" s="19" t="str">
        <f>IFERROR(VLOOKUP(E1087,케이블트레이입.출고현황!V1090:AA1165,2,0),"")</f>
        <v/>
      </c>
      <c r="G1087" s="19" t="str">
        <f>IFERROR(VLOOKUP(F1087,케이블트레이입.출고현황!W1090:AB1165,2,0),"")</f>
        <v/>
      </c>
      <c r="H1087" s="19" t="str">
        <f>IFERROR(VLOOKUP(G1087,케이블트레이입.출고현황!X1090:AC1165,2,0),"")</f>
        <v/>
      </c>
      <c r="I1087" s="19" t="str">
        <f>IFERROR(VLOOKUP(H1087,케이블트레이입.출고현황!Y1090:AD1165,2,0),"")</f>
        <v/>
      </c>
      <c r="J1087" s="253">
        <v>1</v>
      </c>
      <c r="K1087" s="253"/>
      <c r="L1087" s="255"/>
      <c r="M1087" s="256"/>
      <c r="N1087" s="257"/>
    </row>
    <row r="1088" spans="1:14" ht="24" customHeight="1">
      <c r="A1088" s="8">
        <v>1048</v>
      </c>
      <c r="B1088" s="9">
        <v>1048</v>
      </c>
      <c r="C1088" s="254"/>
      <c r="D1088" s="253"/>
      <c r="E1088" s="19" t="str">
        <f>IFERROR(VLOOKUP(D1088,케이블트레이입.출고현황!U1091:Z1166,2,0),"")</f>
        <v/>
      </c>
      <c r="F1088" s="19" t="str">
        <f>IFERROR(VLOOKUP(E1088,케이블트레이입.출고현황!V1091:AA1166,2,0),"")</f>
        <v/>
      </c>
      <c r="G1088" s="19" t="str">
        <f>IFERROR(VLOOKUP(F1088,케이블트레이입.출고현황!W1091:AB1166,2,0),"")</f>
        <v/>
      </c>
      <c r="H1088" s="19" t="str">
        <f>IFERROR(VLOOKUP(G1088,케이블트레이입.출고현황!X1091:AC1166,2,0),"")</f>
        <v/>
      </c>
      <c r="I1088" s="19" t="str">
        <f>IFERROR(VLOOKUP(H1088,케이블트레이입.출고현황!Y1091:AD1166,2,0),"")</f>
        <v/>
      </c>
      <c r="J1088" s="253">
        <v>2</v>
      </c>
      <c r="K1088" s="253"/>
      <c r="L1088" s="255"/>
      <c r="M1088" s="256"/>
      <c r="N1088" s="257"/>
    </row>
    <row r="1089" spans="1:14" ht="24" customHeight="1">
      <c r="A1089" s="8">
        <v>1049</v>
      </c>
      <c r="B1089" s="9">
        <v>1049</v>
      </c>
      <c r="C1089" s="254"/>
      <c r="D1089" s="253"/>
      <c r="E1089" s="19" t="str">
        <f>IFERROR(VLOOKUP(D1089,케이블트레이입.출고현황!U1092:Z1167,2,0),"")</f>
        <v/>
      </c>
      <c r="F1089" s="19" t="str">
        <f>IFERROR(VLOOKUP(E1089,케이블트레이입.출고현황!V1092:AA1167,2,0),"")</f>
        <v/>
      </c>
      <c r="G1089" s="19" t="str">
        <f>IFERROR(VLOOKUP(F1089,케이블트레이입.출고현황!W1092:AB1167,2,0),"")</f>
        <v/>
      </c>
      <c r="H1089" s="19" t="str">
        <f>IFERROR(VLOOKUP(G1089,케이블트레이입.출고현황!X1092:AC1167,2,0),"")</f>
        <v/>
      </c>
      <c r="I1089" s="19" t="str">
        <f>IFERROR(VLOOKUP(H1089,케이블트레이입.출고현황!Y1092:AD1167,2,0),"")</f>
        <v/>
      </c>
      <c r="J1089" s="253">
        <v>4</v>
      </c>
      <c r="K1089" s="253"/>
      <c r="L1089" s="255"/>
      <c r="M1089" s="256"/>
      <c r="N1089" s="257"/>
    </row>
    <row r="1090" spans="1:14" ht="24" customHeight="1">
      <c r="A1090" s="8">
        <v>1050</v>
      </c>
      <c r="B1090" s="9">
        <v>1050</v>
      </c>
      <c r="C1090" s="254"/>
      <c r="D1090" s="253"/>
      <c r="E1090" s="19" t="str">
        <f>IFERROR(VLOOKUP(D1090,케이블트레이입.출고현황!U1093:Z1168,2,0),"")</f>
        <v/>
      </c>
      <c r="F1090" s="19" t="str">
        <f>IFERROR(VLOOKUP(E1090,케이블트레이입.출고현황!V1093:AA1168,2,0),"")</f>
        <v/>
      </c>
      <c r="G1090" s="19" t="str">
        <f>IFERROR(VLOOKUP(F1090,케이블트레이입.출고현황!W1093:AB1168,2,0),"")</f>
        <v/>
      </c>
      <c r="H1090" s="19" t="str">
        <f>IFERROR(VLOOKUP(G1090,케이블트레이입.출고현황!X1093:AC1168,2,0),"")</f>
        <v/>
      </c>
      <c r="I1090" s="19" t="str">
        <f>IFERROR(VLOOKUP(H1090,케이블트레이입.출고현황!Y1093:AD1168,2,0),"")</f>
        <v/>
      </c>
      <c r="J1090" s="253">
        <v>2</v>
      </c>
      <c r="K1090" s="253"/>
      <c r="L1090" s="255"/>
      <c r="M1090" s="256"/>
      <c r="N1090" s="257"/>
    </row>
    <row r="1091" spans="1:14" ht="24" customHeight="1">
      <c r="A1091" s="8">
        <v>1051</v>
      </c>
      <c r="B1091" s="9">
        <v>1051</v>
      </c>
      <c r="C1091" s="254"/>
      <c r="D1091" s="253"/>
      <c r="E1091" s="19" t="str">
        <f>IFERROR(VLOOKUP(D1091,케이블트레이입.출고현황!U1094:Z1169,2,0),"")</f>
        <v/>
      </c>
      <c r="F1091" s="19" t="str">
        <f>IFERROR(VLOOKUP(E1091,케이블트레이입.출고현황!V1094:AA1169,2,0),"")</f>
        <v/>
      </c>
      <c r="G1091" s="19" t="str">
        <f>IFERROR(VLOOKUP(F1091,케이블트레이입.출고현황!W1094:AB1169,2,0),"")</f>
        <v/>
      </c>
      <c r="H1091" s="19" t="str">
        <f>IFERROR(VLOOKUP(G1091,케이블트레이입.출고현황!X1094:AC1169,2,0),"")</f>
        <v/>
      </c>
      <c r="I1091" s="19" t="str">
        <f>IFERROR(VLOOKUP(H1091,케이블트레이입.출고현황!Y1094:AD1169,2,0),"")</f>
        <v/>
      </c>
      <c r="J1091" s="253">
        <v>3</v>
      </c>
      <c r="K1091" s="253"/>
      <c r="L1091" s="255"/>
      <c r="M1091" s="256"/>
      <c r="N1091" s="257"/>
    </row>
    <row r="1092" spans="1:14" ht="24" customHeight="1">
      <c r="A1092" s="8">
        <v>1052</v>
      </c>
      <c r="B1092" s="9">
        <v>1052</v>
      </c>
      <c r="C1092" s="254"/>
      <c r="D1092" s="253"/>
      <c r="E1092" s="19" t="str">
        <f>IFERROR(VLOOKUP(D1092,케이블트레이입.출고현황!U1095:Z1170,2,0),"")</f>
        <v/>
      </c>
      <c r="F1092" s="19" t="str">
        <f>IFERROR(VLOOKUP(E1092,케이블트레이입.출고현황!V1095:AA1170,2,0),"")</f>
        <v/>
      </c>
      <c r="G1092" s="19" t="str">
        <f>IFERROR(VLOOKUP(F1092,케이블트레이입.출고현황!W1095:AB1170,2,0),"")</f>
        <v/>
      </c>
      <c r="H1092" s="19" t="str">
        <f>IFERROR(VLOOKUP(G1092,케이블트레이입.출고현황!X1095:AC1170,2,0),"")</f>
        <v/>
      </c>
      <c r="I1092" s="19" t="str">
        <f>IFERROR(VLOOKUP(H1092,케이블트레이입.출고현황!Y1095:AD1170,2,0),"")</f>
        <v/>
      </c>
      <c r="J1092" s="253">
        <v>1</v>
      </c>
      <c r="K1092" s="253"/>
      <c r="L1092" s="255"/>
      <c r="M1092" s="256"/>
      <c r="N1092" s="257"/>
    </row>
    <row r="1093" spans="1:14" ht="24" customHeight="1">
      <c r="A1093" s="8">
        <v>1053</v>
      </c>
      <c r="B1093" s="9">
        <v>1053</v>
      </c>
      <c r="C1093" s="254"/>
      <c r="D1093" s="253"/>
      <c r="E1093" s="19" t="str">
        <f>IFERROR(VLOOKUP(D1093,케이블트레이입.출고현황!U1096:Z1171,2,0),"")</f>
        <v/>
      </c>
      <c r="F1093" s="19" t="str">
        <f>IFERROR(VLOOKUP(E1093,케이블트레이입.출고현황!V1096:AA1171,2,0),"")</f>
        <v/>
      </c>
      <c r="G1093" s="19" t="str">
        <f>IFERROR(VLOOKUP(F1093,케이블트레이입.출고현황!W1096:AB1171,2,0),"")</f>
        <v/>
      </c>
      <c r="H1093" s="19" t="str">
        <f>IFERROR(VLOOKUP(G1093,케이블트레이입.출고현황!X1096:AC1171,2,0),"")</f>
        <v/>
      </c>
      <c r="I1093" s="19" t="str">
        <f>IFERROR(VLOOKUP(H1093,케이블트레이입.출고현황!Y1096:AD1171,2,0),"")</f>
        <v/>
      </c>
      <c r="J1093" s="253">
        <v>1</v>
      </c>
      <c r="K1093" s="253"/>
      <c r="L1093" s="255"/>
      <c r="M1093" s="256"/>
      <c r="N1093" s="257"/>
    </row>
    <row r="1094" spans="1:14" ht="24" customHeight="1">
      <c r="A1094" s="8">
        <v>1054</v>
      </c>
      <c r="B1094" s="9">
        <v>1054</v>
      </c>
      <c r="C1094" s="254"/>
      <c r="D1094" s="253"/>
      <c r="E1094" s="19" t="str">
        <f>IFERROR(VLOOKUP(D1094,케이블트레이입.출고현황!U1097:Z1172,2,0),"")</f>
        <v/>
      </c>
      <c r="F1094" s="19" t="str">
        <f>IFERROR(VLOOKUP(E1094,케이블트레이입.출고현황!V1097:AA1172,2,0),"")</f>
        <v/>
      </c>
      <c r="G1094" s="19" t="str">
        <f>IFERROR(VLOOKUP(F1094,케이블트레이입.출고현황!W1097:AB1172,2,0),"")</f>
        <v/>
      </c>
      <c r="H1094" s="19" t="str">
        <f>IFERROR(VLOOKUP(G1094,케이블트레이입.출고현황!X1097:AC1172,2,0),"")</f>
        <v/>
      </c>
      <c r="I1094" s="19" t="str">
        <f>IFERROR(VLOOKUP(H1094,케이블트레이입.출고현황!Y1097:AD1172,2,0),"")</f>
        <v/>
      </c>
      <c r="J1094" s="253">
        <v>2</v>
      </c>
      <c r="K1094" s="253"/>
      <c r="L1094" s="255"/>
      <c r="M1094" s="256"/>
      <c r="N1094" s="257"/>
    </row>
    <row r="1095" spans="1:14" ht="24" customHeight="1">
      <c r="A1095" s="8">
        <v>1055</v>
      </c>
      <c r="B1095" s="9">
        <v>1055</v>
      </c>
      <c r="C1095" s="254"/>
      <c r="D1095" s="253"/>
      <c r="E1095" s="19" t="str">
        <f>IFERROR(VLOOKUP(D1095,케이블트레이입.출고현황!U1098:Z1173,2,0),"")</f>
        <v/>
      </c>
      <c r="F1095" s="19" t="str">
        <f>IFERROR(VLOOKUP(E1095,케이블트레이입.출고현황!V1098:AA1173,2,0),"")</f>
        <v/>
      </c>
      <c r="G1095" s="19" t="str">
        <f>IFERROR(VLOOKUP(F1095,케이블트레이입.출고현황!W1098:AB1173,2,0),"")</f>
        <v/>
      </c>
      <c r="H1095" s="19" t="str">
        <f>IFERROR(VLOOKUP(G1095,케이블트레이입.출고현황!X1098:AC1173,2,0),"")</f>
        <v/>
      </c>
      <c r="I1095" s="19" t="str">
        <f>IFERROR(VLOOKUP(H1095,케이블트레이입.출고현황!Y1098:AD1173,2,0),"")</f>
        <v/>
      </c>
      <c r="J1095" s="253">
        <v>4</v>
      </c>
      <c r="K1095" s="253"/>
      <c r="L1095" s="255"/>
      <c r="M1095" s="256"/>
      <c r="N1095" s="257"/>
    </row>
    <row r="1096" spans="1:14" ht="24" customHeight="1">
      <c r="A1096" s="8">
        <v>1056</v>
      </c>
      <c r="B1096" s="9">
        <v>1056</v>
      </c>
      <c r="C1096" s="254"/>
      <c r="D1096" s="253"/>
      <c r="E1096" s="19" t="str">
        <f>IFERROR(VLOOKUP(D1096,케이블트레이입.출고현황!U1099:Z1174,2,0),"")</f>
        <v/>
      </c>
      <c r="F1096" s="19" t="str">
        <f>IFERROR(VLOOKUP(E1096,케이블트레이입.출고현황!V1099:AA1174,2,0),"")</f>
        <v/>
      </c>
      <c r="G1096" s="19" t="str">
        <f>IFERROR(VLOOKUP(F1096,케이블트레이입.출고현황!W1099:AB1174,2,0),"")</f>
        <v/>
      </c>
      <c r="H1096" s="19" t="str">
        <f>IFERROR(VLOOKUP(G1096,케이블트레이입.출고현황!X1099:AC1174,2,0),"")</f>
        <v/>
      </c>
      <c r="I1096" s="19" t="str">
        <f>IFERROR(VLOOKUP(H1096,케이블트레이입.출고현황!Y1099:AD1174,2,0),"")</f>
        <v/>
      </c>
      <c r="J1096" s="253">
        <v>2</v>
      </c>
      <c r="K1096" s="253"/>
      <c r="L1096" s="255"/>
      <c r="M1096" s="256"/>
      <c r="N1096" s="257"/>
    </row>
    <row r="1097" spans="1:14" ht="24" customHeight="1">
      <c r="A1097" s="8">
        <v>1057</v>
      </c>
      <c r="B1097" s="9">
        <v>1057</v>
      </c>
      <c r="C1097" s="254"/>
      <c r="D1097" s="253"/>
      <c r="E1097" s="19" t="str">
        <f>IFERROR(VLOOKUP(D1097,케이블트레이입.출고현황!U1100:Z1175,2,0),"")</f>
        <v/>
      </c>
      <c r="F1097" s="19" t="str">
        <f>IFERROR(VLOOKUP(E1097,케이블트레이입.출고현황!V1100:AA1175,2,0),"")</f>
        <v/>
      </c>
      <c r="G1097" s="19" t="str">
        <f>IFERROR(VLOOKUP(F1097,케이블트레이입.출고현황!W1100:AB1175,2,0),"")</f>
        <v/>
      </c>
      <c r="H1097" s="19" t="str">
        <f>IFERROR(VLOOKUP(G1097,케이블트레이입.출고현황!X1100:AC1175,2,0),"")</f>
        <v/>
      </c>
      <c r="I1097" s="19" t="str">
        <f>IFERROR(VLOOKUP(H1097,케이블트레이입.출고현황!Y1100:AD1175,2,0),"")</f>
        <v/>
      </c>
      <c r="J1097" s="253">
        <v>1</v>
      </c>
      <c r="K1097" s="253"/>
      <c r="L1097" s="255"/>
      <c r="M1097" s="256"/>
      <c r="N1097" s="257"/>
    </row>
    <row r="1098" spans="1:14" ht="24" customHeight="1">
      <c r="A1098" s="8">
        <v>1058</v>
      </c>
      <c r="B1098" s="9">
        <v>1058</v>
      </c>
      <c r="C1098" s="254"/>
      <c r="D1098" s="253"/>
      <c r="E1098" s="19" t="str">
        <f>IFERROR(VLOOKUP(D1098,케이블트레이입.출고현황!U1101:Z1176,2,0),"")</f>
        <v/>
      </c>
      <c r="F1098" s="19" t="str">
        <f>IFERROR(VLOOKUP(E1098,케이블트레이입.출고현황!V1101:AA1176,2,0),"")</f>
        <v/>
      </c>
      <c r="G1098" s="19" t="str">
        <f>IFERROR(VLOOKUP(F1098,케이블트레이입.출고현황!W1101:AB1176,2,0),"")</f>
        <v/>
      </c>
      <c r="H1098" s="19" t="str">
        <f>IFERROR(VLOOKUP(G1098,케이블트레이입.출고현황!X1101:AC1176,2,0),"")</f>
        <v/>
      </c>
      <c r="I1098" s="19" t="str">
        <f>IFERROR(VLOOKUP(H1098,케이블트레이입.출고현황!Y1101:AD1176,2,0),"")</f>
        <v/>
      </c>
      <c r="J1098" s="253">
        <v>2</v>
      </c>
      <c r="K1098" s="253"/>
      <c r="L1098" s="255"/>
      <c r="M1098" s="256"/>
      <c r="N1098" s="257"/>
    </row>
    <row r="1099" spans="1:14" ht="24" customHeight="1">
      <c r="A1099" s="8">
        <v>1059</v>
      </c>
      <c r="B1099" s="9">
        <v>1059</v>
      </c>
      <c r="C1099" s="254"/>
      <c r="D1099" s="253"/>
      <c r="E1099" s="19" t="str">
        <f>IFERROR(VLOOKUP(D1099,케이블트레이입.출고현황!U1102:Z1177,2,0),"")</f>
        <v/>
      </c>
      <c r="F1099" s="19" t="str">
        <f>IFERROR(VLOOKUP(E1099,케이블트레이입.출고현황!V1102:AA1177,2,0),"")</f>
        <v/>
      </c>
      <c r="G1099" s="19" t="str">
        <f>IFERROR(VLOOKUP(F1099,케이블트레이입.출고현황!W1102:AB1177,2,0),"")</f>
        <v/>
      </c>
      <c r="H1099" s="19" t="str">
        <f>IFERROR(VLOOKUP(G1099,케이블트레이입.출고현황!X1102:AC1177,2,0),"")</f>
        <v/>
      </c>
      <c r="I1099" s="19" t="str">
        <f>IFERROR(VLOOKUP(H1099,케이블트레이입.출고현황!Y1102:AD1177,2,0),"")</f>
        <v/>
      </c>
      <c r="J1099" s="253">
        <v>3</v>
      </c>
      <c r="K1099" s="253"/>
      <c r="L1099" s="255"/>
      <c r="M1099" s="256"/>
      <c r="N1099" s="257"/>
    </row>
    <row r="1100" spans="1:14" ht="24" customHeight="1">
      <c r="A1100" s="8">
        <v>1060</v>
      </c>
      <c r="B1100" s="9">
        <v>1060</v>
      </c>
      <c r="C1100" s="254"/>
      <c r="D1100" s="253"/>
      <c r="E1100" s="19" t="str">
        <f>IFERROR(VLOOKUP(D1100,케이블트레이입.출고현황!U1103:Z1178,2,0),"")</f>
        <v/>
      </c>
      <c r="F1100" s="19" t="str">
        <f>IFERROR(VLOOKUP(E1100,케이블트레이입.출고현황!V1103:AA1178,2,0),"")</f>
        <v/>
      </c>
      <c r="G1100" s="19" t="str">
        <f>IFERROR(VLOOKUP(F1100,케이블트레이입.출고현황!W1103:AB1178,2,0),"")</f>
        <v/>
      </c>
      <c r="H1100" s="19" t="str">
        <f>IFERROR(VLOOKUP(G1100,케이블트레이입.출고현황!X1103:AC1178,2,0),"")</f>
        <v/>
      </c>
      <c r="I1100" s="19" t="str">
        <f>IFERROR(VLOOKUP(H1100,케이블트레이입.출고현황!Y1103:AD1178,2,0),"")</f>
        <v/>
      </c>
      <c r="J1100" s="253">
        <v>1</v>
      </c>
      <c r="K1100" s="253"/>
      <c r="L1100" s="255"/>
      <c r="M1100" s="256"/>
      <c r="N1100" s="257"/>
    </row>
    <row r="1101" spans="1:14" ht="24" customHeight="1">
      <c r="A1101" s="8">
        <v>1061</v>
      </c>
      <c r="B1101" s="9">
        <v>1061</v>
      </c>
      <c r="C1101" s="254"/>
      <c r="D1101" s="253"/>
      <c r="E1101" s="19" t="str">
        <f>IFERROR(VLOOKUP(D1101,케이블트레이입.출고현황!U1104:Z1179,2,0),"")</f>
        <v/>
      </c>
      <c r="F1101" s="19" t="str">
        <f>IFERROR(VLOOKUP(E1101,케이블트레이입.출고현황!V1104:AA1179,2,0),"")</f>
        <v/>
      </c>
      <c r="G1101" s="19" t="str">
        <f>IFERROR(VLOOKUP(F1101,케이블트레이입.출고현황!W1104:AB1179,2,0),"")</f>
        <v/>
      </c>
      <c r="H1101" s="19" t="str">
        <f>IFERROR(VLOOKUP(G1101,케이블트레이입.출고현황!X1104:AC1179,2,0),"")</f>
        <v/>
      </c>
      <c r="I1101" s="19" t="str">
        <f>IFERROR(VLOOKUP(H1101,케이블트레이입.출고현황!Y1104:AD1179,2,0),"")</f>
        <v/>
      </c>
      <c r="J1101" s="253">
        <v>4</v>
      </c>
      <c r="K1101" s="253"/>
      <c r="L1101" s="255"/>
      <c r="M1101" s="256"/>
      <c r="N1101" s="257"/>
    </row>
    <row r="1102" spans="1:14" ht="24" customHeight="1">
      <c r="A1102" s="8">
        <v>1062</v>
      </c>
      <c r="B1102" s="9">
        <v>1062</v>
      </c>
      <c r="C1102" s="254"/>
      <c r="D1102" s="253"/>
      <c r="E1102" s="19" t="str">
        <f>IFERROR(VLOOKUP(D1102,케이블트레이입.출고현황!U1105:Z1180,2,0),"")</f>
        <v/>
      </c>
      <c r="F1102" s="19" t="str">
        <f>IFERROR(VLOOKUP(E1102,케이블트레이입.출고현황!V1105:AA1180,2,0),"")</f>
        <v/>
      </c>
      <c r="G1102" s="19" t="str">
        <f>IFERROR(VLOOKUP(F1102,케이블트레이입.출고현황!W1105:AB1180,2,0),"")</f>
        <v/>
      </c>
      <c r="H1102" s="19" t="str">
        <f>IFERROR(VLOOKUP(G1102,케이블트레이입.출고현황!X1105:AC1180,2,0),"")</f>
        <v/>
      </c>
      <c r="I1102" s="19" t="str">
        <f>IFERROR(VLOOKUP(H1102,케이블트레이입.출고현황!Y1105:AD1180,2,0),"")</f>
        <v/>
      </c>
      <c r="J1102" s="253">
        <v>4</v>
      </c>
      <c r="K1102" s="253"/>
      <c r="L1102" s="255"/>
      <c r="M1102" s="256"/>
      <c r="N1102" s="257"/>
    </row>
    <row r="1103" spans="1:14" ht="24" customHeight="1">
      <c r="A1103" s="8">
        <v>1063</v>
      </c>
      <c r="B1103" s="9">
        <v>1063</v>
      </c>
      <c r="C1103" s="254"/>
      <c r="D1103" s="253"/>
      <c r="E1103" s="19" t="str">
        <f>IFERROR(VLOOKUP(D1103,케이블트레이입.출고현황!U1106:Z1181,2,0),"")</f>
        <v/>
      </c>
      <c r="F1103" s="19" t="str">
        <f>IFERROR(VLOOKUP(E1103,케이블트레이입.출고현황!V1106:AA1181,2,0),"")</f>
        <v/>
      </c>
      <c r="G1103" s="19" t="str">
        <f>IFERROR(VLOOKUP(F1103,케이블트레이입.출고현황!W1106:AB1181,2,0),"")</f>
        <v/>
      </c>
      <c r="H1103" s="19" t="str">
        <f>IFERROR(VLOOKUP(G1103,케이블트레이입.출고현황!X1106:AC1181,2,0),"")</f>
        <v/>
      </c>
      <c r="I1103" s="19" t="str">
        <f>IFERROR(VLOOKUP(H1103,케이블트레이입.출고현황!Y1106:AD1181,2,0),"")</f>
        <v/>
      </c>
      <c r="J1103" s="253">
        <v>4</v>
      </c>
      <c r="K1103" s="253"/>
      <c r="L1103" s="255"/>
      <c r="M1103" s="256"/>
      <c r="N1103" s="257"/>
    </row>
    <row r="1104" spans="1:14" ht="24" customHeight="1">
      <c r="A1104" s="8">
        <v>1064</v>
      </c>
      <c r="B1104" s="9">
        <v>1064</v>
      </c>
      <c r="C1104" s="254"/>
      <c r="D1104" s="253"/>
      <c r="E1104" s="19" t="str">
        <f>IFERROR(VLOOKUP(D1104,케이블트레이입.출고현황!U1107:Z1182,2,0),"")</f>
        <v/>
      </c>
      <c r="F1104" s="19" t="str">
        <f>IFERROR(VLOOKUP(E1104,케이블트레이입.출고현황!V1107:AA1182,2,0),"")</f>
        <v/>
      </c>
      <c r="G1104" s="19" t="str">
        <f>IFERROR(VLOOKUP(F1104,케이블트레이입.출고현황!W1107:AB1182,2,0),"")</f>
        <v/>
      </c>
      <c r="H1104" s="19" t="str">
        <f>IFERROR(VLOOKUP(G1104,케이블트레이입.출고현황!X1107:AC1182,2,0),"")</f>
        <v/>
      </c>
      <c r="I1104" s="19" t="str">
        <f>IFERROR(VLOOKUP(H1104,케이블트레이입.출고현황!Y1107:AD1182,2,0),"")</f>
        <v/>
      </c>
      <c r="J1104" s="253">
        <v>3</v>
      </c>
      <c r="K1104" s="253"/>
      <c r="L1104" s="255"/>
      <c r="M1104" s="256"/>
      <c r="N1104" s="257"/>
    </row>
    <row r="1105" spans="1:14" ht="24" customHeight="1">
      <c r="A1105" s="8">
        <v>1065</v>
      </c>
      <c r="B1105" s="9">
        <v>1065</v>
      </c>
      <c r="C1105" s="254"/>
      <c r="D1105" s="253"/>
      <c r="E1105" s="19" t="str">
        <f>IFERROR(VLOOKUP(D1105,케이블트레이입.출고현황!U1108:Z1183,2,0),"")</f>
        <v/>
      </c>
      <c r="F1105" s="19" t="str">
        <f>IFERROR(VLOOKUP(E1105,케이블트레이입.출고현황!V1108:AA1183,2,0),"")</f>
        <v/>
      </c>
      <c r="G1105" s="19" t="str">
        <f>IFERROR(VLOOKUP(F1105,케이블트레이입.출고현황!W1108:AB1183,2,0),"")</f>
        <v/>
      </c>
      <c r="H1105" s="19" t="str">
        <f>IFERROR(VLOOKUP(G1105,케이블트레이입.출고현황!X1108:AC1183,2,0),"")</f>
        <v/>
      </c>
      <c r="I1105" s="19" t="str">
        <f>IFERROR(VLOOKUP(H1105,케이블트레이입.출고현황!Y1108:AD1183,2,0),"")</f>
        <v/>
      </c>
      <c r="J1105" s="253">
        <v>1</v>
      </c>
      <c r="K1105" s="253"/>
      <c r="L1105" s="255"/>
      <c r="M1105" s="256"/>
      <c r="N1105" s="257"/>
    </row>
    <row r="1106" spans="1:14" ht="24" customHeight="1">
      <c r="A1106" s="8">
        <v>1066</v>
      </c>
      <c r="B1106" s="9">
        <v>1066</v>
      </c>
      <c r="C1106" s="254"/>
      <c r="D1106" s="253"/>
      <c r="E1106" s="19" t="str">
        <f>IFERROR(VLOOKUP(D1106,케이블트레이입.출고현황!U1109:Z1184,2,0),"")</f>
        <v/>
      </c>
      <c r="F1106" s="19" t="str">
        <f>IFERROR(VLOOKUP(E1106,케이블트레이입.출고현황!V1109:AA1184,2,0),"")</f>
        <v/>
      </c>
      <c r="G1106" s="19" t="str">
        <f>IFERROR(VLOOKUP(F1106,케이블트레이입.출고현황!W1109:AB1184,2,0),"")</f>
        <v/>
      </c>
      <c r="H1106" s="19" t="str">
        <f>IFERROR(VLOOKUP(G1106,케이블트레이입.출고현황!X1109:AC1184,2,0),"")</f>
        <v/>
      </c>
      <c r="I1106" s="19" t="str">
        <f>IFERROR(VLOOKUP(H1106,케이블트레이입.출고현황!Y1109:AD1184,2,0),"")</f>
        <v/>
      </c>
      <c r="J1106" s="253">
        <v>1</v>
      </c>
      <c r="K1106" s="253"/>
      <c r="L1106" s="255"/>
      <c r="M1106" s="256"/>
      <c r="N1106" s="257"/>
    </row>
    <row r="1107" spans="1:14" ht="24" customHeight="1">
      <c r="A1107" s="8">
        <v>1067</v>
      </c>
      <c r="B1107" s="9">
        <v>1067</v>
      </c>
      <c r="C1107" s="254"/>
      <c r="D1107" s="253"/>
      <c r="E1107" s="19" t="str">
        <f>IFERROR(VLOOKUP(D1107,케이블트레이입.출고현황!U1110:Z1185,2,0),"")</f>
        <v/>
      </c>
      <c r="F1107" s="19" t="str">
        <f>IFERROR(VLOOKUP(E1107,케이블트레이입.출고현황!V1110:AA1185,2,0),"")</f>
        <v/>
      </c>
      <c r="G1107" s="19" t="str">
        <f>IFERROR(VLOOKUP(F1107,케이블트레이입.출고현황!W1110:AB1185,2,0),"")</f>
        <v/>
      </c>
      <c r="H1107" s="19" t="str">
        <f>IFERROR(VLOOKUP(G1107,케이블트레이입.출고현황!X1110:AC1185,2,0),"")</f>
        <v/>
      </c>
      <c r="I1107" s="19" t="str">
        <f>IFERROR(VLOOKUP(H1107,케이블트레이입.출고현황!Y1110:AD1185,2,0),"")</f>
        <v/>
      </c>
      <c r="J1107" s="253">
        <v>1</v>
      </c>
      <c r="K1107" s="253"/>
      <c r="L1107" s="255"/>
      <c r="M1107" s="256"/>
      <c r="N1107" s="257"/>
    </row>
    <row r="1108" spans="1:14" ht="24" customHeight="1">
      <c r="A1108" s="8">
        <v>1068</v>
      </c>
      <c r="B1108" s="9">
        <v>1068</v>
      </c>
      <c r="C1108" s="254"/>
      <c r="D1108" s="253"/>
      <c r="E1108" s="19" t="str">
        <f>IFERROR(VLOOKUP(D1108,케이블트레이입.출고현황!U1111:Z1186,2,0),"")</f>
        <v/>
      </c>
      <c r="F1108" s="19" t="str">
        <f>IFERROR(VLOOKUP(E1108,케이블트레이입.출고현황!V1111:AA1186,2,0),"")</f>
        <v/>
      </c>
      <c r="G1108" s="19" t="str">
        <f>IFERROR(VLOOKUP(F1108,케이블트레이입.출고현황!W1111:AB1186,2,0),"")</f>
        <v/>
      </c>
      <c r="H1108" s="19" t="str">
        <f>IFERROR(VLOOKUP(G1108,케이블트레이입.출고현황!X1111:AC1186,2,0),"")</f>
        <v/>
      </c>
      <c r="I1108" s="19" t="str">
        <f>IFERROR(VLOOKUP(H1108,케이블트레이입.출고현황!Y1111:AD1186,2,0),"")</f>
        <v/>
      </c>
      <c r="J1108" s="253">
        <v>3</v>
      </c>
      <c r="K1108" s="253"/>
      <c r="L1108" s="255"/>
      <c r="M1108" s="256"/>
      <c r="N1108" s="257"/>
    </row>
    <row r="1109" spans="1:14" ht="24" customHeight="1">
      <c r="A1109" s="8">
        <v>1069</v>
      </c>
      <c r="B1109" s="9">
        <v>1069</v>
      </c>
      <c r="C1109" s="254"/>
      <c r="D1109" s="253"/>
      <c r="E1109" s="19" t="str">
        <f>IFERROR(VLOOKUP(D1109,케이블트레이입.출고현황!U1112:Z1187,2,0),"")</f>
        <v/>
      </c>
      <c r="F1109" s="19" t="str">
        <f>IFERROR(VLOOKUP(E1109,케이블트레이입.출고현황!V1112:AA1187,2,0),"")</f>
        <v/>
      </c>
      <c r="G1109" s="19" t="str">
        <f>IFERROR(VLOOKUP(F1109,케이블트레이입.출고현황!W1112:AB1187,2,0),"")</f>
        <v/>
      </c>
      <c r="H1109" s="19" t="str">
        <f>IFERROR(VLOOKUP(G1109,케이블트레이입.출고현황!X1112:AC1187,2,0),"")</f>
        <v/>
      </c>
      <c r="I1109" s="19" t="str">
        <f>IFERROR(VLOOKUP(H1109,케이블트레이입.출고현황!Y1112:AD1187,2,0),"")</f>
        <v/>
      </c>
      <c r="J1109" s="253">
        <v>2</v>
      </c>
      <c r="K1109" s="253"/>
      <c r="L1109" s="255"/>
      <c r="M1109" s="256"/>
      <c r="N1109" s="257"/>
    </row>
    <row r="1110" spans="1:14" ht="24" customHeight="1">
      <c r="A1110" s="8">
        <v>1070</v>
      </c>
      <c r="B1110" s="9">
        <v>1070</v>
      </c>
      <c r="C1110" s="254"/>
      <c r="D1110" s="253"/>
      <c r="E1110" s="19" t="str">
        <f>IFERROR(VLOOKUP(D1110,케이블트레이입.출고현황!U1113:Z1188,2,0),"")</f>
        <v/>
      </c>
      <c r="F1110" s="19" t="str">
        <f>IFERROR(VLOOKUP(E1110,케이블트레이입.출고현황!V1113:AA1188,2,0),"")</f>
        <v/>
      </c>
      <c r="G1110" s="19" t="str">
        <f>IFERROR(VLOOKUP(F1110,케이블트레이입.출고현황!W1113:AB1188,2,0),"")</f>
        <v/>
      </c>
      <c r="H1110" s="19" t="str">
        <f>IFERROR(VLOOKUP(G1110,케이블트레이입.출고현황!X1113:AC1188,2,0),"")</f>
        <v/>
      </c>
      <c r="I1110" s="19" t="str">
        <f>IFERROR(VLOOKUP(H1110,케이블트레이입.출고현황!Y1113:AD1188,2,0),"")</f>
        <v/>
      </c>
      <c r="J1110" s="253">
        <v>1</v>
      </c>
      <c r="K1110" s="253"/>
      <c r="L1110" s="255"/>
      <c r="M1110" s="256"/>
      <c r="N1110" s="257"/>
    </row>
    <row r="1111" spans="1:14" ht="24" customHeight="1">
      <c r="A1111" s="8">
        <v>1071</v>
      </c>
      <c r="B1111" s="9">
        <v>1071</v>
      </c>
      <c r="C1111" s="254"/>
      <c r="D1111" s="253"/>
      <c r="E1111" s="19" t="str">
        <f>IFERROR(VLOOKUP(D1111,케이블트레이입.출고현황!U1114:Z1189,2,0),"")</f>
        <v/>
      </c>
      <c r="F1111" s="19" t="str">
        <f>IFERROR(VLOOKUP(E1111,케이블트레이입.출고현황!V1114:AA1189,2,0),"")</f>
        <v/>
      </c>
      <c r="G1111" s="19" t="str">
        <f>IFERROR(VLOOKUP(F1111,케이블트레이입.출고현황!W1114:AB1189,2,0),"")</f>
        <v/>
      </c>
      <c r="H1111" s="19" t="str">
        <f>IFERROR(VLOOKUP(G1111,케이블트레이입.출고현황!X1114:AC1189,2,0),"")</f>
        <v/>
      </c>
      <c r="I1111" s="19" t="str">
        <f>IFERROR(VLOOKUP(H1111,케이블트레이입.출고현황!Y1114:AD1189,2,0),"")</f>
        <v/>
      </c>
      <c r="J1111" s="253">
        <v>2</v>
      </c>
      <c r="K1111" s="253"/>
      <c r="L1111" s="255"/>
      <c r="M1111" s="256"/>
      <c r="N1111" s="257"/>
    </row>
    <row r="1112" spans="1:14" ht="24" customHeight="1">
      <c r="A1112" s="8">
        <v>1072</v>
      </c>
      <c r="B1112" s="9">
        <v>1072</v>
      </c>
      <c r="C1112" s="254"/>
      <c r="D1112" s="253"/>
      <c r="E1112" s="19" t="str">
        <f>IFERROR(VLOOKUP(D1112,케이블트레이입.출고현황!U1115:Z1190,2,0),"")</f>
        <v/>
      </c>
      <c r="F1112" s="19" t="str">
        <f>IFERROR(VLOOKUP(E1112,케이블트레이입.출고현황!V1115:AA1190,2,0),"")</f>
        <v/>
      </c>
      <c r="G1112" s="19" t="str">
        <f>IFERROR(VLOOKUP(F1112,케이블트레이입.출고현황!W1115:AB1190,2,0),"")</f>
        <v/>
      </c>
      <c r="H1112" s="19" t="str">
        <f>IFERROR(VLOOKUP(G1112,케이블트레이입.출고현황!X1115:AC1190,2,0),"")</f>
        <v/>
      </c>
      <c r="I1112" s="19" t="str">
        <f>IFERROR(VLOOKUP(H1112,케이블트레이입.출고현황!Y1115:AD1190,2,0),"")</f>
        <v/>
      </c>
      <c r="J1112" s="253">
        <v>4</v>
      </c>
      <c r="K1112" s="253"/>
      <c r="L1112" s="255"/>
      <c r="M1112" s="256"/>
      <c r="N1112" s="257"/>
    </row>
    <row r="1113" spans="1:14" ht="24" customHeight="1">
      <c r="A1113" s="8">
        <v>1073</v>
      </c>
      <c r="B1113" s="9">
        <v>1073</v>
      </c>
      <c r="C1113" s="254"/>
      <c r="D1113" s="253"/>
      <c r="E1113" s="19" t="str">
        <f>IFERROR(VLOOKUP(D1113,케이블트레이입.출고현황!U1116:Z1191,2,0),"")</f>
        <v/>
      </c>
      <c r="F1113" s="19" t="str">
        <f>IFERROR(VLOOKUP(E1113,케이블트레이입.출고현황!V1116:AA1191,2,0),"")</f>
        <v/>
      </c>
      <c r="G1113" s="19" t="str">
        <f>IFERROR(VLOOKUP(F1113,케이블트레이입.출고현황!W1116:AB1191,2,0),"")</f>
        <v/>
      </c>
      <c r="H1113" s="19" t="str">
        <f>IFERROR(VLOOKUP(G1113,케이블트레이입.출고현황!X1116:AC1191,2,0),"")</f>
        <v/>
      </c>
      <c r="I1113" s="19" t="str">
        <f>IFERROR(VLOOKUP(H1113,케이블트레이입.출고현황!Y1116:AD1191,2,0),"")</f>
        <v/>
      </c>
      <c r="J1113" s="253">
        <v>2</v>
      </c>
      <c r="K1113" s="253"/>
      <c r="L1113" s="255"/>
      <c r="M1113" s="256"/>
      <c r="N1113" s="257"/>
    </row>
    <row r="1114" spans="1:14" ht="24" customHeight="1">
      <c r="A1114" s="8">
        <v>1074</v>
      </c>
      <c r="B1114" s="9">
        <v>1074</v>
      </c>
      <c r="C1114" s="254"/>
      <c r="D1114" s="253"/>
      <c r="E1114" s="19" t="str">
        <f>IFERROR(VLOOKUP(D1114,케이블트레이입.출고현황!U1117:Z1192,2,0),"")</f>
        <v/>
      </c>
      <c r="F1114" s="19" t="str">
        <f>IFERROR(VLOOKUP(E1114,케이블트레이입.출고현황!V1117:AA1192,2,0),"")</f>
        <v/>
      </c>
      <c r="G1114" s="19" t="str">
        <f>IFERROR(VLOOKUP(F1114,케이블트레이입.출고현황!W1117:AB1192,2,0),"")</f>
        <v/>
      </c>
      <c r="H1114" s="19" t="str">
        <f>IFERROR(VLOOKUP(G1114,케이블트레이입.출고현황!X1117:AC1192,2,0),"")</f>
        <v/>
      </c>
      <c r="I1114" s="19" t="str">
        <f>IFERROR(VLOOKUP(H1114,케이블트레이입.출고현황!Y1117:AD1192,2,0),"")</f>
        <v/>
      </c>
      <c r="J1114" s="253">
        <v>3</v>
      </c>
      <c r="K1114" s="253"/>
      <c r="L1114" s="255"/>
      <c r="M1114" s="256"/>
      <c r="N1114" s="257"/>
    </row>
    <row r="1115" spans="1:14" ht="24" customHeight="1">
      <c r="A1115" s="8">
        <v>1075</v>
      </c>
      <c r="B1115" s="9">
        <v>1075</v>
      </c>
      <c r="C1115" s="254"/>
      <c r="D1115" s="253"/>
      <c r="E1115" s="19" t="str">
        <f>IFERROR(VLOOKUP(D1115,케이블트레이입.출고현황!U1118:Z1193,2,0),"")</f>
        <v/>
      </c>
      <c r="F1115" s="19" t="str">
        <f>IFERROR(VLOOKUP(E1115,케이블트레이입.출고현황!V1118:AA1193,2,0),"")</f>
        <v/>
      </c>
      <c r="G1115" s="19" t="str">
        <f>IFERROR(VLOOKUP(F1115,케이블트레이입.출고현황!W1118:AB1193,2,0),"")</f>
        <v/>
      </c>
      <c r="H1115" s="19" t="str">
        <f>IFERROR(VLOOKUP(G1115,케이블트레이입.출고현황!X1118:AC1193,2,0),"")</f>
        <v/>
      </c>
      <c r="I1115" s="19" t="str">
        <f>IFERROR(VLOOKUP(H1115,케이블트레이입.출고현황!Y1118:AD1193,2,0),"")</f>
        <v/>
      </c>
      <c r="J1115" s="253">
        <v>1</v>
      </c>
      <c r="K1115" s="253"/>
      <c r="L1115" s="255"/>
      <c r="M1115" s="256"/>
      <c r="N1115" s="257"/>
    </row>
    <row r="1116" spans="1:14" ht="24" customHeight="1">
      <c r="A1116" s="8">
        <v>1076</v>
      </c>
      <c r="B1116" s="9">
        <v>1076</v>
      </c>
      <c r="C1116" s="254"/>
      <c r="D1116" s="253"/>
      <c r="E1116" s="19" t="str">
        <f>IFERROR(VLOOKUP(D1116,케이블트레이입.출고현황!U1119:Z1194,2,0),"")</f>
        <v/>
      </c>
      <c r="F1116" s="19" t="str">
        <f>IFERROR(VLOOKUP(E1116,케이블트레이입.출고현황!V1119:AA1194,2,0),"")</f>
        <v/>
      </c>
      <c r="G1116" s="19" t="str">
        <f>IFERROR(VLOOKUP(F1116,케이블트레이입.출고현황!W1119:AB1194,2,0),"")</f>
        <v/>
      </c>
      <c r="H1116" s="19" t="str">
        <f>IFERROR(VLOOKUP(G1116,케이블트레이입.출고현황!X1119:AC1194,2,0),"")</f>
        <v/>
      </c>
      <c r="I1116" s="19" t="str">
        <f>IFERROR(VLOOKUP(H1116,케이블트레이입.출고현황!Y1119:AD1194,2,0),"")</f>
        <v/>
      </c>
      <c r="J1116" s="253">
        <v>1</v>
      </c>
      <c r="K1116" s="253"/>
      <c r="L1116" s="255"/>
      <c r="M1116" s="256"/>
      <c r="N1116" s="257"/>
    </row>
    <row r="1117" spans="1:14" ht="24" customHeight="1">
      <c r="A1117" s="8">
        <v>1077</v>
      </c>
      <c r="B1117" s="9">
        <v>1077</v>
      </c>
      <c r="C1117" s="254"/>
      <c r="D1117" s="253"/>
      <c r="E1117" s="19" t="str">
        <f>IFERROR(VLOOKUP(D1117,케이블트레이입.출고현황!U1120:Z1195,2,0),"")</f>
        <v/>
      </c>
      <c r="F1117" s="19" t="str">
        <f>IFERROR(VLOOKUP(E1117,케이블트레이입.출고현황!V1120:AA1195,2,0),"")</f>
        <v/>
      </c>
      <c r="G1117" s="19" t="str">
        <f>IFERROR(VLOOKUP(F1117,케이블트레이입.출고현황!W1120:AB1195,2,0),"")</f>
        <v/>
      </c>
      <c r="H1117" s="19" t="str">
        <f>IFERROR(VLOOKUP(G1117,케이블트레이입.출고현황!X1120:AC1195,2,0),"")</f>
        <v/>
      </c>
      <c r="I1117" s="19" t="str">
        <f>IFERROR(VLOOKUP(H1117,케이블트레이입.출고현황!Y1120:AD1195,2,0),"")</f>
        <v/>
      </c>
      <c r="J1117" s="253">
        <v>2</v>
      </c>
      <c r="K1117" s="253"/>
      <c r="L1117" s="255"/>
      <c r="M1117" s="256"/>
      <c r="N1117" s="257"/>
    </row>
    <row r="1118" spans="1:14" ht="24" customHeight="1">
      <c r="A1118" s="8">
        <v>1078</v>
      </c>
      <c r="B1118" s="9">
        <v>1078</v>
      </c>
      <c r="C1118" s="254"/>
      <c r="D1118" s="253"/>
      <c r="E1118" s="19" t="str">
        <f>IFERROR(VLOOKUP(D1118,케이블트레이입.출고현황!U1121:Z1196,2,0),"")</f>
        <v/>
      </c>
      <c r="F1118" s="19" t="str">
        <f>IFERROR(VLOOKUP(E1118,케이블트레이입.출고현황!V1121:AA1196,2,0),"")</f>
        <v/>
      </c>
      <c r="G1118" s="19" t="str">
        <f>IFERROR(VLOOKUP(F1118,케이블트레이입.출고현황!W1121:AB1196,2,0),"")</f>
        <v/>
      </c>
      <c r="H1118" s="19" t="str">
        <f>IFERROR(VLOOKUP(G1118,케이블트레이입.출고현황!X1121:AC1196,2,0),"")</f>
        <v/>
      </c>
      <c r="I1118" s="19" t="str">
        <f>IFERROR(VLOOKUP(H1118,케이블트레이입.출고현황!Y1121:AD1196,2,0),"")</f>
        <v/>
      </c>
      <c r="J1118" s="253">
        <v>4</v>
      </c>
      <c r="K1118" s="253"/>
      <c r="L1118" s="255"/>
      <c r="M1118" s="256"/>
      <c r="N1118" s="257"/>
    </row>
    <row r="1119" spans="1:14" ht="24" customHeight="1">
      <c r="A1119" s="8">
        <v>1079</v>
      </c>
      <c r="B1119" s="9">
        <v>1079</v>
      </c>
      <c r="C1119" s="254"/>
      <c r="D1119" s="253"/>
      <c r="E1119" s="19" t="str">
        <f>IFERROR(VLOOKUP(D1119,케이블트레이입.출고현황!U1122:Z1197,2,0),"")</f>
        <v/>
      </c>
      <c r="F1119" s="19" t="str">
        <f>IFERROR(VLOOKUP(E1119,케이블트레이입.출고현황!V1122:AA1197,2,0),"")</f>
        <v/>
      </c>
      <c r="G1119" s="19" t="str">
        <f>IFERROR(VLOOKUP(F1119,케이블트레이입.출고현황!W1122:AB1197,2,0),"")</f>
        <v/>
      </c>
      <c r="H1119" s="19" t="str">
        <f>IFERROR(VLOOKUP(G1119,케이블트레이입.출고현황!X1122:AC1197,2,0),"")</f>
        <v/>
      </c>
      <c r="I1119" s="19" t="str">
        <f>IFERROR(VLOOKUP(H1119,케이블트레이입.출고현황!Y1122:AD1197,2,0),"")</f>
        <v/>
      </c>
      <c r="J1119" s="253">
        <v>2</v>
      </c>
      <c r="K1119" s="253"/>
      <c r="L1119" s="255"/>
      <c r="M1119" s="256"/>
      <c r="N1119" s="257"/>
    </row>
    <row r="1120" spans="1:14" ht="24" customHeight="1">
      <c r="A1120" s="8">
        <v>1080</v>
      </c>
      <c r="B1120" s="9">
        <v>1080</v>
      </c>
      <c r="C1120" s="254"/>
      <c r="D1120" s="253"/>
      <c r="E1120" s="19" t="str">
        <f>IFERROR(VLOOKUP(D1120,케이블트레이입.출고현황!U1123:Z1198,2,0),"")</f>
        <v/>
      </c>
      <c r="F1120" s="19" t="str">
        <f>IFERROR(VLOOKUP(E1120,케이블트레이입.출고현황!V1123:AA1198,2,0),"")</f>
        <v/>
      </c>
      <c r="G1120" s="19" t="str">
        <f>IFERROR(VLOOKUP(F1120,케이블트레이입.출고현황!W1123:AB1198,2,0),"")</f>
        <v/>
      </c>
      <c r="H1120" s="19" t="str">
        <f>IFERROR(VLOOKUP(G1120,케이블트레이입.출고현황!X1123:AC1198,2,0),"")</f>
        <v/>
      </c>
      <c r="I1120" s="19" t="str">
        <f>IFERROR(VLOOKUP(H1120,케이블트레이입.출고현황!Y1123:AD1198,2,0),"")</f>
        <v/>
      </c>
      <c r="J1120" s="253">
        <v>1</v>
      </c>
      <c r="K1120" s="253"/>
      <c r="L1120" s="255"/>
      <c r="M1120" s="256"/>
      <c r="N1120" s="257"/>
    </row>
    <row r="1121" spans="1:14" ht="24" customHeight="1">
      <c r="A1121" s="8">
        <v>1081</v>
      </c>
      <c r="B1121" s="9">
        <v>1081</v>
      </c>
      <c r="C1121" s="254"/>
      <c r="D1121" s="253"/>
      <c r="E1121" s="19" t="str">
        <f>IFERROR(VLOOKUP(D1121,케이블트레이입.출고현황!U1124:Z1199,2,0),"")</f>
        <v/>
      </c>
      <c r="F1121" s="19" t="str">
        <f>IFERROR(VLOOKUP(E1121,케이블트레이입.출고현황!V1124:AA1199,2,0),"")</f>
        <v/>
      </c>
      <c r="G1121" s="19" t="str">
        <f>IFERROR(VLOOKUP(F1121,케이블트레이입.출고현황!W1124:AB1199,2,0),"")</f>
        <v/>
      </c>
      <c r="H1121" s="19" t="str">
        <f>IFERROR(VLOOKUP(G1121,케이블트레이입.출고현황!X1124:AC1199,2,0),"")</f>
        <v/>
      </c>
      <c r="I1121" s="19" t="str">
        <f>IFERROR(VLOOKUP(H1121,케이블트레이입.출고현황!Y1124:AD1199,2,0),"")</f>
        <v/>
      </c>
      <c r="J1121" s="253">
        <v>2</v>
      </c>
      <c r="K1121" s="253"/>
      <c r="L1121" s="255"/>
      <c r="M1121" s="256"/>
      <c r="N1121" s="257"/>
    </row>
    <row r="1122" spans="1:14" ht="24" customHeight="1">
      <c r="A1122" s="8">
        <v>1082</v>
      </c>
      <c r="B1122" s="9">
        <v>1082</v>
      </c>
      <c r="C1122" s="254"/>
      <c r="D1122" s="253"/>
      <c r="E1122" s="19" t="str">
        <f>IFERROR(VLOOKUP(D1122,케이블트레이입.출고현황!U1125:Z1200,2,0),"")</f>
        <v/>
      </c>
      <c r="F1122" s="19" t="str">
        <f>IFERROR(VLOOKUP(E1122,케이블트레이입.출고현황!V1125:AA1200,2,0),"")</f>
        <v/>
      </c>
      <c r="G1122" s="19" t="str">
        <f>IFERROR(VLOOKUP(F1122,케이블트레이입.출고현황!W1125:AB1200,2,0),"")</f>
        <v/>
      </c>
      <c r="H1122" s="19" t="str">
        <f>IFERROR(VLOOKUP(G1122,케이블트레이입.출고현황!X1125:AC1200,2,0),"")</f>
        <v/>
      </c>
      <c r="I1122" s="19" t="str">
        <f>IFERROR(VLOOKUP(H1122,케이블트레이입.출고현황!Y1125:AD1200,2,0),"")</f>
        <v/>
      </c>
      <c r="J1122" s="253" t="s">
        <v>634</v>
      </c>
      <c r="K1122" s="253"/>
      <c r="L1122" s="255"/>
      <c r="M1122" s="256"/>
      <c r="N1122" s="257"/>
    </row>
    <row r="1123" spans="1:14" ht="24" customHeight="1">
      <c r="A1123" s="8">
        <v>1083</v>
      </c>
      <c r="B1123" s="9">
        <v>1083</v>
      </c>
      <c r="C1123" s="46"/>
      <c r="D1123" s="9"/>
      <c r="E1123" s="19" t="str">
        <f>IFERROR(VLOOKUP(D1123,케이블트레이입.출고현황!U1126:Z1201,2,0),"")</f>
        <v/>
      </c>
      <c r="F1123" s="19" t="str">
        <f>IFERROR(VLOOKUP(E1123,케이블트레이입.출고현황!V1126:AA1201,2,0),"")</f>
        <v/>
      </c>
      <c r="G1123" s="19" t="str">
        <f>IFERROR(VLOOKUP(F1123,케이블트레이입.출고현황!W1126:AB1201,2,0),"")</f>
        <v/>
      </c>
      <c r="H1123" s="19" t="str">
        <f>IFERROR(VLOOKUP(G1123,케이블트레이입.출고현황!X1126:AC1201,2,0),"")</f>
        <v/>
      </c>
      <c r="I1123" s="19" t="str">
        <f>IFERROR(VLOOKUP(H1123,케이블트레이입.출고현황!Y1126:AD1201,2,0),"")</f>
        <v/>
      </c>
      <c r="J1123" s="9">
        <v>2</v>
      </c>
      <c r="K1123" s="9"/>
      <c r="L1123" s="37"/>
      <c r="M1123" s="64"/>
      <c r="N1123" s="42"/>
    </row>
    <row r="1124" spans="1:14" ht="24" customHeight="1">
      <c r="A1124" s="8">
        <v>1084</v>
      </c>
      <c r="B1124" s="9">
        <v>1084</v>
      </c>
      <c r="C1124" s="46"/>
      <c r="D1124" s="9"/>
      <c r="E1124" s="19" t="str">
        <f>IFERROR(VLOOKUP(D1124,케이블트레이입.출고현황!U1127:Z1202,2,0),"")</f>
        <v/>
      </c>
      <c r="F1124" s="19" t="str">
        <f>IFERROR(VLOOKUP(E1124,케이블트레이입.출고현황!V1127:AA1202,2,0),"")</f>
        <v/>
      </c>
      <c r="G1124" s="19" t="str">
        <f>IFERROR(VLOOKUP(F1124,케이블트레이입.출고현황!W1127:AB1202,2,0),"")</f>
        <v/>
      </c>
      <c r="H1124" s="19" t="str">
        <f>IFERROR(VLOOKUP(G1124,케이블트레이입.출고현황!X1127:AC1202,2,0),"")</f>
        <v/>
      </c>
      <c r="I1124" s="19" t="str">
        <f>IFERROR(VLOOKUP(H1124,케이블트레이입.출고현황!Y1127:AD1202,2,0),"")</f>
        <v/>
      </c>
      <c r="J1124" s="9">
        <v>1</v>
      </c>
      <c r="K1124" s="9"/>
      <c r="L1124" s="37"/>
      <c r="M1124" s="64"/>
      <c r="N1124" s="42"/>
    </row>
    <row r="1125" spans="1:14" ht="24" customHeight="1">
      <c r="A1125" s="8">
        <v>1085</v>
      </c>
      <c r="B1125" s="9">
        <v>1085</v>
      </c>
      <c r="C1125" s="46"/>
      <c r="D1125" s="9"/>
      <c r="E1125" s="19" t="str">
        <f>IFERROR(VLOOKUP(D1125,케이블트레이입.출고현황!U1128:Z1203,2,0),"")</f>
        <v/>
      </c>
      <c r="F1125" s="19" t="str">
        <f>IFERROR(VLOOKUP(E1125,케이블트레이입.출고현황!V1128:AA1203,2,0),"")</f>
        <v/>
      </c>
      <c r="G1125" s="19" t="str">
        <f>IFERROR(VLOOKUP(F1125,케이블트레이입.출고현황!W1128:AB1203,2,0),"")</f>
        <v/>
      </c>
      <c r="H1125" s="19" t="str">
        <f>IFERROR(VLOOKUP(G1125,케이블트레이입.출고현황!X1128:AC1203,2,0),"")</f>
        <v/>
      </c>
      <c r="I1125" s="19" t="str">
        <f>IFERROR(VLOOKUP(H1125,케이블트레이입.출고현황!Y1128:AD1203,2,0),"")</f>
        <v/>
      </c>
      <c r="J1125" s="9">
        <v>1</v>
      </c>
      <c r="K1125" s="9"/>
      <c r="L1125" s="37"/>
      <c r="M1125" s="64"/>
      <c r="N1125" s="42"/>
    </row>
    <row r="1126" spans="1:14" ht="24" customHeight="1">
      <c r="A1126" s="8">
        <v>1086</v>
      </c>
      <c r="B1126" s="9">
        <v>1086</v>
      </c>
      <c r="C1126" s="46"/>
      <c r="D1126" s="9"/>
      <c r="E1126" s="19" t="str">
        <f>IFERROR(VLOOKUP(D1126,케이블트레이입.출고현황!U1129:Z1204,2,0),"")</f>
        <v/>
      </c>
      <c r="F1126" s="19" t="str">
        <f>IFERROR(VLOOKUP(E1126,케이블트레이입.출고현황!V1129:AA1204,2,0),"")</f>
        <v/>
      </c>
      <c r="G1126" s="19" t="str">
        <f>IFERROR(VLOOKUP(F1126,케이블트레이입.출고현황!W1129:AB1204,2,0),"")</f>
        <v/>
      </c>
      <c r="H1126" s="19" t="str">
        <f>IFERROR(VLOOKUP(G1126,케이블트레이입.출고현황!X1129:AC1204,2,0),"")</f>
        <v/>
      </c>
      <c r="I1126" s="19" t="str">
        <f>IFERROR(VLOOKUP(H1126,케이블트레이입.출고현황!Y1129:AD1204,2,0),"")</f>
        <v/>
      </c>
      <c r="J1126" s="9">
        <v>2</v>
      </c>
      <c r="K1126" s="9"/>
      <c r="L1126" s="37"/>
      <c r="M1126" s="64"/>
      <c r="N1126" s="42"/>
    </row>
    <row r="1127" spans="1:14" ht="24" customHeight="1">
      <c r="A1127" s="8">
        <v>1087</v>
      </c>
      <c r="B1127" s="9">
        <v>1087</v>
      </c>
      <c r="C1127" s="46"/>
      <c r="D1127" s="9"/>
      <c r="E1127" s="19" t="str">
        <f>IFERROR(VLOOKUP(D1127,케이블트레이입.출고현황!U1130:Z1205,2,0),"")</f>
        <v/>
      </c>
      <c r="F1127" s="19" t="str">
        <f>IFERROR(VLOOKUP(E1127,케이블트레이입.출고현황!V1130:AA1205,2,0),"")</f>
        <v/>
      </c>
      <c r="G1127" s="19" t="str">
        <f>IFERROR(VLOOKUP(F1127,케이블트레이입.출고현황!W1130:AB1205,2,0),"")</f>
        <v/>
      </c>
      <c r="H1127" s="19" t="str">
        <f>IFERROR(VLOOKUP(G1127,케이블트레이입.출고현황!X1130:AC1205,2,0),"")</f>
        <v/>
      </c>
      <c r="I1127" s="19" t="str">
        <f>IFERROR(VLOOKUP(H1127,케이블트레이입.출고현황!Y1130:AD1205,2,0),"")</f>
        <v/>
      </c>
      <c r="J1127" s="9">
        <v>1</v>
      </c>
      <c r="K1127" s="9"/>
      <c r="L1127" s="37"/>
      <c r="M1127" s="64"/>
      <c r="N1127" s="42"/>
    </row>
    <row r="1128" spans="1:14" ht="24" customHeight="1">
      <c r="A1128" s="8">
        <v>1088</v>
      </c>
      <c r="B1128" s="9">
        <v>1088</v>
      </c>
      <c r="C1128" s="46"/>
      <c r="D1128" s="9"/>
      <c r="E1128" s="19" t="str">
        <f>IFERROR(VLOOKUP(D1128,케이블트레이입.출고현황!U1131:Z1206,2,0),"")</f>
        <v/>
      </c>
      <c r="F1128" s="19" t="str">
        <f>IFERROR(VLOOKUP(E1128,케이블트레이입.출고현황!V1131:AA1206,2,0),"")</f>
        <v/>
      </c>
      <c r="G1128" s="19" t="str">
        <f>IFERROR(VLOOKUP(F1128,케이블트레이입.출고현황!W1131:AB1206,2,0),"")</f>
        <v/>
      </c>
      <c r="H1128" s="19" t="str">
        <f>IFERROR(VLOOKUP(G1128,케이블트레이입.출고현황!X1131:AC1206,2,0),"")</f>
        <v/>
      </c>
      <c r="I1128" s="19" t="str">
        <f>IFERROR(VLOOKUP(H1128,케이블트레이입.출고현황!Y1131:AD1206,2,0),"")</f>
        <v/>
      </c>
      <c r="J1128" s="9">
        <v>1</v>
      </c>
      <c r="K1128" s="9"/>
      <c r="L1128" s="37"/>
      <c r="M1128" s="64"/>
      <c r="N1128" s="42"/>
    </row>
    <row r="1129" spans="1:14" ht="24" customHeight="1">
      <c r="A1129" s="8">
        <v>1089</v>
      </c>
      <c r="B1129" s="9">
        <v>1089</v>
      </c>
      <c r="C1129" s="46"/>
      <c r="D1129" s="9"/>
      <c r="E1129" s="19" t="str">
        <f>IFERROR(VLOOKUP(D1129,케이블트레이입.출고현황!U1132:Z1207,2,0),"")</f>
        <v/>
      </c>
      <c r="F1129" s="19" t="str">
        <f>IFERROR(VLOOKUP(E1129,케이블트레이입.출고현황!V1132:AA1207,2,0),"")</f>
        <v/>
      </c>
      <c r="G1129" s="19" t="str">
        <f>IFERROR(VLOOKUP(F1129,케이블트레이입.출고현황!W1132:AB1207,2,0),"")</f>
        <v/>
      </c>
      <c r="H1129" s="19" t="str">
        <f>IFERROR(VLOOKUP(G1129,케이블트레이입.출고현황!X1132:AC1207,2,0),"")</f>
        <v/>
      </c>
      <c r="I1129" s="19" t="str">
        <f>IFERROR(VLOOKUP(H1129,케이블트레이입.출고현황!Y1132:AD1207,2,0),"")</f>
        <v/>
      </c>
      <c r="J1129" s="9">
        <v>1</v>
      </c>
      <c r="K1129" s="9"/>
      <c r="L1129" s="37"/>
      <c r="M1129" s="64"/>
      <c r="N1129" s="42"/>
    </row>
    <row r="1130" spans="1:14" ht="24" customHeight="1">
      <c r="A1130" s="8">
        <v>1090</v>
      </c>
      <c r="B1130" s="9">
        <v>1090</v>
      </c>
      <c r="C1130" s="46"/>
      <c r="D1130" s="9"/>
      <c r="E1130" s="19" t="str">
        <f>IFERROR(VLOOKUP(D1130,케이블트레이입.출고현황!U1133:Z1208,2,0),"")</f>
        <v/>
      </c>
      <c r="F1130" s="19" t="str">
        <f>IFERROR(VLOOKUP(E1130,케이블트레이입.출고현황!V1133:AA1208,2,0),"")</f>
        <v/>
      </c>
      <c r="G1130" s="19" t="str">
        <f>IFERROR(VLOOKUP(F1130,케이블트레이입.출고현황!W1133:AB1208,2,0),"")</f>
        <v/>
      </c>
      <c r="H1130" s="19" t="str">
        <f>IFERROR(VLOOKUP(G1130,케이블트레이입.출고현황!X1133:AC1208,2,0),"")</f>
        <v/>
      </c>
      <c r="I1130" s="19" t="str">
        <f>IFERROR(VLOOKUP(H1130,케이블트레이입.출고현황!Y1133:AD1208,2,0),"")</f>
        <v/>
      </c>
      <c r="J1130" s="9">
        <v>2</v>
      </c>
      <c r="K1130" s="9"/>
      <c r="L1130" s="37"/>
      <c r="M1130" s="64"/>
      <c r="N1130" s="42"/>
    </row>
    <row r="1131" spans="1:14" ht="24" customHeight="1">
      <c r="A1131" s="8">
        <v>1091</v>
      </c>
      <c r="B1131" s="9">
        <v>1091</v>
      </c>
      <c r="C1131" s="46"/>
      <c r="D1131" s="9"/>
      <c r="E1131" s="19" t="str">
        <f>IFERROR(VLOOKUP(D1131,케이블트레이입.출고현황!U1134:Z1209,2,0),"")</f>
        <v/>
      </c>
      <c r="F1131" s="19" t="str">
        <f>IFERROR(VLOOKUP(E1131,케이블트레이입.출고현황!V1134:AA1209,2,0),"")</f>
        <v/>
      </c>
      <c r="G1131" s="19" t="str">
        <f>IFERROR(VLOOKUP(F1131,케이블트레이입.출고현황!W1134:AB1209,2,0),"")</f>
        <v/>
      </c>
      <c r="H1131" s="19" t="str">
        <f>IFERROR(VLOOKUP(G1131,케이블트레이입.출고현황!X1134:AC1209,2,0),"")</f>
        <v/>
      </c>
      <c r="I1131" s="19" t="str">
        <f>IFERROR(VLOOKUP(H1131,케이블트레이입.출고현황!Y1134:AD1209,2,0),"")</f>
        <v/>
      </c>
      <c r="J1131" s="9">
        <v>1</v>
      </c>
      <c r="K1131" s="9"/>
      <c r="L1131" s="37"/>
      <c r="M1131" s="64"/>
      <c r="N1131" s="42"/>
    </row>
    <row r="1132" spans="1:14" ht="24" customHeight="1">
      <c r="A1132" s="8">
        <v>1092</v>
      </c>
      <c r="B1132" s="9">
        <v>1092</v>
      </c>
      <c r="C1132" s="46"/>
      <c r="D1132" s="9"/>
      <c r="E1132" s="19" t="str">
        <f>IFERROR(VLOOKUP(D1132,케이블트레이입.출고현황!U1135:Z1210,2,0),"")</f>
        <v/>
      </c>
      <c r="F1132" s="19" t="str">
        <f>IFERROR(VLOOKUP(E1132,케이블트레이입.출고현황!V1135:AA1210,2,0),"")</f>
        <v/>
      </c>
      <c r="G1132" s="19" t="str">
        <f>IFERROR(VLOOKUP(F1132,케이블트레이입.출고현황!W1135:AB1210,2,0),"")</f>
        <v/>
      </c>
      <c r="H1132" s="19" t="str">
        <f>IFERROR(VLOOKUP(G1132,케이블트레이입.출고현황!X1135:AC1210,2,0),"")</f>
        <v/>
      </c>
      <c r="I1132" s="19" t="str">
        <f>IFERROR(VLOOKUP(H1132,케이블트레이입.출고현황!Y1135:AD1210,2,0),"")</f>
        <v/>
      </c>
      <c r="J1132" s="9">
        <v>1</v>
      </c>
      <c r="K1132" s="9"/>
      <c r="L1132" s="37"/>
      <c r="M1132" s="64"/>
      <c r="N1132" s="42"/>
    </row>
    <row r="1133" spans="1:14" ht="24" customHeight="1">
      <c r="A1133" s="8">
        <v>1093</v>
      </c>
      <c r="B1133" s="9">
        <v>1093</v>
      </c>
      <c r="C1133" s="46"/>
      <c r="D1133" s="9"/>
      <c r="E1133" s="19" t="str">
        <f>IFERROR(VLOOKUP(D1133,케이블트레이입.출고현황!U1136:Z1211,2,0),"")</f>
        <v/>
      </c>
      <c r="F1133" s="19" t="str">
        <f>IFERROR(VLOOKUP(E1133,케이블트레이입.출고현황!V1136:AA1211,2,0),"")</f>
        <v/>
      </c>
      <c r="G1133" s="19" t="str">
        <f>IFERROR(VLOOKUP(F1133,케이블트레이입.출고현황!W1136:AB1211,2,0),"")</f>
        <v/>
      </c>
      <c r="H1133" s="19" t="str">
        <f>IFERROR(VLOOKUP(G1133,케이블트레이입.출고현황!X1136:AC1211,2,0),"")</f>
        <v/>
      </c>
      <c r="I1133" s="19" t="str">
        <f>IFERROR(VLOOKUP(H1133,케이블트레이입.출고현황!Y1136:AD1211,2,0),"")</f>
        <v/>
      </c>
      <c r="J1133" s="9">
        <v>1</v>
      </c>
      <c r="K1133" s="9"/>
      <c r="L1133" s="37"/>
      <c r="M1133" s="64"/>
      <c r="N1133" s="42"/>
    </row>
    <row r="1134" spans="1:14" ht="24" customHeight="1">
      <c r="A1134" s="8">
        <v>1094</v>
      </c>
      <c r="B1134" s="9">
        <v>1094</v>
      </c>
      <c r="C1134" s="46"/>
      <c r="D1134" s="9"/>
      <c r="E1134" s="19" t="str">
        <f>IFERROR(VLOOKUP(D1134,케이블트레이입.출고현황!U1137:Z1212,2,0),"")</f>
        <v/>
      </c>
      <c r="F1134" s="19" t="str">
        <f>IFERROR(VLOOKUP(E1134,케이블트레이입.출고현황!V1137:AA1212,2,0),"")</f>
        <v/>
      </c>
      <c r="G1134" s="19" t="str">
        <f>IFERROR(VLOOKUP(F1134,케이블트레이입.출고현황!W1137:AB1212,2,0),"")</f>
        <v/>
      </c>
      <c r="H1134" s="19" t="str">
        <f>IFERROR(VLOOKUP(G1134,케이블트레이입.출고현황!X1137:AC1212,2,0),"")</f>
        <v/>
      </c>
      <c r="I1134" s="19" t="str">
        <f>IFERROR(VLOOKUP(H1134,케이블트레이입.출고현황!Y1137:AD1212,2,0),"")</f>
        <v/>
      </c>
      <c r="J1134" s="9">
        <v>2</v>
      </c>
      <c r="K1134" s="9"/>
      <c r="L1134" s="37"/>
      <c r="M1134" s="64"/>
      <c r="N1134" s="42"/>
    </row>
    <row r="1135" spans="1:14" ht="24" customHeight="1">
      <c r="A1135" s="8">
        <v>1095</v>
      </c>
      <c r="B1135" s="9">
        <v>1095</v>
      </c>
      <c r="C1135" s="46"/>
      <c r="D1135" s="9"/>
      <c r="E1135" s="19" t="str">
        <f>IFERROR(VLOOKUP(D1135,케이블트레이입.출고현황!U1138:Z1213,2,0),"")</f>
        <v/>
      </c>
      <c r="F1135" s="19" t="str">
        <f>IFERROR(VLOOKUP(E1135,케이블트레이입.출고현황!V1138:AA1213,2,0),"")</f>
        <v/>
      </c>
      <c r="G1135" s="19" t="str">
        <f>IFERROR(VLOOKUP(F1135,케이블트레이입.출고현황!W1138:AB1213,2,0),"")</f>
        <v/>
      </c>
      <c r="H1135" s="19" t="str">
        <f>IFERROR(VLOOKUP(G1135,케이블트레이입.출고현황!X1138:AC1213,2,0),"")</f>
        <v/>
      </c>
      <c r="I1135" s="19" t="str">
        <f>IFERROR(VLOOKUP(H1135,케이블트레이입.출고현황!Y1138:AD1213,2,0),"")</f>
        <v/>
      </c>
      <c r="J1135" s="9">
        <v>4</v>
      </c>
      <c r="K1135" s="9"/>
      <c r="L1135" s="37"/>
      <c r="M1135" s="64"/>
      <c r="N1135" s="42"/>
    </row>
    <row r="1136" spans="1:14" ht="24" customHeight="1">
      <c r="A1136" s="8">
        <v>1096</v>
      </c>
      <c r="B1136" s="9">
        <v>1096</v>
      </c>
      <c r="C1136" s="46"/>
      <c r="D1136" s="9"/>
      <c r="E1136" s="19" t="str">
        <f>IFERROR(VLOOKUP(D1136,케이블트레이입.출고현황!U1139:Z1214,2,0),"")</f>
        <v/>
      </c>
      <c r="F1136" s="19" t="str">
        <f>IFERROR(VLOOKUP(E1136,케이블트레이입.출고현황!V1139:AA1214,2,0),"")</f>
        <v/>
      </c>
      <c r="G1136" s="19" t="str">
        <f>IFERROR(VLOOKUP(F1136,케이블트레이입.출고현황!W1139:AB1214,2,0),"")</f>
        <v/>
      </c>
      <c r="H1136" s="19" t="str">
        <f>IFERROR(VLOOKUP(G1136,케이블트레이입.출고현황!X1139:AC1214,2,0),"")</f>
        <v/>
      </c>
      <c r="I1136" s="19" t="str">
        <f>IFERROR(VLOOKUP(H1136,케이블트레이입.출고현황!Y1139:AD1214,2,0),"")</f>
        <v/>
      </c>
      <c r="J1136" s="9">
        <v>1</v>
      </c>
      <c r="K1136" s="9"/>
      <c r="L1136" s="37"/>
      <c r="M1136" s="64"/>
      <c r="N1136" s="42"/>
    </row>
    <row r="1137" spans="1:14" ht="24" customHeight="1">
      <c r="A1137" s="8">
        <v>1097</v>
      </c>
      <c r="B1137" s="9">
        <v>1097</v>
      </c>
      <c r="C1137" s="46"/>
      <c r="D1137" s="9"/>
      <c r="E1137" s="19" t="str">
        <f>IFERROR(VLOOKUP(D1137,케이블트레이입.출고현황!U1140:Z1215,2,0),"")</f>
        <v/>
      </c>
      <c r="F1137" s="19" t="str">
        <f>IFERROR(VLOOKUP(E1137,케이블트레이입.출고현황!V1140:AA1215,2,0),"")</f>
        <v/>
      </c>
      <c r="G1137" s="19" t="str">
        <f>IFERROR(VLOOKUP(F1137,케이블트레이입.출고현황!W1140:AB1215,2,0),"")</f>
        <v/>
      </c>
      <c r="H1137" s="19" t="str">
        <f>IFERROR(VLOOKUP(G1137,케이블트레이입.출고현황!X1140:AC1215,2,0),"")</f>
        <v/>
      </c>
      <c r="I1137" s="19" t="str">
        <f>IFERROR(VLOOKUP(H1137,케이블트레이입.출고현황!Y1140:AD1215,2,0),"")</f>
        <v/>
      </c>
      <c r="J1137" s="9">
        <v>1</v>
      </c>
      <c r="K1137" s="9"/>
      <c r="L1137" s="37"/>
      <c r="M1137" s="64"/>
      <c r="N1137" s="42"/>
    </row>
    <row r="1138" spans="1:14" ht="24" customHeight="1">
      <c r="A1138" s="8">
        <v>1098</v>
      </c>
      <c r="B1138" s="9">
        <v>1098</v>
      </c>
      <c r="C1138" s="46"/>
      <c r="D1138" s="9"/>
      <c r="E1138" s="19" t="str">
        <f>IFERROR(VLOOKUP(D1138,케이블트레이입.출고현황!U1141:Z1216,2,0),"")</f>
        <v/>
      </c>
      <c r="F1138" s="19" t="str">
        <f>IFERROR(VLOOKUP(E1138,케이블트레이입.출고현황!V1141:AA1216,2,0),"")</f>
        <v/>
      </c>
      <c r="G1138" s="19" t="str">
        <f>IFERROR(VLOOKUP(F1138,케이블트레이입.출고현황!W1141:AB1216,2,0),"")</f>
        <v/>
      </c>
      <c r="H1138" s="19" t="str">
        <f>IFERROR(VLOOKUP(G1138,케이블트레이입.출고현황!X1141:AC1216,2,0),"")</f>
        <v/>
      </c>
      <c r="I1138" s="19" t="str">
        <f>IFERROR(VLOOKUP(H1138,케이블트레이입.출고현황!Y1141:AD1216,2,0),"")</f>
        <v/>
      </c>
      <c r="J1138" s="9">
        <v>2</v>
      </c>
      <c r="K1138" s="9"/>
      <c r="L1138" s="37"/>
      <c r="M1138" s="64"/>
      <c r="N1138" s="42"/>
    </row>
    <row r="1139" spans="1:14" ht="24" customHeight="1">
      <c r="A1139" s="8">
        <v>1099</v>
      </c>
      <c r="B1139" s="9">
        <v>1099</v>
      </c>
      <c r="C1139" s="46"/>
      <c r="D1139" s="9"/>
      <c r="E1139" s="19" t="str">
        <f>IFERROR(VLOOKUP(D1139,케이블트레이입.출고현황!U1142:Z1217,2,0),"")</f>
        <v/>
      </c>
      <c r="F1139" s="19" t="str">
        <f>IFERROR(VLOOKUP(E1139,케이블트레이입.출고현황!V1142:AA1217,2,0),"")</f>
        <v/>
      </c>
      <c r="G1139" s="19" t="str">
        <f>IFERROR(VLOOKUP(F1139,케이블트레이입.출고현황!W1142:AB1217,2,0),"")</f>
        <v/>
      </c>
      <c r="H1139" s="19" t="str">
        <f>IFERROR(VLOOKUP(G1139,케이블트레이입.출고현황!X1142:AC1217,2,0),"")</f>
        <v/>
      </c>
      <c r="I1139" s="19" t="str">
        <f>IFERROR(VLOOKUP(H1139,케이블트레이입.출고현황!Y1142:AD1217,2,0),"")</f>
        <v/>
      </c>
      <c r="J1139" s="9">
        <v>1</v>
      </c>
      <c r="K1139" s="9"/>
      <c r="L1139" s="37"/>
      <c r="M1139" s="64"/>
      <c r="N1139" s="42"/>
    </row>
    <row r="1140" spans="1:14" ht="24" customHeight="1">
      <c r="A1140" s="8">
        <v>1100</v>
      </c>
      <c r="B1140" s="9">
        <v>1100</v>
      </c>
      <c r="C1140" s="46"/>
      <c r="D1140" s="9"/>
      <c r="E1140" s="19" t="str">
        <f>IFERROR(VLOOKUP(D1140,케이블트레이입.출고현황!U1143:Z1218,2,0),"")</f>
        <v/>
      </c>
      <c r="F1140" s="19" t="str">
        <f>IFERROR(VLOOKUP(E1140,케이블트레이입.출고현황!V1143:AA1218,2,0),"")</f>
        <v/>
      </c>
      <c r="G1140" s="19" t="str">
        <f>IFERROR(VLOOKUP(F1140,케이블트레이입.출고현황!W1143:AB1218,2,0),"")</f>
        <v/>
      </c>
      <c r="H1140" s="19" t="str">
        <f>IFERROR(VLOOKUP(G1140,케이블트레이입.출고현황!X1143:AC1218,2,0),"")</f>
        <v/>
      </c>
      <c r="I1140" s="19" t="str">
        <f>IFERROR(VLOOKUP(H1140,케이블트레이입.출고현황!Y1143:AD1218,2,0),"")</f>
        <v/>
      </c>
      <c r="J1140" s="9">
        <v>1</v>
      </c>
      <c r="K1140" s="9"/>
      <c r="L1140" s="37"/>
      <c r="M1140" s="64"/>
      <c r="N1140" s="42"/>
    </row>
    <row r="1141" spans="1:14" ht="24" customHeight="1">
      <c r="A1141" s="8">
        <v>1101</v>
      </c>
      <c r="B1141" s="9">
        <v>1101</v>
      </c>
      <c r="C1141" s="46"/>
      <c r="D1141" s="9"/>
      <c r="E1141" s="19" t="str">
        <f>IFERROR(VLOOKUP(D1141,케이블트레이입.출고현황!U1144:Z1219,2,0),"")</f>
        <v/>
      </c>
      <c r="F1141" s="19" t="str">
        <f>IFERROR(VLOOKUP(E1141,케이블트레이입.출고현황!V1144:AA1219,2,0),"")</f>
        <v/>
      </c>
      <c r="G1141" s="19" t="str">
        <f>IFERROR(VLOOKUP(F1141,케이블트레이입.출고현황!W1144:AB1219,2,0),"")</f>
        <v/>
      </c>
      <c r="H1141" s="19" t="str">
        <f>IFERROR(VLOOKUP(G1141,케이블트레이입.출고현황!X1144:AC1219,2,0),"")</f>
        <v/>
      </c>
      <c r="I1141" s="19" t="str">
        <f>IFERROR(VLOOKUP(H1141,케이블트레이입.출고현황!Y1144:AD1219,2,0),"")</f>
        <v/>
      </c>
      <c r="J1141" s="9">
        <v>1</v>
      </c>
      <c r="K1141" s="9"/>
      <c r="L1141" s="37"/>
      <c r="M1141" s="64"/>
      <c r="N1141" s="42"/>
    </row>
    <row r="1142" spans="1:14" ht="24" customHeight="1">
      <c r="A1142" s="8">
        <v>1102</v>
      </c>
      <c r="B1142" s="9">
        <v>1102</v>
      </c>
      <c r="C1142" s="46"/>
      <c r="D1142" s="9"/>
      <c r="E1142" s="19" t="str">
        <f>IFERROR(VLOOKUP(D1142,케이블트레이입.출고현황!U1145:Z1220,2,0),"")</f>
        <v/>
      </c>
      <c r="F1142" s="19" t="str">
        <f>IFERROR(VLOOKUP(E1142,케이블트레이입.출고현황!V1145:AA1220,2,0),"")</f>
        <v/>
      </c>
      <c r="G1142" s="19" t="str">
        <f>IFERROR(VLOOKUP(F1142,케이블트레이입.출고현황!W1145:AB1220,2,0),"")</f>
        <v/>
      </c>
      <c r="H1142" s="19" t="str">
        <f>IFERROR(VLOOKUP(G1142,케이블트레이입.출고현황!X1145:AC1220,2,0),"")</f>
        <v/>
      </c>
      <c r="I1142" s="19" t="str">
        <f>IFERROR(VLOOKUP(H1142,케이블트레이입.출고현황!Y1145:AD1220,2,0),"")</f>
        <v/>
      </c>
      <c r="J1142" s="9">
        <v>2</v>
      </c>
      <c r="K1142" s="9"/>
      <c r="L1142" s="37"/>
      <c r="M1142" s="64"/>
      <c r="N1142" s="42"/>
    </row>
    <row r="1143" spans="1:14" ht="24" customHeight="1">
      <c r="A1143" s="8">
        <v>1103</v>
      </c>
      <c r="B1143" s="9">
        <v>1103</v>
      </c>
      <c r="C1143" s="46"/>
      <c r="D1143" s="9"/>
      <c r="E1143" s="19" t="str">
        <f>IFERROR(VLOOKUP(D1143,케이블트레이입.출고현황!U1146:Z1221,2,0),"")</f>
        <v/>
      </c>
      <c r="F1143" s="19" t="str">
        <f>IFERROR(VLOOKUP(E1143,케이블트레이입.출고현황!V1146:AA1221,2,0),"")</f>
        <v/>
      </c>
      <c r="G1143" s="19" t="str">
        <f>IFERROR(VLOOKUP(F1143,케이블트레이입.출고현황!W1146:AB1221,2,0),"")</f>
        <v/>
      </c>
      <c r="H1143" s="19" t="str">
        <f>IFERROR(VLOOKUP(G1143,케이블트레이입.출고현황!X1146:AC1221,2,0),"")</f>
        <v/>
      </c>
      <c r="I1143" s="19" t="str">
        <f>IFERROR(VLOOKUP(H1143,케이블트레이입.출고현황!Y1146:AD1221,2,0),"")</f>
        <v/>
      </c>
      <c r="J1143" s="9">
        <v>2</v>
      </c>
      <c r="K1143" s="9"/>
      <c r="L1143" s="37"/>
      <c r="M1143" s="64"/>
      <c r="N1143" s="42"/>
    </row>
    <row r="1144" spans="1:14" ht="24" customHeight="1">
      <c r="A1144" s="8">
        <v>1104</v>
      </c>
      <c r="B1144" s="9">
        <v>1104</v>
      </c>
      <c r="C1144" s="46"/>
      <c r="D1144" s="9"/>
      <c r="E1144" s="19" t="str">
        <f>IFERROR(VLOOKUP(D1144,케이블트레이입.출고현황!U1147:Z1222,2,0),"")</f>
        <v/>
      </c>
      <c r="F1144" s="19" t="str">
        <f>IFERROR(VLOOKUP(E1144,케이블트레이입.출고현황!V1147:AA1222,2,0),"")</f>
        <v/>
      </c>
      <c r="G1144" s="19" t="str">
        <f>IFERROR(VLOOKUP(F1144,케이블트레이입.출고현황!W1147:AB1222,2,0),"")</f>
        <v/>
      </c>
      <c r="H1144" s="19" t="str">
        <f>IFERROR(VLOOKUP(G1144,케이블트레이입.출고현황!X1147:AC1222,2,0),"")</f>
        <v/>
      </c>
      <c r="I1144" s="19" t="str">
        <f>IFERROR(VLOOKUP(H1144,케이블트레이입.출고현황!Y1147:AD1222,2,0),"")</f>
        <v/>
      </c>
      <c r="J1144" s="9">
        <v>3</v>
      </c>
      <c r="K1144" s="9"/>
      <c r="L1144" s="37"/>
      <c r="M1144" s="64"/>
      <c r="N1144" s="42"/>
    </row>
    <row r="1145" spans="1:14" ht="24" customHeight="1">
      <c r="A1145" s="8">
        <v>1105</v>
      </c>
      <c r="B1145" s="9">
        <v>1105</v>
      </c>
      <c r="C1145" s="46"/>
      <c r="D1145" s="9"/>
      <c r="E1145" s="19" t="str">
        <f>IFERROR(VLOOKUP(D1145,케이블트레이입.출고현황!U1148:Z1223,2,0),"")</f>
        <v/>
      </c>
      <c r="F1145" s="19" t="str">
        <f>IFERROR(VLOOKUP(E1145,케이블트레이입.출고현황!V1148:AA1223,2,0),"")</f>
        <v/>
      </c>
      <c r="G1145" s="19" t="str">
        <f>IFERROR(VLOOKUP(F1145,케이블트레이입.출고현황!W1148:AB1223,2,0),"")</f>
        <v/>
      </c>
      <c r="H1145" s="19" t="str">
        <f>IFERROR(VLOOKUP(G1145,케이블트레이입.출고현황!X1148:AC1223,2,0),"")</f>
        <v/>
      </c>
      <c r="I1145" s="19" t="str">
        <f>IFERROR(VLOOKUP(H1145,케이블트레이입.출고현황!Y1148:AD1223,2,0),"")</f>
        <v/>
      </c>
      <c r="J1145" s="9">
        <v>1</v>
      </c>
      <c r="K1145" s="9"/>
      <c r="L1145" s="37"/>
      <c r="M1145" s="64"/>
      <c r="N1145" s="42"/>
    </row>
    <row r="1146" spans="1:14" ht="24" customHeight="1">
      <c r="A1146" s="8">
        <v>1106</v>
      </c>
      <c r="B1146" s="9">
        <v>1106</v>
      </c>
      <c r="C1146" s="46"/>
      <c r="D1146" s="9"/>
      <c r="E1146" s="19" t="str">
        <f>IFERROR(VLOOKUP(D1146,케이블트레이입.출고현황!U1149:Z1224,2,0),"")</f>
        <v/>
      </c>
      <c r="F1146" s="19" t="str">
        <f>IFERROR(VLOOKUP(E1146,케이블트레이입.출고현황!V1149:AA1224,2,0),"")</f>
        <v/>
      </c>
      <c r="G1146" s="19" t="str">
        <f>IFERROR(VLOOKUP(F1146,케이블트레이입.출고현황!W1149:AB1224,2,0),"")</f>
        <v/>
      </c>
      <c r="H1146" s="19" t="str">
        <f>IFERROR(VLOOKUP(G1146,케이블트레이입.출고현황!X1149:AC1224,2,0),"")</f>
        <v/>
      </c>
      <c r="I1146" s="19" t="str">
        <f>IFERROR(VLOOKUP(H1146,케이블트레이입.출고현황!Y1149:AD1224,2,0),"")</f>
        <v/>
      </c>
      <c r="J1146" s="9">
        <v>1</v>
      </c>
      <c r="K1146" s="9"/>
      <c r="L1146" s="37"/>
      <c r="M1146" s="64"/>
      <c r="N1146" s="42"/>
    </row>
    <row r="1147" spans="1:14" ht="24" customHeight="1">
      <c r="A1147" s="8">
        <v>1107</v>
      </c>
      <c r="B1147" s="9">
        <v>1107</v>
      </c>
      <c r="C1147" s="46"/>
      <c r="D1147" s="9"/>
      <c r="E1147" s="19" t="str">
        <f>IFERROR(VLOOKUP(D1147,케이블트레이입.출고현황!U1150:Z1225,2,0),"")</f>
        <v/>
      </c>
      <c r="F1147" s="19" t="str">
        <f>IFERROR(VLOOKUP(E1147,케이블트레이입.출고현황!V1150:AA1225,2,0),"")</f>
        <v/>
      </c>
      <c r="G1147" s="19" t="str">
        <f>IFERROR(VLOOKUP(F1147,케이블트레이입.출고현황!W1150:AB1225,2,0),"")</f>
        <v/>
      </c>
      <c r="H1147" s="19" t="str">
        <f>IFERROR(VLOOKUP(G1147,케이블트레이입.출고현황!X1150:AC1225,2,0),"")</f>
        <v/>
      </c>
      <c r="I1147" s="19" t="str">
        <f>IFERROR(VLOOKUP(H1147,케이블트레이입.출고현황!Y1150:AD1225,2,0),"")</f>
        <v/>
      </c>
      <c r="J1147" s="9">
        <v>1</v>
      </c>
      <c r="K1147" s="9"/>
      <c r="L1147" s="37"/>
      <c r="M1147" s="64"/>
      <c r="N1147" s="42"/>
    </row>
    <row r="1148" spans="1:14" ht="24" customHeight="1">
      <c r="A1148" s="8">
        <v>1108</v>
      </c>
      <c r="B1148" s="9">
        <v>1108</v>
      </c>
      <c r="C1148" s="46"/>
      <c r="D1148" s="9"/>
      <c r="E1148" s="19" t="str">
        <f>IFERROR(VLOOKUP(D1148,케이블트레이입.출고현황!U1151:Z1226,2,0),"")</f>
        <v/>
      </c>
      <c r="F1148" s="19" t="str">
        <f>IFERROR(VLOOKUP(E1148,케이블트레이입.출고현황!V1151:AA1226,2,0),"")</f>
        <v/>
      </c>
      <c r="G1148" s="19" t="str">
        <f>IFERROR(VLOOKUP(F1148,케이블트레이입.출고현황!W1151:AB1226,2,0),"")</f>
        <v/>
      </c>
      <c r="H1148" s="19" t="str">
        <f>IFERROR(VLOOKUP(G1148,케이블트레이입.출고현황!X1151:AC1226,2,0),"")</f>
        <v/>
      </c>
      <c r="I1148" s="19" t="str">
        <f>IFERROR(VLOOKUP(H1148,케이블트레이입.출고현황!Y1151:AD1226,2,0),"")</f>
        <v/>
      </c>
      <c r="J1148" s="9">
        <v>3</v>
      </c>
      <c r="K1148" s="9"/>
      <c r="L1148" s="37"/>
      <c r="M1148" s="64"/>
      <c r="N1148" s="42"/>
    </row>
    <row r="1149" spans="1:14" ht="24" customHeight="1">
      <c r="A1149" s="8">
        <v>1109</v>
      </c>
      <c r="B1149" s="9">
        <v>1109</v>
      </c>
      <c r="C1149" s="46"/>
      <c r="D1149" s="9"/>
      <c r="E1149" s="19" t="str">
        <f>IFERROR(VLOOKUP(D1149,케이블트레이입.출고현황!U1152:Z1227,2,0),"")</f>
        <v/>
      </c>
      <c r="F1149" s="19" t="str">
        <f>IFERROR(VLOOKUP(E1149,케이블트레이입.출고현황!V1152:AA1227,2,0),"")</f>
        <v/>
      </c>
      <c r="G1149" s="19" t="str">
        <f>IFERROR(VLOOKUP(F1149,케이블트레이입.출고현황!W1152:AB1227,2,0),"")</f>
        <v/>
      </c>
      <c r="H1149" s="19" t="str">
        <f>IFERROR(VLOOKUP(G1149,케이블트레이입.출고현황!X1152:AC1227,2,0),"")</f>
        <v/>
      </c>
      <c r="I1149" s="19" t="str">
        <f>IFERROR(VLOOKUP(H1149,케이블트레이입.출고현황!Y1152:AD1227,2,0),"")</f>
        <v/>
      </c>
      <c r="J1149" s="9">
        <v>2</v>
      </c>
      <c r="K1149" s="9"/>
      <c r="L1149" s="37"/>
      <c r="M1149" s="64"/>
      <c r="N1149" s="42"/>
    </row>
    <row r="1150" spans="1:14" ht="24" customHeight="1">
      <c r="A1150" s="8">
        <v>1110</v>
      </c>
      <c r="B1150" s="9">
        <v>1110</v>
      </c>
      <c r="C1150" s="46"/>
      <c r="D1150" s="9"/>
      <c r="E1150" s="19" t="str">
        <f>IFERROR(VLOOKUP(D1150,케이블트레이입.출고현황!U1153:Z1228,2,0),"")</f>
        <v/>
      </c>
      <c r="F1150" s="19" t="str">
        <f>IFERROR(VLOOKUP(E1150,케이블트레이입.출고현황!V1153:AA1228,2,0),"")</f>
        <v/>
      </c>
      <c r="G1150" s="19" t="str">
        <f>IFERROR(VLOOKUP(F1150,케이블트레이입.출고현황!W1153:AB1228,2,0),"")</f>
        <v/>
      </c>
      <c r="H1150" s="19" t="str">
        <f>IFERROR(VLOOKUP(G1150,케이블트레이입.출고현황!X1153:AC1228,2,0),"")</f>
        <v/>
      </c>
      <c r="I1150" s="19" t="str">
        <f>IFERROR(VLOOKUP(H1150,케이블트레이입.출고현황!Y1153:AD1228,2,0),"")</f>
        <v/>
      </c>
      <c r="J1150" s="9">
        <v>2</v>
      </c>
      <c r="K1150" s="9"/>
      <c r="L1150" s="37"/>
      <c r="M1150" s="64"/>
      <c r="N1150" s="42"/>
    </row>
    <row r="1151" spans="1:14" ht="24" customHeight="1">
      <c r="A1151" s="8">
        <v>1111</v>
      </c>
      <c r="B1151" s="9">
        <v>1111</v>
      </c>
      <c r="C1151" s="46"/>
      <c r="D1151" s="9"/>
      <c r="E1151" s="19" t="str">
        <f>IFERROR(VLOOKUP(D1151,케이블트레이입.출고현황!U1154:Z1229,2,0),"")</f>
        <v/>
      </c>
      <c r="F1151" s="19" t="str">
        <f>IFERROR(VLOOKUP(E1151,케이블트레이입.출고현황!V1154:AA1229,2,0),"")</f>
        <v/>
      </c>
      <c r="G1151" s="19" t="str">
        <f>IFERROR(VLOOKUP(F1151,케이블트레이입.출고현황!W1154:AB1229,2,0),"")</f>
        <v/>
      </c>
      <c r="H1151" s="19" t="str">
        <f>IFERROR(VLOOKUP(G1151,케이블트레이입.출고현황!X1154:AC1229,2,0),"")</f>
        <v/>
      </c>
      <c r="I1151" s="19" t="str">
        <f>IFERROR(VLOOKUP(H1151,케이블트레이입.출고현황!Y1154:AD1229,2,0),"")</f>
        <v/>
      </c>
      <c r="J1151" s="9">
        <v>2</v>
      </c>
      <c r="K1151" s="9"/>
      <c r="L1151" s="37"/>
      <c r="M1151" s="64"/>
      <c r="N1151" s="42"/>
    </row>
    <row r="1152" spans="1:14" ht="24" customHeight="1">
      <c r="A1152" s="8">
        <v>1112</v>
      </c>
      <c r="B1152" s="9">
        <v>1112</v>
      </c>
      <c r="C1152" s="46"/>
      <c r="D1152" s="9"/>
      <c r="E1152" s="19" t="str">
        <f>IFERROR(VLOOKUP(D1152,케이블트레이입.출고현황!U1155:Z1230,2,0),"")</f>
        <v/>
      </c>
      <c r="F1152" s="19" t="str">
        <f>IFERROR(VLOOKUP(E1152,케이블트레이입.출고현황!V1155:AA1230,2,0),"")</f>
        <v/>
      </c>
      <c r="G1152" s="19" t="str">
        <f>IFERROR(VLOOKUP(F1152,케이블트레이입.출고현황!W1155:AB1230,2,0),"")</f>
        <v/>
      </c>
      <c r="H1152" s="19" t="str">
        <f>IFERROR(VLOOKUP(G1152,케이블트레이입.출고현황!X1155:AC1230,2,0),"")</f>
        <v/>
      </c>
      <c r="I1152" s="19" t="str">
        <f>IFERROR(VLOOKUP(H1152,케이블트레이입.출고현황!Y1155:AD1230,2,0),"")</f>
        <v/>
      </c>
      <c r="J1152" s="9">
        <v>4</v>
      </c>
      <c r="K1152" s="9"/>
      <c r="L1152" s="37"/>
      <c r="M1152" s="64"/>
      <c r="N1152" s="42"/>
    </row>
    <row r="1153" spans="1:14" ht="24" customHeight="1">
      <c r="A1153" s="8">
        <v>1113</v>
      </c>
      <c r="B1153" s="9">
        <v>1113</v>
      </c>
      <c r="C1153" s="46"/>
      <c r="D1153" s="9"/>
      <c r="E1153" s="19" t="str">
        <f>IFERROR(VLOOKUP(D1153,케이블트레이입.출고현황!U1156:Z1231,2,0),"")</f>
        <v/>
      </c>
      <c r="F1153" s="19" t="str">
        <f>IFERROR(VLOOKUP(E1153,케이블트레이입.출고현황!V1156:AA1231,2,0),"")</f>
        <v/>
      </c>
      <c r="G1153" s="19" t="str">
        <f>IFERROR(VLOOKUP(F1153,케이블트레이입.출고현황!W1156:AB1231,2,0),"")</f>
        <v/>
      </c>
      <c r="H1153" s="19" t="str">
        <f>IFERROR(VLOOKUP(G1153,케이블트레이입.출고현황!X1156:AC1231,2,0),"")</f>
        <v/>
      </c>
      <c r="I1153" s="19" t="str">
        <f>IFERROR(VLOOKUP(H1153,케이블트레이입.출고현황!Y1156:AD1231,2,0),"")</f>
        <v/>
      </c>
      <c r="J1153" s="9">
        <v>2</v>
      </c>
      <c r="K1153" s="9"/>
      <c r="L1153" s="37"/>
      <c r="M1153" s="64"/>
      <c r="N1153" s="42"/>
    </row>
    <row r="1154" spans="1:14" ht="24" customHeight="1">
      <c r="A1154" s="8">
        <v>1114</v>
      </c>
      <c r="B1154" s="9">
        <v>1114</v>
      </c>
      <c r="C1154" s="46"/>
      <c r="D1154" s="9"/>
      <c r="E1154" s="19" t="str">
        <f>IFERROR(VLOOKUP(D1154,케이블트레이입.출고현황!U1157:Z1232,2,0),"")</f>
        <v/>
      </c>
      <c r="F1154" s="19" t="str">
        <f>IFERROR(VLOOKUP(E1154,케이블트레이입.출고현황!V1157:AA1232,2,0),"")</f>
        <v/>
      </c>
      <c r="G1154" s="19" t="str">
        <f>IFERROR(VLOOKUP(F1154,케이블트레이입.출고현황!W1157:AB1232,2,0),"")</f>
        <v/>
      </c>
      <c r="H1154" s="19" t="str">
        <f>IFERROR(VLOOKUP(G1154,케이블트레이입.출고현황!X1157:AC1232,2,0),"")</f>
        <v/>
      </c>
      <c r="I1154" s="19" t="str">
        <f>IFERROR(VLOOKUP(H1154,케이블트레이입.출고현황!Y1157:AD1232,2,0),"")</f>
        <v/>
      </c>
      <c r="J1154" s="9">
        <v>1</v>
      </c>
      <c r="K1154" s="9"/>
      <c r="L1154" s="37"/>
      <c r="M1154" s="64"/>
      <c r="N1154" s="42"/>
    </row>
    <row r="1155" spans="1:14" ht="24" customHeight="1">
      <c r="A1155" s="8">
        <v>1115</v>
      </c>
      <c r="B1155" s="9">
        <v>1115</v>
      </c>
      <c r="C1155" s="46"/>
      <c r="D1155" s="9"/>
      <c r="E1155" s="19" t="str">
        <f>IFERROR(VLOOKUP(D1155,케이블트레이입.출고현황!U1158:Z1233,2,0),"")</f>
        <v/>
      </c>
      <c r="F1155" s="19" t="str">
        <f>IFERROR(VLOOKUP(E1155,케이블트레이입.출고현황!V1158:AA1233,2,0),"")</f>
        <v/>
      </c>
      <c r="G1155" s="19" t="str">
        <f>IFERROR(VLOOKUP(F1155,케이블트레이입.출고현황!W1158:AB1233,2,0),"")</f>
        <v/>
      </c>
      <c r="H1155" s="19" t="str">
        <f>IFERROR(VLOOKUP(G1155,케이블트레이입.출고현황!X1158:AC1233,2,0),"")</f>
        <v/>
      </c>
      <c r="I1155" s="19" t="str">
        <f>IFERROR(VLOOKUP(H1155,케이블트레이입.출고현황!Y1158:AD1233,2,0),"")</f>
        <v/>
      </c>
      <c r="J1155" s="9">
        <v>2</v>
      </c>
      <c r="K1155" s="9"/>
      <c r="L1155" s="37"/>
      <c r="M1155" s="64"/>
      <c r="N1155" s="42"/>
    </row>
    <row r="1156" spans="1:14" ht="24" customHeight="1">
      <c r="A1156" s="8">
        <v>1116</v>
      </c>
      <c r="B1156" s="9">
        <v>1116</v>
      </c>
      <c r="C1156" s="46"/>
      <c r="D1156" s="9"/>
      <c r="E1156" s="19" t="str">
        <f>IFERROR(VLOOKUP(D1156,케이블트레이입.출고현황!U1159:Z1234,2,0),"")</f>
        <v/>
      </c>
      <c r="F1156" s="19" t="str">
        <f>IFERROR(VLOOKUP(E1156,케이블트레이입.출고현황!V1159:AA1234,2,0),"")</f>
        <v/>
      </c>
      <c r="G1156" s="19" t="str">
        <f>IFERROR(VLOOKUP(F1156,케이블트레이입.출고현황!W1159:AB1234,2,0),"")</f>
        <v/>
      </c>
      <c r="H1156" s="19" t="str">
        <f>IFERROR(VLOOKUP(G1156,케이블트레이입.출고현황!X1159:AC1234,2,0),"")</f>
        <v/>
      </c>
      <c r="I1156" s="19" t="str">
        <f>IFERROR(VLOOKUP(H1156,케이블트레이입.출고현황!Y1159:AD1234,2,0),"")</f>
        <v/>
      </c>
      <c r="J1156" s="9">
        <v>2</v>
      </c>
      <c r="K1156" s="9"/>
      <c r="L1156" s="37"/>
      <c r="M1156" s="64"/>
      <c r="N1156" s="42"/>
    </row>
    <row r="1157" spans="1:14" ht="24" customHeight="1">
      <c r="A1157" s="8">
        <v>1117</v>
      </c>
      <c r="B1157" s="9">
        <v>1117</v>
      </c>
      <c r="C1157" s="46"/>
      <c r="D1157" s="9"/>
      <c r="E1157" s="19" t="str">
        <f>IFERROR(VLOOKUP(D1157,케이블트레이입.출고현황!U1160:Z1235,2,0),"")</f>
        <v/>
      </c>
      <c r="F1157" s="19" t="str">
        <f>IFERROR(VLOOKUP(E1157,케이블트레이입.출고현황!V1160:AA1235,2,0),"")</f>
        <v/>
      </c>
      <c r="G1157" s="19" t="str">
        <f>IFERROR(VLOOKUP(F1157,케이블트레이입.출고현황!W1160:AB1235,2,0),"")</f>
        <v/>
      </c>
      <c r="H1157" s="19" t="str">
        <f>IFERROR(VLOOKUP(G1157,케이블트레이입.출고현황!X1160:AC1235,2,0),"")</f>
        <v/>
      </c>
      <c r="I1157" s="19" t="str">
        <f>IFERROR(VLOOKUP(H1157,케이블트레이입.출고현황!Y1160:AD1235,2,0),"")</f>
        <v/>
      </c>
      <c r="J1157" s="9">
        <v>1</v>
      </c>
      <c r="K1157" s="9"/>
      <c r="L1157" s="37"/>
      <c r="M1157" s="64"/>
      <c r="N1157" s="42"/>
    </row>
    <row r="1158" spans="1:14" ht="24" customHeight="1">
      <c r="A1158" s="8">
        <v>1118</v>
      </c>
      <c r="B1158" s="9">
        <v>1118</v>
      </c>
      <c r="C1158" s="46"/>
      <c r="D1158" s="9"/>
      <c r="E1158" s="19" t="str">
        <f>IFERROR(VLOOKUP(D1158,케이블트레이입.출고현황!U1161:Z1236,2,0),"")</f>
        <v/>
      </c>
      <c r="F1158" s="19" t="str">
        <f>IFERROR(VLOOKUP(E1158,케이블트레이입.출고현황!V1161:AA1236,2,0),"")</f>
        <v/>
      </c>
      <c r="G1158" s="19" t="str">
        <f>IFERROR(VLOOKUP(F1158,케이블트레이입.출고현황!W1161:AB1236,2,0),"")</f>
        <v/>
      </c>
      <c r="H1158" s="19" t="str">
        <f>IFERROR(VLOOKUP(G1158,케이블트레이입.출고현황!X1161:AC1236,2,0),"")</f>
        <v/>
      </c>
      <c r="I1158" s="19" t="str">
        <f>IFERROR(VLOOKUP(H1158,케이블트레이입.출고현황!Y1161:AD1236,2,0),"")</f>
        <v/>
      </c>
      <c r="J1158" s="9">
        <v>1</v>
      </c>
      <c r="K1158" s="9"/>
      <c r="L1158" s="37"/>
      <c r="M1158" s="64"/>
      <c r="N1158" s="42"/>
    </row>
    <row r="1159" spans="1:14" ht="24" customHeight="1">
      <c r="A1159" s="8">
        <v>1119</v>
      </c>
      <c r="B1159" s="9">
        <v>1119</v>
      </c>
      <c r="C1159" s="46"/>
      <c r="D1159" s="9"/>
      <c r="E1159" s="19" t="str">
        <f>IFERROR(VLOOKUP(D1159,케이블트레이입.출고현황!U1162:Z1237,2,0),"")</f>
        <v/>
      </c>
      <c r="F1159" s="19" t="str">
        <f>IFERROR(VLOOKUP(E1159,케이블트레이입.출고현황!V1162:AA1237,2,0),"")</f>
        <v/>
      </c>
      <c r="G1159" s="19" t="str">
        <f>IFERROR(VLOOKUP(F1159,케이블트레이입.출고현황!W1162:AB1237,2,0),"")</f>
        <v/>
      </c>
      <c r="H1159" s="19" t="str">
        <f>IFERROR(VLOOKUP(G1159,케이블트레이입.출고현황!X1162:AC1237,2,0),"")</f>
        <v/>
      </c>
      <c r="I1159" s="19" t="str">
        <f>IFERROR(VLOOKUP(H1159,케이블트레이입.출고현황!Y1162:AD1237,2,0),"")</f>
        <v/>
      </c>
      <c r="J1159" s="9">
        <v>2</v>
      </c>
      <c r="K1159" s="9"/>
      <c r="L1159" s="37"/>
      <c r="M1159" s="64"/>
      <c r="N1159" s="42"/>
    </row>
    <row r="1160" spans="1:14" ht="24" customHeight="1">
      <c r="A1160" s="8">
        <v>1120</v>
      </c>
      <c r="B1160" s="9">
        <v>1120</v>
      </c>
      <c r="C1160" s="46"/>
      <c r="D1160" s="9"/>
      <c r="E1160" s="19" t="str">
        <f>IFERROR(VLOOKUP(D1160,케이블트레이입.출고현황!U1163:Z1238,2,0),"")</f>
        <v/>
      </c>
      <c r="F1160" s="19" t="str">
        <f>IFERROR(VLOOKUP(E1160,케이블트레이입.출고현황!V1163:AA1238,2,0),"")</f>
        <v/>
      </c>
      <c r="G1160" s="19" t="str">
        <f>IFERROR(VLOOKUP(F1160,케이블트레이입.출고현황!W1163:AB1238,2,0),"")</f>
        <v/>
      </c>
      <c r="H1160" s="19" t="str">
        <f>IFERROR(VLOOKUP(G1160,케이블트레이입.출고현황!X1163:AC1238,2,0),"")</f>
        <v/>
      </c>
      <c r="I1160" s="19" t="str">
        <f>IFERROR(VLOOKUP(H1160,케이블트레이입.출고현황!Y1163:AD1238,2,0),"")</f>
        <v/>
      </c>
      <c r="J1160" s="9">
        <v>3</v>
      </c>
      <c r="K1160" s="9"/>
      <c r="L1160" s="37"/>
      <c r="M1160" s="64"/>
      <c r="N1160" s="42"/>
    </row>
    <row r="1161" spans="1:14" ht="24" customHeight="1">
      <c r="A1161" s="8">
        <v>1121</v>
      </c>
      <c r="B1161" s="9">
        <v>1121</v>
      </c>
      <c r="C1161" s="46"/>
      <c r="D1161" s="9"/>
      <c r="E1161" s="19" t="str">
        <f>IFERROR(VLOOKUP(D1161,케이블트레이입.출고현황!U1164:Z1239,2,0),"")</f>
        <v/>
      </c>
      <c r="F1161" s="19" t="str">
        <f>IFERROR(VLOOKUP(E1161,케이블트레이입.출고현황!V1164:AA1239,2,0),"")</f>
        <v/>
      </c>
      <c r="G1161" s="19" t="str">
        <f>IFERROR(VLOOKUP(F1161,케이블트레이입.출고현황!W1164:AB1239,2,0),"")</f>
        <v/>
      </c>
      <c r="H1161" s="19" t="str">
        <f>IFERROR(VLOOKUP(G1161,케이블트레이입.출고현황!X1164:AC1239,2,0),"")</f>
        <v/>
      </c>
      <c r="I1161" s="19" t="str">
        <f>IFERROR(VLOOKUP(H1161,케이블트레이입.출고현황!Y1164:AD1239,2,0),"")</f>
        <v/>
      </c>
      <c r="J1161" s="9">
        <v>1</v>
      </c>
      <c r="K1161" s="9"/>
      <c r="L1161" s="37"/>
      <c r="M1161" s="64"/>
      <c r="N1161" s="42"/>
    </row>
    <row r="1162" spans="1:14" ht="24" customHeight="1">
      <c r="A1162" s="8">
        <v>1122</v>
      </c>
      <c r="B1162" s="9">
        <v>1122</v>
      </c>
      <c r="C1162" s="46"/>
      <c r="D1162" s="9"/>
      <c r="E1162" s="19" t="str">
        <f>IFERROR(VLOOKUP(D1162,케이블트레이입.출고현황!U1165:Z1240,2,0),"")</f>
        <v/>
      </c>
      <c r="F1162" s="19" t="str">
        <f>IFERROR(VLOOKUP(E1162,케이블트레이입.출고현황!V1165:AA1240,2,0),"")</f>
        <v/>
      </c>
      <c r="G1162" s="19" t="str">
        <f>IFERROR(VLOOKUP(F1162,케이블트레이입.출고현황!W1165:AB1240,2,0),"")</f>
        <v/>
      </c>
      <c r="H1162" s="19" t="str">
        <f>IFERROR(VLOOKUP(G1162,케이블트레이입.출고현황!X1165:AC1240,2,0),"")</f>
        <v/>
      </c>
      <c r="I1162" s="19" t="str">
        <f>IFERROR(VLOOKUP(H1162,케이블트레이입.출고현황!Y1165:AD1240,2,0),"")</f>
        <v/>
      </c>
      <c r="J1162" s="9">
        <v>1</v>
      </c>
      <c r="K1162" s="9"/>
      <c r="L1162" s="37"/>
      <c r="M1162" s="64"/>
      <c r="N1162" s="42"/>
    </row>
    <row r="1163" spans="1:14" ht="24" customHeight="1">
      <c r="A1163" s="8">
        <v>1123</v>
      </c>
      <c r="B1163" s="9">
        <v>1123</v>
      </c>
      <c r="C1163" s="46"/>
      <c r="D1163" s="9"/>
      <c r="E1163" s="19" t="str">
        <f>IFERROR(VLOOKUP(D1163,케이블트레이입.출고현황!U1166:Z1241,2,0),"")</f>
        <v/>
      </c>
      <c r="F1163" s="19" t="str">
        <f>IFERROR(VLOOKUP(E1163,케이블트레이입.출고현황!V1166:AA1241,2,0),"")</f>
        <v/>
      </c>
      <c r="G1163" s="19" t="str">
        <f>IFERROR(VLOOKUP(F1163,케이블트레이입.출고현황!W1166:AB1241,2,0),"")</f>
        <v/>
      </c>
      <c r="H1163" s="19" t="str">
        <f>IFERROR(VLOOKUP(G1163,케이블트레이입.출고현황!X1166:AC1241,2,0),"")</f>
        <v/>
      </c>
      <c r="I1163" s="19" t="str">
        <f>IFERROR(VLOOKUP(H1163,케이블트레이입.출고현황!Y1166:AD1241,2,0),"")</f>
        <v/>
      </c>
      <c r="J1163" s="9">
        <v>1</v>
      </c>
      <c r="K1163" s="9"/>
      <c r="L1163" s="37"/>
      <c r="M1163" s="64"/>
      <c r="N1163" s="42"/>
    </row>
    <row r="1164" spans="1:14" ht="24" customHeight="1">
      <c r="A1164" s="8">
        <v>1124</v>
      </c>
      <c r="B1164" s="9">
        <v>1124</v>
      </c>
      <c r="C1164" s="46"/>
      <c r="D1164" s="9"/>
      <c r="E1164" s="19" t="str">
        <f>IFERROR(VLOOKUP(D1164,케이블트레이입.출고현황!U1167:Z1242,2,0),"")</f>
        <v/>
      </c>
      <c r="F1164" s="19" t="str">
        <f>IFERROR(VLOOKUP(E1164,케이블트레이입.출고현황!V1167:AA1242,2,0),"")</f>
        <v/>
      </c>
      <c r="G1164" s="19" t="str">
        <f>IFERROR(VLOOKUP(F1164,케이블트레이입.출고현황!W1167:AB1242,2,0),"")</f>
        <v/>
      </c>
      <c r="H1164" s="19" t="str">
        <f>IFERROR(VLOOKUP(G1164,케이블트레이입.출고현황!X1167:AC1242,2,0),"")</f>
        <v/>
      </c>
      <c r="I1164" s="19" t="str">
        <f>IFERROR(VLOOKUP(H1164,케이블트레이입.출고현황!Y1167:AD1242,2,0),"")</f>
        <v/>
      </c>
      <c r="J1164" s="9">
        <v>3</v>
      </c>
      <c r="K1164" s="9"/>
      <c r="L1164" s="37"/>
      <c r="M1164" s="64"/>
      <c r="N1164" s="42"/>
    </row>
    <row r="1165" spans="1:14" ht="24" customHeight="1">
      <c r="A1165" s="8">
        <v>1125</v>
      </c>
      <c r="B1165" s="9">
        <v>1125</v>
      </c>
      <c r="C1165" s="46"/>
      <c r="D1165" s="9"/>
      <c r="E1165" s="19" t="str">
        <f>IFERROR(VLOOKUP(D1165,케이블트레이입.출고현황!U1168:Z1243,2,0),"")</f>
        <v/>
      </c>
      <c r="F1165" s="19" t="str">
        <f>IFERROR(VLOOKUP(E1165,케이블트레이입.출고현황!V1168:AA1243,2,0),"")</f>
        <v/>
      </c>
      <c r="G1165" s="19" t="str">
        <f>IFERROR(VLOOKUP(F1165,케이블트레이입.출고현황!W1168:AB1243,2,0),"")</f>
        <v/>
      </c>
      <c r="H1165" s="19" t="str">
        <f>IFERROR(VLOOKUP(G1165,케이블트레이입.출고현황!X1168:AC1243,2,0),"")</f>
        <v/>
      </c>
      <c r="I1165" s="19" t="str">
        <f>IFERROR(VLOOKUP(H1165,케이블트레이입.출고현황!Y1168:AD1243,2,0),"")</f>
        <v/>
      </c>
      <c r="J1165" s="9">
        <v>2</v>
      </c>
      <c r="K1165" s="9"/>
      <c r="L1165" s="37"/>
      <c r="M1165" s="64"/>
      <c r="N1165" s="42"/>
    </row>
    <row r="1166" spans="1:14" ht="24" customHeight="1">
      <c r="A1166" s="8">
        <v>1126</v>
      </c>
      <c r="B1166" s="9">
        <v>1126</v>
      </c>
      <c r="C1166" s="46"/>
      <c r="D1166" s="9"/>
      <c r="E1166" s="19" t="str">
        <f>IFERROR(VLOOKUP(D1166,케이블트레이입.출고현황!U1169:Z1244,2,0),"")</f>
        <v/>
      </c>
      <c r="F1166" s="19" t="str">
        <f>IFERROR(VLOOKUP(E1166,케이블트레이입.출고현황!V1169:AA1244,2,0),"")</f>
        <v/>
      </c>
      <c r="G1166" s="19" t="str">
        <f>IFERROR(VLOOKUP(F1166,케이블트레이입.출고현황!W1169:AB1244,2,0),"")</f>
        <v/>
      </c>
      <c r="H1166" s="19" t="str">
        <f>IFERROR(VLOOKUP(G1166,케이블트레이입.출고현황!X1169:AC1244,2,0),"")</f>
        <v/>
      </c>
      <c r="I1166" s="19" t="str">
        <f>IFERROR(VLOOKUP(H1166,케이블트레이입.출고현황!Y1169:AD1244,2,0),"")</f>
        <v/>
      </c>
      <c r="J1166" s="9">
        <v>1</v>
      </c>
      <c r="K1166" s="9"/>
      <c r="L1166" s="37"/>
      <c r="M1166" s="64"/>
      <c r="N1166" s="42"/>
    </row>
    <row r="1167" spans="1:14" ht="24" customHeight="1">
      <c r="A1167" s="8">
        <v>1127</v>
      </c>
      <c r="B1167" s="9">
        <v>1127</v>
      </c>
      <c r="C1167" s="46"/>
      <c r="D1167" s="9"/>
      <c r="E1167" s="19" t="str">
        <f>IFERROR(VLOOKUP(D1167,케이블트레이입.출고현황!U1170:Z1245,2,0),"")</f>
        <v/>
      </c>
      <c r="F1167" s="19" t="str">
        <f>IFERROR(VLOOKUP(E1167,케이블트레이입.출고현황!V1170:AA1245,2,0),"")</f>
        <v/>
      </c>
      <c r="G1167" s="19" t="str">
        <f>IFERROR(VLOOKUP(F1167,케이블트레이입.출고현황!W1170:AB1245,2,0),"")</f>
        <v/>
      </c>
      <c r="H1167" s="19" t="str">
        <f>IFERROR(VLOOKUP(G1167,케이블트레이입.출고현황!X1170:AC1245,2,0),"")</f>
        <v/>
      </c>
      <c r="I1167" s="19" t="str">
        <f>IFERROR(VLOOKUP(H1167,케이블트레이입.출고현황!Y1170:AD1245,2,0),"")</f>
        <v/>
      </c>
      <c r="J1167" s="9">
        <v>2</v>
      </c>
      <c r="K1167" s="9"/>
      <c r="L1167" s="37"/>
      <c r="M1167" s="64"/>
      <c r="N1167" s="42"/>
    </row>
    <row r="1168" spans="1:14" ht="24" customHeight="1">
      <c r="A1168" s="8">
        <v>1128</v>
      </c>
      <c r="B1168" s="9">
        <v>1128</v>
      </c>
      <c r="C1168" s="46"/>
      <c r="D1168" s="9"/>
      <c r="E1168" s="19" t="str">
        <f>IFERROR(VLOOKUP(D1168,케이블트레이입.출고현황!U1171:Z1246,2,0),"")</f>
        <v/>
      </c>
      <c r="F1168" s="19" t="str">
        <f>IFERROR(VLOOKUP(E1168,케이블트레이입.출고현황!V1171:AA1246,2,0),"")</f>
        <v/>
      </c>
      <c r="G1168" s="19" t="str">
        <f>IFERROR(VLOOKUP(F1168,케이블트레이입.출고현황!W1171:AB1246,2,0),"")</f>
        <v/>
      </c>
      <c r="H1168" s="19" t="str">
        <f>IFERROR(VLOOKUP(G1168,케이블트레이입.출고현황!X1171:AC1246,2,0),"")</f>
        <v/>
      </c>
      <c r="I1168" s="19" t="str">
        <f>IFERROR(VLOOKUP(H1168,케이블트레이입.출고현황!Y1171:AD1246,2,0),"")</f>
        <v/>
      </c>
      <c r="J1168" s="9">
        <v>4</v>
      </c>
      <c r="K1168" s="9"/>
      <c r="L1168" s="37"/>
      <c r="M1168" s="64"/>
      <c r="N1168" s="42"/>
    </row>
    <row r="1169" spans="1:14" ht="24" customHeight="1">
      <c r="A1169" s="8">
        <v>1129</v>
      </c>
      <c r="B1169" s="9">
        <v>1129</v>
      </c>
      <c r="C1169" s="46"/>
      <c r="D1169" s="9"/>
      <c r="E1169" s="19" t="str">
        <f>IFERROR(VLOOKUP(D1169,케이블트레이입.출고현황!U1172:Z1247,2,0),"")</f>
        <v/>
      </c>
      <c r="F1169" s="19" t="str">
        <f>IFERROR(VLOOKUP(E1169,케이블트레이입.출고현황!V1172:AA1247,2,0),"")</f>
        <v/>
      </c>
      <c r="G1169" s="19" t="str">
        <f>IFERROR(VLOOKUP(F1169,케이블트레이입.출고현황!W1172:AB1247,2,0),"")</f>
        <v/>
      </c>
      <c r="H1169" s="19" t="str">
        <f>IFERROR(VLOOKUP(G1169,케이블트레이입.출고현황!X1172:AC1247,2,0),"")</f>
        <v/>
      </c>
      <c r="I1169" s="19" t="str">
        <f>IFERROR(VLOOKUP(H1169,케이블트레이입.출고현황!Y1172:AD1247,2,0),"")</f>
        <v/>
      </c>
      <c r="J1169" s="9">
        <v>2</v>
      </c>
      <c r="K1169" s="9"/>
      <c r="L1169" s="37"/>
      <c r="M1169" s="64"/>
      <c r="N1169" s="42"/>
    </row>
    <row r="1170" spans="1:14" ht="24" customHeight="1">
      <c r="A1170" s="8">
        <v>1130</v>
      </c>
      <c r="B1170" s="9">
        <v>1130</v>
      </c>
      <c r="C1170" s="46"/>
      <c r="D1170" s="9"/>
      <c r="E1170" s="19" t="str">
        <f>IFERROR(VLOOKUP(D1170,케이블트레이입.출고현황!U1173:Z1248,2,0),"")</f>
        <v/>
      </c>
      <c r="F1170" s="19" t="str">
        <f>IFERROR(VLOOKUP(E1170,케이블트레이입.출고현황!V1173:AA1248,2,0),"")</f>
        <v/>
      </c>
      <c r="G1170" s="19" t="str">
        <f>IFERROR(VLOOKUP(F1170,케이블트레이입.출고현황!W1173:AB1248,2,0),"")</f>
        <v/>
      </c>
      <c r="H1170" s="19" t="str">
        <f>IFERROR(VLOOKUP(G1170,케이블트레이입.출고현황!X1173:AC1248,2,0),"")</f>
        <v/>
      </c>
      <c r="I1170" s="19" t="str">
        <f>IFERROR(VLOOKUP(H1170,케이블트레이입.출고현황!Y1173:AD1248,2,0),"")</f>
        <v/>
      </c>
      <c r="J1170" s="9">
        <v>3</v>
      </c>
      <c r="K1170" s="9"/>
      <c r="L1170" s="37"/>
      <c r="M1170" s="64"/>
      <c r="N1170" s="42"/>
    </row>
    <row r="1171" spans="1:14" ht="24" customHeight="1">
      <c r="A1171" s="8">
        <v>1131</v>
      </c>
      <c r="B1171" s="9">
        <v>1131</v>
      </c>
      <c r="C1171" s="46"/>
      <c r="D1171" s="9"/>
      <c r="E1171" s="19" t="str">
        <f>IFERROR(VLOOKUP(D1171,케이블트레이입.출고현황!U1174:Z1249,2,0),"")</f>
        <v/>
      </c>
      <c r="F1171" s="19" t="str">
        <f>IFERROR(VLOOKUP(E1171,케이블트레이입.출고현황!V1174:AA1249,2,0),"")</f>
        <v/>
      </c>
      <c r="G1171" s="19" t="str">
        <f>IFERROR(VLOOKUP(F1171,케이블트레이입.출고현황!W1174:AB1249,2,0),"")</f>
        <v/>
      </c>
      <c r="H1171" s="19" t="str">
        <f>IFERROR(VLOOKUP(G1171,케이블트레이입.출고현황!X1174:AC1249,2,0),"")</f>
        <v/>
      </c>
      <c r="I1171" s="19" t="str">
        <f>IFERROR(VLOOKUP(H1171,케이블트레이입.출고현황!Y1174:AD1249,2,0),"")</f>
        <v/>
      </c>
      <c r="J1171" s="9">
        <v>1</v>
      </c>
      <c r="K1171" s="9"/>
      <c r="L1171" s="37"/>
      <c r="M1171" s="64"/>
      <c r="N1171" s="42"/>
    </row>
    <row r="1172" spans="1:14" ht="24" customHeight="1">
      <c r="A1172" s="8">
        <v>1132</v>
      </c>
      <c r="B1172" s="9">
        <v>1132</v>
      </c>
      <c r="C1172" s="46"/>
      <c r="D1172" s="9"/>
      <c r="E1172" s="19" t="str">
        <f>IFERROR(VLOOKUP(D1172,케이블트레이입.출고현황!U1175:Z1250,2,0),"")</f>
        <v/>
      </c>
      <c r="F1172" s="19" t="str">
        <f>IFERROR(VLOOKUP(E1172,케이블트레이입.출고현황!V1175:AA1250,2,0),"")</f>
        <v/>
      </c>
      <c r="G1172" s="19" t="str">
        <f>IFERROR(VLOOKUP(F1172,케이블트레이입.출고현황!W1175:AB1250,2,0),"")</f>
        <v/>
      </c>
      <c r="H1172" s="19" t="str">
        <f>IFERROR(VLOOKUP(G1172,케이블트레이입.출고현황!X1175:AC1250,2,0),"")</f>
        <v/>
      </c>
      <c r="I1172" s="19" t="str">
        <f>IFERROR(VLOOKUP(H1172,케이블트레이입.출고현황!Y1175:AD1250,2,0),"")</f>
        <v/>
      </c>
      <c r="J1172" s="9">
        <v>1</v>
      </c>
      <c r="K1172" s="9"/>
      <c r="L1172" s="37"/>
      <c r="M1172" s="64"/>
      <c r="N1172" s="42"/>
    </row>
    <row r="1173" spans="1:14" ht="24" customHeight="1">
      <c r="A1173" s="8">
        <v>1133</v>
      </c>
      <c r="B1173" s="9">
        <v>1133</v>
      </c>
      <c r="C1173" s="46"/>
      <c r="D1173" s="9"/>
      <c r="E1173" s="19" t="str">
        <f>IFERROR(VLOOKUP(D1173,케이블트레이입.출고현황!U1176:Z1251,2,0),"")</f>
        <v/>
      </c>
      <c r="F1173" s="19" t="str">
        <f>IFERROR(VLOOKUP(E1173,케이블트레이입.출고현황!V1176:AA1251,2,0),"")</f>
        <v/>
      </c>
      <c r="G1173" s="19" t="str">
        <f>IFERROR(VLOOKUP(F1173,케이블트레이입.출고현황!W1176:AB1251,2,0),"")</f>
        <v/>
      </c>
      <c r="H1173" s="19" t="str">
        <f>IFERROR(VLOOKUP(G1173,케이블트레이입.출고현황!X1176:AC1251,2,0),"")</f>
        <v/>
      </c>
      <c r="I1173" s="19" t="str">
        <f>IFERROR(VLOOKUP(H1173,케이블트레이입.출고현황!Y1176:AD1251,2,0),"")</f>
        <v/>
      </c>
      <c r="J1173" s="9">
        <v>2</v>
      </c>
      <c r="K1173" s="9"/>
      <c r="L1173" s="37"/>
      <c r="M1173" s="64"/>
      <c r="N1173" s="42"/>
    </row>
    <row r="1174" spans="1:14" ht="24" customHeight="1">
      <c r="A1174" s="8">
        <v>1134</v>
      </c>
      <c r="B1174" s="9">
        <v>1134</v>
      </c>
      <c r="C1174" s="46"/>
      <c r="D1174" s="9"/>
      <c r="E1174" s="19" t="str">
        <f>IFERROR(VLOOKUP(D1174,케이블트레이입.출고현황!U1177:Z1252,2,0),"")</f>
        <v/>
      </c>
      <c r="F1174" s="19" t="str">
        <f>IFERROR(VLOOKUP(E1174,케이블트레이입.출고현황!V1177:AA1252,2,0),"")</f>
        <v/>
      </c>
      <c r="G1174" s="19" t="str">
        <f>IFERROR(VLOOKUP(F1174,케이블트레이입.출고현황!W1177:AB1252,2,0),"")</f>
        <v/>
      </c>
      <c r="H1174" s="19" t="str">
        <f>IFERROR(VLOOKUP(G1174,케이블트레이입.출고현황!X1177:AC1252,2,0),"")</f>
        <v/>
      </c>
      <c r="I1174" s="19" t="str">
        <f>IFERROR(VLOOKUP(H1174,케이블트레이입.출고현황!Y1177:AD1252,2,0),"")</f>
        <v/>
      </c>
      <c r="J1174" s="9">
        <v>4</v>
      </c>
      <c r="K1174" s="9"/>
      <c r="L1174" s="37"/>
      <c r="M1174" s="64"/>
      <c r="N1174" s="42"/>
    </row>
    <row r="1175" spans="1:14" ht="24" customHeight="1">
      <c r="A1175" s="8">
        <v>1135</v>
      </c>
      <c r="B1175" s="9">
        <v>1135</v>
      </c>
      <c r="C1175" s="46"/>
      <c r="D1175" s="9"/>
      <c r="E1175" s="19" t="str">
        <f>IFERROR(VLOOKUP(D1175,케이블트레이입.출고현황!U1178:Z1253,2,0),"")</f>
        <v/>
      </c>
      <c r="F1175" s="19" t="str">
        <f>IFERROR(VLOOKUP(E1175,케이블트레이입.출고현황!V1178:AA1253,2,0),"")</f>
        <v/>
      </c>
      <c r="G1175" s="19" t="str">
        <f>IFERROR(VLOOKUP(F1175,케이블트레이입.출고현황!W1178:AB1253,2,0),"")</f>
        <v/>
      </c>
      <c r="H1175" s="19" t="str">
        <f>IFERROR(VLOOKUP(G1175,케이블트레이입.출고현황!X1178:AC1253,2,0),"")</f>
        <v/>
      </c>
      <c r="I1175" s="19" t="str">
        <f>IFERROR(VLOOKUP(H1175,케이블트레이입.출고현황!Y1178:AD1253,2,0),"")</f>
        <v/>
      </c>
      <c r="J1175" s="9">
        <v>2</v>
      </c>
      <c r="K1175" s="9"/>
      <c r="L1175" s="37"/>
      <c r="M1175" s="64"/>
      <c r="N1175" s="42"/>
    </row>
    <row r="1176" spans="1:14" ht="24" customHeight="1">
      <c r="A1176" s="8">
        <v>1136</v>
      </c>
      <c r="B1176" s="9">
        <v>1136</v>
      </c>
      <c r="C1176" s="46"/>
      <c r="D1176" s="9"/>
      <c r="E1176" s="19" t="str">
        <f>IFERROR(VLOOKUP(D1176,케이블트레이입.출고현황!U1179:Z1254,2,0),"")</f>
        <v/>
      </c>
      <c r="F1176" s="19" t="str">
        <f>IFERROR(VLOOKUP(E1176,케이블트레이입.출고현황!V1179:AA1254,2,0),"")</f>
        <v/>
      </c>
      <c r="G1176" s="19" t="str">
        <f>IFERROR(VLOOKUP(F1176,케이블트레이입.출고현황!W1179:AB1254,2,0),"")</f>
        <v/>
      </c>
      <c r="H1176" s="19" t="str">
        <f>IFERROR(VLOOKUP(G1176,케이블트레이입.출고현황!X1179:AC1254,2,0),"")</f>
        <v/>
      </c>
      <c r="I1176" s="19" t="str">
        <f>IFERROR(VLOOKUP(H1176,케이블트레이입.출고현황!Y1179:AD1254,2,0),"")</f>
        <v/>
      </c>
      <c r="J1176" s="9">
        <v>1</v>
      </c>
      <c r="K1176" s="9"/>
      <c r="L1176" s="37"/>
      <c r="M1176" s="64"/>
      <c r="N1176" s="42"/>
    </row>
    <row r="1177" spans="1:14" ht="24" customHeight="1">
      <c r="A1177" s="8">
        <v>1137</v>
      </c>
      <c r="B1177" s="9">
        <v>1137</v>
      </c>
      <c r="C1177" s="46"/>
      <c r="D1177" s="9"/>
      <c r="E1177" s="19" t="str">
        <f>IFERROR(VLOOKUP(D1177,케이블트레이입.출고현황!U1180:Z1255,2,0),"")</f>
        <v/>
      </c>
      <c r="F1177" s="19" t="str">
        <f>IFERROR(VLOOKUP(E1177,케이블트레이입.출고현황!V1180:AA1255,2,0),"")</f>
        <v/>
      </c>
      <c r="G1177" s="19" t="str">
        <f>IFERROR(VLOOKUP(F1177,케이블트레이입.출고현황!W1180:AB1255,2,0),"")</f>
        <v/>
      </c>
      <c r="H1177" s="19" t="str">
        <f>IFERROR(VLOOKUP(G1177,케이블트레이입.출고현황!X1180:AC1255,2,0),"")</f>
        <v/>
      </c>
      <c r="I1177" s="19" t="str">
        <f>IFERROR(VLOOKUP(H1177,케이블트레이입.출고현황!Y1180:AD1255,2,0),"")</f>
        <v/>
      </c>
      <c r="J1177" s="9">
        <v>2</v>
      </c>
      <c r="K1177" s="9"/>
      <c r="L1177" s="37"/>
      <c r="M1177" s="64"/>
      <c r="N1177" s="42"/>
    </row>
    <row r="1178" spans="1:14" ht="24" customHeight="1">
      <c r="A1178" s="8">
        <v>1138</v>
      </c>
      <c r="B1178" s="9">
        <v>1138</v>
      </c>
      <c r="C1178" s="46"/>
      <c r="D1178" s="9"/>
      <c r="E1178" s="19" t="str">
        <f>IFERROR(VLOOKUP(D1178,케이블트레이입.출고현황!U1181:Z1256,2,0),"")</f>
        <v/>
      </c>
      <c r="F1178" s="19" t="str">
        <f>IFERROR(VLOOKUP(E1178,케이블트레이입.출고현황!V1181:AA1256,2,0),"")</f>
        <v/>
      </c>
      <c r="G1178" s="19" t="str">
        <f>IFERROR(VLOOKUP(F1178,케이블트레이입.출고현황!W1181:AB1256,2,0),"")</f>
        <v/>
      </c>
      <c r="H1178" s="19" t="str">
        <f>IFERROR(VLOOKUP(G1178,케이블트레이입.출고현황!X1181:AC1256,2,0),"")</f>
        <v/>
      </c>
      <c r="I1178" s="19" t="str">
        <f>IFERROR(VLOOKUP(H1178,케이블트레이입.출고현황!Y1181:AD1256,2,0),"")</f>
        <v/>
      </c>
      <c r="J1178" s="9">
        <v>3</v>
      </c>
      <c r="K1178" s="9"/>
      <c r="L1178" s="37"/>
      <c r="M1178" s="64"/>
      <c r="N1178" s="42"/>
    </row>
    <row r="1179" spans="1:14" ht="24" customHeight="1">
      <c r="A1179" s="8">
        <v>1139</v>
      </c>
      <c r="B1179" s="9">
        <v>1139</v>
      </c>
      <c r="C1179" s="46"/>
      <c r="D1179" s="9"/>
      <c r="E1179" s="19" t="str">
        <f>IFERROR(VLOOKUP(D1179,케이블트레이입.출고현황!U1182:Z1257,2,0),"")</f>
        <v/>
      </c>
      <c r="F1179" s="19" t="str">
        <f>IFERROR(VLOOKUP(E1179,케이블트레이입.출고현황!V1182:AA1257,2,0),"")</f>
        <v/>
      </c>
      <c r="G1179" s="19" t="str">
        <f>IFERROR(VLOOKUP(F1179,케이블트레이입.출고현황!W1182:AB1257,2,0),"")</f>
        <v/>
      </c>
      <c r="H1179" s="19" t="str">
        <f>IFERROR(VLOOKUP(G1179,케이블트레이입.출고현황!X1182:AC1257,2,0),"")</f>
        <v/>
      </c>
      <c r="I1179" s="19" t="str">
        <f>IFERROR(VLOOKUP(H1179,케이블트레이입.출고현황!Y1182:AD1257,2,0),"")</f>
        <v/>
      </c>
      <c r="J1179" s="9">
        <v>3</v>
      </c>
      <c r="K1179" s="9"/>
      <c r="L1179" s="37"/>
      <c r="M1179" s="64"/>
      <c r="N1179" s="4"/>
    </row>
    <row r="1180" spans="1:14" ht="24" customHeight="1">
      <c r="A1180" s="8">
        <v>1140</v>
      </c>
      <c r="B1180" s="9">
        <v>1140</v>
      </c>
      <c r="C1180" s="46"/>
      <c r="D1180" s="9"/>
      <c r="E1180" s="19" t="str">
        <f>IFERROR(VLOOKUP(D1180,케이블트레이입.출고현황!U1183:Z1258,2,0),"")</f>
        <v/>
      </c>
      <c r="F1180" s="19" t="str">
        <f>IFERROR(VLOOKUP(E1180,케이블트레이입.출고현황!V1183:AA1258,2,0),"")</f>
        <v/>
      </c>
      <c r="G1180" s="19" t="str">
        <f>IFERROR(VLOOKUP(F1180,케이블트레이입.출고현황!W1183:AB1258,2,0),"")</f>
        <v/>
      </c>
      <c r="H1180" s="19" t="str">
        <f>IFERROR(VLOOKUP(G1180,케이블트레이입.출고현황!X1183:AC1258,2,0),"")</f>
        <v/>
      </c>
      <c r="I1180" s="19" t="str">
        <f>IFERROR(VLOOKUP(H1180,케이블트레이입.출고현황!Y1183:AD1258,2,0),"")</f>
        <v/>
      </c>
      <c r="J1180" s="9">
        <v>1</v>
      </c>
      <c r="K1180" s="9"/>
      <c r="L1180" s="37"/>
      <c r="M1180" s="64"/>
      <c r="N1180" s="4"/>
    </row>
    <row r="1181" spans="1:14" ht="24" customHeight="1">
      <c r="A1181" s="8">
        <v>1141</v>
      </c>
      <c r="B1181" s="9">
        <v>1141</v>
      </c>
      <c r="C1181" s="46"/>
      <c r="D1181" s="9"/>
      <c r="E1181" s="19" t="str">
        <f>IFERROR(VLOOKUP(D1181,케이블트레이입.출고현황!U1184:Z1259,2,0),"")</f>
        <v/>
      </c>
      <c r="F1181" s="19" t="str">
        <f>IFERROR(VLOOKUP(E1181,케이블트레이입.출고현황!V1184:AA1259,2,0),"")</f>
        <v/>
      </c>
      <c r="G1181" s="19" t="str">
        <f>IFERROR(VLOOKUP(F1181,케이블트레이입.출고현황!W1184:AB1259,2,0),"")</f>
        <v/>
      </c>
      <c r="H1181" s="19" t="str">
        <f>IFERROR(VLOOKUP(G1181,케이블트레이입.출고현황!X1184:AC1259,2,0),"")</f>
        <v/>
      </c>
      <c r="I1181" s="19" t="str">
        <f>IFERROR(VLOOKUP(H1181,케이블트레이입.출고현황!Y1184:AD1259,2,0),"")</f>
        <v/>
      </c>
      <c r="J1181" s="9">
        <v>1</v>
      </c>
      <c r="K1181" s="9"/>
      <c r="L1181" s="37"/>
      <c r="M1181" s="64"/>
      <c r="N1181" s="4"/>
    </row>
    <row r="1182" spans="1:14" ht="24" customHeight="1">
      <c r="A1182" s="8">
        <v>1142</v>
      </c>
      <c r="B1182" s="9">
        <v>1142</v>
      </c>
      <c r="C1182" s="46"/>
      <c r="D1182" s="9"/>
      <c r="E1182" s="19" t="str">
        <f>IFERROR(VLOOKUP(D1182,케이블트레이입.출고현황!U1185:Z1260,2,0),"")</f>
        <v/>
      </c>
      <c r="F1182" s="19" t="str">
        <f>IFERROR(VLOOKUP(E1182,케이블트레이입.출고현황!V1185:AA1260,2,0),"")</f>
        <v/>
      </c>
      <c r="G1182" s="19" t="str">
        <f>IFERROR(VLOOKUP(F1182,케이블트레이입.출고현황!W1185:AB1260,2,0),"")</f>
        <v/>
      </c>
      <c r="H1182" s="19" t="str">
        <f>IFERROR(VLOOKUP(G1182,케이블트레이입.출고현황!X1185:AC1260,2,0),"")</f>
        <v/>
      </c>
      <c r="I1182" s="19" t="str">
        <f>IFERROR(VLOOKUP(H1182,케이블트레이입.출고현황!Y1185:AD1260,2,0),"")</f>
        <v/>
      </c>
      <c r="J1182" s="9">
        <v>1</v>
      </c>
      <c r="K1182" s="9"/>
      <c r="L1182" s="37"/>
      <c r="M1182" s="64"/>
      <c r="N1182" s="4"/>
    </row>
    <row r="1183" spans="1:14" ht="24" customHeight="1">
      <c r="A1183" s="8">
        <v>1143</v>
      </c>
      <c r="B1183" s="9">
        <v>1143</v>
      </c>
      <c r="C1183" s="46"/>
      <c r="D1183" s="9"/>
      <c r="E1183" s="19" t="str">
        <f>IFERROR(VLOOKUP(D1183,케이블트레이입.출고현황!U1186:Z1261,2,0),"")</f>
        <v/>
      </c>
      <c r="F1183" s="19" t="str">
        <f>IFERROR(VLOOKUP(E1183,케이블트레이입.출고현황!V1186:AA1261,2,0),"")</f>
        <v/>
      </c>
      <c r="G1183" s="19" t="str">
        <f>IFERROR(VLOOKUP(F1183,케이블트레이입.출고현황!W1186:AB1261,2,0),"")</f>
        <v/>
      </c>
      <c r="H1183" s="19" t="str">
        <f>IFERROR(VLOOKUP(G1183,케이블트레이입.출고현황!X1186:AC1261,2,0),"")</f>
        <v/>
      </c>
      <c r="I1183" s="19" t="str">
        <f>IFERROR(VLOOKUP(H1183,케이블트레이입.출고현황!Y1186:AD1261,2,0),"")</f>
        <v/>
      </c>
      <c r="J1183" s="9">
        <v>3</v>
      </c>
      <c r="K1183" s="9"/>
      <c r="L1183" s="37"/>
      <c r="M1183" s="64"/>
      <c r="N1183" s="4"/>
    </row>
    <row r="1184" spans="1:14" ht="24" customHeight="1">
      <c r="A1184" s="8">
        <v>1144</v>
      </c>
      <c r="B1184" s="9">
        <v>1144</v>
      </c>
      <c r="C1184" s="46"/>
      <c r="D1184" s="9"/>
      <c r="E1184" s="19" t="str">
        <f>IFERROR(VLOOKUP(D1184,케이블트레이입.출고현황!U1187:Z1262,2,0),"")</f>
        <v/>
      </c>
      <c r="F1184" s="19" t="str">
        <f>IFERROR(VLOOKUP(E1184,케이블트레이입.출고현황!V1187:AA1262,2,0),"")</f>
        <v/>
      </c>
      <c r="G1184" s="19" t="str">
        <f>IFERROR(VLOOKUP(F1184,케이블트레이입.출고현황!W1187:AB1262,2,0),"")</f>
        <v/>
      </c>
      <c r="H1184" s="19" t="str">
        <f>IFERROR(VLOOKUP(G1184,케이블트레이입.출고현황!X1187:AC1262,2,0),"")</f>
        <v/>
      </c>
      <c r="I1184" s="19" t="str">
        <f>IFERROR(VLOOKUP(H1184,케이블트레이입.출고현황!Y1187:AD1262,2,0),"")</f>
        <v/>
      </c>
      <c r="J1184" s="9">
        <v>2</v>
      </c>
      <c r="K1184" s="9"/>
      <c r="L1184" s="37"/>
      <c r="M1184" s="64"/>
      <c r="N1184" s="4"/>
    </row>
    <row r="1185" spans="1:14" ht="24" customHeight="1">
      <c r="A1185" s="8">
        <v>1145</v>
      </c>
      <c r="B1185" s="9">
        <v>1145</v>
      </c>
      <c r="C1185" s="46"/>
      <c r="D1185" s="9"/>
      <c r="E1185" s="19" t="str">
        <f>IFERROR(VLOOKUP(D1185,케이블트레이입.출고현황!U1188:Z1263,2,0),"")</f>
        <v/>
      </c>
      <c r="F1185" s="19" t="str">
        <f>IFERROR(VLOOKUP(E1185,케이블트레이입.출고현황!V1188:AA1263,2,0),"")</f>
        <v/>
      </c>
      <c r="G1185" s="19" t="str">
        <f>IFERROR(VLOOKUP(F1185,케이블트레이입.출고현황!W1188:AB1263,2,0),"")</f>
        <v/>
      </c>
      <c r="H1185" s="19" t="str">
        <f>IFERROR(VLOOKUP(G1185,케이블트레이입.출고현황!X1188:AC1263,2,0),"")</f>
        <v/>
      </c>
      <c r="I1185" s="19" t="str">
        <f>IFERROR(VLOOKUP(H1185,케이블트레이입.출고현황!Y1188:AD1263,2,0),"")</f>
        <v/>
      </c>
      <c r="J1185" s="9">
        <v>1</v>
      </c>
      <c r="K1185" s="9"/>
      <c r="L1185" s="37"/>
      <c r="M1185" s="64"/>
      <c r="N1185" s="4"/>
    </row>
    <row r="1186" spans="1:14" ht="24" customHeight="1">
      <c r="A1186" s="8">
        <v>1146</v>
      </c>
      <c r="B1186" s="9">
        <v>1146</v>
      </c>
      <c r="C1186" s="46"/>
      <c r="D1186" s="9"/>
      <c r="E1186" s="19" t="str">
        <f>IFERROR(VLOOKUP(D1186,케이블트레이입.출고현황!U1189:Z1264,2,0),"")</f>
        <v/>
      </c>
      <c r="F1186" s="19" t="str">
        <f>IFERROR(VLOOKUP(E1186,케이블트레이입.출고현황!V1189:AA1264,2,0),"")</f>
        <v/>
      </c>
      <c r="G1186" s="19" t="str">
        <f>IFERROR(VLOOKUP(F1186,케이블트레이입.출고현황!W1189:AB1264,2,0),"")</f>
        <v/>
      </c>
      <c r="H1186" s="19" t="str">
        <f>IFERROR(VLOOKUP(G1186,케이블트레이입.출고현황!X1189:AC1264,2,0),"")</f>
        <v/>
      </c>
      <c r="I1186" s="19" t="str">
        <f>IFERROR(VLOOKUP(H1186,케이블트레이입.출고현황!Y1189:AD1264,2,0),"")</f>
        <v/>
      </c>
      <c r="J1186" s="9">
        <v>2</v>
      </c>
      <c r="K1186" s="9"/>
      <c r="L1186" s="37"/>
      <c r="M1186" s="64"/>
      <c r="N1186" s="4"/>
    </row>
    <row r="1187" spans="1:14" ht="24" customHeight="1">
      <c r="A1187" s="8">
        <v>1147</v>
      </c>
      <c r="B1187" s="9">
        <v>1147</v>
      </c>
      <c r="C1187" s="46"/>
      <c r="D1187" s="9"/>
      <c r="E1187" s="19" t="str">
        <f>IFERROR(VLOOKUP(D1187,케이블트레이입.출고현황!U1190:Z1265,2,0),"")</f>
        <v/>
      </c>
      <c r="F1187" s="19" t="str">
        <f>IFERROR(VLOOKUP(E1187,케이블트레이입.출고현황!V1190:AA1265,2,0),"")</f>
        <v/>
      </c>
      <c r="G1187" s="19" t="str">
        <f>IFERROR(VLOOKUP(F1187,케이블트레이입.출고현황!W1190:AB1265,2,0),"")</f>
        <v/>
      </c>
      <c r="H1187" s="19" t="str">
        <f>IFERROR(VLOOKUP(G1187,케이블트레이입.출고현황!X1190:AC1265,2,0),"")</f>
        <v/>
      </c>
      <c r="I1187" s="19" t="str">
        <f>IFERROR(VLOOKUP(H1187,케이블트레이입.출고현황!Y1190:AD1265,2,0),"")</f>
        <v/>
      </c>
      <c r="J1187" s="9">
        <v>4</v>
      </c>
      <c r="K1187" s="9"/>
      <c r="L1187" s="37"/>
      <c r="M1187" s="64"/>
      <c r="N1187" s="4"/>
    </row>
    <row r="1188" spans="1:14" ht="24" customHeight="1">
      <c r="A1188" s="8">
        <v>1148</v>
      </c>
      <c r="B1188" s="9">
        <v>1148</v>
      </c>
      <c r="C1188" s="46"/>
      <c r="D1188" s="9"/>
      <c r="E1188" s="19" t="str">
        <f>IFERROR(VLOOKUP(D1188,케이블트레이입.출고현황!U1191:Z1266,2,0),"")</f>
        <v/>
      </c>
      <c r="F1188" s="19" t="str">
        <f>IFERROR(VLOOKUP(E1188,케이블트레이입.출고현황!V1191:AA1266,2,0),"")</f>
        <v/>
      </c>
      <c r="G1188" s="19" t="str">
        <f>IFERROR(VLOOKUP(F1188,케이블트레이입.출고현황!W1191:AB1266,2,0),"")</f>
        <v/>
      </c>
      <c r="H1188" s="19" t="str">
        <f>IFERROR(VLOOKUP(G1188,케이블트레이입.출고현황!X1191:AC1266,2,0),"")</f>
        <v/>
      </c>
      <c r="I1188" s="19" t="str">
        <f>IFERROR(VLOOKUP(H1188,케이블트레이입.출고현황!Y1191:AD1266,2,0),"")</f>
        <v/>
      </c>
      <c r="J1188" s="9">
        <v>2</v>
      </c>
      <c r="K1188" s="9"/>
      <c r="L1188" s="37"/>
      <c r="M1188" s="64"/>
      <c r="N1188" s="4"/>
    </row>
    <row r="1189" spans="1:14" ht="24" customHeight="1">
      <c r="A1189" s="8">
        <v>1149</v>
      </c>
      <c r="B1189" s="9">
        <v>1149</v>
      </c>
      <c r="C1189" s="46"/>
      <c r="D1189" s="9"/>
      <c r="E1189" s="19" t="str">
        <f>IFERROR(VLOOKUP(D1189,케이블트레이입.출고현황!U1192:Z1267,2,0),"")</f>
        <v/>
      </c>
      <c r="F1189" s="19" t="str">
        <f>IFERROR(VLOOKUP(E1189,케이블트레이입.출고현황!V1192:AA1267,2,0),"")</f>
        <v/>
      </c>
      <c r="G1189" s="19" t="str">
        <f>IFERROR(VLOOKUP(F1189,케이블트레이입.출고현황!W1192:AB1267,2,0),"")</f>
        <v/>
      </c>
      <c r="H1189" s="19" t="str">
        <f>IFERROR(VLOOKUP(G1189,케이블트레이입.출고현황!X1192:AC1267,2,0),"")</f>
        <v/>
      </c>
      <c r="I1189" s="19" t="str">
        <f>IFERROR(VLOOKUP(H1189,케이블트레이입.출고현황!Y1192:AD1267,2,0),"")</f>
        <v/>
      </c>
      <c r="J1189" s="9">
        <v>3</v>
      </c>
      <c r="K1189" s="9"/>
      <c r="L1189" s="37"/>
      <c r="M1189" s="64"/>
      <c r="N1189" s="4"/>
    </row>
    <row r="1190" spans="1:14" ht="24" customHeight="1">
      <c r="A1190" s="8">
        <v>1150</v>
      </c>
      <c r="B1190" s="9">
        <v>1150</v>
      </c>
      <c r="C1190" s="46"/>
      <c r="D1190" s="9"/>
      <c r="E1190" s="19" t="str">
        <f>IFERROR(VLOOKUP(D1190,케이블트레이입.출고현황!U1193:Z1268,2,0),"")</f>
        <v/>
      </c>
      <c r="F1190" s="19" t="str">
        <f>IFERROR(VLOOKUP(E1190,케이블트레이입.출고현황!V1193:AA1268,2,0),"")</f>
        <v/>
      </c>
      <c r="G1190" s="19" t="str">
        <f>IFERROR(VLOOKUP(F1190,케이블트레이입.출고현황!W1193:AB1268,2,0),"")</f>
        <v/>
      </c>
      <c r="H1190" s="19" t="str">
        <f>IFERROR(VLOOKUP(G1190,케이블트레이입.출고현황!X1193:AC1268,2,0),"")</f>
        <v/>
      </c>
      <c r="I1190" s="19" t="str">
        <f>IFERROR(VLOOKUP(H1190,케이블트레이입.출고현황!Y1193:AD1268,2,0),"")</f>
        <v/>
      </c>
      <c r="J1190" s="9">
        <v>1</v>
      </c>
      <c r="K1190" s="9"/>
      <c r="L1190" s="37"/>
      <c r="M1190" s="64"/>
      <c r="N1190" s="4"/>
    </row>
    <row r="1191" spans="1:14" ht="24" customHeight="1">
      <c r="A1191" s="8">
        <v>1151</v>
      </c>
      <c r="B1191" s="9">
        <v>1151</v>
      </c>
      <c r="C1191" s="46"/>
      <c r="D1191" s="9"/>
      <c r="E1191" s="19" t="str">
        <f>IFERROR(VLOOKUP(D1191,케이블트레이입.출고현황!U1194:Z1269,2,0),"")</f>
        <v/>
      </c>
      <c r="F1191" s="19" t="str">
        <f>IFERROR(VLOOKUP(E1191,케이블트레이입.출고현황!V1194:AA1269,2,0),"")</f>
        <v/>
      </c>
      <c r="G1191" s="19" t="str">
        <f>IFERROR(VLOOKUP(F1191,케이블트레이입.출고현황!W1194:AB1269,2,0),"")</f>
        <v/>
      </c>
      <c r="H1191" s="19" t="str">
        <f>IFERROR(VLOOKUP(G1191,케이블트레이입.출고현황!X1194:AC1269,2,0),"")</f>
        <v/>
      </c>
      <c r="I1191" s="19" t="str">
        <f>IFERROR(VLOOKUP(H1191,케이블트레이입.출고현황!Y1194:AD1269,2,0),"")</f>
        <v/>
      </c>
      <c r="J1191" s="9">
        <v>1</v>
      </c>
      <c r="K1191" s="9"/>
      <c r="L1191" s="37"/>
      <c r="M1191" s="64"/>
      <c r="N1191" s="4"/>
    </row>
    <row r="1192" spans="1:14" ht="24" customHeight="1">
      <c r="A1192" s="8">
        <v>1152</v>
      </c>
      <c r="B1192" s="9">
        <v>1152</v>
      </c>
      <c r="C1192" s="46"/>
      <c r="D1192" s="9"/>
      <c r="E1192" s="19" t="str">
        <f>IFERROR(VLOOKUP(D1192,케이블트레이입.출고현황!U1195:Z1270,2,0),"")</f>
        <v/>
      </c>
      <c r="F1192" s="19" t="str">
        <f>IFERROR(VLOOKUP(E1192,케이블트레이입.출고현황!V1195:AA1270,2,0),"")</f>
        <v/>
      </c>
      <c r="G1192" s="19" t="str">
        <f>IFERROR(VLOOKUP(F1192,케이블트레이입.출고현황!W1195:AB1270,2,0),"")</f>
        <v/>
      </c>
      <c r="H1192" s="19" t="str">
        <f>IFERROR(VLOOKUP(G1192,케이블트레이입.출고현황!X1195:AC1270,2,0),"")</f>
        <v/>
      </c>
      <c r="I1192" s="19" t="str">
        <f>IFERROR(VLOOKUP(H1192,케이블트레이입.출고현황!Y1195:AD1270,2,0),"")</f>
        <v/>
      </c>
      <c r="J1192" s="9">
        <v>2</v>
      </c>
      <c r="K1192" s="9"/>
      <c r="L1192" s="37"/>
      <c r="M1192" s="64"/>
      <c r="N1192" s="4"/>
    </row>
    <row r="1193" spans="1:14" ht="24" customHeight="1">
      <c r="A1193" s="8">
        <v>1153</v>
      </c>
      <c r="B1193" s="9">
        <v>1153</v>
      </c>
      <c r="C1193" s="46"/>
      <c r="D1193" s="9"/>
      <c r="E1193" s="19" t="str">
        <f>IFERROR(VLOOKUP(D1193,케이블트레이입.출고현황!U1196:Z1271,2,0),"")</f>
        <v/>
      </c>
      <c r="F1193" s="19" t="str">
        <f>IFERROR(VLOOKUP(E1193,케이블트레이입.출고현황!V1196:AA1271,2,0),"")</f>
        <v/>
      </c>
      <c r="G1193" s="19" t="str">
        <f>IFERROR(VLOOKUP(F1193,케이블트레이입.출고현황!W1196:AB1271,2,0),"")</f>
        <v/>
      </c>
      <c r="H1193" s="19" t="str">
        <f>IFERROR(VLOOKUP(G1193,케이블트레이입.출고현황!X1196:AC1271,2,0),"")</f>
        <v/>
      </c>
      <c r="I1193" s="19" t="str">
        <f>IFERROR(VLOOKUP(H1193,케이블트레이입.출고현황!Y1196:AD1271,2,0),"")</f>
        <v/>
      </c>
      <c r="J1193" s="9">
        <v>4</v>
      </c>
      <c r="K1193" s="9"/>
      <c r="L1193" s="37"/>
      <c r="M1193" s="64"/>
      <c r="N1193" s="4"/>
    </row>
    <row r="1194" spans="1:14" ht="24" customHeight="1">
      <c r="A1194" s="8">
        <v>1154</v>
      </c>
      <c r="B1194" s="9">
        <v>1154</v>
      </c>
      <c r="C1194" s="46"/>
      <c r="D1194" s="9"/>
      <c r="E1194" s="19" t="str">
        <f>IFERROR(VLOOKUP(D1194,케이블트레이입.출고현황!U1197:Z1272,2,0),"")</f>
        <v/>
      </c>
      <c r="F1194" s="19" t="str">
        <f>IFERROR(VLOOKUP(E1194,케이블트레이입.출고현황!V1197:AA1272,2,0),"")</f>
        <v/>
      </c>
      <c r="G1194" s="19" t="str">
        <f>IFERROR(VLOOKUP(F1194,케이블트레이입.출고현황!W1197:AB1272,2,0),"")</f>
        <v/>
      </c>
      <c r="H1194" s="19" t="str">
        <f>IFERROR(VLOOKUP(G1194,케이블트레이입.출고현황!X1197:AC1272,2,0),"")</f>
        <v/>
      </c>
      <c r="I1194" s="19" t="str">
        <f>IFERROR(VLOOKUP(H1194,케이블트레이입.출고현황!Y1197:AD1272,2,0),"")</f>
        <v/>
      </c>
      <c r="J1194" s="9">
        <v>2</v>
      </c>
      <c r="K1194" s="9"/>
      <c r="L1194" s="37"/>
      <c r="M1194" s="64"/>
      <c r="N1194" s="4"/>
    </row>
    <row r="1195" spans="1:14" ht="24" customHeight="1">
      <c r="A1195" s="8">
        <v>1155</v>
      </c>
      <c r="B1195" s="9">
        <v>1155</v>
      </c>
      <c r="C1195" s="46"/>
      <c r="D1195" s="9"/>
      <c r="E1195" s="19" t="str">
        <f>IFERROR(VLOOKUP(D1195,케이블트레이입.출고현황!U1198:Z1273,2,0),"")</f>
        <v/>
      </c>
      <c r="F1195" s="19" t="str">
        <f>IFERROR(VLOOKUP(E1195,케이블트레이입.출고현황!V1198:AA1273,2,0),"")</f>
        <v/>
      </c>
      <c r="G1195" s="19" t="str">
        <f>IFERROR(VLOOKUP(F1195,케이블트레이입.출고현황!W1198:AB1273,2,0),"")</f>
        <v/>
      </c>
      <c r="H1195" s="19" t="str">
        <f>IFERROR(VLOOKUP(G1195,케이블트레이입.출고현황!X1198:AC1273,2,0),"")</f>
        <v/>
      </c>
      <c r="I1195" s="19" t="str">
        <f>IFERROR(VLOOKUP(H1195,케이블트레이입.출고현황!Y1198:AD1273,2,0),"")</f>
        <v/>
      </c>
      <c r="J1195" s="9">
        <v>1</v>
      </c>
      <c r="K1195" s="9"/>
      <c r="L1195" s="37"/>
      <c r="M1195" s="64"/>
      <c r="N1195" s="4"/>
    </row>
    <row r="1196" spans="1:14" ht="24" customHeight="1">
      <c r="A1196" s="8">
        <v>1156</v>
      </c>
      <c r="B1196" s="9">
        <v>1156</v>
      </c>
      <c r="C1196" s="46"/>
      <c r="D1196" s="9"/>
      <c r="E1196" s="19" t="str">
        <f>IFERROR(VLOOKUP(D1196,케이블트레이입.출고현황!U1199:Z1274,2,0),"")</f>
        <v/>
      </c>
      <c r="F1196" s="19" t="str">
        <f>IFERROR(VLOOKUP(E1196,케이블트레이입.출고현황!V1199:AA1274,2,0),"")</f>
        <v/>
      </c>
      <c r="G1196" s="19" t="str">
        <f>IFERROR(VLOOKUP(F1196,케이블트레이입.출고현황!W1199:AB1274,2,0),"")</f>
        <v/>
      </c>
      <c r="H1196" s="19" t="str">
        <f>IFERROR(VLOOKUP(G1196,케이블트레이입.출고현황!X1199:AC1274,2,0),"")</f>
        <v/>
      </c>
      <c r="I1196" s="19" t="str">
        <f>IFERROR(VLOOKUP(H1196,케이블트레이입.출고현황!Y1199:AD1274,2,0),"")</f>
        <v/>
      </c>
      <c r="J1196" s="9">
        <v>2</v>
      </c>
      <c r="K1196" s="9"/>
      <c r="L1196" s="37"/>
      <c r="M1196" s="64"/>
      <c r="N1196" s="4"/>
    </row>
    <row r="1197" spans="1:14" ht="24" customHeight="1">
      <c r="A1197" s="8">
        <v>1157</v>
      </c>
      <c r="B1197" s="9">
        <v>1157</v>
      </c>
      <c r="C1197" s="46"/>
      <c r="D1197" s="9"/>
      <c r="E1197" s="19" t="str">
        <f>IFERROR(VLOOKUP(D1197,케이블트레이입.출고현황!U1200:Z1275,2,0),"")</f>
        <v/>
      </c>
      <c r="F1197" s="19" t="str">
        <f>IFERROR(VLOOKUP(E1197,케이블트레이입.출고현황!V1200:AA1275,2,0),"")</f>
        <v/>
      </c>
      <c r="G1197" s="19" t="str">
        <f>IFERROR(VLOOKUP(F1197,케이블트레이입.출고현황!W1200:AB1275,2,0),"")</f>
        <v/>
      </c>
      <c r="H1197" s="19" t="str">
        <f>IFERROR(VLOOKUP(G1197,케이블트레이입.출고현황!X1200:AC1275,2,0),"")</f>
        <v/>
      </c>
      <c r="I1197" s="19" t="str">
        <f>IFERROR(VLOOKUP(H1197,케이블트레이입.출고현황!Y1200:AD1275,2,0),"")</f>
        <v/>
      </c>
      <c r="J1197" s="9" t="s">
        <v>634</v>
      </c>
      <c r="K1197" s="9"/>
      <c r="L1197" s="37"/>
      <c r="M1197" s="64"/>
      <c r="N1197" s="4"/>
    </row>
    <row r="1198" spans="1:14" ht="24" customHeight="1">
      <c r="A1198" s="8">
        <v>1158</v>
      </c>
      <c r="B1198" s="9">
        <v>1158</v>
      </c>
      <c r="C1198" s="46"/>
      <c r="D1198" s="9"/>
      <c r="E1198" s="19" t="str">
        <f>IFERROR(VLOOKUP(D1198,케이블트레이입.출고현황!U1201:Z1276,2,0),"")</f>
        <v/>
      </c>
      <c r="F1198" s="19" t="str">
        <f>IFERROR(VLOOKUP(E1198,케이블트레이입.출고현황!V1201:AA1276,2,0),"")</f>
        <v/>
      </c>
      <c r="G1198" s="19" t="str">
        <f>IFERROR(VLOOKUP(F1198,케이블트레이입.출고현황!W1201:AB1276,2,0),"")</f>
        <v/>
      </c>
      <c r="H1198" s="19" t="str">
        <f>IFERROR(VLOOKUP(G1198,케이블트레이입.출고현황!X1201:AC1276,2,0),"")</f>
        <v/>
      </c>
      <c r="I1198" s="19" t="str">
        <f>IFERROR(VLOOKUP(H1198,케이블트레이입.출고현황!Y1201:AD1276,2,0),"")</f>
        <v/>
      </c>
      <c r="J1198" s="9">
        <v>2</v>
      </c>
      <c r="K1198" s="9"/>
      <c r="L1198" s="37"/>
      <c r="M1198" s="64"/>
      <c r="N1198" s="4"/>
    </row>
    <row r="1199" spans="1:14" ht="24" customHeight="1">
      <c r="A1199" s="8">
        <v>1159</v>
      </c>
      <c r="B1199" s="9">
        <v>1159</v>
      </c>
      <c r="C1199" s="46"/>
      <c r="D1199" s="9"/>
      <c r="E1199" s="19" t="str">
        <f>IFERROR(VLOOKUP(D1199,케이블트레이입.출고현황!U1202:Z1277,2,0),"")</f>
        <v/>
      </c>
      <c r="F1199" s="19" t="str">
        <f>IFERROR(VLOOKUP(E1199,케이블트레이입.출고현황!V1202:AA1277,2,0),"")</f>
        <v/>
      </c>
      <c r="G1199" s="19" t="str">
        <f>IFERROR(VLOOKUP(F1199,케이블트레이입.출고현황!W1202:AB1277,2,0),"")</f>
        <v/>
      </c>
      <c r="H1199" s="19" t="str">
        <f>IFERROR(VLOOKUP(G1199,케이블트레이입.출고현황!X1202:AC1277,2,0),"")</f>
        <v/>
      </c>
      <c r="I1199" s="19" t="str">
        <f>IFERROR(VLOOKUP(H1199,케이블트레이입.출고현황!Y1202:AD1277,2,0),"")</f>
        <v/>
      </c>
      <c r="J1199" s="9">
        <v>1</v>
      </c>
      <c r="K1199" s="9"/>
      <c r="L1199" s="37"/>
      <c r="M1199" s="64"/>
      <c r="N1199" s="4"/>
    </row>
    <row r="1200" spans="1:14" ht="24" customHeight="1">
      <c r="A1200" s="8">
        <v>1160</v>
      </c>
      <c r="B1200" s="9">
        <v>1160</v>
      </c>
      <c r="C1200" s="46"/>
      <c r="D1200" s="9"/>
      <c r="E1200" s="19" t="str">
        <f>IFERROR(VLOOKUP(D1200,케이블트레이입.출고현황!U1203:Z1278,2,0),"")</f>
        <v/>
      </c>
      <c r="F1200" s="19" t="str">
        <f>IFERROR(VLOOKUP(E1200,케이블트레이입.출고현황!V1203:AA1278,2,0),"")</f>
        <v/>
      </c>
      <c r="G1200" s="19" t="str">
        <f>IFERROR(VLOOKUP(F1200,케이블트레이입.출고현황!W1203:AB1278,2,0),"")</f>
        <v/>
      </c>
      <c r="H1200" s="19" t="str">
        <f>IFERROR(VLOOKUP(G1200,케이블트레이입.출고현황!X1203:AC1278,2,0),"")</f>
        <v/>
      </c>
      <c r="I1200" s="19" t="str">
        <f>IFERROR(VLOOKUP(H1200,케이블트레이입.출고현황!Y1203:AD1278,2,0),"")</f>
        <v/>
      </c>
      <c r="J1200" s="9">
        <v>1</v>
      </c>
      <c r="K1200" s="9"/>
      <c r="L1200" s="37"/>
      <c r="M1200" s="64"/>
      <c r="N1200" s="4"/>
    </row>
    <row r="1201" spans="1:14" ht="24" customHeight="1">
      <c r="A1201" s="8">
        <v>1161</v>
      </c>
      <c r="B1201" s="9">
        <v>1161</v>
      </c>
      <c r="C1201" s="46"/>
      <c r="D1201" s="9"/>
      <c r="E1201" s="19" t="str">
        <f>IFERROR(VLOOKUP(D1201,케이블트레이입.출고현황!U1204:Z1279,2,0),"")</f>
        <v/>
      </c>
      <c r="F1201" s="19" t="str">
        <f>IFERROR(VLOOKUP(E1201,케이블트레이입.출고현황!V1204:AA1279,2,0),"")</f>
        <v/>
      </c>
      <c r="G1201" s="19" t="str">
        <f>IFERROR(VLOOKUP(F1201,케이블트레이입.출고현황!W1204:AB1279,2,0),"")</f>
        <v/>
      </c>
      <c r="H1201" s="19" t="str">
        <f>IFERROR(VLOOKUP(G1201,케이블트레이입.출고현황!X1204:AC1279,2,0),"")</f>
        <v/>
      </c>
      <c r="I1201" s="19" t="str">
        <f>IFERROR(VLOOKUP(H1201,케이블트레이입.출고현황!Y1204:AD1279,2,0),"")</f>
        <v/>
      </c>
      <c r="J1201" s="9">
        <v>2</v>
      </c>
      <c r="K1201" s="9"/>
      <c r="L1201" s="37"/>
      <c r="M1201" s="64"/>
      <c r="N1201" s="4"/>
    </row>
    <row r="1202" spans="1:14" ht="24" customHeight="1">
      <c r="A1202" s="8">
        <v>1162</v>
      </c>
      <c r="B1202" s="9">
        <v>1162</v>
      </c>
      <c r="C1202" s="46"/>
      <c r="D1202" s="9"/>
      <c r="E1202" s="19" t="str">
        <f>IFERROR(VLOOKUP(D1202,케이블트레이입.출고현황!U1205:Z1280,2,0),"")</f>
        <v/>
      </c>
      <c r="F1202" s="19" t="str">
        <f>IFERROR(VLOOKUP(E1202,케이블트레이입.출고현황!V1205:AA1280,2,0),"")</f>
        <v/>
      </c>
      <c r="G1202" s="19" t="str">
        <f>IFERROR(VLOOKUP(F1202,케이블트레이입.출고현황!W1205:AB1280,2,0),"")</f>
        <v/>
      </c>
      <c r="H1202" s="19" t="str">
        <f>IFERROR(VLOOKUP(G1202,케이블트레이입.출고현황!X1205:AC1280,2,0),"")</f>
        <v/>
      </c>
      <c r="I1202" s="19" t="str">
        <f>IFERROR(VLOOKUP(H1202,케이블트레이입.출고현황!Y1205:AD1280,2,0),"")</f>
        <v/>
      </c>
      <c r="J1202" s="9">
        <v>1</v>
      </c>
      <c r="K1202" s="9"/>
      <c r="L1202" s="37"/>
      <c r="M1202" s="64"/>
      <c r="N1202" s="4"/>
    </row>
    <row r="1203" spans="1:14" ht="24" customHeight="1">
      <c r="A1203" s="8">
        <v>1163</v>
      </c>
      <c r="B1203" s="9">
        <v>1163</v>
      </c>
      <c r="C1203" s="46"/>
      <c r="D1203" s="9"/>
      <c r="E1203" s="19" t="str">
        <f>IFERROR(VLOOKUP(D1203,케이블트레이입.출고현황!U1206:Z1281,2,0),"")</f>
        <v/>
      </c>
      <c r="F1203" s="19" t="str">
        <f>IFERROR(VLOOKUP(E1203,케이블트레이입.출고현황!V1206:AA1281,2,0),"")</f>
        <v/>
      </c>
      <c r="G1203" s="19" t="str">
        <f>IFERROR(VLOOKUP(F1203,케이블트레이입.출고현황!W1206:AB1281,2,0),"")</f>
        <v/>
      </c>
      <c r="H1203" s="19" t="str">
        <f>IFERROR(VLOOKUP(G1203,케이블트레이입.출고현황!X1206:AC1281,2,0),"")</f>
        <v/>
      </c>
      <c r="I1203" s="19" t="str">
        <f>IFERROR(VLOOKUP(H1203,케이블트레이입.출고현황!Y1206:AD1281,2,0),"")</f>
        <v/>
      </c>
      <c r="J1203" s="9">
        <v>1</v>
      </c>
      <c r="K1203" s="9"/>
      <c r="L1203" s="37"/>
      <c r="M1203" s="64"/>
      <c r="N1203" s="4"/>
    </row>
    <row r="1204" spans="1:14" ht="24" customHeight="1">
      <c r="A1204" s="8">
        <v>1164</v>
      </c>
      <c r="B1204" s="9">
        <v>1164</v>
      </c>
      <c r="C1204" s="46"/>
      <c r="D1204" s="9"/>
      <c r="E1204" s="19" t="str">
        <f>IFERROR(VLOOKUP(D1204,케이블트레이입.출고현황!U1207:Z1282,2,0),"")</f>
        <v/>
      </c>
      <c r="F1204" s="19" t="str">
        <f>IFERROR(VLOOKUP(E1204,케이블트레이입.출고현황!V1207:AA1282,2,0),"")</f>
        <v/>
      </c>
      <c r="G1204" s="19" t="str">
        <f>IFERROR(VLOOKUP(F1204,케이블트레이입.출고현황!W1207:AB1282,2,0),"")</f>
        <v/>
      </c>
      <c r="H1204" s="19" t="str">
        <f>IFERROR(VLOOKUP(G1204,케이블트레이입.출고현황!X1207:AC1282,2,0),"")</f>
        <v/>
      </c>
      <c r="I1204" s="19" t="str">
        <f>IFERROR(VLOOKUP(H1204,케이블트레이입.출고현황!Y1207:AD1282,2,0),"")</f>
        <v/>
      </c>
      <c r="J1204" s="9">
        <v>1</v>
      </c>
      <c r="K1204" s="9"/>
      <c r="L1204" s="37"/>
      <c r="M1204" s="64"/>
      <c r="N1204" s="4"/>
    </row>
    <row r="1205" spans="1:14" ht="24" customHeight="1">
      <c r="A1205" s="8">
        <v>1165</v>
      </c>
      <c r="B1205" s="9">
        <v>1165</v>
      </c>
      <c r="C1205" s="46"/>
      <c r="D1205" s="9"/>
      <c r="E1205" s="19" t="str">
        <f>IFERROR(VLOOKUP(D1205,케이블트레이입.출고현황!U1208:Z1283,2,0),"")</f>
        <v/>
      </c>
      <c r="F1205" s="19" t="str">
        <f>IFERROR(VLOOKUP(E1205,케이블트레이입.출고현황!V1208:AA1283,2,0),"")</f>
        <v/>
      </c>
      <c r="G1205" s="19" t="str">
        <f>IFERROR(VLOOKUP(F1205,케이블트레이입.출고현황!W1208:AB1283,2,0),"")</f>
        <v/>
      </c>
      <c r="H1205" s="19" t="str">
        <f>IFERROR(VLOOKUP(G1205,케이블트레이입.출고현황!X1208:AC1283,2,0),"")</f>
        <v/>
      </c>
      <c r="I1205" s="19" t="str">
        <f>IFERROR(VLOOKUP(H1205,케이블트레이입.출고현황!Y1208:AD1283,2,0),"")</f>
        <v/>
      </c>
      <c r="J1205" s="9">
        <v>2</v>
      </c>
      <c r="K1205" s="9"/>
      <c r="L1205" s="37"/>
      <c r="M1205" s="64"/>
      <c r="N1205" s="4"/>
    </row>
    <row r="1206" spans="1:14" ht="24" customHeight="1">
      <c r="A1206" s="8">
        <v>1166</v>
      </c>
      <c r="B1206" s="9">
        <v>1166</v>
      </c>
      <c r="C1206" s="46"/>
      <c r="D1206" s="9"/>
      <c r="E1206" s="19" t="str">
        <f>IFERROR(VLOOKUP(D1206,케이블트레이입.출고현황!U1209:Z1284,2,0),"")</f>
        <v/>
      </c>
      <c r="F1206" s="19" t="str">
        <f>IFERROR(VLOOKUP(E1206,케이블트레이입.출고현황!V1209:AA1284,2,0),"")</f>
        <v/>
      </c>
      <c r="G1206" s="19" t="str">
        <f>IFERROR(VLOOKUP(F1206,케이블트레이입.출고현황!W1209:AB1284,2,0),"")</f>
        <v/>
      </c>
      <c r="H1206" s="19" t="str">
        <f>IFERROR(VLOOKUP(G1206,케이블트레이입.출고현황!X1209:AC1284,2,0),"")</f>
        <v/>
      </c>
      <c r="I1206" s="19" t="str">
        <f>IFERROR(VLOOKUP(H1206,케이블트레이입.출고현황!Y1209:AD1284,2,0),"")</f>
        <v/>
      </c>
      <c r="J1206" s="9">
        <v>1</v>
      </c>
      <c r="K1206" s="9"/>
      <c r="L1206" s="37"/>
      <c r="M1206" s="64"/>
      <c r="N1206" s="4"/>
    </row>
    <row r="1207" spans="1:14" ht="24" customHeight="1">
      <c r="A1207" s="8">
        <v>1167</v>
      </c>
      <c r="B1207" s="9">
        <v>1167</v>
      </c>
      <c r="C1207" s="46"/>
      <c r="D1207" s="9"/>
      <c r="E1207" s="19" t="str">
        <f>IFERROR(VLOOKUP(D1207,케이블트레이입.출고현황!U1210:Z1285,2,0),"")</f>
        <v/>
      </c>
      <c r="F1207" s="19" t="str">
        <f>IFERROR(VLOOKUP(E1207,케이블트레이입.출고현황!V1210:AA1285,2,0),"")</f>
        <v/>
      </c>
      <c r="G1207" s="19" t="str">
        <f>IFERROR(VLOOKUP(F1207,케이블트레이입.출고현황!W1210:AB1285,2,0),"")</f>
        <v/>
      </c>
      <c r="H1207" s="19" t="str">
        <f>IFERROR(VLOOKUP(G1207,케이블트레이입.출고현황!X1210:AC1285,2,0),"")</f>
        <v/>
      </c>
      <c r="I1207" s="19" t="str">
        <f>IFERROR(VLOOKUP(H1207,케이블트레이입.출고현황!Y1210:AD1285,2,0),"")</f>
        <v/>
      </c>
      <c r="J1207" s="9">
        <v>1</v>
      </c>
      <c r="K1207" s="9"/>
      <c r="L1207" s="37"/>
      <c r="M1207" s="64"/>
      <c r="N1207" s="4"/>
    </row>
    <row r="1208" spans="1:14" ht="24" customHeight="1">
      <c r="A1208" s="8">
        <v>1168</v>
      </c>
      <c r="B1208" s="9">
        <v>1168</v>
      </c>
      <c r="C1208" s="46"/>
      <c r="D1208" s="9"/>
      <c r="E1208" s="19" t="str">
        <f>IFERROR(VLOOKUP(D1208,케이블트레이입.출고현황!U1211:Z1286,2,0),"")</f>
        <v/>
      </c>
      <c r="F1208" s="19" t="str">
        <f>IFERROR(VLOOKUP(E1208,케이블트레이입.출고현황!V1211:AA1286,2,0),"")</f>
        <v/>
      </c>
      <c r="G1208" s="19" t="str">
        <f>IFERROR(VLOOKUP(F1208,케이블트레이입.출고현황!W1211:AB1286,2,0),"")</f>
        <v/>
      </c>
      <c r="H1208" s="19" t="str">
        <f>IFERROR(VLOOKUP(G1208,케이블트레이입.출고현황!X1211:AC1286,2,0),"")</f>
        <v/>
      </c>
      <c r="I1208" s="19" t="str">
        <f>IFERROR(VLOOKUP(H1208,케이블트레이입.출고현황!Y1211:AD1286,2,0),"")</f>
        <v/>
      </c>
      <c r="J1208" s="9">
        <v>1</v>
      </c>
      <c r="K1208" s="9"/>
      <c r="L1208" s="37"/>
      <c r="M1208" s="64"/>
      <c r="N1208" s="4"/>
    </row>
    <row r="1209" spans="1:14" ht="24" customHeight="1">
      <c r="A1209" s="8">
        <v>1169</v>
      </c>
      <c r="B1209" s="9">
        <v>1169</v>
      </c>
      <c r="C1209" s="46"/>
      <c r="D1209" s="9"/>
      <c r="E1209" s="19" t="str">
        <f>IFERROR(VLOOKUP(D1209,케이블트레이입.출고현황!U1212:Z1287,2,0),"")</f>
        <v/>
      </c>
      <c r="F1209" s="19" t="str">
        <f>IFERROR(VLOOKUP(E1209,케이블트레이입.출고현황!V1212:AA1287,2,0),"")</f>
        <v/>
      </c>
      <c r="G1209" s="19" t="str">
        <f>IFERROR(VLOOKUP(F1209,케이블트레이입.출고현황!W1212:AB1287,2,0),"")</f>
        <v/>
      </c>
      <c r="H1209" s="19" t="str">
        <f>IFERROR(VLOOKUP(G1209,케이블트레이입.출고현황!X1212:AC1287,2,0),"")</f>
        <v/>
      </c>
      <c r="I1209" s="19" t="str">
        <f>IFERROR(VLOOKUP(H1209,케이블트레이입.출고현황!Y1212:AD1287,2,0),"")</f>
        <v/>
      </c>
      <c r="J1209" s="9">
        <v>2</v>
      </c>
      <c r="K1209" s="9"/>
      <c r="L1209" s="37"/>
      <c r="M1209" s="64"/>
      <c r="N1209" s="4"/>
    </row>
    <row r="1210" spans="1:14" ht="24" customHeight="1">
      <c r="A1210" s="8">
        <v>1170</v>
      </c>
      <c r="B1210" s="9">
        <v>1170</v>
      </c>
      <c r="C1210" s="46"/>
      <c r="D1210" s="9"/>
      <c r="E1210" s="19" t="str">
        <f>IFERROR(VLOOKUP(D1210,케이블트레이입.출고현황!U1213:Z1288,2,0),"")</f>
        <v/>
      </c>
      <c r="F1210" s="19" t="str">
        <f>IFERROR(VLOOKUP(E1210,케이블트레이입.출고현황!V1213:AA1288,2,0),"")</f>
        <v/>
      </c>
      <c r="G1210" s="19" t="str">
        <f>IFERROR(VLOOKUP(F1210,케이블트레이입.출고현황!W1213:AB1288,2,0),"")</f>
        <v/>
      </c>
      <c r="H1210" s="19" t="str">
        <f>IFERROR(VLOOKUP(G1210,케이블트레이입.출고현황!X1213:AC1288,2,0),"")</f>
        <v/>
      </c>
      <c r="I1210" s="19" t="str">
        <f>IFERROR(VLOOKUP(H1210,케이블트레이입.출고현황!Y1213:AD1288,2,0),"")</f>
        <v/>
      </c>
      <c r="J1210" s="9">
        <v>4</v>
      </c>
      <c r="K1210" s="9"/>
      <c r="L1210" s="37"/>
      <c r="M1210" s="64"/>
      <c r="N1210" s="4"/>
    </row>
    <row r="1211" spans="1:14" ht="24" customHeight="1">
      <c r="A1211" s="8">
        <v>1171</v>
      </c>
      <c r="B1211" s="9">
        <v>1171</v>
      </c>
      <c r="C1211" s="46"/>
      <c r="D1211" s="9"/>
      <c r="E1211" s="19" t="str">
        <f>IFERROR(VLOOKUP(D1211,케이블트레이입.출고현황!U1214:Z1289,2,0),"")</f>
        <v/>
      </c>
      <c r="F1211" s="19" t="str">
        <f>IFERROR(VLOOKUP(E1211,케이블트레이입.출고현황!V1214:AA1289,2,0),"")</f>
        <v/>
      </c>
      <c r="G1211" s="19" t="str">
        <f>IFERROR(VLOOKUP(F1211,케이블트레이입.출고현황!W1214:AB1289,2,0),"")</f>
        <v/>
      </c>
      <c r="H1211" s="19" t="str">
        <f>IFERROR(VLOOKUP(G1211,케이블트레이입.출고현황!X1214:AC1289,2,0),"")</f>
        <v/>
      </c>
      <c r="I1211" s="19" t="str">
        <f>IFERROR(VLOOKUP(H1211,케이블트레이입.출고현황!Y1214:AD1289,2,0),"")</f>
        <v/>
      </c>
      <c r="J1211" s="9">
        <v>1</v>
      </c>
      <c r="K1211" s="9"/>
      <c r="L1211" s="37"/>
      <c r="M1211" s="64"/>
      <c r="N1211" s="4"/>
    </row>
    <row r="1212" spans="1:14" ht="24" customHeight="1">
      <c r="A1212" s="8">
        <v>1172</v>
      </c>
      <c r="B1212" s="9">
        <v>1172</v>
      </c>
      <c r="C1212" s="46"/>
      <c r="D1212" s="9"/>
      <c r="E1212" s="19" t="str">
        <f>IFERROR(VLOOKUP(D1212,케이블트레이입.출고현황!U1215:Z1290,2,0),"")</f>
        <v/>
      </c>
      <c r="F1212" s="19" t="str">
        <f>IFERROR(VLOOKUP(E1212,케이블트레이입.출고현황!V1215:AA1290,2,0),"")</f>
        <v/>
      </c>
      <c r="G1212" s="19" t="str">
        <f>IFERROR(VLOOKUP(F1212,케이블트레이입.출고현황!W1215:AB1290,2,0),"")</f>
        <v/>
      </c>
      <c r="H1212" s="19" t="str">
        <f>IFERROR(VLOOKUP(G1212,케이블트레이입.출고현황!X1215:AC1290,2,0),"")</f>
        <v/>
      </c>
      <c r="I1212" s="19" t="str">
        <f>IFERROR(VLOOKUP(H1212,케이블트레이입.출고현황!Y1215:AD1290,2,0),"")</f>
        <v/>
      </c>
      <c r="J1212" s="9">
        <v>1</v>
      </c>
      <c r="K1212" s="9"/>
      <c r="L1212" s="37"/>
      <c r="M1212" s="64"/>
      <c r="N1212" s="4"/>
    </row>
    <row r="1213" spans="1:14" ht="24" customHeight="1">
      <c r="A1213" s="8">
        <v>1173</v>
      </c>
      <c r="B1213" s="9">
        <v>1173</v>
      </c>
      <c r="C1213" s="46"/>
      <c r="D1213" s="9"/>
      <c r="E1213" s="19" t="str">
        <f>IFERROR(VLOOKUP(D1213,케이블트레이입.출고현황!U1216:Z1291,2,0),"")</f>
        <v/>
      </c>
      <c r="F1213" s="19" t="str">
        <f>IFERROR(VLOOKUP(E1213,케이블트레이입.출고현황!V1216:AA1291,2,0),"")</f>
        <v/>
      </c>
      <c r="G1213" s="19" t="str">
        <f>IFERROR(VLOOKUP(F1213,케이블트레이입.출고현황!W1216:AB1291,2,0),"")</f>
        <v/>
      </c>
      <c r="H1213" s="19" t="str">
        <f>IFERROR(VLOOKUP(G1213,케이블트레이입.출고현황!X1216:AC1291,2,0),"")</f>
        <v/>
      </c>
      <c r="I1213" s="19" t="str">
        <f>IFERROR(VLOOKUP(H1213,케이블트레이입.출고현황!Y1216:AD1291,2,0),"")</f>
        <v/>
      </c>
      <c r="J1213" s="9">
        <v>2</v>
      </c>
      <c r="K1213" s="9"/>
      <c r="L1213" s="37"/>
      <c r="M1213" s="64"/>
      <c r="N1213" s="4"/>
    </row>
    <row r="1214" spans="1:14" ht="24" customHeight="1">
      <c r="A1214" s="8">
        <v>1174</v>
      </c>
      <c r="B1214" s="9">
        <v>1174</v>
      </c>
      <c r="C1214" s="46"/>
      <c r="D1214" s="9"/>
      <c r="E1214" s="19" t="str">
        <f>IFERROR(VLOOKUP(D1214,케이블트레이입.출고현황!U1217:Z1292,2,0),"")</f>
        <v/>
      </c>
      <c r="F1214" s="19" t="str">
        <f>IFERROR(VLOOKUP(E1214,케이블트레이입.출고현황!V1217:AA1292,2,0),"")</f>
        <v/>
      </c>
      <c r="G1214" s="19" t="str">
        <f>IFERROR(VLOOKUP(F1214,케이블트레이입.출고현황!W1217:AB1292,2,0),"")</f>
        <v/>
      </c>
      <c r="H1214" s="19" t="str">
        <f>IFERROR(VLOOKUP(G1214,케이블트레이입.출고현황!X1217:AC1292,2,0),"")</f>
        <v/>
      </c>
      <c r="I1214" s="19" t="str">
        <f>IFERROR(VLOOKUP(H1214,케이블트레이입.출고현황!Y1217:AD1292,2,0),"")</f>
        <v/>
      </c>
      <c r="J1214" s="9">
        <v>1</v>
      </c>
      <c r="K1214" s="9"/>
      <c r="L1214" s="37"/>
      <c r="M1214" s="64"/>
      <c r="N1214" s="4"/>
    </row>
    <row r="1215" spans="1:14" ht="24" customHeight="1">
      <c r="A1215" s="8">
        <v>1175</v>
      </c>
      <c r="B1215" s="9">
        <v>1175</v>
      </c>
      <c r="C1215" s="46"/>
      <c r="D1215" s="9"/>
      <c r="E1215" s="19" t="str">
        <f>IFERROR(VLOOKUP(D1215,케이블트레이입.출고현황!U1218:Z1293,2,0),"")</f>
        <v/>
      </c>
      <c r="F1215" s="19" t="str">
        <f>IFERROR(VLOOKUP(E1215,케이블트레이입.출고현황!V1218:AA1293,2,0),"")</f>
        <v/>
      </c>
      <c r="G1215" s="19" t="str">
        <f>IFERROR(VLOOKUP(F1215,케이블트레이입.출고현황!W1218:AB1293,2,0),"")</f>
        <v/>
      </c>
      <c r="H1215" s="19" t="str">
        <f>IFERROR(VLOOKUP(G1215,케이블트레이입.출고현황!X1218:AC1293,2,0),"")</f>
        <v/>
      </c>
      <c r="I1215" s="19" t="str">
        <f>IFERROR(VLOOKUP(H1215,케이블트레이입.출고현황!Y1218:AD1293,2,0),"")</f>
        <v/>
      </c>
      <c r="J1215" s="9">
        <v>1</v>
      </c>
      <c r="K1215" s="9"/>
      <c r="L1215" s="37"/>
      <c r="M1215" s="64"/>
      <c r="N1215" s="4"/>
    </row>
    <row r="1216" spans="1:14" ht="24" customHeight="1">
      <c r="A1216" s="8">
        <v>1176</v>
      </c>
      <c r="B1216" s="9">
        <v>1176</v>
      </c>
      <c r="C1216" s="46"/>
      <c r="D1216" s="9"/>
      <c r="E1216" s="19" t="str">
        <f>IFERROR(VLOOKUP(D1216,케이블트레이입.출고현황!U1219:Z1294,2,0),"")</f>
        <v/>
      </c>
      <c r="F1216" s="19" t="str">
        <f>IFERROR(VLOOKUP(E1216,케이블트레이입.출고현황!V1219:AA1294,2,0),"")</f>
        <v/>
      </c>
      <c r="G1216" s="19" t="str">
        <f>IFERROR(VLOOKUP(F1216,케이블트레이입.출고현황!W1219:AB1294,2,0),"")</f>
        <v/>
      </c>
      <c r="H1216" s="19" t="str">
        <f>IFERROR(VLOOKUP(G1216,케이블트레이입.출고현황!X1219:AC1294,2,0),"")</f>
        <v/>
      </c>
      <c r="I1216" s="19" t="str">
        <f>IFERROR(VLOOKUP(H1216,케이블트레이입.출고현황!Y1219:AD1294,2,0),"")</f>
        <v/>
      </c>
      <c r="J1216" s="9">
        <v>1</v>
      </c>
      <c r="K1216" s="9"/>
      <c r="L1216" s="37"/>
      <c r="M1216" s="64"/>
      <c r="N1216" s="4"/>
    </row>
    <row r="1217" spans="1:14" ht="24" customHeight="1">
      <c r="A1217" s="8">
        <v>1177</v>
      </c>
      <c r="B1217" s="9">
        <v>1177</v>
      </c>
      <c r="C1217" s="46"/>
      <c r="D1217" s="9"/>
      <c r="E1217" s="19" t="str">
        <f>IFERROR(VLOOKUP(D1217,케이블트레이입.출고현황!U1220:Z1295,2,0),"")</f>
        <v/>
      </c>
      <c r="F1217" s="19" t="str">
        <f>IFERROR(VLOOKUP(E1217,케이블트레이입.출고현황!V1220:AA1295,2,0),"")</f>
        <v/>
      </c>
      <c r="G1217" s="19" t="str">
        <f>IFERROR(VLOOKUP(F1217,케이블트레이입.출고현황!W1220:AB1295,2,0),"")</f>
        <v/>
      </c>
      <c r="H1217" s="19" t="str">
        <f>IFERROR(VLOOKUP(G1217,케이블트레이입.출고현황!X1220:AC1295,2,0),"")</f>
        <v/>
      </c>
      <c r="I1217" s="19" t="str">
        <f>IFERROR(VLOOKUP(H1217,케이블트레이입.출고현황!Y1220:AD1295,2,0),"")</f>
        <v/>
      </c>
      <c r="J1217" s="9">
        <v>2</v>
      </c>
      <c r="K1217" s="9"/>
      <c r="L1217" s="37"/>
      <c r="M1217" s="64"/>
      <c r="N1217" s="4"/>
    </row>
    <row r="1218" spans="1:14" ht="24" customHeight="1">
      <c r="A1218" s="8">
        <v>1178</v>
      </c>
      <c r="B1218" s="9">
        <v>1178</v>
      </c>
      <c r="C1218" s="46"/>
      <c r="D1218" s="9"/>
      <c r="E1218" s="19" t="str">
        <f>IFERROR(VLOOKUP(D1218,케이블트레이입.출고현황!U1221:Z1296,2,0),"")</f>
        <v/>
      </c>
      <c r="F1218" s="19" t="str">
        <f>IFERROR(VLOOKUP(E1218,케이블트레이입.출고현황!V1221:AA1296,2,0),"")</f>
        <v/>
      </c>
      <c r="G1218" s="19" t="str">
        <f>IFERROR(VLOOKUP(F1218,케이블트레이입.출고현황!W1221:AB1296,2,0),"")</f>
        <v/>
      </c>
      <c r="H1218" s="19" t="str">
        <f>IFERROR(VLOOKUP(G1218,케이블트레이입.출고현황!X1221:AC1296,2,0),"")</f>
        <v/>
      </c>
      <c r="I1218" s="19" t="str">
        <f>IFERROR(VLOOKUP(H1218,케이블트레이입.출고현황!Y1221:AD1296,2,0),"")</f>
        <v/>
      </c>
      <c r="J1218" s="9">
        <v>2</v>
      </c>
      <c r="K1218" s="9"/>
      <c r="L1218" s="37"/>
      <c r="M1218" s="64"/>
      <c r="N1218" s="4"/>
    </row>
    <row r="1219" spans="1:14" ht="24" customHeight="1">
      <c r="A1219" s="8">
        <v>1179</v>
      </c>
      <c r="B1219" s="9">
        <v>1179</v>
      </c>
      <c r="C1219" s="46"/>
      <c r="D1219" s="9"/>
      <c r="E1219" s="19" t="str">
        <f>IFERROR(VLOOKUP(D1219,케이블트레이입.출고현황!U1222:Z1297,2,0),"")</f>
        <v/>
      </c>
      <c r="F1219" s="19" t="str">
        <f>IFERROR(VLOOKUP(E1219,케이블트레이입.출고현황!V1222:AA1297,2,0),"")</f>
        <v/>
      </c>
      <c r="G1219" s="19" t="str">
        <f>IFERROR(VLOOKUP(F1219,케이블트레이입.출고현황!W1222:AB1297,2,0),"")</f>
        <v/>
      </c>
      <c r="H1219" s="19" t="str">
        <f>IFERROR(VLOOKUP(G1219,케이블트레이입.출고현황!X1222:AC1297,2,0),"")</f>
        <v/>
      </c>
      <c r="I1219" s="19" t="str">
        <f>IFERROR(VLOOKUP(H1219,케이블트레이입.출고현황!Y1222:AD1297,2,0),"")</f>
        <v/>
      </c>
      <c r="J1219" s="9">
        <v>3</v>
      </c>
      <c r="K1219" s="9"/>
      <c r="L1219" s="37"/>
      <c r="M1219" s="64"/>
      <c r="N1219" s="4"/>
    </row>
    <row r="1220" spans="1:14" ht="24" customHeight="1">
      <c r="A1220" s="8">
        <v>1180</v>
      </c>
      <c r="B1220" s="9">
        <v>1180</v>
      </c>
      <c r="C1220" s="46"/>
      <c r="D1220" s="9"/>
      <c r="E1220" s="19" t="str">
        <f>IFERROR(VLOOKUP(D1220,케이블트레이입.출고현황!U1223:Z1298,2,0),"")</f>
        <v/>
      </c>
      <c r="F1220" s="19" t="str">
        <f>IFERROR(VLOOKUP(E1220,케이블트레이입.출고현황!V1223:AA1298,2,0),"")</f>
        <v/>
      </c>
      <c r="G1220" s="19" t="str">
        <f>IFERROR(VLOOKUP(F1220,케이블트레이입.출고현황!W1223:AB1298,2,0),"")</f>
        <v/>
      </c>
      <c r="H1220" s="19" t="str">
        <f>IFERROR(VLOOKUP(G1220,케이블트레이입.출고현황!X1223:AC1298,2,0),"")</f>
        <v/>
      </c>
      <c r="I1220" s="19" t="str">
        <f>IFERROR(VLOOKUP(H1220,케이블트레이입.출고현황!Y1223:AD1298,2,0),"")</f>
        <v/>
      </c>
      <c r="J1220" s="9">
        <v>1</v>
      </c>
      <c r="K1220" s="9"/>
      <c r="L1220" s="37"/>
      <c r="M1220" s="64"/>
      <c r="N1220" s="4"/>
    </row>
    <row r="1221" spans="1:14" ht="24" customHeight="1">
      <c r="A1221" s="8">
        <v>1181</v>
      </c>
      <c r="B1221" s="9">
        <v>1181</v>
      </c>
      <c r="C1221" s="46"/>
      <c r="D1221" s="9"/>
      <c r="E1221" s="19" t="str">
        <f>IFERROR(VLOOKUP(D1221,케이블트레이입.출고현황!U1224:Z1299,2,0),"")</f>
        <v/>
      </c>
      <c r="F1221" s="19" t="str">
        <f>IFERROR(VLOOKUP(E1221,케이블트레이입.출고현황!V1224:AA1299,2,0),"")</f>
        <v/>
      </c>
      <c r="G1221" s="19" t="str">
        <f>IFERROR(VLOOKUP(F1221,케이블트레이입.출고현황!W1224:AB1299,2,0),"")</f>
        <v/>
      </c>
      <c r="H1221" s="19" t="str">
        <f>IFERROR(VLOOKUP(G1221,케이블트레이입.출고현황!X1224:AC1299,2,0),"")</f>
        <v/>
      </c>
      <c r="I1221" s="19" t="str">
        <f>IFERROR(VLOOKUP(H1221,케이블트레이입.출고현황!Y1224:AD1299,2,0),"")</f>
        <v/>
      </c>
      <c r="J1221" s="9">
        <v>1</v>
      </c>
      <c r="K1221" s="9"/>
      <c r="L1221" s="37"/>
      <c r="M1221" s="64"/>
      <c r="N1221" s="4"/>
    </row>
    <row r="1222" spans="1:14" ht="24" customHeight="1">
      <c r="A1222" s="8">
        <v>1182</v>
      </c>
      <c r="B1222" s="9">
        <v>1182</v>
      </c>
      <c r="C1222" s="46"/>
      <c r="D1222" s="9"/>
      <c r="E1222" s="19" t="str">
        <f>IFERROR(VLOOKUP(D1222,케이블트레이입.출고현황!U1225:Z1300,2,0),"")</f>
        <v/>
      </c>
      <c r="F1222" s="19" t="str">
        <f>IFERROR(VLOOKUP(E1222,케이블트레이입.출고현황!V1225:AA1300,2,0),"")</f>
        <v/>
      </c>
      <c r="G1222" s="19" t="str">
        <f>IFERROR(VLOOKUP(F1222,케이블트레이입.출고현황!W1225:AB1300,2,0),"")</f>
        <v/>
      </c>
      <c r="H1222" s="19" t="str">
        <f>IFERROR(VLOOKUP(G1222,케이블트레이입.출고현황!X1225:AC1300,2,0),"")</f>
        <v/>
      </c>
      <c r="I1222" s="19" t="str">
        <f>IFERROR(VLOOKUP(H1222,케이블트레이입.출고현황!Y1225:AD1300,2,0),"")</f>
        <v/>
      </c>
      <c r="J1222" s="9">
        <v>1</v>
      </c>
      <c r="K1222" s="9"/>
      <c r="L1222" s="37"/>
      <c r="M1222" s="64"/>
      <c r="N1222" s="4"/>
    </row>
    <row r="1223" spans="1:14" ht="24" customHeight="1">
      <c r="A1223" s="8">
        <v>1183</v>
      </c>
      <c r="B1223" s="9">
        <v>1183</v>
      </c>
      <c r="C1223" s="46"/>
      <c r="D1223" s="9"/>
      <c r="E1223" s="19" t="str">
        <f>IFERROR(VLOOKUP(D1223,케이블트레이입.출고현황!U1226:Z1301,2,0),"")</f>
        <v/>
      </c>
      <c r="F1223" s="19" t="str">
        <f>IFERROR(VLOOKUP(E1223,케이블트레이입.출고현황!V1226:AA1301,2,0),"")</f>
        <v/>
      </c>
      <c r="G1223" s="19" t="str">
        <f>IFERROR(VLOOKUP(F1223,케이블트레이입.출고현황!W1226:AB1301,2,0),"")</f>
        <v/>
      </c>
      <c r="H1223" s="19" t="str">
        <f>IFERROR(VLOOKUP(G1223,케이블트레이입.출고현황!X1226:AC1301,2,0),"")</f>
        <v/>
      </c>
      <c r="I1223" s="19" t="str">
        <f>IFERROR(VLOOKUP(H1223,케이블트레이입.출고현황!Y1226:AD1301,2,0),"")</f>
        <v/>
      </c>
      <c r="J1223" s="9">
        <v>3</v>
      </c>
      <c r="K1223" s="9"/>
      <c r="L1223" s="37"/>
      <c r="M1223" s="64"/>
      <c r="N1223" s="4"/>
    </row>
    <row r="1224" spans="1:14" ht="24" customHeight="1">
      <c r="A1224" s="8">
        <v>1184</v>
      </c>
      <c r="B1224" s="9">
        <v>1184</v>
      </c>
      <c r="C1224" s="46"/>
      <c r="D1224" s="9"/>
      <c r="E1224" s="19" t="str">
        <f>IFERROR(VLOOKUP(D1224,케이블트레이입.출고현황!U1227:Z1302,2,0),"")</f>
        <v/>
      </c>
      <c r="F1224" s="19" t="str">
        <f>IFERROR(VLOOKUP(E1224,케이블트레이입.출고현황!V1227:AA1302,2,0),"")</f>
        <v/>
      </c>
      <c r="G1224" s="19" t="str">
        <f>IFERROR(VLOOKUP(F1224,케이블트레이입.출고현황!W1227:AB1302,2,0),"")</f>
        <v/>
      </c>
      <c r="H1224" s="19" t="str">
        <f>IFERROR(VLOOKUP(G1224,케이블트레이입.출고현황!X1227:AC1302,2,0),"")</f>
        <v/>
      </c>
      <c r="I1224" s="19" t="str">
        <f>IFERROR(VLOOKUP(H1224,케이블트레이입.출고현황!Y1227:AD1302,2,0),"")</f>
        <v/>
      </c>
      <c r="J1224" s="9">
        <v>2</v>
      </c>
      <c r="K1224" s="9"/>
      <c r="L1224" s="37"/>
      <c r="M1224" s="64"/>
      <c r="N1224" s="4"/>
    </row>
    <row r="1225" spans="1:14" ht="24" customHeight="1">
      <c r="A1225" s="8">
        <v>1185</v>
      </c>
      <c r="B1225" s="9">
        <v>1185</v>
      </c>
      <c r="C1225" s="46"/>
      <c r="D1225" s="9"/>
      <c r="E1225" s="19" t="str">
        <f>IFERROR(VLOOKUP(D1225,케이블트레이입.출고현황!U1228:Z1303,2,0),"")</f>
        <v/>
      </c>
      <c r="F1225" s="19" t="str">
        <f>IFERROR(VLOOKUP(E1225,케이블트레이입.출고현황!V1228:AA1303,2,0),"")</f>
        <v/>
      </c>
      <c r="G1225" s="19" t="str">
        <f>IFERROR(VLOOKUP(F1225,케이블트레이입.출고현황!W1228:AB1303,2,0),"")</f>
        <v/>
      </c>
      <c r="H1225" s="19" t="str">
        <f>IFERROR(VLOOKUP(G1225,케이블트레이입.출고현황!X1228:AC1303,2,0),"")</f>
        <v/>
      </c>
      <c r="I1225" s="19" t="str">
        <f>IFERROR(VLOOKUP(H1225,케이블트레이입.출고현황!Y1228:AD1303,2,0),"")</f>
        <v/>
      </c>
      <c r="J1225" s="9">
        <v>2</v>
      </c>
      <c r="K1225" s="9"/>
      <c r="L1225" s="37"/>
      <c r="M1225" s="64"/>
      <c r="N1225" s="4"/>
    </row>
    <row r="1226" spans="1:14" ht="24" customHeight="1">
      <c r="A1226" s="8">
        <v>1186</v>
      </c>
      <c r="B1226" s="9">
        <v>1186</v>
      </c>
      <c r="C1226" s="46"/>
      <c r="D1226" s="9"/>
      <c r="E1226" s="19" t="str">
        <f>IFERROR(VLOOKUP(D1226,케이블트레이입.출고현황!U1229:Z1304,2,0),"")</f>
        <v/>
      </c>
      <c r="F1226" s="19" t="str">
        <f>IFERROR(VLOOKUP(E1226,케이블트레이입.출고현황!V1229:AA1304,2,0),"")</f>
        <v/>
      </c>
      <c r="G1226" s="19" t="str">
        <f>IFERROR(VLOOKUP(F1226,케이블트레이입.출고현황!W1229:AB1304,2,0),"")</f>
        <v/>
      </c>
      <c r="H1226" s="19" t="str">
        <f>IFERROR(VLOOKUP(G1226,케이블트레이입.출고현황!X1229:AC1304,2,0),"")</f>
        <v/>
      </c>
      <c r="I1226" s="19" t="str">
        <f>IFERROR(VLOOKUP(H1226,케이블트레이입.출고현황!Y1229:AD1304,2,0),"")</f>
        <v/>
      </c>
      <c r="J1226" s="9">
        <v>1</v>
      </c>
      <c r="K1226" s="9"/>
      <c r="L1226" s="37"/>
      <c r="M1226" s="64"/>
      <c r="N1226" s="4"/>
    </row>
    <row r="1227" spans="1:14" ht="24" customHeight="1">
      <c r="A1227" s="8">
        <v>1187</v>
      </c>
      <c r="B1227" s="9">
        <v>1187</v>
      </c>
      <c r="C1227" s="46"/>
      <c r="D1227" s="9"/>
      <c r="E1227" s="19" t="str">
        <f>IFERROR(VLOOKUP(D1227,케이블트레이입.출고현황!U1230:Z1305,2,0),"")</f>
        <v/>
      </c>
      <c r="F1227" s="19" t="str">
        <f>IFERROR(VLOOKUP(E1227,케이블트레이입.출고현황!V1230:AA1305,2,0),"")</f>
        <v/>
      </c>
      <c r="G1227" s="19" t="str">
        <f>IFERROR(VLOOKUP(F1227,케이블트레이입.출고현황!W1230:AB1305,2,0),"")</f>
        <v/>
      </c>
      <c r="H1227" s="19" t="str">
        <f>IFERROR(VLOOKUP(G1227,케이블트레이입.출고현황!X1230:AC1305,2,0),"")</f>
        <v/>
      </c>
      <c r="I1227" s="19" t="str">
        <f>IFERROR(VLOOKUP(H1227,케이블트레이입.출고현황!Y1230:AD1305,2,0),"")</f>
        <v/>
      </c>
      <c r="J1227" s="9">
        <v>1</v>
      </c>
      <c r="K1227" s="9"/>
      <c r="L1227" s="37"/>
      <c r="M1227" s="64"/>
      <c r="N1227" s="4"/>
    </row>
    <row r="1228" spans="1:14" ht="24" customHeight="1">
      <c r="A1228" s="8">
        <v>1188</v>
      </c>
      <c r="B1228" s="9">
        <v>1188</v>
      </c>
      <c r="C1228" s="46"/>
      <c r="D1228" s="9"/>
      <c r="E1228" s="19" t="str">
        <f>IFERROR(VLOOKUP(D1228,케이블트레이입.출고현황!U1231:Z1306,2,0),"")</f>
        <v/>
      </c>
      <c r="F1228" s="19" t="str">
        <f>IFERROR(VLOOKUP(E1228,케이블트레이입.출고현황!V1231:AA1306,2,0),"")</f>
        <v/>
      </c>
      <c r="G1228" s="19" t="str">
        <f>IFERROR(VLOOKUP(F1228,케이블트레이입.출고현황!W1231:AB1306,2,0),"")</f>
        <v/>
      </c>
      <c r="H1228" s="19" t="str">
        <f>IFERROR(VLOOKUP(G1228,케이블트레이입.출고현황!X1231:AC1306,2,0),"")</f>
        <v/>
      </c>
      <c r="I1228" s="19" t="str">
        <f>IFERROR(VLOOKUP(H1228,케이블트레이입.출고현황!Y1231:AD1306,2,0),"")</f>
        <v/>
      </c>
      <c r="J1228" s="9">
        <v>1</v>
      </c>
      <c r="K1228" s="9"/>
      <c r="L1228" s="37"/>
      <c r="M1228" s="64"/>
      <c r="N1228" s="4"/>
    </row>
    <row r="1229" spans="1:14" ht="24" customHeight="1">
      <c r="A1229" s="8">
        <v>1189</v>
      </c>
      <c r="B1229" s="9">
        <v>1189</v>
      </c>
      <c r="C1229" s="46"/>
      <c r="D1229" s="9"/>
      <c r="E1229" s="19" t="str">
        <f>IFERROR(VLOOKUP(D1229,케이블트레이입.출고현황!U1232:Z1307,2,0),"")</f>
        <v/>
      </c>
      <c r="F1229" s="19" t="str">
        <f>IFERROR(VLOOKUP(E1229,케이블트레이입.출고현황!V1232:AA1307,2,0),"")</f>
        <v/>
      </c>
      <c r="G1229" s="19" t="str">
        <f>IFERROR(VLOOKUP(F1229,케이블트레이입.출고현황!W1232:AB1307,2,0),"")</f>
        <v/>
      </c>
      <c r="H1229" s="19" t="str">
        <f>IFERROR(VLOOKUP(G1229,케이블트레이입.출고현황!X1232:AC1307,2,0),"")</f>
        <v/>
      </c>
      <c r="I1229" s="19" t="str">
        <f>IFERROR(VLOOKUP(H1229,케이블트레이입.출고현황!Y1232:AD1307,2,0),"")</f>
        <v/>
      </c>
      <c r="J1229" s="9">
        <v>2</v>
      </c>
      <c r="K1229" s="9"/>
      <c r="L1229" s="37"/>
      <c r="M1229" s="64"/>
      <c r="N1229" s="4"/>
    </row>
    <row r="1230" spans="1:14" ht="24" customHeight="1">
      <c r="A1230" s="8">
        <v>1190</v>
      </c>
      <c r="B1230" s="9">
        <v>1190</v>
      </c>
      <c r="C1230" s="46"/>
      <c r="D1230" s="9"/>
      <c r="E1230" s="19" t="str">
        <f>IFERROR(VLOOKUP(D1230,케이블트레이입.출고현황!U1233:Z1308,2,0),"")</f>
        <v/>
      </c>
      <c r="F1230" s="19" t="str">
        <f>IFERROR(VLOOKUP(E1230,케이블트레이입.출고현황!V1233:AA1308,2,0),"")</f>
        <v/>
      </c>
      <c r="G1230" s="19" t="str">
        <f>IFERROR(VLOOKUP(F1230,케이블트레이입.출고현황!W1233:AB1308,2,0),"")</f>
        <v/>
      </c>
      <c r="H1230" s="19" t="str">
        <f>IFERROR(VLOOKUP(G1230,케이블트레이입.출고현황!X1233:AC1308,2,0),"")</f>
        <v/>
      </c>
      <c r="I1230" s="19" t="str">
        <f>IFERROR(VLOOKUP(H1230,케이블트레이입.출고현황!Y1233:AD1308,2,0),"")</f>
        <v/>
      </c>
      <c r="J1230" s="9">
        <v>1</v>
      </c>
      <c r="K1230" s="9"/>
      <c r="L1230" s="37"/>
      <c r="M1230" s="64"/>
      <c r="N1230" s="4"/>
    </row>
    <row r="1231" spans="1:14" ht="24" customHeight="1">
      <c r="A1231" s="8">
        <v>1191</v>
      </c>
      <c r="B1231" s="9">
        <v>1191</v>
      </c>
      <c r="C1231" s="46"/>
      <c r="D1231" s="9"/>
      <c r="E1231" s="19" t="str">
        <f>IFERROR(VLOOKUP(D1231,케이블트레이입.출고현황!U1234:Z1309,2,0),"")</f>
        <v/>
      </c>
      <c r="F1231" s="19" t="str">
        <f>IFERROR(VLOOKUP(E1231,케이블트레이입.출고현황!V1234:AA1309,2,0),"")</f>
        <v/>
      </c>
      <c r="G1231" s="19" t="str">
        <f>IFERROR(VLOOKUP(F1231,케이블트레이입.출고현황!W1234:AB1309,2,0),"")</f>
        <v/>
      </c>
      <c r="H1231" s="19" t="str">
        <f>IFERROR(VLOOKUP(G1231,케이블트레이입.출고현황!X1234:AC1309,2,0),"")</f>
        <v/>
      </c>
      <c r="I1231" s="19" t="str">
        <f>IFERROR(VLOOKUP(H1231,케이블트레이입.출고현황!Y1234:AD1309,2,0),"")</f>
        <v/>
      </c>
      <c r="J1231" s="9">
        <v>1</v>
      </c>
      <c r="K1231" s="9"/>
      <c r="L1231" s="37"/>
      <c r="M1231" s="64"/>
      <c r="N1231" s="4"/>
    </row>
    <row r="1232" spans="1:14" ht="24" customHeight="1">
      <c r="A1232" s="8">
        <v>1192</v>
      </c>
      <c r="B1232" s="9">
        <v>1192</v>
      </c>
      <c r="C1232" s="46"/>
      <c r="D1232" s="9"/>
      <c r="E1232" s="19" t="str">
        <f>IFERROR(VLOOKUP(D1232,케이블트레이입.출고현황!U1235:Z1310,2,0),"")</f>
        <v/>
      </c>
      <c r="F1232" s="19" t="str">
        <f>IFERROR(VLOOKUP(E1232,케이블트레이입.출고현황!V1235:AA1310,2,0),"")</f>
        <v/>
      </c>
      <c r="G1232" s="19" t="str">
        <f>IFERROR(VLOOKUP(F1232,케이블트레이입.출고현황!W1235:AB1310,2,0),"")</f>
        <v/>
      </c>
      <c r="H1232" s="19" t="str">
        <f>IFERROR(VLOOKUP(G1232,케이블트레이입.출고현황!X1235:AC1310,2,0),"")</f>
        <v/>
      </c>
      <c r="I1232" s="19" t="str">
        <f>IFERROR(VLOOKUP(H1232,케이블트레이입.출고현황!Y1235:AD1310,2,0),"")</f>
        <v/>
      </c>
      <c r="J1232" s="9">
        <v>1</v>
      </c>
      <c r="K1232" s="9"/>
      <c r="L1232" s="37"/>
      <c r="M1232" s="64"/>
      <c r="N1232" s="4"/>
    </row>
    <row r="1233" spans="1:14" ht="24" customHeight="1">
      <c r="A1233" s="8">
        <v>1193</v>
      </c>
      <c r="B1233" s="9">
        <v>1193</v>
      </c>
      <c r="C1233" s="46"/>
      <c r="D1233" s="9"/>
      <c r="E1233" s="19" t="str">
        <f>IFERROR(VLOOKUP(D1233,케이블트레이입.출고현황!U1236:Z1311,2,0),"")</f>
        <v/>
      </c>
      <c r="F1233" s="19" t="str">
        <f>IFERROR(VLOOKUP(E1233,케이블트레이입.출고현황!V1236:AA1311,2,0),"")</f>
        <v/>
      </c>
      <c r="G1233" s="19" t="str">
        <f>IFERROR(VLOOKUP(F1233,케이블트레이입.출고현황!W1236:AB1311,2,0),"")</f>
        <v/>
      </c>
      <c r="H1233" s="19" t="str">
        <f>IFERROR(VLOOKUP(G1233,케이블트레이입.출고현황!X1236:AC1311,2,0),"")</f>
        <v/>
      </c>
      <c r="I1233" s="19" t="str">
        <f>IFERROR(VLOOKUP(H1233,케이블트레이입.출고현황!Y1236:AD1311,2,0),"")</f>
        <v/>
      </c>
      <c r="J1233" s="9">
        <v>2</v>
      </c>
      <c r="K1233" s="9"/>
      <c r="L1233" s="37"/>
      <c r="M1233" s="64"/>
      <c r="N1233" s="4"/>
    </row>
    <row r="1234" spans="1:14" ht="24" customHeight="1">
      <c r="A1234" s="8">
        <v>1194</v>
      </c>
      <c r="B1234" s="9">
        <v>1194</v>
      </c>
      <c r="C1234" s="46"/>
      <c r="D1234" s="9"/>
      <c r="E1234" s="19" t="str">
        <f>IFERROR(VLOOKUP(D1234,케이블트레이입.출고현황!U1237:Z1312,2,0),"")</f>
        <v/>
      </c>
      <c r="F1234" s="19" t="str">
        <f>IFERROR(VLOOKUP(E1234,케이블트레이입.출고현황!V1237:AA1312,2,0),"")</f>
        <v/>
      </c>
      <c r="G1234" s="19" t="str">
        <f>IFERROR(VLOOKUP(F1234,케이블트레이입.출고현황!W1237:AB1312,2,0),"")</f>
        <v/>
      </c>
      <c r="H1234" s="19" t="str">
        <f>IFERROR(VLOOKUP(G1234,케이블트레이입.출고현황!X1237:AC1312,2,0),"")</f>
        <v/>
      </c>
      <c r="I1234" s="19" t="str">
        <f>IFERROR(VLOOKUP(H1234,케이블트레이입.출고현황!Y1237:AD1312,2,0),"")</f>
        <v/>
      </c>
      <c r="J1234" s="9">
        <v>4</v>
      </c>
      <c r="K1234" s="9"/>
      <c r="L1234" s="37"/>
      <c r="M1234" s="64"/>
      <c r="N1234" s="4"/>
    </row>
    <row r="1235" spans="1:14" ht="24" customHeight="1">
      <c r="A1235" s="8">
        <v>1195</v>
      </c>
      <c r="B1235" s="9">
        <v>1195</v>
      </c>
      <c r="C1235" s="46"/>
      <c r="D1235" s="9"/>
      <c r="E1235" s="19" t="str">
        <f>IFERROR(VLOOKUP(D1235,케이블트레이입.출고현황!U1238:Z1313,2,0),"")</f>
        <v/>
      </c>
      <c r="F1235" s="19" t="str">
        <f>IFERROR(VLOOKUP(E1235,케이블트레이입.출고현황!V1238:AA1313,2,0),"")</f>
        <v/>
      </c>
      <c r="G1235" s="19" t="str">
        <f>IFERROR(VLOOKUP(F1235,케이블트레이입.출고현황!W1238:AB1313,2,0),"")</f>
        <v/>
      </c>
      <c r="H1235" s="19" t="str">
        <f>IFERROR(VLOOKUP(G1235,케이블트레이입.출고현황!X1238:AC1313,2,0),"")</f>
        <v/>
      </c>
      <c r="I1235" s="19" t="str">
        <f>IFERROR(VLOOKUP(H1235,케이블트레이입.출고현황!Y1238:AD1313,2,0),"")</f>
        <v/>
      </c>
      <c r="J1235" s="9">
        <v>1</v>
      </c>
      <c r="K1235" s="9"/>
      <c r="L1235" s="37"/>
      <c r="M1235" s="64"/>
      <c r="N1235" s="4"/>
    </row>
    <row r="1236" spans="1:14" ht="24" customHeight="1">
      <c r="A1236" s="8">
        <v>1196</v>
      </c>
      <c r="B1236" s="9">
        <v>1196</v>
      </c>
      <c r="C1236" s="46"/>
      <c r="D1236" s="9"/>
      <c r="E1236" s="19" t="str">
        <f>IFERROR(VLOOKUP(D1236,케이블트레이입.출고현황!U1239:Z1314,2,0),"")</f>
        <v/>
      </c>
      <c r="F1236" s="19" t="str">
        <f>IFERROR(VLOOKUP(E1236,케이블트레이입.출고현황!V1239:AA1314,2,0),"")</f>
        <v/>
      </c>
      <c r="G1236" s="19" t="str">
        <f>IFERROR(VLOOKUP(F1236,케이블트레이입.출고현황!W1239:AB1314,2,0),"")</f>
        <v/>
      </c>
      <c r="H1236" s="19" t="str">
        <f>IFERROR(VLOOKUP(G1236,케이블트레이입.출고현황!X1239:AC1314,2,0),"")</f>
        <v/>
      </c>
      <c r="I1236" s="19" t="str">
        <f>IFERROR(VLOOKUP(H1236,케이블트레이입.출고현황!Y1239:AD1314,2,0),"")</f>
        <v/>
      </c>
      <c r="J1236" s="9">
        <v>1</v>
      </c>
      <c r="K1236" s="9"/>
      <c r="L1236" s="37"/>
      <c r="M1236" s="64"/>
      <c r="N1236" s="4"/>
    </row>
    <row r="1237" spans="1:14" ht="24" customHeight="1">
      <c r="A1237" s="8">
        <v>1197</v>
      </c>
      <c r="B1237" s="9">
        <v>1197</v>
      </c>
      <c r="C1237" s="46"/>
      <c r="D1237" s="9"/>
      <c r="E1237" s="19" t="str">
        <f>IFERROR(VLOOKUP(D1237,케이블트레이입.출고현황!U1240:Z1315,2,0),"")</f>
        <v/>
      </c>
      <c r="F1237" s="19" t="str">
        <f>IFERROR(VLOOKUP(E1237,케이블트레이입.출고현황!V1240:AA1315,2,0),"")</f>
        <v/>
      </c>
      <c r="G1237" s="19" t="str">
        <f>IFERROR(VLOOKUP(F1237,케이블트레이입.출고현황!W1240:AB1315,2,0),"")</f>
        <v/>
      </c>
      <c r="H1237" s="19" t="str">
        <f>IFERROR(VLOOKUP(G1237,케이블트레이입.출고현황!X1240:AC1315,2,0),"")</f>
        <v/>
      </c>
      <c r="I1237" s="19" t="str">
        <f>IFERROR(VLOOKUP(H1237,케이블트레이입.출고현황!Y1240:AD1315,2,0),"")</f>
        <v/>
      </c>
      <c r="J1237" s="9">
        <v>2</v>
      </c>
      <c r="K1237" s="9"/>
      <c r="L1237" s="37"/>
      <c r="M1237" s="64"/>
      <c r="N1237" s="4"/>
    </row>
    <row r="1238" spans="1:14" ht="24" customHeight="1">
      <c r="A1238" s="8">
        <v>1198</v>
      </c>
      <c r="B1238" s="9">
        <v>1198</v>
      </c>
      <c r="C1238" s="46"/>
      <c r="D1238" s="9"/>
      <c r="E1238" s="19" t="str">
        <f>IFERROR(VLOOKUP(D1238,케이블트레이입.출고현황!U1241:Z1316,2,0),"")</f>
        <v/>
      </c>
      <c r="F1238" s="19" t="str">
        <f>IFERROR(VLOOKUP(E1238,케이블트레이입.출고현황!V1241:AA1316,2,0),"")</f>
        <v/>
      </c>
      <c r="G1238" s="19" t="str">
        <f>IFERROR(VLOOKUP(F1238,케이블트레이입.출고현황!W1241:AB1316,2,0),"")</f>
        <v/>
      </c>
      <c r="H1238" s="19" t="str">
        <f>IFERROR(VLOOKUP(G1238,케이블트레이입.출고현황!X1241:AC1316,2,0),"")</f>
        <v/>
      </c>
      <c r="I1238" s="19" t="str">
        <f>IFERROR(VLOOKUP(H1238,케이블트레이입.출고현황!Y1241:AD1316,2,0),"")</f>
        <v/>
      </c>
      <c r="J1238" s="9">
        <v>1</v>
      </c>
      <c r="K1238" s="9"/>
      <c r="L1238" s="37"/>
      <c r="M1238" s="64"/>
      <c r="N1238" s="4"/>
    </row>
    <row r="1239" spans="1:14" ht="24" customHeight="1">
      <c r="A1239" s="8">
        <v>1199</v>
      </c>
      <c r="B1239" s="9">
        <v>1199</v>
      </c>
      <c r="C1239" s="46"/>
      <c r="D1239" s="9"/>
      <c r="E1239" s="19" t="str">
        <f>IFERROR(VLOOKUP(D1239,케이블트레이입.출고현황!U1242:Z1317,2,0),"")</f>
        <v/>
      </c>
      <c r="F1239" s="19" t="str">
        <f>IFERROR(VLOOKUP(E1239,케이블트레이입.출고현황!V1242:AA1317,2,0),"")</f>
        <v/>
      </c>
      <c r="G1239" s="19" t="str">
        <f>IFERROR(VLOOKUP(F1239,케이블트레이입.출고현황!W1242:AB1317,2,0),"")</f>
        <v/>
      </c>
      <c r="H1239" s="19" t="str">
        <f>IFERROR(VLOOKUP(G1239,케이블트레이입.출고현황!X1242:AC1317,2,0),"")</f>
        <v/>
      </c>
      <c r="I1239" s="19" t="str">
        <f>IFERROR(VLOOKUP(H1239,케이블트레이입.출고현황!Y1242:AD1317,2,0),"")</f>
        <v/>
      </c>
      <c r="J1239" s="9">
        <v>1</v>
      </c>
      <c r="K1239" s="9"/>
      <c r="L1239" s="37"/>
      <c r="M1239" s="64"/>
      <c r="N1239" s="4"/>
    </row>
    <row r="1240" spans="1:14" ht="24" customHeight="1">
      <c r="A1240" s="8">
        <v>1200</v>
      </c>
      <c r="B1240" s="9">
        <v>1200</v>
      </c>
      <c r="C1240" s="46"/>
      <c r="D1240" s="9"/>
      <c r="E1240" s="19" t="str">
        <f>IFERROR(VLOOKUP(D1240,케이블트레이입.출고현황!U1243:Z1318,2,0),"")</f>
        <v/>
      </c>
      <c r="F1240" s="19" t="str">
        <f>IFERROR(VLOOKUP(E1240,케이블트레이입.출고현황!V1243:AA1318,2,0),"")</f>
        <v/>
      </c>
      <c r="G1240" s="19" t="str">
        <f>IFERROR(VLOOKUP(F1240,케이블트레이입.출고현황!W1243:AB1318,2,0),"")</f>
        <v/>
      </c>
      <c r="H1240" s="19" t="str">
        <f>IFERROR(VLOOKUP(G1240,케이블트레이입.출고현황!X1243:AC1318,2,0),"")</f>
        <v/>
      </c>
      <c r="I1240" s="19" t="str">
        <f>IFERROR(VLOOKUP(H1240,케이블트레이입.출고현황!Y1243:AD1318,2,0),"")</f>
        <v/>
      </c>
      <c r="J1240" s="9">
        <v>1</v>
      </c>
      <c r="K1240" s="9"/>
      <c r="L1240" s="37"/>
      <c r="M1240" s="64"/>
      <c r="N1240" s="4"/>
    </row>
    <row r="1241" spans="1:14" ht="24" customHeight="1">
      <c r="A1241" s="8">
        <v>1201</v>
      </c>
      <c r="B1241" s="9">
        <v>1201</v>
      </c>
      <c r="C1241" s="46"/>
      <c r="D1241" s="9"/>
      <c r="E1241" s="19" t="str">
        <f>IFERROR(VLOOKUP(D1241,케이블트레이입.출고현황!U1244:Z1319,2,0),"")</f>
        <v/>
      </c>
      <c r="F1241" s="19" t="str">
        <f>IFERROR(VLOOKUP(E1241,케이블트레이입.출고현황!V1244:AA1319,2,0),"")</f>
        <v/>
      </c>
      <c r="G1241" s="19" t="str">
        <f>IFERROR(VLOOKUP(F1241,케이블트레이입.출고현황!W1244:AB1319,2,0),"")</f>
        <v/>
      </c>
      <c r="H1241" s="19" t="str">
        <f>IFERROR(VLOOKUP(G1241,케이블트레이입.출고현황!X1244:AC1319,2,0),"")</f>
        <v/>
      </c>
      <c r="I1241" s="19" t="str">
        <f>IFERROR(VLOOKUP(H1241,케이블트레이입.출고현황!Y1244:AD1319,2,0),"")</f>
        <v/>
      </c>
      <c r="J1241" s="9">
        <v>1</v>
      </c>
      <c r="K1241" s="9"/>
      <c r="L1241" s="37"/>
      <c r="M1241" s="64"/>
      <c r="N1241" s="4"/>
    </row>
    <row r="1242" spans="1:14" ht="24" customHeight="1">
      <c r="A1242" s="8">
        <v>1202</v>
      </c>
      <c r="B1242" s="9">
        <v>1202</v>
      </c>
      <c r="C1242" s="46"/>
      <c r="D1242" s="9"/>
      <c r="E1242" s="19" t="str">
        <f>IFERROR(VLOOKUP(D1242,케이블트레이입.출고현황!U1245:Z1320,2,0),"")</f>
        <v/>
      </c>
      <c r="F1242" s="19" t="str">
        <f>IFERROR(VLOOKUP(E1242,케이블트레이입.출고현황!V1245:AA1320,2,0),"")</f>
        <v/>
      </c>
      <c r="G1242" s="19" t="str">
        <f>IFERROR(VLOOKUP(F1242,케이블트레이입.출고현황!W1245:AB1320,2,0),"")</f>
        <v/>
      </c>
      <c r="H1242" s="19" t="str">
        <f>IFERROR(VLOOKUP(G1242,케이블트레이입.출고현황!X1245:AC1320,2,0),"")</f>
        <v/>
      </c>
      <c r="I1242" s="19" t="str">
        <f>IFERROR(VLOOKUP(H1242,케이블트레이입.출고현황!Y1245:AD1320,2,0),"")</f>
        <v/>
      </c>
      <c r="J1242" s="9">
        <v>1</v>
      </c>
      <c r="K1242" s="9"/>
      <c r="L1242" s="37"/>
      <c r="M1242" s="64"/>
      <c r="N1242" s="4"/>
    </row>
    <row r="1243" spans="1:14" ht="24" customHeight="1">
      <c r="A1243" s="8">
        <v>1203</v>
      </c>
      <c r="B1243" s="9">
        <v>1203</v>
      </c>
      <c r="C1243" s="46"/>
      <c r="D1243" s="9"/>
      <c r="E1243" s="19" t="str">
        <f>IFERROR(VLOOKUP(D1243,케이블트레이입.출고현황!U1246:Z1321,2,0),"")</f>
        <v/>
      </c>
      <c r="F1243" s="19" t="str">
        <f>IFERROR(VLOOKUP(E1243,케이블트레이입.출고현황!V1246:AA1321,2,0),"")</f>
        <v/>
      </c>
      <c r="G1243" s="19" t="str">
        <f>IFERROR(VLOOKUP(F1243,케이블트레이입.출고현황!W1246:AB1321,2,0),"")</f>
        <v/>
      </c>
      <c r="H1243" s="19" t="str">
        <f>IFERROR(VLOOKUP(G1243,케이블트레이입.출고현황!X1246:AC1321,2,0),"")</f>
        <v/>
      </c>
      <c r="I1243" s="19" t="str">
        <f>IFERROR(VLOOKUP(H1243,케이블트레이입.출고현황!Y1246:AD1321,2,0),"")</f>
        <v/>
      </c>
      <c r="J1243" s="9">
        <v>3</v>
      </c>
      <c r="K1243" s="9"/>
      <c r="L1243" s="37"/>
      <c r="M1243" s="64"/>
      <c r="N1243" s="4"/>
    </row>
    <row r="1244" spans="1:14" ht="24" customHeight="1">
      <c r="A1244" s="8">
        <v>1204</v>
      </c>
      <c r="B1244" s="9">
        <v>1204</v>
      </c>
      <c r="C1244" s="46"/>
      <c r="D1244" s="9"/>
      <c r="E1244" s="19" t="str">
        <f>IFERROR(VLOOKUP(D1244,케이블트레이입.출고현황!U1247:Z1322,2,0),"")</f>
        <v/>
      </c>
      <c r="F1244" s="19" t="str">
        <f>IFERROR(VLOOKUP(E1244,케이블트레이입.출고현황!V1247:AA1322,2,0),"")</f>
        <v/>
      </c>
      <c r="G1244" s="19" t="str">
        <f>IFERROR(VLOOKUP(F1244,케이블트레이입.출고현황!W1247:AB1322,2,0),"")</f>
        <v/>
      </c>
      <c r="H1244" s="19" t="str">
        <f>IFERROR(VLOOKUP(G1244,케이블트레이입.출고현황!X1247:AC1322,2,0),"")</f>
        <v/>
      </c>
      <c r="I1244" s="19" t="str">
        <f>IFERROR(VLOOKUP(H1244,케이블트레이입.출고현황!Y1247:AD1322,2,0),"")</f>
        <v/>
      </c>
      <c r="J1244" s="9">
        <v>2</v>
      </c>
      <c r="K1244" s="9"/>
      <c r="L1244" s="37"/>
      <c r="M1244" s="64"/>
      <c r="N1244" s="4"/>
    </row>
    <row r="1245" spans="1:14" ht="24" customHeight="1">
      <c r="A1245" s="8">
        <v>1205</v>
      </c>
      <c r="B1245" s="9">
        <v>1205</v>
      </c>
      <c r="C1245" s="46"/>
      <c r="D1245" s="9"/>
      <c r="E1245" s="19" t="str">
        <f>IFERROR(VLOOKUP(D1245,케이블트레이입.출고현황!U1248:Z1323,2,0),"")</f>
        <v/>
      </c>
      <c r="F1245" s="19" t="str">
        <f>IFERROR(VLOOKUP(E1245,케이블트레이입.출고현황!V1248:AA1323,2,0),"")</f>
        <v/>
      </c>
      <c r="G1245" s="19" t="str">
        <f>IFERROR(VLOOKUP(F1245,케이블트레이입.출고현황!W1248:AB1323,2,0),"")</f>
        <v/>
      </c>
      <c r="H1245" s="19" t="str">
        <f>IFERROR(VLOOKUP(G1245,케이블트레이입.출고현황!X1248:AC1323,2,0),"")</f>
        <v/>
      </c>
      <c r="I1245" s="19" t="str">
        <f>IFERROR(VLOOKUP(H1245,케이블트레이입.출고현황!Y1248:AD1323,2,0),"")</f>
        <v/>
      </c>
      <c r="J1245" s="9">
        <v>1</v>
      </c>
      <c r="K1245" s="9"/>
      <c r="L1245" s="37"/>
      <c r="M1245" s="64"/>
      <c r="N1245" s="4"/>
    </row>
    <row r="1246" spans="1:14" ht="24" customHeight="1">
      <c r="A1246" s="8">
        <v>1206</v>
      </c>
      <c r="B1246" s="9">
        <v>1206</v>
      </c>
      <c r="C1246" s="46"/>
      <c r="D1246" s="9"/>
      <c r="E1246" s="19" t="str">
        <f>IFERROR(VLOOKUP(D1246,케이블트레이입.출고현황!U1249:Z1324,2,0),"")</f>
        <v/>
      </c>
      <c r="F1246" s="19" t="str">
        <f>IFERROR(VLOOKUP(E1246,케이블트레이입.출고현황!V1249:AA1324,2,0),"")</f>
        <v/>
      </c>
      <c r="G1246" s="19" t="str">
        <f>IFERROR(VLOOKUP(F1246,케이블트레이입.출고현황!W1249:AB1324,2,0),"")</f>
        <v/>
      </c>
      <c r="H1246" s="19" t="str">
        <f>IFERROR(VLOOKUP(G1246,케이블트레이입.출고현황!X1249:AC1324,2,0),"")</f>
        <v/>
      </c>
      <c r="I1246" s="19" t="str">
        <f>IFERROR(VLOOKUP(H1246,케이블트레이입.출고현황!Y1249:AD1324,2,0),"")</f>
        <v/>
      </c>
      <c r="J1246" s="9">
        <v>2</v>
      </c>
      <c r="K1246" s="9"/>
      <c r="L1246" s="37"/>
      <c r="M1246" s="64"/>
      <c r="N1246" s="4"/>
    </row>
    <row r="1247" spans="1:14" ht="24" customHeight="1">
      <c r="A1247" s="8">
        <v>1207</v>
      </c>
      <c r="B1247" s="9">
        <v>1207</v>
      </c>
      <c r="C1247" s="46"/>
      <c r="D1247" s="9"/>
      <c r="E1247" s="19" t="str">
        <f>IFERROR(VLOOKUP(D1247,케이블트레이입.출고현황!U1250:Z1325,2,0),"")</f>
        <v/>
      </c>
      <c r="F1247" s="19" t="str">
        <f>IFERROR(VLOOKUP(E1247,케이블트레이입.출고현황!V1250:AA1325,2,0),"")</f>
        <v/>
      </c>
      <c r="G1247" s="19" t="str">
        <f>IFERROR(VLOOKUP(F1247,케이블트레이입.출고현황!W1250:AB1325,2,0),"")</f>
        <v/>
      </c>
      <c r="H1247" s="19" t="str">
        <f>IFERROR(VLOOKUP(G1247,케이블트레이입.출고현황!X1250:AC1325,2,0),"")</f>
        <v/>
      </c>
      <c r="I1247" s="19" t="str">
        <f>IFERROR(VLOOKUP(H1247,케이블트레이입.출고현황!Y1250:AD1325,2,0),"")</f>
        <v/>
      </c>
      <c r="J1247" s="9">
        <v>4</v>
      </c>
      <c r="K1247" s="9"/>
      <c r="L1247" s="37"/>
      <c r="M1247" s="64"/>
      <c r="N1247" s="4"/>
    </row>
    <row r="1248" spans="1:14" ht="24" customHeight="1">
      <c r="A1248" s="8">
        <v>1208</v>
      </c>
      <c r="B1248" s="9">
        <v>1208</v>
      </c>
      <c r="C1248" s="46"/>
      <c r="D1248" s="9"/>
      <c r="E1248" s="19" t="str">
        <f>IFERROR(VLOOKUP(D1248,케이블트레이입.출고현황!U1251:Z1326,2,0),"")</f>
        <v/>
      </c>
      <c r="F1248" s="19" t="str">
        <f>IFERROR(VLOOKUP(E1248,케이블트레이입.출고현황!V1251:AA1326,2,0),"")</f>
        <v/>
      </c>
      <c r="G1248" s="19" t="str">
        <f>IFERROR(VLOOKUP(F1248,케이블트레이입.출고현황!W1251:AB1326,2,0),"")</f>
        <v/>
      </c>
      <c r="H1248" s="19" t="str">
        <f>IFERROR(VLOOKUP(G1248,케이블트레이입.출고현황!X1251:AC1326,2,0),"")</f>
        <v/>
      </c>
      <c r="I1248" s="19" t="str">
        <f>IFERROR(VLOOKUP(H1248,케이블트레이입.출고현황!Y1251:AD1326,2,0),"")</f>
        <v/>
      </c>
      <c r="J1248" s="9">
        <v>2</v>
      </c>
      <c r="K1248" s="9"/>
      <c r="L1248" s="37"/>
      <c r="M1248" s="64"/>
      <c r="N1248" s="4"/>
    </row>
    <row r="1249" spans="1:14" ht="24" customHeight="1">
      <c r="A1249" s="8">
        <v>1209</v>
      </c>
      <c r="B1249" s="9">
        <v>1209</v>
      </c>
      <c r="C1249" s="46"/>
      <c r="D1249" s="9"/>
      <c r="E1249" s="19" t="str">
        <f>IFERROR(VLOOKUP(D1249,케이블트레이입.출고현황!U1252:Z1327,2,0),"")</f>
        <v/>
      </c>
      <c r="F1249" s="19" t="str">
        <f>IFERROR(VLOOKUP(E1249,케이블트레이입.출고현황!V1252:AA1327,2,0),"")</f>
        <v/>
      </c>
      <c r="G1249" s="19" t="str">
        <f>IFERROR(VLOOKUP(F1249,케이블트레이입.출고현황!W1252:AB1327,2,0),"")</f>
        <v/>
      </c>
      <c r="H1249" s="19" t="str">
        <f>IFERROR(VLOOKUP(G1249,케이블트레이입.출고현황!X1252:AC1327,2,0),"")</f>
        <v/>
      </c>
      <c r="I1249" s="19" t="str">
        <f>IFERROR(VLOOKUP(H1249,케이블트레이입.출고현황!Y1252:AD1327,2,0),"")</f>
        <v/>
      </c>
      <c r="J1249" s="9">
        <v>3</v>
      </c>
      <c r="K1249" s="9"/>
      <c r="L1249" s="37"/>
      <c r="M1249" s="64"/>
      <c r="N1249" s="4"/>
    </row>
    <row r="1250" spans="1:14" ht="24" customHeight="1">
      <c r="A1250" s="8">
        <v>1210</v>
      </c>
      <c r="B1250" s="9">
        <v>1210</v>
      </c>
      <c r="C1250" s="46"/>
      <c r="D1250" s="9"/>
      <c r="E1250" s="19" t="str">
        <f>IFERROR(VLOOKUP(D1250,케이블트레이입.출고현황!U1253:Z1328,2,0),"")</f>
        <v/>
      </c>
      <c r="F1250" s="19" t="str">
        <f>IFERROR(VLOOKUP(E1250,케이블트레이입.출고현황!V1253:AA1328,2,0),"")</f>
        <v/>
      </c>
      <c r="G1250" s="19" t="str">
        <f>IFERROR(VLOOKUP(F1250,케이블트레이입.출고현황!W1253:AB1328,2,0),"")</f>
        <v/>
      </c>
      <c r="H1250" s="19" t="str">
        <f>IFERROR(VLOOKUP(G1250,케이블트레이입.출고현황!X1253:AC1328,2,0),"")</f>
        <v/>
      </c>
      <c r="I1250" s="19" t="str">
        <f>IFERROR(VLOOKUP(H1250,케이블트레이입.출고현황!Y1253:AD1328,2,0),"")</f>
        <v/>
      </c>
      <c r="J1250" s="9">
        <v>1</v>
      </c>
      <c r="K1250" s="9"/>
      <c r="L1250" s="37"/>
      <c r="M1250" s="64"/>
      <c r="N1250" s="4"/>
    </row>
    <row r="1251" spans="1:14" ht="24" customHeight="1">
      <c r="A1251" s="8">
        <v>1211</v>
      </c>
      <c r="B1251" s="9">
        <v>1211</v>
      </c>
      <c r="C1251" s="46"/>
      <c r="D1251" s="9"/>
      <c r="E1251" s="19" t="str">
        <f>IFERROR(VLOOKUP(D1251,케이블트레이입.출고현황!U1254:Z1329,2,0),"")</f>
        <v/>
      </c>
      <c r="F1251" s="19" t="str">
        <f>IFERROR(VLOOKUP(E1251,케이블트레이입.출고현황!V1254:AA1329,2,0),"")</f>
        <v/>
      </c>
      <c r="G1251" s="19" t="str">
        <f>IFERROR(VLOOKUP(F1251,케이블트레이입.출고현황!W1254:AB1329,2,0),"")</f>
        <v/>
      </c>
      <c r="H1251" s="19" t="str">
        <f>IFERROR(VLOOKUP(G1251,케이블트레이입.출고현황!X1254:AC1329,2,0),"")</f>
        <v/>
      </c>
      <c r="I1251" s="19" t="str">
        <f>IFERROR(VLOOKUP(H1251,케이블트레이입.출고현황!Y1254:AD1329,2,0),"")</f>
        <v/>
      </c>
      <c r="J1251" s="9">
        <v>1</v>
      </c>
      <c r="K1251" s="9"/>
      <c r="L1251" s="37"/>
      <c r="M1251" s="64"/>
      <c r="N1251" s="4"/>
    </row>
    <row r="1252" spans="1:14" ht="24" customHeight="1">
      <c r="A1252" s="8">
        <v>1212</v>
      </c>
      <c r="B1252" s="9">
        <v>1212</v>
      </c>
      <c r="C1252" s="46"/>
      <c r="D1252" s="9"/>
      <c r="E1252" s="19" t="str">
        <f>IFERROR(VLOOKUP(D1252,케이블트레이입.출고현황!U1255:Z1330,2,0),"")</f>
        <v/>
      </c>
      <c r="F1252" s="19" t="str">
        <f>IFERROR(VLOOKUP(E1252,케이블트레이입.출고현황!V1255:AA1330,2,0),"")</f>
        <v/>
      </c>
      <c r="G1252" s="19" t="str">
        <f>IFERROR(VLOOKUP(F1252,케이블트레이입.출고현황!W1255:AB1330,2,0),"")</f>
        <v/>
      </c>
      <c r="H1252" s="19" t="str">
        <f>IFERROR(VLOOKUP(G1252,케이블트레이입.출고현황!X1255:AC1330,2,0),"")</f>
        <v/>
      </c>
      <c r="I1252" s="19" t="str">
        <f>IFERROR(VLOOKUP(H1252,케이블트레이입.출고현황!Y1255:AD1330,2,0),"")</f>
        <v/>
      </c>
      <c r="J1252" s="9">
        <v>1</v>
      </c>
      <c r="K1252" s="9"/>
      <c r="L1252" s="37"/>
      <c r="M1252" s="64"/>
      <c r="N1252" s="4"/>
    </row>
    <row r="1253" spans="1:14" ht="24" customHeight="1">
      <c r="A1253" s="8">
        <v>1213</v>
      </c>
      <c r="B1253" s="9">
        <v>1213</v>
      </c>
      <c r="C1253" s="46"/>
      <c r="D1253" s="9"/>
      <c r="E1253" s="19" t="str">
        <f>IFERROR(VLOOKUP(D1253,케이블트레이입.출고현황!U1256:Z1331,2,0),"")</f>
        <v/>
      </c>
      <c r="F1253" s="19" t="str">
        <f>IFERROR(VLOOKUP(E1253,케이블트레이입.출고현황!V1256:AA1331,2,0),"")</f>
        <v/>
      </c>
      <c r="G1253" s="19" t="str">
        <f>IFERROR(VLOOKUP(F1253,케이블트레이입.출고현황!W1256:AB1331,2,0),"")</f>
        <v/>
      </c>
      <c r="H1253" s="19" t="str">
        <f>IFERROR(VLOOKUP(G1253,케이블트레이입.출고현황!X1256:AC1331,2,0),"")</f>
        <v/>
      </c>
      <c r="I1253" s="19" t="str">
        <f>IFERROR(VLOOKUP(H1253,케이블트레이입.출고현황!Y1256:AD1331,2,0),"")</f>
        <v/>
      </c>
      <c r="J1253" s="9">
        <v>1</v>
      </c>
      <c r="K1253" s="9"/>
      <c r="L1253" s="37"/>
      <c r="M1253" s="64"/>
      <c r="N1253" s="4"/>
    </row>
    <row r="1254" spans="1:14" ht="24" customHeight="1">
      <c r="A1254" s="8">
        <v>1214</v>
      </c>
      <c r="B1254" s="9">
        <v>1214</v>
      </c>
      <c r="C1254" s="46"/>
      <c r="D1254" s="9"/>
      <c r="E1254" s="19" t="str">
        <f>IFERROR(VLOOKUP(D1254,케이블트레이입.출고현황!U1257:Z1332,2,0),"")</f>
        <v/>
      </c>
      <c r="F1254" s="19" t="str">
        <f>IFERROR(VLOOKUP(E1254,케이블트레이입.출고현황!V1257:AA1332,2,0),"")</f>
        <v/>
      </c>
      <c r="G1254" s="19" t="str">
        <f>IFERROR(VLOOKUP(F1254,케이블트레이입.출고현황!W1257:AB1332,2,0),"")</f>
        <v/>
      </c>
      <c r="H1254" s="19" t="str">
        <f>IFERROR(VLOOKUP(G1254,케이블트레이입.출고현황!X1257:AC1332,2,0),"")</f>
        <v/>
      </c>
      <c r="I1254" s="19" t="str">
        <f>IFERROR(VLOOKUP(H1254,케이블트레이입.출고현황!Y1257:AD1332,2,0),"")</f>
        <v/>
      </c>
      <c r="J1254" s="9">
        <v>1</v>
      </c>
      <c r="K1254" s="9"/>
      <c r="L1254" s="37"/>
      <c r="M1254" s="64"/>
      <c r="N1254" s="4"/>
    </row>
    <row r="1255" spans="1:14" ht="24" customHeight="1">
      <c r="A1255" s="8">
        <v>1215</v>
      </c>
      <c r="B1255" s="9">
        <v>1215</v>
      </c>
      <c r="C1255" s="46"/>
      <c r="D1255" s="9"/>
      <c r="E1255" s="19" t="str">
        <f>IFERROR(VLOOKUP(D1255,케이블트레이입.출고현황!U1258:Z1333,2,0),"")</f>
        <v/>
      </c>
      <c r="F1255" s="19" t="str">
        <f>IFERROR(VLOOKUP(E1255,케이블트레이입.출고현황!V1258:AA1333,2,0),"")</f>
        <v/>
      </c>
      <c r="G1255" s="19" t="str">
        <f>IFERROR(VLOOKUP(F1255,케이블트레이입.출고현황!W1258:AB1333,2,0),"")</f>
        <v/>
      </c>
      <c r="H1255" s="19" t="str">
        <f>IFERROR(VLOOKUP(G1255,케이블트레이입.출고현황!X1258:AC1333,2,0),"")</f>
        <v/>
      </c>
      <c r="I1255" s="19" t="str">
        <f>IFERROR(VLOOKUP(H1255,케이블트레이입.출고현황!Y1258:AD1333,2,0),"")</f>
        <v/>
      </c>
      <c r="J1255" s="9">
        <v>4</v>
      </c>
      <c r="K1255" s="9"/>
      <c r="L1255" s="37"/>
      <c r="M1255" s="64"/>
      <c r="N1255" s="4"/>
    </row>
    <row r="1256" spans="1:14" ht="24" customHeight="1">
      <c r="A1256" s="8">
        <v>1216</v>
      </c>
      <c r="B1256" s="9">
        <v>1216</v>
      </c>
      <c r="C1256" s="46"/>
      <c r="D1256" s="9"/>
      <c r="E1256" s="19" t="str">
        <f>IFERROR(VLOOKUP(D1256,케이블트레이입.출고현황!U1259:Z1334,2,0),"")</f>
        <v/>
      </c>
      <c r="F1256" s="19" t="str">
        <f>IFERROR(VLOOKUP(E1256,케이블트레이입.출고현황!V1259:AA1334,2,0),"")</f>
        <v/>
      </c>
      <c r="G1256" s="19" t="str">
        <f>IFERROR(VLOOKUP(F1256,케이블트레이입.출고현황!W1259:AB1334,2,0),"")</f>
        <v/>
      </c>
      <c r="H1256" s="19" t="str">
        <f>IFERROR(VLOOKUP(G1256,케이블트레이입.출고현황!X1259:AC1334,2,0),"")</f>
        <v/>
      </c>
      <c r="I1256" s="19" t="str">
        <f>IFERROR(VLOOKUP(H1256,케이블트레이입.출고현황!Y1259:AD1334,2,0),"")</f>
        <v/>
      </c>
      <c r="J1256" s="9">
        <v>2</v>
      </c>
      <c r="K1256" s="9"/>
      <c r="L1256" s="37"/>
      <c r="M1256" s="64"/>
      <c r="N1256" s="4"/>
    </row>
    <row r="1257" spans="1:14" ht="24" customHeight="1">
      <c r="A1257" s="8">
        <v>1217</v>
      </c>
      <c r="B1257" s="9">
        <v>1217</v>
      </c>
      <c r="C1257" s="46"/>
      <c r="D1257" s="9"/>
      <c r="E1257" s="19" t="str">
        <f>IFERROR(VLOOKUP(D1257,케이블트레이입.출고현황!U1260:Z1335,2,0),"")</f>
        <v/>
      </c>
      <c r="F1257" s="19" t="str">
        <f>IFERROR(VLOOKUP(E1257,케이블트레이입.출고현황!V1260:AA1335,2,0),"")</f>
        <v/>
      </c>
      <c r="G1257" s="19" t="str">
        <f>IFERROR(VLOOKUP(F1257,케이블트레이입.출고현황!W1260:AB1335,2,0),"")</f>
        <v/>
      </c>
      <c r="H1257" s="19" t="str">
        <f>IFERROR(VLOOKUP(G1257,케이블트레이입.출고현황!X1260:AC1335,2,0),"")</f>
        <v/>
      </c>
      <c r="I1257" s="19" t="str">
        <f>IFERROR(VLOOKUP(H1257,케이블트레이입.출고현황!Y1260:AD1335,2,0),"")</f>
        <v/>
      </c>
      <c r="J1257" s="9">
        <v>3</v>
      </c>
      <c r="K1257" s="9"/>
      <c r="L1257" s="37"/>
      <c r="M1257" s="64"/>
      <c r="N1257" s="4"/>
    </row>
    <row r="1258" spans="1:14" ht="24" customHeight="1">
      <c r="A1258" s="8">
        <v>1218</v>
      </c>
      <c r="B1258" s="9">
        <v>1218</v>
      </c>
      <c r="C1258" s="46"/>
      <c r="D1258" s="9"/>
      <c r="E1258" s="19" t="str">
        <f>IFERROR(VLOOKUP(D1258,케이블트레이입.출고현황!U1261:Z1336,2,0),"")</f>
        <v/>
      </c>
      <c r="F1258" s="19" t="str">
        <f>IFERROR(VLOOKUP(E1258,케이블트레이입.출고현황!V1261:AA1336,2,0),"")</f>
        <v/>
      </c>
      <c r="G1258" s="19" t="str">
        <f>IFERROR(VLOOKUP(F1258,케이블트레이입.출고현황!W1261:AB1336,2,0),"")</f>
        <v/>
      </c>
      <c r="H1258" s="19" t="str">
        <f>IFERROR(VLOOKUP(G1258,케이블트레이입.출고현황!X1261:AC1336,2,0),"")</f>
        <v/>
      </c>
      <c r="I1258" s="19" t="str">
        <f>IFERROR(VLOOKUP(H1258,케이블트레이입.출고현황!Y1261:AD1336,2,0),"")</f>
        <v/>
      </c>
      <c r="J1258" s="9">
        <v>1</v>
      </c>
      <c r="K1258" s="9"/>
      <c r="L1258" s="37"/>
      <c r="M1258" s="64"/>
      <c r="N1258" s="4"/>
    </row>
    <row r="1259" spans="1:14" ht="24" customHeight="1">
      <c r="A1259" s="8">
        <v>1219</v>
      </c>
      <c r="B1259" s="9">
        <v>1219</v>
      </c>
      <c r="C1259" s="46"/>
      <c r="D1259" s="9"/>
      <c r="E1259" s="19" t="str">
        <f>IFERROR(VLOOKUP(D1259,케이블트레이입.출고현황!U1262:Z1337,2,0),"")</f>
        <v/>
      </c>
      <c r="F1259" s="19" t="str">
        <f>IFERROR(VLOOKUP(E1259,케이블트레이입.출고현황!V1262:AA1337,2,0),"")</f>
        <v/>
      </c>
      <c r="G1259" s="19" t="str">
        <f>IFERROR(VLOOKUP(F1259,케이블트레이입.출고현황!W1262:AB1337,2,0),"")</f>
        <v/>
      </c>
      <c r="H1259" s="19" t="str">
        <f>IFERROR(VLOOKUP(G1259,케이블트레이입.출고현황!X1262:AC1337,2,0),"")</f>
        <v/>
      </c>
      <c r="I1259" s="19" t="str">
        <f>IFERROR(VLOOKUP(H1259,케이블트레이입.출고현황!Y1262:AD1337,2,0),"")</f>
        <v/>
      </c>
      <c r="J1259" s="9">
        <v>1</v>
      </c>
      <c r="K1259" s="9"/>
      <c r="L1259" s="37"/>
      <c r="M1259" s="64"/>
      <c r="N1259" s="4"/>
    </row>
    <row r="1260" spans="1:14" ht="24" customHeight="1">
      <c r="A1260" s="8">
        <v>1220</v>
      </c>
      <c r="B1260" s="9">
        <v>1220</v>
      </c>
      <c r="C1260" s="46"/>
      <c r="D1260" s="9"/>
      <c r="E1260" s="19" t="str">
        <f>IFERROR(VLOOKUP(D1260,케이블트레이입.출고현황!U1263:Z1338,2,0),"")</f>
        <v/>
      </c>
      <c r="F1260" s="19" t="str">
        <f>IFERROR(VLOOKUP(E1260,케이블트레이입.출고현황!V1263:AA1338,2,0),"")</f>
        <v/>
      </c>
      <c r="G1260" s="19" t="str">
        <f>IFERROR(VLOOKUP(F1260,케이블트레이입.출고현황!W1263:AB1338,2,0),"")</f>
        <v/>
      </c>
      <c r="H1260" s="19" t="str">
        <f>IFERROR(VLOOKUP(G1260,케이블트레이입.출고현황!X1263:AC1338,2,0),"")</f>
        <v/>
      </c>
      <c r="I1260" s="19" t="str">
        <f>IFERROR(VLOOKUP(H1260,케이블트레이입.출고현황!Y1263:AD1338,2,0),"")</f>
        <v/>
      </c>
      <c r="J1260" s="9">
        <v>2</v>
      </c>
      <c r="K1260" s="9"/>
      <c r="L1260" s="37"/>
      <c r="M1260" s="64"/>
      <c r="N1260" s="4"/>
    </row>
    <row r="1261" spans="1:14" ht="24" customHeight="1">
      <c r="A1261" s="8">
        <v>1221</v>
      </c>
      <c r="B1261" s="9">
        <v>1221</v>
      </c>
      <c r="C1261" s="46"/>
      <c r="D1261" s="9"/>
      <c r="E1261" s="19" t="str">
        <f>IFERROR(VLOOKUP(D1261,케이블트레이입.출고현황!U1264:Z1339,2,0),"")</f>
        <v/>
      </c>
      <c r="F1261" s="19" t="str">
        <f>IFERROR(VLOOKUP(E1261,케이블트레이입.출고현황!V1264:AA1339,2,0),"")</f>
        <v/>
      </c>
      <c r="G1261" s="19" t="str">
        <f>IFERROR(VLOOKUP(F1261,케이블트레이입.출고현황!W1264:AB1339,2,0),"")</f>
        <v/>
      </c>
      <c r="H1261" s="19" t="str">
        <f>IFERROR(VLOOKUP(G1261,케이블트레이입.출고현황!X1264:AC1339,2,0),"")</f>
        <v/>
      </c>
      <c r="I1261" s="19" t="str">
        <f>IFERROR(VLOOKUP(H1261,케이블트레이입.출고현황!Y1264:AD1339,2,0),"")</f>
        <v/>
      </c>
      <c r="J1261" s="9">
        <v>4</v>
      </c>
      <c r="K1261" s="9"/>
      <c r="L1261" s="37"/>
      <c r="M1261" s="64"/>
      <c r="N1261" s="4"/>
    </row>
    <row r="1262" spans="1:14" ht="24" customHeight="1">
      <c r="A1262" s="8">
        <v>1222</v>
      </c>
      <c r="B1262" s="9">
        <v>1222</v>
      </c>
      <c r="C1262" s="46"/>
      <c r="D1262" s="9"/>
      <c r="E1262" s="19" t="str">
        <f>IFERROR(VLOOKUP(D1262,케이블트레이입.출고현황!U1265:Z1340,2,0),"")</f>
        <v/>
      </c>
      <c r="F1262" s="19" t="str">
        <f>IFERROR(VLOOKUP(E1262,케이블트레이입.출고현황!V1265:AA1340,2,0),"")</f>
        <v/>
      </c>
      <c r="G1262" s="19" t="str">
        <f>IFERROR(VLOOKUP(F1262,케이블트레이입.출고현황!W1265:AB1340,2,0),"")</f>
        <v/>
      </c>
      <c r="H1262" s="19" t="str">
        <f>IFERROR(VLOOKUP(G1262,케이블트레이입.출고현황!X1265:AC1340,2,0),"")</f>
        <v/>
      </c>
      <c r="I1262" s="19" t="str">
        <f>IFERROR(VLOOKUP(H1262,케이블트레이입.출고현황!Y1265:AD1340,2,0),"")</f>
        <v/>
      </c>
      <c r="J1262" s="9">
        <v>2</v>
      </c>
      <c r="K1262" s="9"/>
      <c r="L1262" s="37"/>
      <c r="M1262" s="64"/>
      <c r="N1262" s="4"/>
    </row>
    <row r="1263" spans="1:14" ht="24" customHeight="1">
      <c r="A1263" s="8">
        <v>1223</v>
      </c>
      <c r="B1263" s="9">
        <v>1223</v>
      </c>
      <c r="C1263" s="46"/>
      <c r="D1263" s="9"/>
      <c r="E1263" s="19" t="str">
        <f>IFERROR(VLOOKUP(D1263,케이블트레이입.출고현황!U1266:Z1341,2,0),"")</f>
        <v/>
      </c>
      <c r="F1263" s="19" t="str">
        <f>IFERROR(VLOOKUP(E1263,케이블트레이입.출고현황!V1266:AA1341,2,0),"")</f>
        <v/>
      </c>
      <c r="G1263" s="19" t="str">
        <f>IFERROR(VLOOKUP(F1263,케이블트레이입.출고현황!W1266:AB1341,2,0),"")</f>
        <v/>
      </c>
      <c r="H1263" s="19" t="str">
        <f>IFERROR(VLOOKUP(G1263,케이블트레이입.출고현황!X1266:AC1341,2,0),"")</f>
        <v/>
      </c>
      <c r="I1263" s="19" t="str">
        <f>IFERROR(VLOOKUP(H1263,케이블트레이입.출고현황!Y1266:AD1341,2,0),"")</f>
        <v/>
      </c>
      <c r="J1263" s="9">
        <v>1</v>
      </c>
      <c r="K1263" s="9"/>
      <c r="L1263" s="37"/>
      <c r="M1263" s="64"/>
      <c r="N1263" s="4"/>
    </row>
    <row r="1264" spans="1:14" ht="24" customHeight="1">
      <c r="A1264" s="8">
        <v>1224</v>
      </c>
      <c r="B1264" s="9">
        <v>1224</v>
      </c>
      <c r="C1264" s="46"/>
      <c r="D1264" s="9"/>
      <c r="E1264" s="19" t="str">
        <f>IFERROR(VLOOKUP(D1264,케이블트레이입.출고현황!U1267:Z1342,2,0),"")</f>
        <v/>
      </c>
      <c r="F1264" s="19" t="str">
        <f>IFERROR(VLOOKUP(E1264,케이블트레이입.출고현황!V1267:AA1342,2,0),"")</f>
        <v/>
      </c>
      <c r="G1264" s="19" t="str">
        <f>IFERROR(VLOOKUP(F1264,케이블트레이입.출고현황!W1267:AB1342,2,0),"")</f>
        <v/>
      </c>
      <c r="H1264" s="19" t="str">
        <f>IFERROR(VLOOKUP(G1264,케이블트레이입.출고현황!X1267:AC1342,2,0),"")</f>
        <v/>
      </c>
      <c r="I1264" s="19" t="str">
        <f>IFERROR(VLOOKUP(H1264,케이블트레이입.출고현황!Y1267:AD1342,2,0),"")</f>
        <v/>
      </c>
      <c r="J1264" s="9">
        <v>2</v>
      </c>
      <c r="K1264" s="9"/>
      <c r="L1264" s="37"/>
      <c r="M1264" s="64"/>
      <c r="N1264" s="4"/>
    </row>
    <row r="1265" spans="1:14" ht="24" customHeight="1">
      <c r="A1265" s="8">
        <v>1225</v>
      </c>
      <c r="B1265" s="9">
        <v>1225</v>
      </c>
      <c r="C1265" s="46"/>
      <c r="D1265" s="9"/>
      <c r="E1265" s="19" t="str">
        <f>IFERROR(VLOOKUP(D1265,케이블트레이입.출고현황!U1268:Z1343,2,0),"")</f>
        <v/>
      </c>
      <c r="F1265" s="19" t="str">
        <f>IFERROR(VLOOKUP(E1265,케이블트레이입.출고현황!V1268:AA1343,2,0),"")</f>
        <v/>
      </c>
      <c r="G1265" s="19" t="str">
        <f>IFERROR(VLOOKUP(F1265,케이블트레이입.출고현황!W1268:AB1343,2,0),"")</f>
        <v/>
      </c>
      <c r="H1265" s="19" t="str">
        <f>IFERROR(VLOOKUP(G1265,케이블트레이입.출고현황!X1268:AC1343,2,0),"")</f>
        <v/>
      </c>
      <c r="I1265" s="19" t="str">
        <f>IFERROR(VLOOKUP(H1265,케이블트레이입.출고현황!Y1268:AD1343,2,0),"")</f>
        <v/>
      </c>
      <c r="J1265" s="9">
        <v>3</v>
      </c>
      <c r="K1265" s="9"/>
      <c r="L1265" s="37"/>
      <c r="M1265" s="64"/>
      <c r="N1265" s="4"/>
    </row>
    <row r="1266" spans="1:14" ht="24" customHeight="1">
      <c r="A1266" s="8">
        <v>1226</v>
      </c>
      <c r="B1266" s="9">
        <v>1226</v>
      </c>
      <c r="C1266" s="46"/>
      <c r="D1266" s="9"/>
      <c r="E1266" s="19" t="str">
        <f>IFERROR(VLOOKUP(D1266,케이블트레이입.출고현황!U1269:Z1344,2,0),"")</f>
        <v/>
      </c>
      <c r="F1266" s="19" t="str">
        <f>IFERROR(VLOOKUP(E1266,케이블트레이입.출고현황!V1269:AA1344,2,0),"")</f>
        <v/>
      </c>
      <c r="G1266" s="19" t="str">
        <f>IFERROR(VLOOKUP(F1266,케이블트레이입.출고현황!W1269:AB1344,2,0),"")</f>
        <v/>
      </c>
      <c r="H1266" s="19" t="str">
        <f>IFERROR(VLOOKUP(G1266,케이블트레이입.출고현황!X1269:AC1344,2,0),"")</f>
        <v/>
      </c>
      <c r="I1266" s="19" t="str">
        <f>IFERROR(VLOOKUP(H1266,케이블트레이입.출고현황!Y1269:AD1344,2,0),"")</f>
        <v/>
      </c>
      <c r="J1266" s="9">
        <v>3</v>
      </c>
      <c r="K1266" s="9"/>
      <c r="L1266" s="37"/>
      <c r="M1266" s="64"/>
      <c r="N1266" s="4"/>
    </row>
    <row r="1267" spans="1:14" ht="24" customHeight="1">
      <c r="A1267" s="8">
        <v>1227</v>
      </c>
      <c r="B1267" s="9">
        <v>1227</v>
      </c>
      <c r="C1267" s="46"/>
      <c r="D1267" s="9"/>
      <c r="E1267" s="19" t="str">
        <f>IFERROR(VLOOKUP(D1267,케이블트레이입.출고현황!U1270:Z1345,2,0),"")</f>
        <v/>
      </c>
      <c r="F1267" s="19" t="str">
        <f>IFERROR(VLOOKUP(E1267,케이블트레이입.출고현황!V1270:AA1345,2,0),"")</f>
        <v/>
      </c>
      <c r="G1267" s="19" t="str">
        <f>IFERROR(VLOOKUP(F1267,케이블트레이입.출고현황!W1270:AB1345,2,0),"")</f>
        <v/>
      </c>
      <c r="H1267" s="19" t="str">
        <f>IFERROR(VLOOKUP(G1267,케이블트레이입.출고현황!X1270:AC1345,2,0),"")</f>
        <v/>
      </c>
      <c r="I1267" s="19" t="str">
        <f>IFERROR(VLOOKUP(H1267,케이블트레이입.출고현황!Y1270:AD1345,2,0),"")</f>
        <v/>
      </c>
      <c r="J1267" s="9">
        <v>1</v>
      </c>
      <c r="K1267" s="9"/>
      <c r="L1267" s="37"/>
      <c r="M1267" s="64"/>
      <c r="N1267" s="4"/>
    </row>
    <row r="1268" spans="1:14" ht="24" customHeight="1">
      <c r="A1268" s="8">
        <v>1228</v>
      </c>
      <c r="B1268" s="9">
        <v>1228</v>
      </c>
      <c r="C1268" s="46"/>
      <c r="D1268" s="9"/>
      <c r="E1268" s="19" t="str">
        <f>IFERROR(VLOOKUP(D1268,케이블트레이입.출고현황!U1271:Z1346,2,0),"")</f>
        <v/>
      </c>
      <c r="F1268" s="19" t="str">
        <f>IFERROR(VLOOKUP(E1268,케이블트레이입.출고현황!V1271:AA1346,2,0),"")</f>
        <v/>
      </c>
      <c r="G1268" s="19" t="str">
        <f>IFERROR(VLOOKUP(F1268,케이블트레이입.출고현황!W1271:AB1346,2,0),"")</f>
        <v/>
      </c>
      <c r="H1268" s="19" t="str">
        <f>IFERROR(VLOOKUP(G1268,케이블트레이입.출고현황!X1271:AC1346,2,0),"")</f>
        <v/>
      </c>
      <c r="I1268" s="19" t="str">
        <f>IFERROR(VLOOKUP(H1268,케이블트레이입.출고현황!Y1271:AD1346,2,0),"")</f>
        <v/>
      </c>
      <c r="J1268" s="9">
        <v>1</v>
      </c>
      <c r="K1268" s="9"/>
      <c r="L1268" s="37"/>
      <c r="M1268" s="64"/>
      <c r="N1268" s="4"/>
    </row>
    <row r="1269" spans="1:14" ht="24" customHeight="1">
      <c r="A1269" s="8">
        <v>1229</v>
      </c>
      <c r="B1269" s="9">
        <v>1229</v>
      </c>
      <c r="C1269" s="46"/>
      <c r="D1269" s="9"/>
      <c r="E1269" s="19" t="str">
        <f>IFERROR(VLOOKUP(D1269,케이블트레이입.출고현황!U1272:Z1347,2,0),"")</f>
        <v/>
      </c>
      <c r="F1269" s="19" t="str">
        <f>IFERROR(VLOOKUP(E1269,케이블트레이입.출고현황!V1272:AA1347,2,0),"")</f>
        <v/>
      </c>
      <c r="G1269" s="19" t="str">
        <f>IFERROR(VLOOKUP(F1269,케이블트레이입.출고현황!W1272:AB1347,2,0),"")</f>
        <v/>
      </c>
      <c r="H1269" s="19" t="str">
        <f>IFERROR(VLOOKUP(G1269,케이블트레이입.출고현황!X1272:AC1347,2,0),"")</f>
        <v/>
      </c>
      <c r="I1269" s="19" t="str">
        <f>IFERROR(VLOOKUP(H1269,케이블트레이입.출고현황!Y1272:AD1347,2,0),"")</f>
        <v/>
      </c>
      <c r="J1269" s="9">
        <v>1</v>
      </c>
      <c r="K1269" s="9"/>
      <c r="L1269" s="37"/>
      <c r="M1269" s="64"/>
      <c r="N1269" s="4"/>
    </row>
    <row r="1270" spans="1:14" ht="24" customHeight="1">
      <c r="A1270" s="8">
        <v>1230</v>
      </c>
      <c r="B1270" s="9">
        <v>1230</v>
      </c>
      <c r="C1270" s="46"/>
      <c r="D1270" s="9"/>
      <c r="E1270" s="19" t="str">
        <f>IFERROR(VLOOKUP(D1270,케이블트레이입.출고현황!U1273:Z1348,2,0),"")</f>
        <v/>
      </c>
      <c r="F1270" s="19" t="str">
        <f>IFERROR(VLOOKUP(E1270,케이블트레이입.출고현황!V1273:AA1348,2,0),"")</f>
        <v/>
      </c>
      <c r="G1270" s="19" t="str">
        <f>IFERROR(VLOOKUP(F1270,케이블트레이입.출고현황!W1273:AB1348,2,0),"")</f>
        <v/>
      </c>
      <c r="H1270" s="19" t="str">
        <f>IFERROR(VLOOKUP(G1270,케이블트레이입.출고현황!X1273:AC1348,2,0),"")</f>
        <v/>
      </c>
      <c r="I1270" s="19" t="str">
        <f>IFERROR(VLOOKUP(H1270,케이블트레이입.출고현황!Y1273:AD1348,2,0),"")</f>
        <v/>
      </c>
      <c r="J1270" s="9">
        <v>3</v>
      </c>
      <c r="K1270" s="9"/>
      <c r="L1270" s="37"/>
      <c r="M1270" s="64"/>
      <c r="N1270" s="4"/>
    </row>
    <row r="1271" spans="1:14" ht="24" customHeight="1">
      <c r="A1271" s="8">
        <v>1231</v>
      </c>
      <c r="B1271" s="9">
        <v>1231</v>
      </c>
      <c r="C1271" s="46"/>
      <c r="D1271" s="9"/>
      <c r="E1271" s="19" t="str">
        <f>IFERROR(VLOOKUP(D1271,케이블트레이입.출고현황!U1274:Z1349,2,0),"")</f>
        <v/>
      </c>
      <c r="F1271" s="19" t="str">
        <f>IFERROR(VLOOKUP(E1271,케이블트레이입.출고현황!V1274:AA1349,2,0),"")</f>
        <v/>
      </c>
      <c r="G1271" s="19" t="str">
        <f>IFERROR(VLOOKUP(F1271,케이블트레이입.출고현황!W1274:AB1349,2,0),"")</f>
        <v/>
      </c>
      <c r="H1271" s="19" t="str">
        <f>IFERROR(VLOOKUP(G1271,케이블트레이입.출고현황!X1274:AC1349,2,0),"")</f>
        <v/>
      </c>
      <c r="I1271" s="19" t="str">
        <f>IFERROR(VLOOKUP(H1271,케이블트레이입.출고현황!Y1274:AD1349,2,0),"")</f>
        <v/>
      </c>
      <c r="J1271" s="9">
        <v>2</v>
      </c>
      <c r="K1271" s="9"/>
      <c r="L1271" s="37"/>
      <c r="M1271" s="64"/>
      <c r="N1271" s="4"/>
    </row>
    <row r="1272" spans="1:14" ht="24" customHeight="1">
      <c r="A1272" s="8">
        <v>1232</v>
      </c>
      <c r="B1272" s="9">
        <v>1232</v>
      </c>
      <c r="C1272" s="46"/>
      <c r="D1272" s="9"/>
      <c r="E1272" s="19" t="str">
        <f>IFERROR(VLOOKUP(D1272,케이블트레이입.출고현황!U1275:Z1350,2,0),"")</f>
        <v/>
      </c>
      <c r="F1272" s="19" t="str">
        <f>IFERROR(VLOOKUP(E1272,케이블트레이입.출고현황!V1275:AA1350,2,0),"")</f>
        <v/>
      </c>
      <c r="G1272" s="19" t="str">
        <f>IFERROR(VLOOKUP(F1272,케이블트레이입.출고현황!W1275:AB1350,2,0),"")</f>
        <v/>
      </c>
      <c r="H1272" s="19" t="str">
        <f>IFERROR(VLOOKUP(G1272,케이블트레이입.출고현황!X1275:AC1350,2,0),"")</f>
        <v/>
      </c>
      <c r="I1272" s="19" t="str">
        <f>IFERROR(VLOOKUP(H1272,케이블트레이입.출고현황!Y1275:AD1350,2,0),"")</f>
        <v/>
      </c>
      <c r="J1272" s="9">
        <v>1</v>
      </c>
      <c r="K1272" s="9"/>
      <c r="L1272" s="37"/>
      <c r="M1272" s="64"/>
      <c r="N1272" s="4"/>
    </row>
    <row r="1273" spans="1:14" ht="24" customHeight="1">
      <c r="A1273" s="8">
        <v>1233</v>
      </c>
      <c r="B1273" s="9">
        <v>1233</v>
      </c>
      <c r="C1273" s="46"/>
      <c r="D1273" s="9"/>
      <c r="E1273" s="19" t="str">
        <f>IFERROR(VLOOKUP(D1273,케이블트레이입.출고현황!U1276:Z1351,2,0),"")</f>
        <v/>
      </c>
      <c r="F1273" s="19" t="str">
        <f>IFERROR(VLOOKUP(E1273,케이블트레이입.출고현황!V1276:AA1351,2,0),"")</f>
        <v/>
      </c>
      <c r="G1273" s="19" t="str">
        <f>IFERROR(VLOOKUP(F1273,케이블트레이입.출고현황!W1276:AB1351,2,0),"")</f>
        <v/>
      </c>
      <c r="H1273" s="19" t="str">
        <f>IFERROR(VLOOKUP(G1273,케이블트레이입.출고현황!X1276:AC1351,2,0),"")</f>
        <v/>
      </c>
      <c r="I1273" s="19" t="str">
        <f>IFERROR(VLOOKUP(H1273,케이블트레이입.출고현황!Y1276:AD1351,2,0),"")</f>
        <v/>
      </c>
      <c r="J1273" s="9">
        <v>2</v>
      </c>
      <c r="K1273" s="9"/>
      <c r="L1273" s="37"/>
      <c r="M1273" s="64"/>
      <c r="N1273" s="4"/>
    </row>
    <row r="1274" spans="1:14" ht="24" customHeight="1">
      <c r="A1274" s="8">
        <v>1234</v>
      </c>
      <c r="B1274" s="9">
        <v>1234</v>
      </c>
      <c r="C1274" s="46"/>
      <c r="D1274" s="9"/>
      <c r="E1274" s="19" t="str">
        <f>IFERROR(VLOOKUP(D1274,케이블트레이입.출고현황!U1277:Z1352,2,0),"")</f>
        <v/>
      </c>
      <c r="F1274" s="19" t="str">
        <f>IFERROR(VLOOKUP(E1274,케이블트레이입.출고현황!V1277:AA1352,2,0),"")</f>
        <v/>
      </c>
      <c r="G1274" s="19" t="str">
        <f>IFERROR(VLOOKUP(F1274,케이블트레이입.출고현황!W1277:AB1352,2,0),"")</f>
        <v/>
      </c>
      <c r="H1274" s="19" t="str">
        <f>IFERROR(VLOOKUP(G1274,케이블트레이입.출고현황!X1277:AC1352,2,0),"")</f>
        <v/>
      </c>
      <c r="I1274" s="19" t="str">
        <f>IFERROR(VLOOKUP(H1274,케이블트레이입.출고현황!Y1277:AD1352,2,0),"")</f>
        <v/>
      </c>
      <c r="J1274" s="9" t="s">
        <v>557</v>
      </c>
      <c r="K1274" s="9"/>
      <c r="L1274" s="37"/>
      <c r="M1274" s="64"/>
      <c r="N1274" s="4"/>
    </row>
    <row r="1275" spans="1:14" ht="24" customHeight="1">
      <c r="A1275" s="8">
        <v>1235</v>
      </c>
      <c r="B1275" s="9">
        <v>1235</v>
      </c>
      <c r="C1275" s="46"/>
      <c r="D1275" s="9"/>
      <c r="E1275" s="19" t="str">
        <f>IFERROR(VLOOKUP(D1275,케이블트레이입.출고현황!U1278:Z1353,2,0),"")</f>
        <v/>
      </c>
      <c r="F1275" s="19" t="str">
        <f>IFERROR(VLOOKUP(E1275,케이블트레이입.출고현황!V1278:AA1353,2,0),"")</f>
        <v/>
      </c>
      <c r="G1275" s="19" t="str">
        <f>IFERROR(VLOOKUP(F1275,케이블트레이입.출고현황!W1278:AB1353,2,0),"")</f>
        <v/>
      </c>
      <c r="H1275" s="19" t="str">
        <f>IFERROR(VLOOKUP(G1275,케이블트레이입.출고현황!X1278:AC1353,2,0),"")</f>
        <v/>
      </c>
      <c r="I1275" s="19" t="str">
        <f>IFERROR(VLOOKUP(H1275,케이블트레이입.출고현황!Y1278:AD1353,2,0),"")</f>
        <v/>
      </c>
      <c r="J1275" s="9">
        <v>1</v>
      </c>
      <c r="K1275" s="9"/>
      <c r="L1275" s="37"/>
      <c r="M1275" s="64"/>
      <c r="N1275" s="4"/>
    </row>
    <row r="1276" spans="1:14" ht="24" customHeight="1">
      <c r="A1276" s="8">
        <v>1236</v>
      </c>
      <c r="B1276" s="9">
        <v>1236</v>
      </c>
      <c r="C1276" s="46"/>
      <c r="D1276" s="9"/>
      <c r="E1276" s="19" t="str">
        <f>IFERROR(VLOOKUP(D1276,케이블트레이입.출고현황!U1279:Z1354,2,0),"")</f>
        <v/>
      </c>
      <c r="F1276" s="19" t="str">
        <f>IFERROR(VLOOKUP(E1276,케이블트레이입.출고현황!V1279:AA1354,2,0),"")</f>
        <v/>
      </c>
      <c r="G1276" s="19" t="str">
        <f>IFERROR(VLOOKUP(F1276,케이블트레이입.출고현황!W1279:AB1354,2,0),"")</f>
        <v/>
      </c>
      <c r="H1276" s="19" t="str">
        <f>IFERROR(VLOOKUP(G1276,케이블트레이입.출고현황!X1279:AC1354,2,0),"")</f>
        <v/>
      </c>
      <c r="I1276" s="19" t="str">
        <f>IFERROR(VLOOKUP(H1276,케이블트레이입.출고현황!Y1279:AD1354,2,0),"")</f>
        <v/>
      </c>
      <c r="J1276" s="9">
        <v>1</v>
      </c>
      <c r="K1276" s="9"/>
      <c r="L1276" s="37"/>
      <c r="M1276" s="64"/>
      <c r="N1276" s="4"/>
    </row>
    <row r="1277" spans="1:14" ht="24" customHeight="1">
      <c r="A1277" s="8">
        <v>1237</v>
      </c>
      <c r="B1277" s="9">
        <v>1237</v>
      </c>
      <c r="C1277" s="46"/>
      <c r="D1277" s="9"/>
      <c r="E1277" s="19" t="str">
        <f>IFERROR(VLOOKUP(D1277,케이블트레이입.출고현황!U1280:Z1355,2,0),"")</f>
        <v/>
      </c>
      <c r="F1277" s="19" t="str">
        <f>IFERROR(VLOOKUP(E1277,케이블트레이입.출고현황!V1280:AA1355,2,0),"")</f>
        <v/>
      </c>
      <c r="G1277" s="19" t="str">
        <f>IFERROR(VLOOKUP(F1277,케이블트레이입.출고현황!W1280:AB1355,2,0),"")</f>
        <v/>
      </c>
      <c r="H1277" s="19" t="str">
        <f>IFERROR(VLOOKUP(G1277,케이블트레이입.출고현황!X1280:AC1355,2,0),"")</f>
        <v/>
      </c>
      <c r="I1277" s="19" t="str">
        <f>IFERROR(VLOOKUP(H1277,케이블트레이입.출고현황!Y1280:AD1355,2,0),"")</f>
        <v/>
      </c>
      <c r="J1277" s="9">
        <v>2</v>
      </c>
      <c r="K1277" s="9"/>
      <c r="L1277" s="37"/>
      <c r="M1277" s="64"/>
      <c r="N1277" s="4"/>
    </row>
    <row r="1278" spans="1:14" ht="24" customHeight="1">
      <c r="A1278" s="8">
        <v>1238</v>
      </c>
      <c r="B1278" s="9">
        <v>1238</v>
      </c>
      <c r="C1278" s="46"/>
      <c r="D1278" s="9"/>
      <c r="E1278" s="19" t="str">
        <f>IFERROR(VLOOKUP(D1278,케이블트레이입.출고현황!U1281:Z1356,2,0),"")</f>
        <v/>
      </c>
      <c r="F1278" s="19" t="str">
        <f>IFERROR(VLOOKUP(E1278,케이블트레이입.출고현황!V1281:AA1356,2,0),"")</f>
        <v/>
      </c>
      <c r="G1278" s="19" t="str">
        <f>IFERROR(VLOOKUP(F1278,케이블트레이입.출고현황!W1281:AB1356,2,0),"")</f>
        <v/>
      </c>
      <c r="H1278" s="19" t="str">
        <f>IFERROR(VLOOKUP(G1278,케이블트레이입.출고현황!X1281:AC1356,2,0),"")</f>
        <v/>
      </c>
      <c r="I1278" s="19" t="str">
        <f>IFERROR(VLOOKUP(H1278,케이블트레이입.출고현황!Y1281:AD1356,2,0),"")</f>
        <v/>
      </c>
      <c r="J1278" s="9">
        <v>4</v>
      </c>
      <c r="K1278" s="9"/>
      <c r="L1278" s="37"/>
      <c r="M1278" s="64"/>
      <c r="N1278" s="4"/>
    </row>
    <row r="1279" spans="1:14" ht="24" customHeight="1">
      <c r="A1279" s="8">
        <v>1239</v>
      </c>
      <c r="B1279" s="9">
        <v>1239</v>
      </c>
      <c r="C1279" s="46"/>
      <c r="D1279" s="9"/>
      <c r="E1279" s="19" t="str">
        <f>IFERROR(VLOOKUP(D1279,케이블트레이입.출고현황!U1282:Z1357,2,0),"")</f>
        <v/>
      </c>
      <c r="F1279" s="19" t="str">
        <f>IFERROR(VLOOKUP(E1279,케이블트레이입.출고현황!V1282:AA1357,2,0),"")</f>
        <v/>
      </c>
      <c r="G1279" s="19" t="str">
        <f>IFERROR(VLOOKUP(F1279,케이블트레이입.출고현황!W1282:AB1357,2,0),"")</f>
        <v/>
      </c>
      <c r="H1279" s="19" t="str">
        <f>IFERROR(VLOOKUP(G1279,케이블트레이입.출고현황!X1282:AC1357,2,0),"")</f>
        <v/>
      </c>
      <c r="I1279" s="19" t="str">
        <f>IFERROR(VLOOKUP(H1279,케이블트레이입.출고현황!Y1282:AD1357,2,0),"")</f>
        <v/>
      </c>
      <c r="J1279" s="9">
        <v>1</v>
      </c>
      <c r="K1279" s="9"/>
      <c r="L1279" s="37"/>
      <c r="M1279" s="64"/>
      <c r="N1279" s="4"/>
    </row>
    <row r="1280" spans="1:14" ht="24" customHeight="1">
      <c r="A1280" s="8">
        <v>1240</v>
      </c>
      <c r="B1280" s="9">
        <v>1240</v>
      </c>
      <c r="C1280" s="46"/>
      <c r="D1280" s="9"/>
      <c r="E1280" s="19" t="str">
        <f>IFERROR(VLOOKUP(D1280,케이블트레이입.출고현황!U1283:Z1358,2,0),"")</f>
        <v/>
      </c>
      <c r="F1280" s="19" t="str">
        <f>IFERROR(VLOOKUP(E1280,케이블트레이입.출고현황!V1283:AA1358,2,0),"")</f>
        <v/>
      </c>
      <c r="G1280" s="19" t="str">
        <f>IFERROR(VLOOKUP(F1280,케이블트레이입.출고현황!W1283:AB1358,2,0),"")</f>
        <v/>
      </c>
      <c r="H1280" s="19" t="str">
        <f>IFERROR(VLOOKUP(G1280,케이블트레이입.출고현황!X1283:AC1358,2,0),"")</f>
        <v/>
      </c>
      <c r="I1280" s="19" t="str">
        <f>IFERROR(VLOOKUP(H1280,케이블트레이입.출고현황!Y1283:AD1358,2,0),"")</f>
        <v/>
      </c>
      <c r="J1280" s="9">
        <v>1</v>
      </c>
      <c r="K1280" s="9"/>
      <c r="L1280" s="37"/>
      <c r="M1280" s="64"/>
      <c r="N1280" s="4"/>
    </row>
    <row r="1281" spans="1:14" ht="24" customHeight="1">
      <c r="A1281" s="8">
        <v>1241</v>
      </c>
      <c r="B1281" s="9">
        <v>1241</v>
      </c>
      <c r="C1281" s="46"/>
      <c r="D1281" s="9"/>
      <c r="E1281" s="19" t="str">
        <f>IFERROR(VLOOKUP(D1281,케이블트레이입.출고현황!U1284:Z1359,2,0),"")</f>
        <v/>
      </c>
      <c r="F1281" s="19" t="str">
        <f>IFERROR(VLOOKUP(E1281,케이블트레이입.출고현황!V1284:AA1359,2,0),"")</f>
        <v/>
      </c>
      <c r="G1281" s="19" t="str">
        <f>IFERROR(VLOOKUP(F1281,케이블트레이입.출고현황!W1284:AB1359,2,0),"")</f>
        <v/>
      </c>
      <c r="H1281" s="19" t="str">
        <f>IFERROR(VLOOKUP(G1281,케이블트레이입.출고현황!X1284:AC1359,2,0),"")</f>
        <v/>
      </c>
      <c r="I1281" s="19" t="str">
        <f>IFERROR(VLOOKUP(H1281,케이블트레이입.출고현황!Y1284:AD1359,2,0),"")</f>
        <v/>
      </c>
      <c r="J1281" s="9">
        <v>2</v>
      </c>
      <c r="K1281" s="9"/>
      <c r="L1281" s="37"/>
      <c r="M1281" s="64"/>
      <c r="N1281" s="4"/>
    </row>
    <row r="1282" spans="1:14" ht="24" customHeight="1">
      <c r="A1282" s="8">
        <v>1242</v>
      </c>
      <c r="B1282" s="9">
        <v>1242</v>
      </c>
      <c r="C1282" s="46"/>
      <c r="D1282" s="9"/>
      <c r="E1282" s="19" t="str">
        <f>IFERROR(VLOOKUP(D1282,케이블트레이입.출고현황!U1285:Z1360,2,0),"")</f>
        <v/>
      </c>
      <c r="F1282" s="19" t="str">
        <f>IFERROR(VLOOKUP(E1282,케이블트레이입.출고현황!V1285:AA1360,2,0),"")</f>
        <v/>
      </c>
      <c r="G1282" s="19" t="str">
        <f>IFERROR(VLOOKUP(F1282,케이블트레이입.출고현황!W1285:AB1360,2,0),"")</f>
        <v/>
      </c>
      <c r="H1282" s="19" t="str">
        <f>IFERROR(VLOOKUP(G1282,케이블트레이입.출고현황!X1285:AC1360,2,0),"")</f>
        <v/>
      </c>
      <c r="I1282" s="19" t="str">
        <f>IFERROR(VLOOKUP(H1282,케이블트레이입.출고현황!Y1285:AD1360,2,0),"")</f>
        <v/>
      </c>
      <c r="J1282" s="9">
        <v>1</v>
      </c>
      <c r="K1282" s="9"/>
      <c r="L1282" s="37"/>
      <c r="M1282" s="64"/>
      <c r="N1282" s="4"/>
    </row>
    <row r="1283" spans="1:14" ht="24" customHeight="1">
      <c r="A1283" s="8">
        <v>1243</v>
      </c>
      <c r="B1283" s="9">
        <v>1243</v>
      </c>
      <c r="C1283" s="46"/>
      <c r="D1283" s="9"/>
      <c r="E1283" s="19" t="str">
        <f>IFERROR(VLOOKUP(D1283,케이블트레이입.출고현황!U1286:Z1361,2,0),"")</f>
        <v/>
      </c>
      <c r="F1283" s="19" t="str">
        <f>IFERROR(VLOOKUP(E1283,케이블트레이입.출고현황!V1286:AA1361,2,0),"")</f>
        <v/>
      </c>
      <c r="G1283" s="19" t="str">
        <f>IFERROR(VLOOKUP(F1283,케이블트레이입.출고현황!W1286:AB1361,2,0),"")</f>
        <v/>
      </c>
      <c r="H1283" s="19" t="str">
        <f>IFERROR(VLOOKUP(G1283,케이블트레이입.출고현황!X1286:AC1361,2,0),"")</f>
        <v/>
      </c>
      <c r="I1283" s="19" t="str">
        <f>IFERROR(VLOOKUP(H1283,케이블트레이입.출고현황!Y1286:AD1361,2,0),"")</f>
        <v/>
      </c>
      <c r="J1283" s="9">
        <v>1</v>
      </c>
      <c r="K1283" s="9"/>
      <c r="L1283" s="37"/>
      <c r="M1283" s="64"/>
      <c r="N1283" s="4"/>
    </row>
    <row r="1284" spans="1:14" ht="24" customHeight="1">
      <c r="A1284" s="8">
        <v>1244</v>
      </c>
      <c r="B1284" s="9">
        <v>1244</v>
      </c>
      <c r="C1284" s="46"/>
      <c r="D1284" s="9"/>
      <c r="E1284" s="19" t="str">
        <f>IFERROR(VLOOKUP(D1284,케이블트레이입.출고현황!U1287:Z1362,2,0),"")</f>
        <v/>
      </c>
      <c r="F1284" s="19" t="str">
        <f>IFERROR(VLOOKUP(E1284,케이블트레이입.출고현황!V1287:AA1362,2,0),"")</f>
        <v/>
      </c>
      <c r="G1284" s="19" t="str">
        <f>IFERROR(VLOOKUP(F1284,케이블트레이입.출고현황!W1287:AB1362,2,0),"")</f>
        <v/>
      </c>
      <c r="H1284" s="19" t="str">
        <f>IFERROR(VLOOKUP(G1284,케이블트레이입.출고현황!X1287:AC1362,2,0),"")</f>
        <v/>
      </c>
      <c r="I1284" s="19" t="str">
        <f>IFERROR(VLOOKUP(H1284,케이블트레이입.출고현황!Y1287:AD1362,2,0),"")</f>
        <v/>
      </c>
      <c r="J1284" s="9">
        <v>1</v>
      </c>
      <c r="K1284" s="9"/>
      <c r="L1284" s="37"/>
      <c r="M1284" s="64"/>
      <c r="N1284" s="4"/>
    </row>
    <row r="1285" spans="1:14" ht="24" customHeight="1">
      <c r="A1285" s="8">
        <v>1245</v>
      </c>
      <c r="B1285" s="9">
        <v>1245</v>
      </c>
      <c r="C1285" s="46"/>
      <c r="D1285" s="9"/>
      <c r="E1285" s="19" t="str">
        <f>IFERROR(VLOOKUP(D1285,케이블트레이입.출고현황!U1288:Z1363,2,0),"")</f>
        <v/>
      </c>
      <c r="F1285" s="19" t="str">
        <f>IFERROR(VLOOKUP(E1285,케이블트레이입.출고현황!V1288:AA1363,2,0),"")</f>
        <v/>
      </c>
      <c r="G1285" s="19" t="str">
        <f>IFERROR(VLOOKUP(F1285,케이블트레이입.출고현황!W1288:AB1363,2,0),"")</f>
        <v/>
      </c>
      <c r="H1285" s="19" t="str">
        <f>IFERROR(VLOOKUP(G1285,케이블트레이입.출고현황!X1288:AC1363,2,0),"")</f>
        <v/>
      </c>
      <c r="I1285" s="19" t="str">
        <f>IFERROR(VLOOKUP(H1285,케이블트레이입.출고현황!Y1288:AD1363,2,0),"")</f>
        <v/>
      </c>
      <c r="J1285" s="9">
        <v>1</v>
      </c>
      <c r="K1285" s="9"/>
      <c r="L1285" s="37"/>
      <c r="M1285" s="64"/>
      <c r="N1285" s="4"/>
    </row>
    <row r="1286" spans="1:14" ht="24" customHeight="1">
      <c r="A1286" s="8">
        <v>1246</v>
      </c>
      <c r="B1286" s="9">
        <v>1246</v>
      </c>
      <c r="C1286" s="46"/>
      <c r="D1286" s="9"/>
      <c r="E1286" s="19" t="str">
        <f>IFERROR(VLOOKUP(D1286,케이블트레이입.출고현황!U1289:Z1364,2,0),"")</f>
        <v/>
      </c>
      <c r="F1286" s="19" t="str">
        <f>IFERROR(VLOOKUP(E1286,케이블트레이입.출고현황!V1289:AA1364,2,0),"")</f>
        <v/>
      </c>
      <c r="G1286" s="19" t="str">
        <f>IFERROR(VLOOKUP(F1286,케이블트레이입.출고현황!W1289:AB1364,2,0),"")</f>
        <v/>
      </c>
      <c r="H1286" s="19" t="str">
        <f>IFERROR(VLOOKUP(G1286,케이블트레이입.출고현황!X1289:AC1364,2,0),"")</f>
        <v/>
      </c>
      <c r="I1286" s="19" t="str">
        <f>IFERROR(VLOOKUP(H1286,케이블트레이입.출고현황!Y1289:AD1364,2,0),"")</f>
        <v/>
      </c>
      <c r="J1286" s="9">
        <v>1</v>
      </c>
      <c r="K1286" s="9"/>
      <c r="L1286" s="37"/>
      <c r="M1286" s="64"/>
      <c r="N1286" s="4"/>
    </row>
    <row r="1287" spans="1:14" ht="24" customHeight="1">
      <c r="A1287" s="8">
        <v>1247</v>
      </c>
      <c r="B1287" s="9">
        <v>1247</v>
      </c>
      <c r="C1287" s="46"/>
      <c r="D1287" s="9"/>
      <c r="E1287" s="19" t="str">
        <f>IFERROR(VLOOKUP(D1287,케이블트레이입.출고현황!U1290:Z1365,2,0),"")</f>
        <v/>
      </c>
      <c r="F1287" s="19" t="str">
        <f>IFERROR(VLOOKUP(E1287,케이블트레이입.출고현황!V1290:AA1365,2,0),"")</f>
        <v/>
      </c>
      <c r="G1287" s="19" t="str">
        <f>IFERROR(VLOOKUP(F1287,케이블트레이입.출고현황!W1290:AB1365,2,0),"")</f>
        <v/>
      </c>
      <c r="H1287" s="19" t="str">
        <f>IFERROR(VLOOKUP(G1287,케이블트레이입.출고현황!X1290:AC1365,2,0),"")</f>
        <v/>
      </c>
      <c r="I1287" s="19" t="str">
        <f>IFERROR(VLOOKUP(H1287,케이블트레이입.출고현황!Y1290:AD1365,2,0),"")</f>
        <v/>
      </c>
      <c r="J1287" s="9">
        <v>3</v>
      </c>
      <c r="K1287" s="9"/>
      <c r="L1287" s="37"/>
      <c r="M1287" s="64"/>
      <c r="N1287" s="4"/>
    </row>
    <row r="1288" spans="1:14" ht="24" customHeight="1">
      <c r="A1288" s="8">
        <v>1248</v>
      </c>
      <c r="B1288" s="9">
        <v>1248</v>
      </c>
      <c r="C1288" s="46"/>
      <c r="D1288" s="9"/>
      <c r="E1288" s="19" t="str">
        <f>IFERROR(VLOOKUP(D1288,케이블트레이입.출고현황!U1291:Z1366,2,0),"")</f>
        <v/>
      </c>
      <c r="F1288" s="19" t="str">
        <f>IFERROR(VLOOKUP(E1288,케이블트레이입.출고현황!V1291:AA1366,2,0),"")</f>
        <v/>
      </c>
      <c r="G1288" s="19" t="str">
        <f>IFERROR(VLOOKUP(F1288,케이블트레이입.출고현황!W1291:AB1366,2,0),"")</f>
        <v/>
      </c>
      <c r="H1288" s="19" t="str">
        <f>IFERROR(VLOOKUP(G1288,케이블트레이입.출고현황!X1291:AC1366,2,0),"")</f>
        <v/>
      </c>
      <c r="I1288" s="19" t="str">
        <f>IFERROR(VLOOKUP(H1288,케이블트레이입.출고현황!Y1291:AD1366,2,0),"")</f>
        <v/>
      </c>
      <c r="J1288" s="9">
        <v>2</v>
      </c>
      <c r="K1288" s="9"/>
      <c r="L1288" s="37"/>
      <c r="M1288" s="64"/>
      <c r="N1288" s="4"/>
    </row>
    <row r="1289" spans="1:14" ht="24" customHeight="1">
      <c r="A1289" s="8">
        <v>1249</v>
      </c>
      <c r="B1289" s="9">
        <v>1249</v>
      </c>
      <c r="C1289" s="46"/>
      <c r="D1289" s="9"/>
      <c r="E1289" s="19" t="str">
        <f>IFERROR(VLOOKUP(D1289,케이블트레이입.출고현황!U1292:Z1367,2,0),"")</f>
        <v/>
      </c>
      <c r="F1289" s="19" t="str">
        <f>IFERROR(VLOOKUP(E1289,케이블트레이입.출고현황!V1292:AA1367,2,0),"")</f>
        <v/>
      </c>
      <c r="G1289" s="19" t="str">
        <f>IFERROR(VLOOKUP(F1289,케이블트레이입.출고현황!W1292:AB1367,2,0),"")</f>
        <v/>
      </c>
      <c r="H1289" s="19" t="str">
        <f>IFERROR(VLOOKUP(G1289,케이블트레이입.출고현황!X1292:AC1367,2,0),"")</f>
        <v/>
      </c>
      <c r="I1289" s="19" t="str">
        <f>IFERROR(VLOOKUP(H1289,케이블트레이입.출고현황!Y1292:AD1367,2,0),"")</f>
        <v/>
      </c>
      <c r="J1289" s="9">
        <v>1</v>
      </c>
      <c r="K1289" s="9"/>
      <c r="L1289" s="37"/>
      <c r="M1289" s="64"/>
      <c r="N1289" s="4"/>
    </row>
    <row r="1290" spans="1:14" ht="24" customHeight="1">
      <c r="A1290" s="8">
        <v>1250</v>
      </c>
      <c r="B1290" s="9">
        <v>1250</v>
      </c>
      <c r="C1290" s="46"/>
      <c r="D1290" s="9"/>
      <c r="E1290" s="19" t="str">
        <f>IFERROR(VLOOKUP(D1290,케이블트레이입.출고현황!U1293:Z1368,2,0),"")</f>
        <v/>
      </c>
      <c r="F1290" s="19" t="str">
        <f>IFERROR(VLOOKUP(E1290,케이블트레이입.출고현황!V1293:AA1368,2,0),"")</f>
        <v/>
      </c>
      <c r="G1290" s="19" t="str">
        <f>IFERROR(VLOOKUP(F1290,케이블트레이입.출고현황!W1293:AB1368,2,0),"")</f>
        <v/>
      </c>
      <c r="H1290" s="19" t="str">
        <f>IFERROR(VLOOKUP(G1290,케이블트레이입.출고현황!X1293:AC1368,2,0),"")</f>
        <v/>
      </c>
      <c r="I1290" s="19" t="str">
        <f>IFERROR(VLOOKUP(H1290,케이블트레이입.출고현황!Y1293:AD1368,2,0),"")</f>
        <v/>
      </c>
      <c r="J1290" s="9">
        <v>1</v>
      </c>
      <c r="K1290" s="9"/>
      <c r="L1290" s="37"/>
      <c r="M1290" s="64"/>
      <c r="N1290" s="4"/>
    </row>
    <row r="1291" spans="1:14" ht="24" customHeight="1">
      <c r="A1291" s="8">
        <v>1251</v>
      </c>
      <c r="B1291" s="9">
        <v>1251</v>
      </c>
      <c r="C1291" s="46"/>
      <c r="D1291" s="9"/>
      <c r="E1291" s="19" t="str">
        <f>IFERROR(VLOOKUP(D1291,케이블트레이입.출고현황!U1294:Z1369,2,0),"")</f>
        <v/>
      </c>
      <c r="F1291" s="19" t="str">
        <f>IFERROR(VLOOKUP(E1291,케이블트레이입.출고현황!V1294:AA1369,2,0),"")</f>
        <v/>
      </c>
      <c r="G1291" s="19" t="str">
        <f>IFERROR(VLOOKUP(F1291,케이블트레이입.출고현황!W1294:AB1369,2,0),"")</f>
        <v/>
      </c>
      <c r="H1291" s="19" t="str">
        <f>IFERROR(VLOOKUP(G1291,케이블트레이입.출고현황!X1294:AC1369,2,0),"")</f>
        <v/>
      </c>
      <c r="I1291" s="19" t="str">
        <f>IFERROR(VLOOKUP(H1291,케이블트레이입.출고현황!Y1294:AD1369,2,0),"")</f>
        <v/>
      </c>
      <c r="J1291" s="9">
        <v>2</v>
      </c>
      <c r="K1291" s="9"/>
      <c r="L1291" s="37"/>
      <c r="M1291" s="64"/>
      <c r="N1291" s="4"/>
    </row>
    <row r="1292" spans="1:14" ht="24" customHeight="1">
      <c r="A1292" s="8">
        <v>1252</v>
      </c>
      <c r="B1292" s="9">
        <v>1252</v>
      </c>
      <c r="C1292" s="46"/>
      <c r="D1292" s="9"/>
      <c r="E1292" s="19" t="str">
        <f>IFERROR(VLOOKUP(D1292,케이블트레이입.출고현황!U1295:Z1370,2,0),"")</f>
        <v/>
      </c>
      <c r="F1292" s="19" t="str">
        <f>IFERROR(VLOOKUP(E1292,케이블트레이입.출고현황!V1295:AA1370,2,0),"")</f>
        <v/>
      </c>
      <c r="G1292" s="19" t="str">
        <f>IFERROR(VLOOKUP(F1292,케이블트레이입.출고현황!W1295:AB1370,2,0),"")</f>
        <v/>
      </c>
      <c r="H1292" s="19" t="str">
        <f>IFERROR(VLOOKUP(G1292,케이블트레이입.출고현황!X1295:AC1370,2,0),"")</f>
        <v/>
      </c>
      <c r="I1292" s="19" t="str">
        <f>IFERROR(VLOOKUP(H1292,케이블트레이입.출고현황!Y1295:AD1370,2,0),"")</f>
        <v/>
      </c>
      <c r="J1292" s="9">
        <v>4</v>
      </c>
      <c r="K1292" s="9"/>
      <c r="L1292" s="37"/>
      <c r="M1292" s="64"/>
      <c r="N1292" s="4"/>
    </row>
    <row r="1293" spans="1:14" ht="24" customHeight="1">
      <c r="A1293" s="8">
        <v>1253</v>
      </c>
      <c r="B1293" s="9">
        <v>1253</v>
      </c>
      <c r="C1293" s="46"/>
      <c r="D1293" s="9"/>
      <c r="E1293" s="19" t="str">
        <f>IFERROR(VLOOKUP(D1293,케이블트레이입.출고현황!U1296:Z1371,2,0),"")</f>
        <v/>
      </c>
      <c r="F1293" s="19" t="str">
        <f>IFERROR(VLOOKUP(E1293,케이블트레이입.출고현황!V1296:AA1371,2,0),"")</f>
        <v/>
      </c>
      <c r="G1293" s="19" t="str">
        <f>IFERROR(VLOOKUP(F1293,케이블트레이입.출고현황!W1296:AB1371,2,0),"")</f>
        <v/>
      </c>
      <c r="H1293" s="19" t="str">
        <f>IFERROR(VLOOKUP(G1293,케이블트레이입.출고현황!X1296:AC1371,2,0),"")</f>
        <v/>
      </c>
      <c r="I1293" s="19" t="str">
        <f>IFERROR(VLOOKUP(H1293,케이블트레이입.출고현황!Y1296:AD1371,2,0),"")</f>
        <v/>
      </c>
      <c r="J1293" s="9">
        <v>2</v>
      </c>
      <c r="K1293" s="9"/>
      <c r="L1293" s="37"/>
      <c r="M1293" s="64"/>
      <c r="N1293" s="4"/>
    </row>
    <row r="1294" spans="1:14" ht="24" customHeight="1">
      <c r="A1294" s="8">
        <v>1254</v>
      </c>
      <c r="B1294" s="9">
        <v>1254</v>
      </c>
      <c r="C1294" s="46"/>
      <c r="D1294" s="9"/>
      <c r="E1294" s="19" t="str">
        <f>IFERROR(VLOOKUP(D1294,케이블트레이입.출고현황!U1297:Z1372,2,0),"")</f>
        <v/>
      </c>
      <c r="F1294" s="19" t="str">
        <f>IFERROR(VLOOKUP(E1294,케이블트레이입.출고현황!V1297:AA1372,2,0),"")</f>
        <v/>
      </c>
      <c r="G1294" s="19" t="str">
        <f>IFERROR(VLOOKUP(F1294,케이블트레이입.출고현황!W1297:AB1372,2,0),"")</f>
        <v/>
      </c>
      <c r="H1294" s="19" t="str">
        <f>IFERROR(VLOOKUP(G1294,케이블트레이입.출고현황!X1297:AC1372,2,0),"")</f>
        <v/>
      </c>
      <c r="I1294" s="19" t="str">
        <f>IFERROR(VLOOKUP(H1294,케이블트레이입.출고현황!Y1297:AD1372,2,0),"")</f>
        <v/>
      </c>
      <c r="J1294" s="9">
        <v>3</v>
      </c>
      <c r="K1294" s="9"/>
      <c r="L1294" s="37"/>
      <c r="M1294" s="64"/>
      <c r="N1294" s="4"/>
    </row>
    <row r="1295" spans="1:14" ht="24" customHeight="1">
      <c r="A1295" s="8">
        <v>1255</v>
      </c>
      <c r="B1295" s="9">
        <v>1255</v>
      </c>
      <c r="C1295" s="46"/>
      <c r="D1295" s="9"/>
      <c r="E1295" s="19" t="str">
        <f>IFERROR(VLOOKUP(D1295,케이블트레이입.출고현황!U1298:Z1373,2,0),"")</f>
        <v/>
      </c>
      <c r="F1295" s="19" t="str">
        <f>IFERROR(VLOOKUP(E1295,케이블트레이입.출고현황!V1298:AA1373,2,0),"")</f>
        <v/>
      </c>
      <c r="G1295" s="19" t="str">
        <f>IFERROR(VLOOKUP(F1295,케이블트레이입.출고현황!W1298:AB1373,2,0),"")</f>
        <v/>
      </c>
      <c r="H1295" s="19" t="str">
        <f>IFERROR(VLOOKUP(G1295,케이블트레이입.출고현황!X1298:AC1373,2,0),"")</f>
        <v/>
      </c>
      <c r="I1295" s="19" t="str">
        <f>IFERROR(VLOOKUP(H1295,케이블트레이입.출고현황!Y1298:AD1373,2,0),"")</f>
        <v/>
      </c>
      <c r="J1295" s="9">
        <v>1</v>
      </c>
      <c r="K1295" s="9"/>
      <c r="L1295" s="37"/>
      <c r="M1295" s="64"/>
      <c r="N1295" s="4"/>
    </row>
    <row r="1296" spans="1:14" ht="24" customHeight="1">
      <c r="A1296" s="8">
        <v>1256</v>
      </c>
      <c r="B1296" s="9">
        <v>1256</v>
      </c>
      <c r="C1296" s="46"/>
      <c r="D1296" s="9"/>
      <c r="E1296" s="19" t="str">
        <f>IFERROR(VLOOKUP(D1296,케이블트레이입.출고현황!U1299:Z1374,2,0),"")</f>
        <v/>
      </c>
      <c r="F1296" s="19" t="str">
        <f>IFERROR(VLOOKUP(E1296,케이블트레이입.출고현황!V1299:AA1374,2,0),"")</f>
        <v/>
      </c>
      <c r="G1296" s="19" t="str">
        <f>IFERROR(VLOOKUP(F1296,케이블트레이입.출고현황!W1299:AB1374,2,0),"")</f>
        <v/>
      </c>
      <c r="H1296" s="19" t="str">
        <f>IFERROR(VLOOKUP(G1296,케이블트레이입.출고현황!X1299:AC1374,2,0),"")</f>
        <v/>
      </c>
      <c r="I1296" s="19" t="str">
        <f>IFERROR(VLOOKUP(H1296,케이블트레이입.출고현황!Y1299:AD1374,2,0),"")</f>
        <v/>
      </c>
      <c r="J1296" s="9">
        <v>1</v>
      </c>
      <c r="K1296" s="9"/>
      <c r="L1296" s="37"/>
      <c r="M1296" s="64"/>
      <c r="N1296" s="4"/>
    </row>
    <row r="1297" spans="1:14" ht="24" customHeight="1">
      <c r="A1297" s="8">
        <v>1257</v>
      </c>
      <c r="B1297" s="9">
        <v>1257</v>
      </c>
      <c r="C1297" s="46"/>
      <c r="D1297" s="9"/>
      <c r="E1297" s="19" t="str">
        <f>IFERROR(VLOOKUP(D1297,케이블트레이입.출고현황!U1300:Z1375,2,0),"")</f>
        <v/>
      </c>
      <c r="F1297" s="19" t="str">
        <f>IFERROR(VLOOKUP(E1297,케이블트레이입.출고현황!V1300:AA1375,2,0),"")</f>
        <v/>
      </c>
      <c r="G1297" s="19" t="str">
        <f>IFERROR(VLOOKUP(F1297,케이블트레이입.출고현황!W1300:AB1375,2,0),"")</f>
        <v/>
      </c>
      <c r="H1297" s="19" t="str">
        <f>IFERROR(VLOOKUP(G1297,케이블트레이입.출고현황!X1300:AC1375,2,0),"")</f>
        <v/>
      </c>
      <c r="I1297" s="19" t="str">
        <f>IFERROR(VLOOKUP(H1297,케이블트레이입.출고현황!Y1300:AD1375,2,0),"")</f>
        <v/>
      </c>
      <c r="J1297" s="9">
        <v>1</v>
      </c>
      <c r="K1297" s="9"/>
      <c r="L1297" s="37"/>
      <c r="M1297" s="64"/>
      <c r="N1297" s="4"/>
    </row>
    <row r="1298" spans="1:14" ht="24" customHeight="1">
      <c r="A1298" s="8">
        <v>1258</v>
      </c>
      <c r="B1298" s="9">
        <v>1258</v>
      </c>
      <c r="C1298" s="46"/>
      <c r="D1298" s="9"/>
      <c r="E1298" s="19" t="str">
        <f>IFERROR(VLOOKUP(D1298,케이블트레이입.출고현황!U1301:Z1376,2,0),"")</f>
        <v/>
      </c>
      <c r="F1298" s="19" t="str">
        <f>IFERROR(VLOOKUP(E1298,케이블트레이입.출고현황!V1301:AA1376,2,0),"")</f>
        <v/>
      </c>
      <c r="G1298" s="19" t="str">
        <f>IFERROR(VLOOKUP(F1298,케이블트레이입.출고현황!W1301:AB1376,2,0),"")</f>
        <v/>
      </c>
      <c r="H1298" s="19" t="str">
        <f>IFERROR(VLOOKUP(G1298,케이블트레이입.출고현황!X1301:AC1376,2,0),"")</f>
        <v/>
      </c>
      <c r="I1298" s="19" t="str">
        <f>IFERROR(VLOOKUP(H1298,케이블트레이입.출고현황!Y1301:AD1376,2,0),"")</f>
        <v/>
      </c>
      <c r="J1298" s="9">
        <v>1</v>
      </c>
      <c r="K1298" s="9"/>
      <c r="L1298" s="37"/>
      <c r="M1298" s="64"/>
      <c r="N1298" s="42"/>
    </row>
    <row r="1299" spans="1:14" ht="24" customHeight="1">
      <c r="A1299" s="8">
        <v>1259</v>
      </c>
      <c r="B1299" s="9">
        <v>1259</v>
      </c>
      <c r="C1299" s="46"/>
      <c r="D1299" s="9"/>
      <c r="E1299" s="19" t="str">
        <f>IFERROR(VLOOKUP(D1299,케이블트레이입.출고현황!U1302:Z1377,2,0),"")</f>
        <v/>
      </c>
      <c r="F1299" s="19" t="str">
        <f>IFERROR(VLOOKUP(E1299,케이블트레이입.출고현황!V1302:AA1377,2,0),"")</f>
        <v/>
      </c>
      <c r="G1299" s="19" t="str">
        <f>IFERROR(VLOOKUP(F1299,케이블트레이입.출고현황!W1302:AB1377,2,0),"")</f>
        <v/>
      </c>
      <c r="H1299" s="19" t="str">
        <f>IFERROR(VLOOKUP(G1299,케이블트레이입.출고현황!X1302:AC1377,2,0),"")</f>
        <v/>
      </c>
      <c r="I1299" s="19" t="str">
        <f>IFERROR(VLOOKUP(H1299,케이블트레이입.출고현황!Y1302:AD1377,2,0),"")</f>
        <v/>
      </c>
      <c r="J1299" s="9">
        <v>2</v>
      </c>
      <c r="K1299" s="9"/>
      <c r="L1299" s="37"/>
      <c r="M1299" s="64"/>
      <c r="N1299" s="42"/>
    </row>
    <row r="1300" spans="1:14" ht="24" customHeight="1">
      <c r="A1300" s="8">
        <v>1260</v>
      </c>
      <c r="B1300" s="9">
        <v>1260</v>
      </c>
      <c r="C1300" s="46"/>
      <c r="D1300" s="9"/>
      <c r="E1300" s="19" t="str">
        <f>IFERROR(VLOOKUP(D1300,케이블트레이입.출고현황!U1303:Z1378,2,0),"")</f>
        <v/>
      </c>
      <c r="F1300" s="19" t="str">
        <f>IFERROR(VLOOKUP(E1300,케이블트레이입.출고현황!V1303:AA1378,2,0),"")</f>
        <v/>
      </c>
      <c r="G1300" s="19" t="str">
        <f>IFERROR(VLOOKUP(F1300,케이블트레이입.출고현황!W1303:AB1378,2,0),"")</f>
        <v/>
      </c>
      <c r="H1300" s="19" t="str">
        <f>IFERROR(VLOOKUP(G1300,케이블트레이입.출고현황!X1303:AC1378,2,0),"")</f>
        <v/>
      </c>
      <c r="I1300" s="19" t="str">
        <f>IFERROR(VLOOKUP(H1300,케이블트레이입.출고현황!Y1303:AD1378,2,0),"")</f>
        <v/>
      </c>
      <c r="J1300" s="9">
        <v>3</v>
      </c>
      <c r="K1300" s="9"/>
      <c r="L1300" s="37"/>
      <c r="M1300" s="64"/>
      <c r="N1300" s="42"/>
    </row>
    <row r="1301" spans="1:14" ht="24" customHeight="1">
      <c r="A1301" s="8">
        <v>1261</v>
      </c>
      <c r="B1301" s="9">
        <v>1261</v>
      </c>
      <c r="C1301" s="46"/>
      <c r="D1301" s="9"/>
      <c r="E1301" s="19" t="str">
        <f>IFERROR(VLOOKUP(D1301,케이블트레이입.출고현황!U1304:Z1379,2,0),"")</f>
        <v/>
      </c>
      <c r="F1301" s="19" t="str">
        <f>IFERROR(VLOOKUP(E1301,케이블트레이입.출고현황!V1304:AA1379,2,0),"")</f>
        <v/>
      </c>
      <c r="G1301" s="19" t="str">
        <f>IFERROR(VLOOKUP(F1301,케이블트레이입.출고현황!W1304:AB1379,2,0),"")</f>
        <v/>
      </c>
      <c r="H1301" s="19" t="str">
        <f>IFERROR(VLOOKUP(G1301,케이블트레이입.출고현황!X1304:AC1379,2,0),"")</f>
        <v/>
      </c>
      <c r="I1301" s="19" t="str">
        <f>IFERROR(VLOOKUP(H1301,케이블트레이입.출고현황!Y1304:AD1379,2,0),"")</f>
        <v/>
      </c>
      <c r="J1301" s="9">
        <v>3</v>
      </c>
      <c r="K1301" s="9"/>
      <c r="L1301" s="37"/>
      <c r="M1301" s="64"/>
      <c r="N1301" s="4"/>
    </row>
    <row r="1302" spans="1:14" ht="24" customHeight="1">
      <c r="A1302" s="8">
        <v>1262</v>
      </c>
      <c r="B1302" s="9">
        <v>1262</v>
      </c>
      <c r="C1302" s="46"/>
      <c r="D1302" s="9"/>
      <c r="E1302" s="19" t="str">
        <f>IFERROR(VLOOKUP(D1302,케이블트레이입.출고현황!U1305:Z1380,2,0),"")</f>
        <v/>
      </c>
      <c r="F1302" s="19" t="str">
        <f>IFERROR(VLOOKUP(E1302,케이블트레이입.출고현황!V1305:AA1380,2,0),"")</f>
        <v/>
      </c>
      <c r="G1302" s="19" t="str">
        <f>IFERROR(VLOOKUP(F1302,케이블트레이입.출고현황!W1305:AB1380,2,0),"")</f>
        <v/>
      </c>
      <c r="H1302" s="19" t="str">
        <f>IFERROR(VLOOKUP(G1302,케이블트레이입.출고현황!X1305:AC1380,2,0),"")</f>
        <v/>
      </c>
      <c r="I1302" s="19" t="str">
        <f>IFERROR(VLOOKUP(H1302,케이블트레이입.출고현황!Y1305:AD1380,2,0),"")</f>
        <v/>
      </c>
      <c r="J1302" s="9">
        <v>1</v>
      </c>
      <c r="K1302" s="9"/>
      <c r="L1302" s="37"/>
      <c r="M1302" s="64"/>
      <c r="N1302" s="4"/>
    </row>
    <row r="1303" spans="1:14" ht="24" customHeight="1">
      <c r="A1303" s="8">
        <v>1263</v>
      </c>
      <c r="B1303" s="9">
        <v>1263</v>
      </c>
      <c r="C1303" s="46"/>
      <c r="D1303" s="9"/>
      <c r="E1303" s="19" t="str">
        <f>IFERROR(VLOOKUP(D1303,케이블트레이입.출고현황!U1306:Z1381,2,0),"")</f>
        <v/>
      </c>
      <c r="F1303" s="19" t="str">
        <f>IFERROR(VLOOKUP(E1303,케이블트레이입.출고현황!V1306:AA1381,2,0),"")</f>
        <v/>
      </c>
      <c r="G1303" s="19" t="str">
        <f>IFERROR(VLOOKUP(F1303,케이블트레이입.출고현황!W1306:AB1381,2,0),"")</f>
        <v/>
      </c>
      <c r="H1303" s="19" t="str">
        <f>IFERROR(VLOOKUP(G1303,케이블트레이입.출고현황!X1306:AC1381,2,0),"")</f>
        <v/>
      </c>
      <c r="I1303" s="19" t="str">
        <f>IFERROR(VLOOKUP(H1303,케이블트레이입.출고현황!Y1306:AD1381,2,0),"")</f>
        <v/>
      </c>
      <c r="J1303" s="9">
        <v>1</v>
      </c>
      <c r="K1303" s="9"/>
      <c r="L1303" s="37"/>
      <c r="M1303" s="64"/>
      <c r="N1303" s="4"/>
    </row>
    <row r="1304" spans="1:14" ht="24" customHeight="1">
      <c r="A1304" s="8">
        <v>1264</v>
      </c>
      <c r="B1304" s="9">
        <v>1264</v>
      </c>
      <c r="C1304" s="46"/>
      <c r="D1304" s="9"/>
      <c r="E1304" s="19" t="str">
        <f>IFERROR(VLOOKUP(D1304,케이블트레이입.출고현황!U1307:Z1382,2,0),"")</f>
        <v/>
      </c>
      <c r="F1304" s="19" t="str">
        <f>IFERROR(VLOOKUP(E1304,케이블트레이입.출고현황!V1307:AA1382,2,0),"")</f>
        <v/>
      </c>
      <c r="G1304" s="19" t="str">
        <f>IFERROR(VLOOKUP(F1304,케이블트레이입.출고현황!W1307:AB1382,2,0),"")</f>
        <v/>
      </c>
      <c r="H1304" s="19" t="str">
        <f>IFERROR(VLOOKUP(G1304,케이블트레이입.출고현황!X1307:AC1382,2,0),"")</f>
        <v/>
      </c>
      <c r="I1304" s="19" t="str">
        <f>IFERROR(VLOOKUP(H1304,케이블트레이입.출고현황!Y1307:AD1382,2,0),"")</f>
        <v/>
      </c>
      <c r="J1304" s="9">
        <v>1</v>
      </c>
      <c r="K1304" s="9"/>
      <c r="L1304" s="37"/>
      <c r="M1304" s="64"/>
      <c r="N1304" s="4"/>
    </row>
    <row r="1305" spans="1:14" ht="24" customHeight="1">
      <c r="A1305" s="8">
        <v>1265</v>
      </c>
      <c r="B1305" s="9">
        <v>1265</v>
      </c>
      <c r="C1305" s="46"/>
      <c r="D1305" s="9"/>
      <c r="E1305" s="19" t="str">
        <f>IFERROR(VLOOKUP(D1305,케이블트레이입.출고현황!U1308:Z1383,2,0),"")</f>
        <v/>
      </c>
      <c r="F1305" s="19" t="str">
        <f>IFERROR(VLOOKUP(E1305,케이블트레이입.출고현황!V1308:AA1383,2,0),"")</f>
        <v/>
      </c>
      <c r="G1305" s="19" t="str">
        <f>IFERROR(VLOOKUP(F1305,케이블트레이입.출고현황!W1308:AB1383,2,0),"")</f>
        <v/>
      </c>
      <c r="H1305" s="19" t="str">
        <f>IFERROR(VLOOKUP(G1305,케이블트레이입.출고현황!X1308:AC1383,2,0),"")</f>
        <v/>
      </c>
      <c r="I1305" s="19" t="str">
        <f>IFERROR(VLOOKUP(H1305,케이블트레이입.출고현황!Y1308:AD1383,2,0),"")</f>
        <v/>
      </c>
      <c r="J1305" s="9">
        <v>3</v>
      </c>
      <c r="K1305" s="9"/>
      <c r="L1305" s="37"/>
      <c r="M1305" s="64"/>
      <c r="N1305" s="4"/>
    </row>
    <row r="1306" spans="1:14" ht="24" customHeight="1">
      <c r="A1306" s="8">
        <v>1266</v>
      </c>
      <c r="B1306" s="9">
        <v>1266</v>
      </c>
      <c r="C1306" s="46"/>
      <c r="D1306" s="9"/>
      <c r="E1306" s="19" t="str">
        <f>IFERROR(VLOOKUP(D1306,케이블트레이입.출고현황!U1309:Z1384,2,0),"")</f>
        <v/>
      </c>
      <c r="F1306" s="19" t="str">
        <f>IFERROR(VLOOKUP(E1306,케이블트레이입.출고현황!V1309:AA1384,2,0),"")</f>
        <v/>
      </c>
      <c r="G1306" s="19" t="str">
        <f>IFERROR(VLOOKUP(F1306,케이블트레이입.출고현황!W1309:AB1384,2,0),"")</f>
        <v/>
      </c>
      <c r="H1306" s="19" t="str">
        <f>IFERROR(VLOOKUP(G1306,케이블트레이입.출고현황!X1309:AC1384,2,0),"")</f>
        <v/>
      </c>
      <c r="I1306" s="19" t="str">
        <f>IFERROR(VLOOKUP(H1306,케이블트레이입.출고현황!Y1309:AD1384,2,0),"")</f>
        <v/>
      </c>
      <c r="J1306" s="9">
        <v>2</v>
      </c>
      <c r="K1306" s="9"/>
      <c r="L1306" s="37"/>
      <c r="M1306" s="64"/>
      <c r="N1306" s="4"/>
    </row>
    <row r="1307" spans="1:14" ht="24" customHeight="1">
      <c r="A1307" s="8">
        <v>1267</v>
      </c>
      <c r="B1307" s="9">
        <v>1267</v>
      </c>
      <c r="C1307" s="46"/>
      <c r="D1307" s="9"/>
      <c r="E1307" s="19" t="str">
        <f>IFERROR(VLOOKUP(D1307,케이블트레이입.출고현황!U1310:Z1385,2,0),"")</f>
        <v/>
      </c>
      <c r="F1307" s="19" t="str">
        <f>IFERROR(VLOOKUP(E1307,케이블트레이입.출고현황!V1310:AA1385,2,0),"")</f>
        <v/>
      </c>
      <c r="G1307" s="19" t="str">
        <f>IFERROR(VLOOKUP(F1307,케이블트레이입.출고현황!W1310:AB1385,2,0),"")</f>
        <v/>
      </c>
      <c r="H1307" s="19" t="str">
        <f>IFERROR(VLOOKUP(G1307,케이블트레이입.출고현황!X1310:AC1385,2,0),"")</f>
        <v/>
      </c>
      <c r="I1307" s="19" t="str">
        <f>IFERROR(VLOOKUP(H1307,케이블트레이입.출고현황!Y1310:AD1385,2,0),"")</f>
        <v/>
      </c>
      <c r="J1307" s="9">
        <v>1</v>
      </c>
      <c r="K1307" s="9"/>
      <c r="L1307" s="37"/>
      <c r="M1307" s="64"/>
      <c r="N1307" s="4"/>
    </row>
    <row r="1308" spans="1:14" ht="24" customHeight="1">
      <c r="A1308" s="8">
        <v>1268</v>
      </c>
      <c r="B1308" s="9">
        <v>1268</v>
      </c>
      <c r="C1308" s="46"/>
      <c r="D1308" s="9"/>
      <c r="E1308" s="19" t="str">
        <f>IFERROR(VLOOKUP(D1308,케이블트레이입.출고현황!U1311:Z1386,2,0),"")</f>
        <v/>
      </c>
      <c r="F1308" s="19" t="str">
        <f>IFERROR(VLOOKUP(E1308,케이블트레이입.출고현황!V1311:AA1386,2,0),"")</f>
        <v/>
      </c>
      <c r="G1308" s="19" t="str">
        <f>IFERROR(VLOOKUP(F1308,케이블트레이입.출고현황!W1311:AB1386,2,0),"")</f>
        <v/>
      </c>
      <c r="H1308" s="19" t="str">
        <f>IFERROR(VLOOKUP(G1308,케이블트레이입.출고현황!X1311:AC1386,2,0),"")</f>
        <v/>
      </c>
      <c r="I1308" s="19" t="str">
        <f>IFERROR(VLOOKUP(H1308,케이블트레이입.출고현황!Y1311:AD1386,2,0),"")</f>
        <v/>
      </c>
      <c r="J1308" s="9">
        <v>2</v>
      </c>
      <c r="K1308" s="9"/>
      <c r="L1308" s="37"/>
      <c r="M1308" s="64"/>
      <c r="N1308" s="4"/>
    </row>
    <row r="1309" spans="1:14" ht="24" customHeight="1">
      <c r="A1309" s="8">
        <v>1269</v>
      </c>
      <c r="B1309" s="9">
        <v>1269</v>
      </c>
      <c r="C1309" s="46"/>
      <c r="D1309" s="9"/>
      <c r="E1309" s="19" t="str">
        <f>IFERROR(VLOOKUP(D1309,케이블트레이입.출고현황!U1312:Z1387,2,0),"")</f>
        <v/>
      </c>
      <c r="F1309" s="19" t="str">
        <f>IFERROR(VLOOKUP(E1309,케이블트레이입.출고현황!V1312:AA1387,2,0),"")</f>
        <v/>
      </c>
      <c r="G1309" s="19" t="str">
        <f>IFERROR(VLOOKUP(F1309,케이블트레이입.출고현황!W1312:AB1387,2,0),"")</f>
        <v/>
      </c>
      <c r="H1309" s="19" t="str">
        <f>IFERROR(VLOOKUP(G1309,케이블트레이입.출고현황!X1312:AC1387,2,0),"")</f>
        <v/>
      </c>
      <c r="I1309" s="19" t="str">
        <f>IFERROR(VLOOKUP(H1309,케이블트레이입.출고현황!Y1312:AD1387,2,0),"")</f>
        <v/>
      </c>
      <c r="J1309" s="9">
        <v>4</v>
      </c>
      <c r="K1309" s="9"/>
      <c r="L1309" s="37"/>
      <c r="M1309" s="64"/>
      <c r="N1309" s="4"/>
    </row>
    <row r="1310" spans="1:14" ht="24" customHeight="1">
      <c r="A1310" s="8">
        <v>1270</v>
      </c>
      <c r="B1310" s="9">
        <v>1270</v>
      </c>
      <c r="C1310" s="46"/>
      <c r="D1310" s="9"/>
      <c r="E1310" s="19" t="str">
        <f>IFERROR(VLOOKUP(D1310,케이블트레이입.출고현황!U1313:Z1388,2,0),"")</f>
        <v/>
      </c>
      <c r="F1310" s="19" t="str">
        <f>IFERROR(VLOOKUP(E1310,케이블트레이입.출고현황!V1313:AA1388,2,0),"")</f>
        <v/>
      </c>
      <c r="G1310" s="19" t="str">
        <f>IFERROR(VLOOKUP(F1310,케이블트레이입.출고현황!W1313:AB1388,2,0),"")</f>
        <v/>
      </c>
      <c r="H1310" s="19" t="str">
        <f>IFERROR(VLOOKUP(G1310,케이블트레이입.출고현황!X1313:AC1388,2,0),"")</f>
        <v/>
      </c>
      <c r="I1310" s="19" t="str">
        <f>IFERROR(VLOOKUP(H1310,케이블트레이입.출고현황!Y1313:AD1388,2,0),"")</f>
        <v/>
      </c>
      <c r="J1310" s="9">
        <v>2</v>
      </c>
      <c r="K1310" s="9"/>
      <c r="L1310" s="37"/>
      <c r="M1310" s="64"/>
      <c r="N1310" s="4"/>
    </row>
    <row r="1311" spans="1:14" ht="24" customHeight="1">
      <c r="A1311" s="8">
        <v>1271</v>
      </c>
      <c r="B1311" s="9">
        <v>1271</v>
      </c>
      <c r="C1311" s="46"/>
      <c r="D1311" s="9"/>
      <c r="E1311" s="19" t="str">
        <f>IFERROR(VLOOKUP(D1311,케이블트레이입.출고현황!U1314:Z1389,2,0),"")</f>
        <v/>
      </c>
      <c r="F1311" s="19" t="str">
        <f>IFERROR(VLOOKUP(E1311,케이블트레이입.출고현황!V1314:AA1389,2,0),"")</f>
        <v/>
      </c>
      <c r="G1311" s="19" t="str">
        <f>IFERROR(VLOOKUP(F1311,케이블트레이입.출고현황!W1314:AB1389,2,0),"")</f>
        <v/>
      </c>
      <c r="H1311" s="19" t="str">
        <f>IFERROR(VLOOKUP(G1311,케이블트레이입.출고현황!X1314:AC1389,2,0),"")</f>
        <v/>
      </c>
      <c r="I1311" s="19" t="str">
        <f>IFERROR(VLOOKUP(H1311,케이블트레이입.출고현황!Y1314:AD1389,2,0),"")</f>
        <v/>
      </c>
      <c r="J1311" s="9">
        <v>3</v>
      </c>
      <c r="K1311" s="9"/>
      <c r="L1311" s="37"/>
      <c r="M1311" s="64"/>
      <c r="N1311" s="4"/>
    </row>
    <row r="1312" spans="1:14" ht="24" customHeight="1">
      <c r="A1312" s="8">
        <v>1272</v>
      </c>
      <c r="B1312" s="9">
        <v>1272</v>
      </c>
      <c r="C1312" s="46"/>
      <c r="D1312" s="9"/>
      <c r="E1312" s="19" t="str">
        <f>IFERROR(VLOOKUP(D1312,케이블트레이입.출고현황!U1315:Z1390,2,0),"")</f>
        <v/>
      </c>
      <c r="F1312" s="19" t="str">
        <f>IFERROR(VLOOKUP(E1312,케이블트레이입.출고현황!V1315:AA1390,2,0),"")</f>
        <v/>
      </c>
      <c r="G1312" s="19" t="str">
        <f>IFERROR(VLOOKUP(F1312,케이블트레이입.출고현황!W1315:AB1390,2,0),"")</f>
        <v/>
      </c>
      <c r="H1312" s="19" t="str">
        <f>IFERROR(VLOOKUP(G1312,케이블트레이입.출고현황!X1315:AC1390,2,0),"")</f>
        <v/>
      </c>
      <c r="I1312" s="19" t="str">
        <f>IFERROR(VLOOKUP(H1312,케이블트레이입.출고현황!Y1315:AD1390,2,0),"")</f>
        <v/>
      </c>
      <c r="J1312" s="9">
        <v>1</v>
      </c>
      <c r="K1312" s="9"/>
      <c r="L1312" s="37"/>
      <c r="M1312" s="64"/>
      <c r="N1312" s="4"/>
    </row>
    <row r="1313" spans="1:14" ht="24" customHeight="1">
      <c r="A1313" s="8">
        <v>1273</v>
      </c>
      <c r="B1313" s="9">
        <v>1273</v>
      </c>
      <c r="C1313" s="46"/>
      <c r="D1313" s="9"/>
      <c r="E1313" s="19" t="str">
        <f>IFERROR(VLOOKUP(D1313,케이블트레이입.출고현황!U1316:Z1391,2,0),"")</f>
        <v/>
      </c>
      <c r="F1313" s="19" t="str">
        <f>IFERROR(VLOOKUP(E1313,케이블트레이입.출고현황!V1316:AA1391,2,0),"")</f>
        <v/>
      </c>
      <c r="G1313" s="19" t="str">
        <f>IFERROR(VLOOKUP(F1313,케이블트레이입.출고현황!W1316:AB1391,2,0),"")</f>
        <v/>
      </c>
      <c r="H1313" s="19" t="str">
        <f>IFERROR(VLOOKUP(G1313,케이블트레이입.출고현황!X1316:AC1391,2,0),"")</f>
        <v/>
      </c>
      <c r="I1313" s="19" t="str">
        <f>IFERROR(VLOOKUP(H1313,케이블트레이입.출고현황!Y1316:AD1391,2,0),"")</f>
        <v/>
      </c>
      <c r="J1313" s="9">
        <v>1</v>
      </c>
      <c r="K1313" s="9"/>
      <c r="L1313" s="37"/>
      <c r="M1313" s="64"/>
      <c r="N1313" s="42"/>
    </row>
    <row r="1314" spans="1:14" ht="24" customHeight="1">
      <c r="A1314" s="8">
        <v>1274</v>
      </c>
      <c r="B1314" s="9">
        <v>1274</v>
      </c>
      <c r="C1314" s="46"/>
      <c r="D1314" s="9"/>
      <c r="E1314" s="19" t="str">
        <f>IFERROR(VLOOKUP(D1314,케이블트레이입.출고현황!U1317:Z1392,2,0),"")</f>
        <v/>
      </c>
      <c r="F1314" s="19" t="str">
        <f>IFERROR(VLOOKUP(E1314,케이블트레이입.출고현황!V1317:AA1392,2,0),"")</f>
        <v/>
      </c>
      <c r="G1314" s="19" t="str">
        <f>IFERROR(VLOOKUP(F1314,케이블트레이입.출고현황!W1317:AB1392,2,0),"")</f>
        <v/>
      </c>
      <c r="H1314" s="19" t="str">
        <f>IFERROR(VLOOKUP(G1314,케이블트레이입.출고현황!X1317:AC1392,2,0),"")</f>
        <v/>
      </c>
      <c r="I1314" s="19" t="str">
        <f>IFERROR(VLOOKUP(H1314,케이블트레이입.출고현황!Y1317:AD1392,2,0),"")</f>
        <v/>
      </c>
      <c r="J1314" s="9">
        <v>2</v>
      </c>
      <c r="K1314" s="9"/>
      <c r="L1314" s="37"/>
      <c r="M1314" s="64"/>
      <c r="N1314" s="42"/>
    </row>
    <row r="1315" spans="1:14" ht="24" customHeight="1">
      <c r="A1315" s="8">
        <v>1275</v>
      </c>
      <c r="B1315" s="9">
        <v>1275</v>
      </c>
      <c r="C1315" s="46"/>
      <c r="D1315" s="9"/>
      <c r="E1315" s="19" t="str">
        <f>IFERROR(VLOOKUP(D1315,케이블트레이입.출고현황!U1318:Z1393,2,0),"")</f>
        <v/>
      </c>
      <c r="F1315" s="19" t="str">
        <f>IFERROR(VLOOKUP(E1315,케이블트레이입.출고현황!V1318:AA1393,2,0),"")</f>
        <v/>
      </c>
      <c r="G1315" s="19" t="str">
        <f>IFERROR(VLOOKUP(F1315,케이블트레이입.출고현황!W1318:AB1393,2,0),"")</f>
        <v/>
      </c>
      <c r="H1315" s="19" t="str">
        <f>IFERROR(VLOOKUP(G1315,케이블트레이입.출고현황!X1318:AC1393,2,0),"")</f>
        <v/>
      </c>
      <c r="I1315" s="19" t="str">
        <f>IFERROR(VLOOKUP(H1315,케이블트레이입.출고현황!Y1318:AD1393,2,0),"")</f>
        <v/>
      </c>
      <c r="J1315" s="9">
        <v>1</v>
      </c>
      <c r="K1315" s="9"/>
      <c r="L1315" s="37"/>
      <c r="M1315" s="64"/>
      <c r="N1315" s="42"/>
    </row>
    <row r="1316" spans="1:14" ht="24" customHeight="1">
      <c r="A1316" s="8">
        <v>1276</v>
      </c>
      <c r="B1316" s="9">
        <v>1276</v>
      </c>
      <c r="C1316" s="46"/>
      <c r="D1316" s="9"/>
      <c r="E1316" s="19" t="str">
        <f>IFERROR(VLOOKUP(D1316,케이블트레이입.출고현황!U1319:Z1394,2,0),"")</f>
        <v/>
      </c>
      <c r="F1316" s="19" t="str">
        <f>IFERROR(VLOOKUP(E1316,케이블트레이입.출고현황!V1319:AA1394,2,0),"")</f>
        <v/>
      </c>
      <c r="G1316" s="19" t="str">
        <f>IFERROR(VLOOKUP(F1316,케이블트레이입.출고현황!W1319:AB1394,2,0),"")</f>
        <v/>
      </c>
      <c r="H1316" s="19" t="str">
        <f>IFERROR(VLOOKUP(G1316,케이블트레이입.출고현황!X1319:AC1394,2,0),"")</f>
        <v/>
      </c>
      <c r="I1316" s="19" t="str">
        <f>IFERROR(VLOOKUP(H1316,케이블트레이입.출고현황!Y1319:AD1394,2,0),"")</f>
        <v/>
      </c>
      <c r="J1316" s="9">
        <v>1</v>
      </c>
      <c r="K1316" s="9"/>
      <c r="L1316" s="37"/>
      <c r="M1316" s="64"/>
      <c r="N1316" s="42"/>
    </row>
    <row r="1317" spans="1:14" ht="24" customHeight="1">
      <c r="A1317" s="8">
        <v>1277</v>
      </c>
      <c r="B1317" s="9">
        <v>1277</v>
      </c>
      <c r="C1317" s="46"/>
      <c r="D1317" s="9"/>
      <c r="E1317" s="19" t="str">
        <f>IFERROR(VLOOKUP(D1317,케이블트레이입.출고현황!U1320:Z1395,2,0),"")</f>
        <v/>
      </c>
      <c r="F1317" s="19" t="str">
        <f>IFERROR(VLOOKUP(E1317,케이블트레이입.출고현황!V1320:AA1395,2,0),"")</f>
        <v/>
      </c>
      <c r="G1317" s="19" t="str">
        <f>IFERROR(VLOOKUP(F1317,케이블트레이입.출고현황!W1320:AB1395,2,0),"")</f>
        <v/>
      </c>
      <c r="H1317" s="19" t="str">
        <f>IFERROR(VLOOKUP(G1317,케이블트레이입.출고현황!X1320:AC1395,2,0),"")</f>
        <v/>
      </c>
      <c r="I1317" s="19" t="str">
        <f>IFERROR(VLOOKUP(H1317,케이블트레이입.출고현황!Y1320:AD1395,2,0),"")</f>
        <v/>
      </c>
      <c r="J1317" s="9">
        <v>1</v>
      </c>
      <c r="K1317" s="9"/>
      <c r="L1317" s="37"/>
      <c r="M1317" s="64"/>
      <c r="N1317" s="42"/>
    </row>
    <row r="1318" spans="1:14" ht="24" customHeight="1">
      <c r="A1318" s="8">
        <v>1278</v>
      </c>
      <c r="B1318" s="9">
        <v>1278</v>
      </c>
      <c r="C1318" s="46"/>
      <c r="D1318" s="9"/>
      <c r="E1318" s="19" t="str">
        <f>IFERROR(VLOOKUP(D1318,케이블트레이입.출고현황!U1321:Z1396,2,0),"")</f>
        <v/>
      </c>
      <c r="F1318" s="19" t="str">
        <f>IFERROR(VLOOKUP(E1318,케이블트레이입.출고현황!V1321:AA1396,2,0),"")</f>
        <v/>
      </c>
      <c r="G1318" s="19" t="str">
        <f>IFERROR(VLOOKUP(F1318,케이블트레이입.출고현황!W1321:AB1396,2,0),"")</f>
        <v/>
      </c>
      <c r="H1318" s="19" t="str">
        <f>IFERROR(VLOOKUP(G1318,케이블트레이입.출고현황!X1321:AC1396,2,0),"")</f>
        <v/>
      </c>
      <c r="I1318" s="19" t="str">
        <f>IFERROR(VLOOKUP(H1318,케이블트레이입.출고현황!Y1321:AD1396,2,0),"")</f>
        <v/>
      </c>
      <c r="J1318" s="9">
        <v>2</v>
      </c>
      <c r="K1318" s="9"/>
      <c r="L1318" s="37"/>
      <c r="M1318" s="64"/>
      <c r="N1318" s="42"/>
    </row>
    <row r="1319" spans="1:14" ht="24" customHeight="1">
      <c r="A1319" s="8">
        <v>1279</v>
      </c>
      <c r="B1319" s="9">
        <v>1279</v>
      </c>
      <c r="C1319" s="46"/>
      <c r="D1319" s="9"/>
      <c r="E1319" s="19" t="str">
        <f>IFERROR(VLOOKUP(D1319,케이블트레이입.출고현황!U1322:Z1397,2,0),"")</f>
        <v/>
      </c>
      <c r="F1319" s="19" t="str">
        <f>IFERROR(VLOOKUP(E1319,케이블트레이입.출고현황!V1322:AA1397,2,0),"")</f>
        <v/>
      </c>
      <c r="G1319" s="19" t="str">
        <f>IFERROR(VLOOKUP(F1319,케이블트레이입.출고현황!W1322:AB1397,2,0),"")</f>
        <v/>
      </c>
      <c r="H1319" s="19" t="str">
        <f>IFERROR(VLOOKUP(G1319,케이블트레이입.출고현황!X1322:AC1397,2,0),"")</f>
        <v/>
      </c>
      <c r="I1319" s="19" t="str">
        <f>IFERROR(VLOOKUP(H1319,케이블트레이입.출고현황!Y1322:AD1397,2,0),"")</f>
        <v/>
      </c>
      <c r="J1319" s="9">
        <v>4</v>
      </c>
      <c r="K1319" s="9"/>
      <c r="L1319" s="37"/>
      <c r="M1319" s="64"/>
      <c r="N1319" s="42"/>
    </row>
    <row r="1320" spans="1:14" ht="24" customHeight="1">
      <c r="A1320" s="8">
        <v>1280</v>
      </c>
      <c r="B1320" s="9">
        <v>1280</v>
      </c>
      <c r="C1320" s="46"/>
      <c r="D1320" s="9"/>
      <c r="E1320" s="19" t="str">
        <f>IFERROR(VLOOKUP(D1320,케이블트레이입.출고현황!U1323:Z1398,2,0),"")</f>
        <v/>
      </c>
      <c r="F1320" s="19" t="str">
        <f>IFERROR(VLOOKUP(E1320,케이블트레이입.출고현황!V1323:AA1398,2,0),"")</f>
        <v/>
      </c>
      <c r="G1320" s="19" t="str">
        <f>IFERROR(VLOOKUP(F1320,케이블트레이입.출고현황!W1323:AB1398,2,0),"")</f>
        <v/>
      </c>
      <c r="H1320" s="19" t="str">
        <f>IFERROR(VLOOKUP(G1320,케이블트레이입.출고현황!X1323:AC1398,2,0),"")</f>
        <v/>
      </c>
      <c r="I1320" s="19" t="str">
        <f>IFERROR(VLOOKUP(H1320,케이블트레이입.출고현황!Y1323:AD1398,2,0),"")</f>
        <v/>
      </c>
      <c r="J1320" s="9">
        <v>1</v>
      </c>
      <c r="K1320" s="9"/>
      <c r="L1320" s="37"/>
      <c r="M1320" s="64"/>
      <c r="N1320" s="42"/>
    </row>
    <row r="1321" spans="1:14" ht="24" customHeight="1">
      <c r="A1321" s="8">
        <v>1281</v>
      </c>
      <c r="B1321" s="9">
        <v>1281</v>
      </c>
      <c r="C1321" s="46"/>
      <c r="D1321" s="9"/>
      <c r="E1321" s="19" t="str">
        <f>IFERROR(VLOOKUP(D1321,케이블트레이입.출고현황!U1324:Z1399,2,0),"")</f>
        <v/>
      </c>
      <c r="F1321" s="19" t="str">
        <f>IFERROR(VLOOKUP(E1321,케이블트레이입.출고현황!V1324:AA1399,2,0),"")</f>
        <v/>
      </c>
      <c r="G1321" s="19" t="str">
        <f>IFERROR(VLOOKUP(F1321,케이블트레이입.출고현황!W1324:AB1399,2,0),"")</f>
        <v/>
      </c>
      <c r="H1321" s="19" t="str">
        <f>IFERROR(VLOOKUP(G1321,케이블트레이입.출고현황!X1324:AC1399,2,0),"")</f>
        <v/>
      </c>
      <c r="I1321" s="19" t="str">
        <f>IFERROR(VLOOKUP(H1321,케이블트레이입.출고현황!Y1324:AD1399,2,0),"")</f>
        <v/>
      </c>
      <c r="J1321" s="9">
        <v>2</v>
      </c>
      <c r="K1321" s="9"/>
      <c r="L1321" s="37"/>
      <c r="M1321" s="64"/>
      <c r="N1321" s="42"/>
    </row>
    <row r="1322" spans="1:14" ht="24" customHeight="1">
      <c r="A1322" s="8">
        <v>1282</v>
      </c>
      <c r="B1322" s="9">
        <v>1282</v>
      </c>
      <c r="C1322" s="46"/>
      <c r="D1322" s="9"/>
      <c r="E1322" s="19" t="str">
        <f>IFERROR(VLOOKUP(D1322,케이블트레이입.출고현황!U1325:Z1400,2,0),"")</f>
        <v/>
      </c>
      <c r="F1322" s="19" t="str">
        <f>IFERROR(VLOOKUP(E1322,케이블트레이입.출고현황!V1325:AA1400,2,0),"")</f>
        <v/>
      </c>
      <c r="G1322" s="19" t="str">
        <f>IFERROR(VLOOKUP(F1322,케이블트레이입.출고현황!W1325:AB1400,2,0),"")</f>
        <v/>
      </c>
      <c r="H1322" s="19" t="str">
        <f>IFERROR(VLOOKUP(G1322,케이블트레이입.출고현황!X1325:AC1400,2,0),"")</f>
        <v/>
      </c>
      <c r="I1322" s="19" t="str">
        <f>IFERROR(VLOOKUP(H1322,케이블트레이입.출고현황!Y1325:AD1400,2,0),"")</f>
        <v/>
      </c>
      <c r="J1322" s="9">
        <v>1</v>
      </c>
      <c r="K1322" s="9"/>
      <c r="L1322" s="37"/>
      <c r="M1322" s="64"/>
      <c r="N1322" s="42"/>
    </row>
    <row r="1323" spans="1:14" ht="24" customHeight="1">
      <c r="A1323" s="8">
        <v>1283</v>
      </c>
      <c r="B1323" s="9">
        <v>1283</v>
      </c>
      <c r="C1323" s="46"/>
      <c r="D1323" s="9"/>
      <c r="E1323" s="19" t="str">
        <f>IFERROR(VLOOKUP(D1323,케이블트레이입.출고현황!U1326:Z1401,2,0),"")</f>
        <v/>
      </c>
      <c r="F1323" s="19" t="str">
        <f>IFERROR(VLOOKUP(E1323,케이블트레이입.출고현황!V1326:AA1401,2,0),"")</f>
        <v/>
      </c>
      <c r="G1323" s="19" t="str">
        <f>IFERROR(VLOOKUP(F1323,케이블트레이입.출고현황!W1326:AB1401,2,0),"")</f>
        <v/>
      </c>
      <c r="H1323" s="19" t="str">
        <f>IFERROR(VLOOKUP(G1323,케이블트레이입.출고현황!X1326:AC1401,2,0),"")</f>
        <v/>
      </c>
      <c r="I1323" s="19" t="str">
        <f>IFERROR(VLOOKUP(H1323,케이블트레이입.출고현황!Y1326:AD1401,2,0),"")</f>
        <v/>
      </c>
      <c r="J1323" s="9">
        <v>1</v>
      </c>
      <c r="K1323" s="9"/>
      <c r="L1323" s="37"/>
      <c r="M1323" s="64"/>
      <c r="N1323" s="42"/>
    </row>
    <row r="1324" spans="1:14" ht="24" customHeight="1">
      <c r="A1324" s="8">
        <v>1284</v>
      </c>
      <c r="B1324" s="9">
        <v>1284</v>
      </c>
      <c r="C1324" s="46"/>
      <c r="D1324" s="9"/>
      <c r="E1324" s="19" t="str">
        <f>IFERROR(VLOOKUP(D1324,케이블트레이입.출고현황!U1327:Z1402,2,0),"")</f>
        <v/>
      </c>
      <c r="F1324" s="19" t="str">
        <f>IFERROR(VLOOKUP(E1324,케이블트레이입.출고현황!V1327:AA1402,2,0),"")</f>
        <v/>
      </c>
      <c r="G1324" s="19" t="str">
        <f>IFERROR(VLOOKUP(F1324,케이블트레이입.출고현황!W1327:AB1402,2,0),"")</f>
        <v/>
      </c>
      <c r="H1324" s="19" t="str">
        <f>IFERROR(VLOOKUP(G1324,케이블트레이입.출고현황!X1327:AC1402,2,0),"")</f>
        <v/>
      </c>
      <c r="I1324" s="19" t="str">
        <f>IFERROR(VLOOKUP(H1324,케이블트레이입.출고현황!Y1327:AD1402,2,0),"")</f>
        <v/>
      </c>
      <c r="J1324" s="9">
        <v>1</v>
      </c>
      <c r="K1324" s="9"/>
      <c r="L1324" s="37"/>
      <c r="M1324" s="64"/>
      <c r="N1324" s="42"/>
    </row>
    <row r="1325" spans="1:14" ht="24" customHeight="1">
      <c r="A1325" s="8">
        <v>1285</v>
      </c>
      <c r="B1325" s="9">
        <v>1285</v>
      </c>
      <c r="C1325" s="46"/>
      <c r="D1325" s="9"/>
      <c r="E1325" s="19" t="str">
        <f>IFERROR(VLOOKUP(D1325,케이블트레이입.출고현황!U1328:Z1403,2,0),"")</f>
        <v/>
      </c>
      <c r="F1325" s="19" t="str">
        <f>IFERROR(VLOOKUP(E1325,케이블트레이입.출고현황!V1328:AA1403,2,0),"")</f>
        <v/>
      </c>
      <c r="G1325" s="19" t="str">
        <f>IFERROR(VLOOKUP(F1325,케이블트레이입.출고현황!W1328:AB1403,2,0),"")</f>
        <v/>
      </c>
      <c r="H1325" s="19" t="str">
        <f>IFERROR(VLOOKUP(G1325,케이블트레이입.출고현황!X1328:AC1403,2,0),"")</f>
        <v/>
      </c>
      <c r="I1325" s="19" t="str">
        <f>IFERROR(VLOOKUP(H1325,케이블트레이입.출고현황!Y1328:AD1403,2,0),"")</f>
        <v/>
      </c>
      <c r="J1325" s="9">
        <v>2</v>
      </c>
      <c r="K1325" s="9"/>
      <c r="L1325" s="37"/>
      <c r="M1325" s="64"/>
      <c r="N1325" s="42"/>
    </row>
    <row r="1326" spans="1:14" ht="24" customHeight="1">
      <c r="A1326" s="8">
        <v>1286</v>
      </c>
      <c r="B1326" s="9">
        <v>1286</v>
      </c>
      <c r="C1326" s="46"/>
      <c r="D1326" s="9"/>
      <c r="E1326" s="19" t="str">
        <f>IFERROR(VLOOKUP(D1326,케이블트레이입.출고현황!U1329:Z1404,2,0),"")</f>
        <v/>
      </c>
      <c r="F1326" s="19" t="str">
        <f>IFERROR(VLOOKUP(E1326,케이블트레이입.출고현황!V1329:AA1404,2,0),"")</f>
        <v/>
      </c>
      <c r="G1326" s="19" t="str">
        <f>IFERROR(VLOOKUP(F1326,케이블트레이입.출고현황!W1329:AB1404,2,0),"")</f>
        <v/>
      </c>
      <c r="H1326" s="19" t="str">
        <f>IFERROR(VLOOKUP(G1326,케이블트레이입.출고현황!X1329:AC1404,2,0),"")</f>
        <v/>
      </c>
      <c r="I1326" s="19" t="str">
        <f>IFERROR(VLOOKUP(H1326,케이블트레이입.출고현황!Y1329:AD1404,2,0),"")</f>
        <v/>
      </c>
      <c r="J1326" s="9">
        <v>1</v>
      </c>
      <c r="K1326" s="9"/>
      <c r="L1326" s="37"/>
      <c r="M1326" s="64"/>
      <c r="N1326" s="42"/>
    </row>
    <row r="1327" spans="1:14" ht="24" customHeight="1">
      <c r="A1327" s="8">
        <v>1287</v>
      </c>
      <c r="B1327" s="9">
        <v>1287</v>
      </c>
      <c r="C1327" s="46"/>
      <c r="D1327" s="9"/>
      <c r="E1327" s="19" t="str">
        <f>IFERROR(VLOOKUP(D1327,케이블트레이입.출고현황!U1330:Z1405,2,0),"")</f>
        <v/>
      </c>
      <c r="F1327" s="19" t="str">
        <f>IFERROR(VLOOKUP(E1327,케이블트레이입.출고현황!V1330:AA1405,2,0),"")</f>
        <v/>
      </c>
      <c r="G1327" s="19" t="str">
        <f>IFERROR(VLOOKUP(F1327,케이블트레이입.출고현황!W1330:AB1405,2,0),"")</f>
        <v/>
      </c>
      <c r="H1327" s="19" t="str">
        <f>IFERROR(VLOOKUP(G1327,케이블트레이입.출고현황!X1330:AC1405,2,0),"")</f>
        <v/>
      </c>
      <c r="I1327" s="19" t="str">
        <f>IFERROR(VLOOKUP(H1327,케이블트레이입.출고현황!Y1330:AD1405,2,0),"")</f>
        <v/>
      </c>
      <c r="J1327" s="9">
        <v>1</v>
      </c>
      <c r="K1327" s="9"/>
      <c r="L1327" s="37"/>
      <c r="M1327" s="64"/>
      <c r="N1327" s="42"/>
    </row>
    <row r="1328" spans="1:14" ht="24" customHeight="1">
      <c r="A1328" s="8">
        <v>1288</v>
      </c>
      <c r="B1328" s="9">
        <v>1288</v>
      </c>
      <c r="C1328" s="46"/>
      <c r="D1328" s="9"/>
      <c r="E1328" s="19" t="str">
        <f>IFERROR(VLOOKUP(D1328,케이블트레이입.출고현황!U1331:Z1406,2,0),"")</f>
        <v/>
      </c>
      <c r="F1328" s="19" t="str">
        <f>IFERROR(VLOOKUP(E1328,케이블트레이입.출고현황!V1331:AA1406,2,0),"")</f>
        <v/>
      </c>
      <c r="G1328" s="19" t="str">
        <f>IFERROR(VLOOKUP(F1328,케이블트레이입.출고현황!W1331:AB1406,2,0),"")</f>
        <v/>
      </c>
      <c r="H1328" s="19" t="str">
        <f>IFERROR(VLOOKUP(G1328,케이블트레이입.출고현황!X1331:AC1406,2,0),"")</f>
        <v/>
      </c>
      <c r="I1328" s="19" t="str">
        <f>IFERROR(VLOOKUP(H1328,케이블트레이입.출고현황!Y1331:AD1406,2,0),"")</f>
        <v/>
      </c>
      <c r="J1328" s="9">
        <v>1</v>
      </c>
      <c r="K1328" s="9"/>
      <c r="L1328" s="37"/>
      <c r="M1328" s="64"/>
      <c r="N1328" s="42"/>
    </row>
    <row r="1329" spans="1:14" ht="24" customHeight="1">
      <c r="A1329" s="8">
        <v>1289</v>
      </c>
      <c r="B1329" s="9">
        <v>1289</v>
      </c>
      <c r="C1329" s="46"/>
      <c r="D1329" s="9"/>
      <c r="E1329" s="19" t="str">
        <f>IFERROR(VLOOKUP(D1329,케이블트레이입.출고현황!U1332:Z1407,2,0),"")</f>
        <v/>
      </c>
      <c r="F1329" s="19" t="str">
        <f>IFERROR(VLOOKUP(E1329,케이블트레이입.출고현황!V1332:AA1407,2,0),"")</f>
        <v/>
      </c>
      <c r="G1329" s="19" t="str">
        <f>IFERROR(VLOOKUP(F1329,케이블트레이입.출고현황!W1332:AB1407,2,0),"")</f>
        <v/>
      </c>
      <c r="H1329" s="19" t="str">
        <f>IFERROR(VLOOKUP(G1329,케이블트레이입.출고현황!X1332:AC1407,2,0),"")</f>
        <v/>
      </c>
      <c r="I1329" s="19" t="str">
        <f>IFERROR(VLOOKUP(H1329,케이블트레이입.출고현황!Y1332:AD1407,2,0),"")</f>
        <v/>
      </c>
      <c r="J1329" s="9">
        <v>2</v>
      </c>
      <c r="K1329" s="9"/>
      <c r="L1329" s="37"/>
      <c r="M1329" s="64"/>
      <c r="N1329" s="42"/>
    </row>
    <row r="1330" spans="1:14" ht="24" customHeight="1">
      <c r="A1330" s="8">
        <v>1290</v>
      </c>
      <c r="B1330" s="9">
        <v>1290</v>
      </c>
      <c r="C1330" s="46"/>
      <c r="D1330" s="9"/>
      <c r="E1330" s="19" t="str">
        <f>IFERROR(VLOOKUP(D1330,케이블트레이입.출고현황!U1333:Z1408,2,0),"")</f>
        <v/>
      </c>
      <c r="F1330" s="19" t="str">
        <f>IFERROR(VLOOKUP(E1330,케이블트레이입.출고현황!V1333:AA1408,2,0),"")</f>
        <v/>
      </c>
      <c r="G1330" s="19" t="str">
        <f>IFERROR(VLOOKUP(F1330,케이블트레이입.출고현황!W1333:AB1408,2,0),"")</f>
        <v/>
      </c>
      <c r="H1330" s="19" t="str">
        <f>IFERROR(VLOOKUP(G1330,케이블트레이입.출고현황!X1333:AC1408,2,0),"")</f>
        <v/>
      </c>
      <c r="I1330" s="19" t="str">
        <f>IFERROR(VLOOKUP(H1330,케이블트레이입.출고현황!Y1333:AD1408,2,0),"")</f>
        <v/>
      </c>
      <c r="J1330" s="9">
        <v>4</v>
      </c>
      <c r="K1330" s="9"/>
      <c r="L1330" s="37"/>
      <c r="M1330" s="64"/>
      <c r="N1330" s="42"/>
    </row>
    <row r="1331" spans="1:14" ht="24" customHeight="1">
      <c r="A1331" s="8">
        <v>1291</v>
      </c>
      <c r="B1331" s="9">
        <v>1291</v>
      </c>
      <c r="C1331" s="46"/>
      <c r="D1331" s="9"/>
      <c r="E1331" s="19" t="str">
        <f>IFERROR(VLOOKUP(D1331,케이블트레이입.출고현황!U1334:Z1409,2,0),"")</f>
        <v/>
      </c>
      <c r="F1331" s="19" t="str">
        <f>IFERROR(VLOOKUP(E1331,케이블트레이입.출고현황!V1334:AA1409,2,0),"")</f>
        <v/>
      </c>
      <c r="G1331" s="19" t="str">
        <f>IFERROR(VLOOKUP(F1331,케이블트레이입.출고현황!W1334:AB1409,2,0),"")</f>
        <v/>
      </c>
      <c r="H1331" s="19" t="str">
        <f>IFERROR(VLOOKUP(G1331,케이블트레이입.출고현황!X1334:AC1409,2,0),"")</f>
        <v/>
      </c>
      <c r="I1331" s="19" t="str">
        <f>IFERROR(VLOOKUP(H1331,케이블트레이입.출고현황!Y1334:AD1409,2,0),"")</f>
        <v/>
      </c>
      <c r="J1331" s="9">
        <v>1</v>
      </c>
      <c r="K1331" s="9"/>
      <c r="L1331" s="37"/>
      <c r="M1331" s="64"/>
      <c r="N1331" s="42"/>
    </row>
    <row r="1332" spans="1:14" ht="24" customHeight="1">
      <c r="A1332" s="8">
        <v>1292</v>
      </c>
      <c r="B1332" s="9">
        <v>1292</v>
      </c>
      <c r="C1332" s="46"/>
      <c r="D1332" s="9"/>
      <c r="E1332" s="19" t="str">
        <f>IFERROR(VLOOKUP(D1332,케이블트레이입.출고현황!U1335:Z1410,2,0),"")</f>
        <v/>
      </c>
      <c r="F1332" s="19" t="str">
        <f>IFERROR(VLOOKUP(E1332,케이블트레이입.출고현황!V1335:AA1410,2,0),"")</f>
        <v/>
      </c>
      <c r="G1332" s="19" t="str">
        <f>IFERROR(VLOOKUP(F1332,케이블트레이입.출고현황!W1335:AB1410,2,0),"")</f>
        <v/>
      </c>
      <c r="H1332" s="19" t="str">
        <f>IFERROR(VLOOKUP(G1332,케이블트레이입.출고현황!X1335:AC1410,2,0),"")</f>
        <v/>
      </c>
      <c r="I1332" s="19" t="str">
        <f>IFERROR(VLOOKUP(H1332,케이블트레이입.출고현황!Y1335:AD1410,2,0),"")</f>
        <v/>
      </c>
      <c r="J1332" s="9">
        <v>1</v>
      </c>
      <c r="K1332" s="9"/>
      <c r="L1332" s="37"/>
      <c r="M1332" s="64"/>
      <c r="N1332" s="42"/>
    </row>
    <row r="1333" spans="1:14" ht="24" customHeight="1">
      <c r="A1333" s="8">
        <v>1293</v>
      </c>
      <c r="B1333" s="9">
        <v>1293</v>
      </c>
      <c r="C1333" s="46"/>
      <c r="D1333" s="9"/>
      <c r="E1333" s="19" t="str">
        <f>IFERROR(VLOOKUP(D1333,케이블트레이입.출고현황!U1336:Z1411,2,0),"")</f>
        <v/>
      </c>
      <c r="F1333" s="19" t="str">
        <f>IFERROR(VLOOKUP(E1333,케이블트레이입.출고현황!V1336:AA1411,2,0),"")</f>
        <v/>
      </c>
      <c r="G1333" s="19" t="str">
        <f>IFERROR(VLOOKUP(F1333,케이블트레이입.출고현황!W1336:AB1411,2,0),"")</f>
        <v/>
      </c>
      <c r="H1333" s="19" t="str">
        <f>IFERROR(VLOOKUP(G1333,케이블트레이입.출고현황!X1336:AC1411,2,0),"")</f>
        <v/>
      </c>
      <c r="I1333" s="19" t="str">
        <f>IFERROR(VLOOKUP(H1333,케이블트레이입.출고현황!Y1336:AD1411,2,0),"")</f>
        <v/>
      </c>
      <c r="J1333" s="9">
        <v>2</v>
      </c>
      <c r="K1333" s="9"/>
      <c r="L1333" s="37"/>
      <c r="M1333" s="64"/>
      <c r="N1333" s="42"/>
    </row>
    <row r="1334" spans="1:14" ht="24" customHeight="1">
      <c r="A1334" s="8">
        <v>1294</v>
      </c>
      <c r="B1334" s="9">
        <v>1294</v>
      </c>
      <c r="C1334" s="46"/>
      <c r="D1334" s="9"/>
      <c r="E1334" s="19" t="str">
        <f>IFERROR(VLOOKUP(D1334,케이블트레이입.출고현황!U1337:Z1412,2,0),"")</f>
        <v/>
      </c>
      <c r="F1334" s="19" t="str">
        <f>IFERROR(VLOOKUP(E1334,케이블트레이입.출고현황!V1337:AA1412,2,0),"")</f>
        <v/>
      </c>
      <c r="G1334" s="19" t="str">
        <f>IFERROR(VLOOKUP(F1334,케이블트레이입.출고현황!W1337:AB1412,2,0),"")</f>
        <v/>
      </c>
      <c r="H1334" s="19" t="str">
        <f>IFERROR(VLOOKUP(G1334,케이블트레이입.출고현황!X1337:AC1412,2,0),"")</f>
        <v/>
      </c>
      <c r="I1334" s="19" t="str">
        <f>IFERROR(VLOOKUP(H1334,케이블트레이입.출고현황!Y1337:AD1412,2,0),"")</f>
        <v/>
      </c>
      <c r="J1334" s="9">
        <v>1</v>
      </c>
      <c r="K1334" s="9"/>
      <c r="L1334" s="37"/>
      <c r="M1334" s="64"/>
      <c r="N1334" s="42"/>
    </row>
    <row r="1335" spans="1:14" ht="24" customHeight="1">
      <c r="A1335" s="8">
        <v>1295</v>
      </c>
      <c r="B1335" s="9">
        <v>1295</v>
      </c>
      <c r="C1335" s="46"/>
      <c r="D1335" s="9"/>
      <c r="E1335" s="19" t="str">
        <f>IFERROR(VLOOKUP(D1335,케이블트레이입.출고현황!U1338:Z1413,2,0),"")</f>
        <v/>
      </c>
      <c r="F1335" s="19" t="str">
        <f>IFERROR(VLOOKUP(E1335,케이블트레이입.출고현황!V1338:AA1413,2,0),"")</f>
        <v/>
      </c>
      <c r="G1335" s="19" t="str">
        <f>IFERROR(VLOOKUP(F1335,케이블트레이입.출고현황!W1338:AB1413,2,0),"")</f>
        <v/>
      </c>
      <c r="H1335" s="19" t="str">
        <f>IFERROR(VLOOKUP(G1335,케이블트레이입.출고현황!X1338:AC1413,2,0),"")</f>
        <v/>
      </c>
      <c r="I1335" s="19" t="str">
        <f>IFERROR(VLOOKUP(H1335,케이블트레이입.출고현황!Y1338:AD1413,2,0),"")</f>
        <v/>
      </c>
      <c r="J1335" s="9">
        <v>1</v>
      </c>
      <c r="K1335" s="9"/>
      <c r="L1335" s="37"/>
      <c r="M1335" s="64"/>
      <c r="N1335" s="42"/>
    </row>
    <row r="1336" spans="1:14" ht="24" customHeight="1">
      <c r="A1336" s="8">
        <v>1296</v>
      </c>
      <c r="B1336" s="9">
        <v>1296</v>
      </c>
      <c r="C1336" s="46"/>
      <c r="D1336" s="9"/>
      <c r="E1336" s="19" t="str">
        <f>IFERROR(VLOOKUP(D1336,케이블트레이입.출고현황!U1339:Z1414,2,0),"")</f>
        <v/>
      </c>
      <c r="F1336" s="19" t="str">
        <f>IFERROR(VLOOKUP(E1336,케이블트레이입.출고현황!V1339:AA1414,2,0),"")</f>
        <v/>
      </c>
      <c r="G1336" s="19" t="str">
        <f>IFERROR(VLOOKUP(F1336,케이블트레이입.출고현황!W1339:AB1414,2,0),"")</f>
        <v/>
      </c>
      <c r="H1336" s="19" t="str">
        <f>IFERROR(VLOOKUP(G1336,케이블트레이입.출고현황!X1339:AC1414,2,0),"")</f>
        <v/>
      </c>
      <c r="I1336" s="19" t="str">
        <f>IFERROR(VLOOKUP(H1336,케이블트레이입.출고현황!Y1339:AD1414,2,0),"")</f>
        <v/>
      </c>
      <c r="J1336" s="9">
        <v>1</v>
      </c>
      <c r="K1336" s="9"/>
      <c r="L1336" s="37"/>
      <c r="M1336" s="64"/>
      <c r="N1336" s="42"/>
    </row>
    <row r="1337" spans="1:14" ht="24" customHeight="1">
      <c r="A1337" s="8">
        <v>1297</v>
      </c>
      <c r="B1337" s="9">
        <v>1297</v>
      </c>
      <c r="C1337" s="46"/>
      <c r="D1337" s="9"/>
      <c r="E1337" s="19" t="str">
        <f>IFERROR(VLOOKUP(D1337,케이블트레이입.출고현황!U1340:Z1415,2,0),"")</f>
        <v/>
      </c>
      <c r="F1337" s="19" t="str">
        <f>IFERROR(VLOOKUP(E1337,케이블트레이입.출고현황!V1340:AA1415,2,0),"")</f>
        <v/>
      </c>
      <c r="G1337" s="19" t="str">
        <f>IFERROR(VLOOKUP(F1337,케이블트레이입.출고현황!W1340:AB1415,2,0),"")</f>
        <v/>
      </c>
      <c r="H1337" s="19" t="str">
        <f>IFERROR(VLOOKUP(G1337,케이블트레이입.출고현황!X1340:AC1415,2,0),"")</f>
        <v/>
      </c>
      <c r="I1337" s="19" t="str">
        <f>IFERROR(VLOOKUP(H1337,케이블트레이입.출고현황!Y1340:AD1415,2,0),"")</f>
        <v/>
      </c>
      <c r="J1337" s="9">
        <v>3</v>
      </c>
      <c r="K1337" s="9"/>
      <c r="L1337" s="37"/>
      <c r="M1337" s="64"/>
      <c r="N1337" s="42"/>
    </row>
    <row r="1338" spans="1:14" ht="24" customHeight="1">
      <c r="A1338" s="8">
        <v>1298</v>
      </c>
      <c r="B1338" s="9">
        <v>1298</v>
      </c>
      <c r="C1338" s="46"/>
      <c r="D1338" s="9"/>
      <c r="E1338" s="19" t="str">
        <f>IFERROR(VLOOKUP(D1338,케이블트레이입.출고현황!U1341:Z1416,2,0),"")</f>
        <v/>
      </c>
      <c r="F1338" s="19" t="str">
        <f>IFERROR(VLOOKUP(E1338,케이블트레이입.출고현황!V1341:AA1416,2,0),"")</f>
        <v/>
      </c>
      <c r="G1338" s="19" t="str">
        <f>IFERROR(VLOOKUP(F1338,케이블트레이입.출고현황!W1341:AB1416,2,0),"")</f>
        <v/>
      </c>
      <c r="H1338" s="19" t="str">
        <f>IFERROR(VLOOKUP(G1338,케이블트레이입.출고현황!X1341:AC1416,2,0),"")</f>
        <v/>
      </c>
      <c r="I1338" s="19" t="str">
        <f>IFERROR(VLOOKUP(H1338,케이블트레이입.출고현황!Y1341:AD1416,2,0),"")</f>
        <v/>
      </c>
      <c r="J1338" s="9">
        <v>1</v>
      </c>
      <c r="K1338" s="9"/>
      <c r="L1338" s="37"/>
      <c r="M1338" s="64"/>
      <c r="N1338" s="42"/>
    </row>
    <row r="1339" spans="1:14" ht="24" customHeight="1">
      <c r="A1339" s="8">
        <v>1299</v>
      </c>
      <c r="B1339" s="9">
        <v>1299</v>
      </c>
      <c r="C1339" s="46"/>
      <c r="D1339" s="9"/>
      <c r="E1339" s="19" t="str">
        <f>IFERROR(VLOOKUP(D1339,케이블트레이입.출고현황!U1342:Z1417,2,0),"")</f>
        <v/>
      </c>
      <c r="F1339" s="19" t="str">
        <f>IFERROR(VLOOKUP(E1339,케이블트레이입.출고현황!V1342:AA1417,2,0),"")</f>
        <v/>
      </c>
      <c r="G1339" s="19" t="str">
        <f>IFERROR(VLOOKUP(F1339,케이블트레이입.출고현황!W1342:AB1417,2,0),"")</f>
        <v/>
      </c>
      <c r="H1339" s="19" t="str">
        <f>IFERROR(VLOOKUP(G1339,케이블트레이입.출고현황!X1342:AC1417,2,0),"")</f>
        <v/>
      </c>
      <c r="I1339" s="19" t="str">
        <f>IFERROR(VLOOKUP(H1339,케이블트레이입.출고현황!Y1342:AD1417,2,0),"")</f>
        <v/>
      </c>
      <c r="J1339" s="9">
        <v>1</v>
      </c>
      <c r="K1339" s="9"/>
      <c r="L1339" s="37"/>
      <c r="M1339" s="64"/>
      <c r="N1339" s="42"/>
    </row>
    <row r="1340" spans="1:14" ht="24" customHeight="1">
      <c r="A1340" s="8">
        <v>1300</v>
      </c>
      <c r="B1340" s="9">
        <v>1300</v>
      </c>
      <c r="C1340" s="46"/>
      <c r="D1340" s="9"/>
      <c r="E1340" s="19" t="str">
        <f>IFERROR(VLOOKUP(D1340,케이블트레이입.출고현황!U1343:Z1418,2,0),"")</f>
        <v/>
      </c>
      <c r="F1340" s="19" t="str">
        <f>IFERROR(VLOOKUP(E1340,케이블트레이입.출고현황!V1343:AA1418,2,0),"")</f>
        <v/>
      </c>
      <c r="G1340" s="19" t="str">
        <f>IFERROR(VLOOKUP(F1340,케이블트레이입.출고현황!W1343:AB1418,2,0),"")</f>
        <v/>
      </c>
      <c r="H1340" s="19" t="str">
        <f>IFERROR(VLOOKUP(G1340,케이블트레이입.출고현황!X1343:AC1418,2,0),"")</f>
        <v/>
      </c>
      <c r="I1340" s="19" t="str">
        <f>IFERROR(VLOOKUP(H1340,케이블트레이입.출고현황!Y1343:AD1418,2,0),"")</f>
        <v/>
      </c>
      <c r="J1340" s="9">
        <v>1</v>
      </c>
      <c r="K1340" s="9"/>
      <c r="L1340" s="37"/>
      <c r="M1340" s="64"/>
      <c r="N1340" s="42"/>
    </row>
    <row r="1341" spans="1:14" ht="24" customHeight="1">
      <c r="A1341" s="8">
        <v>1301</v>
      </c>
      <c r="B1341" s="9">
        <v>1301</v>
      </c>
      <c r="C1341" s="46"/>
      <c r="D1341" s="9"/>
      <c r="E1341" s="19" t="str">
        <f>IFERROR(VLOOKUP(D1341,케이블트레이입.출고현황!U1344:Z1419,2,0),"")</f>
        <v/>
      </c>
      <c r="F1341" s="19" t="str">
        <f>IFERROR(VLOOKUP(E1341,케이블트레이입.출고현황!V1344:AA1419,2,0),"")</f>
        <v/>
      </c>
      <c r="G1341" s="19" t="str">
        <f>IFERROR(VLOOKUP(F1341,케이블트레이입.출고현황!W1344:AB1419,2,0),"")</f>
        <v/>
      </c>
      <c r="H1341" s="19" t="str">
        <f>IFERROR(VLOOKUP(G1341,케이블트레이입.출고현황!X1344:AC1419,2,0),"")</f>
        <v/>
      </c>
      <c r="I1341" s="19" t="str">
        <f>IFERROR(VLOOKUP(H1341,케이블트레이입.출고현황!Y1344:AD1419,2,0),"")</f>
        <v/>
      </c>
      <c r="J1341" s="9">
        <v>3</v>
      </c>
      <c r="K1341" s="9"/>
      <c r="L1341" s="37"/>
      <c r="M1341" s="64"/>
      <c r="N1341" s="42"/>
    </row>
    <row r="1342" spans="1:14" ht="24" customHeight="1">
      <c r="A1342" s="8">
        <v>1302</v>
      </c>
      <c r="B1342" s="9">
        <v>1302</v>
      </c>
      <c r="C1342" s="46"/>
      <c r="D1342" s="9"/>
      <c r="E1342" s="19" t="str">
        <f>IFERROR(VLOOKUP(D1342,케이블트레이입.출고현황!U1345:Z1420,2,0),"")</f>
        <v/>
      </c>
      <c r="F1342" s="19" t="str">
        <f>IFERROR(VLOOKUP(E1342,케이블트레이입.출고현황!V1345:AA1420,2,0),"")</f>
        <v/>
      </c>
      <c r="G1342" s="19" t="str">
        <f>IFERROR(VLOOKUP(F1342,케이블트레이입.출고현황!W1345:AB1420,2,0),"")</f>
        <v/>
      </c>
      <c r="H1342" s="19" t="str">
        <f>IFERROR(VLOOKUP(G1342,케이블트레이입.출고현황!X1345:AC1420,2,0),"")</f>
        <v/>
      </c>
      <c r="I1342" s="19" t="str">
        <f>IFERROR(VLOOKUP(H1342,케이블트레이입.출고현황!Y1345:AD1420,2,0),"")</f>
        <v/>
      </c>
      <c r="J1342" s="9">
        <v>2</v>
      </c>
      <c r="K1342" s="9"/>
      <c r="L1342" s="37"/>
      <c r="M1342" s="64"/>
      <c r="N1342" s="42"/>
    </row>
    <row r="1343" spans="1:14" ht="24" customHeight="1">
      <c r="A1343" s="8">
        <v>1303</v>
      </c>
      <c r="B1343" s="9">
        <v>1303</v>
      </c>
      <c r="C1343" s="46"/>
      <c r="D1343" s="9"/>
      <c r="E1343" s="19" t="str">
        <f>IFERROR(VLOOKUP(D1343,케이블트레이입.출고현황!U1346:Z1421,2,0),"")</f>
        <v/>
      </c>
      <c r="F1343" s="19" t="str">
        <f>IFERROR(VLOOKUP(E1343,케이블트레이입.출고현황!V1346:AA1421,2,0),"")</f>
        <v/>
      </c>
      <c r="G1343" s="19" t="str">
        <f>IFERROR(VLOOKUP(F1343,케이블트레이입.출고현황!W1346:AB1421,2,0),"")</f>
        <v/>
      </c>
      <c r="H1343" s="19" t="str">
        <f>IFERROR(VLOOKUP(G1343,케이블트레이입.출고현황!X1346:AC1421,2,0),"")</f>
        <v/>
      </c>
      <c r="I1343" s="19" t="str">
        <f>IFERROR(VLOOKUP(H1343,케이블트레이입.출고현황!Y1346:AD1421,2,0),"")</f>
        <v/>
      </c>
      <c r="J1343" s="9">
        <v>1</v>
      </c>
      <c r="K1343" s="9"/>
      <c r="L1343" s="37"/>
      <c r="M1343" s="64"/>
      <c r="N1343" s="42"/>
    </row>
    <row r="1344" spans="1:14" ht="24" customHeight="1">
      <c r="A1344" s="8">
        <v>1304</v>
      </c>
      <c r="B1344" s="9">
        <v>1304</v>
      </c>
      <c r="C1344" s="46"/>
      <c r="D1344" s="9"/>
      <c r="E1344" s="19" t="str">
        <f>IFERROR(VLOOKUP(D1344,케이블트레이입.출고현황!U1347:Z1422,2,0),"")</f>
        <v/>
      </c>
      <c r="F1344" s="19" t="str">
        <f>IFERROR(VLOOKUP(E1344,케이블트레이입.출고현황!V1347:AA1422,2,0),"")</f>
        <v/>
      </c>
      <c r="G1344" s="19" t="str">
        <f>IFERROR(VLOOKUP(F1344,케이블트레이입.출고현황!W1347:AB1422,2,0),"")</f>
        <v/>
      </c>
      <c r="H1344" s="19" t="str">
        <f>IFERROR(VLOOKUP(G1344,케이블트레이입.출고현황!X1347:AC1422,2,0),"")</f>
        <v/>
      </c>
      <c r="I1344" s="19" t="str">
        <f>IFERROR(VLOOKUP(H1344,케이블트레이입.출고현황!Y1347:AD1422,2,0),"")</f>
        <v/>
      </c>
      <c r="J1344" s="9">
        <v>2</v>
      </c>
      <c r="K1344" s="9"/>
      <c r="L1344" s="37"/>
      <c r="M1344" s="64"/>
      <c r="N1344" s="42"/>
    </row>
    <row r="1345" spans="1:14" ht="24" customHeight="1">
      <c r="A1345" s="8">
        <v>1305</v>
      </c>
      <c r="B1345" s="9">
        <v>1305</v>
      </c>
      <c r="C1345" s="46"/>
      <c r="D1345" s="9"/>
      <c r="E1345" s="19" t="str">
        <f>IFERROR(VLOOKUP(D1345,케이블트레이입.출고현황!U1348:Z1423,2,0),"")</f>
        <v/>
      </c>
      <c r="F1345" s="19" t="str">
        <f>IFERROR(VLOOKUP(E1345,케이블트레이입.출고현황!V1348:AA1423,2,0),"")</f>
        <v/>
      </c>
      <c r="G1345" s="19" t="str">
        <f>IFERROR(VLOOKUP(F1345,케이블트레이입.출고현황!W1348:AB1423,2,0),"")</f>
        <v/>
      </c>
      <c r="H1345" s="19" t="str">
        <f>IFERROR(VLOOKUP(G1345,케이블트레이입.출고현황!X1348:AC1423,2,0),"")</f>
        <v/>
      </c>
      <c r="I1345" s="19" t="str">
        <f>IFERROR(VLOOKUP(H1345,케이블트레이입.출고현황!Y1348:AD1423,2,0),"")</f>
        <v/>
      </c>
      <c r="J1345" s="9">
        <v>4</v>
      </c>
      <c r="K1345" s="9"/>
      <c r="L1345" s="37"/>
      <c r="M1345" s="64"/>
      <c r="N1345" s="42"/>
    </row>
    <row r="1346" spans="1:14" ht="24" customHeight="1">
      <c r="A1346" s="8">
        <v>1306</v>
      </c>
      <c r="B1346" s="9">
        <v>1306</v>
      </c>
      <c r="C1346" s="46"/>
      <c r="D1346" s="9"/>
      <c r="E1346" s="19" t="str">
        <f>IFERROR(VLOOKUP(D1346,케이블트레이입.출고현황!U1349:Z1424,2,0),"")</f>
        <v/>
      </c>
      <c r="F1346" s="19" t="str">
        <f>IFERROR(VLOOKUP(E1346,케이블트레이입.출고현황!V1349:AA1424,2,0),"")</f>
        <v/>
      </c>
      <c r="G1346" s="19" t="str">
        <f>IFERROR(VLOOKUP(F1346,케이블트레이입.출고현황!W1349:AB1424,2,0),"")</f>
        <v/>
      </c>
      <c r="H1346" s="19" t="str">
        <f>IFERROR(VLOOKUP(G1346,케이블트레이입.출고현황!X1349:AC1424,2,0),"")</f>
        <v/>
      </c>
      <c r="I1346" s="19" t="str">
        <f>IFERROR(VLOOKUP(H1346,케이블트레이입.출고현황!Y1349:AD1424,2,0),"")</f>
        <v/>
      </c>
      <c r="J1346" s="9">
        <v>2</v>
      </c>
      <c r="K1346" s="9"/>
      <c r="L1346" s="37"/>
      <c r="M1346" s="64"/>
      <c r="N1346" s="42"/>
    </row>
    <row r="1347" spans="1:14" ht="24" customHeight="1">
      <c r="A1347" s="8">
        <v>1307</v>
      </c>
      <c r="B1347" s="9">
        <v>1307</v>
      </c>
      <c r="C1347" s="46"/>
      <c r="D1347" s="9"/>
      <c r="E1347" s="19" t="str">
        <f>IFERROR(VLOOKUP(D1347,케이블트레이입.출고현황!U1350:Z1425,2,0),"")</f>
        <v/>
      </c>
      <c r="F1347" s="19" t="str">
        <f>IFERROR(VLOOKUP(E1347,케이블트레이입.출고현황!V1350:AA1425,2,0),"")</f>
        <v/>
      </c>
      <c r="G1347" s="19" t="str">
        <f>IFERROR(VLOOKUP(F1347,케이블트레이입.출고현황!W1350:AB1425,2,0),"")</f>
        <v/>
      </c>
      <c r="H1347" s="19" t="str">
        <f>IFERROR(VLOOKUP(G1347,케이블트레이입.출고현황!X1350:AC1425,2,0),"")</f>
        <v/>
      </c>
      <c r="I1347" s="19" t="str">
        <f>IFERROR(VLOOKUP(H1347,케이블트레이입.출고현황!Y1350:AD1425,2,0),"")</f>
        <v/>
      </c>
      <c r="J1347" s="9">
        <v>3</v>
      </c>
      <c r="K1347" s="9"/>
      <c r="L1347" s="37"/>
      <c r="M1347" s="64"/>
      <c r="N1347" s="42"/>
    </row>
    <row r="1348" spans="1:14" ht="24" customHeight="1">
      <c r="A1348" s="8">
        <v>1308</v>
      </c>
      <c r="B1348" s="9">
        <v>1308</v>
      </c>
      <c r="C1348" s="46"/>
      <c r="D1348" s="9"/>
      <c r="E1348" s="19" t="str">
        <f>IFERROR(VLOOKUP(D1348,케이블트레이입.출고현황!U1351:Z1426,2,0),"")</f>
        <v/>
      </c>
      <c r="F1348" s="19" t="str">
        <f>IFERROR(VLOOKUP(E1348,케이블트레이입.출고현황!V1351:AA1426,2,0),"")</f>
        <v/>
      </c>
      <c r="G1348" s="19" t="str">
        <f>IFERROR(VLOOKUP(F1348,케이블트레이입.출고현황!W1351:AB1426,2,0),"")</f>
        <v/>
      </c>
      <c r="H1348" s="19" t="str">
        <f>IFERROR(VLOOKUP(G1348,케이블트레이입.출고현황!X1351:AC1426,2,0),"")</f>
        <v/>
      </c>
      <c r="I1348" s="19" t="str">
        <f>IFERROR(VLOOKUP(H1348,케이블트레이입.출고현황!Y1351:AD1426,2,0),"")</f>
        <v/>
      </c>
      <c r="J1348" s="9">
        <v>2</v>
      </c>
      <c r="K1348" s="9"/>
      <c r="L1348" s="37"/>
      <c r="M1348" s="64"/>
      <c r="N1348" s="4"/>
    </row>
    <row r="1349" spans="1:14" ht="24" customHeight="1">
      <c r="A1349" s="8">
        <v>1309</v>
      </c>
      <c r="B1349" s="9">
        <v>1309</v>
      </c>
      <c r="C1349" s="46"/>
      <c r="D1349" s="9"/>
      <c r="E1349" s="19" t="str">
        <f>IFERROR(VLOOKUP(D1349,케이블트레이입.출고현황!U1352:Z1427,2,0),"")</f>
        <v/>
      </c>
      <c r="F1349" s="19" t="str">
        <f>IFERROR(VLOOKUP(E1349,케이블트레이입.출고현황!V1352:AA1427,2,0),"")</f>
        <v/>
      </c>
      <c r="G1349" s="19" t="str">
        <f>IFERROR(VLOOKUP(F1349,케이블트레이입.출고현황!W1352:AB1427,2,0),"")</f>
        <v/>
      </c>
      <c r="H1349" s="19" t="str">
        <f>IFERROR(VLOOKUP(G1349,케이블트레이입.출고현황!X1352:AC1427,2,0),"")</f>
        <v/>
      </c>
      <c r="I1349" s="19" t="str">
        <f>IFERROR(VLOOKUP(H1349,케이블트레이입.출고현황!Y1352:AD1427,2,0),"")</f>
        <v/>
      </c>
      <c r="J1349" s="9">
        <v>1</v>
      </c>
      <c r="K1349" s="9"/>
      <c r="L1349" s="37"/>
      <c r="M1349" s="64"/>
      <c r="N1349" s="4"/>
    </row>
    <row r="1350" spans="1:14" ht="24" customHeight="1">
      <c r="A1350" s="8">
        <v>1310</v>
      </c>
      <c r="B1350" s="9">
        <v>1310</v>
      </c>
      <c r="C1350" s="46"/>
      <c r="D1350" s="9"/>
      <c r="E1350" s="19" t="str">
        <f>IFERROR(VLOOKUP(D1350,케이블트레이입.출고현황!U1353:Z1428,2,0),"")</f>
        <v/>
      </c>
      <c r="F1350" s="19" t="str">
        <f>IFERROR(VLOOKUP(E1350,케이블트레이입.출고현황!V1353:AA1428,2,0),"")</f>
        <v/>
      </c>
      <c r="G1350" s="19" t="str">
        <f>IFERROR(VLOOKUP(F1350,케이블트레이입.출고현황!W1353:AB1428,2,0),"")</f>
        <v/>
      </c>
      <c r="H1350" s="19" t="str">
        <f>IFERROR(VLOOKUP(G1350,케이블트레이입.출고현황!X1353:AC1428,2,0),"")</f>
        <v/>
      </c>
      <c r="I1350" s="19" t="str">
        <f>IFERROR(VLOOKUP(H1350,케이블트레이입.출고현황!Y1353:AD1428,2,0),"")</f>
        <v/>
      </c>
      <c r="J1350" s="9">
        <v>2</v>
      </c>
      <c r="K1350" s="9"/>
      <c r="L1350" s="37"/>
      <c r="M1350" s="64"/>
      <c r="N1350" s="4"/>
    </row>
    <row r="1351" spans="1:14" ht="24" customHeight="1">
      <c r="A1351" s="8">
        <v>1311</v>
      </c>
      <c r="B1351" s="9">
        <v>1311</v>
      </c>
      <c r="C1351" s="46"/>
      <c r="D1351" s="9"/>
      <c r="E1351" s="19" t="str">
        <f>IFERROR(VLOOKUP(D1351,케이블트레이입.출고현황!U1354:Z1429,2,0),"")</f>
        <v/>
      </c>
      <c r="F1351" s="19" t="str">
        <f>IFERROR(VLOOKUP(E1351,케이블트레이입.출고현황!V1354:AA1429,2,0),"")</f>
        <v/>
      </c>
      <c r="G1351" s="19" t="str">
        <f>IFERROR(VLOOKUP(F1351,케이블트레이입.출고현황!W1354:AB1429,2,0),"")</f>
        <v/>
      </c>
      <c r="H1351" s="19" t="str">
        <f>IFERROR(VLOOKUP(G1351,케이블트레이입.출고현황!X1354:AC1429,2,0),"")</f>
        <v/>
      </c>
      <c r="I1351" s="19" t="str">
        <f>IFERROR(VLOOKUP(H1351,케이블트레이입.출고현황!Y1354:AD1429,2,0),"")</f>
        <v/>
      </c>
      <c r="J1351" s="9">
        <v>4</v>
      </c>
      <c r="K1351" s="9"/>
      <c r="L1351" s="37"/>
      <c r="M1351" s="64"/>
      <c r="N1351" s="4"/>
    </row>
    <row r="1352" spans="1:14" ht="24" customHeight="1">
      <c r="A1352" s="8">
        <v>1312</v>
      </c>
      <c r="B1352" s="9">
        <v>1312</v>
      </c>
      <c r="C1352" s="46"/>
      <c r="D1352" s="9"/>
      <c r="E1352" s="19" t="str">
        <f>IFERROR(VLOOKUP(D1352,케이블트레이입.출고현황!U1355:Z1430,2,0),"")</f>
        <v/>
      </c>
      <c r="F1352" s="19" t="str">
        <f>IFERROR(VLOOKUP(E1352,케이블트레이입.출고현황!V1355:AA1430,2,0),"")</f>
        <v/>
      </c>
      <c r="G1352" s="19" t="str">
        <f>IFERROR(VLOOKUP(F1352,케이블트레이입.출고현황!W1355:AB1430,2,0),"")</f>
        <v/>
      </c>
      <c r="H1352" s="19" t="str">
        <f>IFERROR(VLOOKUP(G1352,케이블트레이입.출고현황!X1355:AC1430,2,0),"")</f>
        <v/>
      </c>
      <c r="I1352" s="19" t="str">
        <f>IFERROR(VLOOKUP(H1352,케이블트레이입.출고현황!Y1355:AD1430,2,0),"")</f>
        <v/>
      </c>
      <c r="J1352" s="9">
        <v>2</v>
      </c>
      <c r="K1352" s="9"/>
      <c r="L1352" s="37"/>
      <c r="M1352" s="64"/>
      <c r="N1352" s="4"/>
    </row>
    <row r="1353" spans="1:14" ht="24" customHeight="1">
      <c r="A1353" s="8">
        <v>1313</v>
      </c>
      <c r="B1353" s="9">
        <v>1313</v>
      </c>
      <c r="C1353" s="46"/>
      <c r="D1353" s="9"/>
      <c r="E1353" s="19" t="str">
        <f>IFERROR(VLOOKUP(D1353,케이블트레이입.출고현황!U1356:Z1431,2,0),"")</f>
        <v/>
      </c>
      <c r="F1353" s="19" t="str">
        <f>IFERROR(VLOOKUP(E1353,케이블트레이입.출고현황!V1356:AA1431,2,0),"")</f>
        <v/>
      </c>
      <c r="G1353" s="19" t="str">
        <f>IFERROR(VLOOKUP(F1353,케이블트레이입.출고현황!W1356:AB1431,2,0),"")</f>
        <v/>
      </c>
      <c r="H1353" s="19" t="str">
        <f>IFERROR(VLOOKUP(G1353,케이블트레이입.출고현황!X1356:AC1431,2,0),"")</f>
        <v/>
      </c>
      <c r="I1353" s="19" t="str">
        <f>IFERROR(VLOOKUP(H1353,케이블트레이입.출고현황!Y1356:AD1431,2,0),"")</f>
        <v/>
      </c>
      <c r="J1353" s="9">
        <v>3</v>
      </c>
      <c r="K1353" s="9"/>
      <c r="L1353" s="37"/>
      <c r="M1353" s="64"/>
      <c r="N1353" s="4"/>
    </row>
    <row r="1354" spans="1:14" ht="24" customHeight="1">
      <c r="A1354" s="8">
        <v>1314</v>
      </c>
      <c r="B1354" s="9">
        <v>1314</v>
      </c>
      <c r="C1354" s="46"/>
      <c r="D1354" s="9"/>
      <c r="E1354" s="19" t="str">
        <f>IFERROR(VLOOKUP(D1354,케이블트레이입.출고현황!U1357:Z1432,2,0),"")</f>
        <v/>
      </c>
      <c r="F1354" s="19" t="str">
        <f>IFERROR(VLOOKUP(E1354,케이블트레이입.출고현황!V1357:AA1432,2,0),"")</f>
        <v/>
      </c>
      <c r="G1354" s="19" t="str">
        <f>IFERROR(VLOOKUP(F1354,케이블트레이입.출고현황!W1357:AB1432,2,0),"")</f>
        <v/>
      </c>
      <c r="H1354" s="19" t="str">
        <f>IFERROR(VLOOKUP(G1354,케이블트레이입.출고현황!X1357:AC1432,2,0),"")</f>
        <v/>
      </c>
      <c r="I1354" s="19" t="str">
        <f>IFERROR(VLOOKUP(H1354,케이블트레이입.출고현황!Y1357:AD1432,2,0),"")</f>
        <v/>
      </c>
      <c r="J1354" s="9">
        <v>1</v>
      </c>
      <c r="K1354" s="9"/>
      <c r="L1354" s="37"/>
      <c r="M1354" s="64"/>
      <c r="N1354" s="4"/>
    </row>
    <row r="1355" spans="1:14" ht="24" customHeight="1">
      <c r="A1355" s="8">
        <v>1315</v>
      </c>
      <c r="B1355" s="9">
        <v>1315</v>
      </c>
      <c r="C1355" s="46"/>
      <c r="D1355" s="9"/>
      <c r="E1355" s="19" t="str">
        <f>IFERROR(VLOOKUP(D1355,케이블트레이입.출고현황!U1358:Z1433,2,0),"")</f>
        <v/>
      </c>
      <c r="F1355" s="19" t="str">
        <f>IFERROR(VLOOKUP(E1355,케이블트레이입.출고현황!V1358:AA1433,2,0),"")</f>
        <v/>
      </c>
      <c r="G1355" s="19" t="str">
        <f>IFERROR(VLOOKUP(F1355,케이블트레이입.출고현황!W1358:AB1433,2,0),"")</f>
        <v/>
      </c>
      <c r="H1355" s="19" t="str">
        <f>IFERROR(VLOOKUP(G1355,케이블트레이입.출고현황!X1358:AC1433,2,0),"")</f>
        <v/>
      </c>
      <c r="I1355" s="19" t="str">
        <f>IFERROR(VLOOKUP(H1355,케이블트레이입.출고현황!Y1358:AD1433,2,0),"")</f>
        <v/>
      </c>
      <c r="J1355" s="9">
        <v>1</v>
      </c>
      <c r="K1355" s="9"/>
      <c r="L1355" s="37"/>
      <c r="M1355" s="64"/>
      <c r="N1355" s="4"/>
    </row>
    <row r="1356" spans="1:14" ht="24" customHeight="1">
      <c r="A1356" s="8">
        <v>1316</v>
      </c>
      <c r="B1356" s="9">
        <v>1316</v>
      </c>
      <c r="C1356" s="46"/>
      <c r="D1356" s="9"/>
      <c r="E1356" s="19" t="str">
        <f>IFERROR(VLOOKUP(D1356,케이블트레이입.출고현황!U1359:Z1434,2,0),"")</f>
        <v/>
      </c>
      <c r="F1356" s="19" t="str">
        <f>IFERROR(VLOOKUP(E1356,케이블트레이입.출고현황!V1359:AA1434,2,0),"")</f>
        <v/>
      </c>
      <c r="G1356" s="19" t="str">
        <f>IFERROR(VLOOKUP(F1356,케이블트레이입.출고현황!W1359:AB1434,2,0),"")</f>
        <v/>
      </c>
      <c r="H1356" s="19" t="str">
        <f>IFERROR(VLOOKUP(G1356,케이블트레이입.출고현황!X1359:AC1434,2,0),"")</f>
        <v/>
      </c>
      <c r="I1356" s="19" t="str">
        <f>IFERROR(VLOOKUP(H1356,케이블트레이입.출고현황!Y1359:AD1434,2,0),"")</f>
        <v/>
      </c>
      <c r="J1356" s="9">
        <v>2</v>
      </c>
      <c r="K1356" s="9"/>
      <c r="L1356" s="37"/>
      <c r="M1356" s="64"/>
      <c r="N1356" s="4"/>
    </row>
    <row r="1357" spans="1:14" ht="24" customHeight="1">
      <c r="A1357" s="8">
        <v>1317</v>
      </c>
      <c r="B1357" s="9">
        <v>1317</v>
      </c>
      <c r="C1357" s="46"/>
      <c r="D1357" s="9"/>
      <c r="E1357" s="19" t="str">
        <f>IFERROR(VLOOKUP(D1357,케이블트레이입.출고현황!U1360:Z1435,2,0),"")</f>
        <v/>
      </c>
      <c r="F1357" s="19" t="str">
        <f>IFERROR(VLOOKUP(E1357,케이블트레이입.출고현황!V1360:AA1435,2,0),"")</f>
        <v/>
      </c>
      <c r="G1357" s="19" t="str">
        <f>IFERROR(VLOOKUP(F1357,케이블트레이입.출고현황!W1360:AB1435,2,0),"")</f>
        <v/>
      </c>
      <c r="H1357" s="19" t="str">
        <f>IFERROR(VLOOKUP(G1357,케이블트레이입.출고현황!X1360:AC1435,2,0),"")</f>
        <v/>
      </c>
      <c r="I1357" s="19" t="str">
        <f>IFERROR(VLOOKUP(H1357,케이블트레이입.출고현황!Y1360:AD1435,2,0),"")</f>
        <v/>
      </c>
      <c r="J1357" s="9">
        <v>4</v>
      </c>
      <c r="K1357" s="9"/>
      <c r="L1357" s="37"/>
      <c r="M1357" s="64"/>
      <c r="N1357" s="4"/>
    </row>
    <row r="1358" spans="1:14" ht="24" customHeight="1">
      <c r="A1358" s="8">
        <v>1318</v>
      </c>
      <c r="B1358" s="9">
        <v>1318</v>
      </c>
      <c r="C1358" s="46"/>
      <c r="D1358" s="9"/>
      <c r="E1358" s="19" t="str">
        <f>IFERROR(VLOOKUP(D1358,케이블트레이입.출고현황!U1361:Z1436,2,0),"")</f>
        <v/>
      </c>
      <c r="F1358" s="19" t="str">
        <f>IFERROR(VLOOKUP(E1358,케이블트레이입.출고현황!V1361:AA1436,2,0),"")</f>
        <v/>
      </c>
      <c r="G1358" s="19" t="str">
        <f>IFERROR(VLOOKUP(F1358,케이블트레이입.출고현황!W1361:AB1436,2,0),"")</f>
        <v/>
      </c>
      <c r="H1358" s="19" t="str">
        <f>IFERROR(VLOOKUP(G1358,케이블트레이입.출고현황!X1361:AC1436,2,0),"")</f>
        <v/>
      </c>
      <c r="I1358" s="19" t="str">
        <f>IFERROR(VLOOKUP(H1358,케이블트레이입.출고현황!Y1361:AD1436,2,0),"")</f>
        <v/>
      </c>
      <c r="J1358" s="9">
        <v>2</v>
      </c>
      <c r="K1358" s="9"/>
      <c r="L1358" s="37"/>
      <c r="M1358" s="64"/>
      <c r="N1358" s="4"/>
    </row>
    <row r="1359" spans="1:14" ht="24" customHeight="1">
      <c r="A1359" s="8">
        <v>1319</v>
      </c>
      <c r="B1359" s="9">
        <v>1319</v>
      </c>
      <c r="C1359" s="46"/>
      <c r="D1359" s="9"/>
      <c r="E1359" s="19" t="str">
        <f>IFERROR(VLOOKUP(D1359,케이블트레이입.출고현황!U1362:Z1437,2,0),"")</f>
        <v/>
      </c>
      <c r="F1359" s="19" t="str">
        <f>IFERROR(VLOOKUP(E1359,케이블트레이입.출고현황!V1362:AA1437,2,0),"")</f>
        <v/>
      </c>
      <c r="G1359" s="19" t="str">
        <f>IFERROR(VLOOKUP(F1359,케이블트레이입.출고현황!W1362:AB1437,2,0),"")</f>
        <v/>
      </c>
      <c r="H1359" s="19" t="str">
        <f>IFERROR(VLOOKUP(G1359,케이블트레이입.출고현황!X1362:AC1437,2,0),"")</f>
        <v/>
      </c>
      <c r="I1359" s="19" t="str">
        <f>IFERROR(VLOOKUP(H1359,케이블트레이입.출고현황!Y1362:AD1437,2,0),"")</f>
        <v/>
      </c>
      <c r="J1359" s="9">
        <v>2</v>
      </c>
      <c r="K1359" s="9"/>
      <c r="L1359" s="37"/>
      <c r="M1359" s="64"/>
      <c r="N1359" s="4"/>
    </row>
    <row r="1360" spans="1:14" ht="24" customHeight="1">
      <c r="A1360" s="8">
        <v>1320</v>
      </c>
      <c r="B1360" s="9">
        <v>1320</v>
      </c>
      <c r="C1360" s="46"/>
      <c r="D1360" s="9"/>
      <c r="E1360" s="19" t="str">
        <f>IFERROR(VLOOKUP(D1360,케이블트레이입.출고현황!U1363:Z1438,2,0),"")</f>
        <v/>
      </c>
      <c r="F1360" s="19" t="str">
        <f>IFERROR(VLOOKUP(E1360,케이블트레이입.출고현황!V1363:AA1438,2,0),"")</f>
        <v/>
      </c>
      <c r="G1360" s="19" t="str">
        <f>IFERROR(VLOOKUP(F1360,케이블트레이입.출고현황!W1363:AB1438,2,0),"")</f>
        <v/>
      </c>
      <c r="H1360" s="19" t="str">
        <f>IFERROR(VLOOKUP(G1360,케이블트레이입.출고현황!X1363:AC1438,2,0),"")</f>
        <v/>
      </c>
      <c r="I1360" s="19" t="str">
        <f>IFERROR(VLOOKUP(H1360,케이블트레이입.출고현황!Y1363:AD1438,2,0),"")</f>
        <v/>
      </c>
      <c r="J1360" s="9">
        <v>4</v>
      </c>
      <c r="K1360" s="9"/>
      <c r="L1360" s="37"/>
      <c r="M1360" s="64"/>
      <c r="N1360" s="4"/>
    </row>
    <row r="1361" spans="1:14" ht="24" customHeight="1">
      <c r="A1361" s="8">
        <v>1321</v>
      </c>
      <c r="B1361" s="9">
        <v>1321</v>
      </c>
      <c r="C1361" s="46"/>
      <c r="D1361" s="9"/>
      <c r="E1361" s="19" t="str">
        <f>IFERROR(VLOOKUP(D1361,케이블트레이입.출고현황!U1364:Z1439,2,0),"")</f>
        <v/>
      </c>
      <c r="F1361" s="19" t="str">
        <f>IFERROR(VLOOKUP(E1361,케이블트레이입.출고현황!V1364:AA1439,2,0),"")</f>
        <v/>
      </c>
      <c r="G1361" s="19" t="str">
        <f>IFERROR(VLOOKUP(F1361,케이블트레이입.출고현황!W1364:AB1439,2,0),"")</f>
        <v/>
      </c>
      <c r="H1361" s="19" t="str">
        <f>IFERROR(VLOOKUP(G1361,케이블트레이입.출고현황!X1364:AC1439,2,0),"")</f>
        <v/>
      </c>
      <c r="I1361" s="19" t="str">
        <f>IFERROR(VLOOKUP(H1361,케이블트레이입.출고현황!Y1364:AD1439,2,0),"")</f>
        <v/>
      </c>
      <c r="J1361" s="9">
        <v>1</v>
      </c>
      <c r="K1361" s="9"/>
      <c r="L1361" s="37"/>
      <c r="M1361" s="64"/>
      <c r="N1361" s="4"/>
    </row>
    <row r="1362" spans="1:14" ht="24" customHeight="1">
      <c r="A1362" s="8">
        <v>1322</v>
      </c>
      <c r="B1362" s="9">
        <v>1322</v>
      </c>
      <c r="C1362" s="46"/>
      <c r="D1362" s="9"/>
      <c r="E1362" s="19" t="str">
        <f>IFERROR(VLOOKUP(D1362,케이블트레이입.출고현황!U1365:Z1440,2,0),"")</f>
        <v/>
      </c>
      <c r="F1362" s="19" t="str">
        <f>IFERROR(VLOOKUP(E1362,케이블트레이입.출고현황!V1365:AA1440,2,0),"")</f>
        <v/>
      </c>
      <c r="G1362" s="19" t="str">
        <f>IFERROR(VLOOKUP(F1362,케이블트레이입.출고현황!W1365:AB1440,2,0),"")</f>
        <v/>
      </c>
      <c r="H1362" s="19" t="str">
        <f>IFERROR(VLOOKUP(G1362,케이블트레이입.출고현황!X1365:AC1440,2,0),"")</f>
        <v/>
      </c>
      <c r="I1362" s="19" t="str">
        <f>IFERROR(VLOOKUP(H1362,케이블트레이입.출고현황!Y1365:AD1440,2,0),"")</f>
        <v/>
      </c>
      <c r="J1362" s="9">
        <v>2</v>
      </c>
      <c r="K1362" s="9"/>
      <c r="L1362" s="37"/>
      <c r="M1362" s="64"/>
      <c r="N1362" s="4"/>
    </row>
    <row r="1363" spans="1:14" ht="24" customHeight="1">
      <c r="A1363" s="8">
        <v>1323</v>
      </c>
      <c r="B1363" s="9">
        <v>1323</v>
      </c>
      <c r="C1363" s="46"/>
      <c r="D1363" s="9"/>
      <c r="E1363" s="19" t="str">
        <f>IFERROR(VLOOKUP(D1363,케이블트레이입.출고현황!U1366:Z1441,2,0),"")</f>
        <v/>
      </c>
      <c r="F1363" s="19" t="str">
        <f>IFERROR(VLOOKUP(E1363,케이블트레이입.출고현황!V1366:AA1441,2,0),"")</f>
        <v/>
      </c>
      <c r="G1363" s="19" t="str">
        <f>IFERROR(VLOOKUP(F1363,케이블트레이입.출고현황!W1366:AB1441,2,0),"")</f>
        <v/>
      </c>
      <c r="H1363" s="19" t="str">
        <f>IFERROR(VLOOKUP(G1363,케이블트레이입.출고현황!X1366:AC1441,2,0),"")</f>
        <v/>
      </c>
      <c r="I1363" s="19" t="str">
        <f>IFERROR(VLOOKUP(H1363,케이블트레이입.출고현황!Y1366:AD1441,2,0),"")</f>
        <v/>
      </c>
      <c r="J1363" s="9">
        <v>1</v>
      </c>
      <c r="K1363" s="9"/>
      <c r="L1363" s="37"/>
      <c r="M1363" s="64"/>
      <c r="N1363" s="4"/>
    </row>
    <row r="1364" spans="1:14" ht="24" customHeight="1">
      <c r="A1364" s="8">
        <v>1324</v>
      </c>
      <c r="B1364" s="9">
        <v>1324</v>
      </c>
      <c r="C1364" s="46"/>
      <c r="D1364" s="9"/>
      <c r="E1364" s="19" t="str">
        <f>IFERROR(VLOOKUP(D1364,케이블트레이입.출고현황!U1367:Z1442,2,0),"")</f>
        <v/>
      </c>
      <c r="F1364" s="19" t="str">
        <f>IFERROR(VLOOKUP(E1364,케이블트레이입.출고현황!V1367:AA1442,2,0),"")</f>
        <v/>
      </c>
      <c r="G1364" s="19" t="str">
        <f>IFERROR(VLOOKUP(F1364,케이블트레이입.출고현황!W1367:AB1442,2,0),"")</f>
        <v/>
      </c>
      <c r="H1364" s="19" t="str">
        <f>IFERROR(VLOOKUP(G1364,케이블트레이입.출고현황!X1367:AC1442,2,0),"")</f>
        <v/>
      </c>
      <c r="I1364" s="19" t="str">
        <f>IFERROR(VLOOKUP(H1364,케이블트레이입.출고현황!Y1367:AD1442,2,0),"")</f>
        <v/>
      </c>
      <c r="J1364" s="9">
        <v>1</v>
      </c>
      <c r="K1364" s="9"/>
      <c r="L1364" s="37"/>
      <c r="M1364" s="64"/>
      <c r="N1364" s="4"/>
    </row>
    <row r="1365" spans="1:14" ht="24" customHeight="1">
      <c r="A1365" s="8">
        <v>1325</v>
      </c>
      <c r="B1365" s="9">
        <v>1325</v>
      </c>
      <c r="C1365" s="46"/>
      <c r="D1365" s="9"/>
      <c r="E1365" s="19" t="str">
        <f>IFERROR(VLOOKUP(D1365,케이블트레이입.출고현황!U1368:Z1443,2,0),"")</f>
        <v/>
      </c>
      <c r="F1365" s="19" t="str">
        <f>IFERROR(VLOOKUP(E1365,케이블트레이입.출고현황!V1368:AA1443,2,0),"")</f>
        <v/>
      </c>
      <c r="G1365" s="19" t="str">
        <f>IFERROR(VLOOKUP(F1365,케이블트레이입.출고현황!W1368:AB1443,2,0),"")</f>
        <v/>
      </c>
      <c r="H1365" s="19" t="str">
        <f>IFERROR(VLOOKUP(G1365,케이블트레이입.출고현황!X1368:AC1443,2,0),"")</f>
        <v/>
      </c>
      <c r="I1365" s="19" t="str">
        <f>IFERROR(VLOOKUP(H1365,케이블트레이입.출고현황!Y1368:AD1443,2,0),"")</f>
        <v/>
      </c>
      <c r="J1365" s="9">
        <v>1</v>
      </c>
      <c r="K1365" s="9"/>
      <c r="L1365" s="37"/>
      <c r="M1365" s="64"/>
      <c r="N1365" s="4"/>
    </row>
    <row r="1366" spans="1:14" ht="24" customHeight="1">
      <c r="A1366" s="8">
        <v>1326</v>
      </c>
      <c r="B1366" s="9">
        <v>1326</v>
      </c>
      <c r="C1366" s="46"/>
      <c r="D1366" s="9"/>
      <c r="E1366" s="19" t="str">
        <f>IFERROR(VLOOKUP(D1366,케이블트레이입.출고현황!U1369:Z1444,2,0),"")</f>
        <v/>
      </c>
      <c r="F1366" s="19" t="str">
        <f>IFERROR(VLOOKUP(E1366,케이블트레이입.출고현황!V1369:AA1444,2,0),"")</f>
        <v/>
      </c>
      <c r="G1366" s="19" t="str">
        <f>IFERROR(VLOOKUP(F1366,케이블트레이입.출고현황!W1369:AB1444,2,0),"")</f>
        <v/>
      </c>
      <c r="H1366" s="19" t="str">
        <f>IFERROR(VLOOKUP(G1366,케이블트레이입.출고현황!X1369:AC1444,2,0),"")</f>
        <v/>
      </c>
      <c r="I1366" s="19" t="str">
        <f>IFERROR(VLOOKUP(H1366,케이블트레이입.출고현황!Y1369:AD1444,2,0),"")</f>
        <v/>
      </c>
      <c r="J1366" s="9">
        <v>2</v>
      </c>
      <c r="K1366" s="9"/>
      <c r="L1366" s="37"/>
      <c r="M1366" s="64"/>
      <c r="N1366" s="4"/>
    </row>
    <row r="1367" spans="1:14" ht="24" customHeight="1">
      <c r="A1367" s="8">
        <v>1327</v>
      </c>
      <c r="B1367" s="9">
        <v>1327</v>
      </c>
      <c r="C1367" s="46"/>
      <c r="D1367" s="9"/>
      <c r="E1367" s="19" t="str">
        <f>IFERROR(VLOOKUP(D1367,케이블트레이입.출고현황!U1370:Z1445,2,0),"")</f>
        <v/>
      </c>
      <c r="F1367" s="19" t="str">
        <f>IFERROR(VLOOKUP(E1367,케이블트레이입.출고현황!V1370:AA1445,2,0),"")</f>
        <v/>
      </c>
      <c r="G1367" s="19" t="str">
        <f>IFERROR(VLOOKUP(F1367,케이블트레이입.출고현황!W1370:AB1445,2,0),"")</f>
        <v/>
      </c>
      <c r="H1367" s="19" t="str">
        <f>IFERROR(VLOOKUP(G1367,케이블트레이입.출고현황!X1370:AC1445,2,0),"")</f>
        <v/>
      </c>
      <c r="I1367" s="19" t="str">
        <f>IFERROR(VLOOKUP(H1367,케이블트레이입.출고현황!Y1370:AD1445,2,0),"")</f>
        <v/>
      </c>
      <c r="J1367" s="9">
        <v>1</v>
      </c>
      <c r="K1367" s="9"/>
      <c r="L1367" s="37"/>
      <c r="M1367" s="64"/>
      <c r="N1367" s="4"/>
    </row>
    <row r="1368" spans="1:14" ht="24" customHeight="1">
      <c r="A1368" s="8">
        <v>1328</v>
      </c>
      <c r="B1368" s="9">
        <v>1328</v>
      </c>
      <c r="C1368" s="46"/>
      <c r="D1368" s="9"/>
      <c r="E1368" s="19" t="str">
        <f>IFERROR(VLOOKUP(D1368,케이블트레이입.출고현황!U1371:Z1446,2,0),"")</f>
        <v/>
      </c>
      <c r="F1368" s="19" t="str">
        <f>IFERROR(VLOOKUP(E1368,케이블트레이입.출고현황!V1371:AA1446,2,0),"")</f>
        <v/>
      </c>
      <c r="G1368" s="19" t="str">
        <f>IFERROR(VLOOKUP(F1368,케이블트레이입.출고현황!W1371:AB1446,2,0),"")</f>
        <v/>
      </c>
      <c r="H1368" s="19" t="str">
        <f>IFERROR(VLOOKUP(G1368,케이블트레이입.출고현황!X1371:AC1446,2,0),"")</f>
        <v/>
      </c>
      <c r="I1368" s="19" t="str">
        <f>IFERROR(VLOOKUP(H1368,케이블트레이입.출고현황!Y1371:AD1446,2,0),"")</f>
        <v/>
      </c>
      <c r="J1368" s="9">
        <v>1</v>
      </c>
      <c r="K1368" s="9"/>
      <c r="L1368" s="37"/>
      <c r="M1368" s="64"/>
      <c r="N1368" s="4"/>
    </row>
    <row r="1369" spans="1:14" ht="24" customHeight="1">
      <c r="A1369" s="8">
        <v>1329</v>
      </c>
      <c r="B1369" s="9">
        <v>1329</v>
      </c>
      <c r="C1369" s="46"/>
      <c r="D1369" s="9"/>
      <c r="E1369" s="19" t="str">
        <f>IFERROR(VLOOKUP(D1369,케이블트레이입.출고현황!U1372:Z1447,2,0),"")</f>
        <v/>
      </c>
      <c r="F1369" s="19" t="str">
        <f>IFERROR(VLOOKUP(E1369,케이블트레이입.출고현황!V1372:AA1447,2,0),"")</f>
        <v/>
      </c>
      <c r="G1369" s="19" t="str">
        <f>IFERROR(VLOOKUP(F1369,케이블트레이입.출고현황!W1372:AB1447,2,0),"")</f>
        <v/>
      </c>
      <c r="H1369" s="19" t="str">
        <f>IFERROR(VLOOKUP(G1369,케이블트레이입.출고현황!X1372:AC1447,2,0),"")</f>
        <v/>
      </c>
      <c r="I1369" s="19" t="str">
        <f>IFERROR(VLOOKUP(H1369,케이블트레이입.출고현황!Y1372:AD1447,2,0),"")</f>
        <v/>
      </c>
      <c r="J1369" s="9">
        <v>1</v>
      </c>
      <c r="K1369" s="9"/>
      <c r="L1369" s="37"/>
      <c r="M1369" s="64"/>
      <c r="N1369" s="4"/>
    </row>
    <row r="1370" spans="1:14" ht="24" customHeight="1">
      <c r="A1370" s="8">
        <v>1330</v>
      </c>
      <c r="B1370" s="9">
        <v>1330</v>
      </c>
      <c r="C1370" s="46"/>
      <c r="D1370" s="9"/>
      <c r="E1370" s="19" t="str">
        <f>IFERROR(VLOOKUP(D1370,케이블트레이입.출고현황!U1373:Z1448,2,0),"")</f>
        <v/>
      </c>
      <c r="F1370" s="19" t="str">
        <f>IFERROR(VLOOKUP(E1370,케이블트레이입.출고현황!V1373:AA1448,2,0),"")</f>
        <v/>
      </c>
      <c r="G1370" s="19" t="str">
        <f>IFERROR(VLOOKUP(F1370,케이블트레이입.출고현황!W1373:AB1448,2,0),"")</f>
        <v/>
      </c>
      <c r="H1370" s="19" t="str">
        <f>IFERROR(VLOOKUP(G1370,케이블트레이입.출고현황!X1373:AC1448,2,0),"")</f>
        <v/>
      </c>
      <c r="I1370" s="19" t="str">
        <f>IFERROR(VLOOKUP(H1370,케이블트레이입.출고현황!Y1373:AD1448,2,0),"")</f>
        <v/>
      </c>
      <c r="J1370" s="9">
        <v>2</v>
      </c>
      <c r="K1370" s="9"/>
      <c r="L1370" s="37"/>
      <c r="M1370" s="64"/>
      <c r="N1370" s="4"/>
    </row>
    <row r="1371" spans="1:14" ht="24" customHeight="1">
      <c r="A1371" s="8">
        <v>1331</v>
      </c>
      <c r="B1371" s="9">
        <v>1331</v>
      </c>
      <c r="C1371" s="46"/>
      <c r="D1371" s="9"/>
      <c r="E1371" s="19" t="str">
        <f>IFERROR(VLOOKUP(D1371,케이블트레이입.출고현황!U1374:Z1449,2,0),"")</f>
        <v/>
      </c>
      <c r="F1371" s="19" t="str">
        <f>IFERROR(VLOOKUP(E1371,케이블트레이입.출고현황!V1374:AA1449,2,0),"")</f>
        <v/>
      </c>
      <c r="G1371" s="19" t="str">
        <f>IFERROR(VLOOKUP(F1371,케이블트레이입.출고현황!W1374:AB1449,2,0),"")</f>
        <v/>
      </c>
      <c r="H1371" s="19" t="str">
        <f>IFERROR(VLOOKUP(G1371,케이블트레이입.출고현황!X1374:AC1449,2,0),"")</f>
        <v/>
      </c>
      <c r="I1371" s="19" t="str">
        <f>IFERROR(VLOOKUP(H1371,케이블트레이입.출고현황!Y1374:AD1449,2,0),"")</f>
        <v/>
      </c>
      <c r="J1371" s="9">
        <v>4</v>
      </c>
      <c r="K1371" s="9"/>
      <c r="L1371" s="37"/>
      <c r="M1371" s="64"/>
      <c r="N1371" s="4"/>
    </row>
    <row r="1372" spans="1:14" ht="24" customHeight="1">
      <c r="A1372" s="8">
        <v>1332</v>
      </c>
      <c r="B1372" s="9">
        <v>1332</v>
      </c>
      <c r="C1372" s="46"/>
      <c r="D1372" s="9"/>
      <c r="E1372" s="19" t="str">
        <f>IFERROR(VLOOKUP(D1372,케이블트레이입.출고현황!U1375:Z1450,2,0),"")</f>
        <v/>
      </c>
      <c r="F1372" s="19" t="str">
        <f>IFERROR(VLOOKUP(E1372,케이블트레이입.출고현황!V1375:AA1450,2,0),"")</f>
        <v/>
      </c>
      <c r="G1372" s="19" t="str">
        <f>IFERROR(VLOOKUP(F1372,케이블트레이입.출고현황!W1375:AB1450,2,0),"")</f>
        <v/>
      </c>
      <c r="H1372" s="19" t="str">
        <f>IFERROR(VLOOKUP(G1372,케이블트레이입.출고현황!X1375:AC1450,2,0),"")</f>
        <v/>
      </c>
      <c r="I1372" s="19" t="str">
        <f>IFERROR(VLOOKUP(H1372,케이블트레이입.출고현황!Y1375:AD1450,2,0),"")</f>
        <v/>
      </c>
      <c r="J1372" s="9">
        <v>1</v>
      </c>
      <c r="K1372" s="9"/>
      <c r="L1372" s="37"/>
      <c r="M1372" s="64"/>
      <c r="N1372" s="4"/>
    </row>
    <row r="1373" spans="1:14" ht="24" customHeight="1">
      <c r="A1373" s="8">
        <v>1333</v>
      </c>
      <c r="B1373" s="9">
        <v>1333</v>
      </c>
      <c r="C1373" s="46"/>
      <c r="D1373" s="9"/>
      <c r="E1373" s="19" t="str">
        <f>IFERROR(VLOOKUP(D1373,케이블트레이입.출고현황!U1376:Z1451,2,0),"")</f>
        <v/>
      </c>
      <c r="F1373" s="19" t="str">
        <f>IFERROR(VLOOKUP(E1373,케이블트레이입.출고현황!V1376:AA1451,2,0),"")</f>
        <v/>
      </c>
      <c r="G1373" s="19" t="str">
        <f>IFERROR(VLOOKUP(F1373,케이블트레이입.출고현황!W1376:AB1451,2,0),"")</f>
        <v/>
      </c>
      <c r="H1373" s="19" t="str">
        <f>IFERROR(VLOOKUP(G1373,케이블트레이입.출고현황!X1376:AC1451,2,0),"")</f>
        <v/>
      </c>
      <c r="I1373" s="19" t="str">
        <f>IFERROR(VLOOKUP(H1373,케이블트레이입.출고현황!Y1376:AD1451,2,0),"")</f>
        <v/>
      </c>
      <c r="J1373" s="9">
        <v>1</v>
      </c>
      <c r="K1373" s="9"/>
      <c r="L1373" s="37"/>
      <c r="M1373" s="64"/>
      <c r="N1373" s="4"/>
    </row>
    <row r="1374" spans="1:14" ht="24" customHeight="1">
      <c r="A1374" s="8">
        <v>1334</v>
      </c>
      <c r="B1374" s="9">
        <v>1334</v>
      </c>
      <c r="C1374" s="46"/>
      <c r="D1374" s="9"/>
      <c r="E1374" s="19" t="str">
        <f>IFERROR(VLOOKUP(D1374,케이블트레이입.출고현황!U1377:Z1452,2,0),"")</f>
        <v/>
      </c>
      <c r="F1374" s="19" t="str">
        <f>IFERROR(VLOOKUP(E1374,케이블트레이입.출고현황!V1377:AA1452,2,0),"")</f>
        <v/>
      </c>
      <c r="G1374" s="19" t="str">
        <f>IFERROR(VLOOKUP(F1374,케이블트레이입.출고현황!W1377:AB1452,2,0),"")</f>
        <v/>
      </c>
      <c r="H1374" s="19" t="str">
        <f>IFERROR(VLOOKUP(G1374,케이블트레이입.출고현황!X1377:AC1452,2,0),"")</f>
        <v/>
      </c>
      <c r="I1374" s="19" t="str">
        <f>IFERROR(VLOOKUP(H1374,케이블트레이입.출고현황!Y1377:AD1452,2,0),"")</f>
        <v/>
      </c>
      <c r="J1374" s="9">
        <v>2</v>
      </c>
      <c r="K1374" s="9"/>
      <c r="L1374" s="37"/>
      <c r="M1374" s="64"/>
      <c r="N1374" s="4"/>
    </row>
    <row r="1375" spans="1:14" ht="24" customHeight="1">
      <c r="A1375" s="8">
        <v>1335</v>
      </c>
      <c r="B1375" s="9">
        <v>1335</v>
      </c>
      <c r="C1375" s="46"/>
      <c r="D1375" s="9"/>
      <c r="E1375" s="19" t="str">
        <f>IFERROR(VLOOKUP(D1375,케이블트레이입.출고현황!U1378:Z1453,2,0),"")</f>
        <v/>
      </c>
      <c r="F1375" s="19" t="str">
        <f>IFERROR(VLOOKUP(E1375,케이블트레이입.출고현황!V1378:AA1453,2,0),"")</f>
        <v/>
      </c>
      <c r="G1375" s="19" t="str">
        <f>IFERROR(VLOOKUP(F1375,케이블트레이입.출고현황!W1378:AB1453,2,0),"")</f>
        <v/>
      </c>
      <c r="H1375" s="19" t="str">
        <f>IFERROR(VLOOKUP(G1375,케이블트레이입.출고현황!X1378:AC1453,2,0),"")</f>
        <v/>
      </c>
      <c r="I1375" s="19" t="str">
        <f>IFERROR(VLOOKUP(H1375,케이블트레이입.출고현황!Y1378:AD1453,2,0),"")</f>
        <v/>
      </c>
      <c r="J1375" s="9">
        <v>1</v>
      </c>
      <c r="K1375" s="9"/>
      <c r="L1375" s="37"/>
      <c r="M1375" s="64"/>
      <c r="N1375" s="4"/>
    </row>
    <row r="1376" spans="1:14" ht="24" customHeight="1">
      <c r="A1376" s="8">
        <v>1336</v>
      </c>
      <c r="B1376" s="9">
        <v>1336</v>
      </c>
      <c r="C1376" s="46"/>
      <c r="D1376" s="9"/>
      <c r="E1376" s="19" t="str">
        <f>IFERROR(VLOOKUP(D1376,케이블트레이입.출고현황!U1379:Z1454,2,0),"")</f>
        <v/>
      </c>
      <c r="F1376" s="19" t="str">
        <f>IFERROR(VLOOKUP(E1376,케이블트레이입.출고현황!V1379:AA1454,2,0),"")</f>
        <v/>
      </c>
      <c r="G1376" s="19" t="str">
        <f>IFERROR(VLOOKUP(F1376,케이블트레이입.출고현황!W1379:AB1454,2,0),"")</f>
        <v/>
      </c>
      <c r="H1376" s="19" t="str">
        <f>IFERROR(VLOOKUP(G1376,케이블트레이입.출고현황!X1379:AC1454,2,0),"")</f>
        <v/>
      </c>
      <c r="I1376" s="19" t="str">
        <f>IFERROR(VLOOKUP(H1376,케이블트레이입.출고현황!Y1379:AD1454,2,0),"")</f>
        <v/>
      </c>
      <c r="J1376" s="9">
        <v>1</v>
      </c>
      <c r="K1376" s="9"/>
      <c r="L1376" s="37"/>
      <c r="M1376" s="64"/>
      <c r="N1376" s="4"/>
    </row>
    <row r="1377" spans="1:14" ht="24" customHeight="1">
      <c r="A1377" s="8">
        <v>1337</v>
      </c>
      <c r="B1377" s="9">
        <v>1337</v>
      </c>
      <c r="C1377" s="46"/>
      <c r="D1377" s="9"/>
      <c r="E1377" s="19" t="str">
        <f>IFERROR(VLOOKUP(D1377,케이블트레이입.출고현황!U1380:Z1455,2,0),"")</f>
        <v/>
      </c>
      <c r="F1377" s="19" t="str">
        <f>IFERROR(VLOOKUP(E1377,케이블트레이입.출고현황!V1380:AA1455,2,0),"")</f>
        <v/>
      </c>
      <c r="G1377" s="19" t="str">
        <f>IFERROR(VLOOKUP(F1377,케이블트레이입.출고현황!W1380:AB1455,2,0),"")</f>
        <v/>
      </c>
      <c r="H1377" s="19" t="str">
        <f>IFERROR(VLOOKUP(G1377,케이블트레이입.출고현황!X1380:AC1455,2,0),"")</f>
        <v/>
      </c>
      <c r="I1377" s="19" t="str">
        <f>IFERROR(VLOOKUP(H1377,케이블트레이입.출고현황!Y1380:AD1455,2,0),"")</f>
        <v/>
      </c>
      <c r="J1377" s="9">
        <v>1</v>
      </c>
      <c r="K1377" s="9"/>
      <c r="L1377" s="37"/>
      <c r="M1377" s="64"/>
      <c r="N1377" s="4"/>
    </row>
    <row r="1378" spans="1:14" ht="24" customHeight="1">
      <c r="A1378" s="8">
        <v>1338</v>
      </c>
      <c r="B1378" s="9">
        <v>1338</v>
      </c>
      <c r="C1378" s="46"/>
      <c r="D1378" s="9"/>
      <c r="E1378" s="19" t="str">
        <f>IFERROR(VLOOKUP(D1378,케이블트레이입.출고현황!U1381:Z1456,2,0),"")</f>
        <v/>
      </c>
      <c r="F1378" s="19" t="str">
        <f>IFERROR(VLOOKUP(E1378,케이블트레이입.출고현황!V1381:AA1456,2,0),"")</f>
        <v/>
      </c>
      <c r="G1378" s="19" t="str">
        <f>IFERROR(VLOOKUP(F1378,케이블트레이입.출고현황!W1381:AB1456,2,0),"")</f>
        <v/>
      </c>
      <c r="H1378" s="19" t="str">
        <f>IFERROR(VLOOKUP(G1378,케이블트레이입.출고현황!X1381:AC1456,2,0),"")</f>
        <v/>
      </c>
      <c r="I1378" s="19" t="str">
        <f>IFERROR(VLOOKUP(H1378,케이블트레이입.출고현황!Y1381:AD1456,2,0),"")</f>
        <v/>
      </c>
      <c r="J1378" s="9">
        <v>3</v>
      </c>
      <c r="K1378" s="9"/>
      <c r="L1378" s="37"/>
      <c r="M1378" s="64"/>
      <c r="N1378" s="4"/>
    </row>
    <row r="1379" spans="1:14" ht="24" customHeight="1">
      <c r="A1379" s="8">
        <v>1339</v>
      </c>
      <c r="B1379" s="9">
        <v>1339</v>
      </c>
      <c r="C1379" s="46"/>
      <c r="D1379" s="9"/>
      <c r="E1379" s="19" t="str">
        <f>IFERROR(VLOOKUP(D1379,케이블트레이입.출고현황!U1382:Z1457,2,0),"")</f>
        <v/>
      </c>
      <c r="F1379" s="19" t="str">
        <f>IFERROR(VLOOKUP(E1379,케이블트레이입.출고현황!V1382:AA1457,2,0),"")</f>
        <v/>
      </c>
      <c r="G1379" s="19" t="str">
        <f>IFERROR(VLOOKUP(F1379,케이블트레이입.출고현황!W1382:AB1457,2,0),"")</f>
        <v/>
      </c>
      <c r="H1379" s="19" t="str">
        <f>IFERROR(VLOOKUP(G1379,케이블트레이입.출고현황!X1382:AC1457,2,0),"")</f>
        <v/>
      </c>
      <c r="I1379" s="19" t="str">
        <f>IFERROR(VLOOKUP(H1379,케이블트레이입.출고현황!Y1382:AD1457,2,0),"")</f>
        <v/>
      </c>
      <c r="J1379" s="9">
        <v>1</v>
      </c>
      <c r="K1379" s="9"/>
      <c r="L1379" s="37"/>
      <c r="M1379" s="64"/>
      <c r="N1379" s="4"/>
    </row>
    <row r="1380" spans="1:14" ht="24" customHeight="1">
      <c r="A1380" s="8">
        <v>1340</v>
      </c>
      <c r="B1380" s="9">
        <v>1340</v>
      </c>
      <c r="C1380" s="46"/>
      <c r="D1380" s="9"/>
      <c r="E1380" s="19" t="str">
        <f>IFERROR(VLOOKUP(D1380,케이블트레이입.출고현황!U1383:Z1458,2,0),"")</f>
        <v/>
      </c>
      <c r="F1380" s="19" t="str">
        <f>IFERROR(VLOOKUP(E1380,케이블트레이입.출고현황!V1383:AA1458,2,0),"")</f>
        <v/>
      </c>
      <c r="G1380" s="19" t="str">
        <f>IFERROR(VLOOKUP(F1380,케이블트레이입.출고현황!W1383:AB1458,2,0),"")</f>
        <v/>
      </c>
      <c r="H1380" s="19" t="str">
        <f>IFERROR(VLOOKUP(G1380,케이블트레이입.출고현황!X1383:AC1458,2,0),"")</f>
        <v/>
      </c>
      <c r="I1380" s="19" t="str">
        <f>IFERROR(VLOOKUP(H1380,케이블트레이입.출고현황!Y1383:AD1458,2,0),"")</f>
        <v/>
      </c>
      <c r="J1380" s="9">
        <v>1</v>
      </c>
      <c r="K1380" s="9"/>
      <c r="L1380" s="37"/>
      <c r="M1380" s="64"/>
      <c r="N1380" s="4"/>
    </row>
    <row r="1381" spans="1:14" ht="24" customHeight="1">
      <c r="A1381" s="8">
        <v>1341</v>
      </c>
      <c r="B1381" s="9">
        <v>1341</v>
      </c>
      <c r="C1381" s="46"/>
      <c r="D1381" s="9"/>
      <c r="E1381" s="19" t="str">
        <f>IFERROR(VLOOKUP(D1381,케이블트레이입.출고현황!U1384:Z1459,2,0),"")</f>
        <v/>
      </c>
      <c r="F1381" s="19" t="str">
        <f>IFERROR(VLOOKUP(E1381,케이블트레이입.출고현황!V1384:AA1459,2,0),"")</f>
        <v/>
      </c>
      <c r="G1381" s="19" t="str">
        <f>IFERROR(VLOOKUP(F1381,케이블트레이입.출고현황!W1384:AB1459,2,0),"")</f>
        <v/>
      </c>
      <c r="H1381" s="19" t="str">
        <f>IFERROR(VLOOKUP(G1381,케이블트레이입.출고현황!X1384:AC1459,2,0),"")</f>
        <v/>
      </c>
      <c r="I1381" s="19" t="str">
        <f>IFERROR(VLOOKUP(H1381,케이블트레이입.출고현황!Y1384:AD1459,2,0),"")</f>
        <v/>
      </c>
      <c r="J1381" s="9">
        <v>1</v>
      </c>
      <c r="K1381" s="9"/>
      <c r="L1381" s="37"/>
      <c r="M1381" s="64"/>
      <c r="N1381" s="4"/>
    </row>
    <row r="1382" spans="1:14" ht="24" customHeight="1">
      <c r="A1382" s="8">
        <v>1342</v>
      </c>
      <c r="B1382" s="9">
        <v>1342</v>
      </c>
      <c r="C1382" s="46"/>
      <c r="D1382" s="9"/>
      <c r="E1382" s="19" t="str">
        <f>IFERROR(VLOOKUP(D1382,케이블트레이입.출고현황!U1385:Z1460,2,0),"")</f>
        <v/>
      </c>
      <c r="F1382" s="19" t="str">
        <f>IFERROR(VLOOKUP(E1382,케이블트레이입.출고현황!V1385:AA1460,2,0),"")</f>
        <v/>
      </c>
      <c r="G1382" s="19" t="str">
        <f>IFERROR(VLOOKUP(F1382,케이블트레이입.출고현황!W1385:AB1460,2,0),"")</f>
        <v/>
      </c>
      <c r="H1382" s="19" t="str">
        <f>IFERROR(VLOOKUP(G1382,케이블트레이입.출고현황!X1385:AC1460,2,0),"")</f>
        <v/>
      </c>
      <c r="I1382" s="19" t="str">
        <f>IFERROR(VLOOKUP(H1382,케이블트레이입.출고현황!Y1385:AD1460,2,0),"")</f>
        <v/>
      </c>
      <c r="J1382" s="9">
        <v>3</v>
      </c>
      <c r="K1382" s="9"/>
      <c r="L1382" s="37"/>
      <c r="M1382" s="64"/>
      <c r="N1382" s="4"/>
    </row>
    <row r="1383" spans="1:14" ht="24" customHeight="1">
      <c r="A1383" s="8">
        <v>1343</v>
      </c>
      <c r="B1383" s="9">
        <v>1343</v>
      </c>
      <c r="C1383" s="46"/>
      <c r="D1383" s="9"/>
      <c r="E1383" s="19" t="str">
        <f>IFERROR(VLOOKUP(D1383,케이블트레이입.출고현황!U1386:Z1461,2,0),"")</f>
        <v/>
      </c>
      <c r="F1383" s="19" t="str">
        <f>IFERROR(VLOOKUP(E1383,케이블트레이입.출고현황!V1386:AA1461,2,0),"")</f>
        <v/>
      </c>
      <c r="G1383" s="19" t="str">
        <f>IFERROR(VLOOKUP(F1383,케이블트레이입.출고현황!W1386:AB1461,2,0),"")</f>
        <v/>
      </c>
      <c r="H1383" s="19" t="str">
        <f>IFERROR(VLOOKUP(G1383,케이블트레이입.출고현황!X1386:AC1461,2,0),"")</f>
        <v/>
      </c>
      <c r="I1383" s="19" t="str">
        <f>IFERROR(VLOOKUP(H1383,케이블트레이입.출고현황!Y1386:AD1461,2,0),"")</f>
        <v/>
      </c>
      <c r="J1383" s="9">
        <v>2</v>
      </c>
      <c r="K1383" s="9"/>
      <c r="L1383" s="37"/>
      <c r="M1383" s="64"/>
      <c r="N1383" s="4"/>
    </row>
    <row r="1384" spans="1:14" ht="24" customHeight="1">
      <c r="A1384" s="8">
        <v>1344</v>
      </c>
      <c r="B1384" s="9">
        <v>1344</v>
      </c>
      <c r="C1384" s="46"/>
      <c r="D1384" s="9"/>
      <c r="E1384" s="19" t="str">
        <f>IFERROR(VLOOKUP(D1384,케이블트레이입.출고현황!U1387:Z1462,2,0),"")</f>
        <v/>
      </c>
      <c r="F1384" s="19" t="str">
        <f>IFERROR(VLOOKUP(E1384,케이블트레이입.출고현황!V1387:AA1462,2,0),"")</f>
        <v/>
      </c>
      <c r="G1384" s="19" t="str">
        <f>IFERROR(VLOOKUP(F1384,케이블트레이입.출고현황!W1387:AB1462,2,0),"")</f>
        <v/>
      </c>
      <c r="H1384" s="19" t="str">
        <f>IFERROR(VLOOKUP(G1384,케이블트레이입.출고현황!X1387:AC1462,2,0),"")</f>
        <v/>
      </c>
      <c r="I1384" s="19" t="str">
        <f>IFERROR(VLOOKUP(H1384,케이블트레이입.출고현황!Y1387:AD1462,2,0),"")</f>
        <v/>
      </c>
      <c r="J1384" s="9">
        <v>1</v>
      </c>
      <c r="K1384" s="9"/>
      <c r="L1384" s="37"/>
      <c r="M1384" s="64"/>
      <c r="N1384" s="4"/>
    </row>
    <row r="1385" spans="1:14" ht="24" customHeight="1">
      <c r="A1385" s="8">
        <v>1345</v>
      </c>
      <c r="B1385" s="9">
        <v>1345</v>
      </c>
      <c r="C1385" s="46"/>
      <c r="D1385" s="9"/>
      <c r="E1385" s="19" t="str">
        <f>IFERROR(VLOOKUP(D1385,케이블트레이입.출고현황!U1388:Z1463,2,0),"")</f>
        <v/>
      </c>
      <c r="F1385" s="19" t="str">
        <f>IFERROR(VLOOKUP(E1385,케이블트레이입.출고현황!V1388:AA1463,2,0),"")</f>
        <v/>
      </c>
      <c r="G1385" s="19" t="str">
        <f>IFERROR(VLOOKUP(F1385,케이블트레이입.출고현황!W1388:AB1463,2,0),"")</f>
        <v/>
      </c>
      <c r="H1385" s="19" t="str">
        <f>IFERROR(VLOOKUP(G1385,케이블트레이입.출고현황!X1388:AC1463,2,0),"")</f>
        <v/>
      </c>
      <c r="I1385" s="19" t="str">
        <f>IFERROR(VLOOKUP(H1385,케이블트레이입.출고현황!Y1388:AD1463,2,0),"")</f>
        <v/>
      </c>
      <c r="J1385" s="9">
        <v>2</v>
      </c>
      <c r="K1385" s="9"/>
      <c r="L1385" s="37"/>
      <c r="M1385" s="64"/>
      <c r="N1385" s="4"/>
    </row>
    <row r="1386" spans="1:14" ht="24" customHeight="1">
      <c r="A1386" s="8">
        <v>1346</v>
      </c>
      <c r="B1386" s="9">
        <v>1346</v>
      </c>
      <c r="C1386" s="46"/>
      <c r="D1386" s="9"/>
      <c r="E1386" s="19" t="str">
        <f>IFERROR(VLOOKUP(D1386,케이블트레이입.출고현황!U1389:Z1464,2,0),"")</f>
        <v/>
      </c>
      <c r="F1386" s="19" t="str">
        <f>IFERROR(VLOOKUP(E1386,케이블트레이입.출고현황!V1389:AA1464,2,0),"")</f>
        <v/>
      </c>
      <c r="G1386" s="19" t="str">
        <f>IFERROR(VLOOKUP(F1386,케이블트레이입.출고현황!W1389:AB1464,2,0),"")</f>
        <v/>
      </c>
      <c r="H1386" s="19" t="str">
        <f>IFERROR(VLOOKUP(G1386,케이블트레이입.출고현황!X1389:AC1464,2,0),"")</f>
        <v/>
      </c>
      <c r="I1386" s="19" t="str">
        <f>IFERROR(VLOOKUP(H1386,케이블트레이입.출고현황!Y1389:AD1464,2,0),"")</f>
        <v/>
      </c>
      <c r="J1386" s="9">
        <v>4</v>
      </c>
      <c r="K1386" s="9"/>
      <c r="L1386" s="37"/>
      <c r="M1386" s="64"/>
      <c r="N1386" s="4"/>
    </row>
    <row r="1387" spans="1:14" ht="24" customHeight="1">
      <c r="A1387" s="8">
        <v>1347</v>
      </c>
      <c r="B1387" s="9">
        <v>1347</v>
      </c>
      <c r="C1387" s="46"/>
      <c r="D1387" s="9"/>
      <c r="E1387" s="19" t="str">
        <f>IFERROR(VLOOKUP(D1387,케이블트레이입.출고현황!U1390:Z1465,2,0),"")</f>
        <v/>
      </c>
      <c r="F1387" s="19" t="str">
        <f>IFERROR(VLOOKUP(E1387,케이블트레이입.출고현황!V1390:AA1465,2,0),"")</f>
        <v/>
      </c>
      <c r="G1387" s="19" t="str">
        <f>IFERROR(VLOOKUP(F1387,케이블트레이입.출고현황!W1390:AB1465,2,0),"")</f>
        <v/>
      </c>
      <c r="H1387" s="19" t="str">
        <f>IFERROR(VLOOKUP(G1387,케이블트레이입.출고현황!X1390:AC1465,2,0),"")</f>
        <v/>
      </c>
      <c r="I1387" s="19" t="str">
        <f>IFERROR(VLOOKUP(H1387,케이블트레이입.출고현황!Y1390:AD1465,2,0),"")</f>
        <v/>
      </c>
      <c r="J1387" s="9">
        <v>2</v>
      </c>
      <c r="K1387" s="9"/>
      <c r="L1387" s="37"/>
      <c r="M1387" s="64"/>
      <c r="N1387" s="4"/>
    </row>
    <row r="1388" spans="1:14" ht="24" customHeight="1">
      <c r="A1388" s="8">
        <v>1348</v>
      </c>
      <c r="B1388" s="9">
        <v>1348</v>
      </c>
      <c r="C1388" s="46"/>
      <c r="D1388" s="9"/>
      <c r="E1388" s="19" t="str">
        <f>IFERROR(VLOOKUP(D1388,케이블트레이입.출고현황!U1391:Z1466,2,0),"")</f>
        <v/>
      </c>
      <c r="F1388" s="19" t="str">
        <f>IFERROR(VLOOKUP(E1388,케이블트레이입.출고현황!V1391:AA1466,2,0),"")</f>
        <v/>
      </c>
      <c r="G1388" s="19" t="str">
        <f>IFERROR(VLOOKUP(F1388,케이블트레이입.출고현황!W1391:AB1466,2,0),"")</f>
        <v/>
      </c>
      <c r="H1388" s="19" t="str">
        <f>IFERROR(VLOOKUP(G1388,케이블트레이입.출고현황!X1391:AC1466,2,0),"")</f>
        <v/>
      </c>
      <c r="I1388" s="19" t="str">
        <f>IFERROR(VLOOKUP(H1388,케이블트레이입.출고현황!Y1391:AD1466,2,0),"")</f>
        <v/>
      </c>
      <c r="J1388" s="9">
        <v>3</v>
      </c>
      <c r="K1388" s="9"/>
      <c r="L1388" s="37"/>
      <c r="M1388" s="64"/>
      <c r="N1388" s="4"/>
    </row>
    <row r="1389" spans="1:14" ht="24" customHeight="1">
      <c r="A1389" s="8">
        <v>1349</v>
      </c>
      <c r="B1389" s="9">
        <v>1349</v>
      </c>
      <c r="C1389" s="46"/>
      <c r="D1389" s="9"/>
      <c r="E1389" s="19" t="str">
        <f>IFERROR(VLOOKUP(D1389,케이블트레이입.출고현황!U1392:Z1467,2,0),"")</f>
        <v/>
      </c>
      <c r="F1389" s="19" t="str">
        <f>IFERROR(VLOOKUP(E1389,케이블트레이입.출고현황!V1392:AA1467,2,0),"")</f>
        <v/>
      </c>
      <c r="G1389" s="19" t="str">
        <f>IFERROR(VLOOKUP(F1389,케이블트레이입.출고현황!W1392:AB1467,2,0),"")</f>
        <v/>
      </c>
      <c r="H1389" s="19" t="str">
        <f>IFERROR(VLOOKUP(G1389,케이블트레이입.출고현황!X1392:AC1467,2,0),"")</f>
        <v/>
      </c>
      <c r="I1389" s="19" t="str">
        <f>IFERROR(VLOOKUP(H1389,케이블트레이입.출고현황!Y1392:AD1467,2,0),"")</f>
        <v/>
      </c>
      <c r="J1389" s="9">
        <v>2</v>
      </c>
      <c r="K1389" s="9"/>
      <c r="L1389" s="37"/>
      <c r="M1389" s="64"/>
      <c r="N1389" s="4"/>
    </row>
    <row r="1390" spans="1:14" ht="24" customHeight="1">
      <c r="A1390" s="8">
        <v>1350</v>
      </c>
      <c r="B1390" s="9">
        <v>1350</v>
      </c>
      <c r="C1390" s="46"/>
      <c r="D1390" s="9"/>
      <c r="E1390" s="19" t="str">
        <f>IFERROR(VLOOKUP(D1390,케이블트레이입.출고현황!U1393:Z1468,2,0),"")</f>
        <v/>
      </c>
      <c r="F1390" s="19" t="str">
        <f>IFERROR(VLOOKUP(E1390,케이블트레이입.출고현황!V1393:AA1468,2,0),"")</f>
        <v/>
      </c>
      <c r="G1390" s="19" t="str">
        <f>IFERROR(VLOOKUP(F1390,케이블트레이입.출고현황!W1393:AB1468,2,0),"")</f>
        <v/>
      </c>
      <c r="H1390" s="19" t="str">
        <f>IFERROR(VLOOKUP(G1390,케이블트레이입.출고현황!X1393:AC1468,2,0),"")</f>
        <v/>
      </c>
      <c r="I1390" s="19" t="str">
        <f>IFERROR(VLOOKUP(H1390,케이블트레이입.출고현황!Y1393:AD1468,2,0),"")</f>
        <v/>
      </c>
      <c r="J1390" s="9">
        <v>1</v>
      </c>
      <c r="K1390" s="9"/>
      <c r="L1390" s="37"/>
      <c r="M1390" s="64"/>
      <c r="N1390" s="4"/>
    </row>
    <row r="1391" spans="1:14" ht="24" customHeight="1">
      <c r="A1391" s="8">
        <v>1351</v>
      </c>
      <c r="B1391" s="9">
        <v>1351</v>
      </c>
      <c r="C1391" s="46"/>
      <c r="D1391" s="9"/>
      <c r="E1391" s="19" t="str">
        <f>IFERROR(VLOOKUP(D1391,케이블트레이입.출고현황!U1394:Z1469,2,0),"")</f>
        <v/>
      </c>
      <c r="F1391" s="19" t="str">
        <f>IFERROR(VLOOKUP(E1391,케이블트레이입.출고현황!V1394:AA1469,2,0),"")</f>
        <v/>
      </c>
      <c r="G1391" s="19" t="str">
        <f>IFERROR(VLOOKUP(F1391,케이블트레이입.출고현황!W1394:AB1469,2,0),"")</f>
        <v/>
      </c>
      <c r="H1391" s="19" t="str">
        <f>IFERROR(VLOOKUP(G1391,케이블트레이입.출고현황!X1394:AC1469,2,0),"")</f>
        <v/>
      </c>
      <c r="I1391" s="19" t="str">
        <f>IFERROR(VLOOKUP(H1391,케이블트레이입.출고현황!Y1394:AD1469,2,0),"")</f>
        <v/>
      </c>
      <c r="J1391" s="9">
        <v>2</v>
      </c>
      <c r="K1391" s="9"/>
      <c r="L1391" s="37"/>
      <c r="M1391" s="64"/>
      <c r="N1391" s="4"/>
    </row>
    <row r="1392" spans="1:14" ht="24" customHeight="1">
      <c r="A1392" s="8">
        <v>1352</v>
      </c>
      <c r="B1392" s="9">
        <v>1352</v>
      </c>
      <c r="C1392" s="46"/>
      <c r="D1392" s="9"/>
      <c r="E1392" s="19" t="str">
        <f>IFERROR(VLOOKUP(D1392,케이블트레이입.출고현황!U1395:Z1470,2,0),"")</f>
        <v/>
      </c>
      <c r="F1392" s="19" t="str">
        <f>IFERROR(VLOOKUP(E1392,케이블트레이입.출고현황!V1395:AA1470,2,0),"")</f>
        <v/>
      </c>
      <c r="G1392" s="19" t="str">
        <f>IFERROR(VLOOKUP(F1392,케이블트레이입.출고현황!W1395:AB1470,2,0),"")</f>
        <v/>
      </c>
      <c r="H1392" s="19" t="str">
        <f>IFERROR(VLOOKUP(G1392,케이블트레이입.출고현황!X1395:AC1470,2,0),"")</f>
        <v/>
      </c>
      <c r="I1392" s="19" t="str">
        <f>IFERROR(VLOOKUP(H1392,케이블트레이입.출고현황!Y1395:AD1470,2,0),"")</f>
        <v/>
      </c>
      <c r="J1392" s="9">
        <v>4</v>
      </c>
      <c r="K1392" s="9"/>
      <c r="L1392" s="37"/>
      <c r="M1392" s="64"/>
      <c r="N1392" s="4"/>
    </row>
    <row r="1393" spans="1:14" ht="24" customHeight="1">
      <c r="A1393" s="8">
        <v>1353</v>
      </c>
      <c r="B1393" s="9">
        <v>1353</v>
      </c>
      <c r="C1393" s="46"/>
      <c r="D1393" s="9"/>
      <c r="E1393" s="19" t="str">
        <f>IFERROR(VLOOKUP(D1393,케이블트레이입.출고현황!U1396:Z1471,2,0),"")</f>
        <v/>
      </c>
      <c r="F1393" s="19" t="str">
        <f>IFERROR(VLOOKUP(E1393,케이블트레이입.출고현황!V1396:AA1471,2,0),"")</f>
        <v/>
      </c>
      <c r="G1393" s="19" t="str">
        <f>IFERROR(VLOOKUP(F1393,케이블트레이입.출고현황!W1396:AB1471,2,0),"")</f>
        <v/>
      </c>
      <c r="H1393" s="19" t="str">
        <f>IFERROR(VLOOKUP(G1393,케이블트레이입.출고현황!X1396:AC1471,2,0),"")</f>
        <v/>
      </c>
      <c r="I1393" s="19" t="str">
        <f>IFERROR(VLOOKUP(H1393,케이블트레이입.출고현황!Y1396:AD1471,2,0),"")</f>
        <v/>
      </c>
      <c r="J1393" s="9">
        <v>2</v>
      </c>
      <c r="K1393" s="9"/>
      <c r="L1393" s="37"/>
      <c r="M1393" s="64"/>
      <c r="N1393" s="4"/>
    </row>
    <row r="1394" spans="1:14" ht="24" customHeight="1">
      <c r="A1394" s="8">
        <v>1354</v>
      </c>
      <c r="B1394" s="9">
        <v>1354</v>
      </c>
      <c r="C1394" s="46"/>
      <c r="D1394" s="9"/>
      <c r="E1394" s="19" t="str">
        <f>IFERROR(VLOOKUP(D1394,케이블트레이입.출고현황!U1397:Z1472,2,0),"")</f>
        <v/>
      </c>
      <c r="F1394" s="19" t="str">
        <f>IFERROR(VLOOKUP(E1394,케이블트레이입.출고현황!V1397:AA1472,2,0),"")</f>
        <v/>
      </c>
      <c r="G1394" s="19" t="str">
        <f>IFERROR(VLOOKUP(F1394,케이블트레이입.출고현황!W1397:AB1472,2,0),"")</f>
        <v/>
      </c>
      <c r="H1394" s="19" t="str">
        <f>IFERROR(VLOOKUP(G1394,케이블트레이입.출고현황!X1397:AC1472,2,0),"")</f>
        <v/>
      </c>
      <c r="I1394" s="19" t="str">
        <f>IFERROR(VLOOKUP(H1394,케이블트레이입.출고현황!Y1397:AD1472,2,0),"")</f>
        <v/>
      </c>
      <c r="J1394" s="9">
        <v>3</v>
      </c>
      <c r="K1394" s="9"/>
      <c r="L1394" s="37"/>
      <c r="M1394" s="64"/>
      <c r="N1394" s="4"/>
    </row>
    <row r="1395" spans="1:14" ht="24" customHeight="1">
      <c r="A1395" s="8">
        <v>1355</v>
      </c>
      <c r="B1395" s="9">
        <v>1355</v>
      </c>
      <c r="C1395" s="46"/>
      <c r="D1395" s="9"/>
      <c r="E1395" s="19" t="str">
        <f>IFERROR(VLOOKUP(D1395,케이블트레이입.출고현황!U1398:Z1473,2,0),"")</f>
        <v/>
      </c>
      <c r="F1395" s="19" t="str">
        <f>IFERROR(VLOOKUP(E1395,케이블트레이입.출고현황!V1398:AA1473,2,0),"")</f>
        <v/>
      </c>
      <c r="G1395" s="19" t="str">
        <f>IFERROR(VLOOKUP(F1395,케이블트레이입.출고현황!W1398:AB1473,2,0),"")</f>
        <v/>
      </c>
      <c r="H1395" s="19" t="str">
        <f>IFERROR(VLOOKUP(G1395,케이블트레이입.출고현황!X1398:AC1473,2,0),"")</f>
        <v/>
      </c>
      <c r="I1395" s="19" t="str">
        <f>IFERROR(VLOOKUP(H1395,케이블트레이입.출고현황!Y1398:AD1473,2,0),"")</f>
        <v/>
      </c>
      <c r="J1395" s="9">
        <v>1</v>
      </c>
      <c r="K1395" s="9"/>
      <c r="L1395" s="37"/>
      <c r="M1395" s="64"/>
      <c r="N1395" s="4"/>
    </row>
    <row r="1396" spans="1:14" ht="24" customHeight="1">
      <c r="A1396" s="8">
        <v>1356</v>
      </c>
      <c r="B1396" s="9">
        <v>1356</v>
      </c>
      <c r="C1396" s="46"/>
      <c r="D1396" s="9"/>
      <c r="E1396" s="19" t="str">
        <f>IFERROR(VLOOKUP(D1396,케이블트레이입.출고현황!U1399:Z1474,2,0),"")</f>
        <v/>
      </c>
      <c r="F1396" s="19" t="str">
        <f>IFERROR(VLOOKUP(E1396,케이블트레이입.출고현황!V1399:AA1474,2,0),"")</f>
        <v/>
      </c>
      <c r="G1396" s="19" t="str">
        <f>IFERROR(VLOOKUP(F1396,케이블트레이입.출고현황!W1399:AB1474,2,0),"")</f>
        <v/>
      </c>
      <c r="H1396" s="19" t="str">
        <f>IFERROR(VLOOKUP(G1396,케이블트레이입.출고현황!X1399:AC1474,2,0),"")</f>
        <v/>
      </c>
      <c r="I1396" s="19" t="str">
        <f>IFERROR(VLOOKUP(H1396,케이블트레이입.출고현황!Y1399:AD1474,2,0),"")</f>
        <v/>
      </c>
      <c r="J1396" s="9">
        <v>1</v>
      </c>
      <c r="K1396" s="9"/>
      <c r="L1396" s="37"/>
      <c r="M1396" s="64"/>
      <c r="N1396" s="4"/>
    </row>
    <row r="1397" spans="1:14" ht="24" customHeight="1">
      <c r="A1397" s="8">
        <v>1357</v>
      </c>
      <c r="B1397" s="9">
        <v>1357</v>
      </c>
      <c r="C1397" s="46"/>
      <c r="D1397" s="9"/>
      <c r="E1397" s="19" t="str">
        <f>IFERROR(VLOOKUP(D1397,케이블트레이입.출고현황!U1400:Z1475,2,0),"")</f>
        <v/>
      </c>
      <c r="F1397" s="19" t="str">
        <f>IFERROR(VLOOKUP(E1397,케이블트레이입.출고현황!V1400:AA1475,2,0),"")</f>
        <v/>
      </c>
      <c r="G1397" s="19" t="str">
        <f>IFERROR(VLOOKUP(F1397,케이블트레이입.출고현황!W1400:AB1475,2,0),"")</f>
        <v/>
      </c>
      <c r="H1397" s="19" t="str">
        <f>IFERROR(VLOOKUP(G1397,케이블트레이입.출고현황!X1400:AC1475,2,0),"")</f>
        <v/>
      </c>
      <c r="I1397" s="19" t="str">
        <f>IFERROR(VLOOKUP(H1397,케이블트레이입.출고현황!Y1400:AD1475,2,0),"")</f>
        <v/>
      </c>
      <c r="J1397" s="9">
        <v>2</v>
      </c>
      <c r="K1397" s="9"/>
      <c r="L1397" s="37"/>
      <c r="M1397" s="64"/>
      <c r="N1397" s="4"/>
    </row>
    <row r="1398" spans="1:14" ht="24" customHeight="1">
      <c r="A1398" s="8">
        <v>1358</v>
      </c>
      <c r="B1398" s="9">
        <v>1358</v>
      </c>
      <c r="C1398" s="46"/>
      <c r="D1398" s="9"/>
      <c r="E1398" s="19" t="str">
        <f>IFERROR(VLOOKUP(D1398,케이블트레이입.출고현황!U1401:Z1476,2,0),"")</f>
        <v/>
      </c>
      <c r="F1398" s="19" t="str">
        <f>IFERROR(VLOOKUP(E1398,케이블트레이입.출고현황!V1401:AA1476,2,0),"")</f>
        <v/>
      </c>
      <c r="G1398" s="19" t="str">
        <f>IFERROR(VLOOKUP(F1398,케이블트레이입.출고현황!W1401:AB1476,2,0),"")</f>
        <v/>
      </c>
      <c r="H1398" s="19" t="str">
        <f>IFERROR(VLOOKUP(G1398,케이블트레이입.출고현황!X1401:AC1476,2,0),"")</f>
        <v/>
      </c>
      <c r="I1398" s="19" t="str">
        <f>IFERROR(VLOOKUP(H1398,케이블트레이입.출고현황!Y1401:AD1476,2,0),"")</f>
        <v/>
      </c>
      <c r="J1398" s="9">
        <v>4</v>
      </c>
      <c r="K1398" s="9"/>
      <c r="L1398" s="37"/>
      <c r="M1398" s="64"/>
      <c r="N1398" s="4"/>
    </row>
    <row r="1399" spans="1:14" ht="24" customHeight="1">
      <c r="A1399" s="8">
        <v>1319</v>
      </c>
      <c r="B1399" s="9">
        <v>1319</v>
      </c>
      <c r="C1399" s="46"/>
      <c r="D1399" s="9"/>
      <c r="E1399" s="19" t="str">
        <f>IFERROR(VLOOKUP(D1399,케이블트레이입.출고현황!U1402:Z1477,2,0),"")</f>
        <v/>
      </c>
      <c r="F1399" s="19" t="str">
        <f>IFERROR(VLOOKUP(E1399,케이블트레이입.출고현황!V1402:AA1477,2,0),"")</f>
        <v/>
      </c>
      <c r="G1399" s="19" t="str">
        <f>IFERROR(VLOOKUP(F1399,케이블트레이입.출고현황!W1402:AB1477,2,0),"")</f>
        <v/>
      </c>
      <c r="H1399" s="19" t="str">
        <f>IFERROR(VLOOKUP(G1399,케이블트레이입.출고현황!X1402:AC1477,2,0),"")</f>
        <v/>
      </c>
      <c r="I1399" s="19" t="str">
        <f>IFERROR(VLOOKUP(H1399,케이블트레이입.출고현황!Y1402:AD1477,2,0),"")</f>
        <v/>
      </c>
      <c r="J1399" s="9">
        <v>2</v>
      </c>
      <c r="K1399" s="9"/>
      <c r="L1399" s="37"/>
      <c r="M1399" s="64"/>
      <c r="N1399" s="4"/>
    </row>
    <row r="1400" spans="1:14" ht="24" customHeight="1">
      <c r="A1400" s="8">
        <v>1320</v>
      </c>
      <c r="B1400" s="9">
        <v>1320</v>
      </c>
      <c r="C1400" s="46"/>
      <c r="D1400" s="9"/>
      <c r="E1400" s="19" t="str">
        <f>IFERROR(VLOOKUP(D1400,케이블트레이입.출고현황!U1403:Z1478,2,0),"")</f>
        <v/>
      </c>
      <c r="F1400" s="19" t="str">
        <f>IFERROR(VLOOKUP(E1400,케이블트레이입.출고현황!V1403:AA1478,2,0),"")</f>
        <v/>
      </c>
      <c r="G1400" s="19" t="str">
        <f>IFERROR(VLOOKUP(F1400,케이블트레이입.출고현황!W1403:AB1478,2,0),"")</f>
        <v/>
      </c>
      <c r="H1400" s="19" t="str">
        <f>IFERROR(VLOOKUP(G1400,케이블트레이입.출고현황!X1403:AC1478,2,0),"")</f>
        <v/>
      </c>
      <c r="I1400" s="19" t="str">
        <f>IFERROR(VLOOKUP(H1400,케이블트레이입.출고현황!Y1403:AD1478,2,0),"")</f>
        <v/>
      </c>
      <c r="J1400" s="9">
        <v>4</v>
      </c>
      <c r="K1400" s="9"/>
      <c r="L1400" s="37"/>
      <c r="M1400" s="64"/>
      <c r="N1400" s="4"/>
    </row>
    <row r="1401" spans="1:14" ht="24" customHeight="1">
      <c r="A1401" s="8">
        <v>1321</v>
      </c>
      <c r="B1401" s="9">
        <v>1321</v>
      </c>
      <c r="C1401" s="46"/>
      <c r="D1401" s="9"/>
      <c r="E1401" s="19" t="str">
        <f>IFERROR(VLOOKUP(D1401,케이블트레이입.출고현황!U1404:Z1479,2,0),"")</f>
        <v/>
      </c>
      <c r="F1401" s="19" t="str">
        <f>IFERROR(VLOOKUP(E1401,케이블트레이입.출고현황!V1404:AA1479,2,0),"")</f>
        <v/>
      </c>
      <c r="G1401" s="19" t="str">
        <f>IFERROR(VLOOKUP(F1401,케이블트레이입.출고현황!W1404:AB1479,2,0),"")</f>
        <v/>
      </c>
      <c r="H1401" s="19" t="str">
        <f>IFERROR(VLOOKUP(G1401,케이블트레이입.출고현황!X1404:AC1479,2,0),"")</f>
        <v/>
      </c>
      <c r="I1401" s="19" t="str">
        <f>IFERROR(VLOOKUP(H1401,케이블트레이입.출고현황!Y1404:AD1479,2,0),"")</f>
        <v/>
      </c>
      <c r="J1401" s="9">
        <v>4</v>
      </c>
      <c r="K1401" s="9"/>
      <c r="L1401" s="37"/>
      <c r="M1401" s="64"/>
      <c r="N1401" s="4"/>
    </row>
    <row r="1402" spans="1:14" ht="24" customHeight="1">
      <c r="A1402" s="8">
        <v>1322</v>
      </c>
      <c r="B1402" s="9">
        <v>1322</v>
      </c>
      <c r="C1402" s="46"/>
      <c r="D1402" s="9"/>
      <c r="E1402" s="19" t="str">
        <f>IFERROR(VLOOKUP(D1402,케이블트레이입.출고현황!U1405:Z1480,2,0),"")</f>
        <v/>
      </c>
      <c r="F1402" s="19" t="str">
        <f>IFERROR(VLOOKUP(E1402,케이블트레이입.출고현황!V1405:AA1480,2,0),"")</f>
        <v/>
      </c>
      <c r="G1402" s="19" t="str">
        <f>IFERROR(VLOOKUP(F1402,케이블트레이입.출고현황!W1405:AB1480,2,0),"")</f>
        <v/>
      </c>
      <c r="H1402" s="19" t="str">
        <f>IFERROR(VLOOKUP(G1402,케이블트레이입.출고현황!X1405:AC1480,2,0),"")</f>
        <v/>
      </c>
      <c r="I1402" s="19" t="str">
        <f>IFERROR(VLOOKUP(H1402,케이블트레이입.출고현황!Y1405:AD1480,2,0),"")</f>
        <v/>
      </c>
      <c r="J1402" s="9">
        <v>1</v>
      </c>
      <c r="K1402" s="9"/>
      <c r="L1402" s="37"/>
      <c r="M1402" s="64"/>
      <c r="N1402" s="4"/>
    </row>
    <row r="1403" spans="1:14" ht="24" customHeight="1">
      <c r="A1403" s="8">
        <v>1323</v>
      </c>
      <c r="B1403" s="9">
        <v>1323</v>
      </c>
      <c r="C1403" s="46"/>
      <c r="D1403" s="9"/>
      <c r="E1403" s="19" t="str">
        <f>IFERROR(VLOOKUP(D1403,케이블트레이입.출고현황!U1406:Z1481,2,0),"")</f>
        <v/>
      </c>
      <c r="F1403" s="19" t="str">
        <f>IFERROR(VLOOKUP(E1403,케이블트레이입.출고현황!V1406:AA1481,2,0),"")</f>
        <v/>
      </c>
      <c r="G1403" s="19" t="str">
        <f>IFERROR(VLOOKUP(F1403,케이블트레이입.출고현황!W1406:AB1481,2,0),"")</f>
        <v/>
      </c>
      <c r="H1403" s="19" t="str">
        <f>IFERROR(VLOOKUP(G1403,케이블트레이입.출고현황!X1406:AC1481,2,0),"")</f>
        <v/>
      </c>
      <c r="I1403" s="19" t="str">
        <f>IFERROR(VLOOKUP(H1403,케이블트레이입.출고현황!Y1406:AD1481,2,0),"")</f>
        <v/>
      </c>
      <c r="J1403" s="9">
        <v>1</v>
      </c>
      <c r="K1403" s="9"/>
      <c r="L1403" s="37"/>
      <c r="M1403" s="64"/>
      <c r="N1403" s="4"/>
    </row>
    <row r="1404" spans="1:14" ht="24" customHeight="1">
      <c r="A1404" s="8">
        <v>1324</v>
      </c>
      <c r="B1404" s="9">
        <v>1324</v>
      </c>
      <c r="C1404" s="46"/>
      <c r="D1404" s="9"/>
      <c r="E1404" s="19" t="str">
        <f>IFERROR(VLOOKUP(D1404,케이블트레이입.출고현황!U1407:Z1482,2,0),"")</f>
        <v/>
      </c>
      <c r="F1404" s="19" t="str">
        <f>IFERROR(VLOOKUP(E1404,케이블트레이입.출고현황!V1407:AA1482,2,0),"")</f>
        <v/>
      </c>
      <c r="G1404" s="19" t="str">
        <f>IFERROR(VLOOKUP(F1404,케이블트레이입.출고현황!W1407:AB1482,2,0),"")</f>
        <v/>
      </c>
      <c r="H1404" s="19" t="str">
        <f>IFERROR(VLOOKUP(G1404,케이블트레이입.출고현황!X1407:AC1482,2,0),"")</f>
        <v/>
      </c>
      <c r="I1404" s="19" t="str">
        <f>IFERROR(VLOOKUP(H1404,케이블트레이입.출고현황!Y1407:AD1482,2,0),"")</f>
        <v/>
      </c>
      <c r="J1404" s="9">
        <v>1</v>
      </c>
      <c r="K1404" s="9"/>
      <c r="L1404" s="37"/>
      <c r="M1404" s="64"/>
      <c r="N1404" s="4"/>
    </row>
    <row r="1405" spans="1:14" ht="24" customHeight="1">
      <c r="A1405" s="8">
        <v>1325</v>
      </c>
      <c r="B1405" s="9">
        <v>1325</v>
      </c>
      <c r="C1405" s="46"/>
      <c r="D1405" s="9"/>
      <c r="E1405" s="19" t="str">
        <f>IFERROR(VLOOKUP(D1405,케이블트레이입.출고현황!U1408:Z1483,2,0),"")</f>
        <v/>
      </c>
      <c r="F1405" s="19" t="str">
        <f>IFERROR(VLOOKUP(E1405,케이블트레이입.출고현황!V1408:AA1483,2,0),"")</f>
        <v/>
      </c>
      <c r="G1405" s="19" t="str">
        <f>IFERROR(VLOOKUP(F1405,케이블트레이입.출고현황!W1408:AB1483,2,0),"")</f>
        <v/>
      </c>
      <c r="H1405" s="19" t="str">
        <f>IFERROR(VLOOKUP(G1405,케이블트레이입.출고현황!X1408:AC1483,2,0),"")</f>
        <v/>
      </c>
      <c r="I1405" s="19" t="str">
        <f>IFERROR(VLOOKUP(H1405,케이블트레이입.출고현황!Y1408:AD1483,2,0),"")</f>
        <v/>
      </c>
      <c r="J1405" s="9">
        <v>3</v>
      </c>
      <c r="K1405" s="9"/>
      <c r="L1405" s="37"/>
      <c r="M1405" s="64"/>
      <c r="N1405" s="4"/>
    </row>
    <row r="1406" spans="1:14" ht="24" customHeight="1">
      <c r="A1406" s="8">
        <v>1326</v>
      </c>
      <c r="B1406" s="9">
        <v>1326</v>
      </c>
      <c r="C1406" s="46"/>
      <c r="D1406" s="9"/>
      <c r="E1406" s="19" t="str">
        <f>IFERROR(VLOOKUP(D1406,케이블트레이입.출고현황!U1409:Z1484,2,0),"")</f>
        <v/>
      </c>
      <c r="F1406" s="19" t="str">
        <f>IFERROR(VLOOKUP(E1406,케이블트레이입.출고현황!V1409:AA1484,2,0),"")</f>
        <v/>
      </c>
      <c r="G1406" s="19" t="str">
        <f>IFERROR(VLOOKUP(F1406,케이블트레이입.출고현황!W1409:AB1484,2,0),"")</f>
        <v/>
      </c>
      <c r="H1406" s="19" t="str">
        <f>IFERROR(VLOOKUP(G1406,케이블트레이입.출고현황!X1409:AC1484,2,0),"")</f>
        <v/>
      </c>
      <c r="I1406" s="19" t="str">
        <f>IFERROR(VLOOKUP(H1406,케이블트레이입.출고현황!Y1409:AD1484,2,0),"")</f>
        <v/>
      </c>
      <c r="J1406" s="9">
        <v>2</v>
      </c>
      <c r="K1406" s="9"/>
      <c r="L1406" s="37"/>
      <c r="M1406" s="64"/>
      <c r="N1406" s="4"/>
    </row>
    <row r="1407" spans="1:14" ht="24" customHeight="1">
      <c r="A1407" s="8">
        <v>1327</v>
      </c>
      <c r="B1407" s="9">
        <v>1327</v>
      </c>
      <c r="C1407" s="46"/>
      <c r="D1407" s="9"/>
      <c r="E1407" s="19" t="str">
        <f>IFERROR(VLOOKUP(D1407,케이블트레이입.출고현황!U1410:Z1485,2,0),"")</f>
        <v/>
      </c>
      <c r="F1407" s="19" t="str">
        <f>IFERROR(VLOOKUP(E1407,케이블트레이입.출고현황!V1410:AA1485,2,0),"")</f>
        <v/>
      </c>
      <c r="G1407" s="19" t="str">
        <f>IFERROR(VLOOKUP(F1407,케이블트레이입.출고현황!W1410:AB1485,2,0),"")</f>
        <v/>
      </c>
      <c r="H1407" s="19" t="str">
        <f>IFERROR(VLOOKUP(G1407,케이블트레이입.출고현황!X1410:AC1485,2,0),"")</f>
        <v/>
      </c>
      <c r="I1407" s="19" t="str">
        <f>IFERROR(VLOOKUP(H1407,케이블트레이입.출고현황!Y1410:AD1485,2,0),"")</f>
        <v/>
      </c>
      <c r="J1407" s="9">
        <v>1</v>
      </c>
      <c r="K1407" s="9"/>
      <c r="L1407" s="37"/>
      <c r="M1407" s="64"/>
      <c r="N1407" s="4"/>
    </row>
    <row r="1408" spans="1:14" ht="24" customHeight="1">
      <c r="A1408" s="8">
        <v>1328</v>
      </c>
      <c r="B1408" s="9">
        <v>1328</v>
      </c>
      <c r="C1408" s="46"/>
      <c r="D1408" s="9"/>
      <c r="E1408" s="19" t="str">
        <f>IFERROR(VLOOKUP(D1408,케이블트레이입.출고현황!U1411:Z1486,2,0),"")</f>
        <v/>
      </c>
      <c r="F1408" s="19" t="str">
        <f>IFERROR(VLOOKUP(E1408,케이블트레이입.출고현황!V1411:AA1486,2,0),"")</f>
        <v/>
      </c>
      <c r="G1408" s="19" t="str">
        <f>IFERROR(VLOOKUP(F1408,케이블트레이입.출고현황!W1411:AB1486,2,0),"")</f>
        <v/>
      </c>
      <c r="H1408" s="19" t="str">
        <f>IFERROR(VLOOKUP(G1408,케이블트레이입.출고현황!X1411:AC1486,2,0),"")</f>
        <v/>
      </c>
      <c r="I1408" s="19" t="str">
        <f>IFERROR(VLOOKUP(H1408,케이블트레이입.출고현황!Y1411:AD1486,2,0),"")</f>
        <v/>
      </c>
      <c r="J1408" s="9">
        <v>1</v>
      </c>
      <c r="K1408" s="9"/>
      <c r="L1408" s="37"/>
      <c r="M1408" s="64"/>
      <c r="N1408" s="4"/>
    </row>
    <row r="1409" spans="1:14" ht="24" customHeight="1">
      <c r="A1409" s="8">
        <v>1329</v>
      </c>
      <c r="B1409" s="9">
        <v>1329</v>
      </c>
      <c r="C1409" s="46"/>
      <c r="D1409" s="9"/>
      <c r="E1409" s="19" t="str">
        <f>IFERROR(VLOOKUP(D1409,케이블트레이입.출고현황!U1412:Z1487,2,0),"")</f>
        <v/>
      </c>
      <c r="F1409" s="19" t="str">
        <f>IFERROR(VLOOKUP(E1409,케이블트레이입.출고현황!V1412:AA1487,2,0),"")</f>
        <v/>
      </c>
      <c r="G1409" s="19" t="str">
        <f>IFERROR(VLOOKUP(F1409,케이블트레이입.출고현황!W1412:AB1487,2,0),"")</f>
        <v/>
      </c>
      <c r="H1409" s="19" t="str">
        <f>IFERROR(VLOOKUP(G1409,케이블트레이입.출고현황!X1412:AC1487,2,0),"")</f>
        <v/>
      </c>
      <c r="I1409" s="19" t="str">
        <f>IFERROR(VLOOKUP(H1409,케이블트레이입.출고현황!Y1412:AD1487,2,0),"")</f>
        <v/>
      </c>
      <c r="J1409" s="9">
        <v>2</v>
      </c>
      <c r="K1409" s="9"/>
      <c r="L1409" s="37"/>
      <c r="M1409" s="64"/>
      <c r="N1409" s="4"/>
    </row>
    <row r="1410" spans="1:14" ht="24" customHeight="1">
      <c r="A1410" s="8">
        <v>1330</v>
      </c>
      <c r="B1410" s="9">
        <v>1330</v>
      </c>
      <c r="C1410" s="46"/>
      <c r="D1410" s="9"/>
      <c r="E1410" s="19" t="str">
        <f>IFERROR(VLOOKUP(D1410,케이블트레이입.출고현황!U1413:Z1488,2,0),"")</f>
        <v/>
      </c>
      <c r="F1410" s="19" t="str">
        <f>IFERROR(VLOOKUP(E1410,케이블트레이입.출고현황!V1413:AA1488,2,0),"")</f>
        <v/>
      </c>
      <c r="G1410" s="19" t="str">
        <f>IFERROR(VLOOKUP(F1410,케이블트레이입.출고현황!W1413:AB1488,2,0),"")</f>
        <v/>
      </c>
      <c r="H1410" s="19" t="str">
        <f>IFERROR(VLOOKUP(G1410,케이블트레이입.출고현황!X1413:AC1488,2,0),"")</f>
        <v/>
      </c>
      <c r="I1410" s="19" t="str">
        <f>IFERROR(VLOOKUP(H1410,케이블트레이입.출고현황!Y1413:AD1488,2,0),"")</f>
        <v/>
      </c>
      <c r="J1410" s="9">
        <v>4</v>
      </c>
      <c r="K1410" s="9"/>
      <c r="L1410" s="37"/>
      <c r="M1410" s="64"/>
      <c r="N1410" s="4"/>
    </row>
    <row r="1411" spans="1:14" ht="24" customHeight="1">
      <c r="A1411" s="8">
        <v>1331</v>
      </c>
      <c r="B1411" s="9">
        <v>1331</v>
      </c>
      <c r="C1411" s="46"/>
      <c r="D1411" s="9"/>
      <c r="E1411" s="19" t="str">
        <f>IFERROR(VLOOKUP(D1411,케이블트레이입.출고현황!U1414:Z1489,2,0),"")</f>
        <v/>
      </c>
      <c r="F1411" s="19" t="str">
        <f>IFERROR(VLOOKUP(E1411,케이블트레이입.출고현황!V1414:AA1489,2,0),"")</f>
        <v/>
      </c>
      <c r="G1411" s="19" t="str">
        <f>IFERROR(VLOOKUP(F1411,케이블트레이입.출고현황!W1414:AB1489,2,0),"")</f>
        <v/>
      </c>
      <c r="H1411" s="19" t="str">
        <f>IFERROR(VLOOKUP(G1411,케이블트레이입.출고현황!X1414:AC1489,2,0),"")</f>
        <v/>
      </c>
      <c r="I1411" s="19" t="str">
        <f>IFERROR(VLOOKUP(H1411,케이블트레이입.출고현황!Y1414:AD1489,2,0),"")</f>
        <v/>
      </c>
      <c r="J1411" s="9">
        <v>2</v>
      </c>
      <c r="K1411" s="9"/>
      <c r="L1411" s="37"/>
      <c r="M1411" s="64"/>
      <c r="N1411" s="4"/>
    </row>
    <row r="1412" spans="1:14" ht="24" customHeight="1">
      <c r="A1412" s="8">
        <v>1332</v>
      </c>
      <c r="B1412" s="9">
        <v>1332</v>
      </c>
      <c r="C1412" s="46"/>
      <c r="D1412" s="9"/>
      <c r="E1412" s="19" t="str">
        <f>IFERROR(VLOOKUP(D1412,케이블트레이입.출고현황!U1415:Z1490,2,0),"")</f>
        <v/>
      </c>
      <c r="F1412" s="19" t="str">
        <f>IFERROR(VLOOKUP(E1412,케이블트레이입.출고현황!V1415:AA1490,2,0),"")</f>
        <v/>
      </c>
      <c r="G1412" s="19" t="str">
        <f>IFERROR(VLOOKUP(F1412,케이블트레이입.출고현황!W1415:AB1490,2,0),"")</f>
        <v/>
      </c>
      <c r="H1412" s="19" t="str">
        <f>IFERROR(VLOOKUP(G1412,케이블트레이입.출고현황!X1415:AC1490,2,0),"")</f>
        <v/>
      </c>
      <c r="I1412" s="19" t="str">
        <f>IFERROR(VLOOKUP(H1412,케이블트레이입.출고현황!Y1415:AD1490,2,0),"")</f>
        <v/>
      </c>
      <c r="J1412" s="9">
        <v>3</v>
      </c>
      <c r="K1412" s="9"/>
      <c r="L1412" s="37"/>
      <c r="M1412" s="64"/>
      <c r="N1412" s="4"/>
    </row>
    <row r="1413" spans="1:14" ht="24" customHeight="1">
      <c r="A1413" s="8">
        <v>1333</v>
      </c>
      <c r="B1413" s="9">
        <v>1333</v>
      </c>
      <c r="C1413" s="46"/>
      <c r="D1413" s="9"/>
      <c r="E1413" s="19" t="str">
        <f>IFERROR(VLOOKUP(D1413,케이블트레이입.출고현황!U1416:Z1491,2,0),"")</f>
        <v/>
      </c>
      <c r="F1413" s="19" t="str">
        <f>IFERROR(VLOOKUP(E1413,케이블트레이입.출고현황!V1416:AA1491,2,0),"")</f>
        <v/>
      </c>
      <c r="G1413" s="19" t="str">
        <f>IFERROR(VLOOKUP(F1413,케이블트레이입.출고현황!W1416:AB1491,2,0),"")</f>
        <v/>
      </c>
      <c r="H1413" s="19" t="str">
        <f>IFERROR(VLOOKUP(G1413,케이블트레이입.출고현황!X1416:AC1491,2,0),"")</f>
        <v/>
      </c>
      <c r="I1413" s="19" t="str">
        <f>IFERROR(VLOOKUP(H1413,케이블트레이입.출고현황!Y1416:AD1491,2,0),"")</f>
        <v/>
      </c>
      <c r="J1413" s="9">
        <v>1</v>
      </c>
      <c r="K1413" s="9"/>
      <c r="L1413" s="37"/>
      <c r="M1413" s="64"/>
      <c r="N1413" s="4"/>
    </row>
    <row r="1414" spans="1:14" ht="24" customHeight="1">
      <c r="A1414" s="8">
        <v>1334</v>
      </c>
      <c r="B1414" s="9">
        <v>1334</v>
      </c>
      <c r="C1414" s="46"/>
      <c r="D1414" s="9"/>
      <c r="E1414" s="19" t="str">
        <f>IFERROR(VLOOKUP(D1414,케이블트레이입.출고현황!U1417:Z1492,2,0),"")</f>
        <v/>
      </c>
      <c r="F1414" s="19" t="str">
        <f>IFERROR(VLOOKUP(E1414,케이블트레이입.출고현황!V1417:AA1492,2,0),"")</f>
        <v/>
      </c>
      <c r="G1414" s="19" t="str">
        <f>IFERROR(VLOOKUP(F1414,케이블트레이입.출고현황!W1417:AB1492,2,0),"")</f>
        <v/>
      </c>
      <c r="H1414" s="19" t="str">
        <f>IFERROR(VLOOKUP(G1414,케이블트레이입.출고현황!X1417:AC1492,2,0),"")</f>
        <v/>
      </c>
      <c r="I1414" s="19" t="str">
        <f>IFERROR(VLOOKUP(H1414,케이블트레이입.출고현황!Y1417:AD1492,2,0),"")</f>
        <v/>
      </c>
      <c r="J1414" s="9">
        <v>1</v>
      </c>
      <c r="K1414" s="9"/>
      <c r="L1414" s="37"/>
      <c r="M1414" s="64"/>
      <c r="N1414" s="4"/>
    </row>
    <row r="1415" spans="1:14" ht="24" customHeight="1">
      <c r="A1415" s="8">
        <v>1335</v>
      </c>
      <c r="B1415" s="9">
        <v>1335</v>
      </c>
      <c r="C1415" s="46"/>
      <c r="D1415" s="9"/>
      <c r="E1415" s="19" t="str">
        <f>IFERROR(VLOOKUP(D1415,케이블트레이입.출고현황!U1418:Z1493,2,0),"")</f>
        <v/>
      </c>
      <c r="F1415" s="19" t="str">
        <f>IFERROR(VLOOKUP(E1415,케이블트레이입.출고현황!V1418:AA1493,2,0),"")</f>
        <v/>
      </c>
      <c r="G1415" s="19" t="str">
        <f>IFERROR(VLOOKUP(F1415,케이블트레이입.출고현황!W1418:AB1493,2,0),"")</f>
        <v/>
      </c>
      <c r="H1415" s="19" t="str">
        <f>IFERROR(VLOOKUP(G1415,케이블트레이입.출고현황!X1418:AC1493,2,0),"")</f>
        <v/>
      </c>
      <c r="I1415" s="19" t="str">
        <f>IFERROR(VLOOKUP(H1415,케이블트레이입.출고현황!Y1418:AD1493,2,0),"")</f>
        <v/>
      </c>
      <c r="J1415" s="9">
        <v>1</v>
      </c>
      <c r="K1415" s="9"/>
      <c r="L1415" s="37"/>
      <c r="M1415" s="64"/>
      <c r="N1415" s="4"/>
    </row>
    <row r="1416" spans="1:14" ht="24" customHeight="1">
      <c r="A1416" s="8">
        <v>1336</v>
      </c>
      <c r="B1416" s="9">
        <v>1336</v>
      </c>
      <c r="C1416" s="46"/>
      <c r="D1416" s="9"/>
      <c r="E1416" s="19" t="str">
        <f>IFERROR(VLOOKUP(D1416,케이블트레이입.출고현황!U1419:Z1494,2,0),"")</f>
        <v/>
      </c>
      <c r="F1416" s="19" t="str">
        <f>IFERROR(VLOOKUP(E1416,케이블트레이입.출고현황!V1419:AA1494,2,0),"")</f>
        <v/>
      </c>
      <c r="G1416" s="19" t="str">
        <f>IFERROR(VLOOKUP(F1416,케이블트레이입.출고현황!W1419:AB1494,2,0),"")</f>
        <v/>
      </c>
      <c r="H1416" s="19" t="str">
        <f>IFERROR(VLOOKUP(G1416,케이블트레이입.출고현황!X1419:AC1494,2,0),"")</f>
        <v/>
      </c>
      <c r="I1416" s="19" t="str">
        <f>IFERROR(VLOOKUP(H1416,케이블트레이입.출고현황!Y1419:AD1494,2,0),"")</f>
        <v/>
      </c>
      <c r="J1416" s="9">
        <v>1</v>
      </c>
      <c r="K1416" s="9"/>
      <c r="L1416" s="37"/>
      <c r="M1416" s="64"/>
      <c r="N1416" s="4"/>
    </row>
    <row r="1417" spans="1:14" ht="24" customHeight="1">
      <c r="A1417" s="8">
        <v>1337</v>
      </c>
      <c r="B1417" s="9">
        <v>1337</v>
      </c>
      <c r="C1417" s="46"/>
      <c r="D1417" s="9"/>
      <c r="E1417" s="19" t="str">
        <f>IFERROR(VLOOKUP(D1417,케이블트레이입.출고현황!U1420:Z1495,2,0),"")</f>
        <v/>
      </c>
      <c r="F1417" s="19" t="str">
        <f>IFERROR(VLOOKUP(E1417,케이블트레이입.출고현황!V1420:AA1495,2,0),"")</f>
        <v/>
      </c>
      <c r="G1417" s="19" t="str">
        <f>IFERROR(VLOOKUP(F1417,케이블트레이입.출고현황!W1420:AB1495,2,0),"")</f>
        <v/>
      </c>
      <c r="H1417" s="19" t="str">
        <f>IFERROR(VLOOKUP(G1417,케이블트레이입.출고현황!X1420:AC1495,2,0),"")</f>
        <v/>
      </c>
      <c r="I1417" s="19" t="str">
        <f>IFERROR(VLOOKUP(H1417,케이블트레이입.출고현황!Y1420:AD1495,2,0),"")</f>
        <v/>
      </c>
      <c r="J1417" s="9">
        <v>2</v>
      </c>
      <c r="K1417" s="9"/>
      <c r="L1417" s="37"/>
      <c r="M1417" s="64"/>
      <c r="N1417" s="4"/>
    </row>
    <row r="1418" spans="1:14" ht="24" customHeight="1">
      <c r="A1418" s="8">
        <v>1338</v>
      </c>
      <c r="B1418" s="9">
        <v>1338</v>
      </c>
      <c r="C1418" s="46"/>
      <c r="D1418" s="9"/>
      <c r="E1418" s="19" t="str">
        <f>IFERROR(VLOOKUP(D1418,케이블트레이입.출고현황!U1421:Z1496,2,0),"")</f>
        <v/>
      </c>
      <c r="F1418" s="19" t="str">
        <f>IFERROR(VLOOKUP(E1418,케이블트레이입.출고현황!V1421:AA1496,2,0),"")</f>
        <v/>
      </c>
      <c r="G1418" s="19" t="str">
        <f>IFERROR(VLOOKUP(F1418,케이블트레이입.출고현황!W1421:AB1496,2,0),"")</f>
        <v/>
      </c>
      <c r="H1418" s="19" t="str">
        <f>IFERROR(VLOOKUP(G1418,케이블트레이입.출고현황!X1421:AC1496,2,0),"")</f>
        <v/>
      </c>
      <c r="I1418" s="19" t="str">
        <f>IFERROR(VLOOKUP(H1418,케이블트레이입.출고현황!Y1421:AD1496,2,0),"")</f>
        <v/>
      </c>
      <c r="J1418" s="9">
        <v>3</v>
      </c>
      <c r="K1418" s="9"/>
      <c r="L1418" s="37"/>
      <c r="M1418" s="64"/>
      <c r="N1418" s="4"/>
    </row>
    <row r="1419" spans="1:14" ht="24" customHeight="1">
      <c r="A1419" s="8">
        <v>1339</v>
      </c>
      <c r="B1419" s="9">
        <v>1339</v>
      </c>
      <c r="C1419" s="46"/>
      <c r="D1419" s="9"/>
      <c r="E1419" s="19" t="str">
        <f>IFERROR(VLOOKUP(D1419,케이블트레이입.출고현황!U1422:Z1497,2,0),"")</f>
        <v/>
      </c>
      <c r="F1419" s="19" t="str">
        <f>IFERROR(VLOOKUP(E1419,케이블트레이입.출고현황!V1422:AA1497,2,0),"")</f>
        <v/>
      </c>
      <c r="G1419" s="19" t="str">
        <f>IFERROR(VLOOKUP(F1419,케이블트레이입.출고현황!W1422:AB1497,2,0),"")</f>
        <v/>
      </c>
      <c r="H1419" s="19" t="str">
        <f>IFERROR(VLOOKUP(G1419,케이블트레이입.출고현황!X1422:AC1497,2,0),"")</f>
        <v/>
      </c>
      <c r="I1419" s="19" t="str">
        <f>IFERROR(VLOOKUP(H1419,케이블트레이입.출고현황!Y1422:AD1497,2,0),"")</f>
        <v/>
      </c>
      <c r="J1419" s="9">
        <v>3</v>
      </c>
      <c r="K1419" s="9"/>
      <c r="L1419" s="37"/>
      <c r="M1419" s="64"/>
      <c r="N1419" s="4"/>
    </row>
    <row r="1420" spans="1:14" ht="24" customHeight="1">
      <c r="A1420" s="8">
        <v>1340</v>
      </c>
      <c r="B1420" s="9">
        <v>1340</v>
      </c>
      <c r="C1420" s="46"/>
      <c r="D1420" s="9"/>
      <c r="E1420" s="19" t="str">
        <f>IFERROR(VLOOKUP(D1420,케이블트레이입.출고현황!U1423:Z1498,2,0),"")</f>
        <v/>
      </c>
      <c r="F1420" s="19" t="str">
        <f>IFERROR(VLOOKUP(E1420,케이블트레이입.출고현황!V1423:AA1498,2,0),"")</f>
        <v/>
      </c>
      <c r="G1420" s="19" t="str">
        <f>IFERROR(VLOOKUP(F1420,케이블트레이입.출고현황!W1423:AB1498,2,0),"")</f>
        <v/>
      </c>
      <c r="H1420" s="19" t="str">
        <f>IFERROR(VLOOKUP(G1420,케이블트레이입.출고현황!X1423:AC1498,2,0),"")</f>
        <v/>
      </c>
      <c r="I1420" s="19" t="str">
        <f>IFERROR(VLOOKUP(H1420,케이블트레이입.출고현황!Y1423:AD1498,2,0),"")</f>
        <v/>
      </c>
      <c r="J1420" s="9">
        <v>1</v>
      </c>
      <c r="K1420" s="9"/>
      <c r="L1420" s="37"/>
      <c r="M1420" s="64"/>
      <c r="N1420" s="4"/>
    </row>
    <row r="1421" spans="1:14" ht="24" customHeight="1">
      <c r="A1421" s="8">
        <v>1341</v>
      </c>
      <c r="B1421" s="9">
        <v>1341</v>
      </c>
      <c r="C1421" s="46"/>
      <c r="D1421" s="9"/>
      <c r="E1421" s="19" t="str">
        <f>IFERROR(VLOOKUP(D1421,케이블트레이입.출고현황!U1424:Z1499,2,0),"")</f>
        <v/>
      </c>
      <c r="F1421" s="19" t="str">
        <f>IFERROR(VLOOKUP(E1421,케이블트레이입.출고현황!V1424:AA1499,2,0),"")</f>
        <v/>
      </c>
      <c r="G1421" s="19" t="str">
        <f>IFERROR(VLOOKUP(F1421,케이블트레이입.출고현황!W1424:AB1499,2,0),"")</f>
        <v/>
      </c>
      <c r="H1421" s="19" t="str">
        <f>IFERROR(VLOOKUP(G1421,케이블트레이입.출고현황!X1424:AC1499,2,0),"")</f>
        <v/>
      </c>
      <c r="I1421" s="19" t="str">
        <f>IFERROR(VLOOKUP(H1421,케이블트레이입.출고현황!Y1424:AD1499,2,0),"")</f>
        <v/>
      </c>
      <c r="J1421" s="9">
        <v>1</v>
      </c>
      <c r="K1421" s="9"/>
      <c r="L1421" s="37"/>
      <c r="M1421" s="64"/>
      <c r="N1421" s="4"/>
    </row>
    <row r="1422" spans="1:14" ht="24" customHeight="1">
      <c r="A1422" s="8">
        <v>1342</v>
      </c>
      <c r="B1422" s="9">
        <v>1342</v>
      </c>
      <c r="C1422" s="46"/>
      <c r="D1422" s="9"/>
      <c r="E1422" s="19" t="str">
        <f>IFERROR(VLOOKUP(D1422,케이블트레이입.출고현황!U1425:Z1500,2,0),"")</f>
        <v/>
      </c>
      <c r="F1422" s="19" t="str">
        <f>IFERROR(VLOOKUP(E1422,케이블트레이입.출고현황!V1425:AA1500,2,0),"")</f>
        <v/>
      </c>
      <c r="G1422" s="19" t="str">
        <f>IFERROR(VLOOKUP(F1422,케이블트레이입.출고현황!W1425:AB1500,2,0),"")</f>
        <v/>
      </c>
      <c r="H1422" s="19" t="str">
        <f>IFERROR(VLOOKUP(G1422,케이블트레이입.출고현황!X1425:AC1500,2,0),"")</f>
        <v/>
      </c>
      <c r="I1422" s="19" t="str">
        <f>IFERROR(VLOOKUP(H1422,케이블트레이입.출고현황!Y1425:AD1500,2,0),"")</f>
        <v/>
      </c>
      <c r="J1422" s="9">
        <v>1</v>
      </c>
      <c r="K1422" s="9"/>
      <c r="L1422" s="37"/>
      <c r="M1422" s="64"/>
      <c r="N1422" s="4"/>
    </row>
    <row r="1423" spans="1:14" ht="24" customHeight="1">
      <c r="A1423" s="8">
        <v>1343</v>
      </c>
      <c r="B1423" s="9">
        <v>1343</v>
      </c>
      <c r="C1423" s="46"/>
      <c r="D1423" s="9"/>
      <c r="E1423" s="19" t="str">
        <f>IFERROR(VLOOKUP(D1423,케이블트레이입.출고현황!U1426:Z1501,2,0),"")</f>
        <v/>
      </c>
      <c r="F1423" s="19" t="str">
        <f>IFERROR(VLOOKUP(E1423,케이블트레이입.출고현황!V1426:AA1501,2,0),"")</f>
        <v/>
      </c>
      <c r="G1423" s="19" t="str">
        <f>IFERROR(VLOOKUP(F1423,케이블트레이입.출고현황!W1426:AB1501,2,0),"")</f>
        <v/>
      </c>
      <c r="H1423" s="19" t="str">
        <f>IFERROR(VLOOKUP(G1423,케이블트레이입.출고현황!X1426:AC1501,2,0),"")</f>
        <v/>
      </c>
      <c r="I1423" s="19" t="str">
        <f>IFERROR(VLOOKUP(H1423,케이블트레이입.출고현황!Y1426:AD1501,2,0),"")</f>
        <v/>
      </c>
      <c r="J1423" s="9">
        <v>3</v>
      </c>
      <c r="K1423" s="9"/>
      <c r="L1423" s="37"/>
      <c r="M1423" s="64"/>
      <c r="N1423" s="4"/>
    </row>
    <row r="1424" spans="1:14" ht="24" customHeight="1">
      <c r="A1424" s="8">
        <v>1344</v>
      </c>
      <c r="B1424" s="9">
        <v>1344</v>
      </c>
      <c r="C1424" s="46"/>
      <c r="D1424" s="9"/>
      <c r="E1424" s="19" t="str">
        <f>IFERROR(VLOOKUP(D1424,케이블트레이입.출고현황!U1427:Z1502,2,0),"")</f>
        <v/>
      </c>
      <c r="F1424" s="19" t="str">
        <f>IFERROR(VLOOKUP(E1424,케이블트레이입.출고현황!V1427:AA1502,2,0),"")</f>
        <v/>
      </c>
      <c r="G1424" s="19" t="str">
        <f>IFERROR(VLOOKUP(F1424,케이블트레이입.출고현황!W1427:AB1502,2,0),"")</f>
        <v/>
      </c>
      <c r="H1424" s="19" t="str">
        <f>IFERROR(VLOOKUP(G1424,케이블트레이입.출고현황!X1427:AC1502,2,0),"")</f>
        <v/>
      </c>
      <c r="I1424" s="19" t="str">
        <f>IFERROR(VLOOKUP(H1424,케이블트레이입.출고현황!Y1427:AD1502,2,0),"")</f>
        <v/>
      </c>
      <c r="J1424" s="9">
        <v>2</v>
      </c>
      <c r="K1424" s="9"/>
      <c r="L1424" s="37"/>
      <c r="M1424" s="64"/>
      <c r="N1424" s="4"/>
    </row>
    <row r="1425" spans="1:14" ht="24" customHeight="1">
      <c r="A1425" s="8">
        <v>1345</v>
      </c>
      <c r="B1425" s="9">
        <v>1345</v>
      </c>
      <c r="C1425" s="46"/>
      <c r="D1425" s="9"/>
      <c r="E1425" s="19" t="str">
        <f>IFERROR(VLOOKUP(D1425,케이블트레이입.출고현황!U1428:Z1503,2,0),"")</f>
        <v/>
      </c>
      <c r="F1425" s="19" t="str">
        <f>IFERROR(VLOOKUP(E1425,케이블트레이입.출고현황!V1428:AA1503,2,0),"")</f>
        <v/>
      </c>
      <c r="G1425" s="19" t="str">
        <f>IFERROR(VLOOKUP(F1425,케이블트레이입.출고현황!W1428:AB1503,2,0),"")</f>
        <v/>
      </c>
      <c r="H1425" s="19" t="str">
        <f>IFERROR(VLOOKUP(G1425,케이블트레이입.출고현황!X1428:AC1503,2,0),"")</f>
        <v/>
      </c>
      <c r="I1425" s="19" t="str">
        <f>IFERROR(VLOOKUP(H1425,케이블트레이입.출고현황!Y1428:AD1503,2,0),"")</f>
        <v/>
      </c>
      <c r="J1425" s="9">
        <v>1</v>
      </c>
      <c r="K1425" s="9"/>
      <c r="L1425" s="37"/>
      <c r="M1425" s="64"/>
      <c r="N1425" s="4"/>
    </row>
    <row r="1426" spans="1:14" ht="24" customHeight="1">
      <c r="A1426" s="8">
        <v>1346</v>
      </c>
      <c r="B1426" s="9">
        <v>1346</v>
      </c>
      <c r="C1426" s="46"/>
      <c r="D1426" s="9"/>
      <c r="E1426" s="19" t="str">
        <f>IFERROR(VLOOKUP(D1426,케이블트레이입.출고현황!U1429:Z1504,2,0),"")</f>
        <v/>
      </c>
      <c r="F1426" s="19" t="str">
        <f>IFERROR(VLOOKUP(E1426,케이블트레이입.출고현황!V1429:AA1504,2,0),"")</f>
        <v/>
      </c>
      <c r="G1426" s="19" t="str">
        <f>IFERROR(VLOOKUP(F1426,케이블트레이입.출고현황!W1429:AB1504,2,0),"")</f>
        <v/>
      </c>
      <c r="H1426" s="19" t="str">
        <f>IFERROR(VLOOKUP(G1426,케이블트레이입.출고현황!X1429:AC1504,2,0),"")</f>
        <v/>
      </c>
      <c r="I1426" s="19" t="str">
        <f>IFERROR(VLOOKUP(H1426,케이블트레이입.출고현황!Y1429:AD1504,2,0),"")</f>
        <v/>
      </c>
      <c r="J1426" s="9">
        <v>2</v>
      </c>
      <c r="K1426" s="9"/>
      <c r="L1426" s="37"/>
      <c r="M1426" s="64"/>
      <c r="N1426" s="4"/>
    </row>
    <row r="1427" spans="1:14" ht="24" customHeight="1">
      <c r="A1427" s="8">
        <v>1347</v>
      </c>
      <c r="B1427" s="9">
        <v>1347</v>
      </c>
      <c r="C1427" s="46"/>
      <c r="D1427" s="9"/>
      <c r="E1427" s="19" t="str">
        <f>IFERROR(VLOOKUP(D1427,케이블트레이입.출고현황!U1430:Z1505,2,0),"")</f>
        <v/>
      </c>
      <c r="F1427" s="19" t="str">
        <f>IFERROR(VLOOKUP(E1427,케이블트레이입.출고현황!V1430:AA1505,2,0),"")</f>
        <v/>
      </c>
      <c r="G1427" s="19" t="str">
        <f>IFERROR(VLOOKUP(F1427,케이블트레이입.출고현황!W1430:AB1505,2,0),"")</f>
        <v/>
      </c>
      <c r="H1427" s="19" t="str">
        <f>IFERROR(VLOOKUP(G1427,케이블트레이입.출고현황!X1430:AC1505,2,0),"")</f>
        <v/>
      </c>
      <c r="I1427" s="19" t="str">
        <f>IFERROR(VLOOKUP(H1427,케이블트레이입.출고현황!Y1430:AD1505,2,0),"")</f>
        <v/>
      </c>
      <c r="J1427" s="9">
        <v>4</v>
      </c>
      <c r="K1427" s="9"/>
      <c r="L1427" s="37"/>
      <c r="M1427" s="64"/>
      <c r="N1427" s="4"/>
    </row>
    <row r="1428" spans="1:14" ht="24" customHeight="1">
      <c r="A1428" s="8">
        <v>1348</v>
      </c>
      <c r="B1428" s="9">
        <v>1348</v>
      </c>
      <c r="C1428" s="46"/>
      <c r="D1428" s="9"/>
      <c r="E1428" s="19" t="str">
        <f>IFERROR(VLOOKUP(D1428,케이블트레이입.출고현황!U1431:Z1506,2,0),"")</f>
        <v/>
      </c>
      <c r="F1428" s="19" t="str">
        <f>IFERROR(VLOOKUP(E1428,케이블트레이입.출고현황!V1431:AA1506,2,0),"")</f>
        <v/>
      </c>
      <c r="G1428" s="19" t="str">
        <f>IFERROR(VLOOKUP(F1428,케이블트레이입.출고현황!W1431:AB1506,2,0),"")</f>
        <v/>
      </c>
      <c r="H1428" s="19" t="str">
        <f>IFERROR(VLOOKUP(G1428,케이블트레이입.출고현황!X1431:AC1506,2,0),"")</f>
        <v/>
      </c>
      <c r="I1428" s="19" t="str">
        <f>IFERROR(VLOOKUP(H1428,케이블트레이입.출고현황!Y1431:AD1506,2,0),"")</f>
        <v/>
      </c>
      <c r="J1428" s="9">
        <v>1</v>
      </c>
      <c r="K1428" s="9"/>
      <c r="L1428" s="37"/>
      <c r="M1428" s="64"/>
      <c r="N1428" s="4"/>
    </row>
    <row r="1429" spans="1:14" ht="24" customHeight="1">
      <c r="A1429" s="8">
        <v>1349</v>
      </c>
      <c r="B1429" s="9">
        <v>1349</v>
      </c>
      <c r="C1429" s="46"/>
      <c r="D1429" s="9"/>
      <c r="E1429" s="19" t="str">
        <f>IFERROR(VLOOKUP(D1429,케이블트레이입.출고현황!U1432:Z1507,2,0),"")</f>
        <v/>
      </c>
      <c r="F1429" s="19" t="str">
        <f>IFERROR(VLOOKUP(E1429,케이블트레이입.출고현황!V1432:AA1507,2,0),"")</f>
        <v/>
      </c>
      <c r="G1429" s="19" t="str">
        <f>IFERROR(VLOOKUP(F1429,케이블트레이입.출고현황!W1432:AB1507,2,0),"")</f>
        <v/>
      </c>
      <c r="H1429" s="19" t="str">
        <f>IFERROR(VLOOKUP(G1429,케이블트레이입.출고현황!X1432:AC1507,2,0),"")</f>
        <v/>
      </c>
      <c r="I1429" s="19" t="str">
        <f>IFERROR(VLOOKUP(H1429,케이블트레이입.출고현황!Y1432:AD1507,2,0),"")</f>
        <v/>
      </c>
      <c r="J1429" s="9">
        <v>2</v>
      </c>
      <c r="K1429" s="9"/>
      <c r="L1429" s="37"/>
      <c r="M1429" s="64"/>
      <c r="N1429" s="4"/>
    </row>
    <row r="1430" spans="1:14" ht="24" customHeight="1">
      <c r="A1430" s="8">
        <v>1350</v>
      </c>
      <c r="B1430" s="9">
        <v>1350</v>
      </c>
      <c r="C1430" s="46"/>
      <c r="D1430" s="9"/>
      <c r="E1430" s="19" t="str">
        <f>IFERROR(VLOOKUP(D1430,케이블트레이입.출고현황!U1433:Z1508,2,0),"")</f>
        <v/>
      </c>
      <c r="F1430" s="19" t="str">
        <f>IFERROR(VLOOKUP(E1430,케이블트레이입.출고현황!V1433:AA1508,2,0),"")</f>
        <v/>
      </c>
      <c r="G1430" s="19" t="str">
        <f>IFERROR(VLOOKUP(F1430,케이블트레이입.출고현황!W1433:AB1508,2,0),"")</f>
        <v/>
      </c>
      <c r="H1430" s="19" t="str">
        <f>IFERROR(VLOOKUP(G1430,케이블트레이입.출고현황!X1433:AC1508,2,0),"")</f>
        <v/>
      </c>
      <c r="I1430" s="19" t="str">
        <f>IFERROR(VLOOKUP(H1430,케이블트레이입.출고현황!Y1433:AD1508,2,0),"")</f>
        <v/>
      </c>
      <c r="J1430" s="9">
        <v>1</v>
      </c>
      <c r="K1430" s="9"/>
      <c r="L1430" s="37"/>
      <c r="M1430" s="64"/>
      <c r="N1430" s="4"/>
    </row>
    <row r="1431" spans="1:14" ht="24" customHeight="1">
      <c r="A1431" s="8">
        <v>1351</v>
      </c>
      <c r="B1431" s="9">
        <v>1351</v>
      </c>
      <c r="C1431" s="46"/>
      <c r="D1431" s="9"/>
      <c r="E1431" s="19" t="str">
        <f>IFERROR(VLOOKUP(D1431,케이블트레이입.출고현황!U1434:Z1509,2,0),"")</f>
        <v/>
      </c>
      <c r="F1431" s="19" t="str">
        <f>IFERROR(VLOOKUP(E1431,케이블트레이입.출고현황!V1434:AA1509,2,0),"")</f>
        <v/>
      </c>
      <c r="G1431" s="19" t="str">
        <f>IFERROR(VLOOKUP(F1431,케이블트레이입.출고현황!W1434:AB1509,2,0),"")</f>
        <v/>
      </c>
      <c r="H1431" s="19" t="str">
        <f>IFERROR(VLOOKUP(G1431,케이블트레이입.출고현황!X1434:AC1509,2,0),"")</f>
        <v/>
      </c>
      <c r="I1431" s="19" t="str">
        <f>IFERROR(VLOOKUP(H1431,케이블트레이입.출고현황!Y1434:AD1509,2,0),"")</f>
        <v/>
      </c>
      <c r="J1431" s="9">
        <v>1</v>
      </c>
      <c r="K1431" s="9"/>
      <c r="L1431" s="37"/>
      <c r="M1431" s="64"/>
      <c r="N1431" s="4"/>
    </row>
    <row r="1432" spans="1:14" ht="24" customHeight="1">
      <c r="A1432" s="8">
        <v>1352</v>
      </c>
      <c r="B1432" s="9">
        <v>1352</v>
      </c>
      <c r="C1432" s="46"/>
      <c r="D1432" s="9"/>
      <c r="E1432" s="19" t="str">
        <f>IFERROR(VLOOKUP(D1432,케이블트레이입.출고현황!U1435:Z1510,2,0),"")</f>
        <v/>
      </c>
      <c r="F1432" s="19" t="str">
        <f>IFERROR(VLOOKUP(E1432,케이블트레이입.출고현황!V1435:AA1510,2,0),"")</f>
        <v/>
      </c>
      <c r="G1432" s="19" t="str">
        <f>IFERROR(VLOOKUP(F1432,케이블트레이입.출고현황!W1435:AB1510,2,0),"")</f>
        <v/>
      </c>
      <c r="H1432" s="19" t="str">
        <f>IFERROR(VLOOKUP(G1432,케이블트레이입.출고현황!X1435:AC1510,2,0),"")</f>
        <v/>
      </c>
      <c r="I1432" s="19" t="str">
        <f>IFERROR(VLOOKUP(H1432,케이블트레이입.출고현황!Y1435:AD1510,2,0),"")</f>
        <v/>
      </c>
      <c r="J1432" s="9">
        <v>1</v>
      </c>
      <c r="K1432" s="9"/>
      <c r="L1432" s="37"/>
      <c r="M1432" s="64"/>
      <c r="N1432" s="4"/>
    </row>
    <row r="1433" spans="1:14" ht="24" customHeight="1">
      <c r="A1433" s="8">
        <v>1353</v>
      </c>
      <c r="B1433" s="9">
        <v>1353</v>
      </c>
      <c r="C1433" s="46"/>
      <c r="D1433" s="9"/>
      <c r="E1433" s="19" t="str">
        <f>IFERROR(VLOOKUP(D1433,케이블트레이입.출고현황!U1436:Z1511,2,0),"")</f>
        <v/>
      </c>
      <c r="F1433" s="19" t="str">
        <f>IFERROR(VLOOKUP(E1433,케이블트레이입.출고현황!V1436:AA1511,2,0),"")</f>
        <v/>
      </c>
      <c r="G1433" s="19" t="str">
        <f>IFERROR(VLOOKUP(F1433,케이블트레이입.출고현황!W1436:AB1511,2,0),"")</f>
        <v/>
      </c>
      <c r="H1433" s="19" t="str">
        <f>IFERROR(VLOOKUP(G1433,케이블트레이입.출고현황!X1436:AC1511,2,0),"")</f>
        <v/>
      </c>
      <c r="I1433" s="19" t="str">
        <f>IFERROR(VLOOKUP(H1433,케이블트레이입.출고현황!Y1436:AD1511,2,0),"")</f>
        <v/>
      </c>
      <c r="J1433" s="9">
        <v>3</v>
      </c>
      <c r="K1433" s="9"/>
      <c r="L1433" s="37"/>
      <c r="M1433" s="64"/>
      <c r="N1433" s="4"/>
    </row>
    <row r="1434" spans="1:14" ht="24" customHeight="1">
      <c r="A1434" s="8">
        <v>1354</v>
      </c>
      <c r="B1434" s="9">
        <v>1354</v>
      </c>
      <c r="C1434" s="46"/>
      <c r="D1434" s="9"/>
      <c r="E1434" s="19" t="str">
        <f>IFERROR(VLOOKUP(D1434,케이블트레이입.출고현황!U1437:Z1512,2,0),"")</f>
        <v/>
      </c>
      <c r="F1434" s="19" t="str">
        <f>IFERROR(VLOOKUP(E1434,케이블트레이입.출고현황!V1437:AA1512,2,0),"")</f>
        <v/>
      </c>
      <c r="G1434" s="19" t="str">
        <f>IFERROR(VLOOKUP(F1434,케이블트레이입.출고현황!W1437:AB1512,2,0),"")</f>
        <v/>
      </c>
      <c r="H1434" s="19" t="str">
        <f>IFERROR(VLOOKUP(G1434,케이블트레이입.출고현황!X1437:AC1512,2,0),"")</f>
        <v/>
      </c>
      <c r="I1434" s="19" t="str">
        <f>IFERROR(VLOOKUP(H1434,케이블트레이입.출고현황!Y1437:AD1512,2,0),"")</f>
        <v/>
      </c>
      <c r="J1434" s="9">
        <v>1</v>
      </c>
      <c r="K1434" s="9"/>
      <c r="L1434" s="37"/>
      <c r="M1434" s="64"/>
      <c r="N1434" s="4"/>
    </row>
    <row r="1435" spans="1:14" ht="24" customHeight="1">
      <c r="A1435" s="8">
        <v>1355</v>
      </c>
      <c r="B1435" s="9">
        <v>1355</v>
      </c>
      <c r="C1435" s="46"/>
      <c r="D1435" s="9"/>
      <c r="E1435" s="19" t="str">
        <f>IFERROR(VLOOKUP(D1435,케이블트레이입.출고현황!U1438:Z1513,2,0),"")</f>
        <v/>
      </c>
      <c r="F1435" s="19" t="str">
        <f>IFERROR(VLOOKUP(E1435,케이블트레이입.출고현황!V1438:AA1513,2,0),"")</f>
        <v/>
      </c>
      <c r="G1435" s="19" t="str">
        <f>IFERROR(VLOOKUP(F1435,케이블트레이입.출고현황!W1438:AB1513,2,0),"")</f>
        <v/>
      </c>
      <c r="H1435" s="19" t="str">
        <f>IFERROR(VLOOKUP(G1435,케이블트레이입.출고현황!X1438:AC1513,2,0),"")</f>
        <v/>
      </c>
      <c r="I1435" s="19" t="str">
        <f>IFERROR(VLOOKUP(H1435,케이블트레이입.출고현황!Y1438:AD1513,2,0),"")</f>
        <v/>
      </c>
      <c r="J1435" s="9">
        <v>1</v>
      </c>
      <c r="K1435" s="9"/>
      <c r="L1435" s="37"/>
      <c r="M1435" s="64"/>
      <c r="N1435" s="4"/>
    </row>
    <row r="1436" spans="1:14" ht="24" customHeight="1">
      <c r="A1436" s="8">
        <v>1356</v>
      </c>
      <c r="B1436" s="9">
        <v>1356</v>
      </c>
      <c r="C1436" s="46"/>
      <c r="D1436" s="9"/>
      <c r="E1436" s="19" t="str">
        <f>IFERROR(VLOOKUP(D1436,케이블트레이입.출고현황!U1439:Z1514,2,0),"")</f>
        <v/>
      </c>
      <c r="F1436" s="19" t="str">
        <f>IFERROR(VLOOKUP(E1436,케이블트레이입.출고현황!V1439:AA1514,2,0),"")</f>
        <v/>
      </c>
      <c r="G1436" s="19" t="str">
        <f>IFERROR(VLOOKUP(F1436,케이블트레이입.출고현황!W1439:AB1514,2,0),"")</f>
        <v/>
      </c>
      <c r="H1436" s="19" t="str">
        <f>IFERROR(VLOOKUP(G1436,케이블트레이입.출고현황!X1439:AC1514,2,0),"")</f>
        <v/>
      </c>
      <c r="I1436" s="19" t="str">
        <f>IFERROR(VLOOKUP(H1436,케이블트레이입.출고현황!Y1439:AD1514,2,0),"")</f>
        <v/>
      </c>
      <c r="J1436" s="9">
        <v>1</v>
      </c>
      <c r="K1436" s="9"/>
      <c r="L1436" s="37"/>
      <c r="M1436" s="64"/>
      <c r="N1436" s="4"/>
    </row>
    <row r="1437" spans="1:14" ht="24" customHeight="1">
      <c r="A1437" s="8">
        <v>1357</v>
      </c>
      <c r="B1437" s="9">
        <v>1357</v>
      </c>
      <c r="C1437" s="46"/>
      <c r="D1437" s="9"/>
      <c r="E1437" s="19" t="str">
        <f>IFERROR(VLOOKUP(D1437,케이블트레이입.출고현황!U1440:Z1515,2,0),"")</f>
        <v/>
      </c>
      <c r="F1437" s="19" t="str">
        <f>IFERROR(VLOOKUP(E1437,케이블트레이입.출고현황!V1440:AA1515,2,0),"")</f>
        <v/>
      </c>
      <c r="G1437" s="19" t="str">
        <f>IFERROR(VLOOKUP(F1437,케이블트레이입.출고현황!W1440:AB1515,2,0),"")</f>
        <v/>
      </c>
      <c r="H1437" s="19" t="str">
        <f>IFERROR(VLOOKUP(G1437,케이블트레이입.출고현황!X1440:AC1515,2,0),"")</f>
        <v/>
      </c>
      <c r="I1437" s="19" t="str">
        <f>IFERROR(VLOOKUP(H1437,케이블트레이입.출고현황!Y1440:AD1515,2,0),"")</f>
        <v/>
      </c>
      <c r="J1437" s="9">
        <v>3</v>
      </c>
      <c r="K1437" s="9"/>
      <c r="L1437" s="37"/>
      <c r="M1437" s="64"/>
      <c r="N1437" s="4"/>
    </row>
    <row r="1438" spans="1:14" ht="24" customHeight="1">
      <c r="A1438" s="8">
        <v>1358</v>
      </c>
      <c r="B1438" s="9">
        <v>1358</v>
      </c>
      <c r="C1438" s="46"/>
      <c r="D1438" s="9"/>
      <c r="E1438" s="19" t="str">
        <f>IFERROR(VLOOKUP(D1438,케이블트레이입.출고현황!U1441:Z1516,2,0),"")</f>
        <v/>
      </c>
      <c r="F1438" s="19" t="str">
        <f>IFERROR(VLOOKUP(E1438,케이블트레이입.출고현황!V1441:AA1516,2,0),"")</f>
        <v/>
      </c>
      <c r="G1438" s="19" t="str">
        <f>IFERROR(VLOOKUP(F1438,케이블트레이입.출고현황!W1441:AB1516,2,0),"")</f>
        <v/>
      </c>
      <c r="H1438" s="19" t="str">
        <f>IFERROR(VLOOKUP(G1438,케이블트레이입.출고현황!X1441:AC1516,2,0),"")</f>
        <v/>
      </c>
      <c r="I1438" s="19" t="str">
        <f>IFERROR(VLOOKUP(H1438,케이블트레이입.출고현황!Y1441:AD1516,2,0),"")</f>
        <v/>
      </c>
      <c r="J1438" s="9">
        <v>2</v>
      </c>
      <c r="K1438" s="9"/>
      <c r="L1438" s="37"/>
      <c r="M1438" s="64"/>
      <c r="N1438" s="4"/>
    </row>
    <row r="1439" spans="1:14" ht="24" customHeight="1">
      <c r="A1439" s="8">
        <v>1319</v>
      </c>
      <c r="B1439" s="9">
        <v>1319</v>
      </c>
      <c r="C1439" s="46"/>
      <c r="D1439" s="9"/>
      <c r="E1439" s="19" t="str">
        <f>IFERROR(VLOOKUP(D1439,케이블트레이입.출고현황!U1442:Z1517,2,0),"")</f>
        <v/>
      </c>
      <c r="F1439" s="19" t="str">
        <f>IFERROR(VLOOKUP(E1439,케이블트레이입.출고현황!V1442:AA1517,2,0),"")</f>
        <v/>
      </c>
      <c r="G1439" s="19" t="str">
        <f>IFERROR(VLOOKUP(F1439,케이블트레이입.출고현황!W1442:AB1517,2,0),"")</f>
        <v/>
      </c>
      <c r="H1439" s="19" t="str">
        <f>IFERROR(VLOOKUP(G1439,케이블트레이입.출고현황!X1442:AC1517,2,0),"")</f>
        <v/>
      </c>
      <c r="I1439" s="19" t="str">
        <f>IFERROR(VLOOKUP(H1439,케이블트레이입.출고현황!Y1442:AD1517,2,0),"")</f>
        <v/>
      </c>
      <c r="J1439" s="9">
        <v>1</v>
      </c>
      <c r="K1439" s="9"/>
      <c r="L1439" s="37"/>
      <c r="M1439" s="64"/>
      <c r="N1439" s="4"/>
    </row>
    <row r="1440" spans="1:14" ht="24" customHeight="1">
      <c r="A1440" s="8">
        <v>1320</v>
      </c>
      <c r="B1440" s="9">
        <v>1320</v>
      </c>
      <c r="C1440" s="46"/>
      <c r="D1440" s="9"/>
      <c r="E1440" s="19" t="str">
        <f>IFERROR(VLOOKUP(D1440,케이블트레이입.출고현황!U1443:Z1518,2,0),"")</f>
        <v/>
      </c>
      <c r="F1440" s="19" t="str">
        <f>IFERROR(VLOOKUP(E1440,케이블트레이입.출고현황!V1443:AA1518,2,0),"")</f>
        <v/>
      </c>
      <c r="G1440" s="19" t="str">
        <f>IFERROR(VLOOKUP(F1440,케이블트레이입.출고현황!W1443:AB1518,2,0),"")</f>
        <v/>
      </c>
      <c r="H1440" s="19" t="str">
        <f>IFERROR(VLOOKUP(G1440,케이블트레이입.출고현황!X1443:AC1518,2,0),"")</f>
        <v/>
      </c>
      <c r="I1440" s="19" t="str">
        <f>IFERROR(VLOOKUP(H1440,케이블트레이입.출고현황!Y1443:AD1518,2,0),"")</f>
        <v/>
      </c>
      <c r="J1440" s="9">
        <v>2</v>
      </c>
      <c r="K1440" s="9"/>
      <c r="L1440" s="37"/>
      <c r="M1440" s="64"/>
      <c r="N1440" s="4"/>
    </row>
    <row r="1441" spans="1:14" ht="24" customHeight="1">
      <c r="A1441" s="8">
        <v>1321</v>
      </c>
      <c r="B1441" s="9">
        <v>1321</v>
      </c>
      <c r="C1441" s="46"/>
      <c r="D1441" s="9"/>
      <c r="E1441" s="19" t="str">
        <f>IFERROR(VLOOKUP(D1441,케이블트레이입.출고현황!U1444:Z1519,2,0),"")</f>
        <v/>
      </c>
      <c r="F1441" s="19" t="str">
        <f>IFERROR(VLOOKUP(E1441,케이블트레이입.출고현황!V1444:AA1519,2,0),"")</f>
        <v/>
      </c>
      <c r="G1441" s="19" t="str">
        <f>IFERROR(VLOOKUP(F1441,케이블트레이입.출고현황!W1444:AB1519,2,0),"")</f>
        <v/>
      </c>
      <c r="H1441" s="19" t="str">
        <f>IFERROR(VLOOKUP(G1441,케이블트레이입.출고현황!X1444:AC1519,2,0),"")</f>
        <v/>
      </c>
      <c r="I1441" s="19" t="str">
        <f>IFERROR(VLOOKUP(H1441,케이블트레이입.출고현황!Y1444:AD1519,2,0),"")</f>
        <v/>
      </c>
      <c r="J1441" s="9">
        <v>4</v>
      </c>
      <c r="K1441" s="9"/>
      <c r="L1441" s="37"/>
      <c r="M1441" s="64"/>
      <c r="N1441" s="4"/>
    </row>
    <row r="1442" spans="1:14" ht="24" customHeight="1">
      <c r="A1442" s="8">
        <v>1322</v>
      </c>
      <c r="B1442" s="9">
        <v>1322</v>
      </c>
      <c r="C1442" s="46"/>
      <c r="D1442" s="9"/>
      <c r="E1442" s="19" t="str">
        <f>IFERROR(VLOOKUP(D1442,케이블트레이입.출고현황!U1445:Z1520,2,0),"")</f>
        <v/>
      </c>
      <c r="F1442" s="19" t="str">
        <f>IFERROR(VLOOKUP(E1442,케이블트레이입.출고현황!V1445:AA1520,2,0),"")</f>
        <v/>
      </c>
      <c r="G1442" s="19" t="str">
        <f>IFERROR(VLOOKUP(F1442,케이블트레이입.출고현황!W1445:AB1520,2,0),"")</f>
        <v/>
      </c>
      <c r="H1442" s="19" t="str">
        <f>IFERROR(VLOOKUP(G1442,케이블트레이입.출고현황!X1445:AC1520,2,0),"")</f>
        <v/>
      </c>
      <c r="I1442" s="19" t="str">
        <f>IFERROR(VLOOKUP(H1442,케이블트레이입.출고현황!Y1445:AD1520,2,0),"")</f>
        <v/>
      </c>
      <c r="J1442" s="9">
        <v>2</v>
      </c>
      <c r="K1442" s="9"/>
      <c r="L1442" s="37"/>
      <c r="M1442" s="64"/>
      <c r="N1442" s="4"/>
    </row>
    <row r="1443" spans="1:14" ht="24" customHeight="1">
      <c r="A1443" s="8">
        <v>1323</v>
      </c>
      <c r="B1443" s="9">
        <v>1323</v>
      </c>
      <c r="C1443" s="46"/>
      <c r="D1443" s="9"/>
      <c r="E1443" s="19" t="str">
        <f>IFERROR(VLOOKUP(D1443,케이블트레이입.출고현황!U1446:Z1521,2,0),"")</f>
        <v/>
      </c>
      <c r="F1443" s="19" t="str">
        <f>IFERROR(VLOOKUP(E1443,케이블트레이입.출고현황!V1446:AA1521,2,0),"")</f>
        <v/>
      </c>
      <c r="G1443" s="19" t="str">
        <f>IFERROR(VLOOKUP(F1443,케이블트레이입.출고현황!W1446:AB1521,2,0),"")</f>
        <v/>
      </c>
      <c r="H1443" s="19" t="str">
        <f>IFERROR(VLOOKUP(G1443,케이블트레이입.출고현황!X1446:AC1521,2,0),"")</f>
        <v/>
      </c>
      <c r="I1443" s="19" t="str">
        <f>IFERROR(VLOOKUP(H1443,케이블트레이입.출고현황!Y1446:AD1521,2,0),"")</f>
        <v/>
      </c>
      <c r="J1443" s="9">
        <v>3</v>
      </c>
      <c r="K1443" s="9"/>
      <c r="L1443" s="37"/>
      <c r="M1443" s="64"/>
      <c r="N1443" s="4"/>
    </row>
    <row r="1444" spans="1:14" ht="24" customHeight="1">
      <c r="A1444" s="8">
        <v>1324</v>
      </c>
      <c r="B1444" s="9">
        <v>1324</v>
      </c>
      <c r="C1444" s="46"/>
      <c r="D1444" s="9"/>
      <c r="E1444" s="19" t="str">
        <f>IFERROR(VLOOKUP(D1444,케이블트레이입.출고현황!U1447:Z1522,2,0),"")</f>
        <v/>
      </c>
      <c r="F1444" s="19" t="str">
        <f>IFERROR(VLOOKUP(E1444,케이블트레이입.출고현황!V1447:AA1522,2,0),"")</f>
        <v/>
      </c>
      <c r="G1444" s="19" t="str">
        <f>IFERROR(VLOOKUP(F1444,케이블트레이입.출고현황!W1447:AB1522,2,0),"")</f>
        <v/>
      </c>
      <c r="H1444" s="19" t="str">
        <f>IFERROR(VLOOKUP(G1444,케이블트레이입.출고현황!X1447:AC1522,2,0),"")</f>
        <v/>
      </c>
      <c r="I1444" s="19" t="str">
        <f>IFERROR(VLOOKUP(H1444,케이블트레이입.출고현황!Y1447:AD1522,2,0),"")</f>
        <v/>
      </c>
      <c r="J1444" s="9">
        <v>2</v>
      </c>
      <c r="K1444" s="9"/>
      <c r="L1444" s="37"/>
      <c r="M1444" s="64"/>
      <c r="N1444" s="4"/>
    </row>
    <row r="1445" spans="1:14" ht="24" customHeight="1">
      <c r="A1445" s="8">
        <v>1325</v>
      </c>
      <c r="B1445" s="9">
        <v>1325</v>
      </c>
      <c r="C1445" s="46"/>
      <c r="D1445" s="9"/>
      <c r="E1445" s="19" t="str">
        <f>IFERROR(VLOOKUP(D1445,케이블트레이입.출고현황!U1448:Z1523,2,0),"")</f>
        <v/>
      </c>
      <c r="F1445" s="19" t="str">
        <f>IFERROR(VLOOKUP(E1445,케이블트레이입.출고현황!V1448:AA1523,2,0),"")</f>
        <v/>
      </c>
      <c r="G1445" s="19" t="str">
        <f>IFERROR(VLOOKUP(F1445,케이블트레이입.출고현황!W1448:AB1523,2,0),"")</f>
        <v/>
      </c>
      <c r="H1445" s="19" t="str">
        <f>IFERROR(VLOOKUP(G1445,케이블트레이입.출고현황!X1448:AC1523,2,0),"")</f>
        <v/>
      </c>
      <c r="I1445" s="19" t="str">
        <f>IFERROR(VLOOKUP(H1445,케이블트레이입.출고현황!Y1448:AD1523,2,0),"")</f>
        <v/>
      </c>
      <c r="J1445" s="9">
        <v>1</v>
      </c>
      <c r="K1445" s="9"/>
      <c r="L1445" s="37"/>
      <c r="M1445" s="64"/>
      <c r="N1445" s="4"/>
    </row>
    <row r="1446" spans="1:14" ht="24" customHeight="1">
      <c r="A1446" s="8">
        <v>1326</v>
      </c>
      <c r="B1446" s="9">
        <v>1326</v>
      </c>
      <c r="C1446" s="46"/>
      <c r="D1446" s="9"/>
      <c r="E1446" s="19" t="str">
        <f>IFERROR(VLOOKUP(D1446,케이블트레이입.출고현황!U1449:Z1524,2,0),"")</f>
        <v/>
      </c>
      <c r="F1446" s="19" t="str">
        <f>IFERROR(VLOOKUP(E1446,케이블트레이입.출고현황!V1449:AA1524,2,0),"")</f>
        <v/>
      </c>
      <c r="G1446" s="19" t="str">
        <f>IFERROR(VLOOKUP(F1446,케이블트레이입.출고현황!W1449:AB1524,2,0),"")</f>
        <v/>
      </c>
      <c r="H1446" s="19" t="str">
        <f>IFERROR(VLOOKUP(G1446,케이블트레이입.출고현황!X1449:AC1524,2,0),"")</f>
        <v/>
      </c>
      <c r="I1446" s="19" t="str">
        <f>IFERROR(VLOOKUP(H1446,케이블트레이입.출고현황!Y1449:AD1524,2,0),"")</f>
        <v/>
      </c>
      <c r="J1446" s="9">
        <v>2</v>
      </c>
      <c r="K1446" s="9"/>
      <c r="L1446" s="37"/>
      <c r="M1446" s="64"/>
      <c r="N1446" s="4"/>
    </row>
    <row r="1447" spans="1:14" ht="24" customHeight="1">
      <c r="A1447" s="8">
        <v>1327</v>
      </c>
      <c r="B1447" s="9">
        <v>1327</v>
      </c>
      <c r="C1447" s="46"/>
      <c r="D1447" s="9"/>
      <c r="E1447" s="19" t="str">
        <f>IFERROR(VLOOKUP(D1447,케이블트레이입.출고현황!U1450:Z1525,2,0),"")</f>
        <v/>
      </c>
      <c r="F1447" s="19" t="str">
        <f>IFERROR(VLOOKUP(E1447,케이블트레이입.출고현황!V1450:AA1525,2,0),"")</f>
        <v/>
      </c>
      <c r="G1447" s="19" t="str">
        <f>IFERROR(VLOOKUP(F1447,케이블트레이입.출고현황!W1450:AB1525,2,0),"")</f>
        <v/>
      </c>
      <c r="H1447" s="19" t="str">
        <f>IFERROR(VLOOKUP(G1447,케이블트레이입.출고현황!X1450:AC1525,2,0),"")</f>
        <v/>
      </c>
      <c r="I1447" s="19" t="str">
        <f>IFERROR(VLOOKUP(H1447,케이블트레이입.출고현황!Y1450:AD1525,2,0),"")</f>
        <v/>
      </c>
      <c r="J1447" s="9">
        <v>4</v>
      </c>
      <c r="K1447" s="9"/>
      <c r="L1447" s="37"/>
      <c r="M1447" s="64"/>
      <c r="N1447" s="4"/>
    </row>
    <row r="1448" spans="1:14" ht="24" customHeight="1">
      <c r="A1448" s="8">
        <v>1328</v>
      </c>
      <c r="B1448" s="9">
        <v>1328</v>
      </c>
      <c r="C1448" s="46"/>
      <c r="D1448" s="9"/>
      <c r="E1448" s="19" t="str">
        <f>IFERROR(VLOOKUP(D1448,케이블트레이입.출고현황!U1451:Z1526,2,0),"")</f>
        <v/>
      </c>
      <c r="F1448" s="19" t="str">
        <f>IFERROR(VLOOKUP(E1448,케이블트레이입.출고현황!V1451:AA1526,2,0),"")</f>
        <v/>
      </c>
      <c r="G1448" s="19" t="str">
        <f>IFERROR(VLOOKUP(F1448,케이블트레이입.출고현황!W1451:AB1526,2,0),"")</f>
        <v/>
      </c>
      <c r="H1448" s="19" t="str">
        <f>IFERROR(VLOOKUP(G1448,케이블트레이입.출고현황!X1451:AC1526,2,0),"")</f>
        <v/>
      </c>
      <c r="I1448" s="19" t="str">
        <f>IFERROR(VLOOKUP(H1448,케이블트레이입.출고현황!Y1451:AD1526,2,0),"")</f>
        <v/>
      </c>
      <c r="J1448" s="9">
        <v>2</v>
      </c>
      <c r="K1448" s="9"/>
      <c r="L1448" s="37"/>
      <c r="M1448" s="64"/>
      <c r="N1448" s="4"/>
    </row>
    <row r="1449" spans="1:14" ht="24" customHeight="1">
      <c r="A1449" s="8">
        <v>1329</v>
      </c>
      <c r="B1449" s="9">
        <v>1329</v>
      </c>
      <c r="C1449" s="46"/>
      <c r="D1449" s="9"/>
      <c r="E1449" s="19" t="str">
        <f>IFERROR(VLOOKUP(D1449,케이블트레이입.출고현황!U1452:Z1527,2,0),"")</f>
        <v/>
      </c>
      <c r="F1449" s="19" t="str">
        <f>IFERROR(VLOOKUP(E1449,케이블트레이입.출고현황!V1452:AA1527,2,0),"")</f>
        <v/>
      </c>
      <c r="G1449" s="19" t="str">
        <f>IFERROR(VLOOKUP(F1449,케이블트레이입.출고현황!W1452:AB1527,2,0),"")</f>
        <v/>
      </c>
      <c r="H1449" s="19" t="str">
        <f>IFERROR(VLOOKUP(G1449,케이블트레이입.출고현황!X1452:AC1527,2,0),"")</f>
        <v/>
      </c>
      <c r="I1449" s="19" t="str">
        <f>IFERROR(VLOOKUP(H1449,케이블트레이입.출고현황!Y1452:AD1527,2,0),"")</f>
        <v/>
      </c>
      <c r="J1449" s="9">
        <v>3</v>
      </c>
      <c r="K1449" s="9"/>
      <c r="L1449" s="37"/>
      <c r="M1449" s="64"/>
      <c r="N1449" s="4"/>
    </row>
    <row r="1450" spans="1:14" ht="24" customHeight="1">
      <c r="A1450" s="8">
        <v>1330</v>
      </c>
      <c r="B1450" s="9">
        <v>1330</v>
      </c>
      <c r="C1450" s="46"/>
      <c r="D1450" s="9"/>
      <c r="E1450" s="19" t="str">
        <f>IFERROR(VLOOKUP(D1450,케이블트레이입.출고현황!U1453:Z1528,2,0),"")</f>
        <v/>
      </c>
      <c r="F1450" s="19" t="str">
        <f>IFERROR(VLOOKUP(E1450,케이블트레이입.출고현황!V1453:AA1528,2,0),"")</f>
        <v/>
      </c>
      <c r="G1450" s="19" t="str">
        <f>IFERROR(VLOOKUP(F1450,케이블트레이입.출고현황!W1453:AB1528,2,0),"")</f>
        <v/>
      </c>
      <c r="H1450" s="19" t="str">
        <f>IFERROR(VLOOKUP(G1450,케이블트레이입.출고현황!X1453:AC1528,2,0),"")</f>
        <v/>
      </c>
      <c r="I1450" s="19" t="str">
        <f>IFERROR(VLOOKUP(H1450,케이블트레이입.출고현황!Y1453:AD1528,2,0),"")</f>
        <v/>
      </c>
      <c r="J1450" s="9">
        <v>1</v>
      </c>
      <c r="K1450" s="9"/>
      <c r="L1450" s="37"/>
      <c r="M1450" s="64"/>
      <c r="N1450" s="4"/>
    </row>
    <row r="1451" spans="1:14" ht="24" customHeight="1">
      <c r="A1451" s="8">
        <v>1331</v>
      </c>
      <c r="B1451" s="9">
        <v>1331</v>
      </c>
      <c r="C1451" s="46"/>
      <c r="D1451" s="9"/>
      <c r="E1451" s="19" t="str">
        <f>IFERROR(VLOOKUP(D1451,케이블트레이입.출고현황!U1454:Z1529,2,0),"")</f>
        <v/>
      </c>
      <c r="F1451" s="19" t="str">
        <f>IFERROR(VLOOKUP(E1451,케이블트레이입.출고현황!V1454:AA1529,2,0),"")</f>
        <v/>
      </c>
      <c r="G1451" s="19" t="str">
        <f>IFERROR(VLOOKUP(F1451,케이블트레이입.출고현황!W1454:AB1529,2,0),"")</f>
        <v/>
      </c>
      <c r="H1451" s="19" t="str">
        <f>IFERROR(VLOOKUP(G1451,케이블트레이입.출고현황!X1454:AC1529,2,0),"")</f>
        <v/>
      </c>
      <c r="I1451" s="19" t="str">
        <f>IFERROR(VLOOKUP(H1451,케이블트레이입.출고현황!Y1454:AD1529,2,0),"")</f>
        <v/>
      </c>
      <c r="J1451" s="9">
        <v>1</v>
      </c>
      <c r="K1451" s="9"/>
      <c r="L1451" s="37"/>
      <c r="M1451" s="64"/>
      <c r="N1451" s="4"/>
    </row>
    <row r="1452" spans="1:14" ht="24" customHeight="1">
      <c r="A1452" s="8">
        <v>1332</v>
      </c>
      <c r="B1452" s="9">
        <v>1332</v>
      </c>
      <c r="C1452" s="46"/>
      <c r="D1452" s="9"/>
      <c r="E1452" s="19" t="str">
        <f>IFERROR(VLOOKUP(D1452,케이블트레이입.출고현황!U1455:Z1530,2,0),"")</f>
        <v/>
      </c>
      <c r="F1452" s="19" t="str">
        <f>IFERROR(VLOOKUP(E1452,케이블트레이입.출고현황!V1455:AA1530,2,0),"")</f>
        <v/>
      </c>
      <c r="G1452" s="19" t="str">
        <f>IFERROR(VLOOKUP(F1452,케이블트레이입.출고현황!W1455:AB1530,2,0),"")</f>
        <v/>
      </c>
      <c r="H1452" s="19" t="str">
        <f>IFERROR(VLOOKUP(G1452,케이블트레이입.출고현황!X1455:AC1530,2,0),"")</f>
        <v/>
      </c>
      <c r="I1452" s="19" t="str">
        <f>IFERROR(VLOOKUP(H1452,케이블트레이입.출고현황!Y1455:AD1530,2,0),"")</f>
        <v/>
      </c>
      <c r="J1452" s="9">
        <v>2</v>
      </c>
      <c r="K1452" s="9"/>
      <c r="L1452" s="37"/>
      <c r="M1452" s="64"/>
      <c r="N1452" s="4"/>
    </row>
    <row r="1453" spans="1:14" ht="24" customHeight="1">
      <c r="A1453" s="8">
        <v>1333</v>
      </c>
      <c r="B1453" s="9">
        <v>1333</v>
      </c>
      <c r="C1453" s="46"/>
      <c r="D1453" s="9"/>
      <c r="E1453" s="19" t="str">
        <f>IFERROR(VLOOKUP(D1453,케이블트레이입.출고현황!U1456:Z1531,2,0),"")</f>
        <v/>
      </c>
      <c r="F1453" s="19" t="str">
        <f>IFERROR(VLOOKUP(E1453,케이블트레이입.출고현황!V1456:AA1531,2,0),"")</f>
        <v/>
      </c>
      <c r="G1453" s="19" t="str">
        <f>IFERROR(VLOOKUP(F1453,케이블트레이입.출고현황!W1456:AB1531,2,0),"")</f>
        <v/>
      </c>
      <c r="H1453" s="19" t="str">
        <f>IFERROR(VLOOKUP(G1453,케이블트레이입.출고현황!X1456:AC1531,2,0),"")</f>
        <v/>
      </c>
      <c r="I1453" s="19" t="str">
        <f>IFERROR(VLOOKUP(H1453,케이블트레이입.출고현황!Y1456:AD1531,2,0),"")</f>
        <v/>
      </c>
      <c r="J1453" s="9">
        <v>4</v>
      </c>
      <c r="K1453" s="9"/>
      <c r="L1453" s="37"/>
      <c r="M1453" s="64"/>
      <c r="N1453" s="4"/>
    </row>
    <row r="1454" spans="1:14" ht="24" customHeight="1">
      <c r="A1454" s="8">
        <v>1334</v>
      </c>
      <c r="B1454" s="9">
        <v>1334</v>
      </c>
      <c r="C1454" s="46"/>
      <c r="D1454" s="9"/>
      <c r="E1454" s="19" t="str">
        <f>IFERROR(VLOOKUP(D1454,케이블트레이입.출고현황!U1457:Z1532,2,0),"")</f>
        <v/>
      </c>
      <c r="F1454" s="19" t="str">
        <f>IFERROR(VLOOKUP(E1454,케이블트레이입.출고현황!V1457:AA1532,2,0),"")</f>
        <v/>
      </c>
      <c r="G1454" s="19" t="str">
        <f>IFERROR(VLOOKUP(F1454,케이블트레이입.출고현황!W1457:AB1532,2,0),"")</f>
        <v/>
      </c>
      <c r="H1454" s="19" t="str">
        <f>IFERROR(VLOOKUP(G1454,케이블트레이입.출고현황!X1457:AC1532,2,0),"")</f>
        <v/>
      </c>
      <c r="I1454" s="19" t="str">
        <f>IFERROR(VLOOKUP(H1454,케이블트레이입.출고현황!Y1457:AD1532,2,0),"")</f>
        <v/>
      </c>
      <c r="J1454" s="9">
        <v>2</v>
      </c>
      <c r="K1454" s="9"/>
      <c r="L1454" s="37"/>
      <c r="M1454" s="64"/>
      <c r="N1454" s="4"/>
    </row>
    <row r="1455" spans="1:14" ht="24" customHeight="1">
      <c r="A1455" s="8">
        <v>1335</v>
      </c>
      <c r="B1455" s="9">
        <v>1335</v>
      </c>
      <c r="C1455" s="46"/>
      <c r="D1455" s="9"/>
      <c r="E1455" s="19" t="str">
        <f>IFERROR(VLOOKUP(D1455,케이블트레이입.출고현황!U1458:Z1533,2,0),"")</f>
        <v/>
      </c>
      <c r="F1455" s="19" t="str">
        <f>IFERROR(VLOOKUP(E1455,케이블트레이입.출고현황!V1458:AA1533,2,0),"")</f>
        <v/>
      </c>
      <c r="G1455" s="19" t="str">
        <f>IFERROR(VLOOKUP(F1455,케이블트레이입.출고현황!W1458:AB1533,2,0),"")</f>
        <v/>
      </c>
      <c r="H1455" s="19" t="str">
        <f>IFERROR(VLOOKUP(G1455,케이블트레이입.출고현황!X1458:AC1533,2,0),"")</f>
        <v/>
      </c>
      <c r="I1455" s="19" t="str">
        <f>IFERROR(VLOOKUP(H1455,케이블트레이입.출고현황!Y1458:AD1533,2,0),"")</f>
        <v/>
      </c>
      <c r="J1455" s="9">
        <v>4</v>
      </c>
      <c r="K1455" s="9"/>
      <c r="L1455" s="37"/>
      <c r="M1455" s="64"/>
      <c r="N1455" s="4"/>
    </row>
    <row r="1456" spans="1:14" ht="24" customHeight="1">
      <c r="A1456" s="8">
        <v>1336</v>
      </c>
      <c r="B1456" s="9">
        <v>1336</v>
      </c>
      <c r="C1456" s="46"/>
      <c r="D1456" s="9"/>
      <c r="E1456" s="19" t="str">
        <f>IFERROR(VLOOKUP(D1456,케이블트레이입.출고현황!U1459:Z1534,2,0),"")</f>
        <v/>
      </c>
      <c r="F1456" s="19" t="str">
        <f>IFERROR(VLOOKUP(E1456,케이블트레이입.출고현황!V1459:AA1534,2,0),"")</f>
        <v/>
      </c>
      <c r="G1456" s="19" t="str">
        <f>IFERROR(VLOOKUP(F1456,케이블트레이입.출고현황!W1459:AB1534,2,0),"")</f>
        <v/>
      </c>
      <c r="H1456" s="19" t="str">
        <f>IFERROR(VLOOKUP(G1456,케이블트레이입.출고현황!X1459:AC1534,2,0),"")</f>
        <v/>
      </c>
      <c r="I1456" s="19" t="str">
        <f>IFERROR(VLOOKUP(H1456,케이블트레이입.출고현황!Y1459:AD1534,2,0),"")</f>
        <v/>
      </c>
      <c r="J1456" s="9">
        <v>4</v>
      </c>
      <c r="K1456" s="9"/>
      <c r="L1456" s="37"/>
      <c r="M1456" s="64"/>
      <c r="N1456" s="4"/>
    </row>
    <row r="1457" spans="1:14" ht="24" customHeight="1">
      <c r="A1457" s="8">
        <v>1337</v>
      </c>
      <c r="B1457" s="9">
        <v>1337</v>
      </c>
      <c r="C1457" s="46"/>
      <c r="D1457" s="9"/>
      <c r="E1457" s="19" t="str">
        <f>IFERROR(VLOOKUP(D1457,케이블트레이입.출고현황!U1460:Z1535,2,0),"")</f>
        <v/>
      </c>
      <c r="F1457" s="19" t="str">
        <f>IFERROR(VLOOKUP(E1457,케이블트레이입.출고현황!V1460:AA1535,2,0),"")</f>
        <v/>
      </c>
      <c r="G1457" s="19" t="str">
        <f>IFERROR(VLOOKUP(F1457,케이블트레이입.출고현황!W1460:AB1535,2,0),"")</f>
        <v/>
      </c>
      <c r="H1457" s="19" t="str">
        <f>IFERROR(VLOOKUP(G1457,케이블트레이입.출고현황!X1460:AC1535,2,0),"")</f>
        <v/>
      </c>
      <c r="I1457" s="19" t="str">
        <f>IFERROR(VLOOKUP(H1457,케이블트레이입.출고현황!Y1460:AD1535,2,0),"")</f>
        <v/>
      </c>
      <c r="J1457" s="9">
        <v>1</v>
      </c>
      <c r="K1457" s="9"/>
      <c r="L1457" s="37"/>
      <c r="M1457" s="64"/>
      <c r="N1457" s="4"/>
    </row>
    <row r="1458" spans="1:14" ht="24" customHeight="1">
      <c r="A1458" s="8">
        <v>1338</v>
      </c>
      <c r="B1458" s="9">
        <v>1338</v>
      </c>
      <c r="C1458" s="46"/>
      <c r="D1458" s="9"/>
      <c r="E1458" s="19" t="str">
        <f>IFERROR(VLOOKUP(D1458,케이블트레이입.출고현황!U1461:Z1536,2,0),"")</f>
        <v/>
      </c>
      <c r="F1458" s="19" t="str">
        <f>IFERROR(VLOOKUP(E1458,케이블트레이입.출고현황!V1461:AA1536,2,0),"")</f>
        <v/>
      </c>
      <c r="G1458" s="19" t="str">
        <f>IFERROR(VLOOKUP(F1458,케이블트레이입.출고현황!W1461:AB1536,2,0),"")</f>
        <v/>
      </c>
      <c r="H1458" s="19" t="str">
        <f>IFERROR(VLOOKUP(G1458,케이블트레이입.출고현황!X1461:AC1536,2,0),"")</f>
        <v/>
      </c>
      <c r="I1458" s="19" t="str">
        <f>IFERROR(VLOOKUP(H1458,케이블트레이입.출고현황!Y1461:AD1536,2,0),"")</f>
        <v/>
      </c>
      <c r="J1458" s="9">
        <v>1</v>
      </c>
      <c r="K1458" s="9"/>
      <c r="L1458" s="37"/>
      <c r="M1458" s="64"/>
      <c r="N1458" s="4"/>
    </row>
    <row r="1459" spans="1:14" ht="24" customHeight="1">
      <c r="A1459" s="8">
        <v>1339</v>
      </c>
      <c r="B1459" s="9">
        <v>1339</v>
      </c>
      <c r="C1459" s="46"/>
      <c r="D1459" s="9"/>
      <c r="E1459" s="19" t="str">
        <f>IFERROR(VLOOKUP(D1459,케이블트레이입.출고현황!U1462:Z1537,2,0),"")</f>
        <v/>
      </c>
      <c r="F1459" s="19" t="str">
        <f>IFERROR(VLOOKUP(E1459,케이블트레이입.출고현황!V1462:AA1537,2,0),"")</f>
        <v/>
      </c>
      <c r="G1459" s="19" t="str">
        <f>IFERROR(VLOOKUP(F1459,케이블트레이입.출고현황!W1462:AB1537,2,0),"")</f>
        <v/>
      </c>
      <c r="H1459" s="19" t="str">
        <f>IFERROR(VLOOKUP(G1459,케이블트레이입.출고현황!X1462:AC1537,2,0),"")</f>
        <v/>
      </c>
      <c r="I1459" s="19" t="str">
        <f>IFERROR(VLOOKUP(H1459,케이블트레이입.출고현황!Y1462:AD1537,2,0),"")</f>
        <v/>
      </c>
      <c r="J1459" s="9">
        <v>1</v>
      </c>
      <c r="K1459" s="9"/>
      <c r="L1459" s="37"/>
      <c r="M1459" s="64"/>
      <c r="N1459" s="4"/>
    </row>
    <row r="1460" spans="1:14" ht="24" customHeight="1">
      <c r="A1460" s="8">
        <v>1340</v>
      </c>
      <c r="B1460" s="9">
        <v>1340</v>
      </c>
      <c r="C1460" s="46"/>
      <c r="D1460" s="9"/>
      <c r="E1460" s="19" t="str">
        <f>IFERROR(VLOOKUP(D1460,케이블트레이입.출고현황!U1463:Z1538,2,0),"")</f>
        <v/>
      </c>
      <c r="F1460" s="19" t="str">
        <f>IFERROR(VLOOKUP(E1460,케이블트레이입.출고현황!V1463:AA1538,2,0),"")</f>
        <v/>
      </c>
      <c r="G1460" s="19" t="str">
        <f>IFERROR(VLOOKUP(F1460,케이블트레이입.출고현황!W1463:AB1538,2,0),"")</f>
        <v/>
      </c>
      <c r="H1460" s="19" t="str">
        <f>IFERROR(VLOOKUP(G1460,케이블트레이입.출고현황!X1463:AC1538,2,0),"")</f>
        <v/>
      </c>
      <c r="I1460" s="19" t="str">
        <f>IFERROR(VLOOKUP(H1460,케이블트레이입.출고현황!Y1463:AD1538,2,0),"")</f>
        <v/>
      </c>
      <c r="J1460" s="9">
        <v>3</v>
      </c>
      <c r="K1460" s="9"/>
      <c r="L1460" s="37"/>
      <c r="M1460" s="64"/>
      <c r="N1460" s="4"/>
    </row>
    <row r="1461" spans="1:14" ht="24" customHeight="1">
      <c r="A1461" s="8">
        <v>1341</v>
      </c>
      <c r="B1461" s="9">
        <v>1341</v>
      </c>
      <c r="C1461" s="46"/>
      <c r="D1461" s="9"/>
      <c r="E1461" s="19" t="str">
        <f>IFERROR(VLOOKUP(D1461,케이블트레이입.출고현황!U1464:Z1539,2,0),"")</f>
        <v/>
      </c>
      <c r="F1461" s="19" t="str">
        <f>IFERROR(VLOOKUP(E1461,케이블트레이입.출고현황!V1464:AA1539,2,0),"")</f>
        <v/>
      </c>
      <c r="G1461" s="19" t="str">
        <f>IFERROR(VLOOKUP(F1461,케이블트레이입.출고현황!W1464:AB1539,2,0),"")</f>
        <v/>
      </c>
      <c r="H1461" s="19" t="str">
        <f>IFERROR(VLOOKUP(G1461,케이블트레이입.출고현황!X1464:AC1539,2,0),"")</f>
        <v/>
      </c>
      <c r="I1461" s="19" t="str">
        <f>IFERROR(VLOOKUP(H1461,케이블트레이입.출고현황!Y1464:AD1539,2,0),"")</f>
        <v/>
      </c>
      <c r="J1461" s="9">
        <v>2</v>
      </c>
      <c r="K1461" s="9"/>
      <c r="L1461" s="37"/>
      <c r="M1461" s="64"/>
      <c r="N1461" s="4"/>
    </row>
    <row r="1462" spans="1:14" ht="24" customHeight="1">
      <c r="A1462" s="8">
        <v>1342</v>
      </c>
      <c r="B1462" s="9">
        <v>1342</v>
      </c>
      <c r="C1462" s="46"/>
      <c r="D1462" s="9"/>
      <c r="E1462" s="19" t="str">
        <f>IFERROR(VLOOKUP(D1462,케이블트레이입.출고현황!U1465:Z1540,2,0),"")</f>
        <v/>
      </c>
      <c r="F1462" s="19" t="str">
        <f>IFERROR(VLOOKUP(E1462,케이블트레이입.출고현황!V1465:AA1540,2,0),"")</f>
        <v/>
      </c>
      <c r="G1462" s="19" t="str">
        <f>IFERROR(VLOOKUP(F1462,케이블트레이입.출고현황!W1465:AB1540,2,0),"")</f>
        <v/>
      </c>
      <c r="H1462" s="19" t="str">
        <f>IFERROR(VLOOKUP(G1462,케이블트레이입.출고현황!X1465:AC1540,2,0),"")</f>
        <v/>
      </c>
      <c r="I1462" s="19" t="str">
        <f>IFERROR(VLOOKUP(H1462,케이블트레이입.출고현황!Y1465:AD1540,2,0),"")</f>
        <v/>
      </c>
      <c r="J1462" s="9">
        <v>1</v>
      </c>
      <c r="K1462" s="9"/>
      <c r="L1462" s="37"/>
      <c r="M1462" s="64"/>
      <c r="N1462" s="4"/>
    </row>
    <row r="1463" spans="1:14" ht="24" customHeight="1">
      <c r="A1463" s="8">
        <v>1343</v>
      </c>
      <c r="B1463" s="9">
        <v>1343</v>
      </c>
      <c r="C1463" s="46"/>
      <c r="D1463" s="9"/>
      <c r="E1463" s="19" t="str">
        <f>IFERROR(VLOOKUP(D1463,케이블트레이입.출고현황!U1466:Z1541,2,0),"")</f>
        <v/>
      </c>
      <c r="F1463" s="19" t="str">
        <f>IFERROR(VLOOKUP(E1463,케이블트레이입.출고현황!V1466:AA1541,2,0),"")</f>
        <v/>
      </c>
      <c r="G1463" s="19" t="str">
        <f>IFERROR(VLOOKUP(F1463,케이블트레이입.출고현황!W1466:AB1541,2,0),"")</f>
        <v/>
      </c>
      <c r="H1463" s="19" t="str">
        <f>IFERROR(VLOOKUP(G1463,케이블트레이입.출고현황!X1466:AC1541,2,0),"")</f>
        <v/>
      </c>
      <c r="I1463" s="19" t="str">
        <f>IFERROR(VLOOKUP(H1463,케이블트레이입.출고현황!Y1466:AD1541,2,0),"")</f>
        <v/>
      </c>
      <c r="J1463" s="9">
        <v>1</v>
      </c>
      <c r="K1463" s="9"/>
      <c r="L1463" s="37"/>
      <c r="M1463" s="64"/>
      <c r="N1463" s="4"/>
    </row>
    <row r="1464" spans="1:14" ht="24" customHeight="1">
      <c r="A1464" s="8">
        <v>1344</v>
      </c>
      <c r="B1464" s="9">
        <v>1344</v>
      </c>
      <c r="C1464" s="46"/>
      <c r="D1464" s="9"/>
      <c r="E1464" s="19" t="str">
        <f>IFERROR(VLOOKUP(D1464,케이블트레이입.출고현황!U1467:Z1542,2,0),"")</f>
        <v/>
      </c>
      <c r="F1464" s="19" t="str">
        <f>IFERROR(VLOOKUP(E1464,케이블트레이입.출고현황!V1467:AA1542,2,0),"")</f>
        <v/>
      </c>
      <c r="G1464" s="19" t="str">
        <f>IFERROR(VLOOKUP(F1464,케이블트레이입.출고현황!W1467:AB1542,2,0),"")</f>
        <v/>
      </c>
      <c r="H1464" s="19" t="str">
        <f>IFERROR(VLOOKUP(G1464,케이블트레이입.출고현황!X1467:AC1542,2,0),"")</f>
        <v/>
      </c>
      <c r="I1464" s="19" t="str">
        <f>IFERROR(VLOOKUP(H1464,케이블트레이입.출고현황!Y1467:AD1542,2,0),"")</f>
        <v/>
      </c>
      <c r="J1464" s="9">
        <v>2</v>
      </c>
      <c r="K1464" s="9"/>
      <c r="L1464" s="37"/>
      <c r="M1464" s="64"/>
      <c r="N1464" s="4"/>
    </row>
    <row r="1465" spans="1:14" ht="24" customHeight="1">
      <c r="A1465" s="8">
        <v>1345</v>
      </c>
      <c r="B1465" s="9">
        <v>1345</v>
      </c>
      <c r="C1465" s="46"/>
      <c r="D1465" s="9"/>
      <c r="E1465" s="19" t="str">
        <f>IFERROR(VLOOKUP(D1465,케이블트레이입.출고현황!U1468:Z1543,2,0),"")</f>
        <v/>
      </c>
      <c r="F1465" s="19" t="str">
        <f>IFERROR(VLOOKUP(E1465,케이블트레이입.출고현황!V1468:AA1543,2,0),"")</f>
        <v/>
      </c>
      <c r="G1465" s="19" t="str">
        <f>IFERROR(VLOOKUP(F1465,케이블트레이입.출고현황!W1468:AB1543,2,0),"")</f>
        <v/>
      </c>
      <c r="H1465" s="19" t="str">
        <f>IFERROR(VLOOKUP(G1465,케이블트레이입.출고현황!X1468:AC1543,2,0),"")</f>
        <v/>
      </c>
      <c r="I1465" s="19" t="str">
        <f>IFERROR(VLOOKUP(H1465,케이블트레이입.출고현황!Y1468:AD1543,2,0),"")</f>
        <v/>
      </c>
      <c r="J1465" s="9">
        <v>4</v>
      </c>
      <c r="K1465" s="9"/>
      <c r="L1465" s="37"/>
      <c r="M1465" s="64"/>
      <c r="N1465" s="4"/>
    </row>
    <row r="1466" spans="1:14" ht="24" customHeight="1">
      <c r="A1466" s="8">
        <v>1346</v>
      </c>
      <c r="B1466" s="9">
        <v>1346</v>
      </c>
      <c r="C1466" s="46"/>
      <c r="D1466" s="9"/>
      <c r="E1466" s="19" t="str">
        <f>IFERROR(VLOOKUP(D1466,케이블트레이입.출고현황!U1469:Z1544,2,0),"")</f>
        <v/>
      </c>
      <c r="F1466" s="19" t="str">
        <f>IFERROR(VLOOKUP(E1466,케이블트레이입.출고현황!V1469:AA1544,2,0),"")</f>
        <v/>
      </c>
      <c r="G1466" s="19" t="str">
        <f>IFERROR(VLOOKUP(F1466,케이블트레이입.출고현황!W1469:AB1544,2,0),"")</f>
        <v/>
      </c>
      <c r="H1466" s="19" t="str">
        <f>IFERROR(VLOOKUP(G1466,케이블트레이입.출고현황!X1469:AC1544,2,0),"")</f>
        <v/>
      </c>
      <c r="I1466" s="19" t="str">
        <f>IFERROR(VLOOKUP(H1466,케이블트레이입.출고현황!Y1469:AD1544,2,0),"")</f>
        <v/>
      </c>
      <c r="J1466" s="9">
        <v>2</v>
      </c>
      <c r="K1466" s="9"/>
      <c r="L1466" s="37"/>
      <c r="M1466" s="64"/>
      <c r="N1466" s="4"/>
    </row>
    <row r="1467" spans="1:14" ht="24" customHeight="1">
      <c r="A1467" s="8">
        <v>1347</v>
      </c>
      <c r="B1467" s="9">
        <v>1347</v>
      </c>
      <c r="C1467" s="46"/>
      <c r="D1467" s="9"/>
      <c r="E1467" s="19" t="str">
        <f>IFERROR(VLOOKUP(D1467,케이블트레이입.출고현황!U1470:Z1545,2,0),"")</f>
        <v/>
      </c>
      <c r="F1467" s="19" t="str">
        <f>IFERROR(VLOOKUP(E1467,케이블트레이입.출고현황!V1470:AA1545,2,0),"")</f>
        <v/>
      </c>
      <c r="G1467" s="19" t="str">
        <f>IFERROR(VLOOKUP(F1467,케이블트레이입.출고현황!W1470:AB1545,2,0),"")</f>
        <v/>
      </c>
      <c r="H1467" s="19" t="str">
        <f>IFERROR(VLOOKUP(G1467,케이블트레이입.출고현황!X1470:AC1545,2,0),"")</f>
        <v/>
      </c>
      <c r="I1467" s="19" t="str">
        <f>IFERROR(VLOOKUP(H1467,케이블트레이입.출고현황!Y1470:AD1545,2,0),"")</f>
        <v/>
      </c>
      <c r="J1467" s="9">
        <v>3</v>
      </c>
      <c r="K1467" s="9"/>
      <c r="L1467" s="37"/>
      <c r="M1467" s="64"/>
      <c r="N1467" s="4"/>
    </row>
    <row r="1468" spans="1:14" ht="24" customHeight="1">
      <c r="A1468" s="8">
        <v>1348</v>
      </c>
      <c r="B1468" s="9">
        <v>1348</v>
      </c>
      <c r="C1468" s="46"/>
      <c r="D1468" s="9"/>
      <c r="E1468" s="19" t="str">
        <f>IFERROR(VLOOKUP(D1468,케이블트레이입.출고현황!U1471:Z1546,2,0),"")</f>
        <v/>
      </c>
      <c r="F1468" s="19" t="str">
        <f>IFERROR(VLOOKUP(E1468,케이블트레이입.출고현황!V1471:AA1546,2,0),"")</f>
        <v/>
      </c>
      <c r="G1468" s="19" t="str">
        <f>IFERROR(VLOOKUP(F1468,케이블트레이입.출고현황!W1471:AB1546,2,0),"")</f>
        <v/>
      </c>
      <c r="H1468" s="19" t="str">
        <f>IFERROR(VLOOKUP(G1468,케이블트레이입.출고현황!X1471:AC1546,2,0),"")</f>
        <v/>
      </c>
      <c r="I1468" s="19" t="str">
        <f>IFERROR(VLOOKUP(H1468,케이블트레이입.출고현황!Y1471:AD1546,2,0),"")</f>
        <v/>
      </c>
      <c r="J1468" s="9">
        <v>1</v>
      </c>
      <c r="K1468" s="9"/>
      <c r="L1468" s="37"/>
      <c r="M1468" s="64"/>
      <c r="N1468" s="4"/>
    </row>
    <row r="1469" spans="1:14" ht="24" customHeight="1">
      <c r="A1469" s="8">
        <v>1349</v>
      </c>
      <c r="B1469" s="9">
        <v>1349</v>
      </c>
      <c r="C1469" s="46"/>
      <c r="D1469" s="9"/>
      <c r="E1469" s="19" t="str">
        <f>IFERROR(VLOOKUP(D1469,케이블트레이입.출고현황!U1472:Z1547,2,0),"")</f>
        <v/>
      </c>
      <c r="F1469" s="19" t="str">
        <f>IFERROR(VLOOKUP(E1469,케이블트레이입.출고현황!V1472:AA1547,2,0),"")</f>
        <v/>
      </c>
      <c r="G1469" s="19" t="str">
        <f>IFERROR(VLOOKUP(F1469,케이블트레이입.출고현황!W1472:AB1547,2,0),"")</f>
        <v/>
      </c>
      <c r="H1469" s="19" t="str">
        <f>IFERROR(VLOOKUP(G1469,케이블트레이입.출고현황!X1472:AC1547,2,0),"")</f>
        <v/>
      </c>
      <c r="I1469" s="19" t="str">
        <f>IFERROR(VLOOKUP(H1469,케이블트레이입.출고현황!Y1472:AD1547,2,0),"")</f>
        <v/>
      </c>
      <c r="J1469" s="9">
        <v>1</v>
      </c>
      <c r="K1469" s="9"/>
      <c r="L1469" s="37"/>
      <c r="M1469" s="64"/>
      <c r="N1469" s="4"/>
    </row>
    <row r="1470" spans="1:14" ht="24" customHeight="1">
      <c r="A1470" s="8">
        <v>1350</v>
      </c>
      <c r="B1470" s="9">
        <v>1350</v>
      </c>
      <c r="C1470" s="46"/>
      <c r="D1470" s="9"/>
      <c r="E1470" s="19" t="str">
        <f>IFERROR(VLOOKUP(D1470,케이블트레이입.출고현황!U1473:Z1548,2,0),"")</f>
        <v/>
      </c>
      <c r="F1470" s="19" t="str">
        <f>IFERROR(VLOOKUP(E1470,케이블트레이입.출고현황!V1473:AA1548,2,0),"")</f>
        <v/>
      </c>
      <c r="G1470" s="19" t="str">
        <f>IFERROR(VLOOKUP(F1470,케이블트레이입.출고현황!W1473:AB1548,2,0),"")</f>
        <v/>
      </c>
      <c r="H1470" s="19" t="str">
        <f>IFERROR(VLOOKUP(G1470,케이블트레이입.출고현황!X1473:AC1548,2,0),"")</f>
        <v/>
      </c>
      <c r="I1470" s="19" t="str">
        <f>IFERROR(VLOOKUP(H1470,케이블트레이입.출고현황!Y1473:AD1548,2,0),"")</f>
        <v/>
      </c>
      <c r="J1470" s="9">
        <v>1</v>
      </c>
      <c r="K1470" s="9"/>
      <c r="L1470" s="37"/>
      <c r="M1470" s="64"/>
      <c r="N1470" s="4"/>
    </row>
    <row r="1471" spans="1:14" ht="24" customHeight="1">
      <c r="A1471" s="8">
        <v>1351</v>
      </c>
      <c r="B1471" s="9">
        <v>1351</v>
      </c>
      <c r="C1471" s="46"/>
      <c r="D1471" s="9"/>
      <c r="E1471" s="19" t="str">
        <f>IFERROR(VLOOKUP(D1471,케이블트레이입.출고현황!U1474:Z1549,2,0),"")</f>
        <v/>
      </c>
      <c r="F1471" s="19" t="str">
        <f>IFERROR(VLOOKUP(E1471,케이블트레이입.출고현황!V1474:AA1549,2,0),"")</f>
        <v/>
      </c>
      <c r="G1471" s="19" t="str">
        <f>IFERROR(VLOOKUP(F1471,케이블트레이입.출고현황!W1474:AB1549,2,0),"")</f>
        <v/>
      </c>
      <c r="H1471" s="19" t="str">
        <f>IFERROR(VLOOKUP(G1471,케이블트레이입.출고현황!X1474:AC1549,2,0),"")</f>
        <v/>
      </c>
      <c r="I1471" s="19" t="str">
        <f>IFERROR(VLOOKUP(H1471,케이블트레이입.출고현황!Y1474:AD1549,2,0),"")</f>
        <v/>
      </c>
      <c r="J1471" s="9">
        <v>1</v>
      </c>
      <c r="K1471" s="9"/>
      <c r="L1471" s="37"/>
      <c r="M1471" s="64"/>
      <c r="N1471" s="4"/>
    </row>
    <row r="1472" spans="1:14" ht="24" customHeight="1">
      <c r="A1472" s="8">
        <v>1352</v>
      </c>
      <c r="B1472" s="9">
        <v>1352</v>
      </c>
      <c r="C1472" s="46"/>
      <c r="D1472" s="9"/>
      <c r="E1472" s="19" t="str">
        <f>IFERROR(VLOOKUP(D1472,케이블트레이입.출고현황!U1475:Z1550,2,0),"")</f>
        <v/>
      </c>
      <c r="F1472" s="19" t="str">
        <f>IFERROR(VLOOKUP(E1472,케이블트레이입.출고현황!V1475:AA1550,2,0),"")</f>
        <v/>
      </c>
      <c r="G1472" s="19" t="str">
        <f>IFERROR(VLOOKUP(F1472,케이블트레이입.출고현황!W1475:AB1550,2,0),"")</f>
        <v/>
      </c>
      <c r="H1472" s="19" t="str">
        <f>IFERROR(VLOOKUP(G1472,케이블트레이입.출고현황!X1475:AC1550,2,0),"")</f>
        <v/>
      </c>
      <c r="I1472" s="19" t="str">
        <f>IFERROR(VLOOKUP(H1472,케이블트레이입.출고현황!Y1475:AD1550,2,0),"")</f>
        <v/>
      </c>
      <c r="J1472" s="9">
        <v>2</v>
      </c>
      <c r="K1472" s="9"/>
      <c r="L1472" s="37"/>
      <c r="M1472" s="64"/>
      <c r="N1472" s="4"/>
    </row>
    <row r="1473" spans="1:14" ht="24" customHeight="1">
      <c r="A1473" s="8">
        <v>1353</v>
      </c>
      <c r="B1473" s="9">
        <v>1353</v>
      </c>
      <c r="C1473" s="46"/>
      <c r="D1473" s="9"/>
      <c r="E1473" s="19" t="str">
        <f>IFERROR(VLOOKUP(D1473,케이블트레이입.출고현황!U1476:Z1551,2,0),"")</f>
        <v/>
      </c>
      <c r="F1473" s="19" t="str">
        <f>IFERROR(VLOOKUP(E1473,케이블트레이입.출고현황!V1476:AA1551,2,0),"")</f>
        <v/>
      </c>
      <c r="G1473" s="19" t="str">
        <f>IFERROR(VLOOKUP(F1473,케이블트레이입.출고현황!W1476:AB1551,2,0),"")</f>
        <v/>
      </c>
      <c r="H1473" s="19" t="str">
        <f>IFERROR(VLOOKUP(G1473,케이블트레이입.출고현황!X1476:AC1551,2,0),"")</f>
        <v/>
      </c>
      <c r="I1473" s="19" t="str">
        <f>IFERROR(VLOOKUP(H1473,케이블트레이입.출고현황!Y1476:AD1551,2,0),"")</f>
        <v/>
      </c>
      <c r="J1473" s="9">
        <v>3</v>
      </c>
      <c r="K1473" s="9"/>
      <c r="L1473" s="37"/>
      <c r="M1473" s="64"/>
      <c r="N1473" s="4"/>
    </row>
    <row r="1474" spans="1:14" ht="24" customHeight="1">
      <c r="A1474" s="8">
        <v>1354</v>
      </c>
      <c r="B1474" s="9">
        <v>1354</v>
      </c>
      <c r="C1474" s="46"/>
      <c r="D1474" s="9"/>
      <c r="E1474" s="19" t="str">
        <f>IFERROR(VLOOKUP(D1474,케이블트레이입.출고현황!U1477:Z1552,2,0),"")</f>
        <v/>
      </c>
      <c r="F1474" s="19" t="str">
        <f>IFERROR(VLOOKUP(E1474,케이블트레이입.출고현황!V1477:AA1552,2,0),"")</f>
        <v/>
      </c>
      <c r="G1474" s="19" t="str">
        <f>IFERROR(VLOOKUP(F1474,케이블트레이입.출고현황!W1477:AB1552,2,0),"")</f>
        <v/>
      </c>
      <c r="H1474" s="19" t="str">
        <f>IFERROR(VLOOKUP(G1474,케이블트레이입.출고현황!X1477:AC1552,2,0),"")</f>
        <v/>
      </c>
      <c r="I1474" s="19" t="str">
        <f>IFERROR(VLOOKUP(H1474,케이블트레이입.출고현황!Y1477:AD1552,2,0),"")</f>
        <v/>
      </c>
      <c r="J1474" s="9">
        <v>3</v>
      </c>
      <c r="K1474" s="9"/>
      <c r="L1474" s="37"/>
      <c r="M1474" s="64"/>
      <c r="N1474" s="4"/>
    </row>
    <row r="1475" spans="1:14" ht="24" customHeight="1">
      <c r="A1475" s="8">
        <v>1355</v>
      </c>
      <c r="B1475" s="9">
        <v>1355</v>
      </c>
      <c r="C1475" s="46"/>
      <c r="D1475" s="9"/>
      <c r="E1475" s="19" t="str">
        <f>IFERROR(VLOOKUP(D1475,케이블트레이입.출고현황!U1478:Z1553,2,0),"")</f>
        <v/>
      </c>
      <c r="F1475" s="19" t="str">
        <f>IFERROR(VLOOKUP(E1475,케이블트레이입.출고현황!V1478:AA1553,2,0),"")</f>
        <v/>
      </c>
      <c r="G1475" s="19" t="str">
        <f>IFERROR(VLOOKUP(F1475,케이블트레이입.출고현황!W1478:AB1553,2,0),"")</f>
        <v/>
      </c>
      <c r="H1475" s="19" t="str">
        <f>IFERROR(VLOOKUP(G1475,케이블트레이입.출고현황!X1478:AC1553,2,0),"")</f>
        <v/>
      </c>
      <c r="I1475" s="19" t="str">
        <f>IFERROR(VLOOKUP(H1475,케이블트레이입.출고현황!Y1478:AD1553,2,0),"")</f>
        <v/>
      </c>
      <c r="J1475" s="9">
        <v>1</v>
      </c>
      <c r="K1475" s="9"/>
      <c r="L1475" s="37"/>
      <c r="M1475" s="64"/>
      <c r="N1475" s="4"/>
    </row>
    <row r="1476" spans="1:14" ht="24" customHeight="1">
      <c r="A1476" s="8">
        <v>1356</v>
      </c>
      <c r="B1476" s="9">
        <v>1356</v>
      </c>
      <c r="C1476" s="46"/>
      <c r="D1476" s="9"/>
      <c r="E1476" s="19" t="str">
        <f>IFERROR(VLOOKUP(D1476,케이블트레이입.출고현황!U1479:Z1554,2,0),"")</f>
        <v/>
      </c>
      <c r="F1476" s="19" t="str">
        <f>IFERROR(VLOOKUP(E1476,케이블트레이입.출고현황!V1479:AA1554,2,0),"")</f>
        <v/>
      </c>
      <c r="G1476" s="19" t="str">
        <f>IFERROR(VLOOKUP(F1476,케이블트레이입.출고현황!W1479:AB1554,2,0),"")</f>
        <v/>
      </c>
      <c r="H1476" s="19" t="str">
        <f>IFERROR(VLOOKUP(G1476,케이블트레이입.출고현황!X1479:AC1554,2,0),"")</f>
        <v/>
      </c>
      <c r="I1476" s="19" t="str">
        <f>IFERROR(VLOOKUP(H1476,케이블트레이입.출고현황!Y1479:AD1554,2,0),"")</f>
        <v/>
      </c>
      <c r="J1476" s="9">
        <v>1</v>
      </c>
      <c r="K1476" s="9"/>
      <c r="L1476" s="37"/>
      <c r="M1476" s="64"/>
      <c r="N1476" s="4"/>
    </row>
    <row r="1477" spans="1:14" ht="24" customHeight="1">
      <c r="A1477" s="8">
        <v>1357</v>
      </c>
      <c r="B1477" s="9">
        <v>1357</v>
      </c>
      <c r="C1477" s="46"/>
      <c r="D1477" s="9"/>
      <c r="E1477" s="19" t="str">
        <f>IFERROR(VLOOKUP(D1477,케이블트레이입.출고현황!U1480:Z1555,2,0),"")</f>
        <v/>
      </c>
      <c r="F1477" s="19" t="str">
        <f>IFERROR(VLOOKUP(E1477,케이블트레이입.출고현황!V1480:AA1555,2,0),"")</f>
        <v/>
      </c>
      <c r="G1477" s="19" t="str">
        <f>IFERROR(VLOOKUP(F1477,케이블트레이입.출고현황!W1480:AB1555,2,0),"")</f>
        <v/>
      </c>
      <c r="H1477" s="19" t="str">
        <f>IFERROR(VLOOKUP(G1477,케이블트레이입.출고현황!X1480:AC1555,2,0),"")</f>
        <v/>
      </c>
      <c r="I1477" s="19" t="str">
        <f>IFERROR(VLOOKUP(H1477,케이블트레이입.출고현황!Y1480:AD1555,2,0),"")</f>
        <v/>
      </c>
      <c r="J1477" s="9">
        <v>1</v>
      </c>
      <c r="K1477" s="9"/>
      <c r="L1477" s="37"/>
      <c r="M1477" s="64"/>
      <c r="N1477" s="4"/>
    </row>
    <row r="1478" spans="1:14" ht="24" customHeight="1">
      <c r="A1478" s="8">
        <v>1358</v>
      </c>
      <c r="B1478" s="9">
        <v>1358</v>
      </c>
      <c r="C1478" s="46"/>
      <c r="D1478" s="9"/>
      <c r="E1478" s="19" t="str">
        <f>IFERROR(VLOOKUP(D1478,케이블트레이입.출고현황!U1481:Z1556,2,0),"")</f>
        <v/>
      </c>
      <c r="F1478" s="19" t="str">
        <f>IFERROR(VLOOKUP(E1478,케이블트레이입.출고현황!V1481:AA1556,2,0),"")</f>
        <v/>
      </c>
      <c r="G1478" s="19" t="str">
        <f>IFERROR(VLOOKUP(F1478,케이블트레이입.출고현황!W1481:AB1556,2,0),"")</f>
        <v/>
      </c>
      <c r="H1478" s="19" t="str">
        <f>IFERROR(VLOOKUP(G1478,케이블트레이입.출고현황!X1481:AC1556,2,0),"")</f>
        <v/>
      </c>
      <c r="I1478" s="19" t="str">
        <f>IFERROR(VLOOKUP(H1478,케이블트레이입.출고현황!Y1481:AD1556,2,0),"")</f>
        <v/>
      </c>
      <c r="J1478" s="9">
        <v>3</v>
      </c>
      <c r="K1478" s="9"/>
      <c r="L1478" s="37"/>
      <c r="M1478" s="64"/>
      <c r="N1478" s="4"/>
    </row>
    <row r="1479" spans="1:14" ht="24" customHeight="1">
      <c r="A1479" s="8">
        <v>1319</v>
      </c>
      <c r="B1479" s="9">
        <v>1319</v>
      </c>
      <c r="C1479" s="46"/>
      <c r="D1479" s="9"/>
      <c r="E1479" s="19" t="str">
        <f>IFERROR(VLOOKUP(D1479,케이블트레이입.출고현황!U1482:Z1557,2,0),"")</f>
        <v/>
      </c>
      <c r="F1479" s="19" t="str">
        <f>IFERROR(VLOOKUP(E1479,케이블트레이입.출고현황!V1482:AA1557,2,0),"")</f>
        <v/>
      </c>
      <c r="G1479" s="19" t="str">
        <f>IFERROR(VLOOKUP(F1479,케이블트레이입.출고현황!W1482:AB1557,2,0),"")</f>
        <v/>
      </c>
      <c r="H1479" s="19" t="str">
        <f>IFERROR(VLOOKUP(G1479,케이블트레이입.출고현황!X1482:AC1557,2,0),"")</f>
        <v/>
      </c>
      <c r="I1479" s="19" t="str">
        <f>IFERROR(VLOOKUP(H1479,케이블트레이입.출고현황!Y1482:AD1557,2,0),"")</f>
        <v/>
      </c>
      <c r="J1479" s="9">
        <v>2</v>
      </c>
      <c r="K1479" s="9"/>
      <c r="L1479" s="37"/>
      <c r="M1479" s="64"/>
      <c r="N1479" s="4"/>
    </row>
    <row r="1480" spans="1:14" ht="24" customHeight="1">
      <c r="A1480" s="8">
        <v>1320</v>
      </c>
      <c r="B1480" s="9">
        <v>1320</v>
      </c>
      <c r="C1480" s="46"/>
      <c r="D1480" s="9"/>
      <c r="E1480" s="19" t="str">
        <f>IFERROR(VLOOKUP(D1480,케이블트레이입.출고현황!U1483:Z1558,2,0),"")</f>
        <v/>
      </c>
      <c r="F1480" s="19" t="str">
        <f>IFERROR(VLOOKUP(E1480,케이블트레이입.출고현황!V1483:AA1558,2,0),"")</f>
        <v/>
      </c>
      <c r="G1480" s="19" t="str">
        <f>IFERROR(VLOOKUP(F1480,케이블트레이입.출고현황!W1483:AB1558,2,0),"")</f>
        <v/>
      </c>
      <c r="H1480" s="19" t="str">
        <f>IFERROR(VLOOKUP(G1480,케이블트레이입.출고현황!X1483:AC1558,2,0),"")</f>
        <v/>
      </c>
      <c r="I1480" s="19" t="str">
        <f>IFERROR(VLOOKUP(H1480,케이블트레이입.출고현황!Y1483:AD1558,2,0),"")</f>
        <v/>
      </c>
      <c r="J1480" s="9">
        <v>1</v>
      </c>
      <c r="K1480" s="9"/>
      <c r="L1480" s="37"/>
      <c r="M1480" s="64"/>
      <c r="N1480" s="4"/>
    </row>
    <row r="1481" spans="1:14" ht="24" customHeight="1">
      <c r="A1481" s="8">
        <v>1321</v>
      </c>
      <c r="B1481" s="9">
        <v>1321</v>
      </c>
      <c r="C1481" s="46"/>
      <c r="D1481" s="9"/>
      <c r="E1481" s="19" t="str">
        <f>IFERROR(VLOOKUP(D1481,케이블트레이입.출고현황!U1484:Z1559,2,0),"")</f>
        <v/>
      </c>
      <c r="F1481" s="19" t="str">
        <f>IFERROR(VLOOKUP(E1481,케이블트레이입.출고현황!V1484:AA1559,2,0),"")</f>
        <v/>
      </c>
      <c r="G1481" s="19" t="str">
        <f>IFERROR(VLOOKUP(F1481,케이블트레이입.출고현황!W1484:AB1559,2,0),"")</f>
        <v/>
      </c>
      <c r="H1481" s="19" t="str">
        <f>IFERROR(VLOOKUP(G1481,케이블트레이입.출고현황!X1484:AC1559,2,0),"")</f>
        <v/>
      </c>
      <c r="I1481" s="19" t="str">
        <f>IFERROR(VLOOKUP(H1481,케이블트레이입.출고현황!Y1484:AD1559,2,0),"")</f>
        <v/>
      </c>
      <c r="J1481" s="9">
        <v>2</v>
      </c>
      <c r="K1481" s="9"/>
      <c r="L1481" s="37"/>
      <c r="M1481" s="64"/>
      <c r="N1481" s="4"/>
    </row>
    <row r="1482" spans="1:14" ht="24" customHeight="1">
      <c r="A1482" s="8">
        <v>1322</v>
      </c>
      <c r="B1482" s="9">
        <v>1322</v>
      </c>
      <c r="C1482" s="46"/>
      <c r="D1482" s="9"/>
      <c r="E1482" s="19" t="str">
        <f>IFERROR(VLOOKUP(D1482,케이블트레이입.출고현황!U1485:Z1560,2,0),"")</f>
        <v/>
      </c>
      <c r="F1482" s="19" t="str">
        <f>IFERROR(VLOOKUP(E1482,케이블트레이입.출고현황!V1485:AA1560,2,0),"")</f>
        <v/>
      </c>
      <c r="G1482" s="19" t="str">
        <f>IFERROR(VLOOKUP(F1482,케이블트레이입.출고현황!W1485:AB1560,2,0),"")</f>
        <v/>
      </c>
      <c r="H1482" s="19" t="str">
        <f>IFERROR(VLOOKUP(G1482,케이블트레이입.출고현황!X1485:AC1560,2,0),"")</f>
        <v/>
      </c>
      <c r="I1482" s="19" t="str">
        <f>IFERROR(VLOOKUP(H1482,케이블트레이입.출고현황!Y1485:AD1560,2,0),"")</f>
        <v/>
      </c>
      <c r="J1482" s="9">
        <v>4</v>
      </c>
      <c r="K1482" s="9"/>
      <c r="L1482" s="37"/>
      <c r="M1482" s="64"/>
      <c r="N1482" s="4"/>
    </row>
    <row r="1483" spans="1:14" ht="24" customHeight="1">
      <c r="A1483" s="8">
        <v>1323</v>
      </c>
      <c r="B1483" s="9">
        <v>1323</v>
      </c>
      <c r="C1483" s="46"/>
      <c r="D1483" s="9"/>
      <c r="E1483" s="19" t="str">
        <f>IFERROR(VLOOKUP(D1483,케이블트레이입.출고현황!U1486:Z1561,2,0),"")</f>
        <v/>
      </c>
      <c r="F1483" s="19" t="str">
        <f>IFERROR(VLOOKUP(E1483,케이블트레이입.출고현황!V1486:AA1561,2,0),"")</f>
        <v/>
      </c>
      <c r="G1483" s="19" t="str">
        <f>IFERROR(VLOOKUP(F1483,케이블트레이입.출고현황!W1486:AB1561,2,0),"")</f>
        <v/>
      </c>
      <c r="H1483" s="19" t="str">
        <f>IFERROR(VLOOKUP(G1483,케이블트레이입.출고현황!X1486:AC1561,2,0),"")</f>
        <v/>
      </c>
      <c r="I1483" s="19" t="str">
        <f>IFERROR(VLOOKUP(H1483,케이블트레이입.출고현황!Y1486:AD1561,2,0),"")</f>
        <v/>
      </c>
      <c r="J1483" s="9" t="s">
        <v>634</v>
      </c>
      <c r="K1483" s="9"/>
      <c r="L1483" s="37"/>
      <c r="M1483" s="64"/>
      <c r="N1483" s="4"/>
    </row>
    <row r="1484" spans="1:14" ht="24" customHeight="1">
      <c r="A1484" s="8">
        <v>1324</v>
      </c>
      <c r="B1484" s="253">
        <v>1324</v>
      </c>
      <c r="C1484" s="254"/>
      <c r="D1484" s="253"/>
      <c r="E1484" s="19" t="str">
        <f>IFERROR(VLOOKUP(D1484,케이블트레이입.출고현황!U1487:Z1562,2,0),"")</f>
        <v/>
      </c>
      <c r="F1484" s="19" t="str">
        <f>IFERROR(VLOOKUP(E1484,케이블트레이입.출고현황!V1487:AA1562,2,0),"")</f>
        <v/>
      </c>
      <c r="G1484" s="19" t="str">
        <f>IFERROR(VLOOKUP(F1484,케이블트레이입.출고현황!W1487:AB1562,2,0),"")</f>
        <v/>
      </c>
      <c r="H1484" s="19" t="str">
        <f>IFERROR(VLOOKUP(G1484,케이블트레이입.출고현황!X1487:AC1562,2,0),"")</f>
        <v/>
      </c>
      <c r="I1484" s="19" t="str">
        <f>IFERROR(VLOOKUP(H1484,케이블트레이입.출고현황!Y1487:AD1562,2,0),"")</f>
        <v/>
      </c>
      <c r="J1484" s="253">
        <v>1</v>
      </c>
      <c r="K1484" s="253"/>
      <c r="L1484" s="255"/>
      <c r="M1484" s="256"/>
      <c r="N1484" s="337"/>
    </row>
    <row r="1485" spans="1:14" ht="24" customHeight="1">
      <c r="A1485" s="8">
        <v>1325</v>
      </c>
      <c r="B1485" s="253">
        <v>1325</v>
      </c>
      <c r="C1485" s="254"/>
      <c r="D1485" s="253"/>
      <c r="E1485" s="19" t="str">
        <f>IFERROR(VLOOKUP(D1485,케이블트레이입.출고현황!U1488:Z1563,2,0),"")</f>
        <v/>
      </c>
      <c r="F1485" s="19" t="str">
        <f>IFERROR(VLOOKUP(E1485,케이블트레이입.출고현황!V1488:AA1563,2,0),"")</f>
        <v/>
      </c>
      <c r="G1485" s="19" t="str">
        <f>IFERROR(VLOOKUP(F1485,케이블트레이입.출고현황!W1488:AB1563,2,0),"")</f>
        <v/>
      </c>
      <c r="H1485" s="19" t="str">
        <f>IFERROR(VLOOKUP(G1485,케이블트레이입.출고현황!X1488:AC1563,2,0),"")</f>
        <v/>
      </c>
      <c r="I1485" s="19" t="str">
        <f>IFERROR(VLOOKUP(H1485,케이블트레이입.출고현황!Y1488:AD1563,2,0),"")</f>
        <v/>
      </c>
      <c r="J1485" s="253">
        <v>1</v>
      </c>
      <c r="K1485" s="253"/>
      <c r="L1485" s="255"/>
      <c r="M1485" s="256"/>
      <c r="N1485" s="337"/>
    </row>
    <row r="1486" spans="1:14" ht="24" customHeight="1">
      <c r="A1486" s="8">
        <v>1326</v>
      </c>
      <c r="B1486" s="253">
        <v>1326</v>
      </c>
      <c r="C1486" s="254"/>
      <c r="D1486" s="253"/>
      <c r="E1486" s="19" t="str">
        <f>IFERROR(VLOOKUP(D1486,케이블트레이입.출고현황!U1489:Z1564,2,0),"")</f>
        <v/>
      </c>
      <c r="F1486" s="19" t="str">
        <f>IFERROR(VLOOKUP(E1486,케이블트레이입.출고현황!V1489:AA1564,2,0),"")</f>
        <v/>
      </c>
      <c r="G1486" s="19" t="str">
        <f>IFERROR(VLOOKUP(F1486,케이블트레이입.출고현황!W1489:AB1564,2,0),"")</f>
        <v/>
      </c>
      <c r="H1486" s="19" t="str">
        <f>IFERROR(VLOOKUP(G1486,케이블트레이입.출고현황!X1489:AC1564,2,0),"")</f>
        <v/>
      </c>
      <c r="I1486" s="19" t="str">
        <f>IFERROR(VLOOKUP(H1486,케이블트레이입.출고현황!Y1489:AD1564,2,0),"")</f>
        <v/>
      </c>
      <c r="J1486" s="253">
        <v>1</v>
      </c>
      <c r="K1486" s="253"/>
      <c r="L1486" s="255"/>
      <c r="M1486" s="256"/>
      <c r="N1486" s="337"/>
    </row>
    <row r="1487" spans="1:14" ht="24" customHeight="1">
      <c r="A1487" s="8">
        <v>1327</v>
      </c>
      <c r="B1487" s="253">
        <v>1327</v>
      </c>
      <c r="C1487" s="254"/>
      <c r="D1487" s="253"/>
      <c r="E1487" s="19" t="str">
        <f>IFERROR(VLOOKUP(D1487,케이블트레이입.출고현황!U1490:Z1565,2,0),"")</f>
        <v/>
      </c>
      <c r="F1487" s="19" t="str">
        <f>IFERROR(VLOOKUP(E1487,케이블트레이입.출고현황!V1490:AA1565,2,0),"")</f>
        <v/>
      </c>
      <c r="G1487" s="19" t="str">
        <f>IFERROR(VLOOKUP(F1487,케이블트레이입.출고현황!W1490:AB1565,2,0),"")</f>
        <v/>
      </c>
      <c r="H1487" s="19" t="str">
        <f>IFERROR(VLOOKUP(G1487,케이블트레이입.출고현황!X1490:AC1565,2,0),"")</f>
        <v/>
      </c>
      <c r="I1487" s="19" t="str">
        <f>IFERROR(VLOOKUP(H1487,케이블트레이입.출고현황!Y1490:AD1565,2,0),"")</f>
        <v/>
      </c>
      <c r="J1487" s="253">
        <v>3</v>
      </c>
      <c r="K1487" s="253"/>
      <c r="L1487" s="255"/>
      <c r="M1487" s="256"/>
      <c r="N1487" s="337"/>
    </row>
    <row r="1488" spans="1:14" ht="24" customHeight="1">
      <c r="A1488" s="8">
        <v>1328</v>
      </c>
      <c r="B1488" s="253">
        <v>1328</v>
      </c>
      <c r="C1488" s="254"/>
      <c r="D1488" s="253"/>
      <c r="E1488" s="19" t="str">
        <f>IFERROR(VLOOKUP(D1488,케이블트레이입.출고현황!U1491:Z1566,2,0),"")</f>
        <v/>
      </c>
      <c r="F1488" s="19" t="str">
        <f>IFERROR(VLOOKUP(E1488,케이블트레이입.출고현황!V1491:AA1566,2,0),"")</f>
        <v/>
      </c>
      <c r="G1488" s="19" t="str">
        <f>IFERROR(VLOOKUP(F1488,케이블트레이입.출고현황!W1491:AB1566,2,0),"")</f>
        <v/>
      </c>
      <c r="H1488" s="19" t="str">
        <f>IFERROR(VLOOKUP(G1488,케이블트레이입.출고현황!X1491:AC1566,2,0),"")</f>
        <v/>
      </c>
      <c r="I1488" s="19" t="str">
        <f>IFERROR(VLOOKUP(H1488,케이블트레이입.출고현황!Y1491:AD1566,2,0),"")</f>
        <v/>
      </c>
      <c r="J1488" s="253">
        <v>2</v>
      </c>
      <c r="K1488" s="253"/>
      <c r="L1488" s="255"/>
      <c r="M1488" s="256"/>
      <c r="N1488" s="337"/>
    </row>
    <row r="1489" spans="1:14" ht="24" customHeight="1">
      <c r="A1489" s="8">
        <v>1329</v>
      </c>
      <c r="B1489" s="253">
        <v>1329</v>
      </c>
      <c r="C1489" s="254"/>
      <c r="D1489" s="253"/>
      <c r="E1489" s="19" t="str">
        <f>IFERROR(VLOOKUP(D1489,케이블트레이입.출고현황!U1492:Z1567,2,0),"")</f>
        <v/>
      </c>
      <c r="F1489" s="19" t="str">
        <f>IFERROR(VLOOKUP(E1489,케이블트레이입.출고현황!V1492:AA1567,2,0),"")</f>
        <v/>
      </c>
      <c r="G1489" s="19" t="str">
        <f>IFERROR(VLOOKUP(F1489,케이블트레이입.출고현황!W1492:AB1567,2,0),"")</f>
        <v/>
      </c>
      <c r="H1489" s="19" t="str">
        <f>IFERROR(VLOOKUP(G1489,케이블트레이입.출고현황!X1492:AC1567,2,0),"")</f>
        <v/>
      </c>
      <c r="I1489" s="19" t="str">
        <f>IFERROR(VLOOKUP(H1489,케이블트레이입.출고현황!Y1492:AD1567,2,0),"")</f>
        <v/>
      </c>
      <c r="J1489" s="253">
        <v>1</v>
      </c>
      <c r="K1489" s="253"/>
      <c r="L1489" s="255"/>
      <c r="M1489" s="256"/>
      <c r="N1489" s="337"/>
    </row>
    <row r="1490" spans="1:14" ht="24" customHeight="1">
      <c r="A1490" s="8">
        <v>1330</v>
      </c>
      <c r="B1490" s="253">
        <v>1330</v>
      </c>
      <c r="C1490" s="254"/>
      <c r="D1490" s="253"/>
      <c r="E1490" s="19" t="str">
        <f>IFERROR(VLOOKUP(D1490,케이블트레이입.출고현황!U1493:Z1568,2,0),"")</f>
        <v/>
      </c>
      <c r="F1490" s="19" t="str">
        <f>IFERROR(VLOOKUP(E1490,케이블트레이입.출고현황!V1493:AA1568,2,0),"")</f>
        <v/>
      </c>
      <c r="G1490" s="19" t="str">
        <f>IFERROR(VLOOKUP(F1490,케이블트레이입.출고현황!W1493:AB1568,2,0),"")</f>
        <v/>
      </c>
      <c r="H1490" s="19" t="str">
        <f>IFERROR(VLOOKUP(G1490,케이블트레이입.출고현황!X1493:AC1568,2,0),"")</f>
        <v/>
      </c>
      <c r="I1490" s="19" t="str">
        <f>IFERROR(VLOOKUP(H1490,케이블트레이입.출고현황!Y1493:AD1568,2,0),"")</f>
        <v/>
      </c>
      <c r="J1490" s="253">
        <v>1</v>
      </c>
      <c r="K1490" s="253"/>
      <c r="L1490" s="255"/>
      <c r="M1490" s="256"/>
      <c r="N1490" s="337"/>
    </row>
    <row r="1491" spans="1:14" ht="24" customHeight="1">
      <c r="A1491" s="8">
        <v>1331</v>
      </c>
      <c r="B1491" s="253">
        <v>1331</v>
      </c>
      <c r="C1491" s="254"/>
      <c r="D1491" s="253"/>
      <c r="E1491" s="19" t="str">
        <f>IFERROR(VLOOKUP(D1491,케이블트레이입.출고현황!U1494:Z1569,2,0),"")</f>
        <v/>
      </c>
      <c r="F1491" s="19" t="str">
        <f>IFERROR(VLOOKUP(E1491,케이블트레이입.출고현황!V1494:AA1569,2,0),"")</f>
        <v/>
      </c>
      <c r="G1491" s="19" t="str">
        <f>IFERROR(VLOOKUP(F1491,케이블트레이입.출고현황!W1494:AB1569,2,0),"")</f>
        <v/>
      </c>
      <c r="H1491" s="19" t="str">
        <f>IFERROR(VLOOKUP(G1491,케이블트레이입.출고현황!X1494:AC1569,2,0),"")</f>
        <v/>
      </c>
      <c r="I1491" s="19" t="str">
        <f>IFERROR(VLOOKUP(H1491,케이블트레이입.출고현황!Y1494:AD1569,2,0),"")</f>
        <v/>
      </c>
      <c r="J1491" s="253">
        <v>2</v>
      </c>
      <c r="K1491" s="253"/>
      <c r="L1491" s="255"/>
      <c r="M1491" s="256"/>
      <c r="N1491" s="337"/>
    </row>
    <row r="1492" spans="1:14" ht="24" customHeight="1">
      <c r="A1492" s="8">
        <v>1332</v>
      </c>
      <c r="B1492" s="253">
        <v>1332</v>
      </c>
      <c r="C1492" s="254"/>
      <c r="D1492" s="253"/>
      <c r="E1492" s="19" t="str">
        <f>IFERROR(VLOOKUP(D1492,케이블트레이입.출고현황!U1495:Z1570,2,0),"")</f>
        <v/>
      </c>
      <c r="F1492" s="19" t="str">
        <f>IFERROR(VLOOKUP(E1492,케이블트레이입.출고현황!V1495:AA1570,2,0),"")</f>
        <v/>
      </c>
      <c r="G1492" s="19" t="str">
        <f>IFERROR(VLOOKUP(F1492,케이블트레이입.출고현황!W1495:AB1570,2,0),"")</f>
        <v/>
      </c>
      <c r="H1492" s="19" t="str">
        <f>IFERROR(VLOOKUP(G1492,케이블트레이입.출고현황!X1495:AC1570,2,0),"")</f>
        <v/>
      </c>
      <c r="I1492" s="19" t="str">
        <f>IFERROR(VLOOKUP(H1492,케이블트레이입.출고현황!Y1495:AD1570,2,0),"")</f>
        <v/>
      </c>
      <c r="J1492" s="253">
        <v>4</v>
      </c>
      <c r="K1492" s="253"/>
      <c r="L1492" s="255"/>
      <c r="M1492" s="256"/>
      <c r="N1492" s="337"/>
    </row>
    <row r="1493" spans="1:14" ht="24" customHeight="1">
      <c r="A1493" s="8">
        <v>1333</v>
      </c>
      <c r="B1493" s="253">
        <v>1333</v>
      </c>
      <c r="C1493" s="254"/>
      <c r="D1493" s="253"/>
      <c r="E1493" s="19" t="str">
        <f>IFERROR(VLOOKUP(D1493,케이블트레이입.출고현황!U1496:Z1571,2,0),"")</f>
        <v/>
      </c>
      <c r="F1493" s="19" t="str">
        <f>IFERROR(VLOOKUP(E1493,케이블트레이입.출고현황!V1496:AA1571,2,0),"")</f>
        <v/>
      </c>
      <c r="G1493" s="19" t="str">
        <f>IFERROR(VLOOKUP(F1493,케이블트레이입.출고현황!W1496:AB1571,2,0),"")</f>
        <v/>
      </c>
      <c r="H1493" s="19" t="str">
        <f>IFERROR(VLOOKUP(G1493,케이블트레이입.출고현황!X1496:AC1571,2,0),"")</f>
        <v/>
      </c>
      <c r="I1493" s="19" t="str">
        <f>IFERROR(VLOOKUP(H1493,케이블트레이입.출고현황!Y1496:AD1571,2,0),"")</f>
        <v/>
      </c>
      <c r="J1493" s="253">
        <v>2</v>
      </c>
      <c r="K1493" s="253"/>
      <c r="L1493" s="255"/>
      <c r="M1493" s="256"/>
      <c r="N1493" s="337"/>
    </row>
    <row r="1494" spans="1:14" ht="24" customHeight="1">
      <c r="A1494" s="8">
        <v>1334</v>
      </c>
      <c r="B1494" s="253">
        <v>1334</v>
      </c>
      <c r="C1494" s="254"/>
      <c r="D1494" s="253"/>
      <c r="E1494" s="19" t="str">
        <f>IFERROR(VLOOKUP(D1494,케이블트레이입.출고현황!U1497:Z1572,2,0),"")</f>
        <v/>
      </c>
      <c r="F1494" s="19" t="str">
        <f>IFERROR(VLOOKUP(E1494,케이블트레이입.출고현황!V1497:AA1572,2,0),"")</f>
        <v/>
      </c>
      <c r="G1494" s="19" t="str">
        <f>IFERROR(VLOOKUP(F1494,케이블트레이입.출고현황!W1497:AB1572,2,0),"")</f>
        <v/>
      </c>
      <c r="H1494" s="19" t="str">
        <f>IFERROR(VLOOKUP(G1494,케이블트레이입.출고현황!X1497:AC1572,2,0),"")</f>
        <v/>
      </c>
      <c r="I1494" s="19" t="str">
        <f>IFERROR(VLOOKUP(H1494,케이블트레이입.출고현황!Y1497:AD1572,2,0),"")</f>
        <v/>
      </c>
      <c r="J1494" s="253">
        <v>3</v>
      </c>
      <c r="K1494" s="253"/>
      <c r="L1494" s="255"/>
      <c r="M1494" s="256"/>
      <c r="N1494" s="337"/>
    </row>
    <row r="1495" spans="1:14" ht="24" customHeight="1">
      <c r="A1495" s="8">
        <v>1335</v>
      </c>
      <c r="B1495" s="253">
        <v>1335</v>
      </c>
      <c r="C1495" s="254"/>
      <c r="D1495" s="253"/>
      <c r="E1495" s="19" t="str">
        <f>IFERROR(VLOOKUP(D1495,케이블트레이입.출고현황!U1498:Z1573,2,0),"")</f>
        <v/>
      </c>
      <c r="F1495" s="19" t="str">
        <f>IFERROR(VLOOKUP(E1495,케이블트레이입.출고현황!V1498:AA1573,2,0),"")</f>
        <v/>
      </c>
      <c r="G1495" s="19" t="str">
        <f>IFERROR(VLOOKUP(F1495,케이블트레이입.출고현황!W1498:AB1573,2,0),"")</f>
        <v/>
      </c>
      <c r="H1495" s="19" t="str">
        <f>IFERROR(VLOOKUP(G1495,케이블트레이입.출고현황!X1498:AC1573,2,0),"")</f>
        <v/>
      </c>
      <c r="I1495" s="19" t="str">
        <f>IFERROR(VLOOKUP(H1495,케이블트레이입.출고현황!Y1498:AD1573,2,0),"")</f>
        <v/>
      </c>
      <c r="J1495" s="253">
        <v>1</v>
      </c>
      <c r="K1495" s="253"/>
      <c r="L1495" s="255"/>
      <c r="M1495" s="256"/>
      <c r="N1495" s="337"/>
    </row>
    <row r="1496" spans="1:14" ht="24" customHeight="1">
      <c r="A1496" s="8">
        <v>1336</v>
      </c>
      <c r="B1496" s="253">
        <v>1336</v>
      </c>
      <c r="C1496" s="254"/>
      <c r="D1496" s="253"/>
      <c r="E1496" s="19" t="str">
        <f>IFERROR(VLOOKUP(D1496,케이블트레이입.출고현황!U1499:Z1574,2,0),"")</f>
        <v/>
      </c>
      <c r="F1496" s="19" t="str">
        <f>IFERROR(VLOOKUP(E1496,케이블트레이입.출고현황!V1499:AA1574,2,0),"")</f>
        <v/>
      </c>
      <c r="G1496" s="19" t="str">
        <f>IFERROR(VLOOKUP(F1496,케이블트레이입.출고현황!W1499:AB1574,2,0),"")</f>
        <v/>
      </c>
      <c r="H1496" s="19" t="str">
        <f>IFERROR(VLOOKUP(G1496,케이블트레이입.출고현황!X1499:AC1574,2,0),"")</f>
        <v/>
      </c>
      <c r="I1496" s="19" t="str">
        <f>IFERROR(VLOOKUP(H1496,케이블트레이입.출고현황!Y1499:AD1574,2,0),"")</f>
        <v/>
      </c>
      <c r="J1496" s="253">
        <v>1</v>
      </c>
      <c r="K1496" s="253"/>
      <c r="L1496" s="255"/>
      <c r="M1496" s="256"/>
      <c r="N1496" s="337"/>
    </row>
    <row r="1497" spans="1:14" ht="24" customHeight="1">
      <c r="A1497" s="8">
        <v>1337</v>
      </c>
      <c r="B1497" s="253">
        <v>1337</v>
      </c>
      <c r="C1497" s="254"/>
      <c r="D1497" s="253"/>
      <c r="E1497" s="19" t="str">
        <f>IFERROR(VLOOKUP(D1497,케이블트레이입.출고현황!U1500:Z1575,2,0),"")</f>
        <v/>
      </c>
      <c r="F1497" s="19" t="str">
        <f>IFERROR(VLOOKUP(E1497,케이블트레이입.출고현황!V1500:AA1575,2,0),"")</f>
        <v/>
      </c>
      <c r="G1497" s="19" t="str">
        <f>IFERROR(VLOOKUP(F1497,케이블트레이입.출고현황!W1500:AB1575,2,0),"")</f>
        <v/>
      </c>
      <c r="H1497" s="19" t="str">
        <f>IFERROR(VLOOKUP(G1497,케이블트레이입.출고현황!X1500:AC1575,2,0),"")</f>
        <v/>
      </c>
      <c r="I1497" s="19" t="str">
        <f>IFERROR(VLOOKUP(H1497,케이블트레이입.출고현황!Y1500:AD1575,2,0),"")</f>
        <v/>
      </c>
      <c r="J1497" s="253">
        <v>1</v>
      </c>
      <c r="K1497" s="253"/>
      <c r="L1497" s="255"/>
      <c r="M1497" s="256"/>
      <c r="N1497" s="337"/>
    </row>
    <row r="1498" spans="1:14" ht="24" customHeight="1">
      <c r="A1498" s="8">
        <v>1338</v>
      </c>
      <c r="B1498" s="253">
        <v>1338</v>
      </c>
      <c r="C1498" s="254"/>
      <c r="D1498" s="253"/>
      <c r="E1498" s="19" t="str">
        <f>IFERROR(VLOOKUP(D1498,케이블트레이입.출고현황!U1501:Z1576,2,0),"")</f>
        <v/>
      </c>
      <c r="F1498" s="19" t="str">
        <f>IFERROR(VLOOKUP(E1498,케이블트레이입.출고현황!V1501:AA1576,2,0),"")</f>
        <v/>
      </c>
      <c r="G1498" s="19" t="str">
        <f>IFERROR(VLOOKUP(F1498,케이블트레이입.출고현황!W1501:AB1576,2,0),"")</f>
        <v/>
      </c>
      <c r="H1498" s="19" t="str">
        <f>IFERROR(VLOOKUP(G1498,케이블트레이입.출고현황!X1501:AC1576,2,0),"")</f>
        <v/>
      </c>
      <c r="I1498" s="19" t="str">
        <f>IFERROR(VLOOKUP(H1498,케이블트레이입.출고현황!Y1501:AD1576,2,0),"")</f>
        <v/>
      </c>
      <c r="J1498" s="253">
        <v>1</v>
      </c>
      <c r="K1498" s="253"/>
      <c r="L1498" s="255"/>
      <c r="M1498" s="256"/>
      <c r="N1498" s="337"/>
    </row>
    <row r="1499" spans="1:14" ht="24" customHeight="1">
      <c r="A1499" s="8">
        <v>1339</v>
      </c>
      <c r="B1499" s="253">
        <v>1339</v>
      </c>
      <c r="C1499" s="254"/>
      <c r="D1499" s="253"/>
      <c r="E1499" s="19" t="str">
        <f>IFERROR(VLOOKUP(D1499,케이블트레이입.출고현황!U1502:Z1577,2,0),"")</f>
        <v/>
      </c>
      <c r="F1499" s="19" t="str">
        <f>IFERROR(VLOOKUP(E1499,케이블트레이입.출고현황!V1502:AA1577,2,0),"")</f>
        <v/>
      </c>
      <c r="G1499" s="19" t="str">
        <f>IFERROR(VLOOKUP(F1499,케이블트레이입.출고현황!W1502:AB1577,2,0),"")</f>
        <v/>
      </c>
      <c r="H1499" s="19" t="str">
        <f>IFERROR(VLOOKUP(G1499,케이블트레이입.출고현황!X1502:AC1577,2,0),"")</f>
        <v/>
      </c>
      <c r="I1499" s="19" t="str">
        <f>IFERROR(VLOOKUP(H1499,케이블트레이입.출고현황!Y1502:AD1577,2,0),"")</f>
        <v/>
      </c>
      <c r="J1499" s="253">
        <v>2</v>
      </c>
      <c r="K1499" s="253"/>
      <c r="L1499" s="255"/>
      <c r="M1499" s="256"/>
      <c r="N1499" s="337"/>
    </row>
    <row r="1500" spans="1:14" ht="24" customHeight="1">
      <c r="A1500" s="8">
        <v>1340</v>
      </c>
      <c r="B1500" s="253">
        <v>1340</v>
      </c>
      <c r="C1500" s="254"/>
      <c r="D1500" s="253"/>
      <c r="E1500" s="19" t="str">
        <f>IFERROR(VLOOKUP(D1500,케이블트레이입.출고현황!U1503:Z1578,2,0),"")</f>
        <v/>
      </c>
      <c r="F1500" s="19" t="str">
        <f>IFERROR(VLOOKUP(E1500,케이블트레이입.출고현황!V1503:AA1578,2,0),"")</f>
        <v/>
      </c>
      <c r="G1500" s="19" t="str">
        <f>IFERROR(VLOOKUP(F1500,케이블트레이입.출고현황!W1503:AB1578,2,0),"")</f>
        <v/>
      </c>
      <c r="H1500" s="19" t="str">
        <f>IFERROR(VLOOKUP(G1500,케이블트레이입.출고현황!X1503:AC1578,2,0),"")</f>
        <v/>
      </c>
      <c r="I1500" s="19" t="str">
        <f>IFERROR(VLOOKUP(H1500,케이블트레이입.출고현황!Y1503:AD1578,2,0),"")</f>
        <v/>
      </c>
      <c r="J1500" s="253">
        <v>3</v>
      </c>
      <c r="K1500" s="253"/>
      <c r="L1500" s="255"/>
      <c r="M1500" s="256"/>
      <c r="N1500" s="337"/>
    </row>
    <row r="1501" spans="1:14" ht="24" customHeight="1">
      <c r="A1501" s="8">
        <v>1341</v>
      </c>
      <c r="B1501" s="253">
        <v>1341</v>
      </c>
      <c r="C1501" s="254"/>
      <c r="D1501" s="253"/>
      <c r="E1501" s="19" t="str">
        <f>IFERROR(VLOOKUP(D1501,케이블트레이입.출고현황!U1504:Z1579,2,0),"")</f>
        <v/>
      </c>
      <c r="F1501" s="19" t="str">
        <f>IFERROR(VLOOKUP(E1501,케이블트레이입.출고현황!V1504:AA1579,2,0),"")</f>
        <v/>
      </c>
      <c r="G1501" s="19" t="str">
        <f>IFERROR(VLOOKUP(F1501,케이블트레이입.출고현황!W1504:AB1579,2,0),"")</f>
        <v/>
      </c>
      <c r="H1501" s="19" t="str">
        <f>IFERROR(VLOOKUP(G1501,케이블트레이입.출고현황!X1504:AC1579,2,0),"")</f>
        <v/>
      </c>
      <c r="I1501" s="19" t="str">
        <f>IFERROR(VLOOKUP(H1501,케이블트레이입.출고현황!Y1504:AD1579,2,0),"")</f>
        <v/>
      </c>
      <c r="J1501" s="253">
        <v>3</v>
      </c>
      <c r="K1501" s="253"/>
      <c r="L1501" s="255"/>
      <c r="M1501" s="256"/>
      <c r="N1501" s="337"/>
    </row>
    <row r="1502" spans="1:14" ht="24" customHeight="1">
      <c r="A1502" s="8">
        <v>1342</v>
      </c>
      <c r="B1502" s="253">
        <v>1342</v>
      </c>
      <c r="C1502" s="254"/>
      <c r="D1502" s="253"/>
      <c r="E1502" s="19" t="str">
        <f>IFERROR(VLOOKUP(D1502,케이블트레이입.출고현황!U1505:Z1580,2,0),"")</f>
        <v/>
      </c>
      <c r="F1502" s="19" t="str">
        <f>IFERROR(VLOOKUP(E1502,케이블트레이입.출고현황!V1505:AA1580,2,0),"")</f>
        <v/>
      </c>
      <c r="G1502" s="19" t="str">
        <f>IFERROR(VLOOKUP(F1502,케이블트레이입.출고현황!W1505:AB1580,2,0),"")</f>
        <v/>
      </c>
      <c r="H1502" s="19" t="str">
        <f>IFERROR(VLOOKUP(G1502,케이블트레이입.출고현황!X1505:AC1580,2,0),"")</f>
        <v/>
      </c>
      <c r="I1502" s="19" t="str">
        <f>IFERROR(VLOOKUP(H1502,케이블트레이입.출고현황!Y1505:AD1580,2,0),"")</f>
        <v/>
      </c>
      <c r="J1502" s="253">
        <v>1</v>
      </c>
      <c r="K1502" s="253"/>
      <c r="L1502" s="255"/>
      <c r="M1502" s="256"/>
      <c r="N1502" s="337"/>
    </row>
    <row r="1503" spans="1:14" ht="24" customHeight="1">
      <c r="A1503" s="8">
        <v>1343</v>
      </c>
      <c r="B1503" s="253">
        <v>1343</v>
      </c>
      <c r="C1503" s="254"/>
      <c r="D1503" s="253"/>
      <c r="E1503" s="19" t="str">
        <f>IFERROR(VLOOKUP(D1503,케이블트레이입.출고현황!U1506:Z1581,2,0),"")</f>
        <v/>
      </c>
      <c r="F1503" s="19" t="str">
        <f>IFERROR(VLOOKUP(E1503,케이블트레이입.출고현황!V1506:AA1581,2,0),"")</f>
        <v/>
      </c>
      <c r="G1503" s="19" t="str">
        <f>IFERROR(VLOOKUP(F1503,케이블트레이입.출고현황!W1506:AB1581,2,0),"")</f>
        <v/>
      </c>
      <c r="H1503" s="19" t="str">
        <f>IFERROR(VLOOKUP(G1503,케이블트레이입.출고현황!X1506:AC1581,2,0),"")</f>
        <v/>
      </c>
      <c r="I1503" s="19" t="str">
        <f>IFERROR(VLOOKUP(H1503,케이블트레이입.출고현황!Y1506:AD1581,2,0),"")</f>
        <v/>
      </c>
      <c r="J1503" s="253">
        <v>1</v>
      </c>
      <c r="K1503" s="253"/>
      <c r="L1503" s="255"/>
      <c r="M1503" s="256"/>
      <c r="N1503" s="337"/>
    </row>
    <row r="1504" spans="1:14" ht="24" customHeight="1">
      <c r="A1504" s="8">
        <v>1344</v>
      </c>
      <c r="B1504" s="253">
        <v>1344</v>
      </c>
      <c r="C1504" s="254"/>
      <c r="D1504" s="253"/>
      <c r="E1504" s="19" t="str">
        <f>IFERROR(VLOOKUP(D1504,케이블트레이입.출고현황!U1507:Z1582,2,0),"")</f>
        <v/>
      </c>
      <c r="F1504" s="19" t="str">
        <f>IFERROR(VLOOKUP(E1504,케이블트레이입.출고현황!V1507:AA1582,2,0),"")</f>
        <v/>
      </c>
      <c r="G1504" s="19" t="str">
        <f>IFERROR(VLOOKUP(F1504,케이블트레이입.출고현황!W1507:AB1582,2,0),"")</f>
        <v/>
      </c>
      <c r="H1504" s="19" t="str">
        <f>IFERROR(VLOOKUP(G1504,케이블트레이입.출고현황!X1507:AC1582,2,0),"")</f>
        <v/>
      </c>
      <c r="I1504" s="19" t="str">
        <f>IFERROR(VLOOKUP(H1504,케이블트레이입.출고현황!Y1507:AD1582,2,0),"")</f>
        <v/>
      </c>
      <c r="J1504" s="253">
        <v>1</v>
      </c>
      <c r="K1504" s="253"/>
      <c r="L1504" s="255"/>
      <c r="M1504" s="256"/>
      <c r="N1504" s="337"/>
    </row>
    <row r="1505" spans="1:14" ht="24" customHeight="1">
      <c r="A1505" s="8">
        <v>1345</v>
      </c>
      <c r="B1505" s="253">
        <v>1345</v>
      </c>
      <c r="C1505" s="254"/>
      <c r="D1505" s="253"/>
      <c r="E1505" s="19" t="str">
        <f>IFERROR(VLOOKUP(D1505,케이블트레이입.출고현황!U1508:Z1583,2,0),"")</f>
        <v/>
      </c>
      <c r="F1505" s="19" t="str">
        <f>IFERROR(VLOOKUP(E1505,케이블트레이입.출고현황!V1508:AA1583,2,0),"")</f>
        <v/>
      </c>
      <c r="G1505" s="19" t="str">
        <f>IFERROR(VLOOKUP(F1505,케이블트레이입.출고현황!W1508:AB1583,2,0),"")</f>
        <v/>
      </c>
      <c r="H1505" s="19" t="str">
        <f>IFERROR(VLOOKUP(G1505,케이블트레이입.출고현황!X1508:AC1583,2,0),"")</f>
        <v/>
      </c>
      <c r="I1505" s="19" t="str">
        <f>IFERROR(VLOOKUP(H1505,케이블트레이입.출고현황!Y1508:AD1583,2,0),"")</f>
        <v/>
      </c>
      <c r="J1505" s="253">
        <v>3</v>
      </c>
      <c r="K1505" s="253"/>
      <c r="L1505" s="255"/>
      <c r="M1505" s="256"/>
      <c r="N1505" s="337"/>
    </row>
    <row r="1506" spans="1:14" ht="24" customHeight="1">
      <c r="A1506" s="8">
        <v>1346</v>
      </c>
      <c r="B1506" s="253">
        <v>1346</v>
      </c>
      <c r="C1506" s="254"/>
      <c r="D1506" s="253"/>
      <c r="E1506" s="19" t="str">
        <f>IFERROR(VLOOKUP(D1506,케이블트레이입.출고현황!U1509:Z1584,2,0),"")</f>
        <v/>
      </c>
      <c r="F1506" s="19" t="str">
        <f>IFERROR(VLOOKUP(E1506,케이블트레이입.출고현황!V1509:AA1584,2,0),"")</f>
        <v/>
      </c>
      <c r="G1506" s="19" t="str">
        <f>IFERROR(VLOOKUP(F1506,케이블트레이입.출고현황!W1509:AB1584,2,0),"")</f>
        <v/>
      </c>
      <c r="H1506" s="19" t="str">
        <f>IFERROR(VLOOKUP(G1506,케이블트레이입.출고현황!X1509:AC1584,2,0),"")</f>
        <v/>
      </c>
      <c r="I1506" s="19" t="str">
        <f>IFERROR(VLOOKUP(H1506,케이블트레이입.출고현황!Y1509:AD1584,2,0),"")</f>
        <v/>
      </c>
      <c r="J1506" s="253">
        <v>2</v>
      </c>
      <c r="K1506" s="253"/>
      <c r="L1506" s="255"/>
      <c r="M1506" s="256"/>
      <c r="N1506" s="337"/>
    </row>
    <row r="1507" spans="1:14" ht="24" customHeight="1">
      <c r="A1507" s="8">
        <v>1347</v>
      </c>
      <c r="B1507" s="253">
        <v>1347</v>
      </c>
      <c r="C1507" s="254"/>
      <c r="D1507" s="253"/>
      <c r="E1507" s="19" t="str">
        <f>IFERROR(VLOOKUP(D1507,케이블트레이입.출고현황!U1510:Z1585,2,0),"")</f>
        <v/>
      </c>
      <c r="F1507" s="19" t="str">
        <f>IFERROR(VLOOKUP(E1507,케이블트레이입.출고현황!V1510:AA1585,2,0),"")</f>
        <v/>
      </c>
      <c r="G1507" s="19" t="str">
        <f>IFERROR(VLOOKUP(F1507,케이블트레이입.출고현황!W1510:AB1585,2,0),"")</f>
        <v/>
      </c>
      <c r="H1507" s="19" t="str">
        <f>IFERROR(VLOOKUP(G1507,케이블트레이입.출고현황!X1510:AC1585,2,0),"")</f>
        <v/>
      </c>
      <c r="I1507" s="19" t="str">
        <f>IFERROR(VLOOKUP(H1507,케이블트레이입.출고현황!Y1510:AD1585,2,0),"")</f>
        <v/>
      </c>
      <c r="J1507" s="253">
        <v>1</v>
      </c>
      <c r="K1507" s="253"/>
      <c r="L1507" s="255"/>
      <c r="M1507" s="256"/>
      <c r="N1507" s="337"/>
    </row>
    <row r="1508" spans="1:14" ht="24" customHeight="1">
      <c r="A1508" s="8">
        <v>1348</v>
      </c>
      <c r="B1508" s="253">
        <v>1348</v>
      </c>
      <c r="C1508" s="254"/>
      <c r="D1508" s="253"/>
      <c r="E1508" s="19" t="str">
        <f>IFERROR(VLOOKUP(D1508,케이블트레이입.출고현황!U1511:Z1586,2,0),"")</f>
        <v/>
      </c>
      <c r="F1508" s="19" t="str">
        <f>IFERROR(VLOOKUP(E1508,케이블트레이입.출고현황!V1511:AA1586,2,0),"")</f>
        <v/>
      </c>
      <c r="G1508" s="19" t="str">
        <f>IFERROR(VLOOKUP(F1508,케이블트레이입.출고현황!W1511:AB1586,2,0),"")</f>
        <v/>
      </c>
      <c r="H1508" s="19" t="str">
        <f>IFERROR(VLOOKUP(G1508,케이블트레이입.출고현황!X1511:AC1586,2,0),"")</f>
        <v/>
      </c>
      <c r="I1508" s="19" t="str">
        <f>IFERROR(VLOOKUP(H1508,케이블트레이입.출고현황!Y1511:AD1586,2,0),"")</f>
        <v/>
      </c>
      <c r="J1508" s="253">
        <v>2</v>
      </c>
      <c r="K1508" s="253"/>
      <c r="L1508" s="255"/>
      <c r="M1508" s="256"/>
      <c r="N1508" s="337"/>
    </row>
    <row r="1509" spans="1:14" ht="24" customHeight="1">
      <c r="A1509" s="8">
        <v>1349</v>
      </c>
      <c r="B1509" s="253">
        <v>1349</v>
      </c>
      <c r="C1509" s="254"/>
      <c r="D1509" s="253"/>
      <c r="E1509" s="19" t="str">
        <f>IFERROR(VLOOKUP(D1509,케이블트레이입.출고현황!U1512:Z1587,2,0),"")</f>
        <v/>
      </c>
      <c r="F1509" s="19" t="str">
        <f>IFERROR(VLOOKUP(E1509,케이블트레이입.출고현황!V1512:AA1587,2,0),"")</f>
        <v/>
      </c>
      <c r="G1509" s="19" t="str">
        <f>IFERROR(VLOOKUP(F1509,케이블트레이입.출고현황!W1512:AB1587,2,0),"")</f>
        <v/>
      </c>
      <c r="H1509" s="19" t="str">
        <f>IFERROR(VLOOKUP(G1509,케이블트레이입.출고현황!X1512:AC1587,2,0),"")</f>
        <v/>
      </c>
      <c r="I1509" s="19" t="str">
        <f>IFERROR(VLOOKUP(H1509,케이블트레이입.출고현황!Y1512:AD1587,2,0),"")</f>
        <v/>
      </c>
      <c r="J1509" s="253">
        <v>4</v>
      </c>
      <c r="K1509" s="253"/>
      <c r="L1509" s="255"/>
      <c r="M1509" s="256"/>
      <c r="N1509" s="337"/>
    </row>
    <row r="1510" spans="1:14" ht="24" customHeight="1">
      <c r="A1510" s="8">
        <v>1350</v>
      </c>
      <c r="B1510" s="253">
        <v>1350</v>
      </c>
      <c r="C1510" s="254"/>
      <c r="D1510" s="253"/>
      <c r="E1510" s="19" t="str">
        <f>IFERROR(VLOOKUP(D1510,케이블트레이입.출고현황!U1513:Z1588,2,0),"")</f>
        <v/>
      </c>
      <c r="F1510" s="19" t="str">
        <f>IFERROR(VLOOKUP(E1510,케이블트레이입.출고현황!V1513:AA1588,2,0),"")</f>
        <v/>
      </c>
      <c r="G1510" s="19" t="str">
        <f>IFERROR(VLOOKUP(F1510,케이블트레이입.출고현황!W1513:AB1588,2,0),"")</f>
        <v/>
      </c>
      <c r="H1510" s="19" t="str">
        <f>IFERROR(VLOOKUP(G1510,케이블트레이입.출고현황!X1513:AC1588,2,0),"")</f>
        <v/>
      </c>
      <c r="I1510" s="19" t="str">
        <f>IFERROR(VLOOKUP(H1510,케이블트레이입.출고현황!Y1513:AD1588,2,0),"")</f>
        <v/>
      </c>
      <c r="J1510" s="253">
        <v>3</v>
      </c>
      <c r="K1510" s="253"/>
      <c r="L1510" s="255"/>
      <c r="M1510" s="256"/>
      <c r="N1510" s="337"/>
    </row>
    <row r="1511" spans="1:14" ht="24" customHeight="1">
      <c r="A1511" s="8">
        <v>1351</v>
      </c>
      <c r="B1511" s="253">
        <v>1351</v>
      </c>
      <c r="C1511" s="254"/>
      <c r="D1511" s="253"/>
      <c r="E1511" s="19" t="str">
        <f>IFERROR(VLOOKUP(D1511,케이블트레이입.출고현황!U1514:Z1589,2,0),"")</f>
        <v/>
      </c>
      <c r="F1511" s="19" t="str">
        <f>IFERROR(VLOOKUP(E1511,케이블트레이입.출고현황!V1514:AA1589,2,0),"")</f>
        <v/>
      </c>
      <c r="G1511" s="19" t="str">
        <f>IFERROR(VLOOKUP(F1511,케이블트레이입.출고현황!W1514:AB1589,2,0),"")</f>
        <v/>
      </c>
      <c r="H1511" s="19" t="str">
        <f>IFERROR(VLOOKUP(G1511,케이블트레이입.출고현황!X1514:AC1589,2,0),"")</f>
        <v/>
      </c>
      <c r="I1511" s="19" t="str">
        <f>IFERROR(VLOOKUP(H1511,케이블트레이입.출고현황!Y1514:AD1589,2,0),"")</f>
        <v/>
      </c>
      <c r="J1511" s="253">
        <v>1</v>
      </c>
      <c r="K1511" s="253"/>
      <c r="L1511" s="255"/>
      <c r="M1511" s="256"/>
      <c r="N1511" s="337"/>
    </row>
    <row r="1512" spans="1:14" ht="24" customHeight="1">
      <c r="A1512" s="8">
        <v>1352</v>
      </c>
      <c r="B1512" s="253">
        <v>1352</v>
      </c>
      <c r="C1512" s="254"/>
      <c r="D1512" s="253"/>
      <c r="E1512" s="19" t="str">
        <f>IFERROR(VLOOKUP(D1512,케이블트레이입.출고현황!U1515:Z1590,2,0),"")</f>
        <v/>
      </c>
      <c r="F1512" s="19" t="str">
        <f>IFERROR(VLOOKUP(E1512,케이블트레이입.출고현황!V1515:AA1590,2,0),"")</f>
        <v/>
      </c>
      <c r="G1512" s="19" t="str">
        <f>IFERROR(VLOOKUP(F1512,케이블트레이입.출고현황!W1515:AB1590,2,0),"")</f>
        <v/>
      </c>
      <c r="H1512" s="19" t="str">
        <f>IFERROR(VLOOKUP(G1512,케이블트레이입.출고현황!X1515:AC1590,2,0),"")</f>
        <v/>
      </c>
      <c r="I1512" s="19" t="str">
        <f>IFERROR(VLOOKUP(H1512,케이블트레이입.출고현황!Y1515:AD1590,2,0),"")</f>
        <v/>
      </c>
      <c r="J1512" s="253">
        <v>1</v>
      </c>
      <c r="K1512" s="253"/>
      <c r="L1512" s="255"/>
      <c r="M1512" s="256"/>
      <c r="N1512" s="337"/>
    </row>
    <row r="1513" spans="1:14" ht="24" customHeight="1">
      <c r="A1513" s="8">
        <v>1353</v>
      </c>
      <c r="B1513" s="253">
        <v>1353</v>
      </c>
      <c r="C1513" s="254"/>
      <c r="D1513" s="253"/>
      <c r="E1513" s="19" t="str">
        <f>IFERROR(VLOOKUP(D1513,케이블트레이입.출고현황!U1516:Z1591,2,0),"")</f>
        <v/>
      </c>
      <c r="F1513" s="19" t="str">
        <f>IFERROR(VLOOKUP(E1513,케이블트레이입.출고현황!V1516:AA1591,2,0),"")</f>
        <v/>
      </c>
      <c r="G1513" s="19" t="str">
        <f>IFERROR(VLOOKUP(F1513,케이블트레이입.출고현황!W1516:AB1591,2,0),"")</f>
        <v/>
      </c>
      <c r="H1513" s="19" t="str">
        <f>IFERROR(VLOOKUP(G1513,케이블트레이입.출고현황!X1516:AC1591,2,0),"")</f>
        <v/>
      </c>
      <c r="I1513" s="19" t="str">
        <f>IFERROR(VLOOKUP(H1513,케이블트레이입.출고현황!Y1516:AD1591,2,0),"")</f>
        <v/>
      </c>
      <c r="J1513" s="253">
        <v>1</v>
      </c>
      <c r="K1513" s="253"/>
      <c r="L1513" s="255"/>
      <c r="M1513" s="256"/>
      <c r="N1513" s="337"/>
    </row>
    <row r="1514" spans="1:14" ht="24" customHeight="1">
      <c r="A1514" s="8">
        <v>1354</v>
      </c>
      <c r="B1514" s="253">
        <v>1354</v>
      </c>
      <c r="C1514" s="254"/>
      <c r="D1514" s="253"/>
      <c r="E1514" s="19" t="str">
        <f>IFERROR(VLOOKUP(D1514,케이블트레이입.출고현황!U1517:Z1592,2,0),"")</f>
        <v/>
      </c>
      <c r="F1514" s="19" t="str">
        <f>IFERROR(VLOOKUP(E1514,케이블트레이입.출고현황!V1517:AA1592,2,0),"")</f>
        <v/>
      </c>
      <c r="G1514" s="19" t="str">
        <f>IFERROR(VLOOKUP(F1514,케이블트레이입.출고현황!W1517:AB1592,2,0),"")</f>
        <v/>
      </c>
      <c r="H1514" s="19" t="str">
        <f>IFERROR(VLOOKUP(G1514,케이블트레이입.출고현황!X1517:AC1592,2,0),"")</f>
        <v/>
      </c>
      <c r="I1514" s="19" t="str">
        <f>IFERROR(VLOOKUP(H1514,케이블트레이입.출고현황!Y1517:AD1592,2,0),"")</f>
        <v/>
      </c>
      <c r="J1514" s="253">
        <v>3</v>
      </c>
      <c r="K1514" s="253"/>
      <c r="L1514" s="255"/>
      <c r="M1514" s="256"/>
      <c r="N1514" s="337"/>
    </row>
    <row r="1515" spans="1:14" ht="24" customHeight="1">
      <c r="A1515" s="8">
        <v>1355</v>
      </c>
      <c r="B1515" s="253">
        <v>1355</v>
      </c>
      <c r="C1515" s="254"/>
      <c r="D1515" s="253"/>
      <c r="E1515" s="19" t="str">
        <f>IFERROR(VLOOKUP(D1515,케이블트레이입.출고현황!U1518:Z1593,2,0),"")</f>
        <v/>
      </c>
      <c r="F1515" s="19" t="str">
        <f>IFERROR(VLOOKUP(E1515,케이블트레이입.출고현황!V1518:AA1593,2,0),"")</f>
        <v/>
      </c>
      <c r="G1515" s="19" t="str">
        <f>IFERROR(VLOOKUP(F1515,케이블트레이입.출고현황!W1518:AB1593,2,0),"")</f>
        <v/>
      </c>
      <c r="H1515" s="19" t="str">
        <f>IFERROR(VLOOKUP(G1515,케이블트레이입.출고현황!X1518:AC1593,2,0),"")</f>
        <v/>
      </c>
      <c r="I1515" s="19" t="str">
        <f>IFERROR(VLOOKUP(H1515,케이블트레이입.출고현황!Y1518:AD1593,2,0),"")</f>
        <v/>
      </c>
      <c r="J1515" s="253">
        <v>2</v>
      </c>
      <c r="K1515" s="253"/>
      <c r="L1515" s="255"/>
      <c r="M1515" s="256"/>
      <c r="N1515" s="337"/>
    </row>
    <row r="1516" spans="1:14" ht="24" customHeight="1">
      <c r="A1516" s="8">
        <v>1356</v>
      </c>
      <c r="B1516" s="253">
        <v>1356</v>
      </c>
      <c r="C1516" s="254"/>
      <c r="D1516" s="253"/>
      <c r="E1516" s="19" t="str">
        <f>IFERROR(VLOOKUP(D1516,케이블트레이입.출고현황!U1519:Z1594,2,0),"")</f>
        <v/>
      </c>
      <c r="F1516" s="19" t="str">
        <f>IFERROR(VLOOKUP(E1516,케이블트레이입.출고현황!V1519:AA1594,2,0),"")</f>
        <v/>
      </c>
      <c r="G1516" s="19" t="str">
        <f>IFERROR(VLOOKUP(F1516,케이블트레이입.출고현황!W1519:AB1594,2,0),"")</f>
        <v/>
      </c>
      <c r="H1516" s="19" t="str">
        <f>IFERROR(VLOOKUP(G1516,케이블트레이입.출고현황!X1519:AC1594,2,0),"")</f>
        <v/>
      </c>
      <c r="I1516" s="19" t="str">
        <f>IFERROR(VLOOKUP(H1516,케이블트레이입.출고현황!Y1519:AD1594,2,0),"")</f>
        <v/>
      </c>
      <c r="J1516" s="253">
        <v>1</v>
      </c>
      <c r="K1516" s="253"/>
      <c r="L1516" s="255"/>
      <c r="M1516" s="256"/>
      <c r="N1516" s="337"/>
    </row>
    <row r="1517" spans="1:14" ht="24" customHeight="1">
      <c r="A1517" s="8">
        <v>1357</v>
      </c>
      <c r="B1517" s="253">
        <v>1357</v>
      </c>
      <c r="C1517" s="254"/>
      <c r="D1517" s="253"/>
      <c r="E1517" s="19" t="str">
        <f>IFERROR(VLOOKUP(D1517,케이블트레이입.출고현황!U1520:Z1595,2,0),"")</f>
        <v/>
      </c>
      <c r="F1517" s="19" t="str">
        <f>IFERROR(VLOOKUP(E1517,케이블트레이입.출고현황!V1520:AA1595,2,0),"")</f>
        <v/>
      </c>
      <c r="G1517" s="19" t="str">
        <f>IFERROR(VLOOKUP(F1517,케이블트레이입.출고현황!W1520:AB1595,2,0),"")</f>
        <v/>
      </c>
      <c r="H1517" s="19" t="str">
        <f>IFERROR(VLOOKUP(G1517,케이블트레이입.출고현황!X1520:AC1595,2,0),"")</f>
        <v/>
      </c>
      <c r="I1517" s="19" t="str">
        <f>IFERROR(VLOOKUP(H1517,케이블트레이입.출고현황!Y1520:AD1595,2,0),"")</f>
        <v/>
      </c>
      <c r="J1517" s="253">
        <v>2</v>
      </c>
      <c r="K1517" s="253"/>
      <c r="L1517" s="255"/>
      <c r="M1517" s="256"/>
      <c r="N1517" s="337"/>
    </row>
    <row r="1518" spans="1:14" ht="24" customHeight="1">
      <c r="A1518" s="8">
        <v>1358</v>
      </c>
      <c r="B1518" s="253">
        <v>1358</v>
      </c>
      <c r="C1518" s="254"/>
      <c r="D1518" s="253"/>
      <c r="E1518" s="19" t="str">
        <f>IFERROR(VLOOKUP(D1518,케이블트레이입.출고현황!U1521:Z1596,2,0),"")</f>
        <v/>
      </c>
      <c r="F1518" s="19" t="str">
        <f>IFERROR(VLOOKUP(E1518,케이블트레이입.출고현황!V1521:AA1596,2,0),"")</f>
        <v/>
      </c>
      <c r="G1518" s="19" t="str">
        <f>IFERROR(VLOOKUP(F1518,케이블트레이입.출고현황!W1521:AB1596,2,0),"")</f>
        <v/>
      </c>
      <c r="H1518" s="19" t="str">
        <f>IFERROR(VLOOKUP(G1518,케이블트레이입.출고현황!X1521:AC1596,2,0),"")</f>
        <v/>
      </c>
      <c r="I1518" s="19" t="str">
        <f>IFERROR(VLOOKUP(H1518,케이블트레이입.출고현황!Y1521:AD1596,2,0),"")</f>
        <v/>
      </c>
      <c r="J1518" s="253">
        <v>4</v>
      </c>
      <c r="K1518" s="253"/>
      <c r="L1518" s="255"/>
      <c r="M1518" s="256"/>
      <c r="N1518" s="337"/>
    </row>
    <row r="1519" spans="1:14" ht="24" customHeight="1">
      <c r="A1519" s="8">
        <v>1359</v>
      </c>
      <c r="B1519" s="253">
        <v>1359</v>
      </c>
      <c r="C1519" s="254"/>
      <c r="D1519" s="253"/>
      <c r="E1519" s="19" t="str">
        <f>IFERROR(VLOOKUP(D1519,케이블트레이입.출고현황!U1522:Z1597,2,0),"")</f>
        <v/>
      </c>
      <c r="F1519" s="19" t="str">
        <f>IFERROR(VLOOKUP(E1519,케이블트레이입.출고현황!V1522:AA1597,2,0),"")</f>
        <v/>
      </c>
      <c r="G1519" s="19" t="str">
        <f>IFERROR(VLOOKUP(F1519,케이블트레이입.출고현황!W1522:AB1597,2,0),"")</f>
        <v/>
      </c>
      <c r="H1519" s="19" t="str">
        <f>IFERROR(VLOOKUP(G1519,케이블트레이입.출고현황!X1522:AC1597,2,0),"")</f>
        <v/>
      </c>
      <c r="I1519" s="19" t="str">
        <f>IFERROR(VLOOKUP(H1519,케이블트레이입.출고현황!Y1522:AD1597,2,0),"")</f>
        <v/>
      </c>
      <c r="J1519" s="253">
        <v>4</v>
      </c>
      <c r="K1519" s="253"/>
      <c r="L1519" s="255"/>
      <c r="M1519" s="256"/>
      <c r="N1519" s="337"/>
    </row>
    <row r="1520" spans="1:14" ht="24" customHeight="1">
      <c r="A1520" s="8">
        <v>1360</v>
      </c>
      <c r="B1520" s="253">
        <v>1360</v>
      </c>
      <c r="C1520" s="254"/>
      <c r="D1520" s="253"/>
      <c r="E1520" s="19" t="str">
        <f>IFERROR(VLOOKUP(D1520,케이블트레이입.출고현황!U1523:Z1598,2,0),"")</f>
        <v/>
      </c>
      <c r="F1520" s="19" t="str">
        <f>IFERROR(VLOOKUP(E1520,케이블트레이입.출고현황!V1523:AA1598,2,0),"")</f>
        <v/>
      </c>
      <c r="G1520" s="19" t="str">
        <f>IFERROR(VLOOKUP(F1520,케이블트레이입.출고현황!W1523:AB1598,2,0),"")</f>
        <v/>
      </c>
      <c r="H1520" s="19" t="str">
        <f>IFERROR(VLOOKUP(G1520,케이블트레이입.출고현황!X1523:AC1598,2,0),"")</f>
        <v/>
      </c>
      <c r="I1520" s="19" t="str">
        <f>IFERROR(VLOOKUP(H1520,케이블트레이입.출고현황!Y1523:AD1598,2,0),"")</f>
        <v/>
      </c>
      <c r="J1520" s="253">
        <v>2</v>
      </c>
      <c r="K1520" s="253"/>
      <c r="L1520" s="255"/>
      <c r="M1520" s="256"/>
      <c r="N1520" s="337"/>
    </row>
    <row r="1521" spans="1:14" ht="24" customHeight="1">
      <c r="A1521" s="8">
        <v>1361</v>
      </c>
      <c r="B1521" s="253">
        <v>1361</v>
      </c>
      <c r="C1521" s="254"/>
      <c r="D1521" s="253"/>
      <c r="E1521" s="19" t="str">
        <f>IFERROR(VLOOKUP(D1521,케이블트레이입.출고현황!U1524:Z1599,2,0),"")</f>
        <v/>
      </c>
      <c r="F1521" s="19" t="str">
        <f>IFERROR(VLOOKUP(E1521,케이블트레이입.출고현황!V1524:AA1599,2,0),"")</f>
        <v/>
      </c>
      <c r="G1521" s="19" t="str">
        <f>IFERROR(VLOOKUP(F1521,케이블트레이입.출고현황!W1524:AB1599,2,0),"")</f>
        <v/>
      </c>
      <c r="H1521" s="19" t="str">
        <f>IFERROR(VLOOKUP(G1521,케이블트레이입.출고현황!X1524:AC1599,2,0),"")</f>
        <v/>
      </c>
      <c r="I1521" s="19" t="str">
        <f>IFERROR(VLOOKUP(H1521,케이블트레이입.출고현황!Y1524:AD1599,2,0),"")</f>
        <v/>
      </c>
      <c r="J1521" s="253">
        <v>3</v>
      </c>
      <c r="K1521" s="253"/>
      <c r="L1521" s="255"/>
      <c r="M1521" s="256"/>
      <c r="N1521" s="337"/>
    </row>
    <row r="1522" spans="1:14" ht="24" customHeight="1">
      <c r="A1522" s="8">
        <v>1362</v>
      </c>
      <c r="B1522" s="253">
        <v>1362</v>
      </c>
      <c r="C1522" s="254"/>
      <c r="D1522" s="253"/>
      <c r="E1522" s="19" t="str">
        <f>IFERROR(VLOOKUP(D1522,케이블트레이입.출고현황!U1525:Z1600,2,0),"")</f>
        <v/>
      </c>
      <c r="F1522" s="19" t="str">
        <f>IFERROR(VLOOKUP(E1522,케이블트레이입.출고현황!V1525:AA1600,2,0),"")</f>
        <v/>
      </c>
      <c r="G1522" s="19" t="str">
        <f>IFERROR(VLOOKUP(F1522,케이블트레이입.출고현황!W1525:AB1600,2,0),"")</f>
        <v/>
      </c>
      <c r="H1522" s="19" t="str">
        <f>IFERROR(VLOOKUP(G1522,케이블트레이입.출고현황!X1525:AC1600,2,0),"")</f>
        <v/>
      </c>
      <c r="I1522" s="19" t="str">
        <f>IFERROR(VLOOKUP(H1522,케이블트레이입.출고현황!Y1525:AD1600,2,0),"")</f>
        <v/>
      </c>
      <c r="J1522" s="253">
        <v>2</v>
      </c>
      <c r="K1522" s="253"/>
      <c r="L1522" s="255"/>
      <c r="M1522" s="256"/>
      <c r="N1522" s="337"/>
    </row>
    <row r="1523" spans="1:14" ht="24" customHeight="1">
      <c r="A1523" s="8">
        <v>1363</v>
      </c>
      <c r="B1523" s="253">
        <v>1363</v>
      </c>
      <c r="C1523" s="254"/>
      <c r="D1523" s="253"/>
      <c r="E1523" s="19" t="str">
        <f>IFERROR(VLOOKUP(D1523,케이블트레이입.출고현황!U1526:Z1601,2,0),"")</f>
        <v/>
      </c>
      <c r="F1523" s="19" t="str">
        <f>IFERROR(VLOOKUP(E1523,케이블트레이입.출고현황!V1526:AA1601,2,0),"")</f>
        <v/>
      </c>
      <c r="G1523" s="19" t="str">
        <f>IFERROR(VLOOKUP(F1523,케이블트레이입.출고현황!W1526:AB1601,2,0),"")</f>
        <v/>
      </c>
      <c r="H1523" s="19" t="str">
        <f>IFERROR(VLOOKUP(G1523,케이블트레이입.출고현황!X1526:AC1601,2,0),"")</f>
        <v/>
      </c>
      <c r="I1523" s="19" t="str">
        <f>IFERROR(VLOOKUP(H1523,케이블트레이입.출고현황!Y1526:AD1601,2,0),"")</f>
        <v/>
      </c>
      <c r="J1523" s="253">
        <v>1</v>
      </c>
      <c r="K1523" s="253"/>
      <c r="L1523" s="255"/>
      <c r="M1523" s="256"/>
      <c r="N1523" s="337"/>
    </row>
    <row r="1524" spans="1:14" ht="24" customHeight="1">
      <c r="A1524" s="8">
        <v>1364</v>
      </c>
      <c r="B1524" s="253">
        <v>1364</v>
      </c>
      <c r="C1524" s="254"/>
      <c r="D1524" s="253"/>
      <c r="E1524" s="19" t="str">
        <f>IFERROR(VLOOKUP(D1524,케이블트레이입.출고현황!U1527:Z1602,2,0),"")</f>
        <v/>
      </c>
      <c r="F1524" s="19" t="str">
        <f>IFERROR(VLOOKUP(E1524,케이블트레이입.출고현황!V1527:AA1602,2,0),"")</f>
        <v/>
      </c>
      <c r="G1524" s="19" t="str">
        <f>IFERROR(VLOOKUP(F1524,케이블트레이입.출고현황!W1527:AB1602,2,0),"")</f>
        <v/>
      </c>
      <c r="H1524" s="19" t="str">
        <f>IFERROR(VLOOKUP(G1524,케이블트레이입.출고현황!X1527:AC1602,2,0),"")</f>
        <v/>
      </c>
      <c r="I1524" s="19" t="str">
        <f>IFERROR(VLOOKUP(H1524,케이블트레이입.출고현황!Y1527:AD1602,2,0),"")</f>
        <v/>
      </c>
      <c r="J1524" s="253">
        <v>2</v>
      </c>
      <c r="K1524" s="253"/>
      <c r="L1524" s="255"/>
      <c r="M1524" s="256"/>
      <c r="N1524" s="337"/>
    </row>
    <row r="1525" spans="1:14" ht="24" customHeight="1">
      <c r="A1525" s="8">
        <v>1365</v>
      </c>
      <c r="B1525" s="253">
        <v>1365</v>
      </c>
      <c r="C1525" s="254"/>
      <c r="D1525" s="253"/>
      <c r="E1525" s="19" t="str">
        <f>IFERROR(VLOOKUP(D1525,케이블트레이입.출고현황!U1528:Z1603,2,0),"")</f>
        <v/>
      </c>
      <c r="F1525" s="19" t="str">
        <f>IFERROR(VLOOKUP(E1525,케이블트레이입.출고현황!V1528:AA1603,2,0),"")</f>
        <v/>
      </c>
      <c r="G1525" s="19" t="str">
        <f>IFERROR(VLOOKUP(F1525,케이블트레이입.출고현황!W1528:AB1603,2,0),"")</f>
        <v/>
      </c>
      <c r="H1525" s="19" t="str">
        <f>IFERROR(VLOOKUP(G1525,케이블트레이입.출고현황!X1528:AC1603,2,0),"")</f>
        <v/>
      </c>
      <c r="I1525" s="19" t="str">
        <f>IFERROR(VLOOKUP(H1525,케이블트레이입.출고현황!Y1528:AD1603,2,0),"")</f>
        <v/>
      </c>
      <c r="J1525" s="253">
        <v>4</v>
      </c>
      <c r="K1525" s="253"/>
      <c r="L1525" s="255"/>
      <c r="M1525" s="256"/>
      <c r="N1525" s="337"/>
    </row>
    <row r="1526" spans="1:14" ht="24" customHeight="1">
      <c r="A1526" s="8">
        <v>1366</v>
      </c>
      <c r="B1526" s="253">
        <v>1366</v>
      </c>
      <c r="C1526" s="254"/>
      <c r="D1526" s="253"/>
      <c r="E1526" s="19" t="str">
        <f>IFERROR(VLOOKUP(D1526,케이블트레이입.출고현황!U1529:Z1604,2,0),"")</f>
        <v/>
      </c>
      <c r="F1526" s="19" t="str">
        <f>IFERROR(VLOOKUP(E1526,케이블트레이입.출고현황!V1529:AA1604,2,0),"")</f>
        <v/>
      </c>
      <c r="G1526" s="19" t="str">
        <f>IFERROR(VLOOKUP(F1526,케이블트레이입.출고현황!W1529:AB1604,2,0),"")</f>
        <v/>
      </c>
      <c r="H1526" s="19" t="str">
        <f>IFERROR(VLOOKUP(G1526,케이블트레이입.출고현황!X1529:AC1604,2,0),"")</f>
        <v/>
      </c>
      <c r="I1526" s="19" t="str">
        <f>IFERROR(VLOOKUP(H1526,케이블트레이입.출고현황!Y1529:AD1604,2,0),"")</f>
        <v/>
      </c>
      <c r="J1526" s="253">
        <v>2</v>
      </c>
      <c r="K1526" s="253"/>
      <c r="L1526" s="255"/>
      <c r="M1526" s="256"/>
      <c r="N1526" s="337"/>
    </row>
    <row r="1527" spans="1:14" ht="24" customHeight="1">
      <c r="A1527" s="8">
        <v>1367</v>
      </c>
      <c r="B1527" s="253">
        <v>1367</v>
      </c>
      <c r="C1527" s="254"/>
      <c r="D1527" s="253"/>
      <c r="E1527" s="19" t="str">
        <f>IFERROR(VLOOKUP(D1527,케이블트레이입.출고현황!U1530:Z1605,2,0),"")</f>
        <v/>
      </c>
      <c r="F1527" s="19" t="str">
        <f>IFERROR(VLOOKUP(E1527,케이블트레이입.출고현황!V1530:AA1605,2,0),"")</f>
        <v/>
      </c>
      <c r="G1527" s="19" t="str">
        <f>IFERROR(VLOOKUP(F1527,케이블트레이입.출고현황!W1530:AB1605,2,0),"")</f>
        <v/>
      </c>
      <c r="H1527" s="19" t="str">
        <f>IFERROR(VLOOKUP(G1527,케이블트레이입.출고현황!X1530:AC1605,2,0),"")</f>
        <v/>
      </c>
      <c r="I1527" s="19" t="str">
        <f>IFERROR(VLOOKUP(H1527,케이블트레이입.출고현황!Y1530:AD1605,2,0),"")</f>
        <v/>
      </c>
      <c r="J1527" s="253">
        <v>3</v>
      </c>
      <c r="K1527" s="253"/>
      <c r="L1527" s="255"/>
      <c r="M1527" s="256"/>
      <c r="N1527" s="337"/>
    </row>
    <row r="1528" spans="1:14" ht="24" customHeight="1">
      <c r="A1528" s="8">
        <v>1368</v>
      </c>
      <c r="B1528" s="253">
        <v>1368</v>
      </c>
      <c r="C1528" s="254"/>
      <c r="D1528" s="253"/>
      <c r="E1528" s="19" t="str">
        <f>IFERROR(VLOOKUP(D1528,케이블트레이입.출고현황!U1531:Z1606,2,0),"")</f>
        <v/>
      </c>
      <c r="F1528" s="19" t="str">
        <f>IFERROR(VLOOKUP(E1528,케이블트레이입.출고현황!V1531:AA1606,2,0),"")</f>
        <v/>
      </c>
      <c r="G1528" s="19" t="str">
        <f>IFERROR(VLOOKUP(F1528,케이블트레이입.출고현황!W1531:AB1606,2,0),"")</f>
        <v/>
      </c>
      <c r="H1528" s="19" t="str">
        <f>IFERROR(VLOOKUP(G1528,케이블트레이입.출고현황!X1531:AC1606,2,0),"")</f>
        <v/>
      </c>
      <c r="I1528" s="19" t="str">
        <f>IFERROR(VLOOKUP(H1528,케이블트레이입.출고현황!Y1531:AD1606,2,0),"")</f>
        <v/>
      </c>
      <c r="J1528" s="253">
        <v>1</v>
      </c>
      <c r="K1528" s="253"/>
      <c r="L1528" s="255"/>
      <c r="M1528" s="256"/>
      <c r="N1528" s="337"/>
    </row>
    <row r="1529" spans="1:14" ht="24" customHeight="1">
      <c r="A1529" s="8">
        <v>1369</v>
      </c>
      <c r="B1529" s="253">
        <v>1369</v>
      </c>
      <c r="C1529" s="254"/>
      <c r="D1529" s="253"/>
      <c r="E1529" s="19" t="str">
        <f>IFERROR(VLOOKUP(D1529,케이블트레이입.출고현황!U1532:Z1607,2,0),"")</f>
        <v/>
      </c>
      <c r="F1529" s="19" t="str">
        <f>IFERROR(VLOOKUP(E1529,케이블트레이입.출고현황!V1532:AA1607,2,0),"")</f>
        <v/>
      </c>
      <c r="G1529" s="19" t="str">
        <f>IFERROR(VLOOKUP(F1529,케이블트레이입.출고현황!W1532:AB1607,2,0),"")</f>
        <v/>
      </c>
      <c r="H1529" s="19" t="str">
        <f>IFERROR(VLOOKUP(G1529,케이블트레이입.출고현황!X1532:AC1607,2,0),"")</f>
        <v/>
      </c>
      <c r="I1529" s="19" t="str">
        <f>IFERROR(VLOOKUP(H1529,케이블트레이입.출고현황!Y1532:AD1607,2,0),"")</f>
        <v/>
      </c>
      <c r="J1529" s="253">
        <v>1</v>
      </c>
      <c r="K1529" s="253"/>
      <c r="L1529" s="255"/>
      <c r="M1529" s="256"/>
      <c r="N1529" s="337"/>
    </row>
    <row r="1530" spans="1:14" ht="24" customHeight="1">
      <c r="A1530" s="8">
        <v>1370</v>
      </c>
      <c r="B1530" s="253">
        <v>1370</v>
      </c>
      <c r="C1530" s="254"/>
      <c r="D1530" s="253"/>
      <c r="E1530" s="19" t="str">
        <f>IFERROR(VLOOKUP(D1530,케이블트레이입.출고현황!U1533:Z1608,2,0),"")</f>
        <v/>
      </c>
      <c r="F1530" s="19" t="str">
        <f>IFERROR(VLOOKUP(E1530,케이블트레이입.출고현황!V1533:AA1608,2,0),"")</f>
        <v/>
      </c>
      <c r="G1530" s="19" t="str">
        <f>IFERROR(VLOOKUP(F1530,케이블트레이입.출고현황!W1533:AB1608,2,0),"")</f>
        <v/>
      </c>
      <c r="H1530" s="19" t="str">
        <f>IFERROR(VLOOKUP(G1530,케이블트레이입.출고현황!X1533:AC1608,2,0),"")</f>
        <v/>
      </c>
      <c r="I1530" s="19" t="str">
        <f>IFERROR(VLOOKUP(H1530,케이블트레이입.출고현황!Y1533:AD1608,2,0),"")</f>
        <v/>
      </c>
      <c r="J1530" s="253">
        <v>4</v>
      </c>
      <c r="K1530" s="253"/>
      <c r="L1530" s="255"/>
      <c r="M1530" s="256"/>
      <c r="N1530" s="337"/>
    </row>
    <row r="1531" spans="1:14" ht="24" customHeight="1">
      <c r="A1531" s="8">
        <v>1371</v>
      </c>
      <c r="B1531" s="253">
        <v>1371</v>
      </c>
      <c r="C1531" s="254"/>
      <c r="D1531" s="253"/>
      <c r="E1531" s="19" t="str">
        <f>IFERROR(VLOOKUP(D1531,케이블트레이입.출고현황!U1534:Z1609,2,0),"")</f>
        <v/>
      </c>
      <c r="F1531" s="19" t="str">
        <f>IFERROR(VLOOKUP(E1531,케이블트레이입.출고현황!V1534:AA1609,2,0),"")</f>
        <v/>
      </c>
      <c r="G1531" s="19" t="str">
        <f>IFERROR(VLOOKUP(F1531,케이블트레이입.출고현황!W1534:AB1609,2,0),"")</f>
        <v/>
      </c>
      <c r="H1531" s="19" t="str">
        <f>IFERROR(VLOOKUP(G1531,케이블트레이입.출고현황!X1534:AC1609,2,0),"")</f>
        <v/>
      </c>
      <c r="I1531" s="19" t="str">
        <f>IFERROR(VLOOKUP(H1531,케이블트레이입.출고현황!Y1534:AD1609,2,0),"")</f>
        <v/>
      </c>
      <c r="J1531" s="253">
        <v>4</v>
      </c>
      <c r="K1531" s="253"/>
      <c r="L1531" s="255"/>
      <c r="M1531" s="256"/>
      <c r="N1531" s="337"/>
    </row>
    <row r="1532" spans="1:14" ht="24" customHeight="1">
      <c r="A1532" s="8">
        <v>1372</v>
      </c>
      <c r="B1532" s="253">
        <v>1372</v>
      </c>
      <c r="C1532" s="254"/>
      <c r="D1532" s="253"/>
      <c r="E1532" s="19" t="str">
        <f>IFERROR(VLOOKUP(D1532,케이블트레이입.출고현황!U1535:Z1610,2,0),"")</f>
        <v/>
      </c>
      <c r="F1532" s="19" t="str">
        <f>IFERROR(VLOOKUP(E1532,케이블트레이입.출고현황!V1535:AA1610,2,0),"")</f>
        <v/>
      </c>
      <c r="G1532" s="19" t="str">
        <f>IFERROR(VLOOKUP(F1532,케이블트레이입.출고현황!W1535:AB1610,2,0),"")</f>
        <v/>
      </c>
      <c r="H1532" s="19" t="str">
        <f>IFERROR(VLOOKUP(G1532,케이블트레이입.출고현황!X1535:AC1610,2,0),"")</f>
        <v/>
      </c>
      <c r="I1532" s="19" t="str">
        <f>IFERROR(VLOOKUP(H1532,케이블트레이입.출고현황!Y1535:AD1610,2,0),"")</f>
        <v/>
      </c>
      <c r="J1532" s="253">
        <v>1</v>
      </c>
      <c r="K1532" s="253"/>
      <c r="L1532" s="255"/>
      <c r="M1532" s="256"/>
      <c r="N1532" s="337"/>
    </row>
    <row r="1533" spans="1:14" ht="24" customHeight="1">
      <c r="A1533" s="8">
        <v>1373</v>
      </c>
      <c r="B1533" s="253">
        <v>1373</v>
      </c>
      <c r="C1533" s="254"/>
      <c r="D1533" s="253"/>
      <c r="E1533" s="19" t="str">
        <f>IFERROR(VLOOKUP(D1533,케이블트레이입.출고현황!U1536:Z1611,2,0),"")</f>
        <v/>
      </c>
      <c r="F1533" s="19" t="str">
        <f>IFERROR(VLOOKUP(E1533,케이블트레이입.출고현황!V1536:AA1611,2,0),"")</f>
        <v/>
      </c>
      <c r="G1533" s="19" t="str">
        <f>IFERROR(VLOOKUP(F1533,케이블트레이입.출고현황!W1536:AB1611,2,0),"")</f>
        <v/>
      </c>
      <c r="H1533" s="19" t="str">
        <f>IFERROR(VLOOKUP(G1533,케이블트레이입.출고현황!X1536:AC1611,2,0),"")</f>
        <v/>
      </c>
      <c r="I1533" s="19" t="str">
        <f>IFERROR(VLOOKUP(H1533,케이블트레이입.출고현황!Y1536:AD1611,2,0),"")</f>
        <v/>
      </c>
      <c r="J1533" s="253">
        <v>1</v>
      </c>
      <c r="K1533" s="253"/>
      <c r="L1533" s="255"/>
      <c r="M1533" s="256"/>
      <c r="N1533" s="337"/>
    </row>
    <row r="1534" spans="1:14" ht="24" customHeight="1">
      <c r="A1534" s="8">
        <v>1374</v>
      </c>
      <c r="B1534" s="253">
        <v>1374</v>
      </c>
      <c r="C1534" s="254"/>
      <c r="D1534" s="253"/>
      <c r="E1534" s="19" t="str">
        <f>IFERROR(VLOOKUP(D1534,케이블트레이입.출고현황!U1537:Z1612,2,0),"")</f>
        <v/>
      </c>
      <c r="F1534" s="19" t="str">
        <f>IFERROR(VLOOKUP(E1534,케이블트레이입.출고현황!V1537:AA1612,2,0),"")</f>
        <v/>
      </c>
      <c r="G1534" s="19" t="str">
        <f>IFERROR(VLOOKUP(F1534,케이블트레이입.출고현황!W1537:AB1612,2,0),"")</f>
        <v/>
      </c>
      <c r="H1534" s="19" t="str">
        <f>IFERROR(VLOOKUP(G1534,케이블트레이입.출고현황!X1537:AC1612,2,0),"")</f>
        <v/>
      </c>
      <c r="I1534" s="19" t="str">
        <f>IFERROR(VLOOKUP(H1534,케이블트레이입.출고현황!Y1537:AD1612,2,0),"")</f>
        <v/>
      </c>
      <c r="J1534" s="253">
        <v>1</v>
      </c>
      <c r="K1534" s="253"/>
      <c r="L1534" s="255"/>
      <c r="M1534" s="256"/>
      <c r="N1534" s="337"/>
    </row>
    <row r="1535" spans="1:14" ht="24" customHeight="1">
      <c r="A1535" s="8">
        <v>1375</v>
      </c>
      <c r="B1535" s="253">
        <v>1375</v>
      </c>
      <c r="C1535" s="254"/>
      <c r="D1535" s="253"/>
      <c r="E1535" s="19" t="str">
        <f>IFERROR(VLOOKUP(D1535,케이블트레이입.출고현황!U1538:Z1613,2,0),"")</f>
        <v/>
      </c>
      <c r="F1535" s="19" t="str">
        <f>IFERROR(VLOOKUP(E1535,케이블트레이입.출고현황!V1538:AA1613,2,0),"")</f>
        <v/>
      </c>
      <c r="G1535" s="19" t="str">
        <f>IFERROR(VLOOKUP(F1535,케이블트레이입.출고현황!W1538:AB1613,2,0),"")</f>
        <v/>
      </c>
      <c r="H1535" s="19" t="str">
        <f>IFERROR(VLOOKUP(G1535,케이블트레이입.출고현황!X1538:AC1613,2,0),"")</f>
        <v/>
      </c>
      <c r="I1535" s="19" t="str">
        <f>IFERROR(VLOOKUP(H1535,케이블트레이입.출고현황!Y1538:AD1613,2,0),"")</f>
        <v/>
      </c>
      <c r="J1535" s="253">
        <v>3</v>
      </c>
      <c r="K1535" s="253"/>
      <c r="L1535" s="255"/>
      <c r="M1535" s="256"/>
      <c r="N1535" s="337"/>
    </row>
    <row r="1536" spans="1:14" ht="24" customHeight="1">
      <c r="A1536" s="8">
        <v>1376</v>
      </c>
      <c r="B1536" s="253">
        <v>1376</v>
      </c>
      <c r="C1536" s="254"/>
      <c r="D1536" s="253"/>
      <c r="E1536" s="19" t="str">
        <f>IFERROR(VLOOKUP(D1536,케이블트레이입.출고현황!U1539:Z1614,2,0),"")</f>
        <v/>
      </c>
      <c r="F1536" s="19" t="str">
        <f>IFERROR(VLOOKUP(E1536,케이블트레이입.출고현황!V1539:AA1614,2,0),"")</f>
        <v/>
      </c>
      <c r="G1536" s="19" t="str">
        <f>IFERROR(VLOOKUP(F1536,케이블트레이입.출고현황!W1539:AB1614,2,0),"")</f>
        <v/>
      </c>
      <c r="H1536" s="19" t="str">
        <f>IFERROR(VLOOKUP(G1536,케이블트레이입.출고현황!X1539:AC1614,2,0),"")</f>
        <v/>
      </c>
      <c r="I1536" s="19" t="str">
        <f>IFERROR(VLOOKUP(H1536,케이블트레이입.출고현황!Y1539:AD1614,2,0),"")</f>
        <v/>
      </c>
      <c r="J1536" s="253">
        <v>2</v>
      </c>
      <c r="K1536" s="253"/>
      <c r="L1536" s="255"/>
      <c r="M1536" s="256"/>
      <c r="N1536" s="337"/>
    </row>
    <row r="1537" spans="1:14" ht="24" customHeight="1">
      <c r="A1537" s="8">
        <v>1377</v>
      </c>
      <c r="B1537" s="253">
        <v>1377</v>
      </c>
      <c r="C1537" s="254"/>
      <c r="D1537" s="253"/>
      <c r="E1537" s="19" t="str">
        <f>IFERROR(VLOOKUP(D1537,케이블트레이입.출고현황!U1540:Z1615,2,0),"")</f>
        <v/>
      </c>
      <c r="F1537" s="19" t="str">
        <f>IFERROR(VLOOKUP(E1537,케이블트레이입.출고현황!V1540:AA1615,2,0),"")</f>
        <v/>
      </c>
      <c r="G1537" s="19" t="str">
        <f>IFERROR(VLOOKUP(F1537,케이블트레이입.출고현황!W1540:AB1615,2,0),"")</f>
        <v/>
      </c>
      <c r="H1537" s="19" t="str">
        <f>IFERROR(VLOOKUP(G1537,케이블트레이입.출고현황!X1540:AC1615,2,0),"")</f>
        <v/>
      </c>
      <c r="I1537" s="19" t="str">
        <f>IFERROR(VLOOKUP(H1537,케이블트레이입.출고현황!Y1540:AD1615,2,0),"")</f>
        <v/>
      </c>
      <c r="J1537" s="253">
        <v>1</v>
      </c>
      <c r="K1537" s="253"/>
      <c r="L1537" s="255"/>
      <c r="M1537" s="256"/>
      <c r="N1537" s="337"/>
    </row>
    <row r="1538" spans="1:14" ht="24" customHeight="1">
      <c r="A1538" s="8">
        <v>1378</v>
      </c>
      <c r="B1538" s="253">
        <v>1378</v>
      </c>
      <c r="C1538" s="254"/>
      <c r="D1538" s="253"/>
      <c r="E1538" s="19" t="str">
        <f>IFERROR(VLOOKUP(D1538,케이블트레이입.출고현황!U1541:Z1616,2,0),"")</f>
        <v/>
      </c>
      <c r="F1538" s="19" t="str">
        <f>IFERROR(VLOOKUP(E1538,케이블트레이입.출고현황!V1541:AA1616,2,0),"")</f>
        <v/>
      </c>
      <c r="G1538" s="19" t="str">
        <f>IFERROR(VLOOKUP(F1538,케이블트레이입.출고현황!W1541:AB1616,2,0),"")</f>
        <v/>
      </c>
      <c r="H1538" s="19" t="str">
        <f>IFERROR(VLOOKUP(G1538,케이블트레이입.출고현황!X1541:AC1616,2,0),"")</f>
        <v/>
      </c>
      <c r="I1538" s="19" t="str">
        <f>IFERROR(VLOOKUP(H1538,케이블트레이입.출고현황!Y1541:AD1616,2,0),"")</f>
        <v/>
      </c>
      <c r="J1538" s="253">
        <v>1</v>
      </c>
      <c r="K1538" s="253"/>
      <c r="L1538" s="255"/>
      <c r="M1538" s="256"/>
      <c r="N1538" s="337"/>
    </row>
    <row r="1539" spans="1:14" ht="24" customHeight="1">
      <c r="A1539" s="8">
        <v>1379</v>
      </c>
      <c r="B1539" s="253">
        <v>1379</v>
      </c>
      <c r="C1539" s="254"/>
      <c r="D1539" s="253"/>
      <c r="E1539" s="19" t="str">
        <f>IFERROR(VLOOKUP(D1539,케이블트레이입.출고현황!U1542:Z1617,2,0),"")</f>
        <v/>
      </c>
      <c r="F1539" s="19" t="str">
        <f>IFERROR(VLOOKUP(E1539,케이블트레이입.출고현황!V1542:AA1617,2,0),"")</f>
        <v/>
      </c>
      <c r="G1539" s="19" t="str">
        <f>IFERROR(VLOOKUP(F1539,케이블트레이입.출고현황!W1542:AB1617,2,0),"")</f>
        <v/>
      </c>
      <c r="H1539" s="19" t="str">
        <f>IFERROR(VLOOKUP(G1539,케이블트레이입.출고현황!X1542:AC1617,2,0),"")</f>
        <v/>
      </c>
      <c r="I1539" s="19" t="str">
        <f>IFERROR(VLOOKUP(H1539,케이블트레이입.출고현황!Y1542:AD1617,2,0),"")</f>
        <v/>
      </c>
      <c r="J1539" s="253">
        <v>2</v>
      </c>
      <c r="K1539" s="253"/>
      <c r="L1539" s="255"/>
      <c r="M1539" s="256"/>
      <c r="N1539" s="337"/>
    </row>
    <row r="1540" spans="1:14" ht="24" customHeight="1">
      <c r="A1540" s="8">
        <v>1380</v>
      </c>
      <c r="B1540" s="253">
        <v>1380</v>
      </c>
      <c r="C1540" s="254"/>
      <c r="D1540" s="253"/>
      <c r="E1540" s="19" t="str">
        <f>IFERROR(VLOOKUP(D1540,케이블트레이입.출고현황!U1543:Z1618,2,0),"")</f>
        <v/>
      </c>
      <c r="F1540" s="19" t="str">
        <f>IFERROR(VLOOKUP(E1540,케이블트레이입.출고현황!V1543:AA1618,2,0),"")</f>
        <v/>
      </c>
      <c r="G1540" s="19" t="str">
        <f>IFERROR(VLOOKUP(F1540,케이블트레이입.출고현황!W1543:AB1618,2,0),"")</f>
        <v/>
      </c>
      <c r="H1540" s="19" t="str">
        <f>IFERROR(VLOOKUP(G1540,케이블트레이입.출고현황!X1543:AC1618,2,0),"")</f>
        <v/>
      </c>
      <c r="I1540" s="19" t="str">
        <f>IFERROR(VLOOKUP(H1540,케이블트레이입.출고현황!Y1543:AD1618,2,0),"")</f>
        <v/>
      </c>
      <c r="J1540" s="253">
        <v>4</v>
      </c>
      <c r="K1540" s="253"/>
      <c r="L1540" s="255"/>
      <c r="M1540" s="256"/>
      <c r="N1540" s="337"/>
    </row>
    <row r="1541" spans="1:14" ht="24" customHeight="1">
      <c r="A1541" s="8">
        <v>1381</v>
      </c>
      <c r="B1541" s="253">
        <v>1381</v>
      </c>
      <c r="C1541" s="254"/>
      <c r="D1541" s="253"/>
      <c r="E1541" s="19" t="str">
        <f>IFERROR(VLOOKUP(D1541,케이블트레이입.출고현황!U1544:Z1619,2,0),"")</f>
        <v/>
      </c>
      <c r="F1541" s="19" t="str">
        <f>IFERROR(VLOOKUP(E1541,케이블트레이입.출고현황!V1544:AA1619,2,0),"")</f>
        <v/>
      </c>
      <c r="G1541" s="19" t="str">
        <f>IFERROR(VLOOKUP(F1541,케이블트레이입.출고현황!W1544:AB1619,2,0),"")</f>
        <v/>
      </c>
      <c r="H1541" s="19" t="str">
        <f>IFERROR(VLOOKUP(G1541,케이블트레이입.출고현황!X1544:AC1619,2,0),"")</f>
        <v/>
      </c>
      <c r="I1541" s="19" t="str">
        <f>IFERROR(VLOOKUP(H1541,케이블트레이입.출고현황!Y1544:AD1619,2,0),"")</f>
        <v/>
      </c>
      <c r="J1541" s="253">
        <v>2</v>
      </c>
      <c r="K1541" s="253"/>
      <c r="L1541" s="255"/>
      <c r="M1541" s="256"/>
      <c r="N1541" s="337"/>
    </row>
    <row r="1542" spans="1:14" ht="24" customHeight="1">
      <c r="A1542" s="8">
        <v>1382</v>
      </c>
      <c r="B1542" s="253">
        <v>1382</v>
      </c>
      <c r="C1542" s="254"/>
      <c r="D1542" s="263"/>
      <c r="E1542" s="19" t="str">
        <f>IFERROR(VLOOKUP(D1542,케이블트레이입.출고현황!U1545:Z1620,2,0),"")</f>
        <v/>
      </c>
      <c r="F1542" s="19" t="str">
        <f>IFERROR(VLOOKUP(E1542,케이블트레이입.출고현황!V1545:AA1620,2,0),"")</f>
        <v/>
      </c>
      <c r="G1542" s="19" t="str">
        <f>IFERROR(VLOOKUP(F1542,케이블트레이입.출고현황!W1545:AB1620,2,0),"")</f>
        <v/>
      </c>
      <c r="H1542" s="19" t="str">
        <f>IFERROR(VLOOKUP(G1542,케이블트레이입.출고현황!X1545:AC1620,2,0),"")</f>
        <v/>
      </c>
      <c r="I1542" s="19" t="str">
        <f>IFERROR(VLOOKUP(H1542,케이블트레이입.출고현황!Y1545:AD1620,2,0),"")</f>
        <v/>
      </c>
      <c r="J1542" s="253">
        <v>3</v>
      </c>
      <c r="K1542" s="253"/>
      <c r="L1542" s="255"/>
      <c r="M1542" s="256"/>
      <c r="N1542" s="337"/>
    </row>
    <row r="1543" spans="1:14" ht="24" customHeight="1">
      <c r="A1543" s="8">
        <v>1383</v>
      </c>
      <c r="B1543" s="253">
        <v>1383</v>
      </c>
      <c r="C1543" s="254"/>
      <c r="D1543" s="263"/>
      <c r="E1543" s="19" t="str">
        <f>IFERROR(VLOOKUP(D1543,케이블트레이입.출고현황!U1546:Z1621,2,0),"")</f>
        <v/>
      </c>
      <c r="F1543" s="19" t="str">
        <f>IFERROR(VLOOKUP(E1543,케이블트레이입.출고현황!V1546:AA1621,2,0),"")</f>
        <v/>
      </c>
      <c r="G1543" s="19" t="str">
        <f>IFERROR(VLOOKUP(F1543,케이블트레이입.출고현황!W1546:AB1621,2,0),"")</f>
        <v/>
      </c>
      <c r="H1543" s="19" t="str">
        <f>IFERROR(VLOOKUP(G1543,케이블트레이입.출고현황!X1546:AC1621,2,0),"")</f>
        <v/>
      </c>
      <c r="I1543" s="19" t="str">
        <f>IFERROR(VLOOKUP(H1543,케이블트레이입.출고현황!Y1546:AD1621,2,0),"")</f>
        <v/>
      </c>
      <c r="J1543" s="253">
        <v>1</v>
      </c>
      <c r="K1543" s="253"/>
      <c r="L1543" s="255"/>
      <c r="M1543" s="256"/>
      <c r="N1543" s="337"/>
    </row>
    <row r="1544" spans="1:14" ht="24" customHeight="1">
      <c r="A1544" s="8">
        <v>1384</v>
      </c>
      <c r="B1544" s="253">
        <v>1384</v>
      </c>
      <c r="C1544" s="254"/>
      <c r="D1544" s="253"/>
      <c r="E1544" s="19" t="str">
        <f>IFERROR(VLOOKUP(D1544,케이블트레이입.출고현황!U1547:Z1622,2,0),"")</f>
        <v/>
      </c>
      <c r="F1544" s="19" t="str">
        <f>IFERROR(VLOOKUP(E1544,케이블트레이입.출고현황!V1547:AA1622,2,0),"")</f>
        <v/>
      </c>
      <c r="G1544" s="19" t="str">
        <f>IFERROR(VLOOKUP(F1544,케이블트레이입.출고현황!W1547:AB1622,2,0),"")</f>
        <v/>
      </c>
      <c r="H1544" s="19" t="str">
        <f>IFERROR(VLOOKUP(G1544,케이블트레이입.출고현황!X1547:AC1622,2,0),"")</f>
        <v/>
      </c>
      <c r="I1544" s="19" t="str">
        <f>IFERROR(VLOOKUP(H1544,케이블트레이입.출고현황!Y1547:AD1622,2,0),"")</f>
        <v/>
      </c>
      <c r="J1544" s="253">
        <v>2</v>
      </c>
      <c r="K1544" s="253"/>
      <c r="L1544" s="255"/>
      <c r="M1544" s="256"/>
      <c r="N1544" s="337"/>
    </row>
    <row r="1545" spans="1:14" ht="24" customHeight="1">
      <c r="A1545" s="8">
        <v>1385</v>
      </c>
      <c r="B1545" s="253">
        <v>1385</v>
      </c>
      <c r="C1545" s="254"/>
      <c r="D1545" s="253"/>
      <c r="E1545" s="19" t="str">
        <f>IFERROR(VLOOKUP(D1545,케이블트레이입.출고현황!U1548:Z1623,2,0),"")</f>
        <v/>
      </c>
      <c r="F1545" s="19" t="str">
        <f>IFERROR(VLOOKUP(E1545,케이블트레이입.출고현황!V1548:AA1623,2,0),"")</f>
        <v/>
      </c>
      <c r="G1545" s="19" t="str">
        <f>IFERROR(VLOOKUP(F1545,케이블트레이입.출고현황!W1548:AB1623,2,0),"")</f>
        <v/>
      </c>
      <c r="H1545" s="19" t="str">
        <f>IFERROR(VLOOKUP(G1545,케이블트레이입.출고현황!X1548:AC1623,2,0),"")</f>
        <v/>
      </c>
      <c r="I1545" s="19" t="str">
        <f>IFERROR(VLOOKUP(H1545,케이블트레이입.출고현황!Y1548:AD1623,2,0),"")</f>
        <v/>
      </c>
      <c r="J1545" s="253">
        <v>1</v>
      </c>
      <c r="K1545" s="253"/>
      <c r="L1545" s="255"/>
      <c r="M1545" s="256"/>
      <c r="N1545" s="337"/>
    </row>
    <row r="1546" spans="1:14" ht="24" customHeight="1">
      <c r="A1546" s="8">
        <v>1386</v>
      </c>
      <c r="B1546" s="253">
        <v>1386</v>
      </c>
      <c r="C1546" s="254"/>
      <c r="D1546" s="253"/>
      <c r="E1546" s="19" t="str">
        <f>IFERROR(VLOOKUP(D1546,케이블트레이입.출고현황!U1549:Z1624,2,0),"")</f>
        <v/>
      </c>
      <c r="F1546" s="19" t="str">
        <f>IFERROR(VLOOKUP(E1546,케이블트레이입.출고현황!V1549:AA1624,2,0),"")</f>
        <v/>
      </c>
      <c r="G1546" s="19" t="str">
        <f>IFERROR(VLOOKUP(F1546,케이블트레이입.출고현황!W1549:AB1624,2,0),"")</f>
        <v/>
      </c>
      <c r="H1546" s="19" t="str">
        <f>IFERROR(VLOOKUP(G1546,케이블트레이입.출고현황!X1549:AC1624,2,0),"")</f>
        <v/>
      </c>
      <c r="I1546" s="19" t="str">
        <f>IFERROR(VLOOKUP(H1546,케이블트레이입.출고현황!Y1549:AD1624,2,0),"")</f>
        <v/>
      </c>
      <c r="J1546" s="253">
        <v>2</v>
      </c>
      <c r="K1546" s="253"/>
      <c r="L1546" s="255"/>
      <c r="M1546" s="256"/>
      <c r="N1546" s="337"/>
    </row>
    <row r="1547" spans="1:14" ht="24" customHeight="1">
      <c r="A1547" s="8">
        <v>1387</v>
      </c>
      <c r="B1547" s="253">
        <v>1387</v>
      </c>
      <c r="C1547" s="254"/>
      <c r="D1547" s="253"/>
      <c r="E1547" s="19" t="str">
        <f>IFERROR(VLOOKUP(D1547,케이블트레이입.출고현황!U1550:Z1625,2,0),"")</f>
        <v/>
      </c>
      <c r="F1547" s="19" t="str">
        <f>IFERROR(VLOOKUP(E1547,케이블트레이입.출고현황!V1550:AA1625,2,0),"")</f>
        <v/>
      </c>
      <c r="G1547" s="19" t="str">
        <f>IFERROR(VLOOKUP(F1547,케이블트레이입.출고현황!W1550:AB1625,2,0),"")</f>
        <v/>
      </c>
      <c r="H1547" s="19" t="str">
        <f>IFERROR(VLOOKUP(G1547,케이블트레이입.출고현황!X1550:AC1625,2,0),"")</f>
        <v/>
      </c>
      <c r="I1547" s="19" t="str">
        <f>IFERROR(VLOOKUP(H1547,케이블트레이입.출고현황!Y1550:AD1625,2,0),"")</f>
        <v/>
      </c>
      <c r="J1547" s="253">
        <v>4</v>
      </c>
      <c r="K1547" s="253"/>
      <c r="L1547" s="255"/>
      <c r="M1547" s="256"/>
      <c r="N1547" s="337"/>
    </row>
    <row r="1548" spans="1:14" ht="24" customHeight="1">
      <c r="A1548" s="8">
        <v>1388</v>
      </c>
      <c r="B1548" s="253">
        <v>1388</v>
      </c>
      <c r="C1548" s="254"/>
      <c r="D1548" s="253"/>
      <c r="E1548" s="19" t="str">
        <f>IFERROR(VLOOKUP(D1548,케이블트레이입.출고현황!U1551:Z1626,2,0),"")</f>
        <v/>
      </c>
      <c r="F1548" s="19" t="str">
        <f>IFERROR(VLOOKUP(E1548,케이블트레이입.출고현황!V1551:AA1626,2,0),"")</f>
        <v/>
      </c>
      <c r="G1548" s="19" t="str">
        <f>IFERROR(VLOOKUP(F1548,케이블트레이입.출고현황!W1551:AB1626,2,0),"")</f>
        <v/>
      </c>
      <c r="H1548" s="19" t="str">
        <f>IFERROR(VLOOKUP(G1548,케이블트레이입.출고현황!X1551:AC1626,2,0),"")</f>
        <v/>
      </c>
      <c r="I1548" s="19" t="str">
        <f>IFERROR(VLOOKUP(H1548,케이블트레이입.출고현황!Y1551:AD1626,2,0),"")</f>
        <v/>
      </c>
      <c r="J1548" s="253">
        <v>2</v>
      </c>
      <c r="K1548" s="253"/>
      <c r="L1548" s="255"/>
      <c r="M1548" s="256"/>
      <c r="N1548" s="337"/>
    </row>
    <row r="1549" spans="1:14" ht="24" customHeight="1">
      <c r="A1549" s="8">
        <v>1389</v>
      </c>
      <c r="B1549" s="9">
        <v>1389</v>
      </c>
      <c r="C1549" s="46"/>
      <c r="D1549" s="9"/>
      <c r="E1549" s="19" t="str">
        <f>IFERROR(VLOOKUP(D1549,케이블트레이입.출고현황!U1552:Z1627,2,0),"")</f>
        <v/>
      </c>
      <c r="F1549" s="19" t="str">
        <f>IFERROR(VLOOKUP(E1549,케이블트레이입.출고현황!V1552:AA1627,2,0),"")</f>
        <v/>
      </c>
      <c r="G1549" s="19" t="str">
        <f>IFERROR(VLOOKUP(F1549,케이블트레이입.출고현황!W1552:AB1627,2,0),"")</f>
        <v/>
      </c>
      <c r="H1549" s="19" t="str">
        <f>IFERROR(VLOOKUP(G1549,케이블트레이입.출고현황!X1552:AC1627,2,0),"")</f>
        <v/>
      </c>
      <c r="I1549" s="19" t="str">
        <f>IFERROR(VLOOKUP(H1549,케이블트레이입.출고현황!Y1552:AD1627,2,0),"")</f>
        <v/>
      </c>
      <c r="J1549" s="9"/>
      <c r="K1549" s="9"/>
      <c r="L1549" s="37"/>
      <c r="M1549" s="64"/>
      <c r="N1549" s="4"/>
    </row>
    <row r="1550" spans="1:14" ht="24" customHeight="1">
      <c r="A1550" s="8">
        <v>1390</v>
      </c>
      <c r="B1550" s="9">
        <v>1390</v>
      </c>
      <c r="C1550" s="46"/>
      <c r="D1550" s="9"/>
      <c r="E1550" s="19" t="str">
        <f>IFERROR(VLOOKUP(D1550,케이블트레이입.출고현황!U1553:Z1628,2,0),"")</f>
        <v/>
      </c>
      <c r="F1550" s="19" t="str">
        <f>IFERROR(VLOOKUP(E1550,케이블트레이입.출고현황!V1553:AA1628,2,0),"")</f>
        <v/>
      </c>
      <c r="G1550" s="19" t="str">
        <f>IFERROR(VLOOKUP(F1550,케이블트레이입.출고현황!W1553:AB1628,2,0),"")</f>
        <v/>
      </c>
      <c r="H1550" s="19" t="str">
        <f>IFERROR(VLOOKUP(G1550,케이블트레이입.출고현황!X1553:AC1628,2,0),"")</f>
        <v/>
      </c>
      <c r="I1550" s="19" t="str">
        <f>IFERROR(VLOOKUP(H1550,케이블트레이입.출고현황!Y1553:AD1628,2,0),"")</f>
        <v/>
      </c>
      <c r="J1550" s="9"/>
      <c r="K1550" s="9"/>
      <c r="L1550" s="37"/>
      <c r="M1550" s="64"/>
      <c r="N1550" s="4"/>
    </row>
    <row r="1551" spans="1:14" ht="24" customHeight="1">
      <c r="A1551" s="8">
        <v>1391</v>
      </c>
      <c r="B1551" s="9">
        <v>1391</v>
      </c>
      <c r="C1551" s="46"/>
      <c r="D1551" s="9"/>
      <c r="E1551" s="19" t="str">
        <f>IFERROR(VLOOKUP(D1551,케이블트레이입.출고현황!U1554:Z1629,2,0),"")</f>
        <v/>
      </c>
      <c r="F1551" s="19" t="str">
        <f>IFERROR(VLOOKUP(E1551,케이블트레이입.출고현황!V1554:AA1629,2,0),"")</f>
        <v/>
      </c>
      <c r="G1551" s="19" t="str">
        <f>IFERROR(VLOOKUP(F1551,케이블트레이입.출고현황!W1554:AB1629,2,0),"")</f>
        <v/>
      </c>
      <c r="H1551" s="19" t="str">
        <f>IFERROR(VLOOKUP(G1551,케이블트레이입.출고현황!X1554:AC1629,2,0),"")</f>
        <v/>
      </c>
      <c r="I1551" s="19" t="str">
        <f>IFERROR(VLOOKUP(H1551,케이블트레이입.출고현황!Y1554:AD1629,2,0),"")</f>
        <v/>
      </c>
      <c r="J1551" s="9"/>
      <c r="K1551" s="9"/>
      <c r="L1551" s="37"/>
      <c r="M1551" s="64"/>
      <c r="N1551" s="4"/>
    </row>
    <row r="1552" spans="1:14" ht="24" customHeight="1">
      <c r="A1552" s="8">
        <v>1392</v>
      </c>
      <c r="B1552" s="9">
        <v>1392</v>
      </c>
      <c r="C1552" s="46"/>
      <c r="D1552" s="9"/>
      <c r="E1552" s="19" t="str">
        <f>IFERROR(VLOOKUP(D1552,케이블트레이입.출고현황!U1555:Z1630,2,0),"")</f>
        <v/>
      </c>
      <c r="F1552" s="19" t="str">
        <f>IFERROR(VLOOKUP(E1552,케이블트레이입.출고현황!V1555:AA1630,2,0),"")</f>
        <v/>
      </c>
      <c r="G1552" s="19" t="str">
        <f>IFERROR(VLOOKUP(F1552,케이블트레이입.출고현황!W1555:AB1630,2,0),"")</f>
        <v/>
      </c>
      <c r="H1552" s="19" t="str">
        <f>IFERROR(VLOOKUP(G1552,케이블트레이입.출고현황!X1555:AC1630,2,0),"")</f>
        <v/>
      </c>
      <c r="I1552" s="19" t="str">
        <f>IFERROR(VLOOKUP(H1552,케이블트레이입.출고현황!Y1555:AD1630,2,0),"")</f>
        <v/>
      </c>
      <c r="J1552" s="9"/>
      <c r="K1552" s="9"/>
      <c r="L1552" s="37"/>
      <c r="M1552" s="64"/>
      <c r="N1552" s="4"/>
    </row>
    <row r="1553" spans="1:14" ht="24" customHeight="1">
      <c r="A1553" s="8">
        <v>1393</v>
      </c>
      <c r="B1553" s="9">
        <v>1393</v>
      </c>
      <c r="C1553" s="46"/>
      <c r="D1553" s="9"/>
      <c r="E1553" s="19" t="str">
        <f>IFERROR(VLOOKUP(D1553,케이블트레이입.출고현황!U1556:Z1631,2,0),"")</f>
        <v/>
      </c>
      <c r="F1553" s="19" t="str">
        <f>IFERROR(VLOOKUP(E1553,케이블트레이입.출고현황!V1556:AA1631,2,0),"")</f>
        <v/>
      </c>
      <c r="G1553" s="19" t="str">
        <f>IFERROR(VLOOKUP(F1553,케이블트레이입.출고현황!W1556:AB1631,2,0),"")</f>
        <v/>
      </c>
      <c r="H1553" s="19" t="str">
        <f>IFERROR(VLOOKUP(G1553,케이블트레이입.출고현황!X1556:AC1631,2,0),"")</f>
        <v/>
      </c>
      <c r="I1553" s="19" t="str">
        <f>IFERROR(VLOOKUP(H1553,케이블트레이입.출고현황!Y1556:AD1631,2,0),"")</f>
        <v/>
      </c>
      <c r="J1553" s="9"/>
      <c r="K1553" s="9"/>
      <c r="L1553" s="37"/>
      <c r="M1553" s="64"/>
      <c r="N1553" s="4"/>
    </row>
    <row r="1554" spans="1:14" ht="24" customHeight="1">
      <c r="A1554" s="8">
        <v>1394</v>
      </c>
      <c r="B1554" s="9">
        <v>1394</v>
      </c>
      <c r="C1554" s="46"/>
      <c r="D1554" s="9"/>
      <c r="E1554" s="19" t="str">
        <f>IFERROR(VLOOKUP(D1554,케이블트레이입.출고현황!U1557:Z1632,2,0),"")</f>
        <v/>
      </c>
      <c r="F1554" s="19" t="str">
        <f>IFERROR(VLOOKUP(E1554,케이블트레이입.출고현황!V1557:AA1632,2,0),"")</f>
        <v/>
      </c>
      <c r="G1554" s="19" t="str">
        <f>IFERROR(VLOOKUP(F1554,케이블트레이입.출고현황!W1557:AB1632,2,0),"")</f>
        <v/>
      </c>
      <c r="H1554" s="19" t="str">
        <f>IFERROR(VLOOKUP(G1554,케이블트레이입.출고현황!X1557:AC1632,2,0),"")</f>
        <v/>
      </c>
      <c r="I1554" s="19" t="str">
        <f>IFERROR(VLOOKUP(H1554,케이블트레이입.출고현황!Y1557:AD1632,2,0),"")</f>
        <v/>
      </c>
      <c r="J1554" s="9"/>
      <c r="K1554" s="9"/>
      <c r="L1554" s="37"/>
      <c r="M1554" s="64"/>
      <c r="N1554" s="4"/>
    </row>
    <row r="1555" spans="1:14" ht="24" customHeight="1">
      <c r="A1555" s="8">
        <v>1395</v>
      </c>
      <c r="B1555" s="9">
        <v>1395</v>
      </c>
      <c r="C1555" s="46"/>
      <c r="D1555" s="9"/>
      <c r="E1555" s="19" t="str">
        <f>IFERROR(VLOOKUP(D1555,케이블트레이입.출고현황!U1558:Z1633,2,0),"")</f>
        <v/>
      </c>
      <c r="F1555" s="19" t="str">
        <f>IFERROR(VLOOKUP(E1555,케이블트레이입.출고현황!V1558:AA1633,2,0),"")</f>
        <v/>
      </c>
      <c r="G1555" s="19" t="str">
        <f>IFERROR(VLOOKUP(F1555,케이블트레이입.출고현황!W1558:AB1633,2,0),"")</f>
        <v/>
      </c>
      <c r="H1555" s="19" t="str">
        <f>IFERROR(VLOOKUP(G1555,케이블트레이입.출고현황!X1558:AC1633,2,0),"")</f>
        <v/>
      </c>
      <c r="I1555" s="19" t="str">
        <f>IFERROR(VLOOKUP(H1555,케이블트레이입.출고현황!Y1558:AD1633,2,0),"")</f>
        <v/>
      </c>
      <c r="J1555" s="9"/>
      <c r="K1555" s="9"/>
      <c r="L1555" s="37"/>
      <c r="M1555" s="64"/>
      <c r="N1555" s="4"/>
    </row>
    <row r="1556" spans="1:14" ht="24" customHeight="1">
      <c r="A1556" s="8">
        <v>1396</v>
      </c>
      <c r="B1556" s="9">
        <v>1396</v>
      </c>
      <c r="C1556" s="46"/>
      <c r="D1556" s="9"/>
      <c r="E1556" s="19" t="str">
        <f>IFERROR(VLOOKUP(D1556,케이블트레이입.출고현황!U1559:Z1634,2,0),"")</f>
        <v/>
      </c>
      <c r="F1556" s="19" t="str">
        <f>IFERROR(VLOOKUP(E1556,케이블트레이입.출고현황!V1559:AA1634,2,0),"")</f>
        <v/>
      </c>
      <c r="G1556" s="19" t="str">
        <f>IFERROR(VLOOKUP(F1556,케이블트레이입.출고현황!W1559:AB1634,2,0),"")</f>
        <v/>
      </c>
      <c r="H1556" s="19" t="str">
        <f>IFERROR(VLOOKUP(G1556,케이블트레이입.출고현황!X1559:AC1634,2,0),"")</f>
        <v/>
      </c>
      <c r="I1556" s="19" t="str">
        <f>IFERROR(VLOOKUP(H1556,케이블트레이입.출고현황!Y1559:AD1634,2,0),"")</f>
        <v/>
      </c>
      <c r="J1556" s="9"/>
      <c r="K1556" s="9"/>
      <c r="L1556" s="37"/>
      <c r="M1556" s="64"/>
      <c r="N1556" s="4"/>
    </row>
    <row r="1557" spans="1:14" ht="24" customHeight="1">
      <c r="A1557" s="8">
        <v>1397</v>
      </c>
      <c r="B1557" s="9">
        <v>1397</v>
      </c>
      <c r="C1557" s="46"/>
      <c r="D1557" s="9"/>
      <c r="E1557" s="19" t="str">
        <f>IFERROR(VLOOKUP(D1557,케이블트레이입.출고현황!U1560:Z1635,2,0),"")</f>
        <v/>
      </c>
      <c r="F1557" s="19" t="str">
        <f>IFERROR(VLOOKUP(E1557,케이블트레이입.출고현황!V1560:AA1635,2,0),"")</f>
        <v/>
      </c>
      <c r="G1557" s="19" t="str">
        <f>IFERROR(VLOOKUP(F1557,케이블트레이입.출고현황!W1560:AB1635,2,0),"")</f>
        <v/>
      </c>
      <c r="H1557" s="19" t="str">
        <f>IFERROR(VLOOKUP(G1557,케이블트레이입.출고현황!X1560:AC1635,2,0),"")</f>
        <v/>
      </c>
      <c r="I1557" s="19" t="str">
        <f>IFERROR(VLOOKUP(H1557,케이블트레이입.출고현황!Y1560:AD1635,2,0),"")</f>
        <v/>
      </c>
      <c r="J1557" s="9"/>
      <c r="K1557" s="9"/>
      <c r="L1557" s="37"/>
      <c r="M1557" s="64"/>
      <c r="N1557" s="4"/>
    </row>
    <row r="1558" spans="1:14" ht="24" customHeight="1">
      <c r="A1558" s="8">
        <v>1398</v>
      </c>
      <c r="B1558" s="9">
        <v>1398</v>
      </c>
      <c r="C1558" s="46"/>
      <c r="D1558" s="9"/>
      <c r="E1558" s="19" t="str">
        <f>IFERROR(VLOOKUP(D1558,케이블트레이입.출고현황!U1561:Z1636,2,0),"")</f>
        <v/>
      </c>
      <c r="F1558" s="19" t="str">
        <f>IFERROR(VLOOKUP(E1558,케이블트레이입.출고현황!V1561:AA1636,2,0),"")</f>
        <v/>
      </c>
      <c r="G1558" s="19" t="str">
        <f>IFERROR(VLOOKUP(F1558,케이블트레이입.출고현황!W1561:AB1636,2,0),"")</f>
        <v/>
      </c>
      <c r="H1558" s="19" t="str">
        <f>IFERROR(VLOOKUP(G1558,케이블트레이입.출고현황!X1561:AC1636,2,0),"")</f>
        <v/>
      </c>
      <c r="I1558" s="19" t="str">
        <f>IFERROR(VLOOKUP(H1558,케이블트레이입.출고현황!Y1561:AD1636,2,0),"")</f>
        <v/>
      </c>
      <c r="J1558" s="9"/>
      <c r="K1558" s="9"/>
      <c r="L1558" s="37"/>
      <c r="M1558" s="64"/>
      <c r="N1558" s="4"/>
    </row>
    <row r="1559" spans="1:14" ht="24" customHeight="1">
      <c r="A1559" s="8">
        <v>1399</v>
      </c>
      <c r="B1559" s="9">
        <v>1399</v>
      </c>
      <c r="C1559" s="46"/>
      <c r="D1559" s="9"/>
      <c r="E1559" s="19" t="str">
        <f>IFERROR(VLOOKUP(D1559,케이블트레이입.출고현황!U1562:Z1637,2,0),"")</f>
        <v/>
      </c>
      <c r="F1559" s="19" t="str">
        <f>IFERROR(VLOOKUP(E1559,케이블트레이입.출고현황!V1562:AA1637,2,0),"")</f>
        <v/>
      </c>
      <c r="G1559" s="19" t="str">
        <f>IFERROR(VLOOKUP(F1559,케이블트레이입.출고현황!W1562:AB1637,2,0),"")</f>
        <v/>
      </c>
      <c r="H1559" s="19" t="str">
        <f>IFERROR(VLOOKUP(G1559,케이블트레이입.출고현황!X1562:AC1637,2,0),"")</f>
        <v/>
      </c>
      <c r="I1559" s="19" t="str">
        <f>IFERROR(VLOOKUP(H1559,케이블트레이입.출고현황!Y1562:AD1637,2,0),"")</f>
        <v/>
      </c>
      <c r="J1559" s="9"/>
      <c r="K1559" s="9"/>
      <c r="L1559" s="37"/>
      <c r="M1559" s="64"/>
      <c r="N1559" s="4"/>
    </row>
    <row r="1560" spans="1:14" ht="24" customHeight="1">
      <c r="A1560" s="8">
        <v>1400</v>
      </c>
      <c r="B1560" s="9">
        <v>1400</v>
      </c>
      <c r="C1560" s="46"/>
      <c r="D1560" s="9"/>
      <c r="E1560" s="19" t="str">
        <f>IFERROR(VLOOKUP(D1560,케이블트레이입.출고현황!U1563:Z1638,2,0),"")</f>
        <v/>
      </c>
      <c r="F1560" s="19" t="str">
        <f>IFERROR(VLOOKUP(E1560,케이블트레이입.출고현황!V1563:AA1638,2,0),"")</f>
        <v/>
      </c>
      <c r="G1560" s="19" t="str">
        <f>IFERROR(VLOOKUP(F1560,케이블트레이입.출고현황!W1563:AB1638,2,0),"")</f>
        <v/>
      </c>
      <c r="H1560" s="19" t="str">
        <f>IFERROR(VLOOKUP(G1560,케이블트레이입.출고현황!X1563:AC1638,2,0),"")</f>
        <v/>
      </c>
      <c r="I1560" s="19" t="str">
        <f>IFERROR(VLOOKUP(H1560,케이블트레이입.출고현황!Y1563:AD1638,2,0),"")</f>
        <v/>
      </c>
      <c r="J1560" s="9"/>
      <c r="K1560" s="9"/>
      <c r="L1560" s="37"/>
      <c r="M1560" s="64"/>
      <c r="N1560" s="4"/>
    </row>
    <row r="1561" spans="1:14" ht="24" customHeight="1">
      <c r="A1561" s="8">
        <v>1401</v>
      </c>
      <c r="B1561" s="9">
        <v>1401</v>
      </c>
      <c r="C1561" s="46"/>
      <c r="D1561" s="9"/>
      <c r="E1561" s="19" t="str">
        <f>IFERROR(VLOOKUP(D1561,케이블트레이입.출고현황!U1564:Z1639,2,0),"")</f>
        <v/>
      </c>
      <c r="F1561" s="19" t="str">
        <f>IFERROR(VLOOKUP(E1561,케이블트레이입.출고현황!V1564:AA1639,2,0),"")</f>
        <v/>
      </c>
      <c r="G1561" s="19" t="str">
        <f>IFERROR(VLOOKUP(F1561,케이블트레이입.출고현황!W1564:AB1639,2,0),"")</f>
        <v/>
      </c>
      <c r="H1561" s="19" t="str">
        <f>IFERROR(VLOOKUP(G1561,케이블트레이입.출고현황!X1564:AC1639,2,0),"")</f>
        <v/>
      </c>
      <c r="I1561" s="19" t="str">
        <f>IFERROR(VLOOKUP(H1561,케이블트레이입.출고현황!Y1564:AD1639,2,0),"")</f>
        <v/>
      </c>
      <c r="J1561" s="9"/>
      <c r="K1561" s="9"/>
      <c r="L1561" s="37"/>
      <c r="M1561" s="64"/>
      <c r="N1561" s="4"/>
    </row>
    <row r="1562" spans="1:14" ht="24" customHeight="1">
      <c r="A1562" s="8">
        <v>1402</v>
      </c>
      <c r="B1562" s="9">
        <v>1402</v>
      </c>
      <c r="C1562" s="46"/>
      <c r="D1562" s="9"/>
      <c r="E1562" s="19" t="str">
        <f>IFERROR(VLOOKUP(D1562,케이블트레이입.출고현황!U1565:Z1640,2,0),"")</f>
        <v/>
      </c>
      <c r="F1562" s="19" t="str">
        <f>IFERROR(VLOOKUP(E1562,케이블트레이입.출고현황!V1565:AA1640,2,0),"")</f>
        <v/>
      </c>
      <c r="G1562" s="19" t="str">
        <f>IFERROR(VLOOKUP(F1562,케이블트레이입.출고현황!W1565:AB1640,2,0),"")</f>
        <v/>
      </c>
      <c r="H1562" s="19" t="str">
        <f>IFERROR(VLOOKUP(G1562,케이블트레이입.출고현황!X1565:AC1640,2,0),"")</f>
        <v/>
      </c>
      <c r="I1562" s="19" t="str">
        <f>IFERROR(VLOOKUP(H1562,케이블트레이입.출고현황!Y1565:AD1640,2,0),"")</f>
        <v/>
      </c>
      <c r="J1562" s="9"/>
      <c r="K1562" s="9"/>
      <c r="L1562" s="37"/>
      <c r="M1562" s="64"/>
      <c r="N1562" s="4"/>
    </row>
    <row r="1563" spans="1:14" ht="24" customHeight="1">
      <c r="A1563" s="8">
        <v>1403</v>
      </c>
      <c r="B1563" s="9">
        <v>1403</v>
      </c>
      <c r="C1563" s="46"/>
      <c r="D1563" s="9"/>
      <c r="E1563" s="19" t="str">
        <f>IFERROR(VLOOKUP(D1563,케이블트레이입.출고현황!U1566:Z1641,2,0),"")</f>
        <v/>
      </c>
      <c r="F1563" s="19" t="str">
        <f>IFERROR(VLOOKUP(E1563,케이블트레이입.출고현황!V1566:AA1641,2,0),"")</f>
        <v/>
      </c>
      <c r="G1563" s="19" t="str">
        <f>IFERROR(VLOOKUP(F1563,케이블트레이입.출고현황!W1566:AB1641,2,0),"")</f>
        <v/>
      </c>
      <c r="H1563" s="19" t="str">
        <f>IFERROR(VLOOKUP(G1563,케이블트레이입.출고현황!X1566:AC1641,2,0),"")</f>
        <v/>
      </c>
      <c r="I1563" s="19" t="str">
        <f>IFERROR(VLOOKUP(H1563,케이블트레이입.출고현황!Y1566:AD1641,2,0),"")</f>
        <v/>
      </c>
      <c r="J1563" s="9"/>
      <c r="K1563" s="9"/>
      <c r="L1563" s="37"/>
      <c r="M1563" s="64"/>
      <c r="N1563" s="4"/>
    </row>
    <row r="1564" spans="1:14" ht="24" customHeight="1">
      <c r="A1564" s="8">
        <v>1404</v>
      </c>
      <c r="B1564" s="9">
        <v>1404</v>
      </c>
      <c r="C1564" s="46"/>
      <c r="D1564" s="9"/>
      <c r="E1564" s="19" t="str">
        <f>IFERROR(VLOOKUP(D1564,케이블트레이입.출고현황!U1567:Z1642,2,0),"")</f>
        <v/>
      </c>
      <c r="F1564" s="19" t="str">
        <f>IFERROR(VLOOKUP(E1564,케이블트레이입.출고현황!V1567:AA1642,2,0),"")</f>
        <v/>
      </c>
      <c r="G1564" s="19" t="str">
        <f>IFERROR(VLOOKUP(F1564,케이블트레이입.출고현황!W1567:AB1642,2,0),"")</f>
        <v/>
      </c>
      <c r="H1564" s="19" t="str">
        <f>IFERROR(VLOOKUP(G1564,케이블트레이입.출고현황!X1567:AC1642,2,0),"")</f>
        <v/>
      </c>
      <c r="I1564" s="19" t="str">
        <f>IFERROR(VLOOKUP(H1564,케이블트레이입.출고현황!Y1567:AD1642,2,0),"")</f>
        <v/>
      </c>
      <c r="J1564" s="9"/>
      <c r="K1564" s="9"/>
      <c r="L1564" s="37"/>
      <c r="M1564" s="64"/>
      <c r="N1564" s="4"/>
    </row>
    <row r="1565" spans="1:14" ht="24" customHeight="1">
      <c r="A1565" s="8">
        <v>1405</v>
      </c>
      <c r="B1565" s="9">
        <v>1405</v>
      </c>
      <c r="C1565" s="46"/>
      <c r="D1565" s="9"/>
      <c r="E1565" s="19" t="str">
        <f>IFERROR(VLOOKUP(D1565,케이블트레이입.출고현황!U1568:Z1643,2,0),"")</f>
        <v/>
      </c>
      <c r="F1565" s="19" t="str">
        <f>IFERROR(VLOOKUP(E1565,케이블트레이입.출고현황!V1568:AA1643,2,0),"")</f>
        <v/>
      </c>
      <c r="G1565" s="19" t="str">
        <f>IFERROR(VLOOKUP(F1565,케이블트레이입.출고현황!W1568:AB1643,2,0),"")</f>
        <v/>
      </c>
      <c r="H1565" s="19" t="str">
        <f>IFERROR(VLOOKUP(G1565,케이블트레이입.출고현황!X1568:AC1643,2,0),"")</f>
        <v/>
      </c>
      <c r="I1565" s="19" t="str">
        <f>IFERROR(VLOOKUP(H1565,케이블트레이입.출고현황!Y1568:AD1643,2,0),"")</f>
        <v/>
      </c>
      <c r="J1565" s="9"/>
      <c r="K1565" s="9"/>
      <c r="L1565" s="37"/>
      <c r="M1565" s="64"/>
      <c r="N1565" s="4"/>
    </row>
    <row r="1566" spans="1:14" ht="24" customHeight="1">
      <c r="A1566" s="8">
        <v>1406</v>
      </c>
      <c r="B1566" s="9">
        <v>1406</v>
      </c>
      <c r="C1566" s="46"/>
      <c r="D1566" s="9"/>
      <c r="E1566" s="19" t="str">
        <f>IFERROR(VLOOKUP(D1566,케이블트레이입.출고현황!U1569:Z1644,2,0),"")</f>
        <v/>
      </c>
      <c r="F1566" s="19" t="str">
        <f>IFERROR(VLOOKUP(E1566,케이블트레이입.출고현황!V1569:AA1644,2,0),"")</f>
        <v/>
      </c>
      <c r="G1566" s="19" t="str">
        <f>IFERROR(VLOOKUP(F1566,케이블트레이입.출고현황!W1569:AB1644,2,0),"")</f>
        <v/>
      </c>
      <c r="H1566" s="19" t="str">
        <f>IFERROR(VLOOKUP(G1566,케이블트레이입.출고현황!X1569:AC1644,2,0),"")</f>
        <v/>
      </c>
      <c r="I1566" s="19" t="str">
        <f>IFERROR(VLOOKUP(H1566,케이블트레이입.출고현황!Y1569:AD1644,2,0),"")</f>
        <v/>
      </c>
      <c r="J1566" s="9"/>
      <c r="K1566" s="9"/>
      <c r="L1566" s="37"/>
      <c r="M1566" s="64"/>
      <c r="N1566" s="4"/>
    </row>
    <row r="1567" spans="1:14" ht="24" customHeight="1">
      <c r="A1567" s="8">
        <v>1407</v>
      </c>
      <c r="B1567" s="9">
        <v>1407</v>
      </c>
      <c r="C1567" s="46"/>
      <c r="D1567" s="9"/>
      <c r="E1567" s="19" t="str">
        <f>IFERROR(VLOOKUP(D1567,케이블트레이입.출고현황!U1570:Z1645,2,0),"")</f>
        <v/>
      </c>
      <c r="F1567" s="19" t="str">
        <f>IFERROR(VLOOKUP(E1567,케이블트레이입.출고현황!V1570:AA1645,2,0),"")</f>
        <v/>
      </c>
      <c r="G1567" s="19" t="str">
        <f>IFERROR(VLOOKUP(F1567,케이블트레이입.출고현황!W1570:AB1645,2,0),"")</f>
        <v/>
      </c>
      <c r="H1567" s="19" t="str">
        <f>IFERROR(VLOOKUP(G1567,케이블트레이입.출고현황!X1570:AC1645,2,0),"")</f>
        <v/>
      </c>
      <c r="I1567" s="19" t="str">
        <f>IFERROR(VLOOKUP(H1567,케이블트레이입.출고현황!Y1570:AD1645,2,0),"")</f>
        <v/>
      </c>
      <c r="J1567" s="9"/>
      <c r="K1567" s="9"/>
      <c r="L1567" s="37"/>
      <c r="M1567" s="64"/>
      <c r="N1567" s="4"/>
    </row>
    <row r="1568" spans="1:14" ht="24" customHeight="1">
      <c r="A1568" s="8">
        <v>1408</v>
      </c>
      <c r="B1568" s="9">
        <v>1408</v>
      </c>
      <c r="C1568" s="46"/>
      <c r="D1568" s="9"/>
      <c r="E1568" s="19" t="str">
        <f>IFERROR(VLOOKUP(D1568,케이블트레이입.출고현황!U1571:Z1646,2,0),"")</f>
        <v/>
      </c>
      <c r="F1568" s="19" t="str">
        <f>IFERROR(VLOOKUP(E1568,케이블트레이입.출고현황!V1571:AA1646,2,0),"")</f>
        <v/>
      </c>
      <c r="G1568" s="19" t="str">
        <f>IFERROR(VLOOKUP(F1568,케이블트레이입.출고현황!W1571:AB1646,2,0),"")</f>
        <v/>
      </c>
      <c r="H1568" s="19" t="str">
        <f>IFERROR(VLOOKUP(G1568,케이블트레이입.출고현황!X1571:AC1646,2,0),"")</f>
        <v/>
      </c>
      <c r="I1568" s="19" t="str">
        <f>IFERROR(VLOOKUP(H1568,케이블트레이입.출고현황!Y1571:AD1646,2,0),"")</f>
        <v/>
      </c>
      <c r="J1568" s="9"/>
      <c r="K1568" s="9"/>
      <c r="L1568" s="37"/>
      <c r="M1568" s="64"/>
      <c r="N1568" s="4"/>
    </row>
    <row r="1569" spans="1:14" ht="24" customHeight="1">
      <c r="A1569" s="8">
        <v>1409</v>
      </c>
      <c r="B1569" s="9">
        <v>1409</v>
      </c>
      <c r="C1569" s="46"/>
      <c r="D1569" s="9"/>
      <c r="E1569" s="19" t="str">
        <f>IFERROR(VLOOKUP(D1569,케이블트레이입.출고현황!U1572:Z1647,2,0),"")</f>
        <v/>
      </c>
      <c r="F1569" s="19" t="str">
        <f>IFERROR(VLOOKUP(E1569,케이블트레이입.출고현황!V1572:AA1647,2,0),"")</f>
        <v/>
      </c>
      <c r="G1569" s="19" t="str">
        <f>IFERROR(VLOOKUP(F1569,케이블트레이입.출고현황!W1572:AB1647,2,0),"")</f>
        <v/>
      </c>
      <c r="H1569" s="19" t="str">
        <f>IFERROR(VLOOKUP(G1569,케이블트레이입.출고현황!X1572:AC1647,2,0),"")</f>
        <v/>
      </c>
      <c r="I1569" s="19" t="str">
        <f>IFERROR(VLOOKUP(H1569,케이블트레이입.출고현황!Y1572:AD1647,2,0),"")</f>
        <v/>
      </c>
      <c r="J1569" s="9"/>
      <c r="K1569" s="9"/>
      <c r="L1569" s="37"/>
      <c r="M1569" s="64"/>
      <c r="N1569" s="4"/>
    </row>
    <row r="1570" spans="1:14" ht="24" customHeight="1">
      <c r="A1570" s="8">
        <v>1410</v>
      </c>
      <c r="B1570" s="9">
        <v>1410</v>
      </c>
      <c r="C1570" s="46"/>
      <c r="D1570" s="9"/>
      <c r="E1570" s="19" t="str">
        <f>IFERROR(VLOOKUP(D1570,케이블트레이입.출고현황!U1573:Z1648,2,0),"")</f>
        <v/>
      </c>
      <c r="F1570" s="19" t="str">
        <f>IFERROR(VLOOKUP(E1570,케이블트레이입.출고현황!V1573:AA1648,2,0),"")</f>
        <v/>
      </c>
      <c r="G1570" s="19" t="str">
        <f>IFERROR(VLOOKUP(F1570,케이블트레이입.출고현황!W1573:AB1648,2,0),"")</f>
        <v/>
      </c>
      <c r="H1570" s="19" t="str">
        <f>IFERROR(VLOOKUP(G1570,케이블트레이입.출고현황!X1573:AC1648,2,0),"")</f>
        <v/>
      </c>
      <c r="I1570" s="19" t="str">
        <f>IFERROR(VLOOKUP(H1570,케이블트레이입.출고현황!Y1573:AD1648,2,0),"")</f>
        <v/>
      </c>
      <c r="J1570" s="9"/>
      <c r="K1570" s="9"/>
      <c r="L1570" s="37"/>
      <c r="M1570" s="64"/>
      <c r="N1570" s="4"/>
    </row>
    <row r="1571" spans="1:14" ht="24" customHeight="1">
      <c r="A1571" s="8">
        <v>1411</v>
      </c>
      <c r="B1571" s="9">
        <v>1411</v>
      </c>
      <c r="C1571" s="46"/>
      <c r="D1571" s="9"/>
      <c r="E1571" s="19" t="str">
        <f>IFERROR(VLOOKUP(D1571,케이블트레이입.출고현황!U1574:Z1649,2,0),"")</f>
        <v/>
      </c>
      <c r="F1571" s="19" t="str">
        <f>IFERROR(VLOOKUP(E1571,케이블트레이입.출고현황!V1574:AA1649,2,0),"")</f>
        <v/>
      </c>
      <c r="G1571" s="19" t="str">
        <f>IFERROR(VLOOKUP(F1571,케이블트레이입.출고현황!W1574:AB1649,2,0),"")</f>
        <v/>
      </c>
      <c r="H1571" s="19" t="str">
        <f>IFERROR(VLOOKUP(G1571,케이블트레이입.출고현황!X1574:AC1649,2,0),"")</f>
        <v/>
      </c>
      <c r="I1571" s="19" t="str">
        <f>IFERROR(VLOOKUP(H1571,케이블트레이입.출고현황!Y1574:AD1649,2,0),"")</f>
        <v/>
      </c>
      <c r="J1571" s="9"/>
      <c r="K1571" s="9"/>
      <c r="L1571" s="37"/>
      <c r="M1571" s="64"/>
      <c r="N1571" s="4"/>
    </row>
    <row r="1572" spans="1:14" ht="24" customHeight="1">
      <c r="A1572" s="8">
        <v>1412</v>
      </c>
      <c r="B1572" s="9">
        <v>1412</v>
      </c>
      <c r="C1572" s="46"/>
      <c r="D1572" s="9"/>
      <c r="E1572" s="19" t="str">
        <f>IFERROR(VLOOKUP(D1572,케이블트레이입.출고현황!U1575:Z1650,2,0),"")</f>
        <v/>
      </c>
      <c r="F1572" s="19" t="str">
        <f>IFERROR(VLOOKUP(E1572,케이블트레이입.출고현황!V1575:AA1650,2,0),"")</f>
        <v/>
      </c>
      <c r="G1572" s="19" t="str">
        <f>IFERROR(VLOOKUP(F1572,케이블트레이입.출고현황!W1575:AB1650,2,0),"")</f>
        <v/>
      </c>
      <c r="H1572" s="19" t="str">
        <f>IFERROR(VLOOKUP(G1572,케이블트레이입.출고현황!X1575:AC1650,2,0),"")</f>
        <v/>
      </c>
      <c r="I1572" s="19" t="str">
        <f>IFERROR(VLOOKUP(H1572,케이블트레이입.출고현황!Y1575:AD1650,2,0),"")</f>
        <v/>
      </c>
      <c r="J1572" s="9"/>
      <c r="K1572" s="9"/>
      <c r="L1572" s="37"/>
      <c r="M1572" s="64"/>
      <c r="N1572" s="4"/>
    </row>
    <row r="1573" spans="1:14" ht="24" customHeight="1">
      <c r="A1573" s="8">
        <v>1413</v>
      </c>
      <c r="B1573" s="9">
        <v>1413</v>
      </c>
      <c r="C1573" s="46"/>
      <c r="D1573" s="9"/>
      <c r="E1573" s="19" t="str">
        <f>IFERROR(VLOOKUP(D1573,케이블트레이입.출고현황!U1576:Z1651,2,0),"")</f>
        <v/>
      </c>
      <c r="F1573" s="19" t="str">
        <f>IFERROR(VLOOKUP(E1573,케이블트레이입.출고현황!V1576:AA1651,2,0),"")</f>
        <v/>
      </c>
      <c r="G1573" s="19" t="str">
        <f>IFERROR(VLOOKUP(F1573,케이블트레이입.출고현황!W1576:AB1651,2,0),"")</f>
        <v/>
      </c>
      <c r="H1573" s="19" t="str">
        <f>IFERROR(VLOOKUP(G1573,케이블트레이입.출고현황!X1576:AC1651,2,0),"")</f>
        <v/>
      </c>
      <c r="I1573" s="19" t="str">
        <f>IFERROR(VLOOKUP(H1573,케이블트레이입.출고현황!Y1576:AD1651,2,0),"")</f>
        <v/>
      </c>
      <c r="J1573" s="9"/>
      <c r="K1573" s="9"/>
      <c r="L1573" s="37"/>
      <c r="M1573" s="64"/>
      <c r="N1573" s="4"/>
    </row>
    <row r="1574" spans="1:14" ht="24" customHeight="1">
      <c r="A1574" s="8">
        <v>1414</v>
      </c>
      <c r="B1574" s="9">
        <v>1414</v>
      </c>
      <c r="C1574" s="46"/>
      <c r="D1574" s="9"/>
      <c r="E1574" s="19" t="str">
        <f>IFERROR(VLOOKUP(D1574,케이블트레이입.출고현황!U1577:Z1652,2,0),"")</f>
        <v/>
      </c>
      <c r="F1574" s="19" t="str">
        <f>IFERROR(VLOOKUP(E1574,케이블트레이입.출고현황!V1577:AA1652,2,0),"")</f>
        <v/>
      </c>
      <c r="G1574" s="19" t="str">
        <f>IFERROR(VLOOKUP(F1574,케이블트레이입.출고현황!W1577:AB1652,2,0),"")</f>
        <v/>
      </c>
      <c r="H1574" s="19" t="str">
        <f>IFERROR(VLOOKUP(G1574,케이블트레이입.출고현황!X1577:AC1652,2,0),"")</f>
        <v/>
      </c>
      <c r="I1574" s="19" t="str">
        <f>IFERROR(VLOOKUP(H1574,케이블트레이입.출고현황!Y1577:AD1652,2,0),"")</f>
        <v/>
      </c>
      <c r="J1574" s="9"/>
      <c r="K1574" s="9"/>
      <c r="L1574" s="37"/>
      <c r="M1574" s="64"/>
      <c r="N1574" s="4"/>
    </row>
    <row r="1575" spans="1:14" ht="24" customHeight="1">
      <c r="A1575" s="8">
        <v>1415</v>
      </c>
      <c r="B1575" s="9">
        <v>1415</v>
      </c>
      <c r="C1575" s="46"/>
      <c r="D1575" s="9"/>
      <c r="E1575" s="19" t="str">
        <f>IFERROR(VLOOKUP(D1575,케이블트레이입.출고현황!U1578:Z1653,2,0),"")</f>
        <v/>
      </c>
      <c r="F1575" s="19" t="str">
        <f>IFERROR(VLOOKUP(E1575,케이블트레이입.출고현황!V1578:AA1653,2,0),"")</f>
        <v/>
      </c>
      <c r="G1575" s="19" t="str">
        <f>IFERROR(VLOOKUP(F1575,케이블트레이입.출고현황!W1578:AB1653,2,0),"")</f>
        <v/>
      </c>
      <c r="H1575" s="19" t="str">
        <f>IFERROR(VLOOKUP(G1575,케이블트레이입.출고현황!X1578:AC1653,2,0),"")</f>
        <v/>
      </c>
      <c r="I1575" s="19" t="str">
        <f>IFERROR(VLOOKUP(H1575,케이블트레이입.출고현황!Y1578:AD1653,2,0),"")</f>
        <v/>
      </c>
      <c r="J1575" s="9"/>
      <c r="K1575" s="9"/>
      <c r="L1575" s="37"/>
      <c r="M1575" s="64"/>
      <c r="N1575" s="4"/>
    </row>
    <row r="1576" spans="1:14" ht="24" customHeight="1">
      <c r="A1576" s="8">
        <v>1416</v>
      </c>
      <c r="B1576" s="9">
        <v>1416</v>
      </c>
      <c r="C1576" s="46"/>
      <c r="D1576" s="9"/>
      <c r="E1576" s="19" t="str">
        <f>IFERROR(VLOOKUP(D1576,케이블트레이입.출고현황!U1579:Z1654,2,0),"")</f>
        <v/>
      </c>
      <c r="F1576" s="19" t="str">
        <f>IFERROR(VLOOKUP(E1576,케이블트레이입.출고현황!V1579:AA1654,2,0),"")</f>
        <v/>
      </c>
      <c r="G1576" s="19" t="str">
        <f>IFERROR(VLOOKUP(F1576,케이블트레이입.출고현황!W1579:AB1654,2,0),"")</f>
        <v/>
      </c>
      <c r="H1576" s="19" t="str">
        <f>IFERROR(VLOOKUP(G1576,케이블트레이입.출고현황!X1579:AC1654,2,0),"")</f>
        <v/>
      </c>
      <c r="I1576" s="19" t="str">
        <f>IFERROR(VLOOKUP(H1576,케이블트레이입.출고현황!Y1579:AD1654,2,0),"")</f>
        <v/>
      </c>
      <c r="J1576" s="9"/>
      <c r="K1576" s="9"/>
      <c r="L1576" s="37"/>
      <c r="M1576" s="64"/>
      <c r="N1576" s="4"/>
    </row>
    <row r="1577" spans="1:14" ht="24" customHeight="1">
      <c r="A1577" s="8">
        <v>1417</v>
      </c>
      <c r="B1577" s="9">
        <v>1417</v>
      </c>
      <c r="C1577" s="46"/>
      <c r="D1577" s="9"/>
      <c r="E1577" s="19" t="str">
        <f>IFERROR(VLOOKUP(D1577,케이블트레이입.출고현황!U1580:Z1655,2,0),"")</f>
        <v/>
      </c>
      <c r="F1577" s="19" t="str">
        <f>IFERROR(VLOOKUP(E1577,케이블트레이입.출고현황!V1580:AA1655,2,0),"")</f>
        <v/>
      </c>
      <c r="G1577" s="19" t="str">
        <f>IFERROR(VLOOKUP(F1577,케이블트레이입.출고현황!W1580:AB1655,2,0),"")</f>
        <v/>
      </c>
      <c r="H1577" s="19" t="str">
        <f>IFERROR(VLOOKUP(G1577,케이블트레이입.출고현황!X1580:AC1655,2,0),"")</f>
        <v/>
      </c>
      <c r="I1577" s="19" t="str">
        <f>IFERROR(VLOOKUP(H1577,케이블트레이입.출고현황!Y1580:AD1655,2,0),"")</f>
        <v/>
      </c>
      <c r="J1577" s="9"/>
      <c r="K1577" s="9"/>
      <c r="L1577" s="37"/>
      <c r="M1577" s="64"/>
      <c r="N1577" s="4"/>
    </row>
    <row r="1578" spans="1:14" ht="24" customHeight="1">
      <c r="A1578" s="8">
        <v>1418</v>
      </c>
      <c r="B1578" s="9">
        <v>1418</v>
      </c>
      <c r="C1578" s="46"/>
      <c r="D1578" s="9"/>
      <c r="E1578" s="19" t="str">
        <f>IFERROR(VLOOKUP(D1578,케이블트레이입.출고현황!U1581:Z1656,2,0),"")</f>
        <v/>
      </c>
      <c r="F1578" s="19" t="str">
        <f>IFERROR(VLOOKUP(E1578,케이블트레이입.출고현황!V1581:AA1656,2,0),"")</f>
        <v/>
      </c>
      <c r="G1578" s="19" t="str">
        <f>IFERROR(VLOOKUP(F1578,케이블트레이입.출고현황!W1581:AB1656,2,0),"")</f>
        <v/>
      </c>
      <c r="H1578" s="19" t="str">
        <f>IFERROR(VLOOKUP(G1578,케이블트레이입.출고현황!X1581:AC1656,2,0),"")</f>
        <v/>
      </c>
      <c r="I1578" s="19" t="str">
        <f>IFERROR(VLOOKUP(H1578,케이블트레이입.출고현황!Y1581:AD1656,2,0),"")</f>
        <v/>
      </c>
      <c r="J1578" s="9"/>
      <c r="K1578" s="9"/>
      <c r="L1578" s="37"/>
      <c r="M1578" s="64"/>
      <c r="N1578" s="4"/>
    </row>
    <row r="1579" spans="1:14" ht="24" customHeight="1">
      <c r="A1579" s="8">
        <v>1419</v>
      </c>
      <c r="B1579" s="9">
        <v>1419</v>
      </c>
      <c r="C1579" s="46"/>
      <c r="D1579" s="9"/>
      <c r="E1579" s="19" t="str">
        <f>IFERROR(VLOOKUP(D1579,케이블트레이입.출고현황!U1582:Z1657,2,0),"")</f>
        <v/>
      </c>
      <c r="F1579" s="19" t="str">
        <f>IFERROR(VLOOKUP(E1579,케이블트레이입.출고현황!V1582:AA1657,2,0),"")</f>
        <v/>
      </c>
      <c r="G1579" s="19" t="str">
        <f>IFERROR(VLOOKUP(F1579,케이블트레이입.출고현황!W1582:AB1657,2,0),"")</f>
        <v/>
      </c>
      <c r="H1579" s="19" t="str">
        <f>IFERROR(VLOOKUP(G1579,케이블트레이입.출고현황!X1582:AC1657,2,0),"")</f>
        <v/>
      </c>
      <c r="I1579" s="19" t="str">
        <f>IFERROR(VLOOKUP(H1579,케이블트레이입.출고현황!Y1582:AD1657,2,0),"")</f>
        <v/>
      </c>
      <c r="J1579" s="9"/>
      <c r="K1579" s="9"/>
      <c r="L1579" s="37"/>
      <c r="M1579" s="64"/>
      <c r="N1579" s="4"/>
    </row>
    <row r="1580" spans="1:14" ht="24" customHeight="1">
      <c r="A1580" s="8">
        <v>1420</v>
      </c>
      <c r="B1580" s="9">
        <v>1420</v>
      </c>
      <c r="C1580" s="46"/>
      <c r="D1580" s="9"/>
      <c r="E1580" s="19" t="str">
        <f>IFERROR(VLOOKUP(D1580,케이블트레이입.출고현황!U1583:Z1658,2,0),"")</f>
        <v/>
      </c>
      <c r="F1580" s="19" t="str">
        <f>IFERROR(VLOOKUP(E1580,케이블트레이입.출고현황!V1583:AA1658,2,0),"")</f>
        <v/>
      </c>
      <c r="G1580" s="19" t="str">
        <f>IFERROR(VLOOKUP(F1580,케이블트레이입.출고현황!W1583:AB1658,2,0),"")</f>
        <v/>
      </c>
      <c r="H1580" s="19" t="str">
        <f>IFERROR(VLOOKUP(G1580,케이블트레이입.출고현황!X1583:AC1658,2,0),"")</f>
        <v/>
      </c>
      <c r="I1580" s="19" t="str">
        <f>IFERROR(VLOOKUP(H1580,케이블트레이입.출고현황!Y1583:AD1658,2,0),"")</f>
        <v/>
      </c>
      <c r="J1580" s="9"/>
      <c r="K1580" s="9"/>
      <c r="L1580" s="37"/>
      <c r="M1580" s="64"/>
      <c r="N1580" s="4"/>
    </row>
    <row r="1581" spans="1:14" ht="24" customHeight="1">
      <c r="A1581" s="8">
        <v>1421</v>
      </c>
      <c r="B1581" s="9">
        <v>1421</v>
      </c>
      <c r="C1581" s="46"/>
      <c r="D1581" s="9"/>
      <c r="E1581" s="19" t="str">
        <f>IFERROR(VLOOKUP(D1581,케이블트레이입.출고현황!U1584:Z1659,2,0),"")</f>
        <v/>
      </c>
      <c r="F1581" s="19" t="str">
        <f>IFERROR(VLOOKUP(E1581,케이블트레이입.출고현황!V1584:AA1659,2,0),"")</f>
        <v/>
      </c>
      <c r="G1581" s="19" t="str">
        <f>IFERROR(VLOOKUP(F1581,케이블트레이입.출고현황!W1584:AB1659,2,0),"")</f>
        <v/>
      </c>
      <c r="H1581" s="19" t="str">
        <f>IFERROR(VLOOKUP(G1581,케이블트레이입.출고현황!X1584:AC1659,2,0),"")</f>
        <v/>
      </c>
      <c r="I1581" s="19" t="str">
        <f>IFERROR(VLOOKUP(H1581,케이블트레이입.출고현황!Y1584:AD1659,2,0),"")</f>
        <v/>
      </c>
      <c r="J1581" s="9"/>
      <c r="K1581" s="9"/>
      <c r="L1581" s="37"/>
      <c r="M1581" s="64"/>
      <c r="N1581" s="4"/>
    </row>
    <row r="1582" spans="1:14" ht="24" customHeight="1">
      <c r="A1582" s="8">
        <v>1422</v>
      </c>
      <c r="B1582" s="9">
        <v>1422</v>
      </c>
      <c r="C1582" s="46"/>
      <c r="D1582" s="9"/>
      <c r="E1582" s="19" t="str">
        <f>IFERROR(VLOOKUP(D1582,케이블트레이입.출고현황!U1585:Z1660,2,0),"")</f>
        <v/>
      </c>
      <c r="F1582" s="19" t="str">
        <f>IFERROR(VLOOKUP(E1582,케이블트레이입.출고현황!V1585:AA1660,2,0),"")</f>
        <v/>
      </c>
      <c r="G1582" s="19" t="str">
        <f>IFERROR(VLOOKUP(F1582,케이블트레이입.출고현황!W1585:AB1660,2,0),"")</f>
        <v/>
      </c>
      <c r="H1582" s="19" t="str">
        <f>IFERROR(VLOOKUP(G1582,케이블트레이입.출고현황!X1585:AC1660,2,0),"")</f>
        <v/>
      </c>
      <c r="I1582" s="19" t="str">
        <f>IFERROR(VLOOKUP(H1582,케이블트레이입.출고현황!Y1585:AD1660,2,0),"")</f>
        <v/>
      </c>
      <c r="J1582" s="9"/>
      <c r="K1582" s="9"/>
      <c r="L1582" s="37"/>
      <c r="M1582" s="64"/>
      <c r="N1582" s="4"/>
    </row>
    <row r="1583" spans="1:14" ht="24" customHeight="1">
      <c r="A1583" s="8">
        <v>1423</v>
      </c>
      <c r="B1583" s="9">
        <v>1423</v>
      </c>
      <c r="C1583" s="46"/>
      <c r="D1583" s="9"/>
      <c r="E1583" s="19" t="str">
        <f>IFERROR(VLOOKUP(D1583,케이블트레이입.출고현황!U1586:Z1661,2,0),"")</f>
        <v/>
      </c>
      <c r="F1583" s="19" t="str">
        <f>IFERROR(VLOOKUP(E1583,케이블트레이입.출고현황!V1586:AA1661,2,0),"")</f>
        <v/>
      </c>
      <c r="G1583" s="19" t="str">
        <f>IFERROR(VLOOKUP(F1583,케이블트레이입.출고현황!W1586:AB1661,2,0),"")</f>
        <v/>
      </c>
      <c r="H1583" s="19" t="str">
        <f>IFERROR(VLOOKUP(G1583,케이블트레이입.출고현황!X1586:AC1661,2,0),"")</f>
        <v/>
      </c>
      <c r="I1583" s="19" t="str">
        <f>IFERROR(VLOOKUP(H1583,케이블트레이입.출고현황!Y1586:AD1661,2,0),"")</f>
        <v/>
      </c>
      <c r="J1583" s="9"/>
      <c r="K1583" s="9"/>
      <c r="L1583" s="37"/>
      <c r="M1583" s="64"/>
      <c r="N1583" s="4"/>
    </row>
    <row r="1584" spans="1:14" ht="24" customHeight="1">
      <c r="A1584" s="8">
        <v>1424</v>
      </c>
      <c r="B1584" s="9">
        <v>1424</v>
      </c>
      <c r="C1584" s="46"/>
      <c r="D1584" s="9"/>
      <c r="E1584" s="19" t="str">
        <f>IFERROR(VLOOKUP(D1584,케이블트레이입.출고현황!U1587:Z1662,2,0),"")</f>
        <v/>
      </c>
      <c r="F1584" s="19" t="str">
        <f>IFERROR(VLOOKUP(E1584,케이블트레이입.출고현황!V1587:AA1662,2,0),"")</f>
        <v/>
      </c>
      <c r="G1584" s="19" t="str">
        <f>IFERROR(VLOOKUP(F1584,케이블트레이입.출고현황!W1587:AB1662,2,0),"")</f>
        <v/>
      </c>
      <c r="H1584" s="19" t="str">
        <f>IFERROR(VLOOKUP(G1584,케이블트레이입.출고현황!X1587:AC1662,2,0),"")</f>
        <v/>
      </c>
      <c r="I1584" s="19" t="str">
        <f>IFERROR(VLOOKUP(H1584,케이블트레이입.출고현황!Y1587:AD1662,2,0),"")</f>
        <v/>
      </c>
      <c r="J1584" s="9"/>
      <c r="K1584" s="9"/>
      <c r="L1584" s="37"/>
      <c r="M1584" s="64"/>
      <c r="N1584" s="4"/>
    </row>
    <row r="1585" spans="1:14" ht="24" customHeight="1">
      <c r="A1585" s="8">
        <v>1425</v>
      </c>
      <c r="B1585" s="9">
        <v>1425</v>
      </c>
      <c r="C1585" s="46"/>
      <c r="D1585" s="9"/>
      <c r="E1585" s="19" t="str">
        <f>IFERROR(VLOOKUP(D1585,케이블트레이입.출고현황!U1588:Z1663,2,0),"")</f>
        <v/>
      </c>
      <c r="F1585" s="19" t="str">
        <f>IFERROR(VLOOKUP(E1585,케이블트레이입.출고현황!V1588:AA1663,2,0),"")</f>
        <v/>
      </c>
      <c r="G1585" s="19" t="str">
        <f>IFERROR(VLOOKUP(F1585,케이블트레이입.출고현황!W1588:AB1663,2,0),"")</f>
        <v/>
      </c>
      <c r="H1585" s="19" t="str">
        <f>IFERROR(VLOOKUP(G1585,케이블트레이입.출고현황!X1588:AC1663,2,0),"")</f>
        <v/>
      </c>
      <c r="I1585" s="19" t="str">
        <f>IFERROR(VLOOKUP(H1585,케이블트레이입.출고현황!Y1588:AD1663,2,0),"")</f>
        <v/>
      </c>
      <c r="J1585" s="9"/>
      <c r="K1585" s="9"/>
      <c r="L1585" s="37"/>
      <c r="M1585" s="64"/>
      <c r="N1585" s="4"/>
    </row>
    <row r="1586" spans="1:14" ht="24" customHeight="1">
      <c r="A1586" s="8">
        <v>1426</v>
      </c>
      <c r="B1586" s="9">
        <v>1426</v>
      </c>
      <c r="C1586" s="46"/>
      <c r="D1586" s="9"/>
      <c r="E1586" s="19" t="str">
        <f>IFERROR(VLOOKUP(D1586,케이블트레이입.출고현황!U1589:Z1664,2,0),"")</f>
        <v/>
      </c>
      <c r="F1586" s="19" t="str">
        <f>IFERROR(VLOOKUP(E1586,케이블트레이입.출고현황!V1589:AA1664,2,0),"")</f>
        <v/>
      </c>
      <c r="G1586" s="19" t="str">
        <f>IFERROR(VLOOKUP(F1586,케이블트레이입.출고현황!W1589:AB1664,2,0),"")</f>
        <v/>
      </c>
      <c r="H1586" s="19" t="str">
        <f>IFERROR(VLOOKUP(G1586,케이블트레이입.출고현황!X1589:AC1664,2,0),"")</f>
        <v/>
      </c>
      <c r="I1586" s="19" t="str">
        <f>IFERROR(VLOOKUP(H1586,케이블트레이입.출고현황!Y1589:AD1664,2,0),"")</f>
        <v/>
      </c>
      <c r="J1586" s="9"/>
      <c r="K1586" s="9"/>
      <c r="L1586" s="37"/>
      <c r="M1586" s="64"/>
      <c r="N1586" s="4"/>
    </row>
    <row r="1587" spans="1:14" ht="24" customHeight="1">
      <c r="A1587" s="8">
        <v>1427</v>
      </c>
      <c r="B1587" s="9">
        <v>1427</v>
      </c>
      <c r="C1587" s="46"/>
      <c r="D1587" s="9"/>
      <c r="E1587" s="19" t="str">
        <f>IFERROR(VLOOKUP(D1587,케이블트레이입.출고현황!U1590:Z1665,2,0),"")</f>
        <v/>
      </c>
      <c r="F1587" s="19" t="str">
        <f>IFERROR(VLOOKUP(E1587,케이블트레이입.출고현황!V1590:AA1665,2,0),"")</f>
        <v/>
      </c>
      <c r="G1587" s="19" t="str">
        <f>IFERROR(VLOOKUP(F1587,케이블트레이입.출고현황!W1590:AB1665,2,0),"")</f>
        <v/>
      </c>
      <c r="H1587" s="19" t="str">
        <f>IFERROR(VLOOKUP(G1587,케이블트레이입.출고현황!X1590:AC1665,2,0),"")</f>
        <v/>
      </c>
      <c r="I1587" s="19" t="str">
        <f>IFERROR(VLOOKUP(H1587,케이블트레이입.출고현황!Y1590:AD1665,2,0),"")</f>
        <v/>
      </c>
      <c r="J1587" s="9"/>
      <c r="K1587" s="9"/>
      <c r="L1587" s="37"/>
      <c r="M1587" s="64"/>
      <c r="N1587" s="4"/>
    </row>
    <row r="1588" spans="1:14" ht="24" customHeight="1">
      <c r="A1588" s="8">
        <v>1428</v>
      </c>
      <c r="B1588" s="9">
        <v>1428</v>
      </c>
      <c r="C1588" s="46"/>
      <c r="D1588" s="9"/>
      <c r="E1588" s="19" t="str">
        <f>IFERROR(VLOOKUP(D1588,케이블트레이입.출고현황!U1591:Z1666,2,0),"")</f>
        <v/>
      </c>
      <c r="F1588" s="19" t="str">
        <f>IFERROR(VLOOKUP(E1588,케이블트레이입.출고현황!V1591:AA1666,2,0),"")</f>
        <v/>
      </c>
      <c r="G1588" s="19" t="str">
        <f>IFERROR(VLOOKUP(F1588,케이블트레이입.출고현황!W1591:AB1666,2,0),"")</f>
        <v/>
      </c>
      <c r="H1588" s="19" t="str">
        <f>IFERROR(VLOOKUP(G1588,케이블트레이입.출고현황!X1591:AC1666,2,0),"")</f>
        <v/>
      </c>
      <c r="I1588" s="19" t="str">
        <f>IFERROR(VLOOKUP(H1588,케이블트레이입.출고현황!Y1591:AD1666,2,0),"")</f>
        <v/>
      </c>
      <c r="J1588" s="9"/>
      <c r="K1588" s="9"/>
      <c r="L1588" s="37"/>
      <c r="M1588" s="64"/>
      <c r="N1588" s="4"/>
    </row>
    <row r="1589" spans="1:14" ht="24" customHeight="1">
      <c r="A1589" s="8">
        <v>1429</v>
      </c>
      <c r="B1589" s="9">
        <v>1429</v>
      </c>
      <c r="C1589" s="46"/>
      <c r="D1589" s="9"/>
      <c r="E1589" s="19" t="str">
        <f>IFERROR(VLOOKUP(D1589,케이블트레이입.출고현황!U1592:Z1667,2,0),"")</f>
        <v/>
      </c>
      <c r="F1589" s="19" t="str">
        <f>IFERROR(VLOOKUP(E1589,케이블트레이입.출고현황!V1592:AA1667,2,0),"")</f>
        <v/>
      </c>
      <c r="G1589" s="19" t="str">
        <f>IFERROR(VLOOKUP(F1589,케이블트레이입.출고현황!W1592:AB1667,2,0),"")</f>
        <v/>
      </c>
      <c r="H1589" s="19" t="str">
        <f>IFERROR(VLOOKUP(G1589,케이블트레이입.출고현황!X1592:AC1667,2,0),"")</f>
        <v/>
      </c>
      <c r="I1589" s="19" t="str">
        <f>IFERROR(VLOOKUP(H1589,케이블트레이입.출고현황!Y1592:AD1667,2,0),"")</f>
        <v/>
      </c>
      <c r="J1589" s="9"/>
      <c r="K1589" s="9"/>
      <c r="L1589" s="37"/>
      <c r="M1589" s="64"/>
      <c r="N1589" s="4"/>
    </row>
    <row r="1590" spans="1:14" ht="24" customHeight="1">
      <c r="A1590" s="8">
        <v>1430</v>
      </c>
      <c r="B1590" s="9">
        <v>1430</v>
      </c>
      <c r="C1590" s="46"/>
      <c r="D1590" s="9"/>
      <c r="E1590" s="19" t="str">
        <f>IFERROR(VLOOKUP(D1590,케이블트레이입.출고현황!U1593:Z1668,2,0),"")</f>
        <v/>
      </c>
      <c r="F1590" s="19" t="str">
        <f>IFERROR(VLOOKUP(E1590,케이블트레이입.출고현황!V1593:AA1668,2,0),"")</f>
        <v/>
      </c>
      <c r="G1590" s="19" t="str">
        <f>IFERROR(VLOOKUP(F1590,케이블트레이입.출고현황!W1593:AB1668,2,0),"")</f>
        <v/>
      </c>
      <c r="H1590" s="19" t="str">
        <f>IFERROR(VLOOKUP(G1590,케이블트레이입.출고현황!X1593:AC1668,2,0),"")</f>
        <v/>
      </c>
      <c r="I1590" s="19" t="str">
        <f>IFERROR(VLOOKUP(H1590,케이블트레이입.출고현황!Y1593:AD1668,2,0),"")</f>
        <v/>
      </c>
      <c r="J1590" s="9"/>
      <c r="K1590" s="9"/>
      <c r="L1590" s="37"/>
      <c r="M1590" s="64"/>
      <c r="N1590" s="4"/>
    </row>
    <row r="1591" spans="1:14" ht="24" customHeight="1">
      <c r="A1591" s="8">
        <v>1431</v>
      </c>
      <c r="B1591" s="9">
        <v>1431</v>
      </c>
      <c r="C1591" s="46"/>
      <c r="D1591" s="9"/>
      <c r="E1591" s="19" t="str">
        <f>IFERROR(VLOOKUP(D1591,케이블트레이입.출고현황!U1594:Z1669,2,0),"")</f>
        <v/>
      </c>
      <c r="F1591" s="19" t="str">
        <f>IFERROR(VLOOKUP(E1591,케이블트레이입.출고현황!V1594:AA1669,2,0),"")</f>
        <v/>
      </c>
      <c r="G1591" s="19" t="str">
        <f>IFERROR(VLOOKUP(F1591,케이블트레이입.출고현황!W1594:AB1669,2,0),"")</f>
        <v/>
      </c>
      <c r="H1591" s="19" t="str">
        <f>IFERROR(VLOOKUP(G1591,케이블트레이입.출고현황!X1594:AC1669,2,0),"")</f>
        <v/>
      </c>
      <c r="I1591" s="19" t="str">
        <f>IFERROR(VLOOKUP(H1591,케이블트레이입.출고현황!Y1594:AD1669,2,0),"")</f>
        <v/>
      </c>
      <c r="J1591" s="9"/>
      <c r="K1591" s="9"/>
      <c r="L1591" s="37"/>
      <c r="M1591" s="64"/>
      <c r="N1591" s="4"/>
    </row>
    <row r="1592" spans="1:14" ht="24" customHeight="1">
      <c r="A1592" s="8">
        <v>1432</v>
      </c>
      <c r="B1592" s="9">
        <v>1432</v>
      </c>
      <c r="C1592" s="46"/>
      <c r="D1592" s="9"/>
      <c r="E1592" s="19" t="str">
        <f>IFERROR(VLOOKUP(D1592,케이블트레이입.출고현황!U1595:Z1670,2,0),"")</f>
        <v/>
      </c>
      <c r="F1592" s="19" t="str">
        <f>IFERROR(VLOOKUP(E1592,케이블트레이입.출고현황!V1595:AA1670,2,0),"")</f>
        <v/>
      </c>
      <c r="G1592" s="19" t="str">
        <f>IFERROR(VLOOKUP(F1592,케이블트레이입.출고현황!W1595:AB1670,2,0),"")</f>
        <v/>
      </c>
      <c r="H1592" s="19" t="str">
        <f>IFERROR(VLOOKUP(G1592,케이블트레이입.출고현황!X1595:AC1670,2,0),"")</f>
        <v/>
      </c>
      <c r="I1592" s="19" t="str">
        <f>IFERROR(VLOOKUP(H1592,케이블트레이입.출고현황!Y1595:AD1670,2,0),"")</f>
        <v/>
      </c>
      <c r="J1592" s="9"/>
      <c r="K1592" s="9"/>
      <c r="L1592" s="37"/>
      <c r="M1592" s="64"/>
      <c r="N1592" s="4"/>
    </row>
    <row r="1593" spans="1:14" ht="24" customHeight="1">
      <c r="A1593" s="8">
        <v>1433</v>
      </c>
      <c r="B1593" s="9">
        <v>1433</v>
      </c>
      <c r="C1593" s="46"/>
      <c r="D1593" s="9"/>
      <c r="E1593" s="19" t="str">
        <f>IFERROR(VLOOKUP(D1593,케이블트레이입.출고현황!U1596:Z1671,2,0),"")</f>
        <v/>
      </c>
      <c r="F1593" s="19" t="str">
        <f>IFERROR(VLOOKUP(E1593,케이블트레이입.출고현황!V1596:AA1671,2,0),"")</f>
        <v/>
      </c>
      <c r="G1593" s="19" t="str">
        <f>IFERROR(VLOOKUP(F1593,케이블트레이입.출고현황!W1596:AB1671,2,0),"")</f>
        <v/>
      </c>
      <c r="H1593" s="19" t="str">
        <f>IFERROR(VLOOKUP(G1593,케이블트레이입.출고현황!X1596:AC1671,2,0),"")</f>
        <v/>
      </c>
      <c r="I1593" s="19" t="str">
        <f>IFERROR(VLOOKUP(H1593,케이블트레이입.출고현황!Y1596:AD1671,2,0),"")</f>
        <v/>
      </c>
      <c r="J1593" s="9"/>
      <c r="K1593" s="9"/>
      <c r="L1593" s="37"/>
      <c r="M1593" s="64"/>
      <c r="N1593" s="4"/>
    </row>
    <row r="1594" spans="1:14" ht="24" customHeight="1">
      <c r="A1594" s="8">
        <v>1434</v>
      </c>
      <c r="B1594" s="9">
        <v>1434</v>
      </c>
      <c r="C1594" s="46"/>
      <c r="D1594" s="9"/>
      <c r="E1594" s="19" t="str">
        <f>IFERROR(VLOOKUP(D1594,케이블트레이입.출고현황!U1597:Z1672,2,0),"")</f>
        <v/>
      </c>
      <c r="F1594" s="19" t="str">
        <f>IFERROR(VLOOKUP(E1594,케이블트레이입.출고현황!V1597:AA1672,2,0),"")</f>
        <v/>
      </c>
      <c r="G1594" s="19" t="str">
        <f>IFERROR(VLOOKUP(F1594,케이블트레이입.출고현황!W1597:AB1672,2,0),"")</f>
        <v/>
      </c>
      <c r="H1594" s="19" t="str">
        <f>IFERROR(VLOOKUP(G1594,케이블트레이입.출고현황!X1597:AC1672,2,0),"")</f>
        <v/>
      </c>
      <c r="I1594" s="19" t="str">
        <f>IFERROR(VLOOKUP(H1594,케이블트레이입.출고현황!Y1597:AD1672,2,0),"")</f>
        <v/>
      </c>
      <c r="J1594" s="9"/>
      <c r="K1594" s="9"/>
      <c r="L1594" s="37"/>
      <c r="M1594" s="64"/>
      <c r="N1594" s="4"/>
    </row>
    <row r="1595" spans="1:14" ht="24" customHeight="1">
      <c r="A1595" s="8">
        <v>1435</v>
      </c>
      <c r="B1595" s="9">
        <v>1435</v>
      </c>
      <c r="C1595" s="46"/>
      <c r="D1595" s="9"/>
      <c r="E1595" s="19" t="str">
        <f>IFERROR(VLOOKUP(D1595,케이블트레이입.출고현황!U1598:Z1673,2,0),"")</f>
        <v/>
      </c>
      <c r="F1595" s="19" t="str">
        <f>IFERROR(VLOOKUP(E1595,케이블트레이입.출고현황!V1598:AA1673,2,0),"")</f>
        <v/>
      </c>
      <c r="G1595" s="19" t="str">
        <f>IFERROR(VLOOKUP(F1595,케이블트레이입.출고현황!W1598:AB1673,2,0),"")</f>
        <v/>
      </c>
      <c r="H1595" s="19" t="str">
        <f>IFERROR(VLOOKUP(G1595,케이블트레이입.출고현황!X1598:AC1673,2,0),"")</f>
        <v/>
      </c>
      <c r="I1595" s="19" t="str">
        <f>IFERROR(VLOOKUP(H1595,케이블트레이입.출고현황!Y1598:AD1673,2,0),"")</f>
        <v/>
      </c>
      <c r="J1595" s="9"/>
      <c r="K1595" s="9"/>
      <c r="L1595" s="37"/>
      <c r="M1595" s="64"/>
      <c r="N1595" s="4"/>
    </row>
    <row r="1596" spans="1:14" ht="24" customHeight="1">
      <c r="A1596" s="8">
        <v>1436</v>
      </c>
      <c r="B1596" s="9">
        <v>1436</v>
      </c>
      <c r="C1596" s="46"/>
      <c r="D1596" s="9"/>
      <c r="E1596" s="19" t="str">
        <f>IFERROR(VLOOKUP(D1596,케이블트레이입.출고현황!U1599:Z1674,2,0),"")</f>
        <v/>
      </c>
      <c r="F1596" s="19" t="str">
        <f>IFERROR(VLOOKUP(E1596,케이블트레이입.출고현황!V1599:AA1674,2,0),"")</f>
        <v/>
      </c>
      <c r="G1596" s="19" t="str">
        <f>IFERROR(VLOOKUP(F1596,케이블트레이입.출고현황!W1599:AB1674,2,0),"")</f>
        <v/>
      </c>
      <c r="H1596" s="19" t="str">
        <f>IFERROR(VLOOKUP(G1596,케이블트레이입.출고현황!X1599:AC1674,2,0),"")</f>
        <v/>
      </c>
      <c r="I1596" s="19" t="str">
        <f>IFERROR(VLOOKUP(H1596,케이블트레이입.출고현황!Y1599:AD1674,2,0),"")</f>
        <v/>
      </c>
      <c r="J1596" s="9"/>
      <c r="K1596" s="9"/>
      <c r="L1596" s="37"/>
      <c r="M1596" s="64"/>
      <c r="N1596" s="4"/>
    </row>
    <row r="1597" spans="1:14" ht="24" customHeight="1">
      <c r="A1597" s="8">
        <v>1437</v>
      </c>
      <c r="B1597" s="9">
        <v>1437</v>
      </c>
      <c r="C1597" s="46"/>
      <c r="D1597" s="9"/>
      <c r="E1597" s="19" t="str">
        <f>IFERROR(VLOOKUP(D1597,케이블트레이입.출고현황!U1600:Z1675,2,0),"")</f>
        <v/>
      </c>
      <c r="F1597" s="19" t="str">
        <f>IFERROR(VLOOKUP(E1597,케이블트레이입.출고현황!V1600:AA1675,2,0),"")</f>
        <v/>
      </c>
      <c r="G1597" s="19" t="str">
        <f>IFERROR(VLOOKUP(F1597,케이블트레이입.출고현황!W1600:AB1675,2,0),"")</f>
        <v/>
      </c>
      <c r="H1597" s="19" t="str">
        <f>IFERROR(VLOOKUP(G1597,케이블트레이입.출고현황!X1600:AC1675,2,0),"")</f>
        <v/>
      </c>
      <c r="I1597" s="19" t="str">
        <f>IFERROR(VLOOKUP(H1597,케이블트레이입.출고현황!Y1600:AD1675,2,0),"")</f>
        <v/>
      </c>
      <c r="J1597" s="9"/>
      <c r="K1597" s="9"/>
      <c r="L1597" s="37"/>
      <c r="M1597" s="64"/>
      <c r="N1597" s="4"/>
    </row>
    <row r="1598" spans="1:14" ht="24" customHeight="1">
      <c r="A1598" s="8">
        <v>1438</v>
      </c>
      <c r="B1598" s="9">
        <v>1438</v>
      </c>
      <c r="C1598" s="46"/>
      <c r="D1598" s="9"/>
      <c r="E1598" s="19" t="str">
        <f>IFERROR(VLOOKUP(D1598,케이블트레이입.출고현황!U1601:Z1676,2,0),"")</f>
        <v/>
      </c>
      <c r="F1598" s="19" t="str">
        <f>IFERROR(VLOOKUP(E1598,케이블트레이입.출고현황!V1601:AA1676,2,0),"")</f>
        <v/>
      </c>
      <c r="G1598" s="19" t="str">
        <f>IFERROR(VLOOKUP(F1598,케이블트레이입.출고현황!W1601:AB1676,2,0),"")</f>
        <v/>
      </c>
      <c r="H1598" s="19" t="str">
        <f>IFERROR(VLOOKUP(G1598,케이블트레이입.출고현황!X1601:AC1676,2,0),"")</f>
        <v/>
      </c>
      <c r="I1598" s="19" t="str">
        <f>IFERROR(VLOOKUP(H1598,케이블트레이입.출고현황!Y1601:AD1676,2,0),"")</f>
        <v/>
      </c>
      <c r="J1598" s="9"/>
      <c r="K1598" s="9"/>
      <c r="L1598" s="37"/>
      <c r="M1598" s="64"/>
      <c r="N1598" s="4"/>
    </row>
    <row r="1599" spans="1:14" ht="24" customHeight="1">
      <c r="A1599" s="8">
        <v>1439</v>
      </c>
      <c r="B1599" s="9">
        <v>1439</v>
      </c>
      <c r="C1599" s="46"/>
      <c r="D1599" s="9"/>
      <c r="E1599" s="19" t="str">
        <f>IFERROR(VLOOKUP(D1599,케이블트레이입.출고현황!U1602:Z1677,2,0),"")</f>
        <v/>
      </c>
      <c r="F1599" s="19" t="str">
        <f>IFERROR(VLOOKUP(E1599,케이블트레이입.출고현황!V1602:AA1677,2,0),"")</f>
        <v/>
      </c>
      <c r="G1599" s="19" t="str">
        <f>IFERROR(VLOOKUP(F1599,케이블트레이입.출고현황!W1602:AB1677,2,0),"")</f>
        <v/>
      </c>
      <c r="H1599" s="19" t="str">
        <f>IFERROR(VLOOKUP(G1599,케이블트레이입.출고현황!X1602:AC1677,2,0),"")</f>
        <v/>
      </c>
      <c r="I1599" s="19" t="str">
        <f>IFERROR(VLOOKUP(H1599,케이블트레이입.출고현황!Y1602:AD1677,2,0),"")</f>
        <v/>
      </c>
      <c r="J1599" s="9"/>
      <c r="K1599" s="9"/>
      <c r="L1599" s="37"/>
      <c r="M1599" s="64"/>
      <c r="N1599" s="4"/>
    </row>
    <row r="1600" spans="1:14" ht="24" customHeight="1">
      <c r="A1600" s="8">
        <v>1440</v>
      </c>
      <c r="B1600" s="9">
        <v>1440</v>
      </c>
      <c r="C1600" s="46"/>
      <c r="D1600" s="9"/>
      <c r="E1600" s="19" t="str">
        <f>IFERROR(VLOOKUP(D1600,케이블트레이입.출고현황!U1603:Z1678,2,0),"")</f>
        <v/>
      </c>
      <c r="F1600" s="19" t="str">
        <f>IFERROR(VLOOKUP(E1600,케이블트레이입.출고현황!V1603:AA1678,2,0),"")</f>
        <v/>
      </c>
      <c r="G1600" s="19" t="str">
        <f>IFERROR(VLOOKUP(F1600,케이블트레이입.출고현황!W1603:AB1678,2,0),"")</f>
        <v/>
      </c>
      <c r="H1600" s="19" t="str">
        <f>IFERROR(VLOOKUP(G1600,케이블트레이입.출고현황!X1603:AC1678,2,0),"")</f>
        <v/>
      </c>
      <c r="I1600" s="19" t="str">
        <f>IFERROR(VLOOKUP(H1600,케이블트레이입.출고현황!Y1603:AD1678,2,0),"")</f>
        <v/>
      </c>
      <c r="J1600" s="9"/>
      <c r="K1600" s="9"/>
      <c r="L1600" s="37"/>
      <c r="M1600" s="64"/>
      <c r="N1600" s="4"/>
    </row>
    <row r="1601" spans="1:14" ht="24" customHeight="1">
      <c r="A1601" s="8">
        <v>1441</v>
      </c>
      <c r="B1601" s="9">
        <v>1441</v>
      </c>
      <c r="C1601" s="46"/>
      <c r="D1601" s="9"/>
      <c r="E1601" s="19" t="str">
        <f>IFERROR(VLOOKUP(D1601,케이블트레이입.출고현황!U1604:Z1679,2,0),"")</f>
        <v/>
      </c>
      <c r="F1601" s="19" t="str">
        <f>IFERROR(VLOOKUP(E1601,케이블트레이입.출고현황!V1604:AA1679,2,0),"")</f>
        <v/>
      </c>
      <c r="G1601" s="19" t="str">
        <f>IFERROR(VLOOKUP(F1601,케이블트레이입.출고현황!W1604:AB1679,2,0),"")</f>
        <v/>
      </c>
      <c r="H1601" s="19" t="str">
        <f>IFERROR(VLOOKUP(G1601,케이블트레이입.출고현황!X1604:AC1679,2,0),"")</f>
        <v/>
      </c>
      <c r="I1601" s="19" t="str">
        <f>IFERROR(VLOOKUP(H1601,케이블트레이입.출고현황!Y1604:AD1679,2,0),"")</f>
        <v/>
      </c>
      <c r="J1601" s="9"/>
      <c r="K1601" s="9"/>
      <c r="L1601" s="37"/>
      <c r="M1601" s="64"/>
      <c r="N1601" s="4"/>
    </row>
    <row r="1602" spans="1:14" ht="24" customHeight="1">
      <c r="A1602" s="8">
        <v>1442</v>
      </c>
      <c r="B1602" s="9">
        <v>1442</v>
      </c>
      <c r="C1602" s="46"/>
      <c r="D1602" s="9"/>
      <c r="E1602" s="19" t="str">
        <f>IFERROR(VLOOKUP(D1602,케이블트레이입.출고현황!U1605:Z1680,2,0),"")</f>
        <v/>
      </c>
      <c r="F1602" s="19" t="str">
        <f>IFERROR(VLOOKUP(E1602,케이블트레이입.출고현황!V1605:AA1680,2,0),"")</f>
        <v/>
      </c>
      <c r="G1602" s="19" t="str">
        <f>IFERROR(VLOOKUP(F1602,케이블트레이입.출고현황!W1605:AB1680,2,0),"")</f>
        <v/>
      </c>
      <c r="H1602" s="19" t="str">
        <f>IFERROR(VLOOKUP(G1602,케이블트레이입.출고현황!X1605:AC1680,2,0),"")</f>
        <v/>
      </c>
      <c r="I1602" s="19" t="str">
        <f>IFERROR(VLOOKUP(H1602,케이블트레이입.출고현황!Y1605:AD1680,2,0),"")</f>
        <v/>
      </c>
      <c r="J1602" s="9"/>
      <c r="K1602" s="9"/>
      <c r="L1602" s="37"/>
      <c r="M1602" s="64"/>
      <c r="N1602" s="4"/>
    </row>
    <row r="1603" spans="1:14" ht="24" customHeight="1">
      <c r="A1603" s="8">
        <v>1443</v>
      </c>
      <c r="B1603" s="9">
        <v>1443</v>
      </c>
      <c r="C1603" s="46"/>
      <c r="D1603" s="9"/>
      <c r="E1603" s="19" t="str">
        <f>IFERROR(VLOOKUP(D1603,케이블트레이입.출고현황!U1606:Z1681,2,0),"")</f>
        <v/>
      </c>
      <c r="F1603" s="19" t="str">
        <f>IFERROR(VLOOKUP(E1603,케이블트레이입.출고현황!V1606:AA1681,2,0),"")</f>
        <v/>
      </c>
      <c r="G1603" s="19" t="str">
        <f>IFERROR(VLOOKUP(F1603,케이블트레이입.출고현황!W1606:AB1681,2,0),"")</f>
        <v/>
      </c>
      <c r="H1603" s="19" t="str">
        <f>IFERROR(VLOOKUP(G1603,케이블트레이입.출고현황!X1606:AC1681,2,0),"")</f>
        <v/>
      </c>
      <c r="I1603" s="19" t="str">
        <f>IFERROR(VLOOKUP(H1603,케이블트레이입.출고현황!Y1606:AD1681,2,0),"")</f>
        <v/>
      </c>
      <c r="J1603" s="9"/>
      <c r="K1603" s="9"/>
      <c r="L1603" s="37"/>
      <c r="M1603" s="64"/>
      <c r="N1603" s="4"/>
    </row>
    <row r="1604" spans="1:14" ht="24" customHeight="1">
      <c r="A1604" s="8">
        <v>1444</v>
      </c>
      <c r="B1604" s="9">
        <v>1444</v>
      </c>
      <c r="C1604" s="46"/>
      <c r="D1604" s="9"/>
      <c r="E1604" s="19" t="str">
        <f>IFERROR(VLOOKUP(D1604,케이블트레이입.출고현황!U1607:Z1682,2,0),"")</f>
        <v/>
      </c>
      <c r="F1604" s="19" t="str">
        <f>IFERROR(VLOOKUP(E1604,케이블트레이입.출고현황!V1607:AA1682,2,0),"")</f>
        <v/>
      </c>
      <c r="G1604" s="19" t="str">
        <f>IFERROR(VLOOKUP(F1604,케이블트레이입.출고현황!W1607:AB1682,2,0),"")</f>
        <v/>
      </c>
      <c r="H1604" s="19" t="str">
        <f>IFERROR(VLOOKUP(G1604,케이블트레이입.출고현황!X1607:AC1682,2,0),"")</f>
        <v/>
      </c>
      <c r="I1604" s="19" t="str">
        <f>IFERROR(VLOOKUP(H1604,케이블트레이입.출고현황!Y1607:AD1682,2,0),"")</f>
        <v/>
      </c>
      <c r="J1604" s="9"/>
      <c r="K1604" s="9"/>
      <c r="L1604" s="37"/>
      <c r="M1604" s="64"/>
      <c r="N1604" s="4"/>
    </row>
    <row r="1605" spans="1:14" ht="24" customHeight="1">
      <c r="A1605" s="8">
        <v>1445</v>
      </c>
      <c r="B1605" s="9">
        <v>1445</v>
      </c>
      <c r="C1605" s="46"/>
      <c r="D1605" s="9"/>
      <c r="E1605" s="19" t="str">
        <f>IFERROR(VLOOKUP(D1605,케이블트레이입.출고현황!U1608:Z1683,2,0),"")</f>
        <v/>
      </c>
      <c r="F1605" s="19" t="str">
        <f>IFERROR(VLOOKUP(E1605,케이블트레이입.출고현황!V1608:AA1683,2,0),"")</f>
        <v/>
      </c>
      <c r="G1605" s="19" t="str">
        <f>IFERROR(VLOOKUP(F1605,케이블트레이입.출고현황!W1608:AB1683,2,0),"")</f>
        <v/>
      </c>
      <c r="H1605" s="19" t="str">
        <f>IFERROR(VLOOKUP(G1605,케이블트레이입.출고현황!X1608:AC1683,2,0),"")</f>
        <v/>
      </c>
      <c r="I1605" s="19" t="str">
        <f>IFERROR(VLOOKUP(H1605,케이블트레이입.출고현황!Y1608:AD1683,2,0),"")</f>
        <v/>
      </c>
      <c r="J1605" s="9"/>
      <c r="K1605" s="9"/>
      <c r="L1605" s="37"/>
      <c r="M1605" s="64"/>
      <c r="N1605" s="4"/>
    </row>
    <row r="1606" spans="1:14" ht="24" customHeight="1">
      <c r="A1606" s="8">
        <v>1446</v>
      </c>
      <c r="B1606" s="9">
        <v>1446</v>
      </c>
      <c r="C1606" s="46"/>
      <c r="D1606" s="9"/>
      <c r="E1606" s="19" t="str">
        <f>IFERROR(VLOOKUP(D1606,케이블트레이입.출고현황!U1609:Z1684,2,0),"")</f>
        <v/>
      </c>
      <c r="F1606" s="19" t="str">
        <f>IFERROR(VLOOKUP(E1606,케이블트레이입.출고현황!V1609:AA1684,2,0),"")</f>
        <v/>
      </c>
      <c r="G1606" s="19" t="str">
        <f>IFERROR(VLOOKUP(F1606,케이블트레이입.출고현황!W1609:AB1684,2,0),"")</f>
        <v/>
      </c>
      <c r="H1606" s="19" t="str">
        <f>IFERROR(VLOOKUP(G1606,케이블트레이입.출고현황!X1609:AC1684,2,0),"")</f>
        <v/>
      </c>
      <c r="I1606" s="19" t="str">
        <f>IFERROR(VLOOKUP(H1606,케이블트레이입.출고현황!Y1609:AD1684,2,0),"")</f>
        <v/>
      </c>
      <c r="J1606" s="9"/>
      <c r="K1606" s="9"/>
      <c r="L1606" s="37"/>
      <c r="M1606" s="64"/>
      <c r="N1606" s="4"/>
    </row>
    <row r="1607" spans="1:14" ht="24" customHeight="1">
      <c r="A1607" s="8">
        <v>1447</v>
      </c>
      <c r="B1607" s="9">
        <v>1447</v>
      </c>
      <c r="C1607" s="46"/>
      <c r="D1607" s="9"/>
      <c r="E1607" s="19" t="str">
        <f>IFERROR(VLOOKUP(D1607,케이블트레이입.출고현황!U1610:Z1685,2,0),"")</f>
        <v/>
      </c>
      <c r="F1607" s="19" t="str">
        <f>IFERROR(VLOOKUP(E1607,케이블트레이입.출고현황!V1610:AA1685,2,0),"")</f>
        <v/>
      </c>
      <c r="G1607" s="19" t="str">
        <f>IFERROR(VLOOKUP(F1607,케이블트레이입.출고현황!W1610:AB1685,2,0),"")</f>
        <v/>
      </c>
      <c r="H1607" s="19" t="str">
        <f>IFERROR(VLOOKUP(G1607,케이블트레이입.출고현황!X1610:AC1685,2,0),"")</f>
        <v/>
      </c>
      <c r="I1607" s="19" t="str">
        <f>IFERROR(VLOOKUP(H1607,케이블트레이입.출고현황!Y1610:AD1685,2,0),"")</f>
        <v/>
      </c>
      <c r="J1607" s="9"/>
      <c r="K1607" s="9"/>
      <c r="L1607" s="37"/>
      <c r="M1607" s="64"/>
      <c r="N1607" s="4"/>
    </row>
    <row r="1608" spans="1:14" ht="24" customHeight="1">
      <c r="A1608" s="8">
        <v>1448</v>
      </c>
      <c r="B1608" s="9">
        <v>1448</v>
      </c>
      <c r="C1608" s="46"/>
      <c r="D1608" s="9"/>
      <c r="E1608" s="19" t="str">
        <f>IFERROR(VLOOKUP(D1608,케이블트레이입.출고현황!U1611:Z1686,2,0),"")</f>
        <v/>
      </c>
      <c r="F1608" s="19" t="str">
        <f>IFERROR(VLOOKUP(E1608,케이블트레이입.출고현황!V1611:AA1686,2,0),"")</f>
        <v/>
      </c>
      <c r="G1608" s="19" t="str">
        <f>IFERROR(VLOOKUP(F1608,케이블트레이입.출고현황!W1611:AB1686,2,0),"")</f>
        <v/>
      </c>
      <c r="H1608" s="19" t="str">
        <f>IFERROR(VLOOKUP(G1608,케이블트레이입.출고현황!X1611:AC1686,2,0),"")</f>
        <v/>
      </c>
      <c r="I1608" s="19" t="str">
        <f>IFERROR(VLOOKUP(H1608,케이블트레이입.출고현황!Y1611:AD1686,2,0),"")</f>
        <v/>
      </c>
      <c r="J1608" s="9"/>
      <c r="K1608" s="9"/>
      <c r="L1608" s="37"/>
      <c r="M1608" s="64"/>
      <c r="N1608" s="4"/>
    </row>
    <row r="1609" spans="1:14" ht="24" customHeight="1">
      <c r="A1609" s="8">
        <v>1449</v>
      </c>
      <c r="B1609" s="9">
        <v>1449</v>
      </c>
      <c r="C1609" s="46"/>
      <c r="D1609" s="9"/>
      <c r="E1609" s="19" t="str">
        <f>IFERROR(VLOOKUP(D1609,케이블트레이입.출고현황!U1612:Z1687,2,0),"")</f>
        <v/>
      </c>
      <c r="F1609" s="19" t="str">
        <f>IFERROR(VLOOKUP(E1609,케이블트레이입.출고현황!V1612:AA1687,2,0),"")</f>
        <v/>
      </c>
      <c r="G1609" s="19" t="str">
        <f>IFERROR(VLOOKUP(F1609,케이블트레이입.출고현황!W1612:AB1687,2,0),"")</f>
        <v/>
      </c>
      <c r="H1609" s="19" t="str">
        <f>IFERROR(VLOOKUP(G1609,케이블트레이입.출고현황!X1612:AC1687,2,0),"")</f>
        <v/>
      </c>
      <c r="I1609" s="19" t="str">
        <f>IFERROR(VLOOKUP(H1609,케이블트레이입.출고현황!Y1612:AD1687,2,0),"")</f>
        <v/>
      </c>
      <c r="J1609" s="9"/>
      <c r="K1609" s="9"/>
      <c r="L1609" s="37"/>
      <c r="M1609" s="64"/>
      <c r="N1609" s="4"/>
    </row>
    <row r="1610" spans="1:14" ht="24" customHeight="1">
      <c r="A1610" s="8">
        <v>1450</v>
      </c>
      <c r="B1610" s="9">
        <v>1450</v>
      </c>
      <c r="C1610" s="46"/>
      <c r="D1610" s="9"/>
      <c r="E1610" s="19" t="str">
        <f>IFERROR(VLOOKUP(D1610,케이블트레이입.출고현황!U1613:Z1688,2,0),"")</f>
        <v/>
      </c>
      <c r="F1610" s="19" t="str">
        <f>IFERROR(VLOOKUP(E1610,케이블트레이입.출고현황!V1613:AA1688,2,0),"")</f>
        <v/>
      </c>
      <c r="G1610" s="19" t="str">
        <f>IFERROR(VLOOKUP(F1610,케이블트레이입.출고현황!W1613:AB1688,2,0),"")</f>
        <v/>
      </c>
      <c r="H1610" s="19" t="str">
        <f>IFERROR(VLOOKUP(G1610,케이블트레이입.출고현황!X1613:AC1688,2,0),"")</f>
        <v/>
      </c>
      <c r="I1610" s="19" t="str">
        <f>IFERROR(VLOOKUP(H1610,케이블트레이입.출고현황!Y1613:AD1688,2,0),"")</f>
        <v/>
      </c>
      <c r="J1610" s="9"/>
      <c r="K1610" s="9"/>
      <c r="L1610" s="37"/>
      <c r="M1610" s="64"/>
      <c r="N1610" s="4"/>
    </row>
    <row r="1611" spans="1:14" ht="24" customHeight="1">
      <c r="A1611" s="8">
        <v>1451</v>
      </c>
      <c r="B1611" s="9">
        <v>1451</v>
      </c>
      <c r="C1611" s="46"/>
      <c r="D1611" s="9"/>
      <c r="E1611" s="19" t="str">
        <f>IFERROR(VLOOKUP(D1611,케이블트레이입.출고현황!U1614:Z1689,2,0),"")</f>
        <v/>
      </c>
      <c r="F1611" s="19" t="str">
        <f>IFERROR(VLOOKUP(E1611,케이블트레이입.출고현황!V1614:AA1689,2,0),"")</f>
        <v/>
      </c>
      <c r="G1611" s="19" t="str">
        <f>IFERROR(VLOOKUP(F1611,케이블트레이입.출고현황!W1614:AB1689,2,0),"")</f>
        <v/>
      </c>
      <c r="H1611" s="19" t="str">
        <f>IFERROR(VLOOKUP(G1611,케이블트레이입.출고현황!X1614:AC1689,2,0),"")</f>
        <v/>
      </c>
      <c r="I1611" s="19" t="str">
        <f>IFERROR(VLOOKUP(H1611,케이블트레이입.출고현황!Y1614:AD1689,2,0),"")</f>
        <v/>
      </c>
      <c r="J1611" s="9"/>
      <c r="K1611" s="9"/>
      <c r="L1611" s="37"/>
      <c r="M1611" s="64"/>
      <c r="N1611" s="4"/>
    </row>
    <row r="1612" spans="1:14" ht="24" customHeight="1">
      <c r="A1612" s="8">
        <v>1452</v>
      </c>
      <c r="B1612" s="9">
        <v>1452</v>
      </c>
      <c r="C1612" s="46"/>
      <c r="D1612" s="9"/>
      <c r="E1612" s="19" t="str">
        <f>IFERROR(VLOOKUP(D1612,케이블트레이입.출고현황!U1615:Z1690,2,0),"")</f>
        <v/>
      </c>
      <c r="F1612" s="19" t="str">
        <f>IFERROR(VLOOKUP(E1612,케이블트레이입.출고현황!V1615:AA1690,2,0),"")</f>
        <v/>
      </c>
      <c r="G1612" s="19" t="str">
        <f>IFERROR(VLOOKUP(F1612,케이블트레이입.출고현황!W1615:AB1690,2,0),"")</f>
        <v/>
      </c>
      <c r="H1612" s="19" t="str">
        <f>IFERROR(VLOOKUP(G1612,케이블트레이입.출고현황!X1615:AC1690,2,0),"")</f>
        <v/>
      </c>
      <c r="I1612" s="19" t="str">
        <f>IFERROR(VLOOKUP(H1612,케이블트레이입.출고현황!Y1615:AD1690,2,0),"")</f>
        <v/>
      </c>
      <c r="J1612" s="9"/>
      <c r="K1612" s="9"/>
      <c r="L1612" s="37"/>
      <c r="M1612" s="64"/>
      <c r="N1612" s="4"/>
    </row>
    <row r="1613" spans="1:14" ht="24" customHeight="1">
      <c r="A1613" s="8">
        <v>1453</v>
      </c>
      <c r="B1613" s="9">
        <v>1453</v>
      </c>
      <c r="C1613" s="46"/>
      <c r="D1613" s="9"/>
      <c r="E1613" s="19" t="str">
        <f>IFERROR(VLOOKUP(D1613,케이블트레이입.출고현황!U1616:Z1691,2,0),"")</f>
        <v/>
      </c>
      <c r="F1613" s="19" t="str">
        <f>IFERROR(VLOOKUP(E1613,케이블트레이입.출고현황!V1616:AA1691,2,0),"")</f>
        <v/>
      </c>
      <c r="G1613" s="19" t="str">
        <f>IFERROR(VLOOKUP(F1613,케이블트레이입.출고현황!W1616:AB1691,2,0),"")</f>
        <v/>
      </c>
      <c r="H1613" s="19" t="str">
        <f>IFERROR(VLOOKUP(G1613,케이블트레이입.출고현황!X1616:AC1691,2,0),"")</f>
        <v/>
      </c>
      <c r="I1613" s="19" t="str">
        <f>IFERROR(VLOOKUP(H1613,케이블트레이입.출고현황!Y1616:AD1691,2,0),"")</f>
        <v/>
      </c>
      <c r="J1613" s="9"/>
      <c r="K1613" s="9"/>
      <c r="L1613" s="37"/>
      <c r="M1613" s="64"/>
      <c r="N1613" s="4"/>
    </row>
    <row r="1614" spans="1:14" ht="24" customHeight="1">
      <c r="A1614" s="8">
        <v>1454</v>
      </c>
      <c r="B1614" s="9">
        <v>1454</v>
      </c>
      <c r="C1614" s="46"/>
      <c r="D1614" s="9"/>
      <c r="E1614" s="19" t="str">
        <f>IFERROR(VLOOKUP(D1614,케이블트레이입.출고현황!U1617:Z1692,2,0),"")</f>
        <v/>
      </c>
      <c r="F1614" s="19" t="str">
        <f>IFERROR(VLOOKUP(E1614,케이블트레이입.출고현황!V1617:AA1692,2,0),"")</f>
        <v/>
      </c>
      <c r="G1614" s="19" t="str">
        <f>IFERROR(VLOOKUP(F1614,케이블트레이입.출고현황!W1617:AB1692,2,0),"")</f>
        <v/>
      </c>
      <c r="H1614" s="19" t="str">
        <f>IFERROR(VLOOKUP(G1614,케이블트레이입.출고현황!X1617:AC1692,2,0),"")</f>
        <v/>
      </c>
      <c r="I1614" s="19" t="str">
        <f>IFERROR(VLOOKUP(H1614,케이블트레이입.출고현황!Y1617:AD1692,2,0),"")</f>
        <v/>
      </c>
      <c r="J1614" s="9"/>
      <c r="K1614" s="9"/>
      <c r="L1614" s="37"/>
      <c r="M1614" s="64"/>
      <c r="N1614" s="4"/>
    </row>
    <row r="1615" spans="1:14" ht="24" customHeight="1">
      <c r="A1615" s="8">
        <v>1455</v>
      </c>
      <c r="B1615" s="9">
        <v>1455</v>
      </c>
      <c r="C1615" s="46"/>
      <c r="D1615" s="9"/>
      <c r="E1615" s="19" t="str">
        <f>IFERROR(VLOOKUP(D1615,케이블트레이입.출고현황!U1618:Z1693,2,0),"")</f>
        <v/>
      </c>
      <c r="F1615" s="19" t="str">
        <f>IFERROR(VLOOKUP(E1615,케이블트레이입.출고현황!V1618:AA1693,2,0),"")</f>
        <v/>
      </c>
      <c r="G1615" s="19" t="str">
        <f>IFERROR(VLOOKUP(F1615,케이블트레이입.출고현황!W1618:AB1693,2,0),"")</f>
        <v/>
      </c>
      <c r="H1615" s="19" t="str">
        <f>IFERROR(VLOOKUP(G1615,케이블트레이입.출고현황!X1618:AC1693,2,0),"")</f>
        <v/>
      </c>
      <c r="I1615" s="19" t="str">
        <f>IFERROR(VLOOKUP(H1615,케이블트레이입.출고현황!Y1618:AD1693,2,0),"")</f>
        <v/>
      </c>
      <c r="J1615" s="9"/>
      <c r="K1615" s="9"/>
      <c r="L1615" s="37"/>
      <c r="M1615" s="64"/>
      <c r="N1615" s="4"/>
    </row>
    <row r="1616" spans="1:14" ht="24" customHeight="1">
      <c r="A1616" s="8">
        <v>1456</v>
      </c>
      <c r="B1616" s="9">
        <v>1456</v>
      </c>
      <c r="C1616" s="46"/>
      <c r="D1616" s="9"/>
      <c r="E1616" s="19" t="str">
        <f>IFERROR(VLOOKUP(D1616,케이블트레이입.출고현황!U1619:Z1694,2,0),"")</f>
        <v/>
      </c>
      <c r="F1616" s="19" t="str">
        <f>IFERROR(VLOOKUP(E1616,케이블트레이입.출고현황!V1619:AA1694,2,0),"")</f>
        <v/>
      </c>
      <c r="G1616" s="19" t="str">
        <f>IFERROR(VLOOKUP(F1616,케이블트레이입.출고현황!W1619:AB1694,2,0),"")</f>
        <v/>
      </c>
      <c r="H1616" s="19" t="str">
        <f>IFERROR(VLOOKUP(G1616,케이블트레이입.출고현황!X1619:AC1694,2,0),"")</f>
        <v/>
      </c>
      <c r="I1616" s="19" t="str">
        <f>IFERROR(VLOOKUP(H1616,케이블트레이입.출고현황!Y1619:AD1694,2,0),"")</f>
        <v/>
      </c>
      <c r="J1616" s="9"/>
      <c r="K1616" s="9"/>
      <c r="L1616" s="37"/>
      <c r="M1616" s="64"/>
      <c r="N1616" s="4"/>
    </row>
    <row r="1617" spans="1:14" ht="24" customHeight="1">
      <c r="A1617" s="8">
        <v>1457</v>
      </c>
      <c r="B1617" s="9">
        <v>1457</v>
      </c>
      <c r="C1617" s="46"/>
      <c r="D1617" s="9"/>
      <c r="E1617" s="19" t="str">
        <f>IFERROR(VLOOKUP(D1617,케이블트레이입.출고현황!U1620:Z1695,2,0),"")</f>
        <v/>
      </c>
      <c r="F1617" s="19" t="str">
        <f>IFERROR(VLOOKUP(E1617,케이블트레이입.출고현황!V1620:AA1695,2,0),"")</f>
        <v/>
      </c>
      <c r="G1617" s="19" t="str">
        <f>IFERROR(VLOOKUP(F1617,케이블트레이입.출고현황!W1620:AB1695,2,0),"")</f>
        <v/>
      </c>
      <c r="H1617" s="19" t="str">
        <f>IFERROR(VLOOKUP(G1617,케이블트레이입.출고현황!X1620:AC1695,2,0),"")</f>
        <v/>
      </c>
      <c r="I1617" s="19" t="str">
        <f>IFERROR(VLOOKUP(H1617,케이블트레이입.출고현황!Y1620:AD1695,2,0),"")</f>
        <v/>
      </c>
      <c r="J1617" s="9"/>
      <c r="K1617" s="9"/>
      <c r="L1617" s="37"/>
      <c r="M1617" s="64"/>
      <c r="N1617" s="4"/>
    </row>
    <row r="1618" spans="1:14" ht="24" customHeight="1">
      <c r="A1618" s="8">
        <v>1458</v>
      </c>
      <c r="B1618" s="9">
        <v>1458</v>
      </c>
      <c r="C1618" s="46"/>
      <c r="D1618" s="9"/>
      <c r="E1618" s="19" t="str">
        <f>IFERROR(VLOOKUP(D1618,케이블트레이입.출고현황!U1621:Z1696,2,0),"")</f>
        <v/>
      </c>
      <c r="F1618" s="19" t="str">
        <f>IFERROR(VLOOKUP(E1618,케이블트레이입.출고현황!V1621:AA1696,2,0),"")</f>
        <v/>
      </c>
      <c r="G1618" s="19" t="str">
        <f>IFERROR(VLOOKUP(F1618,케이블트레이입.출고현황!W1621:AB1696,2,0),"")</f>
        <v/>
      </c>
      <c r="H1618" s="19" t="str">
        <f>IFERROR(VLOOKUP(G1618,케이블트레이입.출고현황!X1621:AC1696,2,0),"")</f>
        <v/>
      </c>
      <c r="I1618" s="19" t="str">
        <f>IFERROR(VLOOKUP(H1618,케이블트레이입.출고현황!Y1621:AD1696,2,0),"")</f>
        <v/>
      </c>
      <c r="J1618" s="9"/>
      <c r="K1618" s="9"/>
      <c r="L1618" s="37"/>
      <c r="M1618" s="64"/>
      <c r="N1618" s="4"/>
    </row>
    <row r="1619" spans="1:14" ht="24" customHeight="1">
      <c r="A1619" s="8">
        <v>1459</v>
      </c>
      <c r="B1619" s="9">
        <v>1459</v>
      </c>
      <c r="C1619" s="46"/>
      <c r="D1619" s="9"/>
      <c r="E1619" s="19" t="str">
        <f>IFERROR(VLOOKUP(D1619,케이블트레이입.출고현황!U1622:Z1697,2,0),"")</f>
        <v/>
      </c>
      <c r="F1619" s="19" t="str">
        <f>IFERROR(VLOOKUP(E1619,케이블트레이입.출고현황!V1622:AA1697,2,0),"")</f>
        <v/>
      </c>
      <c r="G1619" s="19" t="str">
        <f>IFERROR(VLOOKUP(F1619,케이블트레이입.출고현황!W1622:AB1697,2,0),"")</f>
        <v/>
      </c>
      <c r="H1619" s="19" t="str">
        <f>IFERROR(VLOOKUP(G1619,케이블트레이입.출고현황!X1622:AC1697,2,0),"")</f>
        <v/>
      </c>
      <c r="I1619" s="19" t="str">
        <f>IFERROR(VLOOKUP(H1619,케이블트레이입.출고현황!Y1622:AD1697,2,0),"")</f>
        <v/>
      </c>
      <c r="J1619" s="9"/>
      <c r="K1619" s="9"/>
      <c r="L1619" s="37"/>
      <c r="M1619" s="64"/>
      <c r="N1619" s="4"/>
    </row>
    <row r="1620" spans="1:14">
      <c r="E1620" s="19" t="str">
        <f>IFERROR(VLOOKUP(D1620,케이블트레이입.출고현황!U1623:Z1698,2,0),"")</f>
        <v/>
      </c>
      <c r="F1620" s="19" t="str">
        <f>IFERROR(VLOOKUP(E1620,케이블트레이입.출고현황!V1623:AA1698,2,0),"")</f>
        <v/>
      </c>
      <c r="G1620" s="19" t="str">
        <f>IFERROR(VLOOKUP(F1620,케이블트레이입.출고현황!W1623:AB1698,2,0),"")</f>
        <v/>
      </c>
      <c r="H1620" s="19" t="str">
        <f>IFERROR(VLOOKUP(G1620,케이블트레이입.출고현황!X1623:AC1698,2,0),"")</f>
        <v/>
      </c>
      <c r="I1620" s="19" t="str">
        <f>IFERROR(VLOOKUP(H1620,케이블트레이입.출고현황!Y1623:AD1698,2,0),"")</f>
        <v/>
      </c>
    </row>
  </sheetData>
  <autoFilter ref="A4:P1399" xr:uid="{2C533636-601C-46D3-8429-AA2A342EEC5D}"/>
  <mergeCells count="13">
    <mergeCell ref="G3:G4"/>
    <mergeCell ref="B3:B4"/>
    <mergeCell ref="C3:C4"/>
    <mergeCell ref="D3:D4"/>
    <mergeCell ref="E3:E4"/>
    <mergeCell ref="F3:F4"/>
    <mergeCell ref="N3:N4"/>
    <mergeCell ref="H3:H4"/>
    <mergeCell ref="I3:I4"/>
    <mergeCell ref="J3:J4"/>
    <mergeCell ref="K3:K4"/>
    <mergeCell ref="L3:L4"/>
    <mergeCell ref="M3:M4"/>
  </mergeCells>
  <phoneticPr fontId="2" type="noConversion"/>
  <pageMargins left="0.39370078740157483" right="0.39370078740157483" top="0.45" bottom="0.54" header="0.31496062992125984" footer="0.31496062992125984"/>
  <pageSetup paperSize="9" scale="72" fitToHeight="0" orientation="landscape" r:id="rId1"/>
  <headerFooter>
    <oddFooter>&amp;C&amp;10&amp;P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C3E8-7426-4E7E-A2F5-8BF08FBD7286}">
  <sheetPr>
    <tabColor rgb="FFFFFF00"/>
    <pageSetUpPr fitToPage="1"/>
  </sheetPr>
  <dimension ref="A1:X93"/>
  <sheetViews>
    <sheetView zoomScale="85" zoomScaleNormal="85" workbookViewId="0">
      <selection activeCell="O83" sqref="O83"/>
    </sheetView>
  </sheetViews>
  <sheetFormatPr defaultColWidth="9" defaultRowHeight="13.8" outlineLevelCol="1"/>
  <cols>
    <col min="1" max="1" width="9.21875" style="1" bestFit="1" customWidth="1"/>
    <col min="2" max="2" width="5.21875" style="59" customWidth="1"/>
    <col min="3" max="3" width="15.21875" style="59" customWidth="1"/>
    <col min="4" max="4" width="22.44140625" style="59" bestFit="1" customWidth="1"/>
    <col min="5" max="5" width="15.21875" style="59" customWidth="1"/>
    <col min="6" max="6" width="21.109375" style="59" bestFit="1" customWidth="1"/>
    <col min="7" max="7" width="6.88671875" style="59" customWidth="1"/>
    <col min="8" max="8" width="7.21875" style="155" hidden="1" customWidth="1"/>
    <col min="9" max="13" width="8.6640625" style="155" customWidth="1" outlineLevel="1"/>
    <col min="14" max="16" width="8.6640625" style="155" customWidth="1"/>
    <col min="17" max="17" width="19.88671875" style="59" customWidth="1"/>
    <col min="18" max="18" width="9" style="59"/>
    <col min="19" max="19" width="11.88671875" style="59" customWidth="1"/>
    <col min="20" max="20" width="12.88671875" style="59" customWidth="1"/>
    <col min="21" max="16384" width="9" style="59"/>
  </cols>
  <sheetData>
    <row r="1" spans="1:24" s="62" customFormat="1" ht="38.25" customHeight="1">
      <c r="A1" s="106"/>
      <c r="B1" s="108" t="s">
        <v>985</v>
      </c>
      <c r="H1" s="154"/>
      <c r="I1" s="154"/>
      <c r="J1" s="154"/>
      <c r="K1" s="154"/>
      <c r="L1" s="154"/>
      <c r="M1" s="154"/>
      <c r="N1" s="191" t="s">
        <v>448</v>
      </c>
      <c r="O1" s="154"/>
      <c r="P1" s="154"/>
    </row>
    <row r="2" spans="1:24" ht="17.25" customHeight="1">
      <c r="B2" s="107" t="s">
        <v>592</v>
      </c>
      <c r="Q2" s="233">
        <f ca="1">TODAY()</f>
        <v>46174</v>
      </c>
    </row>
    <row r="3" spans="1:24" s="61" customFormat="1" ht="16.5" customHeight="1">
      <c r="A3" s="109"/>
      <c r="B3" s="424" t="s">
        <v>4</v>
      </c>
      <c r="C3" s="430" t="s">
        <v>186</v>
      </c>
      <c r="D3" s="430" t="s">
        <v>314</v>
      </c>
      <c r="E3" s="427" t="s">
        <v>7</v>
      </c>
      <c r="F3" s="430" t="s">
        <v>187</v>
      </c>
      <c r="G3" s="430" t="s">
        <v>188</v>
      </c>
      <c r="H3" s="425" t="s">
        <v>378</v>
      </c>
      <c r="I3" s="185" t="s">
        <v>429</v>
      </c>
      <c r="J3" s="185"/>
      <c r="K3" s="185"/>
      <c r="L3" s="185"/>
      <c r="M3" s="186"/>
      <c r="N3" s="158" t="s">
        <v>430</v>
      </c>
      <c r="O3" s="157"/>
      <c r="P3" s="157"/>
      <c r="Q3" s="424" t="s">
        <v>191</v>
      </c>
      <c r="S3" s="61" t="s">
        <v>5</v>
      </c>
    </row>
    <row r="4" spans="1:24" s="61" customFormat="1">
      <c r="A4" s="109"/>
      <c r="B4" s="424"/>
      <c r="C4" s="431"/>
      <c r="D4" s="431"/>
      <c r="E4" s="428"/>
      <c r="F4" s="431"/>
      <c r="G4" s="431"/>
      <c r="H4" s="426"/>
      <c r="I4" s="187" t="s">
        <v>48</v>
      </c>
      <c r="J4" s="187" t="s">
        <v>431</v>
      </c>
      <c r="K4" s="187" t="s">
        <v>432</v>
      </c>
      <c r="L4" s="187" t="s">
        <v>192</v>
      </c>
      <c r="M4" s="188" t="s">
        <v>52</v>
      </c>
      <c r="N4" s="159" t="s">
        <v>50</v>
      </c>
      <c r="O4" s="156" t="s">
        <v>192</v>
      </c>
      <c r="P4" s="156" t="s">
        <v>52</v>
      </c>
      <c r="Q4" s="424"/>
    </row>
    <row r="5" spans="1:24" ht="22.5" customHeight="1">
      <c r="A5" s="31" t="s">
        <v>380</v>
      </c>
      <c r="B5" s="424"/>
      <c r="C5" s="153" t="s">
        <v>313</v>
      </c>
      <c r="D5" s="153" t="s">
        <v>6</v>
      </c>
      <c r="E5" s="429"/>
      <c r="F5" s="153" t="s">
        <v>46</v>
      </c>
      <c r="G5" s="153" t="s">
        <v>47</v>
      </c>
      <c r="H5" s="160" t="s">
        <v>377</v>
      </c>
      <c r="I5" s="189" t="s">
        <v>433</v>
      </c>
      <c r="J5" s="189" t="s">
        <v>434</v>
      </c>
      <c r="K5" s="189" t="s">
        <v>382</v>
      </c>
      <c r="L5" s="189" t="s">
        <v>435</v>
      </c>
      <c r="M5" s="190" t="s">
        <v>375</v>
      </c>
      <c r="N5" s="161" t="s">
        <v>376</v>
      </c>
      <c r="O5" s="160" t="s">
        <v>374</v>
      </c>
      <c r="P5" s="160" t="s">
        <v>375</v>
      </c>
      <c r="Q5" s="424"/>
    </row>
    <row r="6" spans="1:24" s="61" customFormat="1" ht="21" customHeight="1">
      <c r="A6" s="29" t="s">
        <v>300</v>
      </c>
      <c r="B6" s="63">
        <v>1</v>
      </c>
      <c r="C6" s="41" t="s">
        <v>312</v>
      </c>
      <c r="D6" s="19" t="s">
        <v>196</v>
      </c>
      <c r="E6" s="41"/>
      <c r="F6" s="165" t="s">
        <v>197</v>
      </c>
      <c r="G6" s="63" t="s">
        <v>198</v>
      </c>
      <c r="H6" s="180"/>
      <c r="I6" s="180">
        <v>2</v>
      </c>
      <c r="J6" s="180">
        <f>I6-K6</f>
        <v>0</v>
      </c>
      <c r="K6" s="180">
        <f>SUMIFS('T-Power-income'!K:K,'T-Power-income'!E:E,임시동력입.출고현황!A6)</f>
        <v>2</v>
      </c>
      <c r="L6" s="180">
        <v>2</v>
      </c>
      <c r="M6" s="203">
        <f t="shared" ref="M6:M11" si="0">K6-L6</f>
        <v>0</v>
      </c>
      <c r="N6" s="181">
        <f>L6</f>
        <v>2</v>
      </c>
      <c r="O6" s="180">
        <f>SUMIFS('T-Power-out'!L:L,'T-Power-out'!D:D,임시동력입.출고현황!A6)</f>
        <v>1</v>
      </c>
      <c r="P6" s="180">
        <f t="shared" ref="P6:P27" si="1">N6-O6</f>
        <v>1</v>
      </c>
      <c r="Q6" s="41"/>
      <c r="S6" s="61" t="s">
        <v>300</v>
      </c>
    </row>
    <row r="7" spans="1:24" s="61" customFormat="1" ht="21" customHeight="1">
      <c r="A7" s="29" t="s">
        <v>280</v>
      </c>
      <c r="B7" s="63">
        <v>2</v>
      </c>
      <c r="C7" s="41" t="s">
        <v>312</v>
      </c>
      <c r="D7" s="19" t="s">
        <v>196</v>
      </c>
      <c r="E7" s="41"/>
      <c r="F7" s="165" t="s">
        <v>199</v>
      </c>
      <c r="G7" s="63" t="s">
        <v>198</v>
      </c>
      <c r="H7" s="180"/>
      <c r="I7" s="180">
        <f>21+4</f>
        <v>25</v>
      </c>
      <c r="J7" s="180">
        <f t="shared" ref="J7:J24" si="2">I7-K7</f>
        <v>0</v>
      </c>
      <c r="K7" s="180">
        <f>SUMIFS('T-Power-income'!K:K,'T-Power-income'!E:E,임시동력입.출고현황!A7)</f>
        <v>25</v>
      </c>
      <c r="L7" s="180">
        <v>25</v>
      </c>
      <c r="M7" s="203">
        <f t="shared" si="0"/>
        <v>0</v>
      </c>
      <c r="N7" s="181">
        <f>L7</f>
        <v>25</v>
      </c>
      <c r="O7" s="180">
        <f>SUMIFS('T-Power-out'!L:L,'T-Power-out'!D:D,임시동력입.출고현황!A7)</f>
        <v>20</v>
      </c>
      <c r="P7" s="180">
        <f t="shared" si="1"/>
        <v>5</v>
      </c>
      <c r="Q7" s="41" t="s">
        <v>1036</v>
      </c>
      <c r="S7" s="61" t="s">
        <v>280</v>
      </c>
    </row>
    <row r="8" spans="1:24" s="61" customFormat="1" ht="21" customHeight="1">
      <c r="A8" s="29" t="s">
        <v>281</v>
      </c>
      <c r="B8" s="63">
        <v>3</v>
      </c>
      <c r="C8" s="41" t="s">
        <v>312</v>
      </c>
      <c r="D8" s="19" t="s">
        <v>196</v>
      </c>
      <c r="E8" s="41"/>
      <c r="F8" s="165" t="s">
        <v>200</v>
      </c>
      <c r="G8" s="63" t="s">
        <v>198</v>
      </c>
      <c r="H8" s="180"/>
      <c r="I8" s="180">
        <v>18</v>
      </c>
      <c r="J8" s="180">
        <f t="shared" si="2"/>
        <v>0</v>
      </c>
      <c r="K8" s="180">
        <f>SUMIFS('T-Power-income'!K:K,'T-Power-income'!E:E,임시동력입.출고현황!A8)</f>
        <v>18</v>
      </c>
      <c r="L8" s="180">
        <v>18</v>
      </c>
      <c r="M8" s="203">
        <f t="shared" si="0"/>
        <v>0</v>
      </c>
      <c r="N8" s="181">
        <f t="shared" ref="N8:N11" si="3">L8</f>
        <v>18</v>
      </c>
      <c r="O8" s="180">
        <f>SUMIFS('T-Power-out'!L:L,'T-Power-out'!D:D,임시동력입.출고현황!A8)</f>
        <v>17</v>
      </c>
      <c r="P8" s="180">
        <f t="shared" si="1"/>
        <v>1</v>
      </c>
      <c r="Q8" s="41" t="s">
        <v>989</v>
      </c>
      <c r="S8" s="61" t="s">
        <v>281</v>
      </c>
    </row>
    <row r="9" spans="1:24" s="61" customFormat="1" ht="21" customHeight="1">
      <c r="A9" s="29" t="s">
        <v>282</v>
      </c>
      <c r="B9" s="63">
        <v>4</v>
      </c>
      <c r="C9" s="41" t="s">
        <v>312</v>
      </c>
      <c r="D9" s="19" t="s">
        <v>196</v>
      </c>
      <c r="E9" s="41"/>
      <c r="F9" s="165" t="s">
        <v>201</v>
      </c>
      <c r="G9" s="63" t="s">
        <v>198</v>
      </c>
      <c r="H9" s="180"/>
      <c r="I9" s="180">
        <v>1</v>
      </c>
      <c r="J9" s="180">
        <f t="shared" si="2"/>
        <v>0</v>
      </c>
      <c r="K9" s="180">
        <f>SUMIFS('T-Power-income'!K:K,'T-Power-income'!E:E,임시동력입.출고현황!A9)</f>
        <v>1</v>
      </c>
      <c r="L9" s="180">
        <v>1</v>
      </c>
      <c r="M9" s="203">
        <f t="shared" si="0"/>
        <v>0</v>
      </c>
      <c r="N9" s="181">
        <f t="shared" si="3"/>
        <v>1</v>
      </c>
      <c r="O9" s="180">
        <f>SUMIFS('T-Power-out'!L:L,'T-Power-out'!D:D,임시동력입.출고현황!A9)</f>
        <v>1</v>
      </c>
      <c r="P9" s="180">
        <f t="shared" si="1"/>
        <v>0</v>
      </c>
      <c r="Q9" s="41"/>
      <c r="S9" s="61" t="s">
        <v>282</v>
      </c>
    </row>
    <row r="10" spans="1:24" s="20" customFormat="1" ht="21" customHeight="1">
      <c r="A10" s="29" t="s">
        <v>283</v>
      </c>
      <c r="B10" s="63">
        <v>5</v>
      </c>
      <c r="C10" s="41" t="s">
        <v>312</v>
      </c>
      <c r="D10" s="19" t="s">
        <v>196</v>
      </c>
      <c r="E10" s="41"/>
      <c r="F10" s="317" t="s">
        <v>202</v>
      </c>
      <c r="G10" s="95" t="s">
        <v>198</v>
      </c>
      <c r="H10" s="180"/>
      <c r="I10" s="180">
        <v>4</v>
      </c>
      <c r="J10" s="180">
        <f t="shared" si="2"/>
        <v>0</v>
      </c>
      <c r="K10" s="180">
        <f>SUMIFS('T-Power-income'!K:K,'T-Power-income'!E:E,임시동력입.출고현황!A10)</f>
        <v>4</v>
      </c>
      <c r="L10" s="180">
        <v>4</v>
      </c>
      <c r="M10" s="203">
        <f t="shared" si="0"/>
        <v>0</v>
      </c>
      <c r="N10" s="181">
        <f t="shared" si="3"/>
        <v>4</v>
      </c>
      <c r="O10" s="180">
        <f>SUMIFS('T-Power-out'!L:L,'T-Power-out'!D:D,임시동력입.출고현황!A10)</f>
        <v>4</v>
      </c>
      <c r="P10" s="180">
        <f t="shared" si="1"/>
        <v>0</v>
      </c>
      <c r="Q10" s="41"/>
      <c r="R10" s="61"/>
      <c r="S10" s="20" t="s">
        <v>283</v>
      </c>
    </row>
    <row r="11" spans="1:24" s="61" customFormat="1" ht="21" customHeight="1">
      <c r="A11" s="29" t="s">
        <v>284</v>
      </c>
      <c r="B11" s="63">
        <v>6</v>
      </c>
      <c r="C11" s="41" t="s">
        <v>312</v>
      </c>
      <c r="D11" s="19" t="s">
        <v>196</v>
      </c>
      <c r="E11" s="41"/>
      <c r="F11" s="165" t="s">
        <v>203</v>
      </c>
      <c r="G11" s="63" t="s">
        <v>198</v>
      </c>
      <c r="H11" s="180"/>
      <c r="I11" s="180">
        <v>2</v>
      </c>
      <c r="J11" s="180">
        <f t="shared" si="2"/>
        <v>0</v>
      </c>
      <c r="K11" s="180">
        <f>SUMIFS('T-Power-income'!K:K,'T-Power-income'!E:E,임시동력입.출고현황!A11)</f>
        <v>2</v>
      </c>
      <c r="L11" s="180">
        <v>2</v>
      </c>
      <c r="M11" s="203">
        <f t="shared" si="0"/>
        <v>0</v>
      </c>
      <c r="N11" s="181">
        <f t="shared" si="3"/>
        <v>2</v>
      </c>
      <c r="O11" s="180">
        <f>SUMIFS('T-Power-out'!L:L,'T-Power-out'!D:D,임시동력입.출고현황!A11)</f>
        <v>1</v>
      </c>
      <c r="P11" s="180">
        <f t="shared" si="1"/>
        <v>1</v>
      </c>
      <c r="Q11" s="41"/>
      <c r="S11" s="61" t="s">
        <v>284</v>
      </c>
      <c r="U11" s="61" t="s">
        <v>544</v>
      </c>
      <c r="X11" s="61">
        <f>50000*30</f>
        <v>1500000</v>
      </c>
    </row>
    <row r="12" spans="1:24" s="174" customFormat="1" ht="21" customHeight="1">
      <c r="A12" s="31"/>
      <c r="B12" s="167"/>
      <c r="C12" s="168" t="s">
        <v>436</v>
      </c>
      <c r="D12" s="169"/>
      <c r="E12" s="168"/>
      <c r="F12" s="170"/>
      <c r="G12" s="167"/>
      <c r="H12" s="171"/>
      <c r="I12" s="171">
        <f>SUM(I6:I11)</f>
        <v>52</v>
      </c>
      <c r="J12" s="171">
        <f t="shared" ref="J12:O12" si="4">SUM(J6:J11)</f>
        <v>0</v>
      </c>
      <c r="K12" s="171">
        <f t="shared" si="4"/>
        <v>52</v>
      </c>
      <c r="L12" s="171">
        <f t="shared" si="4"/>
        <v>52</v>
      </c>
      <c r="M12" s="172">
        <f t="shared" si="4"/>
        <v>0</v>
      </c>
      <c r="N12" s="173">
        <f t="shared" si="4"/>
        <v>52</v>
      </c>
      <c r="O12" s="173">
        <f t="shared" si="4"/>
        <v>44</v>
      </c>
      <c r="P12" s="171">
        <f t="shared" si="1"/>
        <v>8</v>
      </c>
      <c r="Q12" s="168"/>
      <c r="R12" s="61"/>
    </row>
    <row r="13" spans="1:24" s="61" customFormat="1" ht="21" customHeight="1">
      <c r="A13" s="29" t="s">
        <v>302</v>
      </c>
      <c r="B13" s="63">
        <v>1</v>
      </c>
      <c r="C13" s="9" t="s">
        <v>285</v>
      </c>
      <c r="D13" s="166" t="s">
        <v>316</v>
      </c>
      <c r="E13" s="9"/>
      <c r="F13" s="165" t="s">
        <v>204</v>
      </c>
      <c r="G13" s="63" t="s">
        <v>0</v>
      </c>
      <c r="H13" s="180"/>
      <c r="I13" s="180">
        <v>1</v>
      </c>
      <c r="J13" s="180">
        <f t="shared" si="2"/>
        <v>0</v>
      </c>
      <c r="K13" s="180">
        <f>SUMIFS('T-Power-income'!K:K,'T-Power-income'!E:E,임시동력입.출고현황!A13)</f>
        <v>1</v>
      </c>
      <c r="L13" s="180">
        <f t="shared" ref="L13:L18" si="5">K13</f>
        <v>1</v>
      </c>
      <c r="M13" s="203">
        <f t="shared" ref="M13:M28" si="6">K13-L13</f>
        <v>0</v>
      </c>
      <c r="N13" s="181">
        <f>L13</f>
        <v>1</v>
      </c>
      <c r="O13" s="180">
        <f>SUMIFS('T-Power-out'!L:L,'T-Power-out'!D:D,임시동력입.출고현황!A13)</f>
        <v>0</v>
      </c>
      <c r="P13" s="180">
        <f t="shared" si="1"/>
        <v>1</v>
      </c>
      <c r="Q13" s="56"/>
      <c r="S13" s="61" t="s">
        <v>301</v>
      </c>
      <c r="U13" s="61" t="s">
        <v>678</v>
      </c>
    </row>
    <row r="14" spans="1:24" s="264" customFormat="1" ht="21" customHeight="1">
      <c r="A14" s="263" t="s">
        <v>303</v>
      </c>
      <c r="B14" s="63">
        <v>2</v>
      </c>
      <c r="C14" s="9" t="s">
        <v>297</v>
      </c>
      <c r="D14" s="166" t="s">
        <v>677</v>
      </c>
      <c r="E14" s="9"/>
      <c r="F14" s="165" t="s">
        <v>205</v>
      </c>
      <c r="G14" s="63" t="s">
        <v>0</v>
      </c>
      <c r="H14" s="180"/>
      <c r="I14" s="180">
        <f>5+4</f>
        <v>9</v>
      </c>
      <c r="J14" s="180">
        <f t="shared" si="2"/>
        <v>0</v>
      </c>
      <c r="K14" s="180">
        <f>SUMIFS('T-Power-income'!K:K,'T-Power-income'!E:E,임시동력입.출고현황!A14)</f>
        <v>9</v>
      </c>
      <c r="L14" s="180">
        <f t="shared" si="5"/>
        <v>9</v>
      </c>
      <c r="M14" s="203">
        <f t="shared" si="6"/>
        <v>0</v>
      </c>
      <c r="N14" s="181">
        <f t="shared" ref="N14:N24" si="7">L14</f>
        <v>9</v>
      </c>
      <c r="O14" s="180">
        <f>SUMIFS('T-Power-out'!L:L,'T-Power-out'!D:D,임시동력입.출고현황!A14)</f>
        <v>8</v>
      </c>
      <c r="P14" s="180">
        <f t="shared" si="1"/>
        <v>1</v>
      </c>
      <c r="Q14" s="56"/>
      <c r="S14" s="264" t="s">
        <v>303</v>
      </c>
      <c r="U14" s="264" t="s">
        <v>678</v>
      </c>
    </row>
    <row r="15" spans="1:24" s="61" customFormat="1" ht="21" customHeight="1">
      <c r="A15" s="29" t="s">
        <v>304</v>
      </c>
      <c r="B15" s="63">
        <v>3</v>
      </c>
      <c r="C15" s="9" t="s">
        <v>285</v>
      </c>
      <c r="D15" s="166" t="s">
        <v>316</v>
      </c>
      <c r="E15" s="9"/>
      <c r="F15" s="165" t="s">
        <v>206</v>
      </c>
      <c r="G15" s="63" t="s">
        <v>0</v>
      </c>
      <c r="H15" s="180"/>
      <c r="I15" s="180">
        <f>4+4</f>
        <v>8</v>
      </c>
      <c r="J15" s="180">
        <f t="shared" si="2"/>
        <v>0</v>
      </c>
      <c r="K15" s="180">
        <f>SUMIFS('T-Power-income'!K:K,'T-Power-income'!E:E,임시동력입.출고현황!A15)</f>
        <v>8</v>
      </c>
      <c r="L15" s="180">
        <f t="shared" si="5"/>
        <v>8</v>
      </c>
      <c r="M15" s="203">
        <f t="shared" si="6"/>
        <v>0</v>
      </c>
      <c r="N15" s="181">
        <f t="shared" si="7"/>
        <v>8</v>
      </c>
      <c r="O15" s="180">
        <f>SUMIFS('T-Power-out'!L:L,'T-Power-out'!D:D,임시동력입.출고현황!A15)</f>
        <v>4</v>
      </c>
      <c r="P15" s="180">
        <f t="shared" si="1"/>
        <v>4</v>
      </c>
      <c r="Q15" s="56"/>
      <c r="S15" s="61" t="s">
        <v>304</v>
      </c>
      <c r="U15" s="61" t="s">
        <v>678</v>
      </c>
    </row>
    <row r="16" spans="1:24" s="61" customFormat="1" ht="21" customHeight="1">
      <c r="A16" s="29" t="s">
        <v>305</v>
      </c>
      <c r="B16" s="63">
        <v>4</v>
      </c>
      <c r="C16" s="9" t="s">
        <v>285</v>
      </c>
      <c r="D16" s="166" t="s">
        <v>316</v>
      </c>
      <c r="E16" s="9"/>
      <c r="F16" s="165" t="s">
        <v>273</v>
      </c>
      <c r="G16" s="63" t="s">
        <v>0</v>
      </c>
      <c r="H16" s="180"/>
      <c r="I16" s="180">
        <v>6</v>
      </c>
      <c r="J16" s="180">
        <f t="shared" si="2"/>
        <v>2</v>
      </c>
      <c r="K16" s="180">
        <f>SUMIFS('T-Power-income'!K:K,'T-Power-income'!E:E,임시동력입.출고현황!A16)</f>
        <v>4</v>
      </c>
      <c r="L16" s="180">
        <f t="shared" si="5"/>
        <v>4</v>
      </c>
      <c r="M16" s="203">
        <f t="shared" si="6"/>
        <v>0</v>
      </c>
      <c r="N16" s="181">
        <f t="shared" si="7"/>
        <v>4</v>
      </c>
      <c r="O16" s="180">
        <f>SUMIFS('T-Power-out'!L:L,'T-Power-out'!D:D,임시동력입.출고현황!A16)</f>
        <v>2</v>
      </c>
      <c r="P16" s="180">
        <f t="shared" si="1"/>
        <v>2</v>
      </c>
      <c r="Q16" s="56"/>
      <c r="S16" s="61" t="s">
        <v>305</v>
      </c>
      <c r="U16" s="61" t="s">
        <v>679</v>
      </c>
    </row>
    <row r="17" spans="1:21" s="61" customFormat="1" ht="21" customHeight="1">
      <c r="A17" s="29" t="s">
        <v>306</v>
      </c>
      <c r="B17" s="63">
        <v>5</v>
      </c>
      <c r="C17" s="9" t="s">
        <v>285</v>
      </c>
      <c r="D17" s="166" t="s">
        <v>316</v>
      </c>
      <c r="E17" s="9"/>
      <c r="F17" s="165" t="s">
        <v>256</v>
      </c>
      <c r="G17" s="63" t="s">
        <v>0</v>
      </c>
      <c r="H17" s="180"/>
      <c r="I17" s="180">
        <v>20</v>
      </c>
      <c r="J17" s="180">
        <f t="shared" si="2"/>
        <v>0</v>
      </c>
      <c r="K17" s="180">
        <f>SUMIFS('T-Power-income'!K:K,'T-Power-income'!E:E,임시동력입.출고현황!A17)</f>
        <v>20</v>
      </c>
      <c r="L17" s="180">
        <f t="shared" si="5"/>
        <v>20</v>
      </c>
      <c r="M17" s="203">
        <f t="shared" si="6"/>
        <v>0</v>
      </c>
      <c r="N17" s="181">
        <f t="shared" si="7"/>
        <v>20</v>
      </c>
      <c r="O17" s="180">
        <f>SUMIFS('T-Power-out'!L:L,'T-Power-out'!D:D,임시동력입.출고현황!A17)</f>
        <v>18</v>
      </c>
      <c r="P17" s="180">
        <f t="shared" si="1"/>
        <v>2</v>
      </c>
      <c r="Q17" s="56"/>
      <c r="S17" s="61" t="s">
        <v>306</v>
      </c>
      <c r="U17" s="61" t="s">
        <v>678</v>
      </c>
    </row>
    <row r="18" spans="1:21" s="61" customFormat="1" ht="21" customHeight="1">
      <c r="A18" s="198" t="s">
        <v>682</v>
      </c>
      <c r="B18" s="63"/>
      <c r="C18" s="9" t="s">
        <v>285</v>
      </c>
      <c r="D18" s="166" t="s">
        <v>677</v>
      </c>
      <c r="E18" s="9"/>
      <c r="F18" s="165" t="s">
        <v>680</v>
      </c>
      <c r="G18" s="63" t="s">
        <v>0</v>
      </c>
      <c r="H18" s="180"/>
      <c r="I18" s="180">
        <v>5</v>
      </c>
      <c r="J18" s="180">
        <f t="shared" ref="J18" si="8">I18-K18</f>
        <v>5</v>
      </c>
      <c r="K18" s="180">
        <f>SUMIFS('T-Power-income'!K:K,'T-Power-income'!E:E,임시동력입.출고현황!A18)</f>
        <v>0</v>
      </c>
      <c r="L18" s="180">
        <f t="shared" si="5"/>
        <v>0</v>
      </c>
      <c r="M18" s="203">
        <f t="shared" ref="M18" si="9">K18-L18</f>
        <v>0</v>
      </c>
      <c r="N18" s="181">
        <f t="shared" ref="N18" si="10">L18</f>
        <v>0</v>
      </c>
      <c r="O18" s="180">
        <f>SUMIFS('T-Power-out'!L:L,'T-Power-out'!D:D,임시동력입.출고현황!A18)</f>
        <v>0</v>
      </c>
      <c r="P18" s="180">
        <f t="shared" ref="P18" si="11">N18-O18</f>
        <v>0</v>
      </c>
      <c r="Q18" s="56"/>
      <c r="S18" s="199" t="s">
        <v>681</v>
      </c>
      <c r="T18" s="61" t="s">
        <v>684</v>
      </c>
      <c r="U18" s="61" t="s">
        <v>678</v>
      </c>
    </row>
    <row r="19" spans="1:21" s="61" customFormat="1" ht="21" customHeight="1">
      <c r="A19" s="29" t="s">
        <v>307</v>
      </c>
      <c r="B19" s="63">
        <v>6</v>
      </c>
      <c r="C19" s="9" t="s">
        <v>285</v>
      </c>
      <c r="D19" s="166" t="s">
        <v>316</v>
      </c>
      <c r="E19" s="9"/>
      <c r="F19" s="165" t="s">
        <v>207</v>
      </c>
      <c r="G19" s="63" t="s">
        <v>0</v>
      </c>
      <c r="H19" s="180"/>
      <c r="I19" s="180">
        <v>53</v>
      </c>
      <c r="J19" s="180">
        <f t="shared" si="2"/>
        <v>0</v>
      </c>
      <c r="K19" s="180">
        <f>SUMIFS('T-Power-income'!K:K,'T-Power-income'!E:E,임시동력입.출고현황!A19)</f>
        <v>53</v>
      </c>
      <c r="L19" s="180">
        <f t="shared" ref="L19:L26" si="12">K19</f>
        <v>53</v>
      </c>
      <c r="M19" s="203">
        <f t="shared" si="6"/>
        <v>0</v>
      </c>
      <c r="N19" s="181">
        <f t="shared" si="7"/>
        <v>53</v>
      </c>
      <c r="O19" s="180">
        <f>SUMIFS('T-Power-out'!L:L,'T-Power-out'!D:D,임시동력입.출고현황!A19)</f>
        <v>45</v>
      </c>
      <c r="P19" s="180">
        <f t="shared" si="1"/>
        <v>8</v>
      </c>
      <c r="Q19" s="56"/>
      <c r="S19" s="61" t="s">
        <v>307</v>
      </c>
      <c r="U19" s="61" t="s">
        <v>678</v>
      </c>
    </row>
    <row r="20" spans="1:21" s="20" customFormat="1" ht="21" customHeight="1">
      <c r="A20" s="29" t="s">
        <v>308</v>
      </c>
      <c r="B20" s="63">
        <v>7</v>
      </c>
      <c r="C20" s="10" t="s">
        <v>285</v>
      </c>
      <c r="D20" s="141" t="s">
        <v>316</v>
      </c>
      <c r="E20" s="10"/>
      <c r="F20" s="317" t="s">
        <v>449</v>
      </c>
      <c r="G20" s="95" t="s">
        <v>0</v>
      </c>
      <c r="H20" s="218"/>
      <c r="I20" s="218">
        <v>22</v>
      </c>
      <c r="J20" s="218">
        <f t="shared" si="2"/>
        <v>0</v>
      </c>
      <c r="K20" s="180">
        <f>SUMIFS('T-Power-income'!K:K,'T-Power-income'!E:E,임시동력입.출고현황!A20)</f>
        <v>22</v>
      </c>
      <c r="L20" s="218">
        <f t="shared" si="12"/>
        <v>22</v>
      </c>
      <c r="M20" s="219">
        <f t="shared" si="6"/>
        <v>0</v>
      </c>
      <c r="N20" s="220">
        <f t="shared" si="7"/>
        <v>22</v>
      </c>
      <c r="O20" s="218">
        <f>SUMIFS('T-Power-out'!L:L,'T-Power-out'!D:D,임시동력입.출고현황!A20)</f>
        <v>19</v>
      </c>
      <c r="P20" s="218">
        <f t="shared" si="1"/>
        <v>3</v>
      </c>
      <c r="Q20" s="41"/>
      <c r="S20" s="20" t="s">
        <v>308</v>
      </c>
      <c r="T20" s="20" t="s">
        <v>453</v>
      </c>
      <c r="U20" s="20" t="s">
        <v>678</v>
      </c>
    </row>
    <row r="21" spans="1:21" s="61" customFormat="1" ht="21" customHeight="1">
      <c r="A21" s="29" t="s">
        <v>310</v>
      </c>
      <c r="B21" s="63">
        <v>9</v>
      </c>
      <c r="C21" s="9" t="s">
        <v>285</v>
      </c>
      <c r="D21" s="166" t="s">
        <v>316</v>
      </c>
      <c r="E21" s="9"/>
      <c r="F21" s="165" t="s">
        <v>274</v>
      </c>
      <c r="G21" s="63" t="s">
        <v>0</v>
      </c>
      <c r="H21" s="180"/>
      <c r="I21" s="180">
        <v>48</v>
      </c>
      <c r="J21" s="180">
        <f t="shared" si="2"/>
        <v>0</v>
      </c>
      <c r="K21" s="180">
        <f>SUMIFS('T-Power-income'!K:K,'T-Power-income'!E:E,임시동력입.출고현황!A21)</f>
        <v>48</v>
      </c>
      <c r="L21" s="180">
        <f t="shared" si="12"/>
        <v>48</v>
      </c>
      <c r="M21" s="203">
        <f t="shared" si="6"/>
        <v>0</v>
      </c>
      <c r="N21" s="181">
        <f t="shared" si="7"/>
        <v>48</v>
      </c>
      <c r="O21" s="180">
        <f>SUMIFS('T-Power-out'!L:L,'T-Power-out'!D:D,임시동력입.출고현황!A21)</f>
        <v>31</v>
      </c>
      <c r="P21" s="180">
        <f t="shared" si="1"/>
        <v>17</v>
      </c>
      <c r="Q21" s="56" t="s">
        <v>683</v>
      </c>
      <c r="S21" s="61" t="s">
        <v>472</v>
      </c>
      <c r="U21" s="61" t="s">
        <v>678</v>
      </c>
    </row>
    <row r="22" spans="1:21" s="61" customFormat="1" ht="21" customHeight="1">
      <c r="A22" s="198" t="s">
        <v>559</v>
      </c>
      <c r="B22" s="63">
        <v>10</v>
      </c>
      <c r="C22" s="9" t="s">
        <v>285</v>
      </c>
      <c r="D22" s="166" t="s">
        <v>316</v>
      </c>
      <c r="E22" s="9"/>
      <c r="F22" s="165" t="s">
        <v>693</v>
      </c>
      <c r="G22" s="63" t="s">
        <v>0</v>
      </c>
      <c r="H22" s="180"/>
      <c r="I22" s="180">
        <v>60</v>
      </c>
      <c r="J22" s="180">
        <f t="shared" si="2"/>
        <v>0</v>
      </c>
      <c r="K22" s="180">
        <f>SUMIFS('T-Power-income'!K:K,'T-Power-income'!E:E,임시동력입.출고현황!A22)</f>
        <v>60</v>
      </c>
      <c r="L22" s="180">
        <f t="shared" si="12"/>
        <v>60</v>
      </c>
      <c r="M22" s="203">
        <f t="shared" si="6"/>
        <v>0</v>
      </c>
      <c r="N22" s="181">
        <f t="shared" si="7"/>
        <v>60</v>
      </c>
      <c r="O22" s="180">
        <f>SUMIFS('T-Power-out'!L:L,'T-Power-out'!D:D,임시동력입.출고현황!A22)</f>
        <v>25</v>
      </c>
      <c r="P22" s="180">
        <f t="shared" si="1"/>
        <v>35</v>
      </c>
      <c r="Q22" s="56"/>
      <c r="S22" s="199" t="s">
        <v>471</v>
      </c>
      <c r="T22" s="20" t="s">
        <v>473</v>
      </c>
      <c r="U22" s="61" t="s">
        <v>678</v>
      </c>
    </row>
    <row r="23" spans="1:21" s="61" customFormat="1" ht="21" customHeight="1">
      <c r="A23" s="29" t="s">
        <v>311</v>
      </c>
      <c r="B23" s="63">
        <v>11</v>
      </c>
      <c r="C23" s="9" t="s">
        <v>285</v>
      </c>
      <c r="D23" s="166" t="s">
        <v>316</v>
      </c>
      <c r="E23" s="9"/>
      <c r="F23" s="165" t="s">
        <v>208</v>
      </c>
      <c r="G23" s="63" t="s">
        <v>0</v>
      </c>
      <c r="H23" s="180"/>
      <c r="I23" s="180">
        <v>15</v>
      </c>
      <c r="J23" s="180">
        <f t="shared" si="2"/>
        <v>0</v>
      </c>
      <c r="K23" s="180">
        <f>SUMIFS('T-Power-income'!K:K,'T-Power-income'!E:E,임시동력입.출고현황!A23)</f>
        <v>15</v>
      </c>
      <c r="L23" s="180">
        <f t="shared" si="12"/>
        <v>15</v>
      </c>
      <c r="M23" s="203">
        <f t="shared" si="6"/>
        <v>0</v>
      </c>
      <c r="N23" s="181">
        <f t="shared" si="7"/>
        <v>15</v>
      </c>
      <c r="O23" s="180">
        <f>SUMIFS('T-Power-out'!L:L,'T-Power-out'!D:D,임시동력입.출고현황!A23)</f>
        <v>13</v>
      </c>
      <c r="P23" s="180">
        <f t="shared" si="1"/>
        <v>2</v>
      </c>
      <c r="Q23" s="56"/>
      <c r="S23" s="61" t="s">
        <v>311</v>
      </c>
      <c r="U23" s="61" t="s">
        <v>678</v>
      </c>
    </row>
    <row r="24" spans="1:21" s="61" customFormat="1" ht="21" customHeight="1">
      <c r="A24" s="29" t="s">
        <v>315</v>
      </c>
      <c r="B24" s="63">
        <v>12</v>
      </c>
      <c r="C24" s="9" t="s">
        <v>285</v>
      </c>
      <c r="D24" s="166" t="s">
        <v>316</v>
      </c>
      <c r="E24" s="9"/>
      <c r="F24" s="165" t="s">
        <v>209</v>
      </c>
      <c r="G24" s="63" t="s">
        <v>0</v>
      </c>
      <c r="H24" s="180"/>
      <c r="I24" s="180">
        <v>3</v>
      </c>
      <c r="J24" s="180">
        <f t="shared" si="2"/>
        <v>0</v>
      </c>
      <c r="K24" s="180">
        <f>SUMIFS('T-Power-income'!K:K,'T-Power-income'!E:E,임시동력입.출고현황!A24)</f>
        <v>3</v>
      </c>
      <c r="L24" s="180">
        <f t="shared" si="12"/>
        <v>3</v>
      </c>
      <c r="M24" s="203">
        <f t="shared" si="6"/>
        <v>0</v>
      </c>
      <c r="N24" s="181">
        <f t="shared" si="7"/>
        <v>3</v>
      </c>
      <c r="O24" s="180">
        <f>SUMIFS('T-Power-out'!L:L,'T-Power-out'!D:D,임시동력입.출고현황!A24)</f>
        <v>3</v>
      </c>
      <c r="P24" s="180">
        <f t="shared" si="1"/>
        <v>0</v>
      </c>
      <c r="Q24" s="56"/>
      <c r="S24" s="61" t="s">
        <v>315</v>
      </c>
      <c r="U24" s="61" t="s">
        <v>678</v>
      </c>
    </row>
    <row r="25" spans="1:21" s="20" customFormat="1" ht="21" customHeight="1">
      <c r="A25" s="29" t="s">
        <v>365</v>
      </c>
      <c r="B25" s="63">
        <v>13</v>
      </c>
      <c r="C25" s="10" t="s">
        <v>285</v>
      </c>
      <c r="D25" s="141" t="s">
        <v>367</v>
      </c>
      <c r="E25" s="10"/>
      <c r="F25" s="317" t="s">
        <v>635</v>
      </c>
      <c r="G25" s="95" t="s">
        <v>0</v>
      </c>
      <c r="H25" s="218"/>
      <c r="I25" s="316"/>
      <c r="J25" s="180">
        <f>I25-K25</f>
        <v>0</v>
      </c>
      <c r="K25" s="180">
        <v>0</v>
      </c>
      <c r="L25" s="218">
        <f t="shared" si="12"/>
        <v>0</v>
      </c>
      <c r="M25" s="203">
        <f t="shared" si="6"/>
        <v>0</v>
      </c>
      <c r="N25" s="220">
        <v>2</v>
      </c>
      <c r="O25" s="218">
        <f>SUMIFS('T-Power-out'!L:L,'T-Power-out'!D:D,임시동력입.출고현황!A25)</f>
        <v>2</v>
      </c>
      <c r="P25" s="218">
        <f t="shared" si="1"/>
        <v>0</v>
      </c>
      <c r="Q25" s="318" t="s">
        <v>368</v>
      </c>
      <c r="R25" s="61"/>
      <c r="S25" s="20" t="s">
        <v>365</v>
      </c>
      <c r="T25" s="20" t="s">
        <v>370</v>
      </c>
      <c r="U25" s="20" t="s">
        <v>686</v>
      </c>
    </row>
    <row r="26" spans="1:21" s="20" customFormat="1" ht="21" customHeight="1">
      <c r="A26" s="29" t="s">
        <v>366</v>
      </c>
      <c r="B26" s="63">
        <v>14</v>
      </c>
      <c r="C26" s="10" t="s">
        <v>285</v>
      </c>
      <c r="D26" s="141" t="s">
        <v>367</v>
      </c>
      <c r="E26" s="10"/>
      <c r="F26" s="317" t="s">
        <v>369</v>
      </c>
      <c r="G26" s="95" t="s">
        <v>0</v>
      </c>
      <c r="H26" s="218"/>
      <c r="I26" s="218"/>
      <c r="J26" s="180">
        <f>I26-K26</f>
        <v>0</v>
      </c>
      <c r="K26" s="180">
        <v>0</v>
      </c>
      <c r="L26" s="218">
        <f t="shared" si="12"/>
        <v>0</v>
      </c>
      <c r="M26" s="203">
        <f t="shared" si="6"/>
        <v>0</v>
      </c>
      <c r="N26" s="220">
        <v>1</v>
      </c>
      <c r="O26" s="218">
        <f>SUMIFS('T-Power-out'!L:L,'T-Power-out'!D:D,임시동력입.출고현황!A26)</f>
        <v>1</v>
      </c>
      <c r="P26" s="218">
        <f t="shared" si="1"/>
        <v>0</v>
      </c>
      <c r="Q26" s="318" t="s">
        <v>368</v>
      </c>
      <c r="R26" s="61"/>
      <c r="S26" s="20" t="s">
        <v>366</v>
      </c>
      <c r="T26" s="20" t="s">
        <v>370</v>
      </c>
      <c r="U26" s="20" t="s">
        <v>685</v>
      </c>
    </row>
    <row r="27" spans="1:21" s="266" customFormat="1" ht="21" customHeight="1">
      <c r="A27" s="267" t="s">
        <v>616</v>
      </c>
      <c r="B27" s="63">
        <v>15</v>
      </c>
      <c r="C27" s="10" t="s">
        <v>285</v>
      </c>
      <c r="D27" s="141" t="s">
        <v>367</v>
      </c>
      <c r="E27" s="10"/>
      <c r="F27" s="317" t="s">
        <v>615</v>
      </c>
      <c r="G27" s="95" t="s">
        <v>0</v>
      </c>
      <c r="H27" s="218"/>
      <c r="I27" s="218"/>
      <c r="J27" s="180">
        <f>I27-K27</f>
        <v>0</v>
      </c>
      <c r="K27" s="180">
        <v>0</v>
      </c>
      <c r="L27" s="218"/>
      <c r="M27" s="203">
        <f t="shared" si="6"/>
        <v>0</v>
      </c>
      <c r="N27" s="220">
        <v>2</v>
      </c>
      <c r="O27" s="218">
        <f>SUMIFS('T-Power-out'!L:L,'T-Power-out'!D:D,임시동력입.출고현황!A27)</f>
        <v>2</v>
      </c>
      <c r="P27" s="218">
        <f t="shared" si="1"/>
        <v>0</v>
      </c>
      <c r="Q27" s="318" t="s">
        <v>368</v>
      </c>
      <c r="R27" s="264"/>
      <c r="S27" s="266" t="s">
        <v>616</v>
      </c>
      <c r="T27" s="266" t="s">
        <v>617</v>
      </c>
      <c r="U27" s="266" t="s">
        <v>685</v>
      </c>
    </row>
    <row r="28" spans="1:21" s="174" customFormat="1" ht="21" customHeight="1">
      <c r="A28" s="31"/>
      <c r="B28" s="167"/>
      <c r="C28" s="175" t="s">
        <v>436</v>
      </c>
      <c r="D28" s="176"/>
      <c r="E28" s="175"/>
      <c r="F28" s="170"/>
      <c r="G28" s="167"/>
      <c r="H28" s="171"/>
      <c r="I28" s="171">
        <f>SUM(I13:I27)</f>
        <v>250</v>
      </c>
      <c r="J28" s="171">
        <f>SUM(J13:J27)</f>
        <v>7</v>
      </c>
      <c r="K28" s="171">
        <f>SUM(K13:K27)</f>
        <v>243</v>
      </c>
      <c r="L28" s="171">
        <f>SUM(L13:L27)</f>
        <v>243</v>
      </c>
      <c r="M28" s="374">
        <f t="shared" si="6"/>
        <v>0</v>
      </c>
      <c r="N28" s="173">
        <f>SUM(N13:N27)</f>
        <v>248</v>
      </c>
      <c r="O28" s="173">
        <f>SUM(O13:O27)</f>
        <v>173</v>
      </c>
      <c r="P28" s="375">
        <f>N28-O28</f>
        <v>75</v>
      </c>
      <c r="Q28" s="177"/>
      <c r="R28" s="61"/>
    </row>
    <row r="29" spans="1:21" s="61" customFormat="1" ht="21" customHeight="1">
      <c r="A29" s="29" t="s">
        <v>317</v>
      </c>
      <c r="B29" s="63">
        <v>1</v>
      </c>
      <c r="C29" s="9" t="s">
        <v>338</v>
      </c>
      <c r="D29" s="166" t="s">
        <v>298</v>
      </c>
      <c r="E29" s="9"/>
      <c r="F29" s="165" t="s">
        <v>275</v>
      </c>
      <c r="G29" s="63" t="s">
        <v>2</v>
      </c>
      <c r="H29" s="180"/>
      <c r="I29" s="180">
        <v>1100</v>
      </c>
      <c r="J29" s="180">
        <f t="shared" ref="J29:J87" si="13">I29-K29</f>
        <v>0</v>
      </c>
      <c r="K29" s="180">
        <f>SUMIFS('T-Power-income'!K:K,'T-Power-income'!E:E,임시동력입.출고현황!A29)</f>
        <v>1100</v>
      </c>
      <c r="L29" s="180">
        <f t="shared" ref="L29:L58" si="14">K29</f>
        <v>1100</v>
      </c>
      <c r="M29" s="203">
        <f t="shared" ref="M29:M58" si="15">K29-L29</f>
        <v>0</v>
      </c>
      <c r="N29" s="181">
        <f>L29</f>
        <v>1100</v>
      </c>
      <c r="O29" s="180">
        <f>SUMIFS('T-Power-out'!L:L,'T-Power-out'!D:D,임시동력입.출고현황!A29)</f>
        <v>24</v>
      </c>
      <c r="P29" s="180">
        <f t="shared" ref="P29:P60" si="16">N29-O29</f>
        <v>1076</v>
      </c>
      <c r="Q29" s="56" t="s">
        <v>210</v>
      </c>
      <c r="R29" s="61">
        <v>1</v>
      </c>
      <c r="S29" s="61" t="s">
        <v>317</v>
      </c>
    </row>
    <row r="30" spans="1:21" s="61" customFormat="1" ht="21" customHeight="1">
      <c r="A30" s="198" t="s">
        <v>565</v>
      </c>
      <c r="B30" s="63">
        <v>2</v>
      </c>
      <c r="C30" s="9" t="s">
        <v>560</v>
      </c>
      <c r="D30" s="166" t="s">
        <v>298</v>
      </c>
      <c r="E30" s="9"/>
      <c r="F30" s="165" t="s">
        <v>562</v>
      </c>
      <c r="G30" s="63" t="s">
        <v>2</v>
      </c>
      <c r="H30" s="180"/>
      <c r="I30" s="180">
        <f>1000+1000</f>
        <v>2000</v>
      </c>
      <c r="J30" s="180">
        <f t="shared" si="13"/>
        <v>0</v>
      </c>
      <c r="K30" s="180">
        <f>SUMIFS('T-Power-income'!K:K,'T-Power-income'!E:E,임시동력입.출고현황!A30)</f>
        <v>2000</v>
      </c>
      <c r="L30" s="180">
        <f t="shared" si="14"/>
        <v>2000</v>
      </c>
      <c r="M30" s="203">
        <f t="shared" si="15"/>
        <v>0</v>
      </c>
      <c r="N30" s="181">
        <f t="shared" ref="N30:N58" si="17">L30</f>
        <v>2000</v>
      </c>
      <c r="O30" s="180">
        <f>SUMIFS('T-Power-out'!L:L,'T-Power-out'!D:D,임시동력입.출고현황!A30)</f>
        <v>377</v>
      </c>
      <c r="P30" s="180">
        <f t="shared" si="16"/>
        <v>1623</v>
      </c>
      <c r="Q30" s="56" t="s">
        <v>210</v>
      </c>
      <c r="R30" s="61">
        <v>2</v>
      </c>
      <c r="S30" s="199" t="s">
        <v>565</v>
      </c>
    </row>
    <row r="31" spans="1:21" s="61" customFormat="1" ht="21" customHeight="1">
      <c r="A31" s="29" t="s">
        <v>318</v>
      </c>
      <c r="B31" s="63">
        <v>3</v>
      </c>
      <c r="C31" s="9" t="s">
        <v>338</v>
      </c>
      <c r="D31" s="166" t="s">
        <v>298</v>
      </c>
      <c r="E31" s="9"/>
      <c r="F31" s="165" t="s">
        <v>211</v>
      </c>
      <c r="G31" s="63" t="s">
        <v>2</v>
      </c>
      <c r="H31" s="180"/>
      <c r="I31" s="180">
        <f>1300+1000</f>
        <v>2300</v>
      </c>
      <c r="J31" s="180">
        <f t="shared" si="13"/>
        <v>0</v>
      </c>
      <c r="K31" s="180">
        <f>SUMIFS('T-Power-income'!K:K,'T-Power-income'!E:E,임시동력입.출고현황!A31)</f>
        <v>2300</v>
      </c>
      <c r="L31" s="180">
        <f t="shared" si="14"/>
        <v>2300</v>
      </c>
      <c r="M31" s="203">
        <f t="shared" si="15"/>
        <v>0</v>
      </c>
      <c r="N31" s="181">
        <f t="shared" si="17"/>
        <v>2300</v>
      </c>
      <c r="O31" s="180">
        <f>SUMIFS('T-Power-out'!L:L,'T-Power-out'!D:D,임시동력입.출고현황!A31)</f>
        <v>466</v>
      </c>
      <c r="P31" s="180">
        <f t="shared" si="16"/>
        <v>1834</v>
      </c>
      <c r="Q31" s="56" t="s">
        <v>210</v>
      </c>
      <c r="R31" s="61">
        <v>3</v>
      </c>
      <c r="S31" s="61" t="s">
        <v>318</v>
      </c>
    </row>
    <row r="32" spans="1:21" s="61" customFormat="1" ht="21" customHeight="1">
      <c r="A32" s="29" t="s">
        <v>319</v>
      </c>
      <c r="B32" s="63">
        <v>4</v>
      </c>
      <c r="C32" s="9" t="s">
        <v>338</v>
      </c>
      <c r="D32" s="166" t="s">
        <v>298</v>
      </c>
      <c r="E32" s="9"/>
      <c r="F32" s="165" t="s">
        <v>212</v>
      </c>
      <c r="G32" s="63" t="s">
        <v>2</v>
      </c>
      <c r="H32" s="180"/>
      <c r="I32" s="180">
        <v>2500</v>
      </c>
      <c r="J32" s="180">
        <f t="shared" si="13"/>
        <v>0</v>
      </c>
      <c r="K32" s="180">
        <f>SUMIFS('T-Power-income'!K:K,'T-Power-income'!E:E,임시동력입.출고현황!A32)</f>
        <v>2500</v>
      </c>
      <c r="L32" s="180">
        <f t="shared" si="14"/>
        <v>2500</v>
      </c>
      <c r="M32" s="203">
        <f t="shared" si="15"/>
        <v>0</v>
      </c>
      <c r="N32" s="181">
        <f t="shared" si="17"/>
        <v>2500</v>
      </c>
      <c r="O32" s="180">
        <f>SUMIFS('T-Power-out'!L:L,'T-Power-out'!D:D,임시동력입.출고현황!A32)</f>
        <v>714</v>
      </c>
      <c r="P32" s="180">
        <f t="shared" si="16"/>
        <v>1786</v>
      </c>
      <c r="Q32" s="56" t="s">
        <v>210</v>
      </c>
      <c r="R32" s="61">
        <v>4</v>
      </c>
      <c r="S32" s="61" t="s">
        <v>319</v>
      </c>
    </row>
    <row r="33" spans="1:19" s="61" customFormat="1" ht="21" customHeight="1">
      <c r="A33" s="29" t="s">
        <v>320</v>
      </c>
      <c r="B33" s="63">
        <v>5</v>
      </c>
      <c r="C33" s="9" t="s">
        <v>338</v>
      </c>
      <c r="D33" s="166" t="s">
        <v>298</v>
      </c>
      <c r="E33" s="9"/>
      <c r="F33" s="165" t="s">
        <v>213</v>
      </c>
      <c r="G33" s="63" t="s">
        <v>2</v>
      </c>
      <c r="H33" s="180"/>
      <c r="I33" s="180">
        <f>1500+2000</f>
        <v>3500</v>
      </c>
      <c r="J33" s="180">
        <f t="shared" si="13"/>
        <v>0</v>
      </c>
      <c r="K33" s="180">
        <f>SUMIFS('T-Power-income'!K:K,'T-Power-income'!E:E,임시동력입.출고현황!A33)</f>
        <v>3500</v>
      </c>
      <c r="L33" s="180">
        <f t="shared" si="14"/>
        <v>3500</v>
      </c>
      <c r="M33" s="203">
        <f t="shared" si="15"/>
        <v>0</v>
      </c>
      <c r="N33" s="181">
        <f t="shared" si="17"/>
        <v>3500</v>
      </c>
      <c r="O33" s="180">
        <f>SUMIFS('T-Power-out'!L:L,'T-Power-out'!D:D,임시동력입.출고현황!A33)</f>
        <v>1200</v>
      </c>
      <c r="P33" s="180">
        <f t="shared" si="16"/>
        <v>2300</v>
      </c>
      <c r="Q33" s="56" t="s">
        <v>210</v>
      </c>
      <c r="R33" s="61">
        <v>5</v>
      </c>
      <c r="S33" s="61" t="s">
        <v>320</v>
      </c>
    </row>
    <row r="34" spans="1:19" s="61" customFormat="1" ht="21" customHeight="1">
      <c r="A34" s="29" t="s">
        <v>321</v>
      </c>
      <c r="B34" s="63">
        <v>6</v>
      </c>
      <c r="C34" s="9" t="s">
        <v>338</v>
      </c>
      <c r="D34" s="166" t="s">
        <v>298</v>
      </c>
      <c r="E34" s="9"/>
      <c r="F34" s="165" t="s">
        <v>214</v>
      </c>
      <c r="G34" s="63" t="s">
        <v>2</v>
      </c>
      <c r="H34" s="180"/>
      <c r="I34" s="180">
        <v>2000</v>
      </c>
      <c r="J34" s="180">
        <f t="shared" si="13"/>
        <v>0</v>
      </c>
      <c r="K34" s="180">
        <f>SUMIFS('T-Power-income'!K:K,'T-Power-income'!E:E,임시동력입.출고현황!A34)</f>
        <v>2000</v>
      </c>
      <c r="L34" s="180">
        <f t="shared" si="14"/>
        <v>2000</v>
      </c>
      <c r="M34" s="203">
        <f t="shared" si="15"/>
        <v>0</v>
      </c>
      <c r="N34" s="181">
        <f t="shared" si="17"/>
        <v>2000</v>
      </c>
      <c r="O34" s="180">
        <f>SUMIFS('T-Power-out'!L:L,'T-Power-out'!D:D,임시동력입.출고현황!A34)</f>
        <v>556</v>
      </c>
      <c r="P34" s="180">
        <f t="shared" si="16"/>
        <v>1444</v>
      </c>
      <c r="Q34" s="56" t="s">
        <v>210</v>
      </c>
      <c r="R34" s="61">
        <v>6</v>
      </c>
      <c r="S34" s="61" t="s">
        <v>321</v>
      </c>
    </row>
    <row r="35" spans="1:19" s="61" customFormat="1" ht="21" customHeight="1">
      <c r="A35" s="29" t="s">
        <v>322</v>
      </c>
      <c r="B35" s="63">
        <v>7</v>
      </c>
      <c r="C35" s="9" t="s">
        <v>338</v>
      </c>
      <c r="D35" s="166" t="s">
        <v>298</v>
      </c>
      <c r="E35" s="9"/>
      <c r="F35" s="165" t="s">
        <v>215</v>
      </c>
      <c r="G35" s="63" t="s">
        <v>2</v>
      </c>
      <c r="H35" s="180"/>
      <c r="I35" s="180">
        <v>6000</v>
      </c>
      <c r="J35" s="180">
        <f t="shared" si="13"/>
        <v>0</v>
      </c>
      <c r="K35" s="180">
        <f>SUMIFS('T-Power-income'!K:K,'T-Power-income'!E:E,임시동력입.출고현황!A35)</f>
        <v>6000</v>
      </c>
      <c r="L35" s="180">
        <f t="shared" si="14"/>
        <v>6000</v>
      </c>
      <c r="M35" s="203">
        <f t="shared" si="15"/>
        <v>0</v>
      </c>
      <c r="N35" s="181">
        <f t="shared" si="17"/>
        <v>6000</v>
      </c>
      <c r="O35" s="180">
        <f>SUMIFS('T-Power-out'!L:L,'T-Power-out'!D:D,임시동력입.출고현황!A35)</f>
        <v>3723</v>
      </c>
      <c r="P35" s="180">
        <f t="shared" si="16"/>
        <v>2277</v>
      </c>
      <c r="Q35" s="56" t="s">
        <v>210</v>
      </c>
      <c r="R35" s="61">
        <v>7</v>
      </c>
      <c r="S35" s="61" t="s">
        <v>322</v>
      </c>
    </row>
    <row r="36" spans="1:19" s="20" customFormat="1" ht="21" customHeight="1">
      <c r="A36" s="29" t="s">
        <v>323</v>
      </c>
      <c r="B36" s="63">
        <v>8</v>
      </c>
      <c r="C36" s="9" t="s">
        <v>338</v>
      </c>
      <c r="D36" s="141" t="s">
        <v>298</v>
      </c>
      <c r="E36" s="10"/>
      <c r="F36" s="317" t="s">
        <v>276</v>
      </c>
      <c r="G36" s="95" t="s">
        <v>2</v>
      </c>
      <c r="H36" s="180"/>
      <c r="I36" s="180">
        <v>500</v>
      </c>
      <c r="J36" s="180">
        <f t="shared" si="13"/>
        <v>0</v>
      </c>
      <c r="K36" s="180">
        <f>SUMIFS('T-Power-income'!K:K,'T-Power-income'!E:E,임시동력입.출고현황!A36)</f>
        <v>500</v>
      </c>
      <c r="L36" s="180">
        <f t="shared" si="14"/>
        <v>500</v>
      </c>
      <c r="M36" s="203">
        <f t="shared" si="15"/>
        <v>0</v>
      </c>
      <c r="N36" s="181">
        <f t="shared" si="17"/>
        <v>500</v>
      </c>
      <c r="O36" s="180">
        <f>SUMIFS('T-Power-out'!L:L,'T-Power-out'!D:D,임시동력입.출고현황!A36)</f>
        <v>500</v>
      </c>
      <c r="P36" s="180">
        <f t="shared" si="16"/>
        <v>0</v>
      </c>
      <c r="Q36" s="41" t="s">
        <v>210</v>
      </c>
      <c r="R36" s="61">
        <v>8</v>
      </c>
      <c r="S36" s="20" t="s">
        <v>323</v>
      </c>
    </row>
    <row r="37" spans="1:19" s="20" customFormat="1" ht="21" customHeight="1">
      <c r="A37" s="29" t="s">
        <v>324</v>
      </c>
      <c r="B37" s="63">
        <v>9</v>
      </c>
      <c r="C37" s="9" t="s">
        <v>338</v>
      </c>
      <c r="D37" s="166" t="s">
        <v>299</v>
      </c>
      <c r="E37" s="9"/>
      <c r="F37" s="165" t="s">
        <v>216</v>
      </c>
      <c r="G37" s="63" t="s">
        <v>2</v>
      </c>
      <c r="H37" s="180"/>
      <c r="I37" s="180">
        <v>78</v>
      </c>
      <c r="J37" s="180">
        <f t="shared" si="13"/>
        <v>0</v>
      </c>
      <c r="K37" s="180">
        <f>SUMIFS('T-Power-income'!K:K,'T-Power-income'!E:E,임시동력입.출고현황!A37)</f>
        <v>78</v>
      </c>
      <c r="L37" s="180">
        <f t="shared" si="14"/>
        <v>78</v>
      </c>
      <c r="M37" s="203">
        <f t="shared" si="15"/>
        <v>0</v>
      </c>
      <c r="N37" s="181">
        <f t="shared" si="17"/>
        <v>78</v>
      </c>
      <c r="O37" s="180">
        <f>SUMIFS('T-Power-out'!L:L,'T-Power-out'!D:D,임시동력입.출고현황!A37)</f>
        <v>78</v>
      </c>
      <c r="P37" s="180">
        <f t="shared" si="16"/>
        <v>0</v>
      </c>
      <c r="Q37" s="56"/>
      <c r="R37" s="61">
        <v>9</v>
      </c>
      <c r="S37" s="20" t="s">
        <v>324</v>
      </c>
    </row>
    <row r="38" spans="1:19" s="20" customFormat="1" ht="21" customHeight="1">
      <c r="A38" s="198" t="s">
        <v>567</v>
      </c>
      <c r="B38" s="63">
        <v>10</v>
      </c>
      <c r="C38" s="9" t="s">
        <v>560</v>
      </c>
      <c r="D38" s="166" t="s">
        <v>299</v>
      </c>
      <c r="E38" s="9"/>
      <c r="F38" s="165" t="s">
        <v>563</v>
      </c>
      <c r="G38" s="63" t="s">
        <v>2</v>
      </c>
      <c r="H38" s="180"/>
      <c r="I38" s="180">
        <v>100</v>
      </c>
      <c r="J38" s="180">
        <f t="shared" si="13"/>
        <v>0</v>
      </c>
      <c r="K38" s="180">
        <f>SUMIFS('T-Power-income'!K:K,'T-Power-income'!E:E,임시동력입.출고현황!A38)</f>
        <v>100</v>
      </c>
      <c r="L38" s="180">
        <f t="shared" si="14"/>
        <v>100</v>
      </c>
      <c r="M38" s="203">
        <f t="shared" si="15"/>
        <v>0</v>
      </c>
      <c r="N38" s="181">
        <f t="shared" si="17"/>
        <v>100</v>
      </c>
      <c r="O38" s="180">
        <f>SUMIFS('T-Power-out'!L:L,'T-Power-out'!D:D,임시동력입.출고현황!A38)</f>
        <v>45</v>
      </c>
      <c r="P38" s="180">
        <f t="shared" si="16"/>
        <v>55</v>
      </c>
      <c r="Q38" s="56"/>
      <c r="R38" s="61">
        <v>10</v>
      </c>
      <c r="S38" s="199" t="s">
        <v>566</v>
      </c>
    </row>
    <row r="39" spans="1:19" s="20" customFormat="1" ht="21" customHeight="1">
      <c r="A39" s="29" t="s">
        <v>325</v>
      </c>
      <c r="B39" s="63">
        <v>11</v>
      </c>
      <c r="C39" s="9" t="s">
        <v>338</v>
      </c>
      <c r="D39" s="166" t="s">
        <v>299</v>
      </c>
      <c r="E39" s="9"/>
      <c r="F39" s="165" t="s">
        <v>217</v>
      </c>
      <c r="G39" s="63" t="s">
        <v>2</v>
      </c>
      <c r="H39" s="180"/>
      <c r="I39" s="180">
        <v>20</v>
      </c>
      <c r="J39" s="180">
        <f t="shared" si="13"/>
        <v>0</v>
      </c>
      <c r="K39" s="180">
        <f>SUMIFS('T-Power-income'!K:K,'T-Power-income'!E:E,임시동력입.출고현황!A39)</f>
        <v>20</v>
      </c>
      <c r="L39" s="180">
        <f t="shared" si="14"/>
        <v>20</v>
      </c>
      <c r="M39" s="203">
        <f t="shared" si="15"/>
        <v>0</v>
      </c>
      <c r="N39" s="181">
        <f t="shared" si="17"/>
        <v>20</v>
      </c>
      <c r="O39" s="180">
        <f>SUMIFS('T-Power-out'!L:L,'T-Power-out'!D:D,임시동력입.출고현황!A39)</f>
        <v>20</v>
      </c>
      <c r="P39" s="180">
        <f t="shared" si="16"/>
        <v>0</v>
      </c>
      <c r="Q39" s="56"/>
      <c r="R39" s="61">
        <v>11</v>
      </c>
      <c r="S39" s="20" t="s">
        <v>325</v>
      </c>
    </row>
    <row r="40" spans="1:19" s="20" customFormat="1" ht="21" customHeight="1">
      <c r="A40" s="29" t="s">
        <v>326</v>
      </c>
      <c r="B40" s="63">
        <v>12</v>
      </c>
      <c r="C40" s="9" t="s">
        <v>338</v>
      </c>
      <c r="D40" s="166" t="s">
        <v>299</v>
      </c>
      <c r="E40" s="9"/>
      <c r="F40" s="165" t="s">
        <v>218</v>
      </c>
      <c r="G40" s="63" t="s">
        <v>2</v>
      </c>
      <c r="H40" s="180"/>
      <c r="I40" s="180">
        <v>244</v>
      </c>
      <c r="J40" s="180">
        <f t="shared" si="13"/>
        <v>0</v>
      </c>
      <c r="K40" s="180">
        <f>SUMIFS('T-Power-income'!K:K,'T-Power-income'!E:E,임시동력입.출고현황!A40)</f>
        <v>244</v>
      </c>
      <c r="L40" s="180">
        <f t="shared" si="14"/>
        <v>244</v>
      </c>
      <c r="M40" s="203">
        <f t="shared" si="15"/>
        <v>0</v>
      </c>
      <c r="N40" s="181">
        <f t="shared" si="17"/>
        <v>244</v>
      </c>
      <c r="O40" s="180">
        <f>SUMIFS('T-Power-out'!L:L,'T-Power-out'!D:D,임시동력입.출고현황!A40)</f>
        <v>244</v>
      </c>
      <c r="P40" s="180">
        <f t="shared" si="16"/>
        <v>0</v>
      </c>
      <c r="Q40" s="56"/>
      <c r="R40" s="61">
        <v>12</v>
      </c>
      <c r="S40" s="20" t="s">
        <v>326</v>
      </c>
    </row>
    <row r="41" spans="1:19" s="20" customFormat="1" ht="21" customHeight="1">
      <c r="A41" s="29" t="s">
        <v>327</v>
      </c>
      <c r="B41" s="63">
        <v>13</v>
      </c>
      <c r="C41" s="9" t="s">
        <v>338</v>
      </c>
      <c r="D41" s="166" t="s">
        <v>299</v>
      </c>
      <c r="E41" s="9"/>
      <c r="F41" s="165" t="s">
        <v>219</v>
      </c>
      <c r="G41" s="63" t="s">
        <v>2</v>
      </c>
      <c r="H41" s="180"/>
      <c r="I41" s="180">
        <f>1062+1000</f>
        <v>2062</v>
      </c>
      <c r="J41" s="180">
        <f t="shared" si="13"/>
        <v>0</v>
      </c>
      <c r="K41" s="180">
        <f>SUMIFS('T-Power-income'!K:K,'T-Power-income'!E:E,임시동력입.출고현황!A41)</f>
        <v>2062</v>
      </c>
      <c r="L41" s="180">
        <f t="shared" si="14"/>
        <v>2062</v>
      </c>
      <c r="M41" s="203">
        <f t="shared" si="15"/>
        <v>0</v>
      </c>
      <c r="N41" s="181">
        <f t="shared" si="17"/>
        <v>2062</v>
      </c>
      <c r="O41" s="180">
        <f>SUMIFS('T-Power-out'!L:L,'T-Power-out'!D:D,임시동력입.출고현황!A41)</f>
        <v>749</v>
      </c>
      <c r="P41" s="180">
        <f t="shared" si="16"/>
        <v>1313</v>
      </c>
      <c r="Q41" s="56"/>
      <c r="R41" s="61">
        <v>13</v>
      </c>
      <c r="S41" s="20" t="s">
        <v>327</v>
      </c>
    </row>
    <row r="42" spans="1:19" s="61" customFormat="1" ht="21" customHeight="1">
      <c r="A42" s="29" t="s">
        <v>328</v>
      </c>
      <c r="B42" s="63">
        <v>14</v>
      </c>
      <c r="C42" s="9" t="s">
        <v>338</v>
      </c>
      <c r="D42" s="166" t="s">
        <v>299</v>
      </c>
      <c r="E42" s="9"/>
      <c r="F42" s="165" t="s">
        <v>220</v>
      </c>
      <c r="G42" s="63" t="s">
        <v>2</v>
      </c>
      <c r="H42" s="180"/>
      <c r="I42" s="180">
        <f>300+2000</f>
        <v>2300</v>
      </c>
      <c r="J42" s="180">
        <f t="shared" si="13"/>
        <v>0</v>
      </c>
      <c r="K42" s="180">
        <f>SUMIFS('T-Power-income'!K:K,'T-Power-income'!E:E,임시동력입.출고현황!A42)</f>
        <v>2300</v>
      </c>
      <c r="L42" s="180">
        <f t="shared" si="14"/>
        <v>2300</v>
      </c>
      <c r="M42" s="203">
        <f t="shared" si="15"/>
        <v>0</v>
      </c>
      <c r="N42" s="181">
        <f t="shared" si="17"/>
        <v>2300</v>
      </c>
      <c r="O42" s="180">
        <f>SUMIFS('T-Power-out'!L:L,'T-Power-out'!D:D,임시동력입.출고현황!A42)</f>
        <v>0</v>
      </c>
      <c r="P42" s="180">
        <f t="shared" si="16"/>
        <v>2300</v>
      </c>
      <c r="Q42" s="56"/>
      <c r="R42" s="61">
        <v>14</v>
      </c>
      <c r="S42" s="61" t="s">
        <v>328</v>
      </c>
    </row>
    <row r="43" spans="1:19" s="20" customFormat="1" ht="21" customHeight="1">
      <c r="A43" s="29" t="s">
        <v>329</v>
      </c>
      <c r="B43" s="63">
        <v>15</v>
      </c>
      <c r="C43" s="9" t="s">
        <v>338</v>
      </c>
      <c r="D43" s="166" t="s">
        <v>299</v>
      </c>
      <c r="E43" s="9"/>
      <c r="F43" s="165" t="s">
        <v>221</v>
      </c>
      <c r="G43" s="63" t="s">
        <v>2</v>
      </c>
      <c r="H43" s="180"/>
      <c r="I43" s="180">
        <f>3500+2000</f>
        <v>5500</v>
      </c>
      <c r="J43" s="180">
        <f t="shared" si="13"/>
        <v>0</v>
      </c>
      <c r="K43" s="180">
        <f>SUMIFS('T-Power-income'!K:K,'T-Power-income'!E:E,임시동력입.출고현황!A43)</f>
        <v>5500</v>
      </c>
      <c r="L43" s="180">
        <f t="shared" si="14"/>
        <v>5500</v>
      </c>
      <c r="M43" s="203">
        <f t="shared" si="15"/>
        <v>0</v>
      </c>
      <c r="N43" s="181">
        <f t="shared" si="17"/>
        <v>5500</v>
      </c>
      <c r="O43" s="180">
        <f>SUMIFS('T-Power-out'!L:L,'T-Power-out'!D:D,임시동력입.출고현황!A43)</f>
        <v>3291</v>
      </c>
      <c r="P43" s="180">
        <f t="shared" si="16"/>
        <v>2209</v>
      </c>
      <c r="Q43" s="56"/>
      <c r="R43" s="61">
        <v>15</v>
      </c>
      <c r="S43" s="20" t="s">
        <v>329</v>
      </c>
    </row>
    <row r="44" spans="1:19" s="20" customFormat="1" ht="21" customHeight="1">
      <c r="A44" s="29" t="s">
        <v>330</v>
      </c>
      <c r="B44" s="63">
        <v>16</v>
      </c>
      <c r="C44" s="9" t="s">
        <v>338</v>
      </c>
      <c r="D44" s="166" t="s">
        <v>299</v>
      </c>
      <c r="E44" s="9"/>
      <c r="F44" s="165" t="s">
        <v>277</v>
      </c>
      <c r="G44" s="63" t="s">
        <v>2</v>
      </c>
      <c r="H44" s="180"/>
      <c r="I44" s="180">
        <f>2000+2000</f>
        <v>4000</v>
      </c>
      <c r="J44" s="180">
        <f t="shared" si="13"/>
        <v>0</v>
      </c>
      <c r="K44" s="180">
        <f>SUMIFS('T-Power-income'!K:K,'T-Power-income'!E:E,임시동력입.출고현황!A44)</f>
        <v>4000</v>
      </c>
      <c r="L44" s="180">
        <f t="shared" si="14"/>
        <v>4000</v>
      </c>
      <c r="M44" s="203">
        <f t="shared" si="15"/>
        <v>0</v>
      </c>
      <c r="N44" s="181">
        <f t="shared" si="17"/>
        <v>4000</v>
      </c>
      <c r="O44" s="180">
        <f>SUMIFS('T-Power-out'!L:L,'T-Power-out'!D:D,임시동력입.출고현황!A44)</f>
        <v>1513</v>
      </c>
      <c r="P44" s="180">
        <f t="shared" si="16"/>
        <v>2487</v>
      </c>
      <c r="Q44" s="56"/>
      <c r="R44" s="61">
        <v>16</v>
      </c>
      <c r="S44" s="20" t="s">
        <v>330</v>
      </c>
    </row>
    <row r="45" spans="1:19" s="264" customFormat="1" ht="21" customHeight="1">
      <c r="A45" s="263" t="s">
        <v>331</v>
      </c>
      <c r="B45" s="63">
        <v>17</v>
      </c>
      <c r="C45" s="9" t="s">
        <v>338</v>
      </c>
      <c r="D45" s="166" t="s">
        <v>299</v>
      </c>
      <c r="E45" s="9"/>
      <c r="F45" s="165" t="s">
        <v>222</v>
      </c>
      <c r="G45" s="63" t="s">
        <v>2</v>
      </c>
      <c r="H45" s="180"/>
      <c r="I45" s="180">
        <f>3500+1000</f>
        <v>4500</v>
      </c>
      <c r="J45" s="180">
        <f t="shared" si="13"/>
        <v>0</v>
      </c>
      <c r="K45" s="180">
        <f>SUMIFS('T-Power-income'!K:K,'T-Power-income'!E:E,임시동력입.출고현황!A45)</f>
        <v>4500</v>
      </c>
      <c r="L45" s="180">
        <f t="shared" si="14"/>
        <v>4500</v>
      </c>
      <c r="M45" s="203">
        <f t="shared" si="15"/>
        <v>0</v>
      </c>
      <c r="N45" s="181">
        <f t="shared" si="17"/>
        <v>4500</v>
      </c>
      <c r="O45" s="180">
        <f>SUMIFS('T-Power-out'!L:L,'T-Power-out'!D:D,임시동력입.출고현황!A45)</f>
        <v>4450</v>
      </c>
      <c r="P45" s="180">
        <f t="shared" si="16"/>
        <v>50</v>
      </c>
      <c r="Q45" s="56"/>
      <c r="R45" s="61">
        <v>17</v>
      </c>
      <c r="S45" s="264" t="s">
        <v>331</v>
      </c>
    </row>
    <row r="46" spans="1:19" s="264" customFormat="1" ht="21" customHeight="1">
      <c r="A46" s="267" t="s">
        <v>568</v>
      </c>
      <c r="B46" s="63">
        <v>18</v>
      </c>
      <c r="C46" s="9" t="s">
        <v>560</v>
      </c>
      <c r="D46" s="166" t="s">
        <v>299</v>
      </c>
      <c r="E46" s="9"/>
      <c r="F46" s="165" t="s">
        <v>564</v>
      </c>
      <c r="G46" s="63" t="s">
        <v>2</v>
      </c>
      <c r="H46" s="180"/>
      <c r="I46" s="180">
        <v>1000</v>
      </c>
      <c r="J46" s="180">
        <f t="shared" si="13"/>
        <v>0</v>
      </c>
      <c r="K46" s="180">
        <f>SUMIFS('T-Power-income'!K:K,'T-Power-income'!E:E,임시동력입.출고현황!A46)</f>
        <v>1000</v>
      </c>
      <c r="L46" s="180">
        <f t="shared" si="14"/>
        <v>1000</v>
      </c>
      <c r="M46" s="203">
        <f t="shared" si="15"/>
        <v>0</v>
      </c>
      <c r="N46" s="181">
        <f t="shared" si="17"/>
        <v>1000</v>
      </c>
      <c r="O46" s="180">
        <f>SUMIFS('T-Power-out'!L:L,'T-Power-out'!D:D,임시동력입.출고현황!A46)</f>
        <v>687</v>
      </c>
      <c r="P46" s="180">
        <f t="shared" si="16"/>
        <v>313</v>
      </c>
      <c r="Q46" s="56"/>
      <c r="R46" s="61">
        <v>18</v>
      </c>
      <c r="S46" s="268" t="s">
        <v>568</v>
      </c>
    </row>
    <row r="47" spans="1:19" s="61" customFormat="1" ht="21" customHeight="1">
      <c r="A47" s="29" t="s">
        <v>332</v>
      </c>
      <c r="B47" s="63">
        <v>19</v>
      </c>
      <c r="C47" s="9" t="s">
        <v>338</v>
      </c>
      <c r="D47" s="166" t="s">
        <v>299</v>
      </c>
      <c r="E47" s="9"/>
      <c r="F47" s="165" t="s">
        <v>223</v>
      </c>
      <c r="G47" s="63" t="s">
        <v>2</v>
      </c>
      <c r="H47" s="180"/>
      <c r="I47" s="180">
        <f>2623+1000</f>
        <v>3623</v>
      </c>
      <c r="J47" s="180">
        <f t="shared" si="13"/>
        <v>0</v>
      </c>
      <c r="K47" s="180">
        <f>SUMIFS('T-Power-income'!K:K,'T-Power-income'!E:E,임시동력입.출고현황!A47)</f>
        <v>3623</v>
      </c>
      <c r="L47" s="180">
        <f t="shared" si="14"/>
        <v>3623</v>
      </c>
      <c r="M47" s="203">
        <f t="shared" si="15"/>
        <v>0</v>
      </c>
      <c r="N47" s="181">
        <f t="shared" si="17"/>
        <v>3623</v>
      </c>
      <c r="O47" s="180">
        <f>SUMIFS('T-Power-out'!L:L,'T-Power-out'!D:D,임시동력입.출고현황!A47)</f>
        <v>1436</v>
      </c>
      <c r="P47" s="180">
        <f t="shared" si="16"/>
        <v>2187</v>
      </c>
      <c r="Q47" s="56"/>
      <c r="R47" s="61">
        <v>19</v>
      </c>
      <c r="S47" s="61" t="s">
        <v>332</v>
      </c>
    </row>
    <row r="48" spans="1:19" ht="21" customHeight="1">
      <c r="A48" s="29" t="s">
        <v>333</v>
      </c>
      <c r="B48" s="63">
        <v>20</v>
      </c>
      <c r="C48" s="9" t="s">
        <v>338</v>
      </c>
      <c r="D48" s="166" t="s">
        <v>299</v>
      </c>
      <c r="E48" s="9"/>
      <c r="F48" s="165" t="s">
        <v>224</v>
      </c>
      <c r="G48" s="63" t="s">
        <v>2</v>
      </c>
      <c r="H48" s="180"/>
      <c r="I48" s="180">
        <f>4500+1500</f>
        <v>6000</v>
      </c>
      <c r="J48" s="180">
        <f t="shared" si="13"/>
        <v>0</v>
      </c>
      <c r="K48" s="180">
        <f>SUMIFS('T-Power-income'!K:K,'T-Power-income'!E:E,임시동력입.출고현황!A48)</f>
        <v>6000</v>
      </c>
      <c r="L48" s="180">
        <f t="shared" si="14"/>
        <v>6000</v>
      </c>
      <c r="M48" s="203">
        <f t="shared" si="15"/>
        <v>0</v>
      </c>
      <c r="N48" s="181">
        <f t="shared" si="17"/>
        <v>6000</v>
      </c>
      <c r="O48" s="180">
        <f>SUMIFS('T-Power-out'!L:L,'T-Power-out'!D:D,임시동력입.출고현황!A48)</f>
        <v>2762</v>
      </c>
      <c r="P48" s="180">
        <f t="shared" si="16"/>
        <v>3238</v>
      </c>
      <c r="Q48" s="56"/>
      <c r="R48" s="61">
        <v>20</v>
      </c>
      <c r="S48" s="59" t="s">
        <v>333</v>
      </c>
    </row>
    <row r="49" spans="1:19" ht="21" customHeight="1">
      <c r="A49" s="29" t="s">
        <v>334</v>
      </c>
      <c r="B49" s="63">
        <v>21</v>
      </c>
      <c r="C49" s="9" t="s">
        <v>338</v>
      </c>
      <c r="D49" s="166" t="s">
        <v>299</v>
      </c>
      <c r="E49" s="9"/>
      <c r="F49" s="165" t="s">
        <v>225</v>
      </c>
      <c r="G49" s="63" t="s">
        <v>2</v>
      </c>
      <c r="H49" s="180"/>
      <c r="I49" s="180">
        <f>5000+2000</f>
        <v>7000</v>
      </c>
      <c r="J49" s="180">
        <f t="shared" si="13"/>
        <v>0</v>
      </c>
      <c r="K49" s="180">
        <f>SUMIFS('T-Power-income'!K:K,'T-Power-income'!E:E,임시동력입.출고현황!A49)</f>
        <v>7000</v>
      </c>
      <c r="L49" s="180">
        <f t="shared" si="14"/>
        <v>7000</v>
      </c>
      <c r="M49" s="203">
        <f t="shared" si="15"/>
        <v>0</v>
      </c>
      <c r="N49" s="181">
        <f t="shared" si="17"/>
        <v>7000</v>
      </c>
      <c r="O49" s="180">
        <f>SUMIFS('T-Power-out'!L:L,'T-Power-out'!D:D,임시동력입.출고현황!A49)</f>
        <v>4465</v>
      </c>
      <c r="P49" s="180">
        <f t="shared" si="16"/>
        <v>2535</v>
      </c>
      <c r="Q49" s="56"/>
      <c r="R49" s="61">
        <v>21</v>
      </c>
      <c r="S49" s="59" t="s">
        <v>334</v>
      </c>
    </row>
    <row r="50" spans="1:19" ht="21" customHeight="1">
      <c r="A50" s="29" t="s">
        <v>411</v>
      </c>
      <c r="B50" s="63">
        <v>22</v>
      </c>
      <c r="C50" s="9" t="s">
        <v>338</v>
      </c>
      <c r="D50" s="166" t="s">
        <v>299</v>
      </c>
      <c r="E50" s="9"/>
      <c r="F50" s="165" t="s">
        <v>412</v>
      </c>
      <c r="G50" s="63" t="s">
        <v>2</v>
      </c>
      <c r="H50" s="180"/>
      <c r="I50" s="180">
        <f>5000+2000</f>
        <v>7000</v>
      </c>
      <c r="J50" s="180">
        <f t="shared" si="13"/>
        <v>0</v>
      </c>
      <c r="K50" s="180">
        <f>SUMIFS('T-Power-income'!K:K,'T-Power-income'!E:E,임시동력입.출고현황!A50)</f>
        <v>7000</v>
      </c>
      <c r="L50" s="180">
        <f t="shared" si="14"/>
        <v>7000</v>
      </c>
      <c r="M50" s="203">
        <f t="shared" si="15"/>
        <v>0</v>
      </c>
      <c r="N50" s="181">
        <f t="shared" si="17"/>
        <v>7000</v>
      </c>
      <c r="O50" s="180">
        <f>SUMIFS('T-Power-out'!L:L,'T-Power-out'!D:D,임시동력입.출고현황!A50)</f>
        <v>6574</v>
      </c>
      <c r="P50" s="180">
        <f t="shared" si="16"/>
        <v>426</v>
      </c>
      <c r="Q50" s="56"/>
      <c r="R50" s="61">
        <v>22</v>
      </c>
      <c r="S50" s="59" t="s">
        <v>411</v>
      </c>
    </row>
    <row r="51" spans="1:19" ht="21" customHeight="1">
      <c r="A51" s="29" t="s">
        <v>335</v>
      </c>
      <c r="B51" s="63">
        <v>23</v>
      </c>
      <c r="C51" s="9" t="s">
        <v>338</v>
      </c>
      <c r="D51" s="166" t="s">
        <v>299</v>
      </c>
      <c r="E51" s="9"/>
      <c r="F51" s="165" t="s">
        <v>226</v>
      </c>
      <c r="G51" s="63" t="s">
        <v>2</v>
      </c>
      <c r="H51" s="180"/>
      <c r="I51" s="180">
        <f>14000+4000</f>
        <v>18000</v>
      </c>
      <c r="J51" s="180">
        <f t="shared" si="13"/>
        <v>0</v>
      </c>
      <c r="K51" s="180">
        <f>SUMIFS('T-Power-income'!K:K,'T-Power-income'!E:E,임시동력입.출고현황!A51)</f>
        <v>18000</v>
      </c>
      <c r="L51" s="180">
        <f t="shared" si="14"/>
        <v>18000</v>
      </c>
      <c r="M51" s="203">
        <f t="shared" si="15"/>
        <v>0</v>
      </c>
      <c r="N51" s="181">
        <f t="shared" si="17"/>
        <v>18000</v>
      </c>
      <c r="O51" s="180">
        <f>SUMIFS('T-Power-out'!L:L,'T-Power-out'!D:D,임시동력입.출고현황!A51)</f>
        <v>18000</v>
      </c>
      <c r="P51" s="180">
        <f t="shared" si="16"/>
        <v>0</v>
      </c>
      <c r="Q51" s="56"/>
      <c r="R51" s="61">
        <v>23</v>
      </c>
      <c r="S51" s="59" t="s">
        <v>335</v>
      </c>
    </row>
    <row r="52" spans="1:19" ht="21" customHeight="1">
      <c r="A52" s="29" t="s">
        <v>336</v>
      </c>
      <c r="B52" s="63">
        <v>24</v>
      </c>
      <c r="C52" s="9" t="s">
        <v>338</v>
      </c>
      <c r="D52" s="166" t="s">
        <v>299</v>
      </c>
      <c r="E52" s="9"/>
      <c r="F52" s="165" t="s">
        <v>227</v>
      </c>
      <c r="G52" s="63" t="s">
        <v>2</v>
      </c>
      <c r="H52" s="180"/>
      <c r="I52" s="180">
        <v>6000</v>
      </c>
      <c r="J52" s="180">
        <f t="shared" si="13"/>
        <v>0</v>
      </c>
      <c r="K52" s="180">
        <f>SUMIFS('T-Power-income'!K:K,'T-Power-income'!E:E,임시동력입.출고현황!A52)</f>
        <v>6000</v>
      </c>
      <c r="L52" s="180">
        <f t="shared" si="14"/>
        <v>6000</v>
      </c>
      <c r="M52" s="203">
        <f t="shared" si="15"/>
        <v>0</v>
      </c>
      <c r="N52" s="181">
        <f t="shared" si="17"/>
        <v>6000</v>
      </c>
      <c r="O52" s="180">
        <f>SUMIFS('T-Power-out'!L:L,'T-Power-out'!D:D,임시동력입.출고현황!A52)</f>
        <v>6000</v>
      </c>
      <c r="P52" s="180">
        <f t="shared" si="16"/>
        <v>0</v>
      </c>
      <c r="Q52" s="56"/>
      <c r="R52" s="61">
        <v>24</v>
      </c>
      <c r="S52" s="59" t="s">
        <v>336</v>
      </c>
    </row>
    <row r="53" spans="1:19" ht="21" customHeight="1">
      <c r="A53" s="29" t="s">
        <v>337</v>
      </c>
      <c r="B53" s="63">
        <v>25</v>
      </c>
      <c r="C53" s="9" t="s">
        <v>338</v>
      </c>
      <c r="D53" s="166" t="s">
        <v>299</v>
      </c>
      <c r="E53" s="9"/>
      <c r="F53" s="165" t="s">
        <v>228</v>
      </c>
      <c r="G53" s="63" t="s">
        <v>2</v>
      </c>
      <c r="H53" s="180"/>
      <c r="I53" s="180">
        <v>163</v>
      </c>
      <c r="J53" s="180">
        <f t="shared" si="13"/>
        <v>0</v>
      </c>
      <c r="K53" s="180">
        <f>SUMIFS('T-Power-income'!K:K,'T-Power-income'!E:E,임시동력입.출고현황!A53)</f>
        <v>163</v>
      </c>
      <c r="L53" s="180">
        <f t="shared" si="14"/>
        <v>163</v>
      </c>
      <c r="M53" s="203">
        <f t="shared" si="15"/>
        <v>0</v>
      </c>
      <c r="N53" s="181">
        <f t="shared" si="17"/>
        <v>163</v>
      </c>
      <c r="O53" s="180">
        <f>SUMIFS('T-Power-out'!L:L,'T-Power-out'!D:D,임시동력입.출고현황!A53)</f>
        <v>45</v>
      </c>
      <c r="P53" s="180">
        <f t="shared" si="16"/>
        <v>118</v>
      </c>
      <c r="Q53" s="56"/>
      <c r="R53" s="61">
        <v>25</v>
      </c>
      <c r="S53" s="59" t="s">
        <v>337</v>
      </c>
    </row>
    <row r="54" spans="1:19" ht="21" customHeight="1">
      <c r="A54" s="29" t="s">
        <v>342</v>
      </c>
      <c r="B54" s="63">
        <v>26</v>
      </c>
      <c r="C54" s="9" t="s">
        <v>338</v>
      </c>
      <c r="D54" s="166" t="s">
        <v>286</v>
      </c>
      <c r="E54" s="9"/>
      <c r="F54" s="165" t="s">
        <v>229</v>
      </c>
      <c r="G54" s="63" t="s">
        <v>2</v>
      </c>
      <c r="H54" s="180"/>
      <c r="I54" s="180">
        <v>800</v>
      </c>
      <c r="J54" s="180">
        <f t="shared" si="13"/>
        <v>0</v>
      </c>
      <c r="K54" s="180">
        <f>SUMIFS('T-Power-income'!K:K,'T-Power-income'!E:E,임시동력입.출고현황!A54)</f>
        <v>800</v>
      </c>
      <c r="L54" s="180">
        <f t="shared" si="14"/>
        <v>800</v>
      </c>
      <c r="M54" s="203">
        <f t="shared" si="15"/>
        <v>0</v>
      </c>
      <c r="N54" s="181">
        <f t="shared" si="17"/>
        <v>800</v>
      </c>
      <c r="O54" s="180">
        <f>SUMIFS('T-Power-out'!L:L,'T-Power-out'!D:D,임시동력입.출고현황!A54)</f>
        <v>344</v>
      </c>
      <c r="P54" s="180">
        <f t="shared" si="16"/>
        <v>456</v>
      </c>
      <c r="Q54" s="56"/>
      <c r="R54" s="61">
        <v>26</v>
      </c>
      <c r="S54" s="59" t="s">
        <v>342</v>
      </c>
    </row>
    <row r="55" spans="1:19" ht="21" customHeight="1">
      <c r="A55" s="29" t="s">
        <v>343</v>
      </c>
      <c r="B55" s="63">
        <v>27</v>
      </c>
      <c r="C55" s="9" t="s">
        <v>338</v>
      </c>
      <c r="D55" s="166" t="s">
        <v>286</v>
      </c>
      <c r="E55" s="9"/>
      <c r="F55" s="165" t="s">
        <v>278</v>
      </c>
      <c r="G55" s="63" t="s">
        <v>2</v>
      </c>
      <c r="H55" s="180"/>
      <c r="I55" s="180">
        <v>500</v>
      </c>
      <c r="J55" s="180">
        <f t="shared" si="13"/>
        <v>0</v>
      </c>
      <c r="K55" s="180">
        <f>SUMIFS('T-Power-income'!K:K,'T-Power-income'!E:E,임시동력입.출고현황!A55)</f>
        <v>500</v>
      </c>
      <c r="L55" s="180">
        <f t="shared" si="14"/>
        <v>500</v>
      </c>
      <c r="M55" s="203">
        <f t="shared" si="15"/>
        <v>0</v>
      </c>
      <c r="N55" s="181">
        <f t="shared" si="17"/>
        <v>500</v>
      </c>
      <c r="O55" s="180">
        <f>SUMIFS('T-Power-out'!L:L,'T-Power-out'!D:D,임시동력입.출고현황!A55)</f>
        <v>128</v>
      </c>
      <c r="P55" s="180">
        <f t="shared" si="16"/>
        <v>372</v>
      </c>
      <c r="Q55" s="56"/>
      <c r="R55" s="61">
        <v>27</v>
      </c>
      <c r="S55" s="59" t="s">
        <v>343</v>
      </c>
    </row>
    <row r="56" spans="1:19" ht="21" customHeight="1">
      <c r="A56" s="29" t="s">
        <v>344</v>
      </c>
      <c r="B56" s="63">
        <v>28</v>
      </c>
      <c r="C56" s="9" t="s">
        <v>338</v>
      </c>
      <c r="D56" s="166" t="s">
        <v>286</v>
      </c>
      <c r="E56" s="9"/>
      <c r="F56" s="165" t="s">
        <v>279</v>
      </c>
      <c r="G56" s="63" t="s">
        <v>2</v>
      </c>
      <c r="H56" s="180"/>
      <c r="I56" s="180">
        <v>500</v>
      </c>
      <c r="J56" s="180">
        <f t="shared" si="13"/>
        <v>0</v>
      </c>
      <c r="K56" s="180">
        <f>SUMIFS('T-Power-income'!K:K,'T-Power-income'!E:E,임시동력입.출고현황!A56)</f>
        <v>500</v>
      </c>
      <c r="L56" s="180">
        <f t="shared" si="14"/>
        <v>500</v>
      </c>
      <c r="M56" s="203">
        <f t="shared" si="15"/>
        <v>0</v>
      </c>
      <c r="N56" s="181">
        <f t="shared" si="17"/>
        <v>500</v>
      </c>
      <c r="O56" s="180">
        <f>SUMIFS('T-Power-out'!L:L,'T-Power-out'!D:D,임시동력입.출고현황!A56)</f>
        <v>210</v>
      </c>
      <c r="P56" s="180">
        <f t="shared" si="16"/>
        <v>290</v>
      </c>
      <c r="Q56" s="56"/>
      <c r="R56" s="61">
        <v>28</v>
      </c>
      <c r="S56" s="59" t="s">
        <v>344</v>
      </c>
    </row>
    <row r="57" spans="1:19" ht="21" customHeight="1">
      <c r="A57" s="29" t="s">
        <v>345</v>
      </c>
      <c r="B57" s="63">
        <v>29</v>
      </c>
      <c r="C57" s="9" t="s">
        <v>338</v>
      </c>
      <c r="D57" s="166" t="s">
        <v>286</v>
      </c>
      <c r="E57" s="9"/>
      <c r="F57" s="165" t="s">
        <v>230</v>
      </c>
      <c r="G57" s="63" t="s">
        <v>2</v>
      </c>
      <c r="H57" s="180"/>
      <c r="I57" s="180">
        <v>3000</v>
      </c>
      <c r="J57" s="180">
        <f t="shared" si="13"/>
        <v>0</v>
      </c>
      <c r="K57" s="180">
        <f>SUMIFS('T-Power-income'!K:K,'T-Power-income'!E:E,임시동력입.출고현황!A57)</f>
        <v>3000</v>
      </c>
      <c r="L57" s="180">
        <f t="shared" si="14"/>
        <v>3000</v>
      </c>
      <c r="M57" s="203">
        <f t="shared" si="15"/>
        <v>0</v>
      </c>
      <c r="N57" s="181">
        <f t="shared" si="17"/>
        <v>3000</v>
      </c>
      <c r="O57" s="180">
        <f>SUMIFS('T-Power-out'!L:L,'T-Power-out'!D:D,임시동력입.출고현황!A57)</f>
        <v>1082</v>
      </c>
      <c r="P57" s="180">
        <f t="shared" si="16"/>
        <v>1918</v>
      </c>
      <c r="Q57" s="56"/>
      <c r="R57" s="61">
        <v>29</v>
      </c>
      <c r="S57" s="59" t="s">
        <v>345</v>
      </c>
    </row>
    <row r="58" spans="1:19" s="265" customFormat="1" ht="21" customHeight="1">
      <c r="A58" s="263" t="s">
        <v>346</v>
      </c>
      <c r="B58" s="63">
        <v>30</v>
      </c>
      <c r="C58" s="9" t="s">
        <v>338</v>
      </c>
      <c r="D58" s="166" t="s">
        <v>286</v>
      </c>
      <c r="E58" s="9"/>
      <c r="F58" s="165" t="s">
        <v>231</v>
      </c>
      <c r="G58" s="63" t="s">
        <v>2</v>
      </c>
      <c r="H58" s="180"/>
      <c r="I58" s="180">
        <v>1200</v>
      </c>
      <c r="J58" s="180">
        <f t="shared" si="13"/>
        <v>0</v>
      </c>
      <c r="K58" s="180">
        <f>SUMIFS('T-Power-income'!K:K,'T-Power-income'!E:E,임시동력입.출고현황!A58)</f>
        <v>1200</v>
      </c>
      <c r="L58" s="180">
        <f t="shared" si="14"/>
        <v>1200</v>
      </c>
      <c r="M58" s="203">
        <f t="shared" si="15"/>
        <v>0</v>
      </c>
      <c r="N58" s="181">
        <f t="shared" si="17"/>
        <v>1200</v>
      </c>
      <c r="O58" s="180">
        <f>SUMIFS('T-Power-out'!L:L,'T-Power-out'!D:D,임시동력입.출고현황!A58)</f>
        <v>670</v>
      </c>
      <c r="P58" s="180">
        <f t="shared" si="16"/>
        <v>530</v>
      </c>
      <c r="Q58" s="56"/>
      <c r="R58" s="61">
        <v>30</v>
      </c>
      <c r="S58" s="265" t="s">
        <v>346</v>
      </c>
    </row>
    <row r="59" spans="1:19" s="178" customFormat="1" ht="21" customHeight="1">
      <c r="A59" s="31"/>
      <c r="B59" s="167"/>
      <c r="C59" s="175" t="s">
        <v>437</v>
      </c>
      <c r="D59" s="176"/>
      <c r="E59" s="175"/>
      <c r="F59" s="170"/>
      <c r="G59" s="167"/>
      <c r="H59" s="171"/>
      <c r="I59" s="171">
        <f>SUM(I29:I58)</f>
        <v>93490</v>
      </c>
      <c r="J59" s="171">
        <f t="shared" ref="J59:M59" si="18">SUM(J29:J58)</f>
        <v>0</v>
      </c>
      <c r="K59" s="171">
        <f t="shared" si="18"/>
        <v>93490</v>
      </c>
      <c r="L59" s="171">
        <f t="shared" si="18"/>
        <v>93490</v>
      </c>
      <c r="M59" s="172">
        <f t="shared" si="18"/>
        <v>0</v>
      </c>
      <c r="N59" s="173">
        <f>SUM(N29:N58)</f>
        <v>93490</v>
      </c>
      <c r="O59" s="173">
        <f>SUM(O29:O58)</f>
        <v>60353</v>
      </c>
      <c r="P59" s="171">
        <f>N59-O59</f>
        <v>33137</v>
      </c>
      <c r="Q59" s="177"/>
      <c r="R59" s="61"/>
    </row>
    <row r="60" spans="1:19" s="8" customFormat="1" ht="21" customHeight="1">
      <c r="A60" s="29" t="s">
        <v>341</v>
      </c>
      <c r="B60" s="63">
        <v>1</v>
      </c>
      <c r="C60" s="9" t="s">
        <v>339</v>
      </c>
      <c r="D60" s="166" t="s">
        <v>340</v>
      </c>
      <c r="E60" s="9"/>
      <c r="F60" s="165" t="s">
        <v>232</v>
      </c>
      <c r="G60" s="63" t="s">
        <v>150</v>
      </c>
      <c r="H60" s="180"/>
      <c r="I60" s="180">
        <f>500+200+300</f>
        <v>1000</v>
      </c>
      <c r="J60" s="180">
        <f t="shared" si="13"/>
        <v>0</v>
      </c>
      <c r="K60" s="180">
        <f>SUMIFS('T-Power-income'!K:K,'T-Power-income'!E:E,임시동력입.출고현황!A60)</f>
        <v>1000</v>
      </c>
      <c r="L60" s="180">
        <f>K60</f>
        <v>1000</v>
      </c>
      <c r="M60" s="203">
        <f>K60-L60</f>
        <v>0</v>
      </c>
      <c r="N60" s="181">
        <f t="shared" ref="N60:N63" si="19">L60</f>
        <v>1000</v>
      </c>
      <c r="O60" s="180">
        <f>SUMIFS('T-Power-out'!L:L,'T-Power-out'!D:D,임시동력입.출고현황!A60)</f>
        <v>960</v>
      </c>
      <c r="P60" s="180">
        <f t="shared" si="16"/>
        <v>40</v>
      </c>
      <c r="Q60" s="56" t="s">
        <v>548</v>
      </c>
      <c r="R60" s="61"/>
      <c r="S60" s="8" t="s">
        <v>341</v>
      </c>
    </row>
    <row r="61" spans="1:19" s="252" customFormat="1" ht="21" customHeight="1">
      <c r="A61" s="263" t="s">
        <v>347</v>
      </c>
      <c r="B61" s="63">
        <v>2</v>
      </c>
      <c r="C61" s="9" t="s">
        <v>339</v>
      </c>
      <c r="D61" s="166" t="s">
        <v>340</v>
      </c>
      <c r="E61" s="9"/>
      <c r="F61" s="165" t="s">
        <v>233</v>
      </c>
      <c r="G61" s="63" t="s">
        <v>150</v>
      </c>
      <c r="H61" s="180"/>
      <c r="I61" s="180">
        <f>350+100+300</f>
        <v>750</v>
      </c>
      <c r="J61" s="180">
        <f t="shared" si="13"/>
        <v>0</v>
      </c>
      <c r="K61" s="180">
        <f>SUMIFS('T-Power-income'!K:K,'T-Power-income'!E:E,임시동력입.출고현황!A61)</f>
        <v>750</v>
      </c>
      <c r="L61" s="180">
        <f>K61</f>
        <v>750</v>
      </c>
      <c r="M61" s="203">
        <f>K61-L61</f>
        <v>0</v>
      </c>
      <c r="N61" s="181">
        <f t="shared" si="19"/>
        <v>750</v>
      </c>
      <c r="O61" s="180">
        <f>SUMIFS('T-Power-out'!L:L,'T-Power-out'!D:D,임시동력입.출고현황!A61)</f>
        <v>649</v>
      </c>
      <c r="P61" s="180">
        <f t="shared" ref="P61:P88" si="20">N61-O61</f>
        <v>101</v>
      </c>
      <c r="Q61" s="56" t="s">
        <v>549</v>
      </c>
      <c r="R61" s="264"/>
      <c r="S61" s="252" t="s">
        <v>347</v>
      </c>
    </row>
    <row r="62" spans="1:19" s="252" customFormat="1" ht="21" customHeight="1">
      <c r="A62" s="263" t="s">
        <v>348</v>
      </c>
      <c r="B62" s="63">
        <v>3</v>
      </c>
      <c r="C62" s="9" t="s">
        <v>339</v>
      </c>
      <c r="D62" s="166" t="s">
        <v>340</v>
      </c>
      <c r="E62" s="9"/>
      <c r="F62" s="165" t="s">
        <v>234</v>
      </c>
      <c r="G62" s="63" t="s">
        <v>150</v>
      </c>
      <c r="H62" s="180"/>
      <c r="I62" s="180">
        <f>200+200</f>
        <v>400</v>
      </c>
      <c r="J62" s="180">
        <f t="shared" si="13"/>
        <v>0</v>
      </c>
      <c r="K62" s="180">
        <f>SUMIFS('T-Power-income'!K:K,'T-Power-income'!E:E,임시동력입.출고현황!A62)</f>
        <v>400</v>
      </c>
      <c r="L62" s="180">
        <f>K62</f>
        <v>400</v>
      </c>
      <c r="M62" s="203">
        <f>K62-L62</f>
        <v>0</v>
      </c>
      <c r="N62" s="181">
        <f t="shared" si="19"/>
        <v>400</v>
      </c>
      <c r="O62" s="180">
        <f>SUMIFS('T-Power-out'!L:L,'T-Power-out'!D:D,임시동력입.출고현황!A62)</f>
        <v>400</v>
      </c>
      <c r="P62" s="180">
        <f t="shared" si="20"/>
        <v>0</v>
      </c>
      <c r="Q62" s="56"/>
      <c r="R62" s="264"/>
      <c r="S62" s="252" t="s">
        <v>348</v>
      </c>
    </row>
    <row r="63" spans="1:19" s="252" customFormat="1" ht="21" customHeight="1">
      <c r="A63" s="263" t="s">
        <v>349</v>
      </c>
      <c r="B63" s="63">
        <v>4</v>
      </c>
      <c r="C63" s="9" t="s">
        <v>339</v>
      </c>
      <c r="D63" s="166" t="s">
        <v>340</v>
      </c>
      <c r="E63" s="9"/>
      <c r="F63" s="165" t="s">
        <v>235</v>
      </c>
      <c r="G63" s="63" t="s">
        <v>150</v>
      </c>
      <c r="H63" s="180"/>
      <c r="I63" s="180">
        <f>100+300</f>
        <v>400</v>
      </c>
      <c r="J63" s="180">
        <f t="shared" si="13"/>
        <v>0</v>
      </c>
      <c r="K63" s="180">
        <f>SUMIFS('T-Power-income'!K:K,'T-Power-income'!E:E,임시동력입.출고현황!A63)</f>
        <v>400</v>
      </c>
      <c r="L63" s="180">
        <f>K63</f>
        <v>400</v>
      </c>
      <c r="M63" s="203">
        <f>K63-L63</f>
        <v>0</v>
      </c>
      <c r="N63" s="181">
        <f t="shared" si="19"/>
        <v>400</v>
      </c>
      <c r="O63" s="180">
        <f>SUMIFS('T-Power-out'!L:L,'T-Power-out'!D:D,임시동력입.출고현황!A63)</f>
        <v>195</v>
      </c>
      <c r="P63" s="180">
        <f t="shared" si="20"/>
        <v>205</v>
      </c>
      <c r="Q63" s="56"/>
      <c r="R63" s="264"/>
      <c r="S63" s="252" t="s">
        <v>349</v>
      </c>
    </row>
    <row r="64" spans="1:19" s="179" customFormat="1" ht="21" customHeight="1">
      <c r="A64" s="31"/>
      <c r="B64" s="167"/>
      <c r="C64" s="175" t="s">
        <v>436</v>
      </c>
      <c r="D64" s="176"/>
      <c r="E64" s="175"/>
      <c r="F64" s="170"/>
      <c r="G64" s="167"/>
      <c r="H64" s="171"/>
      <c r="I64" s="171">
        <f t="shared" ref="I64:O64" si="21">SUM(I60:I63)</f>
        <v>2550</v>
      </c>
      <c r="J64" s="171">
        <f t="shared" si="21"/>
        <v>0</v>
      </c>
      <c r="K64" s="171">
        <f t="shared" si="21"/>
        <v>2550</v>
      </c>
      <c r="L64" s="171">
        <f t="shared" si="21"/>
        <v>2550</v>
      </c>
      <c r="M64" s="172">
        <f t="shared" si="21"/>
        <v>0</v>
      </c>
      <c r="N64" s="173">
        <f t="shared" si="21"/>
        <v>2550</v>
      </c>
      <c r="O64" s="173">
        <f t="shared" si="21"/>
        <v>2204</v>
      </c>
      <c r="P64" s="171">
        <f t="shared" si="20"/>
        <v>346</v>
      </c>
      <c r="Q64" s="177"/>
      <c r="R64" s="174"/>
    </row>
    <row r="65" spans="1:20" s="8" customFormat="1" ht="21" customHeight="1">
      <c r="A65" s="29" t="s">
        <v>475</v>
      </c>
      <c r="B65" s="63">
        <v>1</v>
      </c>
      <c r="C65" s="9" t="s">
        <v>488</v>
      </c>
      <c r="D65" s="166" t="s">
        <v>502</v>
      </c>
      <c r="E65" s="9"/>
      <c r="F65" s="165" t="s">
        <v>501</v>
      </c>
      <c r="G65" s="63" t="s">
        <v>522</v>
      </c>
      <c r="H65" s="180"/>
      <c r="I65" s="180">
        <v>50</v>
      </c>
      <c r="J65" s="180">
        <f t="shared" ref="J65:J77" si="22">I65-K65</f>
        <v>0</v>
      </c>
      <c r="K65" s="180">
        <f>SUMIFS('T-Power-income'!K:K,'T-Power-income'!E:E,임시동력입.출고현황!A65)</f>
        <v>50</v>
      </c>
      <c r="L65" s="180">
        <f t="shared" ref="L65:L77" si="23">K65</f>
        <v>50</v>
      </c>
      <c r="M65" s="203">
        <f t="shared" ref="M65:M77" si="24">K65-L65</f>
        <v>0</v>
      </c>
      <c r="N65" s="181">
        <f t="shared" ref="N65:N77" si="25">L65</f>
        <v>50</v>
      </c>
      <c r="O65" s="180">
        <f>SUMIFS('T-Power-out'!L:L,'T-Power-out'!D:D,임시동력입.출고현황!A65)</f>
        <v>19</v>
      </c>
      <c r="P65" s="180">
        <f t="shared" si="20"/>
        <v>31</v>
      </c>
      <c r="Q65" s="56"/>
      <c r="R65" s="315"/>
      <c r="S65" s="29" t="s">
        <v>475</v>
      </c>
      <c r="T65" s="20" t="s">
        <v>473</v>
      </c>
    </row>
    <row r="66" spans="1:20" s="8" customFormat="1" ht="21" customHeight="1">
      <c r="A66" s="29" t="s">
        <v>476</v>
      </c>
      <c r="B66" s="63">
        <v>2</v>
      </c>
      <c r="C66" s="9" t="s">
        <v>488</v>
      </c>
      <c r="D66" s="166" t="s">
        <v>502</v>
      </c>
      <c r="E66" s="9"/>
      <c r="F66" s="165" t="s">
        <v>500</v>
      </c>
      <c r="G66" s="63" t="s">
        <v>522</v>
      </c>
      <c r="H66" s="180"/>
      <c r="I66" s="180">
        <v>50</v>
      </c>
      <c r="J66" s="180">
        <f t="shared" si="22"/>
        <v>0</v>
      </c>
      <c r="K66" s="180">
        <f>SUMIFS('T-Power-income'!K:K,'T-Power-income'!E:E,임시동력입.출고현황!A66)</f>
        <v>50</v>
      </c>
      <c r="L66" s="180">
        <f t="shared" si="23"/>
        <v>50</v>
      </c>
      <c r="M66" s="203">
        <f t="shared" si="24"/>
        <v>0</v>
      </c>
      <c r="N66" s="181">
        <f t="shared" si="25"/>
        <v>50</v>
      </c>
      <c r="O66" s="180">
        <f>SUMIFS('T-Power-out'!L:L,'T-Power-out'!D:D,임시동력입.출고현황!A66)</f>
        <v>12</v>
      </c>
      <c r="P66" s="180">
        <f t="shared" si="20"/>
        <v>38</v>
      </c>
      <c r="Q66" s="56"/>
      <c r="R66" s="315"/>
      <c r="S66" s="29" t="s">
        <v>476</v>
      </c>
      <c r="T66" s="20" t="s">
        <v>473</v>
      </c>
    </row>
    <row r="67" spans="1:20" s="8" customFormat="1" ht="21" customHeight="1">
      <c r="A67" s="29" t="s">
        <v>477</v>
      </c>
      <c r="B67" s="63">
        <v>3</v>
      </c>
      <c r="C67" s="9" t="s">
        <v>488</v>
      </c>
      <c r="D67" s="166" t="s">
        <v>502</v>
      </c>
      <c r="E67" s="9"/>
      <c r="F67" s="165" t="s">
        <v>499</v>
      </c>
      <c r="G67" s="63" t="s">
        <v>522</v>
      </c>
      <c r="H67" s="180"/>
      <c r="I67" s="180">
        <v>50</v>
      </c>
      <c r="J67" s="180">
        <f t="shared" si="22"/>
        <v>0</v>
      </c>
      <c r="K67" s="180">
        <f>SUMIFS('T-Power-income'!K:K,'T-Power-income'!E:E,임시동력입.출고현황!A67)</f>
        <v>50</v>
      </c>
      <c r="L67" s="180">
        <f t="shared" si="23"/>
        <v>50</v>
      </c>
      <c r="M67" s="203">
        <f t="shared" si="24"/>
        <v>0</v>
      </c>
      <c r="N67" s="181">
        <f t="shared" si="25"/>
        <v>50</v>
      </c>
      <c r="O67" s="180">
        <f>SUMIFS('T-Power-out'!L:L,'T-Power-out'!D:D,임시동력입.출고현황!A67)</f>
        <v>9</v>
      </c>
      <c r="P67" s="180">
        <f t="shared" si="20"/>
        <v>41</v>
      </c>
      <c r="Q67" s="56"/>
      <c r="R67" s="315"/>
      <c r="S67" s="29" t="s">
        <v>477</v>
      </c>
      <c r="T67" s="20" t="s">
        <v>473</v>
      </c>
    </row>
    <row r="68" spans="1:20" s="8" customFormat="1" ht="21" customHeight="1">
      <c r="A68" s="29" t="s">
        <v>646</v>
      </c>
      <c r="B68" s="63">
        <v>4</v>
      </c>
      <c r="C68" s="9" t="s">
        <v>488</v>
      </c>
      <c r="D68" s="166" t="s">
        <v>502</v>
      </c>
      <c r="E68" s="9"/>
      <c r="F68" s="165" t="s">
        <v>489</v>
      </c>
      <c r="G68" s="63" t="s">
        <v>522</v>
      </c>
      <c r="H68" s="180"/>
      <c r="I68" s="180">
        <v>50</v>
      </c>
      <c r="J68" s="180">
        <f t="shared" si="22"/>
        <v>0</v>
      </c>
      <c r="K68" s="180">
        <f>SUMIFS('T-Power-income'!K:K,'T-Power-income'!E:E,임시동력입.출고현황!A68)</f>
        <v>50</v>
      </c>
      <c r="L68" s="180">
        <f t="shared" si="23"/>
        <v>50</v>
      </c>
      <c r="M68" s="203">
        <f t="shared" si="24"/>
        <v>0</v>
      </c>
      <c r="N68" s="181">
        <f t="shared" si="25"/>
        <v>50</v>
      </c>
      <c r="O68" s="180">
        <f>SUMIFS('T-Power-out'!L:L,'T-Power-out'!D:D,임시동력입.출고현황!A68)</f>
        <v>7</v>
      </c>
      <c r="P68" s="180">
        <f t="shared" si="20"/>
        <v>43</v>
      </c>
      <c r="Q68" s="56"/>
      <c r="R68" s="315"/>
      <c r="S68" s="29" t="s">
        <v>478</v>
      </c>
      <c r="T68" s="20" t="s">
        <v>473</v>
      </c>
    </row>
    <row r="69" spans="1:20" s="8" customFormat="1" ht="21" customHeight="1">
      <c r="A69" s="29" t="s">
        <v>479</v>
      </c>
      <c r="B69" s="63">
        <v>5</v>
      </c>
      <c r="C69" s="9" t="s">
        <v>488</v>
      </c>
      <c r="D69" s="166" t="s">
        <v>502</v>
      </c>
      <c r="E69" s="9"/>
      <c r="F69" s="165" t="s">
        <v>490</v>
      </c>
      <c r="G69" s="63" t="s">
        <v>522</v>
      </c>
      <c r="H69" s="180"/>
      <c r="I69" s="180">
        <v>50</v>
      </c>
      <c r="J69" s="180">
        <f t="shared" si="22"/>
        <v>0</v>
      </c>
      <c r="K69" s="180">
        <f>SUMIFS('T-Power-income'!K:K,'T-Power-income'!E:E,임시동력입.출고현황!A69)</f>
        <v>50</v>
      </c>
      <c r="L69" s="180">
        <f t="shared" si="23"/>
        <v>50</v>
      </c>
      <c r="M69" s="203">
        <f t="shared" si="24"/>
        <v>0</v>
      </c>
      <c r="N69" s="181">
        <f t="shared" si="25"/>
        <v>50</v>
      </c>
      <c r="O69" s="180">
        <f>SUMIFS('T-Power-out'!L:L,'T-Power-out'!D:D,임시동력입.출고현황!A69)</f>
        <v>12</v>
      </c>
      <c r="P69" s="180">
        <f t="shared" si="20"/>
        <v>38</v>
      </c>
      <c r="Q69" s="56"/>
      <c r="R69" s="315"/>
      <c r="S69" s="29" t="s">
        <v>479</v>
      </c>
      <c r="T69" s="20" t="s">
        <v>473</v>
      </c>
    </row>
    <row r="70" spans="1:20" s="8" customFormat="1" ht="21" customHeight="1">
      <c r="A70" s="29" t="s">
        <v>480</v>
      </c>
      <c r="B70" s="63">
        <v>6</v>
      </c>
      <c r="C70" s="9" t="s">
        <v>488</v>
      </c>
      <c r="D70" s="166" t="s">
        <v>503</v>
      </c>
      <c r="E70" s="9"/>
      <c r="F70" s="165" t="s">
        <v>491</v>
      </c>
      <c r="G70" s="63" t="s">
        <v>522</v>
      </c>
      <c r="H70" s="180"/>
      <c r="I70" s="180">
        <v>50</v>
      </c>
      <c r="J70" s="180">
        <f t="shared" si="22"/>
        <v>0</v>
      </c>
      <c r="K70" s="180">
        <f>SUMIFS('T-Power-income'!K:K,'T-Power-income'!E:E,임시동력입.출고현황!A70)</f>
        <v>50</v>
      </c>
      <c r="L70" s="180">
        <f t="shared" si="23"/>
        <v>50</v>
      </c>
      <c r="M70" s="203">
        <f t="shared" si="24"/>
        <v>0</v>
      </c>
      <c r="N70" s="181">
        <f t="shared" si="25"/>
        <v>50</v>
      </c>
      <c r="O70" s="180">
        <f>SUMIFS('T-Power-out'!L:L,'T-Power-out'!D:D,임시동력입.출고현황!A70)</f>
        <v>14</v>
      </c>
      <c r="P70" s="180">
        <f t="shared" si="20"/>
        <v>36</v>
      </c>
      <c r="Q70" s="56"/>
      <c r="R70" s="315"/>
      <c r="S70" s="29" t="s">
        <v>480</v>
      </c>
      <c r="T70" s="20" t="s">
        <v>473</v>
      </c>
    </row>
    <row r="71" spans="1:20" s="8" customFormat="1" ht="21" customHeight="1">
      <c r="A71" s="29" t="s">
        <v>481</v>
      </c>
      <c r="B71" s="63">
        <v>7</v>
      </c>
      <c r="C71" s="9" t="s">
        <v>488</v>
      </c>
      <c r="D71" s="166" t="s">
        <v>503</v>
      </c>
      <c r="E71" s="9"/>
      <c r="F71" s="165" t="s">
        <v>492</v>
      </c>
      <c r="G71" s="63" t="s">
        <v>522</v>
      </c>
      <c r="H71" s="180"/>
      <c r="I71" s="180">
        <v>50</v>
      </c>
      <c r="J71" s="180">
        <f t="shared" si="22"/>
        <v>0</v>
      </c>
      <c r="K71" s="180">
        <f>SUMIFS('T-Power-income'!K:K,'T-Power-income'!E:E,임시동력입.출고현황!A71)</f>
        <v>50</v>
      </c>
      <c r="L71" s="180">
        <f t="shared" si="23"/>
        <v>50</v>
      </c>
      <c r="M71" s="203">
        <f t="shared" si="24"/>
        <v>0</v>
      </c>
      <c r="N71" s="181">
        <f t="shared" si="25"/>
        <v>50</v>
      </c>
      <c r="O71" s="180">
        <f>SUMIFS('T-Power-out'!L:L,'T-Power-out'!D:D,임시동력입.출고현황!A71)</f>
        <v>5</v>
      </c>
      <c r="P71" s="180">
        <f t="shared" si="20"/>
        <v>45</v>
      </c>
      <c r="Q71" s="56"/>
      <c r="R71" s="315"/>
      <c r="S71" s="29" t="s">
        <v>481</v>
      </c>
      <c r="T71" s="20" t="s">
        <v>473</v>
      </c>
    </row>
    <row r="72" spans="1:20" s="252" customFormat="1" ht="21" customHeight="1">
      <c r="A72" s="263" t="s">
        <v>482</v>
      </c>
      <c r="B72" s="63">
        <v>8</v>
      </c>
      <c r="C72" s="9" t="s">
        <v>488</v>
      </c>
      <c r="D72" s="166" t="s">
        <v>503</v>
      </c>
      <c r="E72" s="9"/>
      <c r="F72" s="165" t="s">
        <v>493</v>
      </c>
      <c r="G72" s="63" t="s">
        <v>522</v>
      </c>
      <c r="H72" s="180"/>
      <c r="I72" s="180">
        <v>50</v>
      </c>
      <c r="J72" s="180">
        <f t="shared" si="22"/>
        <v>0</v>
      </c>
      <c r="K72" s="180">
        <f>SUMIFS('T-Power-income'!K:K,'T-Power-income'!E:E,임시동력입.출고현황!A72)</f>
        <v>50</v>
      </c>
      <c r="L72" s="180">
        <f t="shared" si="23"/>
        <v>50</v>
      </c>
      <c r="M72" s="203">
        <f t="shared" si="24"/>
        <v>0</v>
      </c>
      <c r="N72" s="181">
        <f t="shared" si="25"/>
        <v>50</v>
      </c>
      <c r="O72" s="180">
        <f>SUMIFS('T-Power-out'!L:L,'T-Power-out'!D:D,임시동력입.출고현황!A72)</f>
        <v>16</v>
      </c>
      <c r="P72" s="180">
        <f t="shared" si="20"/>
        <v>34</v>
      </c>
      <c r="Q72" s="56"/>
      <c r="R72" s="315"/>
      <c r="S72" s="263" t="s">
        <v>482</v>
      </c>
      <c r="T72" s="266" t="s">
        <v>473</v>
      </c>
    </row>
    <row r="73" spans="1:20" s="8" customFormat="1" ht="21" customHeight="1">
      <c r="A73" s="29" t="s">
        <v>483</v>
      </c>
      <c r="B73" s="63">
        <v>9</v>
      </c>
      <c r="C73" s="9" t="s">
        <v>488</v>
      </c>
      <c r="D73" s="166" t="s">
        <v>504</v>
      </c>
      <c r="E73" s="9"/>
      <c r="F73" s="165" t="s">
        <v>494</v>
      </c>
      <c r="G73" s="63" t="s">
        <v>522</v>
      </c>
      <c r="H73" s="180"/>
      <c r="I73" s="180">
        <v>50</v>
      </c>
      <c r="J73" s="180">
        <f t="shared" si="22"/>
        <v>0</v>
      </c>
      <c r="K73" s="180">
        <f>SUMIFS('T-Power-income'!K:K,'T-Power-income'!E:E,임시동력입.출고현황!A73)</f>
        <v>50</v>
      </c>
      <c r="L73" s="180">
        <f t="shared" si="23"/>
        <v>50</v>
      </c>
      <c r="M73" s="203">
        <f t="shared" si="24"/>
        <v>0</v>
      </c>
      <c r="N73" s="181">
        <f t="shared" si="25"/>
        <v>50</v>
      </c>
      <c r="O73" s="180">
        <f>SUMIFS('T-Power-out'!L:L,'T-Power-out'!D:D,임시동력입.출고현황!A73)</f>
        <v>50</v>
      </c>
      <c r="P73" s="180">
        <f t="shared" si="20"/>
        <v>0</v>
      </c>
      <c r="Q73" s="56"/>
      <c r="R73" s="315"/>
      <c r="S73" s="29" t="s">
        <v>483</v>
      </c>
      <c r="T73" s="20" t="s">
        <v>473</v>
      </c>
    </row>
    <row r="74" spans="1:20" s="8" customFormat="1" ht="21" customHeight="1">
      <c r="A74" s="29" t="s">
        <v>484</v>
      </c>
      <c r="B74" s="63">
        <v>10</v>
      </c>
      <c r="C74" s="9" t="s">
        <v>488</v>
      </c>
      <c r="D74" s="166" t="s">
        <v>504</v>
      </c>
      <c r="E74" s="9"/>
      <c r="F74" s="165" t="s">
        <v>495</v>
      </c>
      <c r="G74" s="63" t="s">
        <v>522</v>
      </c>
      <c r="H74" s="180"/>
      <c r="I74" s="180">
        <v>40</v>
      </c>
      <c r="J74" s="180">
        <f t="shared" si="22"/>
        <v>0</v>
      </c>
      <c r="K74" s="180">
        <f>SUMIFS('T-Power-income'!K:K,'T-Power-income'!E:E,임시동력입.출고현황!A74)</f>
        <v>40</v>
      </c>
      <c r="L74" s="180">
        <f t="shared" si="23"/>
        <v>40</v>
      </c>
      <c r="M74" s="203">
        <f t="shared" si="24"/>
        <v>0</v>
      </c>
      <c r="N74" s="181">
        <f t="shared" si="25"/>
        <v>40</v>
      </c>
      <c r="O74" s="180">
        <f>SUMIFS('T-Power-out'!L:L,'T-Power-out'!D:D,임시동력입.출고현황!A74)</f>
        <v>14</v>
      </c>
      <c r="P74" s="180">
        <f t="shared" si="20"/>
        <v>26</v>
      </c>
      <c r="Q74" s="56"/>
      <c r="R74" s="315"/>
      <c r="S74" s="29" t="s">
        <v>484</v>
      </c>
      <c r="T74" s="20" t="s">
        <v>473</v>
      </c>
    </row>
    <row r="75" spans="1:20" s="8" customFormat="1" ht="21" customHeight="1">
      <c r="A75" s="29" t="s">
        <v>485</v>
      </c>
      <c r="B75" s="63">
        <v>11</v>
      </c>
      <c r="C75" s="9" t="s">
        <v>488</v>
      </c>
      <c r="D75" s="166" t="s">
        <v>474</v>
      </c>
      <c r="E75" s="9"/>
      <c r="F75" s="165" t="s">
        <v>496</v>
      </c>
      <c r="G75" s="63" t="s">
        <v>522</v>
      </c>
      <c r="H75" s="180"/>
      <c r="I75" s="180">
        <v>5</v>
      </c>
      <c r="J75" s="180">
        <f t="shared" si="22"/>
        <v>0</v>
      </c>
      <c r="K75" s="180">
        <f>SUMIFS('T-Power-income'!K:K,'T-Power-income'!E:E,임시동력입.출고현황!A75)</f>
        <v>5</v>
      </c>
      <c r="L75" s="180">
        <f t="shared" si="23"/>
        <v>5</v>
      </c>
      <c r="M75" s="203">
        <f t="shared" si="24"/>
        <v>0</v>
      </c>
      <c r="N75" s="181">
        <f t="shared" si="25"/>
        <v>5</v>
      </c>
      <c r="O75" s="180">
        <f>SUMIFS('T-Power-out'!L:L,'T-Power-out'!D:D,임시동력입.출고현황!A75)</f>
        <v>0</v>
      </c>
      <c r="P75" s="180">
        <f t="shared" si="20"/>
        <v>5</v>
      </c>
      <c r="Q75" s="56"/>
      <c r="R75" s="315"/>
      <c r="S75" s="29" t="s">
        <v>485</v>
      </c>
      <c r="T75" s="20" t="s">
        <v>473</v>
      </c>
    </row>
    <row r="76" spans="1:20" s="8" customFormat="1" ht="21" customHeight="1">
      <c r="A76" s="29" t="s">
        <v>486</v>
      </c>
      <c r="B76" s="63">
        <v>12</v>
      </c>
      <c r="C76" s="9" t="s">
        <v>488</v>
      </c>
      <c r="D76" s="166" t="s">
        <v>474</v>
      </c>
      <c r="E76" s="9"/>
      <c r="F76" s="165" t="s">
        <v>497</v>
      </c>
      <c r="G76" s="63" t="s">
        <v>522</v>
      </c>
      <c r="H76" s="180"/>
      <c r="I76" s="180">
        <v>5</v>
      </c>
      <c r="J76" s="180">
        <f t="shared" si="22"/>
        <v>0</v>
      </c>
      <c r="K76" s="180">
        <f>SUMIFS('T-Power-income'!K:K,'T-Power-income'!E:E,임시동력입.출고현황!A76)</f>
        <v>5</v>
      </c>
      <c r="L76" s="180">
        <f t="shared" si="23"/>
        <v>5</v>
      </c>
      <c r="M76" s="203">
        <f t="shared" si="24"/>
        <v>0</v>
      </c>
      <c r="N76" s="181">
        <f t="shared" si="25"/>
        <v>5</v>
      </c>
      <c r="O76" s="180">
        <f>SUMIFS('T-Power-out'!L:L,'T-Power-out'!D:D,임시동력입.출고현황!A76)</f>
        <v>4</v>
      </c>
      <c r="P76" s="180">
        <f t="shared" si="20"/>
        <v>1</v>
      </c>
      <c r="Q76" s="56"/>
      <c r="R76" s="61"/>
      <c r="S76" s="29" t="s">
        <v>486</v>
      </c>
      <c r="T76" s="20" t="s">
        <v>473</v>
      </c>
    </row>
    <row r="77" spans="1:20" s="8" customFormat="1" ht="21" customHeight="1">
      <c r="A77" s="29" t="s">
        <v>487</v>
      </c>
      <c r="B77" s="63">
        <v>13</v>
      </c>
      <c r="C77" s="9" t="s">
        <v>488</v>
      </c>
      <c r="D77" s="166" t="s">
        <v>474</v>
      </c>
      <c r="E77" s="9"/>
      <c r="F77" s="165" t="s">
        <v>498</v>
      </c>
      <c r="G77" s="63" t="s">
        <v>522</v>
      </c>
      <c r="H77" s="180"/>
      <c r="I77" s="180">
        <v>5</v>
      </c>
      <c r="J77" s="180">
        <f t="shared" si="22"/>
        <v>0</v>
      </c>
      <c r="K77" s="180">
        <f>SUMIFS('T-Power-income'!K:K,'T-Power-income'!E:E,임시동력입.출고현황!A77)</f>
        <v>5</v>
      </c>
      <c r="L77" s="180">
        <f t="shared" si="23"/>
        <v>5</v>
      </c>
      <c r="M77" s="203">
        <f t="shared" si="24"/>
        <v>0</v>
      </c>
      <c r="N77" s="181">
        <f t="shared" si="25"/>
        <v>5</v>
      </c>
      <c r="O77" s="180">
        <f>SUMIFS('T-Power-out'!L:L,'T-Power-out'!D:D,임시동력입.출고현황!A77)</f>
        <v>4</v>
      </c>
      <c r="P77" s="180">
        <f t="shared" si="20"/>
        <v>1</v>
      </c>
      <c r="Q77" s="56"/>
      <c r="R77" s="61"/>
      <c r="S77" s="29" t="s">
        <v>487</v>
      </c>
      <c r="T77" s="20" t="s">
        <v>473</v>
      </c>
    </row>
    <row r="78" spans="1:20" s="179" customFormat="1" ht="21" customHeight="1">
      <c r="A78" s="31"/>
      <c r="B78" s="167"/>
      <c r="C78" s="175" t="s">
        <v>436</v>
      </c>
      <c r="D78" s="176"/>
      <c r="E78" s="175"/>
      <c r="F78" s="170"/>
      <c r="G78" s="167"/>
      <c r="H78" s="171"/>
      <c r="I78" s="171">
        <f t="shared" ref="I78:O78" si="26">SUM(I65:I77)</f>
        <v>505</v>
      </c>
      <c r="J78" s="171">
        <f t="shared" si="26"/>
        <v>0</v>
      </c>
      <c r="K78" s="171">
        <f t="shared" si="26"/>
        <v>505</v>
      </c>
      <c r="L78" s="171">
        <f t="shared" si="26"/>
        <v>505</v>
      </c>
      <c r="M78" s="172">
        <f t="shared" si="26"/>
        <v>0</v>
      </c>
      <c r="N78" s="173">
        <f t="shared" si="26"/>
        <v>505</v>
      </c>
      <c r="O78" s="173">
        <f t="shared" si="26"/>
        <v>166</v>
      </c>
      <c r="P78" s="171">
        <f t="shared" si="20"/>
        <v>339</v>
      </c>
      <c r="Q78" s="177"/>
      <c r="R78" s="174"/>
    </row>
    <row r="79" spans="1:20" s="8" customFormat="1" ht="21" customHeight="1">
      <c r="A79" s="29" t="s">
        <v>511</v>
      </c>
      <c r="B79" s="63">
        <v>1</v>
      </c>
      <c r="C79" s="9" t="s">
        <v>510</v>
      </c>
      <c r="D79" s="166" t="s">
        <v>506</v>
      </c>
      <c r="E79" s="9"/>
      <c r="F79" s="165" t="s">
        <v>505</v>
      </c>
      <c r="G79" s="63" t="s">
        <v>522</v>
      </c>
      <c r="H79" s="180"/>
      <c r="I79" s="180">
        <v>50</v>
      </c>
      <c r="J79" s="180">
        <f t="shared" ref="J79:J82" si="27">I79-K79</f>
        <v>0</v>
      </c>
      <c r="K79" s="180">
        <f>SUMIFS('T-Power-income'!K:K,'T-Power-income'!E:E,임시동력입.출고현황!A79)</f>
        <v>50</v>
      </c>
      <c r="L79" s="180">
        <f>K79</f>
        <v>50</v>
      </c>
      <c r="M79" s="203">
        <f>K79-L79</f>
        <v>0</v>
      </c>
      <c r="N79" s="181">
        <f t="shared" ref="N79:N82" si="28">L79</f>
        <v>50</v>
      </c>
      <c r="O79" s="180">
        <f>SUMIFS('T-Power-out'!L:L,'T-Power-out'!D:D,임시동력입.출고현황!A79)</f>
        <v>50</v>
      </c>
      <c r="P79" s="180">
        <f t="shared" si="20"/>
        <v>0</v>
      </c>
      <c r="Q79" s="56"/>
      <c r="R79" s="61"/>
      <c r="S79" s="29" t="s">
        <v>511</v>
      </c>
      <c r="T79" s="20" t="s">
        <v>473</v>
      </c>
    </row>
    <row r="80" spans="1:20" s="8" customFormat="1" ht="21" customHeight="1">
      <c r="A80" s="29" t="s">
        <v>512</v>
      </c>
      <c r="B80" s="63">
        <v>2</v>
      </c>
      <c r="C80" s="9" t="s">
        <v>510</v>
      </c>
      <c r="D80" s="166" t="s">
        <v>506</v>
      </c>
      <c r="E80" s="9"/>
      <c r="F80" s="165" t="s">
        <v>507</v>
      </c>
      <c r="G80" s="63" t="s">
        <v>522</v>
      </c>
      <c r="H80" s="180"/>
      <c r="I80" s="180">
        <v>30</v>
      </c>
      <c r="J80" s="180">
        <f t="shared" si="27"/>
        <v>0</v>
      </c>
      <c r="K80" s="180">
        <f>SUMIFS('T-Power-income'!K:K,'T-Power-income'!E:E,임시동력입.출고현황!A80)</f>
        <v>30</v>
      </c>
      <c r="L80" s="180">
        <f>K80</f>
        <v>30</v>
      </c>
      <c r="M80" s="203">
        <f>K80-L80</f>
        <v>0</v>
      </c>
      <c r="N80" s="181">
        <f t="shared" si="28"/>
        <v>30</v>
      </c>
      <c r="O80" s="180">
        <f>SUMIFS('T-Power-out'!L:L,'T-Power-out'!D:D,임시동력입.출고현황!A80)</f>
        <v>10</v>
      </c>
      <c r="P80" s="180">
        <f t="shared" si="20"/>
        <v>20</v>
      </c>
      <c r="Q80" s="56"/>
      <c r="R80" s="61"/>
      <c r="S80" s="29" t="s">
        <v>512</v>
      </c>
      <c r="T80" s="20" t="s">
        <v>473</v>
      </c>
    </row>
    <row r="81" spans="1:20" s="8" customFormat="1" ht="21" customHeight="1">
      <c r="A81" s="29" t="s">
        <v>513</v>
      </c>
      <c r="B81" s="63">
        <v>3</v>
      </c>
      <c r="C81" s="9" t="s">
        <v>510</v>
      </c>
      <c r="D81" s="166" t="s">
        <v>506</v>
      </c>
      <c r="E81" s="9"/>
      <c r="F81" s="165" t="s">
        <v>508</v>
      </c>
      <c r="G81" s="63" t="s">
        <v>522</v>
      </c>
      <c r="H81" s="180"/>
      <c r="I81" s="180">
        <v>50</v>
      </c>
      <c r="J81" s="180">
        <f t="shared" si="27"/>
        <v>0</v>
      </c>
      <c r="K81" s="180">
        <f>SUMIFS('T-Power-income'!K:K,'T-Power-income'!E:E,임시동력입.출고현황!A81)</f>
        <v>50</v>
      </c>
      <c r="L81" s="180">
        <f>K81</f>
        <v>50</v>
      </c>
      <c r="M81" s="203">
        <f>K81-L81</f>
        <v>0</v>
      </c>
      <c r="N81" s="181">
        <f t="shared" si="28"/>
        <v>50</v>
      </c>
      <c r="O81" s="180">
        <f>SUMIFS('T-Power-out'!L:L,'T-Power-out'!D:D,임시동력입.출고현황!A81)</f>
        <v>29</v>
      </c>
      <c r="P81" s="180">
        <f t="shared" si="20"/>
        <v>21</v>
      </c>
      <c r="Q81" s="56"/>
      <c r="R81" s="61"/>
      <c r="S81" s="29" t="s">
        <v>513</v>
      </c>
      <c r="T81" s="20" t="s">
        <v>473</v>
      </c>
    </row>
    <row r="82" spans="1:20" s="8" customFormat="1" ht="21" customHeight="1">
      <c r="A82" s="29" t="s">
        <v>514</v>
      </c>
      <c r="B82" s="63">
        <v>4</v>
      </c>
      <c r="C82" s="9" t="s">
        <v>510</v>
      </c>
      <c r="D82" s="166" t="s">
        <v>506</v>
      </c>
      <c r="E82" s="9"/>
      <c r="F82" s="165" t="s">
        <v>509</v>
      </c>
      <c r="G82" s="63" t="s">
        <v>522</v>
      </c>
      <c r="H82" s="180"/>
      <c r="I82" s="180">
        <v>20</v>
      </c>
      <c r="J82" s="180">
        <f t="shared" si="27"/>
        <v>0</v>
      </c>
      <c r="K82" s="180">
        <f>SUMIFS('T-Power-income'!K:K,'T-Power-income'!E:E,임시동력입.출고현황!A82)</f>
        <v>20</v>
      </c>
      <c r="L82" s="180">
        <f>K82</f>
        <v>20</v>
      </c>
      <c r="M82" s="203">
        <f>K82-L82</f>
        <v>0</v>
      </c>
      <c r="N82" s="181">
        <f t="shared" si="28"/>
        <v>20</v>
      </c>
      <c r="O82" s="180">
        <f>SUMIFS('T-Power-out'!L:L,'T-Power-out'!D:D,임시동력입.출고현황!A82)</f>
        <v>17</v>
      </c>
      <c r="P82" s="180">
        <f t="shared" si="20"/>
        <v>3</v>
      </c>
      <c r="Q82" s="56"/>
      <c r="R82" s="61"/>
      <c r="S82" s="29" t="s">
        <v>514</v>
      </c>
      <c r="T82" s="20" t="s">
        <v>473</v>
      </c>
    </row>
    <row r="83" spans="1:20" s="179" customFormat="1" ht="21" customHeight="1">
      <c r="A83" s="31"/>
      <c r="B83" s="167"/>
      <c r="C83" s="175" t="s">
        <v>436</v>
      </c>
      <c r="D83" s="176"/>
      <c r="E83" s="175"/>
      <c r="F83" s="170"/>
      <c r="G83" s="167" t="s">
        <v>150</v>
      </c>
      <c r="H83" s="171"/>
      <c r="I83" s="171">
        <f t="shared" ref="I83:O83" si="29">SUM(I79:I82)</f>
        <v>150</v>
      </c>
      <c r="J83" s="171">
        <f t="shared" si="29"/>
        <v>0</v>
      </c>
      <c r="K83" s="171">
        <f t="shared" si="29"/>
        <v>150</v>
      </c>
      <c r="L83" s="171">
        <f t="shared" si="29"/>
        <v>150</v>
      </c>
      <c r="M83" s="172">
        <f t="shared" si="29"/>
        <v>0</v>
      </c>
      <c r="N83" s="173">
        <f t="shared" si="29"/>
        <v>150</v>
      </c>
      <c r="O83" s="173">
        <f t="shared" si="29"/>
        <v>106</v>
      </c>
      <c r="P83" s="171">
        <f t="shared" si="20"/>
        <v>44</v>
      </c>
      <c r="Q83" s="177"/>
      <c r="R83" s="174"/>
    </row>
    <row r="84" spans="1:20" s="8" customFormat="1" ht="21" customHeight="1">
      <c r="A84" s="29" t="s">
        <v>558</v>
      </c>
      <c r="B84" s="63">
        <v>1</v>
      </c>
      <c r="C84" s="9" t="s">
        <v>516</v>
      </c>
      <c r="D84" s="166" t="s">
        <v>515</v>
      </c>
      <c r="E84" s="9"/>
      <c r="F84" s="165" t="s">
        <v>518</v>
      </c>
      <c r="G84" s="63" t="s">
        <v>522</v>
      </c>
      <c r="H84" s="180"/>
      <c r="I84" s="180">
        <v>50</v>
      </c>
      <c r="J84" s="180">
        <f t="shared" si="13"/>
        <v>0</v>
      </c>
      <c r="K84" s="162">
        <f>SUMIFS('T-Power-income'!K:K,'T-Power-income'!E:E,임시동력입.출고현황!A84)</f>
        <v>50</v>
      </c>
      <c r="L84" s="162">
        <f>K84</f>
        <v>50</v>
      </c>
      <c r="M84" s="163">
        <f>K84-L84</f>
        <v>0</v>
      </c>
      <c r="N84" s="164">
        <f t="shared" ref="N84:N87" si="30">L84</f>
        <v>50</v>
      </c>
      <c r="O84" s="162">
        <f>SUMIFS('T-Power-out'!L:L,'T-Power-out'!D:D,임시동력입.출고현황!A84)</f>
        <v>9</v>
      </c>
      <c r="P84" s="162">
        <f t="shared" si="20"/>
        <v>41</v>
      </c>
      <c r="Q84" s="56"/>
      <c r="R84" s="61"/>
      <c r="S84" s="29" t="s">
        <v>523</v>
      </c>
      <c r="T84" s="20" t="s">
        <v>473</v>
      </c>
    </row>
    <row r="85" spans="1:20" s="8" customFormat="1" ht="21" customHeight="1">
      <c r="A85" s="29" t="s">
        <v>524</v>
      </c>
      <c r="B85" s="63">
        <v>2</v>
      </c>
      <c r="C85" s="9" t="s">
        <v>516</v>
      </c>
      <c r="D85" s="166" t="s">
        <v>515</v>
      </c>
      <c r="E85" s="9"/>
      <c r="F85" s="165" t="s">
        <v>519</v>
      </c>
      <c r="G85" s="63" t="s">
        <v>522</v>
      </c>
      <c r="H85" s="180"/>
      <c r="I85" s="180">
        <v>50</v>
      </c>
      <c r="J85" s="180">
        <f t="shared" si="13"/>
        <v>0</v>
      </c>
      <c r="K85" s="162">
        <f>SUMIFS('T-Power-income'!K:K,'T-Power-income'!E:E,임시동력입.출고현황!A85)</f>
        <v>50</v>
      </c>
      <c r="L85" s="162">
        <f>K85</f>
        <v>50</v>
      </c>
      <c r="M85" s="163">
        <f>K85-L85</f>
        <v>0</v>
      </c>
      <c r="N85" s="164">
        <f t="shared" si="30"/>
        <v>50</v>
      </c>
      <c r="O85" s="162">
        <f>SUMIFS('T-Power-out'!L:L,'T-Power-out'!D:D,임시동력입.출고현황!A85)</f>
        <v>2</v>
      </c>
      <c r="P85" s="162">
        <f t="shared" si="20"/>
        <v>48</v>
      </c>
      <c r="Q85" s="56"/>
      <c r="R85" s="61"/>
      <c r="S85" s="29" t="s">
        <v>524</v>
      </c>
      <c r="T85" s="20" t="s">
        <v>473</v>
      </c>
    </row>
    <row r="86" spans="1:20" s="8" customFormat="1" ht="21" customHeight="1">
      <c r="A86" s="29" t="s">
        <v>525</v>
      </c>
      <c r="B86" s="63">
        <v>3</v>
      </c>
      <c r="C86" s="9" t="s">
        <v>516</v>
      </c>
      <c r="D86" s="166" t="s">
        <v>515</v>
      </c>
      <c r="E86" s="9"/>
      <c r="F86" s="165" t="s">
        <v>520</v>
      </c>
      <c r="G86" s="63" t="s">
        <v>522</v>
      </c>
      <c r="H86" s="180"/>
      <c r="I86" s="180">
        <v>50</v>
      </c>
      <c r="J86" s="180">
        <f t="shared" si="13"/>
        <v>0</v>
      </c>
      <c r="K86" s="162">
        <f>SUMIFS('T-Power-income'!K:K,'T-Power-income'!E:E,임시동력입.출고현황!A86)</f>
        <v>50</v>
      </c>
      <c r="L86" s="162">
        <f>K86</f>
        <v>50</v>
      </c>
      <c r="M86" s="163">
        <f>K86-L86</f>
        <v>0</v>
      </c>
      <c r="N86" s="164">
        <f t="shared" si="30"/>
        <v>50</v>
      </c>
      <c r="O86" s="162">
        <f>SUMIFS('T-Power-out'!L:L,'T-Power-out'!D:D,임시동력입.출고현황!A86)</f>
        <v>2</v>
      </c>
      <c r="P86" s="162">
        <f t="shared" si="20"/>
        <v>48</v>
      </c>
      <c r="Q86" s="56"/>
      <c r="R86" s="61"/>
      <c r="S86" s="29" t="s">
        <v>525</v>
      </c>
      <c r="T86" s="20" t="s">
        <v>473</v>
      </c>
    </row>
    <row r="87" spans="1:20" s="8" customFormat="1" ht="21" customHeight="1">
      <c r="A87" s="29" t="s">
        <v>526</v>
      </c>
      <c r="B87" s="63">
        <v>4</v>
      </c>
      <c r="C87" s="9" t="s">
        <v>516</v>
      </c>
      <c r="D87" s="166" t="s">
        <v>517</v>
      </c>
      <c r="E87" s="9"/>
      <c r="F87" s="165" t="s">
        <v>521</v>
      </c>
      <c r="G87" s="63" t="s">
        <v>522</v>
      </c>
      <c r="H87" s="180"/>
      <c r="I87" s="180">
        <v>50</v>
      </c>
      <c r="J87" s="180">
        <f t="shared" si="13"/>
        <v>0</v>
      </c>
      <c r="K87" s="180">
        <f>SUMIFS('T-Power-income'!K:K,'T-Power-income'!E:E,임시동력입.출고현황!A87)</f>
        <v>50</v>
      </c>
      <c r="L87" s="180">
        <f>K87</f>
        <v>50</v>
      </c>
      <c r="M87" s="203">
        <f>K87-L87</f>
        <v>0</v>
      </c>
      <c r="N87" s="181">
        <f t="shared" si="30"/>
        <v>50</v>
      </c>
      <c r="O87" s="180">
        <f>SUMIFS('T-Power-out'!L:L,'T-Power-out'!D:D,임시동력입.출고현황!A87)</f>
        <v>0</v>
      </c>
      <c r="P87" s="180">
        <f t="shared" si="20"/>
        <v>50</v>
      </c>
      <c r="Q87" s="56"/>
      <c r="R87" s="61"/>
      <c r="S87" s="29" t="s">
        <v>526</v>
      </c>
      <c r="T87" s="20" t="s">
        <v>473</v>
      </c>
    </row>
    <row r="88" spans="1:20" s="179" customFormat="1" ht="21" customHeight="1">
      <c r="A88" s="31"/>
      <c r="B88" s="167"/>
      <c r="C88" s="175" t="s">
        <v>436</v>
      </c>
      <c r="D88" s="176"/>
      <c r="E88" s="175"/>
      <c r="F88" s="170"/>
      <c r="G88" s="167" t="s">
        <v>150</v>
      </c>
      <c r="H88" s="171"/>
      <c r="I88" s="171">
        <f t="shared" ref="I88:O88" si="31">SUM(I84:I87)</f>
        <v>200</v>
      </c>
      <c r="J88" s="171">
        <f t="shared" si="31"/>
        <v>0</v>
      </c>
      <c r="K88" s="171">
        <f t="shared" si="31"/>
        <v>200</v>
      </c>
      <c r="L88" s="171">
        <f t="shared" si="31"/>
        <v>200</v>
      </c>
      <c r="M88" s="172">
        <f t="shared" si="31"/>
        <v>0</v>
      </c>
      <c r="N88" s="173">
        <f t="shared" si="31"/>
        <v>200</v>
      </c>
      <c r="O88" s="173">
        <f t="shared" si="31"/>
        <v>13</v>
      </c>
      <c r="P88" s="171">
        <f t="shared" si="20"/>
        <v>187</v>
      </c>
      <c r="Q88" s="177"/>
      <c r="R88" s="174"/>
    </row>
    <row r="89" spans="1:20" ht="22.5" customHeight="1"/>
    <row r="91" spans="1:20">
      <c r="I91" s="227">
        <f t="shared" ref="I91:P91" si="32">SUM(I88,I83,I78,I64,I59,I28,I12)</f>
        <v>97197</v>
      </c>
      <c r="J91" s="228">
        <f t="shared" si="32"/>
        <v>7</v>
      </c>
      <c r="K91" s="228">
        <f t="shared" si="32"/>
        <v>97190</v>
      </c>
      <c r="L91" s="228">
        <f t="shared" si="32"/>
        <v>97190</v>
      </c>
      <c r="M91" s="228">
        <f t="shared" si="32"/>
        <v>0</v>
      </c>
      <c r="N91" s="228">
        <f t="shared" si="32"/>
        <v>97195</v>
      </c>
      <c r="O91" s="228">
        <f t="shared" si="32"/>
        <v>63059</v>
      </c>
      <c r="P91" s="229">
        <f t="shared" si="32"/>
        <v>34136</v>
      </c>
    </row>
    <row r="92" spans="1:20" s="8" customFormat="1">
      <c r="A92" s="1"/>
      <c r="B92" s="59"/>
      <c r="C92" s="59"/>
      <c r="D92" s="59"/>
      <c r="E92" s="59"/>
      <c r="F92" s="59"/>
      <c r="G92" s="59"/>
      <c r="H92" s="155"/>
      <c r="I92" s="155">
        <v>73510</v>
      </c>
      <c r="J92" s="155">
        <v>7389</v>
      </c>
      <c r="K92" s="155">
        <v>66121</v>
      </c>
      <c r="L92" s="155">
        <v>66121</v>
      </c>
      <c r="M92" s="155">
        <v>0</v>
      </c>
      <c r="N92" s="155">
        <v>66124</v>
      </c>
      <c r="O92" s="155">
        <v>41916</v>
      </c>
      <c r="P92" s="155">
        <v>24208</v>
      </c>
      <c r="R92" s="59"/>
      <c r="S92" s="59"/>
      <c r="T92" s="59"/>
    </row>
    <row r="93" spans="1:20">
      <c r="I93" s="155">
        <f t="shared" ref="I93:O93" si="33">I91-I92</f>
        <v>23687</v>
      </c>
      <c r="J93" s="155">
        <f t="shared" si="33"/>
        <v>-7382</v>
      </c>
      <c r="K93" s="155">
        <f t="shared" si="33"/>
        <v>31069</v>
      </c>
      <c r="L93" s="155">
        <f t="shared" si="33"/>
        <v>31069</v>
      </c>
      <c r="M93" s="155">
        <f t="shared" si="33"/>
        <v>0</v>
      </c>
      <c r="N93" s="155">
        <f t="shared" si="33"/>
        <v>31071</v>
      </c>
      <c r="O93" s="155">
        <f t="shared" si="33"/>
        <v>21143</v>
      </c>
      <c r="P93" s="155">
        <f>P91-P92</f>
        <v>9928</v>
      </c>
    </row>
  </sheetData>
  <autoFilter ref="A5:T88" xr:uid="{11A6C3E8-7426-4E7E-A2F5-8BF08FBD7286}"/>
  <mergeCells count="8">
    <mergeCell ref="Q3:Q5"/>
    <mergeCell ref="H3:H4"/>
    <mergeCell ref="E3:E5"/>
    <mergeCell ref="B3:B5"/>
    <mergeCell ref="C3:C4"/>
    <mergeCell ref="D3:D4"/>
    <mergeCell ref="F3:F4"/>
    <mergeCell ref="G3:G4"/>
  </mergeCells>
  <phoneticPr fontId="2" type="noConversion"/>
  <conditionalFormatting sqref="L74">
    <cfRule type="duplicateValues" dxfId="0" priority="1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F319-300A-4320-8D46-8094F1735C5C}">
  <sheetPr>
    <pageSetUpPr fitToPage="1"/>
  </sheetPr>
  <dimension ref="A1:P250"/>
  <sheetViews>
    <sheetView topLeftCell="A200" zoomScale="85" zoomScaleNormal="85" workbookViewId="0">
      <selection activeCell="H223" sqref="H223"/>
    </sheetView>
  </sheetViews>
  <sheetFormatPr defaultColWidth="9" defaultRowHeight="13.8"/>
  <cols>
    <col min="1" max="1" width="6.109375" style="5" customWidth="1"/>
    <col min="2" max="2" width="7" style="8" customWidth="1"/>
    <col min="3" max="3" width="18.109375" style="8" customWidth="1"/>
    <col min="4" max="4" width="12.6640625" style="8" customWidth="1"/>
    <col min="5" max="5" width="11.44140625" style="5" customWidth="1"/>
    <col min="6" max="6" width="13.21875" style="14" bestFit="1" customWidth="1"/>
    <col min="7" max="7" width="18.6640625" style="14" bestFit="1" customWidth="1"/>
    <col min="8" max="8" width="19.6640625" style="14" customWidth="1"/>
    <col min="9" max="9" width="20" style="15" customWidth="1"/>
    <col min="10" max="10" width="6.44140625" style="7" customWidth="1"/>
    <col min="11" max="11" width="9" style="243" customWidth="1"/>
    <col min="12" max="12" width="24.109375" style="5" customWidth="1"/>
    <col min="13" max="13" width="9" style="5"/>
    <col min="14" max="14" width="9.21875" style="5" customWidth="1"/>
    <col min="15" max="16384" width="9" style="5"/>
  </cols>
  <sheetData>
    <row r="1" spans="1:14" ht="33.75" customHeight="1">
      <c r="B1" s="12" t="s">
        <v>185</v>
      </c>
      <c r="C1" s="12"/>
      <c r="D1" s="12"/>
      <c r="K1" s="239"/>
    </row>
    <row r="2" spans="1:14" s="2" customFormat="1" ht="26.25" customHeight="1">
      <c r="B2" s="13" t="s">
        <v>19</v>
      </c>
      <c r="C2" s="13"/>
      <c r="D2" s="13"/>
      <c r="F2" s="16"/>
      <c r="G2" s="47"/>
      <c r="H2" s="16"/>
      <c r="I2" s="84" t="s">
        <v>37</v>
      </c>
      <c r="J2" s="3"/>
      <c r="K2" s="240"/>
      <c r="L2" s="17"/>
    </row>
    <row r="3" spans="1:14" s="11" customFormat="1" ht="21.75" customHeight="1">
      <c r="B3" s="433" t="s">
        <v>4</v>
      </c>
      <c r="C3" s="433" t="s">
        <v>572</v>
      </c>
      <c r="D3" s="433" t="s">
        <v>17</v>
      </c>
      <c r="E3" s="433" t="s">
        <v>5</v>
      </c>
      <c r="F3" s="433" t="s">
        <v>35</v>
      </c>
      <c r="G3" s="433" t="s">
        <v>6</v>
      </c>
      <c r="H3" s="433" t="s">
        <v>7</v>
      </c>
      <c r="I3" s="433" t="s">
        <v>8</v>
      </c>
      <c r="J3" s="433" t="s">
        <v>9</v>
      </c>
      <c r="K3" s="447" t="s">
        <v>3</v>
      </c>
      <c r="L3" s="433" t="s">
        <v>10</v>
      </c>
    </row>
    <row r="4" spans="1:14" s="11" customFormat="1" ht="21.75" customHeight="1">
      <c r="B4" s="434"/>
      <c r="C4" s="434"/>
      <c r="D4" s="434"/>
      <c r="E4" s="434"/>
      <c r="F4" s="434"/>
      <c r="G4" s="434"/>
      <c r="H4" s="434"/>
      <c r="I4" s="434"/>
      <c r="J4" s="434"/>
      <c r="K4" s="448"/>
      <c r="L4" s="434"/>
      <c r="M4" s="98"/>
    </row>
    <row r="5" spans="1:14" s="11" customFormat="1">
      <c r="B5" s="96"/>
      <c r="C5" s="96"/>
      <c r="D5" s="96"/>
      <c r="E5" s="96"/>
      <c r="F5" s="96">
        <v>3</v>
      </c>
      <c r="G5" s="96">
        <v>4</v>
      </c>
      <c r="H5" s="96">
        <v>5</v>
      </c>
      <c r="I5" s="96">
        <v>6</v>
      </c>
      <c r="J5" s="96">
        <v>7</v>
      </c>
      <c r="K5" s="241"/>
      <c r="L5" s="96"/>
      <c r="M5" s="99"/>
      <c r="N5" s="100"/>
    </row>
    <row r="6" spans="1:14" ht="24" customHeight="1">
      <c r="A6" s="8">
        <v>1</v>
      </c>
      <c r="B6" s="9">
        <v>1</v>
      </c>
      <c r="C6" s="9"/>
      <c r="D6" s="46"/>
      <c r="E6" s="9" t="s">
        <v>300</v>
      </c>
      <c r="F6" s="56" t="str">
        <f>IFERROR(VLOOKUP($E6,임시동력입.출고현황!$A:$G,F$5,0),)</f>
        <v>D/G</v>
      </c>
      <c r="G6" s="18" t="str">
        <f>IFERROR(VLOOKUP($E6,임시동력입.출고현황!$A:$G,G$5,0),)</f>
        <v>Generator</v>
      </c>
      <c r="H6" s="18">
        <f>IFERROR(VLOOKUP($E6,임시동력입.출고현황!$A:$G,H$5,0),)</f>
        <v>0</v>
      </c>
      <c r="I6" s="18" t="str">
        <f>IFERROR(VLOOKUP($E6,임시동력입.출고현황!$A:$G,I$5,0),)</f>
        <v>400KVA</v>
      </c>
      <c r="J6" s="9" t="str">
        <f>IFERROR(VLOOKUP($E6,임시동력입.출고현황!$A:$G,J$5,0),)</f>
        <v>대</v>
      </c>
      <c r="K6" s="237">
        <v>2</v>
      </c>
      <c r="L6" s="238" t="s">
        <v>590</v>
      </c>
    </row>
    <row r="7" spans="1:14" ht="24" customHeight="1">
      <c r="A7" s="8">
        <v>2</v>
      </c>
      <c r="B7" s="9">
        <v>2</v>
      </c>
      <c r="C7" s="9"/>
      <c r="D7" s="46"/>
      <c r="E7" s="9" t="s">
        <v>280</v>
      </c>
      <c r="F7" s="56" t="str">
        <f>IFERROR(VLOOKUP($E7,임시동력입.출고현황!$A:$G,F$5,0),)</f>
        <v>D/G</v>
      </c>
      <c r="G7" s="18" t="str">
        <f>IFERROR(VLOOKUP($E7,임시동력입.출고현황!$A:$G,G$5,0),)</f>
        <v>Generator</v>
      </c>
      <c r="H7" s="18">
        <f>IFERROR(VLOOKUP($E7,임시동력입.출고현황!$A:$G,H$5,0),)</f>
        <v>0</v>
      </c>
      <c r="I7" s="18" t="str">
        <f>IFERROR(VLOOKUP($E7,임시동력입.출고현황!$A:$G,I$5,0),)</f>
        <v>300KVA</v>
      </c>
      <c r="J7" s="9" t="str">
        <f>IFERROR(VLOOKUP($E7,임시동력입.출고현황!$A:$G,J$5,0),)</f>
        <v>대</v>
      </c>
      <c r="K7" s="237">
        <v>19</v>
      </c>
      <c r="L7" s="238" t="s">
        <v>590</v>
      </c>
    </row>
    <row r="8" spans="1:14" ht="24" customHeight="1">
      <c r="A8" s="8">
        <v>3</v>
      </c>
      <c r="B8" s="9">
        <v>3</v>
      </c>
      <c r="C8" s="9"/>
      <c r="D8" s="46"/>
      <c r="E8" s="9" t="s">
        <v>281</v>
      </c>
      <c r="F8" s="56" t="str">
        <f>IFERROR(VLOOKUP($E8,임시동력입.출고현황!$A:$G,F$5,0),)</f>
        <v>D/G</v>
      </c>
      <c r="G8" s="18" t="str">
        <f>IFERROR(VLOOKUP($E8,임시동력입.출고현황!$A:$G,G$5,0),)</f>
        <v>Generator</v>
      </c>
      <c r="H8" s="18">
        <f>IFERROR(VLOOKUP($E8,임시동력입.출고현황!$A:$G,H$5,0),)</f>
        <v>0</v>
      </c>
      <c r="I8" s="18" t="str">
        <f>IFERROR(VLOOKUP($E8,임시동력입.출고현황!$A:$G,I$5,0),)</f>
        <v>150KVA</v>
      </c>
      <c r="J8" s="9" t="str">
        <f>IFERROR(VLOOKUP($E8,임시동력입.출고현황!$A:$G,J$5,0),)</f>
        <v>대</v>
      </c>
      <c r="K8" s="237">
        <v>16</v>
      </c>
      <c r="L8" s="238" t="s">
        <v>590</v>
      </c>
    </row>
    <row r="9" spans="1:14" ht="24" customHeight="1">
      <c r="A9" s="8">
        <v>4</v>
      </c>
      <c r="B9" s="9">
        <v>4</v>
      </c>
      <c r="C9" s="9"/>
      <c r="D9" s="46"/>
      <c r="E9" s="9" t="s">
        <v>282</v>
      </c>
      <c r="F9" s="56" t="str">
        <f>IFERROR(VLOOKUP($E9,임시동력입.출고현황!$A:$G,F$5,0),)</f>
        <v>D/G</v>
      </c>
      <c r="G9" s="18" t="str">
        <f>IFERROR(VLOOKUP($E9,임시동력입.출고현황!$A:$G,G$5,0),)</f>
        <v>Generator</v>
      </c>
      <c r="H9" s="18">
        <f>IFERROR(VLOOKUP($E9,임시동력입.출고현황!$A:$G,H$5,0),)</f>
        <v>0</v>
      </c>
      <c r="I9" s="18" t="str">
        <f>IFERROR(VLOOKUP($E9,임시동력입.출고현황!$A:$G,I$5,0),)</f>
        <v>100KVA</v>
      </c>
      <c r="J9" s="9" t="str">
        <f>IFERROR(VLOOKUP($E9,임시동력입.출고현황!$A:$G,J$5,0),)</f>
        <v>대</v>
      </c>
      <c r="K9" s="237">
        <v>1</v>
      </c>
      <c r="L9" s="238" t="s">
        <v>590</v>
      </c>
    </row>
    <row r="10" spans="1:14" ht="24" customHeight="1">
      <c r="A10" s="8">
        <v>5</v>
      </c>
      <c r="B10" s="9">
        <v>5</v>
      </c>
      <c r="C10" s="9"/>
      <c r="D10" s="46"/>
      <c r="E10" s="9" t="s">
        <v>283</v>
      </c>
      <c r="F10" s="56" t="str">
        <f>IFERROR(VLOOKUP($E10,임시동력입.출고현황!$A:$G,F$5,0),)</f>
        <v>D/G</v>
      </c>
      <c r="G10" s="18" t="str">
        <f>IFERROR(VLOOKUP($E10,임시동력입.출고현황!$A:$G,G$5,0),)</f>
        <v>Generator</v>
      </c>
      <c r="H10" s="18">
        <f>IFERROR(VLOOKUP($E10,임시동력입.출고현황!$A:$G,H$5,0),)</f>
        <v>0</v>
      </c>
      <c r="I10" s="18" t="str">
        <f>IFERROR(VLOOKUP($E10,임시동력입.출고현황!$A:$G,I$5,0),)</f>
        <v>80KVA</v>
      </c>
      <c r="J10" s="9" t="str">
        <f>IFERROR(VLOOKUP($E10,임시동력입.출고현황!$A:$G,J$5,0),)</f>
        <v>대</v>
      </c>
      <c r="K10" s="237">
        <v>4</v>
      </c>
      <c r="L10" s="238" t="s">
        <v>590</v>
      </c>
    </row>
    <row r="11" spans="1:14" ht="24" customHeight="1">
      <c r="A11" s="8">
        <v>6</v>
      </c>
      <c r="B11" s="9">
        <v>6</v>
      </c>
      <c r="C11" s="9"/>
      <c r="D11" s="46"/>
      <c r="E11" s="9" t="s">
        <v>284</v>
      </c>
      <c r="F11" s="56" t="str">
        <f>IFERROR(VLOOKUP($E11,임시동력입.출고현황!$A:$G,F$5,0),)</f>
        <v>D/G</v>
      </c>
      <c r="G11" s="18" t="str">
        <f>IFERROR(VLOOKUP($E11,임시동력입.출고현황!$A:$G,G$5,0),)</f>
        <v>Generator</v>
      </c>
      <c r="H11" s="18">
        <f>IFERROR(VLOOKUP($E11,임시동력입.출고현황!$A:$G,H$5,0),)</f>
        <v>0</v>
      </c>
      <c r="I11" s="18" t="str">
        <f>IFERROR(VLOOKUP($E11,임시동력입.출고현황!$A:$G,I$5,0),)</f>
        <v>50KVA</v>
      </c>
      <c r="J11" s="9" t="str">
        <f>IFERROR(VLOOKUP($E11,임시동력입.출고현황!$A:$G,J$5,0),)</f>
        <v>대</v>
      </c>
      <c r="K11" s="237">
        <v>2</v>
      </c>
      <c r="L11" s="238" t="s">
        <v>590</v>
      </c>
    </row>
    <row r="12" spans="1:14" ht="24" customHeight="1">
      <c r="A12" s="8">
        <v>7</v>
      </c>
      <c r="B12" s="9">
        <v>7</v>
      </c>
      <c r="C12" s="9"/>
      <c r="D12" s="46"/>
      <c r="E12" s="9" t="s">
        <v>301</v>
      </c>
      <c r="F12" s="56" t="str">
        <f>IFERROR(VLOOKUP($E12,임시동력입.출고현황!$A:$G,F$5,0),)</f>
        <v>Panel</v>
      </c>
      <c r="G12" s="18" t="str">
        <f>IFERROR(VLOOKUP($E12,임시동력입.출고현황!$A:$G,G$5,0),)</f>
        <v>Electrical Panel</v>
      </c>
      <c r="H12" s="18">
        <f>IFERROR(VLOOKUP($E12,임시동력입.출고현황!$A:$G,H$5,0),)</f>
        <v>0</v>
      </c>
      <c r="I12" s="18" t="str">
        <f>IFERROR(VLOOKUP($E12,임시동력입.출고현황!$A:$G,I$5,0),)</f>
        <v>800A</v>
      </c>
      <c r="J12" s="9" t="str">
        <f>IFERROR(VLOOKUP($E12,임시동력입.출고현황!$A:$G,J$5,0),)</f>
        <v>EA</v>
      </c>
      <c r="K12" s="237">
        <v>1</v>
      </c>
      <c r="L12" s="238" t="s">
        <v>590</v>
      </c>
    </row>
    <row r="13" spans="1:14" ht="24" customHeight="1">
      <c r="A13" s="8">
        <v>8</v>
      </c>
      <c r="B13" s="9">
        <v>8</v>
      </c>
      <c r="C13" s="9"/>
      <c r="D13" s="46"/>
      <c r="E13" s="9" t="s">
        <v>303</v>
      </c>
      <c r="F13" s="56" t="str">
        <f>IFERROR(VLOOKUP($E13,임시동력입.출고현황!$A:$G,F$5,0),)</f>
        <v>Panel</v>
      </c>
      <c r="G13" s="18" t="str">
        <f>IFERROR(VLOOKUP($E13,임시동력입.출고현황!$A:$G,G$5,0),)</f>
        <v>Electrical Panel</v>
      </c>
      <c r="H13" s="18">
        <f>IFERROR(VLOOKUP($E13,임시동력입.출고현황!$A:$G,H$5,0),)</f>
        <v>0</v>
      </c>
      <c r="I13" s="18" t="str">
        <f>IFERROR(VLOOKUP($E13,임시동력입.출고현황!$A:$G,I$5,0),)</f>
        <v>630A</v>
      </c>
      <c r="J13" s="9" t="str">
        <f>IFERROR(VLOOKUP($E13,임시동력입.출고현황!$A:$G,J$5,0),)</f>
        <v>EA</v>
      </c>
      <c r="K13" s="237">
        <v>5</v>
      </c>
      <c r="L13" s="238" t="s">
        <v>590</v>
      </c>
    </row>
    <row r="14" spans="1:14" ht="24" customHeight="1">
      <c r="A14" s="8">
        <v>9</v>
      </c>
      <c r="B14" s="9">
        <v>9</v>
      </c>
      <c r="C14" s="9"/>
      <c r="D14" s="46"/>
      <c r="E14" s="9" t="s">
        <v>304</v>
      </c>
      <c r="F14" s="56" t="str">
        <f>IFERROR(VLOOKUP($E14,임시동력입.출고현황!$A:$G,F$5,0),)</f>
        <v>Panel</v>
      </c>
      <c r="G14" s="18" t="str">
        <f>IFERROR(VLOOKUP($E14,임시동력입.출고현황!$A:$G,G$5,0),)</f>
        <v>Electrical Panel</v>
      </c>
      <c r="H14" s="18">
        <f>IFERROR(VLOOKUP($E14,임시동력입.출고현황!$A:$G,H$5,0),)</f>
        <v>0</v>
      </c>
      <c r="I14" s="18" t="str">
        <f>IFERROR(VLOOKUP($E14,임시동력입.출고현황!$A:$G,I$5,0),)</f>
        <v>400A</v>
      </c>
      <c r="J14" s="9" t="str">
        <f>IFERROR(VLOOKUP($E14,임시동력입.출고현황!$A:$G,J$5,0),)</f>
        <v>EA</v>
      </c>
      <c r="K14" s="237">
        <v>0</v>
      </c>
      <c r="L14" s="238" t="s">
        <v>590</v>
      </c>
    </row>
    <row r="15" spans="1:14" ht="24" customHeight="1">
      <c r="A15" s="8">
        <v>10</v>
      </c>
      <c r="B15" s="9">
        <v>10</v>
      </c>
      <c r="C15" s="9"/>
      <c r="D15" s="46"/>
      <c r="E15" s="9" t="s">
        <v>305</v>
      </c>
      <c r="F15" s="56" t="str">
        <f>IFERROR(VLOOKUP($E15,임시동력입.출고현황!$A:$G,F$5,0),)</f>
        <v>Panel</v>
      </c>
      <c r="G15" s="18" t="str">
        <f>IFERROR(VLOOKUP($E15,임시동력입.출고현황!$A:$G,G$5,0),)</f>
        <v>Electrical Panel</v>
      </c>
      <c r="H15" s="18">
        <f>IFERROR(VLOOKUP($E15,임시동력입.출고현황!$A:$G,H$5,0),)</f>
        <v>0</v>
      </c>
      <c r="I15" s="18" t="str">
        <f>IFERROR(VLOOKUP($E15,임시동력입.출고현황!$A:$G,I$5,0),)</f>
        <v>300A</v>
      </c>
      <c r="J15" s="9" t="str">
        <f>IFERROR(VLOOKUP($E15,임시동력입.출고현황!$A:$G,J$5,0),)</f>
        <v>EA</v>
      </c>
      <c r="K15" s="237">
        <v>4</v>
      </c>
      <c r="L15" s="238" t="s">
        <v>590</v>
      </c>
    </row>
    <row r="16" spans="1:14" ht="24" customHeight="1">
      <c r="A16" s="8">
        <v>11</v>
      </c>
      <c r="B16" s="9">
        <v>11</v>
      </c>
      <c r="C16" s="9"/>
      <c r="D16" s="46"/>
      <c r="E16" s="9" t="s">
        <v>306</v>
      </c>
      <c r="F16" s="56" t="str">
        <f>IFERROR(VLOOKUP($E16,임시동력입.출고현황!$A:$G,F$5,0),)</f>
        <v>Panel</v>
      </c>
      <c r="G16" s="18" t="str">
        <f>IFERROR(VLOOKUP($E16,임시동력입.출고현황!$A:$G,G$5,0),)</f>
        <v>Electrical Panel</v>
      </c>
      <c r="H16" s="18">
        <f>IFERROR(VLOOKUP($E16,임시동력입.출고현황!$A:$G,H$5,0),)</f>
        <v>0</v>
      </c>
      <c r="I16" s="18" t="str">
        <f>IFERROR(VLOOKUP($E16,임시동력입.출고현황!$A:$G,I$5,0),)</f>
        <v>250A</v>
      </c>
      <c r="J16" s="9" t="str">
        <f>IFERROR(VLOOKUP($E16,임시동력입.출고현황!$A:$G,J$5,0),)</f>
        <v>EA</v>
      </c>
      <c r="K16" s="237">
        <v>9</v>
      </c>
      <c r="L16" s="238" t="s">
        <v>590</v>
      </c>
    </row>
    <row r="17" spans="1:12" ht="24" customHeight="1">
      <c r="A17" s="8">
        <v>12</v>
      </c>
      <c r="B17" s="9">
        <v>12</v>
      </c>
      <c r="C17" s="9"/>
      <c r="D17" s="46"/>
      <c r="E17" s="9" t="s">
        <v>307</v>
      </c>
      <c r="F17" s="56" t="str">
        <f>IFERROR(VLOOKUP($E17,임시동력입.출고현황!$A:$G,F$5,0),)</f>
        <v>Panel</v>
      </c>
      <c r="G17" s="18" t="str">
        <f>IFERROR(VLOOKUP($E17,임시동력입.출고현황!$A:$G,G$5,0),)</f>
        <v>Electrical Panel</v>
      </c>
      <c r="H17" s="18">
        <f>IFERROR(VLOOKUP($E17,임시동력입.출고현황!$A:$G,H$5,0),)</f>
        <v>0</v>
      </c>
      <c r="I17" s="18" t="str">
        <f>IFERROR(VLOOKUP($E17,임시동력입.출고현황!$A:$G,I$5,0),)</f>
        <v>160A</v>
      </c>
      <c r="J17" s="9" t="str">
        <f>IFERROR(VLOOKUP($E17,임시동력입.출고현황!$A:$G,J$5,0),)</f>
        <v>EA</v>
      </c>
      <c r="K17" s="237">
        <v>31</v>
      </c>
      <c r="L17" s="238" t="s">
        <v>590</v>
      </c>
    </row>
    <row r="18" spans="1:12" ht="24" customHeight="1">
      <c r="A18" s="8">
        <v>13</v>
      </c>
      <c r="B18" s="9">
        <v>13</v>
      </c>
      <c r="C18" s="9"/>
      <c r="D18" s="46"/>
      <c r="E18" s="9" t="s">
        <v>308</v>
      </c>
      <c r="F18" s="56" t="str">
        <f>IFERROR(VLOOKUP($E18,임시동력입.출고현황!$A:$G,F$5,0),)</f>
        <v>Panel</v>
      </c>
      <c r="G18" s="18" t="str">
        <f>IFERROR(VLOOKUP($E18,임시동력입.출고현황!$A:$G,G$5,0),)</f>
        <v>Electrical Panel</v>
      </c>
      <c r="H18" s="18">
        <f>IFERROR(VLOOKUP($E18,임시동력입.출고현황!$A:$G,H$5,0),)</f>
        <v>0</v>
      </c>
      <c r="I18" s="18" t="str">
        <f>IFERROR(VLOOKUP($E18,임시동력입.출고현황!$A:$G,I$5,0),)</f>
        <v>125A</v>
      </c>
      <c r="J18" s="9" t="str">
        <f>IFERROR(VLOOKUP($E18,임시동력입.출고현황!$A:$G,J$5,0),)</f>
        <v>EA</v>
      </c>
      <c r="K18" s="237">
        <v>0</v>
      </c>
      <c r="L18" s="238" t="s">
        <v>590</v>
      </c>
    </row>
    <row r="19" spans="1:12" ht="24" customHeight="1">
      <c r="A19" s="8">
        <v>14</v>
      </c>
      <c r="B19" s="9">
        <v>14</v>
      </c>
      <c r="C19" s="9"/>
      <c r="D19" s="46"/>
      <c r="E19" s="9" t="s">
        <v>309</v>
      </c>
      <c r="F19" s="56">
        <f>IFERROR(VLOOKUP($E19,임시동력입.출고현황!$A:$G,F$5,0),)</f>
        <v>0</v>
      </c>
      <c r="G19" s="18">
        <f>IFERROR(VLOOKUP($E19,임시동력입.출고현황!$A:$G,G$5,0),)</f>
        <v>0</v>
      </c>
      <c r="H19" s="18">
        <f>IFERROR(VLOOKUP($E19,임시동력입.출고현황!$A:$G,H$5,0),)</f>
        <v>0</v>
      </c>
      <c r="I19" s="18">
        <f>IFERROR(VLOOKUP($E19,임시동력입.출고현황!$A:$G,I$5,0),)</f>
        <v>0</v>
      </c>
      <c r="J19" s="9">
        <f>IFERROR(VLOOKUP($E19,임시동력입.출고현황!$A:$G,J$5,0),)</f>
        <v>0</v>
      </c>
      <c r="K19" s="237">
        <v>0</v>
      </c>
      <c r="L19" s="238" t="s">
        <v>590</v>
      </c>
    </row>
    <row r="20" spans="1:12" ht="24" customHeight="1">
      <c r="A20" s="8">
        <v>15</v>
      </c>
      <c r="B20" s="9">
        <v>15</v>
      </c>
      <c r="C20" s="9"/>
      <c r="D20" s="46"/>
      <c r="E20" s="9" t="s">
        <v>310</v>
      </c>
      <c r="F20" s="56" t="str">
        <f>IFERROR(VLOOKUP($E20,임시동력입.출고현황!$A:$G,F$5,0),)</f>
        <v>Panel</v>
      </c>
      <c r="G20" s="18" t="str">
        <f>IFERROR(VLOOKUP($E20,임시동력입.출고현황!$A:$G,G$5,0),)</f>
        <v>Electrical Panel</v>
      </c>
      <c r="H20" s="18">
        <f>IFERROR(VLOOKUP($E20,임시동력입.출고현황!$A:$G,H$5,0),)</f>
        <v>0</v>
      </c>
      <c r="I20" s="18" t="str">
        <f>IFERROR(VLOOKUP($E20,임시동력입.출고현황!$A:$G,I$5,0),)</f>
        <v>100A</v>
      </c>
      <c r="J20" s="9" t="str">
        <f>IFERROR(VLOOKUP($E20,임시동력입.출고현황!$A:$G,J$5,0),)</f>
        <v>EA</v>
      </c>
      <c r="K20" s="237">
        <v>18</v>
      </c>
      <c r="L20" s="238" t="s">
        <v>590</v>
      </c>
    </row>
    <row r="21" spans="1:12" ht="24" customHeight="1">
      <c r="A21" s="8">
        <v>16</v>
      </c>
      <c r="B21" s="9">
        <v>16</v>
      </c>
      <c r="C21" s="9"/>
      <c r="D21" s="46"/>
      <c r="E21" s="9" t="s">
        <v>559</v>
      </c>
      <c r="F21" s="56" t="str">
        <f>IFERROR(VLOOKUP($E21,임시동력입.출고현황!$A:$G,F$5,0),)</f>
        <v>Panel</v>
      </c>
      <c r="G21" s="18" t="str">
        <f>IFERROR(VLOOKUP($E21,임시동력입.출고현황!$A:$G,G$5,0),)</f>
        <v>Electrical Panel</v>
      </c>
      <c r="H21" s="18">
        <f>IFERROR(VLOOKUP($E21,임시동력입.출고현황!$A:$G,H$5,0),)</f>
        <v>0</v>
      </c>
      <c r="I21" s="18" t="str">
        <f>IFERROR(VLOOKUP($E21,임시동력입.출고현황!$A:$G,I$5,0),)</f>
        <v>63A</v>
      </c>
      <c r="J21" s="9" t="str">
        <f>IFERROR(VLOOKUP($E21,임시동력입.출고현황!$A:$G,J$5,0),)</f>
        <v>EA</v>
      </c>
      <c r="K21" s="237"/>
      <c r="L21" s="238" t="s">
        <v>590</v>
      </c>
    </row>
    <row r="22" spans="1:12" ht="24" customHeight="1">
      <c r="A22" s="8">
        <v>17</v>
      </c>
      <c r="B22" s="9">
        <v>17</v>
      </c>
      <c r="C22" s="9"/>
      <c r="D22" s="46"/>
      <c r="E22" s="9" t="s">
        <v>311</v>
      </c>
      <c r="F22" s="56" t="str">
        <f>IFERROR(VLOOKUP($E22,임시동력입.출고현황!$A:$G,F$5,0),)</f>
        <v>Panel</v>
      </c>
      <c r="G22" s="18" t="str">
        <f>IFERROR(VLOOKUP($E22,임시동력입.출고현황!$A:$G,G$5,0),)</f>
        <v>Electrical Panel</v>
      </c>
      <c r="H22" s="18">
        <f>IFERROR(VLOOKUP($E22,임시동력입.출고현황!$A:$G,H$5,0),)</f>
        <v>0</v>
      </c>
      <c r="I22" s="18" t="str">
        <f>IFERROR(VLOOKUP($E22,임시동력입.출고현황!$A:$G,I$5,0),)</f>
        <v>50A</v>
      </c>
      <c r="J22" s="9" t="str">
        <f>IFERROR(VLOOKUP($E22,임시동력입.출고현황!$A:$G,J$5,0),)</f>
        <v>EA</v>
      </c>
      <c r="K22" s="237">
        <v>0</v>
      </c>
      <c r="L22" s="238" t="s">
        <v>590</v>
      </c>
    </row>
    <row r="23" spans="1:12" ht="24" customHeight="1">
      <c r="A23" s="8">
        <v>18</v>
      </c>
      <c r="B23" s="9">
        <v>18</v>
      </c>
      <c r="C23" s="9"/>
      <c r="D23" s="46"/>
      <c r="E23" s="9" t="s">
        <v>315</v>
      </c>
      <c r="F23" s="56" t="str">
        <f>IFERROR(VLOOKUP($E23,임시동력입.출고현황!$A:$G,F$5,0),)</f>
        <v>Panel</v>
      </c>
      <c r="G23" s="18" t="str">
        <f>IFERROR(VLOOKUP($E23,임시동력입.출고현황!$A:$G,G$5,0),)</f>
        <v>Electrical Panel</v>
      </c>
      <c r="H23" s="18">
        <f>IFERROR(VLOOKUP($E23,임시동력입.출고현황!$A:$G,H$5,0),)</f>
        <v>0</v>
      </c>
      <c r="I23" s="18" t="str">
        <f>IFERROR(VLOOKUP($E23,임시동력입.출고현황!$A:$G,I$5,0),)</f>
        <v>32A</v>
      </c>
      <c r="J23" s="9" t="str">
        <f>IFERROR(VLOOKUP($E23,임시동력입.출고현황!$A:$G,J$5,0),)</f>
        <v>EA</v>
      </c>
      <c r="K23" s="237">
        <v>0</v>
      </c>
      <c r="L23" s="238" t="s">
        <v>590</v>
      </c>
    </row>
    <row r="24" spans="1:12" ht="24" customHeight="1">
      <c r="A24" s="8">
        <v>19</v>
      </c>
      <c r="B24" s="9">
        <v>19</v>
      </c>
      <c r="C24" s="9"/>
      <c r="D24" s="46"/>
      <c r="E24" s="9" t="s">
        <v>365</v>
      </c>
      <c r="F24" s="56" t="str">
        <f>IFERROR(VLOOKUP($E24,임시동력입.출고현황!$A:$G,F$5,0),)</f>
        <v>Panel</v>
      </c>
      <c r="G24" s="18" t="str">
        <f>IFERROR(VLOOKUP($E24,임시동력입.출고현황!$A:$G,G$5,0),)</f>
        <v>MTS Panel</v>
      </c>
      <c r="H24" s="18">
        <f>IFERROR(VLOOKUP($E24,임시동력입.출고현황!$A:$G,H$5,0),)</f>
        <v>0</v>
      </c>
      <c r="I24" s="18" t="str">
        <f>IFERROR(VLOOKUP($E24,임시동력입.출고현황!$A:$G,I$5,0),)</f>
        <v>200A</v>
      </c>
      <c r="J24" s="9" t="str">
        <f>IFERROR(VLOOKUP($E24,임시동력입.출고현황!$A:$G,J$5,0),)</f>
        <v>EA</v>
      </c>
      <c r="K24" s="237">
        <v>-2</v>
      </c>
      <c r="L24" s="238" t="s">
        <v>590</v>
      </c>
    </row>
    <row r="25" spans="1:12" ht="24" customHeight="1">
      <c r="A25" s="8">
        <v>20</v>
      </c>
      <c r="B25" s="9">
        <v>20</v>
      </c>
      <c r="C25" s="9"/>
      <c r="D25" s="46"/>
      <c r="E25" s="9" t="s">
        <v>366</v>
      </c>
      <c r="F25" s="56" t="str">
        <f>IFERROR(VLOOKUP($E25,임시동력입.출고현황!$A:$G,F$5,0),)</f>
        <v>Panel</v>
      </c>
      <c r="G25" s="18" t="str">
        <f>IFERROR(VLOOKUP($E25,임시동력입.출고현황!$A:$G,G$5,0),)</f>
        <v>MTS Panel</v>
      </c>
      <c r="H25" s="18">
        <f>IFERROR(VLOOKUP($E25,임시동력입.출고현황!$A:$G,H$5,0),)</f>
        <v>0</v>
      </c>
      <c r="I25" s="18" t="str">
        <f>IFERROR(VLOOKUP($E25,임시동력입.출고현황!$A:$G,I$5,0),)</f>
        <v>100A</v>
      </c>
      <c r="J25" s="9" t="str">
        <f>IFERROR(VLOOKUP($E25,임시동력입.출고현황!$A:$G,J$5,0),)</f>
        <v>EA</v>
      </c>
      <c r="K25" s="237">
        <v>-1</v>
      </c>
      <c r="L25" s="238" t="s">
        <v>590</v>
      </c>
    </row>
    <row r="26" spans="1:12" ht="24" customHeight="1">
      <c r="A26" s="8">
        <v>21</v>
      </c>
      <c r="B26" s="9">
        <v>21</v>
      </c>
      <c r="C26" s="9"/>
      <c r="D26" s="46"/>
      <c r="E26" s="9" t="s">
        <v>317</v>
      </c>
      <c r="F26" s="56" t="str">
        <f>IFERROR(VLOOKUP($E26,임시동력입.출고현황!$A:$G,F$5,0),)</f>
        <v>Cable</v>
      </c>
      <c r="G26" s="18" t="str">
        <f>IFERROR(VLOOKUP($E26,임시동력입.출고현황!$A:$G,G$5,0),)</f>
        <v>AL Cable</v>
      </c>
      <c r="H26" s="18">
        <f>IFERROR(VLOOKUP($E26,임시동력입.출고현황!$A:$G,H$5,0),)</f>
        <v>0</v>
      </c>
      <c r="I26" s="18" t="str">
        <f>IFERROR(VLOOKUP($E26,임시동력입.출고현황!$A:$G,I$5,0),)</f>
        <v>3C x 240+120mm2 [ALU]</v>
      </c>
      <c r="J26" s="9" t="str">
        <f>IFERROR(VLOOKUP($E26,임시동력입.출고현황!$A:$G,J$5,0),)</f>
        <v>M</v>
      </c>
      <c r="K26" s="237">
        <v>100</v>
      </c>
      <c r="L26" s="238" t="s">
        <v>590</v>
      </c>
    </row>
    <row r="27" spans="1:12" ht="24" customHeight="1">
      <c r="A27" s="8">
        <v>22</v>
      </c>
      <c r="B27" s="9">
        <v>22</v>
      </c>
      <c r="C27" s="9"/>
      <c r="D27" s="46"/>
      <c r="E27" s="9" t="s">
        <v>565</v>
      </c>
      <c r="F27" s="56" t="str">
        <f>IFERROR(VLOOKUP($E27,임시동력입.출고현황!$A:$G,F$5,0),)</f>
        <v>Cable</v>
      </c>
      <c r="G27" s="18" t="str">
        <f>IFERROR(VLOOKUP($E27,임시동력입.출고현황!$A:$G,G$5,0),)</f>
        <v>AL Cable</v>
      </c>
      <c r="H27" s="18">
        <f>IFERROR(VLOOKUP($E27,임시동력입.출고현황!$A:$G,H$5,0),)</f>
        <v>0</v>
      </c>
      <c r="I27" s="18" t="str">
        <f>IFERROR(VLOOKUP($E27,임시동력입.출고현황!$A:$G,I$5,0),)</f>
        <v>3C x 185+95mm2 [ALU]</v>
      </c>
      <c r="J27" s="9" t="str">
        <f>IFERROR(VLOOKUP($E27,임시동력입.출고현황!$A:$G,J$5,0),)</f>
        <v>M</v>
      </c>
      <c r="K27" s="237">
        <v>5</v>
      </c>
      <c r="L27" s="238" t="s">
        <v>590</v>
      </c>
    </row>
    <row r="28" spans="1:12" ht="24" customHeight="1">
      <c r="A28" s="8">
        <v>23</v>
      </c>
      <c r="B28" s="9">
        <v>23</v>
      </c>
      <c r="C28" s="9"/>
      <c r="D28" s="46"/>
      <c r="E28" s="9" t="s">
        <v>318</v>
      </c>
      <c r="F28" s="56" t="str">
        <f>IFERROR(VLOOKUP($E28,임시동력입.출고현황!$A:$G,F$5,0),)</f>
        <v>Cable</v>
      </c>
      <c r="G28" s="18" t="str">
        <f>IFERROR(VLOOKUP($E28,임시동력입.출고현황!$A:$G,G$5,0),)</f>
        <v>AL Cable</v>
      </c>
      <c r="H28" s="18">
        <f>IFERROR(VLOOKUP($E28,임시동력입.출고현황!$A:$G,H$5,0),)</f>
        <v>0</v>
      </c>
      <c r="I28" s="18" t="str">
        <f>IFERROR(VLOOKUP($E28,임시동력입.출고현황!$A:$G,I$5,0),)</f>
        <v>3C x 150+70mm2 [ALU]</v>
      </c>
      <c r="J28" s="9" t="str">
        <f>IFERROR(VLOOKUP($E28,임시동력입.출고현황!$A:$G,J$5,0),)</f>
        <v>M</v>
      </c>
      <c r="K28" s="237">
        <v>500</v>
      </c>
      <c r="L28" s="238" t="s">
        <v>590</v>
      </c>
    </row>
    <row r="29" spans="1:12" ht="24" customHeight="1">
      <c r="A29" s="8">
        <v>24</v>
      </c>
      <c r="B29" s="9">
        <v>24</v>
      </c>
      <c r="C29" s="9"/>
      <c r="D29" s="46"/>
      <c r="E29" s="9" t="s">
        <v>319</v>
      </c>
      <c r="F29" s="56" t="str">
        <f>IFERROR(VLOOKUP($E29,임시동력입.출고현황!$A:$G,F$5,0),)</f>
        <v>Cable</v>
      </c>
      <c r="G29" s="18" t="str">
        <f>IFERROR(VLOOKUP($E29,임시동력입.출고현황!$A:$G,G$5,0),)</f>
        <v>AL Cable</v>
      </c>
      <c r="H29" s="18">
        <f>IFERROR(VLOOKUP($E29,임시동력입.출고현황!$A:$G,H$5,0),)</f>
        <v>0</v>
      </c>
      <c r="I29" s="18" t="str">
        <f>IFERROR(VLOOKUP($E29,임시동력입.출고현황!$A:$G,I$5,0),)</f>
        <v>3C x 120+70mm2 [ALU]</v>
      </c>
      <c r="J29" s="9" t="str">
        <f>IFERROR(VLOOKUP($E29,임시동력입.출고현황!$A:$G,J$5,0),)</f>
        <v>M</v>
      </c>
      <c r="K29" s="237">
        <v>-3</v>
      </c>
      <c r="L29" s="238" t="s">
        <v>590</v>
      </c>
    </row>
    <row r="30" spans="1:12" ht="24" customHeight="1">
      <c r="A30" s="8">
        <v>25</v>
      </c>
      <c r="B30" s="9">
        <v>25</v>
      </c>
      <c r="C30" s="9"/>
      <c r="D30" s="46"/>
      <c r="E30" s="9" t="s">
        <v>320</v>
      </c>
      <c r="F30" s="56" t="str">
        <f>IFERROR(VLOOKUP($E30,임시동력입.출고현황!$A:$G,F$5,0),)</f>
        <v>Cable</v>
      </c>
      <c r="G30" s="18" t="str">
        <f>IFERROR(VLOOKUP($E30,임시동력입.출고현황!$A:$G,G$5,0),)</f>
        <v>AL Cable</v>
      </c>
      <c r="H30" s="18">
        <f>IFERROR(VLOOKUP($E30,임시동력입.출고현황!$A:$G,H$5,0),)</f>
        <v>0</v>
      </c>
      <c r="I30" s="18" t="str">
        <f>IFERROR(VLOOKUP($E30,임시동력입.출고현황!$A:$G,I$5,0),)</f>
        <v>3C x 95+50mm2 [ALU]</v>
      </c>
      <c r="J30" s="9" t="str">
        <f>IFERROR(VLOOKUP($E30,임시동력입.출고현황!$A:$G,J$5,0),)</f>
        <v>M</v>
      </c>
      <c r="K30" s="237"/>
      <c r="L30" s="238" t="s">
        <v>590</v>
      </c>
    </row>
    <row r="31" spans="1:12" ht="24" customHeight="1">
      <c r="A31" s="8">
        <v>26</v>
      </c>
      <c r="B31" s="9">
        <v>26</v>
      </c>
      <c r="C31" s="9"/>
      <c r="D31" s="46"/>
      <c r="E31" s="9" t="s">
        <v>321</v>
      </c>
      <c r="F31" s="56" t="str">
        <f>IFERROR(VLOOKUP($E31,임시동력입.출고현황!$A:$G,F$5,0),)</f>
        <v>Cable</v>
      </c>
      <c r="G31" s="18" t="str">
        <f>IFERROR(VLOOKUP($E31,임시동력입.출고현황!$A:$G,G$5,0),)</f>
        <v>AL Cable</v>
      </c>
      <c r="H31" s="18">
        <f>IFERROR(VLOOKUP($E31,임시동력입.출고현황!$A:$G,H$5,0),)</f>
        <v>0</v>
      </c>
      <c r="I31" s="18" t="str">
        <f>IFERROR(VLOOKUP($E31,임시동력입.출고현황!$A:$G,I$5,0),)</f>
        <v>3C x 70+35mm2 [ALU]</v>
      </c>
      <c r="J31" s="9" t="str">
        <f>IFERROR(VLOOKUP($E31,임시동력입.출고현황!$A:$G,J$5,0),)</f>
        <v>M</v>
      </c>
      <c r="K31" s="237">
        <v>0</v>
      </c>
      <c r="L31" s="238" t="s">
        <v>590</v>
      </c>
    </row>
    <row r="32" spans="1:12" ht="24" customHeight="1">
      <c r="A32" s="8">
        <v>27</v>
      </c>
      <c r="B32" s="9">
        <v>27</v>
      </c>
      <c r="C32" s="9"/>
      <c r="D32" s="46"/>
      <c r="E32" s="9" t="s">
        <v>322</v>
      </c>
      <c r="F32" s="56" t="str">
        <f>IFERROR(VLOOKUP($E32,임시동력입.출고현황!$A:$G,F$5,0),)</f>
        <v>Cable</v>
      </c>
      <c r="G32" s="18" t="str">
        <f>IFERROR(VLOOKUP($E32,임시동력입.출고현황!$A:$G,G$5,0),)</f>
        <v>AL Cable</v>
      </c>
      <c r="H32" s="18">
        <f>IFERROR(VLOOKUP($E32,임시동력입.출고현황!$A:$G,H$5,0),)</f>
        <v>0</v>
      </c>
      <c r="I32" s="18" t="str">
        <f>IFERROR(VLOOKUP($E32,임시동력입.출고현황!$A:$G,I$5,0),)</f>
        <v>3C x 50+25mm2 [ALU]</v>
      </c>
      <c r="J32" s="9" t="str">
        <f>IFERROR(VLOOKUP($E32,임시동력입.출고현황!$A:$G,J$5,0),)</f>
        <v>M</v>
      </c>
      <c r="K32" s="237">
        <v>-5</v>
      </c>
      <c r="L32" s="238" t="s">
        <v>590</v>
      </c>
    </row>
    <row r="33" spans="1:12" ht="24" customHeight="1">
      <c r="A33" s="8">
        <v>28</v>
      </c>
      <c r="B33" s="9">
        <v>28</v>
      </c>
      <c r="C33" s="9"/>
      <c r="D33" s="46"/>
      <c r="E33" s="9" t="s">
        <v>323</v>
      </c>
      <c r="F33" s="56" t="str">
        <f>IFERROR(VLOOKUP($E33,임시동력입.출고현황!$A:$G,F$5,0),)</f>
        <v>Cable</v>
      </c>
      <c r="G33" s="18" t="str">
        <f>IFERROR(VLOOKUP($E33,임시동력입.출고현황!$A:$G,G$5,0),)</f>
        <v>AL Cable</v>
      </c>
      <c r="H33" s="18">
        <f>IFERROR(VLOOKUP($E33,임시동력입.출고현황!$A:$G,H$5,0),)</f>
        <v>0</v>
      </c>
      <c r="I33" s="18" t="str">
        <f>IFERROR(VLOOKUP($E33,임시동력입.출고현황!$A:$G,I$5,0),)</f>
        <v>4C x 35mm2 [ALU]</v>
      </c>
      <c r="J33" s="9" t="str">
        <f>IFERROR(VLOOKUP($E33,임시동력입.출고현황!$A:$G,J$5,0),)</f>
        <v>M</v>
      </c>
      <c r="K33" s="237">
        <v>0</v>
      </c>
      <c r="L33" s="238" t="s">
        <v>590</v>
      </c>
    </row>
    <row r="34" spans="1:12" ht="24" customHeight="1">
      <c r="A34" s="8">
        <v>29</v>
      </c>
      <c r="B34" s="9">
        <v>29</v>
      </c>
      <c r="C34" s="9"/>
      <c r="D34" s="46"/>
      <c r="E34" s="9" t="s">
        <v>324</v>
      </c>
      <c r="F34" s="56" t="str">
        <f>IFERROR(VLOOKUP($E34,임시동력입.출고현황!$A:$G,F$5,0),)</f>
        <v>Cable</v>
      </c>
      <c r="G34" s="18" t="str">
        <f>IFERROR(VLOOKUP($E34,임시동력입.출고현황!$A:$G,G$5,0),)</f>
        <v>CV Cable</v>
      </c>
      <c r="H34" s="18">
        <f>IFERROR(VLOOKUP($E34,임시동력입.출고현황!$A:$G,H$5,0),)</f>
        <v>0</v>
      </c>
      <c r="I34" s="18" t="str">
        <f>IFERROR(VLOOKUP($E34,임시동력입.출고현황!$A:$G,I$5,0),)</f>
        <v>3C X 185+95mm2</v>
      </c>
      <c r="J34" s="9" t="str">
        <f>IFERROR(VLOOKUP($E34,임시동력입.출고현황!$A:$G,J$5,0),)</f>
        <v>M</v>
      </c>
      <c r="K34" s="237">
        <v>78</v>
      </c>
      <c r="L34" s="238" t="s">
        <v>590</v>
      </c>
    </row>
    <row r="35" spans="1:12" ht="24" customHeight="1">
      <c r="A35" s="8">
        <v>30</v>
      </c>
      <c r="B35" s="9">
        <v>30</v>
      </c>
      <c r="C35" s="9"/>
      <c r="D35" s="46"/>
      <c r="E35" s="9" t="s">
        <v>566</v>
      </c>
      <c r="F35" s="56" t="str">
        <f>IFERROR(VLOOKUP($E35,임시동력입.출고현황!$A:$G,F$5,0),)</f>
        <v>Cable</v>
      </c>
      <c r="G35" s="18" t="str">
        <f>IFERROR(VLOOKUP($E35,임시동력입.출고현황!$A:$G,G$5,0),)</f>
        <v>CV Cable</v>
      </c>
      <c r="H35" s="18">
        <f>IFERROR(VLOOKUP($E35,임시동력입.출고현황!$A:$G,H$5,0),)</f>
        <v>0</v>
      </c>
      <c r="I35" s="18" t="str">
        <f>IFERROR(VLOOKUP($E35,임시동력입.출고현황!$A:$G,I$5,0),)</f>
        <v>3C X 95+50mm2</v>
      </c>
      <c r="J35" s="9" t="str">
        <f>IFERROR(VLOOKUP($E35,임시동력입.출고현황!$A:$G,J$5,0),)</f>
        <v>M</v>
      </c>
      <c r="K35" s="237">
        <v>0</v>
      </c>
      <c r="L35" s="238" t="s">
        <v>590</v>
      </c>
    </row>
    <row r="36" spans="1:12" ht="24" customHeight="1">
      <c r="A36" s="8">
        <v>31</v>
      </c>
      <c r="B36" s="9">
        <v>31</v>
      </c>
      <c r="C36" s="9"/>
      <c r="D36" s="46"/>
      <c r="E36" s="9" t="s">
        <v>325</v>
      </c>
      <c r="F36" s="56" t="str">
        <f>IFERROR(VLOOKUP($E36,임시동력입.출고현황!$A:$G,F$5,0),)</f>
        <v>Cable</v>
      </c>
      <c r="G36" s="18" t="str">
        <f>IFERROR(VLOOKUP($E36,임시동력입.출고현황!$A:$G,G$5,0),)</f>
        <v>CV Cable</v>
      </c>
      <c r="H36" s="18">
        <f>IFERROR(VLOOKUP($E36,임시동력입.출고현황!$A:$G,H$5,0),)</f>
        <v>0</v>
      </c>
      <c r="I36" s="18" t="str">
        <f>IFERROR(VLOOKUP($E36,임시동력입.출고현황!$A:$G,I$5,0),)</f>
        <v>3C X 70+35mm2</v>
      </c>
      <c r="J36" s="9" t="str">
        <f>IFERROR(VLOOKUP($E36,임시동력입.출고현황!$A:$G,J$5,0),)</f>
        <v>M</v>
      </c>
      <c r="K36" s="237">
        <v>20</v>
      </c>
      <c r="L36" s="238" t="s">
        <v>590</v>
      </c>
    </row>
    <row r="37" spans="1:12" ht="24" customHeight="1">
      <c r="A37" s="8">
        <v>32</v>
      </c>
      <c r="B37" s="9">
        <v>32</v>
      </c>
      <c r="C37" s="9"/>
      <c r="D37" s="46"/>
      <c r="E37" s="9" t="s">
        <v>326</v>
      </c>
      <c r="F37" s="56" t="str">
        <f>IFERROR(VLOOKUP($E37,임시동력입.출고현황!$A:$G,F$5,0),)</f>
        <v>Cable</v>
      </c>
      <c r="G37" s="18" t="str">
        <f>IFERROR(VLOOKUP($E37,임시동력입.출고현황!$A:$G,G$5,0),)</f>
        <v>CV Cable</v>
      </c>
      <c r="H37" s="18">
        <f>IFERROR(VLOOKUP($E37,임시동력입.출고현황!$A:$G,H$5,0),)</f>
        <v>0</v>
      </c>
      <c r="I37" s="18" t="str">
        <f>IFERROR(VLOOKUP($E37,임시동력입.출고현황!$A:$G,I$5,0),)</f>
        <v>3C X 50+25mm2</v>
      </c>
      <c r="J37" s="9" t="str">
        <f>IFERROR(VLOOKUP($E37,임시동력입.출고현황!$A:$G,J$5,0),)</f>
        <v>M</v>
      </c>
      <c r="K37" s="237">
        <v>244</v>
      </c>
      <c r="L37" s="238" t="s">
        <v>590</v>
      </c>
    </row>
    <row r="38" spans="1:12" ht="24" customHeight="1">
      <c r="A38" s="8">
        <v>33</v>
      </c>
      <c r="B38" s="9">
        <v>33</v>
      </c>
      <c r="C38" s="9"/>
      <c r="D38" s="46"/>
      <c r="E38" s="9" t="s">
        <v>327</v>
      </c>
      <c r="F38" s="56" t="str">
        <f>IFERROR(VLOOKUP($E38,임시동력입.출고현황!$A:$G,F$5,0),)</f>
        <v>Cable</v>
      </c>
      <c r="G38" s="18" t="str">
        <f>IFERROR(VLOOKUP($E38,임시동력입.출고현황!$A:$G,G$5,0),)</f>
        <v>CV Cable</v>
      </c>
      <c r="H38" s="18">
        <f>IFERROR(VLOOKUP($E38,임시동력입.출고현황!$A:$G,H$5,0),)</f>
        <v>0</v>
      </c>
      <c r="I38" s="18" t="str">
        <f>IFERROR(VLOOKUP($E38,임시동력입.출고현황!$A:$G,I$5,0),)</f>
        <v>4C x 35mm2</v>
      </c>
      <c r="J38" s="9" t="str">
        <f>IFERROR(VLOOKUP($E38,임시동력입.출고현황!$A:$G,J$5,0),)</f>
        <v>M</v>
      </c>
      <c r="K38" s="237">
        <v>462</v>
      </c>
      <c r="L38" s="238" t="s">
        <v>590</v>
      </c>
    </row>
    <row r="39" spans="1:12" ht="24" customHeight="1">
      <c r="A39" s="8">
        <v>34</v>
      </c>
      <c r="B39" s="9">
        <v>34</v>
      </c>
      <c r="C39" s="9"/>
      <c r="D39" s="46"/>
      <c r="E39" s="9" t="s">
        <v>328</v>
      </c>
      <c r="F39" s="56" t="str">
        <f>IFERROR(VLOOKUP($E39,임시동력입.출고현황!$A:$G,F$5,0),)</f>
        <v>Cable</v>
      </c>
      <c r="G39" s="18" t="str">
        <f>IFERROR(VLOOKUP($E39,임시동력입.출고현황!$A:$G,G$5,0),)</f>
        <v>CV Cable</v>
      </c>
      <c r="H39" s="18">
        <f>IFERROR(VLOOKUP($E39,임시동력입.출고현황!$A:$G,H$5,0),)</f>
        <v>0</v>
      </c>
      <c r="I39" s="18" t="str">
        <f>IFERROR(VLOOKUP($E39,임시동력입.출고현황!$A:$G,I$5,0),)</f>
        <v>4C x 25mm2</v>
      </c>
      <c r="J39" s="9" t="str">
        <f>IFERROR(VLOOKUP($E39,임시동력입.출고현황!$A:$G,J$5,0),)</f>
        <v>M</v>
      </c>
      <c r="K39" s="237">
        <v>0</v>
      </c>
      <c r="L39" s="238" t="s">
        <v>590</v>
      </c>
    </row>
    <row r="40" spans="1:12" ht="24" customHeight="1">
      <c r="A40" s="8">
        <v>35</v>
      </c>
      <c r="B40" s="9">
        <v>35</v>
      </c>
      <c r="C40" s="9"/>
      <c r="D40" s="46"/>
      <c r="E40" s="9" t="s">
        <v>329</v>
      </c>
      <c r="F40" s="56" t="str">
        <f>IFERROR(VLOOKUP($E40,임시동력입.출고현황!$A:$G,F$5,0),)</f>
        <v>Cable</v>
      </c>
      <c r="G40" s="18" t="str">
        <f>IFERROR(VLOOKUP($E40,임시동력입.출고현황!$A:$G,G$5,0),)</f>
        <v>CV Cable</v>
      </c>
      <c r="H40" s="18">
        <f>IFERROR(VLOOKUP($E40,임시동력입.출고현황!$A:$G,H$5,0),)</f>
        <v>0</v>
      </c>
      <c r="I40" s="18" t="str">
        <f>IFERROR(VLOOKUP($E40,임시동력입.출고현황!$A:$G,I$5,0),)</f>
        <v>4C x 16mm2</v>
      </c>
      <c r="J40" s="9" t="str">
        <f>IFERROR(VLOOKUP($E40,임시동력입.출고현황!$A:$G,J$5,0),)</f>
        <v>M</v>
      </c>
      <c r="K40" s="237">
        <v>1000</v>
      </c>
      <c r="L40" s="238" t="s">
        <v>590</v>
      </c>
    </row>
    <row r="41" spans="1:12" ht="24" customHeight="1">
      <c r="A41" s="8">
        <v>36</v>
      </c>
      <c r="B41" s="9">
        <v>36</v>
      </c>
      <c r="C41" s="9"/>
      <c r="D41" s="46"/>
      <c r="E41" s="9" t="s">
        <v>330</v>
      </c>
      <c r="F41" s="56" t="str">
        <f>IFERROR(VLOOKUP($E41,임시동력입.출고현황!$A:$G,F$5,0),)</f>
        <v>Cable</v>
      </c>
      <c r="G41" s="18" t="str">
        <f>IFERROR(VLOOKUP($E41,임시동력입.출고현황!$A:$G,G$5,0),)</f>
        <v>CV Cable</v>
      </c>
      <c r="H41" s="18">
        <f>IFERROR(VLOOKUP($E41,임시동력입.출고현황!$A:$G,H$5,0),)</f>
        <v>0</v>
      </c>
      <c r="I41" s="18" t="str">
        <f>IFERROR(VLOOKUP($E41,임시동력입.출고현황!$A:$G,I$5,0),)</f>
        <v>4C x 10mm2</v>
      </c>
      <c r="J41" s="9" t="str">
        <f>IFERROR(VLOOKUP($E41,임시동력입.출고현황!$A:$G,J$5,0),)</f>
        <v>M</v>
      </c>
      <c r="K41" s="237">
        <v>1500</v>
      </c>
      <c r="L41" s="238" t="s">
        <v>590</v>
      </c>
    </row>
    <row r="42" spans="1:12" ht="24" customHeight="1">
      <c r="A42" s="8">
        <v>37</v>
      </c>
      <c r="B42" s="9">
        <v>37</v>
      </c>
      <c r="C42" s="9"/>
      <c r="D42" s="46"/>
      <c r="E42" s="9" t="s">
        <v>331</v>
      </c>
      <c r="F42" s="56" t="str">
        <f>IFERROR(VLOOKUP($E42,임시동력입.출고현황!$A:$G,F$5,0),)</f>
        <v>Cable</v>
      </c>
      <c r="G42" s="18" t="str">
        <f>IFERROR(VLOOKUP($E42,임시동력입.출고현황!$A:$G,G$5,0),)</f>
        <v>CV Cable</v>
      </c>
      <c r="H42" s="18">
        <f>IFERROR(VLOOKUP($E42,임시동력입.출고현황!$A:$G,H$5,0),)</f>
        <v>0</v>
      </c>
      <c r="I42" s="18" t="str">
        <f>IFERROR(VLOOKUP($E42,임시동력입.출고현황!$A:$G,I$5,0),)</f>
        <v>4C x 6mm2</v>
      </c>
      <c r="J42" s="9" t="str">
        <f>IFERROR(VLOOKUP($E42,임시동력입.출고현황!$A:$G,J$5,0),)</f>
        <v>M</v>
      </c>
      <c r="K42" s="237">
        <v>2000</v>
      </c>
      <c r="L42" s="238" t="s">
        <v>590</v>
      </c>
    </row>
    <row r="43" spans="1:12" ht="24" customHeight="1">
      <c r="A43" s="8">
        <v>38</v>
      </c>
      <c r="B43" s="9">
        <v>38</v>
      </c>
      <c r="C43" s="9"/>
      <c r="D43" s="46"/>
      <c r="E43" s="9" t="s">
        <v>568</v>
      </c>
      <c r="F43" s="56" t="str">
        <f>IFERROR(VLOOKUP($E43,임시동력입.출고현황!$A:$G,F$5,0),)</f>
        <v>Cable</v>
      </c>
      <c r="G43" s="18" t="str">
        <f>IFERROR(VLOOKUP($E43,임시동력입.출고현황!$A:$G,G$5,0),)</f>
        <v>CV Cable</v>
      </c>
      <c r="H43" s="18">
        <f>IFERROR(VLOOKUP($E43,임시동력입.출고현황!$A:$G,H$5,0),)</f>
        <v>0</v>
      </c>
      <c r="I43" s="18" t="str">
        <f>IFERROR(VLOOKUP($E43,임시동력입.출고현황!$A:$G,I$5,0),)</f>
        <v>4C x 4mm2</v>
      </c>
      <c r="J43" s="9" t="str">
        <f>IFERROR(VLOOKUP($E43,임시동력입.출고현황!$A:$G,J$5,0),)</f>
        <v>M</v>
      </c>
      <c r="K43" s="237">
        <v>0</v>
      </c>
      <c r="L43" s="238" t="s">
        <v>590</v>
      </c>
    </row>
    <row r="44" spans="1:12" ht="24" customHeight="1">
      <c r="A44" s="8">
        <v>39</v>
      </c>
      <c r="B44" s="9">
        <v>39</v>
      </c>
      <c r="C44" s="9"/>
      <c r="D44" s="46"/>
      <c r="E44" s="9" t="s">
        <v>332</v>
      </c>
      <c r="F44" s="56" t="str">
        <f>IFERROR(VLOOKUP($E44,임시동력입.출고현황!$A:$G,F$5,0),)</f>
        <v>Cable</v>
      </c>
      <c r="G44" s="18" t="str">
        <f>IFERROR(VLOOKUP($E44,임시동력입.출고현황!$A:$G,G$5,0),)</f>
        <v>CV Cable</v>
      </c>
      <c r="H44" s="18">
        <f>IFERROR(VLOOKUP($E44,임시동력입.출고현황!$A:$G,H$5,0),)</f>
        <v>0</v>
      </c>
      <c r="I44" s="18" t="str">
        <f>IFERROR(VLOOKUP($E44,임시동력입.출고현황!$A:$G,I$5,0),)</f>
        <v>3C x 10mm2</v>
      </c>
      <c r="J44" s="9" t="str">
        <f>IFERROR(VLOOKUP($E44,임시동력입.출고현황!$A:$G,J$5,0),)</f>
        <v>M</v>
      </c>
      <c r="K44" s="237">
        <v>2623</v>
      </c>
      <c r="L44" s="238" t="s">
        <v>590</v>
      </c>
    </row>
    <row r="45" spans="1:12" ht="24" customHeight="1">
      <c r="A45" s="8">
        <v>40</v>
      </c>
      <c r="B45" s="9">
        <v>40</v>
      </c>
      <c r="C45" s="9"/>
      <c r="D45" s="46"/>
      <c r="E45" s="9" t="s">
        <v>333</v>
      </c>
      <c r="F45" s="56" t="str">
        <f>IFERROR(VLOOKUP($E45,임시동력입.출고현황!$A:$G,F$5,0),)</f>
        <v>Cable</v>
      </c>
      <c r="G45" s="18" t="str">
        <f>IFERROR(VLOOKUP($E45,임시동력입.출고현황!$A:$G,G$5,0),)</f>
        <v>CV Cable</v>
      </c>
      <c r="H45" s="18">
        <f>IFERROR(VLOOKUP($E45,임시동력입.출고현황!$A:$G,H$5,0),)</f>
        <v>0</v>
      </c>
      <c r="I45" s="18" t="str">
        <f>IFERROR(VLOOKUP($E45,임시동력입.출고현황!$A:$G,I$5,0),)</f>
        <v>3C x 6mm2</v>
      </c>
      <c r="J45" s="9" t="str">
        <f>IFERROR(VLOOKUP($E45,임시동력입.출고현황!$A:$G,J$5,0),)</f>
        <v>M</v>
      </c>
      <c r="K45" s="237">
        <v>1500</v>
      </c>
      <c r="L45" s="238" t="s">
        <v>590</v>
      </c>
    </row>
    <row r="46" spans="1:12" ht="24" customHeight="1">
      <c r="A46" s="8">
        <v>41</v>
      </c>
      <c r="B46" s="9">
        <v>41</v>
      </c>
      <c r="C46" s="9"/>
      <c r="D46" s="46"/>
      <c r="E46" s="9" t="s">
        <v>334</v>
      </c>
      <c r="F46" s="56" t="str">
        <f>IFERROR(VLOOKUP($E46,임시동력입.출고현황!$A:$G,F$5,0),)</f>
        <v>Cable</v>
      </c>
      <c r="G46" s="18" t="str">
        <f>IFERROR(VLOOKUP($E46,임시동력입.출고현황!$A:$G,G$5,0),)</f>
        <v>CV Cable</v>
      </c>
      <c r="H46" s="18">
        <f>IFERROR(VLOOKUP($E46,임시동력입.출고현황!$A:$G,H$5,0),)</f>
        <v>0</v>
      </c>
      <c r="I46" s="18" t="str">
        <f>IFERROR(VLOOKUP($E46,임시동력입.출고현황!$A:$G,I$5,0),)</f>
        <v>3C x 4mm2</v>
      </c>
      <c r="J46" s="9" t="str">
        <f>IFERROR(VLOOKUP($E46,임시동력입.출고현황!$A:$G,J$5,0),)</f>
        <v>M</v>
      </c>
      <c r="K46" s="237">
        <v>1045</v>
      </c>
      <c r="L46" s="238" t="s">
        <v>590</v>
      </c>
    </row>
    <row r="47" spans="1:12" ht="24" customHeight="1">
      <c r="A47" s="8">
        <v>42</v>
      </c>
      <c r="B47" s="9">
        <v>42</v>
      </c>
      <c r="C47" s="9"/>
      <c r="D47" s="46"/>
      <c r="E47" s="9" t="s">
        <v>411</v>
      </c>
      <c r="F47" s="56" t="str">
        <f>IFERROR(VLOOKUP($E47,임시동력입.출고현황!$A:$G,F$5,0),)</f>
        <v>Cable</v>
      </c>
      <c r="G47" s="18" t="str">
        <f>IFERROR(VLOOKUP($E47,임시동력입.출고현황!$A:$G,G$5,0),)</f>
        <v>CV Cable</v>
      </c>
      <c r="H47" s="18">
        <f>IFERROR(VLOOKUP($E47,임시동력입.출고현황!$A:$G,H$5,0),)</f>
        <v>0</v>
      </c>
      <c r="I47" s="18" t="str">
        <f>IFERROR(VLOOKUP($E47,임시동력입.출고현황!$A:$G,I$5,0),)</f>
        <v>3C x 3mm2</v>
      </c>
      <c r="J47" s="9" t="str">
        <f>IFERROR(VLOOKUP($E47,임시동력입.출고현황!$A:$G,J$5,0),)</f>
        <v>M</v>
      </c>
      <c r="K47" s="237">
        <v>1998</v>
      </c>
      <c r="L47" s="238" t="s">
        <v>590</v>
      </c>
    </row>
    <row r="48" spans="1:12" ht="24" customHeight="1">
      <c r="A48" s="8">
        <v>43</v>
      </c>
      <c r="B48" s="9">
        <v>43</v>
      </c>
      <c r="C48" s="9"/>
      <c r="D48" s="46"/>
      <c r="E48" s="9" t="s">
        <v>335</v>
      </c>
      <c r="F48" s="56" t="str">
        <f>IFERROR(VLOOKUP($E48,임시동력입.출고현황!$A:$G,F$5,0),)</f>
        <v>Cable</v>
      </c>
      <c r="G48" s="18" t="str">
        <f>IFERROR(VLOOKUP($E48,임시동력입.출고현황!$A:$G,G$5,0),)</f>
        <v>CV Cable</v>
      </c>
      <c r="H48" s="18">
        <f>IFERROR(VLOOKUP($E48,임시동력입.출고현황!$A:$G,H$5,0),)</f>
        <v>0</v>
      </c>
      <c r="I48" s="18" t="str">
        <f>IFERROR(VLOOKUP($E48,임시동력입.출고현황!$A:$G,I$5,0),)</f>
        <v>3C x 2.5mm2</v>
      </c>
      <c r="J48" s="9" t="str">
        <f>IFERROR(VLOOKUP($E48,임시동력입.출고현황!$A:$G,J$5,0),)</f>
        <v>M</v>
      </c>
      <c r="K48" s="237">
        <v>2039</v>
      </c>
      <c r="L48" s="238" t="s">
        <v>590</v>
      </c>
    </row>
    <row r="49" spans="1:12" ht="24" customHeight="1">
      <c r="A49" s="8">
        <v>44</v>
      </c>
      <c r="B49" s="9">
        <v>44</v>
      </c>
      <c r="C49" s="9"/>
      <c r="D49" s="46"/>
      <c r="E49" s="9" t="s">
        <v>336</v>
      </c>
      <c r="F49" s="56" t="str">
        <f>IFERROR(VLOOKUP($E49,임시동력입.출고현황!$A:$G,F$5,0),)</f>
        <v>Cable</v>
      </c>
      <c r="G49" s="18" t="str">
        <f>IFERROR(VLOOKUP($E49,임시동력입.출고현황!$A:$G,G$5,0),)</f>
        <v>CV Cable</v>
      </c>
      <c r="H49" s="18">
        <f>IFERROR(VLOOKUP($E49,임시동력입.출고현황!$A:$G,H$5,0),)</f>
        <v>0</v>
      </c>
      <c r="I49" s="18" t="str">
        <f>IFERROR(VLOOKUP($E49,임시동력입.출고현황!$A:$G,I$5,0),)</f>
        <v>3C x 1.5mm2</v>
      </c>
      <c r="J49" s="9" t="str">
        <f>IFERROR(VLOOKUP($E49,임시동력입.출고현황!$A:$G,J$5,0),)</f>
        <v>M</v>
      </c>
      <c r="K49" s="237">
        <v>-22</v>
      </c>
      <c r="L49" s="238" t="s">
        <v>590</v>
      </c>
    </row>
    <row r="50" spans="1:12" ht="24" customHeight="1">
      <c r="A50" s="8">
        <v>45</v>
      </c>
      <c r="B50" s="9">
        <v>45</v>
      </c>
      <c r="C50" s="9"/>
      <c r="D50" s="46"/>
      <c r="E50" s="9" t="s">
        <v>337</v>
      </c>
      <c r="F50" s="56" t="str">
        <f>IFERROR(VLOOKUP($E50,임시동력입.출고현황!$A:$G,F$5,0),)</f>
        <v>Cable</v>
      </c>
      <c r="G50" s="18" t="str">
        <f>IFERROR(VLOOKUP($E50,임시동력입.출고현황!$A:$G,G$5,0),)</f>
        <v>CV Cable</v>
      </c>
      <c r="H50" s="18">
        <f>IFERROR(VLOOKUP($E50,임시동력입.출고현황!$A:$G,H$5,0),)</f>
        <v>0</v>
      </c>
      <c r="I50" s="18" t="str">
        <f>IFERROR(VLOOKUP($E50,임시동력입.출고현황!$A:$G,I$5,0),)</f>
        <v>2C x 16mm2</v>
      </c>
      <c r="J50" s="9" t="str">
        <f>IFERROR(VLOOKUP($E50,임시동력입.출고현황!$A:$G,J$5,0),)</f>
        <v>M</v>
      </c>
      <c r="K50" s="237">
        <v>-1837</v>
      </c>
      <c r="L50" s="238" t="s">
        <v>590</v>
      </c>
    </row>
    <row r="51" spans="1:12" ht="24" customHeight="1">
      <c r="A51" s="8">
        <v>46</v>
      </c>
      <c r="B51" s="9">
        <v>46</v>
      </c>
      <c r="C51" s="9"/>
      <c r="D51" s="46"/>
      <c r="E51" s="9" t="s">
        <v>342</v>
      </c>
      <c r="F51" s="56" t="str">
        <f>IFERROR(VLOOKUP($E51,임시동력입.출고현황!$A:$G,F$5,0),)</f>
        <v>Cable</v>
      </c>
      <c r="G51" s="18" t="str">
        <f>IFERROR(VLOOKUP($E51,임시동력입.출고현황!$A:$G,G$5,0),)</f>
        <v>Grounding Cable</v>
      </c>
      <c r="H51" s="18">
        <f>IFERROR(VLOOKUP($E51,임시동력입.출고현황!$A:$G,H$5,0),)</f>
        <v>0</v>
      </c>
      <c r="I51" s="18" t="str">
        <f>IFERROR(VLOOKUP($E51,임시동력입.출고현황!$A:$G,I$5,0),)</f>
        <v>1C x 70mm2</v>
      </c>
      <c r="J51" s="9" t="str">
        <f>IFERROR(VLOOKUP($E51,임시동력입.출고현황!$A:$G,J$5,0),)</f>
        <v>M</v>
      </c>
      <c r="K51" s="237">
        <v>500</v>
      </c>
      <c r="L51" s="238" t="s">
        <v>590</v>
      </c>
    </row>
    <row r="52" spans="1:12" ht="24" customHeight="1">
      <c r="A52" s="8">
        <v>47</v>
      </c>
      <c r="B52" s="9">
        <v>47</v>
      </c>
      <c r="C52" s="9"/>
      <c r="D52" s="46"/>
      <c r="E52" s="9" t="s">
        <v>343</v>
      </c>
      <c r="F52" s="56" t="str">
        <f>IFERROR(VLOOKUP($E52,임시동력입.출고현황!$A:$G,F$5,0),)</f>
        <v>Cable</v>
      </c>
      <c r="G52" s="18" t="str">
        <f>IFERROR(VLOOKUP($E52,임시동력입.출고현황!$A:$G,G$5,0),)</f>
        <v>Grounding Cable</v>
      </c>
      <c r="H52" s="18">
        <f>IFERROR(VLOOKUP($E52,임시동력입.출고현황!$A:$G,H$5,0),)</f>
        <v>0</v>
      </c>
      <c r="I52" s="18" t="str">
        <f>IFERROR(VLOOKUP($E52,임시동력입.출고현황!$A:$G,I$5,0),)</f>
        <v>1C x 35mm2</v>
      </c>
      <c r="J52" s="9" t="str">
        <f>IFERROR(VLOOKUP($E52,임시동력입.출고현황!$A:$G,J$5,0),)</f>
        <v>M</v>
      </c>
      <c r="K52" s="237">
        <v>500</v>
      </c>
      <c r="L52" s="238" t="s">
        <v>590</v>
      </c>
    </row>
    <row r="53" spans="1:12" ht="24" customHeight="1">
      <c r="A53" s="8">
        <v>48</v>
      </c>
      <c r="B53" s="9">
        <v>48</v>
      </c>
      <c r="C53" s="9"/>
      <c r="D53" s="46"/>
      <c r="E53" s="9" t="s">
        <v>344</v>
      </c>
      <c r="F53" s="56" t="str">
        <f>IFERROR(VLOOKUP($E53,임시동력입.출고현황!$A:$G,F$5,0),)</f>
        <v>Cable</v>
      </c>
      <c r="G53" s="18" t="str">
        <f>IFERROR(VLOOKUP($E53,임시동력입.출고현황!$A:$G,G$5,0),)</f>
        <v>Grounding Cable</v>
      </c>
      <c r="H53" s="18">
        <f>IFERROR(VLOOKUP($E53,임시동력입.출고현황!$A:$G,H$5,0),)</f>
        <v>0</v>
      </c>
      <c r="I53" s="18" t="str">
        <f>IFERROR(VLOOKUP($E53,임시동력입.출고현황!$A:$G,I$5,0),)</f>
        <v>1C x 25mm2</v>
      </c>
      <c r="J53" s="9" t="str">
        <f>IFERROR(VLOOKUP($E53,임시동력입.출고현황!$A:$G,J$5,0),)</f>
        <v>M</v>
      </c>
      <c r="K53" s="237">
        <v>500</v>
      </c>
      <c r="L53" s="238" t="s">
        <v>590</v>
      </c>
    </row>
    <row r="54" spans="1:12" ht="24" customHeight="1">
      <c r="A54" s="8">
        <v>49</v>
      </c>
      <c r="B54" s="9">
        <v>49</v>
      </c>
      <c r="C54" s="9"/>
      <c r="D54" s="46"/>
      <c r="E54" s="9" t="s">
        <v>345</v>
      </c>
      <c r="F54" s="56" t="str">
        <f>IFERROR(VLOOKUP($E54,임시동력입.출고현황!$A:$G,F$5,0),)</f>
        <v>Cable</v>
      </c>
      <c r="G54" s="18" t="str">
        <f>IFERROR(VLOOKUP($E54,임시동력입.출고현황!$A:$G,G$5,0),)</f>
        <v>Grounding Cable</v>
      </c>
      <c r="H54" s="18">
        <f>IFERROR(VLOOKUP($E54,임시동력입.출고현황!$A:$G,H$5,0),)</f>
        <v>0</v>
      </c>
      <c r="I54" s="18" t="str">
        <f>IFERROR(VLOOKUP($E54,임시동력입.출고현황!$A:$G,I$5,0),)</f>
        <v>1C x 16mm2</v>
      </c>
      <c r="J54" s="9" t="str">
        <f>IFERROR(VLOOKUP($E54,임시동력입.출고현황!$A:$G,J$5,0),)</f>
        <v>M</v>
      </c>
      <c r="K54" s="237">
        <v>0</v>
      </c>
      <c r="L54" s="238" t="s">
        <v>590</v>
      </c>
    </row>
    <row r="55" spans="1:12" ht="24" customHeight="1">
      <c r="A55" s="8">
        <v>50</v>
      </c>
      <c r="B55" s="9">
        <v>50</v>
      </c>
      <c r="C55" s="9"/>
      <c r="D55" s="46"/>
      <c r="E55" s="9" t="s">
        <v>346</v>
      </c>
      <c r="F55" s="56" t="str">
        <f>IFERROR(VLOOKUP($E55,임시동력입.출고현황!$A:$G,F$5,0),)</f>
        <v>Cable</v>
      </c>
      <c r="G55" s="18" t="str">
        <f>IFERROR(VLOOKUP($E55,임시동력입.출고현황!$A:$G,G$5,0),)</f>
        <v>Grounding Cable</v>
      </c>
      <c r="H55" s="18">
        <f>IFERROR(VLOOKUP($E55,임시동력입.출고현황!$A:$G,H$5,0),)</f>
        <v>0</v>
      </c>
      <c r="I55" s="18" t="str">
        <f>IFERROR(VLOOKUP($E55,임시동력입.출고현황!$A:$G,I$5,0),)</f>
        <v>1C x 10mm2</v>
      </c>
      <c r="J55" s="9" t="str">
        <f>IFERROR(VLOOKUP($E55,임시동력입.출고현황!$A:$G,J$5,0),)</f>
        <v>M</v>
      </c>
      <c r="K55" s="237">
        <v>700</v>
      </c>
      <c r="L55" s="238" t="s">
        <v>590</v>
      </c>
    </row>
    <row r="56" spans="1:12" ht="24" customHeight="1">
      <c r="A56" s="8">
        <v>51</v>
      </c>
      <c r="B56" s="9">
        <v>51</v>
      </c>
      <c r="C56" s="9"/>
      <c r="D56" s="46"/>
      <c r="E56" s="9" t="s">
        <v>341</v>
      </c>
      <c r="F56" s="56" t="str">
        <f>IFERROR(VLOOKUP($E56,임시동력입.출고현황!$A:$G,F$5,0),)</f>
        <v>LTG</v>
      </c>
      <c r="G56" s="18" t="str">
        <f>IFERROR(VLOOKUP($E56,임시동력입.출고현황!$A:$G,G$5,0),)</f>
        <v>Lighting Fixture</v>
      </c>
      <c r="H56" s="18">
        <f>IFERROR(VLOOKUP($E56,임시동력입.출고현황!$A:$G,H$5,0),)</f>
        <v>0</v>
      </c>
      <c r="I56" s="18" t="str">
        <f>IFERROR(VLOOKUP($E56,임시동력입.출고현황!$A:$G,I$5,0),)</f>
        <v>400W</v>
      </c>
      <c r="J56" s="9" t="str">
        <f>IFERROR(VLOOKUP($E56,임시동력입.출고현황!$A:$G,J$5,0),)</f>
        <v>EA</v>
      </c>
      <c r="K56" s="237">
        <v>300</v>
      </c>
      <c r="L56" s="238" t="s">
        <v>590</v>
      </c>
    </row>
    <row r="57" spans="1:12" ht="24" customHeight="1">
      <c r="A57" s="8">
        <v>52</v>
      </c>
      <c r="B57" s="9">
        <v>52</v>
      </c>
      <c r="C57" s="9"/>
      <c r="D57" s="46"/>
      <c r="E57" s="9" t="s">
        <v>347</v>
      </c>
      <c r="F57" s="56" t="str">
        <f>IFERROR(VLOOKUP($E57,임시동력입.출고현황!$A:$G,F$5,0),)</f>
        <v>LTG</v>
      </c>
      <c r="G57" s="18" t="str">
        <f>IFERROR(VLOOKUP($E57,임시동력입.출고현황!$A:$G,G$5,0),)</f>
        <v>Lighting Fixture</v>
      </c>
      <c r="H57" s="18">
        <f>IFERROR(VLOOKUP($E57,임시동력입.출고현황!$A:$G,H$5,0),)</f>
        <v>0</v>
      </c>
      <c r="I57" s="18" t="str">
        <f>IFERROR(VLOOKUP($E57,임시동력입.출고현황!$A:$G,I$5,0),)</f>
        <v>200W</v>
      </c>
      <c r="J57" s="9" t="str">
        <f>IFERROR(VLOOKUP($E57,임시동력입.출고현황!$A:$G,J$5,0),)</f>
        <v>EA</v>
      </c>
      <c r="K57" s="237">
        <v>314</v>
      </c>
      <c r="L57" s="238" t="s">
        <v>590</v>
      </c>
    </row>
    <row r="58" spans="1:12" ht="24" customHeight="1">
      <c r="A58" s="8">
        <v>53</v>
      </c>
      <c r="B58" s="9">
        <v>53</v>
      </c>
      <c r="C58" s="9"/>
      <c r="D58" s="46"/>
      <c r="E58" s="9" t="s">
        <v>348</v>
      </c>
      <c r="F58" s="56" t="str">
        <f>IFERROR(VLOOKUP($E58,임시동력입.출고현황!$A:$G,F$5,0),)</f>
        <v>LTG</v>
      </c>
      <c r="G58" s="18" t="str">
        <f>IFERROR(VLOOKUP($E58,임시동력입.출고현황!$A:$G,G$5,0),)</f>
        <v>Lighting Fixture</v>
      </c>
      <c r="H58" s="18">
        <f>IFERROR(VLOOKUP($E58,임시동력입.출고현황!$A:$G,H$5,0),)</f>
        <v>0</v>
      </c>
      <c r="I58" s="18" t="str">
        <f>IFERROR(VLOOKUP($E58,임시동력입.출고현황!$A:$G,I$5,0),)</f>
        <v>100W</v>
      </c>
      <c r="J58" s="9" t="str">
        <f>IFERROR(VLOOKUP($E58,임시동력입.출고현황!$A:$G,J$5,0),)</f>
        <v>EA</v>
      </c>
      <c r="K58" s="237">
        <v>200</v>
      </c>
      <c r="L58" s="238" t="s">
        <v>590</v>
      </c>
    </row>
    <row r="59" spans="1:12" ht="24" customHeight="1">
      <c r="A59" s="8">
        <v>54</v>
      </c>
      <c r="B59" s="9">
        <v>54</v>
      </c>
      <c r="C59" s="9"/>
      <c r="D59" s="46"/>
      <c r="E59" s="9" t="s">
        <v>349</v>
      </c>
      <c r="F59" s="56" t="str">
        <f>IFERROR(VLOOKUP($E59,임시동력입.출고현황!$A:$G,F$5,0),)</f>
        <v>LTG</v>
      </c>
      <c r="G59" s="18" t="str">
        <f>IFERROR(VLOOKUP($E59,임시동력입.출고현황!$A:$G,G$5,0),)</f>
        <v>Lighting Fixture</v>
      </c>
      <c r="H59" s="18">
        <f>IFERROR(VLOOKUP($E59,임시동력입.출고현황!$A:$G,H$5,0),)</f>
        <v>0</v>
      </c>
      <c r="I59" s="18" t="str">
        <f>IFERROR(VLOOKUP($E59,임시동력입.출고현황!$A:$G,I$5,0),)</f>
        <v>50W</v>
      </c>
      <c r="J59" s="9" t="str">
        <f>IFERROR(VLOOKUP($E59,임시동력입.출고현황!$A:$G,J$5,0),)</f>
        <v>EA</v>
      </c>
      <c r="K59" s="237">
        <v>0</v>
      </c>
      <c r="L59" s="238" t="s">
        <v>590</v>
      </c>
    </row>
    <row r="60" spans="1:12" ht="24" customHeight="1">
      <c r="A60" s="8">
        <v>55</v>
      </c>
      <c r="B60" s="9">
        <v>55</v>
      </c>
      <c r="C60" s="9"/>
      <c r="D60" s="46"/>
      <c r="E60" s="9" t="s">
        <v>555</v>
      </c>
      <c r="F60" s="56" t="str">
        <f>IFERROR(VLOOKUP($E60,임시동력입.출고현황!$A:$G,F$5,0),)</f>
        <v>MCB</v>
      </c>
      <c r="G60" s="18" t="str">
        <f>IFERROR(VLOOKUP($E60,임시동력입.출고현황!$A:$G,G$5,0),)</f>
        <v>MCB</v>
      </c>
      <c r="H60" s="18">
        <f>IFERROR(VLOOKUP($E60,임시동력입.출고현황!$A:$G,H$5,0),)</f>
        <v>0</v>
      </c>
      <c r="I60" s="18" t="str">
        <f>IFERROR(VLOOKUP($E60,임시동력입.출고현황!$A:$G,I$5,0),)</f>
        <v>1P - 16A</v>
      </c>
      <c r="J60" s="9" t="str">
        <f>IFERROR(VLOOKUP($E60,임시동력입.출고현황!$A:$G,J$5,0),)</f>
        <v>EA</v>
      </c>
      <c r="K60" s="237">
        <v>0</v>
      </c>
      <c r="L60" s="238" t="s">
        <v>590</v>
      </c>
    </row>
    <row r="61" spans="1:12" ht="24" customHeight="1">
      <c r="A61" s="8">
        <v>56</v>
      </c>
      <c r="B61" s="9">
        <v>56</v>
      </c>
      <c r="C61" s="9"/>
      <c r="D61" s="46"/>
      <c r="E61" s="9" t="s">
        <v>476</v>
      </c>
      <c r="F61" s="56" t="str">
        <f>IFERROR(VLOOKUP($E61,임시동력입.출고현황!$A:$G,F$5,0),)</f>
        <v>MCB</v>
      </c>
      <c r="G61" s="18" t="str">
        <f>IFERROR(VLOOKUP($E61,임시동력입.출고현황!$A:$G,G$5,0),)</f>
        <v>MCB</v>
      </c>
      <c r="H61" s="18">
        <f>IFERROR(VLOOKUP($E61,임시동력입.출고현황!$A:$G,H$5,0),)</f>
        <v>0</v>
      </c>
      <c r="I61" s="18" t="str">
        <f>IFERROR(VLOOKUP($E61,임시동력입.출고현황!$A:$G,I$5,0),)</f>
        <v>1P - 25A</v>
      </c>
      <c r="J61" s="9" t="str">
        <f>IFERROR(VLOOKUP($E61,임시동력입.출고현황!$A:$G,J$5,0),)</f>
        <v>EA</v>
      </c>
      <c r="K61" s="237">
        <v>0</v>
      </c>
      <c r="L61" s="238" t="s">
        <v>590</v>
      </c>
    </row>
    <row r="62" spans="1:12" ht="24" customHeight="1">
      <c r="A62" s="8">
        <v>57</v>
      </c>
      <c r="B62" s="9">
        <v>57</v>
      </c>
      <c r="C62" s="9"/>
      <c r="D62" s="46"/>
      <c r="E62" s="9" t="s">
        <v>477</v>
      </c>
      <c r="F62" s="56" t="str">
        <f>IFERROR(VLOOKUP($E62,임시동력입.출고현황!$A:$G,F$5,0),)</f>
        <v>MCB</v>
      </c>
      <c r="G62" s="18" t="str">
        <f>IFERROR(VLOOKUP($E62,임시동력입.출고현황!$A:$G,G$5,0),)</f>
        <v>MCB</v>
      </c>
      <c r="H62" s="18">
        <f>IFERROR(VLOOKUP($E62,임시동력입.출고현황!$A:$G,H$5,0),)</f>
        <v>0</v>
      </c>
      <c r="I62" s="18" t="str">
        <f>IFERROR(VLOOKUP($E62,임시동력입.출고현황!$A:$G,I$5,0),)</f>
        <v>1P - 32A</v>
      </c>
      <c r="J62" s="9" t="str">
        <f>IFERROR(VLOOKUP($E62,임시동력입.출고현황!$A:$G,J$5,0),)</f>
        <v>EA</v>
      </c>
      <c r="K62" s="237">
        <v>0</v>
      </c>
      <c r="L62" s="238" t="s">
        <v>590</v>
      </c>
    </row>
    <row r="63" spans="1:12" ht="24" customHeight="1">
      <c r="A63" s="8">
        <v>58</v>
      </c>
      <c r="B63" s="9">
        <v>58</v>
      </c>
      <c r="C63" s="9"/>
      <c r="D63" s="46"/>
      <c r="E63" s="9" t="s">
        <v>478</v>
      </c>
      <c r="F63" s="56" t="str">
        <f>IFERROR(VLOOKUP($E63,임시동력입.출고현황!$A:$G,F$5,0),)</f>
        <v>MCB</v>
      </c>
      <c r="G63" s="18" t="str">
        <f>IFERROR(VLOOKUP($E63,임시동력입.출고현황!$A:$G,G$5,0),)</f>
        <v>MCB</v>
      </c>
      <c r="H63" s="18">
        <f>IFERROR(VLOOKUP($E63,임시동력입.출고현황!$A:$G,H$5,0),)</f>
        <v>0</v>
      </c>
      <c r="I63" s="18" t="str">
        <f>IFERROR(VLOOKUP($E63,임시동력입.출고현황!$A:$G,I$5,0),)</f>
        <v>3P - 32A</v>
      </c>
      <c r="J63" s="9" t="str">
        <f>IFERROR(VLOOKUP($E63,임시동력입.출고현황!$A:$G,J$5,0),)</f>
        <v>EA</v>
      </c>
      <c r="K63" s="237">
        <v>-50</v>
      </c>
      <c r="L63" s="238" t="s">
        <v>590</v>
      </c>
    </row>
    <row r="64" spans="1:12" ht="24" customHeight="1">
      <c r="A64" s="8">
        <v>59</v>
      </c>
      <c r="B64" s="9">
        <v>59</v>
      </c>
      <c r="C64" s="9"/>
      <c r="D64" s="46"/>
      <c r="E64" s="9" t="s">
        <v>479</v>
      </c>
      <c r="F64" s="56" t="str">
        <f>IFERROR(VLOOKUP($E64,임시동력입.출고현황!$A:$G,F$5,0),)</f>
        <v>MCB</v>
      </c>
      <c r="G64" s="18" t="str">
        <f>IFERROR(VLOOKUP($E64,임시동력입.출고현황!$A:$G,G$5,0),)</f>
        <v>MCB</v>
      </c>
      <c r="H64" s="18">
        <f>IFERROR(VLOOKUP($E64,임시동력입.출고현황!$A:$G,H$5,0),)</f>
        <v>0</v>
      </c>
      <c r="I64" s="18" t="str">
        <f>IFERROR(VLOOKUP($E64,임시동력입.출고현황!$A:$G,I$5,0),)</f>
        <v>3P - 63A</v>
      </c>
      <c r="J64" s="9" t="str">
        <f>IFERROR(VLOOKUP($E64,임시동력입.출고현황!$A:$G,J$5,0),)</f>
        <v>EA</v>
      </c>
      <c r="K64" s="237">
        <v>0</v>
      </c>
      <c r="L64" s="238" t="s">
        <v>590</v>
      </c>
    </row>
    <row r="65" spans="1:12" ht="24" customHeight="1">
      <c r="A65" s="8">
        <v>60</v>
      </c>
      <c r="B65" s="9">
        <v>60</v>
      </c>
      <c r="C65" s="9"/>
      <c r="D65" s="46"/>
      <c r="E65" s="9" t="s">
        <v>480</v>
      </c>
      <c r="F65" s="56" t="str">
        <f>IFERROR(VLOOKUP($E65,임시동력입.출고현황!$A:$G,F$5,0),)</f>
        <v>MCB</v>
      </c>
      <c r="G65" s="18" t="str">
        <f>IFERROR(VLOOKUP($E65,임시동력입.출고현황!$A:$G,G$5,0),)</f>
        <v>RCBO</v>
      </c>
      <c r="H65" s="18">
        <f>IFERROR(VLOOKUP($E65,임시동력입.출고현황!$A:$G,H$5,0),)</f>
        <v>0</v>
      </c>
      <c r="I65" s="18" t="str">
        <f>IFERROR(VLOOKUP($E65,임시동력입.출고현황!$A:$G,I$5,0),)</f>
        <v>1P + N -16A - 30 mA</v>
      </c>
      <c r="J65" s="9" t="str">
        <f>IFERROR(VLOOKUP($E65,임시동력입.출고현황!$A:$G,J$5,0),)</f>
        <v>EA</v>
      </c>
      <c r="K65" s="237">
        <v>0</v>
      </c>
      <c r="L65" s="238" t="s">
        <v>590</v>
      </c>
    </row>
    <row r="66" spans="1:12" ht="24" customHeight="1">
      <c r="A66" s="8">
        <v>61</v>
      </c>
      <c r="B66" s="9">
        <v>61</v>
      </c>
      <c r="C66" s="9"/>
      <c r="D66" s="46"/>
      <c r="E66" s="9" t="s">
        <v>481</v>
      </c>
      <c r="F66" s="56" t="str">
        <f>IFERROR(VLOOKUP($E66,임시동력입.출고현황!$A:$G,F$5,0),)</f>
        <v>MCB</v>
      </c>
      <c r="G66" s="18" t="str">
        <f>IFERROR(VLOOKUP($E66,임시동력입.출고현황!$A:$G,G$5,0),)</f>
        <v>RCBO</v>
      </c>
      <c r="H66" s="18">
        <f>IFERROR(VLOOKUP($E66,임시동력입.출고현황!$A:$G,H$5,0),)</f>
        <v>0</v>
      </c>
      <c r="I66" s="18" t="str">
        <f>IFERROR(VLOOKUP($E66,임시동력입.출고현황!$A:$G,I$5,0),)</f>
        <v>1P + N -25A - 30 mA</v>
      </c>
      <c r="J66" s="9" t="str">
        <f>IFERROR(VLOOKUP($E66,임시동력입.출고현황!$A:$G,J$5,0),)</f>
        <v>EA</v>
      </c>
      <c r="K66" s="237">
        <v>0</v>
      </c>
      <c r="L66" s="238" t="s">
        <v>590</v>
      </c>
    </row>
    <row r="67" spans="1:12" ht="24" customHeight="1">
      <c r="A67" s="8">
        <v>62</v>
      </c>
      <c r="B67" s="9">
        <v>62</v>
      </c>
      <c r="C67" s="9"/>
      <c r="D67" s="46"/>
      <c r="E67" s="9" t="s">
        <v>482</v>
      </c>
      <c r="F67" s="56" t="str">
        <f>IFERROR(VLOOKUP($E67,임시동력입.출고현황!$A:$G,F$5,0),)</f>
        <v>MCB</v>
      </c>
      <c r="G67" s="18" t="str">
        <f>IFERROR(VLOOKUP($E67,임시동력입.출고현황!$A:$G,G$5,0),)</f>
        <v>RCBO</v>
      </c>
      <c r="H67" s="18">
        <f>IFERROR(VLOOKUP($E67,임시동력입.출고현황!$A:$G,H$5,0),)</f>
        <v>0</v>
      </c>
      <c r="I67" s="18" t="str">
        <f>IFERROR(VLOOKUP($E67,임시동력입.출고현황!$A:$G,I$5,0),)</f>
        <v>1P + N -32A - 30 mA</v>
      </c>
      <c r="J67" s="9" t="str">
        <f>IFERROR(VLOOKUP($E67,임시동력입.출고현황!$A:$G,J$5,0),)</f>
        <v>EA</v>
      </c>
      <c r="K67" s="237">
        <v>0</v>
      </c>
      <c r="L67" s="238" t="s">
        <v>590</v>
      </c>
    </row>
    <row r="68" spans="1:12" ht="24" customHeight="1">
      <c r="A68" s="8">
        <v>63</v>
      </c>
      <c r="B68" s="9">
        <v>63</v>
      </c>
      <c r="C68" s="9"/>
      <c r="D68" s="46"/>
      <c r="E68" s="9" t="s">
        <v>483</v>
      </c>
      <c r="F68" s="56" t="str">
        <f>IFERROR(VLOOKUP($E68,임시동력입.출고현황!$A:$G,F$5,0),)</f>
        <v>MCB</v>
      </c>
      <c r="G68" s="18" t="str">
        <f>IFERROR(VLOOKUP($E68,임시동력입.출고현황!$A:$G,G$5,0),)</f>
        <v>RCCB</v>
      </c>
      <c r="H68" s="18">
        <f>IFERROR(VLOOKUP($E68,임시동력입.출고현황!$A:$G,H$5,0),)</f>
        <v>0</v>
      </c>
      <c r="I68" s="18" t="str">
        <f>IFERROR(VLOOKUP($E68,임시동력입.출고현황!$A:$G,I$5,0),)</f>
        <v>4P - 32A - 30 mA</v>
      </c>
      <c r="J68" s="9" t="str">
        <f>IFERROR(VLOOKUP($E68,임시동력입.출고현황!$A:$G,J$5,0),)</f>
        <v>EA</v>
      </c>
      <c r="K68" s="237">
        <v>0</v>
      </c>
      <c r="L68" s="238" t="s">
        <v>590</v>
      </c>
    </row>
    <row r="69" spans="1:12" ht="24" customHeight="1">
      <c r="A69" s="8">
        <v>64</v>
      </c>
      <c r="B69" s="9">
        <v>64</v>
      </c>
      <c r="C69" s="9"/>
      <c r="D69" s="46"/>
      <c r="E69" s="9" t="s">
        <v>484</v>
      </c>
      <c r="F69" s="56" t="str">
        <f>IFERROR(VLOOKUP($E69,임시동력입.출고현황!$A:$G,F$5,0),)</f>
        <v>MCB</v>
      </c>
      <c r="G69" s="18" t="str">
        <f>IFERROR(VLOOKUP($E69,임시동력입.출고현황!$A:$G,G$5,0),)</f>
        <v>RCCB</v>
      </c>
      <c r="H69" s="18">
        <f>IFERROR(VLOOKUP($E69,임시동력입.출고현황!$A:$G,H$5,0),)</f>
        <v>0</v>
      </c>
      <c r="I69" s="18" t="str">
        <f>IFERROR(VLOOKUP($E69,임시동력입.출고현황!$A:$G,I$5,0),)</f>
        <v>4P - 63A - 30 mA</v>
      </c>
      <c r="J69" s="9" t="str">
        <f>IFERROR(VLOOKUP($E69,임시동력입.출고현황!$A:$G,J$5,0),)</f>
        <v>EA</v>
      </c>
      <c r="K69" s="237">
        <v>0</v>
      </c>
      <c r="L69" s="238" t="s">
        <v>590</v>
      </c>
    </row>
    <row r="70" spans="1:12" ht="24" customHeight="1">
      <c r="A70" s="8">
        <v>65</v>
      </c>
      <c r="B70" s="9">
        <v>65</v>
      </c>
      <c r="C70" s="9"/>
      <c r="D70" s="46"/>
      <c r="E70" s="9" t="s">
        <v>485</v>
      </c>
      <c r="F70" s="56" t="str">
        <f>IFERROR(VLOOKUP($E70,임시동력입.출고현황!$A:$G,F$5,0),)</f>
        <v>MCB</v>
      </c>
      <c r="G70" s="18" t="str">
        <f>IFERROR(VLOOKUP($E70,임시동력입.출고현황!$A:$G,G$5,0),)</f>
        <v>MCCB</v>
      </c>
      <c r="H70" s="18">
        <f>IFERROR(VLOOKUP($E70,임시동력입.출고현황!$A:$G,H$5,0),)</f>
        <v>0</v>
      </c>
      <c r="I70" s="18" t="str">
        <f>IFERROR(VLOOKUP($E70,임시동력입.출고현황!$A:$G,I$5,0),)</f>
        <v>100 A ( adj. magnetic)</v>
      </c>
      <c r="J70" s="9" t="str">
        <f>IFERROR(VLOOKUP($E70,임시동력입.출고현황!$A:$G,J$5,0),)</f>
        <v>EA</v>
      </c>
      <c r="K70" s="237">
        <v>0</v>
      </c>
      <c r="L70" s="238" t="s">
        <v>590</v>
      </c>
    </row>
    <row r="71" spans="1:12" ht="24" customHeight="1">
      <c r="A71" s="8">
        <v>66</v>
      </c>
      <c r="B71" s="9">
        <v>66</v>
      </c>
      <c r="C71" s="9"/>
      <c r="D71" s="46"/>
      <c r="E71" s="9" t="s">
        <v>486</v>
      </c>
      <c r="F71" s="56" t="str">
        <f>IFERROR(VLOOKUP($E71,임시동력입.출고현황!$A:$G,F$5,0),)</f>
        <v>MCB</v>
      </c>
      <c r="G71" s="18" t="str">
        <f>IFERROR(VLOOKUP($E71,임시동력입.출고현황!$A:$G,G$5,0),)</f>
        <v>MCCB</v>
      </c>
      <c r="H71" s="18">
        <f>IFERROR(VLOOKUP($E71,임시동력입.출고현황!$A:$G,H$5,0),)</f>
        <v>0</v>
      </c>
      <c r="I71" s="18" t="str">
        <f>IFERROR(VLOOKUP($E71,임시동력입.출고현황!$A:$G,I$5,0),)</f>
        <v>160 A ( adj. magnetic)</v>
      </c>
      <c r="J71" s="9" t="str">
        <f>IFERROR(VLOOKUP($E71,임시동력입.출고현황!$A:$G,J$5,0),)</f>
        <v>EA</v>
      </c>
      <c r="K71" s="237">
        <v>0</v>
      </c>
      <c r="L71" s="238" t="s">
        <v>590</v>
      </c>
    </row>
    <row r="72" spans="1:12" ht="24" customHeight="1">
      <c r="A72" s="8">
        <v>67</v>
      </c>
      <c r="B72" s="9">
        <v>67</v>
      </c>
      <c r="C72" s="9"/>
      <c r="D72" s="46"/>
      <c r="E72" s="9" t="s">
        <v>487</v>
      </c>
      <c r="F72" s="56" t="str">
        <f>IFERROR(VLOOKUP($E72,임시동력입.출고현황!$A:$G,F$5,0),)</f>
        <v>MCB</v>
      </c>
      <c r="G72" s="18" t="str">
        <f>IFERROR(VLOOKUP($E72,임시동력입.출고현황!$A:$G,G$5,0),)</f>
        <v>MCCB</v>
      </c>
      <c r="H72" s="18">
        <f>IFERROR(VLOOKUP($E72,임시동력입.출고현황!$A:$G,H$5,0),)</f>
        <v>0</v>
      </c>
      <c r="I72" s="18" t="str">
        <f>IFERROR(VLOOKUP($E72,임시동력입.출고현황!$A:$G,I$5,0),)</f>
        <v>250 A ( adj. magnetic)</v>
      </c>
      <c r="J72" s="9" t="str">
        <f>IFERROR(VLOOKUP($E72,임시동력입.출고현황!$A:$G,J$5,0),)</f>
        <v>EA</v>
      </c>
      <c r="K72" s="237">
        <v>0</v>
      </c>
      <c r="L72" s="238" t="s">
        <v>590</v>
      </c>
    </row>
    <row r="73" spans="1:12" ht="24" customHeight="1">
      <c r="A73" s="8">
        <v>68</v>
      </c>
      <c r="B73" s="9">
        <v>68</v>
      </c>
      <c r="C73" s="9"/>
      <c r="D73" s="46"/>
      <c r="E73" s="9" t="s">
        <v>570</v>
      </c>
      <c r="F73" s="56" t="str">
        <f>IFERROR(VLOOKUP($E73,임시동력입.출고현황!$A:$G,F$5,0),)</f>
        <v>power plug</v>
      </c>
      <c r="G73" s="18" t="str">
        <f>IFERROR(VLOOKUP($E73,임시동력입.출고현황!$A:$G,G$5,0),)</f>
        <v>Industrial Socket</v>
      </c>
      <c r="H73" s="18">
        <f>IFERROR(VLOOKUP($E73,임시동력입.출고현황!$A:$G,H$5,0),)</f>
        <v>0</v>
      </c>
      <c r="I73" s="18" t="str">
        <f>IFERROR(VLOOKUP($E73,임시동력입.출고현황!$A:$G,I$5,0),)</f>
        <v xml:space="preserve">3P - 16A </v>
      </c>
      <c r="J73" s="9" t="str">
        <f>IFERROR(VLOOKUP($E73,임시동력입.출고현황!$A:$G,J$5,0),)</f>
        <v>EA</v>
      </c>
      <c r="K73" s="237"/>
      <c r="L73" s="238" t="s">
        <v>590</v>
      </c>
    </row>
    <row r="74" spans="1:12" ht="24" customHeight="1">
      <c r="A74" s="8">
        <v>69</v>
      </c>
      <c r="B74" s="9">
        <v>69</v>
      </c>
      <c r="C74" s="9"/>
      <c r="D74" s="46"/>
      <c r="E74" s="9" t="s">
        <v>512</v>
      </c>
      <c r="F74" s="56" t="str">
        <f>IFERROR(VLOOKUP($E74,임시동력입.출고현황!$A:$G,F$5,0),)</f>
        <v>power plug</v>
      </c>
      <c r="G74" s="18" t="str">
        <f>IFERROR(VLOOKUP($E74,임시동력입.출고현황!$A:$G,G$5,0),)</f>
        <v>Industrial Socket</v>
      </c>
      <c r="H74" s="18">
        <f>IFERROR(VLOOKUP($E74,임시동력입.출고현황!$A:$G,H$5,0),)</f>
        <v>0</v>
      </c>
      <c r="I74" s="18" t="str">
        <f>IFERROR(VLOOKUP($E74,임시동력입.출고현황!$A:$G,I$5,0),)</f>
        <v>3P - 32A</v>
      </c>
      <c r="J74" s="9" t="str">
        <f>IFERROR(VLOOKUP($E74,임시동력입.출고현황!$A:$G,J$5,0),)</f>
        <v>EA</v>
      </c>
      <c r="K74" s="237">
        <v>0</v>
      </c>
      <c r="L74" s="238" t="s">
        <v>590</v>
      </c>
    </row>
    <row r="75" spans="1:12" ht="24" customHeight="1">
      <c r="A75" s="8">
        <v>70</v>
      </c>
      <c r="B75" s="9">
        <v>70</v>
      </c>
      <c r="C75" s="9"/>
      <c r="D75" s="46"/>
      <c r="E75" s="9" t="s">
        <v>513</v>
      </c>
      <c r="F75" s="56" t="str">
        <f>IFERROR(VLOOKUP($E75,임시동력입.출고현황!$A:$G,F$5,0),)</f>
        <v>power plug</v>
      </c>
      <c r="G75" s="18" t="str">
        <f>IFERROR(VLOOKUP($E75,임시동력입.출고현황!$A:$G,G$5,0),)</f>
        <v>Industrial Socket</v>
      </c>
      <c r="H75" s="18">
        <f>IFERROR(VLOOKUP($E75,임시동력입.출고현황!$A:$G,H$5,0),)</f>
        <v>0</v>
      </c>
      <c r="I75" s="18" t="str">
        <f>IFERROR(VLOOKUP($E75,임시동력입.출고현황!$A:$G,I$5,0),)</f>
        <v>5P - 32A</v>
      </c>
      <c r="J75" s="9" t="str">
        <f>IFERROR(VLOOKUP($E75,임시동력입.출고현황!$A:$G,J$5,0),)</f>
        <v>EA</v>
      </c>
      <c r="K75" s="237">
        <v>0</v>
      </c>
      <c r="L75" s="238" t="s">
        <v>590</v>
      </c>
    </row>
    <row r="76" spans="1:12" ht="24" customHeight="1">
      <c r="A76" s="8">
        <v>71</v>
      </c>
      <c r="B76" s="9">
        <v>71</v>
      </c>
      <c r="C76" s="9"/>
      <c r="D76" s="46"/>
      <c r="E76" s="9" t="s">
        <v>514</v>
      </c>
      <c r="F76" s="56" t="str">
        <f>IFERROR(VLOOKUP($E76,임시동력입.출고현황!$A:$G,F$5,0),)</f>
        <v>power plug</v>
      </c>
      <c r="G76" s="18" t="str">
        <f>IFERROR(VLOOKUP($E76,임시동력입.출고현황!$A:$G,G$5,0),)</f>
        <v>Industrial Socket</v>
      </c>
      <c r="H76" s="18">
        <f>IFERROR(VLOOKUP($E76,임시동력입.출고현황!$A:$G,H$5,0),)</f>
        <v>0</v>
      </c>
      <c r="I76" s="18" t="str">
        <f>IFERROR(VLOOKUP($E76,임시동력입.출고현황!$A:$G,I$5,0),)</f>
        <v>5P - 63A</v>
      </c>
      <c r="J76" s="9" t="str">
        <f>IFERROR(VLOOKUP($E76,임시동력입.출고현황!$A:$G,J$5,0),)</f>
        <v>EA</v>
      </c>
      <c r="K76" s="237">
        <v>0</v>
      </c>
      <c r="L76" s="238" t="s">
        <v>590</v>
      </c>
    </row>
    <row r="77" spans="1:12" ht="24" customHeight="1">
      <c r="A77" s="8">
        <v>72</v>
      </c>
      <c r="B77" s="9">
        <v>72</v>
      </c>
      <c r="C77" s="9"/>
      <c r="D77" s="46"/>
      <c r="E77" s="9" t="s">
        <v>558</v>
      </c>
      <c r="F77" s="56" t="str">
        <f>IFERROR(VLOOKUP($E77,임시동력입.출고현황!$A:$G,F$5,0),)</f>
        <v>Other</v>
      </c>
      <c r="G77" s="18" t="str">
        <f>IFERROR(VLOOKUP($E77,임시동력입.출고현황!$A:$G,G$5,0),)</f>
        <v>Indication Lamp</v>
      </c>
      <c r="H77" s="18">
        <f>IFERROR(VLOOKUP($E77,임시동력입.출고현황!$A:$G,H$5,0),)</f>
        <v>0</v>
      </c>
      <c r="I77" s="18" t="str">
        <f>IFERROR(VLOOKUP($E77,임시동력입.출고현황!$A:$G,I$5,0),)</f>
        <v>Red</v>
      </c>
      <c r="J77" s="9" t="str">
        <f>IFERROR(VLOOKUP($E77,임시동력입.출고현황!$A:$G,J$5,0),)</f>
        <v>EA</v>
      </c>
      <c r="K77" s="237">
        <v>0</v>
      </c>
      <c r="L77" s="238" t="s">
        <v>590</v>
      </c>
    </row>
    <row r="78" spans="1:12" ht="24" customHeight="1">
      <c r="A78" s="8">
        <v>73</v>
      </c>
      <c r="B78" s="9">
        <v>73</v>
      </c>
      <c r="C78" s="9"/>
      <c r="D78" s="46"/>
      <c r="E78" s="9" t="s">
        <v>524</v>
      </c>
      <c r="F78" s="56" t="str">
        <f>IFERROR(VLOOKUP($E78,임시동력입.출고현황!$A:$G,F$5,0),)</f>
        <v>Other</v>
      </c>
      <c r="G78" s="18" t="str">
        <f>IFERROR(VLOOKUP($E78,임시동력입.출고현황!$A:$G,G$5,0),)</f>
        <v>Indication Lamp</v>
      </c>
      <c r="H78" s="18">
        <f>IFERROR(VLOOKUP($E78,임시동력입.출고현황!$A:$G,H$5,0),)</f>
        <v>0</v>
      </c>
      <c r="I78" s="18" t="str">
        <f>IFERROR(VLOOKUP($E78,임시동력입.출고현황!$A:$G,I$5,0),)</f>
        <v>Yellow</v>
      </c>
      <c r="J78" s="9" t="str">
        <f>IFERROR(VLOOKUP($E78,임시동력입.출고현황!$A:$G,J$5,0),)</f>
        <v>EA</v>
      </c>
      <c r="K78" s="237">
        <v>0</v>
      </c>
      <c r="L78" s="238" t="s">
        <v>590</v>
      </c>
    </row>
    <row r="79" spans="1:12" ht="24" customHeight="1">
      <c r="A79" s="8">
        <v>74</v>
      </c>
      <c r="B79" s="9">
        <v>74</v>
      </c>
      <c r="C79" s="9"/>
      <c r="D79" s="46"/>
      <c r="E79" s="9" t="s">
        <v>525</v>
      </c>
      <c r="F79" s="56" t="str">
        <f>IFERROR(VLOOKUP($E79,임시동력입.출고현황!$A:$G,F$5,0),)</f>
        <v>Other</v>
      </c>
      <c r="G79" s="18" t="str">
        <f>IFERROR(VLOOKUP($E79,임시동력입.출고현황!$A:$G,G$5,0),)</f>
        <v>Indication Lamp</v>
      </c>
      <c r="H79" s="18">
        <f>IFERROR(VLOOKUP($E79,임시동력입.출고현황!$A:$G,H$5,0),)</f>
        <v>0</v>
      </c>
      <c r="I79" s="18" t="str">
        <f>IFERROR(VLOOKUP($E79,임시동력입.출고현황!$A:$G,I$5,0),)</f>
        <v>Blue</v>
      </c>
      <c r="J79" s="9" t="str">
        <f>IFERROR(VLOOKUP($E79,임시동력입.출고현황!$A:$G,J$5,0),)</f>
        <v>EA</v>
      </c>
      <c r="K79" s="237">
        <v>0</v>
      </c>
      <c r="L79" s="238" t="s">
        <v>590</v>
      </c>
    </row>
    <row r="80" spans="1:12" ht="24" customHeight="1">
      <c r="A80" s="8">
        <v>75</v>
      </c>
      <c r="B80" s="9">
        <v>75</v>
      </c>
      <c r="C80" s="9"/>
      <c r="D80" s="46"/>
      <c r="E80" s="9" t="s">
        <v>571</v>
      </c>
      <c r="F80" s="56" t="str">
        <f>IFERROR(VLOOKUP($E80,임시동력입.출고현황!$A:$G,F$5,0),)</f>
        <v>Other</v>
      </c>
      <c r="G80" s="18" t="str">
        <f>IFERROR(VLOOKUP($E80,임시동력입.출고현황!$A:$G,G$5,0),)</f>
        <v>Metal Panel Lock with Key</v>
      </c>
      <c r="H80" s="18">
        <f>IFERROR(VLOOKUP($E80,임시동력입.출고현황!$A:$G,H$5,0),)</f>
        <v>0</v>
      </c>
      <c r="I80" s="18" t="str">
        <f>IFERROR(VLOOKUP($E80,임시동력입.출고현황!$A:$G,I$5,0),)</f>
        <v>Universal type</v>
      </c>
      <c r="J80" s="9" t="str">
        <f>IFERROR(VLOOKUP($E80,임시동력입.출고현황!$A:$G,J$5,0),)</f>
        <v>EA</v>
      </c>
      <c r="K80" s="237"/>
      <c r="L80" s="238" t="s">
        <v>590</v>
      </c>
    </row>
    <row r="81" spans="1:14" ht="24" customHeight="1">
      <c r="A81" s="8">
        <v>76</v>
      </c>
      <c r="B81" s="9">
        <v>76</v>
      </c>
      <c r="C81" s="9"/>
      <c r="D81" s="46"/>
      <c r="E81" s="9" t="s">
        <v>478</v>
      </c>
      <c r="F81" s="56" t="str">
        <f>IFERROR(VLOOKUP($E81,임시동력입.출고현황!$A:$G,F$5,0),)</f>
        <v>MCB</v>
      </c>
      <c r="G81" s="18" t="str">
        <f>IFERROR(VLOOKUP($E81,임시동력입.출고현황!$A:$G,G$5,0),)</f>
        <v>MCB</v>
      </c>
      <c r="H81" s="18">
        <f>IFERROR(VLOOKUP($E81,임시동력입.출고현황!$A:$G,H$5,0),)</f>
        <v>0</v>
      </c>
      <c r="I81" s="18" t="str">
        <f>IFERROR(VLOOKUP($E81,임시동력입.출고현황!$A:$G,I$5,0),)</f>
        <v>3P - 32A</v>
      </c>
      <c r="J81" s="9" t="str">
        <f>IFERROR(VLOOKUP($E81,임시동력입.출고현황!$A:$G,J$5,0),)</f>
        <v>EA</v>
      </c>
      <c r="K81" s="237">
        <v>50</v>
      </c>
      <c r="L81" s="58"/>
    </row>
    <row r="82" spans="1:14" ht="24" customHeight="1">
      <c r="A82" s="8">
        <v>77</v>
      </c>
      <c r="B82" s="9">
        <v>77</v>
      </c>
      <c r="C82" s="9"/>
      <c r="D82" s="46"/>
      <c r="E82" s="9" t="s">
        <v>484</v>
      </c>
      <c r="F82" s="56" t="str">
        <f>IFERROR(VLOOKUP($E82,임시동력입.출고현황!$A:$G,F$5,0),)</f>
        <v>MCB</v>
      </c>
      <c r="G82" s="18" t="str">
        <f>IFERROR(VLOOKUP($E82,임시동력입.출고현황!$A:$G,G$5,0),)</f>
        <v>RCCB</v>
      </c>
      <c r="H82" s="18">
        <f>IFERROR(VLOOKUP($E82,임시동력입.출고현황!$A:$G,H$5,0),)</f>
        <v>0</v>
      </c>
      <c r="I82" s="18" t="str">
        <f>IFERROR(VLOOKUP($E82,임시동력입.출고현황!$A:$G,I$5,0),)</f>
        <v>4P - 63A - 30 mA</v>
      </c>
      <c r="J82" s="9" t="str">
        <f>IFERROR(VLOOKUP($E82,임시동력입.출고현황!$A:$G,J$5,0),)</f>
        <v>EA</v>
      </c>
      <c r="K82" s="237">
        <v>20</v>
      </c>
      <c r="L82" s="58"/>
    </row>
    <row r="83" spans="1:14" ht="24" customHeight="1">
      <c r="A83" s="8">
        <v>78</v>
      </c>
      <c r="B83" s="9">
        <v>78</v>
      </c>
      <c r="C83" s="9"/>
      <c r="D83" s="46">
        <v>45491</v>
      </c>
      <c r="E83" s="9" t="s">
        <v>329</v>
      </c>
      <c r="F83" s="56" t="str">
        <f>IFERROR(VLOOKUP($E83,임시동력입.출고현황!$A:$G,F$5,0),)</f>
        <v>Cable</v>
      </c>
      <c r="G83" s="18" t="str">
        <f>IFERROR(VLOOKUP($E83,임시동력입.출고현황!$A:$G,G$5,0),)</f>
        <v>CV Cable</v>
      </c>
      <c r="H83" s="18">
        <f>IFERROR(VLOOKUP($E83,임시동력입.출고현황!$A:$G,H$5,0),)</f>
        <v>0</v>
      </c>
      <c r="I83" s="18" t="str">
        <f>IFERROR(VLOOKUP($E83,임시동력입.출고현황!$A:$G,I$5,0),)</f>
        <v>4C x 16mm2</v>
      </c>
      <c r="J83" s="9" t="str">
        <f>IFERROR(VLOOKUP($E83,임시동력입.출고현황!$A:$G,J$5,0),)</f>
        <v>M</v>
      </c>
      <c r="K83" s="237">
        <v>1000</v>
      </c>
      <c r="L83" s="58" t="s">
        <v>329</v>
      </c>
    </row>
    <row r="84" spans="1:14" ht="24" customHeight="1">
      <c r="A84" s="8">
        <v>79</v>
      </c>
      <c r="B84" s="9">
        <v>79</v>
      </c>
      <c r="C84" s="9"/>
      <c r="D84" s="46">
        <v>45491</v>
      </c>
      <c r="E84" s="9" t="s">
        <v>333</v>
      </c>
      <c r="F84" s="56" t="str">
        <f>IFERROR(VLOOKUP($E84,임시동력입.출고현황!$A:$G,F$5,0),)</f>
        <v>Cable</v>
      </c>
      <c r="G84" s="18" t="str">
        <f>IFERROR(VLOOKUP($E84,임시동력입.출고현황!$A:$G,G$5,0),)</f>
        <v>CV Cable</v>
      </c>
      <c r="H84" s="18">
        <f>IFERROR(VLOOKUP($E84,임시동력입.출고현황!$A:$G,H$5,0),)</f>
        <v>0</v>
      </c>
      <c r="I84" s="18" t="str">
        <f>IFERROR(VLOOKUP($E84,임시동력입.출고현황!$A:$G,I$5,0),)</f>
        <v>3C x 6mm2</v>
      </c>
      <c r="J84" s="9" t="str">
        <f>IFERROR(VLOOKUP($E84,임시동력입.출고현황!$A:$G,J$5,0),)</f>
        <v>M</v>
      </c>
      <c r="K84" s="237">
        <v>1000</v>
      </c>
      <c r="L84" s="58"/>
    </row>
    <row r="85" spans="1:14" ht="24" customHeight="1">
      <c r="A85" s="8">
        <v>80</v>
      </c>
      <c r="B85" s="9">
        <v>80</v>
      </c>
      <c r="C85" s="9"/>
      <c r="D85" s="46">
        <v>45491</v>
      </c>
      <c r="E85" s="9" t="s">
        <v>334</v>
      </c>
      <c r="F85" s="56" t="str">
        <f>IFERROR(VLOOKUP($E85,임시동력입.출고현황!$A:$G,F$5,0),)</f>
        <v>Cable</v>
      </c>
      <c r="G85" s="18" t="str">
        <f>IFERROR(VLOOKUP($E85,임시동력입.출고현황!$A:$G,G$5,0),)</f>
        <v>CV Cable</v>
      </c>
      <c r="H85" s="18">
        <f>IFERROR(VLOOKUP($E85,임시동력입.출고현황!$A:$G,H$5,0),)</f>
        <v>0</v>
      </c>
      <c r="I85" s="18" t="str">
        <f>IFERROR(VLOOKUP($E85,임시동력입.출고현황!$A:$G,I$5,0),)</f>
        <v>3C x 4mm2</v>
      </c>
      <c r="J85" s="9" t="str">
        <f>IFERROR(VLOOKUP($E85,임시동력입.출고현황!$A:$G,J$5,0),)</f>
        <v>M</v>
      </c>
      <c r="K85" s="237">
        <v>1000</v>
      </c>
      <c r="L85" s="58"/>
    </row>
    <row r="86" spans="1:14" ht="24" customHeight="1">
      <c r="A86" s="8">
        <v>81</v>
      </c>
      <c r="B86" s="9">
        <v>81</v>
      </c>
      <c r="C86" s="9"/>
      <c r="D86" s="46">
        <v>45491</v>
      </c>
      <c r="E86" s="9" t="s">
        <v>335</v>
      </c>
      <c r="F86" s="56" t="str">
        <f>IFERROR(VLOOKUP($E86,임시동력입.출고현황!$A:$G,F$5,0),)</f>
        <v>Cable</v>
      </c>
      <c r="G86" s="18" t="str">
        <f>IFERROR(VLOOKUP($E86,임시동력입.출고현황!$A:$G,G$5,0),)</f>
        <v>CV Cable</v>
      </c>
      <c r="H86" s="18">
        <f>IFERROR(VLOOKUP($E86,임시동력입.출고현황!$A:$G,H$5,0),)</f>
        <v>0</v>
      </c>
      <c r="I86" s="18" t="str">
        <f>IFERROR(VLOOKUP($E86,임시동력입.출고현황!$A:$G,I$5,0),)</f>
        <v>3C x 2.5mm2</v>
      </c>
      <c r="J86" s="9" t="str">
        <f>IFERROR(VLOOKUP($E86,임시동력입.출고현황!$A:$G,J$5,0),)</f>
        <v>M</v>
      </c>
      <c r="K86" s="237">
        <v>2000</v>
      </c>
      <c r="L86" s="58"/>
    </row>
    <row r="87" spans="1:14" ht="24" customHeight="1">
      <c r="A87" s="8">
        <v>82</v>
      </c>
      <c r="B87" s="9">
        <v>82</v>
      </c>
      <c r="C87" s="9"/>
      <c r="D87" s="46">
        <v>45465</v>
      </c>
      <c r="E87" s="9" t="s">
        <v>342</v>
      </c>
      <c r="F87" s="56" t="str">
        <f>IFERROR(VLOOKUP($E87,임시동력입.출고현황!$A:$G,F$5,0),)</f>
        <v>Cable</v>
      </c>
      <c r="G87" s="18" t="str">
        <f>IFERROR(VLOOKUP($E87,임시동력입.출고현황!$A:$G,G$5,0),)</f>
        <v>Grounding Cable</v>
      </c>
      <c r="H87" s="18">
        <f>IFERROR(VLOOKUP($E87,임시동력입.출고현황!$A:$G,H$5,0),)</f>
        <v>0</v>
      </c>
      <c r="I87" s="18" t="str">
        <f>IFERROR(VLOOKUP($E87,임시동력입.출고현황!$A:$G,I$5,0),)</f>
        <v>1C x 70mm2</v>
      </c>
      <c r="J87" s="9" t="str">
        <f>IFERROR(VLOOKUP($E87,임시동력입.출고현황!$A:$G,J$5,0),)</f>
        <v>M</v>
      </c>
      <c r="K87" s="237">
        <v>300</v>
      </c>
      <c r="L87" s="58"/>
    </row>
    <row r="88" spans="1:14" ht="24" customHeight="1">
      <c r="A88" s="8">
        <v>83</v>
      </c>
      <c r="B88" s="9">
        <v>83</v>
      </c>
      <c r="C88" s="9"/>
      <c r="D88" s="46">
        <v>45465</v>
      </c>
      <c r="E88" s="9" t="s">
        <v>345</v>
      </c>
      <c r="F88" s="56" t="str">
        <f>IFERROR(VLOOKUP($E88,임시동력입.출고현황!$A:$G,F$5,0),)</f>
        <v>Cable</v>
      </c>
      <c r="G88" s="18" t="str">
        <f>IFERROR(VLOOKUP($E88,임시동력입.출고현황!$A:$G,G$5,0),)</f>
        <v>Grounding Cable</v>
      </c>
      <c r="H88" s="18">
        <f>IFERROR(VLOOKUP($E88,임시동력입.출고현황!$A:$G,H$5,0),)</f>
        <v>0</v>
      </c>
      <c r="I88" s="18" t="str">
        <f>IFERROR(VLOOKUP($E88,임시동력입.출고현황!$A:$G,I$5,0),)</f>
        <v>1C x 16mm2</v>
      </c>
      <c r="J88" s="9" t="str">
        <f>IFERROR(VLOOKUP($E88,임시동력입.출고현황!$A:$G,J$5,0),)</f>
        <v>M</v>
      </c>
      <c r="K88" s="237">
        <v>3000</v>
      </c>
      <c r="L88" s="58"/>
    </row>
    <row r="89" spans="1:14" ht="24" customHeight="1">
      <c r="A89" s="8">
        <v>84</v>
      </c>
      <c r="B89" s="9">
        <v>84</v>
      </c>
      <c r="C89" s="9"/>
      <c r="D89" s="46">
        <v>45465</v>
      </c>
      <c r="E89" s="9" t="s">
        <v>318</v>
      </c>
      <c r="F89" s="56" t="str">
        <f>IFERROR(VLOOKUP($E89,임시동력입.출고현황!$A:$G,F$5,0),)</f>
        <v>Cable</v>
      </c>
      <c r="G89" s="18" t="str">
        <f>IFERROR(VLOOKUP($E89,임시동력입.출고현황!$A:$G,G$5,0),)</f>
        <v>AL Cable</v>
      </c>
      <c r="H89" s="18">
        <f>IFERROR(VLOOKUP($E89,임시동력입.출고현황!$A:$G,H$5,0),)</f>
        <v>0</v>
      </c>
      <c r="I89" s="18" t="str">
        <f>IFERROR(VLOOKUP($E89,임시동력입.출고현황!$A:$G,I$5,0),)</f>
        <v>3C x 150+70mm2 [ALU]</v>
      </c>
      <c r="J89" s="9" t="str">
        <f>IFERROR(VLOOKUP($E89,임시동력입.출고현황!$A:$G,J$5,0),)</f>
        <v>M</v>
      </c>
      <c r="K89" s="237">
        <v>300</v>
      </c>
      <c r="L89" s="58"/>
    </row>
    <row r="90" spans="1:14" ht="24" customHeight="1">
      <c r="A90" s="8">
        <v>85</v>
      </c>
      <c r="B90" s="9">
        <v>85</v>
      </c>
      <c r="C90" s="9"/>
      <c r="D90" s="46">
        <v>45465</v>
      </c>
      <c r="E90" s="9" t="s">
        <v>322</v>
      </c>
      <c r="F90" s="56" t="str">
        <f>IFERROR(VLOOKUP($E90,임시동력입.출고현황!$A:$G,F$5,0),)</f>
        <v>Cable</v>
      </c>
      <c r="G90" s="18" t="str">
        <f>IFERROR(VLOOKUP($E90,임시동력입.출고현황!$A:$G,G$5,0),)</f>
        <v>AL Cable</v>
      </c>
      <c r="H90" s="18">
        <f>IFERROR(VLOOKUP($E90,임시동력입.출고현황!$A:$G,H$5,0),)</f>
        <v>0</v>
      </c>
      <c r="I90" s="18" t="str">
        <f>IFERROR(VLOOKUP($E90,임시동력입.출고현황!$A:$G,I$5,0),)</f>
        <v>3C x 50+25mm2 [ALU]</v>
      </c>
      <c r="J90" s="9" t="str">
        <f>IFERROR(VLOOKUP($E90,임시동력입.출고현황!$A:$G,J$5,0),)</f>
        <v>M</v>
      </c>
      <c r="K90" s="237">
        <v>3000</v>
      </c>
      <c r="L90" s="58"/>
    </row>
    <row r="91" spans="1:14" ht="24" customHeight="1">
      <c r="A91" s="8">
        <v>86</v>
      </c>
      <c r="B91" s="9">
        <v>86</v>
      </c>
      <c r="C91" s="9"/>
      <c r="D91" s="46">
        <v>45538</v>
      </c>
      <c r="E91" s="9" t="s">
        <v>336</v>
      </c>
      <c r="F91" s="56" t="str">
        <f>IFERROR(VLOOKUP($E91,임시동력입.출고현황!$A:$G,F$5,0),)</f>
        <v>Cable</v>
      </c>
      <c r="G91" s="18" t="str">
        <f>IFERROR(VLOOKUP($E91,임시동력입.출고현황!$A:$G,G$5,0),)</f>
        <v>CV Cable</v>
      </c>
      <c r="H91" s="18">
        <f>IFERROR(VLOOKUP($E91,임시동력입.출고현황!$A:$G,H$5,0),)</f>
        <v>0</v>
      </c>
      <c r="I91" s="18" t="str">
        <f>IFERROR(VLOOKUP($E91,임시동력입.출고현황!$A:$G,I$5,0),)</f>
        <v>3C x 1.5mm2</v>
      </c>
      <c r="J91" s="9" t="str">
        <f>IFERROR(VLOOKUP($E91,임시동력입.출고현황!$A:$G,J$5,0),)</f>
        <v>M</v>
      </c>
      <c r="K91" s="237">
        <v>3000</v>
      </c>
      <c r="L91" s="58"/>
    </row>
    <row r="92" spans="1:14" ht="24" customHeight="1">
      <c r="A92" s="8">
        <v>87</v>
      </c>
      <c r="B92" s="9">
        <v>87</v>
      </c>
      <c r="C92" s="9"/>
      <c r="D92" s="46">
        <v>45538</v>
      </c>
      <c r="E92" s="9" t="s">
        <v>337</v>
      </c>
      <c r="F92" s="56" t="str">
        <f>IFERROR(VLOOKUP($E92,임시동력입.출고현황!$A:$G,F$5,0),)</f>
        <v>Cable</v>
      </c>
      <c r="G92" s="18" t="str">
        <f>IFERROR(VLOOKUP($E92,임시동력입.출고현황!$A:$G,G$5,0),)</f>
        <v>CV Cable</v>
      </c>
      <c r="H92" s="18">
        <f>IFERROR(VLOOKUP($E92,임시동력입.출고현황!$A:$G,H$5,0),)</f>
        <v>0</v>
      </c>
      <c r="I92" s="18" t="str">
        <f>IFERROR(VLOOKUP($E92,임시동력입.출고현황!$A:$G,I$5,0),)</f>
        <v>2C x 16mm2</v>
      </c>
      <c r="J92" s="9" t="str">
        <f>IFERROR(VLOOKUP($E92,임시동력입.출고현황!$A:$G,J$5,0),)</f>
        <v>M</v>
      </c>
      <c r="K92" s="237">
        <v>2000</v>
      </c>
      <c r="L92" s="58"/>
    </row>
    <row r="93" spans="1:14" ht="24" customHeight="1">
      <c r="A93" s="8">
        <v>88</v>
      </c>
      <c r="B93" s="9">
        <v>88</v>
      </c>
      <c r="C93" s="9"/>
      <c r="D93" s="46">
        <v>45538</v>
      </c>
      <c r="E93" s="9" t="s">
        <v>334</v>
      </c>
      <c r="F93" s="56" t="str">
        <f>IFERROR(VLOOKUP($E93,임시동력입.출고현황!$A:$G,F$5,0),)</f>
        <v>Cable</v>
      </c>
      <c r="G93" s="18" t="str">
        <f>IFERROR(VLOOKUP($E93,임시동력입.출고현황!$A:$G,G$5,0),)</f>
        <v>CV Cable</v>
      </c>
      <c r="H93" s="18">
        <f>IFERROR(VLOOKUP($E93,임시동력입.출고현황!$A:$G,H$5,0),)</f>
        <v>0</v>
      </c>
      <c r="I93" s="18" t="str">
        <f>IFERROR(VLOOKUP($E93,임시동력입.출고현황!$A:$G,I$5,0),)</f>
        <v>3C x 4mm2</v>
      </c>
      <c r="J93" s="9" t="str">
        <f>IFERROR(VLOOKUP($E93,임시동력입.출고현황!$A:$G,J$5,0),)</f>
        <v>M</v>
      </c>
      <c r="K93" s="237">
        <v>1000</v>
      </c>
      <c r="L93" s="58"/>
    </row>
    <row r="94" spans="1:14" s="1" customFormat="1" ht="24" customHeight="1">
      <c r="A94" s="8">
        <v>89</v>
      </c>
      <c r="B94" s="9">
        <v>89</v>
      </c>
      <c r="C94" s="9"/>
      <c r="D94" s="46">
        <v>45538</v>
      </c>
      <c r="E94" s="10" t="s">
        <v>331</v>
      </c>
      <c r="F94" s="56" t="str">
        <f>IFERROR(VLOOKUP($E94,임시동력입.출고현황!$A:$G,F$5,0),)</f>
        <v>Cable</v>
      </c>
      <c r="G94" s="19" t="str">
        <f>IFERROR(VLOOKUP($E94,임시동력입.출고현황!$A:$G,G$5,0),)</f>
        <v>CV Cable</v>
      </c>
      <c r="H94" s="18">
        <f>IFERROR(VLOOKUP($E94,임시동력입.출고현황!$A:$G,H$5,0),)</f>
        <v>0</v>
      </c>
      <c r="I94" s="19" t="str">
        <f>IFERROR(VLOOKUP($E94,임시동력입.출고현황!$A:$G,I$5,0),)</f>
        <v>4C x 6mm2</v>
      </c>
      <c r="J94" s="10" t="str">
        <f>IFERROR(VLOOKUP($E94,임시동력입.출고현황!$A:$G,J$5,0),)</f>
        <v>M</v>
      </c>
      <c r="K94" s="237">
        <v>500</v>
      </c>
      <c r="L94" s="10"/>
      <c r="M94" s="5"/>
      <c r="N94" s="5"/>
    </row>
    <row r="95" spans="1:14" s="1" customFormat="1" ht="24" customHeight="1">
      <c r="A95" s="8">
        <v>90</v>
      </c>
      <c r="B95" s="9">
        <v>90</v>
      </c>
      <c r="C95" s="9"/>
      <c r="D95" s="46">
        <v>45538</v>
      </c>
      <c r="E95" s="10" t="s">
        <v>341</v>
      </c>
      <c r="F95" s="56" t="str">
        <f>IFERROR(VLOOKUP($E95,임시동력입.출고현황!$A:$G,F$5,0),)</f>
        <v>LTG</v>
      </c>
      <c r="G95" s="19" t="str">
        <f>IFERROR(VLOOKUP($E95,임시동력입.출고현황!$A:$G,G$5,0),)</f>
        <v>Lighting Fixture</v>
      </c>
      <c r="H95" s="18">
        <f>IFERROR(VLOOKUP($E95,임시동력입.출고현황!$A:$G,H$5,0),)</f>
        <v>0</v>
      </c>
      <c r="I95" s="19" t="str">
        <f>IFERROR(VLOOKUP($E95,임시동력입.출고현황!$A:$G,I$5,0),)</f>
        <v>400W</v>
      </c>
      <c r="J95" s="10" t="str">
        <f>IFERROR(VLOOKUP($E95,임시동력입.출고현황!$A:$G,J$5,0),)</f>
        <v>EA</v>
      </c>
      <c r="K95" s="242">
        <v>36</v>
      </c>
      <c r="L95" s="10"/>
      <c r="M95" s="5"/>
      <c r="N95" s="5"/>
    </row>
    <row r="96" spans="1:14" s="1" customFormat="1" ht="24" customHeight="1">
      <c r="A96" s="8">
        <v>91</v>
      </c>
      <c r="B96" s="9">
        <v>91</v>
      </c>
      <c r="C96" s="9"/>
      <c r="D96" s="46">
        <v>45538</v>
      </c>
      <c r="E96" s="10" t="s">
        <v>347</v>
      </c>
      <c r="F96" s="56" t="str">
        <f>IFERROR(VLOOKUP($E96,임시동력입.출고현황!$A:$G,F$5,0),)</f>
        <v>LTG</v>
      </c>
      <c r="G96" s="19" t="str">
        <f>IFERROR(VLOOKUP($E96,임시동력입.출고현황!$A:$G,G$5,0),)</f>
        <v>Lighting Fixture</v>
      </c>
      <c r="H96" s="18">
        <f>IFERROR(VLOOKUP($E96,임시동력입.출고현황!$A:$G,H$5,0),)</f>
        <v>0</v>
      </c>
      <c r="I96" s="19" t="str">
        <f>IFERROR(VLOOKUP($E96,임시동력입.출고현황!$A:$G,I$5,0),)</f>
        <v>200W</v>
      </c>
      <c r="J96" s="10" t="str">
        <f>IFERROR(VLOOKUP($E96,임시동력입.출고현황!$A:$G,J$5,0),)</f>
        <v>EA</v>
      </c>
      <c r="K96" s="242">
        <v>36</v>
      </c>
      <c r="L96" s="10"/>
      <c r="N96" s="5"/>
    </row>
    <row r="97" spans="1:12" ht="24" customHeight="1">
      <c r="A97" s="8">
        <v>92</v>
      </c>
      <c r="B97" s="9">
        <v>92</v>
      </c>
      <c r="C97" s="9"/>
      <c r="D97" s="46">
        <v>45573</v>
      </c>
      <c r="E97" s="9" t="s">
        <v>322</v>
      </c>
      <c r="F97" s="56" t="str">
        <f>IFERROR(VLOOKUP($E97,임시동력입.출고현황!$A:$G,F$5,0),)</f>
        <v>Cable</v>
      </c>
      <c r="G97" s="18" t="str">
        <f>IFERROR(VLOOKUP($E97,임시동력입.출고현황!$A:$G,G$5,0),)</f>
        <v>AL Cable</v>
      </c>
      <c r="H97" s="18">
        <f>IFERROR(VLOOKUP($E97,임시동력입.출고현황!$A:$G,H$5,0),)</f>
        <v>0</v>
      </c>
      <c r="I97" s="18" t="str">
        <f>IFERROR(VLOOKUP($E97,임시동력입.출고현황!$A:$G,I$5,0),)</f>
        <v>3C x 50+25mm2 [ALU]</v>
      </c>
      <c r="J97" s="9" t="str">
        <f>IFERROR(VLOOKUP($E97,임시동력입.출고현황!$A:$G,J$5,0),)</f>
        <v>M</v>
      </c>
      <c r="K97" s="237">
        <v>1000</v>
      </c>
      <c r="L97" s="58"/>
    </row>
    <row r="98" spans="1:12" ht="24" customHeight="1">
      <c r="A98" s="8">
        <v>93</v>
      </c>
      <c r="B98" s="9">
        <v>93</v>
      </c>
      <c r="C98" s="9"/>
      <c r="D98" s="46">
        <v>45573</v>
      </c>
      <c r="E98" s="9" t="s">
        <v>321</v>
      </c>
      <c r="F98" s="56" t="str">
        <f>IFERROR(VLOOKUP($E98,임시동력입.출고현황!$A:$G,F$5,0),)</f>
        <v>Cable</v>
      </c>
      <c r="G98" s="18" t="str">
        <f>IFERROR(VLOOKUP($E98,임시동력입.출고현황!$A:$G,G$5,0),)</f>
        <v>AL Cable</v>
      </c>
      <c r="H98" s="18">
        <f>IFERROR(VLOOKUP($E98,임시동력입.출고현황!$A:$G,H$5,0),)</f>
        <v>0</v>
      </c>
      <c r="I98" s="18" t="str">
        <f>IFERROR(VLOOKUP($E98,임시동력입.출고현황!$A:$G,I$5,0),)</f>
        <v>3C x 70+35mm2 [ALU]</v>
      </c>
      <c r="J98" s="9" t="str">
        <f>IFERROR(VLOOKUP($E98,임시동력입.출고현황!$A:$G,J$5,0),)</f>
        <v>M</v>
      </c>
      <c r="K98" s="237">
        <v>1000</v>
      </c>
      <c r="L98" s="58"/>
    </row>
    <row r="99" spans="1:12" ht="24" customHeight="1">
      <c r="A99" s="8">
        <v>94</v>
      </c>
      <c r="B99" s="9">
        <v>94</v>
      </c>
      <c r="C99" s="9"/>
      <c r="D99" s="46">
        <v>45573</v>
      </c>
      <c r="E99" s="9" t="s">
        <v>320</v>
      </c>
      <c r="F99" s="56" t="str">
        <f>IFERROR(VLOOKUP($E99,임시동력입.출고현황!$A:$G,F$5,0),)</f>
        <v>Cable</v>
      </c>
      <c r="G99" s="18" t="str">
        <f>IFERROR(VLOOKUP($E99,임시동력입.출고현황!$A:$G,G$5,0),)</f>
        <v>AL Cable</v>
      </c>
      <c r="H99" s="18">
        <f>IFERROR(VLOOKUP($E99,임시동력입.출고현황!$A:$G,H$5,0),)</f>
        <v>0</v>
      </c>
      <c r="I99" s="18" t="str">
        <f>IFERROR(VLOOKUP($E99,임시동력입.출고현황!$A:$G,I$5,0),)</f>
        <v>3C x 95+50mm2 [ALU]</v>
      </c>
      <c r="J99" s="9" t="str">
        <f>IFERROR(VLOOKUP($E99,임시동력입.출고현황!$A:$G,J$5,0),)</f>
        <v>M</v>
      </c>
      <c r="K99" s="237">
        <v>500</v>
      </c>
      <c r="L99" s="58"/>
    </row>
    <row r="100" spans="1:12" ht="24" customHeight="1">
      <c r="A100" s="8">
        <v>95</v>
      </c>
      <c r="B100" s="9">
        <v>95</v>
      </c>
      <c r="C100" s="9"/>
      <c r="D100" s="46">
        <v>45573</v>
      </c>
      <c r="E100" s="10" t="s">
        <v>341</v>
      </c>
      <c r="F100" s="56" t="str">
        <f>IFERROR(VLOOKUP($E100,임시동력입.출고현황!$A:$G,F$5,0),)</f>
        <v>LTG</v>
      </c>
      <c r="G100" s="18" t="str">
        <f>IFERROR(VLOOKUP($E100,임시동력입.출고현황!$A:$G,G$5,0),)</f>
        <v>Lighting Fixture</v>
      </c>
      <c r="H100" s="18">
        <f>IFERROR(VLOOKUP($E100,임시동력입.출고현황!$A:$G,H$5,0),)</f>
        <v>0</v>
      </c>
      <c r="I100" s="18" t="str">
        <f>IFERROR(VLOOKUP($E100,임시동력입.출고현황!$A:$G,I$5,0),)</f>
        <v>400W</v>
      </c>
      <c r="J100" s="9" t="str">
        <f>IFERROR(VLOOKUP($E100,임시동력입.출고현황!$A:$G,J$5,0),)</f>
        <v>EA</v>
      </c>
      <c r="K100" s="237">
        <v>10</v>
      </c>
      <c r="L100" s="58"/>
    </row>
    <row r="101" spans="1:12" ht="24" customHeight="1">
      <c r="A101" s="8">
        <v>96</v>
      </c>
      <c r="B101" s="9">
        <v>96</v>
      </c>
      <c r="C101" s="9"/>
      <c r="D101" s="46">
        <v>45573</v>
      </c>
      <c r="E101" s="9" t="s">
        <v>306</v>
      </c>
      <c r="F101" s="56" t="str">
        <f>IFERROR(VLOOKUP($E101,임시동력입.출고현황!$A:$G,F$5,0),)</f>
        <v>Panel</v>
      </c>
      <c r="G101" s="18" t="str">
        <f>IFERROR(VLOOKUP($E101,임시동력입.출고현황!$A:$G,G$5,0),)</f>
        <v>Electrical Panel</v>
      </c>
      <c r="H101" s="18">
        <f>IFERROR(VLOOKUP($E101,임시동력입.출고현황!$A:$G,H$5,0),)</f>
        <v>0</v>
      </c>
      <c r="I101" s="18" t="str">
        <f>IFERROR(VLOOKUP($E101,임시동력입.출고현황!$A:$G,I$5,0),)</f>
        <v>250A</v>
      </c>
      <c r="J101" s="9" t="str">
        <f>IFERROR(VLOOKUP($E101,임시동력입.출고현황!$A:$G,J$5,0),)</f>
        <v>EA</v>
      </c>
      <c r="K101" s="237">
        <v>1</v>
      </c>
      <c r="L101" s="58"/>
    </row>
    <row r="102" spans="1:12" ht="24" customHeight="1">
      <c r="A102" s="8">
        <v>97</v>
      </c>
      <c r="B102" s="9">
        <v>97</v>
      </c>
      <c r="C102" s="9"/>
      <c r="D102" s="46">
        <v>45580</v>
      </c>
      <c r="E102" s="9" t="s">
        <v>304</v>
      </c>
      <c r="F102" s="56" t="str">
        <f>IFERROR(VLOOKUP($E102,임시동력입.출고현황!$A:$G,F$5,0),)</f>
        <v>Panel</v>
      </c>
      <c r="G102" s="18" t="str">
        <f>IFERROR(VLOOKUP($E102,임시동력입.출고현황!$A:$G,G$5,0),)</f>
        <v>Electrical Panel</v>
      </c>
      <c r="H102" s="18">
        <f>IFERROR(VLOOKUP($E102,임시동력입.출고현황!$A:$G,H$5,0),)</f>
        <v>0</v>
      </c>
      <c r="I102" s="18" t="str">
        <f>IFERROR(VLOOKUP($E102,임시동력입.출고현황!$A:$G,I$5,0),)</f>
        <v>400A</v>
      </c>
      <c r="J102" s="9" t="str">
        <f>IFERROR(VLOOKUP($E102,임시동력입.출고현황!$A:$G,J$5,0),)</f>
        <v>EA</v>
      </c>
      <c r="K102" s="237">
        <v>1</v>
      </c>
      <c r="L102" s="58"/>
    </row>
    <row r="103" spans="1:12" ht="24" customHeight="1">
      <c r="A103" s="8">
        <v>98</v>
      </c>
      <c r="B103" s="9">
        <v>98</v>
      </c>
      <c r="C103" s="9"/>
      <c r="D103" s="46">
        <v>45580</v>
      </c>
      <c r="E103" s="9" t="s">
        <v>306</v>
      </c>
      <c r="F103" s="56" t="str">
        <f>IFERROR(VLOOKUP($E103,임시동력입.출고현황!$A:$G,F$5,0),)</f>
        <v>Panel</v>
      </c>
      <c r="G103" s="18" t="str">
        <f>IFERROR(VLOOKUP($E103,임시동력입.출고현황!$A:$G,G$5,0),)</f>
        <v>Electrical Panel</v>
      </c>
      <c r="H103" s="18">
        <f>IFERROR(VLOOKUP($E103,임시동력입.출고현황!$A:$G,H$5,0),)</f>
        <v>0</v>
      </c>
      <c r="I103" s="18" t="str">
        <f>IFERROR(VLOOKUP($E103,임시동력입.출고현황!$A:$G,I$5,0),)</f>
        <v>250A</v>
      </c>
      <c r="J103" s="9" t="str">
        <f>IFERROR(VLOOKUP($E103,임시동력입.출고현황!$A:$G,J$5,0),)</f>
        <v>EA</v>
      </c>
      <c r="K103" s="237">
        <v>1</v>
      </c>
      <c r="L103" s="58"/>
    </row>
    <row r="104" spans="1:12" ht="24" customHeight="1">
      <c r="A104" s="8">
        <v>99</v>
      </c>
      <c r="B104" s="9">
        <v>99</v>
      </c>
      <c r="C104" s="9"/>
      <c r="D104" s="46">
        <v>45580</v>
      </c>
      <c r="E104" s="9" t="s">
        <v>311</v>
      </c>
      <c r="F104" s="56" t="str">
        <f>IFERROR(VLOOKUP($E104,임시동력입.출고현황!$A:$G,F$5,0),)</f>
        <v>Panel</v>
      </c>
      <c r="G104" s="18" t="str">
        <f>IFERROR(VLOOKUP($E104,임시동력입.출고현황!$A:$G,G$5,0),)</f>
        <v>Electrical Panel</v>
      </c>
      <c r="H104" s="18">
        <f>IFERROR(VLOOKUP($E104,임시동력입.출고현황!$A:$G,H$5,0),)</f>
        <v>0</v>
      </c>
      <c r="I104" s="18" t="str">
        <f>IFERROR(VLOOKUP($E104,임시동력입.출고현황!$A:$G,I$5,0),)</f>
        <v>50A</v>
      </c>
      <c r="J104" s="9" t="str">
        <f>IFERROR(VLOOKUP($E104,임시동력입.출고현황!$A:$G,J$5,0),)</f>
        <v>EA</v>
      </c>
      <c r="K104" s="237">
        <v>1</v>
      </c>
      <c r="L104" s="58"/>
    </row>
    <row r="105" spans="1:12" ht="24" customHeight="1">
      <c r="A105" s="8">
        <v>100</v>
      </c>
      <c r="B105" s="9">
        <v>100</v>
      </c>
      <c r="C105" s="9"/>
      <c r="D105" s="46">
        <v>45580</v>
      </c>
      <c r="E105" s="9" t="s">
        <v>306</v>
      </c>
      <c r="F105" s="56" t="str">
        <f>IFERROR(VLOOKUP($E105,임시동력입.출고현황!$A:$G,F$5,0),)</f>
        <v>Panel</v>
      </c>
      <c r="G105" s="18" t="str">
        <f>IFERROR(VLOOKUP($E105,임시동력입.출고현황!$A:$G,G$5,0),)</f>
        <v>Electrical Panel</v>
      </c>
      <c r="H105" s="18">
        <f>IFERROR(VLOOKUP($E105,임시동력입.출고현황!$A:$G,H$5,0),)</f>
        <v>0</v>
      </c>
      <c r="I105" s="18" t="str">
        <f>IFERROR(VLOOKUP($E105,임시동력입.출고현황!$A:$G,I$5,0),)</f>
        <v>250A</v>
      </c>
      <c r="J105" s="9" t="str">
        <f>IFERROR(VLOOKUP($E105,임시동력입.출고현황!$A:$G,J$5,0),)</f>
        <v>EA</v>
      </c>
      <c r="K105" s="237">
        <v>1</v>
      </c>
      <c r="L105" s="58"/>
    </row>
    <row r="106" spans="1:12" ht="24" customHeight="1">
      <c r="A106" s="8">
        <v>101</v>
      </c>
      <c r="B106" s="9">
        <v>101</v>
      </c>
      <c r="C106" s="9"/>
      <c r="D106" s="46">
        <v>45580</v>
      </c>
      <c r="E106" s="9" t="s">
        <v>307</v>
      </c>
      <c r="F106" s="56" t="str">
        <f>IFERROR(VLOOKUP($E106,임시동력입.출고현황!$A:$G,F$5,0),)</f>
        <v>Panel</v>
      </c>
      <c r="G106" s="18" t="str">
        <f>IFERROR(VLOOKUP($E106,임시동력입.출고현황!$A:$G,G$5,0),)</f>
        <v>Electrical Panel</v>
      </c>
      <c r="H106" s="18">
        <f>IFERROR(VLOOKUP($E106,임시동력입.출고현황!$A:$G,H$5,0),)</f>
        <v>0</v>
      </c>
      <c r="I106" s="18" t="str">
        <f>IFERROR(VLOOKUP($E106,임시동력입.출고현황!$A:$G,I$5,0),)</f>
        <v>160A</v>
      </c>
      <c r="J106" s="9" t="str">
        <f>IFERROR(VLOOKUP($E106,임시동력입.출고현황!$A:$G,J$5,0),)</f>
        <v>EA</v>
      </c>
      <c r="K106" s="237">
        <v>1</v>
      </c>
      <c r="L106" s="58"/>
    </row>
    <row r="107" spans="1:12" ht="24" customHeight="1">
      <c r="A107" s="8">
        <v>102</v>
      </c>
      <c r="B107" s="9">
        <v>102</v>
      </c>
      <c r="C107" s="9"/>
      <c r="D107" s="46">
        <v>45580</v>
      </c>
      <c r="E107" s="10" t="s">
        <v>341</v>
      </c>
      <c r="F107" s="56" t="str">
        <f>IFERROR(VLOOKUP($E107,임시동력입.출고현황!$A:$G,F$5,0),)</f>
        <v>LTG</v>
      </c>
      <c r="G107" s="18" t="str">
        <f>IFERROR(VLOOKUP($E107,임시동력입.출고현황!$A:$G,G$5,0),)</f>
        <v>Lighting Fixture</v>
      </c>
      <c r="H107" s="18">
        <f>IFERROR(VLOOKUP($E107,임시동력입.출고현황!$A:$G,H$5,0),)</f>
        <v>0</v>
      </c>
      <c r="I107" s="18" t="str">
        <f>IFERROR(VLOOKUP($E107,임시동력입.출고현황!$A:$G,I$5,0),)</f>
        <v>400W</v>
      </c>
      <c r="J107" s="9" t="str">
        <f>IFERROR(VLOOKUP($E107,임시동력입.출고현황!$A:$G,J$5,0),)</f>
        <v>EA</v>
      </c>
      <c r="K107" s="237">
        <v>10</v>
      </c>
      <c r="L107" s="58"/>
    </row>
    <row r="108" spans="1:12" ht="24" customHeight="1">
      <c r="A108" s="8">
        <v>103</v>
      </c>
      <c r="B108" s="9">
        <v>103</v>
      </c>
      <c r="C108" s="9"/>
      <c r="D108" s="46">
        <v>45582</v>
      </c>
      <c r="E108" s="10" t="s">
        <v>341</v>
      </c>
      <c r="F108" s="56" t="str">
        <f>IFERROR(VLOOKUP($E108,임시동력입.출고현황!$A:$G,F$5,0),)</f>
        <v>LTG</v>
      </c>
      <c r="G108" s="18" t="str">
        <f>IFERROR(VLOOKUP($E108,임시동력입.출고현황!$A:$G,G$5,0),)</f>
        <v>Lighting Fixture</v>
      </c>
      <c r="H108" s="18">
        <f>IFERROR(VLOOKUP($E108,임시동력입.출고현황!$A:$G,H$5,0),)</f>
        <v>0</v>
      </c>
      <c r="I108" s="18" t="str">
        <f>IFERROR(VLOOKUP($E108,임시동력입.출고현황!$A:$G,I$5,0),)</f>
        <v>400W</v>
      </c>
      <c r="J108" s="9" t="str">
        <f>IFERROR(VLOOKUP($E108,임시동력입.출고현황!$A:$G,J$5,0),)</f>
        <v>EA</v>
      </c>
      <c r="K108" s="237">
        <v>33</v>
      </c>
      <c r="L108" s="58"/>
    </row>
    <row r="109" spans="1:12" ht="24" customHeight="1">
      <c r="A109" s="8">
        <v>104</v>
      </c>
      <c r="B109" s="9">
        <v>104</v>
      </c>
      <c r="C109" s="9"/>
      <c r="D109" s="46">
        <v>45587</v>
      </c>
      <c r="E109" s="10" t="s">
        <v>341</v>
      </c>
      <c r="F109" s="56" t="str">
        <f>IFERROR(VLOOKUP($E109,임시동력입.출고현황!$A:$G,F$5,0),)</f>
        <v>LTG</v>
      </c>
      <c r="G109" s="18" t="str">
        <f>IFERROR(VLOOKUP($E109,임시동력입.출고현황!$A:$G,G$5,0),)</f>
        <v>Lighting Fixture</v>
      </c>
      <c r="H109" s="18">
        <f>IFERROR(VLOOKUP($E109,임시동력입.출고현황!$A:$G,H$5,0),)</f>
        <v>0</v>
      </c>
      <c r="I109" s="18" t="str">
        <f>IFERROR(VLOOKUP($E109,임시동력입.출고현황!$A:$G,I$5,0),)</f>
        <v>400W</v>
      </c>
      <c r="J109" s="9" t="str">
        <f>IFERROR(VLOOKUP($E109,임시동력입.출고현황!$A:$G,J$5,0),)</f>
        <v>EA</v>
      </c>
      <c r="K109" s="237">
        <v>50</v>
      </c>
      <c r="L109" s="58"/>
    </row>
    <row r="110" spans="1:12" ht="24" customHeight="1">
      <c r="A110" s="8">
        <v>105</v>
      </c>
      <c r="B110" s="9">
        <v>105</v>
      </c>
      <c r="C110" s="9"/>
      <c r="D110" s="46">
        <v>45588</v>
      </c>
      <c r="E110" s="10" t="s">
        <v>341</v>
      </c>
      <c r="F110" s="56" t="str">
        <f>IFERROR(VLOOKUP($E110,임시동력입.출고현황!$A:$G,F$5,0),)</f>
        <v>LTG</v>
      </c>
      <c r="G110" s="18" t="str">
        <f>IFERROR(VLOOKUP($E110,임시동력입.출고현황!$A:$G,G$5,0),)</f>
        <v>Lighting Fixture</v>
      </c>
      <c r="H110" s="18">
        <f>IFERROR(VLOOKUP($E110,임시동력입.출고현황!$A:$G,H$5,0),)</f>
        <v>0</v>
      </c>
      <c r="I110" s="18" t="str">
        <f>IFERROR(VLOOKUP($E110,임시동력입.출고현황!$A:$G,I$5,0),)</f>
        <v>400W</v>
      </c>
      <c r="J110" s="9" t="str">
        <f>IFERROR(VLOOKUP($E110,임시동력입.출고현황!$A:$G,J$5,0),)</f>
        <v>EA</v>
      </c>
      <c r="K110" s="237">
        <v>61</v>
      </c>
      <c r="L110" s="58"/>
    </row>
    <row r="111" spans="1:12" ht="24" customHeight="1">
      <c r="A111" s="8">
        <v>106</v>
      </c>
      <c r="B111" s="9">
        <v>106</v>
      </c>
      <c r="C111" s="9"/>
      <c r="D111" s="46">
        <v>45588</v>
      </c>
      <c r="E111" s="9" t="s">
        <v>311</v>
      </c>
      <c r="F111" s="56" t="str">
        <f>IFERROR(VLOOKUP($E111,임시동력입.출고현황!$A:$G,F$5,0),)</f>
        <v>Panel</v>
      </c>
      <c r="G111" s="18" t="str">
        <f>IFERROR(VLOOKUP($E111,임시동력입.출고현황!$A:$G,G$5,0),)</f>
        <v>Electrical Panel</v>
      </c>
      <c r="H111" s="18">
        <f>IFERROR(VLOOKUP($E111,임시동력입.출고현황!$A:$G,H$5,0),)</f>
        <v>0</v>
      </c>
      <c r="I111" s="18" t="str">
        <f>IFERROR(VLOOKUP($E111,임시동력입.출고현황!$A:$G,I$5,0),)</f>
        <v>50A</v>
      </c>
      <c r="J111" s="9" t="str">
        <f>IFERROR(VLOOKUP($E111,임시동력입.출고현황!$A:$G,J$5,0),)</f>
        <v>EA</v>
      </c>
      <c r="K111" s="237">
        <v>6</v>
      </c>
      <c r="L111" s="58"/>
    </row>
    <row r="112" spans="1:12" ht="24" customHeight="1">
      <c r="A112" s="8">
        <v>107</v>
      </c>
      <c r="B112" s="9">
        <v>107</v>
      </c>
      <c r="C112" s="9"/>
      <c r="D112" s="46">
        <v>45593</v>
      </c>
      <c r="E112" s="9" t="s">
        <v>311</v>
      </c>
      <c r="F112" s="56" t="str">
        <f>IFERROR(VLOOKUP($E112,임시동력입.출고현황!$A:$G,F$5,0),)</f>
        <v>Panel</v>
      </c>
      <c r="G112" s="18" t="str">
        <f>IFERROR(VLOOKUP($E112,임시동력입.출고현황!$A:$G,G$5,0),)</f>
        <v>Electrical Panel</v>
      </c>
      <c r="H112" s="18">
        <f>IFERROR(VLOOKUP($E112,임시동력입.출고현황!$A:$G,H$5,0),)</f>
        <v>0</v>
      </c>
      <c r="I112" s="18" t="str">
        <f>IFERROR(VLOOKUP($E112,임시동력입.출고현황!$A:$G,I$5,0),)</f>
        <v>50A</v>
      </c>
      <c r="J112" s="9" t="str">
        <f>IFERROR(VLOOKUP($E112,임시동력입.출고현황!$A:$G,J$5,0),)</f>
        <v>EA</v>
      </c>
      <c r="K112" s="237">
        <v>8</v>
      </c>
      <c r="L112" s="58"/>
    </row>
    <row r="113" spans="1:16" ht="24" customHeight="1">
      <c r="A113" s="8">
        <v>108</v>
      </c>
      <c r="B113" s="9">
        <v>108</v>
      </c>
      <c r="C113" s="9"/>
      <c r="D113" s="46">
        <v>45601</v>
      </c>
      <c r="E113" s="9" t="s">
        <v>306</v>
      </c>
      <c r="F113" s="56" t="str">
        <f>IFERROR(VLOOKUP($E113,임시동력입.출고현황!$A:$G,F$5,0),)</f>
        <v>Panel</v>
      </c>
      <c r="G113" s="18" t="str">
        <f>IFERROR(VLOOKUP($E113,임시동력입.출고현황!$A:$G,G$5,0),)</f>
        <v>Electrical Panel</v>
      </c>
      <c r="H113" s="18">
        <f>IFERROR(VLOOKUP($E113,임시동력입.출고현황!$A:$G,H$5,0),)</f>
        <v>0</v>
      </c>
      <c r="I113" s="18" t="str">
        <f>IFERROR(VLOOKUP($E113,임시동력입.출고현황!$A:$G,I$5,0),)</f>
        <v>250A</v>
      </c>
      <c r="J113" s="9" t="str">
        <f>IFERROR(VLOOKUP($E113,임시동력입.출고현황!$A:$G,J$5,0),)</f>
        <v>EA</v>
      </c>
      <c r="K113" s="237">
        <v>7</v>
      </c>
      <c r="L113" s="58"/>
    </row>
    <row r="114" spans="1:16" ht="24" customHeight="1">
      <c r="A114" s="8">
        <v>109</v>
      </c>
      <c r="B114" s="9">
        <v>109</v>
      </c>
      <c r="C114" s="9"/>
      <c r="D114" s="46">
        <v>45606</v>
      </c>
      <c r="E114" s="9" t="s">
        <v>304</v>
      </c>
      <c r="F114" s="56" t="str">
        <f>IFERROR(VLOOKUP($E114,임시동력입.출고현황!$A:$G,F$5,0),)</f>
        <v>Panel</v>
      </c>
      <c r="G114" s="18" t="str">
        <f>IFERROR(VLOOKUP($E114,임시동력입.출고현황!$A:$G,G$5,0),)</f>
        <v>Electrical Panel</v>
      </c>
      <c r="H114" s="18">
        <f>IFERROR(VLOOKUP($E114,임시동력입.출고현황!$A:$G,H$5,0),)</f>
        <v>0</v>
      </c>
      <c r="I114" s="18" t="str">
        <f>IFERROR(VLOOKUP($E114,임시동력입.출고현황!$A:$G,I$5,0),)</f>
        <v>400A</v>
      </c>
      <c r="J114" s="9" t="str">
        <f>IFERROR(VLOOKUP($E114,임시동력입.출고현황!$A:$G,J$5,0),)</f>
        <v>EA</v>
      </c>
      <c r="K114" s="237">
        <v>3</v>
      </c>
      <c r="L114" s="58"/>
    </row>
    <row r="115" spans="1:16" ht="24" customHeight="1">
      <c r="A115" s="8">
        <v>110</v>
      </c>
      <c r="B115" s="9">
        <v>110</v>
      </c>
      <c r="C115" s="9"/>
      <c r="D115" s="46">
        <v>45623</v>
      </c>
      <c r="E115" s="9" t="s">
        <v>319</v>
      </c>
      <c r="F115" s="56" t="str">
        <f>IFERROR(VLOOKUP($E115,임시동력입.출고현황!$A:$G,F$5,0),)</f>
        <v>Cable</v>
      </c>
      <c r="G115" s="18" t="str">
        <f>IFERROR(VLOOKUP($E115,임시동력입.출고현황!$A:$G,G$5,0),)</f>
        <v>AL Cable</v>
      </c>
      <c r="H115" s="18">
        <f>IFERROR(VLOOKUP($E115,임시동력입.출고현황!$A:$G,H$5,0),)</f>
        <v>0</v>
      </c>
      <c r="I115" s="18" t="str">
        <f>IFERROR(VLOOKUP($E115,임시동력입.출고현황!$A:$G,I$5,0),)</f>
        <v>3C x 120+70mm2 [ALU]</v>
      </c>
      <c r="J115" s="9" t="str">
        <f>IFERROR(VLOOKUP($E115,임시동력입.출고현황!$A:$G,J$5,0),)</f>
        <v>M</v>
      </c>
      <c r="K115" s="237">
        <v>500</v>
      </c>
      <c r="L115" s="58"/>
    </row>
    <row r="116" spans="1:16" ht="24" customHeight="1">
      <c r="A116" s="8">
        <v>111</v>
      </c>
      <c r="B116" s="9">
        <v>111</v>
      </c>
      <c r="C116" s="9"/>
      <c r="D116" s="46">
        <v>45623</v>
      </c>
      <c r="E116" s="9" t="s">
        <v>323</v>
      </c>
      <c r="F116" s="56" t="str">
        <f>IFERROR(VLOOKUP($E116,임시동력입.출고현황!$A:$G,F$5,0),)</f>
        <v>Cable</v>
      </c>
      <c r="G116" s="18" t="str">
        <f>IFERROR(VLOOKUP($E116,임시동력입.출고현황!$A:$G,G$5,0),)</f>
        <v>AL Cable</v>
      </c>
      <c r="H116" s="18">
        <f>IFERROR(VLOOKUP($E116,임시동력입.출고현황!$A:$G,H$5,0),)</f>
        <v>0</v>
      </c>
      <c r="I116" s="18" t="str">
        <f>IFERROR(VLOOKUP($E116,임시동력입.출고현황!$A:$G,I$5,0),)</f>
        <v>4C x 35mm2 [ALU]</v>
      </c>
      <c r="J116" s="9" t="str">
        <f>IFERROR(VLOOKUP($E116,임시동력입.출고현황!$A:$G,J$5,0),)</f>
        <v>M</v>
      </c>
      <c r="K116" s="237">
        <v>500</v>
      </c>
      <c r="L116" s="58"/>
    </row>
    <row r="117" spans="1:16" ht="24" customHeight="1">
      <c r="A117" s="8">
        <v>112</v>
      </c>
      <c r="B117" s="9">
        <v>112</v>
      </c>
      <c r="C117" s="9"/>
      <c r="D117" s="46">
        <v>45623</v>
      </c>
      <c r="E117" s="9" t="s">
        <v>327</v>
      </c>
      <c r="F117" s="56" t="str">
        <f>IFERROR(VLOOKUP($E117,임시동력입.출고현황!$A:$G,F$5,0),)</f>
        <v>Cable</v>
      </c>
      <c r="G117" s="18" t="str">
        <f>IFERROR(VLOOKUP($E117,임시동력입.출고현황!$A:$G,G$5,0),)</f>
        <v>CV Cable</v>
      </c>
      <c r="H117" s="18">
        <f>IFERROR(VLOOKUP($E117,임시동력입.출고현황!$A:$G,H$5,0),)</f>
        <v>0</v>
      </c>
      <c r="I117" s="18" t="str">
        <f>IFERROR(VLOOKUP($E117,임시동력입.출고현황!$A:$G,I$5,0),)</f>
        <v>4C x 35mm2</v>
      </c>
      <c r="J117" s="9" t="str">
        <f>IFERROR(VLOOKUP($E117,임시동력입.출고현황!$A:$G,J$5,0),)</f>
        <v>M</v>
      </c>
      <c r="K117" s="237">
        <v>300</v>
      </c>
      <c r="L117" s="58"/>
    </row>
    <row r="118" spans="1:16" ht="24" customHeight="1">
      <c r="A118" s="8">
        <v>113</v>
      </c>
      <c r="B118" s="9">
        <v>113</v>
      </c>
      <c r="C118" s="9"/>
      <c r="D118" s="46">
        <v>45623</v>
      </c>
      <c r="E118" s="9" t="s">
        <v>328</v>
      </c>
      <c r="F118" s="56" t="str">
        <f>IFERROR(VLOOKUP($E118,임시동력입.출고현황!$A:$G,F$5,0),)</f>
        <v>Cable</v>
      </c>
      <c r="G118" s="18" t="str">
        <f>IFERROR(VLOOKUP($E118,임시동력입.출고현황!$A:$G,G$5,0),)</f>
        <v>CV Cable</v>
      </c>
      <c r="H118" s="18">
        <f>IFERROR(VLOOKUP($E118,임시동력입.출고현황!$A:$G,H$5,0),)</f>
        <v>0</v>
      </c>
      <c r="I118" s="18" t="str">
        <f>IFERROR(VLOOKUP($E118,임시동력입.출고현황!$A:$G,I$5,0),)</f>
        <v>4C x 25mm2</v>
      </c>
      <c r="J118" s="9" t="str">
        <f>IFERROR(VLOOKUP($E118,임시동력입.출고현황!$A:$G,J$5,0),)</f>
        <v>M</v>
      </c>
      <c r="K118" s="237">
        <v>300</v>
      </c>
      <c r="L118" s="42"/>
    </row>
    <row r="119" spans="1:16" ht="24" customHeight="1">
      <c r="A119" s="8">
        <v>114</v>
      </c>
      <c r="B119" s="9">
        <v>114</v>
      </c>
      <c r="C119" s="9"/>
      <c r="D119" s="46">
        <v>45623</v>
      </c>
      <c r="E119" s="9" t="s">
        <v>329</v>
      </c>
      <c r="F119" s="56" t="str">
        <f>IFERROR(VLOOKUP($E119,임시동력입.출고현황!$A:$G,F$5,0),)</f>
        <v>Cable</v>
      </c>
      <c r="G119" s="18" t="str">
        <f>IFERROR(VLOOKUP($E119,임시동력입.출고현황!$A:$G,G$5,0),)</f>
        <v>CV Cable</v>
      </c>
      <c r="H119" s="18">
        <f>IFERROR(VLOOKUP($E119,임시동력입.출고현황!$A:$G,H$5,0),)</f>
        <v>0</v>
      </c>
      <c r="I119" s="18" t="str">
        <f>IFERROR(VLOOKUP($E119,임시동력입.출고현황!$A:$G,I$5,0),)</f>
        <v>4C x 16mm2</v>
      </c>
      <c r="J119" s="9" t="str">
        <f>IFERROR(VLOOKUP($E119,임시동력입.출고현황!$A:$G,J$5,0),)</f>
        <v>M</v>
      </c>
      <c r="K119" s="237">
        <v>500</v>
      </c>
      <c r="L119" s="42" t="s">
        <v>329</v>
      </c>
    </row>
    <row r="120" spans="1:16" ht="24" customHeight="1">
      <c r="A120" s="8">
        <v>115</v>
      </c>
      <c r="B120" s="9">
        <v>115</v>
      </c>
      <c r="C120" s="9"/>
      <c r="D120" s="46">
        <v>45623</v>
      </c>
      <c r="E120" s="9" t="s">
        <v>330</v>
      </c>
      <c r="F120" s="56" t="str">
        <f>IFERROR(VLOOKUP($E120,임시동력입.출고현황!$A:$G,F$5,0),)</f>
        <v>Cable</v>
      </c>
      <c r="G120" s="18" t="str">
        <f>IFERROR(VLOOKUP($E120,임시동력입.출고현황!$A:$G,G$5,0),)</f>
        <v>CV Cable</v>
      </c>
      <c r="H120" s="18">
        <f>IFERROR(VLOOKUP($E120,임시동력입.출고현황!$A:$G,H$5,0),)</f>
        <v>0</v>
      </c>
      <c r="I120" s="18" t="str">
        <f>IFERROR(VLOOKUP($E120,임시동력입.출고현황!$A:$G,I$5,0),)</f>
        <v>4C x 10mm2</v>
      </c>
      <c r="J120" s="9" t="str">
        <f>IFERROR(VLOOKUP($E120,임시동력입.출고현황!$A:$G,J$5,0),)</f>
        <v>M</v>
      </c>
      <c r="K120" s="237">
        <v>500</v>
      </c>
      <c r="L120" s="42"/>
    </row>
    <row r="121" spans="1:16" ht="24" customHeight="1">
      <c r="A121" s="8">
        <v>116</v>
      </c>
      <c r="B121" s="9">
        <v>116</v>
      </c>
      <c r="C121" s="9"/>
      <c r="D121" s="46">
        <v>45623</v>
      </c>
      <c r="E121" s="9" t="s">
        <v>333</v>
      </c>
      <c r="F121" s="56" t="str">
        <f>IFERROR(VLOOKUP($E121,임시동력입.출고현황!$A:$G,F$5,0),)</f>
        <v>Cable</v>
      </c>
      <c r="G121" s="18" t="str">
        <f>IFERROR(VLOOKUP($E121,임시동력입.출고현황!$A:$G,G$5,0),)</f>
        <v>CV Cable</v>
      </c>
      <c r="H121" s="18">
        <f>IFERROR(VLOOKUP($E121,임시동력입.출고현황!$A:$G,H$5,0),)</f>
        <v>0</v>
      </c>
      <c r="I121" s="18" t="str">
        <f>IFERROR(VLOOKUP($E121,임시동력입.출고현황!$A:$G,I$5,0),)</f>
        <v>3C x 6mm2</v>
      </c>
      <c r="J121" s="9" t="str">
        <f>IFERROR(VLOOKUP($E121,임시동력입.출고현황!$A:$G,J$5,0),)</f>
        <v>M</v>
      </c>
      <c r="K121" s="237">
        <v>500</v>
      </c>
      <c r="L121" s="42"/>
      <c r="P121" s="5">
        <v>61</v>
      </c>
    </row>
    <row r="122" spans="1:16" ht="24" customHeight="1">
      <c r="A122" s="8">
        <v>117</v>
      </c>
      <c r="B122" s="9">
        <v>117</v>
      </c>
      <c r="C122" s="9"/>
      <c r="D122" s="46">
        <v>45623</v>
      </c>
      <c r="E122" s="9" t="s">
        <v>334</v>
      </c>
      <c r="F122" s="56" t="str">
        <f>IFERROR(VLOOKUP($E122,임시동력입.출고현황!$A:$G,F$5,0),)</f>
        <v>Cable</v>
      </c>
      <c r="G122" s="18" t="str">
        <f>IFERROR(VLOOKUP($E122,임시동력입.출고현황!$A:$G,G$5,0),)</f>
        <v>CV Cable</v>
      </c>
      <c r="H122" s="18">
        <f>IFERROR(VLOOKUP($E122,임시동력입.출고현황!$A:$G,H$5,0),)</f>
        <v>0</v>
      </c>
      <c r="I122" s="18" t="str">
        <f>IFERROR(VLOOKUP($E122,임시동력입.출고현황!$A:$G,I$5,0),)</f>
        <v>3C x 4mm2</v>
      </c>
      <c r="J122" s="9" t="str">
        <f>IFERROR(VLOOKUP($E122,임시동력입.출고현황!$A:$G,J$5,0),)</f>
        <v>M</v>
      </c>
      <c r="K122" s="237">
        <v>1000</v>
      </c>
      <c r="L122" s="42"/>
      <c r="O122" s="5">
        <v>123.5</v>
      </c>
      <c r="P122" s="5">
        <v>62.5</v>
      </c>
    </row>
    <row r="123" spans="1:16" ht="24" customHeight="1">
      <c r="A123" s="8">
        <v>118</v>
      </c>
      <c r="B123" s="9">
        <v>118</v>
      </c>
      <c r="C123" s="9"/>
      <c r="D123" s="46">
        <v>45623</v>
      </c>
      <c r="E123" s="9" t="s">
        <v>335</v>
      </c>
      <c r="F123" s="56" t="str">
        <f>IFERROR(VLOOKUP($E123,임시동력입.출고현황!$A:$G,F$5,0),)</f>
        <v>Cable</v>
      </c>
      <c r="G123" s="18" t="str">
        <f>IFERROR(VLOOKUP($E123,임시동력입.출고현황!$A:$G,G$5,0),)</f>
        <v>CV Cable</v>
      </c>
      <c r="H123" s="18">
        <f>IFERROR(VLOOKUP($E123,임시동력입.출고현황!$A:$G,H$5,0),)</f>
        <v>0</v>
      </c>
      <c r="I123" s="18" t="str">
        <f>IFERROR(VLOOKUP($E123,임시동력입.출고현황!$A:$G,I$5,0),)</f>
        <v>3C x 2.5mm2</v>
      </c>
      <c r="J123" s="9" t="str">
        <f>IFERROR(VLOOKUP($E123,임시동력입.출고현황!$A:$G,J$5,0),)</f>
        <v>M</v>
      </c>
      <c r="K123" s="237">
        <v>3000</v>
      </c>
      <c r="L123" s="42"/>
      <c r="O123" s="5">
        <f>O122*1.6</f>
        <v>197.60000000000002</v>
      </c>
    </row>
    <row r="124" spans="1:16" ht="24" customHeight="1">
      <c r="A124" s="8">
        <v>119</v>
      </c>
      <c r="B124" s="9">
        <v>119</v>
      </c>
      <c r="C124" s="9"/>
      <c r="D124" s="46">
        <v>45623</v>
      </c>
      <c r="E124" s="9" t="s">
        <v>349</v>
      </c>
      <c r="F124" s="56" t="str">
        <f>IFERROR(VLOOKUP($E124,임시동력입.출고현황!$A:$G,F$5,0),)</f>
        <v>LTG</v>
      </c>
      <c r="G124" s="18" t="str">
        <f>IFERROR(VLOOKUP($E124,임시동력입.출고현황!$A:$G,G$5,0),)</f>
        <v>Lighting Fixture</v>
      </c>
      <c r="H124" s="18">
        <f>IFERROR(VLOOKUP($E124,임시동력입.출고현황!$A:$G,H$5,0),)</f>
        <v>0</v>
      </c>
      <c r="I124" s="18" t="str">
        <f>IFERROR(VLOOKUP($E124,임시동력입.출고현황!$A:$G,I$5,0),)</f>
        <v>50W</v>
      </c>
      <c r="J124" s="9" t="str">
        <f>IFERROR(VLOOKUP($E124,임시동력입.출고현황!$A:$G,J$5,0),)</f>
        <v>EA</v>
      </c>
      <c r="K124" s="237">
        <v>100</v>
      </c>
      <c r="L124" s="42"/>
    </row>
    <row r="125" spans="1:16" ht="24" customHeight="1">
      <c r="A125" s="8">
        <v>120</v>
      </c>
      <c r="B125" s="9">
        <v>120</v>
      </c>
      <c r="C125" s="9"/>
      <c r="D125" s="46">
        <v>45636</v>
      </c>
      <c r="E125" s="9" t="s">
        <v>315</v>
      </c>
      <c r="F125" s="56" t="str">
        <f>IFERROR(VLOOKUP($E125,임시동력입.출고현황!$A:$G,F$5,0),)</f>
        <v>Panel</v>
      </c>
      <c r="G125" s="18" t="str">
        <f>IFERROR(VLOOKUP($E125,임시동력입.출고현황!$A:$G,G$5,0),)</f>
        <v>Electrical Panel</v>
      </c>
      <c r="H125" s="18">
        <f>IFERROR(VLOOKUP($E125,임시동력입.출고현황!$A:$G,H$5,0),)</f>
        <v>0</v>
      </c>
      <c r="I125" s="18" t="str">
        <f>IFERROR(VLOOKUP($E125,임시동력입.출고현황!$A:$G,I$5,0),)</f>
        <v>32A</v>
      </c>
      <c r="J125" s="9" t="str">
        <f>IFERROR(VLOOKUP($E125,임시동력입.출고현황!$A:$G,J$5,0),)</f>
        <v>EA</v>
      </c>
      <c r="K125" s="237">
        <v>3</v>
      </c>
      <c r="L125" s="42"/>
    </row>
    <row r="126" spans="1:16" ht="24" customHeight="1">
      <c r="A126" s="8">
        <v>121</v>
      </c>
      <c r="B126" s="9">
        <v>121</v>
      </c>
      <c r="C126" s="9"/>
      <c r="D126" s="46">
        <v>45735</v>
      </c>
      <c r="E126" s="9" t="s">
        <v>450</v>
      </c>
      <c r="F126" s="56" t="str">
        <f>IFERROR(VLOOKUP($E126,임시동력입.출고현황!$A:$G,F$5,0),)</f>
        <v>Panel</v>
      </c>
      <c r="G126" s="18" t="str">
        <f>IFERROR(VLOOKUP($E126,임시동력입.출고현황!$A:$G,G$5,0),)</f>
        <v>Electrical Panel</v>
      </c>
      <c r="H126" s="18">
        <f>IFERROR(VLOOKUP($E126,임시동력입.출고현황!$A:$G,H$5,0),)</f>
        <v>0</v>
      </c>
      <c r="I126" s="18" t="str">
        <f>IFERROR(VLOOKUP($E126,임시동력입.출고현황!$A:$G,I$5,0),)</f>
        <v>125A</v>
      </c>
      <c r="J126" s="9" t="str">
        <f>IFERROR(VLOOKUP($E126,임시동력입.출고현황!$A:$G,J$5,0),)</f>
        <v>EA</v>
      </c>
      <c r="K126" s="237">
        <v>10</v>
      </c>
      <c r="L126" s="42"/>
    </row>
    <row r="127" spans="1:16" ht="24" customHeight="1">
      <c r="A127" s="8">
        <v>122</v>
      </c>
      <c r="B127" s="9">
        <v>122</v>
      </c>
      <c r="C127" s="9"/>
      <c r="D127" s="46">
        <v>45735</v>
      </c>
      <c r="E127" s="9" t="s">
        <v>308</v>
      </c>
      <c r="F127" s="56" t="str">
        <f>IFERROR(VLOOKUP($E127,임시동력입.출고현황!$A:$G,F$5,0),)</f>
        <v>Panel</v>
      </c>
      <c r="G127" s="18" t="str">
        <f>IFERROR(VLOOKUP($E127,임시동력입.출고현황!$A:$G,G$5,0),)</f>
        <v>Electrical Panel</v>
      </c>
      <c r="H127" s="18">
        <f>IFERROR(VLOOKUP($E127,임시동력입.출고현황!$A:$G,H$5,0),)</f>
        <v>0</v>
      </c>
      <c r="I127" s="18" t="str">
        <f>IFERROR(VLOOKUP($E127,임시동력입.출고현황!$A:$G,I$5,0),)</f>
        <v>125A</v>
      </c>
      <c r="J127" s="9" t="str">
        <f>IFERROR(VLOOKUP($E127,임시동력입.출고현황!$A:$G,J$5,0),)</f>
        <v>EA</v>
      </c>
      <c r="K127" s="237">
        <v>8</v>
      </c>
      <c r="L127" s="42"/>
      <c r="N127" s="5" t="s">
        <v>452</v>
      </c>
    </row>
    <row r="128" spans="1:16" ht="24" customHeight="1">
      <c r="A128" s="8">
        <v>123</v>
      </c>
      <c r="B128" s="9">
        <v>123</v>
      </c>
      <c r="C128" s="9"/>
      <c r="D128" s="46">
        <v>45757</v>
      </c>
      <c r="E128" s="9" t="s">
        <v>307</v>
      </c>
      <c r="F128" s="56" t="str">
        <f>IFERROR(VLOOKUP($E128,임시동력입.출고현황!$A:$G,F$5,0),)</f>
        <v>Panel</v>
      </c>
      <c r="G128" s="18" t="str">
        <f>IFERROR(VLOOKUP($E128,임시동력입.출고현황!$A:$G,G$5,0),)</f>
        <v>Electrical Panel</v>
      </c>
      <c r="H128" s="18">
        <f>IFERROR(VLOOKUP($E128,임시동력입.출고현황!$A:$G,H$5,0),)</f>
        <v>0</v>
      </c>
      <c r="I128" s="18" t="str">
        <f>IFERROR(VLOOKUP($E128,임시동력입.출고현황!$A:$G,I$5,0),)</f>
        <v>160A</v>
      </c>
      <c r="J128" s="9" t="str">
        <f>IFERROR(VLOOKUP($E128,임시동력입.출고현황!$A:$G,J$5,0),)</f>
        <v>EA</v>
      </c>
      <c r="K128" s="237">
        <v>1</v>
      </c>
      <c r="L128" s="42"/>
    </row>
    <row r="129" spans="1:12" ht="24" customHeight="1">
      <c r="A129" s="8">
        <v>124</v>
      </c>
      <c r="B129" s="9">
        <v>124</v>
      </c>
      <c r="C129" s="9"/>
      <c r="D129" s="46">
        <v>45769</v>
      </c>
      <c r="E129" s="9" t="s">
        <v>308</v>
      </c>
      <c r="F129" s="56" t="str">
        <f>IFERROR(VLOOKUP($E129,임시동력입.출고현황!$A:$G,F$5,0),)</f>
        <v>Panel</v>
      </c>
      <c r="G129" s="18" t="str">
        <f>IFERROR(VLOOKUP($E129,임시동력입.출고현황!$A:$G,G$5,0),)</f>
        <v>Electrical Panel</v>
      </c>
      <c r="H129" s="18">
        <f>IFERROR(VLOOKUP($E129,임시동력입.출고현황!$A:$G,H$5,0),)</f>
        <v>0</v>
      </c>
      <c r="I129" s="18" t="str">
        <f>IFERROR(VLOOKUP($E129,임시동력입.출고현황!$A:$G,I$5,0),)</f>
        <v>125A</v>
      </c>
      <c r="J129" s="9" t="str">
        <f>IFERROR(VLOOKUP($E129,임시동력입.출고현황!$A:$G,J$5,0),)</f>
        <v>EA</v>
      </c>
      <c r="K129" s="237">
        <v>4</v>
      </c>
      <c r="L129" s="42"/>
    </row>
    <row r="130" spans="1:12" ht="24" customHeight="1">
      <c r="A130" s="8">
        <v>125</v>
      </c>
      <c r="B130" s="9">
        <v>125</v>
      </c>
      <c r="C130" s="9"/>
      <c r="D130" s="46">
        <v>45769</v>
      </c>
      <c r="E130" s="9" t="s">
        <v>327</v>
      </c>
      <c r="F130" s="56" t="str">
        <f>IFERROR(VLOOKUP($E130,임시동력입.출고현황!$A:$G,F$5,0),)</f>
        <v>Cable</v>
      </c>
      <c r="G130" s="18" t="str">
        <f>IFERROR(VLOOKUP($E130,임시동력입.출고현황!$A:$G,G$5,0),)</f>
        <v>CV Cable</v>
      </c>
      <c r="H130" s="18">
        <f>IFERROR(VLOOKUP($E130,임시동력입.출고현황!$A:$G,H$5,0),)</f>
        <v>0</v>
      </c>
      <c r="I130" s="18" t="str">
        <f>IFERROR(VLOOKUP($E130,임시동력입.출고현황!$A:$G,I$5,0),)</f>
        <v>4C x 35mm2</v>
      </c>
      <c r="J130" s="9" t="str">
        <f>IFERROR(VLOOKUP($E130,임시동력입.출고현황!$A:$G,J$5,0),)</f>
        <v>M</v>
      </c>
      <c r="K130" s="237">
        <v>300</v>
      </c>
      <c r="L130" s="42"/>
    </row>
    <row r="131" spans="1:12" ht="24" customHeight="1">
      <c r="A131" s="8">
        <v>126</v>
      </c>
      <c r="B131" s="9">
        <v>126</v>
      </c>
      <c r="C131" s="9"/>
      <c r="D131" s="46">
        <v>45774</v>
      </c>
      <c r="E131" s="9" t="s">
        <v>280</v>
      </c>
      <c r="F131" s="56" t="str">
        <f>IFERROR(VLOOKUP($E131,임시동력입.출고현황!$A:$G,F$5,0),)</f>
        <v>D/G</v>
      </c>
      <c r="G131" s="18" t="str">
        <f>IFERROR(VLOOKUP($E131,임시동력입.출고현황!$A:$G,G$5,0),)</f>
        <v>Generator</v>
      </c>
      <c r="H131" s="18">
        <f>IFERROR(VLOOKUP($E131,임시동력입.출고현황!$A:$G,H$5,0),)</f>
        <v>0</v>
      </c>
      <c r="I131" s="18" t="str">
        <f>IFERROR(VLOOKUP($E131,임시동력입.출고현황!$A:$G,I$5,0),)</f>
        <v>300KVA</v>
      </c>
      <c r="J131" s="9" t="str">
        <f>IFERROR(VLOOKUP($E131,임시동력입.출고현황!$A:$G,J$5,0),)</f>
        <v>대</v>
      </c>
      <c r="K131" s="237">
        <v>2</v>
      </c>
      <c r="L131" s="42"/>
    </row>
    <row r="132" spans="1:12" ht="24" customHeight="1">
      <c r="A132" s="8">
        <v>127</v>
      </c>
      <c r="B132" s="9">
        <v>127</v>
      </c>
      <c r="C132" s="9"/>
      <c r="D132" s="46">
        <v>45774</v>
      </c>
      <c r="E132" s="9" t="s">
        <v>281</v>
      </c>
      <c r="F132" s="56" t="str">
        <f>IFERROR(VLOOKUP($E132,임시동력입.출고현황!$A:$G,F$5,0),)</f>
        <v>D/G</v>
      </c>
      <c r="G132" s="18" t="str">
        <f>IFERROR(VLOOKUP($E132,임시동력입.출고현황!$A:$G,G$5,0),)</f>
        <v>Generator</v>
      </c>
      <c r="H132" s="18">
        <f>IFERROR(VLOOKUP($E132,임시동력입.출고현황!$A:$G,H$5,0),)</f>
        <v>0</v>
      </c>
      <c r="I132" s="18" t="str">
        <f>IFERROR(VLOOKUP($E132,임시동력입.출고현황!$A:$G,I$5,0),)</f>
        <v>150KVA</v>
      </c>
      <c r="J132" s="9" t="str">
        <f>IFERROR(VLOOKUP($E132,임시동력입.출고현황!$A:$G,J$5,0),)</f>
        <v>대</v>
      </c>
      <c r="K132" s="237">
        <v>2</v>
      </c>
      <c r="L132" s="42"/>
    </row>
    <row r="133" spans="1:12" ht="24" customHeight="1">
      <c r="A133" s="8">
        <v>128</v>
      </c>
      <c r="B133" s="9">
        <v>128</v>
      </c>
      <c r="C133" s="9" t="s">
        <v>611</v>
      </c>
      <c r="D133" s="46">
        <v>45800</v>
      </c>
      <c r="E133" s="9" t="s">
        <v>365</v>
      </c>
      <c r="F133" s="56" t="str">
        <f>IFERROR(VLOOKUP($E133,임시동력입.출고현황!$A:$G,F$5,0),)</f>
        <v>Panel</v>
      </c>
      <c r="G133" s="18" t="str">
        <f>IFERROR(VLOOKUP($E133,임시동력입.출고현황!$A:$G,G$5,0),)</f>
        <v>MTS Panel</v>
      </c>
      <c r="H133" s="18">
        <f>IFERROR(VLOOKUP($E133,임시동력입.출고현황!$A:$G,H$5,0),)</f>
        <v>0</v>
      </c>
      <c r="I133" s="18" t="str">
        <f>IFERROR(VLOOKUP($E133,임시동력입.출고현황!$A:$G,I$5,0),)</f>
        <v>200A</v>
      </c>
      <c r="J133" s="9" t="str">
        <f>IFERROR(VLOOKUP($E133,임시동력입.출고현황!$A:$G,J$5,0),)</f>
        <v>EA</v>
      </c>
      <c r="K133" s="237">
        <v>2</v>
      </c>
      <c r="L133" s="42" t="s">
        <v>371</v>
      </c>
    </row>
    <row r="134" spans="1:12" ht="24" customHeight="1">
      <c r="A134" s="8">
        <v>129</v>
      </c>
      <c r="B134" s="9">
        <v>129</v>
      </c>
      <c r="C134" s="9" t="s">
        <v>611</v>
      </c>
      <c r="D134" s="46">
        <v>45800</v>
      </c>
      <c r="E134" s="9" t="s">
        <v>366</v>
      </c>
      <c r="F134" s="56" t="str">
        <f>IFERROR(VLOOKUP($E134,임시동력입.출고현황!$A:$G,F$5,0),)</f>
        <v>Panel</v>
      </c>
      <c r="G134" s="18" t="str">
        <f>IFERROR(VLOOKUP($E134,임시동력입.출고현황!$A:$G,G$5,0),)</f>
        <v>MTS Panel</v>
      </c>
      <c r="H134" s="18">
        <f>IFERROR(VLOOKUP($E134,임시동력입.출고현황!$A:$G,H$5,0),)</f>
        <v>0</v>
      </c>
      <c r="I134" s="18" t="str">
        <f>IFERROR(VLOOKUP($E134,임시동력입.출고현황!$A:$G,I$5,0),)</f>
        <v>100A</v>
      </c>
      <c r="J134" s="9" t="str">
        <f>IFERROR(VLOOKUP($E134,임시동력입.출고현황!$A:$G,J$5,0),)</f>
        <v>EA</v>
      </c>
      <c r="K134" s="237">
        <v>1</v>
      </c>
      <c r="L134" s="42" t="s">
        <v>371</v>
      </c>
    </row>
    <row r="135" spans="1:12" ht="24" customHeight="1">
      <c r="A135" s="8">
        <v>130</v>
      </c>
      <c r="B135" s="9">
        <v>130</v>
      </c>
      <c r="C135" s="9"/>
      <c r="D135" s="46">
        <v>45811</v>
      </c>
      <c r="E135" s="9" t="s">
        <v>319</v>
      </c>
      <c r="F135" s="56" t="str">
        <f>IFERROR(VLOOKUP($E135,임시동력입.출고현황!$A:$G,F$5,0),)</f>
        <v>Cable</v>
      </c>
      <c r="G135" s="18" t="str">
        <f>IFERROR(VLOOKUP($E135,임시동력입.출고현황!$A:$G,G$5,0),)</f>
        <v>AL Cable</v>
      </c>
      <c r="H135" s="18">
        <f>IFERROR(VLOOKUP($E135,임시동력입.출고현황!$A:$G,H$5,0),)</f>
        <v>0</v>
      </c>
      <c r="I135" s="18" t="str">
        <f>IFERROR(VLOOKUP($E135,임시동력입.출고현황!$A:$G,I$5,0),)</f>
        <v>3C x 120+70mm2 [ALU]</v>
      </c>
      <c r="J135" s="9" t="str">
        <f>IFERROR(VLOOKUP($E135,임시동력입.출고현황!$A:$G,J$5,0),)</f>
        <v>M</v>
      </c>
      <c r="K135" s="237">
        <v>1003</v>
      </c>
      <c r="L135" s="42"/>
    </row>
    <row r="136" spans="1:12" ht="24" customHeight="1">
      <c r="A136" s="8">
        <v>131</v>
      </c>
      <c r="B136" s="9">
        <v>131</v>
      </c>
      <c r="C136" s="9"/>
      <c r="D136" s="46">
        <v>45811</v>
      </c>
      <c r="E136" s="9" t="s">
        <v>322</v>
      </c>
      <c r="F136" s="56" t="str">
        <f>IFERROR(VLOOKUP($E136,임시동력입.출고현황!$A:$G,F$5,0),)</f>
        <v>Cable</v>
      </c>
      <c r="G136" s="18" t="str">
        <f>IFERROR(VLOOKUP($E136,임시동력입.출고현황!$A:$G,G$5,0),)</f>
        <v>AL Cable</v>
      </c>
      <c r="H136" s="18">
        <f>IFERROR(VLOOKUP($E136,임시동력입.출고현황!$A:$G,H$5,0),)</f>
        <v>0</v>
      </c>
      <c r="I136" s="18" t="str">
        <f>IFERROR(VLOOKUP($E136,임시동력입.출고현황!$A:$G,I$5,0),)</f>
        <v>3C x 50+25mm2 [ALU]</v>
      </c>
      <c r="J136" s="9" t="str">
        <f>IFERROR(VLOOKUP($E136,임시동력입.출고현황!$A:$G,J$5,0),)</f>
        <v>M</v>
      </c>
      <c r="K136" s="237">
        <v>2005</v>
      </c>
      <c r="L136" s="42"/>
    </row>
    <row r="137" spans="1:12" ht="24" customHeight="1">
      <c r="A137" s="8">
        <v>132</v>
      </c>
      <c r="B137" s="9">
        <v>132</v>
      </c>
      <c r="C137" s="9"/>
      <c r="D137" s="46">
        <v>45812</v>
      </c>
      <c r="E137" s="9" t="s">
        <v>411</v>
      </c>
      <c r="F137" s="56" t="str">
        <f>IFERROR(VLOOKUP($E137,임시동력입.출고현황!$A:$G,F$5,0),)</f>
        <v>Cable</v>
      </c>
      <c r="G137" s="18" t="str">
        <f>IFERROR(VLOOKUP($E137,임시동력입.출고현황!$A:$G,G$5,0),)</f>
        <v>CV Cable</v>
      </c>
      <c r="H137" s="18">
        <f>IFERROR(VLOOKUP($E137,임시동력입.출고현황!$A:$G,H$5,0),)</f>
        <v>0</v>
      </c>
      <c r="I137" s="18" t="str">
        <f>IFERROR(VLOOKUP($E137,임시동력입.출고현황!$A:$G,I$5,0),)</f>
        <v>3C x 3mm2</v>
      </c>
      <c r="J137" s="9" t="str">
        <f>IFERROR(VLOOKUP($E137,임시동력입.출고현황!$A:$G,J$5,0),)</f>
        <v>M</v>
      </c>
      <c r="K137" s="237">
        <v>3002</v>
      </c>
      <c r="L137" s="42"/>
    </row>
    <row r="138" spans="1:12" ht="24" customHeight="1">
      <c r="A138" s="8">
        <v>133</v>
      </c>
      <c r="B138" s="9">
        <v>133</v>
      </c>
      <c r="C138" s="9"/>
      <c r="D138" s="46">
        <v>45812</v>
      </c>
      <c r="E138" s="9" t="s">
        <v>335</v>
      </c>
      <c r="F138" s="56" t="str">
        <f>IFERROR(VLOOKUP($E138,임시동력입.출고현황!$A:$G,F$5,0),)</f>
        <v>Cable</v>
      </c>
      <c r="G138" s="18" t="str">
        <f>IFERROR(VLOOKUP($E138,임시동력입.출고현황!$A:$G,G$5,0),)</f>
        <v>CV Cable</v>
      </c>
      <c r="H138" s="18">
        <f>IFERROR(VLOOKUP($E138,임시동력입.출고현황!$A:$G,H$5,0),)</f>
        <v>0</v>
      </c>
      <c r="I138" s="18" t="str">
        <f>IFERROR(VLOOKUP($E138,임시동력입.출고현황!$A:$G,I$5,0),)</f>
        <v>3C x 2.5mm2</v>
      </c>
      <c r="J138" s="9" t="str">
        <f>IFERROR(VLOOKUP($E138,임시동력입.출고현황!$A:$G,J$5,0),)</f>
        <v>M</v>
      </c>
      <c r="K138" s="237">
        <v>3961</v>
      </c>
      <c r="L138" s="42"/>
    </row>
    <row r="139" spans="1:12" ht="24" customHeight="1">
      <c r="A139" s="8">
        <v>134</v>
      </c>
      <c r="B139" s="9">
        <v>134</v>
      </c>
      <c r="C139" s="9"/>
      <c r="D139" s="46">
        <v>45812</v>
      </c>
      <c r="E139" s="9" t="s">
        <v>336</v>
      </c>
      <c r="F139" s="56" t="str">
        <f>IFERROR(VLOOKUP($E139,임시동력입.출고현황!$A:$G,F$5,0),)</f>
        <v>Cable</v>
      </c>
      <c r="G139" s="18" t="str">
        <f>IFERROR(VLOOKUP($E139,임시동력입.출고현황!$A:$G,G$5,0),)</f>
        <v>CV Cable</v>
      </c>
      <c r="H139" s="18">
        <f>IFERROR(VLOOKUP($E139,임시동력입.출고현황!$A:$G,H$5,0),)</f>
        <v>0</v>
      </c>
      <c r="I139" s="18" t="str">
        <f>IFERROR(VLOOKUP($E139,임시동력입.출고현황!$A:$G,I$5,0),)</f>
        <v>3C x 1.5mm2</v>
      </c>
      <c r="J139" s="9" t="str">
        <f>IFERROR(VLOOKUP($E139,임시동력입.출고현황!$A:$G,J$5,0),)</f>
        <v>M</v>
      </c>
      <c r="K139" s="237">
        <v>3022</v>
      </c>
      <c r="L139" s="42"/>
    </row>
    <row r="140" spans="1:12" ht="24" customHeight="1">
      <c r="A140" s="8">
        <v>135</v>
      </c>
      <c r="B140" s="9">
        <v>135</v>
      </c>
      <c r="C140" s="9"/>
      <c r="D140" s="46">
        <v>45925</v>
      </c>
      <c r="E140" s="9" t="s">
        <v>341</v>
      </c>
      <c r="F140" s="56" t="str">
        <f>IFERROR(VLOOKUP($E140,임시동력입.출고현황!$A:$G,F$5,0),)</f>
        <v>LTG</v>
      </c>
      <c r="G140" s="18" t="str">
        <f>IFERROR(VLOOKUP($E140,임시동력입.출고현황!$A:$G,G$5,0),)</f>
        <v>Lighting Fixture</v>
      </c>
      <c r="H140" s="18">
        <f>IFERROR(VLOOKUP($E140,임시동력입.출고현황!$A:$G,H$5,0),)</f>
        <v>0</v>
      </c>
      <c r="I140" s="18" t="str">
        <f>IFERROR(VLOOKUP($E140,임시동력입.출고현황!$A:$G,I$5,0),)</f>
        <v>400W</v>
      </c>
      <c r="J140" s="9" t="str">
        <f>IFERROR(VLOOKUP($E140,임시동력입.출고현황!$A:$G,J$5,0),)</f>
        <v>EA</v>
      </c>
      <c r="K140" s="237">
        <v>200</v>
      </c>
      <c r="L140" s="42"/>
    </row>
    <row r="141" spans="1:12" ht="24" customHeight="1">
      <c r="A141" s="8">
        <v>136</v>
      </c>
      <c r="B141" s="9">
        <v>136</v>
      </c>
      <c r="C141" s="9"/>
      <c r="D141" s="46">
        <v>45944</v>
      </c>
      <c r="E141" s="9" t="s">
        <v>280</v>
      </c>
      <c r="F141" s="56" t="str">
        <f>IFERROR(VLOOKUP($E141,임시동력입.출고현황!$A:$G,F$5,0),)</f>
        <v>D/G</v>
      </c>
      <c r="G141" s="18" t="str">
        <f>IFERROR(VLOOKUP($E141,임시동력입.출고현황!$A:$G,G$5,0),)</f>
        <v>Generator</v>
      </c>
      <c r="H141" s="18">
        <f>IFERROR(VLOOKUP($E141,임시동력입.출고현황!$A:$G,H$5,0),)</f>
        <v>0</v>
      </c>
      <c r="I141" s="18" t="str">
        <f>IFERROR(VLOOKUP($E141,임시동력입.출고현황!$A:$G,I$5,0),)</f>
        <v>300KVA</v>
      </c>
      <c r="J141" s="9" t="str">
        <f>IFERROR(VLOOKUP($E141,임시동력입.출고현황!$A:$G,J$5,0),)</f>
        <v>대</v>
      </c>
      <c r="K141" s="237">
        <v>4</v>
      </c>
      <c r="L141" s="42"/>
    </row>
    <row r="142" spans="1:12" ht="24" customHeight="1">
      <c r="A142" s="8">
        <v>137</v>
      </c>
      <c r="B142" s="9">
        <v>137</v>
      </c>
      <c r="C142" s="9"/>
      <c r="D142" s="46">
        <v>45945</v>
      </c>
      <c r="E142" s="9" t="s">
        <v>347</v>
      </c>
      <c r="F142" s="56" t="str">
        <f>IFERROR(VLOOKUP($E142,임시동력입.출고현황!$A:$G,F$5,0),)</f>
        <v>LTG</v>
      </c>
      <c r="G142" s="18" t="str">
        <f>IFERROR(VLOOKUP($E142,임시동력입.출고현황!$A:$G,G$5,0),)</f>
        <v>Lighting Fixture</v>
      </c>
      <c r="H142" s="18">
        <f>IFERROR(VLOOKUP($E142,임시동력입.출고현황!$A:$G,H$5,0),)</f>
        <v>0</v>
      </c>
      <c r="I142" s="18" t="str">
        <f>IFERROR(VLOOKUP($E142,임시동력입.출고현황!$A:$G,I$5,0),)</f>
        <v>200W</v>
      </c>
      <c r="J142" s="9" t="str">
        <f>IFERROR(VLOOKUP($E142,임시동력입.출고현황!$A:$G,J$5,0),)</f>
        <v>EA</v>
      </c>
      <c r="K142" s="237">
        <v>100</v>
      </c>
      <c r="L142" s="42"/>
    </row>
    <row r="143" spans="1:12" ht="24" customHeight="1">
      <c r="A143" s="8">
        <v>138</v>
      </c>
      <c r="B143" s="9">
        <v>138</v>
      </c>
      <c r="C143" s="9"/>
      <c r="D143" s="46">
        <v>45945</v>
      </c>
      <c r="E143" s="9" t="s">
        <v>555</v>
      </c>
      <c r="F143" s="56" t="str">
        <f>IFERROR(VLOOKUP($E143,임시동력입.출고현황!$A:$G,F$5,0),)</f>
        <v>MCB</v>
      </c>
      <c r="G143" s="18" t="str">
        <f>IFERROR(VLOOKUP($E143,임시동력입.출고현황!$A:$G,G$5,0),)</f>
        <v>MCB</v>
      </c>
      <c r="H143" s="18">
        <f>IFERROR(VLOOKUP($E143,임시동력입.출고현황!$A:$G,H$5,0),)</f>
        <v>0</v>
      </c>
      <c r="I143" s="18" t="str">
        <f>IFERROR(VLOOKUP($E143,임시동력입.출고현황!$A:$G,I$5,0),)</f>
        <v>1P - 16A</v>
      </c>
      <c r="J143" s="9" t="str">
        <f>IFERROR(VLOOKUP($E143,임시동력입.출고현황!$A:$G,J$5,0),)</f>
        <v>EA</v>
      </c>
      <c r="K143" s="237">
        <v>50</v>
      </c>
      <c r="L143" s="42"/>
    </row>
    <row r="144" spans="1:12" ht="24" customHeight="1">
      <c r="A144" s="8">
        <v>139</v>
      </c>
      <c r="B144" s="9">
        <v>139</v>
      </c>
      <c r="C144" s="9"/>
      <c r="D144" s="46">
        <v>45945</v>
      </c>
      <c r="E144" s="9" t="s">
        <v>476</v>
      </c>
      <c r="F144" s="56" t="str">
        <f>IFERROR(VLOOKUP($E144,임시동력입.출고현황!$A:$G,F$5,0),)</f>
        <v>MCB</v>
      </c>
      <c r="G144" s="18" t="str">
        <f>IFERROR(VLOOKUP($E144,임시동력입.출고현황!$A:$G,G$5,0),)</f>
        <v>MCB</v>
      </c>
      <c r="H144" s="18">
        <f>IFERROR(VLOOKUP($E144,임시동력입.출고현황!$A:$G,H$5,0),)</f>
        <v>0</v>
      </c>
      <c r="I144" s="18" t="str">
        <f>IFERROR(VLOOKUP($E144,임시동력입.출고현황!$A:$G,I$5,0),)</f>
        <v>1P - 25A</v>
      </c>
      <c r="J144" s="9" t="str">
        <f>IFERROR(VLOOKUP($E144,임시동력입.출고현황!$A:$G,J$5,0),)</f>
        <v>EA</v>
      </c>
      <c r="K144" s="237">
        <v>50</v>
      </c>
      <c r="L144" s="42"/>
    </row>
    <row r="145" spans="1:12" ht="24" customHeight="1">
      <c r="A145" s="8">
        <v>140</v>
      </c>
      <c r="B145" s="9">
        <v>140</v>
      </c>
      <c r="C145" s="9"/>
      <c r="D145" s="46">
        <v>45945</v>
      </c>
      <c r="E145" s="9" t="s">
        <v>477</v>
      </c>
      <c r="F145" s="56" t="str">
        <f>IFERROR(VLOOKUP($E145,임시동력입.출고현황!$A:$G,F$5,0),)</f>
        <v>MCB</v>
      </c>
      <c r="G145" s="18" t="str">
        <f>IFERROR(VLOOKUP($E145,임시동력입.출고현황!$A:$G,G$5,0),)</f>
        <v>MCB</v>
      </c>
      <c r="H145" s="18">
        <f>IFERROR(VLOOKUP($E145,임시동력입.출고현황!$A:$G,H$5,0),)</f>
        <v>0</v>
      </c>
      <c r="I145" s="18" t="str">
        <f>IFERROR(VLOOKUP($E145,임시동력입.출고현황!$A:$G,I$5,0),)</f>
        <v>1P - 32A</v>
      </c>
      <c r="J145" s="9" t="str">
        <f>IFERROR(VLOOKUP($E145,임시동력입.출고현황!$A:$G,J$5,0),)</f>
        <v>EA</v>
      </c>
      <c r="K145" s="237">
        <v>50</v>
      </c>
      <c r="L145" s="42"/>
    </row>
    <row r="146" spans="1:12" ht="24" customHeight="1">
      <c r="A146" s="8">
        <v>141</v>
      </c>
      <c r="B146" s="9">
        <v>141</v>
      </c>
      <c r="C146" s="9"/>
      <c r="D146" s="46">
        <v>45945</v>
      </c>
      <c r="E146" s="9" t="s">
        <v>480</v>
      </c>
      <c r="F146" s="56" t="str">
        <f>IFERROR(VLOOKUP($E146,임시동력입.출고현황!$A:$G,F$5,0),)</f>
        <v>MCB</v>
      </c>
      <c r="G146" s="18" t="str">
        <f>IFERROR(VLOOKUP($E146,임시동력입.출고현황!$A:$G,G$5,0),)</f>
        <v>RCBO</v>
      </c>
      <c r="H146" s="18">
        <f>IFERROR(VLOOKUP($E146,임시동력입.출고현황!$A:$G,H$5,0),)</f>
        <v>0</v>
      </c>
      <c r="I146" s="18" t="str">
        <f>IFERROR(VLOOKUP($E146,임시동력입.출고현황!$A:$G,I$5,0),)</f>
        <v>1P + N -16A - 30 mA</v>
      </c>
      <c r="J146" s="9" t="str">
        <f>IFERROR(VLOOKUP($E146,임시동력입.출고현황!$A:$G,J$5,0),)</f>
        <v>EA</v>
      </c>
      <c r="K146" s="237">
        <v>45</v>
      </c>
      <c r="L146" s="42"/>
    </row>
    <row r="147" spans="1:12" ht="24" customHeight="1">
      <c r="A147" s="8">
        <v>142</v>
      </c>
      <c r="B147" s="9">
        <v>142</v>
      </c>
      <c r="C147" s="9"/>
      <c r="D147" s="46">
        <v>45945</v>
      </c>
      <c r="E147" s="9" t="s">
        <v>481</v>
      </c>
      <c r="F147" s="56" t="str">
        <f>IFERROR(VLOOKUP($E147,임시동력입.출고현황!$A:$G,F$5,0),)</f>
        <v>MCB</v>
      </c>
      <c r="G147" s="18" t="str">
        <f>IFERROR(VLOOKUP($E147,임시동력입.출고현황!$A:$G,G$5,0),)</f>
        <v>RCBO</v>
      </c>
      <c r="H147" s="18">
        <f>IFERROR(VLOOKUP($E147,임시동력입.출고현황!$A:$G,H$5,0),)</f>
        <v>0</v>
      </c>
      <c r="I147" s="18" t="str">
        <f>IFERROR(VLOOKUP($E147,임시동력입.출고현황!$A:$G,I$5,0),)</f>
        <v>1P + N -25A - 30 mA</v>
      </c>
      <c r="J147" s="9" t="str">
        <f>IFERROR(VLOOKUP($E147,임시동력입.출고현황!$A:$G,J$5,0),)</f>
        <v>EA</v>
      </c>
      <c r="K147" s="237">
        <v>17</v>
      </c>
      <c r="L147" s="42"/>
    </row>
    <row r="148" spans="1:12" ht="24" customHeight="1">
      <c r="A148" s="8">
        <v>143</v>
      </c>
      <c r="B148" s="9">
        <v>143</v>
      </c>
      <c r="C148" s="9"/>
      <c r="D148" s="46">
        <v>45945</v>
      </c>
      <c r="E148" s="9" t="s">
        <v>482</v>
      </c>
      <c r="F148" s="56" t="str">
        <f>IFERROR(VLOOKUP($E148,임시동력입.출고현황!$A:$G,F$5,0),)</f>
        <v>MCB</v>
      </c>
      <c r="G148" s="18" t="str">
        <f>IFERROR(VLOOKUP($E148,임시동력입.출고현황!$A:$G,G$5,0),)</f>
        <v>RCBO</v>
      </c>
      <c r="H148" s="18">
        <f>IFERROR(VLOOKUP($E148,임시동력입.출고현황!$A:$G,H$5,0),)</f>
        <v>0</v>
      </c>
      <c r="I148" s="18" t="str">
        <f>IFERROR(VLOOKUP($E148,임시동력입.출고현황!$A:$G,I$5,0),)</f>
        <v>1P + N -32A - 30 mA</v>
      </c>
      <c r="J148" s="9" t="str">
        <f>IFERROR(VLOOKUP($E148,임시동력입.출고현황!$A:$G,J$5,0),)</f>
        <v>EA</v>
      </c>
      <c r="K148" s="237">
        <v>20</v>
      </c>
      <c r="L148" s="42"/>
    </row>
    <row r="149" spans="1:12" ht="24" customHeight="1">
      <c r="A149" s="8">
        <v>144</v>
      </c>
      <c r="B149" s="9">
        <v>144</v>
      </c>
      <c r="C149" s="9"/>
      <c r="D149" s="46">
        <v>45945</v>
      </c>
      <c r="E149" s="9" t="s">
        <v>484</v>
      </c>
      <c r="F149" s="56" t="str">
        <f>IFERROR(VLOOKUP($E149,임시동력입.출고현황!$A:$G,F$5,0),)</f>
        <v>MCB</v>
      </c>
      <c r="G149" s="18" t="str">
        <f>IFERROR(VLOOKUP($E149,임시동력입.출고현황!$A:$G,G$5,0),)</f>
        <v>RCCB</v>
      </c>
      <c r="H149" s="18">
        <f>IFERROR(VLOOKUP($E149,임시동력입.출고현황!$A:$G,H$5,0),)</f>
        <v>0</v>
      </c>
      <c r="I149" s="18" t="str">
        <f>IFERROR(VLOOKUP($E149,임시동력입.출고현황!$A:$G,I$5,0),)</f>
        <v>4P - 63A - 30 mA</v>
      </c>
      <c r="J149" s="9" t="str">
        <f>IFERROR(VLOOKUP($E149,임시동력입.출고현황!$A:$G,J$5,0),)</f>
        <v>EA</v>
      </c>
      <c r="K149" s="237">
        <v>20</v>
      </c>
      <c r="L149" s="42"/>
    </row>
    <row r="150" spans="1:12" ht="24" customHeight="1">
      <c r="A150" s="8">
        <v>145</v>
      </c>
      <c r="B150" s="9">
        <v>145</v>
      </c>
      <c r="C150" s="9"/>
      <c r="D150" s="46">
        <v>45953</v>
      </c>
      <c r="E150" s="9" t="s">
        <v>479</v>
      </c>
      <c r="F150" s="56" t="str">
        <f>IFERROR(VLOOKUP($E150,임시동력입.출고현황!$A:$G,F$5,0),)</f>
        <v>MCB</v>
      </c>
      <c r="G150" s="18" t="str">
        <f>IFERROR(VLOOKUP($E150,임시동력입.출고현황!$A:$G,G$5,0),)</f>
        <v>MCB</v>
      </c>
      <c r="H150" s="18">
        <f>IFERROR(VLOOKUP($E150,임시동력입.출고현황!$A:$G,H$5,0),)</f>
        <v>0</v>
      </c>
      <c r="I150" s="18" t="str">
        <f>IFERROR(VLOOKUP($E150,임시동력입.출고현황!$A:$G,I$5,0),)</f>
        <v>3P - 63A</v>
      </c>
      <c r="J150" s="9" t="str">
        <f>IFERROR(VLOOKUP($E150,임시동력입.출고현황!$A:$G,J$5,0),)</f>
        <v>EA</v>
      </c>
      <c r="K150" s="237">
        <v>50</v>
      </c>
      <c r="L150" s="42"/>
    </row>
    <row r="151" spans="1:12" ht="24" customHeight="1">
      <c r="A151" s="8">
        <v>146</v>
      </c>
      <c r="B151" s="9">
        <v>146</v>
      </c>
      <c r="C151" s="9"/>
      <c r="D151" s="46">
        <v>45953</v>
      </c>
      <c r="E151" s="9" t="s">
        <v>478</v>
      </c>
      <c r="F151" s="56" t="str">
        <f>IFERROR(VLOOKUP($E151,임시동력입.출고현황!$A:$G,F$5,0),)</f>
        <v>MCB</v>
      </c>
      <c r="G151" s="18" t="str">
        <f>IFERROR(VLOOKUP($E151,임시동력입.출고현황!$A:$G,G$5,0),)</f>
        <v>MCB</v>
      </c>
      <c r="H151" s="18">
        <f>IFERROR(VLOOKUP($E151,임시동력입.출고현황!$A:$G,H$5,0),)</f>
        <v>0</v>
      </c>
      <c r="I151" s="18" t="str">
        <f>IFERROR(VLOOKUP($E151,임시동력입.출고현황!$A:$G,I$5,0),)</f>
        <v>3P - 32A</v>
      </c>
      <c r="J151" s="9" t="str">
        <f>IFERROR(VLOOKUP($E151,임시동력입.출고현황!$A:$G,J$5,0),)</f>
        <v>EA</v>
      </c>
      <c r="K151" s="237">
        <v>50</v>
      </c>
      <c r="L151" s="42"/>
    </row>
    <row r="152" spans="1:12" ht="24" customHeight="1">
      <c r="A152" s="8">
        <v>147</v>
      </c>
      <c r="B152" s="9">
        <v>147</v>
      </c>
      <c r="C152" s="9"/>
      <c r="D152" s="46">
        <v>45953</v>
      </c>
      <c r="E152" s="9" t="s">
        <v>485</v>
      </c>
      <c r="F152" s="56" t="str">
        <f>IFERROR(VLOOKUP($E152,임시동력입.출고현황!$A:$G,F$5,0),)</f>
        <v>MCB</v>
      </c>
      <c r="G152" s="18" t="str">
        <f>IFERROR(VLOOKUP($E152,임시동력입.출고현황!$A:$G,G$5,0),)</f>
        <v>MCCB</v>
      </c>
      <c r="H152" s="18">
        <f>IFERROR(VLOOKUP($E152,임시동력입.출고현황!$A:$G,H$5,0),)</f>
        <v>0</v>
      </c>
      <c r="I152" s="18" t="str">
        <f>IFERROR(VLOOKUP($E152,임시동력입.출고현황!$A:$G,I$5,0),)</f>
        <v>100 A ( adj. magnetic)</v>
      </c>
      <c r="J152" s="9" t="str">
        <f>IFERROR(VLOOKUP($E152,임시동력입.출고현황!$A:$G,J$5,0),)</f>
        <v>EA</v>
      </c>
      <c r="K152" s="237">
        <v>5</v>
      </c>
      <c r="L152" s="42"/>
    </row>
    <row r="153" spans="1:12" ht="24" customHeight="1">
      <c r="A153" s="8">
        <v>148</v>
      </c>
      <c r="B153" s="9">
        <v>148</v>
      </c>
      <c r="C153" s="9"/>
      <c r="D153" s="46">
        <v>45953</v>
      </c>
      <c r="E153" s="9" t="s">
        <v>486</v>
      </c>
      <c r="F153" s="56" t="str">
        <f>IFERROR(VLOOKUP($E153,임시동력입.출고현황!$A:$G,F$5,0),)</f>
        <v>MCB</v>
      </c>
      <c r="G153" s="18" t="str">
        <f>IFERROR(VLOOKUP($E153,임시동력입.출고현황!$A:$G,G$5,0),)</f>
        <v>MCCB</v>
      </c>
      <c r="H153" s="18">
        <f>IFERROR(VLOOKUP($E153,임시동력입.출고현황!$A:$G,H$5,0),)</f>
        <v>0</v>
      </c>
      <c r="I153" s="18" t="str">
        <f>IFERROR(VLOOKUP($E153,임시동력입.출고현황!$A:$G,I$5,0),)</f>
        <v>160 A ( adj. magnetic)</v>
      </c>
      <c r="J153" s="9" t="str">
        <f>IFERROR(VLOOKUP($E153,임시동력입.출고현황!$A:$G,J$5,0),)</f>
        <v>EA</v>
      </c>
      <c r="K153" s="237">
        <v>5</v>
      </c>
      <c r="L153" s="42"/>
    </row>
    <row r="154" spans="1:12" ht="24" customHeight="1">
      <c r="A154" s="8">
        <v>149</v>
      </c>
      <c r="B154" s="9">
        <v>149</v>
      </c>
      <c r="C154" s="9"/>
      <c r="D154" s="46">
        <v>45953</v>
      </c>
      <c r="E154" s="9" t="s">
        <v>487</v>
      </c>
      <c r="F154" s="56" t="str">
        <f>IFERROR(VLOOKUP($E154,임시동력입.출고현황!$A:$G,F$5,0),)</f>
        <v>MCB</v>
      </c>
      <c r="G154" s="18" t="str">
        <f>IFERROR(VLOOKUP($E154,임시동력입.출고현황!$A:$G,G$5,0),)</f>
        <v>MCCB</v>
      </c>
      <c r="H154" s="18">
        <f>IFERROR(VLOOKUP($E154,임시동력입.출고현황!$A:$G,H$5,0),)</f>
        <v>0</v>
      </c>
      <c r="I154" s="18" t="str">
        <f>IFERROR(VLOOKUP($E154,임시동력입.출고현황!$A:$G,I$5,0),)</f>
        <v>250 A ( adj. magnetic)</v>
      </c>
      <c r="J154" s="9" t="str">
        <f>IFERROR(VLOOKUP($E154,임시동력입.출고현황!$A:$G,J$5,0),)</f>
        <v>EA</v>
      </c>
      <c r="K154" s="237">
        <v>5</v>
      </c>
      <c r="L154" s="42"/>
    </row>
    <row r="155" spans="1:12" ht="24" customHeight="1">
      <c r="A155" s="8">
        <v>150</v>
      </c>
      <c r="B155" s="9">
        <v>150</v>
      </c>
      <c r="C155" s="9"/>
      <c r="D155" s="46">
        <v>45953</v>
      </c>
      <c r="E155" s="9" t="s">
        <v>512</v>
      </c>
      <c r="F155" s="56" t="str">
        <f>IFERROR(VLOOKUP($E155,임시동력입.출고현황!$A:$G,F$5,0),)</f>
        <v>power plug</v>
      </c>
      <c r="G155" s="18" t="str">
        <f>IFERROR(VLOOKUP($E155,임시동력입.출고현황!$A:$G,G$5,0),)</f>
        <v>Industrial Socket</v>
      </c>
      <c r="H155" s="18">
        <f>IFERROR(VLOOKUP($E155,임시동력입.출고현황!$A:$G,H$5,0),)</f>
        <v>0</v>
      </c>
      <c r="I155" s="18" t="str">
        <f>IFERROR(VLOOKUP($E155,임시동력입.출고현황!$A:$G,I$5,0),)</f>
        <v>3P - 32A</v>
      </c>
      <c r="J155" s="9" t="str">
        <f>IFERROR(VLOOKUP($E155,임시동력입.출고현황!$A:$G,J$5,0),)</f>
        <v>EA</v>
      </c>
      <c r="K155" s="237">
        <v>30</v>
      </c>
      <c r="L155" s="42"/>
    </row>
    <row r="156" spans="1:12" ht="24" customHeight="1">
      <c r="A156" s="8">
        <v>151</v>
      </c>
      <c r="B156" s="9">
        <v>151</v>
      </c>
      <c r="C156" s="9"/>
      <c r="D156" s="46">
        <v>45953</v>
      </c>
      <c r="E156" s="9" t="s">
        <v>513</v>
      </c>
      <c r="F156" s="56" t="str">
        <f>IFERROR(VLOOKUP($E156,임시동력입.출고현황!$A:$G,F$5,0),)</f>
        <v>power plug</v>
      </c>
      <c r="G156" s="18" t="str">
        <f>IFERROR(VLOOKUP($E156,임시동력입.출고현황!$A:$G,G$5,0),)</f>
        <v>Industrial Socket</v>
      </c>
      <c r="H156" s="18">
        <f>IFERROR(VLOOKUP($E156,임시동력입.출고현황!$A:$G,H$5,0),)</f>
        <v>0</v>
      </c>
      <c r="I156" s="18" t="str">
        <f>IFERROR(VLOOKUP($E156,임시동력입.출고현황!$A:$G,I$5,0),)</f>
        <v>5P - 32A</v>
      </c>
      <c r="J156" s="9" t="str">
        <f>IFERROR(VLOOKUP($E156,임시동력입.출고현황!$A:$G,J$5,0),)</f>
        <v>EA</v>
      </c>
      <c r="K156" s="237">
        <v>50</v>
      </c>
      <c r="L156" s="42"/>
    </row>
    <row r="157" spans="1:12" ht="24" customHeight="1">
      <c r="A157" s="8">
        <v>152</v>
      </c>
      <c r="B157" s="9">
        <v>152</v>
      </c>
      <c r="C157" s="9"/>
      <c r="D157" s="46">
        <v>45953</v>
      </c>
      <c r="E157" s="9" t="s">
        <v>514</v>
      </c>
      <c r="F157" s="56" t="str">
        <f>IFERROR(VLOOKUP($E157,임시동력입.출고현황!$A:$G,F$5,0),)</f>
        <v>power plug</v>
      </c>
      <c r="G157" s="18" t="str">
        <f>IFERROR(VLOOKUP($E157,임시동력입.출고현황!$A:$G,G$5,0),)</f>
        <v>Industrial Socket</v>
      </c>
      <c r="H157" s="18">
        <f>IFERROR(VLOOKUP($E157,임시동력입.출고현황!$A:$G,H$5,0),)</f>
        <v>0</v>
      </c>
      <c r="I157" s="18" t="str">
        <f>IFERROR(VLOOKUP($E157,임시동력입.출고현황!$A:$G,I$5,0),)</f>
        <v>5P - 63A</v>
      </c>
      <c r="J157" s="9" t="str">
        <f>IFERROR(VLOOKUP($E157,임시동력입.출고현황!$A:$G,J$5,0),)</f>
        <v>EA</v>
      </c>
      <c r="K157" s="237">
        <v>20</v>
      </c>
      <c r="L157" s="42"/>
    </row>
    <row r="158" spans="1:12" ht="24" customHeight="1">
      <c r="A158" s="8">
        <v>153</v>
      </c>
      <c r="B158" s="9">
        <v>153</v>
      </c>
      <c r="C158" s="9"/>
      <c r="D158" s="46">
        <v>45953</v>
      </c>
      <c r="E158" s="9" t="s">
        <v>558</v>
      </c>
      <c r="F158" s="56" t="str">
        <f>IFERROR(VLOOKUP($E158,임시동력입.출고현황!$A:$G,F$5,0),)</f>
        <v>Other</v>
      </c>
      <c r="G158" s="18" t="str">
        <f>IFERROR(VLOOKUP($E158,임시동력입.출고현황!$A:$G,G$5,0),)</f>
        <v>Indication Lamp</v>
      </c>
      <c r="H158" s="18">
        <f>IFERROR(VLOOKUP($E158,임시동력입.출고현황!$A:$G,H$5,0),)</f>
        <v>0</v>
      </c>
      <c r="I158" s="18" t="str">
        <f>IFERROR(VLOOKUP($E158,임시동력입.출고현황!$A:$G,I$5,0),)</f>
        <v>Red</v>
      </c>
      <c r="J158" s="9" t="str">
        <f>IFERROR(VLOOKUP($E158,임시동력입.출고현황!$A:$G,J$5,0),)</f>
        <v>EA</v>
      </c>
      <c r="K158" s="237">
        <v>50</v>
      </c>
      <c r="L158" s="42"/>
    </row>
    <row r="159" spans="1:12" ht="24" customHeight="1">
      <c r="A159" s="8">
        <v>154</v>
      </c>
      <c r="B159" s="9">
        <v>154</v>
      </c>
      <c r="C159" s="9"/>
      <c r="D159" s="46">
        <v>45953</v>
      </c>
      <c r="E159" s="9" t="s">
        <v>524</v>
      </c>
      <c r="F159" s="56" t="str">
        <f>IFERROR(VLOOKUP($E159,임시동력입.출고현황!$A:$G,F$5,0),)</f>
        <v>Other</v>
      </c>
      <c r="G159" s="18" t="str">
        <f>IFERROR(VLOOKUP($E159,임시동력입.출고현황!$A:$G,G$5,0),)</f>
        <v>Indication Lamp</v>
      </c>
      <c r="H159" s="18">
        <f>IFERROR(VLOOKUP($E159,임시동력입.출고현황!$A:$G,H$5,0),)</f>
        <v>0</v>
      </c>
      <c r="I159" s="18" t="str">
        <f>IFERROR(VLOOKUP($E159,임시동력입.출고현황!$A:$G,I$5,0),)</f>
        <v>Yellow</v>
      </c>
      <c r="J159" s="9" t="str">
        <f>IFERROR(VLOOKUP($E159,임시동력입.출고현황!$A:$G,J$5,0),)</f>
        <v>EA</v>
      </c>
      <c r="K159" s="237">
        <v>50</v>
      </c>
      <c r="L159" s="42"/>
    </row>
    <row r="160" spans="1:12" ht="24" customHeight="1">
      <c r="A160" s="8">
        <v>155</v>
      </c>
      <c r="B160" s="9">
        <v>155</v>
      </c>
      <c r="C160" s="9"/>
      <c r="D160" s="46">
        <v>45953</v>
      </c>
      <c r="E160" s="9" t="s">
        <v>525</v>
      </c>
      <c r="F160" s="56" t="str">
        <f>IFERROR(VLOOKUP($E160,임시동력입.출고현황!$A:$G,F$5,0),)</f>
        <v>Other</v>
      </c>
      <c r="G160" s="18" t="str">
        <f>IFERROR(VLOOKUP($E160,임시동력입.출고현황!$A:$G,G$5,0),)</f>
        <v>Indication Lamp</v>
      </c>
      <c r="H160" s="18">
        <f>IFERROR(VLOOKUP($E160,임시동력입.출고현황!$A:$G,H$5,0),)</f>
        <v>0</v>
      </c>
      <c r="I160" s="18" t="str">
        <f>IFERROR(VLOOKUP($E160,임시동력입.출고현황!$A:$G,I$5,0),)</f>
        <v>Blue</v>
      </c>
      <c r="J160" s="9" t="str">
        <f>IFERROR(VLOOKUP($E160,임시동력입.출고현황!$A:$G,J$5,0),)</f>
        <v>EA</v>
      </c>
      <c r="K160" s="237">
        <v>50</v>
      </c>
      <c r="L160" s="42"/>
    </row>
    <row r="161" spans="1:12" ht="24" customHeight="1">
      <c r="A161" s="8">
        <v>156</v>
      </c>
      <c r="B161" s="9">
        <v>156</v>
      </c>
      <c r="C161" s="9"/>
      <c r="D161" s="46">
        <v>45953</v>
      </c>
      <c r="E161" s="9" t="s">
        <v>480</v>
      </c>
      <c r="F161" s="56" t="str">
        <f>IFERROR(VLOOKUP($E161,임시동력입.출고현황!$A:$G,F$5,0),)</f>
        <v>MCB</v>
      </c>
      <c r="G161" s="18" t="str">
        <f>IFERROR(VLOOKUP($E161,임시동력입.출고현황!$A:$G,G$5,0),)</f>
        <v>RCBO</v>
      </c>
      <c r="H161" s="18">
        <f>IFERROR(VLOOKUP($E161,임시동력입.출고현황!$A:$G,H$5,0),)</f>
        <v>0</v>
      </c>
      <c r="I161" s="18" t="str">
        <f>IFERROR(VLOOKUP($E161,임시동력입.출고현황!$A:$G,I$5,0),)</f>
        <v>1P + N -16A - 30 mA</v>
      </c>
      <c r="J161" s="9" t="str">
        <f>IFERROR(VLOOKUP($E161,임시동력입.출고현황!$A:$G,J$5,0),)</f>
        <v>EA</v>
      </c>
      <c r="K161" s="237">
        <v>5</v>
      </c>
      <c r="L161" s="42"/>
    </row>
    <row r="162" spans="1:12" ht="24" customHeight="1">
      <c r="A162" s="8">
        <v>157</v>
      </c>
      <c r="B162" s="9">
        <v>157</v>
      </c>
      <c r="C162" s="9"/>
      <c r="D162" s="46">
        <v>45953</v>
      </c>
      <c r="E162" s="9" t="s">
        <v>481</v>
      </c>
      <c r="F162" s="56" t="str">
        <f>IFERROR(VLOOKUP($E162,임시동력입.출고현황!$A:$G,F$5,0),)</f>
        <v>MCB</v>
      </c>
      <c r="G162" s="18" t="str">
        <f>IFERROR(VLOOKUP($E162,임시동력입.출고현황!$A:$G,G$5,0),)</f>
        <v>RCBO</v>
      </c>
      <c r="H162" s="18">
        <f>IFERROR(VLOOKUP($E162,임시동력입.출고현황!$A:$G,H$5,0),)</f>
        <v>0</v>
      </c>
      <c r="I162" s="18" t="str">
        <f>IFERROR(VLOOKUP($E162,임시동력입.출고현황!$A:$G,I$5,0),)</f>
        <v>1P + N -25A - 30 mA</v>
      </c>
      <c r="J162" s="9" t="str">
        <f>IFERROR(VLOOKUP($E162,임시동력입.출고현황!$A:$G,J$5,0),)</f>
        <v>EA</v>
      </c>
      <c r="K162" s="237">
        <v>33</v>
      </c>
      <c r="L162" s="42"/>
    </row>
    <row r="163" spans="1:12" ht="24" customHeight="1">
      <c r="A163" s="8">
        <v>158</v>
      </c>
      <c r="B163" s="9">
        <v>158</v>
      </c>
      <c r="C163" s="9"/>
      <c r="D163" s="46">
        <v>45953</v>
      </c>
      <c r="E163" s="9" t="s">
        <v>482</v>
      </c>
      <c r="F163" s="56" t="str">
        <f>IFERROR(VLOOKUP($E163,임시동력입.출고현황!$A:$G,F$5,0),)</f>
        <v>MCB</v>
      </c>
      <c r="G163" s="18" t="str">
        <f>IFERROR(VLOOKUP($E163,임시동력입.출고현황!$A:$G,G$5,0),)</f>
        <v>RCBO</v>
      </c>
      <c r="H163" s="18">
        <f>IFERROR(VLOOKUP($E163,임시동력입.출고현황!$A:$G,H$5,0),)</f>
        <v>0</v>
      </c>
      <c r="I163" s="18" t="str">
        <f>IFERROR(VLOOKUP($E163,임시동력입.출고현황!$A:$G,I$5,0),)</f>
        <v>1P + N -32A - 30 mA</v>
      </c>
      <c r="J163" s="9" t="str">
        <f>IFERROR(VLOOKUP($E163,임시동력입.출고현황!$A:$G,J$5,0),)</f>
        <v>EA</v>
      </c>
      <c r="K163" s="237">
        <v>30</v>
      </c>
      <c r="L163" s="42"/>
    </row>
    <row r="164" spans="1:12" ht="24" customHeight="1">
      <c r="A164" s="8">
        <v>159</v>
      </c>
      <c r="B164" s="9">
        <v>159</v>
      </c>
      <c r="C164" s="9"/>
      <c r="D164" s="46">
        <v>45953</v>
      </c>
      <c r="E164" s="9" t="s">
        <v>307</v>
      </c>
      <c r="F164" s="56" t="str">
        <f>IFERROR(VLOOKUP($E164,임시동력입.출고현황!$A:$G,F$5,0),)</f>
        <v>Panel</v>
      </c>
      <c r="G164" s="18" t="str">
        <f>IFERROR(VLOOKUP($E164,임시동력입.출고현황!$A:$G,G$5,0),)</f>
        <v>Electrical Panel</v>
      </c>
      <c r="H164" s="18">
        <f>IFERROR(VLOOKUP($E164,임시동력입.출고현황!$A:$G,H$5,0),)</f>
        <v>0</v>
      </c>
      <c r="I164" s="18" t="str">
        <f>IFERROR(VLOOKUP($E164,임시동력입.출고현황!$A:$G,I$5,0),)</f>
        <v>160A</v>
      </c>
      <c r="J164" s="9" t="str">
        <f>IFERROR(VLOOKUP($E164,임시동력입.출고현황!$A:$G,J$5,0),)</f>
        <v>EA</v>
      </c>
      <c r="K164" s="237">
        <v>1</v>
      </c>
      <c r="L164" s="42"/>
    </row>
    <row r="165" spans="1:12" ht="24" customHeight="1">
      <c r="A165" s="8">
        <v>160</v>
      </c>
      <c r="B165" s="9">
        <v>160</v>
      </c>
      <c r="C165" s="9"/>
      <c r="D165" s="46">
        <v>45953</v>
      </c>
      <c r="E165" s="9" t="s">
        <v>559</v>
      </c>
      <c r="F165" s="56" t="str">
        <f>IFERROR(VLOOKUP($E165,임시동력입.출고현황!$A:$G,F$5,0),)</f>
        <v>Panel</v>
      </c>
      <c r="G165" s="18" t="str">
        <f>IFERROR(VLOOKUP($E165,임시동력입.출고현황!$A:$G,G$5,0),)</f>
        <v>Electrical Panel</v>
      </c>
      <c r="H165" s="18">
        <f>IFERROR(VLOOKUP($E165,임시동력입.출고현황!$A:$G,H$5,0),)</f>
        <v>0</v>
      </c>
      <c r="I165" s="18" t="str">
        <f>IFERROR(VLOOKUP($E165,임시동력입.출고현황!$A:$G,I$5,0),)</f>
        <v>63A</v>
      </c>
      <c r="J165" s="9" t="str">
        <f>IFERROR(VLOOKUP($E165,임시동력입.출고현황!$A:$G,J$5,0),)</f>
        <v>EA</v>
      </c>
      <c r="K165" s="237">
        <v>5</v>
      </c>
      <c r="L165" s="42"/>
    </row>
    <row r="166" spans="1:12" ht="24" customHeight="1">
      <c r="A166" s="8">
        <v>161</v>
      </c>
      <c r="B166" s="9">
        <v>161</v>
      </c>
      <c r="C166" s="9"/>
      <c r="D166" s="46">
        <v>45965</v>
      </c>
      <c r="E166" s="9" t="s">
        <v>317</v>
      </c>
      <c r="F166" s="56" t="str">
        <f>IFERROR(VLOOKUP($E166,임시동력입.출고현황!$A:$G,F$5,0),)</f>
        <v>Cable</v>
      </c>
      <c r="G166" s="18" t="str">
        <f>IFERROR(VLOOKUP($E166,임시동력입.출고현황!$A:$G,G$5,0),)</f>
        <v>AL Cable</v>
      </c>
      <c r="H166" s="18">
        <f>IFERROR(VLOOKUP($E166,임시동력입.출고현황!$A:$G,H$5,0),)</f>
        <v>0</v>
      </c>
      <c r="I166" s="18" t="str">
        <f>IFERROR(VLOOKUP($E166,임시동력입.출고현황!$A:$G,I$5,0),)</f>
        <v>3C x 240+120mm2 [ALU]</v>
      </c>
      <c r="J166" s="9" t="str">
        <f>IFERROR(VLOOKUP($E166,임시동력입.출고현황!$A:$G,J$5,0),)</f>
        <v>M</v>
      </c>
      <c r="K166" s="237">
        <v>1000</v>
      </c>
      <c r="L166" s="42"/>
    </row>
    <row r="167" spans="1:12" ht="24" customHeight="1">
      <c r="A167" s="8">
        <v>162</v>
      </c>
      <c r="B167" s="9">
        <v>162</v>
      </c>
      <c r="C167" s="9"/>
      <c r="D167" s="46">
        <v>45965</v>
      </c>
      <c r="E167" s="9" t="s">
        <v>318</v>
      </c>
      <c r="F167" s="56" t="str">
        <f>IFERROR(VLOOKUP($E167,임시동력입.출고현황!$A:$G,F$5,0),)</f>
        <v>Cable</v>
      </c>
      <c r="G167" s="18" t="str">
        <f>IFERROR(VLOOKUP($E167,임시동력입.출고현황!$A:$G,G$5,0),)</f>
        <v>AL Cable</v>
      </c>
      <c r="H167" s="18">
        <f>IFERROR(VLOOKUP($E167,임시동력입.출고현황!$A:$G,H$5,0),)</f>
        <v>0</v>
      </c>
      <c r="I167" s="18" t="str">
        <f>IFERROR(VLOOKUP($E167,임시동력입.출고현황!$A:$G,I$5,0),)</f>
        <v>3C x 150+70mm2 [ALU]</v>
      </c>
      <c r="J167" s="9" t="str">
        <f>IFERROR(VLOOKUP($E167,임시동력입.출고현황!$A:$G,J$5,0),)</f>
        <v>M</v>
      </c>
      <c r="K167" s="237">
        <v>500</v>
      </c>
      <c r="L167" s="42"/>
    </row>
    <row r="168" spans="1:12" ht="24" customHeight="1">
      <c r="A168" s="8">
        <v>163</v>
      </c>
      <c r="B168" s="9">
        <v>163</v>
      </c>
      <c r="C168" s="9"/>
      <c r="D168" s="46">
        <v>45965</v>
      </c>
      <c r="E168" s="9" t="s">
        <v>319</v>
      </c>
      <c r="F168" s="56" t="str">
        <f>IFERROR(VLOOKUP($E168,임시동력입.출고현황!$A:$G,F$5,0),)</f>
        <v>Cable</v>
      </c>
      <c r="G168" s="18" t="str">
        <f>IFERROR(VLOOKUP($E168,임시동력입.출고현황!$A:$G,G$5,0),)</f>
        <v>AL Cable</v>
      </c>
      <c r="H168" s="18">
        <f>IFERROR(VLOOKUP($E168,임시동력입.출고현황!$A:$G,H$5,0),)</f>
        <v>0</v>
      </c>
      <c r="I168" s="18" t="str">
        <f>IFERROR(VLOOKUP($E168,임시동력입.출고현황!$A:$G,I$5,0),)</f>
        <v>3C x 120+70mm2 [ALU]</v>
      </c>
      <c r="J168" s="9" t="str">
        <f>IFERROR(VLOOKUP($E168,임시동력입.출고현황!$A:$G,J$5,0),)</f>
        <v>M</v>
      </c>
      <c r="K168" s="237">
        <v>1000</v>
      </c>
      <c r="L168" s="42"/>
    </row>
    <row r="169" spans="1:12" ht="24" customHeight="1">
      <c r="A169" s="8">
        <v>164</v>
      </c>
      <c r="B169" s="9">
        <v>164</v>
      </c>
      <c r="C169" s="9"/>
      <c r="D169" s="46">
        <v>45965</v>
      </c>
      <c r="E169" s="9" t="s">
        <v>320</v>
      </c>
      <c r="F169" s="56" t="str">
        <f>IFERROR(VLOOKUP($E169,임시동력입.출고현황!$A:$G,F$5,0),)</f>
        <v>Cable</v>
      </c>
      <c r="G169" s="18" t="str">
        <f>IFERROR(VLOOKUP($E169,임시동력입.출고현황!$A:$G,G$5,0),)</f>
        <v>AL Cable</v>
      </c>
      <c r="H169" s="18">
        <f>IFERROR(VLOOKUP($E169,임시동력입.출고현황!$A:$G,H$5,0),)</f>
        <v>0</v>
      </c>
      <c r="I169" s="18" t="str">
        <f>IFERROR(VLOOKUP($E169,임시동력입.출고현황!$A:$G,I$5,0),)</f>
        <v>3C x 95+50mm2 [ALU]</v>
      </c>
      <c r="J169" s="9" t="str">
        <f>IFERROR(VLOOKUP($E169,임시동력입.출고현황!$A:$G,J$5,0),)</f>
        <v>M</v>
      </c>
      <c r="K169" s="237">
        <v>1000</v>
      </c>
      <c r="L169" s="42"/>
    </row>
    <row r="170" spans="1:12" ht="24" customHeight="1">
      <c r="A170" s="8">
        <v>165</v>
      </c>
      <c r="B170" s="9">
        <v>165</v>
      </c>
      <c r="C170" s="9"/>
      <c r="D170" s="46">
        <v>45965</v>
      </c>
      <c r="E170" s="9" t="s">
        <v>321</v>
      </c>
      <c r="F170" s="56" t="str">
        <f>IFERROR(VLOOKUP($E170,임시동력입.출고현황!$A:$G,F$5,0),)</f>
        <v>Cable</v>
      </c>
      <c r="G170" s="18" t="str">
        <f>IFERROR(VLOOKUP($E170,임시동력입.출고현황!$A:$G,G$5,0),)</f>
        <v>AL Cable</v>
      </c>
      <c r="H170" s="18">
        <f>IFERROR(VLOOKUP($E170,임시동력입.출고현황!$A:$G,H$5,0),)</f>
        <v>0</v>
      </c>
      <c r="I170" s="18" t="str">
        <f>IFERROR(VLOOKUP($E170,임시동력입.출고현황!$A:$G,I$5,0),)</f>
        <v>3C x 70+35mm2 [ALU]</v>
      </c>
      <c r="J170" s="9" t="str">
        <f>IFERROR(VLOOKUP($E170,임시동력입.출고현황!$A:$G,J$5,0),)</f>
        <v>M</v>
      </c>
      <c r="K170" s="237">
        <v>1000</v>
      </c>
      <c r="L170" s="42"/>
    </row>
    <row r="171" spans="1:12" ht="24" customHeight="1">
      <c r="A171" s="8">
        <v>166</v>
      </c>
      <c r="B171" s="9">
        <v>166</v>
      </c>
      <c r="C171" s="9"/>
      <c r="D171" s="46">
        <v>45965</v>
      </c>
      <c r="E171" s="9" t="s">
        <v>329</v>
      </c>
      <c r="F171" s="56" t="str">
        <f>IFERROR(VLOOKUP($E171,임시동력입.출고현황!$A:$G,F$5,0),)</f>
        <v>Cable</v>
      </c>
      <c r="G171" s="18" t="str">
        <f>IFERROR(VLOOKUP($E171,임시동력입.출고현황!$A:$G,G$5,0),)</f>
        <v>CV Cable</v>
      </c>
      <c r="H171" s="18">
        <f>IFERROR(VLOOKUP($E171,임시동력입.출고현황!$A:$G,H$5,0),)</f>
        <v>0</v>
      </c>
      <c r="I171" s="18" t="str">
        <f>IFERROR(VLOOKUP($E171,임시동력입.출고현황!$A:$G,I$5,0),)</f>
        <v>4C x 16mm2</v>
      </c>
      <c r="J171" s="9" t="str">
        <f>IFERROR(VLOOKUP($E171,임시동력입.출고현황!$A:$G,J$5,0),)</f>
        <v>M</v>
      </c>
      <c r="K171" s="237">
        <v>1000</v>
      </c>
      <c r="L171" s="42"/>
    </row>
    <row r="172" spans="1:12" ht="24" customHeight="1">
      <c r="A172" s="8">
        <v>167</v>
      </c>
      <c r="B172" s="9">
        <v>167</v>
      </c>
      <c r="C172" s="9"/>
      <c r="D172" s="46">
        <v>45965</v>
      </c>
      <c r="E172" s="9" t="s">
        <v>568</v>
      </c>
      <c r="F172" s="56" t="str">
        <f>IFERROR(VLOOKUP($E172,임시동력입.출고현황!$A:$G,F$5,0),)</f>
        <v>Cable</v>
      </c>
      <c r="G172" s="18" t="str">
        <f>IFERROR(VLOOKUP($E172,임시동력입.출고현황!$A:$G,G$5,0),)</f>
        <v>CV Cable</v>
      </c>
      <c r="H172" s="18">
        <f>IFERROR(VLOOKUP($E172,임시동력입.출고현황!$A:$G,H$5,0),)</f>
        <v>0</v>
      </c>
      <c r="I172" s="18" t="str">
        <f>IFERROR(VLOOKUP($E172,임시동력입.출고현황!$A:$G,I$5,0),)</f>
        <v>4C x 4mm2</v>
      </c>
      <c r="J172" s="9" t="str">
        <f>IFERROR(VLOOKUP($E172,임시동력입.출고현황!$A:$G,J$5,0),)</f>
        <v>M</v>
      </c>
      <c r="K172" s="237">
        <v>1000</v>
      </c>
      <c r="L172" s="42"/>
    </row>
    <row r="173" spans="1:12" ht="24" customHeight="1">
      <c r="A173" s="8">
        <v>168</v>
      </c>
      <c r="B173" s="9">
        <v>168</v>
      </c>
      <c r="C173" s="9"/>
      <c r="D173" s="46">
        <v>45965</v>
      </c>
      <c r="E173" s="9" t="s">
        <v>334</v>
      </c>
      <c r="F173" s="56" t="str">
        <f>IFERROR(VLOOKUP($E173,임시동력입.출고현황!$A:$G,F$5,0),)</f>
        <v>Cable</v>
      </c>
      <c r="G173" s="18" t="str">
        <f>IFERROR(VLOOKUP($E173,임시동력입.출고현황!$A:$G,G$5,0),)</f>
        <v>CV Cable</v>
      </c>
      <c r="H173" s="18">
        <f>IFERROR(VLOOKUP($E173,임시동력입.출고현황!$A:$G,H$5,0),)</f>
        <v>0</v>
      </c>
      <c r="I173" s="18" t="str">
        <f>IFERROR(VLOOKUP($E173,임시동력입.출고현황!$A:$G,I$5,0),)</f>
        <v>3C x 4mm2</v>
      </c>
      <c r="J173" s="9" t="str">
        <f>IFERROR(VLOOKUP($E173,임시동력입.출고현황!$A:$G,J$5,0),)</f>
        <v>M</v>
      </c>
      <c r="K173" s="237">
        <v>955</v>
      </c>
      <c r="L173" s="42"/>
    </row>
    <row r="174" spans="1:12" ht="24" customHeight="1">
      <c r="A174" s="8">
        <v>169</v>
      </c>
      <c r="B174" s="9">
        <v>169</v>
      </c>
      <c r="C174" s="9"/>
      <c r="D174" s="46">
        <v>45965</v>
      </c>
      <c r="E174" s="9" t="s">
        <v>307</v>
      </c>
      <c r="F174" s="56" t="str">
        <f>IFERROR(VLOOKUP($E174,임시동력입.출고현황!$A:$G,F$5,0),)</f>
        <v>Panel</v>
      </c>
      <c r="G174" s="18" t="str">
        <f>IFERROR(VLOOKUP($E174,임시동력입.출고현황!$A:$G,G$5,0),)</f>
        <v>Electrical Panel</v>
      </c>
      <c r="H174" s="18">
        <f>IFERROR(VLOOKUP($E174,임시동력입.출고현황!$A:$G,H$5,0),)</f>
        <v>0</v>
      </c>
      <c r="I174" s="18" t="str">
        <f>IFERROR(VLOOKUP($E174,임시동력입.출고현황!$A:$G,I$5,0),)</f>
        <v>160A</v>
      </c>
      <c r="J174" s="9" t="str">
        <f>IFERROR(VLOOKUP($E174,임시동력입.출고현황!$A:$G,J$5,0),)</f>
        <v>EA</v>
      </c>
      <c r="K174" s="237">
        <v>2</v>
      </c>
      <c r="L174" s="42"/>
    </row>
    <row r="175" spans="1:12" ht="24" customHeight="1">
      <c r="A175" s="8">
        <v>170</v>
      </c>
      <c r="B175" s="9">
        <v>170</v>
      </c>
      <c r="C175" s="9"/>
      <c r="D175" s="46">
        <v>45965</v>
      </c>
      <c r="E175" s="9" t="s">
        <v>559</v>
      </c>
      <c r="F175" s="56" t="str">
        <f>IFERROR(VLOOKUP($E175,임시동력입.출고현황!$A:$G,F$5,0),)</f>
        <v>Panel</v>
      </c>
      <c r="G175" s="18" t="str">
        <f>IFERROR(VLOOKUP($E175,임시동력입.출고현황!$A:$G,G$5,0),)</f>
        <v>Electrical Panel</v>
      </c>
      <c r="H175" s="18">
        <f>IFERROR(VLOOKUP($E175,임시동력입.출고현황!$A:$G,H$5,0),)</f>
        <v>0</v>
      </c>
      <c r="I175" s="18" t="str">
        <f>IFERROR(VLOOKUP($E175,임시동력입.출고현황!$A:$G,I$5,0),)</f>
        <v>63A</v>
      </c>
      <c r="J175" s="9" t="str">
        <f>IFERROR(VLOOKUP($E175,임시동력입.출고현황!$A:$G,J$5,0),)</f>
        <v>EA</v>
      </c>
      <c r="K175" s="237">
        <v>10</v>
      </c>
      <c r="L175" s="42"/>
    </row>
    <row r="176" spans="1:12" ht="24" customHeight="1">
      <c r="A176" s="8">
        <v>171</v>
      </c>
      <c r="B176" s="9">
        <v>171</v>
      </c>
      <c r="C176" s="9"/>
      <c r="D176" s="46">
        <v>45970</v>
      </c>
      <c r="E176" s="9" t="s">
        <v>307</v>
      </c>
      <c r="F176" s="56" t="str">
        <f>IFERROR(VLOOKUP($E176,임시동력입.출고현황!$A:$G,F$5,0),)</f>
        <v>Panel</v>
      </c>
      <c r="G176" s="18" t="str">
        <f>IFERROR(VLOOKUP($E176,임시동력입.출고현황!$A:$G,G$5,0),)</f>
        <v>Electrical Panel</v>
      </c>
      <c r="H176" s="18">
        <f>IFERROR(VLOOKUP($E176,임시동력입.출고현황!$A:$G,H$5,0),)</f>
        <v>0</v>
      </c>
      <c r="I176" s="18" t="str">
        <f>IFERROR(VLOOKUP($E176,임시동력입.출고현황!$A:$G,I$5,0),)</f>
        <v>160A</v>
      </c>
      <c r="J176" s="9" t="str">
        <f>IFERROR(VLOOKUP($E176,임시동력입.출고현황!$A:$G,J$5,0),)</f>
        <v>EA</v>
      </c>
      <c r="K176" s="237">
        <v>1</v>
      </c>
      <c r="L176" s="42"/>
    </row>
    <row r="177" spans="1:12" ht="24" customHeight="1">
      <c r="A177" s="8">
        <v>172</v>
      </c>
      <c r="B177" s="9">
        <v>172</v>
      </c>
      <c r="C177" s="9"/>
      <c r="D177" s="46">
        <v>45970</v>
      </c>
      <c r="E177" s="9" t="s">
        <v>559</v>
      </c>
      <c r="F177" s="56" t="str">
        <f>IFERROR(VLOOKUP($E177,임시동력입.출고현황!$A:$G,F$5,0),)</f>
        <v>Panel</v>
      </c>
      <c r="G177" s="18" t="str">
        <f>IFERROR(VLOOKUP($E177,임시동력입.출고현황!$A:$G,G$5,0),)</f>
        <v>Electrical Panel</v>
      </c>
      <c r="H177" s="18">
        <f>IFERROR(VLOOKUP($E177,임시동력입.출고현황!$A:$G,H$5,0),)</f>
        <v>0</v>
      </c>
      <c r="I177" s="18" t="str">
        <f>IFERROR(VLOOKUP($E177,임시동력입.출고현황!$A:$G,I$5,0),)</f>
        <v>63A</v>
      </c>
      <c r="J177" s="9" t="str">
        <f>IFERROR(VLOOKUP($E177,임시동력입.출고현황!$A:$G,J$5,0),)</f>
        <v>EA</v>
      </c>
      <c r="K177" s="237">
        <v>2</v>
      </c>
      <c r="L177" s="42"/>
    </row>
    <row r="178" spans="1:12" ht="24" customHeight="1">
      <c r="A178" s="8">
        <v>173</v>
      </c>
      <c r="B178" s="9">
        <v>173</v>
      </c>
      <c r="C178" s="9"/>
      <c r="D178" s="46">
        <v>45970</v>
      </c>
      <c r="E178" s="9" t="s">
        <v>565</v>
      </c>
      <c r="F178" s="56" t="str">
        <f>IFERROR(VLOOKUP($E178,임시동력입.출고현황!$A:$G,F$5,0),)</f>
        <v>Cable</v>
      </c>
      <c r="G178" s="18" t="str">
        <f>IFERROR(VLOOKUP($E178,임시동력입.출고현황!$A:$G,G$5,0),)</f>
        <v>AL Cable</v>
      </c>
      <c r="H178" s="18">
        <f>IFERROR(VLOOKUP($E178,임시동력입.출고현황!$A:$G,H$5,0),)</f>
        <v>0</v>
      </c>
      <c r="I178" s="18" t="str">
        <f>IFERROR(VLOOKUP($E178,임시동력입.출고현황!$A:$G,I$5,0),)</f>
        <v>3C x 185+95mm2 [ALU]</v>
      </c>
      <c r="J178" s="9" t="str">
        <f>IFERROR(VLOOKUP($E178,임시동력입.출고현황!$A:$G,J$5,0),)</f>
        <v>M</v>
      </c>
      <c r="K178" s="237">
        <v>995</v>
      </c>
      <c r="L178" s="42"/>
    </row>
    <row r="179" spans="1:12" ht="24" customHeight="1">
      <c r="A179" s="8">
        <v>174</v>
      </c>
      <c r="B179" s="9">
        <v>174</v>
      </c>
      <c r="C179" s="9"/>
      <c r="D179" s="46">
        <v>45970</v>
      </c>
      <c r="E179" s="9" t="s">
        <v>566</v>
      </c>
      <c r="F179" s="56" t="str">
        <f>IFERROR(VLOOKUP($E179,임시동력입.출고현황!$A:$G,F$5,0),)</f>
        <v>Cable</v>
      </c>
      <c r="G179" s="18" t="str">
        <f>IFERROR(VLOOKUP($E179,임시동력입.출고현황!$A:$G,G$5,0),)</f>
        <v>CV Cable</v>
      </c>
      <c r="H179" s="18">
        <f>IFERROR(VLOOKUP($E179,임시동력입.출고현황!$A:$G,H$5,0),)</f>
        <v>0</v>
      </c>
      <c r="I179" s="18" t="str">
        <f>IFERROR(VLOOKUP($E179,임시동력입.출고현황!$A:$G,I$5,0),)</f>
        <v>3C X 95+50mm2</v>
      </c>
      <c r="J179" s="9" t="str">
        <f>IFERROR(VLOOKUP($E179,임시동력입.출고현황!$A:$G,J$5,0),)</f>
        <v>M</v>
      </c>
      <c r="K179" s="237">
        <v>100</v>
      </c>
      <c r="L179" s="42"/>
    </row>
    <row r="180" spans="1:12" ht="24" customHeight="1">
      <c r="A180" s="8">
        <v>175</v>
      </c>
      <c r="B180" s="9">
        <v>175</v>
      </c>
      <c r="C180" s="9"/>
      <c r="D180" s="46">
        <v>45970</v>
      </c>
      <c r="E180" s="9" t="s">
        <v>331</v>
      </c>
      <c r="F180" s="56" t="str">
        <f>IFERROR(VLOOKUP($E180,임시동력입.출고현황!$A:$G,F$5,0),)</f>
        <v>Cable</v>
      </c>
      <c r="G180" s="18" t="str">
        <f>IFERROR(VLOOKUP($E180,임시동력입.출고현황!$A:$G,G$5,0),)</f>
        <v>CV Cable</v>
      </c>
      <c r="H180" s="18">
        <f>IFERROR(VLOOKUP($E180,임시동력입.출고현황!$A:$G,H$5,0),)</f>
        <v>0</v>
      </c>
      <c r="I180" s="18" t="str">
        <f>IFERROR(VLOOKUP($E180,임시동력입.출고현황!$A:$G,I$5,0),)</f>
        <v>4C x 6mm2</v>
      </c>
      <c r="J180" s="9" t="str">
        <f>IFERROR(VLOOKUP($E180,임시동력입.출고현황!$A:$G,J$5,0),)</f>
        <v>M</v>
      </c>
      <c r="K180" s="237">
        <v>1000</v>
      </c>
      <c r="L180" s="42"/>
    </row>
    <row r="181" spans="1:12" ht="24" customHeight="1">
      <c r="A181" s="8">
        <v>176</v>
      </c>
      <c r="B181" s="9">
        <v>176</v>
      </c>
      <c r="C181" s="9"/>
      <c r="D181" s="46">
        <v>45970</v>
      </c>
      <c r="E181" s="9" t="s">
        <v>346</v>
      </c>
      <c r="F181" s="56" t="s">
        <v>560</v>
      </c>
      <c r="G181" s="18" t="s">
        <v>286</v>
      </c>
      <c r="H181" s="18">
        <v>0</v>
      </c>
      <c r="I181" s="18" t="s">
        <v>231</v>
      </c>
      <c r="J181" s="9" t="s">
        <v>2</v>
      </c>
      <c r="K181" s="237">
        <v>500</v>
      </c>
      <c r="L181" s="42"/>
    </row>
    <row r="182" spans="1:12" ht="24" customHeight="1">
      <c r="A182" s="8">
        <v>177</v>
      </c>
      <c r="B182" s="9">
        <v>177</v>
      </c>
      <c r="C182" s="9"/>
      <c r="D182" s="46">
        <v>45970</v>
      </c>
      <c r="E182" s="9" t="s">
        <v>335</v>
      </c>
      <c r="F182" s="56" t="s">
        <v>560</v>
      </c>
      <c r="G182" s="18" t="s">
        <v>299</v>
      </c>
      <c r="H182" s="18">
        <v>0</v>
      </c>
      <c r="I182" s="18" t="s">
        <v>226</v>
      </c>
      <c r="J182" s="9" t="s">
        <v>2</v>
      </c>
      <c r="K182" s="237">
        <v>3000</v>
      </c>
      <c r="L182" s="42"/>
    </row>
    <row r="183" spans="1:12" ht="24" customHeight="1">
      <c r="A183" s="8">
        <v>178</v>
      </c>
      <c r="B183" s="9">
        <v>178</v>
      </c>
      <c r="C183" s="9"/>
      <c r="D183" s="46">
        <v>45970</v>
      </c>
      <c r="E183" s="9" t="s">
        <v>333</v>
      </c>
      <c r="F183" s="56" t="s">
        <v>560</v>
      </c>
      <c r="G183" s="18" t="s">
        <v>299</v>
      </c>
      <c r="H183" s="18">
        <v>0</v>
      </c>
      <c r="I183" s="18" t="s">
        <v>224</v>
      </c>
      <c r="J183" s="9" t="s">
        <v>2</v>
      </c>
      <c r="K183" s="237">
        <v>1500</v>
      </c>
      <c r="L183" s="42"/>
    </row>
    <row r="184" spans="1:12" ht="24" customHeight="1">
      <c r="A184" s="8">
        <v>179</v>
      </c>
      <c r="B184" s="9">
        <v>179</v>
      </c>
      <c r="C184" s="9" t="s">
        <v>574</v>
      </c>
      <c r="D184" s="46">
        <v>45974</v>
      </c>
      <c r="E184" s="9" t="s">
        <v>307</v>
      </c>
      <c r="F184" s="56" t="str">
        <f>IFERROR(VLOOKUP($E184,임시동력입.출고현황!$A:$G,F$5,0),)</f>
        <v>Panel</v>
      </c>
      <c r="G184" s="18" t="str">
        <f>IFERROR(VLOOKUP($E184,임시동력입.출고현황!$A:$G,G$5,0),)</f>
        <v>Electrical Panel</v>
      </c>
      <c r="H184" s="18">
        <f>IFERROR(VLOOKUP($E184,임시동력입.출고현황!$A:$G,H$5,0),)</f>
        <v>0</v>
      </c>
      <c r="I184" s="18" t="str">
        <f>IFERROR(VLOOKUP($E184,임시동력입.출고현황!$A:$G,I$5,0),)</f>
        <v>160A</v>
      </c>
      <c r="J184" s="9" t="str">
        <f>IFERROR(VLOOKUP($E184,임시동력입.출고현황!$A:$G,J$5,0),)</f>
        <v>EA</v>
      </c>
      <c r="K184" s="247">
        <v>6</v>
      </c>
      <c r="L184" s="42"/>
    </row>
    <row r="185" spans="1:12" ht="24" customHeight="1">
      <c r="A185" s="8">
        <v>180</v>
      </c>
      <c r="B185" s="9">
        <v>180</v>
      </c>
      <c r="C185" s="9" t="s">
        <v>574</v>
      </c>
      <c r="D185" s="46">
        <v>45974</v>
      </c>
      <c r="E185" s="9" t="s">
        <v>559</v>
      </c>
      <c r="F185" s="56" t="str">
        <f>IFERROR(VLOOKUP($E185,임시동력입.출고현황!$A:$G,F$5,0),)</f>
        <v>Panel</v>
      </c>
      <c r="G185" s="18" t="str">
        <f>IFERROR(VLOOKUP($E185,임시동력입.출고현황!$A:$G,G$5,0),)</f>
        <v>Electrical Panel</v>
      </c>
      <c r="H185" s="18">
        <f>IFERROR(VLOOKUP($E185,임시동력입.출고현황!$A:$G,H$5,0),)</f>
        <v>0</v>
      </c>
      <c r="I185" s="18" t="str">
        <f>IFERROR(VLOOKUP($E185,임시동력입.출고현황!$A:$G,I$5,0),)</f>
        <v>63A</v>
      </c>
      <c r="J185" s="9" t="str">
        <f>IFERROR(VLOOKUP($E185,임시동력입.출고현황!$A:$G,J$5,0),)</f>
        <v>EA</v>
      </c>
      <c r="K185" s="247">
        <v>10</v>
      </c>
      <c r="L185" s="42"/>
    </row>
    <row r="186" spans="1:12" ht="24" customHeight="1">
      <c r="A186" s="8">
        <v>181</v>
      </c>
      <c r="B186" s="9">
        <v>181</v>
      </c>
      <c r="C186" s="9" t="s">
        <v>574</v>
      </c>
      <c r="D186" s="46">
        <v>45974</v>
      </c>
      <c r="E186" s="9" t="s">
        <v>570</v>
      </c>
      <c r="F186" s="56" t="str">
        <f>IFERROR(VLOOKUP($E186,임시동력입.출고현황!$A:$G,F$5,0),)</f>
        <v>power plug</v>
      </c>
      <c r="G186" s="18" t="str">
        <f>IFERROR(VLOOKUP($E186,임시동력입.출고현황!$A:$G,G$5,0),)</f>
        <v>Industrial Socket</v>
      </c>
      <c r="H186" s="18">
        <f>IFERROR(VLOOKUP($E186,임시동력입.출고현황!$A:$G,H$5,0),)</f>
        <v>0</v>
      </c>
      <c r="I186" s="18" t="str">
        <f>IFERROR(VLOOKUP($E186,임시동력입.출고현황!$A:$G,I$5,0),)</f>
        <v xml:space="preserve">3P - 16A </v>
      </c>
      <c r="J186" s="9" t="str">
        <f>IFERROR(VLOOKUP($E186,임시동력입.출고현황!$A:$G,J$5,0),)</f>
        <v>EA</v>
      </c>
      <c r="K186" s="247">
        <v>50</v>
      </c>
      <c r="L186" s="42"/>
    </row>
    <row r="187" spans="1:12" ht="24" customHeight="1">
      <c r="A187" s="8">
        <v>182</v>
      </c>
      <c r="B187" s="9">
        <v>182</v>
      </c>
      <c r="C187" s="9" t="s">
        <v>574</v>
      </c>
      <c r="D187" s="46">
        <v>45974</v>
      </c>
      <c r="E187" s="9" t="s">
        <v>571</v>
      </c>
      <c r="F187" s="56" t="str">
        <f>IFERROR(VLOOKUP($E187,임시동력입.출고현황!$A:$G,F$5,0),)</f>
        <v>Other</v>
      </c>
      <c r="G187" s="18" t="str">
        <f>IFERROR(VLOOKUP($E187,임시동력입.출고현황!$A:$G,G$5,0),)</f>
        <v>Metal Panel Lock with Key</v>
      </c>
      <c r="H187" s="18">
        <f>IFERROR(VLOOKUP($E187,임시동력입.출고현황!$A:$G,H$5,0),)</f>
        <v>0</v>
      </c>
      <c r="I187" s="18" t="str">
        <f>IFERROR(VLOOKUP($E187,임시동력입.출고현황!$A:$G,I$5,0),)</f>
        <v>Universal type</v>
      </c>
      <c r="J187" s="9" t="str">
        <f>IFERROR(VLOOKUP($E187,임시동력입.출고현황!$A:$G,J$5,0),)</f>
        <v>EA</v>
      </c>
      <c r="K187" s="247">
        <v>50</v>
      </c>
      <c r="L187" s="42"/>
    </row>
    <row r="188" spans="1:12" ht="24" customHeight="1">
      <c r="A188" s="8">
        <v>183</v>
      </c>
      <c r="B188" s="9">
        <v>183</v>
      </c>
      <c r="C188" s="9" t="s">
        <v>606</v>
      </c>
      <c r="D188" s="46">
        <v>45987</v>
      </c>
      <c r="E188" s="9" t="s">
        <v>303</v>
      </c>
      <c r="F188" s="56" t="str">
        <f>IFERROR(VLOOKUP($E188,임시동력입.출고현황!$A:$G,F$5,0),)</f>
        <v>Panel</v>
      </c>
      <c r="G188" s="18" t="str">
        <f>IFERROR(VLOOKUP($E188,임시동력입.출고현황!$A:$G,G$5,0),)</f>
        <v>Electrical Panel</v>
      </c>
      <c r="H188" s="18">
        <f>IFERROR(VLOOKUP($E188,임시동력입.출고현황!$A:$G,H$5,0),)</f>
        <v>0</v>
      </c>
      <c r="I188" s="18" t="str">
        <f>IFERROR(VLOOKUP($E188,임시동력입.출고현황!$A:$G,I$5,0),)</f>
        <v>630A</v>
      </c>
      <c r="J188" s="9" t="str">
        <f>IFERROR(VLOOKUP($E188,임시동력입.출고현황!$A:$G,J$5,0),)</f>
        <v>EA</v>
      </c>
      <c r="K188" s="247">
        <v>1</v>
      </c>
      <c r="L188" s="42"/>
    </row>
    <row r="189" spans="1:12" ht="24" customHeight="1">
      <c r="A189" s="8">
        <v>184</v>
      </c>
      <c r="B189" s="9">
        <v>184</v>
      </c>
      <c r="C189" s="9" t="s">
        <v>606</v>
      </c>
      <c r="D189" s="46">
        <v>45987</v>
      </c>
      <c r="E189" s="9" t="s">
        <v>306</v>
      </c>
      <c r="F189" s="56" t="str">
        <f>IFERROR(VLOOKUP($E189,임시동력입.출고현황!$A:$G,F$5,0),)</f>
        <v>Panel</v>
      </c>
      <c r="G189" s="18" t="str">
        <f>IFERROR(VLOOKUP($E189,임시동력입.출고현황!$A:$G,G$5,0),)</f>
        <v>Electrical Panel</v>
      </c>
      <c r="H189" s="18">
        <f>IFERROR(VLOOKUP($E189,임시동력입.출고현황!$A:$G,H$5,0),)</f>
        <v>0</v>
      </c>
      <c r="I189" s="18" t="str">
        <f>IFERROR(VLOOKUP($E189,임시동력입.출고현황!$A:$G,I$5,0),)</f>
        <v>250A</v>
      </c>
      <c r="J189" s="9" t="str">
        <f>IFERROR(VLOOKUP($E189,임시동력입.출고현황!$A:$G,J$5,0),)</f>
        <v>EA</v>
      </c>
      <c r="K189" s="247">
        <v>1</v>
      </c>
      <c r="L189" s="42"/>
    </row>
    <row r="190" spans="1:12" ht="24" customHeight="1">
      <c r="A190" s="8">
        <v>185</v>
      </c>
      <c r="B190" s="9">
        <v>185</v>
      </c>
      <c r="C190" s="9" t="s">
        <v>605</v>
      </c>
      <c r="D190" s="46">
        <v>45987</v>
      </c>
      <c r="E190" s="9" t="s">
        <v>307</v>
      </c>
      <c r="F190" s="56" t="str">
        <f>IFERROR(VLOOKUP($E190,임시동력입.출고현황!$A:$G,F$5,0),)</f>
        <v>Panel</v>
      </c>
      <c r="G190" s="18" t="str">
        <f>IFERROR(VLOOKUP($E190,임시동력입.출고현황!$A:$G,G$5,0),)</f>
        <v>Electrical Panel</v>
      </c>
      <c r="H190" s="18">
        <f>IFERROR(VLOOKUP($E190,임시동력입.출고현황!$A:$G,H$5,0),)</f>
        <v>0</v>
      </c>
      <c r="I190" s="18" t="str">
        <f>IFERROR(VLOOKUP($E190,임시동력입.출고현황!$A:$G,I$5,0),)</f>
        <v>160A</v>
      </c>
      <c r="J190" s="9" t="str">
        <f>IFERROR(VLOOKUP($E190,임시동력입.출고현황!$A:$G,J$5,0),)</f>
        <v>EA</v>
      </c>
      <c r="K190" s="247">
        <v>10</v>
      </c>
      <c r="L190" s="42"/>
    </row>
    <row r="191" spans="1:12" ht="24" customHeight="1">
      <c r="A191" s="8">
        <v>186</v>
      </c>
      <c r="B191" s="9">
        <v>186</v>
      </c>
      <c r="C191" s="9" t="s">
        <v>605</v>
      </c>
      <c r="D191" s="46">
        <v>45987</v>
      </c>
      <c r="E191" s="9" t="s">
        <v>559</v>
      </c>
      <c r="F191" s="56" t="str">
        <f>IFERROR(VLOOKUP($E191,임시동력입.출고현황!$A:$G,F$5,0),)</f>
        <v>Panel</v>
      </c>
      <c r="G191" s="18" t="str">
        <f>IFERROR(VLOOKUP($E191,임시동력입.출고현황!$A:$G,G$5,0),)</f>
        <v>Electrical Panel</v>
      </c>
      <c r="H191" s="18">
        <f>IFERROR(VLOOKUP($E191,임시동력입.출고현황!$A:$G,H$5,0),)</f>
        <v>0</v>
      </c>
      <c r="I191" s="18" t="str">
        <f>IFERROR(VLOOKUP($E191,임시동력입.출고현황!$A:$G,I$5,0),)</f>
        <v>63A</v>
      </c>
      <c r="J191" s="9" t="str">
        <f>IFERROR(VLOOKUP($E191,임시동력입.출고현황!$A:$G,J$5,0),)</f>
        <v>EA</v>
      </c>
      <c r="K191" s="247">
        <v>3</v>
      </c>
      <c r="L191" s="42"/>
    </row>
    <row r="192" spans="1:12" ht="24" customHeight="1">
      <c r="A192" s="8">
        <v>187</v>
      </c>
      <c r="B192" s="9">
        <v>187</v>
      </c>
      <c r="C192" s="9" t="s">
        <v>611</v>
      </c>
      <c r="D192" s="46">
        <v>46000</v>
      </c>
      <c r="E192" s="9" t="s">
        <v>616</v>
      </c>
      <c r="F192" s="56" t="str">
        <f>IFERROR(VLOOKUP($E192,임시동력입.출고현황!$A:$G,F$5,0),)</f>
        <v>Panel</v>
      </c>
      <c r="G192" s="18" t="str">
        <f>IFERROR(VLOOKUP($E192,임시동력입.출고현황!$A:$G,G$5,0),)</f>
        <v>MTS Panel</v>
      </c>
      <c r="H192" s="18">
        <f>IFERROR(VLOOKUP($E192,임시동력입.출고현황!$A:$G,H$5,0),)</f>
        <v>0</v>
      </c>
      <c r="I192" s="18" t="str">
        <f>IFERROR(VLOOKUP($E192,임시동력입.출고현황!$A:$G,I$5,0),)</f>
        <v>250A</v>
      </c>
      <c r="J192" s="9" t="str">
        <f>IFERROR(VLOOKUP($E192,임시동력입.출고현황!$A:$G,J$5,0),)</f>
        <v>EA</v>
      </c>
      <c r="K192" s="292">
        <v>2</v>
      </c>
      <c r="L192" s="42" t="s">
        <v>371</v>
      </c>
    </row>
    <row r="193" spans="1:12" ht="24" customHeight="1">
      <c r="A193" s="8">
        <v>188</v>
      </c>
      <c r="B193" s="9">
        <v>188</v>
      </c>
      <c r="C193" s="9" t="s">
        <v>618</v>
      </c>
      <c r="D193" s="46">
        <v>46005</v>
      </c>
      <c r="E193" s="9" t="s">
        <v>303</v>
      </c>
      <c r="F193" s="56" t="str">
        <f>IFERROR(VLOOKUP($E193,임시동력입.출고현황!$A:$G,F$5,0),)</f>
        <v>Panel</v>
      </c>
      <c r="G193" s="18" t="str">
        <f>IFERROR(VLOOKUP($E193,임시동력입.출고현황!$A:$G,G$5,0),)</f>
        <v>Electrical Panel</v>
      </c>
      <c r="H193" s="18">
        <f>IFERROR(VLOOKUP($E193,임시동력입.출고현황!$A:$G,H$5,0),)</f>
        <v>0</v>
      </c>
      <c r="I193" s="18" t="str">
        <f>IFERROR(VLOOKUP($E193,임시동력입.출고현황!$A:$G,I$5,0),)</f>
        <v>630A</v>
      </c>
      <c r="J193" s="9" t="str">
        <f>IFERROR(VLOOKUP($E193,임시동력입.출고현황!$A:$G,J$5,0),)</f>
        <v>EA</v>
      </c>
      <c r="K193" s="247">
        <v>3</v>
      </c>
      <c r="L193" s="42"/>
    </row>
    <row r="194" spans="1:12" ht="24" customHeight="1">
      <c r="A194" s="8">
        <v>189</v>
      </c>
      <c r="B194" s="9">
        <v>189</v>
      </c>
      <c r="C194" s="9" t="s">
        <v>620</v>
      </c>
      <c r="D194" s="46">
        <v>46009</v>
      </c>
      <c r="E194" s="9" t="s">
        <v>483</v>
      </c>
      <c r="F194" s="56" t="str">
        <f>IFERROR(VLOOKUP($E194,임시동력입.출고현황!$A:$G,F$5,0),)</f>
        <v>MCB</v>
      </c>
      <c r="G194" s="18" t="str">
        <f>IFERROR(VLOOKUP($E194,임시동력입.출고현황!$A:$G,G$5,0),)</f>
        <v>RCCB</v>
      </c>
      <c r="H194" s="18">
        <f>IFERROR(VLOOKUP($E194,임시동력입.출고현황!$A:$G,H$5,0),)</f>
        <v>0</v>
      </c>
      <c r="I194" s="18" t="str">
        <f>IFERROR(VLOOKUP($E194,임시동력입.출고현황!$A:$G,I$5,0),)</f>
        <v>4P - 32A - 30 mA</v>
      </c>
      <c r="J194" s="9" t="str">
        <f>IFERROR(VLOOKUP($E194,임시동력입.출고현황!$A:$G,J$5,0),)</f>
        <v>EA</v>
      </c>
      <c r="K194" s="247">
        <v>50</v>
      </c>
      <c r="L194" s="42"/>
    </row>
    <row r="195" spans="1:12" ht="22.2" customHeight="1">
      <c r="A195" s="8">
        <v>190</v>
      </c>
      <c r="B195" s="9">
        <v>190</v>
      </c>
      <c r="C195" s="9" t="s">
        <v>620</v>
      </c>
      <c r="D195" s="46">
        <v>46009</v>
      </c>
      <c r="E195" s="9" t="s">
        <v>304</v>
      </c>
      <c r="F195" s="56" t="str">
        <f>IFERROR(VLOOKUP($E195,임시동력입.출고현황!$A:$G,F$5,0),)</f>
        <v>Panel</v>
      </c>
      <c r="G195" s="18" t="str">
        <f>IFERROR(VLOOKUP($E195,임시동력입.출고현황!$A:$G,G$5,0),)</f>
        <v>Electrical Panel</v>
      </c>
      <c r="H195" s="18">
        <f>IFERROR(VLOOKUP($E195,임시동력입.출고현황!$A:$G,H$5,0),)</f>
        <v>0</v>
      </c>
      <c r="I195" s="18" t="str">
        <f>IFERROR(VLOOKUP($E195,임시동력입.출고현황!$A:$G,I$5,0),)</f>
        <v>400A</v>
      </c>
      <c r="J195" s="9" t="str">
        <f>IFERROR(VLOOKUP($E195,임시동력입.출고현황!$A:$G,J$5,0),)</f>
        <v>EA</v>
      </c>
      <c r="K195" s="247">
        <v>4</v>
      </c>
      <c r="L195" s="42"/>
    </row>
    <row r="196" spans="1:12" ht="22.2" customHeight="1">
      <c r="A196" s="8">
        <v>191</v>
      </c>
      <c r="B196" s="9">
        <v>191</v>
      </c>
      <c r="C196" s="253" t="s">
        <v>627</v>
      </c>
      <c r="D196" s="254">
        <v>46035</v>
      </c>
      <c r="E196" s="253" t="s">
        <v>341</v>
      </c>
      <c r="F196" s="56" t="str">
        <f>IFERROR(VLOOKUP($E196,임시동력입.출고현황!$A:$G,F$5,0),)</f>
        <v>LTG</v>
      </c>
      <c r="G196" s="18" t="str">
        <f>IFERROR(VLOOKUP($E196,임시동력입.출고현황!$A:$G,G$5,0),)</f>
        <v>Lighting Fixture</v>
      </c>
      <c r="H196" s="18">
        <f>IFERROR(VLOOKUP($E196,임시동력입.출고현황!$A:$G,H$5,0),)</f>
        <v>0</v>
      </c>
      <c r="I196" s="18" t="str">
        <f>IFERROR(VLOOKUP($E196,임시동력입.출고현황!$A:$G,I$5,0),)</f>
        <v>400W</v>
      </c>
      <c r="J196" s="9" t="str">
        <f>IFERROR(VLOOKUP($E196,임시동력입.출고현황!$A:$G,J$5,0),)</f>
        <v>EA</v>
      </c>
      <c r="K196" s="292">
        <v>80</v>
      </c>
      <c r="L196" s="257"/>
    </row>
    <row r="197" spans="1:12" ht="22.2" customHeight="1">
      <c r="A197" s="8">
        <v>192</v>
      </c>
      <c r="B197" s="9">
        <v>192</v>
      </c>
      <c r="C197" s="253" t="s">
        <v>627</v>
      </c>
      <c r="D197" s="254">
        <v>46035</v>
      </c>
      <c r="E197" s="253" t="s">
        <v>347</v>
      </c>
      <c r="F197" s="56" t="str">
        <f>IFERROR(VLOOKUP($E197,임시동력입.출고현황!$A:$G,F$5,0),)</f>
        <v>LTG</v>
      </c>
      <c r="G197" s="18" t="str">
        <f>IFERROR(VLOOKUP($E197,임시동력입.출고현황!$A:$G,G$5,0),)</f>
        <v>Lighting Fixture</v>
      </c>
      <c r="H197" s="18">
        <f>IFERROR(VLOOKUP($E197,임시동력입.출고현황!$A:$G,H$5,0),)</f>
        <v>0</v>
      </c>
      <c r="I197" s="18" t="str">
        <f>IFERROR(VLOOKUP($E197,임시동력입.출고현황!$A:$G,I$5,0),)</f>
        <v>200W</v>
      </c>
      <c r="J197" s="9" t="str">
        <f>IFERROR(VLOOKUP($E197,임시동력입.출고현황!$A:$G,J$5,0),)</f>
        <v>EA</v>
      </c>
      <c r="K197" s="292">
        <v>100</v>
      </c>
      <c r="L197" s="257"/>
    </row>
    <row r="198" spans="1:12" ht="22.2" customHeight="1">
      <c r="A198" s="8">
        <v>193</v>
      </c>
      <c r="B198" s="9">
        <v>193</v>
      </c>
      <c r="C198" s="253" t="s">
        <v>627</v>
      </c>
      <c r="D198" s="254">
        <v>46035</v>
      </c>
      <c r="E198" s="253" t="s">
        <v>348</v>
      </c>
      <c r="F198" s="56" t="str">
        <f>IFERROR(VLOOKUP($E198,임시동력입.출고현황!$A:$G,F$5,0),)</f>
        <v>LTG</v>
      </c>
      <c r="G198" s="18" t="str">
        <f>IFERROR(VLOOKUP($E198,임시동력입.출고현황!$A:$G,G$5,0),)</f>
        <v>Lighting Fixture</v>
      </c>
      <c r="H198" s="18">
        <f>IFERROR(VLOOKUP($E198,임시동력입.출고현황!$A:$G,H$5,0),)</f>
        <v>0</v>
      </c>
      <c r="I198" s="18" t="str">
        <f>IFERROR(VLOOKUP($E198,임시동력입.출고현황!$A:$G,I$5,0),)</f>
        <v>100W</v>
      </c>
      <c r="J198" s="9" t="str">
        <f>IFERROR(VLOOKUP($E198,임시동력입.출고현황!$A:$G,J$5,0),)</f>
        <v>EA</v>
      </c>
      <c r="K198" s="292">
        <v>100</v>
      </c>
      <c r="L198" s="257"/>
    </row>
    <row r="199" spans="1:12" ht="22.2" customHeight="1">
      <c r="A199" s="8">
        <v>194</v>
      </c>
      <c r="B199" s="9">
        <v>194</v>
      </c>
      <c r="C199" s="253" t="s">
        <v>627</v>
      </c>
      <c r="D199" s="254">
        <v>46035</v>
      </c>
      <c r="E199" s="253" t="s">
        <v>349</v>
      </c>
      <c r="F199" s="56" t="str">
        <f>IFERROR(VLOOKUP($E199,임시동력입.출고현황!$A:$G,F$5,0),)</f>
        <v>LTG</v>
      </c>
      <c r="G199" s="18" t="str">
        <f>IFERROR(VLOOKUP($E199,임시동력입.출고현황!$A:$G,G$5,0),)</f>
        <v>Lighting Fixture</v>
      </c>
      <c r="H199" s="18">
        <f>IFERROR(VLOOKUP($E199,임시동력입.출고현황!$A:$G,H$5,0),)</f>
        <v>0</v>
      </c>
      <c r="I199" s="18" t="str">
        <f>IFERROR(VLOOKUP($E199,임시동력입.출고현황!$A:$G,I$5,0),)</f>
        <v>50W</v>
      </c>
      <c r="J199" s="9" t="str">
        <f>IFERROR(VLOOKUP($E199,임시동력입.출고현황!$A:$G,J$5,0),)</f>
        <v>EA</v>
      </c>
      <c r="K199" s="292">
        <v>99</v>
      </c>
      <c r="L199" s="257"/>
    </row>
    <row r="200" spans="1:12" ht="22.2" customHeight="1">
      <c r="A200" s="8">
        <v>195</v>
      </c>
      <c r="B200" s="9">
        <v>195</v>
      </c>
      <c r="C200" s="253" t="s">
        <v>641</v>
      </c>
      <c r="D200" s="254">
        <v>46050</v>
      </c>
      <c r="E200" s="253" t="s">
        <v>565</v>
      </c>
      <c r="F200" s="56" t="str">
        <f>IFERROR(VLOOKUP($E200,임시동력입.출고현황!$A:$G,F$5,0),)</f>
        <v>Cable</v>
      </c>
      <c r="G200" s="18" t="str">
        <f>IFERROR(VLOOKUP($E200,임시동력입.출고현황!$A:$G,G$5,0),)</f>
        <v>AL Cable</v>
      </c>
      <c r="H200" s="18">
        <f>IFERROR(VLOOKUP($E200,임시동력입.출고현황!$A:$G,H$5,0),)</f>
        <v>0</v>
      </c>
      <c r="I200" s="18" t="str">
        <f>IFERROR(VLOOKUP($E200,임시동력입.출고현황!$A:$G,I$5,0),)</f>
        <v>3C x 185+95mm2 [ALU]</v>
      </c>
      <c r="J200" s="9" t="str">
        <f>IFERROR(VLOOKUP($E200,임시동력입.출고현황!$A:$G,J$5,0),)</f>
        <v>M</v>
      </c>
      <c r="K200" s="292">
        <v>1000</v>
      </c>
      <c r="L200" s="257"/>
    </row>
    <row r="201" spans="1:12" ht="22.2" customHeight="1">
      <c r="A201" s="8">
        <v>196</v>
      </c>
      <c r="B201" s="9">
        <v>196</v>
      </c>
      <c r="C201" s="253" t="s">
        <v>641</v>
      </c>
      <c r="D201" s="254">
        <v>46050</v>
      </c>
      <c r="E201" s="253" t="s">
        <v>320</v>
      </c>
      <c r="F201" s="56" t="str">
        <f>IFERROR(VLOOKUP($E201,임시동력입.출고현황!$A:$G,F$5,0),)</f>
        <v>Cable</v>
      </c>
      <c r="G201" s="18" t="str">
        <f>IFERROR(VLOOKUP($E201,임시동력입.출고현황!$A:$G,G$5,0),)</f>
        <v>AL Cable</v>
      </c>
      <c r="H201" s="18">
        <f>IFERROR(VLOOKUP($E201,임시동력입.출고현황!$A:$G,H$5,0),)</f>
        <v>0</v>
      </c>
      <c r="I201" s="18" t="str">
        <f>IFERROR(VLOOKUP($E201,임시동력입.출고현황!$A:$G,I$5,0),)</f>
        <v>3C x 95+50mm2 [ALU]</v>
      </c>
      <c r="J201" s="9" t="str">
        <f>IFERROR(VLOOKUP($E201,임시동력입.출고현황!$A:$G,J$5,0),)</f>
        <v>M</v>
      </c>
      <c r="K201" s="292">
        <v>1000</v>
      </c>
      <c r="L201" s="257"/>
    </row>
    <row r="202" spans="1:12" ht="22.2" customHeight="1">
      <c r="A202" s="8">
        <v>197</v>
      </c>
      <c r="B202" s="9">
        <v>197</v>
      </c>
      <c r="C202" s="253" t="s">
        <v>641</v>
      </c>
      <c r="D202" s="254">
        <v>46050</v>
      </c>
      <c r="E202" s="253" t="s">
        <v>327</v>
      </c>
      <c r="F202" s="56" t="str">
        <f>IFERROR(VLOOKUP($E202,임시동력입.출고현황!$A:$G,F$5,0),)</f>
        <v>Cable</v>
      </c>
      <c r="G202" s="18" t="str">
        <f>IFERROR(VLOOKUP($E202,임시동력입.출고현황!$A:$G,G$5,0),)</f>
        <v>CV Cable</v>
      </c>
      <c r="H202" s="18">
        <f>IFERROR(VLOOKUP($E202,임시동력입.출고현황!$A:$G,H$5,0),)</f>
        <v>0</v>
      </c>
      <c r="I202" s="18" t="str">
        <f>IFERROR(VLOOKUP($E202,임시동력입.출고현황!$A:$G,I$5,0),)</f>
        <v>4C x 35mm2</v>
      </c>
      <c r="J202" s="9" t="str">
        <f>IFERROR(VLOOKUP($E202,임시동력입.출고현황!$A:$G,J$5,0),)</f>
        <v>M</v>
      </c>
      <c r="K202" s="292">
        <v>1000</v>
      </c>
      <c r="L202" s="257"/>
    </row>
    <row r="203" spans="1:12" ht="22.2" customHeight="1">
      <c r="A203" s="8">
        <v>198</v>
      </c>
      <c r="B203" s="9">
        <v>198</v>
      </c>
      <c r="C203" s="253" t="s">
        <v>641</v>
      </c>
      <c r="D203" s="254">
        <v>46050</v>
      </c>
      <c r="E203" s="253" t="s">
        <v>329</v>
      </c>
      <c r="F203" s="56" t="str">
        <f>IFERROR(VLOOKUP($E203,임시동력입.출고현황!$A:$G,F$5,0),)</f>
        <v>Cable</v>
      </c>
      <c r="G203" s="18" t="str">
        <f>IFERROR(VLOOKUP($E203,임시동력입.출고현황!$A:$G,G$5,0),)</f>
        <v>CV Cable</v>
      </c>
      <c r="H203" s="18">
        <f>IFERROR(VLOOKUP($E203,임시동력입.출고현황!$A:$G,H$5,0),)</f>
        <v>0</v>
      </c>
      <c r="I203" s="18" t="str">
        <f>IFERROR(VLOOKUP($E203,임시동력입.출고현황!$A:$G,I$5,0),)</f>
        <v>4C x 16mm2</v>
      </c>
      <c r="J203" s="9" t="str">
        <f>IFERROR(VLOOKUP($E203,임시동력입.출고현황!$A:$G,J$5,0),)</f>
        <v>M</v>
      </c>
      <c r="K203" s="292">
        <v>2000</v>
      </c>
      <c r="L203" s="257"/>
    </row>
    <row r="204" spans="1:12" ht="22.2" customHeight="1">
      <c r="A204" s="8">
        <v>199</v>
      </c>
      <c r="B204" s="9">
        <v>199</v>
      </c>
      <c r="C204" s="253" t="s">
        <v>641</v>
      </c>
      <c r="D204" s="254">
        <v>46050</v>
      </c>
      <c r="E204" s="253" t="s">
        <v>330</v>
      </c>
      <c r="F204" s="56" t="str">
        <f>IFERROR(VLOOKUP($E204,임시동력입.출고현황!$A:$G,F$5,0),)</f>
        <v>Cable</v>
      </c>
      <c r="G204" s="18" t="str">
        <f>IFERROR(VLOOKUP($E204,임시동력입.출고현황!$A:$G,G$5,0),)</f>
        <v>CV Cable</v>
      </c>
      <c r="H204" s="18">
        <f>IFERROR(VLOOKUP($E204,임시동력입.출고현황!$A:$G,H$5,0),)</f>
        <v>0</v>
      </c>
      <c r="I204" s="18" t="str">
        <f>IFERROR(VLOOKUP($E204,임시동력입.출고현황!$A:$G,I$5,0),)</f>
        <v>4C x 10mm2</v>
      </c>
      <c r="J204" s="9" t="str">
        <f>IFERROR(VLOOKUP($E204,임시동력입.출고현황!$A:$G,J$5,0),)</f>
        <v>M</v>
      </c>
      <c r="K204" s="292">
        <v>2000</v>
      </c>
      <c r="L204" s="257"/>
    </row>
    <row r="205" spans="1:12" ht="22.2" customHeight="1">
      <c r="A205" s="8">
        <v>200</v>
      </c>
      <c r="B205" s="9">
        <v>200</v>
      </c>
      <c r="C205" s="253" t="s">
        <v>641</v>
      </c>
      <c r="D205" s="254">
        <v>46050</v>
      </c>
      <c r="E205" s="253" t="s">
        <v>331</v>
      </c>
      <c r="F205" s="56" t="str">
        <f>IFERROR(VLOOKUP($E205,임시동력입.출고현황!$A:$G,F$5,0),)</f>
        <v>Cable</v>
      </c>
      <c r="G205" s="18" t="str">
        <f>IFERROR(VLOOKUP($E205,임시동력입.출고현황!$A:$G,G$5,0),)</f>
        <v>CV Cable</v>
      </c>
      <c r="H205" s="18">
        <f>IFERROR(VLOOKUP($E205,임시동력입.출고현황!$A:$G,H$5,0),)</f>
        <v>0</v>
      </c>
      <c r="I205" s="18" t="str">
        <f>IFERROR(VLOOKUP($E205,임시동력입.출고현황!$A:$G,I$5,0),)</f>
        <v>4C x 6mm2</v>
      </c>
      <c r="J205" s="9" t="str">
        <f>IFERROR(VLOOKUP($E205,임시동력입.출고현황!$A:$G,J$5,0),)</f>
        <v>M</v>
      </c>
      <c r="K205" s="292">
        <v>1000</v>
      </c>
      <c r="L205" s="257"/>
    </row>
    <row r="206" spans="1:12" ht="22.2" customHeight="1">
      <c r="A206" s="8">
        <v>201</v>
      </c>
      <c r="B206" s="9">
        <v>201</v>
      </c>
      <c r="C206" s="253" t="s">
        <v>641</v>
      </c>
      <c r="D206" s="254">
        <v>46050</v>
      </c>
      <c r="E206" s="253" t="s">
        <v>334</v>
      </c>
      <c r="F206" s="56" t="str">
        <f>IFERROR(VLOOKUP($E206,임시동력입.출고현황!$A:$G,F$5,0),)</f>
        <v>Cable</v>
      </c>
      <c r="G206" s="18" t="str">
        <f>IFERROR(VLOOKUP($E206,임시동력입.출고현황!$A:$G,G$5,0),)</f>
        <v>CV Cable</v>
      </c>
      <c r="H206" s="18">
        <f>IFERROR(VLOOKUP($E206,임시동력입.출고현황!$A:$G,H$5,0),)</f>
        <v>0</v>
      </c>
      <c r="I206" s="18" t="str">
        <f>IFERROR(VLOOKUP($E206,임시동력입.출고현황!$A:$G,I$5,0),)</f>
        <v>3C x 4mm2</v>
      </c>
      <c r="J206" s="9" t="str">
        <f>IFERROR(VLOOKUP($E206,임시동력입.출고현황!$A:$G,J$5,0),)</f>
        <v>M</v>
      </c>
      <c r="K206" s="292">
        <v>2000</v>
      </c>
      <c r="L206" s="257"/>
    </row>
    <row r="207" spans="1:12" ht="22.2" customHeight="1">
      <c r="A207" s="8">
        <v>202</v>
      </c>
      <c r="B207" s="9">
        <v>202</v>
      </c>
      <c r="C207" s="253" t="s">
        <v>641</v>
      </c>
      <c r="D207" s="254">
        <v>46050</v>
      </c>
      <c r="E207" s="253" t="s">
        <v>411</v>
      </c>
      <c r="F207" s="56" t="str">
        <f>IFERROR(VLOOKUP($E207,임시동력입.출고현황!$A:$G,F$5,0),)</f>
        <v>Cable</v>
      </c>
      <c r="G207" s="18" t="str">
        <f>IFERROR(VLOOKUP($E207,임시동력입.출고현황!$A:$G,G$5,0),)</f>
        <v>CV Cable</v>
      </c>
      <c r="H207" s="18">
        <f>IFERROR(VLOOKUP($E207,임시동력입.출고현황!$A:$G,H$5,0),)</f>
        <v>0</v>
      </c>
      <c r="I207" s="18" t="str">
        <f>IFERROR(VLOOKUP($E207,임시동력입.출고현황!$A:$G,I$5,0),)</f>
        <v>3C x 3mm2</v>
      </c>
      <c r="J207" s="9" t="str">
        <f>IFERROR(VLOOKUP($E207,임시동력입.출고현황!$A:$G,J$5,0),)</f>
        <v>M</v>
      </c>
      <c r="K207" s="292">
        <v>2000</v>
      </c>
      <c r="L207" s="257"/>
    </row>
    <row r="208" spans="1:12" ht="22.2" customHeight="1">
      <c r="A208" s="8">
        <v>203</v>
      </c>
      <c r="B208" s="9">
        <v>203</v>
      </c>
      <c r="C208" s="253" t="s">
        <v>641</v>
      </c>
      <c r="D208" s="254">
        <v>46050</v>
      </c>
      <c r="E208" s="253" t="s">
        <v>335</v>
      </c>
      <c r="F208" s="56" t="str">
        <f>IFERROR(VLOOKUP($E208,임시동력입.출고현황!$A:$G,F$5,0),)</f>
        <v>Cable</v>
      </c>
      <c r="G208" s="18" t="str">
        <f>IFERROR(VLOOKUP($E208,임시동력입.출고현황!$A:$G,G$5,0),)</f>
        <v>CV Cable</v>
      </c>
      <c r="H208" s="18">
        <f>IFERROR(VLOOKUP($E208,임시동력입.출고현황!$A:$G,H$5,0),)</f>
        <v>0</v>
      </c>
      <c r="I208" s="18" t="str">
        <f>IFERROR(VLOOKUP($E208,임시동력입.출고현황!$A:$G,I$5,0),)</f>
        <v>3C x 2.5mm2</v>
      </c>
      <c r="J208" s="9" t="str">
        <f>IFERROR(VLOOKUP($E208,임시동력입.출고현황!$A:$G,J$5,0),)</f>
        <v>M</v>
      </c>
      <c r="K208" s="292">
        <v>4000</v>
      </c>
      <c r="L208" s="257"/>
    </row>
    <row r="209" spans="1:12" ht="22.2" customHeight="1">
      <c r="A209" s="8">
        <v>204</v>
      </c>
      <c r="B209" s="9">
        <v>204</v>
      </c>
      <c r="C209" s="253" t="s">
        <v>641</v>
      </c>
      <c r="D209" s="254">
        <v>46050</v>
      </c>
      <c r="E209" s="253" t="s">
        <v>332</v>
      </c>
      <c r="F209" s="56" t="str">
        <f>IFERROR(VLOOKUP($E209,임시동력입.출고현황!$A:$G,F$5,0),)</f>
        <v>Cable</v>
      </c>
      <c r="G209" s="18" t="str">
        <f>IFERROR(VLOOKUP($E209,임시동력입.출고현황!$A:$G,G$5,0),)</f>
        <v>CV Cable</v>
      </c>
      <c r="H209" s="18">
        <f>IFERROR(VLOOKUP($E209,임시동력입.출고현황!$A:$G,H$5,0),)</f>
        <v>0</v>
      </c>
      <c r="I209" s="18" t="str">
        <f>IFERROR(VLOOKUP($E209,임시동력입.출고현황!$A:$G,I$5,0),)</f>
        <v>3C x 10mm2</v>
      </c>
      <c r="J209" s="9" t="str">
        <f>IFERROR(VLOOKUP($E209,임시동력입.출고현황!$A:$G,J$5,0),)</f>
        <v>M</v>
      </c>
      <c r="K209" s="292">
        <v>1000</v>
      </c>
      <c r="L209" s="257"/>
    </row>
    <row r="210" spans="1:12" ht="22.2" customHeight="1">
      <c r="A210" s="8">
        <v>205</v>
      </c>
      <c r="B210" s="9">
        <v>205</v>
      </c>
      <c r="C210" s="253" t="s">
        <v>641</v>
      </c>
      <c r="D210" s="254">
        <v>46050</v>
      </c>
      <c r="E210" s="253" t="s">
        <v>333</v>
      </c>
      <c r="F210" s="56" t="str">
        <f>IFERROR(VLOOKUP($E210,임시동력입.출고현황!$A:$G,F$5,0),)</f>
        <v>Cable</v>
      </c>
      <c r="G210" s="18" t="str">
        <f>IFERROR(VLOOKUP($E210,임시동력입.출고현황!$A:$G,G$5,0),)</f>
        <v>CV Cable</v>
      </c>
      <c r="H210" s="18">
        <f>IFERROR(VLOOKUP($E210,임시동력입.출고현황!$A:$G,H$5,0),)</f>
        <v>0</v>
      </c>
      <c r="I210" s="18" t="str">
        <f>IFERROR(VLOOKUP($E210,임시동력입.출고현황!$A:$G,I$5,0),)</f>
        <v>3C x 6mm2</v>
      </c>
      <c r="J210" s="9" t="str">
        <f>IFERROR(VLOOKUP($E210,임시동력입.출고현황!$A:$G,J$5,0),)</f>
        <v>M</v>
      </c>
      <c r="K210" s="292">
        <v>1500</v>
      </c>
      <c r="L210" s="257"/>
    </row>
    <row r="211" spans="1:12" ht="22.2" customHeight="1">
      <c r="A211" s="8">
        <v>206</v>
      </c>
      <c r="B211" s="9">
        <v>206</v>
      </c>
      <c r="C211" s="9" t="s">
        <v>641</v>
      </c>
      <c r="D211" s="46">
        <v>46054</v>
      </c>
      <c r="E211" s="9" t="s">
        <v>318</v>
      </c>
      <c r="F211" s="56" t="str">
        <f>IFERROR(VLOOKUP($E211,임시동력입.출고현황!$A:$G,F$5,0),)</f>
        <v>Cable</v>
      </c>
      <c r="G211" s="18" t="str">
        <f>IFERROR(VLOOKUP($E211,임시동력입.출고현황!$A:$G,G$5,0),)</f>
        <v>AL Cable</v>
      </c>
      <c r="H211" s="18">
        <f>IFERROR(VLOOKUP($E211,임시동력입.출고현황!$A:$G,H$5,0),)</f>
        <v>0</v>
      </c>
      <c r="I211" s="18" t="str">
        <f>IFERROR(VLOOKUP($E211,임시동력입.출고현황!$A:$G,I$5,0),)</f>
        <v>3C x 150+70mm2 [ALU]</v>
      </c>
      <c r="J211" s="9" t="str">
        <f>IFERROR(VLOOKUP($E211,임시동력입.출고현황!$A:$G,J$5,0),)</f>
        <v>M</v>
      </c>
      <c r="K211" s="247">
        <v>1000</v>
      </c>
      <c r="L211" s="42"/>
    </row>
    <row r="212" spans="1:12" ht="22.2" customHeight="1">
      <c r="A212" s="8">
        <v>207</v>
      </c>
      <c r="B212" s="9">
        <v>207</v>
      </c>
      <c r="C212" s="9" t="s">
        <v>641</v>
      </c>
      <c r="D212" s="46">
        <v>46054</v>
      </c>
      <c r="E212" s="9" t="s">
        <v>320</v>
      </c>
      <c r="F212" s="56" t="str">
        <f>IFERROR(VLOOKUP($E212,임시동력입.출고현황!$A:$G,F$5,0),)</f>
        <v>Cable</v>
      </c>
      <c r="G212" s="18" t="str">
        <f>IFERROR(VLOOKUP($E212,임시동력입.출고현황!$A:$G,G$5,0),)</f>
        <v>AL Cable</v>
      </c>
      <c r="H212" s="18">
        <f>IFERROR(VLOOKUP($E212,임시동력입.출고현황!$A:$G,H$5,0),)</f>
        <v>0</v>
      </c>
      <c r="I212" s="18" t="str">
        <f>IFERROR(VLOOKUP($E212,임시동력입.출고현황!$A:$G,I$5,0),)</f>
        <v>3C x 95+50mm2 [ALU]</v>
      </c>
      <c r="J212" s="9" t="str">
        <f>IFERROR(VLOOKUP($E212,임시동력입.출고현황!$A:$G,J$5,0),)</f>
        <v>M</v>
      </c>
      <c r="K212" s="247">
        <v>1000</v>
      </c>
      <c r="L212" s="42"/>
    </row>
    <row r="213" spans="1:12" ht="22.2" customHeight="1">
      <c r="A213" s="8">
        <v>208</v>
      </c>
      <c r="B213" s="9">
        <v>208</v>
      </c>
      <c r="C213" s="9" t="s">
        <v>641</v>
      </c>
      <c r="D213" s="46">
        <v>46054</v>
      </c>
      <c r="E213" s="9" t="s">
        <v>328</v>
      </c>
      <c r="F213" s="56" t="str">
        <f>IFERROR(VLOOKUP($E213,임시동력입.출고현황!$A:$G,F$5,0),)</f>
        <v>Cable</v>
      </c>
      <c r="G213" s="18" t="str">
        <f>IFERROR(VLOOKUP($E213,임시동력입.출고현황!$A:$G,G$5,0),)</f>
        <v>CV Cable</v>
      </c>
      <c r="H213" s="18">
        <f>IFERROR(VLOOKUP($E213,임시동력입.출고현황!$A:$G,H$5,0),)</f>
        <v>0</v>
      </c>
      <c r="I213" s="18" t="str">
        <f>IFERROR(VLOOKUP($E213,임시동력입.출고현황!$A:$G,I$5,0),)</f>
        <v>4C x 25mm2</v>
      </c>
      <c r="J213" s="9" t="str">
        <f>IFERROR(VLOOKUP($E213,임시동력입.출고현황!$A:$G,J$5,0),)</f>
        <v>M</v>
      </c>
      <c r="K213" s="247">
        <v>2000</v>
      </c>
      <c r="L213" s="42"/>
    </row>
    <row r="214" spans="1:12" ht="22.2" customHeight="1">
      <c r="A214" s="8">
        <v>209</v>
      </c>
      <c r="B214" s="9">
        <v>209</v>
      </c>
      <c r="C214" s="9" t="s">
        <v>642</v>
      </c>
      <c r="D214" s="46">
        <v>46055</v>
      </c>
      <c r="E214" s="9" t="s">
        <v>341</v>
      </c>
      <c r="F214" s="56" t="str">
        <f>IFERROR(VLOOKUP($E214,임시동력입.출고현황!$A:$G,F$5,0),)</f>
        <v>LTG</v>
      </c>
      <c r="G214" s="18" t="str">
        <f>IFERROR(VLOOKUP($E214,임시동력입.출고현황!$A:$G,G$5,0),)</f>
        <v>Lighting Fixture</v>
      </c>
      <c r="H214" s="18">
        <f>IFERROR(VLOOKUP($E214,임시동력입.출고현황!$A:$G,H$5,0),)</f>
        <v>0</v>
      </c>
      <c r="I214" s="18" t="str">
        <f>IFERROR(VLOOKUP($E214,임시동력입.출고현황!$A:$G,I$5,0),)</f>
        <v>400W</v>
      </c>
      <c r="J214" s="9" t="str">
        <f>IFERROR(VLOOKUP($E214,임시동력입.출고현황!$A:$G,J$5,0),)</f>
        <v>EA</v>
      </c>
      <c r="K214" s="247">
        <v>220</v>
      </c>
      <c r="L214" s="42"/>
    </row>
    <row r="215" spans="1:12" ht="22.2" customHeight="1">
      <c r="A215" s="8">
        <v>210</v>
      </c>
      <c r="B215" s="9">
        <v>210</v>
      </c>
      <c r="C215" s="9" t="s">
        <v>642</v>
      </c>
      <c r="D215" s="46">
        <v>46055</v>
      </c>
      <c r="E215" s="9" t="s">
        <v>347</v>
      </c>
      <c r="F215" s="56" t="str">
        <f>IFERROR(VLOOKUP($E215,임시동력입.출고현황!$A:$G,F$5,0),)</f>
        <v>LTG</v>
      </c>
      <c r="G215" s="18" t="str">
        <f>IFERROR(VLOOKUP($E215,임시동력입.출고현황!$A:$G,G$5,0),)</f>
        <v>Lighting Fixture</v>
      </c>
      <c r="H215" s="18">
        <f>IFERROR(VLOOKUP($E215,임시동력입.출고현황!$A:$G,H$5,0),)</f>
        <v>0</v>
      </c>
      <c r="I215" s="18" t="str">
        <f>IFERROR(VLOOKUP($E215,임시동력입.출고현황!$A:$G,I$5,0),)</f>
        <v>200W</v>
      </c>
      <c r="J215" s="9" t="str">
        <f>IFERROR(VLOOKUP($E215,임시동력입.출고현황!$A:$G,J$5,0),)</f>
        <v>EA</v>
      </c>
      <c r="K215" s="247">
        <v>200</v>
      </c>
      <c r="L215" s="42"/>
    </row>
    <row r="216" spans="1:12" ht="22.2" customHeight="1">
      <c r="A216" s="8">
        <v>211</v>
      </c>
      <c r="B216" s="9">
        <v>211</v>
      </c>
      <c r="C216" s="9" t="s">
        <v>642</v>
      </c>
      <c r="D216" s="46">
        <v>46055</v>
      </c>
      <c r="E216" s="9" t="s">
        <v>348</v>
      </c>
      <c r="F216" s="56" t="str">
        <f>IFERROR(VLOOKUP($E216,임시동력입.출고현황!$A:$G,F$5,0),)</f>
        <v>LTG</v>
      </c>
      <c r="G216" s="18" t="str">
        <f>IFERROR(VLOOKUP($E216,임시동력입.출고현황!$A:$G,G$5,0),)</f>
        <v>Lighting Fixture</v>
      </c>
      <c r="H216" s="18">
        <f>IFERROR(VLOOKUP($E216,임시동력입.출고현황!$A:$G,H$5,0),)</f>
        <v>0</v>
      </c>
      <c r="I216" s="18" t="str">
        <f>IFERROR(VLOOKUP($E216,임시동력입.출고현황!$A:$G,I$5,0),)</f>
        <v>100W</v>
      </c>
      <c r="J216" s="9" t="str">
        <f>IFERROR(VLOOKUP($E216,임시동력입.출고현황!$A:$G,J$5,0),)</f>
        <v>EA</v>
      </c>
      <c r="K216" s="247">
        <v>100</v>
      </c>
      <c r="L216" s="42"/>
    </row>
    <row r="217" spans="1:12" ht="22.2" customHeight="1">
      <c r="A217" s="8">
        <v>212</v>
      </c>
      <c r="B217" s="9">
        <v>212</v>
      </c>
      <c r="C217" s="9" t="s">
        <v>642</v>
      </c>
      <c r="D217" s="46">
        <v>46055</v>
      </c>
      <c r="E217" s="9" t="s">
        <v>349</v>
      </c>
      <c r="F217" s="56" t="str">
        <f>IFERROR(VLOOKUP($E217,임시동력입.출고현황!$A:$G,F$5,0),)</f>
        <v>LTG</v>
      </c>
      <c r="G217" s="18" t="str">
        <f>IFERROR(VLOOKUP($E217,임시동력입.출고현황!$A:$G,G$5,0),)</f>
        <v>Lighting Fixture</v>
      </c>
      <c r="H217" s="18">
        <f>IFERROR(VLOOKUP($E217,임시동력입.출고현황!$A:$G,H$5,0),)</f>
        <v>0</v>
      </c>
      <c r="I217" s="18" t="str">
        <f>IFERROR(VLOOKUP($E217,임시동력입.출고현황!$A:$G,I$5,0),)</f>
        <v>50W</v>
      </c>
      <c r="J217" s="9" t="str">
        <f>IFERROR(VLOOKUP($E217,임시동력입.출고현황!$A:$G,J$5,0),)</f>
        <v>EA</v>
      </c>
      <c r="K217" s="247">
        <v>201</v>
      </c>
      <c r="L217" s="42"/>
    </row>
    <row r="218" spans="1:12" ht="22.2" customHeight="1">
      <c r="A218" s="8">
        <v>213</v>
      </c>
      <c r="B218" s="9">
        <v>213</v>
      </c>
      <c r="C218" s="9" t="s">
        <v>996</v>
      </c>
      <c r="D218" s="46">
        <v>46120</v>
      </c>
      <c r="E218" s="9" t="s">
        <v>559</v>
      </c>
      <c r="F218" s="56" t="str">
        <f>IFERROR(VLOOKUP($E218,임시동력입.출고현황!$A:$G,F$5,0),)</f>
        <v>Panel</v>
      </c>
      <c r="G218" s="18" t="str">
        <f>IFERROR(VLOOKUP($E218,임시동력입.출고현황!$A:$G,G$5,0),)</f>
        <v>Electrical Panel</v>
      </c>
      <c r="H218" s="18">
        <f>IFERROR(VLOOKUP($E218,임시동력입.출고현황!$A:$G,H$5,0),)</f>
        <v>0</v>
      </c>
      <c r="I218" s="18" t="str">
        <f>IFERROR(VLOOKUP($E218,임시동력입.출고현황!$A:$G,I$5,0),)</f>
        <v>63A</v>
      </c>
      <c r="J218" s="9" t="str">
        <f>IFERROR(VLOOKUP($E218,임시동력입.출고현황!$A:$G,J$5,0),)</f>
        <v>EA</v>
      </c>
      <c r="K218" s="247">
        <v>10</v>
      </c>
      <c r="L218" s="42"/>
    </row>
    <row r="219" spans="1:12" ht="22.2" customHeight="1">
      <c r="A219" s="8">
        <v>214</v>
      </c>
      <c r="B219" s="9">
        <v>214</v>
      </c>
      <c r="C219" s="9" t="s">
        <v>997</v>
      </c>
      <c r="D219" s="46">
        <v>46125</v>
      </c>
      <c r="E219" s="9" t="s">
        <v>310</v>
      </c>
      <c r="F219" s="56" t="str">
        <f>IFERROR(VLOOKUP($E219,임시동력입.출고현황!$A:$G,F$5,0),)</f>
        <v>Panel</v>
      </c>
      <c r="G219" s="18" t="str">
        <f>IFERROR(VLOOKUP($E219,임시동력입.출고현황!$A:$G,G$5,0),)</f>
        <v>Electrical Panel</v>
      </c>
      <c r="H219" s="18">
        <f>IFERROR(VLOOKUP($E219,임시동력입.출고현황!$A:$G,H$5,0),)</f>
        <v>0</v>
      </c>
      <c r="I219" s="18" t="str">
        <f>IFERROR(VLOOKUP($E219,임시동력입.출고현황!$A:$G,I$5,0),)</f>
        <v>100A</v>
      </c>
      <c r="J219" s="9" t="str">
        <f>IFERROR(VLOOKUP($E219,임시동력입.출고현황!$A:$G,J$5,0),)</f>
        <v>EA</v>
      </c>
      <c r="K219" s="247">
        <v>20</v>
      </c>
      <c r="L219" s="42"/>
    </row>
    <row r="220" spans="1:12" ht="22.2" customHeight="1">
      <c r="A220" s="8">
        <v>215</v>
      </c>
      <c r="B220" s="9">
        <v>215</v>
      </c>
      <c r="C220" s="9" t="s">
        <v>998</v>
      </c>
      <c r="D220" s="46">
        <v>46125</v>
      </c>
      <c r="E220" s="9" t="s">
        <v>559</v>
      </c>
      <c r="F220" s="56" t="str">
        <f>IFERROR(VLOOKUP($E220,임시동력입.출고현황!$A:$G,F$5,0),)</f>
        <v>Panel</v>
      </c>
      <c r="G220" s="18" t="str">
        <f>IFERROR(VLOOKUP($E220,임시동력입.출고현황!$A:$G,G$5,0),)</f>
        <v>Electrical Panel</v>
      </c>
      <c r="H220" s="18">
        <f>IFERROR(VLOOKUP($E220,임시동력입.출고현황!$A:$G,H$5,0),)</f>
        <v>0</v>
      </c>
      <c r="I220" s="18" t="str">
        <f>IFERROR(VLOOKUP($E220,임시동력입.출고현황!$A:$G,I$5,0),)</f>
        <v>63A</v>
      </c>
      <c r="J220" s="9" t="str">
        <f>IFERROR(VLOOKUP($E220,임시동력입.출고현황!$A:$G,J$5,0),)</f>
        <v>EA</v>
      </c>
      <c r="K220" s="247">
        <v>20</v>
      </c>
      <c r="L220" s="42"/>
    </row>
    <row r="221" spans="1:12" ht="22.2" customHeight="1">
      <c r="A221" s="8">
        <v>216</v>
      </c>
      <c r="B221" s="9">
        <v>216</v>
      </c>
      <c r="C221" s="9" t="s">
        <v>1000</v>
      </c>
      <c r="D221" s="46">
        <v>46132</v>
      </c>
      <c r="E221" s="9" t="s">
        <v>310</v>
      </c>
      <c r="F221" s="56" t="str">
        <f>IFERROR(VLOOKUP($E221,임시동력입.출고현황!$A:$G,F$5,0),)</f>
        <v>Panel</v>
      </c>
      <c r="G221" s="18" t="str">
        <f>IFERROR(VLOOKUP($E221,임시동력입.출고현황!$A:$G,G$5,0),)</f>
        <v>Electrical Panel</v>
      </c>
      <c r="H221" s="18">
        <f>IFERROR(VLOOKUP($E221,임시동력입.출고현황!$A:$G,H$5,0),)</f>
        <v>0</v>
      </c>
      <c r="I221" s="18" t="str">
        <f>IFERROR(VLOOKUP($E221,임시동력입.출고현황!$A:$G,I$5,0),)</f>
        <v>100A</v>
      </c>
      <c r="J221" s="9" t="str">
        <f>IFERROR(VLOOKUP($E221,임시동력입.출고현황!$A:$G,J$5,0),)</f>
        <v>EA</v>
      </c>
      <c r="K221" s="247">
        <v>10</v>
      </c>
      <c r="L221" s="42"/>
    </row>
    <row r="222" spans="1:12" ht="22.2" customHeight="1">
      <c r="A222" s="8">
        <v>217</v>
      </c>
      <c r="B222" s="9">
        <v>217</v>
      </c>
      <c r="C222" s="9"/>
      <c r="D222" s="46"/>
      <c r="E222" s="9"/>
      <c r="F222" s="56">
        <f>IFERROR(VLOOKUP($E222,임시동력입.출고현황!$A:$G,F$5,0),)</f>
        <v>0</v>
      </c>
      <c r="G222" s="18">
        <f>IFERROR(VLOOKUP($E222,임시동력입.출고현황!$A:$G,G$5,0),)</f>
        <v>0</v>
      </c>
      <c r="H222" s="18">
        <f>IFERROR(VLOOKUP($E222,임시동력입.출고현황!$A:$G,H$5,0),)</f>
        <v>0</v>
      </c>
      <c r="I222" s="18">
        <f>IFERROR(VLOOKUP($E222,임시동력입.출고현황!$A:$G,I$5,0),)</f>
        <v>0</v>
      </c>
      <c r="J222" s="9"/>
      <c r="K222" s="247"/>
      <c r="L222" s="42"/>
    </row>
    <row r="223" spans="1:12" ht="22.2" customHeight="1">
      <c r="A223" s="8">
        <v>218</v>
      </c>
      <c r="B223" s="9">
        <v>218</v>
      </c>
      <c r="C223" s="9"/>
      <c r="D223" s="46"/>
      <c r="E223" s="9"/>
      <c r="F223" s="56">
        <f>IFERROR(VLOOKUP($E223,임시동력입.출고현황!$A:$G,F$5,0),)</f>
        <v>0</v>
      </c>
      <c r="G223" s="18">
        <f>IFERROR(VLOOKUP($E223,임시동력입.출고현황!$A:$G,G$5,0),)</f>
        <v>0</v>
      </c>
      <c r="H223" s="18">
        <f>IFERROR(VLOOKUP($E223,임시동력입.출고현황!$A:$G,H$5,0),)</f>
        <v>0</v>
      </c>
      <c r="I223" s="18">
        <f>IFERROR(VLOOKUP($E223,임시동력입.출고현황!$A:$G,I$5,0),)</f>
        <v>0</v>
      </c>
      <c r="J223" s="9"/>
      <c r="K223" s="247"/>
      <c r="L223" s="42"/>
    </row>
    <row r="224" spans="1:12" ht="22.2" customHeight="1">
      <c r="A224" s="8">
        <v>219</v>
      </c>
      <c r="B224" s="9">
        <v>219</v>
      </c>
      <c r="C224" s="9"/>
      <c r="D224" s="46"/>
      <c r="E224" s="9"/>
      <c r="F224" s="56">
        <f>IFERROR(VLOOKUP($E224,임시동력입.출고현황!$A:$G,F$5,0),)</f>
        <v>0</v>
      </c>
      <c r="G224" s="18">
        <f>IFERROR(VLOOKUP($E224,임시동력입.출고현황!$A:$G,G$5,0),)</f>
        <v>0</v>
      </c>
      <c r="H224" s="18">
        <f>IFERROR(VLOOKUP($E224,임시동력입.출고현황!$A:$G,H$5,0),)</f>
        <v>0</v>
      </c>
      <c r="I224" s="18">
        <f>IFERROR(VLOOKUP($E224,임시동력입.출고현황!$A:$G,I$5,0),)</f>
        <v>0</v>
      </c>
      <c r="J224" s="9"/>
      <c r="K224" s="247"/>
      <c r="L224" s="42"/>
    </row>
    <row r="225" spans="1:12" ht="22.2" customHeight="1">
      <c r="A225" s="8">
        <v>220</v>
      </c>
      <c r="B225" s="9">
        <v>220</v>
      </c>
      <c r="C225" s="9"/>
      <c r="D225" s="46"/>
      <c r="E225" s="9"/>
      <c r="F225" s="56">
        <f>IFERROR(VLOOKUP($E225,임시동력입.출고현황!$A:$G,F$5,0),)</f>
        <v>0</v>
      </c>
      <c r="G225" s="18">
        <f>IFERROR(VLOOKUP($E225,임시동력입.출고현황!$A:$G,G$5,0),)</f>
        <v>0</v>
      </c>
      <c r="H225" s="18">
        <f>IFERROR(VLOOKUP($E225,임시동력입.출고현황!$A:$G,H$5,0),)</f>
        <v>0</v>
      </c>
      <c r="I225" s="18">
        <f>IFERROR(VLOOKUP($E225,임시동력입.출고현황!$A:$G,I$5,0),)</f>
        <v>0</v>
      </c>
      <c r="J225" s="9"/>
      <c r="K225" s="247"/>
      <c r="L225" s="42"/>
    </row>
    <row r="226" spans="1:12" ht="22.2" customHeight="1">
      <c r="A226" s="8">
        <v>221</v>
      </c>
      <c r="B226" s="9">
        <v>221</v>
      </c>
      <c r="C226" s="9"/>
      <c r="D226" s="46"/>
      <c r="E226" s="9"/>
      <c r="F226" s="56">
        <f>IFERROR(VLOOKUP($E226,임시동력입.출고현황!$A:$G,F$5,0),)</f>
        <v>0</v>
      </c>
      <c r="G226" s="18">
        <f>IFERROR(VLOOKUP($E226,임시동력입.출고현황!$A:$G,G$5,0),)</f>
        <v>0</v>
      </c>
      <c r="H226" s="18">
        <f>IFERROR(VLOOKUP($E226,임시동력입.출고현황!$A:$G,H$5,0),)</f>
        <v>0</v>
      </c>
      <c r="I226" s="18">
        <f>IFERROR(VLOOKUP($E226,임시동력입.출고현황!$A:$G,I$5,0),)</f>
        <v>0</v>
      </c>
      <c r="J226" s="9"/>
      <c r="K226" s="247"/>
      <c r="L226" s="42"/>
    </row>
    <row r="227" spans="1:12" ht="22.2" customHeight="1">
      <c r="A227" s="8">
        <v>222</v>
      </c>
      <c r="B227" s="9">
        <v>222</v>
      </c>
      <c r="C227" s="9"/>
      <c r="D227" s="46"/>
      <c r="E227" s="9"/>
      <c r="F227" s="56">
        <f>IFERROR(VLOOKUP($E227,임시동력입.출고현황!$A:$G,F$5,0),)</f>
        <v>0</v>
      </c>
      <c r="G227" s="18">
        <f>IFERROR(VLOOKUP($E227,임시동력입.출고현황!$A:$G,G$5,0),)</f>
        <v>0</v>
      </c>
      <c r="H227" s="18">
        <f>IFERROR(VLOOKUP($E227,임시동력입.출고현황!$A:$G,H$5,0),)</f>
        <v>0</v>
      </c>
      <c r="I227" s="18">
        <f>IFERROR(VLOOKUP($E227,임시동력입.출고현황!$A:$G,I$5,0),)</f>
        <v>0</v>
      </c>
      <c r="J227" s="9"/>
      <c r="K227" s="247"/>
      <c r="L227" s="42"/>
    </row>
    <row r="228" spans="1:12" ht="22.2" customHeight="1">
      <c r="A228" s="8">
        <v>223</v>
      </c>
      <c r="B228" s="9">
        <v>223</v>
      </c>
      <c r="C228" s="9"/>
      <c r="D228" s="46"/>
      <c r="E228" s="9"/>
      <c r="F228" s="56">
        <f>IFERROR(VLOOKUP($E228,임시동력입.출고현황!$A:$G,F$5,0),)</f>
        <v>0</v>
      </c>
      <c r="G228" s="18">
        <f>IFERROR(VLOOKUP($E228,임시동력입.출고현황!$A:$G,G$5,0),)</f>
        <v>0</v>
      </c>
      <c r="H228" s="18">
        <f>IFERROR(VLOOKUP($E228,임시동력입.출고현황!$A:$G,H$5,0),)</f>
        <v>0</v>
      </c>
      <c r="I228" s="18">
        <f>IFERROR(VLOOKUP($E228,임시동력입.출고현황!$A:$G,I$5,0),)</f>
        <v>0</v>
      </c>
      <c r="J228" s="9"/>
      <c r="K228" s="247"/>
      <c r="L228" s="42"/>
    </row>
    <row r="229" spans="1:12" ht="22.2" customHeight="1">
      <c r="A229" s="8">
        <v>224</v>
      </c>
      <c r="B229" s="9">
        <v>224</v>
      </c>
      <c r="C229" s="9"/>
      <c r="D229" s="46"/>
      <c r="E229" s="9"/>
      <c r="F229" s="56">
        <f>IFERROR(VLOOKUP($E229,임시동력입.출고현황!$A:$G,F$5,0),)</f>
        <v>0</v>
      </c>
      <c r="G229" s="18">
        <f>IFERROR(VLOOKUP($E229,임시동력입.출고현황!$A:$G,G$5,0),)</f>
        <v>0</v>
      </c>
      <c r="H229" s="18">
        <f>IFERROR(VLOOKUP($E229,임시동력입.출고현황!$A:$G,H$5,0),)</f>
        <v>0</v>
      </c>
      <c r="I229" s="18">
        <f>IFERROR(VLOOKUP($E229,임시동력입.출고현황!$A:$G,I$5,0),)</f>
        <v>0</v>
      </c>
      <c r="J229" s="9"/>
      <c r="K229" s="247"/>
      <c r="L229" s="42"/>
    </row>
    <row r="230" spans="1:12" ht="22.2" customHeight="1">
      <c r="A230" s="8">
        <v>225</v>
      </c>
      <c r="B230" s="9">
        <v>225</v>
      </c>
      <c r="C230" s="9"/>
      <c r="D230" s="46"/>
      <c r="E230" s="9"/>
      <c r="F230" s="56">
        <f>IFERROR(VLOOKUP($E230,임시동력입.출고현황!$A:$G,F$5,0),)</f>
        <v>0</v>
      </c>
      <c r="G230" s="18">
        <f>IFERROR(VLOOKUP($E230,임시동력입.출고현황!$A:$G,G$5,0),)</f>
        <v>0</v>
      </c>
      <c r="H230" s="18">
        <f>IFERROR(VLOOKUP($E230,임시동력입.출고현황!$A:$G,H$5,0),)</f>
        <v>0</v>
      </c>
      <c r="I230" s="18">
        <f>IFERROR(VLOOKUP($E230,임시동력입.출고현황!$A:$G,I$5,0),)</f>
        <v>0</v>
      </c>
      <c r="J230" s="9"/>
      <c r="K230" s="247"/>
      <c r="L230" s="42"/>
    </row>
    <row r="231" spans="1:12" ht="22.2" customHeight="1">
      <c r="A231" s="8">
        <v>226</v>
      </c>
      <c r="B231" s="9">
        <v>226</v>
      </c>
      <c r="C231" s="9"/>
      <c r="D231" s="46"/>
      <c r="E231" s="9"/>
      <c r="F231" s="56">
        <f>IFERROR(VLOOKUP($E231,임시동력입.출고현황!$A:$G,F$5,0),)</f>
        <v>0</v>
      </c>
      <c r="G231" s="18">
        <f>IFERROR(VLOOKUP($E231,임시동력입.출고현황!$A:$G,G$5,0),)</f>
        <v>0</v>
      </c>
      <c r="H231" s="18">
        <f>IFERROR(VLOOKUP($E231,임시동력입.출고현황!$A:$G,H$5,0),)</f>
        <v>0</v>
      </c>
      <c r="I231" s="18">
        <f>IFERROR(VLOOKUP($E231,임시동력입.출고현황!$A:$G,I$5,0),)</f>
        <v>0</v>
      </c>
      <c r="J231" s="9"/>
      <c r="K231" s="247"/>
      <c r="L231" s="42"/>
    </row>
    <row r="232" spans="1:12" ht="22.2" customHeight="1">
      <c r="A232" s="8">
        <v>227</v>
      </c>
      <c r="B232" s="9">
        <v>227</v>
      </c>
      <c r="C232" s="9"/>
      <c r="D232" s="46"/>
      <c r="E232" s="9"/>
      <c r="F232" s="56">
        <f>IFERROR(VLOOKUP($E232,임시동력입.출고현황!$A:$G,F$5,0),)</f>
        <v>0</v>
      </c>
      <c r="G232" s="18">
        <f>IFERROR(VLOOKUP($E232,임시동력입.출고현황!$A:$G,G$5,0),)</f>
        <v>0</v>
      </c>
      <c r="H232" s="18">
        <f>IFERROR(VLOOKUP($E232,임시동력입.출고현황!$A:$G,H$5,0),)</f>
        <v>0</v>
      </c>
      <c r="I232" s="18">
        <f>IFERROR(VLOOKUP($E232,임시동력입.출고현황!$A:$G,I$5,0),)</f>
        <v>0</v>
      </c>
      <c r="J232" s="9"/>
      <c r="K232" s="247"/>
      <c r="L232" s="42"/>
    </row>
    <row r="233" spans="1:12" ht="22.2" customHeight="1">
      <c r="A233" s="8">
        <v>228</v>
      </c>
      <c r="B233" s="9">
        <v>228</v>
      </c>
      <c r="C233" s="9"/>
      <c r="D233" s="46"/>
      <c r="E233" s="9"/>
      <c r="F233" s="56">
        <f>IFERROR(VLOOKUP($E233,임시동력입.출고현황!$A:$G,F$5,0),)</f>
        <v>0</v>
      </c>
      <c r="G233" s="18">
        <f>IFERROR(VLOOKUP($E233,임시동력입.출고현황!$A:$G,G$5,0),)</f>
        <v>0</v>
      </c>
      <c r="H233" s="18">
        <f>IFERROR(VLOOKUP($E233,임시동력입.출고현황!$A:$G,H$5,0),)</f>
        <v>0</v>
      </c>
      <c r="I233" s="18">
        <f>IFERROR(VLOOKUP($E233,임시동력입.출고현황!$A:$G,I$5,0),)</f>
        <v>0</v>
      </c>
      <c r="J233" s="9"/>
      <c r="K233" s="247"/>
      <c r="L233" s="42"/>
    </row>
    <row r="234" spans="1:12" ht="22.2" customHeight="1">
      <c r="A234" s="8">
        <v>229</v>
      </c>
      <c r="B234" s="9">
        <v>229</v>
      </c>
      <c r="C234" s="9"/>
      <c r="D234" s="46"/>
      <c r="E234" s="9"/>
      <c r="F234" s="56">
        <f>IFERROR(VLOOKUP($E234,임시동력입.출고현황!$A:$G,F$5,0),)</f>
        <v>0</v>
      </c>
      <c r="G234" s="18">
        <f>IFERROR(VLOOKUP($E234,임시동력입.출고현황!$A:$G,G$5,0),)</f>
        <v>0</v>
      </c>
      <c r="H234" s="18">
        <f>IFERROR(VLOOKUP($E234,임시동력입.출고현황!$A:$G,H$5,0),)</f>
        <v>0</v>
      </c>
      <c r="I234" s="18">
        <f>IFERROR(VLOOKUP($E234,임시동력입.출고현황!$A:$G,I$5,0),)</f>
        <v>0</v>
      </c>
      <c r="J234" s="9"/>
      <c r="K234" s="247"/>
      <c r="L234" s="42"/>
    </row>
    <row r="235" spans="1:12" ht="22.2" customHeight="1">
      <c r="A235" s="8">
        <v>230</v>
      </c>
      <c r="B235" s="9">
        <v>230</v>
      </c>
      <c r="C235" s="9"/>
      <c r="D235" s="46"/>
      <c r="E235" s="9"/>
      <c r="F235" s="56">
        <f>IFERROR(VLOOKUP($E235,임시동력입.출고현황!$A:$G,F$5,0),)</f>
        <v>0</v>
      </c>
      <c r="G235" s="18">
        <f>IFERROR(VLOOKUP($E235,임시동력입.출고현황!$A:$G,G$5,0),)</f>
        <v>0</v>
      </c>
      <c r="H235" s="18">
        <f>IFERROR(VLOOKUP($E235,임시동력입.출고현황!$A:$G,H$5,0),)</f>
        <v>0</v>
      </c>
      <c r="I235" s="18">
        <f>IFERROR(VLOOKUP($E235,임시동력입.출고현황!$A:$G,I$5,0),)</f>
        <v>0</v>
      </c>
      <c r="J235" s="9"/>
      <c r="K235" s="247"/>
      <c r="L235" s="42"/>
    </row>
    <row r="236" spans="1:12" ht="22.2" customHeight="1">
      <c r="A236" s="8">
        <v>231</v>
      </c>
      <c r="B236" s="9">
        <v>231</v>
      </c>
      <c r="C236" s="9"/>
      <c r="D236" s="46"/>
      <c r="E236" s="9"/>
      <c r="F236" s="56">
        <f>IFERROR(VLOOKUP($E236,임시동력입.출고현황!$A:$G,F$5,0),)</f>
        <v>0</v>
      </c>
      <c r="G236" s="18">
        <f>IFERROR(VLOOKUP($E236,임시동력입.출고현황!$A:$G,G$5,0),)</f>
        <v>0</v>
      </c>
      <c r="H236" s="18">
        <f>IFERROR(VLOOKUP($E236,임시동력입.출고현황!$A:$G,H$5,0),)</f>
        <v>0</v>
      </c>
      <c r="I236" s="18">
        <f>IFERROR(VLOOKUP($E236,임시동력입.출고현황!$A:$G,I$5,0),)</f>
        <v>0</v>
      </c>
      <c r="J236" s="9"/>
      <c r="K236" s="247"/>
      <c r="L236" s="42"/>
    </row>
    <row r="237" spans="1:12" ht="22.2" customHeight="1">
      <c r="A237" s="8">
        <v>232</v>
      </c>
      <c r="B237" s="9">
        <v>232</v>
      </c>
      <c r="C237" s="9"/>
      <c r="D237" s="46"/>
      <c r="E237" s="9"/>
      <c r="F237" s="56">
        <f>IFERROR(VLOOKUP($E237,임시동력입.출고현황!$A:$G,F$5,0),)</f>
        <v>0</v>
      </c>
      <c r="G237" s="18">
        <f>IFERROR(VLOOKUP($E237,임시동력입.출고현황!$A:$G,G$5,0),)</f>
        <v>0</v>
      </c>
      <c r="H237" s="18">
        <f>IFERROR(VLOOKUP($E237,임시동력입.출고현황!$A:$G,H$5,0),)</f>
        <v>0</v>
      </c>
      <c r="I237" s="18">
        <f>IFERROR(VLOOKUP($E237,임시동력입.출고현황!$A:$G,I$5,0),)</f>
        <v>0</v>
      </c>
      <c r="J237" s="9"/>
      <c r="K237" s="247"/>
      <c r="L237" s="42"/>
    </row>
    <row r="238" spans="1:12" ht="22.2" customHeight="1">
      <c r="A238" s="8">
        <v>233</v>
      </c>
      <c r="B238" s="9">
        <v>233</v>
      </c>
      <c r="C238" s="9"/>
      <c r="D238" s="46"/>
      <c r="E238" s="9"/>
      <c r="F238" s="56">
        <f>IFERROR(VLOOKUP($E238,임시동력입.출고현황!$A:$G,F$5,0),)</f>
        <v>0</v>
      </c>
      <c r="G238" s="18">
        <f>IFERROR(VLOOKUP($E238,임시동력입.출고현황!$A:$G,G$5,0),)</f>
        <v>0</v>
      </c>
      <c r="H238" s="18">
        <f>IFERROR(VLOOKUP($E238,임시동력입.출고현황!$A:$G,H$5,0),)</f>
        <v>0</v>
      </c>
      <c r="I238" s="18">
        <f>IFERROR(VLOOKUP($E238,임시동력입.출고현황!$A:$G,I$5,0),)</f>
        <v>0</v>
      </c>
      <c r="J238" s="9"/>
      <c r="K238" s="247"/>
      <c r="L238" s="42"/>
    </row>
    <row r="239" spans="1:12" ht="22.2" customHeight="1">
      <c r="A239" s="8">
        <v>234</v>
      </c>
      <c r="B239" s="9">
        <v>234</v>
      </c>
      <c r="C239" s="9"/>
      <c r="D239" s="46"/>
      <c r="E239" s="9"/>
      <c r="F239" s="56">
        <f>IFERROR(VLOOKUP($E239,임시동력입.출고현황!$A:$G,F$5,0),)</f>
        <v>0</v>
      </c>
      <c r="G239" s="18">
        <f>IFERROR(VLOOKUP($E239,임시동력입.출고현황!$A:$G,G$5,0),)</f>
        <v>0</v>
      </c>
      <c r="H239" s="18">
        <f>IFERROR(VLOOKUP($E239,임시동력입.출고현황!$A:$G,H$5,0),)</f>
        <v>0</v>
      </c>
      <c r="I239" s="18">
        <f>IFERROR(VLOOKUP($E239,임시동력입.출고현황!$A:$G,I$5,0),)</f>
        <v>0</v>
      </c>
      <c r="J239" s="9"/>
      <c r="K239" s="247"/>
      <c r="L239" s="42"/>
    </row>
    <row r="240" spans="1:12" ht="22.2" customHeight="1">
      <c r="A240" s="8">
        <v>235</v>
      </c>
      <c r="B240" s="9">
        <v>235</v>
      </c>
      <c r="C240" s="9"/>
      <c r="D240" s="46"/>
      <c r="E240" s="9"/>
      <c r="F240" s="56">
        <f>IFERROR(VLOOKUP($E240,임시동력입.출고현황!$A:$G,F$5,0),)</f>
        <v>0</v>
      </c>
      <c r="G240" s="18">
        <f>IFERROR(VLOOKUP($E240,임시동력입.출고현황!$A:$G,G$5,0),)</f>
        <v>0</v>
      </c>
      <c r="H240" s="18">
        <f>IFERROR(VLOOKUP($E240,임시동력입.출고현황!$A:$G,H$5,0),)</f>
        <v>0</v>
      </c>
      <c r="I240" s="18">
        <f>IFERROR(VLOOKUP($E240,임시동력입.출고현황!$A:$G,I$5,0),)</f>
        <v>0</v>
      </c>
      <c r="J240" s="9"/>
      <c r="K240" s="247"/>
      <c r="L240" s="42"/>
    </row>
    <row r="241" spans="1:12" ht="22.2" customHeight="1">
      <c r="A241" s="8">
        <v>236</v>
      </c>
      <c r="B241" s="9">
        <v>236</v>
      </c>
      <c r="C241" s="9"/>
      <c r="D241" s="46"/>
      <c r="E241" s="9"/>
      <c r="F241" s="56">
        <f>IFERROR(VLOOKUP($E241,임시동력입.출고현황!$A:$G,F$5,0),)</f>
        <v>0</v>
      </c>
      <c r="G241" s="18">
        <f>IFERROR(VLOOKUP($E241,임시동력입.출고현황!$A:$G,G$5,0),)</f>
        <v>0</v>
      </c>
      <c r="H241" s="18">
        <f>IFERROR(VLOOKUP($E241,임시동력입.출고현황!$A:$G,H$5,0),)</f>
        <v>0</v>
      </c>
      <c r="I241" s="18">
        <f>IFERROR(VLOOKUP($E241,임시동력입.출고현황!$A:$G,I$5,0),)</f>
        <v>0</v>
      </c>
      <c r="J241" s="9"/>
      <c r="K241" s="247"/>
      <c r="L241" s="42"/>
    </row>
    <row r="242" spans="1:12" ht="22.2" customHeight="1">
      <c r="A242" s="8">
        <v>237</v>
      </c>
      <c r="B242" s="9">
        <v>237</v>
      </c>
      <c r="C242" s="9"/>
      <c r="D242" s="46"/>
      <c r="E242" s="9"/>
      <c r="F242" s="56">
        <f>IFERROR(VLOOKUP($E242,임시동력입.출고현황!$A:$G,F$5,0),)</f>
        <v>0</v>
      </c>
      <c r="G242" s="18">
        <f>IFERROR(VLOOKUP($E242,임시동력입.출고현황!$A:$G,G$5,0),)</f>
        <v>0</v>
      </c>
      <c r="H242" s="18">
        <f>IFERROR(VLOOKUP($E242,임시동력입.출고현황!$A:$G,H$5,0),)</f>
        <v>0</v>
      </c>
      <c r="I242" s="18">
        <f>IFERROR(VLOOKUP($E242,임시동력입.출고현황!$A:$G,I$5,0),)</f>
        <v>0</v>
      </c>
      <c r="J242" s="9"/>
      <c r="K242" s="247"/>
      <c r="L242" s="42"/>
    </row>
    <row r="243" spans="1:12" ht="22.2" customHeight="1">
      <c r="A243" s="8">
        <v>238</v>
      </c>
      <c r="B243" s="9">
        <v>238</v>
      </c>
      <c r="C243" s="9"/>
      <c r="D243" s="46"/>
      <c r="E243" s="9"/>
      <c r="F243" s="56">
        <f>IFERROR(VLOOKUP($E243,임시동력입.출고현황!$A:$G,F$5,0),)</f>
        <v>0</v>
      </c>
      <c r="G243" s="18">
        <f>IFERROR(VLOOKUP($E243,임시동력입.출고현황!$A:$G,G$5,0),)</f>
        <v>0</v>
      </c>
      <c r="H243" s="18">
        <f>IFERROR(VLOOKUP($E243,임시동력입.출고현황!$A:$G,H$5,0),)</f>
        <v>0</v>
      </c>
      <c r="I243" s="18">
        <f>IFERROR(VLOOKUP($E243,임시동력입.출고현황!$A:$G,I$5,0),)</f>
        <v>0</v>
      </c>
      <c r="J243" s="9"/>
      <c r="K243" s="247"/>
      <c r="L243" s="42"/>
    </row>
    <row r="244" spans="1:12" ht="22.2" customHeight="1">
      <c r="A244" s="8">
        <v>239</v>
      </c>
      <c r="B244" s="9">
        <v>239</v>
      </c>
      <c r="C244" s="9"/>
      <c r="D244" s="46"/>
      <c r="E244" s="9"/>
      <c r="F244" s="56">
        <f>IFERROR(VLOOKUP($E244,임시동력입.출고현황!$A:$G,F$5,0),)</f>
        <v>0</v>
      </c>
      <c r="G244" s="18">
        <f>IFERROR(VLOOKUP($E244,임시동력입.출고현황!$A:$G,G$5,0),)</f>
        <v>0</v>
      </c>
      <c r="H244" s="18">
        <f>IFERROR(VLOOKUP($E244,임시동력입.출고현황!$A:$G,H$5,0),)</f>
        <v>0</v>
      </c>
      <c r="I244" s="18">
        <f>IFERROR(VLOOKUP($E244,임시동력입.출고현황!$A:$G,I$5,0),)</f>
        <v>0</v>
      </c>
      <c r="J244" s="9"/>
      <c r="K244" s="247"/>
      <c r="L244" s="42"/>
    </row>
    <row r="245" spans="1:12" ht="22.2" customHeight="1">
      <c r="A245" s="8">
        <v>240</v>
      </c>
      <c r="B245" s="9">
        <v>240</v>
      </c>
      <c r="C245" s="9"/>
      <c r="D245" s="46"/>
      <c r="E245" s="9"/>
      <c r="F245" s="56">
        <f>IFERROR(VLOOKUP($E245,임시동력입.출고현황!$A:$G,F$5,0),)</f>
        <v>0</v>
      </c>
      <c r="G245" s="18">
        <f>IFERROR(VLOOKUP($E245,임시동력입.출고현황!$A:$G,G$5,0),)</f>
        <v>0</v>
      </c>
      <c r="H245" s="18">
        <f>IFERROR(VLOOKUP($E245,임시동력입.출고현황!$A:$G,H$5,0),)</f>
        <v>0</v>
      </c>
      <c r="I245" s="18">
        <f>IFERROR(VLOOKUP($E245,임시동력입.출고현황!$A:$G,I$5,0),)</f>
        <v>0</v>
      </c>
      <c r="J245" s="9"/>
      <c r="K245" s="247"/>
      <c r="L245" s="42"/>
    </row>
    <row r="246" spans="1:12" ht="22.2" customHeight="1">
      <c r="A246" s="8">
        <v>241</v>
      </c>
      <c r="B246" s="9">
        <v>241</v>
      </c>
      <c r="C246" s="9"/>
      <c r="D246" s="46"/>
      <c r="E246" s="9"/>
      <c r="F246" s="56">
        <f>IFERROR(VLOOKUP($E246,임시동력입.출고현황!$A:$G,F$5,0),)</f>
        <v>0</v>
      </c>
      <c r="G246" s="18">
        <f>IFERROR(VLOOKUP($E246,임시동력입.출고현황!$A:$G,G$5,0),)</f>
        <v>0</v>
      </c>
      <c r="H246" s="18">
        <f>IFERROR(VLOOKUP($E246,임시동력입.출고현황!$A:$G,H$5,0),)</f>
        <v>0</v>
      </c>
      <c r="I246" s="18">
        <f>IFERROR(VLOOKUP($E246,임시동력입.출고현황!$A:$G,I$5,0),)</f>
        <v>0</v>
      </c>
      <c r="J246" s="9"/>
      <c r="K246" s="247"/>
      <c r="L246" s="42"/>
    </row>
    <row r="247" spans="1:12" ht="22.2" customHeight="1">
      <c r="A247" s="8">
        <v>242</v>
      </c>
      <c r="B247" s="9">
        <v>242</v>
      </c>
      <c r="C247" s="9"/>
      <c r="D247" s="46"/>
      <c r="E247" s="9"/>
      <c r="F247" s="56">
        <f>IFERROR(VLOOKUP($E247,임시동력입.출고현황!$A:$G,F$5,0),)</f>
        <v>0</v>
      </c>
      <c r="G247" s="18">
        <f>IFERROR(VLOOKUP($E247,임시동력입.출고현황!$A:$G,G$5,0),)</f>
        <v>0</v>
      </c>
      <c r="H247" s="18">
        <f>IFERROR(VLOOKUP($E247,임시동력입.출고현황!$A:$G,H$5,0),)</f>
        <v>0</v>
      </c>
      <c r="I247" s="18">
        <f>IFERROR(VLOOKUP($E247,임시동력입.출고현황!$A:$G,I$5,0),)</f>
        <v>0</v>
      </c>
      <c r="J247" s="9"/>
      <c r="K247" s="237"/>
      <c r="L247" s="42"/>
    </row>
    <row r="249" spans="1:12">
      <c r="F249" s="39"/>
      <c r="G249" s="39"/>
      <c r="H249" s="39"/>
      <c r="I249" s="39"/>
      <c r="J249" s="39"/>
      <c r="K249" s="244"/>
      <c r="L249" s="39"/>
    </row>
    <row r="250" spans="1:12">
      <c r="F250" s="39"/>
      <c r="G250" s="39"/>
      <c r="H250" s="39"/>
      <c r="I250" s="39"/>
      <c r="J250" s="39"/>
    </row>
  </sheetData>
  <autoFilter ref="A4:N247" xr:uid="{355AF319-300A-4320-8D46-8094F1735C5C}"/>
  <mergeCells count="11">
    <mergeCell ref="I3:I4"/>
    <mergeCell ref="J3:J4"/>
    <mergeCell ref="K3:K4"/>
    <mergeCell ref="L3:L4"/>
    <mergeCell ref="B3:B4"/>
    <mergeCell ref="D3:D4"/>
    <mergeCell ref="E3:E4"/>
    <mergeCell ref="F3:F4"/>
    <mergeCell ref="G3:G4"/>
    <mergeCell ref="H3:H4"/>
    <mergeCell ref="C3:C4"/>
  </mergeCells>
  <phoneticPr fontId="2" type="noConversion"/>
  <pageMargins left="0.39370078740157483" right="0.39370078740157483" top="0.45" bottom="0.54" header="0.31496062992125984" footer="0.31496062992125984"/>
  <pageSetup paperSize="9" fitToHeight="0" orientation="landscape" r:id="rId1"/>
  <headerFooter>
    <oddFooter>&amp;C&amp;10&amp;P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705A-C091-4F9E-B709-D12F31B2236E}">
  <sheetPr>
    <pageSetUpPr fitToPage="1"/>
  </sheetPr>
  <dimension ref="A1:U933"/>
  <sheetViews>
    <sheetView zoomScale="85" zoomScaleNormal="85" workbookViewId="0">
      <pane ySplit="4" topLeftCell="A910" activePane="bottomLeft" state="frozen"/>
      <selection pane="bottomLeft" activeCell="J914" sqref="J914:N917"/>
    </sheetView>
  </sheetViews>
  <sheetFormatPr defaultColWidth="9" defaultRowHeight="13.8"/>
  <cols>
    <col min="1" max="1" width="6.109375" style="5" customWidth="1"/>
    <col min="2" max="2" width="7" style="8" customWidth="1"/>
    <col min="3" max="3" width="12.6640625" style="8" customWidth="1"/>
    <col min="4" max="4" width="10" style="5" customWidth="1"/>
    <col min="5" max="5" width="11" style="14" customWidth="1"/>
    <col min="6" max="6" width="24.21875" style="14" customWidth="1"/>
    <col min="7" max="7" width="16.21875" style="14" customWidth="1"/>
    <col min="8" max="8" width="21.6640625" style="15" bestFit="1" customWidth="1"/>
    <col min="9" max="10" width="6.21875" style="7" customWidth="1"/>
    <col min="11" max="11" width="10.6640625" style="7" customWidth="1"/>
    <col min="12" max="12" width="7.6640625" style="38" customWidth="1"/>
    <col min="13" max="13" width="16.6640625" style="38" customWidth="1"/>
    <col min="14" max="14" width="18.6640625" style="5" bestFit="1" customWidth="1"/>
    <col min="15" max="15" width="6.44140625" style="5" customWidth="1"/>
    <col min="16" max="20" width="9" style="5"/>
    <col min="21" max="21" width="13.5546875" style="5" customWidth="1"/>
    <col min="22" max="16384" width="9" style="5"/>
  </cols>
  <sheetData>
    <row r="1" spans="1:14" ht="33.75" customHeight="1">
      <c r="B1" s="12" t="s">
        <v>184</v>
      </c>
      <c r="C1" s="12"/>
      <c r="L1" s="35"/>
      <c r="M1" s="35"/>
    </row>
    <row r="2" spans="1:14" s="2" customFormat="1" ht="26.25" customHeight="1">
      <c r="B2" s="13" t="s">
        <v>19</v>
      </c>
      <c r="C2" s="13"/>
      <c r="E2" s="16"/>
      <c r="F2" s="82"/>
      <c r="G2" s="16"/>
      <c r="H2" s="83" t="s">
        <v>240</v>
      </c>
      <c r="I2" s="3"/>
      <c r="J2" s="3"/>
      <c r="K2" s="3"/>
      <c r="L2" s="36"/>
      <c r="M2" s="36"/>
      <c r="N2" s="17"/>
    </row>
    <row r="3" spans="1:14" s="11" customFormat="1" ht="21.75" customHeight="1">
      <c r="B3" s="433" t="s">
        <v>4</v>
      </c>
      <c r="C3" s="433" t="s">
        <v>17</v>
      </c>
      <c r="D3" s="433" t="s">
        <v>5</v>
      </c>
      <c r="E3" s="433" t="s">
        <v>35</v>
      </c>
      <c r="F3" s="433" t="s">
        <v>6</v>
      </c>
      <c r="G3" s="433" t="s">
        <v>7</v>
      </c>
      <c r="H3" s="433" t="s">
        <v>8</v>
      </c>
      <c r="I3" s="433" t="s">
        <v>9</v>
      </c>
      <c r="J3" s="433" t="s">
        <v>182</v>
      </c>
      <c r="K3" s="433" t="s">
        <v>181</v>
      </c>
      <c r="L3" s="435" t="s">
        <v>3</v>
      </c>
      <c r="M3" s="435" t="s">
        <v>183</v>
      </c>
      <c r="N3" s="433" t="s">
        <v>10</v>
      </c>
    </row>
    <row r="4" spans="1:14" s="11" customFormat="1" ht="21.75" customHeight="1">
      <c r="B4" s="434"/>
      <c r="C4" s="434"/>
      <c r="D4" s="434"/>
      <c r="E4" s="434"/>
      <c r="F4" s="434"/>
      <c r="G4" s="434"/>
      <c r="H4" s="434"/>
      <c r="I4" s="434"/>
      <c r="J4" s="434"/>
      <c r="K4" s="434"/>
      <c r="L4" s="436"/>
      <c r="M4" s="436"/>
      <c r="N4" s="434"/>
    </row>
    <row r="5" spans="1:14" s="11" customFormat="1">
      <c r="B5" s="96"/>
      <c r="C5" s="96"/>
      <c r="D5" s="96"/>
      <c r="E5" s="96">
        <v>3</v>
      </c>
      <c r="F5" s="96">
        <v>4</v>
      </c>
      <c r="G5" s="96">
        <v>5</v>
      </c>
      <c r="H5" s="96">
        <v>6</v>
      </c>
      <c r="I5" s="96">
        <v>7</v>
      </c>
      <c r="J5" s="96"/>
      <c r="K5" s="96"/>
      <c r="L5" s="97"/>
      <c r="M5" s="97"/>
      <c r="N5" s="96"/>
    </row>
    <row r="6" spans="1:14" s="11" customFormat="1" ht="28.2" customHeight="1">
      <c r="A6" s="11">
        <v>1</v>
      </c>
      <c r="B6" s="290">
        <v>1</v>
      </c>
      <c r="C6" s="290" t="s">
        <v>626</v>
      </c>
      <c r="D6" s="290" t="s">
        <v>280</v>
      </c>
      <c r="E6" s="41" t="str">
        <f>IFERROR(VLOOKUP($D6,임시동력입.출고현황!$A:$G,E$5,0),)</f>
        <v>D/G</v>
      </c>
      <c r="F6" s="19" t="str">
        <f>IFERROR(VLOOKUP($D6,임시동력입.출고현황!$A:$G,F$5,0),)</f>
        <v>Generator</v>
      </c>
      <c r="G6" s="19">
        <f>IFERROR(VLOOKUP($D6,임시동력입.출고현황!$A:$G,G$5,0),)</f>
        <v>0</v>
      </c>
      <c r="H6" s="19" t="str">
        <f>IFERROR(VLOOKUP($D6,임시동력입.출고현황!$A:$G,H$5,0),)</f>
        <v>300KVA</v>
      </c>
      <c r="I6" s="10" t="str">
        <f>IFERROR(VLOOKUP($D6,임시동력입.출고현황!$A:$G,I$5,0),)</f>
        <v>대</v>
      </c>
      <c r="J6" s="96"/>
      <c r="K6" s="96"/>
      <c r="L6" s="241">
        <v>13</v>
      </c>
      <c r="M6" s="97"/>
      <c r="N6" s="96"/>
    </row>
    <row r="7" spans="1:14" s="11" customFormat="1" ht="28.2" customHeight="1">
      <c r="A7" s="11">
        <v>2</v>
      </c>
      <c r="B7" s="290">
        <v>2</v>
      </c>
      <c r="C7" s="290" t="s">
        <v>626</v>
      </c>
      <c r="D7" s="290" t="s">
        <v>281</v>
      </c>
      <c r="E7" s="41" t="str">
        <f>IFERROR(VLOOKUP($D7,임시동력입.출고현황!$A:$G,E$5,0),)</f>
        <v>D/G</v>
      </c>
      <c r="F7" s="19" t="str">
        <f>IFERROR(VLOOKUP($D7,임시동력입.출고현황!$A:$G,F$5,0),)</f>
        <v>Generator</v>
      </c>
      <c r="G7" s="19">
        <f>IFERROR(VLOOKUP($D7,임시동력입.출고현황!$A:$G,G$5,0),)</f>
        <v>0</v>
      </c>
      <c r="H7" s="19" t="str">
        <f>IFERROR(VLOOKUP($D7,임시동력입.출고현황!$A:$G,H$5,0),)</f>
        <v>150KVA</v>
      </c>
      <c r="I7" s="10" t="str">
        <f>IFERROR(VLOOKUP($D7,임시동력입.출고현황!$A:$G,I$5,0),)</f>
        <v>대</v>
      </c>
      <c r="J7" s="96"/>
      <c r="K7" s="96"/>
      <c r="L7" s="241">
        <v>13</v>
      </c>
      <c r="M7" s="97"/>
      <c r="N7" s="96"/>
    </row>
    <row r="8" spans="1:14" s="11" customFormat="1" ht="28.2" customHeight="1">
      <c r="A8" s="11">
        <v>3</v>
      </c>
      <c r="B8" s="290">
        <v>3</v>
      </c>
      <c r="C8" s="290" t="s">
        <v>626</v>
      </c>
      <c r="D8" s="290" t="s">
        <v>282</v>
      </c>
      <c r="E8" s="41" t="str">
        <f>IFERROR(VLOOKUP($D8,임시동력입.출고현황!$A:$G,E$5,0),)</f>
        <v>D/G</v>
      </c>
      <c r="F8" s="19" t="str">
        <f>IFERROR(VLOOKUP($D8,임시동력입.출고현황!$A:$G,F$5,0),)</f>
        <v>Generator</v>
      </c>
      <c r="G8" s="19">
        <f>IFERROR(VLOOKUP($D8,임시동력입.출고현황!$A:$G,G$5,0),)</f>
        <v>0</v>
      </c>
      <c r="H8" s="19" t="str">
        <f>IFERROR(VLOOKUP($D8,임시동력입.출고현황!$A:$G,H$5,0),)</f>
        <v>100KVA</v>
      </c>
      <c r="I8" s="10" t="str">
        <f>IFERROR(VLOOKUP($D8,임시동력입.출고현황!$A:$G,I$5,0),)</f>
        <v>대</v>
      </c>
      <c r="J8" s="96"/>
      <c r="K8" s="96"/>
      <c r="L8" s="241">
        <v>1</v>
      </c>
      <c r="M8" s="97"/>
      <c r="N8" s="96"/>
    </row>
    <row r="9" spans="1:14" s="11" customFormat="1" ht="28.2" customHeight="1">
      <c r="A9" s="11">
        <v>4</v>
      </c>
      <c r="B9" s="290">
        <v>4</v>
      </c>
      <c r="C9" s="290" t="s">
        <v>626</v>
      </c>
      <c r="D9" s="290" t="s">
        <v>283</v>
      </c>
      <c r="E9" s="41" t="str">
        <f>IFERROR(VLOOKUP($D9,임시동력입.출고현황!$A:$G,E$5,0),)</f>
        <v>D/G</v>
      </c>
      <c r="F9" s="19" t="str">
        <f>IFERROR(VLOOKUP($D9,임시동력입.출고현황!$A:$G,F$5,0),)</f>
        <v>Generator</v>
      </c>
      <c r="G9" s="19">
        <f>IFERROR(VLOOKUP($D9,임시동력입.출고현황!$A:$G,G$5,0),)</f>
        <v>0</v>
      </c>
      <c r="H9" s="19" t="str">
        <f>IFERROR(VLOOKUP($D9,임시동력입.출고현황!$A:$G,H$5,0),)</f>
        <v>80KVA</v>
      </c>
      <c r="I9" s="10" t="str">
        <f>IFERROR(VLOOKUP($D9,임시동력입.출고현황!$A:$G,I$5,0),)</f>
        <v>대</v>
      </c>
      <c r="J9" s="96"/>
      <c r="K9" s="96"/>
      <c r="L9" s="241">
        <v>3</v>
      </c>
      <c r="M9" s="97"/>
      <c r="N9" s="96"/>
    </row>
    <row r="10" spans="1:14" s="11" customFormat="1" ht="28.2" customHeight="1">
      <c r="A10" s="11">
        <v>5</v>
      </c>
      <c r="B10" s="290">
        <v>5</v>
      </c>
      <c r="C10" s="290" t="s">
        <v>626</v>
      </c>
      <c r="D10" s="290" t="s">
        <v>284</v>
      </c>
      <c r="E10" s="41" t="str">
        <f>IFERROR(VLOOKUP($D10,임시동력입.출고현황!$A:$G,E$5,0),)</f>
        <v>D/G</v>
      </c>
      <c r="F10" s="19" t="str">
        <f>IFERROR(VLOOKUP($D10,임시동력입.출고현황!$A:$G,F$5,0),)</f>
        <v>Generator</v>
      </c>
      <c r="G10" s="19">
        <f>IFERROR(VLOOKUP($D10,임시동력입.출고현황!$A:$G,G$5,0),)</f>
        <v>0</v>
      </c>
      <c r="H10" s="19" t="str">
        <f>IFERROR(VLOOKUP($D10,임시동력입.출고현황!$A:$G,H$5,0),)</f>
        <v>50KVA</v>
      </c>
      <c r="I10" s="10" t="str">
        <f>IFERROR(VLOOKUP($D10,임시동력입.출고현황!$A:$G,I$5,0),)</f>
        <v>대</v>
      </c>
      <c r="J10" s="96"/>
      <c r="K10" s="96"/>
      <c r="L10" s="241">
        <v>-3</v>
      </c>
      <c r="M10" s="97"/>
      <c r="N10" s="96"/>
    </row>
    <row r="11" spans="1:14" s="11" customFormat="1" ht="28.2" customHeight="1">
      <c r="A11" s="11">
        <v>6</v>
      </c>
      <c r="B11" s="290">
        <v>6</v>
      </c>
      <c r="C11" s="290" t="s">
        <v>626</v>
      </c>
      <c r="D11" s="290" t="s">
        <v>303</v>
      </c>
      <c r="E11" s="41" t="str">
        <f>IFERROR(VLOOKUP($D11,임시동력입.출고현황!$A:$G,E$5,0),)</f>
        <v>Panel</v>
      </c>
      <c r="F11" s="19" t="str">
        <f>IFERROR(VLOOKUP($D11,임시동력입.출고현황!$A:$G,F$5,0),)</f>
        <v>Electrical Panel</v>
      </c>
      <c r="G11" s="19">
        <f>IFERROR(VLOOKUP($D11,임시동력입.출고현황!$A:$G,G$5,0),)</f>
        <v>0</v>
      </c>
      <c r="H11" s="19" t="str">
        <f>IFERROR(VLOOKUP($D11,임시동력입.출고현황!$A:$G,H$5,0),)</f>
        <v>630A</v>
      </c>
      <c r="I11" s="10" t="str">
        <f>IFERROR(VLOOKUP($D11,임시동력입.출고현황!$A:$G,I$5,0),)</f>
        <v>EA</v>
      </c>
      <c r="J11" s="96"/>
      <c r="K11" s="96"/>
      <c r="L11" s="241">
        <v>4</v>
      </c>
      <c r="M11" s="97"/>
      <c r="N11" s="96"/>
    </row>
    <row r="12" spans="1:14" s="11" customFormat="1" ht="28.2" customHeight="1">
      <c r="A12" s="11">
        <v>7</v>
      </c>
      <c r="B12" s="290">
        <v>7</v>
      </c>
      <c r="C12" s="290" t="s">
        <v>626</v>
      </c>
      <c r="D12" s="290" t="s">
        <v>305</v>
      </c>
      <c r="E12" s="41" t="str">
        <f>IFERROR(VLOOKUP($D12,임시동력입.출고현황!$A:$G,E$5,0),)</f>
        <v>Panel</v>
      </c>
      <c r="F12" s="19" t="str">
        <f>IFERROR(VLOOKUP($D12,임시동력입.출고현황!$A:$G,F$5,0),)</f>
        <v>Electrical Panel</v>
      </c>
      <c r="G12" s="19">
        <f>IFERROR(VLOOKUP($D12,임시동력입.출고현황!$A:$G,G$5,0),)</f>
        <v>0</v>
      </c>
      <c r="H12" s="19" t="str">
        <f>IFERROR(VLOOKUP($D12,임시동력입.출고현황!$A:$G,H$5,0),)</f>
        <v>300A</v>
      </c>
      <c r="I12" s="10" t="str">
        <f>IFERROR(VLOOKUP($D12,임시동력입.출고현황!$A:$G,I$5,0),)</f>
        <v>EA</v>
      </c>
      <c r="J12" s="96"/>
      <c r="K12" s="96"/>
      <c r="L12" s="241">
        <v>1</v>
      </c>
      <c r="M12" s="97"/>
      <c r="N12" s="96"/>
    </row>
    <row r="13" spans="1:14" s="11" customFormat="1" ht="28.2" customHeight="1">
      <c r="A13" s="11">
        <v>8</v>
      </c>
      <c r="B13" s="290">
        <v>8</v>
      </c>
      <c r="C13" s="290" t="s">
        <v>626</v>
      </c>
      <c r="D13" s="290" t="s">
        <v>306</v>
      </c>
      <c r="E13" s="41" t="str">
        <f>IFERROR(VLOOKUP($D13,임시동력입.출고현황!$A:$G,E$5,0),)</f>
        <v>Panel</v>
      </c>
      <c r="F13" s="19" t="str">
        <f>IFERROR(VLOOKUP($D13,임시동력입.출고현황!$A:$G,F$5,0),)</f>
        <v>Electrical Panel</v>
      </c>
      <c r="G13" s="19">
        <f>IFERROR(VLOOKUP($D13,임시동력입.출고현황!$A:$G,G$5,0),)</f>
        <v>0</v>
      </c>
      <c r="H13" s="19" t="str">
        <f>IFERROR(VLOOKUP($D13,임시동력입.출고현황!$A:$G,H$5,0),)</f>
        <v>250A</v>
      </c>
      <c r="I13" s="10" t="str">
        <f>IFERROR(VLOOKUP($D13,임시동력입.출고현황!$A:$G,I$5,0),)</f>
        <v>EA</v>
      </c>
      <c r="J13" s="96"/>
      <c r="K13" s="96"/>
      <c r="L13" s="241">
        <v>5</v>
      </c>
      <c r="M13" s="97"/>
      <c r="N13" s="96"/>
    </row>
    <row r="14" spans="1:14" s="11" customFormat="1" ht="28.2" customHeight="1">
      <c r="A14" s="11">
        <v>9</v>
      </c>
      <c r="B14" s="290">
        <v>9</v>
      </c>
      <c r="C14" s="290" t="s">
        <v>626</v>
      </c>
      <c r="D14" s="290" t="s">
        <v>307</v>
      </c>
      <c r="E14" s="41" t="str">
        <f>IFERROR(VLOOKUP($D14,임시동력입.출고현황!$A:$G,E$5,0),)</f>
        <v>Panel</v>
      </c>
      <c r="F14" s="19" t="str">
        <f>IFERROR(VLOOKUP($D14,임시동력입.출고현황!$A:$G,F$5,0),)</f>
        <v>Electrical Panel</v>
      </c>
      <c r="G14" s="19">
        <f>IFERROR(VLOOKUP($D14,임시동력입.출고현황!$A:$G,G$5,0),)</f>
        <v>0</v>
      </c>
      <c r="H14" s="19" t="str">
        <f>IFERROR(VLOOKUP($D14,임시동력입.출고현황!$A:$G,H$5,0),)</f>
        <v>160A</v>
      </c>
      <c r="I14" s="10" t="str">
        <f>IFERROR(VLOOKUP($D14,임시동력입.출고현황!$A:$G,I$5,0),)</f>
        <v>EA</v>
      </c>
      <c r="J14" s="96"/>
      <c r="K14" s="96"/>
      <c r="L14" s="241">
        <v>15</v>
      </c>
      <c r="M14" s="97"/>
      <c r="N14" s="96"/>
    </row>
    <row r="15" spans="1:14" s="11" customFormat="1" ht="28.2" customHeight="1">
      <c r="A15" s="11">
        <v>10</v>
      </c>
      <c r="B15" s="290">
        <v>10</v>
      </c>
      <c r="C15" s="290" t="s">
        <v>626</v>
      </c>
      <c r="D15" s="290" t="s">
        <v>308</v>
      </c>
      <c r="E15" s="41" t="str">
        <f>IFERROR(VLOOKUP($D15,임시동력입.출고현황!$A:$G,E$5,0),)</f>
        <v>Panel</v>
      </c>
      <c r="F15" s="19" t="str">
        <f>IFERROR(VLOOKUP($D15,임시동력입.출고현황!$A:$G,F$5,0),)</f>
        <v>Electrical Panel</v>
      </c>
      <c r="G15" s="19">
        <f>IFERROR(VLOOKUP($D15,임시동력입.출고현황!$A:$G,G$5,0),)</f>
        <v>0</v>
      </c>
      <c r="H15" s="19" t="str">
        <f>IFERROR(VLOOKUP($D15,임시동력입.출고현황!$A:$G,H$5,0),)</f>
        <v>125A</v>
      </c>
      <c r="I15" s="10" t="str">
        <f>IFERROR(VLOOKUP($D15,임시동력입.출고현황!$A:$G,I$5,0),)</f>
        <v>EA</v>
      </c>
      <c r="J15" s="96"/>
      <c r="K15" s="96"/>
      <c r="L15" s="241">
        <v>11</v>
      </c>
      <c r="M15" s="97"/>
      <c r="N15" s="96"/>
    </row>
    <row r="16" spans="1:14" s="11" customFormat="1" ht="28.2" customHeight="1">
      <c r="A16" s="11">
        <v>11</v>
      </c>
      <c r="B16" s="290">
        <v>11</v>
      </c>
      <c r="C16" s="290" t="s">
        <v>626</v>
      </c>
      <c r="D16" s="290" t="s">
        <v>310</v>
      </c>
      <c r="E16" s="41" t="str">
        <f>IFERROR(VLOOKUP($D16,임시동력입.출고현황!$A:$G,E$5,0),)</f>
        <v>Panel</v>
      </c>
      <c r="F16" s="19" t="str">
        <f>IFERROR(VLOOKUP($D16,임시동력입.출고현황!$A:$G,F$5,0),)</f>
        <v>Electrical Panel</v>
      </c>
      <c r="G16" s="19">
        <f>IFERROR(VLOOKUP($D16,임시동력입.출고현황!$A:$G,G$5,0),)</f>
        <v>0</v>
      </c>
      <c r="H16" s="19" t="str">
        <f>IFERROR(VLOOKUP($D16,임시동력입.출고현황!$A:$G,H$5,0),)</f>
        <v>100A</v>
      </c>
      <c r="I16" s="10" t="str">
        <f>IFERROR(VLOOKUP($D16,임시동력입.출고현황!$A:$G,I$5,0),)</f>
        <v>EA</v>
      </c>
      <c r="J16" s="96"/>
      <c r="K16" s="96"/>
      <c r="L16" s="241">
        <v>6</v>
      </c>
      <c r="M16" s="97"/>
      <c r="N16" s="96"/>
    </row>
    <row r="17" spans="1:14" s="11" customFormat="1" ht="28.2" customHeight="1">
      <c r="A17" s="11">
        <v>12</v>
      </c>
      <c r="B17" s="290">
        <v>12</v>
      </c>
      <c r="C17" s="290" t="s">
        <v>626</v>
      </c>
      <c r="D17" s="290" t="s">
        <v>311</v>
      </c>
      <c r="E17" s="41" t="str">
        <f>IFERROR(VLOOKUP($D17,임시동력입.출고현황!$A:$G,E$5,0),)</f>
        <v>Panel</v>
      </c>
      <c r="F17" s="19" t="str">
        <f>IFERROR(VLOOKUP($D17,임시동력입.출고현황!$A:$G,F$5,0),)</f>
        <v>Electrical Panel</v>
      </c>
      <c r="G17" s="19">
        <f>IFERROR(VLOOKUP($D17,임시동력입.출고현황!$A:$G,G$5,0),)</f>
        <v>0</v>
      </c>
      <c r="H17" s="19" t="str">
        <f>IFERROR(VLOOKUP($D17,임시동력입.출고현황!$A:$G,H$5,0),)</f>
        <v>50A</v>
      </c>
      <c r="I17" s="10" t="str">
        <f>IFERROR(VLOOKUP($D17,임시동력입.출고현황!$A:$G,I$5,0),)</f>
        <v>EA</v>
      </c>
      <c r="J17" s="96"/>
      <c r="K17" s="96"/>
      <c r="L17" s="241">
        <v>5</v>
      </c>
      <c r="M17" s="97"/>
      <c r="N17" s="96"/>
    </row>
    <row r="18" spans="1:14" s="11" customFormat="1" ht="28.2" customHeight="1">
      <c r="A18" s="11">
        <v>13</v>
      </c>
      <c r="B18" s="290">
        <v>13</v>
      </c>
      <c r="C18" s="290" t="s">
        <v>626</v>
      </c>
      <c r="D18" s="290" t="s">
        <v>315</v>
      </c>
      <c r="E18" s="41" t="str">
        <f>IFERROR(VLOOKUP($D18,임시동력입.출고현황!$A:$G,E$5,0),)</f>
        <v>Panel</v>
      </c>
      <c r="F18" s="19" t="str">
        <f>IFERROR(VLOOKUP($D18,임시동력입.출고현황!$A:$G,F$5,0),)</f>
        <v>Electrical Panel</v>
      </c>
      <c r="G18" s="19">
        <f>IFERROR(VLOOKUP($D18,임시동력입.출고현황!$A:$G,G$5,0),)</f>
        <v>0</v>
      </c>
      <c r="H18" s="19" t="str">
        <f>IFERROR(VLOOKUP($D18,임시동력입.출고현황!$A:$G,H$5,0),)</f>
        <v>32A</v>
      </c>
      <c r="I18" s="10" t="str">
        <f>IFERROR(VLOOKUP($D18,임시동력입.출고현황!$A:$G,I$5,0),)</f>
        <v>EA</v>
      </c>
      <c r="J18" s="96"/>
      <c r="K18" s="96"/>
      <c r="L18" s="241">
        <v>3</v>
      </c>
      <c r="M18" s="97"/>
      <c r="N18" s="96"/>
    </row>
    <row r="19" spans="1:14" s="11" customFormat="1" ht="28.2" customHeight="1">
      <c r="A19" s="11">
        <v>14</v>
      </c>
      <c r="B19" s="290">
        <v>14</v>
      </c>
      <c r="C19" s="290" t="s">
        <v>626</v>
      </c>
      <c r="D19" s="290" t="s">
        <v>318</v>
      </c>
      <c r="E19" s="41" t="str">
        <f>IFERROR(VLOOKUP($D19,임시동력입.출고현황!$A:$G,E$5,0),)</f>
        <v>Cable</v>
      </c>
      <c r="F19" s="19" t="str">
        <f>IFERROR(VLOOKUP($D19,임시동력입.출고현황!$A:$G,F$5,0),)</f>
        <v>AL Cable</v>
      </c>
      <c r="G19" s="19">
        <f>IFERROR(VLOOKUP($D19,임시동력입.출고현황!$A:$G,G$5,0),)</f>
        <v>0</v>
      </c>
      <c r="H19" s="19" t="str">
        <f>IFERROR(VLOOKUP($D19,임시동력입.출고현황!$A:$G,H$5,0),)</f>
        <v>3C x 150+70mm2 [ALU]</v>
      </c>
      <c r="I19" s="10" t="str">
        <f>IFERROR(VLOOKUP($D19,임시동력입.출고현황!$A:$G,I$5,0),)</f>
        <v>M</v>
      </c>
      <c r="J19" s="96"/>
      <c r="K19" s="96"/>
      <c r="L19" s="241">
        <v>142</v>
      </c>
      <c r="M19" s="97"/>
      <c r="N19" s="96"/>
    </row>
    <row r="20" spans="1:14" s="11" customFormat="1" ht="28.2" customHeight="1">
      <c r="A20" s="11">
        <v>15</v>
      </c>
      <c r="B20" s="290">
        <v>15</v>
      </c>
      <c r="C20" s="290" t="s">
        <v>626</v>
      </c>
      <c r="D20" s="290" t="s">
        <v>319</v>
      </c>
      <c r="E20" s="41" t="str">
        <f>IFERROR(VLOOKUP($D20,임시동력입.출고현황!$A:$G,E$5,0),)</f>
        <v>Cable</v>
      </c>
      <c r="F20" s="19" t="str">
        <f>IFERROR(VLOOKUP($D20,임시동력입.출고현황!$A:$G,F$5,0),)</f>
        <v>AL Cable</v>
      </c>
      <c r="G20" s="19">
        <f>IFERROR(VLOOKUP($D20,임시동력입.출고현황!$A:$G,G$5,0),)</f>
        <v>0</v>
      </c>
      <c r="H20" s="19" t="str">
        <f>IFERROR(VLOOKUP($D20,임시동력입.출고현황!$A:$G,H$5,0),)</f>
        <v>3C x 120+70mm2 [ALU]</v>
      </c>
      <c r="I20" s="10" t="str">
        <f>IFERROR(VLOOKUP($D20,임시동력입.출고현황!$A:$G,I$5,0),)</f>
        <v>M</v>
      </c>
      <c r="J20" s="96"/>
      <c r="K20" s="96"/>
      <c r="L20" s="241">
        <v>219</v>
      </c>
      <c r="M20" s="97"/>
      <c r="N20" s="96"/>
    </row>
    <row r="21" spans="1:14" s="11" customFormat="1" ht="28.2" customHeight="1">
      <c r="A21" s="11">
        <v>16</v>
      </c>
      <c r="B21" s="290">
        <v>16</v>
      </c>
      <c r="C21" s="290" t="s">
        <v>626</v>
      </c>
      <c r="D21" s="290" t="s">
        <v>320</v>
      </c>
      <c r="E21" s="41" t="str">
        <f>IFERROR(VLOOKUP($D21,임시동력입.출고현황!$A:$G,E$5,0),)</f>
        <v>Cable</v>
      </c>
      <c r="F21" s="19" t="str">
        <f>IFERROR(VLOOKUP($D21,임시동력입.출고현황!$A:$G,F$5,0),)</f>
        <v>AL Cable</v>
      </c>
      <c r="G21" s="19">
        <f>IFERROR(VLOOKUP($D21,임시동력입.출고현황!$A:$G,G$5,0),)</f>
        <v>0</v>
      </c>
      <c r="H21" s="19" t="str">
        <f>IFERROR(VLOOKUP($D21,임시동력입.출고현황!$A:$G,H$5,0),)</f>
        <v>3C x 95+50mm2 [ALU]</v>
      </c>
      <c r="I21" s="10" t="str">
        <f>IFERROR(VLOOKUP($D21,임시동력입.출고현황!$A:$G,I$5,0),)</f>
        <v>M</v>
      </c>
      <c r="J21" s="96"/>
      <c r="K21" s="96"/>
      <c r="L21" s="241">
        <v>46</v>
      </c>
      <c r="M21" s="97"/>
      <c r="N21" s="96"/>
    </row>
    <row r="22" spans="1:14" s="11" customFormat="1" ht="28.2" customHeight="1">
      <c r="A22" s="11">
        <v>17</v>
      </c>
      <c r="B22" s="290">
        <v>17</v>
      </c>
      <c r="C22" s="290" t="s">
        <v>626</v>
      </c>
      <c r="D22" s="290" t="s">
        <v>321</v>
      </c>
      <c r="E22" s="41" t="str">
        <f>IFERROR(VLOOKUP($D22,임시동력입.출고현황!$A:$G,E$5,0),)</f>
        <v>Cable</v>
      </c>
      <c r="F22" s="19" t="str">
        <f>IFERROR(VLOOKUP($D22,임시동력입.출고현황!$A:$G,F$5,0),)</f>
        <v>AL Cable</v>
      </c>
      <c r="G22" s="19">
        <f>IFERROR(VLOOKUP($D22,임시동력입.출고현황!$A:$G,G$5,0),)</f>
        <v>0</v>
      </c>
      <c r="H22" s="19" t="str">
        <f>IFERROR(VLOOKUP($D22,임시동력입.출고현황!$A:$G,H$5,0),)</f>
        <v>3C x 70+35mm2 [ALU]</v>
      </c>
      <c r="I22" s="10" t="str">
        <f>IFERROR(VLOOKUP($D22,임시동력입.출고현황!$A:$G,I$5,0),)</f>
        <v>M</v>
      </c>
      <c r="J22" s="96"/>
      <c r="K22" s="96"/>
      <c r="L22" s="241">
        <v>279</v>
      </c>
      <c r="M22" s="97"/>
      <c r="N22" s="96"/>
    </row>
    <row r="23" spans="1:14" s="11" customFormat="1" ht="28.2" customHeight="1">
      <c r="A23" s="11">
        <v>18</v>
      </c>
      <c r="B23" s="290">
        <v>18</v>
      </c>
      <c r="C23" s="290" t="s">
        <v>626</v>
      </c>
      <c r="D23" s="290" t="s">
        <v>322</v>
      </c>
      <c r="E23" s="41" t="str">
        <f>IFERROR(VLOOKUP($D23,임시동력입.출고현황!$A:$G,E$5,0),)</f>
        <v>Cable</v>
      </c>
      <c r="F23" s="19" t="str">
        <f>IFERROR(VLOOKUP($D23,임시동력입.출고현황!$A:$G,F$5,0),)</f>
        <v>AL Cable</v>
      </c>
      <c r="G23" s="19">
        <f>IFERROR(VLOOKUP($D23,임시동력입.출고현황!$A:$G,G$5,0),)</f>
        <v>0</v>
      </c>
      <c r="H23" s="19" t="str">
        <f>IFERROR(VLOOKUP($D23,임시동력입.출고현황!$A:$G,H$5,0),)</f>
        <v>3C x 50+25mm2 [ALU]</v>
      </c>
      <c r="I23" s="10" t="str">
        <f>IFERROR(VLOOKUP($D23,임시동력입.출고현황!$A:$G,I$5,0),)</f>
        <v>M</v>
      </c>
      <c r="J23" s="96"/>
      <c r="K23" s="96"/>
      <c r="L23" s="241">
        <v>2173</v>
      </c>
      <c r="M23" s="97"/>
      <c r="N23" s="96"/>
    </row>
    <row r="24" spans="1:14" s="11" customFormat="1" ht="28.2" customHeight="1">
      <c r="A24" s="11">
        <v>19</v>
      </c>
      <c r="B24" s="290">
        <v>19</v>
      </c>
      <c r="C24" s="290" t="s">
        <v>626</v>
      </c>
      <c r="D24" s="290" t="s">
        <v>323</v>
      </c>
      <c r="E24" s="41" t="str">
        <f>IFERROR(VLOOKUP($D24,임시동력입.출고현황!$A:$G,E$5,0),)</f>
        <v>Cable</v>
      </c>
      <c r="F24" s="19" t="str">
        <f>IFERROR(VLOOKUP($D24,임시동력입.출고현황!$A:$G,F$5,0),)</f>
        <v>AL Cable</v>
      </c>
      <c r="G24" s="19">
        <f>IFERROR(VLOOKUP($D24,임시동력입.출고현황!$A:$G,G$5,0),)</f>
        <v>0</v>
      </c>
      <c r="H24" s="19" t="str">
        <f>IFERROR(VLOOKUP($D24,임시동력입.출고현황!$A:$G,H$5,0),)</f>
        <v>4C x 35mm2 [ALU]</v>
      </c>
      <c r="I24" s="10" t="str">
        <f>IFERROR(VLOOKUP($D24,임시동력입.출고현황!$A:$G,I$5,0),)</f>
        <v>M</v>
      </c>
      <c r="J24" s="96"/>
      <c r="K24" s="96"/>
      <c r="L24" s="241">
        <v>18</v>
      </c>
      <c r="M24" s="97"/>
      <c r="N24" s="96"/>
    </row>
    <row r="25" spans="1:14" s="11" customFormat="1" ht="28.2" customHeight="1">
      <c r="A25" s="11">
        <v>20</v>
      </c>
      <c r="B25" s="290">
        <v>20</v>
      </c>
      <c r="C25" s="290" t="s">
        <v>626</v>
      </c>
      <c r="D25" s="290" t="s">
        <v>324</v>
      </c>
      <c r="E25" s="41" t="str">
        <f>IFERROR(VLOOKUP($D25,임시동력입.출고현황!$A:$G,E$5,0),)</f>
        <v>Cable</v>
      </c>
      <c r="F25" s="19" t="str">
        <f>IFERROR(VLOOKUP($D25,임시동력입.출고현황!$A:$G,F$5,0),)</f>
        <v>CV Cable</v>
      </c>
      <c r="G25" s="19">
        <f>IFERROR(VLOOKUP($D25,임시동력입.출고현황!$A:$G,G$5,0),)</f>
        <v>0</v>
      </c>
      <c r="H25" s="19" t="str">
        <f>IFERROR(VLOOKUP($D25,임시동력입.출고현황!$A:$G,H$5,0),)</f>
        <v>3C X 185+95mm2</v>
      </c>
      <c r="I25" s="10" t="str">
        <f>IFERROR(VLOOKUP($D25,임시동력입.출고현황!$A:$G,I$5,0),)</f>
        <v>M</v>
      </c>
      <c r="J25" s="96"/>
      <c r="K25" s="96"/>
      <c r="L25" s="241">
        <v>43</v>
      </c>
      <c r="M25" s="97"/>
      <c r="N25" s="96"/>
    </row>
    <row r="26" spans="1:14" s="11" customFormat="1" ht="28.2" customHeight="1">
      <c r="A26" s="11">
        <v>21</v>
      </c>
      <c r="B26" s="290">
        <v>21</v>
      </c>
      <c r="C26" s="290" t="s">
        <v>626</v>
      </c>
      <c r="D26" s="290" t="s">
        <v>325</v>
      </c>
      <c r="E26" s="41" t="str">
        <f>IFERROR(VLOOKUP($D26,임시동력입.출고현황!$A:$G,E$5,0),)</f>
        <v>Cable</v>
      </c>
      <c r="F26" s="19" t="str">
        <f>IFERROR(VLOOKUP($D26,임시동력입.출고현황!$A:$G,F$5,0),)</f>
        <v>CV Cable</v>
      </c>
      <c r="G26" s="19">
        <f>IFERROR(VLOOKUP($D26,임시동력입.출고현황!$A:$G,G$5,0),)</f>
        <v>0</v>
      </c>
      <c r="H26" s="19" t="str">
        <f>IFERROR(VLOOKUP($D26,임시동력입.출고현황!$A:$G,H$5,0),)</f>
        <v>3C X 70+35mm2</v>
      </c>
      <c r="I26" s="10" t="str">
        <f>IFERROR(VLOOKUP($D26,임시동력입.출고현황!$A:$G,I$5,0),)</f>
        <v>M</v>
      </c>
      <c r="J26" s="96"/>
      <c r="K26" s="96"/>
      <c r="L26" s="241">
        <v>-55</v>
      </c>
      <c r="M26" s="97"/>
      <c r="N26" s="96"/>
    </row>
    <row r="27" spans="1:14" s="11" customFormat="1" ht="28.2" customHeight="1">
      <c r="A27" s="11">
        <v>22</v>
      </c>
      <c r="B27" s="290">
        <v>22</v>
      </c>
      <c r="C27" s="290" t="s">
        <v>626</v>
      </c>
      <c r="D27" s="290" t="s">
        <v>326</v>
      </c>
      <c r="E27" s="41" t="str">
        <f>IFERROR(VLOOKUP($D27,임시동력입.출고현황!$A:$G,E$5,0),)</f>
        <v>Cable</v>
      </c>
      <c r="F27" s="19" t="str">
        <f>IFERROR(VLOOKUP($D27,임시동력입.출고현황!$A:$G,F$5,0),)</f>
        <v>CV Cable</v>
      </c>
      <c r="G27" s="19">
        <f>IFERROR(VLOOKUP($D27,임시동력입.출고현황!$A:$G,G$5,0),)</f>
        <v>0</v>
      </c>
      <c r="H27" s="19" t="str">
        <f>IFERROR(VLOOKUP($D27,임시동력입.출고현황!$A:$G,H$5,0),)</f>
        <v>3C X 50+25mm2</v>
      </c>
      <c r="I27" s="10" t="str">
        <f>IFERROR(VLOOKUP($D27,임시동력입.출고현황!$A:$G,I$5,0),)</f>
        <v>M</v>
      </c>
      <c r="J27" s="96"/>
      <c r="K27" s="96"/>
      <c r="L27" s="241">
        <v>-149</v>
      </c>
      <c r="M27" s="97"/>
      <c r="N27" s="96"/>
    </row>
    <row r="28" spans="1:14" s="11" customFormat="1" ht="28.2" customHeight="1">
      <c r="A28" s="11">
        <v>23</v>
      </c>
      <c r="B28" s="290">
        <v>23</v>
      </c>
      <c r="C28" s="290" t="s">
        <v>626</v>
      </c>
      <c r="D28" s="290" t="s">
        <v>327</v>
      </c>
      <c r="E28" s="41" t="str">
        <f>IFERROR(VLOOKUP($D28,임시동력입.출고현황!$A:$G,E$5,0),)</f>
        <v>Cable</v>
      </c>
      <c r="F28" s="19" t="str">
        <f>IFERROR(VLOOKUP($D28,임시동력입.출고현황!$A:$G,F$5,0),)</f>
        <v>CV Cable</v>
      </c>
      <c r="G28" s="19">
        <f>IFERROR(VLOOKUP($D28,임시동력입.출고현황!$A:$G,G$5,0),)</f>
        <v>0</v>
      </c>
      <c r="H28" s="19" t="str">
        <f>IFERROR(VLOOKUP($D28,임시동력입.출고현황!$A:$G,H$5,0),)</f>
        <v>4C x 35mm2</v>
      </c>
      <c r="I28" s="10" t="str">
        <f>IFERROR(VLOOKUP($D28,임시동력입.출고현황!$A:$G,I$5,0),)</f>
        <v>M</v>
      </c>
      <c r="J28" s="96"/>
      <c r="K28" s="96"/>
      <c r="L28" s="241">
        <v>464</v>
      </c>
      <c r="M28" s="97"/>
      <c r="N28" s="96"/>
    </row>
    <row r="29" spans="1:14" s="11" customFormat="1" ht="28.2" customHeight="1">
      <c r="A29" s="11">
        <v>24</v>
      </c>
      <c r="B29" s="290">
        <v>24</v>
      </c>
      <c r="C29" s="290" t="s">
        <v>626</v>
      </c>
      <c r="D29" s="290" t="s">
        <v>329</v>
      </c>
      <c r="E29" s="41" t="str">
        <f>IFERROR(VLOOKUP($D29,임시동력입.출고현황!$A:$G,E$5,0),)</f>
        <v>Cable</v>
      </c>
      <c r="F29" s="19" t="str">
        <f>IFERROR(VLOOKUP($D29,임시동력입.출고현황!$A:$G,F$5,0),)</f>
        <v>CV Cable</v>
      </c>
      <c r="G29" s="19">
        <f>IFERROR(VLOOKUP($D29,임시동력입.출고현황!$A:$G,G$5,0),)</f>
        <v>0</v>
      </c>
      <c r="H29" s="19" t="str">
        <f>IFERROR(VLOOKUP($D29,임시동력입.출고현황!$A:$G,H$5,0),)</f>
        <v>4C x 16mm2</v>
      </c>
      <c r="I29" s="10" t="str">
        <f>IFERROR(VLOOKUP($D29,임시동력입.출고현황!$A:$G,I$5,0),)</f>
        <v>M</v>
      </c>
      <c r="J29" s="96"/>
      <c r="K29" s="96"/>
      <c r="L29" s="241">
        <v>868</v>
      </c>
      <c r="M29" s="97"/>
      <c r="N29" s="96"/>
    </row>
    <row r="30" spans="1:14" s="11" customFormat="1" ht="28.2" customHeight="1">
      <c r="A30" s="11">
        <v>25</v>
      </c>
      <c r="B30" s="290">
        <v>25</v>
      </c>
      <c r="C30" s="290" t="s">
        <v>626</v>
      </c>
      <c r="D30" s="290" t="s">
        <v>330</v>
      </c>
      <c r="E30" s="41" t="str">
        <f>IFERROR(VLOOKUP($D30,임시동력입.출고현황!$A:$G,E$5,0),)</f>
        <v>Cable</v>
      </c>
      <c r="F30" s="19" t="str">
        <f>IFERROR(VLOOKUP($D30,임시동력입.출고현황!$A:$G,F$5,0),)</f>
        <v>CV Cable</v>
      </c>
      <c r="G30" s="19">
        <f>IFERROR(VLOOKUP($D30,임시동력입.출고현황!$A:$G,G$5,0),)</f>
        <v>0</v>
      </c>
      <c r="H30" s="19" t="str">
        <f>IFERROR(VLOOKUP($D30,임시동력입.출고현황!$A:$G,H$5,0),)</f>
        <v>4C x 10mm2</v>
      </c>
      <c r="I30" s="10" t="str">
        <f>IFERROR(VLOOKUP($D30,임시동력입.출고현황!$A:$G,I$5,0),)</f>
        <v>M</v>
      </c>
      <c r="J30" s="96"/>
      <c r="K30" s="96"/>
      <c r="L30" s="241">
        <v>218</v>
      </c>
      <c r="M30" s="97"/>
      <c r="N30" s="96"/>
    </row>
    <row r="31" spans="1:14" s="11" customFormat="1" ht="28.2" customHeight="1">
      <c r="A31" s="11">
        <v>26</v>
      </c>
      <c r="B31" s="290">
        <v>26</v>
      </c>
      <c r="C31" s="290" t="s">
        <v>626</v>
      </c>
      <c r="D31" s="290" t="s">
        <v>331</v>
      </c>
      <c r="E31" s="41" t="str">
        <f>IFERROR(VLOOKUP($D31,임시동력입.출고현황!$A:$G,E$5,0),)</f>
        <v>Cable</v>
      </c>
      <c r="F31" s="19" t="str">
        <f>IFERROR(VLOOKUP($D31,임시동력입.출고현황!$A:$G,F$5,0),)</f>
        <v>CV Cable</v>
      </c>
      <c r="G31" s="19">
        <f>IFERROR(VLOOKUP($D31,임시동력입.출고현황!$A:$G,G$5,0),)</f>
        <v>0</v>
      </c>
      <c r="H31" s="19" t="str">
        <f>IFERROR(VLOOKUP($D31,임시동력입.출고현황!$A:$G,H$5,0),)</f>
        <v>4C x 6mm2</v>
      </c>
      <c r="I31" s="10" t="str">
        <f>IFERROR(VLOOKUP($D31,임시동력입.출고현황!$A:$G,I$5,0),)</f>
        <v>M</v>
      </c>
      <c r="J31" s="96"/>
      <c r="K31" s="96"/>
      <c r="L31" s="241">
        <v>492</v>
      </c>
      <c r="M31" s="97"/>
      <c r="N31" s="96"/>
    </row>
    <row r="32" spans="1:14" s="11" customFormat="1" ht="28.2" customHeight="1">
      <c r="A32" s="11">
        <v>27</v>
      </c>
      <c r="B32" s="290">
        <v>27</v>
      </c>
      <c r="C32" s="290" t="s">
        <v>626</v>
      </c>
      <c r="D32" s="290" t="s">
        <v>332</v>
      </c>
      <c r="E32" s="41" t="str">
        <f>IFERROR(VLOOKUP($D32,임시동력입.출고현황!$A:$G,E$5,0),)</f>
        <v>Cable</v>
      </c>
      <c r="F32" s="19" t="str">
        <f>IFERROR(VLOOKUP($D32,임시동력입.출고현황!$A:$G,F$5,0),)</f>
        <v>CV Cable</v>
      </c>
      <c r="G32" s="19">
        <f>IFERROR(VLOOKUP($D32,임시동력입.출고현황!$A:$G,G$5,0),)</f>
        <v>0</v>
      </c>
      <c r="H32" s="19" t="str">
        <f>IFERROR(VLOOKUP($D32,임시동력입.출고현황!$A:$G,H$5,0),)</f>
        <v>3C x 10mm2</v>
      </c>
      <c r="I32" s="10" t="str">
        <f>IFERROR(VLOOKUP($D32,임시동력입.출고현황!$A:$G,I$5,0),)</f>
        <v>M</v>
      </c>
      <c r="J32" s="96"/>
      <c r="K32" s="96"/>
      <c r="L32" s="241">
        <v>1301</v>
      </c>
      <c r="M32" s="97"/>
      <c r="N32" s="96"/>
    </row>
    <row r="33" spans="1:17" s="11" customFormat="1" ht="28.2" customHeight="1">
      <c r="A33" s="11">
        <v>28</v>
      </c>
      <c r="B33" s="290">
        <v>28</v>
      </c>
      <c r="C33" s="290" t="s">
        <v>626</v>
      </c>
      <c r="D33" s="290" t="s">
        <v>333</v>
      </c>
      <c r="E33" s="41" t="str">
        <f>IFERROR(VLOOKUP($D33,임시동력입.출고현황!$A:$G,E$5,0),)</f>
        <v>Cable</v>
      </c>
      <c r="F33" s="19" t="str">
        <f>IFERROR(VLOOKUP($D33,임시동력입.출고현황!$A:$G,F$5,0),)</f>
        <v>CV Cable</v>
      </c>
      <c r="G33" s="19">
        <f>IFERROR(VLOOKUP($D33,임시동력입.출고현황!$A:$G,G$5,0),)</f>
        <v>0</v>
      </c>
      <c r="H33" s="19" t="str">
        <f>IFERROR(VLOOKUP($D33,임시동력입.출고현황!$A:$G,H$5,0),)</f>
        <v>3C x 6mm2</v>
      </c>
      <c r="I33" s="10" t="str">
        <f>IFERROR(VLOOKUP($D33,임시동력입.출고현황!$A:$G,I$5,0),)</f>
        <v>M</v>
      </c>
      <c r="J33" s="96"/>
      <c r="K33" s="96"/>
      <c r="L33" s="241">
        <v>1757</v>
      </c>
      <c r="M33" s="97"/>
      <c r="N33" s="96"/>
    </row>
    <row r="34" spans="1:17" s="11" customFormat="1" ht="28.2" customHeight="1">
      <c r="A34" s="11">
        <v>29</v>
      </c>
      <c r="B34" s="290">
        <v>29</v>
      </c>
      <c r="C34" s="290" t="s">
        <v>626</v>
      </c>
      <c r="D34" s="290" t="s">
        <v>334</v>
      </c>
      <c r="E34" s="41" t="str">
        <f>IFERROR(VLOOKUP($D34,임시동력입.출고현황!$A:$G,E$5,0),)</f>
        <v>Cable</v>
      </c>
      <c r="F34" s="19" t="str">
        <f>IFERROR(VLOOKUP($D34,임시동력입.출고현황!$A:$G,F$5,0),)</f>
        <v>CV Cable</v>
      </c>
      <c r="G34" s="19">
        <f>IFERROR(VLOOKUP($D34,임시동력입.출고현황!$A:$G,G$5,0),)</f>
        <v>0</v>
      </c>
      <c r="H34" s="19" t="str">
        <f>IFERROR(VLOOKUP($D34,임시동력입.출고현황!$A:$G,H$5,0),)</f>
        <v>3C x 4mm2</v>
      </c>
      <c r="I34" s="10" t="str">
        <f>IFERROR(VLOOKUP($D34,임시동력입.출고현황!$A:$G,I$5,0),)</f>
        <v>M</v>
      </c>
      <c r="J34" s="96"/>
      <c r="K34" s="96"/>
      <c r="L34" s="241">
        <v>2435</v>
      </c>
      <c r="M34" s="97"/>
      <c r="N34" s="96"/>
    </row>
    <row r="35" spans="1:17" s="11" customFormat="1" ht="28.2" customHeight="1">
      <c r="A35" s="11">
        <v>30</v>
      </c>
      <c r="B35" s="290">
        <v>30</v>
      </c>
      <c r="C35" s="290" t="s">
        <v>626</v>
      </c>
      <c r="D35" s="290" t="s">
        <v>411</v>
      </c>
      <c r="E35" s="41" t="str">
        <f>IFERROR(VLOOKUP($D35,임시동력입.출고현황!$A:$G,E$5,0),)</f>
        <v>Cable</v>
      </c>
      <c r="F35" s="19" t="str">
        <f>IFERROR(VLOOKUP($D35,임시동력입.출고현황!$A:$G,F$5,0),)</f>
        <v>CV Cable</v>
      </c>
      <c r="G35" s="19">
        <f>IFERROR(VLOOKUP($D35,임시동력입.출고현황!$A:$G,G$5,0),)</f>
        <v>0</v>
      </c>
      <c r="H35" s="19" t="str">
        <f>IFERROR(VLOOKUP($D35,임시동력입.출고현황!$A:$G,H$5,0),)</f>
        <v>3C x 3mm2</v>
      </c>
      <c r="I35" s="10" t="str">
        <f>IFERROR(VLOOKUP($D35,임시동력입.출고현황!$A:$G,I$5,0),)</f>
        <v>M</v>
      </c>
      <c r="J35" s="96"/>
      <c r="K35" s="96"/>
      <c r="L35" s="241">
        <v>2135</v>
      </c>
      <c r="M35" s="97"/>
      <c r="N35" s="96"/>
    </row>
    <row r="36" spans="1:17" s="11" customFormat="1" ht="28.2" customHeight="1">
      <c r="A36" s="11">
        <v>31</v>
      </c>
      <c r="B36" s="290">
        <v>31</v>
      </c>
      <c r="C36" s="290" t="s">
        <v>626</v>
      </c>
      <c r="D36" s="290" t="s">
        <v>335</v>
      </c>
      <c r="E36" s="41" t="str">
        <f>IFERROR(VLOOKUP($D36,임시동력입.출고현황!$A:$G,E$5,0),)</f>
        <v>Cable</v>
      </c>
      <c r="F36" s="19" t="str">
        <f>IFERROR(VLOOKUP($D36,임시동력입.출고현황!$A:$G,F$5,0),)</f>
        <v>CV Cable</v>
      </c>
      <c r="G36" s="19">
        <f>IFERROR(VLOOKUP($D36,임시동력입.출고현황!$A:$G,G$5,0),)</f>
        <v>0</v>
      </c>
      <c r="H36" s="19" t="str">
        <f>IFERROR(VLOOKUP($D36,임시동력입.출고현황!$A:$G,H$5,0),)</f>
        <v>3C x 2.5mm2</v>
      </c>
      <c r="I36" s="10" t="str">
        <f>IFERROR(VLOOKUP($D36,임시동력입.출고현황!$A:$G,I$5,0),)</f>
        <v>M</v>
      </c>
      <c r="J36" s="96"/>
      <c r="K36" s="96"/>
      <c r="L36" s="241">
        <v>5640</v>
      </c>
      <c r="M36" s="97"/>
      <c r="N36" s="96"/>
      <c r="P36" s="11">
        <v>368</v>
      </c>
      <c r="Q36" s="314">
        <f>L36-P36</f>
        <v>5272</v>
      </c>
    </row>
    <row r="37" spans="1:17" s="11" customFormat="1" ht="28.2" customHeight="1">
      <c r="A37" s="11">
        <v>32</v>
      </c>
      <c r="B37" s="290">
        <v>32</v>
      </c>
      <c r="C37" s="290" t="s">
        <v>626</v>
      </c>
      <c r="D37" s="290" t="s">
        <v>336</v>
      </c>
      <c r="E37" s="41" t="str">
        <f>IFERROR(VLOOKUP($D37,임시동력입.출고현황!$A:$G,E$5,0),)</f>
        <v>Cable</v>
      </c>
      <c r="F37" s="19" t="str">
        <f>IFERROR(VLOOKUP($D37,임시동력입.출고현황!$A:$G,F$5,0),)</f>
        <v>CV Cable</v>
      </c>
      <c r="G37" s="19">
        <f>IFERROR(VLOOKUP($D37,임시동력입.출고현황!$A:$G,G$5,0),)</f>
        <v>0</v>
      </c>
      <c r="H37" s="19" t="str">
        <f>IFERROR(VLOOKUP($D37,임시동력입.출고현황!$A:$G,H$5,0),)</f>
        <v>3C x 1.5mm2</v>
      </c>
      <c r="I37" s="10" t="str">
        <f>IFERROR(VLOOKUP($D37,임시동력입.출고현황!$A:$G,I$5,0),)</f>
        <v>M</v>
      </c>
      <c r="J37" s="96"/>
      <c r="K37" s="96"/>
      <c r="L37" s="241">
        <v>2912</v>
      </c>
      <c r="M37" s="97"/>
      <c r="N37" s="96"/>
    </row>
    <row r="38" spans="1:17" s="11" customFormat="1" ht="28.2" customHeight="1">
      <c r="A38" s="11">
        <v>33</v>
      </c>
      <c r="B38" s="290">
        <v>33</v>
      </c>
      <c r="C38" s="290" t="s">
        <v>626</v>
      </c>
      <c r="D38" s="290" t="s">
        <v>337</v>
      </c>
      <c r="E38" s="41" t="str">
        <f>IFERROR(VLOOKUP($D38,임시동력입.출고현황!$A:$G,E$5,0),)</f>
        <v>Cable</v>
      </c>
      <c r="F38" s="19" t="str">
        <f>IFERROR(VLOOKUP($D38,임시동력입.출고현황!$A:$G,F$5,0),)</f>
        <v>CV Cable</v>
      </c>
      <c r="G38" s="19">
        <f>IFERROR(VLOOKUP($D38,임시동력입.출고현황!$A:$G,G$5,0),)</f>
        <v>0</v>
      </c>
      <c r="H38" s="19" t="str">
        <f>IFERROR(VLOOKUP($D38,임시동력입.출고현황!$A:$G,H$5,0),)</f>
        <v>2C x 16mm2</v>
      </c>
      <c r="I38" s="10" t="str">
        <f>IFERROR(VLOOKUP($D38,임시동력입.출고현황!$A:$G,I$5,0),)</f>
        <v>M</v>
      </c>
      <c r="J38" s="96"/>
      <c r="K38" s="96"/>
      <c r="L38" s="241">
        <v>45</v>
      </c>
      <c r="M38" s="97"/>
      <c r="N38" s="96"/>
    </row>
    <row r="39" spans="1:17" s="11" customFormat="1" ht="28.2" customHeight="1">
      <c r="A39" s="11">
        <v>34</v>
      </c>
      <c r="B39" s="290">
        <v>34</v>
      </c>
      <c r="C39" s="290" t="s">
        <v>626</v>
      </c>
      <c r="D39" s="290" t="s">
        <v>342</v>
      </c>
      <c r="E39" s="41" t="str">
        <f>IFERROR(VLOOKUP($D39,임시동력입.출고현황!$A:$G,E$5,0),)</f>
        <v>Cable</v>
      </c>
      <c r="F39" s="19" t="str">
        <f>IFERROR(VLOOKUP($D39,임시동력입.출고현황!$A:$G,F$5,0),)</f>
        <v>Grounding Cable</v>
      </c>
      <c r="G39" s="19">
        <f>IFERROR(VLOOKUP($D39,임시동력입.출고현황!$A:$G,G$5,0),)</f>
        <v>0</v>
      </c>
      <c r="H39" s="19" t="str">
        <f>IFERROR(VLOOKUP($D39,임시동력입.출고현황!$A:$G,H$5,0),)</f>
        <v>1C x 70mm2</v>
      </c>
      <c r="I39" s="10" t="str">
        <f>IFERROR(VLOOKUP($D39,임시동력입.출고현황!$A:$G,I$5,0),)</f>
        <v>M</v>
      </c>
      <c r="J39" s="96"/>
      <c r="K39" s="96"/>
      <c r="L39" s="241">
        <v>294</v>
      </c>
      <c r="M39" s="97"/>
      <c r="N39" s="96"/>
    </row>
    <row r="40" spans="1:17" s="11" customFormat="1" ht="28.2" customHeight="1">
      <c r="A40" s="11">
        <v>35</v>
      </c>
      <c r="B40" s="290">
        <v>35</v>
      </c>
      <c r="C40" s="290" t="s">
        <v>626</v>
      </c>
      <c r="D40" s="290" t="s">
        <v>345</v>
      </c>
      <c r="E40" s="41" t="str">
        <f>IFERROR(VLOOKUP($D40,임시동력입.출고현황!$A:$G,E$5,0),)</f>
        <v>Cable</v>
      </c>
      <c r="F40" s="19" t="str">
        <f>IFERROR(VLOOKUP($D40,임시동력입.출고현황!$A:$G,F$5,0),)</f>
        <v>Grounding Cable</v>
      </c>
      <c r="G40" s="19">
        <f>IFERROR(VLOOKUP($D40,임시동력입.출고현황!$A:$G,G$5,0),)</f>
        <v>0</v>
      </c>
      <c r="H40" s="19" t="str">
        <f>IFERROR(VLOOKUP($D40,임시동력입.출고현황!$A:$G,H$5,0),)</f>
        <v>1C x 16mm2</v>
      </c>
      <c r="I40" s="10" t="str">
        <f>IFERROR(VLOOKUP($D40,임시동력입.출고현황!$A:$G,I$5,0),)</f>
        <v>M</v>
      </c>
      <c r="J40" s="96"/>
      <c r="K40" s="96"/>
      <c r="L40" s="241">
        <v>-120</v>
      </c>
      <c r="M40" s="97"/>
      <c r="N40" s="96"/>
    </row>
    <row r="41" spans="1:17" s="11" customFormat="1" ht="28.2" customHeight="1">
      <c r="A41" s="11">
        <v>36</v>
      </c>
      <c r="B41" s="290">
        <v>36</v>
      </c>
      <c r="C41" s="290" t="s">
        <v>626</v>
      </c>
      <c r="D41" s="290" t="s">
        <v>346</v>
      </c>
      <c r="E41" s="41" t="str">
        <f>IFERROR(VLOOKUP($D41,임시동력입.출고현황!$A:$G,E$5,0),)</f>
        <v>Cable</v>
      </c>
      <c r="F41" s="19" t="str">
        <f>IFERROR(VLOOKUP($D41,임시동력입.출고현황!$A:$G,F$5,0),)</f>
        <v>Grounding Cable</v>
      </c>
      <c r="G41" s="19">
        <f>IFERROR(VLOOKUP($D41,임시동력입.출고현황!$A:$G,G$5,0),)</f>
        <v>0</v>
      </c>
      <c r="H41" s="19" t="str">
        <f>IFERROR(VLOOKUP($D41,임시동력입.출고현황!$A:$G,H$5,0),)</f>
        <v>1C x 10mm2</v>
      </c>
      <c r="I41" s="10" t="str">
        <f>IFERROR(VLOOKUP($D41,임시동력입.출고현황!$A:$G,I$5,0),)</f>
        <v>M</v>
      </c>
      <c r="J41" s="96"/>
      <c r="K41" s="96"/>
      <c r="L41" s="241">
        <v>495</v>
      </c>
      <c r="M41" s="97"/>
      <c r="N41" s="96"/>
    </row>
    <row r="42" spans="1:17" s="11" customFormat="1" ht="28.2" customHeight="1">
      <c r="A42" s="11">
        <v>37</v>
      </c>
      <c r="B42" s="290">
        <v>37</v>
      </c>
      <c r="C42" s="290" t="s">
        <v>626</v>
      </c>
      <c r="D42" s="290" t="s">
        <v>341</v>
      </c>
      <c r="E42" s="41" t="str">
        <f>IFERROR(VLOOKUP($D42,임시동력입.출고현황!$A:$G,E$5,0),)</f>
        <v>LTG</v>
      </c>
      <c r="F42" s="19" t="str">
        <f>IFERROR(VLOOKUP($D42,임시동력입.출고현황!$A:$G,F$5,0),)</f>
        <v>Lighting Fixture</v>
      </c>
      <c r="G42" s="19">
        <f>IFERROR(VLOOKUP($D42,임시동력입.출고현황!$A:$G,G$5,0),)</f>
        <v>0</v>
      </c>
      <c r="H42" s="19" t="str">
        <f>IFERROR(VLOOKUP($D42,임시동력입.출고현황!$A:$G,H$5,0),)</f>
        <v>400W</v>
      </c>
      <c r="I42" s="10" t="str">
        <f>IFERROR(VLOOKUP($D42,임시동력입.출고현황!$A:$G,I$5,0),)</f>
        <v>EA</v>
      </c>
      <c r="J42" s="96"/>
      <c r="K42" s="96"/>
      <c r="L42" s="241">
        <v>316</v>
      </c>
      <c r="M42" s="97"/>
      <c r="N42" s="96"/>
    </row>
    <row r="43" spans="1:17" s="11" customFormat="1" ht="28.2" customHeight="1">
      <c r="A43" s="11">
        <v>38</v>
      </c>
      <c r="B43" s="290">
        <v>38</v>
      </c>
      <c r="C43" s="290" t="s">
        <v>626</v>
      </c>
      <c r="D43" s="290" t="s">
        <v>347</v>
      </c>
      <c r="E43" s="41" t="str">
        <f>IFERROR(VLOOKUP($D43,임시동력입.출고현황!$A:$G,E$5,0),)</f>
        <v>LTG</v>
      </c>
      <c r="F43" s="19" t="str">
        <f>IFERROR(VLOOKUP($D43,임시동력입.출고현황!$A:$G,F$5,0),)</f>
        <v>Lighting Fixture</v>
      </c>
      <c r="G43" s="19">
        <f>IFERROR(VLOOKUP($D43,임시동력입.출고현황!$A:$G,G$5,0),)</f>
        <v>0</v>
      </c>
      <c r="H43" s="19" t="str">
        <f>IFERROR(VLOOKUP($D43,임시동력입.출고현황!$A:$G,H$5,0),)</f>
        <v>200W</v>
      </c>
      <c r="I43" s="10" t="str">
        <f>IFERROR(VLOOKUP($D43,임시동력입.출고현황!$A:$G,I$5,0),)</f>
        <v>EA</v>
      </c>
      <c r="J43" s="96"/>
      <c r="K43" s="96"/>
      <c r="L43" s="241">
        <v>139</v>
      </c>
      <c r="M43" s="97"/>
      <c r="N43" s="96"/>
    </row>
    <row r="44" spans="1:17" s="11" customFormat="1" ht="28.2" customHeight="1">
      <c r="A44" s="11">
        <v>39</v>
      </c>
      <c r="B44" s="290">
        <v>39</v>
      </c>
      <c r="C44" s="290" t="s">
        <v>626</v>
      </c>
      <c r="D44" s="290" t="s">
        <v>348</v>
      </c>
      <c r="E44" s="41" t="str">
        <f>IFERROR(VLOOKUP($D44,임시동력입.출고현황!$A:$G,E$5,0),)</f>
        <v>LTG</v>
      </c>
      <c r="F44" s="19" t="str">
        <f>IFERROR(VLOOKUP($D44,임시동력입.출고현황!$A:$G,F$5,0),)</f>
        <v>Lighting Fixture</v>
      </c>
      <c r="G44" s="19">
        <f>IFERROR(VLOOKUP($D44,임시동력입.출고현황!$A:$G,G$5,0),)</f>
        <v>0</v>
      </c>
      <c r="H44" s="19" t="str">
        <f>IFERROR(VLOOKUP($D44,임시동력입.출고현황!$A:$G,H$5,0),)</f>
        <v>100W</v>
      </c>
      <c r="I44" s="10" t="str">
        <f>IFERROR(VLOOKUP($D44,임시동력입.출고현황!$A:$G,I$5,0),)</f>
        <v>EA</v>
      </c>
      <c r="J44" s="96"/>
      <c r="K44" s="96"/>
      <c r="L44" s="241">
        <v>0</v>
      </c>
      <c r="M44" s="97"/>
      <c r="N44" s="96"/>
    </row>
    <row r="45" spans="1:17" s="11" customFormat="1" ht="28.2" customHeight="1">
      <c r="A45" s="11">
        <v>40</v>
      </c>
      <c r="B45" s="290">
        <v>40</v>
      </c>
      <c r="C45" s="290" t="s">
        <v>626</v>
      </c>
      <c r="D45" s="290" t="s">
        <v>349</v>
      </c>
      <c r="E45" s="41" t="str">
        <f>IFERROR(VLOOKUP($D45,임시동력입.출고현황!$A:$G,E$5,0),)</f>
        <v>LTG</v>
      </c>
      <c r="F45" s="19" t="str">
        <f>IFERROR(VLOOKUP($D45,임시동력입.출고현황!$A:$G,F$5,0),)</f>
        <v>Lighting Fixture</v>
      </c>
      <c r="G45" s="19">
        <f>IFERROR(VLOOKUP($D45,임시동력입.출고현황!$A:$G,G$5,0),)</f>
        <v>0</v>
      </c>
      <c r="H45" s="19" t="str">
        <f>IFERROR(VLOOKUP($D45,임시동력입.출고현황!$A:$G,H$5,0),)</f>
        <v>50W</v>
      </c>
      <c r="I45" s="10" t="str">
        <f>IFERROR(VLOOKUP($D45,임시동력입.출고현황!$A:$G,I$5,0),)</f>
        <v>EA</v>
      </c>
      <c r="J45" s="96"/>
      <c r="K45" s="96"/>
      <c r="L45" s="241">
        <v>25</v>
      </c>
      <c r="M45" s="97"/>
      <c r="N45" s="96"/>
    </row>
    <row r="46" spans="1:17" s="11" customFormat="1" ht="28.2" customHeight="1">
      <c r="A46" s="11">
        <v>41</v>
      </c>
      <c r="B46" s="290">
        <v>41</v>
      </c>
      <c r="C46" s="290" t="s">
        <v>626</v>
      </c>
      <c r="D46" s="290" t="s">
        <v>477</v>
      </c>
      <c r="E46" s="41" t="str">
        <f>IFERROR(VLOOKUP($D46,임시동력입.출고현황!$A:$G,E$5,0),)</f>
        <v>MCB</v>
      </c>
      <c r="F46" s="19" t="str">
        <f>IFERROR(VLOOKUP($D46,임시동력입.출고현황!$A:$G,F$5,0),)</f>
        <v>MCB</v>
      </c>
      <c r="G46" s="19">
        <f>IFERROR(VLOOKUP($D46,임시동력입.출고현황!$A:$G,G$5,0),)</f>
        <v>0</v>
      </c>
      <c r="H46" s="19" t="str">
        <f>IFERROR(VLOOKUP($D46,임시동력입.출고현황!$A:$G,H$5,0),)</f>
        <v>1P - 32A</v>
      </c>
      <c r="I46" s="10" t="str">
        <f>IFERROR(VLOOKUP($D46,임시동력입.출고현황!$A:$G,I$5,0),)</f>
        <v>EA</v>
      </c>
      <c r="J46" s="96"/>
      <c r="K46" s="96"/>
      <c r="L46" s="241">
        <v>-1</v>
      </c>
      <c r="M46" s="97"/>
      <c r="N46" s="96"/>
    </row>
    <row r="47" spans="1:17" s="11" customFormat="1" ht="28.2" customHeight="1">
      <c r="A47" s="11">
        <v>42</v>
      </c>
      <c r="B47" s="290">
        <v>42</v>
      </c>
      <c r="C47" s="290" t="s">
        <v>626</v>
      </c>
      <c r="D47" s="290" t="s">
        <v>479</v>
      </c>
      <c r="E47" s="41" t="str">
        <f>IFERROR(VLOOKUP($D47,임시동력입.출고현황!$A:$G,E$5,0),)</f>
        <v>MCB</v>
      </c>
      <c r="F47" s="19" t="str">
        <f>IFERROR(VLOOKUP($D47,임시동력입.출고현황!$A:$G,F$5,0),)</f>
        <v>MCB</v>
      </c>
      <c r="G47" s="19">
        <f>IFERROR(VLOOKUP($D47,임시동력입.출고현황!$A:$G,G$5,0),)</f>
        <v>0</v>
      </c>
      <c r="H47" s="19" t="str">
        <f>IFERROR(VLOOKUP($D47,임시동력입.출고현황!$A:$G,H$5,0),)</f>
        <v>3P - 63A</v>
      </c>
      <c r="I47" s="10" t="str">
        <f>IFERROR(VLOOKUP($D47,임시동력입.출고현황!$A:$G,I$5,0),)</f>
        <v>EA</v>
      </c>
      <c r="J47" s="96"/>
      <c r="K47" s="96"/>
      <c r="L47" s="241">
        <v>-1</v>
      </c>
      <c r="M47" s="97"/>
      <c r="N47" s="96"/>
    </row>
    <row r="48" spans="1:17" s="11" customFormat="1" ht="28.2" customHeight="1">
      <c r="A48" s="11">
        <v>43</v>
      </c>
      <c r="B48" s="290">
        <v>43</v>
      </c>
      <c r="C48" s="290" t="s">
        <v>626</v>
      </c>
      <c r="D48" s="290" t="s">
        <v>480</v>
      </c>
      <c r="E48" s="41" t="str">
        <f>IFERROR(VLOOKUP($D48,임시동력입.출고현황!$A:$G,E$5,0),)</f>
        <v>MCB</v>
      </c>
      <c r="F48" s="19" t="str">
        <f>IFERROR(VLOOKUP($D48,임시동력입.출고현황!$A:$G,F$5,0),)</f>
        <v>RCBO</v>
      </c>
      <c r="G48" s="19">
        <f>IFERROR(VLOOKUP($D48,임시동력입.출고현황!$A:$G,G$5,0),)</f>
        <v>0</v>
      </c>
      <c r="H48" s="19" t="str">
        <f>IFERROR(VLOOKUP($D48,임시동력입.출고현황!$A:$G,H$5,0),)</f>
        <v>1P + N -16A - 30 mA</v>
      </c>
      <c r="I48" s="10" t="str">
        <f>IFERROR(VLOOKUP($D48,임시동력입.출고현황!$A:$G,I$5,0),)</f>
        <v>EA</v>
      </c>
      <c r="J48" s="96"/>
      <c r="K48" s="96"/>
      <c r="L48" s="241">
        <v>-1</v>
      </c>
      <c r="M48" s="97"/>
      <c r="N48" s="96"/>
    </row>
    <row r="49" spans="1:14" s="11" customFormat="1" ht="28.2" customHeight="1">
      <c r="A49" s="11">
        <v>44</v>
      </c>
      <c r="B49" s="290">
        <v>44</v>
      </c>
      <c r="C49" s="290" t="s">
        <v>626</v>
      </c>
      <c r="D49" s="290" t="s">
        <v>482</v>
      </c>
      <c r="E49" s="41" t="str">
        <f>IFERROR(VLOOKUP($D49,임시동력입.출고현황!$A:$G,E$5,0),)</f>
        <v>MCB</v>
      </c>
      <c r="F49" s="19" t="str">
        <f>IFERROR(VLOOKUP($D49,임시동력입.출고현황!$A:$G,F$5,0),)</f>
        <v>RCBO</v>
      </c>
      <c r="G49" s="19">
        <f>IFERROR(VLOOKUP($D49,임시동력입.출고현황!$A:$G,G$5,0),)</f>
        <v>0</v>
      </c>
      <c r="H49" s="19" t="str">
        <f>IFERROR(VLOOKUP($D49,임시동력입.출고현황!$A:$G,H$5,0),)</f>
        <v>1P + N -32A - 30 mA</v>
      </c>
      <c r="I49" s="10" t="str">
        <f>IFERROR(VLOOKUP($D49,임시동력입.출고현황!$A:$G,I$5,0),)</f>
        <v>EA</v>
      </c>
      <c r="J49" s="96"/>
      <c r="K49" s="96"/>
      <c r="L49" s="241">
        <v>1</v>
      </c>
      <c r="M49" s="97"/>
      <c r="N49" s="96"/>
    </row>
    <row r="50" spans="1:14" s="11" customFormat="1" ht="28.2" customHeight="1">
      <c r="A50" s="11">
        <v>45</v>
      </c>
      <c r="B50" s="290">
        <v>45</v>
      </c>
      <c r="C50" s="290" t="s">
        <v>626</v>
      </c>
      <c r="D50" s="290" t="s">
        <v>555</v>
      </c>
      <c r="E50" s="41" t="str">
        <f>IFERROR(VLOOKUP($D50,임시동력입.출고현황!$A:$G,E$5,0),)</f>
        <v>MCB</v>
      </c>
      <c r="F50" s="19" t="str">
        <f>IFERROR(VLOOKUP($D50,임시동력입.출고현황!$A:$G,F$5,0),)</f>
        <v>MCB</v>
      </c>
      <c r="G50" s="19">
        <f>IFERROR(VLOOKUP($D50,임시동력입.출고현황!$A:$G,G$5,0),)</f>
        <v>0</v>
      </c>
      <c r="H50" s="19" t="str">
        <f>IFERROR(VLOOKUP($D50,임시동력입.출고현황!$A:$G,H$5,0),)</f>
        <v>1P - 16A</v>
      </c>
      <c r="I50" s="10" t="str">
        <f>IFERROR(VLOOKUP($D50,임시동력입.출고현황!$A:$G,I$5,0),)</f>
        <v>EA</v>
      </c>
      <c r="J50" s="96"/>
      <c r="K50" s="96"/>
      <c r="L50" s="241">
        <v>4</v>
      </c>
      <c r="M50" s="97"/>
      <c r="N50" s="96"/>
    </row>
    <row r="51" spans="1:14" s="11" customFormat="1" ht="28.2" customHeight="1">
      <c r="A51" s="11">
        <v>46</v>
      </c>
      <c r="B51" s="290">
        <v>46</v>
      </c>
      <c r="C51" s="290" t="s">
        <v>626</v>
      </c>
      <c r="D51" s="290" t="s">
        <v>476</v>
      </c>
      <c r="E51" s="41" t="str">
        <f>IFERROR(VLOOKUP($D51,임시동력입.출고현황!$A:$G,E$5,0),)</f>
        <v>MCB</v>
      </c>
      <c r="F51" s="19" t="str">
        <f>IFERROR(VLOOKUP($D51,임시동력입.출고현황!$A:$G,F$5,0),)</f>
        <v>MCB</v>
      </c>
      <c r="G51" s="19">
        <f>IFERROR(VLOOKUP($D51,임시동력입.출고현황!$A:$G,G$5,0),)</f>
        <v>0</v>
      </c>
      <c r="H51" s="19" t="str">
        <f>IFERROR(VLOOKUP($D51,임시동력입.출고현황!$A:$G,H$5,0),)</f>
        <v>1P - 25A</v>
      </c>
      <c r="I51" s="10" t="str">
        <f>IFERROR(VLOOKUP($D51,임시동력입.출고현황!$A:$G,I$5,0),)</f>
        <v>EA</v>
      </c>
      <c r="J51" s="96"/>
      <c r="K51" s="96"/>
      <c r="L51" s="241">
        <v>7</v>
      </c>
      <c r="M51" s="97"/>
      <c r="N51" s="96"/>
    </row>
    <row r="52" spans="1:14" s="11" customFormat="1" ht="28.2" customHeight="1">
      <c r="A52" s="11">
        <v>47</v>
      </c>
      <c r="B52" s="290">
        <v>47</v>
      </c>
      <c r="C52" s="290" t="s">
        <v>626</v>
      </c>
      <c r="D52" s="290" t="s">
        <v>477</v>
      </c>
      <c r="E52" s="41" t="str">
        <f>IFERROR(VLOOKUP($D52,임시동력입.출고현황!$A:$G,E$5,0),)</f>
        <v>MCB</v>
      </c>
      <c r="F52" s="19" t="str">
        <f>IFERROR(VLOOKUP($D52,임시동력입.출고현황!$A:$G,F$5,0),)</f>
        <v>MCB</v>
      </c>
      <c r="G52" s="19">
        <f>IFERROR(VLOOKUP($D52,임시동력입.출고현황!$A:$G,G$5,0),)</f>
        <v>0</v>
      </c>
      <c r="H52" s="19" t="str">
        <f>IFERROR(VLOOKUP($D52,임시동력입.출고현황!$A:$G,H$5,0),)</f>
        <v>1P - 32A</v>
      </c>
      <c r="I52" s="10" t="str">
        <f>IFERROR(VLOOKUP($D52,임시동력입.출고현황!$A:$G,I$5,0),)</f>
        <v>EA</v>
      </c>
      <c r="J52" s="96"/>
      <c r="K52" s="96"/>
      <c r="L52" s="241">
        <v>1</v>
      </c>
      <c r="M52" s="97"/>
      <c r="N52" s="96"/>
    </row>
    <row r="53" spans="1:14" s="11" customFormat="1" ht="28.2" customHeight="1">
      <c r="A53" s="11">
        <v>48</v>
      </c>
      <c r="B53" s="290">
        <v>48</v>
      </c>
      <c r="C53" s="290" t="s">
        <v>626</v>
      </c>
      <c r="D53" s="290" t="s">
        <v>478</v>
      </c>
      <c r="E53" s="41" t="str">
        <f>IFERROR(VLOOKUP($D53,임시동력입.출고현황!$A:$G,E$5,0),)</f>
        <v>MCB</v>
      </c>
      <c r="F53" s="19" t="str">
        <f>IFERROR(VLOOKUP($D53,임시동력입.출고현황!$A:$G,F$5,0),)</f>
        <v>MCB</v>
      </c>
      <c r="G53" s="19">
        <f>IFERROR(VLOOKUP($D53,임시동력입.출고현황!$A:$G,G$5,0),)</f>
        <v>0</v>
      </c>
      <c r="H53" s="19" t="str">
        <f>IFERROR(VLOOKUP($D53,임시동력입.출고현황!$A:$G,H$5,0),)</f>
        <v>3P - 32A</v>
      </c>
      <c r="I53" s="10" t="str">
        <f>IFERROR(VLOOKUP($D53,임시동력입.출고현황!$A:$G,I$5,0),)</f>
        <v>EA</v>
      </c>
      <c r="J53" s="96"/>
      <c r="K53" s="96"/>
      <c r="L53" s="241">
        <v>1</v>
      </c>
      <c r="M53" s="97"/>
      <c r="N53" s="96"/>
    </row>
    <row r="54" spans="1:14" s="11" customFormat="1" ht="28.2" customHeight="1">
      <c r="A54" s="11">
        <v>49</v>
      </c>
      <c r="B54" s="290">
        <v>49</v>
      </c>
      <c r="C54" s="290" t="s">
        <v>626</v>
      </c>
      <c r="D54" s="290" t="s">
        <v>479</v>
      </c>
      <c r="E54" s="41" t="str">
        <f>IFERROR(VLOOKUP($D54,임시동력입.출고현황!$A:$G,E$5,0),)</f>
        <v>MCB</v>
      </c>
      <c r="F54" s="19" t="str">
        <f>IFERROR(VLOOKUP($D54,임시동력입.출고현황!$A:$G,F$5,0),)</f>
        <v>MCB</v>
      </c>
      <c r="G54" s="19">
        <f>IFERROR(VLOOKUP($D54,임시동력입.출고현황!$A:$G,G$5,0),)</f>
        <v>0</v>
      </c>
      <c r="H54" s="19" t="str">
        <f>IFERROR(VLOOKUP($D54,임시동력입.출고현황!$A:$G,H$5,0),)</f>
        <v>3P - 63A</v>
      </c>
      <c r="I54" s="10" t="str">
        <f>IFERROR(VLOOKUP($D54,임시동력입.출고현황!$A:$G,I$5,0),)</f>
        <v>EA</v>
      </c>
      <c r="J54" s="96"/>
      <c r="K54" s="96"/>
      <c r="L54" s="241">
        <v>4</v>
      </c>
      <c r="M54" s="97"/>
      <c r="N54" s="96"/>
    </row>
    <row r="55" spans="1:14" s="11" customFormat="1" ht="28.2" customHeight="1">
      <c r="A55" s="11">
        <v>50</v>
      </c>
      <c r="B55" s="290">
        <v>50</v>
      </c>
      <c r="C55" s="290" t="s">
        <v>626</v>
      </c>
      <c r="D55" s="290" t="s">
        <v>480</v>
      </c>
      <c r="E55" s="41" t="str">
        <f>IFERROR(VLOOKUP($D55,임시동력입.출고현황!$A:$G,E$5,0),)</f>
        <v>MCB</v>
      </c>
      <c r="F55" s="19" t="str">
        <f>IFERROR(VLOOKUP($D55,임시동력입.출고현황!$A:$G,F$5,0),)</f>
        <v>RCBO</v>
      </c>
      <c r="G55" s="19">
        <f>IFERROR(VLOOKUP($D55,임시동력입.출고현황!$A:$G,G$5,0),)</f>
        <v>0</v>
      </c>
      <c r="H55" s="19" t="str">
        <f>IFERROR(VLOOKUP($D55,임시동력입.출고현황!$A:$G,H$5,0),)</f>
        <v>1P + N -16A - 30 mA</v>
      </c>
      <c r="I55" s="10" t="str">
        <f>IFERROR(VLOOKUP($D55,임시동력입.출고현황!$A:$G,I$5,0),)</f>
        <v>EA</v>
      </c>
      <c r="J55" s="96"/>
      <c r="K55" s="96"/>
      <c r="L55" s="241">
        <v>11</v>
      </c>
      <c r="M55" s="97"/>
      <c r="N55" s="96"/>
    </row>
    <row r="56" spans="1:14" s="11" customFormat="1" ht="28.2" customHeight="1">
      <c r="A56" s="11">
        <v>51</v>
      </c>
      <c r="B56" s="290">
        <v>51</v>
      </c>
      <c r="C56" s="290" t="s">
        <v>626</v>
      </c>
      <c r="D56" s="290" t="s">
        <v>481</v>
      </c>
      <c r="E56" s="41" t="str">
        <f>IFERROR(VLOOKUP($D56,임시동력입.출고현황!$A:$G,E$5,0),)</f>
        <v>MCB</v>
      </c>
      <c r="F56" s="19" t="str">
        <f>IFERROR(VLOOKUP($D56,임시동력입.출고현황!$A:$G,F$5,0),)</f>
        <v>RCBO</v>
      </c>
      <c r="G56" s="19">
        <f>IFERROR(VLOOKUP($D56,임시동력입.출고현황!$A:$G,G$5,0),)</f>
        <v>0</v>
      </c>
      <c r="H56" s="19" t="str">
        <f>IFERROR(VLOOKUP($D56,임시동력입.출고현황!$A:$G,H$5,0),)</f>
        <v>1P + N -25A - 30 mA</v>
      </c>
      <c r="I56" s="10" t="str">
        <f>IFERROR(VLOOKUP($D56,임시동력입.출고현황!$A:$G,I$5,0),)</f>
        <v>EA</v>
      </c>
      <c r="J56" s="96"/>
      <c r="K56" s="96"/>
      <c r="L56" s="241">
        <v>1</v>
      </c>
      <c r="M56" s="97"/>
      <c r="N56" s="96"/>
    </row>
    <row r="57" spans="1:14" s="11" customFormat="1" ht="28.2" customHeight="1">
      <c r="A57" s="11">
        <v>52</v>
      </c>
      <c r="B57" s="290">
        <v>52</v>
      </c>
      <c r="C57" s="290" t="s">
        <v>626</v>
      </c>
      <c r="D57" s="290" t="s">
        <v>482</v>
      </c>
      <c r="E57" s="41" t="str">
        <f>IFERROR(VLOOKUP($D57,임시동력입.출고현황!$A:$G,E$5,0),)</f>
        <v>MCB</v>
      </c>
      <c r="F57" s="19" t="str">
        <f>IFERROR(VLOOKUP($D57,임시동력입.출고현황!$A:$G,F$5,0),)</f>
        <v>RCBO</v>
      </c>
      <c r="G57" s="19">
        <f>IFERROR(VLOOKUP($D57,임시동력입.출고현황!$A:$G,G$5,0),)</f>
        <v>0</v>
      </c>
      <c r="H57" s="19" t="str">
        <f>IFERROR(VLOOKUP($D57,임시동력입.출고현황!$A:$G,H$5,0),)</f>
        <v>1P + N -32A - 30 mA</v>
      </c>
      <c r="I57" s="10" t="str">
        <f>IFERROR(VLOOKUP($D57,임시동력입.출고현황!$A:$G,I$5,0),)</f>
        <v>EA</v>
      </c>
      <c r="J57" s="96"/>
      <c r="K57" s="96"/>
      <c r="L57" s="241">
        <v>-2</v>
      </c>
      <c r="M57" s="97"/>
      <c r="N57" s="96"/>
    </row>
    <row r="58" spans="1:14" s="11" customFormat="1" ht="28.2" customHeight="1">
      <c r="A58" s="11">
        <v>53</v>
      </c>
      <c r="B58" s="290">
        <v>53</v>
      </c>
      <c r="C58" s="290" t="s">
        <v>626</v>
      </c>
      <c r="D58" s="290" t="s">
        <v>483</v>
      </c>
      <c r="E58" s="41" t="str">
        <f>IFERROR(VLOOKUP($D58,임시동력입.출고현황!$A:$G,E$5,0),)</f>
        <v>MCB</v>
      </c>
      <c r="F58" s="19" t="str">
        <f>IFERROR(VLOOKUP($D58,임시동력입.출고현황!$A:$G,F$5,0),)</f>
        <v>RCCB</v>
      </c>
      <c r="G58" s="19">
        <f>IFERROR(VLOOKUP($D58,임시동력입.출고현황!$A:$G,G$5,0),)</f>
        <v>0</v>
      </c>
      <c r="H58" s="19" t="str">
        <f>IFERROR(VLOOKUP($D58,임시동력입.출고현황!$A:$G,H$5,0),)</f>
        <v>4P - 32A - 30 mA</v>
      </c>
      <c r="I58" s="10" t="str">
        <f>IFERROR(VLOOKUP($D58,임시동력입.출고현황!$A:$G,I$5,0),)</f>
        <v>EA</v>
      </c>
      <c r="J58" s="96"/>
      <c r="K58" s="96"/>
      <c r="L58" s="241">
        <v>50</v>
      </c>
      <c r="M58" s="97"/>
      <c r="N58" s="96"/>
    </row>
    <row r="59" spans="1:14" s="131" customFormat="1" ht="28.2" customHeight="1">
      <c r="A59" s="11">
        <v>54</v>
      </c>
      <c r="B59" s="290">
        <v>54</v>
      </c>
      <c r="C59" s="129">
        <v>45658</v>
      </c>
      <c r="D59" s="10" t="s">
        <v>347</v>
      </c>
      <c r="E59" s="41" t="str">
        <f>IFERROR(VLOOKUP($D59,임시동력입.출고현황!$A:$G,E$5,0),)</f>
        <v>LTG</v>
      </c>
      <c r="F59" s="19" t="str">
        <f>IFERROR(VLOOKUP($D59,임시동력입.출고현황!$A:$G,F$5,0),)</f>
        <v>Lighting Fixture</v>
      </c>
      <c r="G59" s="19">
        <f>IFERROR(VLOOKUP($D59,임시동력입.출고현황!$A:$G,G$5,0),)</f>
        <v>0</v>
      </c>
      <c r="H59" s="19" t="str">
        <f>IFERROR(VLOOKUP($D59,임시동력입.출고현황!$A:$G,H$5,0),)</f>
        <v>200W</v>
      </c>
      <c r="I59" s="10" t="str">
        <f>IFERROR(VLOOKUP($D59,임시동력입.출고현황!$A:$G,I$5,0),)</f>
        <v>EA</v>
      </c>
      <c r="J59" s="133">
        <v>3</v>
      </c>
      <c r="K59" s="130" t="s">
        <v>237</v>
      </c>
      <c r="L59" s="121">
        <v>1</v>
      </c>
      <c r="M59" s="81" t="s">
        <v>242</v>
      </c>
      <c r="N59" s="130"/>
    </row>
    <row r="60" spans="1:14" s="131" customFormat="1" ht="28.2" customHeight="1">
      <c r="A60" s="11">
        <v>55</v>
      </c>
      <c r="B60" s="290">
        <v>55</v>
      </c>
      <c r="C60" s="129">
        <v>45658</v>
      </c>
      <c r="D60" s="29" t="s">
        <v>320</v>
      </c>
      <c r="E60" s="41" t="str">
        <f>IFERROR(VLOOKUP($D60,임시동력입.출고현황!$A:$G,E$5,0),)</f>
        <v>Cable</v>
      </c>
      <c r="F60" s="19" t="str">
        <f>IFERROR(VLOOKUP($D60,임시동력입.출고현황!$A:$G,F$5,0),)</f>
        <v>AL Cable</v>
      </c>
      <c r="G60" s="19">
        <f>IFERROR(VLOOKUP($D60,임시동력입.출고현황!$A:$G,G$5,0),)</f>
        <v>0</v>
      </c>
      <c r="H60" s="19" t="str">
        <f>IFERROR(VLOOKUP($D60,임시동력입.출고현황!$A:$G,H$5,0),)</f>
        <v>3C x 95+50mm2 [ALU]</v>
      </c>
      <c r="I60" s="10" t="str">
        <f>IFERROR(VLOOKUP($D60,임시동력입.출고현황!$A:$G,I$5,0),)</f>
        <v>M</v>
      </c>
      <c r="J60" s="10">
        <v>10</v>
      </c>
      <c r="K60" s="10" t="s">
        <v>239</v>
      </c>
      <c r="L60" s="121">
        <v>190</v>
      </c>
      <c r="M60" s="81" t="s">
        <v>242</v>
      </c>
      <c r="N60" s="130"/>
    </row>
    <row r="61" spans="1:14" s="131" customFormat="1" ht="28.2" customHeight="1">
      <c r="A61" s="11">
        <v>56</v>
      </c>
      <c r="B61" s="290">
        <v>56</v>
      </c>
      <c r="C61" s="129">
        <v>45658</v>
      </c>
      <c r="D61" s="10" t="s">
        <v>322</v>
      </c>
      <c r="E61" s="41" t="str">
        <f>IFERROR(VLOOKUP($D61,임시동력입.출고현황!$A:$G,E$5,0),)</f>
        <v>Cable</v>
      </c>
      <c r="F61" s="19" t="str">
        <f>IFERROR(VLOOKUP($D61,임시동력입.출고현황!$A:$G,F$5,0),)</f>
        <v>AL Cable</v>
      </c>
      <c r="G61" s="19">
        <f>IFERROR(VLOOKUP($D61,임시동력입.출고현황!$A:$G,G$5,0),)</f>
        <v>0</v>
      </c>
      <c r="H61" s="19" t="str">
        <f>IFERROR(VLOOKUP($D61,임시동력입.출고현황!$A:$G,H$5,0),)</f>
        <v>3C x 50+25mm2 [ALU]</v>
      </c>
      <c r="I61" s="10" t="str">
        <f>IFERROR(VLOOKUP($D61,임시동력입.출고현황!$A:$G,I$5,0),)</f>
        <v>M</v>
      </c>
      <c r="J61" s="10">
        <v>10</v>
      </c>
      <c r="K61" s="10" t="s">
        <v>239</v>
      </c>
      <c r="L61" s="121">
        <v>225</v>
      </c>
      <c r="M61" s="81" t="s">
        <v>242</v>
      </c>
      <c r="N61" s="134"/>
    </row>
    <row r="62" spans="1:14" s="131" customFormat="1" ht="28.2" customHeight="1">
      <c r="A62" s="11">
        <v>57</v>
      </c>
      <c r="B62" s="290">
        <v>57</v>
      </c>
      <c r="C62" s="129">
        <v>45659</v>
      </c>
      <c r="D62" s="10" t="s">
        <v>347</v>
      </c>
      <c r="E62" s="41" t="str">
        <f>IFERROR(VLOOKUP($D62,임시동력입.출고현황!$A:$G,E$5,0),)</f>
        <v>LTG</v>
      </c>
      <c r="F62" s="19" t="str">
        <f>IFERROR(VLOOKUP($D62,임시동력입.출고현황!$A:$G,F$5,0),)</f>
        <v>Lighting Fixture</v>
      </c>
      <c r="G62" s="19">
        <f>IFERROR(VLOOKUP($D62,임시동력입.출고현황!$A:$G,G$5,0),)</f>
        <v>0</v>
      </c>
      <c r="H62" s="19" t="str">
        <f>IFERROR(VLOOKUP($D62,임시동력입.출고현황!$A:$G,H$5,0),)</f>
        <v>200W</v>
      </c>
      <c r="I62" s="10" t="str">
        <f>IFERROR(VLOOKUP($D62,임시동력입.출고현황!$A:$G,I$5,0),)</f>
        <v>EA</v>
      </c>
      <c r="J62" s="10">
        <v>3</v>
      </c>
      <c r="K62" s="10" t="s">
        <v>247</v>
      </c>
      <c r="L62" s="121">
        <v>1</v>
      </c>
      <c r="M62" s="81" t="s">
        <v>242</v>
      </c>
      <c r="N62" s="134"/>
    </row>
    <row r="63" spans="1:14" s="131" customFormat="1" ht="28.2" customHeight="1">
      <c r="A63" s="11">
        <v>58</v>
      </c>
      <c r="B63" s="290">
        <v>58</v>
      </c>
      <c r="C63" s="129">
        <v>45661</v>
      </c>
      <c r="D63" s="10" t="s">
        <v>341</v>
      </c>
      <c r="E63" s="41" t="str">
        <f>IFERROR(VLOOKUP($D63,임시동력입.출고현황!$A:$G,E$5,0),)</f>
        <v>LTG</v>
      </c>
      <c r="F63" s="19" t="str">
        <f>IFERROR(VLOOKUP($D63,임시동력입.출고현황!$A:$G,F$5,0),)</f>
        <v>Lighting Fixture</v>
      </c>
      <c r="G63" s="19">
        <f>IFERROR(VLOOKUP($D63,임시동력입.출고현황!$A:$G,G$5,0),)</f>
        <v>0</v>
      </c>
      <c r="H63" s="19" t="str">
        <f>IFERROR(VLOOKUP($D63,임시동력입.출고현황!$A:$G,H$5,0),)</f>
        <v>400W</v>
      </c>
      <c r="I63" s="10" t="str">
        <f>IFERROR(VLOOKUP($D63,임시동력입.출고현황!$A:$G,I$5,0),)</f>
        <v>EA</v>
      </c>
      <c r="J63" s="10">
        <v>4</v>
      </c>
      <c r="K63" s="10" t="s">
        <v>244</v>
      </c>
      <c r="L63" s="121">
        <v>6</v>
      </c>
      <c r="M63" s="81" t="s">
        <v>248</v>
      </c>
      <c r="N63" s="134"/>
    </row>
    <row r="64" spans="1:14" s="131" customFormat="1" ht="28.2" customHeight="1">
      <c r="A64" s="11">
        <v>59</v>
      </c>
      <c r="B64" s="290">
        <v>59</v>
      </c>
      <c r="C64" s="129">
        <v>45661</v>
      </c>
      <c r="D64" s="10" t="s">
        <v>342</v>
      </c>
      <c r="E64" s="41" t="str">
        <f>IFERROR(VLOOKUP($D64,임시동력입.출고현황!$A:$G,E$5,0),)</f>
        <v>Cable</v>
      </c>
      <c r="F64" s="19" t="str">
        <f>IFERROR(VLOOKUP($D64,임시동력입.출고현황!$A:$G,F$5,0),)</f>
        <v>Grounding Cable</v>
      </c>
      <c r="G64" s="19">
        <f>IFERROR(VLOOKUP($D64,임시동력입.출고현황!$A:$G,G$5,0),)</f>
        <v>0</v>
      </c>
      <c r="H64" s="19" t="str">
        <f>IFERROR(VLOOKUP($D64,임시동력입.출고현황!$A:$G,H$5,0),)</f>
        <v>1C x 70mm2</v>
      </c>
      <c r="I64" s="10" t="str">
        <f>IFERROR(VLOOKUP($D64,임시동력입.출고현황!$A:$G,I$5,0),)</f>
        <v>M</v>
      </c>
      <c r="J64" s="10">
        <v>4</v>
      </c>
      <c r="K64" s="10" t="s">
        <v>244</v>
      </c>
      <c r="L64" s="121">
        <v>3</v>
      </c>
      <c r="M64" s="81" t="s">
        <v>248</v>
      </c>
      <c r="N64" s="134"/>
    </row>
    <row r="65" spans="1:14" s="131" customFormat="1" ht="28.2" customHeight="1">
      <c r="A65" s="11">
        <v>60</v>
      </c>
      <c r="B65" s="290">
        <v>60</v>
      </c>
      <c r="C65" s="129">
        <v>45661</v>
      </c>
      <c r="D65" s="10" t="s">
        <v>335</v>
      </c>
      <c r="E65" s="41" t="str">
        <f>IFERROR(VLOOKUP($D65,임시동력입.출고현황!$A:$G,E$5,0),)</f>
        <v>Cable</v>
      </c>
      <c r="F65" s="19" t="str">
        <f>IFERROR(VLOOKUP($D65,임시동력입.출고현황!$A:$G,F$5,0),)</f>
        <v>CV Cable</v>
      </c>
      <c r="G65" s="19">
        <f>IFERROR(VLOOKUP($D65,임시동력입.출고현황!$A:$G,G$5,0),)</f>
        <v>0</v>
      </c>
      <c r="H65" s="19" t="str">
        <f>IFERROR(VLOOKUP($D65,임시동력입.출고현황!$A:$G,H$5,0),)</f>
        <v>3C x 2.5mm2</v>
      </c>
      <c r="I65" s="10" t="str">
        <f>IFERROR(VLOOKUP($D65,임시동력입.출고현황!$A:$G,I$5,0),)</f>
        <v>M</v>
      </c>
      <c r="J65" s="10">
        <v>4</v>
      </c>
      <c r="K65" s="10" t="s">
        <v>244</v>
      </c>
      <c r="L65" s="121">
        <v>80</v>
      </c>
      <c r="M65" s="81" t="s">
        <v>248</v>
      </c>
      <c r="N65" s="134"/>
    </row>
    <row r="66" spans="1:14" s="131" customFormat="1" ht="28.2" customHeight="1">
      <c r="A66" s="11">
        <v>61</v>
      </c>
      <c r="B66" s="290">
        <v>61</v>
      </c>
      <c r="C66" s="129">
        <v>45661</v>
      </c>
      <c r="D66" s="10" t="s">
        <v>336</v>
      </c>
      <c r="E66" s="41" t="str">
        <f>IFERROR(VLOOKUP($D66,임시동력입.출고현황!$A:$G,E$5,0),)</f>
        <v>Cable</v>
      </c>
      <c r="F66" s="19" t="str">
        <f>IFERROR(VLOOKUP($D66,임시동력입.출고현황!$A:$G,F$5,0),)</f>
        <v>CV Cable</v>
      </c>
      <c r="G66" s="19">
        <f>IFERROR(VLOOKUP($D66,임시동력입.출고현황!$A:$G,G$5,0),)</f>
        <v>0</v>
      </c>
      <c r="H66" s="19" t="str">
        <f>IFERROR(VLOOKUP($D66,임시동력입.출고현황!$A:$G,H$5,0),)</f>
        <v>3C x 1.5mm2</v>
      </c>
      <c r="I66" s="10" t="str">
        <f>IFERROR(VLOOKUP($D66,임시동력입.출고현황!$A:$G,I$5,0),)</f>
        <v>M</v>
      </c>
      <c r="J66" s="10">
        <v>4</v>
      </c>
      <c r="K66" s="10" t="s">
        <v>244</v>
      </c>
      <c r="L66" s="121">
        <v>30</v>
      </c>
      <c r="M66" s="81" t="s">
        <v>248</v>
      </c>
      <c r="N66" s="134"/>
    </row>
    <row r="67" spans="1:14" s="131" customFormat="1" ht="28.2" customHeight="1">
      <c r="A67" s="11">
        <v>62</v>
      </c>
      <c r="B67" s="290">
        <v>62</v>
      </c>
      <c r="C67" s="129">
        <v>45663</v>
      </c>
      <c r="D67" s="10" t="s">
        <v>304</v>
      </c>
      <c r="E67" s="41" t="str">
        <f>IFERROR(VLOOKUP($D67,임시동력입.출고현황!$A:$G,E$5,0),)</f>
        <v>Panel</v>
      </c>
      <c r="F67" s="19" t="str">
        <f>IFERROR(VLOOKUP($D67,임시동력입.출고현황!$A:$G,F$5,0),)</f>
        <v>Electrical Panel</v>
      </c>
      <c r="G67" s="19">
        <f>IFERROR(VLOOKUP($D67,임시동력입.출고현황!$A:$G,G$5,0),)</f>
        <v>0</v>
      </c>
      <c r="H67" s="19" t="str">
        <f>IFERROR(VLOOKUP($D67,임시동력입.출고현황!$A:$G,H$5,0),)</f>
        <v>400A</v>
      </c>
      <c r="I67" s="10" t="str">
        <f>IFERROR(VLOOKUP($D67,임시동력입.출고현황!$A:$G,I$5,0),)</f>
        <v>EA</v>
      </c>
      <c r="J67" s="10">
        <v>2</v>
      </c>
      <c r="K67" s="10" t="s">
        <v>249</v>
      </c>
      <c r="L67" s="121">
        <v>1</v>
      </c>
      <c r="M67" s="81" t="s">
        <v>248</v>
      </c>
      <c r="N67" s="134"/>
    </row>
    <row r="68" spans="1:14" s="131" customFormat="1" ht="28.2" customHeight="1">
      <c r="A68" s="11">
        <v>63</v>
      </c>
      <c r="B68" s="290">
        <v>63</v>
      </c>
      <c r="C68" s="129">
        <v>45663</v>
      </c>
      <c r="D68" s="10" t="s">
        <v>311</v>
      </c>
      <c r="E68" s="41" t="str">
        <f>IFERROR(VLOOKUP($D68,임시동력입.출고현황!$A:$G,E$5,0),)</f>
        <v>Panel</v>
      </c>
      <c r="F68" s="19" t="str">
        <f>IFERROR(VLOOKUP($D68,임시동력입.출고현황!$A:$G,F$5,0),)</f>
        <v>Electrical Panel</v>
      </c>
      <c r="G68" s="19">
        <f>IFERROR(VLOOKUP($D68,임시동력입.출고현황!$A:$G,G$5,0),)</f>
        <v>0</v>
      </c>
      <c r="H68" s="19" t="str">
        <f>IFERROR(VLOOKUP($D68,임시동력입.출고현황!$A:$G,H$5,0),)</f>
        <v>50A</v>
      </c>
      <c r="I68" s="10" t="str">
        <f>IFERROR(VLOOKUP($D68,임시동력입.출고현황!$A:$G,I$5,0),)</f>
        <v>EA</v>
      </c>
      <c r="J68" s="10">
        <v>2</v>
      </c>
      <c r="K68" s="10" t="s">
        <v>249</v>
      </c>
      <c r="L68" s="121">
        <v>1</v>
      </c>
      <c r="M68" s="81" t="s">
        <v>248</v>
      </c>
      <c r="N68" s="134"/>
    </row>
    <row r="69" spans="1:14" s="131" customFormat="1" ht="28.2" customHeight="1">
      <c r="A69" s="11">
        <v>64</v>
      </c>
      <c r="B69" s="290">
        <v>64</v>
      </c>
      <c r="C69" s="129">
        <v>45663</v>
      </c>
      <c r="D69" s="10" t="s">
        <v>324</v>
      </c>
      <c r="E69" s="41" t="str">
        <f>IFERROR(VLOOKUP($D69,임시동력입.출고현황!$A:$G,E$5,0),)</f>
        <v>Cable</v>
      </c>
      <c r="F69" s="19" t="str">
        <f>IFERROR(VLOOKUP($D69,임시동력입.출고현황!$A:$G,F$5,0),)</f>
        <v>CV Cable</v>
      </c>
      <c r="G69" s="19">
        <f>IFERROR(VLOOKUP($D69,임시동력입.출고현황!$A:$G,G$5,0),)</f>
        <v>0</v>
      </c>
      <c r="H69" s="19" t="str">
        <f>IFERROR(VLOOKUP($D69,임시동력입.출고현황!$A:$G,H$5,0),)</f>
        <v>3C X 185+95mm2</v>
      </c>
      <c r="I69" s="10" t="str">
        <f>IFERROR(VLOOKUP($D69,임시동력입.출고현황!$A:$G,I$5,0),)</f>
        <v>M</v>
      </c>
      <c r="J69" s="10">
        <v>2</v>
      </c>
      <c r="K69" s="10" t="s">
        <v>249</v>
      </c>
      <c r="L69" s="121">
        <v>17</v>
      </c>
      <c r="M69" s="81" t="s">
        <v>248</v>
      </c>
      <c r="N69" s="134"/>
    </row>
    <row r="70" spans="1:14" s="1" customFormat="1" ht="28.2" customHeight="1">
      <c r="A70" s="11">
        <v>65</v>
      </c>
      <c r="B70" s="290">
        <v>65</v>
      </c>
      <c r="C70" s="129">
        <v>45663</v>
      </c>
      <c r="D70" s="10" t="s">
        <v>342</v>
      </c>
      <c r="E70" s="41" t="str">
        <f>IFERROR(VLOOKUP($D70,임시동력입.출고현황!$A:$G,E$5,0),)</f>
        <v>Cable</v>
      </c>
      <c r="F70" s="19" t="str">
        <f>IFERROR(VLOOKUP($D70,임시동력입.출고현황!$A:$G,F$5,0),)</f>
        <v>Grounding Cable</v>
      </c>
      <c r="G70" s="19">
        <f>IFERROR(VLOOKUP($D70,임시동력입.출고현황!$A:$G,G$5,0),)</f>
        <v>0</v>
      </c>
      <c r="H70" s="19" t="str">
        <f>IFERROR(VLOOKUP($D70,임시동력입.출고현황!$A:$G,H$5,0),)</f>
        <v>1C x 70mm2</v>
      </c>
      <c r="I70" s="10" t="str">
        <f>IFERROR(VLOOKUP($D70,임시동력입.출고현황!$A:$G,I$5,0),)</f>
        <v>M</v>
      </c>
      <c r="J70" s="10">
        <v>2</v>
      </c>
      <c r="K70" s="10" t="s">
        <v>249</v>
      </c>
      <c r="L70" s="121">
        <v>10</v>
      </c>
      <c r="M70" s="81" t="s">
        <v>248</v>
      </c>
      <c r="N70" s="6"/>
    </row>
    <row r="71" spans="1:14" s="1" customFormat="1" ht="28.2" customHeight="1">
      <c r="A71" s="11">
        <v>66</v>
      </c>
      <c r="B71" s="290">
        <v>66</v>
      </c>
      <c r="C71" s="129">
        <v>45663</v>
      </c>
      <c r="D71" s="10" t="s">
        <v>345</v>
      </c>
      <c r="E71" s="41" t="str">
        <f>IFERROR(VLOOKUP($D71,임시동력입.출고현황!$A:$G,E$5,0),)</f>
        <v>Cable</v>
      </c>
      <c r="F71" s="19" t="str">
        <f>IFERROR(VLOOKUP($D71,임시동력입.출고현황!$A:$G,F$5,0),)</f>
        <v>Grounding Cable</v>
      </c>
      <c r="G71" s="19">
        <f>IFERROR(VLOOKUP($D71,임시동력입.출고현황!$A:$G,G$5,0),)</f>
        <v>0</v>
      </c>
      <c r="H71" s="19" t="str">
        <f>IFERROR(VLOOKUP($D71,임시동력입.출고현황!$A:$G,H$5,0),)</f>
        <v>1C x 16mm2</v>
      </c>
      <c r="I71" s="10" t="str">
        <f>IFERROR(VLOOKUP($D71,임시동력입.출고현황!$A:$G,I$5,0),)</f>
        <v>M</v>
      </c>
      <c r="J71" s="10">
        <v>2</v>
      </c>
      <c r="K71" s="10" t="s">
        <v>249</v>
      </c>
      <c r="L71" s="121">
        <v>10</v>
      </c>
      <c r="M71" s="81" t="s">
        <v>248</v>
      </c>
      <c r="N71" s="6"/>
    </row>
    <row r="72" spans="1:14" s="1" customFormat="1" ht="28.2" customHeight="1">
      <c r="A72" s="11">
        <v>67</v>
      </c>
      <c r="B72" s="290">
        <v>67</v>
      </c>
      <c r="C72" s="129">
        <v>45663</v>
      </c>
      <c r="D72" s="10" t="s">
        <v>346</v>
      </c>
      <c r="E72" s="41" t="str">
        <f>IFERROR(VLOOKUP($D72,임시동력입.출고현황!$A:$G,E$5,0),)</f>
        <v>Cable</v>
      </c>
      <c r="F72" s="19" t="str">
        <f>IFERROR(VLOOKUP($D72,임시동력입.출고현황!$A:$G,F$5,0),)</f>
        <v>Grounding Cable</v>
      </c>
      <c r="G72" s="19">
        <f>IFERROR(VLOOKUP($D72,임시동력입.출고현황!$A:$G,G$5,0),)</f>
        <v>0</v>
      </c>
      <c r="H72" s="19" t="str">
        <f>IFERROR(VLOOKUP($D72,임시동력입.출고현황!$A:$G,H$5,0),)</f>
        <v>1C x 10mm2</v>
      </c>
      <c r="I72" s="10" t="str">
        <f>IFERROR(VLOOKUP($D72,임시동력입.출고현황!$A:$G,I$5,0),)</f>
        <v>M</v>
      </c>
      <c r="J72" s="10">
        <v>2</v>
      </c>
      <c r="K72" s="10" t="s">
        <v>262</v>
      </c>
      <c r="L72" s="57">
        <v>15</v>
      </c>
      <c r="M72" s="81" t="s">
        <v>263</v>
      </c>
      <c r="N72" s="6"/>
    </row>
    <row r="73" spans="1:14" s="131" customFormat="1" ht="28.2" customHeight="1">
      <c r="A73" s="11">
        <v>68</v>
      </c>
      <c r="B73" s="290">
        <v>68</v>
      </c>
      <c r="C73" s="129">
        <v>45664</v>
      </c>
      <c r="D73" s="10" t="s">
        <v>326</v>
      </c>
      <c r="E73" s="41" t="str">
        <f>IFERROR(VLOOKUP($D73,임시동력입.출고현황!$A:$G,E$5,0),)</f>
        <v>Cable</v>
      </c>
      <c r="F73" s="19" t="str">
        <f>IFERROR(VLOOKUP($D73,임시동력입.출고현황!$A:$G,F$5,0),)</f>
        <v>CV Cable</v>
      </c>
      <c r="G73" s="19">
        <f>IFERROR(VLOOKUP($D73,임시동력입.출고현황!$A:$G,G$5,0),)</f>
        <v>0</v>
      </c>
      <c r="H73" s="19" t="str">
        <f>IFERROR(VLOOKUP($D73,임시동력입.출고현황!$A:$G,H$5,0),)</f>
        <v>3C X 50+25mm2</v>
      </c>
      <c r="I73" s="10" t="str">
        <f>IFERROR(VLOOKUP($D73,임시동력입.출고현황!$A:$G,I$5,0),)</f>
        <v>M</v>
      </c>
      <c r="J73" s="10">
        <v>3</v>
      </c>
      <c r="K73" s="10" t="s">
        <v>247</v>
      </c>
      <c r="L73" s="57">
        <v>55</v>
      </c>
      <c r="M73" s="81" t="s">
        <v>248</v>
      </c>
      <c r="N73" s="134"/>
    </row>
    <row r="74" spans="1:14" s="131" customFormat="1" ht="28.2" customHeight="1">
      <c r="A74" s="11">
        <v>69</v>
      </c>
      <c r="B74" s="290">
        <v>69</v>
      </c>
      <c r="C74" s="129">
        <v>45664</v>
      </c>
      <c r="D74" s="10" t="s">
        <v>319</v>
      </c>
      <c r="E74" s="41" t="str">
        <f>IFERROR(VLOOKUP($D74,임시동력입.출고현황!$A:$G,E$5,0),)</f>
        <v>Cable</v>
      </c>
      <c r="F74" s="19" t="str">
        <f>IFERROR(VLOOKUP($D74,임시동력입.출고현황!$A:$G,F$5,0),)</f>
        <v>AL Cable</v>
      </c>
      <c r="G74" s="19">
        <f>IFERROR(VLOOKUP($D74,임시동력입.출고현황!$A:$G,G$5,0),)</f>
        <v>0</v>
      </c>
      <c r="H74" s="19" t="str">
        <f>IFERROR(VLOOKUP($D74,임시동력입.출고현황!$A:$G,H$5,0),)</f>
        <v>3C x 120+70mm2 [ALU]</v>
      </c>
      <c r="I74" s="10" t="str">
        <f>IFERROR(VLOOKUP($D74,임시동력입.출고현황!$A:$G,I$5,0),)</f>
        <v>M</v>
      </c>
      <c r="J74" s="10">
        <v>3</v>
      </c>
      <c r="K74" s="10" t="s">
        <v>247</v>
      </c>
      <c r="L74" s="57">
        <v>65</v>
      </c>
      <c r="M74" s="81" t="s">
        <v>248</v>
      </c>
      <c r="N74" s="134"/>
    </row>
    <row r="75" spans="1:14" s="131" customFormat="1" ht="28.2" customHeight="1">
      <c r="A75" s="11">
        <v>70</v>
      </c>
      <c r="B75" s="290">
        <v>70</v>
      </c>
      <c r="C75" s="129">
        <v>45664</v>
      </c>
      <c r="D75" s="10" t="s">
        <v>307</v>
      </c>
      <c r="E75" s="41" t="str">
        <f>IFERROR(VLOOKUP($D75,임시동력입.출고현황!$A:$G,E$5,0),)</f>
        <v>Panel</v>
      </c>
      <c r="F75" s="19" t="str">
        <f>IFERROR(VLOOKUP($D75,임시동력입.출고현황!$A:$G,F$5,0),)</f>
        <v>Electrical Panel</v>
      </c>
      <c r="G75" s="19">
        <f>IFERROR(VLOOKUP($D75,임시동력입.출고현황!$A:$G,G$5,0),)</f>
        <v>0</v>
      </c>
      <c r="H75" s="19" t="str">
        <f>IFERROR(VLOOKUP($D75,임시동력입.출고현황!$A:$G,H$5,0),)</f>
        <v>160A</v>
      </c>
      <c r="I75" s="10" t="str">
        <f>IFERROR(VLOOKUP($D75,임시동력입.출고현황!$A:$G,I$5,0),)</f>
        <v>EA</v>
      </c>
      <c r="J75" s="10">
        <v>3</v>
      </c>
      <c r="K75" s="10" t="s">
        <v>247</v>
      </c>
      <c r="L75" s="57">
        <v>1</v>
      </c>
      <c r="M75" s="81" t="s">
        <v>248</v>
      </c>
      <c r="N75" s="134"/>
    </row>
    <row r="76" spans="1:14" s="1" customFormat="1" ht="28.2" customHeight="1">
      <c r="A76" s="11">
        <v>71</v>
      </c>
      <c r="B76" s="290">
        <v>71</v>
      </c>
      <c r="C76" s="129">
        <v>45664</v>
      </c>
      <c r="D76" s="10" t="s">
        <v>306</v>
      </c>
      <c r="E76" s="41" t="str">
        <f>IFERROR(VLOOKUP($D76,임시동력입.출고현황!$A:$G,E$5,0),)</f>
        <v>Panel</v>
      </c>
      <c r="F76" s="19" t="str">
        <f>IFERROR(VLOOKUP($D76,임시동력입.출고현황!$A:$G,F$5,0),)</f>
        <v>Electrical Panel</v>
      </c>
      <c r="G76" s="19">
        <f>IFERROR(VLOOKUP($D76,임시동력입.출고현황!$A:$G,G$5,0),)</f>
        <v>0</v>
      </c>
      <c r="H76" s="19" t="str">
        <f>IFERROR(VLOOKUP($D76,임시동력입.출고현황!$A:$G,H$5,0),)</f>
        <v>250A</v>
      </c>
      <c r="I76" s="10" t="str">
        <f>IFERROR(VLOOKUP($D76,임시동력입.출고현황!$A:$G,I$5,0),)</f>
        <v>EA</v>
      </c>
      <c r="J76" s="10">
        <v>3</v>
      </c>
      <c r="K76" s="10" t="s">
        <v>247</v>
      </c>
      <c r="L76" s="57">
        <v>1</v>
      </c>
      <c r="M76" s="81" t="s">
        <v>248</v>
      </c>
      <c r="N76" s="6"/>
    </row>
    <row r="77" spans="1:14" s="131" customFormat="1" ht="28.2" customHeight="1">
      <c r="A77" s="11">
        <v>72</v>
      </c>
      <c r="B77" s="290">
        <v>72</v>
      </c>
      <c r="C77" s="129">
        <v>45664</v>
      </c>
      <c r="D77" s="10" t="s">
        <v>304</v>
      </c>
      <c r="E77" s="41" t="str">
        <f>IFERROR(VLOOKUP($D77,임시동력입.출고현황!$A:$G,E$5,0),)</f>
        <v>Panel</v>
      </c>
      <c r="F77" s="19" t="str">
        <f>IFERROR(VLOOKUP($D77,임시동력입.출고현황!$A:$G,F$5,0),)</f>
        <v>Electrical Panel</v>
      </c>
      <c r="G77" s="19">
        <f>IFERROR(VLOOKUP($D77,임시동력입.출고현황!$A:$G,G$5,0),)</f>
        <v>0</v>
      </c>
      <c r="H77" s="19" t="str">
        <f>IFERROR(VLOOKUP($D77,임시동력입.출고현황!$A:$G,H$5,0),)</f>
        <v>400A</v>
      </c>
      <c r="I77" s="10" t="str">
        <f>IFERROR(VLOOKUP($D77,임시동력입.출고현황!$A:$G,I$5,0),)</f>
        <v>EA</v>
      </c>
      <c r="J77" s="10">
        <v>3</v>
      </c>
      <c r="K77" s="10" t="s">
        <v>247</v>
      </c>
      <c r="L77" s="57">
        <v>1</v>
      </c>
      <c r="M77" s="81" t="s">
        <v>248</v>
      </c>
      <c r="N77" s="134"/>
    </row>
    <row r="78" spans="1:14" s="1" customFormat="1" ht="28.2" customHeight="1">
      <c r="A78" s="11">
        <v>73</v>
      </c>
      <c r="B78" s="290">
        <v>73</v>
      </c>
      <c r="C78" s="129">
        <v>45664</v>
      </c>
      <c r="D78" s="10" t="s">
        <v>306</v>
      </c>
      <c r="E78" s="41" t="str">
        <f>IFERROR(VLOOKUP($D78,임시동력입.출고현황!$A:$G,E$5,0),)</f>
        <v>Panel</v>
      </c>
      <c r="F78" s="19" t="str">
        <f>IFERROR(VLOOKUP($D78,임시동력입.출고현황!$A:$G,F$5,0),)</f>
        <v>Electrical Panel</v>
      </c>
      <c r="G78" s="19">
        <f>IFERROR(VLOOKUP($D78,임시동력입.출고현황!$A:$G,G$5,0),)</f>
        <v>0</v>
      </c>
      <c r="H78" s="19" t="str">
        <f>IFERROR(VLOOKUP($D78,임시동력입.출고현황!$A:$G,H$5,0),)</f>
        <v>250A</v>
      </c>
      <c r="I78" s="10" t="str">
        <f>IFERROR(VLOOKUP($D78,임시동력입.출고현황!$A:$G,I$5,0),)</f>
        <v>EA</v>
      </c>
      <c r="J78" s="10" t="s">
        <v>264</v>
      </c>
      <c r="K78" s="10" t="s">
        <v>264</v>
      </c>
      <c r="L78" s="57">
        <v>1</v>
      </c>
      <c r="M78" s="81" t="s">
        <v>248</v>
      </c>
      <c r="N78" s="6"/>
    </row>
    <row r="79" spans="1:14" s="131" customFormat="1" ht="28.2" customHeight="1">
      <c r="A79" s="11">
        <v>74</v>
      </c>
      <c r="B79" s="290">
        <v>74</v>
      </c>
      <c r="C79" s="129">
        <v>45665</v>
      </c>
      <c r="D79" s="10" t="s">
        <v>345</v>
      </c>
      <c r="E79" s="41" t="str">
        <f>IFERROR(VLOOKUP($D79,임시동력입.출고현황!$A:$G,E$5,0),)</f>
        <v>Cable</v>
      </c>
      <c r="F79" s="19" t="str">
        <f>IFERROR(VLOOKUP($D79,임시동력입.출고현황!$A:$G,F$5,0),)</f>
        <v>Grounding Cable</v>
      </c>
      <c r="G79" s="19">
        <f>IFERROR(VLOOKUP($D79,임시동력입.출고현황!$A:$G,G$5,0),)</f>
        <v>0</v>
      </c>
      <c r="H79" s="19" t="str">
        <f>IFERROR(VLOOKUP($D79,임시동력입.출고현황!$A:$G,H$5,0),)</f>
        <v>1C x 16mm2</v>
      </c>
      <c r="I79" s="10" t="str">
        <f>IFERROR(VLOOKUP($D79,임시동력입.출고현황!$A:$G,I$5,0),)</f>
        <v>M</v>
      </c>
      <c r="J79" s="10">
        <v>1</v>
      </c>
      <c r="K79" s="10" t="s">
        <v>239</v>
      </c>
      <c r="L79" s="57">
        <v>100</v>
      </c>
      <c r="M79" s="81" t="s">
        <v>263</v>
      </c>
      <c r="N79" s="134"/>
    </row>
    <row r="80" spans="1:14" s="131" customFormat="1" ht="28.2" customHeight="1">
      <c r="A80" s="11">
        <v>75</v>
      </c>
      <c r="B80" s="290">
        <v>75</v>
      </c>
      <c r="C80" s="129">
        <v>45666</v>
      </c>
      <c r="D80" s="10" t="s">
        <v>326</v>
      </c>
      <c r="E80" s="41" t="str">
        <f>IFERROR(VLOOKUP($D80,임시동력입.출고현황!$A:$G,E$5,0),)</f>
        <v>Cable</v>
      </c>
      <c r="F80" s="19" t="str">
        <f>IFERROR(VLOOKUP($D80,임시동력입.출고현황!$A:$G,F$5,0),)</f>
        <v>CV Cable</v>
      </c>
      <c r="G80" s="19">
        <f>IFERROR(VLOOKUP($D80,임시동력입.출고현황!$A:$G,G$5,0),)</f>
        <v>0</v>
      </c>
      <c r="H80" s="19" t="str">
        <f>IFERROR(VLOOKUP($D80,임시동력입.출고현황!$A:$G,H$5,0),)</f>
        <v>3C X 50+25mm2</v>
      </c>
      <c r="I80" s="10" t="str">
        <f>IFERROR(VLOOKUP($D80,임시동력입.출고현황!$A:$G,I$5,0),)</f>
        <v>M</v>
      </c>
      <c r="J80" s="10">
        <v>3</v>
      </c>
      <c r="K80" s="10" t="s">
        <v>265</v>
      </c>
      <c r="L80" s="57">
        <v>30</v>
      </c>
      <c r="M80" s="81" t="s">
        <v>263</v>
      </c>
      <c r="N80" s="134"/>
    </row>
    <row r="81" spans="1:14" s="131" customFormat="1" ht="28.2" customHeight="1">
      <c r="A81" s="11">
        <v>76</v>
      </c>
      <c r="B81" s="290">
        <v>76</v>
      </c>
      <c r="C81" s="129">
        <v>45666</v>
      </c>
      <c r="D81" s="10" t="s">
        <v>345</v>
      </c>
      <c r="E81" s="41" t="str">
        <f>IFERROR(VLOOKUP($D81,임시동력입.출고현황!$A:$G,E$5,0),)</f>
        <v>Cable</v>
      </c>
      <c r="F81" s="19" t="str">
        <f>IFERROR(VLOOKUP($D81,임시동력입.출고현황!$A:$G,F$5,0),)</f>
        <v>Grounding Cable</v>
      </c>
      <c r="G81" s="19">
        <f>IFERROR(VLOOKUP($D81,임시동력입.출고현황!$A:$G,G$5,0),)</f>
        <v>0</v>
      </c>
      <c r="H81" s="19" t="str">
        <f>IFERROR(VLOOKUP($D81,임시동력입.출고현황!$A:$G,H$5,0),)</f>
        <v>1C x 16mm2</v>
      </c>
      <c r="I81" s="10" t="str">
        <f>IFERROR(VLOOKUP($D81,임시동력입.출고현황!$A:$G,I$5,0),)</f>
        <v>M</v>
      </c>
      <c r="J81" s="10">
        <v>3</v>
      </c>
      <c r="K81" s="10" t="s">
        <v>265</v>
      </c>
      <c r="L81" s="57">
        <v>100</v>
      </c>
      <c r="M81" s="81" t="s">
        <v>263</v>
      </c>
      <c r="N81" s="134"/>
    </row>
    <row r="82" spans="1:14" s="131" customFormat="1" ht="28.2" customHeight="1">
      <c r="A82" s="11">
        <v>77</v>
      </c>
      <c r="B82" s="290">
        <v>77</v>
      </c>
      <c r="C82" s="129">
        <v>45666</v>
      </c>
      <c r="D82" s="10" t="s">
        <v>332</v>
      </c>
      <c r="E82" s="41" t="str">
        <f>IFERROR(VLOOKUP($D82,임시동력입.출고현황!$A:$G,E$5,0),)</f>
        <v>Cable</v>
      </c>
      <c r="F82" s="19" t="str">
        <f>IFERROR(VLOOKUP($D82,임시동력입.출고현황!$A:$G,F$5,0),)</f>
        <v>CV Cable</v>
      </c>
      <c r="G82" s="19">
        <f>IFERROR(VLOOKUP($D82,임시동력입.출고현황!$A:$G,G$5,0),)</f>
        <v>0</v>
      </c>
      <c r="H82" s="19" t="str">
        <f>IFERROR(VLOOKUP($D82,임시동력입.출고현황!$A:$G,H$5,0),)</f>
        <v>3C x 10mm2</v>
      </c>
      <c r="I82" s="10" t="str">
        <f>IFERROR(VLOOKUP($D82,임시동력입.출고현황!$A:$G,I$5,0),)</f>
        <v>M</v>
      </c>
      <c r="J82" s="10">
        <v>3</v>
      </c>
      <c r="K82" s="10" t="s">
        <v>247</v>
      </c>
      <c r="L82" s="57">
        <v>5</v>
      </c>
      <c r="M82" s="81" t="s">
        <v>248</v>
      </c>
      <c r="N82" s="134"/>
    </row>
    <row r="83" spans="1:14" s="131" customFormat="1" ht="28.2" customHeight="1">
      <c r="A83" s="11">
        <v>78</v>
      </c>
      <c r="B83" s="290">
        <v>78</v>
      </c>
      <c r="C83" s="129">
        <v>45669</v>
      </c>
      <c r="D83" s="10" t="s">
        <v>324</v>
      </c>
      <c r="E83" s="41" t="str">
        <f>IFERROR(VLOOKUP($D83,임시동력입.출고현황!$A:$G,E$5,0),)</f>
        <v>Cable</v>
      </c>
      <c r="F83" s="19" t="str">
        <f>IFERROR(VLOOKUP($D83,임시동력입.출고현황!$A:$G,F$5,0),)</f>
        <v>CV Cable</v>
      </c>
      <c r="G83" s="19">
        <f>IFERROR(VLOOKUP($D83,임시동력입.출고현황!$A:$G,G$5,0),)</f>
        <v>0</v>
      </c>
      <c r="H83" s="19" t="str">
        <f>IFERROR(VLOOKUP($D83,임시동력입.출고현황!$A:$G,H$5,0),)</f>
        <v>3C X 185+95mm2</v>
      </c>
      <c r="I83" s="10" t="str">
        <f>IFERROR(VLOOKUP($D83,임시동력입.출고현황!$A:$G,I$5,0),)</f>
        <v>M</v>
      </c>
      <c r="J83" s="10">
        <v>3</v>
      </c>
      <c r="K83" s="10" t="s">
        <v>265</v>
      </c>
      <c r="L83" s="57">
        <v>18</v>
      </c>
      <c r="M83" s="81" t="s">
        <v>248</v>
      </c>
      <c r="N83" s="134"/>
    </row>
    <row r="84" spans="1:14" s="131" customFormat="1" ht="28.2" customHeight="1">
      <c r="A84" s="11">
        <v>79</v>
      </c>
      <c r="B84" s="290">
        <v>79</v>
      </c>
      <c r="C84" s="129">
        <v>45669</v>
      </c>
      <c r="D84" s="10" t="s">
        <v>349</v>
      </c>
      <c r="E84" s="41" t="str">
        <f>IFERROR(VLOOKUP($D84,임시동력입.출고현황!$A:$G,E$5,0),)</f>
        <v>LTG</v>
      </c>
      <c r="F84" s="19" t="str">
        <f>IFERROR(VLOOKUP($D84,임시동력입.출고현황!$A:$G,F$5,0),)</f>
        <v>Lighting Fixture</v>
      </c>
      <c r="G84" s="19">
        <f>IFERROR(VLOOKUP($D84,임시동력입.출고현황!$A:$G,G$5,0),)</f>
        <v>0</v>
      </c>
      <c r="H84" s="19" t="str">
        <f>IFERROR(VLOOKUP($D84,임시동력입.출고현황!$A:$G,H$5,0),)</f>
        <v>50W</v>
      </c>
      <c r="I84" s="10" t="str">
        <f>IFERROR(VLOOKUP($D84,임시동력입.출고현황!$A:$G,I$5,0),)</f>
        <v>EA</v>
      </c>
      <c r="J84" s="10"/>
      <c r="K84" s="10" t="s">
        <v>266</v>
      </c>
      <c r="L84" s="57">
        <v>2</v>
      </c>
      <c r="M84" s="81" t="s">
        <v>248</v>
      </c>
      <c r="N84" s="134"/>
    </row>
    <row r="85" spans="1:14" s="131" customFormat="1" ht="28.2" customHeight="1">
      <c r="A85" s="11">
        <v>80</v>
      </c>
      <c r="B85" s="290">
        <v>80</v>
      </c>
      <c r="C85" s="129">
        <v>45664</v>
      </c>
      <c r="D85" s="10" t="s">
        <v>311</v>
      </c>
      <c r="E85" s="41" t="str">
        <f>IFERROR(VLOOKUP($D85,임시동력입.출고현황!$A:$G,E$5,0),)</f>
        <v>Panel</v>
      </c>
      <c r="F85" s="19" t="str">
        <f>IFERROR(VLOOKUP($D85,임시동력입.출고현황!$A:$G,F$5,0),)</f>
        <v>Electrical Panel</v>
      </c>
      <c r="G85" s="19">
        <f>IFERROR(VLOOKUP($D85,임시동력입.출고현황!$A:$G,G$5,0),)</f>
        <v>0</v>
      </c>
      <c r="H85" s="19" t="str">
        <f>IFERROR(VLOOKUP($D85,임시동력입.출고현황!$A:$G,H$5,0),)</f>
        <v>50A</v>
      </c>
      <c r="I85" s="10" t="str">
        <f>IFERROR(VLOOKUP($D85,임시동력입.출고현황!$A:$G,I$5,0),)</f>
        <v>EA</v>
      </c>
      <c r="J85" s="10">
        <v>3</v>
      </c>
      <c r="K85" s="10" t="s">
        <v>247</v>
      </c>
      <c r="L85" s="57">
        <v>1</v>
      </c>
      <c r="M85" s="81" t="s">
        <v>248</v>
      </c>
      <c r="N85" s="134"/>
    </row>
    <row r="86" spans="1:14" s="131" customFormat="1" ht="28.2" customHeight="1">
      <c r="A86" s="11">
        <v>81</v>
      </c>
      <c r="B86" s="290">
        <v>81</v>
      </c>
      <c r="C86" s="129">
        <v>45669</v>
      </c>
      <c r="D86" s="10" t="s">
        <v>336</v>
      </c>
      <c r="E86" s="41" t="str">
        <f>IFERROR(VLOOKUP($D86,임시동력입.출고현황!$A:$G,E$5,0),)</f>
        <v>Cable</v>
      </c>
      <c r="F86" s="19" t="str">
        <f>IFERROR(VLOOKUP($D86,임시동력입.출고현황!$A:$G,F$5,0),)</f>
        <v>CV Cable</v>
      </c>
      <c r="G86" s="19">
        <f>IFERROR(VLOOKUP($D86,임시동력입.출고현황!$A:$G,G$5,0),)</f>
        <v>0</v>
      </c>
      <c r="H86" s="19" t="str">
        <f>IFERROR(VLOOKUP($D86,임시동력입.출고현황!$A:$G,H$5,0),)</f>
        <v>3C x 1.5mm2</v>
      </c>
      <c r="I86" s="10" t="str">
        <f>IFERROR(VLOOKUP($D86,임시동력입.출고현황!$A:$G,I$5,0),)</f>
        <v>M</v>
      </c>
      <c r="J86" s="10"/>
      <c r="K86" s="10" t="s">
        <v>266</v>
      </c>
      <c r="L86" s="57">
        <v>30</v>
      </c>
      <c r="M86" s="81" t="s">
        <v>248</v>
      </c>
      <c r="N86" s="134"/>
    </row>
    <row r="87" spans="1:14" s="131" customFormat="1" ht="28.2" customHeight="1">
      <c r="A87" s="11">
        <v>82</v>
      </c>
      <c r="B87" s="290">
        <v>82</v>
      </c>
      <c r="C87" s="129">
        <v>45670</v>
      </c>
      <c r="D87" s="10" t="s">
        <v>341</v>
      </c>
      <c r="E87" s="41" t="str">
        <f>IFERROR(VLOOKUP($D87,임시동력입.출고현황!$A:$G,E$5,0),)</f>
        <v>LTG</v>
      </c>
      <c r="F87" s="19" t="str">
        <f>IFERROR(VLOOKUP($D87,임시동력입.출고현황!$A:$G,F$5,0),)</f>
        <v>Lighting Fixture</v>
      </c>
      <c r="G87" s="19">
        <f>IFERROR(VLOOKUP($D87,임시동력입.출고현황!$A:$G,G$5,0),)</f>
        <v>0</v>
      </c>
      <c r="H87" s="19" t="str">
        <f>IFERROR(VLOOKUP($D87,임시동력입.출고현황!$A:$G,H$5,0),)</f>
        <v>400W</v>
      </c>
      <c r="I87" s="10" t="str">
        <f>IFERROR(VLOOKUP($D87,임시동력입.출고현황!$A:$G,I$5,0),)</f>
        <v>EA</v>
      </c>
      <c r="J87" s="10"/>
      <c r="K87" s="95" t="s">
        <v>267</v>
      </c>
      <c r="L87" s="57">
        <v>4</v>
      </c>
      <c r="M87" s="81" t="s">
        <v>248</v>
      </c>
      <c r="N87" s="134"/>
    </row>
    <row r="88" spans="1:14" s="131" customFormat="1" ht="28.2" customHeight="1">
      <c r="A88" s="11">
        <v>83</v>
      </c>
      <c r="B88" s="290">
        <v>83</v>
      </c>
      <c r="C88" s="129">
        <v>45670</v>
      </c>
      <c r="D88" s="10" t="s">
        <v>336</v>
      </c>
      <c r="E88" s="41" t="str">
        <f>IFERROR(VLOOKUP($D88,임시동력입.출고현황!$A:$G,E$5,0),)</f>
        <v>Cable</v>
      </c>
      <c r="F88" s="19" t="str">
        <f>IFERROR(VLOOKUP($D88,임시동력입.출고현황!$A:$G,F$5,0),)</f>
        <v>CV Cable</v>
      </c>
      <c r="G88" s="19">
        <f>IFERROR(VLOOKUP($D88,임시동력입.출고현황!$A:$G,G$5,0),)</f>
        <v>0</v>
      </c>
      <c r="H88" s="19" t="str">
        <f>IFERROR(VLOOKUP($D88,임시동력입.출고현황!$A:$G,H$5,0),)</f>
        <v>3C x 1.5mm2</v>
      </c>
      <c r="I88" s="10" t="str">
        <f>IFERROR(VLOOKUP($D88,임시동력입.출고현황!$A:$G,I$5,0),)</f>
        <v>M</v>
      </c>
      <c r="J88" s="10"/>
      <c r="K88" s="95" t="s">
        <v>267</v>
      </c>
      <c r="L88" s="57">
        <v>100</v>
      </c>
      <c r="M88" s="81" t="s">
        <v>248</v>
      </c>
      <c r="N88" s="134"/>
    </row>
    <row r="89" spans="1:14" s="131" customFormat="1" ht="28.2" customHeight="1">
      <c r="A89" s="11">
        <v>84</v>
      </c>
      <c r="B89" s="290">
        <v>84</v>
      </c>
      <c r="C89" s="129">
        <v>45670</v>
      </c>
      <c r="D89" s="10" t="s">
        <v>346</v>
      </c>
      <c r="E89" s="41" t="str">
        <f>IFERROR(VLOOKUP($D89,임시동력입.출고현황!$A:$G,E$5,0),)</f>
        <v>Cable</v>
      </c>
      <c r="F89" s="19" t="str">
        <f>IFERROR(VLOOKUP($D89,임시동력입.출고현황!$A:$G,F$5,0),)</f>
        <v>Grounding Cable</v>
      </c>
      <c r="G89" s="19">
        <f>IFERROR(VLOOKUP($D89,임시동력입.출고현황!$A:$G,G$5,0),)</f>
        <v>0</v>
      </c>
      <c r="H89" s="19" t="str">
        <f>IFERROR(VLOOKUP($D89,임시동력입.출고현황!$A:$G,H$5,0),)</f>
        <v>1C x 10mm2</v>
      </c>
      <c r="I89" s="10" t="str">
        <f>IFERROR(VLOOKUP($D89,임시동력입.출고현황!$A:$G,I$5,0),)</f>
        <v>M</v>
      </c>
      <c r="J89" s="10"/>
      <c r="K89" s="95" t="s">
        <v>267</v>
      </c>
      <c r="L89" s="57">
        <v>150</v>
      </c>
      <c r="M89" s="81" t="s">
        <v>248</v>
      </c>
      <c r="N89" s="134"/>
    </row>
    <row r="90" spans="1:14" s="131" customFormat="1" ht="28.2" customHeight="1">
      <c r="A90" s="11">
        <v>85</v>
      </c>
      <c r="B90" s="290">
        <v>85</v>
      </c>
      <c r="C90" s="129">
        <v>45671</v>
      </c>
      <c r="D90" s="10" t="s">
        <v>326</v>
      </c>
      <c r="E90" s="41" t="str">
        <f>IFERROR(VLOOKUP($D90,임시동력입.출고현황!$A:$G,E$5,0),)</f>
        <v>Cable</v>
      </c>
      <c r="F90" s="19" t="str">
        <f>IFERROR(VLOOKUP($D90,임시동력입.출고현황!$A:$G,F$5,0),)</f>
        <v>CV Cable</v>
      </c>
      <c r="G90" s="19">
        <f>IFERROR(VLOOKUP($D90,임시동력입.출고현황!$A:$G,G$5,0),)</f>
        <v>0</v>
      </c>
      <c r="H90" s="19" t="str">
        <f>IFERROR(VLOOKUP($D90,임시동력입.출고현황!$A:$G,H$5,0),)</f>
        <v>3C X 50+25mm2</v>
      </c>
      <c r="I90" s="10" t="str">
        <f>IFERROR(VLOOKUP($D90,임시동력입.출고현황!$A:$G,I$5,0),)</f>
        <v>M</v>
      </c>
      <c r="J90" s="10">
        <v>3</v>
      </c>
      <c r="K90" s="95" t="s">
        <v>270</v>
      </c>
      <c r="L90" s="57">
        <v>50</v>
      </c>
      <c r="M90" s="81"/>
      <c r="N90" s="134"/>
    </row>
    <row r="91" spans="1:14" s="131" customFormat="1" ht="28.2" customHeight="1">
      <c r="A91" s="11">
        <v>86</v>
      </c>
      <c r="B91" s="290">
        <v>86</v>
      </c>
      <c r="C91" s="129">
        <v>45671</v>
      </c>
      <c r="D91" s="10" t="s">
        <v>341</v>
      </c>
      <c r="E91" s="41" t="str">
        <f>IFERROR(VLOOKUP($D91,임시동력입.출고현황!$A:$G,E$5,0),)</f>
        <v>LTG</v>
      </c>
      <c r="F91" s="19" t="str">
        <f>IFERROR(VLOOKUP($D91,임시동력입.출고현황!$A:$G,F$5,0),)</f>
        <v>Lighting Fixture</v>
      </c>
      <c r="G91" s="19">
        <f>IFERROR(VLOOKUP($D91,임시동력입.출고현황!$A:$G,G$5,0),)</f>
        <v>0</v>
      </c>
      <c r="H91" s="19" t="str">
        <f>IFERROR(VLOOKUP($D91,임시동력입.출고현황!$A:$G,H$5,0),)</f>
        <v>400W</v>
      </c>
      <c r="I91" s="10" t="str">
        <f>IFERROR(VLOOKUP($D91,임시동력입.출고현황!$A:$G,I$5,0),)</f>
        <v>EA</v>
      </c>
      <c r="J91" s="10">
        <v>3</v>
      </c>
      <c r="K91" s="95" t="s">
        <v>270</v>
      </c>
      <c r="L91" s="57">
        <v>15</v>
      </c>
      <c r="M91" s="81"/>
      <c r="N91" s="134"/>
    </row>
    <row r="92" spans="1:14" s="131" customFormat="1" ht="28.2" customHeight="1">
      <c r="A92" s="11">
        <v>87</v>
      </c>
      <c r="B92" s="290">
        <v>87</v>
      </c>
      <c r="C92" s="129">
        <v>45727</v>
      </c>
      <c r="D92" s="10" t="s">
        <v>335</v>
      </c>
      <c r="E92" s="41" t="str">
        <f>IFERROR(VLOOKUP($D92,임시동력입.출고현황!$A:$G,E$5,0),)</f>
        <v>Cable</v>
      </c>
      <c r="F92" s="19" t="str">
        <f>IFERROR(VLOOKUP($D92,임시동력입.출고현황!$A:$G,F$5,0),)</f>
        <v>CV Cable</v>
      </c>
      <c r="G92" s="19">
        <f>IFERROR(VLOOKUP($D92,임시동력입.출고현황!$A:$G,G$5,0),)</f>
        <v>0</v>
      </c>
      <c r="H92" s="19" t="str">
        <f>IFERROR(VLOOKUP($D92,임시동력입.출고현황!$A:$G,H$5,0),)</f>
        <v>3C x 2.5mm2</v>
      </c>
      <c r="I92" s="10" t="str">
        <f>IFERROR(VLOOKUP($D92,임시동력입.출고현황!$A:$G,I$5,0),)</f>
        <v>M</v>
      </c>
      <c r="J92" s="10"/>
      <c r="K92" s="95"/>
      <c r="L92" s="57">
        <v>250</v>
      </c>
      <c r="M92" s="81"/>
      <c r="N92" s="134"/>
    </row>
    <row r="93" spans="1:14" s="131" customFormat="1" ht="28.2" customHeight="1">
      <c r="A93" s="11">
        <v>88</v>
      </c>
      <c r="B93" s="290">
        <v>88</v>
      </c>
      <c r="C93" s="129">
        <v>45727</v>
      </c>
      <c r="D93" s="10" t="s">
        <v>341</v>
      </c>
      <c r="E93" s="41" t="str">
        <f>IFERROR(VLOOKUP($D93,임시동력입.출고현황!$A:$G,E$5,0),)</f>
        <v>LTG</v>
      </c>
      <c r="F93" s="19" t="str">
        <f>IFERROR(VLOOKUP($D93,임시동력입.출고현황!$A:$G,F$5,0),)</f>
        <v>Lighting Fixture</v>
      </c>
      <c r="G93" s="19">
        <f>IFERROR(VLOOKUP($D93,임시동력입.출고현황!$A:$G,G$5,0),)</f>
        <v>0</v>
      </c>
      <c r="H93" s="19" t="str">
        <f>IFERROR(VLOOKUP($D93,임시동력입.출고현황!$A:$G,H$5,0),)</f>
        <v>400W</v>
      </c>
      <c r="I93" s="10" t="str">
        <f>IFERROR(VLOOKUP($D93,임시동력입.출고현황!$A:$G,I$5,0),)</f>
        <v>EA</v>
      </c>
      <c r="J93" s="10"/>
      <c r="K93" s="95"/>
      <c r="L93" s="57">
        <v>19</v>
      </c>
      <c r="M93" s="81"/>
      <c r="N93" s="134"/>
    </row>
    <row r="94" spans="1:14" s="131" customFormat="1" ht="28.2" customHeight="1">
      <c r="A94" s="11">
        <v>89</v>
      </c>
      <c r="B94" s="290">
        <v>89</v>
      </c>
      <c r="C94" s="129">
        <v>45727</v>
      </c>
      <c r="D94" s="10" t="s">
        <v>347</v>
      </c>
      <c r="E94" s="41" t="str">
        <f>IFERROR(VLOOKUP($D94,임시동력입.출고현황!$A:$G,E$5,0),)</f>
        <v>LTG</v>
      </c>
      <c r="F94" s="19" t="str">
        <f>IFERROR(VLOOKUP($D94,임시동력입.출고현황!$A:$G,F$5,0),)</f>
        <v>Lighting Fixture</v>
      </c>
      <c r="G94" s="19">
        <f>IFERROR(VLOOKUP($D94,임시동력입.출고현황!$A:$G,G$5,0),)</f>
        <v>0</v>
      </c>
      <c r="H94" s="19" t="str">
        <f>IFERROR(VLOOKUP($D94,임시동력입.출고현황!$A:$G,H$5,0),)</f>
        <v>200W</v>
      </c>
      <c r="I94" s="10" t="str">
        <f>IFERROR(VLOOKUP($D94,임시동력입.출고현황!$A:$G,I$5,0),)</f>
        <v>EA</v>
      </c>
      <c r="J94" s="10"/>
      <c r="K94" s="95"/>
      <c r="L94" s="57">
        <v>7</v>
      </c>
      <c r="M94" s="81"/>
      <c r="N94" s="134"/>
    </row>
    <row r="95" spans="1:14" s="131" customFormat="1" ht="28.2" customHeight="1">
      <c r="A95" s="11">
        <v>90</v>
      </c>
      <c r="B95" s="290">
        <v>90</v>
      </c>
      <c r="C95" s="129">
        <v>45729</v>
      </c>
      <c r="D95" s="10" t="s">
        <v>335</v>
      </c>
      <c r="E95" s="41" t="str">
        <f>IFERROR(VLOOKUP($D95,임시동력입.출고현황!$A:$G,E$5,0),)</f>
        <v>Cable</v>
      </c>
      <c r="F95" s="19" t="str">
        <f>IFERROR(VLOOKUP($D95,임시동력입.출고현황!$A:$G,F$5,0),)</f>
        <v>CV Cable</v>
      </c>
      <c r="G95" s="19">
        <f>IFERROR(VLOOKUP($D95,임시동력입.출고현황!$A:$G,G$5,0),)</f>
        <v>0</v>
      </c>
      <c r="H95" s="19" t="str">
        <f>IFERROR(VLOOKUP($D95,임시동력입.출고현황!$A:$G,H$5,0),)</f>
        <v>3C x 2.5mm2</v>
      </c>
      <c r="I95" s="10" t="str">
        <f>IFERROR(VLOOKUP($D95,임시동력입.출고현황!$A:$G,I$5,0),)</f>
        <v>M</v>
      </c>
      <c r="J95" s="10"/>
      <c r="K95" s="95"/>
      <c r="L95" s="57">
        <v>200</v>
      </c>
      <c r="M95" s="81"/>
      <c r="N95" s="134"/>
    </row>
    <row r="96" spans="1:14" s="131" customFormat="1" ht="28.2" customHeight="1">
      <c r="A96" s="11">
        <v>91</v>
      </c>
      <c r="B96" s="290">
        <v>91</v>
      </c>
      <c r="C96" s="129">
        <v>45729</v>
      </c>
      <c r="D96" s="10" t="s">
        <v>341</v>
      </c>
      <c r="E96" s="41" t="str">
        <f>IFERROR(VLOOKUP($D96,임시동력입.출고현황!$A:$G,E$5,0),)</f>
        <v>LTG</v>
      </c>
      <c r="F96" s="19" t="str">
        <f>IFERROR(VLOOKUP($D96,임시동력입.출고현황!$A:$G,F$5,0),)</f>
        <v>Lighting Fixture</v>
      </c>
      <c r="G96" s="19">
        <f>IFERROR(VLOOKUP($D96,임시동력입.출고현황!$A:$G,G$5,0),)</f>
        <v>0</v>
      </c>
      <c r="H96" s="19" t="str">
        <f>IFERROR(VLOOKUP($D96,임시동력입.출고현황!$A:$G,H$5,0),)</f>
        <v>400W</v>
      </c>
      <c r="I96" s="10" t="str">
        <f>IFERROR(VLOOKUP($D96,임시동력입.출고현황!$A:$G,I$5,0),)</f>
        <v>EA</v>
      </c>
      <c r="J96" s="10"/>
      <c r="K96" s="95"/>
      <c r="L96" s="57">
        <v>6</v>
      </c>
      <c r="M96" s="81"/>
      <c r="N96" s="134"/>
    </row>
    <row r="97" spans="1:14" s="131" customFormat="1" ht="28.2" customHeight="1">
      <c r="A97" s="11">
        <v>92</v>
      </c>
      <c r="B97" s="290">
        <v>92</v>
      </c>
      <c r="C97" s="129">
        <v>45729</v>
      </c>
      <c r="D97" s="10" t="s">
        <v>347</v>
      </c>
      <c r="E97" s="41" t="str">
        <f>IFERROR(VLOOKUP($D97,임시동력입.출고현황!$A:$G,E$5,0),)</f>
        <v>LTG</v>
      </c>
      <c r="F97" s="19" t="str">
        <f>IFERROR(VLOOKUP($D97,임시동력입.출고현황!$A:$G,F$5,0),)</f>
        <v>Lighting Fixture</v>
      </c>
      <c r="G97" s="19">
        <f>IFERROR(VLOOKUP($D97,임시동력입.출고현황!$A:$G,G$5,0),)</f>
        <v>0</v>
      </c>
      <c r="H97" s="19" t="str">
        <f>IFERROR(VLOOKUP($D97,임시동력입.출고현황!$A:$G,H$5,0),)</f>
        <v>200W</v>
      </c>
      <c r="I97" s="10" t="str">
        <f>IFERROR(VLOOKUP($D97,임시동력입.출고현황!$A:$G,I$5,0),)</f>
        <v>EA</v>
      </c>
      <c r="J97" s="10"/>
      <c r="K97" s="95"/>
      <c r="L97" s="57">
        <v>11</v>
      </c>
      <c r="M97" s="81"/>
      <c r="N97" s="134"/>
    </row>
    <row r="98" spans="1:14" s="131" customFormat="1" ht="28.2" customHeight="1">
      <c r="A98" s="11">
        <v>93</v>
      </c>
      <c r="B98" s="290">
        <v>93</v>
      </c>
      <c r="C98" s="129">
        <v>45730</v>
      </c>
      <c r="D98" s="10" t="s">
        <v>326</v>
      </c>
      <c r="E98" s="41" t="str">
        <f>IFERROR(VLOOKUP($D98,임시동력입.출고현황!$A:$G,E$5,0),)</f>
        <v>Cable</v>
      </c>
      <c r="F98" s="19" t="str">
        <f>IFERROR(VLOOKUP($D98,임시동력입.출고현황!$A:$G,F$5,0),)</f>
        <v>CV Cable</v>
      </c>
      <c r="G98" s="19">
        <f>IFERROR(VLOOKUP($D98,임시동력입.출고현황!$A:$G,G$5,0),)</f>
        <v>0</v>
      </c>
      <c r="H98" s="19" t="str">
        <f>IFERROR(VLOOKUP($D98,임시동력입.출고현황!$A:$G,H$5,0),)</f>
        <v>3C X 50+25mm2</v>
      </c>
      <c r="I98" s="10" t="str">
        <f>IFERROR(VLOOKUP($D98,임시동력입.출고현황!$A:$G,I$5,0),)</f>
        <v>M</v>
      </c>
      <c r="J98" s="10"/>
      <c r="K98" s="95"/>
      <c r="L98" s="57">
        <v>70</v>
      </c>
      <c r="M98" s="81"/>
      <c r="N98" s="134"/>
    </row>
    <row r="99" spans="1:14" s="131" customFormat="1" ht="28.2" customHeight="1">
      <c r="A99" s="11">
        <v>94</v>
      </c>
      <c r="B99" s="290">
        <v>94</v>
      </c>
      <c r="C99" s="129">
        <v>45730</v>
      </c>
      <c r="D99" s="10" t="s">
        <v>345</v>
      </c>
      <c r="E99" s="41" t="str">
        <f>IFERROR(VLOOKUP($D99,임시동력입.출고현황!$A:$G,E$5,0),)</f>
        <v>Cable</v>
      </c>
      <c r="F99" s="19" t="str">
        <f>IFERROR(VLOOKUP($D99,임시동력입.출고현황!$A:$G,F$5,0),)</f>
        <v>Grounding Cable</v>
      </c>
      <c r="G99" s="19">
        <f>IFERROR(VLOOKUP($D99,임시동력입.출고현황!$A:$G,G$5,0),)</f>
        <v>0</v>
      </c>
      <c r="H99" s="19" t="str">
        <f>IFERROR(VLOOKUP($D99,임시동력입.출고현황!$A:$G,H$5,0),)</f>
        <v>1C x 16mm2</v>
      </c>
      <c r="I99" s="10" t="str">
        <f>IFERROR(VLOOKUP($D99,임시동력입.출고현황!$A:$G,I$5,0),)</f>
        <v>M</v>
      </c>
      <c r="J99" s="10"/>
      <c r="K99" s="95"/>
      <c r="L99" s="57">
        <v>70</v>
      </c>
      <c r="M99" s="81"/>
      <c r="N99" s="134"/>
    </row>
    <row r="100" spans="1:14" s="131" customFormat="1" ht="28.2" customHeight="1">
      <c r="A100" s="11">
        <v>95</v>
      </c>
      <c r="B100" s="290">
        <v>95</v>
      </c>
      <c r="C100" s="129">
        <v>45730</v>
      </c>
      <c r="D100" s="10" t="s">
        <v>347</v>
      </c>
      <c r="E100" s="41" t="str">
        <f>IFERROR(VLOOKUP($D100,임시동력입.출고현황!$A:$G,E$5,0),)</f>
        <v>LTG</v>
      </c>
      <c r="F100" s="19" t="str">
        <f>IFERROR(VLOOKUP($D100,임시동력입.출고현황!$A:$G,F$5,0),)</f>
        <v>Lighting Fixture</v>
      </c>
      <c r="G100" s="19">
        <f>IFERROR(VLOOKUP($D100,임시동력입.출고현황!$A:$G,G$5,0),)</f>
        <v>0</v>
      </c>
      <c r="H100" s="19" t="str">
        <f>IFERROR(VLOOKUP($D100,임시동력입.출고현황!$A:$G,H$5,0),)</f>
        <v>200W</v>
      </c>
      <c r="I100" s="10" t="str">
        <f>IFERROR(VLOOKUP($D100,임시동력입.출고현황!$A:$G,I$5,0),)</f>
        <v>EA</v>
      </c>
      <c r="J100" s="10"/>
      <c r="K100" s="95"/>
      <c r="L100" s="57">
        <v>7</v>
      </c>
      <c r="M100" s="81"/>
      <c r="N100" s="134"/>
    </row>
    <row r="101" spans="1:14" s="131" customFormat="1" ht="28.2" customHeight="1">
      <c r="A101" s="11">
        <v>96</v>
      </c>
      <c r="B101" s="290">
        <v>96</v>
      </c>
      <c r="C101" s="129">
        <v>45730</v>
      </c>
      <c r="D101" s="10" t="s">
        <v>335</v>
      </c>
      <c r="E101" s="41" t="str">
        <f>IFERROR(VLOOKUP($D101,임시동력입.출고현황!$A:$G,E$5,0),)</f>
        <v>Cable</v>
      </c>
      <c r="F101" s="19" t="str">
        <f>IFERROR(VLOOKUP($D101,임시동력입.출고현황!$A:$G,F$5,0),)</f>
        <v>CV Cable</v>
      </c>
      <c r="G101" s="19">
        <f>IFERROR(VLOOKUP($D101,임시동력입.출고현황!$A:$G,G$5,0),)</f>
        <v>0</v>
      </c>
      <c r="H101" s="19" t="str">
        <f>IFERROR(VLOOKUP($D101,임시동력입.출고현황!$A:$G,H$5,0),)</f>
        <v>3C x 2.5mm2</v>
      </c>
      <c r="I101" s="10" t="str">
        <f>IFERROR(VLOOKUP($D101,임시동력입.출고현황!$A:$G,I$5,0),)</f>
        <v>M</v>
      </c>
      <c r="J101" s="10"/>
      <c r="K101" s="95"/>
      <c r="L101" s="57">
        <v>156</v>
      </c>
      <c r="M101" s="81"/>
      <c r="N101" s="134"/>
    </row>
    <row r="102" spans="1:14" s="131" customFormat="1" ht="28.2" customHeight="1">
      <c r="A102" s="11">
        <v>97</v>
      </c>
      <c r="B102" s="290">
        <v>97</v>
      </c>
      <c r="C102" s="129">
        <v>45730</v>
      </c>
      <c r="D102" s="10" t="s">
        <v>307</v>
      </c>
      <c r="E102" s="41" t="str">
        <f>IFERROR(VLOOKUP($D102,임시동력입.출고현황!$A:$G,E$5,0),)</f>
        <v>Panel</v>
      </c>
      <c r="F102" s="19" t="str">
        <f>IFERROR(VLOOKUP($D102,임시동력입.출고현황!$A:$G,F$5,0),)</f>
        <v>Electrical Panel</v>
      </c>
      <c r="G102" s="19">
        <f>IFERROR(VLOOKUP($D102,임시동력입.출고현황!$A:$G,G$5,0),)</f>
        <v>0</v>
      </c>
      <c r="H102" s="19" t="str">
        <f>IFERROR(VLOOKUP($D102,임시동력입.출고현황!$A:$G,H$5,0),)</f>
        <v>160A</v>
      </c>
      <c r="I102" s="10" t="str">
        <f>IFERROR(VLOOKUP($D102,임시동력입.출고현황!$A:$G,I$5,0),)</f>
        <v>EA</v>
      </c>
      <c r="J102" s="10"/>
      <c r="K102" s="95"/>
      <c r="L102" s="57">
        <v>1</v>
      </c>
      <c r="M102" s="81"/>
      <c r="N102" s="134"/>
    </row>
    <row r="103" spans="1:14" s="131" customFormat="1" ht="28.2" customHeight="1">
      <c r="A103" s="11">
        <v>98</v>
      </c>
      <c r="B103" s="290">
        <v>98</v>
      </c>
      <c r="C103" s="129">
        <v>45730</v>
      </c>
      <c r="D103" s="10" t="s">
        <v>326</v>
      </c>
      <c r="E103" s="41" t="str">
        <f>IFERROR(VLOOKUP($D103,임시동력입.출고현황!$A:$G,E$5,0),)</f>
        <v>Cable</v>
      </c>
      <c r="F103" s="19" t="str">
        <f>IFERROR(VLOOKUP($D103,임시동력입.출고현황!$A:$G,F$5,0),)</f>
        <v>CV Cable</v>
      </c>
      <c r="G103" s="19">
        <f>IFERROR(VLOOKUP($D103,임시동력입.출고현황!$A:$G,G$5,0),)</f>
        <v>0</v>
      </c>
      <c r="H103" s="19" t="str">
        <f>IFERROR(VLOOKUP($D103,임시동력입.출고현황!$A:$G,H$5,0),)</f>
        <v>3C X 50+25mm2</v>
      </c>
      <c r="I103" s="10" t="str">
        <f>IFERROR(VLOOKUP($D103,임시동력입.출고현황!$A:$G,I$5,0),)</f>
        <v>M</v>
      </c>
      <c r="J103" s="10"/>
      <c r="K103" s="95"/>
      <c r="L103" s="57">
        <v>18</v>
      </c>
      <c r="M103" s="81"/>
      <c r="N103" s="134"/>
    </row>
    <row r="104" spans="1:14" s="131" customFormat="1" ht="28.2" customHeight="1">
      <c r="A104" s="11">
        <v>99</v>
      </c>
      <c r="B104" s="290">
        <v>99</v>
      </c>
      <c r="C104" s="129">
        <v>45731</v>
      </c>
      <c r="D104" s="10" t="s">
        <v>345</v>
      </c>
      <c r="E104" s="41" t="str">
        <f>IFERROR(VLOOKUP($D104,임시동력입.출고현황!$A:$G,E$5,0),)</f>
        <v>Cable</v>
      </c>
      <c r="F104" s="19" t="str">
        <f>IFERROR(VLOOKUP($D104,임시동력입.출고현황!$A:$G,F$5,0),)</f>
        <v>Grounding Cable</v>
      </c>
      <c r="G104" s="19">
        <f>IFERROR(VLOOKUP($D104,임시동력입.출고현황!$A:$G,G$5,0),)</f>
        <v>0</v>
      </c>
      <c r="H104" s="19" t="str">
        <f>IFERROR(VLOOKUP($D104,임시동력입.출고현황!$A:$G,H$5,0),)</f>
        <v>1C x 16mm2</v>
      </c>
      <c r="I104" s="10" t="str">
        <f>IFERROR(VLOOKUP($D104,임시동력입.출고현황!$A:$G,I$5,0),)</f>
        <v>M</v>
      </c>
      <c r="J104" s="10"/>
      <c r="K104" s="95"/>
      <c r="L104" s="57">
        <v>20</v>
      </c>
      <c r="M104" s="81"/>
      <c r="N104" s="134"/>
    </row>
    <row r="105" spans="1:14" s="131" customFormat="1" ht="28.2" customHeight="1">
      <c r="A105" s="11">
        <v>100</v>
      </c>
      <c r="B105" s="290">
        <v>100</v>
      </c>
      <c r="C105" s="129">
        <v>45732</v>
      </c>
      <c r="D105" s="10" t="s">
        <v>341</v>
      </c>
      <c r="E105" s="41" t="str">
        <f>IFERROR(VLOOKUP($D105,임시동력입.출고현황!$A:$G,E$5,0),)</f>
        <v>LTG</v>
      </c>
      <c r="F105" s="19" t="str">
        <f>IFERROR(VLOOKUP($D105,임시동력입.출고현황!$A:$G,F$5,0),)</f>
        <v>Lighting Fixture</v>
      </c>
      <c r="G105" s="19">
        <f>IFERROR(VLOOKUP($D105,임시동력입.출고현황!$A:$G,G$5,0),)</f>
        <v>0</v>
      </c>
      <c r="H105" s="19" t="str">
        <f>IFERROR(VLOOKUP($D105,임시동력입.출고현황!$A:$G,H$5,0),)</f>
        <v>400W</v>
      </c>
      <c r="I105" s="10" t="str">
        <f>IFERROR(VLOOKUP($D105,임시동력입.출고현황!$A:$G,I$5,0),)</f>
        <v>EA</v>
      </c>
      <c r="J105" s="10"/>
      <c r="K105" s="95"/>
      <c r="L105" s="57">
        <v>4</v>
      </c>
      <c r="M105" s="81"/>
      <c r="N105" s="134"/>
    </row>
    <row r="106" spans="1:14" s="131" customFormat="1" ht="28.2" customHeight="1">
      <c r="A106" s="11">
        <v>101</v>
      </c>
      <c r="B106" s="290">
        <v>101</v>
      </c>
      <c r="C106" s="129">
        <v>45732</v>
      </c>
      <c r="D106" s="10" t="s">
        <v>341</v>
      </c>
      <c r="E106" s="41" t="str">
        <f>IFERROR(VLOOKUP($D106,임시동력입.출고현황!$A:$G,E$5,0),)</f>
        <v>LTG</v>
      </c>
      <c r="F106" s="19" t="str">
        <f>IFERROR(VLOOKUP($D106,임시동력입.출고현황!$A:$G,F$5,0),)</f>
        <v>Lighting Fixture</v>
      </c>
      <c r="G106" s="19">
        <f>IFERROR(VLOOKUP($D106,임시동력입.출고현황!$A:$G,G$5,0),)</f>
        <v>0</v>
      </c>
      <c r="H106" s="19" t="str">
        <f>IFERROR(VLOOKUP($D106,임시동력입.출고현황!$A:$G,H$5,0),)</f>
        <v>400W</v>
      </c>
      <c r="I106" s="10" t="str">
        <f>IFERROR(VLOOKUP($D106,임시동력입.출고현황!$A:$G,I$5,0),)</f>
        <v>EA</v>
      </c>
      <c r="J106" s="10"/>
      <c r="K106" s="95" t="s">
        <v>247</v>
      </c>
      <c r="L106" s="57">
        <v>4</v>
      </c>
      <c r="M106" s="81"/>
      <c r="N106" s="134"/>
    </row>
    <row r="107" spans="1:14" s="131" customFormat="1" ht="28.2" customHeight="1">
      <c r="A107" s="11">
        <v>102</v>
      </c>
      <c r="B107" s="290">
        <v>102</v>
      </c>
      <c r="C107" s="129">
        <v>45732</v>
      </c>
      <c r="D107" s="10" t="s">
        <v>336</v>
      </c>
      <c r="E107" s="41" t="str">
        <f>IFERROR(VLOOKUP($D107,임시동력입.출고현황!$A:$G,E$5,0),)</f>
        <v>Cable</v>
      </c>
      <c r="F107" s="19" t="str">
        <f>IFERROR(VLOOKUP($D107,임시동력입.출고현황!$A:$G,F$5,0),)</f>
        <v>CV Cable</v>
      </c>
      <c r="G107" s="19">
        <f>IFERROR(VLOOKUP($D107,임시동력입.출고현황!$A:$G,G$5,0),)</f>
        <v>0</v>
      </c>
      <c r="H107" s="19" t="str">
        <f>IFERROR(VLOOKUP($D107,임시동력입.출고현황!$A:$G,H$5,0),)</f>
        <v>3C x 1.5mm2</v>
      </c>
      <c r="I107" s="10" t="str">
        <f>IFERROR(VLOOKUP($D107,임시동력입.출고현황!$A:$G,I$5,0),)</f>
        <v>M</v>
      </c>
      <c r="J107" s="10"/>
      <c r="K107" s="95" t="s">
        <v>244</v>
      </c>
      <c r="L107" s="57">
        <v>10</v>
      </c>
      <c r="M107" s="81"/>
      <c r="N107" s="134"/>
    </row>
    <row r="108" spans="1:14" s="131" customFormat="1" ht="28.2" customHeight="1">
      <c r="A108" s="11">
        <v>103</v>
      </c>
      <c r="B108" s="290">
        <v>103</v>
      </c>
      <c r="C108" s="129">
        <v>45734</v>
      </c>
      <c r="D108" s="10" t="s">
        <v>335</v>
      </c>
      <c r="E108" s="41" t="str">
        <f>IFERROR(VLOOKUP($D108,임시동력입.출고현황!$A:$G,E$5,0),)</f>
        <v>Cable</v>
      </c>
      <c r="F108" s="19" t="str">
        <f>IFERROR(VLOOKUP($D108,임시동력입.출고현황!$A:$G,F$5,0),)</f>
        <v>CV Cable</v>
      </c>
      <c r="G108" s="19">
        <f>IFERROR(VLOOKUP($D108,임시동력입.출고현황!$A:$G,G$5,0),)</f>
        <v>0</v>
      </c>
      <c r="H108" s="19" t="str">
        <f>IFERROR(VLOOKUP($D108,임시동력입.출고현황!$A:$G,H$5,0),)</f>
        <v>3C x 2.5mm2</v>
      </c>
      <c r="I108" s="10" t="str">
        <f>IFERROR(VLOOKUP($D108,임시동력입.출고현황!$A:$G,I$5,0),)</f>
        <v>M</v>
      </c>
      <c r="J108" s="10"/>
      <c r="K108" s="95"/>
      <c r="L108" s="57">
        <v>100</v>
      </c>
      <c r="M108" s="81"/>
      <c r="N108" s="134"/>
    </row>
    <row r="109" spans="1:14" s="131" customFormat="1" ht="28.2" customHeight="1">
      <c r="A109" s="11">
        <v>104</v>
      </c>
      <c r="B109" s="290">
        <v>104</v>
      </c>
      <c r="C109" s="129">
        <v>45734</v>
      </c>
      <c r="D109" s="10" t="s">
        <v>334</v>
      </c>
      <c r="E109" s="41" t="str">
        <f>IFERROR(VLOOKUP($D109,임시동력입.출고현황!$A:$G,E$5,0),)</f>
        <v>Cable</v>
      </c>
      <c r="F109" s="19" t="str">
        <f>IFERROR(VLOOKUP($D109,임시동력입.출고현황!$A:$G,F$5,0),)</f>
        <v>CV Cable</v>
      </c>
      <c r="G109" s="19">
        <f>IFERROR(VLOOKUP($D109,임시동력입.출고현황!$A:$G,G$5,0),)</f>
        <v>0</v>
      </c>
      <c r="H109" s="19" t="str">
        <f>IFERROR(VLOOKUP($D109,임시동력입.출고현황!$A:$G,H$5,0),)</f>
        <v>3C x 4mm2</v>
      </c>
      <c r="I109" s="10" t="str">
        <f>IFERROR(VLOOKUP($D109,임시동력입.출고현황!$A:$G,I$5,0),)</f>
        <v>M</v>
      </c>
      <c r="J109" s="10"/>
      <c r="K109" s="95"/>
      <c r="L109" s="57">
        <v>100</v>
      </c>
      <c r="M109" s="81"/>
      <c r="N109" s="134"/>
    </row>
    <row r="110" spans="1:14" s="131" customFormat="1" ht="28.2" customHeight="1">
      <c r="A110" s="11">
        <v>105</v>
      </c>
      <c r="B110" s="290">
        <v>105</v>
      </c>
      <c r="C110" s="129">
        <v>45735</v>
      </c>
      <c r="D110" s="10" t="s">
        <v>320</v>
      </c>
      <c r="E110" s="41" t="str">
        <f>IFERROR(VLOOKUP($D110,임시동력입.출고현황!$A:$G,E$5,0),)</f>
        <v>Cable</v>
      </c>
      <c r="F110" s="19" t="str">
        <f>IFERROR(VLOOKUP($D110,임시동력입.출고현황!$A:$G,F$5,0),)</f>
        <v>AL Cable</v>
      </c>
      <c r="G110" s="19">
        <f>IFERROR(VLOOKUP($D110,임시동력입.출고현황!$A:$G,G$5,0),)</f>
        <v>0</v>
      </c>
      <c r="H110" s="19" t="str">
        <f>IFERROR(VLOOKUP($D110,임시동력입.출고현황!$A:$G,H$5,0),)</f>
        <v>3C x 95+50mm2 [ALU]</v>
      </c>
      <c r="I110" s="10" t="str">
        <f>IFERROR(VLOOKUP($D110,임시동력입.출고현황!$A:$G,I$5,0),)</f>
        <v>M</v>
      </c>
      <c r="J110" s="10"/>
      <c r="K110" s="95"/>
      <c r="L110" s="57">
        <v>33</v>
      </c>
      <c r="M110" s="81"/>
      <c r="N110" s="134"/>
    </row>
    <row r="111" spans="1:14" s="131" customFormat="1" ht="28.2" customHeight="1">
      <c r="A111" s="11">
        <v>106</v>
      </c>
      <c r="B111" s="290">
        <v>106</v>
      </c>
      <c r="C111" s="129">
        <v>45736</v>
      </c>
      <c r="D111" s="10" t="s">
        <v>341</v>
      </c>
      <c r="E111" s="41" t="str">
        <f>IFERROR(VLOOKUP($D111,임시동력입.출고현황!$A:$G,E$5,0),)</f>
        <v>LTG</v>
      </c>
      <c r="F111" s="19" t="str">
        <f>IFERROR(VLOOKUP($D111,임시동력입.출고현황!$A:$G,F$5,0),)</f>
        <v>Lighting Fixture</v>
      </c>
      <c r="G111" s="19">
        <f>IFERROR(VLOOKUP($D111,임시동력입.출고현황!$A:$G,G$5,0),)</f>
        <v>0</v>
      </c>
      <c r="H111" s="19" t="str">
        <f>IFERROR(VLOOKUP($D111,임시동력입.출고현황!$A:$G,H$5,0),)</f>
        <v>400W</v>
      </c>
      <c r="I111" s="10" t="str">
        <f>IFERROR(VLOOKUP($D111,임시동력입.출고현황!$A:$G,I$5,0),)</f>
        <v>EA</v>
      </c>
      <c r="J111" s="10"/>
      <c r="K111" s="95"/>
      <c r="L111" s="57">
        <v>6</v>
      </c>
      <c r="M111" s="81"/>
      <c r="N111" s="134"/>
    </row>
    <row r="112" spans="1:14" s="131" customFormat="1" ht="28.2" customHeight="1">
      <c r="A112" s="11">
        <v>107</v>
      </c>
      <c r="B112" s="290">
        <v>107</v>
      </c>
      <c r="C112" s="129">
        <v>45738</v>
      </c>
      <c r="D112" s="10" t="s">
        <v>336</v>
      </c>
      <c r="E112" s="41" t="str">
        <f>IFERROR(VLOOKUP($D112,임시동력입.출고현황!$A:$G,E$5,0),)</f>
        <v>Cable</v>
      </c>
      <c r="F112" s="19" t="str">
        <f>IFERROR(VLOOKUP($D112,임시동력입.출고현황!$A:$G,F$5,0),)</f>
        <v>CV Cable</v>
      </c>
      <c r="G112" s="19">
        <f>IFERROR(VLOOKUP($D112,임시동력입.출고현황!$A:$G,G$5,0),)</f>
        <v>0</v>
      </c>
      <c r="H112" s="19" t="str">
        <f>IFERROR(VLOOKUP($D112,임시동력입.출고현황!$A:$G,H$5,0),)</f>
        <v>3C x 1.5mm2</v>
      </c>
      <c r="I112" s="10" t="str">
        <f>IFERROR(VLOOKUP($D112,임시동력입.출고현황!$A:$G,I$5,0),)</f>
        <v>M</v>
      </c>
      <c r="J112" s="10"/>
      <c r="K112" s="95" t="s">
        <v>353</v>
      </c>
      <c r="L112" s="57">
        <v>100</v>
      </c>
      <c r="M112" s="81"/>
      <c r="N112" s="134"/>
    </row>
    <row r="113" spans="1:16" s="131" customFormat="1" ht="28.2" customHeight="1">
      <c r="A113" s="11">
        <v>108</v>
      </c>
      <c r="B113" s="290">
        <v>108</v>
      </c>
      <c r="C113" s="129">
        <v>45738</v>
      </c>
      <c r="D113" s="10" t="s">
        <v>334</v>
      </c>
      <c r="E113" s="41" t="str">
        <f>IFERROR(VLOOKUP($D113,임시동력입.출고현황!$A:$G,E$5,0),)</f>
        <v>Cable</v>
      </c>
      <c r="F113" s="19" t="str">
        <f>IFERROR(VLOOKUP($D113,임시동력입.출고현황!$A:$G,F$5,0),)</f>
        <v>CV Cable</v>
      </c>
      <c r="G113" s="19">
        <f>IFERROR(VLOOKUP($D113,임시동력입.출고현황!$A:$G,G$5,0),)</f>
        <v>0</v>
      </c>
      <c r="H113" s="19" t="str">
        <f>IFERROR(VLOOKUP($D113,임시동력입.출고현황!$A:$G,H$5,0),)</f>
        <v>3C x 4mm2</v>
      </c>
      <c r="I113" s="10" t="str">
        <f>IFERROR(VLOOKUP($D113,임시동력입.출고현황!$A:$G,I$5,0),)</f>
        <v>M</v>
      </c>
      <c r="J113" s="10"/>
      <c r="K113" s="95" t="s">
        <v>353</v>
      </c>
      <c r="L113" s="57">
        <v>45</v>
      </c>
      <c r="M113" s="81"/>
      <c r="N113" s="134"/>
    </row>
    <row r="114" spans="1:16" s="131" customFormat="1" ht="28.2" customHeight="1">
      <c r="A114" s="11">
        <v>109</v>
      </c>
      <c r="B114" s="290">
        <v>109</v>
      </c>
      <c r="C114" s="129">
        <v>45739</v>
      </c>
      <c r="D114" s="10" t="s">
        <v>336</v>
      </c>
      <c r="E114" s="41" t="str">
        <f>IFERROR(VLOOKUP($D114,임시동력입.출고현황!$A:$G,E$5,0),)</f>
        <v>Cable</v>
      </c>
      <c r="F114" s="19" t="str">
        <f>IFERROR(VLOOKUP($D114,임시동력입.출고현황!$A:$G,F$5,0),)</f>
        <v>CV Cable</v>
      </c>
      <c r="G114" s="19">
        <f>IFERROR(VLOOKUP($D114,임시동력입.출고현황!$A:$G,G$5,0),)</f>
        <v>0</v>
      </c>
      <c r="H114" s="19" t="str">
        <f>IFERROR(VLOOKUP($D114,임시동력입.출고현황!$A:$G,H$5,0),)</f>
        <v>3C x 1.5mm2</v>
      </c>
      <c r="I114" s="10" t="str">
        <f>IFERROR(VLOOKUP($D114,임시동력입.출고현황!$A:$G,I$5,0),)</f>
        <v>M</v>
      </c>
      <c r="J114" s="10"/>
      <c r="K114" s="95" t="s">
        <v>239</v>
      </c>
      <c r="L114" s="57">
        <v>50</v>
      </c>
      <c r="M114" s="81"/>
      <c r="N114" s="134"/>
    </row>
    <row r="115" spans="1:16" s="131" customFormat="1" ht="28.2" customHeight="1">
      <c r="A115" s="11">
        <v>110</v>
      </c>
      <c r="B115" s="290">
        <v>110</v>
      </c>
      <c r="C115" s="129">
        <v>45739</v>
      </c>
      <c r="D115" s="10" t="s">
        <v>334</v>
      </c>
      <c r="E115" s="41" t="str">
        <f>IFERROR(VLOOKUP($D115,임시동력입.출고현황!$A:$G,E$5,0),)</f>
        <v>Cable</v>
      </c>
      <c r="F115" s="19" t="str">
        <f>IFERROR(VLOOKUP($D115,임시동력입.출고현황!$A:$G,F$5,0),)</f>
        <v>CV Cable</v>
      </c>
      <c r="G115" s="19">
        <f>IFERROR(VLOOKUP($D115,임시동력입.출고현황!$A:$G,G$5,0),)</f>
        <v>0</v>
      </c>
      <c r="H115" s="19" t="str">
        <f>IFERROR(VLOOKUP($D115,임시동력입.출고현황!$A:$G,H$5,0),)</f>
        <v>3C x 4mm2</v>
      </c>
      <c r="I115" s="10" t="str">
        <f>IFERROR(VLOOKUP($D115,임시동력입.출고현황!$A:$G,I$5,0),)</f>
        <v>M</v>
      </c>
      <c r="J115" s="10"/>
      <c r="K115" s="95" t="s">
        <v>239</v>
      </c>
      <c r="L115" s="57">
        <v>50</v>
      </c>
      <c r="M115" s="81"/>
      <c r="N115" s="134"/>
    </row>
    <row r="116" spans="1:16" s="131" customFormat="1" ht="28.2" customHeight="1">
      <c r="A116" s="11">
        <v>111</v>
      </c>
      <c r="B116" s="290">
        <v>111</v>
      </c>
      <c r="C116" s="129">
        <v>45739</v>
      </c>
      <c r="D116" s="10" t="s">
        <v>326</v>
      </c>
      <c r="E116" s="41" t="str">
        <f>IFERROR(VLOOKUP($D116,임시동력입.출고현황!$A:$G,E$5,0),)</f>
        <v>Cable</v>
      </c>
      <c r="F116" s="19" t="str">
        <f>IFERROR(VLOOKUP($D116,임시동력입.출고현황!$A:$G,F$5,0),)</f>
        <v>CV Cable</v>
      </c>
      <c r="G116" s="19">
        <f>IFERROR(VLOOKUP($D116,임시동력입.출고현황!$A:$G,G$5,0),)</f>
        <v>0</v>
      </c>
      <c r="H116" s="19" t="str">
        <f>IFERROR(VLOOKUP($D116,임시동력입.출고현황!$A:$G,H$5,0),)</f>
        <v>3C X 50+25mm2</v>
      </c>
      <c r="I116" s="10" t="str">
        <f>IFERROR(VLOOKUP($D116,임시동력입.출고현황!$A:$G,I$5,0),)</f>
        <v>M</v>
      </c>
      <c r="J116" s="10"/>
      <c r="K116" s="95" t="s">
        <v>354</v>
      </c>
      <c r="L116" s="57">
        <v>145</v>
      </c>
      <c r="M116" s="81"/>
      <c r="N116" s="134"/>
    </row>
    <row r="117" spans="1:16" s="131" customFormat="1" ht="28.2" customHeight="1">
      <c r="A117" s="11">
        <v>112</v>
      </c>
      <c r="B117" s="290">
        <v>112</v>
      </c>
      <c r="C117" s="129">
        <v>45739</v>
      </c>
      <c r="D117" s="10" t="s">
        <v>341</v>
      </c>
      <c r="E117" s="41" t="str">
        <f>IFERROR(VLOOKUP($D117,임시동력입.출고현황!$A:$G,E$5,0),)</f>
        <v>LTG</v>
      </c>
      <c r="F117" s="19" t="str">
        <f>IFERROR(VLOOKUP($D117,임시동력입.출고현황!$A:$G,F$5,0),)</f>
        <v>Lighting Fixture</v>
      </c>
      <c r="G117" s="19">
        <f>IFERROR(VLOOKUP($D117,임시동력입.출고현황!$A:$G,G$5,0),)</f>
        <v>0</v>
      </c>
      <c r="H117" s="19" t="str">
        <f>IFERROR(VLOOKUP($D117,임시동력입.출고현황!$A:$G,H$5,0),)</f>
        <v>400W</v>
      </c>
      <c r="I117" s="10" t="str">
        <f>IFERROR(VLOOKUP($D117,임시동력입.출고현황!$A:$G,I$5,0),)</f>
        <v>EA</v>
      </c>
      <c r="J117" s="10"/>
      <c r="K117" s="95" t="s">
        <v>239</v>
      </c>
      <c r="L117" s="57">
        <v>4</v>
      </c>
      <c r="M117" s="81"/>
      <c r="N117" s="134"/>
    </row>
    <row r="118" spans="1:16" s="131" customFormat="1" ht="28.2" customHeight="1">
      <c r="A118" s="11">
        <v>113</v>
      </c>
      <c r="B118" s="290">
        <v>113</v>
      </c>
      <c r="C118" s="129">
        <v>45753</v>
      </c>
      <c r="D118" s="10" t="s">
        <v>341</v>
      </c>
      <c r="E118" s="41" t="str">
        <f>IFERROR(VLOOKUP($D118,임시동력입.출고현황!$A:$G,E$5,0),)</f>
        <v>LTG</v>
      </c>
      <c r="F118" s="19" t="str">
        <f>IFERROR(VLOOKUP($D118,임시동력입.출고현황!$A:$G,F$5,0),)</f>
        <v>Lighting Fixture</v>
      </c>
      <c r="G118" s="19">
        <f>IFERROR(VLOOKUP($D118,임시동력입.출고현황!$A:$G,G$5,0),)</f>
        <v>0</v>
      </c>
      <c r="H118" s="19" t="str">
        <f>IFERROR(VLOOKUP($D118,임시동력입.출고현황!$A:$G,H$5,0),)</f>
        <v>400W</v>
      </c>
      <c r="I118" s="10" t="str">
        <f>IFERROR(VLOOKUP($D118,임시동력입.출고현황!$A:$G,I$5,0),)</f>
        <v>EA</v>
      </c>
      <c r="J118" s="10"/>
      <c r="K118" s="95" t="s">
        <v>244</v>
      </c>
      <c r="L118" s="57">
        <v>5</v>
      </c>
      <c r="M118" s="81"/>
      <c r="N118" s="134"/>
    </row>
    <row r="119" spans="1:16" s="131" customFormat="1" ht="28.2" customHeight="1">
      <c r="A119" s="11">
        <v>114</v>
      </c>
      <c r="B119" s="290">
        <v>114</v>
      </c>
      <c r="C119" s="129">
        <v>45755</v>
      </c>
      <c r="D119" s="10" t="s">
        <v>347</v>
      </c>
      <c r="E119" s="41" t="str">
        <f>IFERROR(VLOOKUP($D119,임시동력입.출고현황!$A:$G,E$5,0),)</f>
        <v>LTG</v>
      </c>
      <c r="F119" s="19" t="str">
        <f>IFERROR(VLOOKUP($D119,임시동력입.출고현황!$A:$G,F$5,0),)</f>
        <v>Lighting Fixture</v>
      </c>
      <c r="G119" s="19">
        <f>IFERROR(VLOOKUP($D119,임시동력입.출고현황!$A:$G,G$5,0),)</f>
        <v>0</v>
      </c>
      <c r="H119" s="19" t="str">
        <f>IFERROR(VLOOKUP($D119,임시동력입.출고현황!$A:$G,H$5,0),)</f>
        <v>200W</v>
      </c>
      <c r="I119" s="10" t="str">
        <f>IFERROR(VLOOKUP($D119,임시동력입.출고현황!$A:$G,I$5,0),)</f>
        <v>EA</v>
      </c>
      <c r="J119" s="10"/>
      <c r="K119" s="95" t="s">
        <v>247</v>
      </c>
      <c r="L119" s="57">
        <v>5</v>
      </c>
      <c r="M119" s="81"/>
      <c r="N119" s="134"/>
    </row>
    <row r="120" spans="1:16" s="131" customFormat="1" ht="28.2" customHeight="1">
      <c r="A120" s="11">
        <v>115</v>
      </c>
      <c r="B120" s="290">
        <v>115</v>
      </c>
      <c r="C120" s="129">
        <v>45755</v>
      </c>
      <c r="D120" s="10" t="s">
        <v>334</v>
      </c>
      <c r="E120" s="41" t="str">
        <f>IFERROR(VLOOKUP($D120,임시동력입.출고현황!$A:$G,E$5,0),)</f>
        <v>Cable</v>
      </c>
      <c r="F120" s="19" t="str">
        <f>IFERROR(VLOOKUP($D120,임시동력입.출고현황!$A:$G,F$5,0),)</f>
        <v>CV Cable</v>
      </c>
      <c r="G120" s="19">
        <f>IFERROR(VLOOKUP($D120,임시동력입.출고현황!$A:$G,G$5,0),)</f>
        <v>0</v>
      </c>
      <c r="H120" s="19" t="str">
        <f>IFERROR(VLOOKUP($D120,임시동력입.출고현황!$A:$G,H$5,0),)</f>
        <v>3C x 4mm2</v>
      </c>
      <c r="I120" s="10" t="str">
        <f>IFERROR(VLOOKUP($D120,임시동력입.출고현황!$A:$G,I$5,0),)</f>
        <v>M</v>
      </c>
      <c r="J120" s="10"/>
      <c r="K120" s="95" t="s">
        <v>237</v>
      </c>
      <c r="L120" s="57">
        <v>125</v>
      </c>
      <c r="M120" s="81"/>
      <c r="N120" s="134"/>
    </row>
    <row r="121" spans="1:16" s="131" customFormat="1" ht="28.2" customHeight="1">
      <c r="A121" s="11">
        <v>116</v>
      </c>
      <c r="B121" s="290">
        <v>116</v>
      </c>
      <c r="C121" s="129">
        <v>45755</v>
      </c>
      <c r="D121" s="10" t="s">
        <v>336</v>
      </c>
      <c r="E121" s="41" t="str">
        <f>IFERROR(VLOOKUP($D121,임시동력입.출고현황!$A:$G,E$5,0),)</f>
        <v>Cable</v>
      </c>
      <c r="F121" s="19" t="str">
        <f>IFERROR(VLOOKUP($D121,임시동력입.출고현황!$A:$G,F$5,0),)</f>
        <v>CV Cable</v>
      </c>
      <c r="G121" s="19">
        <f>IFERROR(VLOOKUP($D121,임시동력입.출고현황!$A:$G,G$5,0),)</f>
        <v>0</v>
      </c>
      <c r="H121" s="19" t="str">
        <f>IFERROR(VLOOKUP($D121,임시동력입.출고현황!$A:$G,H$5,0),)</f>
        <v>3C x 1.5mm2</v>
      </c>
      <c r="I121" s="10" t="str">
        <f>IFERROR(VLOOKUP($D121,임시동력입.출고현황!$A:$G,I$5,0),)</f>
        <v>M</v>
      </c>
      <c r="J121" s="10"/>
      <c r="K121" s="95" t="s">
        <v>237</v>
      </c>
      <c r="L121" s="57">
        <v>100</v>
      </c>
      <c r="M121" s="81"/>
      <c r="N121" s="134"/>
    </row>
    <row r="122" spans="1:16" s="131" customFormat="1" ht="28.2" customHeight="1">
      <c r="A122" s="11">
        <v>117</v>
      </c>
      <c r="B122" s="290">
        <v>117</v>
      </c>
      <c r="C122" s="129">
        <v>45757</v>
      </c>
      <c r="D122" s="10" t="s">
        <v>325</v>
      </c>
      <c r="E122" s="41" t="str">
        <f>IFERROR(VLOOKUP($D122,임시동력입.출고현황!$A:$G,E$5,0),)</f>
        <v>Cable</v>
      </c>
      <c r="F122" s="19" t="str">
        <f>IFERROR(VLOOKUP($D122,임시동력입.출고현황!$A:$G,F$5,0),)</f>
        <v>CV Cable</v>
      </c>
      <c r="G122" s="19">
        <f>IFERROR(VLOOKUP($D122,임시동력입.출고현황!$A:$G,G$5,0),)</f>
        <v>0</v>
      </c>
      <c r="H122" s="19" t="str">
        <f>IFERROR(VLOOKUP($D122,임시동력입.출고현황!$A:$G,H$5,0),)</f>
        <v>3C X 70+35mm2</v>
      </c>
      <c r="I122" s="10" t="str">
        <f>IFERROR(VLOOKUP($D122,임시동력입.출고현황!$A:$G,I$5,0),)</f>
        <v>M</v>
      </c>
      <c r="J122" s="10"/>
      <c r="K122" s="95"/>
      <c r="L122" s="57">
        <v>75</v>
      </c>
      <c r="M122" s="81"/>
      <c r="N122" s="134"/>
    </row>
    <row r="123" spans="1:16" s="131" customFormat="1" ht="28.2" customHeight="1">
      <c r="A123" s="11">
        <v>118</v>
      </c>
      <c r="B123" s="290">
        <v>118</v>
      </c>
      <c r="C123" s="129">
        <v>45757</v>
      </c>
      <c r="D123" s="10" t="s">
        <v>306</v>
      </c>
      <c r="E123" s="41" t="str">
        <f>IFERROR(VLOOKUP($D123,임시동력입.출고현황!$A:$G,E$5,0),)</f>
        <v>Panel</v>
      </c>
      <c r="F123" s="19" t="str">
        <f>IFERROR(VLOOKUP($D123,임시동력입.출고현황!$A:$G,F$5,0),)</f>
        <v>Electrical Panel</v>
      </c>
      <c r="G123" s="19">
        <f>IFERROR(VLOOKUP($D123,임시동력입.출고현황!$A:$G,G$5,0),)</f>
        <v>0</v>
      </c>
      <c r="H123" s="19" t="str">
        <f>IFERROR(VLOOKUP($D123,임시동력입.출고현황!$A:$G,H$5,0),)</f>
        <v>250A</v>
      </c>
      <c r="I123" s="10" t="str">
        <f>IFERROR(VLOOKUP($D123,임시동력입.출고현황!$A:$G,I$5,0),)</f>
        <v>EA</v>
      </c>
      <c r="J123" s="10"/>
      <c r="K123" s="95"/>
      <c r="L123" s="57">
        <v>1</v>
      </c>
      <c r="M123" s="81"/>
      <c r="N123" s="134"/>
    </row>
    <row r="124" spans="1:16" s="131" customFormat="1" ht="28.2" customHeight="1">
      <c r="A124" s="11">
        <v>119</v>
      </c>
      <c r="B124" s="290">
        <v>119</v>
      </c>
      <c r="C124" s="129">
        <v>45759</v>
      </c>
      <c r="D124" s="10" t="s">
        <v>341</v>
      </c>
      <c r="E124" s="41" t="str">
        <f>IFERROR(VLOOKUP($D124,임시동력입.출고현황!$A:$G,E$5,0),)</f>
        <v>LTG</v>
      </c>
      <c r="F124" s="19" t="str">
        <f>IFERROR(VLOOKUP($D124,임시동력입.출고현황!$A:$G,F$5,0),)</f>
        <v>Lighting Fixture</v>
      </c>
      <c r="G124" s="19">
        <f>IFERROR(VLOOKUP($D124,임시동력입.출고현황!$A:$G,G$5,0),)</f>
        <v>0</v>
      </c>
      <c r="H124" s="19" t="str">
        <f>IFERROR(VLOOKUP($D124,임시동력입.출고현황!$A:$G,H$5,0),)</f>
        <v>400W</v>
      </c>
      <c r="I124" s="10" t="str">
        <f>IFERROR(VLOOKUP($D124,임시동력입.출고현황!$A:$G,I$5,0),)</f>
        <v>EA</v>
      </c>
      <c r="J124" s="10"/>
      <c r="K124" s="95"/>
      <c r="L124" s="57">
        <v>2</v>
      </c>
      <c r="M124" s="81" t="s">
        <v>248</v>
      </c>
      <c r="N124" s="134"/>
    </row>
    <row r="125" spans="1:16" s="131" customFormat="1" ht="28.2" customHeight="1">
      <c r="A125" s="11">
        <v>120</v>
      </c>
      <c r="B125" s="290">
        <v>120</v>
      </c>
      <c r="C125" s="129">
        <v>45761</v>
      </c>
      <c r="D125" s="10" t="s">
        <v>341</v>
      </c>
      <c r="E125" s="41" t="str">
        <f>IFERROR(VLOOKUP($D125,임시동력입.출고현황!$A:$G,E$5,0),)</f>
        <v>LTG</v>
      </c>
      <c r="F125" s="19" t="str">
        <f>IFERROR(VLOOKUP($D125,임시동력입.출고현황!$A:$G,F$5,0),)</f>
        <v>Lighting Fixture</v>
      </c>
      <c r="G125" s="19">
        <f>IFERROR(VLOOKUP($D125,임시동력입.출고현황!$A:$G,G$5,0),)</f>
        <v>0</v>
      </c>
      <c r="H125" s="19" t="str">
        <f>IFERROR(VLOOKUP($D125,임시동력입.출고현황!$A:$G,H$5,0),)</f>
        <v>400W</v>
      </c>
      <c r="I125" s="10" t="str">
        <f>IFERROR(VLOOKUP($D125,임시동력입.출고현황!$A:$G,I$5,0),)</f>
        <v>EA</v>
      </c>
      <c r="J125" s="10"/>
      <c r="K125" s="95"/>
      <c r="L125" s="57">
        <v>1</v>
      </c>
      <c r="M125" s="81" t="s">
        <v>248</v>
      </c>
      <c r="N125" s="134"/>
    </row>
    <row r="126" spans="1:16" s="131" customFormat="1" ht="28.2" customHeight="1">
      <c r="A126" s="11">
        <v>121</v>
      </c>
      <c r="B126" s="290">
        <v>121</v>
      </c>
      <c r="C126" s="129">
        <v>45762</v>
      </c>
      <c r="D126" s="10" t="s">
        <v>308</v>
      </c>
      <c r="E126" s="41" t="str">
        <f>IFERROR(VLOOKUP($D126,임시동력입.출고현황!$A:$G,E$5,0),)</f>
        <v>Panel</v>
      </c>
      <c r="F126" s="19" t="str">
        <f>IFERROR(VLOOKUP($D126,임시동력입.출고현황!$A:$G,F$5,0),)</f>
        <v>Electrical Panel</v>
      </c>
      <c r="G126" s="19">
        <f>IFERROR(VLOOKUP($D126,임시동력입.출고현황!$A:$G,G$5,0),)</f>
        <v>0</v>
      </c>
      <c r="H126" s="19" t="str">
        <f>IFERROR(VLOOKUP($D126,임시동력입.출고현황!$A:$G,H$5,0),)</f>
        <v>125A</v>
      </c>
      <c r="I126" s="10" t="str">
        <f>IFERROR(VLOOKUP($D126,임시동력입.출고현황!$A:$G,I$5,0),)</f>
        <v>EA</v>
      </c>
      <c r="J126" s="10"/>
      <c r="K126" s="95"/>
      <c r="L126" s="57">
        <v>1</v>
      </c>
      <c r="M126" s="81" t="s">
        <v>248</v>
      </c>
      <c r="N126" s="134"/>
      <c r="P126" s="131" t="s">
        <v>451</v>
      </c>
    </row>
    <row r="127" spans="1:16" s="131" customFormat="1" ht="28.2" customHeight="1">
      <c r="A127" s="11">
        <v>122</v>
      </c>
      <c r="B127" s="290">
        <v>122</v>
      </c>
      <c r="C127" s="129">
        <v>45763</v>
      </c>
      <c r="D127" s="10" t="s">
        <v>308</v>
      </c>
      <c r="E127" s="41" t="str">
        <f>IFERROR(VLOOKUP($D127,임시동력입.출고현황!$A:$G,E$5,0),)</f>
        <v>Panel</v>
      </c>
      <c r="F127" s="19" t="str">
        <f>IFERROR(VLOOKUP($D127,임시동력입.출고현황!$A:$G,F$5,0),)</f>
        <v>Electrical Panel</v>
      </c>
      <c r="G127" s="19">
        <f>IFERROR(VLOOKUP($D127,임시동력입.출고현황!$A:$G,G$5,0),)</f>
        <v>0</v>
      </c>
      <c r="H127" s="19" t="str">
        <f>IFERROR(VLOOKUP($D127,임시동력입.출고현황!$A:$G,H$5,0),)</f>
        <v>125A</v>
      </c>
      <c r="I127" s="10" t="str">
        <f>IFERROR(VLOOKUP($D127,임시동력입.출고현황!$A:$G,I$5,0),)</f>
        <v>EA</v>
      </c>
      <c r="J127" s="10"/>
      <c r="K127" s="95"/>
      <c r="L127" s="57">
        <v>2</v>
      </c>
      <c r="M127" s="81" t="s">
        <v>248</v>
      </c>
      <c r="N127" s="134"/>
      <c r="P127" s="131" t="s">
        <v>451</v>
      </c>
    </row>
    <row r="128" spans="1:16" s="131" customFormat="1" ht="28.2" customHeight="1">
      <c r="A128" s="11">
        <v>123</v>
      </c>
      <c r="B128" s="290">
        <v>123</v>
      </c>
      <c r="C128" s="129">
        <v>45763</v>
      </c>
      <c r="D128" s="10" t="s">
        <v>334</v>
      </c>
      <c r="E128" s="41" t="str">
        <f>IFERROR(VLOOKUP($D128,임시동력입.출고현황!$A:$G,E$5,0),)</f>
        <v>Cable</v>
      </c>
      <c r="F128" s="19" t="str">
        <f>IFERROR(VLOOKUP($D128,임시동력입.출고현황!$A:$G,F$5,0),)</f>
        <v>CV Cable</v>
      </c>
      <c r="G128" s="19">
        <f>IFERROR(VLOOKUP($D128,임시동력입.출고현황!$A:$G,G$5,0),)</f>
        <v>0</v>
      </c>
      <c r="H128" s="19" t="str">
        <f>IFERROR(VLOOKUP($D128,임시동력입.출고현황!$A:$G,H$5,0),)</f>
        <v>3C x 4mm2</v>
      </c>
      <c r="I128" s="10" t="str">
        <f>IFERROR(VLOOKUP($D128,임시동력입.출고현황!$A:$G,I$5,0),)</f>
        <v>M</v>
      </c>
      <c r="J128" s="10"/>
      <c r="K128" s="95"/>
      <c r="L128" s="57">
        <v>60</v>
      </c>
      <c r="M128" s="81" t="s">
        <v>248</v>
      </c>
      <c r="N128" s="134"/>
    </row>
    <row r="129" spans="1:14" s="131" customFormat="1" ht="28.2" customHeight="1">
      <c r="A129" s="11">
        <v>124</v>
      </c>
      <c r="B129" s="290">
        <v>124</v>
      </c>
      <c r="C129" s="129">
        <v>45768</v>
      </c>
      <c r="D129" s="10" t="s">
        <v>345</v>
      </c>
      <c r="E129" s="41" t="str">
        <f>IFERROR(VLOOKUP($D129,임시동력입.출고현황!$A:$G,E$5,0),)</f>
        <v>Cable</v>
      </c>
      <c r="F129" s="19" t="str">
        <f>IFERROR(VLOOKUP($D129,임시동력입.출고현황!$A:$G,F$5,0),)</f>
        <v>Grounding Cable</v>
      </c>
      <c r="G129" s="19">
        <f>IFERROR(VLOOKUP($D129,임시동력입.출고현황!$A:$G,G$5,0),)</f>
        <v>0</v>
      </c>
      <c r="H129" s="19" t="str">
        <f>IFERROR(VLOOKUP($D129,임시동력입.출고현황!$A:$G,H$5,0),)</f>
        <v>1C x 16mm2</v>
      </c>
      <c r="I129" s="10" t="str">
        <f>IFERROR(VLOOKUP($D129,임시동력입.출고현황!$A:$G,I$5,0),)</f>
        <v>M</v>
      </c>
      <c r="J129" s="10" t="s">
        <v>363</v>
      </c>
      <c r="K129" s="95" t="s">
        <v>363</v>
      </c>
      <c r="L129" s="57">
        <v>50</v>
      </c>
      <c r="M129" s="81" t="s">
        <v>248</v>
      </c>
      <c r="N129" s="134"/>
    </row>
    <row r="130" spans="1:14" s="131" customFormat="1" ht="28.2" customHeight="1">
      <c r="A130" s="11">
        <v>125</v>
      </c>
      <c r="B130" s="290">
        <v>125</v>
      </c>
      <c r="C130" s="129">
        <v>45768</v>
      </c>
      <c r="D130" s="10" t="s">
        <v>329</v>
      </c>
      <c r="E130" s="41" t="str">
        <f>IFERROR(VLOOKUP($D130,임시동력입.출고현황!$A:$G,E$5,0),)</f>
        <v>Cable</v>
      </c>
      <c r="F130" s="19" t="str">
        <f>IFERROR(VLOOKUP($D130,임시동력입.출고현황!$A:$G,F$5,0),)</f>
        <v>CV Cable</v>
      </c>
      <c r="G130" s="19">
        <f>IFERROR(VLOOKUP($D130,임시동력입.출고현황!$A:$G,G$5,0),)</f>
        <v>0</v>
      </c>
      <c r="H130" s="19" t="str">
        <f>IFERROR(VLOOKUP($D130,임시동력입.출고현황!$A:$G,H$5,0),)</f>
        <v>4C x 16mm2</v>
      </c>
      <c r="I130" s="10" t="str">
        <f>IFERROR(VLOOKUP($D130,임시동력입.출고현황!$A:$G,I$5,0),)</f>
        <v>M</v>
      </c>
      <c r="J130" s="10" t="s">
        <v>363</v>
      </c>
      <c r="K130" s="95" t="s">
        <v>363</v>
      </c>
      <c r="L130" s="57">
        <v>50</v>
      </c>
      <c r="M130" s="81" t="s">
        <v>248</v>
      </c>
      <c r="N130" s="134"/>
    </row>
    <row r="131" spans="1:14" s="131" customFormat="1" ht="28.2" customHeight="1">
      <c r="A131" s="11">
        <v>126</v>
      </c>
      <c r="B131" s="290">
        <v>126</v>
      </c>
      <c r="C131" s="129">
        <v>45768</v>
      </c>
      <c r="D131" s="10" t="s">
        <v>307</v>
      </c>
      <c r="E131" s="41" t="str">
        <f>IFERROR(VLOOKUP($D131,임시동력입.출고현황!$A:$G,E$5,0),)</f>
        <v>Panel</v>
      </c>
      <c r="F131" s="19" t="str">
        <f>IFERROR(VLOOKUP($D131,임시동력입.출고현황!$A:$G,F$5,0),)</f>
        <v>Electrical Panel</v>
      </c>
      <c r="G131" s="19">
        <f>IFERROR(VLOOKUP($D131,임시동력입.출고현황!$A:$G,G$5,0),)</f>
        <v>0</v>
      </c>
      <c r="H131" s="19" t="str">
        <f>IFERROR(VLOOKUP($D131,임시동력입.출고현황!$A:$G,H$5,0),)</f>
        <v>160A</v>
      </c>
      <c r="I131" s="10" t="str">
        <f>IFERROR(VLOOKUP($D131,임시동력입.출고현황!$A:$G,I$5,0),)</f>
        <v>EA</v>
      </c>
      <c r="J131" s="10" t="s">
        <v>363</v>
      </c>
      <c r="K131" s="95" t="s">
        <v>363</v>
      </c>
      <c r="L131" s="57">
        <v>1</v>
      </c>
      <c r="M131" s="81" t="s">
        <v>248</v>
      </c>
      <c r="N131" s="134"/>
    </row>
    <row r="132" spans="1:14" s="131" customFormat="1" ht="28.2" customHeight="1">
      <c r="A132" s="11">
        <v>127</v>
      </c>
      <c r="B132" s="290">
        <v>127</v>
      </c>
      <c r="C132" s="129">
        <v>45768</v>
      </c>
      <c r="D132" s="10" t="s">
        <v>307</v>
      </c>
      <c r="E132" s="41" t="str">
        <f>IFERROR(VLOOKUP($D132,임시동력입.출고현황!$A:$G,E$5,0),)</f>
        <v>Panel</v>
      </c>
      <c r="F132" s="19" t="str">
        <f>IFERROR(VLOOKUP($D132,임시동력입.출고현황!$A:$G,F$5,0),)</f>
        <v>Electrical Panel</v>
      </c>
      <c r="G132" s="19">
        <f>IFERROR(VLOOKUP($D132,임시동력입.출고현황!$A:$G,G$5,0),)</f>
        <v>0</v>
      </c>
      <c r="H132" s="19" t="str">
        <f>IFERROR(VLOOKUP($D132,임시동력입.출고현황!$A:$G,H$5,0),)</f>
        <v>160A</v>
      </c>
      <c r="I132" s="10" t="str">
        <f>IFERROR(VLOOKUP($D132,임시동력입.출고현황!$A:$G,I$5,0),)</f>
        <v>EA</v>
      </c>
      <c r="J132" s="10" t="s">
        <v>359</v>
      </c>
      <c r="K132" s="95" t="s">
        <v>359</v>
      </c>
      <c r="L132" s="57">
        <v>1</v>
      </c>
      <c r="M132" s="81" t="s">
        <v>248</v>
      </c>
      <c r="N132" s="134"/>
    </row>
    <row r="133" spans="1:14" s="131" customFormat="1" ht="28.2" customHeight="1">
      <c r="A133" s="11">
        <v>128</v>
      </c>
      <c r="B133" s="290">
        <v>128</v>
      </c>
      <c r="C133" s="129">
        <v>45769</v>
      </c>
      <c r="D133" s="10" t="s">
        <v>345</v>
      </c>
      <c r="E133" s="41" t="str">
        <f>IFERROR(VLOOKUP($D133,임시동력입.출고현황!$A:$G,E$5,0),)</f>
        <v>Cable</v>
      </c>
      <c r="F133" s="19" t="str">
        <f>IFERROR(VLOOKUP($D133,임시동력입.출고현황!$A:$G,F$5,0),)</f>
        <v>Grounding Cable</v>
      </c>
      <c r="G133" s="19">
        <f>IFERROR(VLOOKUP($D133,임시동력입.출고현황!$A:$G,G$5,0),)</f>
        <v>0</v>
      </c>
      <c r="H133" s="19" t="str">
        <f>IFERROR(VLOOKUP($D133,임시동력입.출고현황!$A:$G,H$5,0),)</f>
        <v>1C x 16mm2</v>
      </c>
      <c r="I133" s="10" t="str">
        <f>IFERROR(VLOOKUP($D133,임시동력입.출고현황!$A:$G,I$5,0),)</f>
        <v>M</v>
      </c>
      <c r="J133" s="10" t="s">
        <v>359</v>
      </c>
      <c r="K133" s="95" t="s">
        <v>359</v>
      </c>
      <c r="L133" s="57">
        <v>120</v>
      </c>
      <c r="M133" s="81" t="s">
        <v>248</v>
      </c>
      <c r="N133" s="134"/>
    </row>
    <row r="134" spans="1:14" s="131" customFormat="1" ht="28.2" customHeight="1">
      <c r="A134" s="11">
        <v>129</v>
      </c>
      <c r="B134" s="290">
        <v>129</v>
      </c>
      <c r="C134" s="129">
        <v>45769</v>
      </c>
      <c r="D134" s="10" t="s">
        <v>329</v>
      </c>
      <c r="E134" s="41" t="str">
        <f>IFERROR(VLOOKUP($D134,임시동력입.출고현황!$A:$G,E$5,0),)</f>
        <v>Cable</v>
      </c>
      <c r="F134" s="19" t="str">
        <f>IFERROR(VLOOKUP($D134,임시동력입.출고현황!$A:$G,F$5,0),)</f>
        <v>CV Cable</v>
      </c>
      <c r="G134" s="19">
        <f>IFERROR(VLOOKUP($D134,임시동력입.출고현황!$A:$G,G$5,0),)</f>
        <v>0</v>
      </c>
      <c r="H134" s="19" t="str">
        <f>IFERROR(VLOOKUP($D134,임시동력입.출고현황!$A:$G,H$5,0),)</f>
        <v>4C x 16mm2</v>
      </c>
      <c r="I134" s="10" t="str">
        <f>IFERROR(VLOOKUP($D134,임시동력입.출고현황!$A:$G,I$5,0),)</f>
        <v>M</v>
      </c>
      <c r="J134" s="10" t="s">
        <v>359</v>
      </c>
      <c r="K134" s="95" t="s">
        <v>359</v>
      </c>
      <c r="L134" s="57">
        <v>100</v>
      </c>
      <c r="M134" s="81" t="s">
        <v>248</v>
      </c>
      <c r="N134" s="134"/>
    </row>
    <row r="135" spans="1:14" s="131" customFormat="1" ht="28.2" customHeight="1">
      <c r="A135" s="11">
        <v>130</v>
      </c>
      <c r="B135" s="290">
        <v>130</v>
      </c>
      <c r="C135" s="129">
        <v>45769</v>
      </c>
      <c r="D135" s="10" t="s">
        <v>341</v>
      </c>
      <c r="E135" s="41" t="str">
        <f>IFERROR(VLOOKUP($D135,임시동력입.출고현황!$A:$G,E$5,0),)</f>
        <v>LTG</v>
      </c>
      <c r="F135" s="19" t="str">
        <f>IFERROR(VLOOKUP($D135,임시동력입.출고현황!$A:$G,F$5,0),)</f>
        <v>Lighting Fixture</v>
      </c>
      <c r="G135" s="19">
        <f>IFERROR(VLOOKUP($D135,임시동력입.출고현황!$A:$G,G$5,0),)</f>
        <v>0</v>
      </c>
      <c r="H135" s="19" t="str">
        <f>IFERROR(VLOOKUP($D135,임시동력입.출고현황!$A:$G,H$5,0),)</f>
        <v>400W</v>
      </c>
      <c r="I135" s="10" t="str">
        <f>IFERROR(VLOOKUP($D135,임시동력입.출고현황!$A:$G,I$5,0),)</f>
        <v>EA</v>
      </c>
      <c r="J135" s="10"/>
      <c r="K135" s="95"/>
      <c r="L135" s="57">
        <v>1</v>
      </c>
      <c r="M135" s="81" t="s">
        <v>248</v>
      </c>
      <c r="N135" s="134"/>
    </row>
    <row r="136" spans="1:14" s="131" customFormat="1" ht="28.2" customHeight="1">
      <c r="A136" s="11">
        <v>131</v>
      </c>
      <c r="B136" s="290">
        <v>131</v>
      </c>
      <c r="C136" s="129">
        <v>45769</v>
      </c>
      <c r="D136" s="10" t="s">
        <v>347</v>
      </c>
      <c r="E136" s="41" t="str">
        <f>IFERROR(VLOOKUP($D136,임시동력입.출고현황!$A:$G,E$5,0),)</f>
        <v>LTG</v>
      </c>
      <c r="F136" s="19" t="str">
        <f>IFERROR(VLOOKUP($D136,임시동력입.출고현황!$A:$G,F$5,0),)</f>
        <v>Lighting Fixture</v>
      </c>
      <c r="G136" s="19">
        <f>IFERROR(VLOOKUP($D136,임시동력입.출고현황!$A:$G,G$5,0),)</f>
        <v>0</v>
      </c>
      <c r="H136" s="19" t="str">
        <f>IFERROR(VLOOKUP($D136,임시동력입.출고현황!$A:$G,H$5,0),)</f>
        <v>200W</v>
      </c>
      <c r="I136" s="10" t="str">
        <f>IFERROR(VLOOKUP($D136,임시동력입.출고현황!$A:$G,I$5,0),)</f>
        <v>EA</v>
      </c>
      <c r="J136" s="10"/>
      <c r="K136" s="95"/>
      <c r="L136" s="57">
        <v>1</v>
      </c>
      <c r="M136" s="81" t="s">
        <v>248</v>
      </c>
      <c r="N136" s="134"/>
    </row>
    <row r="137" spans="1:14" s="131" customFormat="1" ht="28.2" customHeight="1">
      <c r="A137" s="11">
        <v>132</v>
      </c>
      <c r="B137" s="290">
        <v>132</v>
      </c>
      <c r="C137" s="129">
        <v>45770</v>
      </c>
      <c r="D137" s="10" t="s">
        <v>341</v>
      </c>
      <c r="E137" s="41" t="str">
        <f>IFERROR(VLOOKUP($D137,임시동력입.출고현황!$A:$G,E$5,0),)</f>
        <v>LTG</v>
      </c>
      <c r="F137" s="19" t="str">
        <f>IFERROR(VLOOKUP($D137,임시동력입.출고현황!$A:$G,F$5,0),)</f>
        <v>Lighting Fixture</v>
      </c>
      <c r="G137" s="19">
        <f>IFERROR(VLOOKUP($D137,임시동력입.출고현황!$A:$G,G$5,0),)</f>
        <v>0</v>
      </c>
      <c r="H137" s="19" t="str">
        <f>IFERROR(VLOOKUP($D137,임시동력입.출고현황!$A:$G,H$5,0),)</f>
        <v>400W</v>
      </c>
      <c r="I137" s="10" t="str">
        <f>IFERROR(VLOOKUP($D137,임시동력입.출고현황!$A:$G,I$5,0),)</f>
        <v>EA</v>
      </c>
      <c r="J137" s="10"/>
      <c r="K137" s="95"/>
      <c r="L137" s="57">
        <v>1</v>
      </c>
      <c r="M137" s="81" t="s">
        <v>248</v>
      </c>
      <c r="N137" s="134"/>
    </row>
    <row r="138" spans="1:14" s="131" customFormat="1" ht="28.2" customHeight="1">
      <c r="A138" s="11">
        <v>133</v>
      </c>
      <c r="B138" s="290">
        <v>133</v>
      </c>
      <c r="C138" s="129">
        <v>45774</v>
      </c>
      <c r="D138" s="10" t="s">
        <v>335</v>
      </c>
      <c r="E138" s="41" t="str">
        <f>IFERROR(VLOOKUP($D138,임시동력입.출고현황!$A:$G,E$5,0),)</f>
        <v>Cable</v>
      </c>
      <c r="F138" s="19" t="str">
        <f>IFERROR(VLOOKUP($D138,임시동력입.출고현황!$A:$G,F$5,0),)</f>
        <v>CV Cable</v>
      </c>
      <c r="G138" s="19">
        <f>IFERROR(VLOOKUP($D138,임시동력입.출고현황!$A:$G,G$5,0),)</f>
        <v>0</v>
      </c>
      <c r="H138" s="19" t="str">
        <f>IFERROR(VLOOKUP($D138,임시동력입.출고현황!$A:$G,H$5,0),)</f>
        <v>3C x 2.5mm2</v>
      </c>
      <c r="I138" s="10" t="str">
        <f>IFERROR(VLOOKUP($D138,임시동력입.출고현황!$A:$G,I$5,0),)</f>
        <v>M</v>
      </c>
      <c r="J138" s="10"/>
      <c r="K138" s="95"/>
      <c r="L138" s="57">
        <v>40</v>
      </c>
      <c r="M138" s="81" t="s">
        <v>248</v>
      </c>
      <c r="N138" s="134"/>
    </row>
    <row r="139" spans="1:14" s="131" customFormat="1" ht="28.2" customHeight="1">
      <c r="A139" s="11">
        <v>134</v>
      </c>
      <c r="B139" s="290">
        <v>134</v>
      </c>
      <c r="C139" s="129">
        <v>45775</v>
      </c>
      <c r="D139" s="10" t="s">
        <v>320</v>
      </c>
      <c r="E139" s="41" t="str">
        <f>IFERROR(VLOOKUP($D139,임시동력입.출고현황!$A:$G,E$5,0),)</f>
        <v>Cable</v>
      </c>
      <c r="F139" s="19" t="str">
        <f>IFERROR(VLOOKUP($D139,임시동력입.출고현황!$A:$G,F$5,0),)</f>
        <v>AL Cable</v>
      </c>
      <c r="G139" s="19">
        <f>IFERROR(VLOOKUP($D139,임시동력입.출고현황!$A:$G,G$5,0),)</f>
        <v>0</v>
      </c>
      <c r="H139" s="19" t="str">
        <f>IFERROR(VLOOKUP($D139,임시동력입.출고현황!$A:$G,H$5,0),)</f>
        <v>3C x 95+50mm2 [ALU]</v>
      </c>
      <c r="I139" s="10" t="str">
        <f>IFERROR(VLOOKUP($D139,임시동력입.출고현황!$A:$G,I$5,0),)</f>
        <v>M</v>
      </c>
      <c r="J139" s="10"/>
      <c r="K139" s="95"/>
      <c r="L139" s="57">
        <v>95</v>
      </c>
      <c r="M139" s="81" t="s">
        <v>248</v>
      </c>
      <c r="N139" s="134"/>
    </row>
    <row r="140" spans="1:14" s="131" customFormat="1" ht="28.2" customHeight="1">
      <c r="A140" s="11">
        <v>135</v>
      </c>
      <c r="B140" s="290">
        <v>135</v>
      </c>
      <c r="C140" s="129">
        <v>45775</v>
      </c>
      <c r="D140" s="10" t="s">
        <v>306</v>
      </c>
      <c r="E140" s="41" t="str">
        <f>IFERROR(VLOOKUP($D140,임시동력입.출고현황!$A:$G,E$5,0),)</f>
        <v>Panel</v>
      </c>
      <c r="F140" s="19" t="str">
        <f>IFERROR(VLOOKUP($D140,임시동력입.출고현황!$A:$G,F$5,0),)</f>
        <v>Electrical Panel</v>
      </c>
      <c r="G140" s="19">
        <f>IFERROR(VLOOKUP($D140,임시동력입.출고현황!$A:$G,G$5,0),)</f>
        <v>0</v>
      </c>
      <c r="H140" s="19" t="str">
        <f>IFERROR(VLOOKUP($D140,임시동력입.출고현황!$A:$G,H$5,0),)</f>
        <v>250A</v>
      </c>
      <c r="I140" s="10" t="str">
        <f>IFERROR(VLOOKUP($D140,임시동력입.출고현황!$A:$G,I$5,0),)</f>
        <v>EA</v>
      </c>
      <c r="J140" s="10"/>
      <c r="K140" s="95"/>
      <c r="L140" s="57">
        <v>1</v>
      </c>
      <c r="M140" s="81" t="s">
        <v>248</v>
      </c>
      <c r="N140" s="134"/>
    </row>
    <row r="141" spans="1:14" s="131" customFormat="1" ht="28.2" customHeight="1">
      <c r="A141" s="11">
        <v>136</v>
      </c>
      <c r="B141" s="290">
        <v>136</v>
      </c>
      <c r="C141" s="129">
        <v>45774</v>
      </c>
      <c r="D141" s="10" t="s">
        <v>341</v>
      </c>
      <c r="E141" s="41" t="str">
        <f>IFERROR(VLOOKUP($D141,임시동력입.출고현황!$A:$G,E$5,0),)</f>
        <v>LTG</v>
      </c>
      <c r="F141" s="19" t="str">
        <f>IFERROR(VLOOKUP($D141,임시동력입.출고현황!$A:$G,F$5,0),)</f>
        <v>Lighting Fixture</v>
      </c>
      <c r="G141" s="19">
        <f>IFERROR(VLOOKUP($D141,임시동력입.출고현황!$A:$G,G$5,0),)</f>
        <v>0</v>
      </c>
      <c r="H141" s="19" t="str">
        <f>IFERROR(VLOOKUP($D141,임시동력입.출고현황!$A:$G,H$5,0),)</f>
        <v>400W</v>
      </c>
      <c r="I141" s="10" t="str">
        <f>IFERROR(VLOOKUP($D141,임시동력입.출고현황!$A:$G,I$5,0),)</f>
        <v>EA</v>
      </c>
      <c r="J141" s="10"/>
      <c r="K141" s="95"/>
      <c r="L141" s="57">
        <v>4</v>
      </c>
      <c r="M141" s="81" t="s">
        <v>248</v>
      </c>
      <c r="N141" s="134"/>
    </row>
    <row r="142" spans="1:14" s="131" customFormat="1" ht="28.2" customHeight="1">
      <c r="A142" s="11">
        <v>137</v>
      </c>
      <c r="B142" s="290">
        <v>137</v>
      </c>
      <c r="C142" s="129">
        <v>45776</v>
      </c>
      <c r="D142" s="10" t="s">
        <v>327</v>
      </c>
      <c r="E142" s="41" t="str">
        <f>IFERROR(VLOOKUP($D142,임시동력입.출고현황!$A:$G,E$5,0),)</f>
        <v>Cable</v>
      </c>
      <c r="F142" s="19" t="str">
        <f>IFERROR(VLOOKUP($D142,임시동력입.출고현황!$A:$G,F$5,0),)</f>
        <v>CV Cable</v>
      </c>
      <c r="G142" s="19">
        <f>IFERROR(VLOOKUP($D142,임시동력입.출고현황!$A:$G,G$5,0),)</f>
        <v>0</v>
      </c>
      <c r="H142" s="19" t="str">
        <f>IFERROR(VLOOKUP($D142,임시동력입.출고현황!$A:$G,H$5,0),)</f>
        <v>4C x 35mm2</v>
      </c>
      <c r="I142" s="10" t="str">
        <f>IFERROR(VLOOKUP($D142,임시동력입.출고현황!$A:$G,I$5,0),)</f>
        <v>M</v>
      </c>
      <c r="J142" s="10"/>
      <c r="K142" s="95"/>
      <c r="L142" s="57">
        <v>95</v>
      </c>
      <c r="M142" s="81" t="s">
        <v>248</v>
      </c>
      <c r="N142" s="134"/>
    </row>
    <row r="143" spans="1:14" s="131" customFormat="1" ht="28.2" customHeight="1">
      <c r="A143" s="11">
        <v>138</v>
      </c>
      <c r="B143" s="290">
        <v>138</v>
      </c>
      <c r="C143" s="129">
        <v>45776</v>
      </c>
      <c r="D143" s="10" t="s">
        <v>345</v>
      </c>
      <c r="E143" s="41" t="str">
        <f>IFERROR(VLOOKUP($D143,임시동력입.출고현황!$A:$G,E$5,0),)</f>
        <v>Cable</v>
      </c>
      <c r="F143" s="19" t="str">
        <f>IFERROR(VLOOKUP($D143,임시동력입.출고현황!$A:$G,F$5,0),)</f>
        <v>Grounding Cable</v>
      </c>
      <c r="G143" s="19">
        <f>IFERROR(VLOOKUP($D143,임시동력입.출고현황!$A:$G,G$5,0),)</f>
        <v>0</v>
      </c>
      <c r="H143" s="19" t="str">
        <f>IFERROR(VLOOKUP($D143,임시동력입.출고현황!$A:$G,H$5,0),)</f>
        <v>1C x 16mm2</v>
      </c>
      <c r="I143" s="10" t="str">
        <f>IFERROR(VLOOKUP($D143,임시동력입.출고현황!$A:$G,I$5,0),)</f>
        <v>M</v>
      </c>
      <c r="J143" s="10"/>
      <c r="K143" s="95"/>
      <c r="L143" s="57">
        <v>200</v>
      </c>
      <c r="M143" s="81" t="s">
        <v>248</v>
      </c>
      <c r="N143" s="134"/>
    </row>
    <row r="144" spans="1:14" s="131" customFormat="1" ht="28.2" customHeight="1">
      <c r="A144" s="11">
        <v>139</v>
      </c>
      <c r="B144" s="290">
        <v>139</v>
      </c>
      <c r="C144" s="129">
        <v>45777</v>
      </c>
      <c r="D144" s="10" t="s">
        <v>333</v>
      </c>
      <c r="E144" s="41" t="str">
        <f>IFERROR(VLOOKUP($D144,임시동력입.출고현황!$A:$G,E$5,0),)</f>
        <v>Cable</v>
      </c>
      <c r="F144" s="19" t="str">
        <f>IFERROR(VLOOKUP($D144,임시동력입.출고현황!$A:$G,F$5,0),)</f>
        <v>CV Cable</v>
      </c>
      <c r="G144" s="19">
        <f>IFERROR(VLOOKUP($D144,임시동력입.출고현황!$A:$G,G$5,0),)</f>
        <v>0</v>
      </c>
      <c r="H144" s="19" t="str">
        <f>IFERROR(VLOOKUP($D144,임시동력입.출고현황!$A:$G,H$5,0),)</f>
        <v>3C x 6mm2</v>
      </c>
      <c r="I144" s="10" t="str">
        <f>IFERROR(VLOOKUP($D144,임시동력입.출고현황!$A:$G,I$5,0),)</f>
        <v>M</v>
      </c>
      <c r="J144" s="10"/>
      <c r="K144" s="95"/>
      <c r="L144" s="57">
        <v>80</v>
      </c>
      <c r="M144" s="81" t="s">
        <v>248</v>
      </c>
      <c r="N144" s="134"/>
    </row>
    <row r="145" spans="1:14" s="131" customFormat="1" ht="28.2" customHeight="1">
      <c r="A145" s="11">
        <v>140</v>
      </c>
      <c r="B145" s="290">
        <v>140</v>
      </c>
      <c r="C145" s="129">
        <v>45780</v>
      </c>
      <c r="D145" s="10" t="s">
        <v>341</v>
      </c>
      <c r="E145" s="41" t="str">
        <f>IFERROR(VLOOKUP($D145,임시동력입.출고현황!$A:$G,E$5,0),)</f>
        <v>LTG</v>
      </c>
      <c r="F145" s="19" t="str">
        <f>IFERROR(VLOOKUP($D145,임시동력입.출고현황!$A:$G,F$5,0),)</f>
        <v>Lighting Fixture</v>
      </c>
      <c r="G145" s="19">
        <f>IFERROR(VLOOKUP($D145,임시동력입.출고현황!$A:$G,G$5,0),)</f>
        <v>0</v>
      </c>
      <c r="H145" s="19" t="str">
        <f>IFERROR(VLOOKUP($D145,임시동력입.출고현황!$A:$G,H$5,0),)</f>
        <v>400W</v>
      </c>
      <c r="I145" s="10" t="str">
        <f>IFERROR(VLOOKUP($D145,임시동력입.출고현황!$A:$G,I$5,0),)</f>
        <v>EA</v>
      </c>
      <c r="J145" s="10"/>
      <c r="K145" s="95"/>
      <c r="L145" s="57">
        <v>2</v>
      </c>
      <c r="M145" s="81" t="s">
        <v>248</v>
      </c>
      <c r="N145" s="134"/>
    </row>
    <row r="146" spans="1:14" s="131" customFormat="1" ht="28.2" customHeight="1">
      <c r="A146" s="11">
        <v>141</v>
      </c>
      <c r="B146" s="290">
        <v>141</v>
      </c>
      <c r="C146" s="129">
        <v>45780</v>
      </c>
      <c r="D146" s="10" t="s">
        <v>280</v>
      </c>
      <c r="E146" s="41" t="str">
        <f>IFERROR(VLOOKUP($D146,임시동력입.출고현황!$A:$G,E$5,0),)</f>
        <v>D/G</v>
      </c>
      <c r="F146" s="19" t="str">
        <f>IFERROR(VLOOKUP($D146,임시동력입.출고현황!$A:$G,F$5,0),)</f>
        <v>Generator</v>
      </c>
      <c r="G146" s="19">
        <f>IFERROR(VLOOKUP($D146,임시동력입.출고현황!$A:$G,G$5,0),)</f>
        <v>0</v>
      </c>
      <c r="H146" s="19" t="str">
        <f>IFERROR(VLOOKUP($D146,임시동력입.출고현황!$A:$G,H$5,0),)</f>
        <v>300KVA</v>
      </c>
      <c r="I146" s="10" t="str">
        <f>IFERROR(VLOOKUP($D146,임시동력입.출고현황!$A:$G,I$5,0),)</f>
        <v>대</v>
      </c>
      <c r="J146" s="10"/>
      <c r="K146" s="95"/>
      <c r="L146" s="57">
        <v>1</v>
      </c>
      <c r="M146" s="81" t="s">
        <v>248</v>
      </c>
      <c r="N146" s="134"/>
    </row>
    <row r="147" spans="1:14" s="131" customFormat="1" ht="28.2" customHeight="1">
      <c r="A147" s="11">
        <v>142</v>
      </c>
      <c r="B147" s="290">
        <v>142</v>
      </c>
      <c r="C147" s="129">
        <v>45781</v>
      </c>
      <c r="D147" s="10" t="s">
        <v>345</v>
      </c>
      <c r="E147" s="41" t="str">
        <f>IFERROR(VLOOKUP($D147,임시동력입.출고현황!$A:$G,E$5,0),)</f>
        <v>Cable</v>
      </c>
      <c r="F147" s="19" t="str">
        <f>IFERROR(VLOOKUP($D147,임시동력입.출고현황!$A:$G,F$5,0),)</f>
        <v>Grounding Cable</v>
      </c>
      <c r="G147" s="19">
        <f>IFERROR(VLOOKUP($D147,임시동력입.출고현황!$A:$G,G$5,0),)</f>
        <v>0</v>
      </c>
      <c r="H147" s="19" t="str">
        <f>IFERROR(VLOOKUP($D147,임시동력입.출고현황!$A:$G,H$5,0),)</f>
        <v>1C x 16mm2</v>
      </c>
      <c r="I147" s="10" t="str">
        <f>IFERROR(VLOOKUP($D147,임시동력입.출고현황!$A:$G,I$5,0),)</f>
        <v>M</v>
      </c>
      <c r="J147" s="10"/>
      <c r="K147" s="95"/>
      <c r="L147" s="57">
        <v>10</v>
      </c>
      <c r="M147" s="81" t="s">
        <v>248</v>
      </c>
      <c r="N147" s="134"/>
    </row>
    <row r="148" spans="1:14" s="131" customFormat="1" ht="28.2" customHeight="1">
      <c r="A148" s="11">
        <v>143</v>
      </c>
      <c r="B148" s="290">
        <v>143</v>
      </c>
      <c r="C148" s="129">
        <v>45781</v>
      </c>
      <c r="D148" s="10" t="s">
        <v>320</v>
      </c>
      <c r="E148" s="41" t="str">
        <f>IFERROR(VLOOKUP($D148,임시동력입.출고현황!$A:$G,E$5,0),)</f>
        <v>Cable</v>
      </c>
      <c r="F148" s="19" t="str">
        <f>IFERROR(VLOOKUP($D148,임시동력입.출고현황!$A:$G,F$5,0),)</f>
        <v>AL Cable</v>
      </c>
      <c r="G148" s="19">
        <f>IFERROR(VLOOKUP($D148,임시동력입.출고현황!$A:$G,G$5,0),)</f>
        <v>0</v>
      </c>
      <c r="H148" s="19" t="str">
        <f>IFERROR(VLOOKUP($D148,임시동력입.출고현황!$A:$G,H$5,0),)</f>
        <v>3C x 95+50mm2 [ALU]</v>
      </c>
      <c r="I148" s="10" t="str">
        <f>IFERROR(VLOOKUP($D148,임시동력입.출고현황!$A:$G,I$5,0),)</f>
        <v>M</v>
      </c>
      <c r="J148" s="10"/>
      <c r="K148" s="95"/>
      <c r="L148" s="57">
        <v>10</v>
      </c>
      <c r="M148" s="81" t="s">
        <v>248</v>
      </c>
      <c r="N148" s="134"/>
    </row>
    <row r="149" spans="1:14" s="131" customFormat="1" ht="28.2" customHeight="1">
      <c r="A149" s="11">
        <v>144</v>
      </c>
      <c r="B149" s="290">
        <v>144</v>
      </c>
      <c r="C149" s="129">
        <v>45782</v>
      </c>
      <c r="D149" s="10" t="s">
        <v>336</v>
      </c>
      <c r="E149" s="41" t="str">
        <f>IFERROR(VLOOKUP($D149,임시동력입.출고현황!$A:$G,E$5,0),)</f>
        <v>Cable</v>
      </c>
      <c r="F149" s="19" t="str">
        <f>IFERROR(VLOOKUP($D149,임시동력입.출고현황!$A:$G,F$5,0),)</f>
        <v>CV Cable</v>
      </c>
      <c r="G149" s="19">
        <f>IFERROR(VLOOKUP($D149,임시동력입.출고현황!$A:$G,G$5,0),)</f>
        <v>0</v>
      </c>
      <c r="H149" s="19" t="str">
        <f>IFERROR(VLOOKUP($D149,임시동력입.출고현황!$A:$G,H$5,0),)</f>
        <v>3C x 1.5mm2</v>
      </c>
      <c r="I149" s="10" t="str">
        <f>IFERROR(VLOOKUP($D149,임시동력입.출고현황!$A:$G,I$5,0),)</f>
        <v>M</v>
      </c>
      <c r="J149" s="10"/>
      <c r="K149" s="95"/>
      <c r="L149" s="57">
        <v>75</v>
      </c>
      <c r="M149" s="81" t="s">
        <v>248</v>
      </c>
      <c r="N149" s="134"/>
    </row>
    <row r="150" spans="1:14" s="131" customFormat="1" ht="28.2" customHeight="1">
      <c r="A150" s="11">
        <v>145</v>
      </c>
      <c r="B150" s="290">
        <v>145</v>
      </c>
      <c r="C150" s="129">
        <v>45782</v>
      </c>
      <c r="D150" s="10" t="s">
        <v>347</v>
      </c>
      <c r="E150" s="41" t="str">
        <f>IFERROR(VLOOKUP($D150,임시동력입.출고현황!$A:$G,E$5,0),)</f>
        <v>LTG</v>
      </c>
      <c r="F150" s="19" t="str">
        <f>IFERROR(VLOOKUP($D150,임시동력입.출고현황!$A:$G,F$5,0),)</f>
        <v>Lighting Fixture</v>
      </c>
      <c r="G150" s="19">
        <f>IFERROR(VLOOKUP($D150,임시동력입.출고현황!$A:$G,G$5,0),)</f>
        <v>0</v>
      </c>
      <c r="H150" s="19" t="str">
        <f>IFERROR(VLOOKUP($D150,임시동력입.출고현황!$A:$G,H$5,0),)</f>
        <v>200W</v>
      </c>
      <c r="I150" s="10" t="str">
        <f>IFERROR(VLOOKUP($D150,임시동력입.출고현황!$A:$G,I$5,0),)</f>
        <v>EA</v>
      </c>
      <c r="J150" s="10">
        <v>3</v>
      </c>
      <c r="K150" s="95" t="s">
        <v>237</v>
      </c>
      <c r="L150" s="57">
        <v>3</v>
      </c>
      <c r="M150" s="81" t="s">
        <v>248</v>
      </c>
      <c r="N150" s="134"/>
    </row>
    <row r="151" spans="1:14" s="131" customFormat="1" ht="28.2" customHeight="1">
      <c r="A151" s="11">
        <v>146</v>
      </c>
      <c r="B151" s="290">
        <v>146</v>
      </c>
      <c r="C151" s="129">
        <v>45782</v>
      </c>
      <c r="D151" s="10" t="s">
        <v>347</v>
      </c>
      <c r="E151" s="41" t="str">
        <f>IFERROR(VLOOKUP($D151,임시동력입.출고현황!$A:$G,E$5,0),)</f>
        <v>LTG</v>
      </c>
      <c r="F151" s="19" t="str">
        <f>IFERROR(VLOOKUP($D151,임시동력입.출고현황!$A:$G,F$5,0),)</f>
        <v>Lighting Fixture</v>
      </c>
      <c r="G151" s="19">
        <f>IFERROR(VLOOKUP($D151,임시동력입.출고현황!$A:$G,G$5,0),)</f>
        <v>0</v>
      </c>
      <c r="H151" s="19" t="str">
        <f>IFERROR(VLOOKUP($D151,임시동력입.출고현황!$A:$G,H$5,0),)</f>
        <v>200W</v>
      </c>
      <c r="I151" s="10" t="str">
        <f>IFERROR(VLOOKUP($D151,임시동력입.출고현황!$A:$G,I$5,0),)</f>
        <v>EA</v>
      </c>
      <c r="J151" s="10">
        <v>2</v>
      </c>
      <c r="K151" s="95" t="s">
        <v>360</v>
      </c>
      <c r="L151" s="57">
        <v>2</v>
      </c>
      <c r="M151" s="81" t="s">
        <v>248</v>
      </c>
      <c r="N151" s="134"/>
    </row>
    <row r="152" spans="1:14" s="131" customFormat="1" ht="28.2" customHeight="1">
      <c r="A152" s="11">
        <v>147</v>
      </c>
      <c r="B152" s="290">
        <v>147</v>
      </c>
      <c r="C152" s="129">
        <v>45786</v>
      </c>
      <c r="D152" s="10" t="s">
        <v>331</v>
      </c>
      <c r="E152" s="41" t="str">
        <f>IFERROR(VLOOKUP($D152,임시동력입.출고현황!$A:$G,E$5,0),)</f>
        <v>Cable</v>
      </c>
      <c r="F152" s="19" t="str">
        <f>IFERROR(VLOOKUP($D152,임시동력입.출고현황!$A:$G,F$5,0),)</f>
        <v>CV Cable</v>
      </c>
      <c r="G152" s="19">
        <f>IFERROR(VLOOKUP($D152,임시동력입.출고현황!$A:$G,G$5,0),)</f>
        <v>0</v>
      </c>
      <c r="H152" s="19" t="str">
        <f>IFERROR(VLOOKUP($D152,임시동력입.출고현황!$A:$G,H$5,0),)</f>
        <v>4C x 6mm2</v>
      </c>
      <c r="I152" s="10" t="str">
        <f>IFERROR(VLOOKUP($D152,임시동력입.출고현황!$A:$G,I$5,0),)</f>
        <v>M</v>
      </c>
      <c r="J152" s="10"/>
      <c r="K152" s="95"/>
      <c r="L152" s="57">
        <v>15</v>
      </c>
      <c r="M152" s="81" t="s">
        <v>248</v>
      </c>
      <c r="N152" s="134"/>
    </row>
    <row r="153" spans="1:14" s="131" customFormat="1" ht="28.2" customHeight="1">
      <c r="A153" s="11">
        <v>148</v>
      </c>
      <c r="B153" s="290">
        <v>148</v>
      </c>
      <c r="C153" s="129">
        <v>45789</v>
      </c>
      <c r="D153" s="10" t="s">
        <v>341</v>
      </c>
      <c r="E153" s="41" t="str">
        <f>IFERROR(VLOOKUP($D153,임시동력입.출고현황!$A:$G,E$5,0),)</f>
        <v>LTG</v>
      </c>
      <c r="F153" s="19" t="str">
        <f>IFERROR(VLOOKUP($D153,임시동력입.출고현황!$A:$G,F$5,0),)</f>
        <v>Lighting Fixture</v>
      </c>
      <c r="G153" s="19">
        <f>IFERROR(VLOOKUP($D153,임시동력입.출고현황!$A:$G,G$5,0),)</f>
        <v>0</v>
      </c>
      <c r="H153" s="19" t="str">
        <f>IFERROR(VLOOKUP($D153,임시동력입.출고현황!$A:$G,H$5,0),)</f>
        <v>400W</v>
      </c>
      <c r="I153" s="10" t="str">
        <f>IFERROR(VLOOKUP($D153,임시동력입.출고현황!$A:$G,I$5,0),)</f>
        <v>EA</v>
      </c>
      <c r="J153" s="10"/>
      <c r="K153" s="95"/>
      <c r="L153" s="57">
        <v>5</v>
      </c>
      <c r="M153" s="81" t="s">
        <v>248</v>
      </c>
      <c r="N153" s="134"/>
    </row>
    <row r="154" spans="1:14" s="131" customFormat="1" ht="28.2" customHeight="1">
      <c r="A154" s="11">
        <v>149</v>
      </c>
      <c r="B154" s="290">
        <v>149</v>
      </c>
      <c r="C154" s="129">
        <v>45789</v>
      </c>
      <c r="D154" s="10" t="s">
        <v>341</v>
      </c>
      <c r="E154" s="41" t="str">
        <f>IFERROR(VLOOKUP($D154,임시동력입.출고현황!$A:$G,E$5,0),)</f>
        <v>LTG</v>
      </c>
      <c r="F154" s="19" t="str">
        <f>IFERROR(VLOOKUP($D154,임시동력입.출고현황!$A:$G,F$5,0),)</f>
        <v>Lighting Fixture</v>
      </c>
      <c r="G154" s="19">
        <f>IFERROR(VLOOKUP($D154,임시동력입.출고현황!$A:$G,G$5,0),)</f>
        <v>0</v>
      </c>
      <c r="H154" s="19" t="str">
        <f>IFERROR(VLOOKUP($D154,임시동력입.출고현황!$A:$G,H$5,0),)</f>
        <v>400W</v>
      </c>
      <c r="I154" s="10" t="str">
        <f>IFERROR(VLOOKUP($D154,임시동력입.출고현황!$A:$G,I$5,0),)</f>
        <v>EA</v>
      </c>
      <c r="J154" s="10"/>
      <c r="K154" s="95"/>
      <c r="L154" s="57">
        <v>1</v>
      </c>
      <c r="M154" s="81" t="s">
        <v>248</v>
      </c>
      <c r="N154" s="134"/>
    </row>
    <row r="155" spans="1:14" s="131" customFormat="1" ht="28.2" customHeight="1">
      <c r="A155" s="11">
        <v>150</v>
      </c>
      <c r="B155" s="290">
        <v>150</v>
      </c>
      <c r="C155" s="129">
        <v>45789</v>
      </c>
      <c r="D155" s="10" t="s">
        <v>347</v>
      </c>
      <c r="E155" s="41" t="str">
        <f>IFERROR(VLOOKUP($D155,임시동력입.출고현황!$A:$G,E$5,0),)</f>
        <v>LTG</v>
      </c>
      <c r="F155" s="19" t="str">
        <f>IFERROR(VLOOKUP($D155,임시동력입.출고현황!$A:$G,F$5,0),)</f>
        <v>Lighting Fixture</v>
      </c>
      <c r="G155" s="19">
        <f>IFERROR(VLOOKUP($D155,임시동력입.출고현황!$A:$G,G$5,0),)</f>
        <v>0</v>
      </c>
      <c r="H155" s="19" t="str">
        <f>IFERROR(VLOOKUP($D155,임시동력입.출고현황!$A:$G,H$5,0),)</f>
        <v>200W</v>
      </c>
      <c r="I155" s="10" t="str">
        <f>IFERROR(VLOOKUP($D155,임시동력입.출고현황!$A:$G,I$5,0),)</f>
        <v>EA</v>
      </c>
      <c r="J155" s="10"/>
      <c r="K155" s="95"/>
      <c r="L155" s="57">
        <v>1</v>
      </c>
      <c r="M155" s="81" t="s">
        <v>248</v>
      </c>
      <c r="N155" s="134"/>
    </row>
    <row r="156" spans="1:14" s="131" customFormat="1" ht="28.2" customHeight="1">
      <c r="A156" s="11">
        <v>151</v>
      </c>
      <c r="B156" s="290">
        <v>151</v>
      </c>
      <c r="C156" s="129">
        <v>45790</v>
      </c>
      <c r="D156" s="10" t="s">
        <v>329</v>
      </c>
      <c r="E156" s="41" t="str">
        <f>IFERROR(VLOOKUP($D156,임시동력입.출고현황!$A:$G,E$5,0),)</f>
        <v>Cable</v>
      </c>
      <c r="F156" s="19" t="str">
        <f>IFERROR(VLOOKUP($D156,임시동력입.출고현황!$A:$G,F$5,0),)</f>
        <v>CV Cable</v>
      </c>
      <c r="G156" s="19">
        <f>IFERROR(VLOOKUP($D156,임시동력입.출고현황!$A:$G,G$5,0),)</f>
        <v>0</v>
      </c>
      <c r="H156" s="19" t="str">
        <f>IFERROR(VLOOKUP($D156,임시동력입.출고현황!$A:$G,H$5,0),)</f>
        <v>4C x 16mm2</v>
      </c>
      <c r="I156" s="10" t="str">
        <f>IFERROR(VLOOKUP($D156,임시동력입.출고현황!$A:$G,I$5,0),)</f>
        <v>M</v>
      </c>
      <c r="J156" s="10"/>
      <c r="K156" s="95"/>
      <c r="L156" s="57">
        <v>222</v>
      </c>
      <c r="M156" s="81" t="s">
        <v>248</v>
      </c>
      <c r="N156" s="134"/>
    </row>
    <row r="157" spans="1:14" s="131" customFormat="1" ht="28.2" customHeight="1">
      <c r="A157" s="11">
        <v>152</v>
      </c>
      <c r="B157" s="290">
        <v>152</v>
      </c>
      <c r="C157" s="129">
        <v>45791</v>
      </c>
      <c r="D157" s="10" t="s">
        <v>341</v>
      </c>
      <c r="E157" s="41" t="str">
        <f>IFERROR(VLOOKUP($D157,임시동력입.출고현황!$A:$G,E$5,0),)</f>
        <v>LTG</v>
      </c>
      <c r="F157" s="19" t="str">
        <f>IFERROR(VLOOKUP($D157,임시동력입.출고현황!$A:$G,F$5,0),)</f>
        <v>Lighting Fixture</v>
      </c>
      <c r="G157" s="19">
        <f>IFERROR(VLOOKUP($D157,임시동력입.출고현황!$A:$G,G$5,0),)</f>
        <v>0</v>
      </c>
      <c r="H157" s="19" t="str">
        <f>IFERROR(VLOOKUP($D157,임시동력입.출고현황!$A:$G,H$5,0),)</f>
        <v>400W</v>
      </c>
      <c r="I157" s="10" t="str">
        <f>IFERROR(VLOOKUP($D157,임시동력입.출고현황!$A:$G,I$5,0),)</f>
        <v>EA</v>
      </c>
      <c r="J157" s="10"/>
      <c r="K157" s="95"/>
      <c r="L157" s="57">
        <v>1</v>
      </c>
      <c r="M157" s="81" t="s">
        <v>248</v>
      </c>
      <c r="N157" s="134"/>
    </row>
    <row r="158" spans="1:14" s="131" customFormat="1" ht="28.2" customHeight="1">
      <c r="A158" s="11">
        <v>153</v>
      </c>
      <c r="B158" s="290">
        <v>153</v>
      </c>
      <c r="C158" s="129">
        <v>45791</v>
      </c>
      <c r="D158" s="10" t="s">
        <v>310</v>
      </c>
      <c r="E158" s="41" t="str">
        <f>IFERROR(VLOOKUP($D158,임시동력입.출고현황!$A:$G,E$5,0),)</f>
        <v>Panel</v>
      </c>
      <c r="F158" s="19" t="str">
        <f>IFERROR(VLOOKUP($D158,임시동력입.출고현황!$A:$G,F$5,0),)</f>
        <v>Electrical Panel</v>
      </c>
      <c r="G158" s="19">
        <f>IFERROR(VLOOKUP($D158,임시동력입.출고현황!$A:$G,G$5,0),)</f>
        <v>0</v>
      </c>
      <c r="H158" s="19" t="str">
        <f>IFERROR(VLOOKUP($D158,임시동력입.출고현황!$A:$G,H$5,0),)</f>
        <v>100A</v>
      </c>
      <c r="I158" s="10" t="str">
        <f>IFERROR(VLOOKUP($D158,임시동력입.출고현황!$A:$G,I$5,0),)</f>
        <v>EA</v>
      </c>
      <c r="J158" s="10"/>
      <c r="K158" s="95"/>
      <c r="L158" s="57">
        <v>1</v>
      </c>
      <c r="M158" s="81" t="s">
        <v>248</v>
      </c>
      <c r="N158" s="134"/>
    </row>
    <row r="159" spans="1:14" s="131" customFormat="1" ht="28.2" customHeight="1">
      <c r="A159" s="11">
        <v>154</v>
      </c>
      <c r="B159" s="290">
        <v>154</v>
      </c>
      <c r="C159" s="129">
        <v>45792</v>
      </c>
      <c r="D159" s="10" t="s">
        <v>330</v>
      </c>
      <c r="E159" s="41" t="str">
        <f>IFERROR(VLOOKUP($D159,임시동력입.출고현황!$A:$G,E$5,0),)</f>
        <v>Cable</v>
      </c>
      <c r="F159" s="19" t="str">
        <f>IFERROR(VLOOKUP($D159,임시동력입.출고현황!$A:$G,F$5,0),)</f>
        <v>CV Cable</v>
      </c>
      <c r="G159" s="19">
        <f>IFERROR(VLOOKUP($D159,임시동력입.출고현황!$A:$G,G$5,0),)</f>
        <v>0</v>
      </c>
      <c r="H159" s="19" t="str">
        <f>IFERROR(VLOOKUP($D159,임시동력입.출고현황!$A:$G,H$5,0),)</f>
        <v>4C x 10mm2</v>
      </c>
      <c r="I159" s="10" t="str">
        <f>IFERROR(VLOOKUP($D159,임시동력입.출고현황!$A:$G,I$5,0),)</f>
        <v>M</v>
      </c>
      <c r="J159" s="10"/>
      <c r="K159" s="95"/>
      <c r="L159" s="57">
        <v>280</v>
      </c>
      <c r="M159" s="81" t="s">
        <v>248</v>
      </c>
      <c r="N159" s="134"/>
    </row>
    <row r="160" spans="1:14" s="131" customFormat="1" ht="28.2" customHeight="1">
      <c r="A160" s="11">
        <v>155</v>
      </c>
      <c r="B160" s="290">
        <v>155</v>
      </c>
      <c r="C160" s="129">
        <v>45793</v>
      </c>
      <c r="D160" s="10" t="s">
        <v>280</v>
      </c>
      <c r="E160" s="41" t="str">
        <f>IFERROR(VLOOKUP($D160,임시동력입.출고현황!$A:$G,E$5,0),)</f>
        <v>D/G</v>
      </c>
      <c r="F160" s="19" t="str">
        <f>IFERROR(VLOOKUP($D160,임시동력입.출고현황!$A:$G,F$5,0),)</f>
        <v>Generator</v>
      </c>
      <c r="G160" s="19">
        <f>IFERROR(VLOOKUP($D160,임시동력입.출고현황!$A:$G,G$5,0),)</f>
        <v>0</v>
      </c>
      <c r="H160" s="19" t="str">
        <f>IFERROR(VLOOKUP($D160,임시동력입.출고현황!$A:$G,H$5,0),)</f>
        <v>300KVA</v>
      </c>
      <c r="I160" s="10" t="str">
        <f>IFERROR(VLOOKUP($D160,임시동력입.출고현황!$A:$G,I$5,0),)</f>
        <v>대</v>
      </c>
      <c r="J160" s="10"/>
      <c r="K160" s="95"/>
      <c r="L160" s="57">
        <v>1</v>
      </c>
      <c r="M160" s="81" t="s">
        <v>372</v>
      </c>
      <c r="N160" s="134"/>
    </row>
    <row r="161" spans="1:14" s="131" customFormat="1" ht="28.2" customHeight="1">
      <c r="A161" s="11">
        <v>156</v>
      </c>
      <c r="B161" s="290">
        <v>156</v>
      </c>
      <c r="C161" s="129">
        <v>45794</v>
      </c>
      <c r="D161" s="10" t="s">
        <v>330</v>
      </c>
      <c r="E161" s="41" t="str">
        <f>IFERROR(VLOOKUP($D161,임시동력입.출고현황!$A:$G,E$5,0),)</f>
        <v>Cable</v>
      </c>
      <c r="F161" s="19" t="str">
        <f>IFERROR(VLOOKUP($D161,임시동력입.출고현황!$A:$G,F$5,0),)</f>
        <v>CV Cable</v>
      </c>
      <c r="G161" s="19">
        <f>IFERROR(VLOOKUP($D161,임시동력입.출고현황!$A:$G,G$5,0),)</f>
        <v>0</v>
      </c>
      <c r="H161" s="19" t="str">
        <f>IFERROR(VLOOKUP($D161,임시동력입.출고현황!$A:$G,H$5,0),)</f>
        <v>4C x 10mm2</v>
      </c>
      <c r="I161" s="10" t="str">
        <f>IFERROR(VLOOKUP($D161,임시동력입.출고현황!$A:$G,I$5,0),)</f>
        <v>M</v>
      </c>
      <c r="J161" s="10"/>
      <c r="K161" s="95"/>
      <c r="L161" s="57">
        <v>75</v>
      </c>
      <c r="M161" s="81" t="s">
        <v>248</v>
      </c>
      <c r="N161" s="134"/>
    </row>
    <row r="162" spans="1:14" s="131" customFormat="1" ht="28.2" customHeight="1">
      <c r="A162" s="11">
        <v>157</v>
      </c>
      <c r="B162" s="290">
        <v>157</v>
      </c>
      <c r="C162" s="129">
        <v>45795</v>
      </c>
      <c r="D162" s="10" t="s">
        <v>284</v>
      </c>
      <c r="E162" s="41" t="str">
        <f>IFERROR(VLOOKUP($D162,임시동력입.출고현황!$A:$G,E$5,0),)</f>
        <v>D/G</v>
      </c>
      <c r="F162" s="19" t="str">
        <f>IFERROR(VLOOKUP($D162,임시동력입.출고현황!$A:$G,F$5,0),)</f>
        <v>Generator</v>
      </c>
      <c r="G162" s="19">
        <f>IFERROR(VLOOKUP($D162,임시동력입.출고현황!$A:$G,G$5,0),)</f>
        <v>0</v>
      </c>
      <c r="H162" s="19" t="str">
        <f>IFERROR(VLOOKUP($D162,임시동력입.출고현황!$A:$G,H$5,0),)</f>
        <v>50KVA</v>
      </c>
      <c r="I162" s="10" t="str">
        <f>IFERROR(VLOOKUP($D162,임시동력입.출고현황!$A:$G,I$5,0),)</f>
        <v>대</v>
      </c>
      <c r="J162" s="10"/>
      <c r="K162" s="95"/>
      <c r="L162" s="57">
        <v>1</v>
      </c>
      <c r="M162" s="81" t="s">
        <v>372</v>
      </c>
      <c r="N162" s="134"/>
    </row>
    <row r="163" spans="1:14" s="131" customFormat="1" ht="28.2" customHeight="1">
      <c r="A163" s="11">
        <v>158</v>
      </c>
      <c r="B163" s="290">
        <v>158</v>
      </c>
      <c r="C163" s="129">
        <v>45795</v>
      </c>
      <c r="D163" s="10" t="s">
        <v>310</v>
      </c>
      <c r="E163" s="41" t="str">
        <f>IFERROR(VLOOKUP($D163,임시동력입.출고현황!$A:$G,E$5,0),)</f>
        <v>Panel</v>
      </c>
      <c r="F163" s="19" t="str">
        <f>IFERROR(VLOOKUP($D163,임시동력입.출고현황!$A:$G,F$5,0),)</f>
        <v>Electrical Panel</v>
      </c>
      <c r="G163" s="19">
        <f>IFERROR(VLOOKUP($D163,임시동력입.출고현황!$A:$G,G$5,0),)</f>
        <v>0</v>
      </c>
      <c r="H163" s="19" t="str">
        <f>IFERROR(VLOOKUP($D163,임시동력입.출고현황!$A:$G,H$5,0),)</f>
        <v>100A</v>
      </c>
      <c r="I163" s="10" t="str">
        <f>IFERROR(VLOOKUP($D163,임시동력입.출고현황!$A:$G,I$5,0),)</f>
        <v>EA</v>
      </c>
      <c r="J163" s="10"/>
      <c r="K163" s="95"/>
      <c r="L163" s="57">
        <v>1</v>
      </c>
      <c r="M163" s="81" t="s">
        <v>248</v>
      </c>
      <c r="N163" s="134"/>
    </row>
    <row r="164" spans="1:14" s="131" customFormat="1" ht="28.2" customHeight="1">
      <c r="A164" s="11">
        <v>159</v>
      </c>
      <c r="B164" s="290">
        <v>159</v>
      </c>
      <c r="C164" s="129">
        <v>45795</v>
      </c>
      <c r="D164" s="10" t="s">
        <v>329</v>
      </c>
      <c r="E164" s="41" t="str">
        <f>IFERROR(VLOOKUP($D164,임시동력입.출고현황!$A:$G,E$5,0),)</f>
        <v>Cable</v>
      </c>
      <c r="F164" s="19" t="str">
        <f>IFERROR(VLOOKUP($D164,임시동력입.출고현황!$A:$G,F$5,0),)</f>
        <v>CV Cable</v>
      </c>
      <c r="G164" s="19">
        <f>IFERROR(VLOOKUP($D164,임시동력입.출고현황!$A:$G,G$5,0),)</f>
        <v>0</v>
      </c>
      <c r="H164" s="19" t="str">
        <f>IFERROR(VLOOKUP($D164,임시동력입.출고현황!$A:$G,H$5,0),)</f>
        <v>4C x 16mm2</v>
      </c>
      <c r="I164" s="10" t="str">
        <f>IFERROR(VLOOKUP($D164,임시동력입.출고현황!$A:$G,I$5,0),)</f>
        <v>M</v>
      </c>
      <c r="J164" s="10">
        <v>4</v>
      </c>
      <c r="K164" s="95" t="s">
        <v>359</v>
      </c>
      <c r="L164" s="57">
        <v>50</v>
      </c>
      <c r="M164" s="81" t="s">
        <v>248</v>
      </c>
      <c r="N164" s="134"/>
    </row>
    <row r="165" spans="1:14" s="131" customFormat="1" ht="28.2" customHeight="1">
      <c r="A165" s="11">
        <v>160</v>
      </c>
      <c r="B165" s="290">
        <v>160</v>
      </c>
      <c r="C165" s="129">
        <v>45796</v>
      </c>
      <c r="D165" s="10" t="s">
        <v>334</v>
      </c>
      <c r="E165" s="41" t="str">
        <f>IFERROR(VLOOKUP($D165,임시동력입.출고현황!$A:$G,E$5,0),)</f>
        <v>Cable</v>
      </c>
      <c r="F165" s="19" t="str">
        <f>IFERROR(VLOOKUP($D165,임시동력입.출고현황!$A:$G,F$5,0),)</f>
        <v>CV Cable</v>
      </c>
      <c r="G165" s="19">
        <f>IFERROR(VLOOKUP($D165,임시동력입.출고현황!$A:$G,G$5,0),)</f>
        <v>0</v>
      </c>
      <c r="H165" s="19" t="str">
        <f>IFERROR(VLOOKUP($D165,임시동력입.출고현황!$A:$G,H$5,0),)</f>
        <v>3C x 4mm2</v>
      </c>
      <c r="I165" s="10" t="str">
        <f>IFERROR(VLOOKUP($D165,임시동력입.출고현황!$A:$G,I$5,0),)</f>
        <v>M</v>
      </c>
      <c r="J165" s="10">
        <v>2</v>
      </c>
      <c r="K165" s="95" t="s">
        <v>241</v>
      </c>
      <c r="L165" s="57">
        <v>50</v>
      </c>
      <c r="M165" s="81" t="s">
        <v>248</v>
      </c>
      <c r="N165" s="134"/>
    </row>
    <row r="166" spans="1:14" s="131" customFormat="1" ht="28.2" customHeight="1">
      <c r="A166" s="11">
        <v>161</v>
      </c>
      <c r="B166" s="290">
        <v>161</v>
      </c>
      <c r="C166" s="129">
        <v>45796</v>
      </c>
      <c r="D166" s="10" t="s">
        <v>341</v>
      </c>
      <c r="E166" s="41" t="str">
        <f>IFERROR(VLOOKUP($D166,임시동력입.출고현황!$A:$G,E$5,0),)</f>
        <v>LTG</v>
      </c>
      <c r="F166" s="19" t="str">
        <f>IFERROR(VLOOKUP($D166,임시동력입.출고현황!$A:$G,F$5,0),)</f>
        <v>Lighting Fixture</v>
      </c>
      <c r="G166" s="19">
        <f>IFERROR(VLOOKUP($D166,임시동력입.출고현황!$A:$G,G$5,0),)</f>
        <v>0</v>
      </c>
      <c r="H166" s="19" t="str">
        <f>IFERROR(VLOOKUP($D166,임시동력입.출고현황!$A:$G,H$5,0),)</f>
        <v>400W</v>
      </c>
      <c r="I166" s="10" t="str">
        <f>IFERROR(VLOOKUP($D166,임시동력입.출고현황!$A:$G,I$5,0),)</f>
        <v>EA</v>
      </c>
      <c r="J166" s="10">
        <v>2</v>
      </c>
      <c r="K166" s="95" t="s">
        <v>241</v>
      </c>
      <c r="L166" s="57">
        <v>6</v>
      </c>
      <c r="M166" s="81" t="s">
        <v>248</v>
      </c>
      <c r="N166" s="134"/>
    </row>
    <row r="167" spans="1:14" s="131" customFormat="1" ht="28.2" customHeight="1">
      <c r="A167" s="11">
        <v>162</v>
      </c>
      <c r="B167" s="290">
        <v>162</v>
      </c>
      <c r="C167" s="129">
        <v>45796</v>
      </c>
      <c r="D167" s="10" t="s">
        <v>336</v>
      </c>
      <c r="E167" s="41" t="str">
        <f>IFERROR(VLOOKUP($D167,임시동력입.출고현황!$A:$G,E$5,0),)</f>
        <v>Cable</v>
      </c>
      <c r="F167" s="19" t="str">
        <f>IFERROR(VLOOKUP($D167,임시동력입.출고현황!$A:$G,F$5,0),)</f>
        <v>CV Cable</v>
      </c>
      <c r="G167" s="19">
        <f>IFERROR(VLOOKUP($D167,임시동력입.출고현황!$A:$G,G$5,0),)</f>
        <v>0</v>
      </c>
      <c r="H167" s="19" t="str">
        <f>IFERROR(VLOOKUP($D167,임시동력입.출고현황!$A:$G,H$5,0),)</f>
        <v>3C x 1.5mm2</v>
      </c>
      <c r="I167" s="10" t="str">
        <f>IFERROR(VLOOKUP($D167,임시동력입.출고현황!$A:$G,I$5,0),)</f>
        <v>M</v>
      </c>
      <c r="J167" s="10"/>
      <c r="K167" s="95"/>
      <c r="L167" s="57">
        <v>25</v>
      </c>
      <c r="M167" s="81" t="s">
        <v>248</v>
      </c>
      <c r="N167" s="134"/>
    </row>
    <row r="168" spans="1:14" s="131" customFormat="1" ht="28.2" customHeight="1">
      <c r="A168" s="11">
        <v>163</v>
      </c>
      <c r="B168" s="290">
        <v>163</v>
      </c>
      <c r="C168" s="129">
        <v>45798</v>
      </c>
      <c r="D168" s="10" t="s">
        <v>307</v>
      </c>
      <c r="E168" s="41" t="str">
        <f>IFERROR(VLOOKUP($D168,임시동력입.출고현황!$A:$G,E$5,0),)</f>
        <v>Panel</v>
      </c>
      <c r="F168" s="19" t="str">
        <f>IFERROR(VLOOKUP($D168,임시동력입.출고현황!$A:$G,F$5,0),)</f>
        <v>Electrical Panel</v>
      </c>
      <c r="G168" s="19">
        <f>IFERROR(VLOOKUP($D168,임시동력입.출고현황!$A:$G,G$5,0),)</f>
        <v>0</v>
      </c>
      <c r="H168" s="19" t="str">
        <f>IFERROR(VLOOKUP($D168,임시동력입.출고현황!$A:$G,H$5,0),)</f>
        <v>160A</v>
      </c>
      <c r="I168" s="10" t="str">
        <f>IFERROR(VLOOKUP($D168,임시동력입.출고현황!$A:$G,I$5,0),)</f>
        <v>EA</v>
      </c>
      <c r="J168" s="10">
        <v>2</v>
      </c>
      <c r="K168" s="95" t="s">
        <v>360</v>
      </c>
      <c r="L168" s="57">
        <v>1</v>
      </c>
      <c r="M168" s="81" t="s">
        <v>248</v>
      </c>
      <c r="N168" s="134"/>
    </row>
    <row r="169" spans="1:14" s="131" customFormat="1" ht="28.2" customHeight="1">
      <c r="A169" s="11">
        <v>164</v>
      </c>
      <c r="B169" s="290">
        <v>164</v>
      </c>
      <c r="C169" s="129">
        <v>45798</v>
      </c>
      <c r="D169" s="10" t="s">
        <v>326</v>
      </c>
      <c r="E169" s="41" t="str">
        <f>IFERROR(VLOOKUP($D169,임시동력입.출고현황!$A:$G,E$5,0),)</f>
        <v>Cable</v>
      </c>
      <c r="F169" s="19" t="str">
        <f>IFERROR(VLOOKUP($D169,임시동력입.출고현황!$A:$G,F$5,0),)</f>
        <v>CV Cable</v>
      </c>
      <c r="G169" s="19">
        <f>IFERROR(VLOOKUP($D169,임시동력입.출고현황!$A:$G,G$5,0),)</f>
        <v>0</v>
      </c>
      <c r="H169" s="19" t="str">
        <f>IFERROR(VLOOKUP($D169,임시동력입.출고현황!$A:$G,H$5,0),)</f>
        <v>3C X 50+25mm2</v>
      </c>
      <c r="I169" s="10" t="str">
        <f>IFERROR(VLOOKUP($D169,임시동력입.출고현황!$A:$G,I$5,0),)</f>
        <v>M</v>
      </c>
      <c r="J169" s="10">
        <v>2</v>
      </c>
      <c r="K169" s="95" t="s">
        <v>360</v>
      </c>
      <c r="L169" s="57">
        <v>20</v>
      </c>
      <c r="M169" s="81" t="s">
        <v>248</v>
      </c>
      <c r="N169" s="134"/>
    </row>
    <row r="170" spans="1:14" s="131" customFormat="1" ht="28.2" customHeight="1">
      <c r="A170" s="11">
        <v>165</v>
      </c>
      <c r="B170" s="290">
        <v>165</v>
      </c>
      <c r="C170" s="129">
        <v>45798</v>
      </c>
      <c r="D170" s="10" t="s">
        <v>342</v>
      </c>
      <c r="E170" s="41" t="str">
        <f>IFERROR(VLOOKUP($D170,임시동력입.출고현황!$A:$G,E$5,0),)</f>
        <v>Cable</v>
      </c>
      <c r="F170" s="19" t="str">
        <f>IFERROR(VLOOKUP($D170,임시동력입.출고현황!$A:$G,F$5,0),)</f>
        <v>Grounding Cable</v>
      </c>
      <c r="G170" s="19">
        <f>IFERROR(VLOOKUP($D170,임시동력입.출고현황!$A:$G,G$5,0),)</f>
        <v>0</v>
      </c>
      <c r="H170" s="19" t="str">
        <f>IFERROR(VLOOKUP($D170,임시동력입.출고현황!$A:$G,H$5,0),)</f>
        <v>1C x 70mm2</v>
      </c>
      <c r="I170" s="10" t="str">
        <f>IFERROR(VLOOKUP($D170,임시동력입.출고현황!$A:$G,I$5,0),)</f>
        <v>M</v>
      </c>
      <c r="J170" s="10">
        <v>2</v>
      </c>
      <c r="K170" s="95" t="s">
        <v>360</v>
      </c>
      <c r="L170" s="57">
        <v>4</v>
      </c>
      <c r="M170" s="81" t="s">
        <v>248</v>
      </c>
      <c r="N170" s="134"/>
    </row>
    <row r="171" spans="1:14" s="131" customFormat="1" ht="28.2" customHeight="1">
      <c r="A171" s="11">
        <v>166</v>
      </c>
      <c r="B171" s="290">
        <v>166</v>
      </c>
      <c r="C171" s="129">
        <v>45798</v>
      </c>
      <c r="D171" s="10" t="s">
        <v>341</v>
      </c>
      <c r="E171" s="41" t="str">
        <f>IFERROR(VLOOKUP($D171,임시동력입.출고현황!$A:$G,E$5,0),)</f>
        <v>LTG</v>
      </c>
      <c r="F171" s="19" t="str">
        <f>IFERROR(VLOOKUP($D171,임시동력입.출고현황!$A:$G,F$5,0),)</f>
        <v>Lighting Fixture</v>
      </c>
      <c r="G171" s="19">
        <f>IFERROR(VLOOKUP($D171,임시동력입.출고현황!$A:$G,G$5,0),)</f>
        <v>0</v>
      </c>
      <c r="H171" s="19" t="str">
        <f>IFERROR(VLOOKUP($D171,임시동력입.출고현황!$A:$G,H$5,0),)</f>
        <v>400W</v>
      </c>
      <c r="I171" s="10" t="str">
        <f>IFERROR(VLOOKUP($D171,임시동력입.출고현황!$A:$G,I$5,0),)</f>
        <v>EA</v>
      </c>
      <c r="J171" s="10">
        <v>2</v>
      </c>
      <c r="K171" s="95" t="s">
        <v>360</v>
      </c>
      <c r="L171" s="57">
        <v>2</v>
      </c>
      <c r="M171" s="81" t="s">
        <v>248</v>
      </c>
      <c r="N171" s="134"/>
    </row>
    <row r="172" spans="1:14" s="131" customFormat="1" ht="28.2" customHeight="1">
      <c r="A172" s="11">
        <v>167</v>
      </c>
      <c r="B172" s="290">
        <v>167</v>
      </c>
      <c r="C172" s="129">
        <v>45798</v>
      </c>
      <c r="D172" s="10" t="s">
        <v>345</v>
      </c>
      <c r="E172" s="41" t="str">
        <f>IFERROR(VLOOKUP($D172,임시동력입.출고현황!$A:$G,E$5,0),)</f>
        <v>Cable</v>
      </c>
      <c r="F172" s="19" t="str">
        <f>IFERROR(VLOOKUP($D172,임시동력입.출고현황!$A:$G,F$5,0),)</f>
        <v>Grounding Cable</v>
      </c>
      <c r="G172" s="19">
        <f>IFERROR(VLOOKUP($D172,임시동력입.출고현황!$A:$G,G$5,0),)</f>
        <v>0</v>
      </c>
      <c r="H172" s="19" t="str">
        <f>IFERROR(VLOOKUP($D172,임시동력입.출고현황!$A:$G,H$5,0),)</f>
        <v>1C x 16mm2</v>
      </c>
      <c r="I172" s="10" t="str">
        <f>IFERROR(VLOOKUP($D172,임시동력입.출고현황!$A:$G,I$5,0),)</f>
        <v>M</v>
      </c>
      <c r="J172" s="10"/>
      <c r="K172" s="95"/>
      <c r="L172" s="57">
        <v>21</v>
      </c>
      <c r="M172" s="81" t="s">
        <v>248</v>
      </c>
      <c r="N172" s="134"/>
    </row>
    <row r="173" spans="1:14" s="131" customFormat="1" ht="28.2" customHeight="1">
      <c r="A173" s="11">
        <v>168</v>
      </c>
      <c r="B173" s="290">
        <v>168</v>
      </c>
      <c r="C173" s="129">
        <v>45800</v>
      </c>
      <c r="D173" s="10" t="s">
        <v>326</v>
      </c>
      <c r="E173" s="41" t="str">
        <f>IFERROR(VLOOKUP($D173,임시동력입.출고현황!$A:$G,E$5,0),)</f>
        <v>Cable</v>
      </c>
      <c r="F173" s="19" t="str">
        <f>IFERROR(VLOOKUP($D173,임시동력입.출고현황!$A:$G,F$5,0),)</f>
        <v>CV Cable</v>
      </c>
      <c r="G173" s="19">
        <f>IFERROR(VLOOKUP($D173,임시동력입.출고현황!$A:$G,G$5,0),)</f>
        <v>0</v>
      </c>
      <c r="H173" s="19" t="str">
        <f>IFERROR(VLOOKUP($D173,임시동력입.출고현황!$A:$G,H$5,0),)</f>
        <v>3C X 50+25mm2</v>
      </c>
      <c r="I173" s="10" t="str">
        <f>IFERROR(VLOOKUP($D173,임시동력입.출고현황!$A:$G,I$5,0),)</f>
        <v>M</v>
      </c>
      <c r="J173" s="10"/>
      <c r="K173" s="95"/>
      <c r="L173" s="57">
        <v>5</v>
      </c>
      <c r="M173" s="81" t="s">
        <v>248</v>
      </c>
      <c r="N173" s="134"/>
    </row>
    <row r="174" spans="1:14" s="131" customFormat="1" ht="28.2" customHeight="1">
      <c r="A174" s="11">
        <v>169</v>
      </c>
      <c r="B174" s="290">
        <v>169</v>
      </c>
      <c r="C174" s="129">
        <v>45800</v>
      </c>
      <c r="D174" s="10" t="s">
        <v>365</v>
      </c>
      <c r="E174" s="41" t="str">
        <f>IFERROR(VLOOKUP($D174,임시동력입.출고현황!$A:$G,E$5,0),)</f>
        <v>Panel</v>
      </c>
      <c r="F174" s="19" t="str">
        <f>IFERROR(VLOOKUP($D174,임시동력입.출고현황!$A:$G,F$5,0),)</f>
        <v>MTS Panel</v>
      </c>
      <c r="G174" s="19">
        <f>IFERROR(VLOOKUP($D174,임시동력입.출고현황!$A:$G,G$5,0),)</f>
        <v>0</v>
      </c>
      <c r="H174" s="19" t="str">
        <f>IFERROR(VLOOKUP($D174,임시동력입.출고현황!$A:$G,H$5,0),)</f>
        <v>200A</v>
      </c>
      <c r="I174" s="10" t="str">
        <f>IFERROR(VLOOKUP($D174,임시동력입.출고현황!$A:$G,I$5,0),)</f>
        <v>EA</v>
      </c>
      <c r="J174" s="10"/>
      <c r="K174" s="95"/>
      <c r="L174" s="57">
        <v>1</v>
      </c>
      <c r="M174" s="81" t="s">
        <v>373</v>
      </c>
      <c r="N174" s="134"/>
    </row>
    <row r="175" spans="1:14" s="131" customFormat="1" ht="28.2" customHeight="1">
      <c r="A175" s="11">
        <v>170</v>
      </c>
      <c r="B175" s="290">
        <v>170</v>
      </c>
      <c r="C175" s="129">
        <v>45801</v>
      </c>
      <c r="D175" s="10" t="s">
        <v>365</v>
      </c>
      <c r="E175" s="41" t="str">
        <f>IFERROR(VLOOKUP($D175,임시동력입.출고현황!$A:$G,E$5,0),)</f>
        <v>Panel</v>
      </c>
      <c r="F175" s="19" t="str">
        <f>IFERROR(VLOOKUP($D175,임시동력입.출고현황!$A:$G,F$5,0),)</f>
        <v>MTS Panel</v>
      </c>
      <c r="G175" s="19">
        <f>IFERROR(VLOOKUP($D175,임시동력입.출고현황!$A:$G,G$5,0),)</f>
        <v>0</v>
      </c>
      <c r="H175" s="19" t="str">
        <f>IFERROR(VLOOKUP($D175,임시동력입.출고현황!$A:$G,H$5,0),)</f>
        <v>200A</v>
      </c>
      <c r="I175" s="10" t="str">
        <f>IFERROR(VLOOKUP($D175,임시동력입.출고현황!$A:$G,I$5,0),)</f>
        <v>EA</v>
      </c>
      <c r="J175" s="10"/>
      <c r="K175" s="95"/>
      <c r="L175" s="57">
        <v>1</v>
      </c>
      <c r="M175" s="81" t="s">
        <v>373</v>
      </c>
      <c r="N175" s="134"/>
    </row>
    <row r="176" spans="1:14" s="131" customFormat="1" ht="28.2" customHeight="1">
      <c r="A176" s="11">
        <v>171</v>
      </c>
      <c r="B176" s="290">
        <v>171</v>
      </c>
      <c r="C176" s="129">
        <v>45801</v>
      </c>
      <c r="D176" s="10" t="s">
        <v>366</v>
      </c>
      <c r="E176" s="41" t="str">
        <f>IFERROR(VLOOKUP($D176,임시동력입.출고현황!$A:$G,E$5,0),)</f>
        <v>Panel</v>
      </c>
      <c r="F176" s="19" t="str">
        <f>IFERROR(VLOOKUP($D176,임시동력입.출고현황!$A:$G,F$5,0),)</f>
        <v>MTS Panel</v>
      </c>
      <c r="G176" s="19">
        <f>IFERROR(VLOOKUP($D176,임시동력입.출고현황!$A:$G,G$5,0),)</f>
        <v>0</v>
      </c>
      <c r="H176" s="19" t="str">
        <f>IFERROR(VLOOKUP($D176,임시동력입.출고현황!$A:$G,H$5,0),)</f>
        <v>100A</v>
      </c>
      <c r="I176" s="10" t="str">
        <f>IFERROR(VLOOKUP($D176,임시동력입.출고현황!$A:$G,I$5,0),)</f>
        <v>EA</v>
      </c>
      <c r="J176" s="10"/>
      <c r="K176" s="95"/>
      <c r="L176" s="57">
        <v>1</v>
      </c>
      <c r="M176" s="81" t="s">
        <v>373</v>
      </c>
      <c r="N176" s="134"/>
    </row>
    <row r="177" spans="1:14" s="131" customFormat="1" ht="28.2" customHeight="1">
      <c r="A177" s="11">
        <v>172</v>
      </c>
      <c r="B177" s="290">
        <v>172</v>
      </c>
      <c r="C177" s="129">
        <v>45802</v>
      </c>
      <c r="D177" s="10" t="s">
        <v>281</v>
      </c>
      <c r="E177" s="41" t="str">
        <f>IFERROR(VLOOKUP($D177,임시동력입.출고현황!$A:$G,E$5,0),)</f>
        <v>D/G</v>
      </c>
      <c r="F177" s="19" t="str">
        <f>IFERROR(VLOOKUP($D177,임시동력입.출고현황!$A:$G,F$5,0),)</f>
        <v>Generator</v>
      </c>
      <c r="G177" s="19">
        <f>IFERROR(VLOOKUP($D177,임시동력입.출고현황!$A:$G,G$5,0),)</f>
        <v>0</v>
      </c>
      <c r="H177" s="19" t="str">
        <f>IFERROR(VLOOKUP($D177,임시동력입.출고현황!$A:$G,H$5,0),)</f>
        <v>150KVA</v>
      </c>
      <c r="I177" s="10" t="str">
        <f>IFERROR(VLOOKUP($D177,임시동력입.출고현황!$A:$G,I$5,0),)</f>
        <v>대</v>
      </c>
      <c r="J177" s="10"/>
      <c r="K177" s="95"/>
      <c r="L177" s="57">
        <v>1</v>
      </c>
      <c r="M177" s="81" t="s">
        <v>372</v>
      </c>
      <c r="N177" s="134"/>
    </row>
    <row r="178" spans="1:14" s="131" customFormat="1" ht="28.2" customHeight="1">
      <c r="A178" s="11">
        <v>173</v>
      </c>
      <c r="B178" s="290">
        <v>173</v>
      </c>
      <c r="C178" s="129">
        <v>45803</v>
      </c>
      <c r="D178" s="10" t="s">
        <v>307</v>
      </c>
      <c r="E178" s="41" t="str">
        <f>IFERROR(VLOOKUP($D178,임시동력입.출고현황!$A:$G,E$5,0),)</f>
        <v>Panel</v>
      </c>
      <c r="F178" s="19" t="str">
        <f>IFERROR(VLOOKUP($D178,임시동력입.출고현황!$A:$G,F$5,0),)</f>
        <v>Electrical Panel</v>
      </c>
      <c r="G178" s="19">
        <f>IFERROR(VLOOKUP($D178,임시동력입.출고현황!$A:$G,G$5,0),)</f>
        <v>0</v>
      </c>
      <c r="H178" s="19" t="str">
        <f>IFERROR(VLOOKUP($D178,임시동력입.출고현황!$A:$G,H$5,0),)</f>
        <v>160A</v>
      </c>
      <c r="I178" s="10" t="str">
        <f>IFERROR(VLOOKUP($D178,임시동력입.출고현황!$A:$G,I$5,0),)</f>
        <v>EA</v>
      </c>
      <c r="J178" s="10"/>
      <c r="K178" s="95"/>
      <c r="L178" s="57">
        <v>1</v>
      </c>
      <c r="M178" s="81" t="s">
        <v>248</v>
      </c>
      <c r="N178" s="134"/>
    </row>
    <row r="179" spans="1:14" s="131" customFormat="1" ht="28.2" customHeight="1">
      <c r="A179" s="11">
        <v>174</v>
      </c>
      <c r="B179" s="290">
        <v>174</v>
      </c>
      <c r="C179" s="129">
        <v>45803</v>
      </c>
      <c r="D179" s="10" t="s">
        <v>329</v>
      </c>
      <c r="E179" s="41" t="str">
        <f>IFERROR(VLOOKUP($D179,임시동력입.출고현황!$A:$G,E$5,0),)</f>
        <v>Cable</v>
      </c>
      <c r="F179" s="19" t="str">
        <f>IFERROR(VLOOKUP($D179,임시동력입.출고현황!$A:$G,F$5,0),)</f>
        <v>CV Cable</v>
      </c>
      <c r="G179" s="19">
        <f>IFERROR(VLOOKUP($D179,임시동력입.출고현황!$A:$G,G$5,0),)</f>
        <v>0</v>
      </c>
      <c r="H179" s="19" t="str">
        <f>IFERROR(VLOOKUP($D179,임시동력입.출고현황!$A:$G,H$5,0),)</f>
        <v>4C x 16mm2</v>
      </c>
      <c r="I179" s="10" t="str">
        <f>IFERROR(VLOOKUP($D179,임시동력입.출고현황!$A:$G,I$5,0),)</f>
        <v>M</v>
      </c>
      <c r="J179" s="10"/>
      <c r="K179" s="95"/>
      <c r="L179" s="57">
        <v>10</v>
      </c>
      <c r="M179" s="81" t="s">
        <v>248</v>
      </c>
      <c r="N179" s="134"/>
    </row>
    <row r="180" spans="1:14" s="131" customFormat="1" ht="28.2" customHeight="1">
      <c r="A180" s="11">
        <v>175</v>
      </c>
      <c r="B180" s="290">
        <v>175</v>
      </c>
      <c r="C180" s="129">
        <v>45803</v>
      </c>
      <c r="D180" s="10" t="s">
        <v>345</v>
      </c>
      <c r="E180" s="41" t="str">
        <f>IFERROR(VLOOKUP($D180,임시동력입.출고현황!$A:$G,E$5,0),)</f>
        <v>Cable</v>
      </c>
      <c r="F180" s="19" t="str">
        <f>IFERROR(VLOOKUP($D180,임시동력입.출고현황!$A:$G,F$5,0),)</f>
        <v>Grounding Cable</v>
      </c>
      <c r="G180" s="19">
        <f>IFERROR(VLOOKUP($D180,임시동력입.출고현황!$A:$G,G$5,0),)</f>
        <v>0</v>
      </c>
      <c r="H180" s="19" t="str">
        <f>IFERROR(VLOOKUP($D180,임시동력입.출고현황!$A:$G,H$5,0),)</f>
        <v>1C x 16mm2</v>
      </c>
      <c r="I180" s="10" t="str">
        <f>IFERROR(VLOOKUP($D180,임시동력입.출고현황!$A:$G,I$5,0),)</f>
        <v>M</v>
      </c>
      <c r="J180" s="10"/>
      <c r="K180" s="95"/>
      <c r="L180" s="57">
        <v>10</v>
      </c>
      <c r="M180" s="81" t="s">
        <v>248</v>
      </c>
      <c r="N180" s="134"/>
    </row>
    <row r="181" spans="1:14" s="131" customFormat="1" ht="28.2" customHeight="1">
      <c r="A181" s="11">
        <v>176</v>
      </c>
      <c r="B181" s="290">
        <v>176</v>
      </c>
      <c r="C181" s="129">
        <v>45804</v>
      </c>
      <c r="D181" s="10" t="s">
        <v>345</v>
      </c>
      <c r="E181" s="41" t="str">
        <f>IFERROR(VLOOKUP($D181,임시동력입.출고현황!$A:$G,E$5,0),)</f>
        <v>Cable</v>
      </c>
      <c r="F181" s="19" t="str">
        <f>IFERROR(VLOOKUP($D181,임시동력입.출고현황!$A:$G,F$5,0),)</f>
        <v>Grounding Cable</v>
      </c>
      <c r="G181" s="19">
        <f>IFERROR(VLOOKUP($D181,임시동력입.출고현황!$A:$G,G$5,0),)</f>
        <v>0</v>
      </c>
      <c r="H181" s="19" t="str">
        <f>IFERROR(VLOOKUP($D181,임시동력입.출고현황!$A:$G,H$5,0),)</f>
        <v>1C x 16mm2</v>
      </c>
      <c r="I181" s="10" t="str">
        <f>IFERROR(VLOOKUP($D181,임시동력입.출고현황!$A:$G,I$5,0),)</f>
        <v>M</v>
      </c>
      <c r="J181" s="10"/>
      <c r="K181" s="95"/>
      <c r="L181" s="57">
        <v>8</v>
      </c>
      <c r="M181" s="81" t="s">
        <v>248</v>
      </c>
      <c r="N181" s="134"/>
    </row>
    <row r="182" spans="1:14" s="131" customFormat="1" ht="28.2" customHeight="1">
      <c r="A182" s="11">
        <v>177</v>
      </c>
      <c r="B182" s="290">
        <v>177</v>
      </c>
      <c r="C182" s="129">
        <v>45804</v>
      </c>
      <c r="D182" s="10" t="s">
        <v>331</v>
      </c>
      <c r="E182" s="41" t="str">
        <f>IFERROR(VLOOKUP($D182,임시동력입.출고현황!$A:$G,E$5,0),)</f>
        <v>Cable</v>
      </c>
      <c r="F182" s="19" t="str">
        <f>IFERROR(VLOOKUP($D182,임시동력입.출고현황!$A:$G,F$5,0),)</f>
        <v>CV Cable</v>
      </c>
      <c r="G182" s="19">
        <f>IFERROR(VLOOKUP($D182,임시동력입.출고현황!$A:$G,G$5,0),)</f>
        <v>0</v>
      </c>
      <c r="H182" s="19" t="str">
        <f>IFERROR(VLOOKUP($D182,임시동력입.출고현황!$A:$G,H$5,0),)</f>
        <v>4C x 6mm2</v>
      </c>
      <c r="I182" s="10" t="str">
        <f>IFERROR(VLOOKUP($D182,임시동력입.출고현황!$A:$G,I$5,0),)</f>
        <v>M</v>
      </c>
      <c r="J182" s="10"/>
      <c r="K182" s="95"/>
      <c r="L182" s="57">
        <v>8</v>
      </c>
      <c r="M182" s="81" t="s">
        <v>248</v>
      </c>
      <c r="N182" s="134"/>
    </row>
    <row r="183" spans="1:14" s="131" customFormat="1" ht="28.2" customHeight="1">
      <c r="A183" s="11">
        <v>178</v>
      </c>
      <c r="B183" s="290">
        <v>178</v>
      </c>
      <c r="C183" s="129">
        <v>45804</v>
      </c>
      <c r="D183" s="10" t="s">
        <v>347</v>
      </c>
      <c r="E183" s="41" t="str">
        <f>IFERROR(VLOOKUP($D183,임시동력입.출고현황!$A:$G,E$5,0),)</f>
        <v>LTG</v>
      </c>
      <c r="F183" s="19" t="str">
        <f>IFERROR(VLOOKUP($D183,임시동력입.출고현황!$A:$G,F$5,0),)</f>
        <v>Lighting Fixture</v>
      </c>
      <c r="G183" s="19">
        <f>IFERROR(VLOOKUP($D183,임시동력입.출고현황!$A:$G,G$5,0),)</f>
        <v>0</v>
      </c>
      <c r="H183" s="19" t="str">
        <f>IFERROR(VLOOKUP($D183,임시동력입.출고현황!$A:$G,H$5,0),)</f>
        <v>200W</v>
      </c>
      <c r="I183" s="10" t="str">
        <f>IFERROR(VLOOKUP($D183,임시동력입.출고현황!$A:$G,I$5,0),)</f>
        <v>EA</v>
      </c>
      <c r="J183" s="10"/>
      <c r="K183" s="95"/>
      <c r="L183" s="57">
        <v>2</v>
      </c>
      <c r="M183" s="81" t="s">
        <v>248</v>
      </c>
      <c r="N183" s="134"/>
    </row>
    <row r="184" spans="1:14" s="131" customFormat="1" ht="28.2" customHeight="1">
      <c r="A184" s="11">
        <v>179</v>
      </c>
      <c r="B184" s="290">
        <v>179</v>
      </c>
      <c r="C184" s="129">
        <v>45803</v>
      </c>
      <c r="D184" s="10" t="s">
        <v>335</v>
      </c>
      <c r="E184" s="41" t="str">
        <f>IFERROR(VLOOKUP($D184,임시동력입.출고현황!$A:$G,E$5,0),)</f>
        <v>Cable</v>
      </c>
      <c r="F184" s="19" t="str">
        <f>IFERROR(VLOOKUP($D184,임시동력입.출고현황!$A:$G,F$5,0),)</f>
        <v>CV Cable</v>
      </c>
      <c r="G184" s="19">
        <f>IFERROR(VLOOKUP($D184,임시동력입.출고현황!$A:$G,G$5,0),)</f>
        <v>0</v>
      </c>
      <c r="H184" s="19" t="str">
        <f>IFERROR(VLOOKUP($D184,임시동력입.출고현황!$A:$G,H$5,0),)</f>
        <v>3C x 2.5mm2</v>
      </c>
      <c r="I184" s="10" t="str">
        <f>IFERROR(VLOOKUP($D184,임시동력입.출고현황!$A:$G,I$5,0),)</f>
        <v>M</v>
      </c>
      <c r="J184" s="10"/>
      <c r="K184" s="95"/>
      <c r="L184" s="57">
        <v>25</v>
      </c>
      <c r="M184" s="81" t="s">
        <v>248</v>
      </c>
      <c r="N184" s="134"/>
    </row>
    <row r="185" spans="1:14" s="131" customFormat="1" ht="28.2" customHeight="1">
      <c r="A185" s="11">
        <v>180</v>
      </c>
      <c r="B185" s="290">
        <v>180</v>
      </c>
      <c r="C185" s="129">
        <v>45806</v>
      </c>
      <c r="D185" s="10" t="s">
        <v>331</v>
      </c>
      <c r="E185" s="41" t="str">
        <f>IFERROR(VLOOKUP($D185,임시동력입.출고현황!$A:$G,E$5,0),)</f>
        <v>Cable</v>
      </c>
      <c r="F185" s="19" t="str">
        <f>IFERROR(VLOOKUP($D185,임시동력입.출고현황!$A:$G,F$5,0),)</f>
        <v>CV Cable</v>
      </c>
      <c r="G185" s="19">
        <f>IFERROR(VLOOKUP($D185,임시동력입.출고현황!$A:$G,G$5,0),)</f>
        <v>0</v>
      </c>
      <c r="H185" s="19" t="str">
        <f>IFERROR(VLOOKUP($D185,임시동력입.출고현황!$A:$G,H$5,0),)</f>
        <v>4C x 6mm2</v>
      </c>
      <c r="I185" s="10" t="str">
        <f>IFERROR(VLOOKUP($D185,임시동력입.출고현황!$A:$G,I$5,0),)</f>
        <v>M</v>
      </c>
      <c r="J185" s="10"/>
      <c r="K185" s="95"/>
      <c r="L185" s="57">
        <v>100</v>
      </c>
      <c r="M185" s="81" t="s">
        <v>248</v>
      </c>
      <c r="N185" s="134"/>
    </row>
    <row r="186" spans="1:14" s="131" customFormat="1" ht="28.2" customHeight="1">
      <c r="A186" s="11">
        <v>181</v>
      </c>
      <c r="B186" s="290">
        <v>181</v>
      </c>
      <c r="C186" s="129">
        <v>45808</v>
      </c>
      <c r="D186" s="10" t="s">
        <v>331</v>
      </c>
      <c r="E186" s="41" t="str">
        <f>IFERROR(VLOOKUP($D186,임시동력입.출고현황!$A:$G,E$5,0),)</f>
        <v>Cable</v>
      </c>
      <c r="F186" s="19" t="str">
        <f>IFERROR(VLOOKUP($D186,임시동력입.출고현황!$A:$G,F$5,0),)</f>
        <v>CV Cable</v>
      </c>
      <c r="G186" s="19">
        <f>IFERROR(VLOOKUP($D186,임시동력입.출고현황!$A:$G,G$5,0),)</f>
        <v>0</v>
      </c>
      <c r="H186" s="19" t="str">
        <f>IFERROR(VLOOKUP($D186,임시동력입.출고현황!$A:$G,H$5,0),)</f>
        <v>4C x 6mm2</v>
      </c>
      <c r="I186" s="10" t="str">
        <f>IFERROR(VLOOKUP($D186,임시동력입.출고현황!$A:$G,I$5,0),)</f>
        <v>M</v>
      </c>
      <c r="J186" s="10"/>
      <c r="K186" s="95"/>
      <c r="L186" s="57">
        <v>500</v>
      </c>
      <c r="M186" s="81" t="s">
        <v>248</v>
      </c>
      <c r="N186" s="134"/>
    </row>
    <row r="187" spans="1:14" s="131" customFormat="1" ht="28.2" customHeight="1">
      <c r="A187" s="11">
        <v>182</v>
      </c>
      <c r="B187" s="290">
        <v>182</v>
      </c>
      <c r="C187" s="129">
        <v>45809</v>
      </c>
      <c r="D187" s="10" t="s">
        <v>341</v>
      </c>
      <c r="E187" s="41" t="str">
        <f>IFERROR(VLOOKUP($D187,임시동력입.출고현황!$A:$G,E$5,0),)</f>
        <v>LTG</v>
      </c>
      <c r="F187" s="19" t="str">
        <f>IFERROR(VLOOKUP($D187,임시동력입.출고현황!$A:$G,F$5,0),)</f>
        <v>Lighting Fixture</v>
      </c>
      <c r="G187" s="19">
        <f>IFERROR(VLOOKUP($D187,임시동력입.출고현황!$A:$G,G$5,0),)</f>
        <v>0</v>
      </c>
      <c r="H187" s="19" t="str">
        <f>IFERROR(VLOOKUP($D187,임시동력입.출고현황!$A:$G,H$5,0),)</f>
        <v>400W</v>
      </c>
      <c r="I187" s="10" t="str">
        <f>IFERROR(VLOOKUP($D187,임시동력입.출고현황!$A:$G,I$5,0),)</f>
        <v>EA</v>
      </c>
      <c r="J187" s="10"/>
      <c r="K187" s="95"/>
      <c r="L187" s="57">
        <v>5</v>
      </c>
      <c r="M187" s="81" t="s">
        <v>248</v>
      </c>
      <c r="N187" s="134"/>
    </row>
    <row r="188" spans="1:14" s="131" customFormat="1" ht="28.2" customHeight="1">
      <c r="A188" s="11">
        <v>183</v>
      </c>
      <c r="B188" s="290">
        <v>183</v>
      </c>
      <c r="C188" s="129">
        <v>45811</v>
      </c>
      <c r="D188" s="10" t="s">
        <v>329</v>
      </c>
      <c r="E188" s="41" t="str">
        <f>IFERROR(VLOOKUP($D188,임시동력입.출고현황!$A:$G,E$5,0),)</f>
        <v>Cable</v>
      </c>
      <c r="F188" s="19" t="str">
        <f>IFERROR(VLOOKUP($D188,임시동력입.출고현황!$A:$G,F$5,0),)</f>
        <v>CV Cable</v>
      </c>
      <c r="G188" s="19">
        <f>IFERROR(VLOOKUP($D188,임시동력입.출고현황!$A:$G,G$5,0),)</f>
        <v>0</v>
      </c>
      <c r="H188" s="19" t="str">
        <f>IFERROR(VLOOKUP($D188,임시동력입.출고현황!$A:$G,H$5,0),)</f>
        <v>4C x 16mm2</v>
      </c>
      <c r="I188" s="10" t="str">
        <f>IFERROR(VLOOKUP($D188,임시동력입.출고현황!$A:$G,I$5,0),)</f>
        <v>M</v>
      </c>
      <c r="J188" s="10"/>
      <c r="K188" s="95"/>
      <c r="L188" s="57">
        <v>51</v>
      </c>
      <c r="M188" s="81" t="s">
        <v>248</v>
      </c>
      <c r="N188" s="134"/>
    </row>
    <row r="189" spans="1:14" s="131" customFormat="1" ht="28.2" customHeight="1">
      <c r="A189" s="11">
        <v>184</v>
      </c>
      <c r="B189" s="290">
        <v>184</v>
      </c>
      <c r="C189" s="129">
        <v>45811</v>
      </c>
      <c r="D189" s="10" t="s">
        <v>310</v>
      </c>
      <c r="E189" s="41" t="str">
        <f>IFERROR(VLOOKUP($D189,임시동력입.출고현황!$A:$G,E$5,0),)</f>
        <v>Panel</v>
      </c>
      <c r="F189" s="19" t="str">
        <f>IFERROR(VLOOKUP($D189,임시동력입.출고현황!$A:$G,F$5,0),)</f>
        <v>Electrical Panel</v>
      </c>
      <c r="G189" s="19">
        <f>IFERROR(VLOOKUP($D189,임시동력입.출고현황!$A:$G,G$5,0),)</f>
        <v>0</v>
      </c>
      <c r="H189" s="19" t="str">
        <f>IFERROR(VLOOKUP($D189,임시동력입.출고현황!$A:$G,H$5,0),)</f>
        <v>100A</v>
      </c>
      <c r="I189" s="10" t="str">
        <f>IFERROR(VLOOKUP($D189,임시동력입.출고현황!$A:$G,I$5,0),)</f>
        <v>EA</v>
      </c>
      <c r="J189" s="10"/>
      <c r="K189" s="95"/>
      <c r="L189" s="57">
        <v>1</v>
      </c>
      <c r="M189" s="81" t="s">
        <v>248</v>
      </c>
      <c r="N189" s="134"/>
    </row>
    <row r="190" spans="1:14" s="131" customFormat="1" ht="28.2" customHeight="1">
      <c r="A190" s="11">
        <v>185</v>
      </c>
      <c r="B190" s="290">
        <v>185</v>
      </c>
      <c r="C190" s="129">
        <v>45811</v>
      </c>
      <c r="D190" s="10" t="s">
        <v>280</v>
      </c>
      <c r="E190" s="41" t="str">
        <f>IFERROR(VLOOKUP($D190,임시동력입.출고현황!$A:$G,E$5,0),)</f>
        <v>D/G</v>
      </c>
      <c r="F190" s="19" t="str">
        <f>IFERROR(VLOOKUP($D190,임시동력입.출고현황!$A:$G,F$5,0),)</f>
        <v>Generator</v>
      </c>
      <c r="G190" s="19">
        <f>IFERROR(VLOOKUP($D190,임시동력입.출고현황!$A:$G,G$5,0),)</f>
        <v>0</v>
      </c>
      <c r="H190" s="19" t="str">
        <f>IFERROR(VLOOKUP($D190,임시동력입.출고현황!$A:$G,H$5,0),)</f>
        <v>300KVA</v>
      </c>
      <c r="I190" s="10" t="str">
        <f>IFERROR(VLOOKUP($D190,임시동력입.출고현황!$A:$G,I$5,0),)</f>
        <v>대</v>
      </c>
      <c r="J190" s="10"/>
      <c r="K190" s="95"/>
      <c r="L190" s="57">
        <v>1</v>
      </c>
      <c r="M190" s="81" t="s">
        <v>372</v>
      </c>
      <c r="N190" s="134"/>
    </row>
    <row r="191" spans="1:14" s="131" customFormat="1" ht="28.2" customHeight="1">
      <c r="A191" s="11">
        <v>186</v>
      </c>
      <c r="B191" s="290">
        <v>186</v>
      </c>
      <c r="C191" s="129">
        <v>45819</v>
      </c>
      <c r="D191" s="10" t="s">
        <v>332</v>
      </c>
      <c r="E191" s="41" t="str">
        <f>IFERROR(VLOOKUP($D191,임시동력입.출고현황!$A:$G,E$5,0),)</f>
        <v>Cable</v>
      </c>
      <c r="F191" s="19" t="str">
        <f>IFERROR(VLOOKUP($D191,임시동력입.출고현황!$A:$G,F$5,0),)</f>
        <v>CV Cable</v>
      </c>
      <c r="G191" s="19">
        <f>IFERROR(VLOOKUP($D191,임시동력입.출고현황!$A:$G,G$5,0),)</f>
        <v>0</v>
      </c>
      <c r="H191" s="19" t="str">
        <f>IFERROR(VLOOKUP($D191,임시동력입.출고현황!$A:$G,H$5,0),)</f>
        <v>3C x 10mm2</v>
      </c>
      <c r="I191" s="10" t="str">
        <f>IFERROR(VLOOKUP($D191,임시동력입.출고현황!$A:$G,I$5,0),)</f>
        <v>M</v>
      </c>
      <c r="J191" s="10"/>
      <c r="K191" s="95"/>
      <c r="L191" s="57">
        <v>35</v>
      </c>
      <c r="M191" s="81" t="s">
        <v>248</v>
      </c>
      <c r="N191" s="134"/>
    </row>
    <row r="192" spans="1:14" s="131" customFormat="1" ht="28.2" customHeight="1">
      <c r="A192" s="11">
        <v>187</v>
      </c>
      <c r="B192" s="290">
        <v>187</v>
      </c>
      <c r="C192" s="129">
        <v>45819</v>
      </c>
      <c r="D192" s="10" t="s">
        <v>335</v>
      </c>
      <c r="E192" s="41" t="str">
        <f>IFERROR(VLOOKUP($D192,임시동력입.출고현황!$A:$G,E$5,0),)</f>
        <v>Cable</v>
      </c>
      <c r="F192" s="19" t="str">
        <f>IFERROR(VLOOKUP($D192,임시동력입.출고현황!$A:$G,F$5,0),)</f>
        <v>CV Cable</v>
      </c>
      <c r="G192" s="19">
        <f>IFERROR(VLOOKUP($D192,임시동력입.출고현황!$A:$G,G$5,0),)</f>
        <v>0</v>
      </c>
      <c r="H192" s="19" t="str">
        <f>IFERROR(VLOOKUP($D192,임시동력입.출고현황!$A:$G,H$5,0),)</f>
        <v>3C x 2.5mm2</v>
      </c>
      <c r="I192" s="10" t="str">
        <f>IFERROR(VLOOKUP($D192,임시동력입.출고현황!$A:$G,I$5,0),)</f>
        <v>M</v>
      </c>
      <c r="J192" s="10"/>
      <c r="K192" s="95"/>
      <c r="L192" s="57">
        <v>10</v>
      </c>
      <c r="M192" s="81" t="s">
        <v>248</v>
      </c>
      <c r="N192" s="134"/>
    </row>
    <row r="193" spans="1:14" s="131" customFormat="1" ht="28.2" customHeight="1">
      <c r="A193" s="11">
        <v>188</v>
      </c>
      <c r="B193" s="290">
        <v>188</v>
      </c>
      <c r="C193" s="129">
        <v>45820</v>
      </c>
      <c r="D193" s="10" t="s">
        <v>331</v>
      </c>
      <c r="E193" s="41" t="str">
        <f>IFERROR(VLOOKUP($D193,임시동력입.출고현황!$A:$G,E$5,0),)</f>
        <v>Cable</v>
      </c>
      <c r="F193" s="19" t="str">
        <f>IFERROR(VLOOKUP($D193,임시동력입.출고현황!$A:$G,F$5,0),)</f>
        <v>CV Cable</v>
      </c>
      <c r="G193" s="19">
        <f>IFERROR(VLOOKUP($D193,임시동력입.출고현황!$A:$G,G$5,0),)</f>
        <v>0</v>
      </c>
      <c r="H193" s="19" t="str">
        <f>IFERROR(VLOOKUP($D193,임시동력입.출고현황!$A:$G,H$5,0),)</f>
        <v>4C x 6mm2</v>
      </c>
      <c r="I193" s="10" t="str">
        <f>IFERROR(VLOOKUP($D193,임시동력입.출고현황!$A:$G,I$5,0),)</f>
        <v>M</v>
      </c>
      <c r="J193" s="10"/>
      <c r="K193" s="95"/>
      <c r="L193" s="57">
        <v>75</v>
      </c>
      <c r="M193" s="81" t="s">
        <v>248</v>
      </c>
      <c r="N193" s="134"/>
    </row>
    <row r="194" spans="1:14" s="131" customFormat="1" ht="28.2" customHeight="1">
      <c r="A194" s="11">
        <v>189</v>
      </c>
      <c r="B194" s="290">
        <v>189</v>
      </c>
      <c r="C194" s="129">
        <v>45820</v>
      </c>
      <c r="D194" s="10" t="s">
        <v>334</v>
      </c>
      <c r="E194" s="41" t="str">
        <f>IFERROR(VLOOKUP($D194,임시동력입.출고현황!$A:$G,E$5,0),)</f>
        <v>Cable</v>
      </c>
      <c r="F194" s="19" t="str">
        <f>IFERROR(VLOOKUP($D194,임시동력입.출고현황!$A:$G,F$5,0),)</f>
        <v>CV Cable</v>
      </c>
      <c r="G194" s="19">
        <f>IFERROR(VLOOKUP($D194,임시동력입.출고현황!$A:$G,G$5,0),)</f>
        <v>0</v>
      </c>
      <c r="H194" s="19" t="str">
        <f>IFERROR(VLOOKUP($D194,임시동력입.출고현황!$A:$G,H$5,0),)</f>
        <v>3C x 4mm2</v>
      </c>
      <c r="I194" s="10" t="str">
        <f>IFERROR(VLOOKUP($D194,임시동력입.출고현황!$A:$G,I$5,0),)</f>
        <v>M</v>
      </c>
      <c r="J194" s="10"/>
      <c r="K194" s="95"/>
      <c r="L194" s="57">
        <v>60</v>
      </c>
      <c r="M194" s="81" t="s">
        <v>248</v>
      </c>
      <c r="N194" s="134"/>
    </row>
    <row r="195" spans="1:14" s="131" customFormat="1" ht="28.2" customHeight="1">
      <c r="A195" s="11">
        <v>190</v>
      </c>
      <c r="B195" s="290">
        <v>190</v>
      </c>
      <c r="C195" s="129">
        <v>45820</v>
      </c>
      <c r="D195" s="10" t="s">
        <v>333</v>
      </c>
      <c r="E195" s="41" t="str">
        <f>IFERROR(VLOOKUP($D195,임시동력입.출고현황!$A:$G,E$5,0),)</f>
        <v>Cable</v>
      </c>
      <c r="F195" s="19" t="str">
        <f>IFERROR(VLOOKUP($D195,임시동력입.출고현황!$A:$G,F$5,0),)</f>
        <v>CV Cable</v>
      </c>
      <c r="G195" s="19">
        <f>IFERROR(VLOOKUP($D195,임시동력입.출고현황!$A:$G,G$5,0),)</f>
        <v>0</v>
      </c>
      <c r="H195" s="19" t="str">
        <f>IFERROR(VLOOKUP($D195,임시동력입.출고현황!$A:$G,H$5,0),)</f>
        <v>3C x 6mm2</v>
      </c>
      <c r="I195" s="10" t="str">
        <f>IFERROR(VLOOKUP($D195,임시동력입.출고현황!$A:$G,I$5,0),)</f>
        <v>M</v>
      </c>
      <c r="J195" s="10"/>
      <c r="K195" s="95"/>
      <c r="L195" s="57">
        <v>60</v>
      </c>
      <c r="M195" s="81" t="s">
        <v>248</v>
      </c>
      <c r="N195" s="134"/>
    </row>
    <row r="196" spans="1:14" s="131" customFormat="1" ht="28.2" customHeight="1">
      <c r="A196" s="11">
        <v>191</v>
      </c>
      <c r="B196" s="290">
        <v>191</v>
      </c>
      <c r="C196" s="129">
        <v>45821</v>
      </c>
      <c r="D196" s="10" t="s">
        <v>334</v>
      </c>
      <c r="E196" s="41" t="str">
        <f>IFERROR(VLOOKUP($D196,임시동력입.출고현황!$A:$G,E$5,0),)</f>
        <v>Cable</v>
      </c>
      <c r="F196" s="19" t="str">
        <f>IFERROR(VLOOKUP($D196,임시동력입.출고현황!$A:$G,F$5,0),)</f>
        <v>CV Cable</v>
      </c>
      <c r="G196" s="19">
        <f>IFERROR(VLOOKUP($D196,임시동력입.출고현황!$A:$G,G$5,0),)</f>
        <v>0</v>
      </c>
      <c r="H196" s="19" t="str">
        <f>IFERROR(VLOOKUP($D196,임시동력입.출고현황!$A:$G,H$5,0),)</f>
        <v>3C x 4mm2</v>
      </c>
      <c r="I196" s="10" t="str">
        <f>IFERROR(VLOOKUP($D196,임시동력입.출고현황!$A:$G,I$5,0),)</f>
        <v>M</v>
      </c>
      <c r="J196" s="10"/>
      <c r="K196" s="95"/>
      <c r="L196" s="57">
        <v>75</v>
      </c>
      <c r="M196" s="81" t="s">
        <v>248</v>
      </c>
      <c r="N196" s="134"/>
    </row>
    <row r="197" spans="1:14" s="131" customFormat="1" ht="28.2" customHeight="1">
      <c r="A197" s="11">
        <v>192</v>
      </c>
      <c r="B197" s="290">
        <v>192</v>
      </c>
      <c r="C197" s="129">
        <v>45821</v>
      </c>
      <c r="D197" s="10" t="s">
        <v>335</v>
      </c>
      <c r="E197" s="41" t="str">
        <f>IFERROR(VLOOKUP($D197,임시동력입.출고현황!$A:$G,E$5,0),)</f>
        <v>Cable</v>
      </c>
      <c r="F197" s="19" t="str">
        <f>IFERROR(VLOOKUP($D197,임시동력입.출고현황!$A:$G,F$5,0),)</f>
        <v>CV Cable</v>
      </c>
      <c r="G197" s="19">
        <f>IFERROR(VLOOKUP($D197,임시동력입.출고현황!$A:$G,G$5,0),)</f>
        <v>0</v>
      </c>
      <c r="H197" s="19" t="str">
        <f>IFERROR(VLOOKUP($D197,임시동력입.출고현황!$A:$G,H$5,0),)</f>
        <v>3C x 2.5mm2</v>
      </c>
      <c r="I197" s="10" t="str">
        <f>IFERROR(VLOOKUP($D197,임시동력입.출고현황!$A:$G,I$5,0),)</f>
        <v>M</v>
      </c>
      <c r="J197" s="10"/>
      <c r="K197" s="95"/>
      <c r="L197" s="57">
        <v>50</v>
      </c>
      <c r="M197" s="81" t="s">
        <v>248</v>
      </c>
      <c r="N197" s="134"/>
    </row>
    <row r="198" spans="1:14" s="131" customFormat="1" ht="28.2" customHeight="1">
      <c r="A198" s="11">
        <v>193</v>
      </c>
      <c r="B198" s="290">
        <v>193</v>
      </c>
      <c r="C198" s="129">
        <v>45821</v>
      </c>
      <c r="D198" s="10" t="s">
        <v>331</v>
      </c>
      <c r="E198" s="41" t="str">
        <f>IFERROR(VLOOKUP($D198,임시동력입.출고현황!$A:$G,E$5,0),)</f>
        <v>Cable</v>
      </c>
      <c r="F198" s="19" t="str">
        <f>IFERROR(VLOOKUP($D198,임시동력입.출고현황!$A:$G,F$5,0),)</f>
        <v>CV Cable</v>
      </c>
      <c r="G198" s="19">
        <f>IFERROR(VLOOKUP($D198,임시동력입.출고현황!$A:$G,G$5,0),)</f>
        <v>0</v>
      </c>
      <c r="H198" s="19" t="str">
        <f>IFERROR(VLOOKUP($D198,임시동력입.출고현황!$A:$G,H$5,0),)</f>
        <v>4C x 6mm2</v>
      </c>
      <c r="I198" s="10" t="str">
        <f>IFERROR(VLOOKUP($D198,임시동력입.출고현황!$A:$G,I$5,0),)</f>
        <v>M</v>
      </c>
      <c r="J198" s="10"/>
      <c r="K198" s="95"/>
      <c r="L198" s="57">
        <v>30</v>
      </c>
      <c r="M198" s="81" t="s">
        <v>248</v>
      </c>
      <c r="N198" s="134"/>
    </row>
    <row r="199" spans="1:14" s="131" customFormat="1" ht="28.2" customHeight="1">
      <c r="A199" s="11">
        <v>194</v>
      </c>
      <c r="B199" s="290">
        <v>194</v>
      </c>
      <c r="C199" s="129">
        <v>45821</v>
      </c>
      <c r="D199" s="10" t="s">
        <v>303</v>
      </c>
      <c r="E199" s="41" t="str">
        <f>IFERROR(VLOOKUP($D199,임시동력입.출고현황!$A:$G,E$5,0),)</f>
        <v>Panel</v>
      </c>
      <c r="F199" s="19" t="str">
        <f>IFERROR(VLOOKUP($D199,임시동력입.출고현황!$A:$G,F$5,0),)</f>
        <v>Electrical Panel</v>
      </c>
      <c r="G199" s="19">
        <f>IFERROR(VLOOKUP($D199,임시동력입.출고현황!$A:$G,G$5,0),)</f>
        <v>0</v>
      </c>
      <c r="H199" s="19" t="str">
        <f>IFERROR(VLOOKUP($D199,임시동력입.출고현황!$A:$G,H$5,0),)</f>
        <v>630A</v>
      </c>
      <c r="I199" s="10" t="str">
        <f>IFERROR(VLOOKUP($D199,임시동력입.출고현황!$A:$G,I$5,0),)</f>
        <v>EA</v>
      </c>
      <c r="J199" s="10"/>
      <c r="K199" s="95"/>
      <c r="L199" s="57">
        <v>1</v>
      </c>
      <c r="M199" s="81" t="s">
        <v>248</v>
      </c>
      <c r="N199" s="134"/>
    </row>
    <row r="200" spans="1:14" s="131" customFormat="1" ht="28.2" customHeight="1">
      <c r="A200" s="11">
        <v>195</v>
      </c>
      <c r="B200" s="290">
        <v>195</v>
      </c>
      <c r="C200" s="129">
        <v>45824</v>
      </c>
      <c r="D200" s="10" t="s">
        <v>345</v>
      </c>
      <c r="E200" s="41" t="str">
        <f>IFERROR(VLOOKUP($D200,임시동력입.출고현황!$A:$G,E$5,0),)</f>
        <v>Cable</v>
      </c>
      <c r="F200" s="19" t="str">
        <f>IFERROR(VLOOKUP($D200,임시동력입.출고현황!$A:$G,F$5,0),)</f>
        <v>Grounding Cable</v>
      </c>
      <c r="G200" s="19">
        <f>IFERROR(VLOOKUP($D200,임시동력입.출고현황!$A:$G,G$5,0),)</f>
        <v>0</v>
      </c>
      <c r="H200" s="19" t="str">
        <f>IFERROR(VLOOKUP($D200,임시동력입.출고현황!$A:$G,H$5,0),)</f>
        <v>1C x 16mm2</v>
      </c>
      <c r="I200" s="10" t="str">
        <f>IFERROR(VLOOKUP($D200,임시동력입.출고현황!$A:$G,I$5,0),)</f>
        <v>M</v>
      </c>
      <c r="J200" s="10"/>
      <c r="K200" s="95"/>
      <c r="L200" s="57">
        <v>200</v>
      </c>
      <c r="M200" s="81" t="s">
        <v>248</v>
      </c>
      <c r="N200" s="134"/>
    </row>
    <row r="201" spans="1:14" s="131" customFormat="1" ht="28.2" customHeight="1">
      <c r="A201" s="11">
        <v>196</v>
      </c>
      <c r="B201" s="290">
        <v>196</v>
      </c>
      <c r="C201" s="129">
        <v>45824</v>
      </c>
      <c r="D201" s="10" t="s">
        <v>329</v>
      </c>
      <c r="E201" s="41" t="str">
        <f>IFERROR(VLOOKUP($D201,임시동력입.출고현황!$A:$G,E$5,0),)</f>
        <v>Cable</v>
      </c>
      <c r="F201" s="19" t="str">
        <f>IFERROR(VLOOKUP($D201,임시동력입.출고현황!$A:$G,F$5,0),)</f>
        <v>CV Cable</v>
      </c>
      <c r="G201" s="19">
        <f>IFERROR(VLOOKUP($D201,임시동력입.출고현황!$A:$G,G$5,0),)</f>
        <v>0</v>
      </c>
      <c r="H201" s="19" t="str">
        <f>IFERROR(VLOOKUP($D201,임시동력입.출고현황!$A:$G,H$5,0),)</f>
        <v>4C x 16mm2</v>
      </c>
      <c r="I201" s="10" t="str">
        <f>IFERROR(VLOOKUP($D201,임시동력입.출고현황!$A:$G,I$5,0),)</f>
        <v>M</v>
      </c>
      <c r="J201" s="10"/>
      <c r="K201" s="95"/>
      <c r="L201" s="57">
        <v>20</v>
      </c>
      <c r="M201" s="81" t="s">
        <v>248</v>
      </c>
      <c r="N201" s="134"/>
    </row>
    <row r="202" spans="1:14" s="131" customFormat="1" ht="28.2" customHeight="1">
      <c r="A202" s="11">
        <v>197</v>
      </c>
      <c r="B202" s="290">
        <v>197</v>
      </c>
      <c r="C202" s="129">
        <v>45825</v>
      </c>
      <c r="D202" s="10" t="s">
        <v>318</v>
      </c>
      <c r="E202" s="41" t="str">
        <f>IFERROR(VLOOKUP($D202,임시동력입.출고현황!$A:$G,E$5,0),)</f>
        <v>Cable</v>
      </c>
      <c r="F202" s="19" t="str">
        <f>IFERROR(VLOOKUP($D202,임시동력입.출고현황!$A:$G,F$5,0),)</f>
        <v>AL Cable</v>
      </c>
      <c r="G202" s="19">
        <f>IFERROR(VLOOKUP($D202,임시동력입.출고현황!$A:$G,G$5,0),)</f>
        <v>0</v>
      </c>
      <c r="H202" s="19" t="str">
        <f>IFERROR(VLOOKUP($D202,임시동력입.출고현황!$A:$G,H$5,0),)</f>
        <v>3C x 150+70mm2 [ALU]</v>
      </c>
      <c r="I202" s="10" t="str">
        <f>IFERROR(VLOOKUP($D202,임시동력입.출고현황!$A:$G,I$5,0),)</f>
        <v>M</v>
      </c>
      <c r="J202" s="10"/>
      <c r="K202" s="95"/>
      <c r="L202" s="57">
        <v>4</v>
      </c>
      <c r="M202" s="81" t="s">
        <v>248</v>
      </c>
      <c r="N202" s="134"/>
    </row>
    <row r="203" spans="1:14" s="131" customFormat="1" ht="28.2" customHeight="1">
      <c r="A203" s="11">
        <v>198</v>
      </c>
      <c r="B203" s="290">
        <v>198</v>
      </c>
      <c r="C203" s="129">
        <v>45826</v>
      </c>
      <c r="D203" s="10" t="s">
        <v>329</v>
      </c>
      <c r="E203" s="41" t="str">
        <f>IFERROR(VLOOKUP($D203,임시동력입.출고현황!$A:$G,E$5,0),)</f>
        <v>Cable</v>
      </c>
      <c r="F203" s="19" t="str">
        <f>IFERROR(VLOOKUP($D203,임시동력입.출고현황!$A:$G,F$5,0),)</f>
        <v>CV Cable</v>
      </c>
      <c r="G203" s="19">
        <f>IFERROR(VLOOKUP($D203,임시동력입.출고현황!$A:$G,G$5,0),)</f>
        <v>0</v>
      </c>
      <c r="H203" s="19" t="str">
        <f>IFERROR(VLOOKUP($D203,임시동력입.출고현황!$A:$G,H$5,0),)</f>
        <v>4C x 16mm2</v>
      </c>
      <c r="I203" s="10" t="str">
        <f>IFERROR(VLOOKUP($D203,임시동력입.출고현황!$A:$G,I$5,0),)</f>
        <v>M</v>
      </c>
      <c r="J203" s="10"/>
      <c r="K203" s="95"/>
      <c r="L203" s="57">
        <v>90</v>
      </c>
      <c r="M203" s="81" t="s">
        <v>248</v>
      </c>
      <c r="N203" s="134"/>
    </row>
    <row r="204" spans="1:14" s="131" customFormat="1" ht="28.2" customHeight="1">
      <c r="A204" s="11">
        <v>199</v>
      </c>
      <c r="B204" s="290">
        <v>199</v>
      </c>
      <c r="C204" s="129">
        <v>45827</v>
      </c>
      <c r="D204" s="10" t="s">
        <v>319</v>
      </c>
      <c r="E204" s="41" t="str">
        <f>IFERROR(VLOOKUP($D204,임시동력입.출고현황!$A:$G,E$5,0),)</f>
        <v>Cable</v>
      </c>
      <c r="F204" s="19" t="str">
        <f>IFERROR(VLOOKUP($D204,임시동력입.출고현황!$A:$G,F$5,0),)</f>
        <v>AL Cable</v>
      </c>
      <c r="G204" s="19">
        <f>IFERROR(VLOOKUP($D204,임시동력입.출고현황!$A:$G,G$5,0),)</f>
        <v>0</v>
      </c>
      <c r="H204" s="19" t="str">
        <f>IFERROR(VLOOKUP($D204,임시동력입.출고현황!$A:$G,H$5,0),)</f>
        <v>3C x 120+70mm2 [ALU]</v>
      </c>
      <c r="I204" s="10" t="str">
        <f>IFERROR(VLOOKUP($D204,임시동력입.출고현황!$A:$G,I$5,0),)</f>
        <v>M</v>
      </c>
      <c r="J204" s="10"/>
      <c r="K204" s="95"/>
      <c r="L204" s="57">
        <v>145</v>
      </c>
      <c r="M204" s="81" t="s">
        <v>248</v>
      </c>
      <c r="N204" s="134"/>
    </row>
    <row r="205" spans="1:14" s="131" customFormat="1" ht="28.2" customHeight="1">
      <c r="A205" s="11">
        <v>200</v>
      </c>
      <c r="B205" s="290">
        <v>200</v>
      </c>
      <c r="C205" s="129">
        <v>45827</v>
      </c>
      <c r="D205" s="10" t="s">
        <v>329</v>
      </c>
      <c r="E205" s="41" t="str">
        <f>IFERROR(VLOOKUP($D205,임시동력입.출고현황!$A:$G,E$5,0),)</f>
        <v>Cable</v>
      </c>
      <c r="F205" s="19" t="str">
        <f>IFERROR(VLOOKUP($D205,임시동력입.출고현황!$A:$G,F$5,0),)</f>
        <v>CV Cable</v>
      </c>
      <c r="G205" s="19">
        <f>IFERROR(VLOOKUP($D205,임시동력입.출고현황!$A:$G,G$5,0),)</f>
        <v>0</v>
      </c>
      <c r="H205" s="19" t="str">
        <f>IFERROR(VLOOKUP($D205,임시동력입.출고현황!$A:$G,H$5,0),)</f>
        <v>4C x 16mm2</v>
      </c>
      <c r="I205" s="10" t="str">
        <f>IFERROR(VLOOKUP($D205,임시동력입.출고현황!$A:$G,I$5,0),)</f>
        <v>M</v>
      </c>
      <c r="J205" s="10"/>
      <c r="K205" s="95"/>
      <c r="L205" s="57">
        <v>60</v>
      </c>
      <c r="M205" s="81" t="s">
        <v>248</v>
      </c>
      <c r="N205" s="134"/>
    </row>
    <row r="206" spans="1:14" s="131" customFormat="1" ht="28.2" customHeight="1">
      <c r="A206" s="11">
        <v>201</v>
      </c>
      <c r="B206" s="290">
        <v>201</v>
      </c>
      <c r="C206" s="129">
        <v>45828</v>
      </c>
      <c r="D206" s="10" t="s">
        <v>306</v>
      </c>
      <c r="E206" s="41" t="str">
        <f>IFERROR(VLOOKUP($D206,임시동력입.출고현황!$A:$G,E$5,0),)</f>
        <v>Panel</v>
      </c>
      <c r="F206" s="19" t="str">
        <f>IFERROR(VLOOKUP($D206,임시동력입.출고현황!$A:$G,F$5,0),)</f>
        <v>Electrical Panel</v>
      </c>
      <c r="G206" s="19">
        <f>IFERROR(VLOOKUP($D206,임시동력입.출고현황!$A:$G,G$5,0),)</f>
        <v>0</v>
      </c>
      <c r="H206" s="19" t="str">
        <f>IFERROR(VLOOKUP($D206,임시동력입.출고현황!$A:$G,H$5,0),)</f>
        <v>250A</v>
      </c>
      <c r="I206" s="10" t="str">
        <f>IFERROR(VLOOKUP($D206,임시동력입.출고현황!$A:$G,I$5,0),)</f>
        <v>EA</v>
      </c>
      <c r="J206" s="10"/>
      <c r="K206" s="95"/>
      <c r="L206" s="57">
        <v>1</v>
      </c>
      <c r="M206" s="81" t="s">
        <v>373</v>
      </c>
      <c r="N206" s="134"/>
    </row>
    <row r="207" spans="1:14" s="131" customFormat="1" ht="28.2" customHeight="1">
      <c r="A207" s="11">
        <v>202</v>
      </c>
      <c r="B207" s="290">
        <v>202</v>
      </c>
      <c r="C207" s="129">
        <v>45828</v>
      </c>
      <c r="D207" s="10" t="s">
        <v>308</v>
      </c>
      <c r="E207" s="41" t="str">
        <f>IFERROR(VLOOKUP($D207,임시동력입.출고현황!$A:$G,E$5,0),)</f>
        <v>Panel</v>
      </c>
      <c r="F207" s="19" t="str">
        <f>IFERROR(VLOOKUP($D207,임시동력입.출고현황!$A:$G,F$5,0),)</f>
        <v>Electrical Panel</v>
      </c>
      <c r="G207" s="19">
        <f>IFERROR(VLOOKUP($D207,임시동력입.출고현황!$A:$G,G$5,0),)</f>
        <v>0</v>
      </c>
      <c r="H207" s="19" t="str">
        <f>IFERROR(VLOOKUP($D207,임시동력입.출고현황!$A:$G,H$5,0),)</f>
        <v>125A</v>
      </c>
      <c r="I207" s="10" t="str">
        <f>IFERROR(VLOOKUP($D207,임시동력입.출고현황!$A:$G,I$5,0),)</f>
        <v>EA</v>
      </c>
      <c r="J207" s="10"/>
      <c r="K207" s="95"/>
      <c r="L207" s="57">
        <v>1</v>
      </c>
      <c r="M207" s="81" t="s">
        <v>373</v>
      </c>
      <c r="N207" s="134"/>
    </row>
    <row r="208" spans="1:14" s="131" customFormat="1" ht="28.2" customHeight="1">
      <c r="A208" s="11">
        <v>203</v>
      </c>
      <c r="B208" s="290">
        <v>203</v>
      </c>
      <c r="C208" s="129">
        <v>45828</v>
      </c>
      <c r="D208" s="10" t="s">
        <v>310</v>
      </c>
      <c r="E208" s="41" t="str">
        <f>IFERROR(VLOOKUP($D208,임시동력입.출고현황!$A:$G,E$5,0),)</f>
        <v>Panel</v>
      </c>
      <c r="F208" s="19" t="str">
        <f>IFERROR(VLOOKUP($D208,임시동력입.출고현황!$A:$G,F$5,0),)</f>
        <v>Electrical Panel</v>
      </c>
      <c r="G208" s="19">
        <f>IFERROR(VLOOKUP($D208,임시동력입.출고현황!$A:$G,G$5,0),)</f>
        <v>0</v>
      </c>
      <c r="H208" s="19" t="str">
        <f>IFERROR(VLOOKUP($D208,임시동력입.출고현황!$A:$G,H$5,0),)</f>
        <v>100A</v>
      </c>
      <c r="I208" s="10" t="str">
        <f>IFERROR(VLOOKUP($D208,임시동력입.출고현황!$A:$G,I$5,0),)</f>
        <v>EA</v>
      </c>
      <c r="J208" s="10"/>
      <c r="K208" s="95"/>
      <c r="L208" s="57">
        <v>1</v>
      </c>
      <c r="M208" s="81" t="s">
        <v>373</v>
      </c>
      <c r="N208" s="134"/>
    </row>
    <row r="209" spans="1:16" s="131" customFormat="1" ht="28.2" customHeight="1">
      <c r="A209" s="11">
        <v>204</v>
      </c>
      <c r="B209" s="290">
        <v>204</v>
      </c>
      <c r="C209" s="129">
        <v>45830</v>
      </c>
      <c r="D209" s="10" t="s">
        <v>306</v>
      </c>
      <c r="E209" s="41" t="str">
        <f>IFERROR(VLOOKUP($D209,임시동력입.출고현황!$A:$G,E$5,0),)</f>
        <v>Panel</v>
      </c>
      <c r="F209" s="19" t="str">
        <f>IFERROR(VLOOKUP($D209,임시동력입.출고현황!$A:$G,F$5,0),)</f>
        <v>Electrical Panel</v>
      </c>
      <c r="G209" s="19">
        <f>IFERROR(VLOOKUP($D209,임시동력입.출고현황!$A:$G,G$5,0),)</f>
        <v>0</v>
      </c>
      <c r="H209" s="19" t="str">
        <f>IFERROR(VLOOKUP($D209,임시동력입.출고현황!$A:$G,H$5,0),)</f>
        <v>250A</v>
      </c>
      <c r="I209" s="10" t="str">
        <f>IFERROR(VLOOKUP($D209,임시동력입.출고현황!$A:$G,I$5,0),)</f>
        <v>EA</v>
      </c>
      <c r="J209" s="10"/>
      <c r="K209" s="95"/>
      <c r="L209" s="57">
        <v>1</v>
      </c>
      <c r="M209" s="81" t="s">
        <v>248</v>
      </c>
      <c r="N209" s="134"/>
    </row>
    <row r="210" spans="1:16" s="131" customFormat="1" ht="28.2" customHeight="1">
      <c r="A210" s="11">
        <v>205</v>
      </c>
      <c r="B210" s="290">
        <v>205</v>
      </c>
      <c r="C210" s="129">
        <v>45830</v>
      </c>
      <c r="D210" s="10" t="s">
        <v>307</v>
      </c>
      <c r="E210" s="41" t="str">
        <f>IFERROR(VLOOKUP($D210,임시동력입.출고현황!$A:$G,E$5,0),)</f>
        <v>Panel</v>
      </c>
      <c r="F210" s="19" t="str">
        <f>IFERROR(VLOOKUP($D210,임시동력입.출고현황!$A:$G,F$5,0),)</f>
        <v>Electrical Panel</v>
      </c>
      <c r="G210" s="19">
        <f>IFERROR(VLOOKUP($D210,임시동력입.출고현황!$A:$G,G$5,0),)</f>
        <v>0</v>
      </c>
      <c r="H210" s="19" t="str">
        <f>IFERROR(VLOOKUP($D210,임시동력입.출고현황!$A:$G,H$5,0),)</f>
        <v>160A</v>
      </c>
      <c r="I210" s="10" t="str">
        <f>IFERROR(VLOOKUP($D210,임시동력입.출고현황!$A:$G,I$5,0),)</f>
        <v>EA</v>
      </c>
      <c r="J210" s="10"/>
      <c r="K210" s="95"/>
      <c r="L210" s="57">
        <v>1</v>
      </c>
      <c r="M210" s="81" t="s">
        <v>248</v>
      </c>
      <c r="N210" s="134"/>
    </row>
    <row r="211" spans="1:16" s="131" customFormat="1" ht="28.2" customHeight="1">
      <c r="A211" s="11">
        <v>206</v>
      </c>
      <c r="B211" s="290">
        <v>206</v>
      </c>
      <c r="C211" s="129">
        <v>45830</v>
      </c>
      <c r="D211" s="10" t="s">
        <v>308</v>
      </c>
      <c r="E211" s="41" t="str">
        <f>IFERROR(VLOOKUP($D211,임시동력입.출고현황!$A:$G,E$5,0),)</f>
        <v>Panel</v>
      </c>
      <c r="F211" s="19" t="str">
        <f>IFERROR(VLOOKUP($D211,임시동력입.출고현황!$A:$G,F$5,0),)</f>
        <v>Electrical Panel</v>
      </c>
      <c r="G211" s="19">
        <f>IFERROR(VLOOKUP($D211,임시동력입.출고현황!$A:$G,G$5,0),)</f>
        <v>0</v>
      </c>
      <c r="H211" s="19" t="str">
        <f>IFERROR(VLOOKUP($D211,임시동력입.출고현황!$A:$G,H$5,0),)</f>
        <v>125A</v>
      </c>
      <c r="I211" s="10" t="str">
        <f>IFERROR(VLOOKUP($D211,임시동력입.출고현황!$A:$G,I$5,0),)</f>
        <v>EA</v>
      </c>
      <c r="J211" s="10"/>
      <c r="K211" s="95"/>
      <c r="L211" s="57">
        <v>1</v>
      </c>
      <c r="M211" s="81" t="s">
        <v>248</v>
      </c>
      <c r="N211" s="134"/>
      <c r="P211" s="131" t="s">
        <v>451</v>
      </c>
    </row>
    <row r="212" spans="1:16" s="131" customFormat="1" ht="28.2" customHeight="1">
      <c r="A212" s="11">
        <v>207</v>
      </c>
      <c r="B212" s="290">
        <v>207</v>
      </c>
      <c r="C212" s="129">
        <v>45830</v>
      </c>
      <c r="D212" s="10" t="s">
        <v>319</v>
      </c>
      <c r="E212" s="41" t="str">
        <f>IFERROR(VLOOKUP($D212,임시동력입.출고현황!$A:$G,E$5,0),)</f>
        <v>Cable</v>
      </c>
      <c r="F212" s="19" t="str">
        <f>IFERROR(VLOOKUP($D212,임시동력입.출고현황!$A:$G,F$5,0),)</f>
        <v>AL Cable</v>
      </c>
      <c r="G212" s="19">
        <f>IFERROR(VLOOKUP($D212,임시동력입.출고현황!$A:$G,G$5,0),)</f>
        <v>0</v>
      </c>
      <c r="H212" s="19" t="str">
        <f>IFERROR(VLOOKUP($D212,임시동력입.출고현황!$A:$G,H$5,0),)</f>
        <v>3C x 120+70mm2 [ALU]</v>
      </c>
      <c r="I212" s="10" t="str">
        <f>IFERROR(VLOOKUP($D212,임시동력입.출고현황!$A:$G,I$5,0),)</f>
        <v>M</v>
      </c>
      <c r="J212" s="10"/>
      <c r="K212" s="95"/>
      <c r="L212" s="57">
        <v>60</v>
      </c>
      <c r="M212" s="81" t="s">
        <v>248</v>
      </c>
      <c r="N212" s="134"/>
    </row>
    <row r="213" spans="1:16" s="131" customFormat="1" ht="28.2" customHeight="1">
      <c r="A213" s="11">
        <v>208</v>
      </c>
      <c r="B213" s="290">
        <v>208</v>
      </c>
      <c r="C213" s="129">
        <v>45830</v>
      </c>
      <c r="D213" s="10" t="s">
        <v>329</v>
      </c>
      <c r="E213" s="41" t="str">
        <f>IFERROR(VLOOKUP($D213,임시동력입.출고현황!$A:$G,E$5,0),)</f>
        <v>Cable</v>
      </c>
      <c r="F213" s="19" t="str">
        <f>IFERROR(VLOOKUP($D213,임시동력입.출고현황!$A:$G,F$5,0),)</f>
        <v>CV Cable</v>
      </c>
      <c r="G213" s="19">
        <f>IFERROR(VLOOKUP($D213,임시동력입.출고현황!$A:$G,G$5,0),)</f>
        <v>0</v>
      </c>
      <c r="H213" s="19" t="str">
        <f>IFERROR(VLOOKUP($D213,임시동력입.출고현황!$A:$G,H$5,0),)</f>
        <v>4C x 16mm2</v>
      </c>
      <c r="I213" s="10" t="str">
        <f>IFERROR(VLOOKUP($D213,임시동력입.출고현황!$A:$G,I$5,0),)</f>
        <v>M</v>
      </c>
      <c r="J213" s="10"/>
      <c r="K213" s="95"/>
      <c r="L213" s="57">
        <v>55</v>
      </c>
      <c r="M213" s="81" t="s">
        <v>248</v>
      </c>
      <c r="N213" s="134"/>
    </row>
    <row r="214" spans="1:16" s="131" customFormat="1" ht="28.2" customHeight="1">
      <c r="A214" s="11">
        <v>209</v>
      </c>
      <c r="B214" s="290">
        <v>209</v>
      </c>
      <c r="C214" s="129">
        <v>45832</v>
      </c>
      <c r="D214" s="10" t="s">
        <v>322</v>
      </c>
      <c r="E214" s="41" t="str">
        <f>IFERROR(VLOOKUP($D214,임시동력입.출고현황!$A:$G,E$5,0),)</f>
        <v>Cable</v>
      </c>
      <c r="F214" s="19" t="str">
        <f>IFERROR(VLOOKUP($D214,임시동력입.출고현황!$A:$G,F$5,0),)</f>
        <v>AL Cable</v>
      </c>
      <c r="G214" s="19">
        <f>IFERROR(VLOOKUP($D214,임시동력입.출고현황!$A:$G,G$5,0),)</f>
        <v>0</v>
      </c>
      <c r="H214" s="19" t="str">
        <f>IFERROR(VLOOKUP($D214,임시동력입.출고현황!$A:$G,H$5,0),)</f>
        <v>3C x 50+25mm2 [ALU]</v>
      </c>
      <c r="I214" s="10" t="str">
        <f>IFERROR(VLOOKUP($D214,임시동력입.출고현황!$A:$G,I$5,0),)</f>
        <v>M</v>
      </c>
      <c r="J214" s="10"/>
      <c r="K214" s="95"/>
      <c r="L214" s="57">
        <v>30</v>
      </c>
      <c r="M214" s="81" t="s">
        <v>248</v>
      </c>
      <c r="N214" s="134"/>
    </row>
    <row r="215" spans="1:16" s="131" customFormat="1" ht="28.2" customHeight="1">
      <c r="A215" s="11">
        <v>210</v>
      </c>
      <c r="B215" s="290">
        <v>210</v>
      </c>
      <c r="C215" s="129">
        <v>45838</v>
      </c>
      <c r="D215" s="10" t="s">
        <v>311</v>
      </c>
      <c r="E215" s="41" t="str">
        <f>IFERROR(VLOOKUP($D215,임시동력입.출고현황!$A:$G,E$5,0),)</f>
        <v>Panel</v>
      </c>
      <c r="F215" s="19" t="str">
        <f>IFERROR(VLOOKUP($D215,임시동력입.출고현황!$A:$G,F$5,0),)</f>
        <v>Electrical Panel</v>
      </c>
      <c r="G215" s="19">
        <f>IFERROR(VLOOKUP($D215,임시동력입.출고현황!$A:$G,G$5,0),)</f>
        <v>0</v>
      </c>
      <c r="H215" s="19" t="str">
        <f>IFERROR(VLOOKUP($D215,임시동력입.출고현황!$A:$G,H$5,0),)</f>
        <v>50A</v>
      </c>
      <c r="I215" s="10" t="str">
        <f>IFERROR(VLOOKUP($D215,임시동력입.출고현황!$A:$G,I$5,0),)</f>
        <v>EA</v>
      </c>
      <c r="J215" s="10"/>
      <c r="K215" s="95"/>
      <c r="L215" s="57">
        <v>1</v>
      </c>
      <c r="M215" s="81" t="s">
        <v>248</v>
      </c>
      <c r="N215" s="134"/>
    </row>
    <row r="216" spans="1:16" s="131" customFormat="1" ht="28.2" customHeight="1">
      <c r="A216" s="11">
        <v>211</v>
      </c>
      <c r="B216" s="290">
        <v>211</v>
      </c>
      <c r="C216" s="129">
        <v>45838</v>
      </c>
      <c r="D216" s="10" t="s">
        <v>347</v>
      </c>
      <c r="E216" s="41" t="str">
        <f>IFERROR(VLOOKUP($D216,임시동력입.출고현황!$A:$G,E$5,0),)</f>
        <v>LTG</v>
      </c>
      <c r="F216" s="19" t="str">
        <f>IFERROR(VLOOKUP($D216,임시동력입.출고현황!$A:$G,F$5,0),)</f>
        <v>Lighting Fixture</v>
      </c>
      <c r="G216" s="19">
        <f>IFERROR(VLOOKUP($D216,임시동력입.출고현황!$A:$G,G$5,0),)</f>
        <v>0</v>
      </c>
      <c r="H216" s="19" t="str">
        <f>IFERROR(VLOOKUP($D216,임시동력입.출고현황!$A:$G,H$5,0),)</f>
        <v>200W</v>
      </c>
      <c r="I216" s="10" t="str">
        <f>IFERROR(VLOOKUP($D216,임시동력입.출고현황!$A:$G,I$5,0),)</f>
        <v>EA</v>
      </c>
      <c r="J216" s="10"/>
      <c r="K216" s="95"/>
      <c r="L216" s="57">
        <v>17</v>
      </c>
      <c r="M216" s="81" t="s">
        <v>248</v>
      </c>
      <c r="N216" s="134"/>
    </row>
    <row r="217" spans="1:16" s="131" customFormat="1" ht="28.2" customHeight="1">
      <c r="A217" s="11">
        <v>212</v>
      </c>
      <c r="B217" s="290">
        <v>212</v>
      </c>
      <c r="C217" s="129">
        <v>45838</v>
      </c>
      <c r="D217" s="10" t="s">
        <v>335</v>
      </c>
      <c r="E217" s="41" t="str">
        <f>IFERROR(VLOOKUP($D217,임시동력입.출고현황!$A:$G,E$5,0),)</f>
        <v>Cable</v>
      </c>
      <c r="F217" s="19" t="str">
        <f>IFERROR(VLOOKUP($D217,임시동력입.출고현황!$A:$G,F$5,0),)</f>
        <v>CV Cable</v>
      </c>
      <c r="G217" s="19">
        <f>IFERROR(VLOOKUP($D217,임시동력입.출고현황!$A:$G,G$5,0),)</f>
        <v>0</v>
      </c>
      <c r="H217" s="19" t="str">
        <f>IFERROR(VLOOKUP($D217,임시동력입.출고현황!$A:$G,H$5,0),)</f>
        <v>3C x 2.5mm2</v>
      </c>
      <c r="I217" s="10" t="str">
        <f>IFERROR(VLOOKUP($D217,임시동력입.출고현황!$A:$G,I$5,0),)</f>
        <v>M</v>
      </c>
      <c r="J217" s="10"/>
      <c r="K217" s="95"/>
      <c r="L217" s="57">
        <v>200</v>
      </c>
      <c r="M217" s="81" t="s">
        <v>248</v>
      </c>
      <c r="N217" s="134"/>
    </row>
    <row r="218" spans="1:16" s="131" customFormat="1" ht="28.2" customHeight="1">
      <c r="A218" s="11">
        <v>213</v>
      </c>
      <c r="B218" s="290">
        <v>213</v>
      </c>
      <c r="C218" s="129">
        <v>45838</v>
      </c>
      <c r="D218" s="10" t="s">
        <v>319</v>
      </c>
      <c r="E218" s="41" t="str">
        <f>IFERROR(VLOOKUP($D218,임시동력입.출고현황!$A:$G,E$5,0),)</f>
        <v>Cable</v>
      </c>
      <c r="F218" s="19" t="str">
        <f>IFERROR(VLOOKUP($D218,임시동력입.출고현황!$A:$G,F$5,0),)</f>
        <v>AL Cable</v>
      </c>
      <c r="G218" s="19">
        <f>IFERROR(VLOOKUP($D218,임시동력입.출고현황!$A:$G,G$5,0),)</f>
        <v>0</v>
      </c>
      <c r="H218" s="19" t="str">
        <f>IFERROR(VLOOKUP($D218,임시동력입.출고현황!$A:$G,H$5,0),)</f>
        <v>3C x 120+70mm2 [ALU]</v>
      </c>
      <c r="I218" s="10" t="str">
        <f>IFERROR(VLOOKUP($D218,임시동력입.출고현황!$A:$G,I$5,0),)</f>
        <v>M</v>
      </c>
      <c r="J218" s="10"/>
      <c r="K218" s="95"/>
      <c r="L218" s="57">
        <v>15</v>
      </c>
      <c r="M218" s="81" t="s">
        <v>248</v>
      </c>
      <c r="N218" s="134"/>
    </row>
    <row r="219" spans="1:16" s="131" customFormat="1" ht="28.2" customHeight="1">
      <c r="A219" s="11">
        <v>214</v>
      </c>
      <c r="B219" s="290">
        <v>214</v>
      </c>
      <c r="C219" s="129">
        <v>45839</v>
      </c>
      <c r="D219" s="10" t="s">
        <v>411</v>
      </c>
      <c r="E219" s="41" t="str">
        <f>IFERROR(VLOOKUP($D219,임시동력입.출고현황!$A:$G,E$5,0),)</f>
        <v>Cable</v>
      </c>
      <c r="F219" s="19" t="str">
        <f>IFERROR(VLOOKUP($D219,임시동력입.출고현황!$A:$G,F$5,0),)</f>
        <v>CV Cable</v>
      </c>
      <c r="G219" s="19">
        <f>IFERROR(VLOOKUP($D219,임시동력입.출고현황!$A:$G,G$5,0),)</f>
        <v>0</v>
      </c>
      <c r="H219" s="19" t="str">
        <f>IFERROR(VLOOKUP($D219,임시동력입.출고현황!$A:$G,H$5,0),)</f>
        <v>3C x 3mm2</v>
      </c>
      <c r="I219" s="10" t="str">
        <f>IFERROR(VLOOKUP($D219,임시동력입.출고현황!$A:$G,I$5,0),)</f>
        <v>M</v>
      </c>
      <c r="J219" s="10"/>
      <c r="K219" s="95"/>
      <c r="L219" s="57">
        <v>120</v>
      </c>
      <c r="M219" s="81" t="s">
        <v>248</v>
      </c>
      <c r="N219" s="134"/>
    </row>
    <row r="220" spans="1:16" s="131" customFormat="1" ht="28.2" customHeight="1">
      <c r="A220" s="11">
        <v>215</v>
      </c>
      <c r="B220" s="290">
        <v>215</v>
      </c>
      <c r="C220" s="129">
        <v>45839</v>
      </c>
      <c r="D220" s="10" t="s">
        <v>311</v>
      </c>
      <c r="E220" s="41" t="str">
        <f>IFERROR(VLOOKUP($D220,임시동력입.출고현황!$A:$G,E$5,0),)</f>
        <v>Panel</v>
      </c>
      <c r="F220" s="19" t="str">
        <f>IFERROR(VLOOKUP($D220,임시동력입.출고현황!$A:$G,F$5,0),)</f>
        <v>Electrical Panel</v>
      </c>
      <c r="G220" s="19">
        <f>IFERROR(VLOOKUP($D220,임시동력입.출고현황!$A:$G,G$5,0),)</f>
        <v>0</v>
      </c>
      <c r="H220" s="19" t="str">
        <f>IFERROR(VLOOKUP($D220,임시동력입.출고현황!$A:$G,H$5,0),)</f>
        <v>50A</v>
      </c>
      <c r="I220" s="10" t="str">
        <f>IFERROR(VLOOKUP($D220,임시동력입.출고현황!$A:$G,I$5,0),)</f>
        <v>EA</v>
      </c>
      <c r="J220" s="10"/>
      <c r="K220" s="95"/>
      <c r="L220" s="57">
        <v>1</v>
      </c>
      <c r="M220" s="81" t="s">
        <v>248</v>
      </c>
      <c r="N220" s="134"/>
    </row>
    <row r="221" spans="1:16" s="131" customFormat="1" ht="28.2" customHeight="1">
      <c r="A221" s="11">
        <v>216</v>
      </c>
      <c r="B221" s="290">
        <v>216</v>
      </c>
      <c r="C221" s="129">
        <v>45840</v>
      </c>
      <c r="D221" s="10" t="s">
        <v>411</v>
      </c>
      <c r="E221" s="41" t="str">
        <f>IFERROR(VLOOKUP($D221,임시동력입.출고현황!$A:$G,E$5,0),)</f>
        <v>Cable</v>
      </c>
      <c r="F221" s="19" t="str">
        <f>IFERROR(VLOOKUP($D221,임시동력입.출고현황!$A:$G,F$5,0),)</f>
        <v>CV Cable</v>
      </c>
      <c r="G221" s="19">
        <f>IFERROR(VLOOKUP($D221,임시동력입.출고현황!$A:$G,G$5,0),)</f>
        <v>0</v>
      </c>
      <c r="H221" s="19" t="str">
        <f>IFERROR(VLOOKUP($D221,임시동력입.출고현황!$A:$G,H$5,0),)</f>
        <v>3C x 3mm2</v>
      </c>
      <c r="I221" s="10" t="str">
        <f>IFERROR(VLOOKUP($D221,임시동력입.출고현황!$A:$G,I$5,0),)</f>
        <v>M</v>
      </c>
      <c r="J221" s="10"/>
      <c r="K221" s="95"/>
      <c r="L221" s="57">
        <v>25</v>
      </c>
      <c r="M221" s="81" t="s">
        <v>248</v>
      </c>
      <c r="N221" s="134"/>
    </row>
    <row r="222" spans="1:16" s="131" customFormat="1" ht="28.2" customHeight="1">
      <c r="A222" s="11">
        <v>217</v>
      </c>
      <c r="B222" s="290">
        <v>217</v>
      </c>
      <c r="C222" s="129">
        <v>45840</v>
      </c>
      <c r="D222" s="10" t="s">
        <v>331</v>
      </c>
      <c r="E222" s="41" t="str">
        <f>IFERROR(VLOOKUP($D222,임시동력입.출고현황!$A:$G,E$5,0),)</f>
        <v>Cable</v>
      </c>
      <c r="F222" s="19" t="str">
        <f>IFERROR(VLOOKUP($D222,임시동력입.출고현황!$A:$G,F$5,0),)</f>
        <v>CV Cable</v>
      </c>
      <c r="G222" s="19">
        <f>IFERROR(VLOOKUP($D222,임시동력입.출고현황!$A:$G,G$5,0),)</f>
        <v>0</v>
      </c>
      <c r="H222" s="19" t="str">
        <f>IFERROR(VLOOKUP($D222,임시동력입.출고현황!$A:$G,H$5,0),)</f>
        <v>4C x 6mm2</v>
      </c>
      <c r="I222" s="10" t="str">
        <f>IFERROR(VLOOKUP($D222,임시동력입.출고현황!$A:$G,I$5,0),)</f>
        <v>M</v>
      </c>
      <c r="J222" s="10"/>
      <c r="K222" s="95"/>
      <c r="L222" s="57">
        <v>60</v>
      </c>
      <c r="M222" s="81" t="s">
        <v>248</v>
      </c>
      <c r="N222" s="134"/>
    </row>
    <row r="223" spans="1:16" s="131" customFormat="1" ht="28.2" customHeight="1">
      <c r="A223" s="11">
        <v>218</v>
      </c>
      <c r="B223" s="290">
        <v>218</v>
      </c>
      <c r="C223" s="129">
        <v>45844</v>
      </c>
      <c r="D223" s="10" t="s">
        <v>329</v>
      </c>
      <c r="E223" s="41" t="str">
        <f>IFERROR(VLOOKUP($D223,임시동력입.출고현황!$A:$G,E$5,0),)</f>
        <v>Cable</v>
      </c>
      <c r="F223" s="19" t="str">
        <f>IFERROR(VLOOKUP($D223,임시동력입.출고현황!$A:$G,F$5,0),)</f>
        <v>CV Cable</v>
      </c>
      <c r="G223" s="19">
        <f>IFERROR(VLOOKUP($D223,임시동력입.출고현황!$A:$G,G$5,0),)</f>
        <v>0</v>
      </c>
      <c r="H223" s="19" t="str">
        <f>IFERROR(VLOOKUP($D223,임시동력입.출고현황!$A:$G,H$5,0),)</f>
        <v>4C x 16mm2</v>
      </c>
      <c r="I223" s="10" t="str">
        <f>IFERROR(VLOOKUP($D223,임시동력입.출고현황!$A:$G,I$5,0),)</f>
        <v>M</v>
      </c>
      <c r="J223" s="10"/>
      <c r="K223" s="95"/>
      <c r="L223" s="57">
        <v>60</v>
      </c>
      <c r="M223" s="81" t="s">
        <v>248</v>
      </c>
      <c r="N223" s="134"/>
    </row>
    <row r="224" spans="1:16" s="131" customFormat="1" ht="28.2" customHeight="1">
      <c r="A224" s="11">
        <v>219</v>
      </c>
      <c r="B224" s="290">
        <v>219</v>
      </c>
      <c r="C224" s="129">
        <v>45844</v>
      </c>
      <c r="D224" s="10" t="s">
        <v>307</v>
      </c>
      <c r="E224" s="41" t="str">
        <f>IFERROR(VLOOKUP($D224,임시동력입.출고현황!$A:$G,E$5,0),)</f>
        <v>Panel</v>
      </c>
      <c r="F224" s="19" t="str">
        <f>IFERROR(VLOOKUP($D224,임시동력입.출고현황!$A:$G,F$5,0),)</f>
        <v>Electrical Panel</v>
      </c>
      <c r="G224" s="19">
        <f>IFERROR(VLOOKUP($D224,임시동력입.출고현황!$A:$G,G$5,0),)</f>
        <v>0</v>
      </c>
      <c r="H224" s="19" t="str">
        <f>IFERROR(VLOOKUP($D224,임시동력입.출고현황!$A:$G,H$5,0),)</f>
        <v>160A</v>
      </c>
      <c r="I224" s="10" t="str">
        <f>IFERROR(VLOOKUP($D224,임시동력입.출고현황!$A:$G,I$5,0),)</f>
        <v>EA</v>
      </c>
      <c r="J224" s="10"/>
      <c r="K224" s="95"/>
      <c r="L224" s="57">
        <v>1</v>
      </c>
      <c r="M224" s="81" t="s">
        <v>248</v>
      </c>
      <c r="N224" s="134"/>
    </row>
    <row r="225" spans="1:14" s="131" customFormat="1" ht="28.2" customHeight="1">
      <c r="A225" s="11">
        <v>220</v>
      </c>
      <c r="B225" s="290">
        <v>220</v>
      </c>
      <c r="C225" s="129">
        <v>45845</v>
      </c>
      <c r="D225" s="10" t="s">
        <v>329</v>
      </c>
      <c r="E225" s="41" t="str">
        <f>IFERROR(VLOOKUP($D225,임시동력입.출고현황!$A:$G,E$5,0),)</f>
        <v>Cable</v>
      </c>
      <c r="F225" s="19" t="str">
        <f>IFERROR(VLOOKUP($D225,임시동력입.출고현황!$A:$G,F$5,0),)</f>
        <v>CV Cable</v>
      </c>
      <c r="G225" s="19">
        <f>IFERROR(VLOOKUP($D225,임시동력입.출고현황!$A:$G,G$5,0),)</f>
        <v>0</v>
      </c>
      <c r="H225" s="19" t="str">
        <f>IFERROR(VLOOKUP($D225,임시동력입.출고현황!$A:$G,H$5,0),)</f>
        <v>4C x 16mm2</v>
      </c>
      <c r="I225" s="10" t="str">
        <f>IFERROR(VLOOKUP($D225,임시동력입.출고현황!$A:$G,I$5,0),)</f>
        <v>M</v>
      </c>
      <c r="J225" s="10"/>
      <c r="K225" s="95"/>
      <c r="L225" s="57">
        <v>125</v>
      </c>
      <c r="M225" s="81" t="s">
        <v>248</v>
      </c>
      <c r="N225" s="134"/>
    </row>
    <row r="226" spans="1:14" s="131" customFormat="1" ht="28.2" customHeight="1">
      <c r="A226" s="11">
        <v>221</v>
      </c>
      <c r="B226" s="290">
        <v>221</v>
      </c>
      <c r="C226" s="129">
        <v>45845</v>
      </c>
      <c r="D226" s="10" t="s">
        <v>345</v>
      </c>
      <c r="E226" s="41" t="str">
        <f>IFERROR(VLOOKUP($D226,임시동력입.출고현황!$A:$G,E$5,0),)</f>
        <v>Cable</v>
      </c>
      <c r="F226" s="19" t="str">
        <f>IFERROR(VLOOKUP($D226,임시동력입.출고현황!$A:$G,F$5,0),)</f>
        <v>Grounding Cable</v>
      </c>
      <c r="G226" s="19">
        <f>IFERROR(VLOOKUP($D226,임시동력입.출고현황!$A:$G,G$5,0),)</f>
        <v>0</v>
      </c>
      <c r="H226" s="19" t="str">
        <f>IFERROR(VLOOKUP($D226,임시동력입.출고현황!$A:$G,H$5,0),)</f>
        <v>1C x 16mm2</v>
      </c>
      <c r="I226" s="10" t="str">
        <f>IFERROR(VLOOKUP($D226,임시동력입.출고현황!$A:$G,I$5,0),)</f>
        <v>M</v>
      </c>
      <c r="J226" s="10"/>
      <c r="K226" s="95"/>
      <c r="L226" s="57">
        <v>125</v>
      </c>
      <c r="M226" s="81" t="s">
        <v>248</v>
      </c>
      <c r="N226" s="134"/>
    </row>
    <row r="227" spans="1:14" s="131" customFormat="1" ht="28.2" customHeight="1">
      <c r="A227" s="11">
        <v>222</v>
      </c>
      <c r="B227" s="290">
        <v>222</v>
      </c>
      <c r="C227" s="129">
        <v>45846</v>
      </c>
      <c r="D227" s="10" t="s">
        <v>307</v>
      </c>
      <c r="E227" s="41" t="str">
        <f>IFERROR(VLOOKUP($D227,임시동력입.출고현황!$A:$G,E$5,0),)</f>
        <v>Panel</v>
      </c>
      <c r="F227" s="19" t="str">
        <f>IFERROR(VLOOKUP($D227,임시동력입.출고현황!$A:$G,F$5,0),)</f>
        <v>Electrical Panel</v>
      </c>
      <c r="G227" s="19">
        <f>IFERROR(VLOOKUP($D227,임시동력입.출고현황!$A:$G,G$5,0),)</f>
        <v>0</v>
      </c>
      <c r="H227" s="19" t="str">
        <f>IFERROR(VLOOKUP($D227,임시동력입.출고현황!$A:$G,H$5,0),)</f>
        <v>160A</v>
      </c>
      <c r="I227" s="10" t="str">
        <f>IFERROR(VLOOKUP($D227,임시동력입.출고현황!$A:$G,I$5,0),)</f>
        <v>EA</v>
      </c>
      <c r="J227" s="10"/>
      <c r="K227" s="95"/>
      <c r="L227" s="57">
        <v>1</v>
      </c>
      <c r="M227" s="81" t="s">
        <v>248</v>
      </c>
      <c r="N227" s="134"/>
    </row>
    <row r="228" spans="1:14" s="131" customFormat="1" ht="28.2" customHeight="1">
      <c r="A228" s="11">
        <v>223</v>
      </c>
      <c r="B228" s="290">
        <v>223</v>
      </c>
      <c r="C228" s="129">
        <v>45846</v>
      </c>
      <c r="D228" s="10" t="s">
        <v>329</v>
      </c>
      <c r="E228" s="41" t="str">
        <f>IFERROR(VLOOKUP($D228,임시동력입.출고현황!$A:$G,E$5,0),)</f>
        <v>Cable</v>
      </c>
      <c r="F228" s="19" t="str">
        <f>IFERROR(VLOOKUP($D228,임시동력입.출고현황!$A:$G,F$5,0),)</f>
        <v>CV Cable</v>
      </c>
      <c r="G228" s="19">
        <f>IFERROR(VLOOKUP($D228,임시동력입.출고현황!$A:$G,G$5,0),)</f>
        <v>0</v>
      </c>
      <c r="H228" s="19" t="str">
        <f>IFERROR(VLOOKUP($D228,임시동력입.출고현황!$A:$G,H$5,0),)</f>
        <v>4C x 16mm2</v>
      </c>
      <c r="I228" s="10" t="str">
        <f>IFERROR(VLOOKUP($D228,임시동력입.출고현황!$A:$G,I$5,0),)</f>
        <v>M</v>
      </c>
      <c r="J228" s="10"/>
      <c r="K228" s="95"/>
      <c r="L228" s="57">
        <v>70</v>
      </c>
      <c r="M228" s="81" t="s">
        <v>248</v>
      </c>
      <c r="N228" s="134"/>
    </row>
    <row r="229" spans="1:14" s="131" customFormat="1" ht="28.2" customHeight="1">
      <c r="A229" s="11">
        <v>224</v>
      </c>
      <c r="B229" s="290">
        <v>224</v>
      </c>
      <c r="C229" s="129">
        <v>45847</v>
      </c>
      <c r="D229" s="10" t="s">
        <v>341</v>
      </c>
      <c r="E229" s="41" t="str">
        <f>IFERROR(VLOOKUP($D229,임시동력입.출고현황!$A:$G,E$5,0),)</f>
        <v>LTG</v>
      </c>
      <c r="F229" s="19" t="str">
        <f>IFERROR(VLOOKUP($D229,임시동력입.출고현황!$A:$G,F$5,0),)</f>
        <v>Lighting Fixture</v>
      </c>
      <c r="G229" s="19">
        <f>IFERROR(VLOOKUP($D229,임시동력입.출고현황!$A:$G,G$5,0),)</f>
        <v>0</v>
      </c>
      <c r="H229" s="19" t="str">
        <f>IFERROR(VLOOKUP($D229,임시동력입.출고현황!$A:$G,H$5,0),)</f>
        <v>400W</v>
      </c>
      <c r="I229" s="10" t="str">
        <f>IFERROR(VLOOKUP($D229,임시동력입.출고현황!$A:$G,I$5,0),)</f>
        <v>EA</v>
      </c>
      <c r="J229" s="10"/>
      <c r="K229" s="95"/>
      <c r="L229" s="57">
        <v>4</v>
      </c>
      <c r="M229" s="81" t="s">
        <v>421</v>
      </c>
      <c r="N229" s="134"/>
    </row>
    <row r="230" spans="1:14" s="131" customFormat="1" ht="28.2" customHeight="1">
      <c r="A230" s="11">
        <v>225</v>
      </c>
      <c r="B230" s="290">
        <v>225</v>
      </c>
      <c r="C230" s="129">
        <v>45851</v>
      </c>
      <c r="D230" s="10" t="s">
        <v>341</v>
      </c>
      <c r="E230" s="41" t="str">
        <f>IFERROR(VLOOKUP($D230,임시동력입.출고현황!$A:$G,E$5,0),)</f>
        <v>LTG</v>
      </c>
      <c r="F230" s="19" t="str">
        <f>IFERROR(VLOOKUP($D230,임시동력입.출고현황!$A:$G,F$5,0),)</f>
        <v>Lighting Fixture</v>
      </c>
      <c r="G230" s="19">
        <f>IFERROR(VLOOKUP($D230,임시동력입.출고현황!$A:$G,G$5,0),)</f>
        <v>0</v>
      </c>
      <c r="H230" s="19" t="str">
        <f>IFERROR(VLOOKUP($D230,임시동력입.출고현황!$A:$G,H$5,0),)</f>
        <v>400W</v>
      </c>
      <c r="I230" s="10" t="str">
        <f>IFERROR(VLOOKUP($D230,임시동력입.출고현황!$A:$G,I$5,0),)</f>
        <v>EA</v>
      </c>
      <c r="J230" s="10"/>
      <c r="K230" s="95"/>
      <c r="L230" s="57">
        <v>1</v>
      </c>
      <c r="M230" s="81" t="s">
        <v>421</v>
      </c>
      <c r="N230" s="134"/>
    </row>
    <row r="231" spans="1:14" s="131" customFormat="1" ht="28.2" customHeight="1">
      <c r="A231" s="11">
        <v>226</v>
      </c>
      <c r="B231" s="290">
        <v>226</v>
      </c>
      <c r="C231" s="129">
        <v>45851</v>
      </c>
      <c r="D231" s="10" t="s">
        <v>347</v>
      </c>
      <c r="E231" s="41" t="str">
        <f>IFERROR(VLOOKUP($D231,임시동력입.출고현황!$A:$G,E$5,0),)</f>
        <v>LTG</v>
      </c>
      <c r="F231" s="19" t="str">
        <f>IFERROR(VLOOKUP($D231,임시동력입.출고현황!$A:$G,F$5,0),)</f>
        <v>Lighting Fixture</v>
      </c>
      <c r="G231" s="19">
        <f>IFERROR(VLOOKUP($D231,임시동력입.출고현황!$A:$G,G$5,0),)</f>
        <v>0</v>
      </c>
      <c r="H231" s="19" t="str">
        <f>IFERROR(VLOOKUP($D231,임시동력입.출고현황!$A:$G,H$5,0),)</f>
        <v>200W</v>
      </c>
      <c r="I231" s="10" t="str">
        <f>IFERROR(VLOOKUP($D231,임시동력입.출고현황!$A:$G,I$5,0),)</f>
        <v>EA</v>
      </c>
      <c r="J231" s="10"/>
      <c r="K231" s="95"/>
      <c r="L231" s="57">
        <v>2</v>
      </c>
      <c r="M231" s="81" t="s">
        <v>421</v>
      </c>
      <c r="N231" s="134"/>
    </row>
    <row r="232" spans="1:14" s="131" customFormat="1" ht="28.2" customHeight="1">
      <c r="A232" s="11">
        <v>227</v>
      </c>
      <c r="B232" s="290">
        <v>227</v>
      </c>
      <c r="C232" s="129">
        <v>45851</v>
      </c>
      <c r="D232" s="10" t="s">
        <v>322</v>
      </c>
      <c r="E232" s="41" t="str">
        <f>IFERROR(VLOOKUP($D232,임시동력입.출고현황!$A:$G,E$5,0),)</f>
        <v>Cable</v>
      </c>
      <c r="F232" s="19" t="str">
        <f>IFERROR(VLOOKUP($D232,임시동력입.출고현황!$A:$G,F$5,0),)</f>
        <v>AL Cable</v>
      </c>
      <c r="G232" s="19">
        <f>IFERROR(VLOOKUP($D232,임시동력입.출고현황!$A:$G,G$5,0),)</f>
        <v>0</v>
      </c>
      <c r="H232" s="19" t="str">
        <f>IFERROR(VLOOKUP($D232,임시동력입.출고현황!$A:$G,H$5,0),)</f>
        <v>3C x 50+25mm2 [ALU]</v>
      </c>
      <c r="I232" s="10" t="str">
        <f>IFERROR(VLOOKUP($D232,임시동력입.출고현황!$A:$G,I$5,0),)</f>
        <v>M</v>
      </c>
      <c r="J232" s="10"/>
      <c r="K232" s="95"/>
      <c r="L232" s="57">
        <v>35</v>
      </c>
      <c r="M232" s="81" t="s">
        <v>421</v>
      </c>
      <c r="N232" s="134"/>
    </row>
    <row r="233" spans="1:14" s="131" customFormat="1" ht="28.2" customHeight="1">
      <c r="A233" s="11">
        <v>228</v>
      </c>
      <c r="B233" s="290">
        <v>228</v>
      </c>
      <c r="C233" s="129">
        <v>45854</v>
      </c>
      <c r="D233" s="10" t="s">
        <v>307</v>
      </c>
      <c r="E233" s="41" t="str">
        <f>IFERROR(VLOOKUP($D233,임시동력입.출고현황!$A:$G,E$5,0),)</f>
        <v>Panel</v>
      </c>
      <c r="F233" s="19" t="str">
        <f>IFERROR(VLOOKUP($D233,임시동력입.출고현황!$A:$G,F$5,0),)</f>
        <v>Electrical Panel</v>
      </c>
      <c r="G233" s="19">
        <f>IFERROR(VLOOKUP($D233,임시동력입.출고현황!$A:$G,G$5,0),)</f>
        <v>0</v>
      </c>
      <c r="H233" s="19" t="str">
        <f>IFERROR(VLOOKUP($D233,임시동력입.출고현황!$A:$G,H$5,0),)</f>
        <v>160A</v>
      </c>
      <c r="I233" s="10" t="str">
        <f>IFERROR(VLOOKUP($D233,임시동력입.출고현황!$A:$G,I$5,0),)</f>
        <v>EA</v>
      </c>
      <c r="J233" s="10"/>
      <c r="K233" s="95"/>
      <c r="L233" s="57">
        <v>3</v>
      </c>
      <c r="M233" s="81" t="s">
        <v>421</v>
      </c>
      <c r="N233" s="134"/>
    </row>
    <row r="234" spans="1:14" s="131" customFormat="1" ht="28.2" customHeight="1">
      <c r="A234" s="11">
        <v>229</v>
      </c>
      <c r="B234" s="290">
        <v>229</v>
      </c>
      <c r="C234" s="129">
        <v>45854</v>
      </c>
      <c r="D234" s="10" t="s">
        <v>306</v>
      </c>
      <c r="E234" s="41" t="str">
        <f>IFERROR(VLOOKUP($D234,임시동력입.출고현황!$A:$G,E$5,0),)</f>
        <v>Panel</v>
      </c>
      <c r="F234" s="19" t="str">
        <f>IFERROR(VLOOKUP($D234,임시동력입.출고현황!$A:$G,F$5,0),)</f>
        <v>Electrical Panel</v>
      </c>
      <c r="G234" s="19">
        <f>IFERROR(VLOOKUP($D234,임시동력입.출고현황!$A:$G,G$5,0),)</f>
        <v>0</v>
      </c>
      <c r="H234" s="19" t="str">
        <f>IFERROR(VLOOKUP($D234,임시동력입.출고현황!$A:$G,H$5,0),)</f>
        <v>250A</v>
      </c>
      <c r="I234" s="10" t="str">
        <f>IFERROR(VLOOKUP($D234,임시동력입.출고현황!$A:$G,I$5,0),)</f>
        <v>EA</v>
      </c>
      <c r="J234" s="10"/>
      <c r="K234" s="95"/>
      <c r="L234" s="57">
        <v>1</v>
      </c>
      <c r="M234" s="81" t="s">
        <v>421</v>
      </c>
      <c r="N234" s="134"/>
    </row>
    <row r="235" spans="1:14" s="131" customFormat="1" ht="28.2" customHeight="1">
      <c r="A235" s="11">
        <v>230</v>
      </c>
      <c r="B235" s="290">
        <v>230</v>
      </c>
      <c r="C235" s="129">
        <v>45854</v>
      </c>
      <c r="D235" s="10" t="s">
        <v>329</v>
      </c>
      <c r="E235" s="41" t="str">
        <f>IFERROR(VLOOKUP($D235,임시동력입.출고현황!$A:$G,E$5,0),)</f>
        <v>Cable</v>
      </c>
      <c r="F235" s="19" t="str">
        <f>IFERROR(VLOOKUP($D235,임시동력입.출고현황!$A:$G,F$5,0),)</f>
        <v>CV Cable</v>
      </c>
      <c r="G235" s="19">
        <f>IFERROR(VLOOKUP($D235,임시동력입.출고현황!$A:$G,G$5,0),)</f>
        <v>0</v>
      </c>
      <c r="H235" s="19" t="str">
        <f>IFERROR(VLOOKUP($D235,임시동력입.출고현황!$A:$G,H$5,0),)</f>
        <v>4C x 16mm2</v>
      </c>
      <c r="I235" s="10" t="str">
        <f>IFERROR(VLOOKUP($D235,임시동력입.출고현황!$A:$G,I$5,0),)</f>
        <v>M</v>
      </c>
      <c r="J235" s="10"/>
      <c r="K235" s="95"/>
      <c r="L235" s="57">
        <v>100</v>
      </c>
      <c r="M235" s="81" t="s">
        <v>421</v>
      </c>
      <c r="N235" s="134"/>
    </row>
    <row r="236" spans="1:14" s="131" customFormat="1" ht="28.2" customHeight="1">
      <c r="A236" s="11">
        <v>231</v>
      </c>
      <c r="B236" s="290">
        <v>231</v>
      </c>
      <c r="C236" s="129">
        <v>45854</v>
      </c>
      <c r="D236" s="10" t="s">
        <v>331</v>
      </c>
      <c r="E236" s="41" t="str">
        <f>IFERROR(VLOOKUP($D236,임시동력입.출고현황!$A:$G,E$5,0),)</f>
        <v>Cable</v>
      </c>
      <c r="F236" s="19" t="str">
        <f>IFERROR(VLOOKUP($D236,임시동력입.출고현황!$A:$G,F$5,0),)</f>
        <v>CV Cable</v>
      </c>
      <c r="G236" s="19">
        <f>IFERROR(VLOOKUP($D236,임시동력입.출고현황!$A:$G,G$5,0),)</f>
        <v>0</v>
      </c>
      <c r="H236" s="19" t="str">
        <f>IFERROR(VLOOKUP($D236,임시동력입.출고현황!$A:$G,H$5,0),)</f>
        <v>4C x 6mm2</v>
      </c>
      <c r="I236" s="10" t="str">
        <f>IFERROR(VLOOKUP($D236,임시동력입.출고현황!$A:$G,I$5,0),)</f>
        <v>M</v>
      </c>
      <c r="J236" s="10"/>
      <c r="K236" s="95"/>
      <c r="L236" s="57">
        <v>95</v>
      </c>
      <c r="M236" s="81" t="s">
        <v>421</v>
      </c>
      <c r="N236" s="134"/>
    </row>
    <row r="237" spans="1:14" s="131" customFormat="1" ht="28.2" customHeight="1">
      <c r="A237" s="11">
        <v>232</v>
      </c>
      <c r="B237" s="290">
        <v>232</v>
      </c>
      <c r="C237" s="129">
        <v>45854</v>
      </c>
      <c r="D237" s="10" t="s">
        <v>321</v>
      </c>
      <c r="E237" s="41" t="str">
        <f>IFERROR(VLOOKUP($D237,임시동력입.출고현황!$A:$G,E$5,0),)</f>
        <v>Cable</v>
      </c>
      <c r="F237" s="19" t="str">
        <f>IFERROR(VLOOKUP($D237,임시동력입.출고현황!$A:$G,F$5,0),)</f>
        <v>AL Cable</v>
      </c>
      <c r="G237" s="19">
        <f>IFERROR(VLOOKUP($D237,임시동력입.출고현황!$A:$G,G$5,0),)</f>
        <v>0</v>
      </c>
      <c r="H237" s="19" t="str">
        <f>IFERROR(VLOOKUP($D237,임시동력입.출고현황!$A:$G,H$5,0),)</f>
        <v>3C x 70+35mm2 [ALU]</v>
      </c>
      <c r="I237" s="10" t="str">
        <f>IFERROR(VLOOKUP($D237,임시동력입.출고현황!$A:$G,I$5,0),)</f>
        <v>M</v>
      </c>
      <c r="J237" s="10"/>
      <c r="K237" s="95"/>
      <c r="L237" s="57">
        <v>75</v>
      </c>
      <c r="M237" s="81" t="s">
        <v>421</v>
      </c>
      <c r="N237" s="134"/>
    </row>
    <row r="238" spans="1:14" s="131" customFormat="1" ht="28.2" customHeight="1">
      <c r="A238" s="11">
        <v>233</v>
      </c>
      <c r="B238" s="290">
        <v>233</v>
      </c>
      <c r="C238" s="129">
        <v>45855</v>
      </c>
      <c r="D238" s="10" t="s">
        <v>281</v>
      </c>
      <c r="E238" s="41" t="str">
        <f>IFERROR(VLOOKUP($D238,임시동력입.출고현황!$A:$G,E$5,0),)</f>
        <v>D/G</v>
      </c>
      <c r="F238" s="19" t="str">
        <f>IFERROR(VLOOKUP($D238,임시동력입.출고현황!$A:$G,F$5,0),)</f>
        <v>Generator</v>
      </c>
      <c r="G238" s="19">
        <f>IFERROR(VLOOKUP($D238,임시동력입.출고현황!$A:$G,G$5,0),)</f>
        <v>0</v>
      </c>
      <c r="H238" s="19" t="str">
        <f>IFERROR(VLOOKUP($D238,임시동력입.출고현황!$A:$G,H$5,0),)</f>
        <v>150KVA</v>
      </c>
      <c r="I238" s="10" t="str">
        <f>IFERROR(VLOOKUP($D238,임시동력입.출고현황!$A:$G,I$5,0),)</f>
        <v>대</v>
      </c>
      <c r="J238" s="10"/>
      <c r="K238" s="95"/>
      <c r="L238" s="57">
        <v>1</v>
      </c>
      <c r="M238" s="81" t="s">
        <v>422</v>
      </c>
      <c r="N238" s="134"/>
    </row>
    <row r="239" spans="1:14" s="131" customFormat="1" ht="28.2" customHeight="1">
      <c r="A239" s="11">
        <v>234</v>
      </c>
      <c r="B239" s="290">
        <v>234</v>
      </c>
      <c r="C239" s="129">
        <v>45858</v>
      </c>
      <c r="D239" s="10" t="s">
        <v>307</v>
      </c>
      <c r="E239" s="41" t="str">
        <f>IFERROR(VLOOKUP($D239,임시동력입.출고현황!$A:$G,E$5,0),)</f>
        <v>Panel</v>
      </c>
      <c r="F239" s="19" t="str">
        <f>IFERROR(VLOOKUP($D239,임시동력입.출고현황!$A:$G,F$5,0),)</f>
        <v>Electrical Panel</v>
      </c>
      <c r="G239" s="19">
        <f>IFERROR(VLOOKUP($D239,임시동력입.출고현황!$A:$G,G$5,0),)</f>
        <v>0</v>
      </c>
      <c r="H239" s="19" t="str">
        <f>IFERROR(VLOOKUP($D239,임시동력입.출고현황!$A:$G,H$5,0),)</f>
        <v>160A</v>
      </c>
      <c r="I239" s="10" t="str">
        <f>IFERROR(VLOOKUP($D239,임시동력입.출고현황!$A:$G,I$5,0),)</f>
        <v>EA</v>
      </c>
      <c r="J239" s="10"/>
      <c r="K239" s="95"/>
      <c r="L239" s="57">
        <v>1</v>
      </c>
      <c r="M239" s="81" t="s">
        <v>421</v>
      </c>
      <c r="N239" s="134"/>
    </row>
    <row r="240" spans="1:14" s="131" customFormat="1" ht="28.2" customHeight="1">
      <c r="A240" s="11">
        <v>235</v>
      </c>
      <c r="B240" s="290">
        <v>235</v>
      </c>
      <c r="C240" s="129">
        <v>45858</v>
      </c>
      <c r="D240" s="10" t="s">
        <v>329</v>
      </c>
      <c r="E240" s="41" t="str">
        <f>IFERROR(VLOOKUP($D240,임시동력입.출고현황!$A:$G,E$5,0),)</f>
        <v>Cable</v>
      </c>
      <c r="F240" s="19" t="str">
        <f>IFERROR(VLOOKUP($D240,임시동력입.출고현황!$A:$G,F$5,0),)</f>
        <v>CV Cable</v>
      </c>
      <c r="G240" s="19">
        <f>IFERROR(VLOOKUP($D240,임시동력입.출고현황!$A:$G,G$5,0),)</f>
        <v>0</v>
      </c>
      <c r="H240" s="19" t="str">
        <f>IFERROR(VLOOKUP($D240,임시동력입.출고현황!$A:$G,H$5,0),)</f>
        <v>4C x 16mm2</v>
      </c>
      <c r="I240" s="10" t="str">
        <f>IFERROR(VLOOKUP($D240,임시동력입.출고현황!$A:$G,I$5,0),)</f>
        <v>M</v>
      </c>
      <c r="J240" s="10"/>
      <c r="K240" s="95"/>
      <c r="L240" s="57">
        <v>79</v>
      </c>
      <c r="M240" s="81" t="s">
        <v>421</v>
      </c>
      <c r="N240" s="134"/>
    </row>
    <row r="241" spans="1:14" s="131" customFormat="1" ht="28.2" customHeight="1">
      <c r="A241" s="11">
        <v>236</v>
      </c>
      <c r="B241" s="290">
        <v>236</v>
      </c>
      <c r="C241" s="129">
        <v>45859</v>
      </c>
      <c r="D241" s="10" t="s">
        <v>329</v>
      </c>
      <c r="E241" s="41" t="str">
        <f>IFERROR(VLOOKUP($D241,임시동력입.출고현황!$A:$G,E$5,0),)</f>
        <v>Cable</v>
      </c>
      <c r="F241" s="19" t="str">
        <f>IFERROR(VLOOKUP($D241,임시동력입.출고현황!$A:$G,F$5,0),)</f>
        <v>CV Cable</v>
      </c>
      <c r="G241" s="19">
        <f>IFERROR(VLOOKUP($D241,임시동력입.출고현황!$A:$G,G$5,0),)</f>
        <v>0</v>
      </c>
      <c r="H241" s="19" t="str">
        <f>IFERROR(VLOOKUP($D241,임시동력입.출고현황!$A:$G,H$5,0),)</f>
        <v>4C x 16mm2</v>
      </c>
      <c r="I241" s="10" t="str">
        <f>IFERROR(VLOOKUP($D241,임시동력입.출고현황!$A:$G,I$5,0),)</f>
        <v>M</v>
      </c>
      <c r="J241" s="10"/>
      <c r="K241" s="95"/>
      <c r="L241" s="57">
        <v>100</v>
      </c>
      <c r="M241" s="81" t="s">
        <v>421</v>
      </c>
      <c r="N241" s="134"/>
    </row>
    <row r="242" spans="1:14" s="131" customFormat="1" ht="28.2" customHeight="1">
      <c r="A242" s="11">
        <v>237</v>
      </c>
      <c r="B242" s="290">
        <v>237</v>
      </c>
      <c r="C242" s="129">
        <v>45859</v>
      </c>
      <c r="D242" s="10" t="s">
        <v>307</v>
      </c>
      <c r="E242" s="41" t="str">
        <f>IFERROR(VLOOKUP($D242,임시동력입.출고현황!$A:$G,E$5,0),)</f>
        <v>Panel</v>
      </c>
      <c r="F242" s="19" t="str">
        <f>IFERROR(VLOOKUP($D242,임시동력입.출고현황!$A:$G,F$5,0),)</f>
        <v>Electrical Panel</v>
      </c>
      <c r="G242" s="19">
        <f>IFERROR(VLOOKUP($D242,임시동력입.출고현황!$A:$G,G$5,0),)</f>
        <v>0</v>
      </c>
      <c r="H242" s="19" t="str">
        <f>IFERROR(VLOOKUP($D242,임시동력입.출고현황!$A:$G,H$5,0),)</f>
        <v>160A</v>
      </c>
      <c r="I242" s="10" t="str">
        <f>IFERROR(VLOOKUP($D242,임시동력입.출고현황!$A:$G,I$5,0),)</f>
        <v>EA</v>
      </c>
      <c r="J242" s="10"/>
      <c r="K242" s="95"/>
      <c r="L242" s="57">
        <v>1</v>
      </c>
      <c r="M242" s="81" t="s">
        <v>421</v>
      </c>
      <c r="N242" s="134"/>
    </row>
    <row r="243" spans="1:14" s="131" customFormat="1" ht="28.2" customHeight="1">
      <c r="A243" s="11">
        <v>238</v>
      </c>
      <c r="B243" s="290">
        <v>238</v>
      </c>
      <c r="C243" s="129">
        <v>45859</v>
      </c>
      <c r="D243" s="10" t="s">
        <v>281</v>
      </c>
      <c r="E243" s="41" t="str">
        <f>IFERROR(VLOOKUP($D243,임시동력입.출고현황!$A:$G,E$5,0),)</f>
        <v>D/G</v>
      </c>
      <c r="F243" s="19" t="str">
        <f>IFERROR(VLOOKUP($D243,임시동력입.출고현황!$A:$G,F$5,0),)</f>
        <v>Generator</v>
      </c>
      <c r="G243" s="19">
        <f>IFERROR(VLOOKUP($D243,임시동력입.출고현황!$A:$G,G$5,0),)</f>
        <v>0</v>
      </c>
      <c r="H243" s="19" t="str">
        <f>IFERROR(VLOOKUP($D243,임시동력입.출고현황!$A:$G,H$5,0),)</f>
        <v>150KVA</v>
      </c>
      <c r="I243" s="10" t="str">
        <f>IFERROR(VLOOKUP($D243,임시동력입.출고현황!$A:$G,I$5,0),)</f>
        <v>대</v>
      </c>
      <c r="J243" s="10"/>
      <c r="K243" s="95"/>
      <c r="L243" s="57">
        <v>1</v>
      </c>
      <c r="M243" s="81" t="s">
        <v>372</v>
      </c>
      <c r="N243" s="134"/>
    </row>
    <row r="244" spans="1:14" s="131" customFormat="1" ht="28.2" customHeight="1">
      <c r="A244" s="11">
        <v>239</v>
      </c>
      <c r="B244" s="290">
        <v>239</v>
      </c>
      <c r="C244" s="129">
        <v>45860</v>
      </c>
      <c r="D244" s="10" t="s">
        <v>341</v>
      </c>
      <c r="E244" s="41" t="str">
        <f>IFERROR(VLOOKUP($D244,임시동력입.출고현황!$A:$G,E$5,0),)</f>
        <v>LTG</v>
      </c>
      <c r="F244" s="19" t="str">
        <f>IFERROR(VLOOKUP($D244,임시동력입.출고현황!$A:$G,F$5,0),)</f>
        <v>Lighting Fixture</v>
      </c>
      <c r="G244" s="19">
        <f>IFERROR(VLOOKUP($D244,임시동력입.출고현황!$A:$G,G$5,0),)</f>
        <v>0</v>
      </c>
      <c r="H244" s="19" t="str">
        <f>IFERROR(VLOOKUP($D244,임시동력입.출고현황!$A:$G,H$5,0),)</f>
        <v>400W</v>
      </c>
      <c r="I244" s="10" t="str">
        <f>IFERROR(VLOOKUP($D244,임시동력입.출고현황!$A:$G,I$5,0),)</f>
        <v>EA</v>
      </c>
      <c r="J244" s="10"/>
      <c r="K244" s="95"/>
      <c r="L244" s="57">
        <v>12</v>
      </c>
      <c r="M244" s="81" t="s">
        <v>421</v>
      </c>
      <c r="N244" s="134"/>
    </row>
    <row r="245" spans="1:14" s="131" customFormat="1" ht="28.2" customHeight="1">
      <c r="A245" s="11">
        <v>240</v>
      </c>
      <c r="B245" s="290">
        <v>240</v>
      </c>
      <c r="C245" s="129">
        <v>45860</v>
      </c>
      <c r="D245" s="10" t="s">
        <v>347</v>
      </c>
      <c r="E245" s="41" t="str">
        <f>IFERROR(VLOOKUP($D245,임시동력입.출고현황!$A:$G,E$5,0),)</f>
        <v>LTG</v>
      </c>
      <c r="F245" s="19" t="str">
        <f>IFERROR(VLOOKUP($D245,임시동력입.출고현황!$A:$G,F$5,0),)</f>
        <v>Lighting Fixture</v>
      </c>
      <c r="G245" s="19">
        <f>IFERROR(VLOOKUP($D245,임시동력입.출고현황!$A:$G,G$5,0),)</f>
        <v>0</v>
      </c>
      <c r="H245" s="19" t="str">
        <f>IFERROR(VLOOKUP($D245,임시동력입.출고현황!$A:$G,H$5,0),)</f>
        <v>200W</v>
      </c>
      <c r="I245" s="10" t="str">
        <f>IFERROR(VLOOKUP($D245,임시동력입.출고현황!$A:$G,I$5,0),)</f>
        <v>EA</v>
      </c>
      <c r="J245" s="10"/>
      <c r="K245" s="95"/>
      <c r="L245" s="57">
        <v>10</v>
      </c>
      <c r="M245" s="81" t="s">
        <v>421</v>
      </c>
      <c r="N245" s="134"/>
    </row>
    <row r="246" spans="1:14" s="131" customFormat="1" ht="28.2" customHeight="1">
      <c r="A246" s="11">
        <v>241</v>
      </c>
      <c r="B246" s="290">
        <v>241</v>
      </c>
      <c r="C246" s="129">
        <v>45862</v>
      </c>
      <c r="D246" s="10" t="s">
        <v>335</v>
      </c>
      <c r="E246" s="41" t="str">
        <f>IFERROR(VLOOKUP($D246,임시동력입.출고현황!$A:$G,E$5,0),)</f>
        <v>Cable</v>
      </c>
      <c r="F246" s="19" t="str">
        <f>IFERROR(VLOOKUP($D246,임시동력입.출고현황!$A:$G,F$5,0),)</f>
        <v>CV Cable</v>
      </c>
      <c r="G246" s="19">
        <f>IFERROR(VLOOKUP($D246,임시동력입.출고현황!$A:$G,G$5,0),)</f>
        <v>0</v>
      </c>
      <c r="H246" s="19" t="str">
        <f>IFERROR(VLOOKUP($D246,임시동력입.출고현황!$A:$G,H$5,0),)</f>
        <v>3C x 2.5mm2</v>
      </c>
      <c r="I246" s="10" t="str">
        <f>IFERROR(VLOOKUP($D246,임시동력입.출고현황!$A:$G,I$5,0),)</f>
        <v>M</v>
      </c>
      <c r="J246" s="10"/>
      <c r="K246" s="95"/>
      <c r="L246" s="57">
        <v>100</v>
      </c>
      <c r="M246" s="81" t="s">
        <v>421</v>
      </c>
      <c r="N246" s="134"/>
    </row>
    <row r="247" spans="1:14" s="131" customFormat="1" ht="28.2" customHeight="1">
      <c r="A247" s="11">
        <v>242</v>
      </c>
      <c r="B247" s="290">
        <v>242</v>
      </c>
      <c r="C247" s="129">
        <v>45862</v>
      </c>
      <c r="D247" s="10" t="s">
        <v>347</v>
      </c>
      <c r="E247" s="41" t="str">
        <f>IFERROR(VLOOKUP($D247,임시동력입.출고현황!$A:$G,E$5,0),)</f>
        <v>LTG</v>
      </c>
      <c r="F247" s="19" t="str">
        <f>IFERROR(VLOOKUP($D247,임시동력입.출고현황!$A:$G,F$5,0),)</f>
        <v>Lighting Fixture</v>
      </c>
      <c r="G247" s="19">
        <f>IFERROR(VLOOKUP($D247,임시동력입.출고현황!$A:$G,G$5,0),)</f>
        <v>0</v>
      </c>
      <c r="H247" s="19" t="str">
        <f>IFERROR(VLOOKUP($D247,임시동력입.출고현황!$A:$G,H$5,0),)</f>
        <v>200W</v>
      </c>
      <c r="I247" s="10" t="str">
        <f>IFERROR(VLOOKUP($D247,임시동력입.출고현황!$A:$G,I$5,0),)</f>
        <v>EA</v>
      </c>
      <c r="J247" s="10"/>
      <c r="K247" s="95"/>
      <c r="L247" s="57">
        <v>2</v>
      </c>
      <c r="M247" s="81" t="s">
        <v>421</v>
      </c>
      <c r="N247" s="134"/>
    </row>
    <row r="248" spans="1:14" s="131" customFormat="1" ht="28.2" customHeight="1">
      <c r="A248" s="11">
        <v>243</v>
      </c>
      <c r="B248" s="290">
        <v>243</v>
      </c>
      <c r="C248" s="129">
        <v>45862</v>
      </c>
      <c r="D248" s="10" t="s">
        <v>341</v>
      </c>
      <c r="E248" s="41" t="str">
        <f>IFERROR(VLOOKUP($D248,임시동력입.출고현황!$A:$G,E$5,0),)</f>
        <v>LTG</v>
      </c>
      <c r="F248" s="19" t="str">
        <f>IFERROR(VLOOKUP($D248,임시동력입.출고현황!$A:$G,F$5,0),)</f>
        <v>Lighting Fixture</v>
      </c>
      <c r="G248" s="19">
        <f>IFERROR(VLOOKUP($D248,임시동력입.출고현황!$A:$G,G$5,0),)</f>
        <v>0</v>
      </c>
      <c r="H248" s="19" t="str">
        <f>IFERROR(VLOOKUP($D248,임시동력입.출고현황!$A:$G,H$5,0),)</f>
        <v>400W</v>
      </c>
      <c r="I248" s="10" t="str">
        <f>IFERROR(VLOOKUP($D248,임시동력입.출고현황!$A:$G,I$5,0),)</f>
        <v>EA</v>
      </c>
      <c r="J248" s="10"/>
      <c r="K248" s="95"/>
      <c r="L248" s="57">
        <v>4</v>
      </c>
      <c r="M248" s="81" t="s">
        <v>421</v>
      </c>
      <c r="N248" s="134"/>
    </row>
    <row r="249" spans="1:14" s="131" customFormat="1" ht="28.2" customHeight="1">
      <c r="A249" s="11">
        <v>244</v>
      </c>
      <c r="B249" s="290">
        <v>244</v>
      </c>
      <c r="C249" s="129">
        <v>45866</v>
      </c>
      <c r="D249" s="10" t="s">
        <v>341</v>
      </c>
      <c r="E249" s="41" t="str">
        <f>IFERROR(VLOOKUP($D249,임시동력입.출고현황!$A:$G,E$5,0),)</f>
        <v>LTG</v>
      </c>
      <c r="F249" s="19" t="str">
        <f>IFERROR(VLOOKUP($D249,임시동력입.출고현황!$A:$G,F$5,0),)</f>
        <v>Lighting Fixture</v>
      </c>
      <c r="G249" s="19">
        <f>IFERROR(VLOOKUP($D249,임시동력입.출고현황!$A:$G,G$5,0),)</f>
        <v>0</v>
      </c>
      <c r="H249" s="19" t="str">
        <f>IFERROR(VLOOKUP($D249,임시동력입.출고현황!$A:$G,H$5,0),)</f>
        <v>400W</v>
      </c>
      <c r="I249" s="10" t="str">
        <f>IFERROR(VLOOKUP($D249,임시동력입.출고현황!$A:$G,I$5,0),)</f>
        <v>EA</v>
      </c>
      <c r="J249" s="10"/>
      <c r="K249" s="95"/>
      <c r="L249" s="57">
        <v>5</v>
      </c>
      <c r="M249" s="81" t="s">
        <v>421</v>
      </c>
      <c r="N249" s="134"/>
    </row>
    <row r="250" spans="1:14" s="131" customFormat="1" ht="28.2" customHeight="1">
      <c r="A250" s="11">
        <v>245</v>
      </c>
      <c r="B250" s="290">
        <v>245</v>
      </c>
      <c r="C250" s="129">
        <v>45867</v>
      </c>
      <c r="D250" s="10" t="s">
        <v>331</v>
      </c>
      <c r="E250" s="41" t="str">
        <f>IFERROR(VLOOKUP($D250,임시동력입.출고현황!$A:$G,E$5,0),)</f>
        <v>Cable</v>
      </c>
      <c r="F250" s="19" t="str">
        <f>IFERROR(VLOOKUP($D250,임시동력입.출고현황!$A:$G,F$5,0),)</f>
        <v>CV Cable</v>
      </c>
      <c r="G250" s="19">
        <f>IFERROR(VLOOKUP($D250,임시동력입.출고현황!$A:$G,G$5,0),)</f>
        <v>0</v>
      </c>
      <c r="H250" s="19" t="str">
        <f>IFERROR(VLOOKUP($D250,임시동력입.출고현황!$A:$G,H$5,0),)</f>
        <v>4C x 6mm2</v>
      </c>
      <c r="I250" s="10" t="str">
        <f>IFERROR(VLOOKUP($D250,임시동력입.출고현황!$A:$G,I$5,0),)</f>
        <v>M</v>
      </c>
      <c r="J250" s="10"/>
      <c r="K250" s="95"/>
      <c r="L250" s="57">
        <v>165</v>
      </c>
      <c r="M250" s="81" t="s">
        <v>421</v>
      </c>
      <c r="N250" s="134"/>
    </row>
    <row r="251" spans="1:14" s="131" customFormat="1" ht="28.2" customHeight="1">
      <c r="A251" s="11">
        <v>246</v>
      </c>
      <c r="B251" s="290">
        <v>246</v>
      </c>
      <c r="C251" s="129">
        <v>45867</v>
      </c>
      <c r="D251" s="10" t="s">
        <v>335</v>
      </c>
      <c r="E251" s="41" t="str">
        <f>IFERROR(VLOOKUP($D251,임시동력입.출고현황!$A:$G,E$5,0),)</f>
        <v>Cable</v>
      </c>
      <c r="F251" s="19" t="str">
        <f>IFERROR(VLOOKUP($D251,임시동력입.출고현황!$A:$G,F$5,0),)</f>
        <v>CV Cable</v>
      </c>
      <c r="G251" s="19">
        <f>IFERROR(VLOOKUP($D251,임시동력입.출고현황!$A:$G,G$5,0),)</f>
        <v>0</v>
      </c>
      <c r="H251" s="19" t="str">
        <f>IFERROR(VLOOKUP($D251,임시동력입.출고현황!$A:$G,H$5,0),)</f>
        <v>3C x 2.5mm2</v>
      </c>
      <c r="I251" s="10" t="str">
        <f>IFERROR(VLOOKUP($D251,임시동력입.출고현황!$A:$G,I$5,0),)</f>
        <v>M</v>
      </c>
      <c r="J251" s="10"/>
      <c r="K251" s="95"/>
      <c r="L251" s="57">
        <v>20</v>
      </c>
      <c r="M251" s="81" t="s">
        <v>421</v>
      </c>
      <c r="N251" s="134"/>
    </row>
    <row r="252" spans="1:14" s="131" customFormat="1" ht="28.2" customHeight="1">
      <c r="A252" s="11">
        <v>247</v>
      </c>
      <c r="B252" s="290">
        <v>247</v>
      </c>
      <c r="C252" s="129">
        <v>45868</v>
      </c>
      <c r="D252" s="10" t="s">
        <v>280</v>
      </c>
      <c r="E252" s="41" t="str">
        <f>IFERROR(VLOOKUP($D252,임시동력입.출고현황!$A:$G,E$5,0),)</f>
        <v>D/G</v>
      </c>
      <c r="F252" s="19" t="str">
        <f>IFERROR(VLOOKUP($D252,임시동력입.출고현황!$A:$G,F$5,0),)</f>
        <v>Generator</v>
      </c>
      <c r="G252" s="19">
        <f>IFERROR(VLOOKUP($D252,임시동력입.출고현황!$A:$G,G$5,0),)</f>
        <v>0</v>
      </c>
      <c r="H252" s="19" t="str">
        <f>IFERROR(VLOOKUP($D252,임시동력입.출고현황!$A:$G,H$5,0),)</f>
        <v>300KVA</v>
      </c>
      <c r="I252" s="10" t="str">
        <f>IFERROR(VLOOKUP($D252,임시동력입.출고현황!$A:$G,I$5,0),)</f>
        <v>대</v>
      </c>
      <c r="J252" s="10"/>
      <c r="K252" s="95"/>
      <c r="L252" s="57">
        <v>1</v>
      </c>
      <c r="M252" s="81" t="s">
        <v>372</v>
      </c>
      <c r="N252" s="134"/>
    </row>
    <row r="253" spans="1:14" s="131" customFormat="1" ht="28.2" customHeight="1">
      <c r="A253" s="11">
        <v>248</v>
      </c>
      <c r="B253" s="290">
        <v>248</v>
      </c>
      <c r="C253" s="129">
        <v>45872</v>
      </c>
      <c r="D253" s="10" t="s">
        <v>341</v>
      </c>
      <c r="E253" s="41" t="str">
        <f>IFERROR(VLOOKUP($D253,임시동력입.출고현황!$A:$G,E$5,0),)</f>
        <v>LTG</v>
      </c>
      <c r="F253" s="19" t="str">
        <f>IFERROR(VLOOKUP($D253,임시동력입.출고현황!$A:$G,F$5,0),)</f>
        <v>Lighting Fixture</v>
      </c>
      <c r="G253" s="19">
        <f>IFERROR(VLOOKUP($D253,임시동력입.출고현황!$A:$G,G$5,0),)</f>
        <v>0</v>
      </c>
      <c r="H253" s="19" t="str">
        <f>IFERROR(VLOOKUP($D253,임시동력입.출고현황!$A:$G,H$5,0),)</f>
        <v>400W</v>
      </c>
      <c r="I253" s="10" t="str">
        <f>IFERROR(VLOOKUP($D253,임시동력입.출고현황!$A:$G,I$5,0),)</f>
        <v>EA</v>
      </c>
      <c r="J253" s="10"/>
      <c r="K253" s="95"/>
      <c r="L253" s="57">
        <v>2</v>
      </c>
      <c r="M253" s="81" t="s">
        <v>421</v>
      </c>
      <c r="N253" s="134"/>
    </row>
    <row r="254" spans="1:14" s="131" customFormat="1" ht="28.2" customHeight="1">
      <c r="A254" s="11">
        <v>249</v>
      </c>
      <c r="B254" s="290">
        <v>249</v>
      </c>
      <c r="C254" s="129">
        <v>45872</v>
      </c>
      <c r="D254" s="10" t="s">
        <v>335</v>
      </c>
      <c r="E254" s="41" t="str">
        <f>IFERROR(VLOOKUP($D254,임시동력입.출고현황!$A:$G,E$5,0),)</f>
        <v>Cable</v>
      </c>
      <c r="F254" s="19" t="str">
        <f>IFERROR(VLOOKUP($D254,임시동력입.출고현황!$A:$G,F$5,0),)</f>
        <v>CV Cable</v>
      </c>
      <c r="G254" s="19">
        <f>IFERROR(VLOOKUP($D254,임시동력입.출고현황!$A:$G,G$5,0),)</f>
        <v>0</v>
      </c>
      <c r="H254" s="19" t="str">
        <f>IFERROR(VLOOKUP($D254,임시동력입.출고현황!$A:$G,H$5,0),)</f>
        <v>3C x 2.5mm2</v>
      </c>
      <c r="I254" s="10" t="str">
        <f>IFERROR(VLOOKUP($D254,임시동력입.출고현황!$A:$G,I$5,0),)</f>
        <v>M</v>
      </c>
      <c r="J254" s="10"/>
      <c r="K254" s="95"/>
      <c r="L254" s="57">
        <v>140</v>
      </c>
      <c r="M254" s="81" t="s">
        <v>421</v>
      </c>
      <c r="N254" s="134"/>
    </row>
    <row r="255" spans="1:14" s="131" customFormat="1" ht="28.2" customHeight="1">
      <c r="A255" s="11">
        <v>250</v>
      </c>
      <c r="B255" s="290">
        <v>250</v>
      </c>
      <c r="C255" s="129">
        <v>45873</v>
      </c>
      <c r="D255" s="10" t="s">
        <v>329</v>
      </c>
      <c r="E255" s="41" t="str">
        <f>IFERROR(VLOOKUP($D255,임시동력입.출고현황!$A:$G,E$5,0),)</f>
        <v>Cable</v>
      </c>
      <c r="F255" s="19" t="str">
        <f>IFERROR(VLOOKUP($D255,임시동력입.출고현황!$A:$G,F$5,0),)</f>
        <v>CV Cable</v>
      </c>
      <c r="G255" s="19">
        <f>IFERROR(VLOOKUP($D255,임시동력입.출고현황!$A:$G,G$5,0),)</f>
        <v>0</v>
      </c>
      <c r="H255" s="19" t="str">
        <f>IFERROR(VLOOKUP($D255,임시동력입.출고현황!$A:$G,H$5,0),)</f>
        <v>4C x 16mm2</v>
      </c>
      <c r="I255" s="10" t="str">
        <f>IFERROR(VLOOKUP($D255,임시동력입.출고현황!$A:$G,I$5,0),)</f>
        <v>M</v>
      </c>
      <c r="J255" s="10"/>
      <c r="K255" s="95"/>
      <c r="L255" s="57">
        <v>45</v>
      </c>
      <c r="M255" s="81" t="s">
        <v>421</v>
      </c>
      <c r="N255" s="134"/>
    </row>
    <row r="256" spans="1:14" s="131" customFormat="1" ht="28.2" customHeight="1">
      <c r="A256" s="11">
        <v>251</v>
      </c>
      <c r="B256" s="290">
        <v>251</v>
      </c>
      <c r="C256" s="129">
        <v>45873</v>
      </c>
      <c r="D256" s="10" t="s">
        <v>335</v>
      </c>
      <c r="E256" s="41" t="str">
        <f>IFERROR(VLOOKUP($D256,임시동력입.출고현황!$A:$G,E$5,0),)</f>
        <v>Cable</v>
      </c>
      <c r="F256" s="19" t="str">
        <f>IFERROR(VLOOKUP($D256,임시동력입.출고현황!$A:$G,F$5,0),)</f>
        <v>CV Cable</v>
      </c>
      <c r="G256" s="19">
        <f>IFERROR(VLOOKUP($D256,임시동력입.출고현황!$A:$G,G$5,0),)</f>
        <v>0</v>
      </c>
      <c r="H256" s="19" t="str">
        <f>IFERROR(VLOOKUP($D256,임시동력입.출고현황!$A:$G,H$5,0),)</f>
        <v>3C x 2.5mm2</v>
      </c>
      <c r="I256" s="10" t="str">
        <f>IFERROR(VLOOKUP($D256,임시동력입.출고현황!$A:$G,I$5,0),)</f>
        <v>M</v>
      </c>
      <c r="J256" s="10"/>
      <c r="K256" s="95"/>
      <c r="L256" s="57">
        <v>150</v>
      </c>
      <c r="M256" s="81" t="s">
        <v>421</v>
      </c>
      <c r="N256" s="134"/>
    </row>
    <row r="257" spans="1:14" s="131" customFormat="1" ht="28.2" customHeight="1">
      <c r="A257" s="11">
        <v>252</v>
      </c>
      <c r="B257" s="290">
        <v>252</v>
      </c>
      <c r="C257" s="129">
        <v>45873</v>
      </c>
      <c r="D257" s="10" t="s">
        <v>308</v>
      </c>
      <c r="E257" s="41" t="str">
        <f>IFERROR(VLOOKUP($D257,임시동력입.출고현황!$A:$G,E$5,0),)</f>
        <v>Panel</v>
      </c>
      <c r="F257" s="19" t="str">
        <f>IFERROR(VLOOKUP($D257,임시동력입.출고현황!$A:$G,F$5,0),)</f>
        <v>Electrical Panel</v>
      </c>
      <c r="G257" s="19">
        <f>IFERROR(VLOOKUP($D257,임시동력입.출고현황!$A:$G,G$5,0),)</f>
        <v>0</v>
      </c>
      <c r="H257" s="19" t="str">
        <f>IFERROR(VLOOKUP($D257,임시동력입.출고현황!$A:$G,H$5,0),)</f>
        <v>125A</v>
      </c>
      <c r="I257" s="10" t="str">
        <f>IFERROR(VLOOKUP($D257,임시동력입.출고현황!$A:$G,I$5,0),)</f>
        <v>EA</v>
      </c>
      <c r="J257" s="10"/>
      <c r="K257" s="95"/>
      <c r="L257" s="57">
        <v>1</v>
      </c>
      <c r="M257" s="81" t="s">
        <v>421</v>
      </c>
      <c r="N257" s="134"/>
    </row>
    <row r="258" spans="1:14" s="131" customFormat="1" ht="28.2" customHeight="1">
      <c r="A258" s="11">
        <v>253</v>
      </c>
      <c r="B258" s="290">
        <v>253</v>
      </c>
      <c r="C258" s="129">
        <v>45873</v>
      </c>
      <c r="D258" s="10" t="s">
        <v>345</v>
      </c>
      <c r="E258" s="41" t="str">
        <f>IFERROR(VLOOKUP($D258,임시동력입.출고현황!$A:$G,E$5,0),)</f>
        <v>Cable</v>
      </c>
      <c r="F258" s="19" t="str">
        <f>IFERROR(VLOOKUP($D258,임시동력입.출고현황!$A:$G,F$5,0),)</f>
        <v>Grounding Cable</v>
      </c>
      <c r="G258" s="19">
        <f>IFERROR(VLOOKUP($D258,임시동력입.출고현황!$A:$G,G$5,0),)</f>
        <v>0</v>
      </c>
      <c r="H258" s="19" t="str">
        <f>IFERROR(VLOOKUP($D258,임시동력입.출고현황!$A:$G,H$5,0),)</f>
        <v>1C x 16mm2</v>
      </c>
      <c r="I258" s="10" t="str">
        <f>IFERROR(VLOOKUP($D258,임시동력입.출고현황!$A:$G,I$5,0),)</f>
        <v>M</v>
      </c>
      <c r="J258" s="10"/>
      <c r="K258" s="95"/>
      <c r="L258" s="57">
        <v>10</v>
      </c>
      <c r="M258" s="81" t="s">
        <v>421</v>
      </c>
      <c r="N258" s="134"/>
    </row>
    <row r="259" spans="1:14" s="131" customFormat="1" ht="28.2" customHeight="1">
      <c r="A259" s="11">
        <v>254</v>
      </c>
      <c r="B259" s="290">
        <v>254</v>
      </c>
      <c r="C259" s="129">
        <v>45873</v>
      </c>
      <c r="D259" s="10" t="s">
        <v>341</v>
      </c>
      <c r="E259" s="41" t="str">
        <f>IFERROR(VLOOKUP($D259,임시동력입.출고현황!$A:$G,E$5,0),)</f>
        <v>LTG</v>
      </c>
      <c r="F259" s="19" t="str">
        <f>IFERROR(VLOOKUP($D259,임시동력입.출고현황!$A:$G,F$5,0),)</f>
        <v>Lighting Fixture</v>
      </c>
      <c r="G259" s="19">
        <f>IFERROR(VLOOKUP($D259,임시동력입.출고현황!$A:$G,G$5,0),)</f>
        <v>0</v>
      </c>
      <c r="H259" s="19" t="str">
        <f>IFERROR(VLOOKUP($D259,임시동력입.출고현황!$A:$G,H$5,0),)</f>
        <v>400W</v>
      </c>
      <c r="I259" s="10" t="str">
        <f>IFERROR(VLOOKUP($D259,임시동력입.출고현황!$A:$G,I$5,0),)</f>
        <v>EA</v>
      </c>
      <c r="J259" s="10"/>
      <c r="K259" s="95"/>
      <c r="L259" s="57">
        <v>6</v>
      </c>
      <c r="M259" s="81" t="s">
        <v>421</v>
      </c>
      <c r="N259" s="134"/>
    </row>
    <row r="260" spans="1:14" s="131" customFormat="1" ht="28.2" customHeight="1">
      <c r="A260" s="11">
        <v>255</v>
      </c>
      <c r="B260" s="290">
        <v>255</v>
      </c>
      <c r="C260" s="129">
        <v>45873</v>
      </c>
      <c r="D260" s="10" t="s">
        <v>347</v>
      </c>
      <c r="E260" s="41" t="str">
        <f>IFERROR(VLOOKUP($D260,임시동력입.출고현황!$A:$G,E$5,0),)</f>
        <v>LTG</v>
      </c>
      <c r="F260" s="19" t="str">
        <f>IFERROR(VLOOKUP($D260,임시동력입.출고현황!$A:$G,F$5,0),)</f>
        <v>Lighting Fixture</v>
      </c>
      <c r="G260" s="19">
        <f>IFERROR(VLOOKUP($D260,임시동력입.출고현황!$A:$G,G$5,0),)</f>
        <v>0</v>
      </c>
      <c r="H260" s="19" t="str">
        <f>IFERROR(VLOOKUP($D260,임시동력입.출고현황!$A:$G,H$5,0),)</f>
        <v>200W</v>
      </c>
      <c r="I260" s="10" t="str">
        <f>IFERROR(VLOOKUP($D260,임시동력입.출고현황!$A:$G,I$5,0),)</f>
        <v>EA</v>
      </c>
      <c r="J260" s="10"/>
      <c r="K260" s="95"/>
      <c r="L260" s="57">
        <v>6</v>
      </c>
      <c r="M260" s="81" t="s">
        <v>421</v>
      </c>
      <c r="N260" s="134"/>
    </row>
    <row r="261" spans="1:14" s="131" customFormat="1" ht="28.2" customHeight="1">
      <c r="A261" s="11">
        <v>256</v>
      </c>
      <c r="B261" s="290">
        <v>256</v>
      </c>
      <c r="C261" s="129">
        <v>45874</v>
      </c>
      <c r="D261" s="10" t="s">
        <v>333</v>
      </c>
      <c r="E261" s="41" t="str">
        <f>IFERROR(VLOOKUP($D261,임시동력입.출고현황!$A:$G,E$5,0),)</f>
        <v>Cable</v>
      </c>
      <c r="F261" s="19" t="str">
        <f>IFERROR(VLOOKUP($D261,임시동력입.출고현황!$A:$G,F$5,0),)</f>
        <v>CV Cable</v>
      </c>
      <c r="G261" s="19">
        <f>IFERROR(VLOOKUP($D261,임시동력입.출고현황!$A:$G,G$5,0),)</f>
        <v>0</v>
      </c>
      <c r="H261" s="19" t="str">
        <f>IFERROR(VLOOKUP($D261,임시동력입.출고현황!$A:$G,H$5,0),)</f>
        <v>3C x 6mm2</v>
      </c>
      <c r="I261" s="10" t="str">
        <f>IFERROR(VLOOKUP($D261,임시동력입.출고현황!$A:$G,I$5,0),)</f>
        <v>M</v>
      </c>
      <c r="J261" s="10"/>
      <c r="K261" s="95"/>
      <c r="L261" s="57">
        <v>85</v>
      </c>
      <c r="M261" s="81" t="s">
        <v>421</v>
      </c>
      <c r="N261" s="134"/>
    </row>
    <row r="262" spans="1:14" s="131" customFormat="1" ht="28.2" customHeight="1">
      <c r="A262" s="11">
        <v>257</v>
      </c>
      <c r="B262" s="290">
        <v>257</v>
      </c>
      <c r="C262" s="129">
        <v>45874</v>
      </c>
      <c r="D262" s="10" t="s">
        <v>341</v>
      </c>
      <c r="E262" s="41" t="str">
        <f>IFERROR(VLOOKUP($D262,임시동력입.출고현황!$A:$G,E$5,0),)</f>
        <v>LTG</v>
      </c>
      <c r="F262" s="19" t="str">
        <f>IFERROR(VLOOKUP($D262,임시동력입.출고현황!$A:$G,F$5,0),)</f>
        <v>Lighting Fixture</v>
      </c>
      <c r="G262" s="19">
        <f>IFERROR(VLOOKUP($D262,임시동력입.출고현황!$A:$G,G$5,0),)</f>
        <v>0</v>
      </c>
      <c r="H262" s="19" t="str">
        <f>IFERROR(VLOOKUP($D262,임시동력입.출고현황!$A:$G,H$5,0),)</f>
        <v>400W</v>
      </c>
      <c r="I262" s="10" t="str">
        <f>IFERROR(VLOOKUP($D262,임시동력입.출고현황!$A:$G,I$5,0),)</f>
        <v>EA</v>
      </c>
      <c r="J262" s="10"/>
      <c r="K262" s="95"/>
      <c r="L262" s="57">
        <v>4</v>
      </c>
      <c r="M262" s="81" t="s">
        <v>421</v>
      </c>
      <c r="N262" s="134"/>
    </row>
    <row r="263" spans="1:14" s="131" customFormat="1" ht="28.2" customHeight="1">
      <c r="A263" s="11">
        <v>258</v>
      </c>
      <c r="B263" s="290">
        <v>258</v>
      </c>
      <c r="C263" s="129">
        <v>45874</v>
      </c>
      <c r="D263" s="10" t="s">
        <v>347</v>
      </c>
      <c r="E263" s="41" t="str">
        <f>IFERROR(VLOOKUP($D263,임시동력입.출고현황!$A:$G,E$5,0),)</f>
        <v>LTG</v>
      </c>
      <c r="F263" s="19" t="str">
        <f>IFERROR(VLOOKUP($D263,임시동력입.출고현황!$A:$G,F$5,0),)</f>
        <v>Lighting Fixture</v>
      </c>
      <c r="G263" s="19">
        <f>IFERROR(VLOOKUP($D263,임시동력입.출고현황!$A:$G,G$5,0),)</f>
        <v>0</v>
      </c>
      <c r="H263" s="19" t="str">
        <f>IFERROR(VLOOKUP($D263,임시동력입.출고현황!$A:$G,H$5,0),)</f>
        <v>200W</v>
      </c>
      <c r="I263" s="10" t="str">
        <f>IFERROR(VLOOKUP($D263,임시동력입.출고현황!$A:$G,I$5,0),)</f>
        <v>EA</v>
      </c>
      <c r="J263" s="10"/>
      <c r="K263" s="95"/>
      <c r="L263" s="57">
        <v>4</v>
      </c>
      <c r="M263" s="81" t="s">
        <v>421</v>
      </c>
      <c r="N263" s="134"/>
    </row>
    <row r="264" spans="1:14" s="131" customFormat="1" ht="28.2" customHeight="1">
      <c r="A264" s="11">
        <v>259</v>
      </c>
      <c r="B264" s="290">
        <v>259</v>
      </c>
      <c r="C264" s="129">
        <v>45874</v>
      </c>
      <c r="D264" s="10" t="s">
        <v>345</v>
      </c>
      <c r="E264" s="41" t="str">
        <f>IFERROR(VLOOKUP($D264,임시동력입.출고현황!$A:$G,E$5,0),)</f>
        <v>Cable</v>
      </c>
      <c r="F264" s="19" t="str">
        <f>IFERROR(VLOOKUP($D264,임시동력입.출고현황!$A:$G,F$5,0),)</f>
        <v>Grounding Cable</v>
      </c>
      <c r="G264" s="19">
        <f>IFERROR(VLOOKUP($D264,임시동력입.출고현황!$A:$G,G$5,0),)</f>
        <v>0</v>
      </c>
      <c r="H264" s="19" t="str">
        <f>IFERROR(VLOOKUP($D264,임시동력입.출고현황!$A:$G,H$5,0),)</f>
        <v>1C x 16mm2</v>
      </c>
      <c r="I264" s="10" t="str">
        <f>IFERROR(VLOOKUP($D264,임시동력입.출고현황!$A:$G,I$5,0),)</f>
        <v>M</v>
      </c>
      <c r="J264" s="10"/>
      <c r="K264" s="95"/>
      <c r="L264" s="57">
        <v>15</v>
      </c>
      <c r="M264" s="81" t="s">
        <v>421</v>
      </c>
      <c r="N264" s="134"/>
    </row>
    <row r="265" spans="1:14" s="131" customFormat="1" ht="28.2" customHeight="1">
      <c r="A265" s="11">
        <v>260</v>
      </c>
      <c r="B265" s="290">
        <v>260</v>
      </c>
      <c r="C265" s="129">
        <v>45874</v>
      </c>
      <c r="D265" s="10" t="s">
        <v>335</v>
      </c>
      <c r="E265" s="41" t="str">
        <f>IFERROR(VLOOKUP($D265,임시동력입.출고현황!$A:$G,E$5,0),)</f>
        <v>Cable</v>
      </c>
      <c r="F265" s="19" t="str">
        <f>IFERROR(VLOOKUP($D265,임시동력입.출고현황!$A:$G,F$5,0),)</f>
        <v>CV Cable</v>
      </c>
      <c r="G265" s="19">
        <f>IFERROR(VLOOKUP($D265,임시동력입.출고현황!$A:$G,G$5,0),)</f>
        <v>0</v>
      </c>
      <c r="H265" s="19" t="str">
        <f>IFERROR(VLOOKUP($D265,임시동력입.출고현황!$A:$G,H$5,0),)</f>
        <v>3C x 2.5mm2</v>
      </c>
      <c r="I265" s="10" t="str">
        <f>IFERROR(VLOOKUP($D265,임시동력입.출고현황!$A:$G,I$5,0),)</f>
        <v>M</v>
      </c>
      <c r="J265" s="10"/>
      <c r="K265" s="95"/>
      <c r="L265" s="57">
        <v>100</v>
      </c>
      <c r="M265" s="81" t="s">
        <v>421</v>
      </c>
      <c r="N265" s="134"/>
    </row>
    <row r="266" spans="1:14" s="131" customFormat="1" ht="28.2" customHeight="1">
      <c r="A266" s="11">
        <v>261</v>
      </c>
      <c r="B266" s="290">
        <v>261</v>
      </c>
      <c r="C266" s="129"/>
      <c r="D266" s="10"/>
      <c r="E266" s="41"/>
      <c r="F266" s="19"/>
      <c r="G266" s="19"/>
      <c r="H266" s="19"/>
      <c r="I266" s="10"/>
      <c r="J266" s="10"/>
      <c r="K266" s="95"/>
      <c r="L266" s="57"/>
      <c r="M266" s="81"/>
      <c r="N266" s="134"/>
    </row>
    <row r="267" spans="1:14" s="131" customFormat="1" ht="28.2" customHeight="1">
      <c r="A267" s="11">
        <v>262</v>
      </c>
      <c r="B267" s="290">
        <v>262</v>
      </c>
      <c r="C267" s="129">
        <v>45876</v>
      </c>
      <c r="D267" s="10" t="s">
        <v>335</v>
      </c>
      <c r="E267" s="41" t="str">
        <f>IFERROR(VLOOKUP($D267,임시동력입.출고현황!$A:$G,E$5,0),)</f>
        <v>Cable</v>
      </c>
      <c r="F267" s="19" t="str">
        <f>IFERROR(VLOOKUP($D267,임시동력입.출고현황!$A:$G,F$5,0),)</f>
        <v>CV Cable</v>
      </c>
      <c r="G267" s="19">
        <f>IFERROR(VLOOKUP($D267,임시동력입.출고현황!$A:$G,G$5,0),)</f>
        <v>0</v>
      </c>
      <c r="H267" s="19" t="str">
        <f>IFERROR(VLOOKUP($D267,임시동력입.출고현황!$A:$G,H$5,0),)</f>
        <v>3C x 2.5mm2</v>
      </c>
      <c r="I267" s="10" t="str">
        <f>IFERROR(VLOOKUP($D267,임시동력입.출고현황!$A:$G,I$5,0),)</f>
        <v>M</v>
      </c>
      <c r="J267" s="10"/>
      <c r="K267" s="95"/>
      <c r="L267" s="57">
        <v>125</v>
      </c>
      <c r="M267" s="81" t="s">
        <v>421</v>
      </c>
      <c r="N267" s="134"/>
    </row>
    <row r="268" spans="1:14" s="131" customFormat="1" ht="28.2" customHeight="1">
      <c r="A268" s="11">
        <v>263</v>
      </c>
      <c r="B268" s="290">
        <v>263</v>
      </c>
      <c r="C268" s="129">
        <v>45876</v>
      </c>
      <c r="D268" s="10" t="s">
        <v>341</v>
      </c>
      <c r="E268" s="41" t="str">
        <f>IFERROR(VLOOKUP($D268,임시동력입.출고현황!$A:$G,E$5,0),)</f>
        <v>LTG</v>
      </c>
      <c r="F268" s="19" t="str">
        <f>IFERROR(VLOOKUP($D268,임시동력입.출고현황!$A:$G,F$5,0),)</f>
        <v>Lighting Fixture</v>
      </c>
      <c r="G268" s="19">
        <f>IFERROR(VLOOKUP($D268,임시동력입.출고현황!$A:$G,G$5,0),)</f>
        <v>0</v>
      </c>
      <c r="H268" s="19" t="str">
        <f>IFERROR(VLOOKUP($D268,임시동력입.출고현황!$A:$G,H$5,0),)</f>
        <v>400W</v>
      </c>
      <c r="I268" s="10" t="str">
        <f>IFERROR(VLOOKUP($D268,임시동력입.출고현황!$A:$G,I$5,0),)</f>
        <v>EA</v>
      </c>
      <c r="J268" s="10"/>
      <c r="K268" s="95"/>
      <c r="L268" s="57">
        <v>1</v>
      </c>
      <c r="M268" s="81" t="s">
        <v>421</v>
      </c>
      <c r="N268" s="134"/>
    </row>
    <row r="269" spans="1:14" s="131" customFormat="1" ht="28.2" customHeight="1">
      <c r="A269" s="11">
        <v>264</v>
      </c>
      <c r="B269" s="290">
        <v>264</v>
      </c>
      <c r="C269" s="129">
        <v>45876</v>
      </c>
      <c r="D269" s="10" t="s">
        <v>341</v>
      </c>
      <c r="E269" s="41" t="str">
        <f>IFERROR(VLOOKUP($D269,임시동력입.출고현황!$A:$G,E$5,0),)</f>
        <v>LTG</v>
      </c>
      <c r="F269" s="19" t="str">
        <f>IFERROR(VLOOKUP($D269,임시동력입.출고현황!$A:$G,F$5,0),)</f>
        <v>Lighting Fixture</v>
      </c>
      <c r="G269" s="19">
        <f>IFERROR(VLOOKUP($D269,임시동력입.출고현황!$A:$G,G$5,0),)</f>
        <v>0</v>
      </c>
      <c r="H269" s="19" t="str">
        <f>IFERROR(VLOOKUP($D269,임시동력입.출고현황!$A:$G,H$5,0),)</f>
        <v>400W</v>
      </c>
      <c r="I269" s="10" t="str">
        <f>IFERROR(VLOOKUP($D269,임시동력입.출고현황!$A:$G,I$5,0),)</f>
        <v>EA</v>
      </c>
      <c r="J269" s="10"/>
      <c r="K269" s="95"/>
      <c r="L269" s="57">
        <v>5</v>
      </c>
      <c r="M269" s="81" t="s">
        <v>421</v>
      </c>
      <c r="N269" s="134"/>
    </row>
    <row r="270" spans="1:14" s="131" customFormat="1" ht="28.2" customHeight="1">
      <c r="A270" s="11">
        <v>265</v>
      </c>
      <c r="B270" s="290">
        <v>265</v>
      </c>
      <c r="C270" s="129">
        <v>45876</v>
      </c>
      <c r="D270" s="10" t="s">
        <v>347</v>
      </c>
      <c r="E270" s="41" t="str">
        <f>IFERROR(VLOOKUP($D270,임시동력입.출고현황!$A:$G,E$5,0),)</f>
        <v>LTG</v>
      </c>
      <c r="F270" s="19" t="str">
        <f>IFERROR(VLOOKUP($D270,임시동력입.출고현황!$A:$G,F$5,0),)</f>
        <v>Lighting Fixture</v>
      </c>
      <c r="G270" s="19">
        <f>IFERROR(VLOOKUP($D270,임시동력입.출고현황!$A:$G,G$5,0),)</f>
        <v>0</v>
      </c>
      <c r="H270" s="19" t="str">
        <f>IFERROR(VLOOKUP($D270,임시동력입.출고현황!$A:$G,H$5,0),)</f>
        <v>200W</v>
      </c>
      <c r="I270" s="10" t="str">
        <f>IFERROR(VLOOKUP($D270,임시동력입.출고현황!$A:$G,I$5,0),)</f>
        <v>EA</v>
      </c>
      <c r="J270" s="10"/>
      <c r="K270" s="95"/>
      <c r="L270" s="57">
        <v>10</v>
      </c>
      <c r="M270" s="81" t="s">
        <v>421</v>
      </c>
      <c r="N270" s="134"/>
    </row>
    <row r="271" spans="1:14" s="131" customFormat="1" ht="28.2" customHeight="1">
      <c r="A271" s="11">
        <v>266</v>
      </c>
      <c r="B271" s="290">
        <v>266</v>
      </c>
      <c r="C271" s="129">
        <v>45876</v>
      </c>
      <c r="D271" s="10" t="s">
        <v>335</v>
      </c>
      <c r="E271" s="41" t="str">
        <f>IFERROR(VLOOKUP($D271,임시동력입.출고현황!$A:$G,E$5,0),)</f>
        <v>Cable</v>
      </c>
      <c r="F271" s="19" t="str">
        <f>IFERROR(VLOOKUP($D271,임시동력입.출고현황!$A:$G,F$5,0),)</f>
        <v>CV Cable</v>
      </c>
      <c r="G271" s="19">
        <f>IFERROR(VLOOKUP($D271,임시동력입.출고현황!$A:$G,G$5,0),)</f>
        <v>0</v>
      </c>
      <c r="H271" s="19" t="str">
        <f>IFERROR(VLOOKUP($D271,임시동력입.출고현황!$A:$G,H$5,0),)</f>
        <v>3C x 2.5mm2</v>
      </c>
      <c r="I271" s="10" t="str">
        <f>IFERROR(VLOOKUP($D271,임시동력입.출고현황!$A:$G,I$5,0),)</f>
        <v>M</v>
      </c>
      <c r="J271" s="10"/>
      <c r="K271" s="95"/>
      <c r="L271" s="57">
        <v>200</v>
      </c>
      <c r="M271" s="81" t="s">
        <v>421</v>
      </c>
      <c r="N271" s="134"/>
    </row>
    <row r="272" spans="1:14" s="131" customFormat="1" ht="28.2" customHeight="1">
      <c r="A272" s="11">
        <v>267</v>
      </c>
      <c r="B272" s="290">
        <v>267</v>
      </c>
      <c r="C272" s="129">
        <v>45878</v>
      </c>
      <c r="D272" s="10" t="s">
        <v>341</v>
      </c>
      <c r="E272" s="41" t="str">
        <f>IFERROR(VLOOKUP($D272,임시동력입.출고현황!$A:$G,E$5,0),)</f>
        <v>LTG</v>
      </c>
      <c r="F272" s="19" t="str">
        <f>IFERROR(VLOOKUP($D272,임시동력입.출고현황!$A:$G,F$5,0),)</f>
        <v>Lighting Fixture</v>
      </c>
      <c r="G272" s="19">
        <f>IFERROR(VLOOKUP($D272,임시동력입.출고현황!$A:$G,G$5,0),)</f>
        <v>0</v>
      </c>
      <c r="H272" s="19" t="str">
        <f>IFERROR(VLOOKUP($D272,임시동력입.출고현황!$A:$G,H$5,0),)</f>
        <v>400W</v>
      </c>
      <c r="I272" s="10" t="str">
        <f>IFERROR(VLOOKUP($D272,임시동력입.출고현황!$A:$G,I$5,0),)</f>
        <v>EA</v>
      </c>
      <c r="J272" s="10"/>
      <c r="K272" s="95"/>
      <c r="L272" s="57">
        <v>2</v>
      </c>
      <c r="M272" s="81" t="s">
        <v>421</v>
      </c>
      <c r="N272" s="134"/>
    </row>
    <row r="273" spans="1:14" s="131" customFormat="1" ht="28.2" customHeight="1">
      <c r="A273" s="11">
        <v>268</v>
      </c>
      <c r="B273" s="290">
        <v>268</v>
      </c>
      <c r="C273" s="129">
        <v>45879</v>
      </c>
      <c r="D273" s="10" t="s">
        <v>341</v>
      </c>
      <c r="E273" s="41" t="str">
        <f>IFERROR(VLOOKUP($D273,임시동력입.출고현황!$A:$G,E$5,0),)</f>
        <v>LTG</v>
      </c>
      <c r="F273" s="19" t="str">
        <f>IFERROR(VLOOKUP($D273,임시동력입.출고현황!$A:$G,F$5,0),)</f>
        <v>Lighting Fixture</v>
      </c>
      <c r="G273" s="19">
        <f>IFERROR(VLOOKUP($D273,임시동력입.출고현황!$A:$G,G$5,0),)</f>
        <v>0</v>
      </c>
      <c r="H273" s="19" t="str">
        <f>IFERROR(VLOOKUP($D273,임시동력입.출고현황!$A:$G,H$5,0),)</f>
        <v>400W</v>
      </c>
      <c r="I273" s="10" t="str">
        <f>IFERROR(VLOOKUP($D273,임시동력입.출고현황!$A:$G,I$5,0),)</f>
        <v>EA</v>
      </c>
      <c r="J273" s="10"/>
      <c r="K273" s="95"/>
      <c r="L273" s="57">
        <v>6</v>
      </c>
      <c r="M273" s="81" t="s">
        <v>421</v>
      </c>
      <c r="N273" s="134"/>
    </row>
    <row r="274" spans="1:14" s="131" customFormat="1" ht="28.2" customHeight="1">
      <c r="A274" s="11">
        <v>269</v>
      </c>
      <c r="B274" s="290">
        <v>269</v>
      </c>
      <c r="C274" s="129">
        <v>45879</v>
      </c>
      <c r="D274" s="10" t="s">
        <v>347</v>
      </c>
      <c r="E274" s="41" t="str">
        <f>IFERROR(VLOOKUP($D274,임시동력입.출고현황!$A:$G,E$5,0),)</f>
        <v>LTG</v>
      </c>
      <c r="F274" s="19" t="str">
        <f>IFERROR(VLOOKUP($D274,임시동력입.출고현황!$A:$G,F$5,0),)</f>
        <v>Lighting Fixture</v>
      </c>
      <c r="G274" s="19">
        <f>IFERROR(VLOOKUP($D274,임시동력입.출고현황!$A:$G,G$5,0),)</f>
        <v>0</v>
      </c>
      <c r="H274" s="19" t="str">
        <f>IFERROR(VLOOKUP($D274,임시동력입.출고현황!$A:$G,H$5,0),)</f>
        <v>200W</v>
      </c>
      <c r="I274" s="10" t="str">
        <f>IFERROR(VLOOKUP($D274,임시동력입.출고현황!$A:$G,I$5,0),)</f>
        <v>EA</v>
      </c>
      <c r="J274" s="10"/>
      <c r="K274" s="95"/>
      <c r="L274" s="57">
        <v>6</v>
      </c>
      <c r="M274" s="81" t="s">
        <v>421</v>
      </c>
      <c r="N274" s="134"/>
    </row>
    <row r="275" spans="1:14" s="131" customFormat="1" ht="28.2" customHeight="1">
      <c r="A275" s="11">
        <v>270</v>
      </c>
      <c r="B275" s="290">
        <v>270</v>
      </c>
      <c r="C275" s="129">
        <v>45879</v>
      </c>
      <c r="D275" s="10" t="s">
        <v>335</v>
      </c>
      <c r="E275" s="41" t="str">
        <f>IFERROR(VLOOKUP($D275,임시동력입.출고현황!$A:$G,E$5,0),)</f>
        <v>Cable</v>
      </c>
      <c r="F275" s="19" t="str">
        <f>IFERROR(VLOOKUP($D275,임시동력입.출고현황!$A:$G,F$5,0),)</f>
        <v>CV Cable</v>
      </c>
      <c r="G275" s="19">
        <f>IFERROR(VLOOKUP($D275,임시동력입.출고현황!$A:$G,G$5,0),)</f>
        <v>0</v>
      </c>
      <c r="H275" s="19" t="str">
        <f>IFERROR(VLOOKUP($D275,임시동력입.출고현황!$A:$G,H$5,0),)</f>
        <v>3C x 2.5mm2</v>
      </c>
      <c r="I275" s="10" t="str">
        <f>IFERROR(VLOOKUP($D275,임시동력입.출고현황!$A:$G,I$5,0),)</f>
        <v>M</v>
      </c>
      <c r="J275" s="10"/>
      <c r="K275" s="95"/>
      <c r="L275" s="57">
        <v>100</v>
      </c>
      <c r="M275" s="81" t="s">
        <v>421</v>
      </c>
      <c r="N275" s="134"/>
    </row>
    <row r="276" spans="1:14" s="131" customFormat="1" ht="28.2" customHeight="1">
      <c r="A276" s="11">
        <v>271</v>
      </c>
      <c r="B276" s="290">
        <v>271</v>
      </c>
      <c r="C276" s="129">
        <v>45882</v>
      </c>
      <c r="D276" s="10" t="s">
        <v>341</v>
      </c>
      <c r="E276" s="41" t="str">
        <f>IFERROR(VLOOKUP($D276,임시동력입.출고현황!$A:$G,E$5,0),)</f>
        <v>LTG</v>
      </c>
      <c r="F276" s="19" t="str">
        <f>IFERROR(VLOOKUP($D276,임시동력입.출고현황!$A:$G,F$5,0),)</f>
        <v>Lighting Fixture</v>
      </c>
      <c r="G276" s="19">
        <f>IFERROR(VLOOKUP($D276,임시동력입.출고현황!$A:$G,G$5,0),)</f>
        <v>0</v>
      </c>
      <c r="H276" s="19" t="str">
        <f>IFERROR(VLOOKUP($D276,임시동력입.출고현황!$A:$G,H$5,0),)</f>
        <v>400W</v>
      </c>
      <c r="I276" s="10" t="str">
        <f>IFERROR(VLOOKUP($D276,임시동력입.출고현황!$A:$G,I$5,0),)</f>
        <v>EA</v>
      </c>
      <c r="J276" s="10"/>
      <c r="K276" s="95"/>
      <c r="L276" s="57">
        <v>3</v>
      </c>
      <c r="M276" s="81" t="s">
        <v>421</v>
      </c>
      <c r="N276" s="134"/>
    </row>
    <row r="277" spans="1:14" s="131" customFormat="1" ht="28.2" customHeight="1">
      <c r="A277" s="11">
        <v>272</v>
      </c>
      <c r="B277" s="290">
        <v>272</v>
      </c>
      <c r="C277" s="129">
        <v>45886</v>
      </c>
      <c r="D277" s="10" t="s">
        <v>318</v>
      </c>
      <c r="E277" s="41" t="str">
        <f>IFERROR(VLOOKUP($D277,임시동력입.출고현황!$A:$G,E$5,0),)</f>
        <v>Cable</v>
      </c>
      <c r="F277" s="19" t="str">
        <f>IFERROR(VLOOKUP($D277,임시동력입.출고현황!$A:$G,F$5,0),)</f>
        <v>AL Cable</v>
      </c>
      <c r="G277" s="19">
        <f>IFERROR(VLOOKUP($D277,임시동력입.출고현황!$A:$G,G$5,0),)</f>
        <v>0</v>
      </c>
      <c r="H277" s="19" t="str">
        <f>IFERROR(VLOOKUP($D277,임시동력입.출고현황!$A:$G,H$5,0),)</f>
        <v>3C x 150+70mm2 [ALU]</v>
      </c>
      <c r="I277" s="10" t="str">
        <f>IFERROR(VLOOKUP($D277,임시동력입.출고현황!$A:$G,I$5,0),)</f>
        <v>M</v>
      </c>
      <c r="J277" s="10"/>
      <c r="K277" s="95"/>
      <c r="L277" s="57">
        <v>260</v>
      </c>
      <c r="M277" s="81" t="s">
        <v>421</v>
      </c>
      <c r="N277" s="134"/>
    </row>
    <row r="278" spans="1:14" s="131" customFormat="1" ht="28.2" customHeight="1">
      <c r="A278" s="11">
        <v>273</v>
      </c>
      <c r="B278" s="290">
        <v>273</v>
      </c>
      <c r="C278" s="129">
        <v>45887</v>
      </c>
      <c r="D278" s="10" t="s">
        <v>329</v>
      </c>
      <c r="E278" s="41" t="str">
        <f>IFERROR(VLOOKUP($D278,임시동력입.출고현황!$A:$G,E$5,0),)</f>
        <v>Cable</v>
      </c>
      <c r="F278" s="19" t="str">
        <f>IFERROR(VLOOKUP($D278,임시동력입.출고현황!$A:$G,F$5,0),)</f>
        <v>CV Cable</v>
      </c>
      <c r="G278" s="19">
        <f>IFERROR(VLOOKUP($D278,임시동력입.출고현황!$A:$G,G$5,0),)</f>
        <v>0</v>
      </c>
      <c r="H278" s="19" t="str">
        <f>IFERROR(VLOOKUP($D278,임시동력입.출고현황!$A:$G,H$5,0),)</f>
        <v>4C x 16mm2</v>
      </c>
      <c r="I278" s="10" t="str">
        <f>IFERROR(VLOOKUP($D278,임시동력입.출고현황!$A:$G,I$5,0),)</f>
        <v>M</v>
      </c>
      <c r="J278" s="10"/>
      <c r="K278" s="95"/>
      <c r="L278" s="57">
        <v>10</v>
      </c>
      <c r="M278" s="81" t="s">
        <v>421</v>
      </c>
      <c r="N278" s="134"/>
    </row>
    <row r="279" spans="1:14" s="131" customFormat="1" ht="28.2" customHeight="1">
      <c r="A279" s="11">
        <v>274</v>
      </c>
      <c r="B279" s="290">
        <v>274</v>
      </c>
      <c r="C279" s="129">
        <v>45888</v>
      </c>
      <c r="D279" s="10" t="s">
        <v>335</v>
      </c>
      <c r="E279" s="41" t="str">
        <f>IFERROR(VLOOKUP($D279,임시동력입.출고현황!$A:$G,E$5,0),)</f>
        <v>Cable</v>
      </c>
      <c r="F279" s="19" t="str">
        <f>IFERROR(VLOOKUP($D279,임시동력입.출고현황!$A:$G,F$5,0),)</f>
        <v>CV Cable</v>
      </c>
      <c r="G279" s="19">
        <f>IFERROR(VLOOKUP($D279,임시동력입.출고현황!$A:$G,G$5,0),)</f>
        <v>0</v>
      </c>
      <c r="H279" s="19" t="str">
        <f>IFERROR(VLOOKUP($D279,임시동력입.출고현황!$A:$G,H$5,0),)</f>
        <v>3C x 2.5mm2</v>
      </c>
      <c r="I279" s="10" t="str">
        <f>IFERROR(VLOOKUP($D279,임시동력입.출고현황!$A:$G,I$5,0),)</f>
        <v>M</v>
      </c>
      <c r="J279" s="10"/>
      <c r="K279" s="95"/>
      <c r="L279" s="57">
        <v>45</v>
      </c>
      <c r="M279" s="81" t="s">
        <v>421</v>
      </c>
      <c r="N279" s="134"/>
    </row>
    <row r="280" spans="1:14" s="131" customFormat="1" ht="28.2" customHeight="1">
      <c r="A280" s="11">
        <v>275</v>
      </c>
      <c r="B280" s="290">
        <v>275</v>
      </c>
      <c r="C280" s="129">
        <v>45889</v>
      </c>
      <c r="D280" s="10" t="s">
        <v>280</v>
      </c>
      <c r="E280" s="41" t="str">
        <f>IFERROR(VLOOKUP($D280,임시동력입.출고현황!$A:$G,E$5,0),)</f>
        <v>D/G</v>
      </c>
      <c r="F280" s="19" t="str">
        <f>IFERROR(VLOOKUP($D280,임시동력입.출고현황!$A:$G,F$5,0),)</f>
        <v>Generator</v>
      </c>
      <c r="G280" s="19">
        <f>IFERROR(VLOOKUP($D280,임시동력입.출고현황!$A:$G,G$5,0),)</f>
        <v>0</v>
      </c>
      <c r="H280" s="19" t="str">
        <f>IFERROR(VLOOKUP($D280,임시동력입.출고현황!$A:$G,H$5,0),)</f>
        <v>300KVA</v>
      </c>
      <c r="I280" s="10" t="str">
        <f>IFERROR(VLOOKUP($D280,임시동력입.출고현황!$A:$G,I$5,0),)</f>
        <v>대</v>
      </c>
      <c r="J280" s="10"/>
      <c r="K280" s="95"/>
      <c r="L280" s="57">
        <v>1</v>
      </c>
      <c r="M280" s="81" t="s">
        <v>427</v>
      </c>
      <c r="N280" s="134" t="s">
        <v>428</v>
      </c>
    </row>
    <row r="281" spans="1:14" s="131" customFormat="1" ht="28.2" customHeight="1">
      <c r="A281" s="11">
        <v>276</v>
      </c>
      <c r="B281" s="290">
        <v>276</v>
      </c>
      <c r="C281" s="129">
        <v>45893</v>
      </c>
      <c r="D281" s="10" t="s">
        <v>322</v>
      </c>
      <c r="E281" s="41" t="str">
        <f>IFERROR(VLOOKUP($D281,임시동력입.출고현황!$A:$G,E$5,0),)</f>
        <v>Cable</v>
      </c>
      <c r="F281" s="19" t="str">
        <f>IFERROR(VLOOKUP($D281,임시동력입.출고현황!$A:$G,F$5,0),)</f>
        <v>AL Cable</v>
      </c>
      <c r="G281" s="19">
        <f>IFERROR(VLOOKUP($D281,임시동력입.출고현황!$A:$G,G$5,0),)</f>
        <v>0</v>
      </c>
      <c r="H281" s="19" t="str">
        <f>IFERROR(VLOOKUP($D281,임시동력입.출고현황!$A:$G,H$5,0),)</f>
        <v>3C x 50+25mm2 [ALU]</v>
      </c>
      <c r="I281" s="10" t="str">
        <f>IFERROR(VLOOKUP($D281,임시동력입.출고현황!$A:$G,I$5,0),)</f>
        <v>M</v>
      </c>
      <c r="J281" s="10"/>
      <c r="K281" s="95"/>
      <c r="L281" s="57">
        <v>130</v>
      </c>
      <c r="M281" s="81" t="s">
        <v>439</v>
      </c>
      <c r="N281" s="134"/>
    </row>
    <row r="282" spans="1:14" s="131" customFormat="1" ht="28.2" customHeight="1">
      <c r="A282" s="11">
        <v>277</v>
      </c>
      <c r="B282" s="290">
        <v>277</v>
      </c>
      <c r="C282" s="129">
        <v>45894</v>
      </c>
      <c r="D282" s="10" t="s">
        <v>349</v>
      </c>
      <c r="E282" s="41" t="str">
        <f>IFERROR(VLOOKUP($D282,임시동력입.출고현황!$A:$G,E$5,0),)</f>
        <v>LTG</v>
      </c>
      <c r="F282" s="19" t="str">
        <f>IFERROR(VLOOKUP($D282,임시동력입.출고현황!$A:$G,F$5,0),)</f>
        <v>Lighting Fixture</v>
      </c>
      <c r="G282" s="19">
        <f>IFERROR(VLOOKUP($D282,임시동력입.출고현황!$A:$G,G$5,0),)</f>
        <v>0</v>
      </c>
      <c r="H282" s="19" t="str">
        <f>IFERROR(VLOOKUP($D282,임시동력입.출고현황!$A:$G,H$5,0),)</f>
        <v>50W</v>
      </c>
      <c r="I282" s="10" t="str">
        <f>IFERROR(VLOOKUP($D282,임시동력입.출고현황!$A:$G,I$5,0),)</f>
        <v>EA</v>
      </c>
      <c r="J282" s="10"/>
      <c r="K282" s="95"/>
      <c r="L282" s="57">
        <v>10</v>
      </c>
      <c r="M282" s="81" t="s">
        <v>439</v>
      </c>
      <c r="N282" s="134"/>
    </row>
    <row r="283" spans="1:14" s="131" customFormat="1" ht="28.2" customHeight="1">
      <c r="A283" s="11">
        <v>278</v>
      </c>
      <c r="B283" s="290">
        <v>278</v>
      </c>
      <c r="C283" s="129">
        <v>45894</v>
      </c>
      <c r="D283" s="10" t="s">
        <v>336</v>
      </c>
      <c r="E283" s="41" t="str">
        <f>IFERROR(VLOOKUP($D283,임시동력입.출고현황!$A:$G,E$5,0),)</f>
        <v>Cable</v>
      </c>
      <c r="F283" s="19" t="str">
        <f>IFERROR(VLOOKUP($D283,임시동력입.출고현황!$A:$G,F$5,0),)</f>
        <v>CV Cable</v>
      </c>
      <c r="G283" s="19">
        <f>IFERROR(VLOOKUP($D283,임시동력입.출고현황!$A:$G,G$5,0),)</f>
        <v>0</v>
      </c>
      <c r="H283" s="19" t="str">
        <f>IFERROR(VLOOKUP($D283,임시동력입.출고현황!$A:$G,H$5,0),)</f>
        <v>3C x 1.5mm2</v>
      </c>
      <c r="I283" s="10" t="str">
        <f>IFERROR(VLOOKUP($D283,임시동력입.출고현황!$A:$G,I$5,0),)</f>
        <v>M</v>
      </c>
      <c r="J283" s="10"/>
      <c r="K283" s="95"/>
      <c r="L283" s="57">
        <v>128</v>
      </c>
      <c r="M283" s="81" t="s">
        <v>439</v>
      </c>
      <c r="N283" s="134"/>
    </row>
    <row r="284" spans="1:14" s="131" customFormat="1" ht="28.2" customHeight="1">
      <c r="A284" s="11">
        <v>279</v>
      </c>
      <c r="B284" s="290">
        <v>279</v>
      </c>
      <c r="C284" s="129">
        <v>45894</v>
      </c>
      <c r="D284" s="10" t="s">
        <v>331</v>
      </c>
      <c r="E284" s="41" t="str">
        <f>IFERROR(VLOOKUP($D284,임시동력입.출고현황!$A:$G,E$5,0),)</f>
        <v>Cable</v>
      </c>
      <c r="F284" s="19" t="str">
        <f>IFERROR(VLOOKUP($D284,임시동력입.출고현황!$A:$G,F$5,0),)</f>
        <v>CV Cable</v>
      </c>
      <c r="G284" s="19">
        <f>IFERROR(VLOOKUP($D284,임시동력입.출고현황!$A:$G,G$5,0),)</f>
        <v>0</v>
      </c>
      <c r="H284" s="19" t="str">
        <f>IFERROR(VLOOKUP($D284,임시동력입.출고현황!$A:$G,H$5,0),)</f>
        <v>4C x 6mm2</v>
      </c>
      <c r="I284" s="10" t="str">
        <f>IFERROR(VLOOKUP($D284,임시동력입.출고현황!$A:$G,I$5,0),)</f>
        <v>M</v>
      </c>
      <c r="J284" s="10"/>
      <c r="K284" s="95"/>
      <c r="L284" s="57">
        <v>100</v>
      </c>
      <c r="M284" s="81" t="s">
        <v>439</v>
      </c>
      <c r="N284" s="134"/>
    </row>
    <row r="285" spans="1:14" s="131" customFormat="1" ht="28.2" customHeight="1">
      <c r="A285" s="11">
        <v>280</v>
      </c>
      <c r="B285" s="290">
        <v>280</v>
      </c>
      <c r="C285" s="129">
        <v>45895</v>
      </c>
      <c r="D285" s="10" t="s">
        <v>280</v>
      </c>
      <c r="E285" s="41" t="str">
        <f>IFERROR(VLOOKUP($D285,임시동력입.출고현황!$A:$G,E$5,0),)</f>
        <v>D/G</v>
      </c>
      <c r="F285" s="19" t="str">
        <f>IFERROR(VLOOKUP($D285,임시동력입.출고현황!$A:$G,F$5,0),)</f>
        <v>Generator</v>
      </c>
      <c r="G285" s="19">
        <f>IFERROR(VLOOKUP($D285,임시동력입.출고현황!$A:$G,G$5,0),)</f>
        <v>0</v>
      </c>
      <c r="H285" s="19" t="str">
        <f>IFERROR(VLOOKUP($D285,임시동력입.출고현황!$A:$G,H$5,0),)</f>
        <v>300KVA</v>
      </c>
      <c r="I285" s="10" t="str">
        <f>IFERROR(VLOOKUP($D285,임시동력입.출고현황!$A:$G,I$5,0),)</f>
        <v>대</v>
      </c>
      <c r="J285" s="10"/>
      <c r="K285" s="95"/>
      <c r="L285" s="57">
        <v>1</v>
      </c>
      <c r="M285" s="81" t="s">
        <v>427</v>
      </c>
      <c r="N285" s="134" t="s">
        <v>428</v>
      </c>
    </row>
    <row r="286" spans="1:14" s="131" customFormat="1" ht="28.2" customHeight="1">
      <c r="A286" s="11">
        <v>281</v>
      </c>
      <c r="B286" s="290">
        <v>281</v>
      </c>
      <c r="C286" s="129">
        <v>45895</v>
      </c>
      <c r="D286" s="10" t="s">
        <v>334</v>
      </c>
      <c r="E286" s="41" t="str">
        <f>IFERROR(VLOOKUP($D286,임시동력입.출고현황!$A:$G,E$5,0),)</f>
        <v>Cable</v>
      </c>
      <c r="F286" s="19" t="str">
        <f>IFERROR(VLOOKUP($D286,임시동력입.출고현황!$A:$G,F$5,0),)</f>
        <v>CV Cable</v>
      </c>
      <c r="G286" s="19">
        <f>IFERROR(VLOOKUP($D286,임시동력입.출고현황!$A:$G,G$5,0),)</f>
        <v>0</v>
      </c>
      <c r="H286" s="19" t="str">
        <f>IFERROR(VLOOKUP($D286,임시동력입.출고현황!$A:$G,H$5,0),)</f>
        <v>3C x 4mm2</v>
      </c>
      <c r="I286" s="10" t="str">
        <f>IFERROR(VLOOKUP($D286,임시동력입.출고현황!$A:$G,I$5,0),)</f>
        <v>M</v>
      </c>
      <c r="J286" s="10"/>
      <c r="K286" s="95"/>
      <c r="L286" s="57">
        <v>37</v>
      </c>
      <c r="M286" s="81" t="s">
        <v>439</v>
      </c>
      <c r="N286" s="134"/>
    </row>
    <row r="287" spans="1:14" s="131" customFormat="1" ht="28.2" customHeight="1">
      <c r="A287" s="11">
        <v>282</v>
      </c>
      <c r="B287" s="290">
        <v>282</v>
      </c>
      <c r="C287" s="129">
        <v>45896</v>
      </c>
      <c r="D287" s="10" t="s">
        <v>331</v>
      </c>
      <c r="E287" s="41" t="str">
        <f>IFERROR(VLOOKUP($D287,임시동력입.출고현황!$A:$G,E$5,0),)</f>
        <v>Cable</v>
      </c>
      <c r="F287" s="19" t="str">
        <f>IFERROR(VLOOKUP($D287,임시동력입.출고현황!$A:$G,F$5,0),)</f>
        <v>CV Cable</v>
      </c>
      <c r="G287" s="19">
        <f>IFERROR(VLOOKUP($D287,임시동력입.출고현황!$A:$G,G$5,0),)</f>
        <v>0</v>
      </c>
      <c r="H287" s="19" t="str">
        <f>IFERROR(VLOOKUP($D287,임시동력입.출고현황!$A:$G,H$5,0),)</f>
        <v>4C x 6mm2</v>
      </c>
      <c r="I287" s="10" t="str">
        <f>IFERROR(VLOOKUP($D287,임시동력입.출고현황!$A:$G,I$5,0),)</f>
        <v>M</v>
      </c>
      <c r="J287" s="10"/>
      <c r="K287" s="95"/>
      <c r="L287" s="57">
        <v>50</v>
      </c>
      <c r="M287" s="81" t="s">
        <v>439</v>
      </c>
      <c r="N287" s="132"/>
    </row>
    <row r="288" spans="1:14" s="131" customFormat="1" ht="28.2" customHeight="1">
      <c r="A288" s="11">
        <v>283</v>
      </c>
      <c r="B288" s="290">
        <v>283</v>
      </c>
      <c r="C288" s="129">
        <v>45896</v>
      </c>
      <c r="D288" s="10" t="s">
        <v>345</v>
      </c>
      <c r="E288" s="41" t="str">
        <f>IFERROR(VLOOKUP($D288,임시동력입.출고현황!$A:$G,E$5,0),)</f>
        <v>Cable</v>
      </c>
      <c r="F288" s="19" t="str">
        <f>IFERROR(VLOOKUP($D288,임시동력입.출고현황!$A:$G,F$5,0),)</f>
        <v>Grounding Cable</v>
      </c>
      <c r="G288" s="19">
        <f>IFERROR(VLOOKUP($D288,임시동력입.출고현황!$A:$G,G$5,0),)</f>
        <v>0</v>
      </c>
      <c r="H288" s="19" t="str">
        <f>IFERROR(VLOOKUP($D288,임시동력입.출고현황!$A:$G,H$5,0),)</f>
        <v>1C x 16mm2</v>
      </c>
      <c r="I288" s="10" t="str">
        <f>IFERROR(VLOOKUP($D288,임시동력입.출고현황!$A:$G,I$5,0),)</f>
        <v>M</v>
      </c>
      <c r="J288" s="10"/>
      <c r="K288" s="95"/>
      <c r="L288" s="57">
        <v>50</v>
      </c>
      <c r="M288" s="81" t="s">
        <v>439</v>
      </c>
      <c r="N288" s="132"/>
    </row>
    <row r="289" spans="1:14" s="131" customFormat="1" ht="28.2" customHeight="1">
      <c r="A289" s="11">
        <v>284</v>
      </c>
      <c r="B289" s="290">
        <v>284</v>
      </c>
      <c r="C289" s="129">
        <v>45902</v>
      </c>
      <c r="D289" s="10" t="s">
        <v>341</v>
      </c>
      <c r="E289" s="41" t="str">
        <f>IFERROR(VLOOKUP($D289,임시동력입.출고현황!$A:$G,E$5,0),)</f>
        <v>LTG</v>
      </c>
      <c r="F289" s="19" t="str">
        <f>IFERROR(VLOOKUP($D289,임시동력입.출고현황!$A:$G,F$5,0),)</f>
        <v>Lighting Fixture</v>
      </c>
      <c r="G289" s="19">
        <f>IFERROR(VLOOKUP($D289,임시동력입.출고현황!$A:$G,G$5,0),)</f>
        <v>0</v>
      </c>
      <c r="H289" s="19" t="str">
        <f>IFERROR(VLOOKUP($D289,임시동력입.출고현황!$A:$G,H$5,0),)</f>
        <v>400W</v>
      </c>
      <c r="I289" s="10" t="str">
        <f>IFERROR(VLOOKUP($D289,임시동력입.출고현황!$A:$G,I$5,0),)</f>
        <v>EA</v>
      </c>
      <c r="J289" s="10"/>
      <c r="K289" s="95"/>
      <c r="L289" s="57">
        <v>2</v>
      </c>
      <c r="M289" s="81" t="s">
        <v>439</v>
      </c>
      <c r="N289" s="134"/>
    </row>
    <row r="290" spans="1:14" s="131" customFormat="1" ht="28.2" customHeight="1">
      <c r="A290" s="11">
        <v>285</v>
      </c>
      <c r="B290" s="290">
        <v>285</v>
      </c>
      <c r="C290" s="129">
        <v>45902</v>
      </c>
      <c r="D290" s="10" t="s">
        <v>347</v>
      </c>
      <c r="E290" s="41" t="str">
        <f>IFERROR(VLOOKUP($D290,임시동력입.출고현황!$A:$G,E$5,0),)</f>
        <v>LTG</v>
      </c>
      <c r="F290" s="19" t="str">
        <f>IFERROR(VLOOKUP($D290,임시동력입.출고현황!$A:$G,F$5,0),)</f>
        <v>Lighting Fixture</v>
      </c>
      <c r="G290" s="19">
        <f>IFERROR(VLOOKUP($D290,임시동력입.출고현황!$A:$G,G$5,0),)</f>
        <v>0</v>
      </c>
      <c r="H290" s="19" t="str">
        <f>IFERROR(VLOOKUP($D290,임시동력입.출고현황!$A:$G,H$5,0),)</f>
        <v>200W</v>
      </c>
      <c r="I290" s="10" t="str">
        <f>IFERROR(VLOOKUP($D290,임시동력입.출고현황!$A:$G,I$5,0),)</f>
        <v>EA</v>
      </c>
      <c r="J290" s="10"/>
      <c r="K290" s="95"/>
      <c r="L290" s="57">
        <v>4</v>
      </c>
      <c r="M290" s="81" t="s">
        <v>439</v>
      </c>
      <c r="N290" s="134"/>
    </row>
    <row r="291" spans="1:14" s="131" customFormat="1" ht="28.2" customHeight="1">
      <c r="A291" s="11">
        <v>286</v>
      </c>
      <c r="B291" s="290">
        <v>286</v>
      </c>
      <c r="C291" s="129">
        <v>45902</v>
      </c>
      <c r="D291" s="10" t="s">
        <v>335</v>
      </c>
      <c r="E291" s="41" t="str">
        <f>IFERROR(VLOOKUP($D291,임시동력입.출고현황!$A:$G,E$5,0),)</f>
        <v>Cable</v>
      </c>
      <c r="F291" s="19" t="str">
        <f>IFERROR(VLOOKUP($D291,임시동력입.출고현황!$A:$G,F$5,0),)</f>
        <v>CV Cable</v>
      </c>
      <c r="G291" s="19">
        <f>IFERROR(VLOOKUP($D291,임시동력입.출고현황!$A:$G,G$5,0),)</f>
        <v>0</v>
      </c>
      <c r="H291" s="19" t="str">
        <f>IFERROR(VLOOKUP($D291,임시동력입.출고현황!$A:$G,H$5,0),)</f>
        <v>3C x 2.5mm2</v>
      </c>
      <c r="I291" s="10" t="str">
        <f>IFERROR(VLOOKUP($D291,임시동력입.출고현황!$A:$G,I$5,0),)</f>
        <v>M</v>
      </c>
      <c r="J291" s="10"/>
      <c r="K291" s="95"/>
      <c r="L291" s="57">
        <v>100</v>
      </c>
      <c r="M291" s="81" t="s">
        <v>439</v>
      </c>
      <c r="N291" s="134"/>
    </row>
    <row r="292" spans="1:14" s="131" customFormat="1" ht="28.2" customHeight="1">
      <c r="A292" s="11">
        <v>287</v>
      </c>
      <c r="B292" s="290">
        <v>287</v>
      </c>
      <c r="C292" s="129">
        <v>45907</v>
      </c>
      <c r="D292" s="10" t="s">
        <v>335</v>
      </c>
      <c r="E292" s="41" t="str">
        <f>IFERROR(VLOOKUP($D292,임시동력입.출고현황!$A:$G,E$5,0),)</f>
        <v>Cable</v>
      </c>
      <c r="F292" s="19" t="str">
        <f>IFERROR(VLOOKUP($D292,임시동력입.출고현황!$A:$G,F$5,0),)</f>
        <v>CV Cable</v>
      </c>
      <c r="G292" s="19">
        <f>IFERROR(VLOOKUP($D292,임시동력입.출고현황!$A:$G,G$5,0),)</f>
        <v>0</v>
      </c>
      <c r="H292" s="19" t="str">
        <f>IFERROR(VLOOKUP($D292,임시동력입.출고현황!$A:$G,H$5,0),)</f>
        <v>3C x 2.5mm2</v>
      </c>
      <c r="I292" s="10" t="str">
        <f>IFERROR(VLOOKUP($D292,임시동력입.출고현황!$A:$G,I$5,0),)</f>
        <v>M</v>
      </c>
      <c r="J292" s="10"/>
      <c r="K292" s="95"/>
      <c r="L292" s="57">
        <v>100</v>
      </c>
      <c r="M292" s="81" t="s">
        <v>439</v>
      </c>
      <c r="N292" s="134"/>
    </row>
    <row r="293" spans="1:14" s="131" customFormat="1" ht="28.2" customHeight="1">
      <c r="A293" s="11">
        <v>288</v>
      </c>
      <c r="B293" s="290">
        <v>288</v>
      </c>
      <c r="C293" s="129">
        <v>45908</v>
      </c>
      <c r="D293" s="10" t="s">
        <v>310</v>
      </c>
      <c r="E293" s="41" t="str">
        <f>IFERROR(VLOOKUP($D293,임시동력입.출고현황!$A:$G,E$5,0),)</f>
        <v>Panel</v>
      </c>
      <c r="F293" s="19" t="str">
        <f>IFERROR(VLOOKUP($D293,임시동력입.출고현황!$A:$G,F$5,0),)</f>
        <v>Electrical Panel</v>
      </c>
      <c r="G293" s="19">
        <f>IFERROR(VLOOKUP($D293,임시동력입.출고현황!$A:$G,G$5,0),)</f>
        <v>0</v>
      </c>
      <c r="H293" s="19" t="str">
        <f>IFERROR(VLOOKUP($D293,임시동력입.출고현황!$A:$G,H$5,0),)</f>
        <v>100A</v>
      </c>
      <c r="I293" s="10" t="str">
        <f>IFERROR(VLOOKUP($D293,임시동력입.출고현황!$A:$G,I$5,0),)</f>
        <v>EA</v>
      </c>
      <c r="J293" s="10"/>
      <c r="K293" s="95"/>
      <c r="L293" s="57">
        <v>1</v>
      </c>
      <c r="M293" s="81" t="s">
        <v>439</v>
      </c>
      <c r="N293" s="134"/>
    </row>
    <row r="294" spans="1:14" s="131" customFormat="1" ht="28.2" customHeight="1">
      <c r="A294" s="11">
        <v>289</v>
      </c>
      <c r="B294" s="290">
        <v>289</v>
      </c>
      <c r="C294" s="129">
        <v>45908</v>
      </c>
      <c r="D294" s="10" t="s">
        <v>329</v>
      </c>
      <c r="E294" s="41" t="str">
        <f>IFERROR(VLOOKUP($D294,임시동력입.출고현황!$A:$G,E$5,0),)</f>
        <v>Cable</v>
      </c>
      <c r="F294" s="19" t="str">
        <f>IFERROR(VLOOKUP($D294,임시동력입.출고현황!$A:$G,F$5,0),)</f>
        <v>CV Cable</v>
      </c>
      <c r="G294" s="19">
        <f>IFERROR(VLOOKUP($D294,임시동력입.출고현황!$A:$G,G$5,0),)</f>
        <v>0</v>
      </c>
      <c r="H294" s="19" t="str">
        <f>IFERROR(VLOOKUP($D294,임시동력입.출고현황!$A:$G,H$5,0),)</f>
        <v>4C x 16mm2</v>
      </c>
      <c r="I294" s="10" t="str">
        <f>IFERROR(VLOOKUP($D294,임시동력입.출고현황!$A:$G,I$5,0),)</f>
        <v>M</v>
      </c>
      <c r="J294" s="10"/>
      <c r="K294" s="95"/>
      <c r="L294" s="57">
        <v>95</v>
      </c>
      <c r="M294" s="81" t="s">
        <v>439</v>
      </c>
      <c r="N294" s="134"/>
    </row>
    <row r="295" spans="1:14" s="131" customFormat="1" ht="28.2" customHeight="1">
      <c r="A295" s="11">
        <v>290</v>
      </c>
      <c r="B295" s="290">
        <v>290</v>
      </c>
      <c r="C295" s="129">
        <v>45909</v>
      </c>
      <c r="D295" s="10" t="s">
        <v>333</v>
      </c>
      <c r="E295" s="41" t="str">
        <f>IFERROR(VLOOKUP($D295,임시동력입.출고현황!$A:$G,E$5,0),)</f>
        <v>Cable</v>
      </c>
      <c r="F295" s="19" t="str">
        <f>IFERROR(VLOOKUP($D295,임시동력입.출고현황!$A:$G,F$5,0),)</f>
        <v>CV Cable</v>
      </c>
      <c r="G295" s="19">
        <f>IFERROR(VLOOKUP($D295,임시동력입.출고현황!$A:$G,G$5,0),)</f>
        <v>0</v>
      </c>
      <c r="H295" s="19" t="str">
        <f>IFERROR(VLOOKUP($D295,임시동력입.출고현황!$A:$G,H$5,0),)</f>
        <v>3C x 6mm2</v>
      </c>
      <c r="I295" s="10" t="str">
        <f>IFERROR(VLOOKUP($D295,임시동력입.출고현황!$A:$G,I$5,0),)</f>
        <v>M</v>
      </c>
      <c r="J295" s="10"/>
      <c r="K295" s="95"/>
      <c r="L295" s="57">
        <v>40</v>
      </c>
      <c r="M295" s="81" t="s">
        <v>439</v>
      </c>
      <c r="N295" s="134"/>
    </row>
    <row r="296" spans="1:14" s="131" customFormat="1" ht="28.2" customHeight="1">
      <c r="A296" s="11">
        <v>291</v>
      </c>
      <c r="B296" s="290">
        <v>291</v>
      </c>
      <c r="C296" s="129">
        <v>45909</v>
      </c>
      <c r="D296" s="10" t="s">
        <v>331</v>
      </c>
      <c r="E296" s="41" t="str">
        <f>IFERROR(VLOOKUP($D296,임시동력입.출고현황!$A:$G,E$5,0),)</f>
        <v>Cable</v>
      </c>
      <c r="F296" s="19" t="str">
        <f>IFERROR(VLOOKUP($D296,임시동력입.출고현황!$A:$G,F$5,0),)</f>
        <v>CV Cable</v>
      </c>
      <c r="G296" s="19">
        <f>IFERROR(VLOOKUP($D296,임시동력입.출고현황!$A:$G,G$5,0),)</f>
        <v>0</v>
      </c>
      <c r="H296" s="19" t="str">
        <f>IFERROR(VLOOKUP($D296,임시동력입.출고현황!$A:$G,H$5,0),)</f>
        <v>4C x 6mm2</v>
      </c>
      <c r="I296" s="10" t="str">
        <f>IFERROR(VLOOKUP($D296,임시동력입.출고현황!$A:$G,I$5,0),)</f>
        <v>M</v>
      </c>
      <c r="J296" s="10"/>
      <c r="K296" s="95"/>
      <c r="L296" s="57">
        <v>120</v>
      </c>
      <c r="M296" s="81" t="s">
        <v>439</v>
      </c>
      <c r="N296" s="134"/>
    </row>
    <row r="297" spans="1:14" s="131" customFormat="1" ht="28.2" customHeight="1">
      <c r="A297" s="11">
        <v>292</v>
      </c>
      <c r="B297" s="290">
        <v>292</v>
      </c>
      <c r="C297" s="129">
        <v>45910</v>
      </c>
      <c r="D297" s="10" t="s">
        <v>335</v>
      </c>
      <c r="E297" s="41" t="str">
        <f>IFERROR(VLOOKUP($D297,임시동력입.출고현황!$A:$G,E$5,0),)</f>
        <v>Cable</v>
      </c>
      <c r="F297" s="19" t="str">
        <f>IFERROR(VLOOKUP($D297,임시동력입.출고현황!$A:$G,F$5,0),)</f>
        <v>CV Cable</v>
      </c>
      <c r="G297" s="19">
        <f>IFERROR(VLOOKUP($D297,임시동력입.출고현황!$A:$G,G$5,0),)</f>
        <v>0</v>
      </c>
      <c r="H297" s="19" t="str">
        <f>IFERROR(VLOOKUP($D297,임시동력입.출고현황!$A:$G,H$5,0),)</f>
        <v>3C x 2.5mm2</v>
      </c>
      <c r="I297" s="10" t="str">
        <f>IFERROR(VLOOKUP($D297,임시동력입.출고현황!$A:$G,I$5,0),)</f>
        <v>M</v>
      </c>
      <c r="J297" s="10"/>
      <c r="K297" s="95"/>
      <c r="L297" s="57">
        <v>100</v>
      </c>
      <c r="M297" s="81" t="s">
        <v>439</v>
      </c>
      <c r="N297" s="134"/>
    </row>
    <row r="298" spans="1:14" s="131" customFormat="1" ht="28.2" customHeight="1">
      <c r="A298" s="11">
        <v>293</v>
      </c>
      <c r="B298" s="290">
        <v>293</v>
      </c>
      <c r="C298" s="129">
        <v>45910</v>
      </c>
      <c r="D298" s="10" t="s">
        <v>341</v>
      </c>
      <c r="E298" s="41" t="str">
        <f>IFERROR(VLOOKUP($D298,임시동력입.출고현황!$A:$G,E$5,0),)</f>
        <v>LTG</v>
      </c>
      <c r="F298" s="19" t="str">
        <f>IFERROR(VLOOKUP($D298,임시동력입.출고현황!$A:$G,F$5,0),)</f>
        <v>Lighting Fixture</v>
      </c>
      <c r="G298" s="19">
        <f>IFERROR(VLOOKUP($D298,임시동력입.출고현황!$A:$G,G$5,0),)</f>
        <v>0</v>
      </c>
      <c r="H298" s="19" t="str">
        <f>IFERROR(VLOOKUP($D298,임시동력입.출고현황!$A:$G,H$5,0),)</f>
        <v>400W</v>
      </c>
      <c r="I298" s="10" t="str">
        <f>IFERROR(VLOOKUP($D298,임시동력입.출고현황!$A:$G,I$5,0),)</f>
        <v>EA</v>
      </c>
      <c r="J298" s="10"/>
      <c r="K298" s="95"/>
      <c r="L298" s="57">
        <v>6</v>
      </c>
      <c r="M298" s="81" t="s">
        <v>439</v>
      </c>
      <c r="N298" s="134"/>
    </row>
    <row r="299" spans="1:14" s="131" customFormat="1" ht="28.2" customHeight="1">
      <c r="A299" s="11">
        <v>294</v>
      </c>
      <c r="B299" s="290">
        <v>294</v>
      </c>
      <c r="C299" s="129">
        <v>45912</v>
      </c>
      <c r="D299" s="10" t="s">
        <v>540</v>
      </c>
      <c r="E299" s="41" t="str">
        <f>IFERROR(VLOOKUP($D299,임시동력입.출고현황!$A:$G,E$5,0),)</f>
        <v>LTG</v>
      </c>
      <c r="F299" s="19" t="str">
        <f>IFERROR(VLOOKUP($D299,임시동력입.출고현황!$A:$G,F$5,0),)</f>
        <v>Lighting Fixture</v>
      </c>
      <c r="G299" s="19">
        <f>IFERROR(VLOOKUP($D299,임시동력입.출고현황!$A:$G,G$5,0),)</f>
        <v>0</v>
      </c>
      <c r="H299" s="19" t="str">
        <f>IFERROR(VLOOKUP($D299,임시동력입.출고현황!$A:$G,H$5,0),)</f>
        <v>200W</v>
      </c>
      <c r="I299" s="10" t="str">
        <f>IFERROR(VLOOKUP($D299,임시동력입.출고현황!$A:$G,I$5,0),)</f>
        <v>EA</v>
      </c>
      <c r="J299" s="10"/>
      <c r="K299" s="95"/>
      <c r="L299" s="57">
        <v>18</v>
      </c>
      <c r="M299" s="81" t="s">
        <v>541</v>
      </c>
      <c r="N299" s="134"/>
    </row>
    <row r="300" spans="1:14" s="131" customFormat="1" ht="28.2" customHeight="1">
      <c r="A300" s="11">
        <v>295</v>
      </c>
      <c r="B300" s="290">
        <v>295</v>
      </c>
      <c r="C300" s="129">
        <v>45912</v>
      </c>
      <c r="D300" s="10" t="s">
        <v>335</v>
      </c>
      <c r="E300" s="41" t="str">
        <f>IFERROR(VLOOKUP($D300,임시동력입.출고현황!$A:$G,E$5,0),)</f>
        <v>Cable</v>
      </c>
      <c r="F300" s="19" t="str">
        <f>IFERROR(VLOOKUP($D300,임시동력입.출고현황!$A:$G,F$5,0),)</f>
        <v>CV Cable</v>
      </c>
      <c r="G300" s="19">
        <f>IFERROR(VLOOKUP($D300,임시동력입.출고현황!$A:$G,G$5,0),)</f>
        <v>0</v>
      </c>
      <c r="H300" s="19" t="str">
        <f>IFERROR(VLOOKUP($D300,임시동력입.출고현황!$A:$G,H$5,0),)</f>
        <v>3C x 2.5mm2</v>
      </c>
      <c r="I300" s="10" t="str">
        <f>IFERROR(VLOOKUP($D300,임시동력입.출고현황!$A:$G,I$5,0),)</f>
        <v>M</v>
      </c>
      <c r="J300" s="10"/>
      <c r="K300" s="95"/>
      <c r="L300" s="57">
        <v>100</v>
      </c>
      <c r="M300" s="81" t="s">
        <v>541</v>
      </c>
      <c r="N300" s="134"/>
    </row>
    <row r="301" spans="1:14" s="131" customFormat="1" ht="28.2" customHeight="1">
      <c r="A301" s="11">
        <v>296</v>
      </c>
      <c r="B301" s="290">
        <v>296</v>
      </c>
      <c r="C301" s="129">
        <v>45913</v>
      </c>
      <c r="D301" s="10" t="s">
        <v>542</v>
      </c>
      <c r="E301" s="41" t="str">
        <f>IFERROR(VLOOKUP($D301,임시동력입.출고현황!$A:$G,E$5,0),)</f>
        <v>Cable</v>
      </c>
      <c r="F301" s="19" t="str">
        <f>IFERROR(VLOOKUP($D301,임시동력입.출고현황!$A:$G,F$5,0),)</f>
        <v>CV Cable</v>
      </c>
      <c r="G301" s="19">
        <f>IFERROR(VLOOKUP($D301,임시동력입.출고현황!$A:$G,G$5,0),)</f>
        <v>0</v>
      </c>
      <c r="H301" s="19" t="str">
        <f>IFERROR(VLOOKUP($D301,임시동력입.출고현황!$A:$G,H$5,0),)</f>
        <v>4C x 10mm2</v>
      </c>
      <c r="I301" s="10" t="str">
        <f>IFERROR(VLOOKUP($D301,임시동력입.출고현황!$A:$G,I$5,0),)</f>
        <v>M</v>
      </c>
      <c r="J301" s="10"/>
      <c r="K301" s="95"/>
      <c r="L301" s="57">
        <v>130</v>
      </c>
      <c r="M301" s="81" t="s">
        <v>541</v>
      </c>
      <c r="N301" s="134"/>
    </row>
    <row r="302" spans="1:14" s="131" customFormat="1" ht="28.2" customHeight="1">
      <c r="A302" s="11">
        <v>297</v>
      </c>
      <c r="B302" s="290">
        <v>297</v>
      </c>
      <c r="C302" s="129">
        <v>45914</v>
      </c>
      <c r="D302" s="10" t="s">
        <v>540</v>
      </c>
      <c r="E302" s="41" t="str">
        <f>IFERROR(VLOOKUP($D302,임시동력입.출고현황!$A:$G,E$5,0),)</f>
        <v>LTG</v>
      </c>
      <c r="F302" s="19" t="str">
        <f>IFERROR(VLOOKUP($D302,임시동력입.출고현황!$A:$G,F$5,0),)</f>
        <v>Lighting Fixture</v>
      </c>
      <c r="G302" s="19">
        <f>IFERROR(VLOOKUP($D302,임시동력입.출고현황!$A:$G,G$5,0),)</f>
        <v>0</v>
      </c>
      <c r="H302" s="19" t="str">
        <f>IFERROR(VLOOKUP($D302,임시동력입.출고현황!$A:$G,H$5,0),)</f>
        <v>200W</v>
      </c>
      <c r="I302" s="10" t="str">
        <f>IFERROR(VLOOKUP($D302,임시동력입.출고현황!$A:$G,I$5,0),)</f>
        <v>EA</v>
      </c>
      <c r="J302" s="10"/>
      <c r="K302" s="95"/>
      <c r="L302" s="57">
        <v>8</v>
      </c>
      <c r="M302" s="81" t="s">
        <v>439</v>
      </c>
      <c r="N302" s="134"/>
    </row>
    <row r="303" spans="1:14" s="131" customFormat="1" ht="28.2" customHeight="1">
      <c r="A303" s="11">
        <v>298</v>
      </c>
      <c r="B303" s="290">
        <v>298</v>
      </c>
      <c r="C303" s="129">
        <v>45914</v>
      </c>
      <c r="D303" s="10" t="s">
        <v>341</v>
      </c>
      <c r="E303" s="41" t="str">
        <f>IFERROR(VLOOKUP($D303,임시동력입.출고현황!$A:$G,E$5,0),)</f>
        <v>LTG</v>
      </c>
      <c r="F303" s="19" t="str">
        <f>IFERROR(VLOOKUP($D303,임시동력입.출고현황!$A:$G,F$5,0),)</f>
        <v>Lighting Fixture</v>
      </c>
      <c r="G303" s="19">
        <f>IFERROR(VLOOKUP($D303,임시동력입.출고현황!$A:$G,G$5,0),)</f>
        <v>0</v>
      </c>
      <c r="H303" s="19" t="str">
        <f>IFERROR(VLOOKUP($D303,임시동력입.출고현황!$A:$G,H$5,0),)</f>
        <v>400W</v>
      </c>
      <c r="I303" s="10" t="str">
        <f>IFERROR(VLOOKUP($D303,임시동력입.출고현황!$A:$G,I$5,0),)</f>
        <v>EA</v>
      </c>
      <c r="J303" s="10"/>
      <c r="K303" s="95"/>
      <c r="L303" s="57">
        <v>4</v>
      </c>
      <c r="M303" s="81" t="s">
        <v>439</v>
      </c>
      <c r="N303" s="134"/>
    </row>
    <row r="304" spans="1:14" s="131" customFormat="1" ht="28.2" customHeight="1">
      <c r="A304" s="11">
        <v>299</v>
      </c>
      <c r="B304" s="290">
        <v>299</v>
      </c>
      <c r="C304" s="129">
        <v>45914</v>
      </c>
      <c r="D304" s="10" t="s">
        <v>335</v>
      </c>
      <c r="E304" s="41" t="str">
        <f>IFERROR(VLOOKUP($D304,임시동력입.출고현황!$A:$G,E$5,0),)</f>
        <v>Cable</v>
      </c>
      <c r="F304" s="19" t="str">
        <f>IFERROR(VLOOKUP($D304,임시동력입.출고현황!$A:$G,F$5,0),)</f>
        <v>CV Cable</v>
      </c>
      <c r="G304" s="19">
        <f>IFERROR(VLOOKUP($D304,임시동력입.출고현황!$A:$G,G$5,0),)</f>
        <v>0</v>
      </c>
      <c r="H304" s="19" t="str">
        <f>IFERROR(VLOOKUP($D304,임시동력입.출고현황!$A:$G,H$5,0),)</f>
        <v>3C x 2.5mm2</v>
      </c>
      <c r="I304" s="10" t="str">
        <f>IFERROR(VLOOKUP($D304,임시동력입.출고현황!$A:$G,I$5,0),)</f>
        <v>M</v>
      </c>
      <c r="J304" s="10"/>
      <c r="K304" s="95"/>
      <c r="L304" s="57">
        <v>75</v>
      </c>
      <c r="M304" s="81" t="s">
        <v>439</v>
      </c>
      <c r="N304" s="134"/>
    </row>
    <row r="305" spans="1:14" s="131" customFormat="1" ht="28.2" customHeight="1">
      <c r="A305" s="11">
        <v>300</v>
      </c>
      <c r="B305" s="290">
        <v>300</v>
      </c>
      <c r="C305" s="129">
        <v>45914</v>
      </c>
      <c r="D305" s="10" t="s">
        <v>543</v>
      </c>
      <c r="E305" s="41" t="str">
        <f>IFERROR(VLOOKUP($D305,임시동력입.출고현황!$A:$G,E$5,0),)</f>
        <v>LTG</v>
      </c>
      <c r="F305" s="19" t="str">
        <f>IFERROR(VLOOKUP($D305,임시동력입.출고현황!$A:$G,F$5,0),)</f>
        <v>Lighting Fixture</v>
      </c>
      <c r="G305" s="19">
        <f>IFERROR(VLOOKUP($D305,임시동력입.출고현황!$A:$G,G$5,0),)</f>
        <v>0</v>
      </c>
      <c r="H305" s="19" t="str">
        <f>IFERROR(VLOOKUP($D305,임시동력입.출고현황!$A:$G,H$5,0),)</f>
        <v>50W</v>
      </c>
      <c r="I305" s="10" t="str">
        <f>IFERROR(VLOOKUP($D305,임시동력입.출고현황!$A:$G,I$5,0),)</f>
        <v>EA</v>
      </c>
      <c r="J305" s="10"/>
      <c r="K305" s="95"/>
      <c r="L305" s="57">
        <v>10</v>
      </c>
      <c r="M305" s="81" t="s">
        <v>439</v>
      </c>
      <c r="N305" s="134"/>
    </row>
    <row r="306" spans="1:14" s="131" customFormat="1" ht="28.2" customHeight="1">
      <c r="A306" s="11">
        <v>301</v>
      </c>
      <c r="B306" s="290">
        <v>301</v>
      </c>
      <c r="C306" s="129">
        <v>45915</v>
      </c>
      <c r="D306" s="10" t="s">
        <v>543</v>
      </c>
      <c r="E306" s="41" t="str">
        <f>IFERROR(VLOOKUP($D306,임시동력입.출고현황!$A:$G,E$5,0),)</f>
        <v>LTG</v>
      </c>
      <c r="F306" s="19" t="str">
        <f>IFERROR(VLOOKUP($D306,임시동력입.출고현황!$A:$G,F$5,0),)</f>
        <v>Lighting Fixture</v>
      </c>
      <c r="G306" s="19">
        <f>IFERROR(VLOOKUP($D306,임시동력입.출고현황!$A:$G,G$5,0),)</f>
        <v>0</v>
      </c>
      <c r="H306" s="19" t="str">
        <f>IFERROR(VLOOKUP($D306,임시동력입.출고현황!$A:$G,H$5,0),)</f>
        <v>50W</v>
      </c>
      <c r="I306" s="10" t="str">
        <f>IFERROR(VLOOKUP($D306,임시동력입.출고현황!$A:$G,I$5,0),)</f>
        <v>EA</v>
      </c>
      <c r="J306" s="10"/>
      <c r="K306" s="95"/>
      <c r="L306" s="57">
        <v>11</v>
      </c>
      <c r="M306" s="81" t="s">
        <v>439</v>
      </c>
      <c r="N306" s="134"/>
    </row>
    <row r="307" spans="1:14" s="131" customFormat="1" ht="28.2" customHeight="1">
      <c r="A307" s="11">
        <v>302</v>
      </c>
      <c r="B307" s="290">
        <v>302</v>
      </c>
      <c r="C307" s="129">
        <v>45916</v>
      </c>
      <c r="D307" s="10" t="s">
        <v>341</v>
      </c>
      <c r="E307" s="41" t="str">
        <f>IFERROR(VLOOKUP($D307,임시동력입.출고현황!$A:$G,E$5,0),)</f>
        <v>LTG</v>
      </c>
      <c r="F307" s="19" t="str">
        <f>IFERROR(VLOOKUP($D307,임시동력입.출고현황!$A:$G,F$5,0),)</f>
        <v>Lighting Fixture</v>
      </c>
      <c r="G307" s="19">
        <f>IFERROR(VLOOKUP($D307,임시동력입.출고현황!$A:$G,G$5,0),)</f>
        <v>0</v>
      </c>
      <c r="H307" s="19" t="str">
        <f>IFERROR(VLOOKUP($D307,임시동력입.출고현황!$A:$G,H$5,0),)</f>
        <v>400W</v>
      </c>
      <c r="I307" s="10" t="str">
        <f>IFERROR(VLOOKUP($D307,임시동력입.출고현황!$A:$G,I$5,0),)</f>
        <v>EA</v>
      </c>
      <c r="J307" s="10"/>
      <c r="K307" s="95"/>
      <c r="L307" s="57">
        <v>3</v>
      </c>
      <c r="M307" s="81" t="s">
        <v>439</v>
      </c>
      <c r="N307" s="134"/>
    </row>
    <row r="308" spans="1:14" s="131" customFormat="1" ht="28.2" customHeight="1">
      <c r="A308" s="11">
        <v>303</v>
      </c>
      <c r="B308" s="290">
        <v>303</v>
      </c>
      <c r="C308" s="129">
        <v>45917</v>
      </c>
      <c r="D308" s="10" t="s">
        <v>341</v>
      </c>
      <c r="E308" s="41" t="str">
        <f>IFERROR(VLOOKUP($D308,임시동력입.출고현황!$A:$G,E$5,0),)</f>
        <v>LTG</v>
      </c>
      <c r="F308" s="19" t="str">
        <f>IFERROR(VLOOKUP($D308,임시동력입.출고현황!$A:$G,F$5,0),)</f>
        <v>Lighting Fixture</v>
      </c>
      <c r="G308" s="19">
        <f>IFERROR(VLOOKUP($D308,임시동력입.출고현황!$A:$G,G$5,0),)</f>
        <v>0</v>
      </c>
      <c r="H308" s="19" t="str">
        <f>IFERROR(VLOOKUP($D308,임시동력입.출고현황!$A:$G,H$5,0),)</f>
        <v>400W</v>
      </c>
      <c r="I308" s="10" t="str">
        <f>IFERROR(VLOOKUP($D308,임시동력입.출고현황!$A:$G,I$5,0),)</f>
        <v>EA</v>
      </c>
      <c r="J308" s="10"/>
      <c r="K308" s="95"/>
      <c r="L308" s="57">
        <v>5</v>
      </c>
      <c r="M308" s="81" t="s">
        <v>439</v>
      </c>
      <c r="N308" s="134"/>
    </row>
    <row r="309" spans="1:14" s="131" customFormat="1" ht="28.2" customHeight="1">
      <c r="A309" s="11">
        <v>304</v>
      </c>
      <c r="B309" s="290">
        <v>304</v>
      </c>
      <c r="C309" s="129">
        <v>45917</v>
      </c>
      <c r="D309" s="10" t="s">
        <v>347</v>
      </c>
      <c r="E309" s="41" t="str">
        <f>IFERROR(VLOOKUP($D309,임시동력입.출고현황!$A:$G,E$5,0),)</f>
        <v>LTG</v>
      </c>
      <c r="F309" s="19" t="str">
        <f>IFERROR(VLOOKUP($D309,임시동력입.출고현황!$A:$G,F$5,0),)</f>
        <v>Lighting Fixture</v>
      </c>
      <c r="G309" s="19">
        <f>IFERROR(VLOOKUP($D309,임시동력입.출고현황!$A:$G,G$5,0),)</f>
        <v>0</v>
      </c>
      <c r="H309" s="19" t="str">
        <f>IFERROR(VLOOKUP($D309,임시동력입.출고현황!$A:$G,H$5,0),)</f>
        <v>200W</v>
      </c>
      <c r="I309" s="10" t="str">
        <f>IFERROR(VLOOKUP($D309,임시동력입.출고현황!$A:$G,I$5,0),)</f>
        <v>EA</v>
      </c>
      <c r="J309" s="10"/>
      <c r="K309" s="95"/>
      <c r="L309" s="57">
        <v>2</v>
      </c>
      <c r="M309" s="81" t="s">
        <v>439</v>
      </c>
      <c r="N309" s="134"/>
    </row>
    <row r="310" spans="1:14" s="131" customFormat="1" ht="28.2" customHeight="1">
      <c r="A310" s="11">
        <v>305</v>
      </c>
      <c r="B310" s="290">
        <v>305</v>
      </c>
      <c r="C310" s="129">
        <v>45917</v>
      </c>
      <c r="D310" s="10" t="s">
        <v>335</v>
      </c>
      <c r="E310" s="41" t="str">
        <f>IFERROR(VLOOKUP($D310,임시동력입.출고현황!$A:$G,E$5,0),)</f>
        <v>Cable</v>
      </c>
      <c r="F310" s="19" t="str">
        <f>IFERROR(VLOOKUP($D310,임시동력입.출고현황!$A:$G,F$5,0),)</f>
        <v>CV Cable</v>
      </c>
      <c r="G310" s="19">
        <f>IFERROR(VLOOKUP($D310,임시동력입.출고현황!$A:$G,G$5,0),)</f>
        <v>0</v>
      </c>
      <c r="H310" s="19" t="str">
        <f>IFERROR(VLOOKUP($D310,임시동력입.출고현황!$A:$G,H$5,0),)</f>
        <v>3C x 2.5mm2</v>
      </c>
      <c r="I310" s="10" t="str">
        <f>IFERROR(VLOOKUP($D310,임시동력입.출고현황!$A:$G,I$5,0),)</f>
        <v>M</v>
      </c>
      <c r="J310" s="10"/>
      <c r="K310" s="95"/>
      <c r="L310" s="57">
        <v>100</v>
      </c>
      <c r="M310" s="81" t="s">
        <v>439</v>
      </c>
      <c r="N310" s="134"/>
    </row>
    <row r="311" spans="1:14" s="131" customFormat="1" ht="28.2" customHeight="1">
      <c r="A311" s="11">
        <v>306</v>
      </c>
      <c r="B311" s="290">
        <v>306</v>
      </c>
      <c r="C311" s="129">
        <v>45917</v>
      </c>
      <c r="D311" s="10" t="s">
        <v>336</v>
      </c>
      <c r="E311" s="41" t="str">
        <f>IFERROR(VLOOKUP($D311,임시동력입.출고현황!$A:$G,E$5,0),)</f>
        <v>Cable</v>
      </c>
      <c r="F311" s="19" t="str">
        <f>IFERROR(VLOOKUP($D311,임시동력입.출고현황!$A:$G,F$5,0),)</f>
        <v>CV Cable</v>
      </c>
      <c r="G311" s="19">
        <f>IFERROR(VLOOKUP($D311,임시동력입.출고현황!$A:$G,G$5,0),)</f>
        <v>0</v>
      </c>
      <c r="H311" s="19" t="str">
        <f>IFERROR(VLOOKUP($D311,임시동력입.출고현황!$A:$G,H$5,0),)</f>
        <v>3C x 1.5mm2</v>
      </c>
      <c r="I311" s="10" t="str">
        <f>IFERROR(VLOOKUP($D311,임시동력입.출고현황!$A:$G,I$5,0),)</f>
        <v>M</v>
      </c>
      <c r="J311" s="10"/>
      <c r="K311" s="95"/>
      <c r="L311" s="57">
        <v>16</v>
      </c>
      <c r="M311" s="81" t="s">
        <v>439</v>
      </c>
      <c r="N311" s="134"/>
    </row>
    <row r="312" spans="1:14" s="131" customFormat="1" ht="28.2" customHeight="1">
      <c r="A312" s="11">
        <v>307</v>
      </c>
      <c r="B312" s="290">
        <v>307</v>
      </c>
      <c r="C312" s="129">
        <v>45918</v>
      </c>
      <c r="D312" s="10" t="s">
        <v>341</v>
      </c>
      <c r="E312" s="41" t="str">
        <f>IFERROR(VLOOKUP($D312,임시동력입.출고현황!$A:$G,E$5,0),)</f>
        <v>LTG</v>
      </c>
      <c r="F312" s="19" t="str">
        <f>IFERROR(VLOOKUP($D312,임시동력입.출고현황!$A:$G,F$5,0),)</f>
        <v>Lighting Fixture</v>
      </c>
      <c r="G312" s="19">
        <f>IFERROR(VLOOKUP($D312,임시동력입.출고현황!$A:$G,G$5,0),)</f>
        <v>0</v>
      </c>
      <c r="H312" s="19" t="str">
        <f>IFERROR(VLOOKUP($D312,임시동력입.출고현황!$A:$G,H$5,0),)</f>
        <v>400W</v>
      </c>
      <c r="I312" s="10" t="str">
        <f>IFERROR(VLOOKUP($D312,임시동력입.출고현황!$A:$G,I$5,0),)</f>
        <v>EA</v>
      </c>
      <c r="J312" s="10"/>
      <c r="K312" s="95"/>
      <c r="L312" s="57">
        <v>4</v>
      </c>
      <c r="M312" s="81" t="s">
        <v>439</v>
      </c>
      <c r="N312" s="134"/>
    </row>
    <row r="313" spans="1:14" s="131" customFormat="1" ht="28.2" customHeight="1">
      <c r="A313" s="11">
        <v>308</v>
      </c>
      <c r="B313" s="290">
        <v>308</v>
      </c>
      <c r="C313" s="129">
        <v>45918</v>
      </c>
      <c r="D313" s="10" t="s">
        <v>347</v>
      </c>
      <c r="E313" s="41" t="str">
        <f>IFERROR(VLOOKUP($D313,임시동력입.출고현황!$A:$G,E$5,0),)</f>
        <v>LTG</v>
      </c>
      <c r="F313" s="19" t="str">
        <f>IFERROR(VLOOKUP($D313,임시동력입.출고현황!$A:$G,F$5,0),)</f>
        <v>Lighting Fixture</v>
      </c>
      <c r="G313" s="19">
        <f>IFERROR(VLOOKUP($D313,임시동력입.출고현황!$A:$G,G$5,0),)</f>
        <v>0</v>
      </c>
      <c r="H313" s="19" t="str">
        <f>IFERROR(VLOOKUP($D313,임시동력입.출고현황!$A:$G,H$5,0),)</f>
        <v>200W</v>
      </c>
      <c r="I313" s="10" t="str">
        <f>IFERROR(VLOOKUP($D313,임시동력입.출고현황!$A:$G,I$5,0),)</f>
        <v>EA</v>
      </c>
      <c r="J313" s="10"/>
      <c r="K313" s="95"/>
      <c r="L313" s="57">
        <v>1</v>
      </c>
      <c r="M313" s="81" t="s">
        <v>439</v>
      </c>
      <c r="N313" s="134"/>
    </row>
    <row r="314" spans="1:14" s="131" customFormat="1" ht="28.2" customHeight="1">
      <c r="A314" s="11">
        <v>309</v>
      </c>
      <c r="B314" s="290">
        <v>309</v>
      </c>
      <c r="C314" s="129">
        <v>45918</v>
      </c>
      <c r="D314" s="10" t="s">
        <v>336</v>
      </c>
      <c r="E314" s="41" t="str">
        <f>IFERROR(VLOOKUP($D314,임시동력입.출고현황!$A:$G,E$5,0),)</f>
        <v>Cable</v>
      </c>
      <c r="F314" s="19" t="str">
        <f>IFERROR(VLOOKUP($D314,임시동력입.출고현황!$A:$G,F$5,0),)</f>
        <v>CV Cable</v>
      </c>
      <c r="G314" s="19">
        <f>IFERROR(VLOOKUP($D314,임시동력입.출고현황!$A:$G,G$5,0),)</f>
        <v>0</v>
      </c>
      <c r="H314" s="19" t="str">
        <f>IFERROR(VLOOKUP($D314,임시동력입.출고현황!$A:$G,H$5,0),)</f>
        <v>3C x 1.5mm2</v>
      </c>
      <c r="I314" s="10" t="str">
        <f>IFERROR(VLOOKUP($D314,임시동력입.출고현황!$A:$G,I$5,0),)</f>
        <v>M</v>
      </c>
      <c r="J314" s="10"/>
      <c r="K314" s="95"/>
      <c r="L314" s="57">
        <v>10</v>
      </c>
      <c r="M314" s="81" t="s">
        <v>439</v>
      </c>
      <c r="N314" s="134"/>
    </row>
    <row r="315" spans="1:14" s="131" customFormat="1" ht="28.2" customHeight="1">
      <c r="A315" s="11">
        <v>310</v>
      </c>
      <c r="B315" s="290">
        <v>310</v>
      </c>
      <c r="C315" s="129">
        <v>45919</v>
      </c>
      <c r="D315" s="10" t="s">
        <v>341</v>
      </c>
      <c r="E315" s="41" t="str">
        <f>IFERROR(VLOOKUP($D315,임시동력입.출고현황!$A:$G,E$5,0),)</f>
        <v>LTG</v>
      </c>
      <c r="F315" s="19" t="str">
        <f>IFERROR(VLOOKUP($D315,임시동력입.출고현황!$A:$G,F$5,0),)</f>
        <v>Lighting Fixture</v>
      </c>
      <c r="G315" s="19">
        <f>IFERROR(VLOOKUP($D315,임시동력입.출고현황!$A:$G,G$5,0),)</f>
        <v>0</v>
      </c>
      <c r="H315" s="19" t="str">
        <f>IFERROR(VLOOKUP($D315,임시동력입.출고현황!$A:$G,H$5,0),)</f>
        <v>400W</v>
      </c>
      <c r="I315" s="10" t="str">
        <f>IFERROR(VLOOKUP($D315,임시동력입.출고현황!$A:$G,I$5,0),)</f>
        <v>EA</v>
      </c>
      <c r="J315" s="10"/>
      <c r="K315" s="95"/>
      <c r="L315" s="57">
        <v>5</v>
      </c>
      <c r="M315" s="81" t="s">
        <v>439</v>
      </c>
      <c r="N315" s="134"/>
    </row>
    <row r="316" spans="1:14" s="131" customFormat="1" ht="28.2" customHeight="1">
      <c r="A316" s="11">
        <v>311</v>
      </c>
      <c r="B316" s="290">
        <v>311</v>
      </c>
      <c r="C316" s="129">
        <v>45919</v>
      </c>
      <c r="D316" s="10" t="s">
        <v>347</v>
      </c>
      <c r="E316" s="41" t="str">
        <f>IFERROR(VLOOKUP($D316,임시동력입.출고현황!$A:$G,E$5,0),)</f>
        <v>LTG</v>
      </c>
      <c r="F316" s="19" t="str">
        <f>IFERROR(VLOOKUP($D316,임시동력입.출고현황!$A:$G,F$5,0),)</f>
        <v>Lighting Fixture</v>
      </c>
      <c r="G316" s="19">
        <f>IFERROR(VLOOKUP($D316,임시동력입.출고현황!$A:$G,G$5,0),)</f>
        <v>0</v>
      </c>
      <c r="H316" s="19" t="str">
        <f>IFERROR(VLOOKUP($D316,임시동력입.출고현황!$A:$G,H$5,0),)</f>
        <v>200W</v>
      </c>
      <c r="I316" s="10" t="str">
        <f>IFERROR(VLOOKUP($D316,임시동력입.출고현황!$A:$G,I$5,0),)</f>
        <v>EA</v>
      </c>
      <c r="J316" s="10"/>
      <c r="K316" s="95"/>
      <c r="L316" s="57">
        <v>2</v>
      </c>
      <c r="M316" s="81" t="s">
        <v>439</v>
      </c>
      <c r="N316" s="134"/>
    </row>
    <row r="317" spans="1:14" s="131" customFormat="1" ht="28.2" customHeight="1">
      <c r="A317" s="11">
        <v>312</v>
      </c>
      <c r="B317" s="290">
        <v>312</v>
      </c>
      <c r="C317" s="129">
        <v>45919</v>
      </c>
      <c r="D317" s="10" t="s">
        <v>348</v>
      </c>
      <c r="E317" s="41" t="str">
        <f>IFERROR(VLOOKUP($D317,임시동력입.출고현황!$A:$G,E$5,0),)</f>
        <v>LTG</v>
      </c>
      <c r="F317" s="19" t="str">
        <f>IFERROR(VLOOKUP($D317,임시동력입.출고현황!$A:$G,F$5,0),)</f>
        <v>Lighting Fixture</v>
      </c>
      <c r="G317" s="19">
        <f>IFERROR(VLOOKUP($D317,임시동력입.출고현황!$A:$G,G$5,0),)</f>
        <v>0</v>
      </c>
      <c r="H317" s="19" t="str">
        <f>IFERROR(VLOOKUP($D317,임시동력입.출고현황!$A:$G,H$5,0),)</f>
        <v>100W</v>
      </c>
      <c r="I317" s="10" t="str">
        <f>IFERROR(VLOOKUP($D317,임시동력입.출고현황!$A:$G,I$5,0),)</f>
        <v>EA</v>
      </c>
      <c r="J317" s="10"/>
      <c r="K317" s="95"/>
      <c r="L317" s="57">
        <v>2</v>
      </c>
      <c r="M317" s="81" t="s">
        <v>439</v>
      </c>
      <c r="N317" s="134"/>
    </row>
    <row r="318" spans="1:14" s="131" customFormat="1" ht="28.2" customHeight="1">
      <c r="A318" s="11">
        <v>313</v>
      </c>
      <c r="B318" s="290">
        <v>313</v>
      </c>
      <c r="C318" s="129">
        <v>45920</v>
      </c>
      <c r="D318" s="10" t="s">
        <v>347</v>
      </c>
      <c r="E318" s="41" t="str">
        <f>IFERROR(VLOOKUP($D318,임시동력입.출고현황!$A:$G,E$5,0),)</f>
        <v>LTG</v>
      </c>
      <c r="F318" s="19" t="str">
        <f>IFERROR(VLOOKUP($D318,임시동력입.출고현황!$A:$G,F$5,0),)</f>
        <v>Lighting Fixture</v>
      </c>
      <c r="G318" s="19">
        <f>IFERROR(VLOOKUP($D318,임시동력입.출고현황!$A:$G,G$5,0),)</f>
        <v>0</v>
      </c>
      <c r="H318" s="19" t="str">
        <f>IFERROR(VLOOKUP($D318,임시동력입.출고현황!$A:$G,H$5,0),)</f>
        <v>200W</v>
      </c>
      <c r="I318" s="10" t="str">
        <f>IFERROR(VLOOKUP($D318,임시동력입.출고현황!$A:$G,I$5,0),)</f>
        <v>EA</v>
      </c>
      <c r="J318" s="10"/>
      <c r="K318" s="95"/>
      <c r="L318" s="57">
        <v>4</v>
      </c>
      <c r="M318" s="81" t="s">
        <v>439</v>
      </c>
      <c r="N318" s="134"/>
    </row>
    <row r="319" spans="1:14" s="131" customFormat="1" ht="28.2" customHeight="1">
      <c r="A319" s="11">
        <v>314</v>
      </c>
      <c r="B319" s="290">
        <v>314</v>
      </c>
      <c r="C319" s="129">
        <v>45921</v>
      </c>
      <c r="D319" s="10" t="s">
        <v>341</v>
      </c>
      <c r="E319" s="41" t="str">
        <f>IFERROR(VLOOKUP($D319,임시동력입.출고현황!$A:$G,E$5,0),)</f>
        <v>LTG</v>
      </c>
      <c r="F319" s="19" t="str">
        <f>IFERROR(VLOOKUP($D319,임시동력입.출고현황!$A:$G,F$5,0),)</f>
        <v>Lighting Fixture</v>
      </c>
      <c r="G319" s="19">
        <f>IFERROR(VLOOKUP($D319,임시동력입.출고현황!$A:$G,G$5,0),)</f>
        <v>0</v>
      </c>
      <c r="H319" s="19" t="str">
        <f>IFERROR(VLOOKUP($D319,임시동력입.출고현황!$A:$G,H$5,0),)</f>
        <v>400W</v>
      </c>
      <c r="I319" s="10" t="str">
        <f>IFERROR(VLOOKUP($D319,임시동력입.출고현황!$A:$G,I$5,0),)</f>
        <v>EA</v>
      </c>
      <c r="J319" s="10"/>
      <c r="K319" s="95"/>
      <c r="L319" s="57">
        <v>4</v>
      </c>
      <c r="M319" s="81" t="s">
        <v>439</v>
      </c>
      <c r="N319" s="134"/>
    </row>
    <row r="320" spans="1:14" s="131" customFormat="1" ht="28.2" customHeight="1">
      <c r="A320" s="11">
        <v>315</v>
      </c>
      <c r="B320" s="290">
        <v>315</v>
      </c>
      <c r="C320" s="129">
        <v>45922</v>
      </c>
      <c r="D320" s="10" t="s">
        <v>347</v>
      </c>
      <c r="E320" s="41" t="str">
        <f>IFERROR(VLOOKUP($D320,임시동력입.출고현황!$A:$G,E$5,0),)</f>
        <v>LTG</v>
      </c>
      <c r="F320" s="19" t="str">
        <f>IFERROR(VLOOKUP($D320,임시동력입.출고현황!$A:$G,F$5,0),)</f>
        <v>Lighting Fixture</v>
      </c>
      <c r="G320" s="19">
        <f>IFERROR(VLOOKUP($D320,임시동력입.출고현황!$A:$G,G$5,0),)</f>
        <v>0</v>
      </c>
      <c r="H320" s="19" t="str">
        <f>IFERROR(VLOOKUP($D320,임시동력입.출고현황!$A:$G,H$5,0),)</f>
        <v>200W</v>
      </c>
      <c r="I320" s="10" t="str">
        <f>IFERROR(VLOOKUP($D320,임시동력입.출고현황!$A:$G,I$5,0),)</f>
        <v>EA</v>
      </c>
      <c r="J320" s="10"/>
      <c r="K320" s="95"/>
      <c r="L320" s="57">
        <v>4</v>
      </c>
      <c r="M320" s="81" t="s">
        <v>439</v>
      </c>
      <c r="N320" s="134"/>
    </row>
    <row r="321" spans="1:14" s="131" customFormat="1" ht="28.2" customHeight="1">
      <c r="A321" s="11">
        <v>316</v>
      </c>
      <c r="B321" s="290">
        <v>316</v>
      </c>
      <c r="C321" s="129">
        <v>45922</v>
      </c>
      <c r="D321" s="10" t="s">
        <v>341</v>
      </c>
      <c r="E321" s="41" t="str">
        <f>IFERROR(VLOOKUP($D321,임시동력입.출고현황!$A:$G,E$5,0),)</f>
        <v>LTG</v>
      </c>
      <c r="F321" s="19" t="str">
        <f>IFERROR(VLOOKUP($D321,임시동력입.출고현황!$A:$G,F$5,0),)</f>
        <v>Lighting Fixture</v>
      </c>
      <c r="G321" s="19">
        <f>IFERROR(VLOOKUP($D321,임시동력입.출고현황!$A:$G,G$5,0),)</f>
        <v>0</v>
      </c>
      <c r="H321" s="19" t="str">
        <f>IFERROR(VLOOKUP($D321,임시동력입.출고현황!$A:$G,H$5,0),)</f>
        <v>400W</v>
      </c>
      <c r="I321" s="10" t="str">
        <f>IFERROR(VLOOKUP($D321,임시동력입.출고현황!$A:$G,I$5,0),)</f>
        <v>EA</v>
      </c>
      <c r="J321" s="10"/>
      <c r="K321" s="95"/>
      <c r="L321" s="57">
        <v>6</v>
      </c>
      <c r="M321" s="81" t="s">
        <v>439</v>
      </c>
      <c r="N321" s="134"/>
    </row>
    <row r="322" spans="1:14" s="131" customFormat="1" ht="28.2" customHeight="1">
      <c r="A322" s="11">
        <v>317</v>
      </c>
      <c r="B322" s="290">
        <v>317</v>
      </c>
      <c r="C322" s="129">
        <v>45922</v>
      </c>
      <c r="D322" s="10" t="s">
        <v>336</v>
      </c>
      <c r="E322" s="41" t="str">
        <f>IFERROR(VLOOKUP($D322,임시동력입.출고현황!$A:$G,E$5,0),)</f>
        <v>Cable</v>
      </c>
      <c r="F322" s="19" t="str">
        <f>IFERROR(VLOOKUP($D322,임시동력입.출고현황!$A:$G,F$5,0),)</f>
        <v>CV Cable</v>
      </c>
      <c r="G322" s="19">
        <f>IFERROR(VLOOKUP($D322,임시동력입.출고현황!$A:$G,G$5,0),)</f>
        <v>0</v>
      </c>
      <c r="H322" s="19" t="str">
        <f>IFERROR(VLOOKUP($D322,임시동력입.출고현황!$A:$G,H$5,0),)</f>
        <v>3C x 1.5mm2</v>
      </c>
      <c r="I322" s="10" t="str">
        <f>IFERROR(VLOOKUP($D322,임시동력입.출고현황!$A:$G,I$5,0),)</f>
        <v>M</v>
      </c>
      <c r="J322" s="10"/>
      <c r="K322" s="95"/>
      <c r="L322" s="57">
        <v>100</v>
      </c>
      <c r="M322" s="81" t="s">
        <v>439</v>
      </c>
      <c r="N322" s="134"/>
    </row>
    <row r="323" spans="1:14" s="131" customFormat="1" ht="28.2" customHeight="1">
      <c r="A323" s="11">
        <v>318</v>
      </c>
      <c r="B323" s="290">
        <v>318</v>
      </c>
      <c r="C323" s="129">
        <v>45922</v>
      </c>
      <c r="D323" s="10" t="s">
        <v>331</v>
      </c>
      <c r="E323" s="41" t="str">
        <f>IFERROR(VLOOKUP($D323,임시동력입.출고현황!$A:$G,E$5,0),)</f>
        <v>Cable</v>
      </c>
      <c r="F323" s="19" t="str">
        <f>IFERROR(VLOOKUP($D323,임시동력입.출고현황!$A:$G,F$5,0),)</f>
        <v>CV Cable</v>
      </c>
      <c r="G323" s="19">
        <f>IFERROR(VLOOKUP($D323,임시동력입.출고현황!$A:$G,G$5,0),)</f>
        <v>0</v>
      </c>
      <c r="H323" s="19" t="str">
        <f>IFERROR(VLOOKUP($D323,임시동력입.출고현황!$A:$G,H$5,0),)</f>
        <v>4C x 6mm2</v>
      </c>
      <c r="I323" s="10" t="str">
        <f>IFERROR(VLOOKUP($D323,임시동력입.출고현황!$A:$G,I$5,0),)</f>
        <v>M</v>
      </c>
      <c r="J323" s="10"/>
      <c r="K323" s="95"/>
      <c r="L323" s="57">
        <v>100</v>
      </c>
      <c r="M323" s="81" t="s">
        <v>439</v>
      </c>
      <c r="N323" s="134"/>
    </row>
    <row r="324" spans="1:14" s="131" customFormat="1" ht="28.2" customHeight="1">
      <c r="A324" s="11">
        <v>319</v>
      </c>
      <c r="B324" s="290">
        <v>319</v>
      </c>
      <c r="C324" s="129">
        <v>45922</v>
      </c>
      <c r="D324" s="10" t="s">
        <v>284</v>
      </c>
      <c r="E324" s="41" t="str">
        <f>IFERROR(VLOOKUP($D324,임시동력입.출고현황!$A:$G,E$5,0),)</f>
        <v>D/G</v>
      </c>
      <c r="F324" s="19" t="str">
        <f>IFERROR(VLOOKUP($D324,임시동력입.출고현황!$A:$G,F$5,0),)</f>
        <v>Generator</v>
      </c>
      <c r="G324" s="19">
        <f>IFERROR(VLOOKUP($D324,임시동력입.출고현황!$A:$G,G$5,0),)</f>
        <v>0</v>
      </c>
      <c r="H324" s="19" t="str">
        <f>IFERROR(VLOOKUP($D324,임시동력입.출고현황!$A:$G,H$5,0),)</f>
        <v>50KVA</v>
      </c>
      <c r="I324" s="10" t="str">
        <f>IFERROR(VLOOKUP($D324,임시동력입.출고현황!$A:$G,I$5,0),)</f>
        <v>대</v>
      </c>
      <c r="J324" s="10"/>
      <c r="K324" s="95"/>
      <c r="L324" s="57">
        <v>1</v>
      </c>
      <c r="M324" s="81" t="s">
        <v>439</v>
      </c>
      <c r="N324" s="134"/>
    </row>
    <row r="325" spans="1:14" s="131" customFormat="1" ht="28.2" customHeight="1">
      <c r="A325" s="11">
        <v>320</v>
      </c>
      <c r="B325" s="290">
        <v>320</v>
      </c>
      <c r="C325" s="129">
        <v>45923</v>
      </c>
      <c r="D325" s="10" t="s">
        <v>336</v>
      </c>
      <c r="E325" s="41" t="str">
        <f>IFERROR(VLOOKUP($D325,임시동력입.출고현황!$A:$G,E$5,0),)</f>
        <v>Cable</v>
      </c>
      <c r="F325" s="19" t="str">
        <f>IFERROR(VLOOKUP($D325,임시동력입.출고현황!$A:$G,F$5,0),)</f>
        <v>CV Cable</v>
      </c>
      <c r="G325" s="19">
        <f>IFERROR(VLOOKUP($D325,임시동력입.출고현황!$A:$G,G$5,0),)</f>
        <v>0</v>
      </c>
      <c r="H325" s="19" t="str">
        <f>IFERROR(VLOOKUP($D325,임시동력입.출고현황!$A:$G,H$5,0),)</f>
        <v>3C x 1.5mm2</v>
      </c>
      <c r="I325" s="10" t="str">
        <f>IFERROR(VLOOKUP($D325,임시동력입.출고현황!$A:$G,I$5,0),)</f>
        <v>M</v>
      </c>
      <c r="J325" s="10"/>
      <c r="K325" s="95"/>
      <c r="L325" s="57">
        <v>100</v>
      </c>
      <c r="M325" s="81" t="s">
        <v>439</v>
      </c>
      <c r="N325" s="134"/>
    </row>
    <row r="326" spans="1:14" s="131" customFormat="1" ht="28.2" customHeight="1">
      <c r="A326" s="11">
        <v>321</v>
      </c>
      <c r="B326" s="290">
        <v>321</v>
      </c>
      <c r="C326" s="129">
        <v>45923</v>
      </c>
      <c r="D326" s="10" t="s">
        <v>341</v>
      </c>
      <c r="E326" s="41" t="str">
        <f>IFERROR(VLOOKUP($D326,임시동력입.출고현황!$A:$G,E$5,0),)</f>
        <v>LTG</v>
      </c>
      <c r="F326" s="19" t="str">
        <f>IFERROR(VLOOKUP($D326,임시동력입.출고현황!$A:$G,F$5,0),)</f>
        <v>Lighting Fixture</v>
      </c>
      <c r="G326" s="19">
        <f>IFERROR(VLOOKUP($D326,임시동력입.출고현황!$A:$G,G$5,0),)</f>
        <v>0</v>
      </c>
      <c r="H326" s="19" t="str">
        <f>IFERROR(VLOOKUP($D326,임시동력입.출고현황!$A:$G,H$5,0),)</f>
        <v>400W</v>
      </c>
      <c r="I326" s="10" t="str">
        <f>IFERROR(VLOOKUP($D326,임시동력입.출고현황!$A:$G,I$5,0),)</f>
        <v>EA</v>
      </c>
      <c r="J326" s="10"/>
      <c r="K326" s="95"/>
      <c r="L326" s="57">
        <v>1</v>
      </c>
      <c r="M326" s="81" t="s">
        <v>439</v>
      </c>
      <c r="N326" s="134"/>
    </row>
    <row r="327" spans="1:14" s="131" customFormat="1" ht="28.2" customHeight="1">
      <c r="A327" s="11">
        <v>322</v>
      </c>
      <c r="B327" s="290">
        <v>322</v>
      </c>
      <c r="C327" s="129">
        <v>45923</v>
      </c>
      <c r="D327" s="10" t="s">
        <v>329</v>
      </c>
      <c r="E327" s="41" t="str">
        <f>IFERROR(VLOOKUP($D327,임시동력입.출고현황!$A:$G,E$5,0),)</f>
        <v>Cable</v>
      </c>
      <c r="F327" s="19" t="str">
        <f>IFERROR(VLOOKUP($D327,임시동력입.출고현황!$A:$G,F$5,0),)</f>
        <v>CV Cable</v>
      </c>
      <c r="G327" s="19">
        <f>IFERROR(VLOOKUP($D327,임시동력입.출고현황!$A:$G,G$5,0),)</f>
        <v>0</v>
      </c>
      <c r="H327" s="19" t="str">
        <f>IFERROR(VLOOKUP($D327,임시동력입.출고현황!$A:$G,H$5,0),)</f>
        <v>4C x 16mm2</v>
      </c>
      <c r="I327" s="10" t="str">
        <f>IFERROR(VLOOKUP($D327,임시동력입.출고현황!$A:$G,I$5,0),)</f>
        <v>M</v>
      </c>
      <c r="J327" s="10"/>
      <c r="K327" s="95"/>
      <c r="L327" s="57">
        <v>45</v>
      </c>
      <c r="M327" s="81" t="s">
        <v>439</v>
      </c>
      <c r="N327" s="134"/>
    </row>
    <row r="328" spans="1:14" s="131" customFormat="1" ht="28.2" customHeight="1">
      <c r="A328" s="11">
        <v>323</v>
      </c>
      <c r="B328" s="290">
        <v>323</v>
      </c>
      <c r="C328" s="129">
        <v>45923</v>
      </c>
      <c r="D328" s="10" t="s">
        <v>308</v>
      </c>
      <c r="E328" s="41" t="str">
        <f>IFERROR(VLOOKUP($D328,임시동력입.출고현황!$A:$G,E$5,0),)</f>
        <v>Panel</v>
      </c>
      <c r="F328" s="19" t="str">
        <f>IFERROR(VLOOKUP($D328,임시동력입.출고현황!$A:$G,F$5,0),)</f>
        <v>Electrical Panel</v>
      </c>
      <c r="G328" s="19">
        <f>IFERROR(VLOOKUP($D328,임시동력입.출고현황!$A:$G,G$5,0),)</f>
        <v>0</v>
      </c>
      <c r="H328" s="19" t="str">
        <f>IFERROR(VLOOKUP($D328,임시동력입.출고현황!$A:$G,H$5,0),)</f>
        <v>125A</v>
      </c>
      <c r="I328" s="10" t="str">
        <f>IFERROR(VLOOKUP($D328,임시동력입.출고현황!$A:$G,I$5,0),)</f>
        <v>EA</v>
      </c>
      <c r="J328" s="10"/>
      <c r="K328" s="95"/>
      <c r="L328" s="57">
        <v>1</v>
      </c>
      <c r="M328" s="81" t="s">
        <v>439</v>
      </c>
      <c r="N328" s="134"/>
    </row>
    <row r="329" spans="1:14" s="131" customFormat="1" ht="28.2" customHeight="1">
      <c r="A329" s="11">
        <v>324</v>
      </c>
      <c r="B329" s="290">
        <v>324</v>
      </c>
      <c r="C329" s="129">
        <v>45923</v>
      </c>
      <c r="D329" s="10" t="s">
        <v>347</v>
      </c>
      <c r="E329" s="41" t="str">
        <f>IFERROR(VLOOKUP($D329,임시동력입.출고현황!$A:$G,E$5,0),)</f>
        <v>LTG</v>
      </c>
      <c r="F329" s="19" t="str">
        <f>IFERROR(VLOOKUP($D329,임시동력입.출고현황!$A:$G,F$5,0),)</f>
        <v>Lighting Fixture</v>
      </c>
      <c r="G329" s="19">
        <f>IFERROR(VLOOKUP($D329,임시동력입.출고현황!$A:$G,G$5,0),)</f>
        <v>0</v>
      </c>
      <c r="H329" s="19" t="str">
        <f>IFERROR(VLOOKUP($D329,임시동력입.출고현황!$A:$G,H$5,0),)</f>
        <v>200W</v>
      </c>
      <c r="I329" s="10" t="str">
        <f>IFERROR(VLOOKUP($D329,임시동력입.출고현황!$A:$G,I$5,0),)</f>
        <v>EA</v>
      </c>
      <c r="J329" s="10"/>
      <c r="K329" s="95"/>
      <c r="L329" s="57">
        <v>1</v>
      </c>
      <c r="M329" s="81" t="s">
        <v>439</v>
      </c>
      <c r="N329" s="134"/>
    </row>
    <row r="330" spans="1:14" s="131" customFormat="1" ht="28.2" customHeight="1">
      <c r="A330" s="11">
        <v>325</v>
      </c>
      <c r="B330" s="290">
        <v>325</v>
      </c>
      <c r="C330" s="129">
        <v>45924</v>
      </c>
      <c r="D330" s="10" t="s">
        <v>335</v>
      </c>
      <c r="E330" s="41" t="str">
        <f>IFERROR(VLOOKUP($D330,임시동력입.출고현황!$A:$G,E$5,0),)</f>
        <v>Cable</v>
      </c>
      <c r="F330" s="19" t="str">
        <f>IFERROR(VLOOKUP($D330,임시동력입.출고현황!$A:$G,F$5,0),)</f>
        <v>CV Cable</v>
      </c>
      <c r="G330" s="19">
        <f>IFERROR(VLOOKUP($D330,임시동력입.출고현황!$A:$G,G$5,0),)</f>
        <v>0</v>
      </c>
      <c r="H330" s="19" t="str">
        <f>IFERROR(VLOOKUP($D330,임시동력입.출고현황!$A:$G,H$5,0),)</f>
        <v>3C x 2.5mm2</v>
      </c>
      <c r="I330" s="10" t="str">
        <f>IFERROR(VLOOKUP($D330,임시동력입.출고현황!$A:$G,I$5,0),)</f>
        <v>M</v>
      </c>
      <c r="J330" s="10"/>
      <c r="K330" s="95"/>
      <c r="L330" s="57">
        <v>150</v>
      </c>
      <c r="M330" s="81" t="s">
        <v>439</v>
      </c>
      <c r="N330" s="134"/>
    </row>
    <row r="331" spans="1:14" s="131" customFormat="1" ht="28.2" customHeight="1">
      <c r="A331" s="11">
        <v>326</v>
      </c>
      <c r="B331" s="290">
        <v>326</v>
      </c>
      <c r="C331" s="129">
        <v>45924</v>
      </c>
      <c r="D331" s="10" t="s">
        <v>341</v>
      </c>
      <c r="E331" s="41" t="str">
        <f>IFERROR(VLOOKUP($D331,임시동력입.출고현황!$A:$G,E$5,0),)</f>
        <v>LTG</v>
      </c>
      <c r="F331" s="19" t="str">
        <f>IFERROR(VLOOKUP($D331,임시동력입.출고현황!$A:$G,F$5,0),)</f>
        <v>Lighting Fixture</v>
      </c>
      <c r="G331" s="19">
        <f>IFERROR(VLOOKUP($D331,임시동력입.출고현황!$A:$G,G$5,0),)</f>
        <v>0</v>
      </c>
      <c r="H331" s="19" t="str">
        <f>IFERROR(VLOOKUP($D331,임시동력입.출고현황!$A:$G,H$5,0),)</f>
        <v>400W</v>
      </c>
      <c r="I331" s="10" t="str">
        <f>IFERROR(VLOOKUP($D331,임시동력입.출고현황!$A:$G,I$5,0),)</f>
        <v>EA</v>
      </c>
      <c r="J331" s="10"/>
      <c r="K331" s="95"/>
      <c r="L331" s="57">
        <v>6</v>
      </c>
      <c r="M331" s="81" t="s">
        <v>439</v>
      </c>
      <c r="N331" s="134"/>
    </row>
    <row r="332" spans="1:14" s="131" customFormat="1" ht="28.2" customHeight="1">
      <c r="A332" s="11">
        <v>327</v>
      </c>
      <c r="B332" s="290">
        <v>327</v>
      </c>
      <c r="C332" s="129">
        <v>45925</v>
      </c>
      <c r="D332" s="10" t="s">
        <v>341</v>
      </c>
      <c r="E332" s="41" t="str">
        <f>IFERROR(VLOOKUP($D332,임시동력입.출고현황!$A:$G,E$5,0),)</f>
        <v>LTG</v>
      </c>
      <c r="F332" s="19" t="str">
        <f>IFERROR(VLOOKUP($D332,임시동력입.출고현황!$A:$G,F$5,0),)</f>
        <v>Lighting Fixture</v>
      </c>
      <c r="G332" s="19">
        <f>IFERROR(VLOOKUP($D332,임시동력입.출고현황!$A:$G,G$5,0),)</f>
        <v>0</v>
      </c>
      <c r="H332" s="19" t="str">
        <f>IFERROR(VLOOKUP($D332,임시동력입.출고현황!$A:$G,H$5,0),)</f>
        <v>400W</v>
      </c>
      <c r="I332" s="10" t="str">
        <f>IFERROR(VLOOKUP($D332,임시동력입.출고현황!$A:$G,I$5,0),)</f>
        <v>EA</v>
      </c>
      <c r="J332" s="10"/>
      <c r="K332" s="95"/>
      <c r="L332" s="57">
        <v>6</v>
      </c>
      <c r="M332" s="81" t="s">
        <v>439</v>
      </c>
      <c r="N332" s="134"/>
    </row>
    <row r="333" spans="1:14" s="131" customFormat="1" ht="28.2" customHeight="1">
      <c r="A333" s="11">
        <v>328</v>
      </c>
      <c r="B333" s="290">
        <v>328</v>
      </c>
      <c r="C333" s="129">
        <v>45925</v>
      </c>
      <c r="D333" s="10" t="s">
        <v>347</v>
      </c>
      <c r="E333" s="41" t="str">
        <f>IFERROR(VLOOKUP($D333,임시동력입.출고현황!$A:$G,E$5,0),)</f>
        <v>LTG</v>
      </c>
      <c r="F333" s="19" t="str">
        <f>IFERROR(VLOOKUP($D333,임시동력입.출고현황!$A:$G,F$5,0),)</f>
        <v>Lighting Fixture</v>
      </c>
      <c r="G333" s="19">
        <f>IFERROR(VLOOKUP($D333,임시동력입.출고현황!$A:$G,G$5,0),)</f>
        <v>0</v>
      </c>
      <c r="H333" s="19" t="str">
        <f>IFERROR(VLOOKUP($D333,임시동력입.출고현황!$A:$G,H$5,0),)</f>
        <v>200W</v>
      </c>
      <c r="I333" s="10" t="str">
        <f>IFERROR(VLOOKUP($D333,임시동력입.출고현황!$A:$G,I$5,0),)</f>
        <v>EA</v>
      </c>
      <c r="J333" s="10"/>
      <c r="K333" s="95"/>
      <c r="L333" s="57">
        <v>4</v>
      </c>
      <c r="M333" s="81" t="s">
        <v>439</v>
      </c>
      <c r="N333" s="134"/>
    </row>
    <row r="334" spans="1:14" s="131" customFormat="1" ht="28.2" customHeight="1">
      <c r="A334" s="11">
        <v>329</v>
      </c>
      <c r="B334" s="290">
        <v>329</v>
      </c>
      <c r="C334" s="129">
        <v>45925</v>
      </c>
      <c r="D334" s="10" t="s">
        <v>335</v>
      </c>
      <c r="E334" s="41" t="str">
        <f>IFERROR(VLOOKUP($D334,임시동력입.출고현황!$A:$G,E$5,0),)</f>
        <v>Cable</v>
      </c>
      <c r="F334" s="19" t="str">
        <f>IFERROR(VLOOKUP($D334,임시동력입.출고현황!$A:$G,F$5,0),)</f>
        <v>CV Cable</v>
      </c>
      <c r="G334" s="19">
        <f>IFERROR(VLOOKUP($D334,임시동력입.출고현황!$A:$G,G$5,0),)</f>
        <v>0</v>
      </c>
      <c r="H334" s="19" t="str">
        <f>IFERROR(VLOOKUP($D334,임시동력입.출고현황!$A:$G,H$5,0),)</f>
        <v>3C x 2.5mm2</v>
      </c>
      <c r="I334" s="10" t="str">
        <f>IFERROR(VLOOKUP($D334,임시동력입.출고현황!$A:$G,I$5,0),)</f>
        <v>M</v>
      </c>
      <c r="J334" s="10"/>
      <c r="K334" s="95"/>
      <c r="L334" s="57">
        <v>100</v>
      </c>
      <c r="M334" s="81" t="s">
        <v>439</v>
      </c>
      <c r="N334" s="134"/>
    </row>
    <row r="335" spans="1:14" s="131" customFormat="1" ht="28.2" customHeight="1">
      <c r="A335" s="11">
        <v>330</v>
      </c>
      <c r="B335" s="290">
        <v>330</v>
      </c>
      <c r="C335" s="129">
        <v>45925</v>
      </c>
      <c r="D335" s="10" t="s">
        <v>335</v>
      </c>
      <c r="E335" s="41" t="str">
        <f>IFERROR(VLOOKUP($D335,임시동력입.출고현황!$A:$G,E$5,0),)</f>
        <v>Cable</v>
      </c>
      <c r="F335" s="19" t="str">
        <f>IFERROR(VLOOKUP($D335,임시동력입.출고현황!$A:$G,F$5,0),)</f>
        <v>CV Cable</v>
      </c>
      <c r="G335" s="19">
        <f>IFERROR(VLOOKUP($D335,임시동력입.출고현황!$A:$G,G$5,0),)</f>
        <v>0</v>
      </c>
      <c r="H335" s="19" t="str">
        <f>IFERROR(VLOOKUP($D335,임시동력입.출고현황!$A:$G,H$5,0),)</f>
        <v>3C x 2.5mm2</v>
      </c>
      <c r="I335" s="10" t="str">
        <f>IFERROR(VLOOKUP($D335,임시동력입.출고현황!$A:$G,I$5,0),)</f>
        <v>M</v>
      </c>
      <c r="J335" s="10"/>
      <c r="K335" s="95"/>
      <c r="L335" s="57">
        <v>100</v>
      </c>
      <c r="M335" s="81" t="s">
        <v>439</v>
      </c>
      <c r="N335" s="134"/>
    </row>
    <row r="336" spans="1:14" s="131" customFormat="1" ht="28.2" customHeight="1">
      <c r="A336" s="11">
        <v>331</v>
      </c>
      <c r="B336" s="290">
        <v>331</v>
      </c>
      <c r="C336" s="129">
        <v>45926</v>
      </c>
      <c r="D336" s="10" t="s">
        <v>308</v>
      </c>
      <c r="E336" s="41" t="str">
        <f>IFERROR(VLOOKUP($D336,임시동력입.출고현황!$A:$G,E$5,0),)</f>
        <v>Panel</v>
      </c>
      <c r="F336" s="19" t="str">
        <f>IFERROR(VLOOKUP($D336,임시동력입.출고현황!$A:$G,F$5,0),)</f>
        <v>Electrical Panel</v>
      </c>
      <c r="G336" s="19">
        <f>IFERROR(VLOOKUP($D336,임시동력입.출고현황!$A:$G,G$5,0),)</f>
        <v>0</v>
      </c>
      <c r="H336" s="19" t="str">
        <f>IFERROR(VLOOKUP($D336,임시동력입.출고현황!$A:$G,H$5,0),)</f>
        <v>125A</v>
      </c>
      <c r="I336" s="10" t="str">
        <f>IFERROR(VLOOKUP($D336,임시동력입.출고현황!$A:$G,I$5,0),)</f>
        <v>EA</v>
      </c>
      <c r="J336" s="10"/>
      <c r="K336" s="95"/>
      <c r="L336" s="57">
        <v>1</v>
      </c>
      <c r="M336" s="81" t="s">
        <v>373</v>
      </c>
      <c r="N336" s="134"/>
    </row>
    <row r="337" spans="1:14" s="131" customFormat="1" ht="28.2" customHeight="1">
      <c r="A337" s="11">
        <v>332</v>
      </c>
      <c r="B337" s="290">
        <v>332</v>
      </c>
      <c r="C337" s="129">
        <v>45927</v>
      </c>
      <c r="D337" s="10" t="s">
        <v>347</v>
      </c>
      <c r="E337" s="41" t="str">
        <f>IFERROR(VLOOKUP($D337,임시동력입.출고현황!$A:$G,E$5,0),)</f>
        <v>LTG</v>
      </c>
      <c r="F337" s="19" t="str">
        <f>IFERROR(VLOOKUP($D337,임시동력입.출고현황!$A:$G,F$5,0),)</f>
        <v>Lighting Fixture</v>
      </c>
      <c r="G337" s="19">
        <f>IFERROR(VLOOKUP($D337,임시동력입.출고현황!$A:$G,G$5,0),)</f>
        <v>0</v>
      </c>
      <c r="H337" s="19" t="str">
        <f>IFERROR(VLOOKUP($D337,임시동력입.출고현황!$A:$G,H$5,0),)</f>
        <v>200W</v>
      </c>
      <c r="I337" s="10" t="str">
        <f>IFERROR(VLOOKUP($D337,임시동력입.출고현황!$A:$G,I$5,0),)</f>
        <v>EA</v>
      </c>
      <c r="J337" s="10"/>
      <c r="K337" s="95"/>
      <c r="L337" s="57">
        <v>4</v>
      </c>
      <c r="M337" s="81" t="s">
        <v>373</v>
      </c>
      <c r="N337" s="134"/>
    </row>
    <row r="338" spans="1:14" s="131" customFormat="1" ht="28.2" customHeight="1">
      <c r="A338" s="11">
        <v>333</v>
      </c>
      <c r="B338" s="290">
        <v>333</v>
      </c>
      <c r="C338" s="129">
        <v>45927</v>
      </c>
      <c r="D338" s="10" t="s">
        <v>284</v>
      </c>
      <c r="E338" s="41" t="str">
        <f>IFERROR(VLOOKUP($D338,임시동력입.출고현황!$A:$G,E$5,0),)</f>
        <v>D/G</v>
      </c>
      <c r="F338" s="19" t="str">
        <f>IFERROR(VLOOKUP($D338,임시동력입.출고현황!$A:$G,F$5,0),)</f>
        <v>Generator</v>
      </c>
      <c r="G338" s="19">
        <f>IFERROR(VLOOKUP($D338,임시동력입.출고현황!$A:$G,G$5,0),)</f>
        <v>0</v>
      </c>
      <c r="H338" s="19" t="str">
        <f>IFERROR(VLOOKUP($D338,임시동력입.출고현황!$A:$G,H$5,0),)</f>
        <v>50KVA</v>
      </c>
      <c r="I338" s="10" t="str">
        <f>IFERROR(VLOOKUP($D338,임시동력입.출고현황!$A:$G,I$5,0),)</f>
        <v>대</v>
      </c>
      <c r="J338" s="10"/>
      <c r="K338" s="95"/>
      <c r="L338" s="57">
        <v>1</v>
      </c>
      <c r="M338" s="81" t="s">
        <v>372</v>
      </c>
      <c r="N338" s="134"/>
    </row>
    <row r="339" spans="1:14" s="131" customFormat="1" ht="28.2" customHeight="1">
      <c r="A339" s="11">
        <v>334</v>
      </c>
      <c r="B339" s="290">
        <v>334</v>
      </c>
      <c r="C339" s="129">
        <v>45928</v>
      </c>
      <c r="D339" s="10" t="s">
        <v>336</v>
      </c>
      <c r="E339" s="41" t="str">
        <f>IFERROR(VLOOKUP($D339,임시동력입.출고현황!$A:$G,E$5,0),)</f>
        <v>Cable</v>
      </c>
      <c r="F339" s="19" t="str">
        <f>IFERROR(VLOOKUP($D339,임시동력입.출고현황!$A:$G,F$5,0),)</f>
        <v>CV Cable</v>
      </c>
      <c r="G339" s="19">
        <f>IFERROR(VLOOKUP($D339,임시동력입.출고현황!$A:$G,G$5,0),)</f>
        <v>0</v>
      </c>
      <c r="H339" s="19" t="str">
        <f>IFERROR(VLOOKUP($D339,임시동력입.출고현황!$A:$G,H$5,0),)</f>
        <v>3C x 1.5mm2</v>
      </c>
      <c r="I339" s="10" t="str">
        <f>IFERROR(VLOOKUP($D339,임시동력입.출고현황!$A:$G,I$5,0),)</f>
        <v>M</v>
      </c>
      <c r="J339" s="10"/>
      <c r="K339" s="95"/>
      <c r="L339" s="57">
        <v>20</v>
      </c>
      <c r="M339" s="81" t="s">
        <v>439</v>
      </c>
      <c r="N339" s="134"/>
    </row>
    <row r="340" spans="1:14" s="131" customFormat="1" ht="28.2" customHeight="1">
      <c r="A340" s="11">
        <v>335</v>
      </c>
      <c r="B340" s="290">
        <v>335</v>
      </c>
      <c r="C340" s="129">
        <v>45928</v>
      </c>
      <c r="D340" s="10" t="s">
        <v>335</v>
      </c>
      <c r="E340" s="41" t="str">
        <f>IFERROR(VLOOKUP($D340,임시동력입.출고현황!$A:$G,E$5,0),)</f>
        <v>Cable</v>
      </c>
      <c r="F340" s="19" t="str">
        <f>IFERROR(VLOOKUP($D340,임시동력입.출고현황!$A:$G,F$5,0),)</f>
        <v>CV Cable</v>
      </c>
      <c r="G340" s="19">
        <f>IFERROR(VLOOKUP($D340,임시동력입.출고현황!$A:$G,G$5,0),)</f>
        <v>0</v>
      </c>
      <c r="H340" s="19" t="str">
        <f>IFERROR(VLOOKUP($D340,임시동력입.출고현황!$A:$G,H$5,0),)</f>
        <v>3C x 2.5mm2</v>
      </c>
      <c r="I340" s="10" t="str">
        <f>IFERROR(VLOOKUP($D340,임시동력입.출고현황!$A:$G,I$5,0),)</f>
        <v>M</v>
      </c>
      <c r="J340" s="10"/>
      <c r="K340" s="95"/>
      <c r="L340" s="57">
        <v>100</v>
      </c>
      <c r="M340" s="81" t="s">
        <v>439</v>
      </c>
      <c r="N340" s="134"/>
    </row>
    <row r="341" spans="1:14" s="131" customFormat="1" ht="28.2" customHeight="1">
      <c r="A341" s="11">
        <v>336</v>
      </c>
      <c r="B341" s="290">
        <v>336</v>
      </c>
      <c r="C341" s="129">
        <v>45928</v>
      </c>
      <c r="D341" s="10" t="s">
        <v>347</v>
      </c>
      <c r="E341" s="41" t="str">
        <f>IFERROR(VLOOKUP($D341,임시동력입.출고현황!$A:$G,E$5,0),)</f>
        <v>LTG</v>
      </c>
      <c r="F341" s="19" t="str">
        <f>IFERROR(VLOOKUP($D341,임시동력입.출고현황!$A:$G,F$5,0),)</f>
        <v>Lighting Fixture</v>
      </c>
      <c r="G341" s="19">
        <f>IFERROR(VLOOKUP($D341,임시동력입.출고현황!$A:$G,G$5,0),)</f>
        <v>0</v>
      </c>
      <c r="H341" s="19" t="str">
        <f>IFERROR(VLOOKUP($D341,임시동력입.출고현황!$A:$G,H$5,0),)</f>
        <v>200W</v>
      </c>
      <c r="I341" s="10" t="str">
        <f>IFERROR(VLOOKUP($D341,임시동력입.출고현황!$A:$G,I$5,0),)</f>
        <v>EA</v>
      </c>
      <c r="J341" s="10"/>
      <c r="K341" s="95"/>
      <c r="L341" s="57">
        <v>10</v>
      </c>
      <c r="M341" s="81" t="s">
        <v>439</v>
      </c>
      <c r="N341" s="134"/>
    </row>
    <row r="342" spans="1:14" s="131" customFormat="1" ht="28.2" customHeight="1">
      <c r="A342" s="11">
        <v>337</v>
      </c>
      <c r="B342" s="290">
        <v>337</v>
      </c>
      <c r="C342" s="129">
        <v>45928</v>
      </c>
      <c r="D342" s="10" t="s">
        <v>341</v>
      </c>
      <c r="E342" s="41" t="str">
        <f>IFERROR(VLOOKUP($D342,임시동력입.출고현황!$A:$G,E$5,0),)</f>
        <v>LTG</v>
      </c>
      <c r="F342" s="19" t="str">
        <f>IFERROR(VLOOKUP($D342,임시동력입.출고현황!$A:$G,F$5,0),)</f>
        <v>Lighting Fixture</v>
      </c>
      <c r="G342" s="19">
        <f>IFERROR(VLOOKUP($D342,임시동력입.출고현황!$A:$G,G$5,0),)</f>
        <v>0</v>
      </c>
      <c r="H342" s="19" t="str">
        <f>IFERROR(VLOOKUP($D342,임시동력입.출고현황!$A:$G,H$5,0),)</f>
        <v>400W</v>
      </c>
      <c r="I342" s="10" t="str">
        <f>IFERROR(VLOOKUP($D342,임시동력입.출고현황!$A:$G,I$5,0),)</f>
        <v>EA</v>
      </c>
      <c r="J342" s="10"/>
      <c r="K342" s="95"/>
      <c r="L342" s="57">
        <v>4</v>
      </c>
      <c r="M342" s="81" t="s">
        <v>439</v>
      </c>
      <c r="N342" s="134"/>
    </row>
    <row r="343" spans="1:14" s="131" customFormat="1" ht="28.2" customHeight="1">
      <c r="A343" s="11">
        <v>338</v>
      </c>
      <c r="B343" s="290">
        <v>338</v>
      </c>
      <c r="C343" s="129">
        <v>45929</v>
      </c>
      <c r="D343" s="10" t="s">
        <v>341</v>
      </c>
      <c r="E343" s="41" t="str">
        <f>IFERROR(VLOOKUP($D343,임시동력입.출고현황!$A:$G,E$5,0),)</f>
        <v>LTG</v>
      </c>
      <c r="F343" s="19" t="str">
        <f>IFERROR(VLOOKUP($D343,임시동력입.출고현황!$A:$G,F$5,0),)</f>
        <v>Lighting Fixture</v>
      </c>
      <c r="G343" s="19">
        <f>IFERROR(VLOOKUP($D343,임시동력입.출고현황!$A:$G,G$5,0),)</f>
        <v>0</v>
      </c>
      <c r="H343" s="19" t="str">
        <f>IFERROR(VLOOKUP($D343,임시동력입.출고현황!$A:$G,H$5,0),)</f>
        <v>400W</v>
      </c>
      <c r="I343" s="10" t="str">
        <f>IFERROR(VLOOKUP($D343,임시동력입.출고현황!$A:$G,I$5,0),)</f>
        <v>EA</v>
      </c>
      <c r="J343" s="10"/>
      <c r="K343" s="95"/>
      <c r="L343" s="57">
        <v>2</v>
      </c>
      <c r="M343" s="81" t="s">
        <v>439</v>
      </c>
      <c r="N343" s="134"/>
    </row>
    <row r="344" spans="1:14" s="131" customFormat="1" ht="28.2" customHeight="1">
      <c r="A344" s="11">
        <v>339</v>
      </c>
      <c r="B344" s="290">
        <v>339</v>
      </c>
      <c r="C344" s="129">
        <v>45929</v>
      </c>
      <c r="D344" s="10" t="s">
        <v>336</v>
      </c>
      <c r="E344" s="41" t="str">
        <f>IFERROR(VLOOKUP($D344,임시동력입.출고현황!$A:$G,E$5,0),)</f>
        <v>Cable</v>
      </c>
      <c r="F344" s="19" t="str">
        <f>IFERROR(VLOOKUP($D344,임시동력입.출고현황!$A:$G,F$5,0),)</f>
        <v>CV Cable</v>
      </c>
      <c r="G344" s="19">
        <f>IFERROR(VLOOKUP($D344,임시동력입.출고현황!$A:$G,G$5,0),)</f>
        <v>0</v>
      </c>
      <c r="H344" s="19" t="str">
        <f>IFERROR(VLOOKUP($D344,임시동력입.출고현황!$A:$G,H$5,0),)</f>
        <v>3C x 1.5mm2</v>
      </c>
      <c r="I344" s="10" t="str">
        <f>IFERROR(VLOOKUP($D344,임시동력입.출고현황!$A:$G,I$5,0),)</f>
        <v>M</v>
      </c>
      <c r="J344" s="10"/>
      <c r="K344" s="95"/>
      <c r="L344" s="57">
        <v>10</v>
      </c>
      <c r="M344" s="81" t="s">
        <v>439</v>
      </c>
      <c r="N344" s="134"/>
    </row>
    <row r="345" spans="1:14" s="131" customFormat="1" ht="28.2" customHeight="1">
      <c r="A345" s="11">
        <v>340</v>
      </c>
      <c r="B345" s="290">
        <v>340</v>
      </c>
      <c r="C345" s="129">
        <v>45929</v>
      </c>
      <c r="D345" s="10" t="s">
        <v>347</v>
      </c>
      <c r="E345" s="41" t="str">
        <f>IFERROR(VLOOKUP($D345,임시동력입.출고현황!$A:$G,E$5,0),)</f>
        <v>LTG</v>
      </c>
      <c r="F345" s="19" t="str">
        <f>IFERROR(VLOOKUP($D345,임시동력입.출고현황!$A:$G,F$5,0),)</f>
        <v>Lighting Fixture</v>
      </c>
      <c r="G345" s="19">
        <f>IFERROR(VLOOKUP($D345,임시동력입.출고현황!$A:$G,G$5,0),)</f>
        <v>0</v>
      </c>
      <c r="H345" s="19" t="str">
        <f>IFERROR(VLOOKUP($D345,임시동력입.출고현황!$A:$G,H$5,0),)</f>
        <v>200W</v>
      </c>
      <c r="I345" s="10" t="str">
        <f>IFERROR(VLOOKUP($D345,임시동력입.출고현황!$A:$G,I$5,0),)</f>
        <v>EA</v>
      </c>
      <c r="J345" s="10"/>
      <c r="K345" s="95"/>
      <c r="L345" s="57">
        <v>4</v>
      </c>
      <c r="M345" s="81" t="s">
        <v>439</v>
      </c>
      <c r="N345" s="134"/>
    </row>
    <row r="346" spans="1:14" s="131" customFormat="1" ht="28.2" customHeight="1">
      <c r="A346" s="11">
        <v>341</v>
      </c>
      <c r="B346" s="290">
        <v>341</v>
      </c>
      <c r="C346" s="129">
        <v>45930</v>
      </c>
      <c r="D346" s="10" t="s">
        <v>347</v>
      </c>
      <c r="E346" s="41" t="str">
        <f>IFERROR(VLOOKUP($D346,임시동력입.출고현황!$A:$G,E$5,0),)</f>
        <v>LTG</v>
      </c>
      <c r="F346" s="19" t="str">
        <f>IFERROR(VLOOKUP($D346,임시동력입.출고현황!$A:$G,F$5,0),)</f>
        <v>Lighting Fixture</v>
      </c>
      <c r="G346" s="19">
        <f>IFERROR(VLOOKUP($D346,임시동력입.출고현황!$A:$G,G$5,0),)</f>
        <v>0</v>
      </c>
      <c r="H346" s="19" t="str">
        <f>IFERROR(VLOOKUP($D346,임시동력입.출고현황!$A:$G,H$5,0),)</f>
        <v>200W</v>
      </c>
      <c r="I346" s="10" t="str">
        <f>IFERROR(VLOOKUP($D346,임시동력입.출고현황!$A:$G,I$5,0),)</f>
        <v>EA</v>
      </c>
      <c r="J346" s="10">
        <v>4</v>
      </c>
      <c r="K346" s="95" t="s">
        <v>359</v>
      </c>
      <c r="L346" s="57">
        <v>2</v>
      </c>
      <c r="M346" s="81" t="s">
        <v>439</v>
      </c>
      <c r="N346" s="134"/>
    </row>
    <row r="347" spans="1:14" s="131" customFormat="1" ht="28.2" customHeight="1">
      <c r="A347" s="11">
        <v>342</v>
      </c>
      <c r="B347" s="290">
        <v>342</v>
      </c>
      <c r="C347" s="129">
        <v>45930</v>
      </c>
      <c r="D347" s="10" t="s">
        <v>341</v>
      </c>
      <c r="E347" s="41" t="str">
        <f>IFERROR(VLOOKUP($D347,임시동력입.출고현황!$A:$G,E$5,0),)</f>
        <v>LTG</v>
      </c>
      <c r="F347" s="19" t="str">
        <f>IFERROR(VLOOKUP($D347,임시동력입.출고현황!$A:$G,F$5,0),)</f>
        <v>Lighting Fixture</v>
      </c>
      <c r="G347" s="19">
        <f>IFERROR(VLOOKUP($D347,임시동력입.출고현황!$A:$G,G$5,0),)</f>
        <v>0</v>
      </c>
      <c r="H347" s="19" t="str">
        <f>IFERROR(VLOOKUP($D347,임시동력입.출고현황!$A:$G,H$5,0),)</f>
        <v>400W</v>
      </c>
      <c r="I347" s="10" t="str">
        <f>IFERROR(VLOOKUP($D347,임시동력입.출고현황!$A:$G,I$5,0),)</f>
        <v>EA</v>
      </c>
      <c r="J347" s="10">
        <v>3</v>
      </c>
      <c r="K347" s="95" t="s">
        <v>237</v>
      </c>
      <c r="L347" s="57">
        <v>2</v>
      </c>
      <c r="M347" s="81" t="s">
        <v>439</v>
      </c>
      <c r="N347" s="134"/>
    </row>
    <row r="348" spans="1:14" s="131" customFormat="1" ht="28.2" customHeight="1">
      <c r="A348" s="11">
        <v>343</v>
      </c>
      <c r="B348" s="290">
        <v>343</v>
      </c>
      <c r="C348" s="129">
        <v>45930</v>
      </c>
      <c r="D348" s="10" t="s">
        <v>322</v>
      </c>
      <c r="E348" s="41" t="str">
        <f>IFERROR(VLOOKUP($D348,임시동력입.출고현황!$A:$G,E$5,0),)</f>
        <v>Cable</v>
      </c>
      <c r="F348" s="19" t="str">
        <f>IFERROR(VLOOKUP($D348,임시동력입.출고현황!$A:$G,F$5,0),)</f>
        <v>AL Cable</v>
      </c>
      <c r="G348" s="19">
        <f>IFERROR(VLOOKUP($D348,임시동력입.출고현황!$A:$G,G$5,0),)</f>
        <v>0</v>
      </c>
      <c r="H348" s="19" t="str">
        <f>IFERROR(VLOOKUP($D348,임시동력입.출고현황!$A:$G,H$5,0),)</f>
        <v>3C x 50+25mm2 [ALU]</v>
      </c>
      <c r="I348" s="10" t="str">
        <f>IFERROR(VLOOKUP($D348,임시동력입.출고현황!$A:$G,I$5,0),)</f>
        <v>M</v>
      </c>
      <c r="J348" s="10">
        <v>3</v>
      </c>
      <c r="K348" s="95" t="s">
        <v>237</v>
      </c>
      <c r="L348" s="57">
        <v>75</v>
      </c>
      <c r="M348" s="81" t="s">
        <v>439</v>
      </c>
      <c r="N348" s="134"/>
    </row>
    <row r="349" spans="1:14" s="131" customFormat="1" ht="28.2" customHeight="1">
      <c r="A349" s="11">
        <v>344</v>
      </c>
      <c r="B349" s="290">
        <v>344</v>
      </c>
      <c r="C349" s="129">
        <v>45930</v>
      </c>
      <c r="D349" s="10" t="s">
        <v>332</v>
      </c>
      <c r="E349" s="41" t="str">
        <f>IFERROR(VLOOKUP($D349,임시동력입.출고현황!$A:$G,E$5,0),)</f>
        <v>Cable</v>
      </c>
      <c r="F349" s="19" t="str">
        <f>IFERROR(VLOOKUP($D349,임시동력입.출고현황!$A:$G,F$5,0),)</f>
        <v>CV Cable</v>
      </c>
      <c r="G349" s="19">
        <f>IFERROR(VLOOKUP($D349,임시동력입.출고현황!$A:$G,G$5,0),)</f>
        <v>0</v>
      </c>
      <c r="H349" s="19" t="str">
        <f>IFERROR(VLOOKUP($D349,임시동력입.출고현황!$A:$G,H$5,0),)</f>
        <v>3C x 10mm2</v>
      </c>
      <c r="I349" s="10" t="str">
        <f>IFERROR(VLOOKUP($D349,임시동력입.출고현황!$A:$G,I$5,0),)</f>
        <v>M</v>
      </c>
      <c r="J349" s="10">
        <v>3</v>
      </c>
      <c r="K349" s="95" t="s">
        <v>237</v>
      </c>
      <c r="L349" s="57">
        <v>95</v>
      </c>
      <c r="M349" s="81" t="s">
        <v>439</v>
      </c>
      <c r="N349" s="134"/>
    </row>
    <row r="350" spans="1:14" s="131" customFormat="1" ht="28.2" customHeight="1">
      <c r="A350" s="11">
        <v>345</v>
      </c>
      <c r="B350" s="290">
        <v>345</v>
      </c>
      <c r="C350" s="129">
        <v>45931</v>
      </c>
      <c r="D350" s="10" t="s">
        <v>320</v>
      </c>
      <c r="E350" s="41" t="str">
        <f>IFERROR(VLOOKUP($D350,임시동력입.출고현황!$A:$G,E$5,0),)</f>
        <v>Cable</v>
      </c>
      <c r="F350" s="19" t="str">
        <f>IFERROR(VLOOKUP($D350,임시동력입.출고현황!$A:$G,F$5,0),)</f>
        <v>AL Cable</v>
      </c>
      <c r="G350" s="19">
        <f>IFERROR(VLOOKUP($D350,임시동력입.출고현황!$A:$G,G$5,0),)</f>
        <v>0</v>
      </c>
      <c r="H350" s="19" t="str">
        <f>IFERROR(VLOOKUP($D350,임시동력입.출고현황!$A:$G,H$5,0),)</f>
        <v>3C x 95+50mm2 [ALU]</v>
      </c>
      <c r="I350" s="10" t="str">
        <f>IFERROR(VLOOKUP($D350,임시동력입.출고현황!$A:$G,I$5,0),)</f>
        <v>M</v>
      </c>
      <c r="J350" s="10">
        <v>3</v>
      </c>
      <c r="K350" s="95" t="s">
        <v>237</v>
      </c>
      <c r="L350" s="57">
        <v>126</v>
      </c>
      <c r="M350" s="81" t="s">
        <v>439</v>
      </c>
      <c r="N350" s="134"/>
    </row>
    <row r="351" spans="1:14" s="1" customFormat="1" ht="28.2" customHeight="1">
      <c r="A351" s="11">
        <v>346</v>
      </c>
      <c r="B351" s="290">
        <v>346</v>
      </c>
      <c r="C351" s="129">
        <v>45932</v>
      </c>
      <c r="D351" s="10" t="s">
        <v>331</v>
      </c>
      <c r="E351" s="41" t="str">
        <f>IFERROR(VLOOKUP($D351,임시동력입.출고현황!$A:$G,E$5,0),)</f>
        <v>Cable</v>
      </c>
      <c r="F351" s="19" t="str">
        <f>IFERROR(VLOOKUP($D351,임시동력입.출고현황!$A:$G,F$5,0),)</f>
        <v>CV Cable</v>
      </c>
      <c r="G351" s="19">
        <f>IFERROR(VLOOKUP($D351,임시동력입.출고현황!$A:$G,G$5,0),)</f>
        <v>0</v>
      </c>
      <c r="H351" s="19" t="str">
        <f>IFERROR(VLOOKUP($D351,임시동력입.출고현황!$A:$G,H$5,0),)</f>
        <v>4C x 6mm2</v>
      </c>
      <c r="I351" s="10" t="str">
        <f>IFERROR(VLOOKUP($D351,임시동력입.출고현황!$A:$G,I$5,0),)</f>
        <v>M</v>
      </c>
      <c r="J351" s="10">
        <v>1</v>
      </c>
      <c r="K351" s="95" t="s">
        <v>352</v>
      </c>
      <c r="L351" s="57">
        <v>200</v>
      </c>
      <c r="M351" s="81" t="s">
        <v>439</v>
      </c>
      <c r="N351" s="6"/>
    </row>
    <row r="352" spans="1:14" s="131" customFormat="1" ht="28.2" customHeight="1">
      <c r="A352" s="11">
        <v>347</v>
      </c>
      <c r="B352" s="290">
        <v>347</v>
      </c>
      <c r="C352" s="129">
        <v>45933</v>
      </c>
      <c r="D352" s="10" t="s">
        <v>323</v>
      </c>
      <c r="E352" s="41" t="str">
        <f>IFERROR(VLOOKUP($D352,임시동력입.출고현황!$A:$G,E$5,0),)</f>
        <v>Cable</v>
      </c>
      <c r="F352" s="19" t="str">
        <f>IFERROR(VLOOKUP($D352,임시동력입.출고현황!$A:$G,F$5,0),)</f>
        <v>AL Cable</v>
      </c>
      <c r="G352" s="19">
        <f>IFERROR(VLOOKUP($D352,임시동력입.출고현황!$A:$G,G$5,0),)</f>
        <v>0</v>
      </c>
      <c r="H352" s="19" t="str">
        <f>IFERROR(VLOOKUP($D352,임시동력입.출고현황!$A:$G,H$5,0),)</f>
        <v>4C x 35mm2 [ALU]</v>
      </c>
      <c r="I352" s="10" t="str">
        <f>IFERROR(VLOOKUP($D352,임시동력입.출고현황!$A:$G,I$5,0),)</f>
        <v>M</v>
      </c>
      <c r="J352" s="10">
        <v>3</v>
      </c>
      <c r="K352" s="95" t="s">
        <v>237</v>
      </c>
      <c r="L352" s="57">
        <v>40</v>
      </c>
      <c r="M352" s="81" t="s">
        <v>439</v>
      </c>
      <c r="N352" s="134"/>
    </row>
    <row r="353" spans="1:14" s="131" customFormat="1" ht="28.2" customHeight="1">
      <c r="A353" s="11">
        <v>348</v>
      </c>
      <c r="B353" s="290">
        <v>348</v>
      </c>
      <c r="C353" s="129">
        <v>45933</v>
      </c>
      <c r="D353" s="10" t="s">
        <v>327</v>
      </c>
      <c r="E353" s="41" t="str">
        <f>IFERROR(VLOOKUP($D353,임시동력입.출고현황!$A:$G,E$5,0),)</f>
        <v>Cable</v>
      </c>
      <c r="F353" s="19" t="str">
        <f>IFERROR(VLOOKUP($D353,임시동력입.출고현황!$A:$G,F$5,0),)</f>
        <v>CV Cable</v>
      </c>
      <c r="G353" s="19">
        <f>IFERROR(VLOOKUP($D353,임시동력입.출고현황!$A:$G,G$5,0),)</f>
        <v>0</v>
      </c>
      <c r="H353" s="19" t="str">
        <f>IFERROR(VLOOKUP($D353,임시동력입.출고현황!$A:$G,H$5,0),)</f>
        <v>4C x 35mm2</v>
      </c>
      <c r="I353" s="10" t="str">
        <f>IFERROR(VLOOKUP($D353,임시동력입.출고현황!$A:$G,I$5,0),)</f>
        <v>M</v>
      </c>
      <c r="J353" s="10">
        <v>4</v>
      </c>
      <c r="K353" s="95" t="s">
        <v>237</v>
      </c>
      <c r="L353" s="57">
        <v>70</v>
      </c>
      <c r="M353" s="81" t="s">
        <v>439</v>
      </c>
      <c r="N353" s="134"/>
    </row>
    <row r="354" spans="1:14" s="131" customFormat="1" ht="28.2" customHeight="1">
      <c r="A354" s="11">
        <v>349</v>
      </c>
      <c r="B354" s="290">
        <v>349</v>
      </c>
      <c r="C354" s="129">
        <v>45933</v>
      </c>
      <c r="D354" s="10" t="s">
        <v>310</v>
      </c>
      <c r="E354" s="41" t="str">
        <f>IFERROR(VLOOKUP($D354,임시동력입.출고현황!$A:$G,E$5,0),)</f>
        <v>Panel</v>
      </c>
      <c r="F354" s="19" t="str">
        <f>IFERROR(VLOOKUP($D354,임시동력입.출고현황!$A:$G,F$5,0),)</f>
        <v>Electrical Panel</v>
      </c>
      <c r="G354" s="19">
        <f>IFERROR(VLOOKUP($D354,임시동력입.출고현황!$A:$G,G$5,0),)</f>
        <v>0</v>
      </c>
      <c r="H354" s="19" t="str">
        <f>IFERROR(VLOOKUP($D354,임시동력입.출고현황!$A:$G,H$5,0),)</f>
        <v>100A</v>
      </c>
      <c r="I354" s="10" t="str">
        <f>IFERROR(VLOOKUP($D354,임시동력입.출고현황!$A:$G,I$5,0),)</f>
        <v>EA</v>
      </c>
      <c r="J354" s="10">
        <v>1</v>
      </c>
      <c r="K354" s="95" t="s">
        <v>363</v>
      </c>
      <c r="L354" s="57">
        <v>1</v>
      </c>
      <c r="M354" s="81" t="s">
        <v>439</v>
      </c>
      <c r="N354" s="134"/>
    </row>
    <row r="355" spans="1:14" s="131" customFormat="1" ht="28.2" customHeight="1">
      <c r="A355" s="11">
        <v>350</v>
      </c>
      <c r="B355" s="290">
        <v>350</v>
      </c>
      <c r="C355" s="129">
        <v>45936</v>
      </c>
      <c r="D355" s="10" t="s">
        <v>341</v>
      </c>
      <c r="E355" s="41" t="str">
        <f>IFERROR(VLOOKUP($D355,임시동력입.출고현황!$A:$G,E$5,0),)</f>
        <v>LTG</v>
      </c>
      <c r="F355" s="19" t="str">
        <f>IFERROR(VLOOKUP($D355,임시동력입.출고현황!$A:$G,F$5,0),)</f>
        <v>Lighting Fixture</v>
      </c>
      <c r="G355" s="19">
        <f>IFERROR(VLOOKUP($D355,임시동력입.출고현황!$A:$G,G$5,0),)</f>
        <v>0</v>
      </c>
      <c r="H355" s="19" t="str">
        <f>IFERROR(VLOOKUP($D355,임시동력입.출고현황!$A:$G,H$5,0),)</f>
        <v>400W</v>
      </c>
      <c r="I355" s="10" t="str">
        <f>IFERROR(VLOOKUP($D355,임시동력입.출고현황!$A:$G,I$5,0),)</f>
        <v>EA</v>
      </c>
      <c r="J355" s="10">
        <v>3</v>
      </c>
      <c r="K355" s="95" t="s">
        <v>361</v>
      </c>
      <c r="L355" s="57">
        <v>15</v>
      </c>
      <c r="M355" s="81" t="s">
        <v>439</v>
      </c>
      <c r="N355" s="134"/>
    </row>
    <row r="356" spans="1:14" s="131" customFormat="1" ht="28.2" customHeight="1">
      <c r="A356" s="11">
        <v>351</v>
      </c>
      <c r="B356" s="290">
        <v>351</v>
      </c>
      <c r="C356" s="129">
        <v>45936</v>
      </c>
      <c r="D356" s="10" t="s">
        <v>349</v>
      </c>
      <c r="E356" s="41" t="str">
        <f>IFERROR(VLOOKUP($D356,임시동력입.출고현황!$A:$G,E$5,0),)</f>
        <v>LTG</v>
      </c>
      <c r="F356" s="19" t="str">
        <f>IFERROR(VLOOKUP($D356,임시동력입.출고현황!$A:$G,F$5,0),)</f>
        <v>Lighting Fixture</v>
      </c>
      <c r="G356" s="19">
        <f>IFERROR(VLOOKUP($D356,임시동력입.출고현황!$A:$G,G$5,0),)</f>
        <v>0</v>
      </c>
      <c r="H356" s="19" t="str">
        <f>IFERROR(VLOOKUP($D356,임시동력입.출고현황!$A:$G,H$5,0),)</f>
        <v>50W</v>
      </c>
      <c r="I356" s="10" t="str">
        <f>IFERROR(VLOOKUP($D356,임시동력입.출고현황!$A:$G,I$5,0),)</f>
        <v>EA</v>
      </c>
      <c r="J356" s="10">
        <v>3</v>
      </c>
      <c r="K356" s="95" t="s">
        <v>551</v>
      </c>
      <c r="L356" s="57">
        <v>2</v>
      </c>
      <c r="M356" s="81" t="s">
        <v>439</v>
      </c>
      <c r="N356" s="134"/>
    </row>
    <row r="357" spans="1:14" s="131" customFormat="1" ht="28.2" customHeight="1">
      <c r="A357" s="11">
        <v>352</v>
      </c>
      <c r="B357" s="290">
        <v>352</v>
      </c>
      <c r="C357" s="129">
        <v>45936</v>
      </c>
      <c r="D357" s="10" t="s">
        <v>310</v>
      </c>
      <c r="E357" s="41" t="str">
        <f>IFERROR(VLOOKUP($D357,임시동력입.출고현황!$A:$G,E$5,0),)</f>
        <v>Panel</v>
      </c>
      <c r="F357" s="19" t="str">
        <f>IFERROR(VLOOKUP($D357,임시동력입.출고현황!$A:$G,F$5,0),)</f>
        <v>Electrical Panel</v>
      </c>
      <c r="G357" s="19">
        <f>IFERROR(VLOOKUP($D357,임시동력입.출고현황!$A:$G,G$5,0),)</f>
        <v>0</v>
      </c>
      <c r="H357" s="19" t="str">
        <f>IFERROR(VLOOKUP($D357,임시동력입.출고현황!$A:$G,H$5,0),)</f>
        <v>100A</v>
      </c>
      <c r="I357" s="10" t="str">
        <f>IFERROR(VLOOKUP($D357,임시동력입.출고현황!$A:$G,I$5,0),)</f>
        <v>EA</v>
      </c>
      <c r="J357" s="10">
        <v>3</v>
      </c>
      <c r="K357" s="95" t="s">
        <v>237</v>
      </c>
      <c r="L357" s="57">
        <v>1</v>
      </c>
      <c r="M357" s="81" t="s">
        <v>439</v>
      </c>
      <c r="N357" s="134"/>
    </row>
    <row r="358" spans="1:14" s="131" customFormat="1" ht="28.2" customHeight="1">
      <c r="A358" s="11">
        <v>353</v>
      </c>
      <c r="B358" s="290">
        <v>353</v>
      </c>
      <c r="C358" s="129">
        <v>45936</v>
      </c>
      <c r="D358" s="10" t="s">
        <v>335</v>
      </c>
      <c r="E358" s="41" t="str">
        <f>IFERROR(VLOOKUP($D358,임시동력입.출고현황!$A:$G,E$5,0),)</f>
        <v>Cable</v>
      </c>
      <c r="F358" s="19" t="str">
        <f>IFERROR(VLOOKUP($D358,임시동력입.출고현황!$A:$G,F$5,0),)</f>
        <v>CV Cable</v>
      </c>
      <c r="G358" s="19">
        <f>IFERROR(VLOOKUP($D358,임시동력입.출고현황!$A:$G,G$5,0),)</f>
        <v>0</v>
      </c>
      <c r="H358" s="19" t="str">
        <f>IFERROR(VLOOKUP($D358,임시동력입.출고현황!$A:$G,H$5,0),)</f>
        <v>3C x 2.5mm2</v>
      </c>
      <c r="I358" s="10" t="str">
        <f>IFERROR(VLOOKUP($D358,임시동력입.출고현황!$A:$G,I$5,0),)</f>
        <v>M</v>
      </c>
      <c r="J358" s="10">
        <v>3</v>
      </c>
      <c r="K358" s="95" t="s">
        <v>237</v>
      </c>
      <c r="L358" s="57">
        <v>600</v>
      </c>
      <c r="M358" s="81" t="s">
        <v>439</v>
      </c>
      <c r="N358" s="134"/>
    </row>
    <row r="359" spans="1:14" s="131" customFormat="1" ht="28.2" customHeight="1">
      <c r="A359" s="11">
        <v>354</v>
      </c>
      <c r="B359" s="290">
        <v>354</v>
      </c>
      <c r="C359" s="129">
        <v>45937</v>
      </c>
      <c r="D359" s="10" t="s">
        <v>347</v>
      </c>
      <c r="E359" s="41" t="str">
        <f>IFERROR(VLOOKUP($D359,임시동력입.출고현황!$A:$G,E$5,0),)</f>
        <v>LTG</v>
      </c>
      <c r="F359" s="19" t="str">
        <f>IFERROR(VLOOKUP($D359,임시동력입.출고현황!$A:$G,F$5,0),)</f>
        <v>Lighting Fixture</v>
      </c>
      <c r="G359" s="19">
        <f>IFERROR(VLOOKUP($D359,임시동력입.출고현황!$A:$G,G$5,0),)</f>
        <v>0</v>
      </c>
      <c r="H359" s="19" t="str">
        <f>IFERROR(VLOOKUP($D359,임시동력입.출고현황!$A:$G,H$5,0),)</f>
        <v>200W</v>
      </c>
      <c r="I359" s="10" t="str">
        <f>IFERROR(VLOOKUP($D359,임시동력입.출고현황!$A:$G,I$5,0),)</f>
        <v>EA</v>
      </c>
      <c r="J359" s="10">
        <v>3</v>
      </c>
      <c r="K359" s="95" t="s">
        <v>237</v>
      </c>
      <c r="L359" s="57">
        <v>6</v>
      </c>
      <c r="M359" s="81" t="s">
        <v>439</v>
      </c>
      <c r="N359" s="134"/>
    </row>
    <row r="360" spans="1:14" s="131" customFormat="1" ht="28.2" customHeight="1">
      <c r="A360" s="11">
        <v>355</v>
      </c>
      <c r="B360" s="290">
        <v>355</v>
      </c>
      <c r="C360" s="129">
        <v>45937</v>
      </c>
      <c r="D360" s="10" t="s">
        <v>348</v>
      </c>
      <c r="E360" s="41" t="str">
        <f>IFERROR(VLOOKUP($D360,임시동력입.출고현황!$A:$G,E$5,0),)</f>
        <v>LTG</v>
      </c>
      <c r="F360" s="19" t="str">
        <f>IFERROR(VLOOKUP($D360,임시동력입.출고현황!$A:$G,F$5,0),)</f>
        <v>Lighting Fixture</v>
      </c>
      <c r="G360" s="19">
        <f>IFERROR(VLOOKUP($D360,임시동력입.출고현황!$A:$G,G$5,0),)</f>
        <v>0</v>
      </c>
      <c r="H360" s="19" t="str">
        <f>IFERROR(VLOOKUP($D360,임시동력입.출고현황!$A:$G,H$5,0),)</f>
        <v>100W</v>
      </c>
      <c r="I360" s="10" t="str">
        <f>IFERROR(VLOOKUP($D360,임시동력입.출고현황!$A:$G,I$5,0),)</f>
        <v>EA</v>
      </c>
      <c r="J360" s="10">
        <v>3</v>
      </c>
      <c r="K360" s="95" t="s">
        <v>237</v>
      </c>
      <c r="L360" s="57">
        <v>4</v>
      </c>
      <c r="M360" s="81" t="s">
        <v>439</v>
      </c>
      <c r="N360" s="134"/>
    </row>
    <row r="361" spans="1:14" s="131" customFormat="1" ht="28.2" customHeight="1">
      <c r="A361" s="11">
        <v>356</v>
      </c>
      <c r="B361" s="290">
        <v>356</v>
      </c>
      <c r="C361" s="129">
        <v>45937</v>
      </c>
      <c r="D361" s="10" t="s">
        <v>349</v>
      </c>
      <c r="E361" s="41" t="str">
        <f>IFERROR(VLOOKUP($D361,임시동력입.출고현황!$A:$G,E$5,0),)</f>
        <v>LTG</v>
      </c>
      <c r="F361" s="19" t="str">
        <f>IFERROR(VLOOKUP($D361,임시동력입.출고현황!$A:$G,F$5,0),)</f>
        <v>Lighting Fixture</v>
      </c>
      <c r="G361" s="19">
        <f>IFERROR(VLOOKUP($D361,임시동력입.출고현황!$A:$G,G$5,0),)</f>
        <v>0</v>
      </c>
      <c r="H361" s="19" t="str">
        <f>IFERROR(VLOOKUP($D361,임시동력입.출고현황!$A:$G,H$5,0),)</f>
        <v>50W</v>
      </c>
      <c r="I361" s="10" t="str">
        <f>IFERROR(VLOOKUP($D361,임시동력입.출고현황!$A:$G,I$5,0),)</f>
        <v>EA</v>
      </c>
      <c r="J361" s="10">
        <v>3</v>
      </c>
      <c r="K361" s="95" t="s">
        <v>237</v>
      </c>
      <c r="L361" s="57">
        <v>5</v>
      </c>
      <c r="M361" s="81" t="s">
        <v>439</v>
      </c>
      <c r="N361" s="134"/>
    </row>
    <row r="362" spans="1:14" s="131" customFormat="1" ht="28.2" customHeight="1">
      <c r="A362" s="11">
        <v>357</v>
      </c>
      <c r="B362" s="290">
        <v>357</v>
      </c>
      <c r="C362" s="129">
        <v>45937</v>
      </c>
      <c r="D362" s="10" t="s">
        <v>336</v>
      </c>
      <c r="E362" s="41" t="str">
        <f>IFERROR(VLOOKUP($D362,임시동력입.출고현황!$A:$G,E$5,0),)</f>
        <v>Cable</v>
      </c>
      <c r="F362" s="19" t="str">
        <f>IFERROR(VLOOKUP($D362,임시동력입.출고현황!$A:$G,F$5,0),)</f>
        <v>CV Cable</v>
      </c>
      <c r="G362" s="19">
        <f>IFERROR(VLOOKUP($D362,임시동력입.출고현황!$A:$G,G$5,0),)</f>
        <v>0</v>
      </c>
      <c r="H362" s="19" t="str">
        <f>IFERROR(VLOOKUP($D362,임시동력입.출고현황!$A:$G,H$5,0),)</f>
        <v>3C x 1.5mm2</v>
      </c>
      <c r="I362" s="10" t="str">
        <f>IFERROR(VLOOKUP($D362,임시동력입.출고현황!$A:$G,I$5,0),)</f>
        <v>M</v>
      </c>
      <c r="J362" s="10">
        <v>3</v>
      </c>
      <c r="K362" s="95" t="s">
        <v>237</v>
      </c>
      <c r="L362" s="57">
        <v>200</v>
      </c>
      <c r="M362" s="81" t="s">
        <v>439</v>
      </c>
      <c r="N362" s="134"/>
    </row>
    <row r="363" spans="1:14" s="131" customFormat="1" ht="28.2" customHeight="1">
      <c r="A363" s="11">
        <v>358</v>
      </c>
      <c r="B363" s="290">
        <v>358</v>
      </c>
      <c r="C363" s="129">
        <v>45937</v>
      </c>
      <c r="D363" s="10" t="s">
        <v>333</v>
      </c>
      <c r="E363" s="41" t="str">
        <f>IFERROR(VLOOKUP($D363,임시동력입.출고현황!$A:$G,E$5,0),)</f>
        <v>Cable</v>
      </c>
      <c r="F363" s="19" t="str">
        <f>IFERROR(VLOOKUP($D363,임시동력입.출고현황!$A:$G,F$5,0),)</f>
        <v>CV Cable</v>
      </c>
      <c r="G363" s="19">
        <f>IFERROR(VLOOKUP($D363,임시동력입.출고현황!$A:$G,G$5,0),)</f>
        <v>0</v>
      </c>
      <c r="H363" s="19" t="str">
        <f>IFERROR(VLOOKUP($D363,임시동력입.출고현황!$A:$G,H$5,0),)</f>
        <v>3C x 6mm2</v>
      </c>
      <c r="I363" s="10" t="str">
        <f>IFERROR(VLOOKUP($D363,임시동력입.출고현황!$A:$G,I$5,0),)</f>
        <v>M</v>
      </c>
      <c r="J363" s="10">
        <v>3</v>
      </c>
      <c r="K363" s="95" t="s">
        <v>551</v>
      </c>
      <c r="L363" s="57">
        <v>14</v>
      </c>
      <c r="M363" s="81" t="s">
        <v>439</v>
      </c>
      <c r="N363" s="134"/>
    </row>
    <row r="364" spans="1:14" s="131" customFormat="1" ht="28.2" customHeight="1">
      <c r="A364" s="11">
        <v>359</v>
      </c>
      <c r="B364" s="290">
        <v>359</v>
      </c>
      <c r="C364" s="129">
        <v>45938</v>
      </c>
      <c r="D364" s="10" t="s">
        <v>334</v>
      </c>
      <c r="E364" s="41" t="str">
        <f>IFERROR(VLOOKUP($D364,임시동력입.출고현황!$A:$G,E$5,0),)</f>
        <v>Cable</v>
      </c>
      <c r="F364" s="19" t="str">
        <f>IFERROR(VLOOKUP($D364,임시동력입.출고현황!$A:$G,F$5,0),)</f>
        <v>CV Cable</v>
      </c>
      <c r="G364" s="19">
        <f>IFERROR(VLOOKUP($D364,임시동력입.출고현황!$A:$G,G$5,0),)</f>
        <v>0</v>
      </c>
      <c r="H364" s="19" t="str">
        <f>IFERROR(VLOOKUP($D364,임시동력입.출고현황!$A:$G,H$5,0),)</f>
        <v>3C x 4mm2</v>
      </c>
      <c r="I364" s="10" t="str">
        <f>IFERROR(VLOOKUP($D364,임시동력입.출고현황!$A:$G,I$5,0),)</f>
        <v>M</v>
      </c>
      <c r="J364" s="10">
        <v>1</v>
      </c>
      <c r="K364" s="95" t="s">
        <v>352</v>
      </c>
      <c r="L364" s="57">
        <v>300</v>
      </c>
      <c r="M364" s="81" t="s">
        <v>439</v>
      </c>
      <c r="N364" s="134"/>
    </row>
    <row r="365" spans="1:14" s="131" customFormat="1" ht="28.2" customHeight="1">
      <c r="A365" s="11">
        <v>360</v>
      </c>
      <c r="B365" s="290">
        <v>360</v>
      </c>
      <c r="C365" s="129">
        <v>45938</v>
      </c>
      <c r="D365" s="10" t="s">
        <v>329</v>
      </c>
      <c r="E365" s="41" t="str">
        <f>IFERROR(VLOOKUP($D365,임시동력입.출고현황!$A:$G,E$5,0),)</f>
        <v>Cable</v>
      </c>
      <c r="F365" s="19" t="str">
        <f>IFERROR(VLOOKUP($D365,임시동력입.출고현황!$A:$G,F$5,0),)</f>
        <v>CV Cable</v>
      </c>
      <c r="G365" s="19">
        <f>IFERROR(VLOOKUP($D365,임시동력입.출고현황!$A:$G,G$5,0),)</f>
        <v>0</v>
      </c>
      <c r="H365" s="19" t="str">
        <f>IFERROR(VLOOKUP($D365,임시동력입.출고현황!$A:$G,H$5,0),)</f>
        <v>4C x 16mm2</v>
      </c>
      <c r="I365" s="10" t="str">
        <f>IFERROR(VLOOKUP($D365,임시동력입.출고현황!$A:$G,I$5,0),)</f>
        <v>M</v>
      </c>
      <c r="J365" s="10">
        <v>1</v>
      </c>
      <c r="K365" s="95" t="s">
        <v>352</v>
      </c>
      <c r="L365" s="57">
        <v>80</v>
      </c>
      <c r="M365" s="81" t="s">
        <v>439</v>
      </c>
      <c r="N365" s="134"/>
    </row>
    <row r="366" spans="1:14" s="131" customFormat="1" ht="28.2" customHeight="1">
      <c r="A366" s="11">
        <v>361</v>
      </c>
      <c r="B366" s="290">
        <v>361</v>
      </c>
      <c r="C366" s="129">
        <v>45939</v>
      </c>
      <c r="D366" s="10" t="s">
        <v>341</v>
      </c>
      <c r="E366" s="41" t="str">
        <f>IFERROR(VLOOKUP($D366,임시동력입.출고현황!$A:$G,E$5,0),)</f>
        <v>LTG</v>
      </c>
      <c r="F366" s="19" t="str">
        <f>IFERROR(VLOOKUP($D366,임시동력입.출고현황!$A:$G,F$5,0),)</f>
        <v>Lighting Fixture</v>
      </c>
      <c r="G366" s="19">
        <f>IFERROR(VLOOKUP($D366,임시동력입.출고현황!$A:$G,G$5,0),)</f>
        <v>0</v>
      </c>
      <c r="H366" s="19" t="str">
        <f>IFERROR(VLOOKUP($D366,임시동력입.출고현황!$A:$G,H$5,0),)</f>
        <v>400W</v>
      </c>
      <c r="I366" s="10" t="str">
        <f>IFERROR(VLOOKUP($D366,임시동력입.출고현황!$A:$G,I$5,0),)</f>
        <v>EA</v>
      </c>
      <c r="J366" s="10">
        <v>1</v>
      </c>
      <c r="K366" s="95" t="s">
        <v>352</v>
      </c>
      <c r="L366" s="57">
        <v>20</v>
      </c>
      <c r="M366" s="81" t="s">
        <v>439</v>
      </c>
      <c r="N366" s="134"/>
    </row>
    <row r="367" spans="1:14" s="131" customFormat="1" ht="28.2" customHeight="1">
      <c r="A367" s="11">
        <v>362</v>
      </c>
      <c r="B367" s="290">
        <v>362</v>
      </c>
      <c r="C367" s="129">
        <v>45939</v>
      </c>
      <c r="D367" s="10" t="s">
        <v>347</v>
      </c>
      <c r="E367" s="41" t="str">
        <f>IFERROR(VLOOKUP($D367,임시동력입.출고현황!$A:$G,E$5,0),)</f>
        <v>LTG</v>
      </c>
      <c r="F367" s="19" t="str">
        <f>IFERROR(VLOOKUP($D367,임시동력입.출고현황!$A:$G,F$5,0),)</f>
        <v>Lighting Fixture</v>
      </c>
      <c r="G367" s="19">
        <f>IFERROR(VLOOKUP($D367,임시동력입.출고현황!$A:$G,G$5,0),)</f>
        <v>0</v>
      </c>
      <c r="H367" s="19" t="str">
        <f>IFERROR(VLOOKUP($D367,임시동력입.출고현황!$A:$G,H$5,0),)</f>
        <v>200W</v>
      </c>
      <c r="I367" s="10" t="str">
        <f>IFERROR(VLOOKUP($D367,임시동력입.출고현황!$A:$G,I$5,0),)</f>
        <v>EA</v>
      </c>
      <c r="J367" s="10">
        <v>1</v>
      </c>
      <c r="K367" s="95" t="s">
        <v>352</v>
      </c>
      <c r="L367" s="57">
        <v>4</v>
      </c>
      <c r="M367" s="81" t="s">
        <v>439</v>
      </c>
      <c r="N367" s="134"/>
    </row>
    <row r="368" spans="1:14" s="131" customFormat="1" ht="28.2" customHeight="1">
      <c r="A368" s="11">
        <v>363</v>
      </c>
      <c r="B368" s="290">
        <v>363</v>
      </c>
      <c r="C368" s="129">
        <v>45939</v>
      </c>
      <c r="D368" s="10" t="s">
        <v>331</v>
      </c>
      <c r="E368" s="41" t="str">
        <f>IFERROR(VLOOKUP($D368,임시동력입.출고현황!$A:$G,E$5,0),)</f>
        <v>Cable</v>
      </c>
      <c r="F368" s="19" t="str">
        <f>IFERROR(VLOOKUP($D368,임시동력입.출고현황!$A:$G,F$5,0),)</f>
        <v>CV Cable</v>
      </c>
      <c r="G368" s="19">
        <f>IFERROR(VLOOKUP($D368,임시동력입.출고현황!$A:$G,G$5,0),)</f>
        <v>0</v>
      </c>
      <c r="H368" s="19" t="str">
        <f>IFERROR(VLOOKUP($D368,임시동력입.출고현황!$A:$G,H$5,0),)</f>
        <v>4C x 6mm2</v>
      </c>
      <c r="I368" s="10" t="str">
        <f>IFERROR(VLOOKUP($D368,임시동력입.출고현황!$A:$G,I$5,0),)</f>
        <v>M</v>
      </c>
      <c r="J368" s="10">
        <v>1</v>
      </c>
      <c r="K368" s="95" t="s">
        <v>352</v>
      </c>
      <c r="L368" s="57">
        <v>110</v>
      </c>
      <c r="M368" s="81" t="s">
        <v>439</v>
      </c>
      <c r="N368" s="134"/>
    </row>
    <row r="369" spans="1:14" s="131" customFormat="1" ht="28.2" customHeight="1">
      <c r="A369" s="11">
        <v>364</v>
      </c>
      <c r="B369" s="290">
        <v>364</v>
      </c>
      <c r="C369" s="129">
        <v>45939</v>
      </c>
      <c r="D369" s="10" t="s">
        <v>335</v>
      </c>
      <c r="E369" s="41" t="str">
        <f>IFERROR(VLOOKUP($D369,임시동력입.출고현황!$A:$G,E$5,0),)</f>
        <v>Cable</v>
      </c>
      <c r="F369" s="19" t="str">
        <f>IFERROR(VLOOKUP($D369,임시동력입.출고현황!$A:$G,F$5,0),)</f>
        <v>CV Cable</v>
      </c>
      <c r="G369" s="19">
        <f>IFERROR(VLOOKUP($D369,임시동력입.출고현황!$A:$G,G$5,0),)</f>
        <v>0</v>
      </c>
      <c r="H369" s="19" t="str">
        <f>IFERROR(VLOOKUP($D369,임시동력입.출고현황!$A:$G,H$5,0),)</f>
        <v>3C x 2.5mm2</v>
      </c>
      <c r="I369" s="10" t="str">
        <f>IFERROR(VLOOKUP($D369,임시동력입.출고현황!$A:$G,I$5,0),)</f>
        <v>M</v>
      </c>
      <c r="J369" s="10">
        <v>1</v>
      </c>
      <c r="K369" s="95" t="s">
        <v>352</v>
      </c>
      <c r="L369" s="57">
        <v>100</v>
      </c>
      <c r="M369" s="81" t="s">
        <v>439</v>
      </c>
      <c r="N369" s="134"/>
    </row>
    <row r="370" spans="1:14" s="131" customFormat="1" ht="28.2" customHeight="1">
      <c r="A370" s="11">
        <v>365</v>
      </c>
      <c r="B370" s="290">
        <v>365</v>
      </c>
      <c r="C370" s="129">
        <v>45940</v>
      </c>
      <c r="D370" s="10" t="s">
        <v>348</v>
      </c>
      <c r="E370" s="41" t="str">
        <f>IFERROR(VLOOKUP($D370,임시동력입.출고현황!$A:$G,E$5,0),)</f>
        <v>LTG</v>
      </c>
      <c r="F370" s="19" t="str">
        <f>IFERROR(VLOOKUP($D370,임시동력입.출고현황!$A:$G,F$5,0),)</f>
        <v>Lighting Fixture</v>
      </c>
      <c r="G370" s="19">
        <f>IFERROR(VLOOKUP($D370,임시동력입.출고현황!$A:$G,G$5,0),)</f>
        <v>0</v>
      </c>
      <c r="H370" s="19" t="str">
        <f>IFERROR(VLOOKUP($D370,임시동력입.출고현황!$A:$G,H$5,0),)</f>
        <v>100W</v>
      </c>
      <c r="I370" s="10" t="str">
        <f>IFERROR(VLOOKUP($D370,임시동력입.출고현황!$A:$G,I$5,0),)</f>
        <v>EA</v>
      </c>
      <c r="J370" s="10">
        <v>1</v>
      </c>
      <c r="K370" s="95" t="s">
        <v>352</v>
      </c>
      <c r="L370" s="57">
        <v>5</v>
      </c>
      <c r="M370" s="81" t="s">
        <v>552</v>
      </c>
      <c r="N370" s="134"/>
    </row>
    <row r="371" spans="1:14" s="131" customFormat="1" ht="28.2" customHeight="1">
      <c r="A371" s="11">
        <v>366</v>
      </c>
      <c r="B371" s="290">
        <v>366</v>
      </c>
      <c r="C371" s="129">
        <v>45940</v>
      </c>
      <c r="D371" s="10" t="s">
        <v>341</v>
      </c>
      <c r="E371" s="41" t="str">
        <f>IFERROR(VLOOKUP($D371,임시동력입.출고현황!$A:$G,E$5,0),)</f>
        <v>LTG</v>
      </c>
      <c r="F371" s="19" t="str">
        <f>IFERROR(VLOOKUP($D371,임시동력입.출고현황!$A:$G,F$5,0),)</f>
        <v>Lighting Fixture</v>
      </c>
      <c r="G371" s="19">
        <f>IFERROR(VLOOKUP($D371,임시동력입.출고현황!$A:$G,G$5,0),)</f>
        <v>0</v>
      </c>
      <c r="H371" s="19" t="str">
        <f>IFERROR(VLOOKUP($D371,임시동력입.출고현황!$A:$G,H$5,0),)</f>
        <v>400W</v>
      </c>
      <c r="I371" s="10" t="str">
        <f>IFERROR(VLOOKUP($D371,임시동력입.출고현황!$A:$G,I$5,0),)</f>
        <v>EA</v>
      </c>
      <c r="J371" s="10">
        <v>3</v>
      </c>
      <c r="K371" s="95" t="s">
        <v>551</v>
      </c>
      <c r="L371" s="57">
        <v>2</v>
      </c>
      <c r="M371" s="81" t="s">
        <v>552</v>
      </c>
      <c r="N371" s="134"/>
    </row>
    <row r="372" spans="1:14" s="131" customFormat="1" ht="28.2" customHeight="1">
      <c r="A372" s="11">
        <v>367</v>
      </c>
      <c r="B372" s="290">
        <v>367</v>
      </c>
      <c r="C372" s="129">
        <v>45940</v>
      </c>
      <c r="D372" s="10" t="s">
        <v>331</v>
      </c>
      <c r="E372" s="41" t="str">
        <f>IFERROR(VLOOKUP($D372,임시동력입.출고현황!$A:$G,E$5,0),)</f>
        <v>Cable</v>
      </c>
      <c r="F372" s="19" t="str">
        <f>IFERROR(VLOOKUP($D372,임시동력입.출고현황!$A:$G,F$5,0),)</f>
        <v>CV Cable</v>
      </c>
      <c r="G372" s="19">
        <f>IFERROR(VLOOKUP($D372,임시동력입.출고현황!$A:$G,G$5,0),)</f>
        <v>0</v>
      </c>
      <c r="H372" s="19" t="str">
        <f>IFERROR(VLOOKUP($D372,임시동력입.출고현황!$A:$G,H$5,0),)</f>
        <v>4C x 6mm2</v>
      </c>
      <c r="I372" s="10" t="str">
        <f>IFERROR(VLOOKUP($D372,임시동력입.출고현황!$A:$G,I$5,0),)</f>
        <v>M</v>
      </c>
      <c r="J372" s="10">
        <v>1</v>
      </c>
      <c r="K372" s="95" t="s">
        <v>352</v>
      </c>
      <c r="L372" s="57">
        <v>45</v>
      </c>
      <c r="M372" s="81" t="s">
        <v>552</v>
      </c>
      <c r="N372" s="134"/>
    </row>
    <row r="373" spans="1:14" s="131" customFormat="1" ht="28.2" customHeight="1">
      <c r="A373" s="11">
        <v>368</v>
      </c>
      <c r="B373" s="290">
        <v>368</v>
      </c>
      <c r="C373" s="129">
        <v>45940</v>
      </c>
      <c r="D373" s="10" t="s">
        <v>341</v>
      </c>
      <c r="E373" s="41" t="str">
        <f>IFERROR(VLOOKUP($D373,임시동력입.출고현황!$A:$G,E$5,0),)</f>
        <v>LTG</v>
      </c>
      <c r="F373" s="19" t="str">
        <f>IFERROR(VLOOKUP($D373,임시동력입.출고현황!$A:$G,F$5,0),)</f>
        <v>Lighting Fixture</v>
      </c>
      <c r="G373" s="19">
        <f>IFERROR(VLOOKUP($D373,임시동력입.출고현황!$A:$G,G$5,0),)</f>
        <v>0</v>
      </c>
      <c r="H373" s="19" t="str">
        <f>IFERROR(VLOOKUP($D373,임시동력입.출고현황!$A:$G,H$5,0),)</f>
        <v>400W</v>
      </c>
      <c r="I373" s="10" t="str">
        <f>IFERROR(VLOOKUP($D373,임시동력입.출고현황!$A:$G,I$5,0),)</f>
        <v>EA</v>
      </c>
      <c r="J373" s="10">
        <v>1</v>
      </c>
      <c r="K373" s="95" t="s">
        <v>352</v>
      </c>
      <c r="L373" s="57">
        <v>2</v>
      </c>
      <c r="M373" s="81" t="s">
        <v>552</v>
      </c>
      <c r="N373" s="134"/>
    </row>
    <row r="374" spans="1:14" s="131" customFormat="1" ht="28.2" customHeight="1">
      <c r="A374" s="11">
        <v>369</v>
      </c>
      <c r="B374" s="290">
        <v>369</v>
      </c>
      <c r="C374" s="129">
        <v>45940</v>
      </c>
      <c r="D374" s="10" t="s">
        <v>347</v>
      </c>
      <c r="E374" s="41" t="str">
        <f>IFERROR(VLOOKUP($D374,임시동력입.출고현황!$A:$G,E$5,0),)</f>
        <v>LTG</v>
      </c>
      <c r="F374" s="19" t="str">
        <f>IFERROR(VLOOKUP($D374,임시동력입.출고현황!$A:$G,F$5,0),)</f>
        <v>Lighting Fixture</v>
      </c>
      <c r="G374" s="19">
        <f>IFERROR(VLOOKUP($D374,임시동력입.출고현황!$A:$G,G$5,0),)</f>
        <v>0</v>
      </c>
      <c r="H374" s="19" t="str">
        <f>IFERROR(VLOOKUP($D374,임시동력입.출고현황!$A:$G,H$5,0),)</f>
        <v>200W</v>
      </c>
      <c r="I374" s="10" t="str">
        <f>IFERROR(VLOOKUP($D374,임시동력입.출고현황!$A:$G,I$5,0),)</f>
        <v>EA</v>
      </c>
      <c r="J374" s="10">
        <v>1</v>
      </c>
      <c r="K374" s="95" t="s">
        <v>352</v>
      </c>
      <c r="L374" s="57">
        <v>4</v>
      </c>
      <c r="M374" s="81" t="s">
        <v>552</v>
      </c>
      <c r="N374" s="134"/>
    </row>
    <row r="375" spans="1:14" s="131" customFormat="1" ht="28.2" customHeight="1">
      <c r="A375" s="11">
        <v>370</v>
      </c>
      <c r="B375" s="290">
        <v>370</v>
      </c>
      <c r="C375" s="129">
        <v>45941</v>
      </c>
      <c r="D375" s="10" t="s">
        <v>348</v>
      </c>
      <c r="E375" s="41" t="str">
        <f>IFERROR(VLOOKUP($D375,임시동력입.출고현황!$A:$G,E$5,0),)</f>
        <v>LTG</v>
      </c>
      <c r="F375" s="19" t="str">
        <f>IFERROR(VLOOKUP($D375,임시동력입.출고현황!$A:$G,F$5,0),)</f>
        <v>Lighting Fixture</v>
      </c>
      <c r="G375" s="19">
        <f>IFERROR(VLOOKUP($D375,임시동력입.출고현황!$A:$G,G$5,0),)</f>
        <v>0</v>
      </c>
      <c r="H375" s="19" t="str">
        <f>IFERROR(VLOOKUP($D375,임시동력입.출고현황!$A:$G,H$5,0),)</f>
        <v>100W</v>
      </c>
      <c r="I375" s="10" t="str">
        <f>IFERROR(VLOOKUP($D375,임시동력입.출고현황!$A:$G,I$5,0),)</f>
        <v>EA</v>
      </c>
      <c r="J375" s="10">
        <v>1</v>
      </c>
      <c r="K375" s="95" t="s">
        <v>352</v>
      </c>
      <c r="L375" s="57">
        <v>8</v>
      </c>
      <c r="M375" s="81" t="s">
        <v>552</v>
      </c>
      <c r="N375" s="134"/>
    </row>
    <row r="376" spans="1:14" s="131" customFormat="1" ht="28.2" customHeight="1">
      <c r="A376" s="11">
        <v>371</v>
      </c>
      <c r="B376" s="290">
        <v>371</v>
      </c>
      <c r="C376" s="129">
        <v>45941</v>
      </c>
      <c r="D376" s="10" t="s">
        <v>331</v>
      </c>
      <c r="E376" s="41" t="str">
        <f>IFERROR(VLOOKUP($D376,임시동력입.출고현황!$A:$G,E$5,0),)</f>
        <v>Cable</v>
      </c>
      <c r="F376" s="19" t="str">
        <f>IFERROR(VLOOKUP($D376,임시동력입.출고현황!$A:$G,F$5,0),)</f>
        <v>CV Cable</v>
      </c>
      <c r="G376" s="19">
        <f>IFERROR(VLOOKUP($D376,임시동력입.출고현황!$A:$G,G$5,0),)</f>
        <v>0</v>
      </c>
      <c r="H376" s="19" t="str">
        <f>IFERROR(VLOOKUP($D376,임시동력입.출고현황!$A:$G,H$5,0),)</f>
        <v>4C x 6mm2</v>
      </c>
      <c r="I376" s="10" t="str">
        <f>IFERROR(VLOOKUP($D376,임시동력입.출고현황!$A:$G,I$5,0),)</f>
        <v>M</v>
      </c>
      <c r="J376" s="10">
        <v>1</v>
      </c>
      <c r="K376" s="95" t="s">
        <v>352</v>
      </c>
      <c r="L376" s="57">
        <v>100</v>
      </c>
      <c r="M376" s="81" t="s">
        <v>373</v>
      </c>
      <c r="N376" s="134"/>
    </row>
    <row r="377" spans="1:14" s="131" customFormat="1" ht="28.2" customHeight="1">
      <c r="A377" s="11">
        <v>372</v>
      </c>
      <c r="B377" s="290">
        <v>372</v>
      </c>
      <c r="C377" s="129">
        <v>45941</v>
      </c>
      <c r="D377" s="10" t="s">
        <v>336</v>
      </c>
      <c r="E377" s="41" t="str">
        <f>IFERROR(VLOOKUP($D377,임시동력입.출고현황!$A:$G,E$5,0),)</f>
        <v>Cable</v>
      </c>
      <c r="F377" s="19" t="str">
        <f>IFERROR(VLOOKUP($D377,임시동력입.출고현황!$A:$G,F$5,0),)</f>
        <v>CV Cable</v>
      </c>
      <c r="G377" s="19">
        <f>IFERROR(VLOOKUP($D377,임시동력입.출고현황!$A:$G,G$5,0),)</f>
        <v>0</v>
      </c>
      <c r="H377" s="19" t="str">
        <f>IFERROR(VLOOKUP($D377,임시동력입.출고현황!$A:$G,H$5,0),)</f>
        <v>3C x 1.5mm2</v>
      </c>
      <c r="I377" s="10" t="str">
        <f>IFERROR(VLOOKUP($D377,임시동력입.출고현황!$A:$G,I$5,0),)</f>
        <v>M</v>
      </c>
      <c r="J377" s="10">
        <v>3</v>
      </c>
      <c r="K377" s="95" t="s">
        <v>551</v>
      </c>
      <c r="L377" s="57">
        <v>200</v>
      </c>
      <c r="M377" s="81" t="s">
        <v>373</v>
      </c>
      <c r="N377" s="134"/>
    </row>
    <row r="378" spans="1:14" s="131" customFormat="1" ht="28.2" customHeight="1">
      <c r="A378" s="11">
        <v>373</v>
      </c>
      <c r="B378" s="290">
        <v>373</v>
      </c>
      <c r="C378" s="129">
        <v>45942</v>
      </c>
      <c r="D378" s="10" t="s">
        <v>347</v>
      </c>
      <c r="E378" s="41" t="str">
        <f>IFERROR(VLOOKUP($D378,임시동력입.출고현황!$A:$G,E$5,0),)</f>
        <v>LTG</v>
      </c>
      <c r="F378" s="19" t="str">
        <f>IFERROR(VLOOKUP($D378,임시동력입.출고현황!$A:$G,F$5,0),)</f>
        <v>Lighting Fixture</v>
      </c>
      <c r="G378" s="19">
        <f>IFERROR(VLOOKUP($D378,임시동력입.출고현황!$A:$G,G$5,0),)</f>
        <v>0</v>
      </c>
      <c r="H378" s="19" t="str">
        <f>IFERROR(VLOOKUP($D378,임시동력입.출고현황!$A:$G,H$5,0),)</f>
        <v>200W</v>
      </c>
      <c r="I378" s="10" t="str">
        <f>IFERROR(VLOOKUP($D378,임시동력입.출고현황!$A:$G,I$5,0),)</f>
        <v>EA</v>
      </c>
      <c r="J378" s="10">
        <v>3</v>
      </c>
      <c r="K378" s="95" t="s">
        <v>237</v>
      </c>
      <c r="L378" s="57">
        <v>10</v>
      </c>
      <c r="M378" s="81" t="s">
        <v>439</v>
      </c>
      <c r="N378" s="134"/>
    </row>
    <row r="379" spans="1:14" s="131" customFormat="1" ht="28.2" customHeight="1">
      <c r="A379" s="11">
        <v>374</v>
      </c>
      <c r="B379" s="290">
        <v>374</v>
      </c>
      <c r="C379" s="129">
        <v>45942</v>
      </c>
      <c r="D379" s="10" t="s">
        <v>347</v>
      </c>
      <c r="E379" s="41" t="str">
        <f>IFERROR(VLOOKUP($D379,임시동력입.출고현황!$A:$G,E$5,0),)</f>
        <v>LTG</v>
      </c>
      <c r="F379" s="19" t="str">
        <f>IFERROR(VLOOKUP($D379,임시동력입.출고현황!$A:$G,F$5,0),)</f>
        <v>Lighting Fixture</v>
      </c>
      <c r="G379" s="19">
        <f>IFERROR(VLOOKUP($D379,임시동력입.출고현황!$A:$G,G$5,0),)</f>
        <v>0</v>
      </c>
      <c r="H379" s="19" t="str">
        <f>IFERROR(VLOOKUP($D379,임시동력입.출고현황!$A:$G,H$5,0),)</f>
        <v>200W</v>
      </c>
      <c r="I379" s="10" t="str">
        <f>IFERROR(VLOOKUP($D379,임시동력입.출고현황!$A:$G,I$5,0),)</f>
        <v>EA</v>
      </c>
      <c r="J379" s="10">
        <v>1</v>
      </c>
      <c r="K379" s="95" t="s">
        <v>352</v>
      </c>
      <c r="L379" s="57">
        <v>10</v>
      </c>
      <c r="M379" s="81" t="s">
        <v>439</v>
      </c>
      <c r="N379" s="134"/>
    </row>
    <row r="380" spans="1:14" s="131" customFormat="1" ht="28.2" customHeight="1">
      <c r="A380" s="11">
        <v>375</v>
      </c>
      <c r="B380" s="290">
        <v>375</v>
      </c>
      <c r="C380" s="129">
        <v>45942</v>
      </c>
      <c r="D380" s="10" t="s">
        <v>347</v>
      </c>
      <c r="E380" s="41" t="str">
        <f>IFERROR(VLOOKUP($D380,임시동력입.출고현황!$A:$G,E$5,0),)</f>
        <v>LTG</v>
      </c>
      <c r="F380" s="19" t="str">
        <f>IFERROR(VLOOKUP($D380,임시동력입.출고현황!$A:$G,F$5,0),)</f>
        <v>Lighting Fixture</v>
      </c>
      <c r="G380" s="19">
        <f>IFERROR(VLOOKUP($D380,임시동력입.출고현황!$A:$G,G$5,0),)</f>
        <v>0</v>
      </c>
      <c r="H380" s="19" t="str">
        <f>IFERROR(VLOOKUP($D380,임시동력입.출고현황!$A:$G,H$5,0),)</f>
        <v>200W</v>
      </c>
      <c r="I380" s="10" t="str">
        <f>IFERROR(VLOOKUP($D380,임시동력입.출고현황!$A:$G,I$5,0),)</f>
        <v>EA</v>
      </c>
      <c r="J380" s="10">
        <v>4</v>
      </c>
      <c r="K380" s="95" t="s">
        <v>359</v>
      </c>
      <c r="L380" s="57">
        <v>4</v>
      </c>
      <c r="M380" s="81" t="s">
        <v>439</v>
      </c>
      <c r="N380" s="134"/>
    </row>
    <row r="381" spans="1:14" s="131" customFormat="1" ht="28.2" customHeight="1">
      <c r="A381" s="11">
        <v>376</v>
      </c>
      <c r="B381" s="290">
        <v>376</v>
      </c>
      <c r="C381" s="129">
        <v>45942</v>
      </c>
      <c r="D381" s="10" t="s">
        <v>341</v>
      </c>
      <c r="E381" s="41" t="str">
        <f>IFERROR(VLOOKUP($D381,임시동력입.출고현황!$A:$G,E$5,0),)</f>
        <v>LTG</v>
      </c>
      <c r="F381" s="19" t="str">
        <f>IFERROR(VLOOKUP($D381,임시동력입.출고현황!$A:$G,F$5,0),)</f>
        <v>Lighting Fixture</v>
      </c>
      <c r="G381" s="19">
        <f>IFERROR(VLOOKUP($D381,임시동력입.출고현황!$A:$G,G$5,0),)</f>
        <v>0</v>
      </c>
      <c r="H381" s="19" t="str">
        <f>IFERROR(VLOOKUP($D381,임시동력입.출고현황!$A:$G,H$5,0),)</f>
        <v>400W</v>
      </c>
      <c r="I381" s="10" t="str">
        <f>IFERROR(VLOOKUP($D381,임시동력입.출고현황!$A:$G,I$5,0),)</f>
        <v>EA</v>
      </c>
      <c r="J381" s="10">
        <v>1</v>
      </c>
      <c r="K381" s="95" t="s">
        <v>547</v>
      </c>
      <c r="L381" s="57">
        <v>5</v>
      </c>
      <c r="M381" s="81" t="s">
        <v>439</v>
      </c>
      <c r="N381" s="134"/>
    </row>
    <row r="382" spans="1:14" s="131" customFormat="1" ht="28.2" customHeight="1">
      <c r="A382" s="11">
        <v>377</v>
      </c>
      <c r="B382" s="290">
        <v>377</v>
      </c>
      <c r="C382" s="129">
        <v>45942</v>
      </c>
      <c r="D382" s="10" t="s">
        <v>341</v>
      </c>
      <c r="E382" s="41" t="str">
        <f>IFERROR(VLOOKUP($D382,임시동력입.출고현황!$A:$G,E$5,0),)</f>
        <v>LTG</v>
      </c>
      <c r="F382" s="19" t="str">
        <f>IFERROR(VLOOKUP($D382,임시동력입.출고현황!$A:$G,F$5,0),)</f>
        <v>Lighting Fixture</v>
      </c>
      <c r="G382" s="19">
        <f>IFERROR(VLOOKUP($D382,임시동력입.출고현황!$A:$G,G$5,0),)</f>
        <v>0</v>
      </c>
      <c r="H382" s="19" t="str">
        <f>IFERROR(VLOOKUP($D382,임시동력입.출고현황!$A:$G,H$5,0),)</f>
        <v>400W</v>
      </c>
      <c r="I382" s="10" t="str">
        <f>IFERROR(VLOOKUP($D382,임시동력입.출고현황!$A:$G,I$5,0),)</f>
        <v>EA</v>
      </c>
      <c r="J382" s="10">
        <v>2</v>
      </c>
      <c r="K382" s="95" t="s">
        <v>360</v>
      </c>
      <c r="L382" s="57">
        <v>5</v>
      </c>
      <c r="M382" s="81" t="s">
        <v>439</v>
      </c>
      <c r="N382" s="134"/>
    </row>
    <row r="383" spans="1:14" s="131" customFormat="1" ht="28.2" customHeight="1">
      <c r="A383" s="11">
        <v>378</v>
      </c>
      <c r="B383" s="290">
        <v>378</v>
      </c>
      <c r="C383" s="129">
        <v>45942</v>
      </c>
      <c r="D383" s="10" t="s">
        <v>348</v>
      </c>
      <c r="E383" s="41" t="str">
        <f>IFERROR(VLOOKUP($D383,임시동력입.출고현황!$A:$G,E$5,0),)</f>
        <v>LTG</v>
      </c>
      <c r="F383" s="19" t="str">
        <f>IFERROR(VLOOKUP($D383,임시동력입.출고현황!$A:$G,F$5,0),)</f>
        <v>Lighting Fixture</v>
      </c>
      <c r="G383" s="19">
        <f>IFERROR(VLOOKUP($D383,임시동력입.출고현황!$A:$G,G$5,0),)</f>
        <v>0</v>
      </c>
      <c r="H383" s="19" t="str">
        <f>IFERROR(VLOOKUP($D383,임시동력입.출고현황!$A:$G,H$5,0),)</f>
        <v>100W</v>
      </c>
      <c r="I383" s="10" t="str">
        <f>IFERROR(VLOOKUP($D383,임시동력입.출고현황!$A:$G,I$5,0),)</f>
        <v>EA</v>
      </c>
      <c r="J383" s="10">
        <v>3</v>
      </c>
      <c r="K383" s="95" t="s">
        <v>551</v>
      </c>
      <c r="L383" s="57">
        <v>1</v>
      </c>
      <c r="M383" s="81" t="s">
        <v>439</v>
      </c>
      <c r="N383" s="134"/>
    </row>
    <row r="384" spans="1:14" s="131" customFormat="1" ht="28.2" customHeight="1">
      <c r="A384" s="11">
        <v>379</v>
      </c>
      <c r="B384" s="290">
        <v>379</v>
      </c>
      <c r="C384" s="129">
        <v>45942</v>
      </c>
      <c r="D384" s="10" t="s">
        <v>336</v>
      </c>
      <c r="E384" s="41" t="str">
        <f>IFERROR(VLOOKUP($D384,임시동력입.출고현황!$A:$G,E$5,0),)</f>
        <v>Cable</v>
      </c>
      <c r="F384" s="19" t="str">
        <f>IFERROR(VLOOKUP($D384,임시동력입.출고현황!$A:$G,F$5,0),)</f>
        <v>CV Cable</v>
      </c>
      <c r="G384" s="19">
        <f>IFERROR(VLOOKUP($D384,임시동력입.출고현황!$A:$G,G$5,0),)</f>
        <v>0</v>
      </c>
      <c r="H384" s="19" t="str">
        <f>IFERROR(VLOOKUP($D384,임시동력입.출고현황!$A:$G,H$5,0),)</f>
        <v>3C x 1.5mm2</v>
      </c>
      <c r="I384" s="10" t="str">
        <f>IFERROR(VLOOKUP($D384,임시동력입.출고현황!$A:$G,I$5,0),)</f>
        <v>M</v>
      </c>
      <c r="J384" s="10">
        <v>3</v>
      </c>
      <c r="K384" s="95" t="s">
        <v>237</v>
      </c>
      <c r="L384" s="57">
        <v>300</v>
      </c>
      <c r="M384" s="81" t="s">
        <v>439</v>
      </c>
      <c r="N384" s="134"/>
    </row>
    <row r="385" spans="1:14" s="131" customFormat="1" ht="28.2" customHeight="1">
      <c r="A385" s="11">
        <v>380</v>
      </c>
      <c r="B385" s="290">
        <v>380</v>
      </c>
      <c r="C385" s="129">
        <v>45943</v>
      </c>
      <c r="D385" s="10" t="s">
        <v>335</v>
      </c>
      <c r="E385" s="41" t="str">
        <f>IFERROR(VLOOKUP($D385,임시동력입.출고현황!$A:$G,E$5,0),)</f>
        <v>Cable</v>
      </c>
      <c r="F385" s="19" t="str">
        <f>IFERROR(VLOOKUP($D385,임시동력입.출고현황!$A:$G,F$5,0),)</f>
        <v>CV Cable</v>
      </c>
      <c r="G385" s="19">
        <f>IFERROR(VLOOKUP($D385,임시동력입.출고현황!$A:$G,G$5,0),)</f>
        <v>0</v>
      </c>
      <c r="H385" s="19" t="str">
        <f>IFERROR(VLOOKUP($D385,임시동력입.출고현황!$A:$G,H$5,0),)</f>
        <v>3C x 2.5mm2</v>
      </c>
      <c r="I385" s="10" t="str">
        <f>IFERROR(VLOOKUP($D385,임시동력입.출고현황!$A:$G,I$5,0),)</f>
        <v>M</v>
      </c>
      <c r="J385" s="10">
        <v>3</v>
      </c>
      <c r="K385" s="95" t="s">
        <v>237</v>
      </c>
      <c r="L385" s="57">
        <v>100</v>
      </c>
      <c r="M385" s="81" t="s">
        <v>439</v>
      </c>
      <c r="N385" s="134"/>
    </row>
    <row r="386" spans="1:14" s="131" customFormat="1" ht="28.2" customHeight="1">
      <c r="A386" s="11">
        <v>381</v>
      </c>
      <c r="B386" s="290">
        <v>381</v>
      </c>
      <c r="C386" s="129">
        <v>45943</v>
      </c>
      <c r="D386" s="10" t="s">
        <v>341</v>
      </c>
      <c r="E386" s="41" t="str">
        <f>IFERROR(VLOOKUP($D386,임시동력입.출고현황!$A:$G,E$5,0),)</f>
        <v>LTG</v>
      </c>
      <c r="F386" s="19" t="str">
        <f>IFERROR(VLOOKUP($D386,임시동력입.출고현황!$A:$G,F$5,0),)</f>
        <v>Lighting Fixture</v>
      </c>
      <c r="G386" s="19">
        <f>IFERROR(VLOOKUP($D386,임시동력입.출고현황!$A:$G,G$5,0),)</f>
        <v>0</v>
      </c>
      <c r="H386" s="19" t="str">
        <f>IFERROR(VLOOKUP($D386,임시동력입.출고현황!$A:$G,H$5,0),)</f>
        <v>400W</v>
      </c>
      <c r="I386" s="10" t="str">
        <f>IFERROR(VLOOKUP($D386,임시동력입.출고현황!$A:$G,I$5,0),)</f>
        <v>EA</v>
      </c>
      <c r="J386" s="10">
        <v>3</v>
      </c>
      <c r="K386" s="95" t="s">
        <v>237</v>
      </c>
      <c r="L386" s="57">
        <v>8</v>
      </c>
      <c r="M386" s="81" t="s">
        <v>439</v>
      </c>
      <c r="N386" s="134"/>
    </row>
    <row r="387" spans="1:14" s="131" customFormat="1" ht="28.2" customHeight="1">
      <c r="A387" s="11">
        <v>382</v>
      </c>
      <c r="B387" s="290">
        <v>382</v>
      </c>
      <c r="C387" s="129">
        <v>45943</v>
      </c>
      <c r="D387" s="10" t="s">
        <v>347</v>
      </c>
      <c r="E387" s="41" t="str">
        <f>IFERROR(VLOOKUP($D387,임시동력입.출고현황!$A:$G,E$5,0),)</f>
        <v>LTG</v>
      </c>
      <c r="F387" s="19" t="str">
        <f>IFERROR(VLOOKUP($D387,임시동력입.출고현황!$A:$G,F$5,0),)</f>
        <v>Lighting Fixture</v>
      </c>
      <c r="G387" s="19">
        <f>IFERROR(VLOOKUP($D387,임시동력입.출고현황!$A:$G,G$5,0),)</f>
        <v>0</v>
      </c>
      <c r="H387" s="19" t="str">
        <f>IFERROR(VLOOKUP($D387,임시동력입.출고현황!$A:$G,H$5,0),)</f>
        <v>200W</v>
      </c>
      <c r="I387" s="10" t="str">
        <f>IFERROR(VLOOKUP($D387,임시동력입.출고현황!$A:$G,I$5,0),)</f>
        <v>EA</v>
      </c>
      <c r="J387" s="10">
        <v>3</v>
      </c>
      <c r="K387" s="95" t="s">
        <v>237</v>
      </c>
      <c r="L387" s="57">
        <v>2</v>
      </c>
      <c r="M387" s="81" t="s">
        <v>439</v>
      </c>
      <c r="N387" s="134"/>
    </row>
    <row r="388" spans="1:14" s="131" customFormat="1" ht="28.2" customHeight="1">
      <c r="A388" s="11">
        <v>383</v>
      </c>
      <c r="B388" s="290">
        <v>383</v>
      </c>
      <c r="C388" s="129">
        <v>45943</v>
      </c>
      <c r="D388" s="10" t="s">
        <v>336</v>
      </c>
      <c r="E388" s="41" t="str">
        <f>IFERROR(VLOOKUP($D388,임시동력입.출고현황!$A:$G,E$5,0),)</f>
        <v>Cable</v>
      </c>
      <c r="F388" s="19" t="str">
        <f>IFERROR(VLOOKUP($D388,임시동력입.출고현황!$A:$G,F$5,0),)</f>
        <v>CV Cable</v>
      </c>
      <c r="G388" s="19">
        <f>IFERROR(VLOOKUP($D388,임시동력입.출고현황!$A:$G,G$5,0),)</f>
        <v>0</v>
      </c>
      <c r="H388" s="19" t="str">
        <f>IFERROR(VLOOKUP($D388,임시동력입.출고현황!$A:$G,H$5,0),)</f>
        <v>3C x 1.5mm2</v>
      </c>
      <c r="I388" s="10" t="str">
        <f>IFERROR(VLOOKUP($D388,임시동력입.출고현황!$A:$G,I$5,0),)</f>
        <v>M</v>
      </c>
      <c r="J388" s="10">
        <v>3</v>
      </c>
      <c r="K388" s="95" t="s">
        <v>237</v>
      </c>
      <c r="L388" s="57">
        <v>290</v>
      </c>
      <c r="M388" s="81" t="s">
        <v>439</v>
      </c>
      <c r="N388" s="134"/>
    </row>
    <row r="389" spans="1:14" s="131" customFormat="1" ht="28.2" customHeight="1">
      <c r="A389" s="11">
        <v>384</v>
      </c>
      <c r="B389" s="290">
        <v>384</v>
      </c>
      <c r="C389" s="129">
        <v>45943</v>
      </c>
      <c r="D389" s="10" t="s">
        <v>335</v>
      </c>
      <c r="E389" s="41" t="str">
        <f>IFERROR(VLOOKUP($D389,임시동력입.출고현황!$A:$G,E$5,0),)</f>
        <v>Cable</v>
      </c>
      <c r="F389" s="19" t="str">
        <f>IFERROR(VLOOKUP($D389,임시동력입.출고현황!$A:$G,F$5,0),)</f>
        <v>CV Cable</v>
      </c>
      <c r="G389" s="19">
        <f>IFERROR(VLOOKUP($D389,임시동력입.출고현황!$A:$G,G$5,0),)</f>
        <v>0</v>
      </c>
      <c r="H389" s="19" t="str">
        <f>IFERROR(VLOOKUP($D389,임시동력입.출고현황!$A:$G,H$5,0),)</f>
        <v>3C x 2.5mm2</v>
      </c>
      <c r="I389" s="10" t="str">
        <f>IFERROR(VLOOKUP($D389,임시동력입.출고현황!$A:$G,I$5,0),)</f>
        <v>M</v>
      </c>
      <c r="J389" s="10">
        <v>3</v>
      </c>
      <c r="K389" s="95" t="s">
        <v>237</v>
      </c>
      <c r="L389" s="57">
        <v>200</v>
      </c>
      <c r="M389" s="81" t="s">
        <v>439</v>
      </c>
      <c r="N389" s="134"/>
    </row>
    <row r="390" spans="1:14" s="131" customFormat="1" ht="28.2" customHeight="1">
      <c r="A390" s="11">
        <v>385</v>
      </c>
      <c r="B390" s="290">
        <v>385</v>
      </c>
      <c r="C390" s="129">
        <v>45944</v>
      </c>
      <c r="D390" s="10" t="s">
        <v>341</v>
      </c>
      <c r="E390" s="41" t="str">
        <f>IFERROR(VLOOKUP($D390,임시동력입.출고현황!$A:$G,E$5,0),)</f>
        <v>LTG</v>
      </c>
      <c r="F390" s="19" t="str">
        <f>IFERROR(VLOOKUP($D390,임시동력입.출고현황!$A:$G,F$5,0),)</f>
        <v>Lighting Fixture</v>
      </c>
      <c r="G390" s="19">
        <f>IFERROR(VLOOKUP($D390,임시동력입.출고현황!$A:$G,G$5,0),)</f>
        <v>0</v>
      </c>
      <c r="H390" s="19" t="str">
        <f>IFERROR(VLOOKUP($D390,임시동력입.출고현황!$A:$G,H$5,0),)</f>
        <v>400W</v>
      </c>
      <c r="I390" s="10" t="str">
        <f>IFERROR(VLOOKUP($D390,임시동력입.출고현황!$A:$G,I$5,0),)</f>
        <v>EA</v>
      </c>
      <c r="J390" s="10">
        <v>3</v>
      </c>
      <c r="K390" s="95" t="s">
        <v>551</v>
      </c>
      <c r="L390" s="57">
        <v>2</v>
      </c>
      <c r="M390" s="81" t="s">
        <v>439</v>
      </c>
      <c r="N390" s="134"/>
    </row>
    <row r="391" spans="1:14" s="131" customFormat="1" ht="28.2" customHeight="1">
      <c r="A391" s="11">
        <v>386</v>
      </c>
      <c r="B391" s="290">
        <v>386</v>
      </c>
      <c r="C391" s="129">
        <v>45945</v>
      </c>
      <c r="D391" s="10" t="s">
        <v>335</v>
      </c>
      <c r="E391" s="41" t="str">
        <f>IFERROR(VLOOKUP($D391,임시동력입.출고현황!$A:$G,E$5,0),)</f>
        <v>Cable</v>
      </c>
      <c r="F391" s="19" t="str">
        <f>IFERROR(VLOOKUP($D391,임시동력입.출고현황!$A:$G,F$5,0),)</f>
        <v>CV Cable</v>
      </c>
      <c r="G391" s="19">
        <f>IFERROR(VLOOKUP($D391,임시동력입.출고현황!$A:$G,G$5,0),)</f>
        <v>0</v>
      </c>
      <c r="H391" s="19" t="str">
        <f>IFERROR(VLOOKUP($D391,임시동력입.출고현황!$A:$G,H$5,0),)</f>
        <v>3C x 2.5mm2</v>
      </c>
      <c r="I391" s="10" t="str">
        <f>IFERROR(VLOOKUP($D391,임시동력입.출고현황!$A:$G,I$5,0),)</f>
        <v>M</v>
      </c>
      <c r="J391" s="10">
        <v>1</v>
      </c>
      <c r="K391" s="95" t="s">
        <v>352</v>
      </c>
      <c r="L391" s="57">
        <v>200</v>
      </c>
      <c r="M391" s="81" t="s">
        <v>439</v>
      </c>
      <c r="N391" s="134"/>
    </row>
    <row r="392" spans="1:14" s="131" customFormat="1" ht="28.2" customHeight="1">
      <c r="A392" s="11">
        <v>387</v>
      </c>
      <c r="B392" s="290">
        <v>387</v>
      </c>
      <c r="C392" s="129">
        <v>45945</v>
      </c>
      <c r="D392" s="10" t="s">
        <v>348</v>
      </c>
      <c r="E392" s="41" t="str">
        <f>IFERROR(VLOOKUP($D392,임시동력입.출고현황!$A:$G,E$5,0),)</f>
        <v>LTG</v>
      </c>
      <c r="F392" s="19" t="str">
        <f>IFERROR(VLOOKUP($D392,임시동력입.출고현황!$A:$G,F$5,0),)</f>
        <v>Lighting Fixture</v>
      </c>
      <c r="G392" s="19">
        <f>IFERROR(VLOOKUP($D392,임시동력입.출고현황!$A:$G,G$5,0),)</f>
        <v>0</v>
      </c>
      <c r="H392" s="19" t="str">
        <f>IFERROR(VLOOKUP($D392,임시동력입.출고현황!$A:$G,H$5,0),)</f>
        <v>100W</v>
      </c>
      <c r="I392" s="10" t="str">
        <f>IFERROR(VLOOKUP($D392,임시동력입.출고현황!$A:$G,I$5,0),)</f>
        <v>EA</v>
      </c>
      <c r="J392" s="10">
        <v>1</v>
      </c>
      <c r="K392" s="95" t="s">
        <v>352</v>
      </c>
      <c r="L392" s="57">
        <v>6</v>
      </c>
      <c r="M392" s="81" t="s">
        <v>439</v>
      </c>
      <c r="N392" s="134"/>
    </row>
    <row r="393" spans="1:14" s="131" customFormat="1" ht="28.2" customHeight="1">
      <c r="A393" s="11">
        <v>388</v>
      </c>
      <c r="B393" s="290">
        <v>388</v>
      </c>
      <c r="C393" s="129">
        <v>45945</v>
      </c>
      <c r="D393" s="10" t="s">
        <v>341</v>
      </c>
      <c r="E393" s="41" t="str">
        <f>IFERROR(VLOOKUP($D393,임시동력입.출고현황!$A:$G,E$5,0),)</f>
        <v>LTG</v>
      </c>
      <c r="F393" s="19" t="str">
        <f>IFERROR(VLOOKUP($D393,임시동력입.출고현황!$A:$G,F$5,0),)</f>
        <v>Lighting Fixture</v>
      </c>
      <c r="G393" s="19">
        <f>IFERROR(VLOOKUP($D393,임시동력입.출고현황!$A:$G,G$5,0),)</f>
        <v>0</v>
      </c>
      <c r="H393" s="19" t="str">
        <f>IFERROR(VLOOKUP($D393,임시동력입.출고현황!$A:$G,H$5,0),)</f>
        <v>400W</v>
      </c>
      <c r="I393" s="10" t="str">
        <f>IFERROR(VLOOKUP($D393,임시동력입.출고현황!$A:$G,I$5,0),)</f>
        <v>EA</v>
      </c>
      <c r="J393" s="10">
        <v>4</v>
      </c>
      <c r="K393" s="95" t="s">
        <v>359</v>
      </c>
      <c r="L393" s="57">
        <v>6</v>
      </c>
      <c r="M393" s="81" t="s">
        <v>439</v>
      </c>
      <c r="N393" s="134"/>
    </row>
    <row r="394" spans="1:14" s="131" customFormat="1" ht="28.2" customHeight="1">
      <c r="A394" s="11">
        <v>389</v>
      </c>
      <c r="B394" s="290">
        <v>389</v>
      </c>
      <c r="C394" s="129">
        <v>45945</v>
      </c>
      <c r="D394" s="10" t="s">
        <v>556</v>
      </c>
      <c r="E394" s="41" t="str">
        <f>IFERROR(VLOOKUP($D394,임시동력입.출고현황!$A:$G,E$5,0),)</f>
        <v>Panel</v>
      </c>
      <c r="F394" s="19" t="str">
        <f>IFERROR(VLOOKUP($D394,임시동력입.출고현황!$A:$G,F$5,0),)</f>
        <v>Electrical Panel</v>
      </c>
      <c r="G394" s="19">
        <f>IFERROR(VLOOKUP($D394,임시동력입.출고현황!$A:$G,G$5,0),)</f>
        <v>0</v>
      </c>
      <c r="H394" s="19" t="str">
        <f>IFERROR(VLOOKUP($D394,임시동력입.출고현황!$A:$G,H$5,0),)</f>
        <v>50A</v>
      </c>
      <c r="I394" s="10" t="str">
        <f>IFERROR(VLOOKUP($D394,임시동력입.출고현황!$A:$G,I$5,0),)</f>
        <v>EA</v>
      </c>
      <c r="J394" s="10">
        <v>4</v>
      </c>
      <c r="K394" s="95" t="s">
        <v>359</v>
      </c>
      <c r="L394" s="57">
        <v>1</v>
      </c>
      <c r="M394" s="81" t="s">
        <v>439</v>
      </c>
      <c r="N394" s="134"/>
    </row>
    <row r="395" spans="1:14" s="131" customFormat="1" ht="28.2" customHeight="1">
      <c r="A395" s="11">
        <v>390</v>
      </c>
      <c r="B395" s="290">
        <v>390</v>
      </c>
      <c r="C395" s="129">
        <v>45945</v>
      </c>
      <c r="D395" s="10" t="s">
        <v>347</v>
      </c>
      <c r="E395" s="41" t="str">
        <f>IFERROR(VLOOKUP($D395,임시동력입.출고현황!$A:$G,E$5,0),)</f>
        <v>LTG</v>
      </c>
      <c r="F395" s="19" t="str">
        <f>IFERROR(VLOOKUP($D395,임시동력입.출고현황!$A:$G,F$5,0),)</f>
        <v>Lighting Fixture</v>
      </c>
      <c r="G395" s="19">
        <f>IFERROR(VLOOKUP($D395,임시동력입.출고현황!$A:$G,G$5,0),)</f>
        <v>0</v>
      </c>
      <c r="H395" s="19" t="str">
        <f>IFERROR(VLOOKUP($D395,임시동력입.출고현황!$A:$G,H$5,0),)</f>
        <v>200W</v>
      </c>
      <c r="I395" s="10" t="str">
        <f>IFERROR(VLOOKUP($D395,임시동력입.출고현황!$A:$G,I$5,0),)</f>
        <v>EA</v>
      </c>
      <c r="J395" s="10">
        <v>1</v>
      </c>
      <c r="K395" s="95" t="s">
        <v>363</v>
      </c>
      <c r="L395" s="57">
        <v>13</v>
      </c>
      <c r="M395" s="81" t="s">
        <v>439</v>
      </c>
      <c r="N395" s="134"/>
    </row>
    <row r="396" spans="1:14" s="131" customFormat="1" ht="28.2" customHeight="1">
      <c r="A396" s="11">
        <v>391</v>
      </c>
      <c r="B396" s="290">
        <v>391</v>
      </c>
      <c r="C396" s="129">
        <v>45946</v>
      </c>
      <c r="D396" s="10" t="s">
        <v>341</v>
      </c>
      <c r="E396" s="41" t="str">
        <f>IFERROR(VLOOKUP($D396,임시동력입.출고현황!$A:$G,E$5,0),)</f>
        <v>LTG</v>
      </c>
      <c r="F396" s="19" t="str">
        <f>IFERROR(VLOOKUP($D396,임시동력입.출고현황!$A:$G,F$5,0),)</f>
        <v>Lighting Fixture</v>
      </c>
      <c r="G396" s="19">
        <f>IFERROR(VLOOKUP($D396,임시동력입.출고현황!$A:$G,G$5,0),)</f>
        <v>0</v>
      </c>
      <c r="H396" s="19" t="str">
        <f>IFERROR(VLOOKUP($D396,임시동력입.출고현황!$A:$G,H$5,0),)</f>
        <v>400W</v>
      </c>
      <c r="I396" s="10" t="str">
        <f>IFERROR(VLOOKUP($D396,임시동력입.출고현황!$A:$G,I$5,0),)</f>
        <v>EA</v>
      </c>
      <c r="J396" s="10">
        <v>1</v>
      </c>
      <c r="K396" s="95" t="s">
        <v>352</v>
      </c>
      <c r="L396" s="57">
        <v>4</v>
      </c>
      <c r="M396" s="81" t="s">
        <v>439</v>
      </c>
      <c r="N396" s="134"/>
    </row>
    <row r="397" spans="1:14" s="131" customFormat="1" ht="28.2" customHeight="1">
      <c r="A397" s="11">
        <v>392</v>
      </c>
      <c r="B397" s="290">
        <v>392</v>
      </c>
      <c r="C397" s="129">
        <v>45946</v>
      </c>
      <c r="D397" s="10" t="s">
        <v>306</v>
      </c>
      <c r="E397" s="41" t="str">
        <f>IFERROR(VLOOKUP($D397,임시동력입.출고현황!$A:$G,E$5,0),)</f>
        <v>Panel</v>
      </c>
      <c r="F397" s="19" t="str">
        <f>IFERROR(VLOOKUP($D397,임시동력입.출고현황!$A:$G,F$5,0),)</f>
        <v>Electrical Panel</v>
      </c>
      <c r="G397" s="19">
        <f>IFERROR(VLOOKUP($D397,임시동력입.출고현황!$A:$G,G$5,0),)</f>
        <v>0</v>
      </c>
      <c r="H397" s="19" t="str">
        <f>IFERROR(VLOOKUP($D397,임시동력입.출고현황!$A:$G,H$5,0),)</f>
        <v>250A</v>
      </c>
      <c r="I397" s="10" t="str">
        <f>IFERROR(VLOOKUP($D397,임시동력입.출고현황!$A:$G,I$5,0),)</f>
        <v>EA</v>
      </c>
      <c r="J397" s="10">
        <v>1</v>
      </c>
      <c r="K397" s="95" t="s">
        <v>363</v>
      </c>
      <c r="L397" s="57">
        <v>2</v>
      </c>
      <c r="M397" s="81" t="s">
        <v>439</v>
      </c>
      <c r="N397" s="134"/>
    </row>
    <row r="398" spans="1:14" s="131" customFormat="1" ht="28.2" customHeight="1">
      <c r="A398" s="11">
        <v>393</v>
      </c>
      <c r="B398" s="290">
        <v>393</v>
      </c>
      <c r="C398" s="129">
        <v>45946</v>
      </c>
      <c r="D398" s="10" t="s">
        <v>307</v>
      </c>
      <c r="E398" s="41" t="str">
        <f>IFERROR(VLOOKUP($D398,임시동력입.출고현황!$A:$G,E$5,0),)</f>
        <v>Panel</v>
      </c>
      <c r="F398" s="19" t="str">
        <f>IFERROR(VLOOKUP($D398,임시동력입.출고현황!$A:$G,F$5,0),)</f>
        <v>Electrical Panel</v>
      </c>
      <c r="G398" s="19">
        <f>IFERROR(VLOOKUP($D398,임시동력입.출고현황!$A:$G,G$5,0),)</f>
        <v>0</v>
      </c>
      <c r="H398" s="19" t="str">
        <f>IFERROR(VLOOKUP($D398,임시동력입.출고현황!$A:$G,H$5,0),)</f>
        <v>160A</v>
      </c>
      <c r="I398" s="10" t="str">
        <f>IFERROR(VLOOKUP($D398,임시동력입.출고현황!$A:$G,I$5,0),)</f>
        <v>EA</v>
      </c>
      <c r="J398" s="10">
        <v>1</v>
      </c>
      <c r="K398" s="95" t="s">
        <v>352</v>
      </c>
      <c r="L398" s="57">
        <v>1</v>
      </c>
      <c r="M398" s="81" t="s">
        <v>439</v>
      </c>
      <c r="N398" s="134"/>
    </row>
    <row r="399" spans="1:14" s="131" customFormat="1" ht="28.2" customHeight="1">
      <c r="A399" s="11">
        <v>394</v>
      </c>
      <c r="B399" s="290">
        <v>394</v>
      </c>
      <c r="C399" s="129">
        <v>45946</v>
      </c>
      <c r="D399" s="10" t="s">
        <v>334</v>
      </c>
      <c r="E399" s="41" t="str">
        <f>IFERROR(VLOOKUP($D399,임시동력입.출고현황!$A:$G,E$5,0),)</f>
        <v>Cable</v>
      </c>
      <c r="F399" s="19" t="str">
        <f>IFERROR(VLOOKUP($D399,임시동력입.출고현황!$A:$G,F$5,0),)</f>
        <v>CV Cable</v>
      </c>
      <c r="G399" s="19">
        <f>IFERROR(VLOOKUP($D399,임시동력입.출고현황!$A:$G,G$5,0),)</f>
        <v>0</v>
      </c>
      <c r="H399" s="19" t="str">
        <f>IFERROR(VLOOKUP($D399,임시동력입.출고현황!$A:$G,H$5,0),)</f>
        <v>3C x 4mm2</v>
      </c>
      <c r="I399" s="10" t="str">
        <f>IFERROR(VLOOKUP($D399,임시동력입.출고현황!$A:$G,I$5,0),)</f>
        <v>M</v>
      </c>
      <c r="J399" s="10">
        <v>2</v>
      </c>
      <c r="K399" s="95" t="s">
        <v>360</v>
      </c>
      <c r="L399" s="57">
        <v>100</v>
      </c>
      <c r="M399" s="81" t="s">
        <v>439</v>
      </c>
      <c r="N399" s="134"/>
    </row>
    <row r="400" spans="1:14" s="131" customFormat="1" ht="28.2" customHeight="1">
      <c r="A400" s="11">
        <v>395</v>
      </c>
      <c r="B400" s="290">
        <v>395</v>
      </c>
      <c r="C400" s="129">
        <v>45946</v>
      </c>
      <c r="D400" s="10" t="s">
        <v>336</v>
      </c>
      <c r="E400" s="41" t="str">
        <f>IFERROR(VLOOKUP($D400,임시동력입.출고현황!$A:$G,E$5,0),)</f>
        <v>Cable</v>
      </c>
      <c r="F400" s="19" t="str">
        <f>IFERROR(VLOOKUP($D400,임시동력입.출고현황!$A:$G,F$5,0),)</f>
        <v>CV Cable</v>
      </c>
      <c r="G400" s="19">
        <f>IFERROR(VLOOKUP($D400,임시동력입.출고현황!$A:$G,G$5,0),)</f>
        <v>0</v>
      </c>
      <c r="H400" s="19" t="str">
        <f>IFERROR(VLOOKUP($D400,임시동력입.출고현황!$A:$G,H$5,0),)</f>
        <v>3C x 1.5mm2</v>
      </c>
      <c r="I400" s="10" t="str">
        <f>IFERROR(VLOOKUP($D400,임시동력입.출고현황!$A:$G,I$5,0),)</f>
        <v>M</v>
      </c>
      <c r="J400" s="10">
        <v>3</v>
      </c>
      <c r="K400" s="95" t="s">
        <v>551</v>
      </c>
      <c r="L400" s="57">
        <v>10</v>
      </c>
      <c r="M400" s="81" t="s">
        <v>439</v>
      </c>
      <c r="N400" s="134"/>
    </row>
    <row r="401" spans="1:14" s="131" customFormat="1" ht="28.2" customHeight="1">
      <c r="A401" s="11">
        <v>396</v>
      </c>
      <c r="B401" s="290">
        <v>396</v>
      </c>
      <c r="C401" s="129">
        <v>45946</v>
      </c>
      <c r="D401" s="10" t="s">
        <v>329</v>
      </c>
      <c r="E401" s="41" t="str">
        <f>IFERROR(VLOOKUP($D401,임시동력입.출고현황!$A:$G,E$5,0),)</f>
        <v>Cable</v>
      </c>
      <c r="F401" s="19" t="str">
        <f>IFERROR(VLOOKUP($D401,임시동력입.출고현황!$A:$G,F$5,0),)</f>
        <v>CV Cable</v>
      </c>
      <c r="G401" s="19">
        <f>IFERROR(VLOOKUP($D401,임시동력입.출고현황!$A:$G,G$5,0),)</f>
        <v>0</v>
      </c>
      <c r="H401" s="19" t="str">
        <f>IFERROR(VLOOKUP($D401,임시동력입.출고현황!$A:$G,H$5,0),)</f>
        <v>4C x 16mm2</v>
      </c>
      <c r="I401" s="10" t="str">
        <f>IFERROR(VLOOKUP($D401,임시동력입.출고현황!$A:$G,I$5,0),)</f>
        <v>M</v>
      </c>
      <c r="J401" s="10">
        <v>3</v>
      </c>
      <c r="K401" s="95" t="s">
        <v>237</v>
      </c>
      <c r="L401" s="57">
        <v>40</v>
      </c>
      <c r="M401" s="81" t="s">
        <v>439</v>
      </c>
      <c r="N401" s="134"/>
    </row>
    <row r="402" spans="1:14" s="131" customFormat="1" ht="28.2" customHeight="1">
      <c r="A402" s="11">
        <v>397</v>
      </c>
      <c r="B402" s="290">
        <v>397</v>
      </c>
      <c r="C402" s="129">
        <v>45947</v>
      </c>
      <c r="D402" s="10" t="s">
        <v>323</v>
      </c>
      <c r="E402" s="41" t="str">
        <f>IFERROR(VLOOKUP($D402,임시동력입.출고현황!$A:$G,E$5,0),)</f>
        <v>Cable</v>
      </c>
      <c r="F402" s="19" t="str">
        <f>IFERROR(VLOOKUP($D402,임시동력입.출고현황!$A:$G,F$5,0),)</f>
        <v>AL Cable</v>
      </c>
      <c r="G402" s="19">
        <f>IFERROR(VLOOKUP($D402,임시동력입.출고현황!$A:$G,G$5,0),)</f>
        <v>0</v>
      </c>
      <c r="H402" s="19" t="str">
        <f>IFERROR(VLOOKUP($D402,임시동력입.출고현황!$A:$G,H$5,0),)</f>
        <v>4C x 35mm2 [ALU]</v>
      </c>
      <c r="I402" s="10" t="str">
        <f>IFERROR(VLOOKUP($D402,임시동력입.출고현황!$A:$G,I$5,0),)</f>
        <v>M</v>
      </c>
      <c r="J402" s="10">
        <v>3</v>
      </c>
      <c r="K402" s="95" t="s">
        <v>237</v>
      </c>
      <c r="L402" s="57">
        <v>107</v>
      </c>
      <c r="M402" s="81" t="s">
        <v>439</v>
      </c>
      <c r="N402" s="134"/>
    </row>
    <row r="403" spans="1:14" s="131" customFormat="1" ht="28.2" customHeight="1">
      <c r="A403" s="11">
        <v>398</v>
      </c>
      <c r="B403" s="290">
        <v>398</v>
      </c>
      <c r="C403" s="129">
        <v>45947</v>
      </c>
      <c r="D403" s="10" t="s">
        <v>341</v>
      </c>
      <c r="E403" s="41" t="str">
        <f>IFERROR(VLOOKUP($D403,임시동력입.출고현황!$A:$G,E$5,0),)</f>
        <v>LTG</v>
      </c>
      <c r="F403" s="19" t="str">
        <f>IFERROR(VLOOKUP($D403,임시동력입.출고현황!$A:$G,F$5,0),)</f>
        <v>Lighting Fixture</v>
      </c>
      <c r="G403" s="19">
        <f>IFERROR(VLOOKUP($D403,임시동력입.출고현황!$A:$G,G$5,0),)</f>
        <v>0</v>
      </c>
      <c r="H403" s="19" t="str">
        <f>IFERROR(VLOOKUP($D403,임시동력입.출고현황!$A:$G,H$5,0),)</f>
        <v>400W</v>
      </c>
      <c r="I403" s="10" t="str">
        <f>IFERROR(VLOOKUP($D403,임시동력입.출고현황!$A:$G,I$5,0),)</f>
        <v>EA</v>
      </c>
      <c r="J403" s="10">
        <v>3</v>
      </c>
      <c r="K403" s="95" t="s">
        <v>237</v>
      </c>
      <c r="L403" s="57">
        <v>2</v>
      </c>
      <c r="M403" s="81" t="s">
        <v>439</v>
      </c>
      <c r="N403" s="134"/>
    </row>
    <row r="404" spans="1:14" s="131" customFormat="1" ht="28.2" customHeight="1">
      <c r="A404" s="11">
        <v>399</v>
      </c>
      <c r="B404" s="290">
        <v>399</v>
      </c>
      <c r="C404" s="129">
        <v>45948</v>
      </c>
      <c r="D404" s="10" t="s">
        <v>322</v>
      </c>
      <c r="E404" s="41" t="str">
        <f>IFERROR(VLOOKUP($D404,임시동력입.출고현황!$A:$G,E$5,0),)</f>
        <v>Cable</v>
      </c>
      <c r="F404" s="19" t="str">
        <f>IFERROR(VLOOKUP($D404,임시동력입.출고현황!$A:$G,F$5,0),)</f>
        <v>AL Cable</v>
      </c>
      <c r="G404" s="19">
        <f>IFERROR(VLOOKUP($D404,임시동력입.출고현황!$A:$G,G$5,0),)</f>
        <v>0</v>
      </c>
      <c r="H404" s="19" t="str">
        <f>IFERROR(VLOOKUP($D404,임시동력입.출고현황!$A:$G,H$5,0),)</f>
        <v>3C x 50+25mm2 [ALU]</v>
      </c>
      <c r="I404" s="10" t="str">
        <f>IFERROR(VLOOKUP($D404,임시동력입.출고현황!$A:$G,I$5,0),)</f>
        <v>M</v>
      </c>
      <c r="J404" s="10">
        <v>3</v>
      </c>
      <c r="K404" s="95" t="s">
        <v>237</v>
      </c>
      <c r="L404" s="57">
        <v>25</v>
      </c>
      <c r="M404" s="81" t="s">
        <v>439</v>
      </c>
      <c r="N404" s="134"/>
    </row>
    <row r="405" spans="1:14" s="131" customFormat="1" ht="28.2" customHeight="1">
      <c r="A405" s="11">
        <v>400</v>
      </c>
      <c r="B405" s="290">
        <v>400</v>
      </c>
      <c r="C405" s="129">
        <v>45948</v>
      </c>
      <c r="D405" s="10" t="s">
        <v>341</v>
      </c>
      <c r="E405" s="41" t="str">
        <f>IFERROR(VLOOKUP($D405,임시동력입.출고현황!$A:$G,E$5,0),)</f>
        <v>LTG</v>
      </c>
      <c r="F405" s="19" t="str">
        <f>IFERROR(VLOOKUP($D405,임시동력입.출고현황!$A:$G,F$5,0),)</f>
        <v>Lighting Fixture</v>
      </c>
      <c r="G405" s="19">
        <f>IFERROR(VLOOKUP($D405,임시동력입.출고현황!$A:$G,G$5,0),)</f>
        <v>0</v>
      </c>
      <c r="H405" s="19" t="str">
        <f>IFERROR(VLOOKUP($D405,임시동력입.출고현황!$A:$G,H$5,0),)</f>
        <v>400W</v>
      </c>
      <c r="I405" s="10" t="str">
        <f>IFERROR(VLOOKUP($D405,임시동력입.출고현황!$A:$G,I$5,0),)</f>
        <v>EA</v>
      </c>
      <c r="J405" s="10">
        <v>3</v>
      </c>
      <c r="K405" s="95" t="s">
        <v>237</v>
      </c>
      <c r="L405" s="57">
        <v>12</v>
      </c>
      <c r="M405" s="81" t="s">
        <v>439</v>
      </c>
      <c r="N405" s="134"/>
    </row>
    <row r="406" spans="1:14" s="131" customFormat="1" ht="28.2" customHeight="1">
      <c r="A406" s="11">
        <v>401</v>
      </c>
      <c r="B406" s="290">
        <v>401</v>
      </c>
      <c r="C406" s="129">
        <v>45949</v>
      </c>
      <c r="D406" s="10" t="s">
        <v>304</v>
      </c>
      <c r="E406" s="41" t="str">
        <f>IFERROR(VLOOKUP($D406,임시동력입.출고현황!$A:$G,E$5,0),)</f>
        <v>Panel</v>
      </c>
      <c r="F406" s="19" t="str">
        <f>IFERROR(VLOOKUP($D406,임시동력입.출고현황!$A:$G,F$5,0),)</f>
        <v>Electrical Panel</v>
      </c>
      <c r="G406" s="19">
        <f>IFERROR(VLOOKUP($D406,임시동력입.출고현황!$A:$G,G$5,0),)</f>
        <v>0</v>
      </c>
      <c r="H406" s="19" t="str">
        <f>IFERROR(VLOOKUP($D406,임시동력입.출고현황!$A:$G,H$5,0),)</f>
        <v>400A</v>
      </c>
      <c r="I406" s="10" t="str">
        <f>IFERROR(VLOOKUP($D406,임시동력입.출고현황!$A:$G,I$5,0),)</f>
        <v>EA</v>
      </c>
      <c r="J406" s="10">
        <v>3</v>
      </c>
      <c r="K406" s="95" t="s">
        <v>237</v>
      </c>
      <c r="L406" s="57">
        <v>1</v>
      </c>
      <c r="M406" s="81" t="s">
        <v>439</v>
      </c>
      <c r="N406" s="134"/>
    </row>
    <row r="407" spans="1:14" s="131" customFormat="1" ht="28.2" customHeight="1">
      <c r="A407" s="11">
        <v>402</v>
      </c>
      <c r="B407" s="290">
        <v>402</v>
      </c>
      <c r="C407" s="129">
        <v>45949</v>
      </c>
      <c r="D407" s="10" t="s">
        <v>555</v>
      </c>
      <c r="E407" s="41" t="str">
        <f>IFERROR(VLOOKUP($D407,임시동력입.출고현황!$A:$G,E$5,0),)</f>
        <v>MCB</v>
      </c>
      <c r="F407" s="19" t="str">
        <f>IFERROR(VLOOKUP($D407,임시동력입.출고현황!$A:$G,F$5,0),)</f>
        <v>MCB</v>
      </c>
      <c r="G407" s="19">
        <f>IFERROR(VLOOKUP($D407,임시동력입.출고현황!$A:$G,G$5,0),)</f>
        <v>0</v>
      </c>
      <c r="H407" s="19" t="str">
        <f>IFERROR(VLOOKUP($D407,임시동력입.출고현황!$A:$G,H$5,0),)</f>
        <v>1P - 16A</v>
      </c>
      <c r="I407" s="10" t="str">
        <f>IFERROR(VLOOKUP($D407,임시동력입.출고현황!$A:$G,I$5,0),)</f>
        <v>EA</v>
      </c>
      <c r="J407" s="10">
        <v>1</v>
      </c>
      <c r="K407" s="95" t="s">
        <v>352</v>
      </c>
      <c r="L407" s="57">
        <v>2</v>
      </c>
      <c r="M407" s="81" t="s">
        <v>439</v>
      </c>
      <c r="N407" s="134"/>
    </row>
    <row r="408" spans="1:14" s="131" customFormat="1" ht="28.2" customHeight="1">
      <c r="A408" s="11">
        <v>403</v>
      </c>
      <c r="B408" s="290">
        <v>403</v>
      </c>
      <c r="C408" s="129">
        <v>45949</v>
      </c>
      <c r="D408" s="10" t="s">
        <v>476</v>
      </c>
      <c r="E408" s="41" t="str">
        <f>IFERROR(VLOOKUP($D408,임시동력입.출고현황!$A:$G,E$5,0),)</f>
        <v>MCB</v>
      </c>
      <c r="F408" s="19" t="str">
        <f>IFERROR(VLOOKUP($D408,임시동력입.출고현황!$A:$G,F$5,0),)</f>
        <v>MCB</v>
      </c>
      <c r="G408" s="19">
        <f>IFERROR(VLOOKUP($D408,임시동력입.출고현황!$A:$G,G$5,0),)</f>
        <v>0</v>
      </c>
      <c r="H408" s="19" t="str">
        <f>IFERROR(VLOOKUP($D408,임시동력입.출고현황!$A:$G,H$5,0),)</f>
        <v>1P - 25A</v>
      </c>
      <c r="I408" s="10" t="str">
        <f>IFERROR(VLOOKUP($D408,임시동력입.출고현황!$A:$G,I$5,0),)</f>
        <v>EA</v>
      </c>
      <c r="J408" s="10">
        <v>4</v>
      </c>
      <c r="K408" s="95" t="s">
        <v>359</v>
      </c>
      <c r="L408" s="57">
        <v>1</v>
      </c>
      <c r="M408" s="81" t="s">
        <v>439</v>
      </c>
      <c r="N408" s="134"/>
    </row>
    <row r="409" spans="1:14" s="131" customFormat="1" ht="28.2" customHeight="1">
      <c r="A409" s="11">
        <v>404</v>
      </c>
      <c r="B409" s="290">
        <v>404</v>
      </c>
      <c r="C409" s="129">
        <v>45949</v>
      </c>
      <c r="D409" s="10" t="s">
        <v>477</v>
      </c>
      <c r="E409" s="41" t="str">
        <f>IFERROR(VLOOKUP($D409,임시동력입.출고현황!$A:$G,E$5,0),)</f>
        <v>MCB</v>
      </c>
      <c r="F409" s="19" t="str">
        <f>IFERROR(VLOOKUP($D409,임시동력입.출고현황!$A:$G,F$5,0),)</f>
        <v>MCB</v>
      </c>
      <c r="G409" s="19">
        <f>IFERROR(VLOOKUP($D409,임시동력입.출고현황!$A:$G,G$5,0),)</f>
        <v>0</v>
      </c>
      <c r="H409" s="19" t="str">
        <f>IFERROR(VLOOKUP($D409,임시동력입.출고현황!$A:$G,H$5,0),)</f>
        <v>1P - 32A</v>
      </c>
      <c r="I409" s="10" t="str">
        <f>IFERROR(VLOOKUP($D409,임시동력입.출고현황!$A:$G,I$5,0),)</f>
        <v>EA</v>
      </c>
      <c r="J409" s="10">
        <v>3</v>
      </c>
      <c r="K409" s="95" t="s">
        <v>237</v>
      </c>
      <c r="L409" s="57">
        <v>1</v>
      </c>
      <c r="M409" s="81" t="s">
        <v>439</v>
      </c>
      <c r="N409" s="134"/>
    </row>
    <row r="410" spans="1:14" s="131" customFormat="1" ht="28.2" customHeight="1">
      <c r="A410" s="11">
        <v>405</v>
      </c>
      <c r="B410" s="290">
        <v>405</v>
      </c>
      <c r="C410" s="129">
        <v>45949</v>
      </c>
      <c r="D410" s="10" t="s">
        <v>484</v>
      </c>
      <c r="E410" s="41" t="str">
        <f>IFERROR(VLOOKUP($D410,임시동력입.출고현황!$A:$G,E$5,0),)</f>
        <v>MCB</v>
      </c>
      <c r="F410" s="19" t="str">
        <f>IFERROR(VLOOKUP($D410,임시동력입.출고현황!$A:$G,F$5,0),)</f>
        <v>RCCB</v>
      </c>
      <c r="G410" s="19">
        <f>IFERROR(VLOOKUP($D410,임시동력입.출고현황!$A:$G,G$5,0),)</f>
        <v>0</v>
      </c>
      <c r="H410" s="19" t="str">
        <f>IFERROR(VLOOKUP($D410,임시동력입.출고현황!$A:$G,H$5,0),)</f>
        <v>4P - 63A - 30 mA</v>
      </c>
      <c r="I410" s="10" t="str">
        <f>IFERROR(VLOOKUP($D410,임시동력입.출고현황!$A:$G,I$5,0),)</f>
        <v>EA</v>
      </c>
      <c r="J410" s="10">
        <v>2</v>
      </c>
      <c r="K410" s="95" t="s">
        <v>360</v>
      </c>
      <c r="L410" s="57">
        <v>6</v>
      </c>
      <c r="M410" s="81" t="s">
        <v>439</v>
      </c>
      <c r="N410" s="134"/>
    </row>
    <row r="411" spans="1:14" s="131" customFormat="1" ht="28.2" customHeight="1">
      <c r="A411" s="11">
        <v>406</v>
      </c>
      <c r="B411" s="290">
        <v>406</v>
      </c>
      <c r="C411" s="129">
        <v>45950</v>
      </c>
      <c r="D411" s="10" t="s">
        <v>311</v>
      </c>
      <c r="E411" s="41" t="str">
        <f>IFERROR(VLOOKUP($D411,임시동력입.출고현황!$A:$G,E$5,0),)</f>
        <v>Panel</v>
      </c>
      <c r="F411" s="19" t="str">
        <f>IFERROR(VLOOKUP($D411,임시동력입.출고현황!$A:$G,F$5,0),)</f>
        <v>Electrical Panel</v>
      </c>
      <c r="G411" s="19">
        <f>IFERROR(VLOOKUP($D411,임시동력입.출고현황!$A:$G,G$5,0),)</f>
        <v>0</v>
      </c>
      <c r="H411" s="19" t="str">
        <f>IFERROR(VLOOKUP($D411,임시동력입.출고현황!$A:$G,H$5,0),)</f>
        <v>50A</v>
      </c>
      <c r="I411" s="10" t="str">
        <f>IFERROR(VLOOKUP($D411,임시동력입.출고현황!$A:$G,I$5,0),)</f>
        <v>EA</v>
      </c>
      <c r="J411" s="10">
        <v>1</v>
      </c>
      <c r="K411" s="95" t="s">
        <v>352</v>
      </c>
      <c r="L411" s="57">
        <v>1</v>
      </c>
      <c r="M411" s="81" t="s">
        <v>439</v>
      </c>
      <c r="N411" s="134"/>
    </row>
    <row r="412" spans="1:14" s="131" customFormat="1" ht="28.2" customHeight="1">
      <c r="A412" s="11">
        <v>407</v>
      </c>
      <c r="B412" s="290">
        <v>407</v>
      </c>
      <c r="C412" s="129">
        <v>45950</v>
      </c>
      <c r="D412" s="10" t="s">
        <v>341</v>
      </c>
      <c r="E412" s="41" t="str">
        <f>IFERROR(VLOOKUP($D412,임시동력입.출고현황!$A:$G,E$5,0),)</f>
        <v>LTG</v>
      </c>
      <c r="F412" s="19" t="str">
        <f>IFERROR(VLOOKUP($D412,임시동력입.출고현황!$A:$G,F$5,0),)</f>
        <v>Lighting Fixture</v>
      </c>
      <c r="G412" s="19">
        <f>IFERROR(VLOOKUP($D412,임시동력입.출고현황!$A:$G,G$5,0),)</f>
        <v>0</v>
      </c>
      <c r="H412" s="19" t="str">
        <f>IFERROR(VLOOKUP($D412,임시동력입.출고현황!$A:$G,H$5,0),)</f>
        <v>400W</v>
      </c>
      <c r="I412" s="10" t="str">
        <f>IFERROR(VLOOKUP($D412,임시동력입.출고현황!$A:$G,I$5,0),)</f>
        <v>EA</v>
      </c>
      <c r="J412" s="10">
        <v>1</v>
      </c>
      <c r="K412" s="95" t="s">
        <v>363</v>
      </c>
      <c r="L412" s="57">
        <v>20</v>
      </c>
      <c r="M412" s="81" t="s">
        <v>439</v>
      </c>
      <c r="N412" s="134"/>
    </row>
    <row r="413" spans="1:14" s="131" customFormat="1" ht="28.2" customHeight="1">
      <c r="A413" s="11">
        <v>408</v>
      </c>
      <c r="B413" s="290">
        <v>408</v>
      </c>
      <c r="C413" s="129">
        <v>45950</v>
      </c>
      <c r="D413" s="10" t="s">
        <v>333</v>
      </c>
      <c r="E413" s="41" t="str">
        <f>IFERROR(VLOOKUP($D413,임시동력입.출고현황!$A:$G,E$5,0),)</f>
        <v>Cable</v>
      </c>
      <c r="F413" s="19" t="str">
        <f>IFERROR(VLOOKUP($D413,임시동력입.출고현황!$A:$G,F$5,0),)</f>
        <v>CV Cable</v>
      </c>
      <c r="G413" s="19">
        <f>IFERROR(VLOOKUP($D413,임시동력입.출고현황!$A:$G,G$5,0),)</f>
        <v>0</v>
      </c>
      <c r="H413" s="19" t="str">
        <f>IFERROR(VLOOKUP($D413,임시동력입.출고현황!$A:$G,H$5,0),)</f>
        <v>3C x 6mm2</v>
      </c>
      <c r="I413" s="10" t="str">
        <f>IFERROR(VLOOKUP($D413,임시동력입.출고현황!$A:$G,I$5,0),)</f>
        <v>M</v>
      </c>
      <c r="J413" s="10">
        <v>1</v>
      </c>
      <c r="K413" s="95" t="s">
        <v>547</v>
      </c>
      <c r="L413" s="57">
        <v>85</v>
      </c>
      <c r="M413" s="81" t="s">
        <v>439</v>
      </c>
      <c r="N413" s="134"/>
    </row>
    <row r="414" spans="1:14" s="131" customFormat="1" ht="28.2" customHeight="1">
      <c r="A414" s="11">
        <v>409</v>
      </c>
      <c r="B414" s="290">
        <v>409</v>
      </c>
      <c r="C414" s="129">
        <v>45950</v>
      </c>
      <c r="D414" s="10" t="s">
        <v>335</v>
      </c>
      <c r="E414" s="41" t="str">
        <f>IFERROR(VLOOKUP($D414,임시동력입.출고현황!$A:$G,E$5,0),)</f>
        <v>Cable</v>
      </c>
      <c r="F414" s="19" t="str">
        <f>IFERROR(VLOOKUP($D414,임시동력입.출고현황!$A:$G,F$5,0),)</f>
        <v>CV Cable</v>
      </c>
      <c r="G414" s="19">
        <f>IFERROR(VLOOKUP($D414,임시동력입.출고현황!$A:$G,G$5,0),)</f>
        <v>0</v>
      </c>
      <c r="H414" s="19" t="str">
        <f>IFERROR(VLOOKUP($D414,임시동력입.출고현황!$A:$G,H$5,0),)</f>
        <v>3C x 2.5mm2</v>
      </c>
      <c r="I414" s="10" t="str">
        <f>IFERROR(VLOOKUP($D414,임시동력입.출고현황!$A:$G,I$5,0),)</f>
        <v>M</v>
      </c>
      <c r="J414" s="10">
        <v>2</v>
      </c>
      <c r="K414" s="95" t="s">
        <v>360</v>
      </c>
      <c r="L414" s="57">
        <v>100</v>
      </c>
      <c r="M414" s="81" t="s">
        <v>439</v>
      </c>
      <c r="N414" s="134"/>
    </row>
    <row r="415" spans="1:14" s="131" customFormat="1" ht="28.2" customHeight="1">
      <c r="A415" s="11">
        <v>410</v>
      </c>
      <c r="B415" s="290">
        <v>410</v>
      </c>
      <c r="C415" s="129">
        <v>45950</v>
      </c>
      <c r="D415" s="10" t="s">
        <v>411</v>
      </c>
      <c r="E415" s="41" t="str">
        <f>IFERROR(VLOOKUP($D415,임시동력입.출고현황!$A:$G,E$5,0),)</f>
        <v>Cable</v>
      </c>
      <c r="F415" s="19" t="str">
        <f>IFERROR(VLOOKUP($D415,임시동력입.출고현황!$A:$G,F$5,0),)</f>
        <v>CV Cable</v>
      </c>
      <c r="G415" s="19">
        <f>IFERROR(VLOOKUP($D415,임시동력입.출고현황!$A:$G,G$5,0),)</f>
        <v>0</v>
      </c>
      <c r="H415" s="19" t="str">
        <f>IFERROR(VLOOKUP($D415,임시동력입.출고현황!$A:$G,H$5,0),)</f>
        <v>3C x 3mm2</v>
      </c>
      <c r="I415" s="10" t="str">
        <f>IFERROR(VLOOKUP($D415,임시동력입.출고현황!$A:$G,I$5,0),)</f>
        <v>M</v>
      </c>
      <c r="J415" s="10">
        <v>3</v>
      </c>
      <c r="K415" s="95" t="s">
        <v>551</v>
      </c>
      <c r="L415" s="57">
        <v>150</v>
      </c>
      <c r="M415" s="81" t="s">
        <v>439</v>
      </c>
      <c r="N415" s="134"/>
    </row>
    <row r="416" spans="1:14" s="131" customFormat="1" ht="28.2" customHeight="1">
      <c r="A416" s="11">
        <v>411</v>
      </c>
      <c r="B416" s="290">
        <v>411</v>
      </c>
      <c r="C416" s="129">
        <v>45951</v>
      </c>
      <c r="D416" s="10" t="s">
        <v>335</v>
      </c>
      <c r="E416" s="41" t="str">
        <f>IFERROR(VLOOKUP($D416,임시동력입.출고현황!$A:$G,E$5,0),)</f>
        <v>Cable</v>
      </c>
      <c r="F416" s="19" t="str">
        <f>IFERROR(VLOOKUP($D416,임시동력입.출고현황!$A:$G,F$5,0),)</f>
        <v>CV Cable</v>
      </c>
      <c r="G416" s="19">
        <f>IFERROR(VLOOKUP($D416,임시동력입.출고현황!$A:$G,G$5,0),)</f>
        <v>0</v>
      </c>
      <c r="H416" s="19" t="str">
        <f>IFERROR(VLOOKUP($D416,임시동력입.출고현황!$A:$G,H$5,0),)</f>
        <v>3C x 2.5mm2</v>
      </c>
      <c r="I416" s="10" t="str">
        <f>IFERROR(VLOOKUP($D416,임시동력입.출고현황!$A:$G,I$5,0),)</f>
        <v>M</v>
      </c>
      <c r="J416" s="10">
        <v>3</v>
      </c>
      <c r="K416" s="95" t="s">
        <v>237</v>
      </c>
      <c r="L416" s="57">
        <v>274</v>
      </c>
      <c r="M416" s="81" t="s">
        <v>439</v>
      </c>
      <c r="N416" s="134"/>
    </row>
    <row r="417" spans="1:14" s="131" customFormat="1" ht="28.2" customHeight="1">
      <c r="A417" s="11">
        <v>412</v>
      </c>
      <c r="B417" s="290">
        <v>412</v>
      </c>
      <c r="C417" s="129">
        <v>45951</v>
      </c>
      <c r="D417" s="10" t="s">
        <v>336</v>
      </c>
      <c r="E417" s="41" t="str">
        <f>IFERROR(VLOOKUP($D417,임시동력입.출고현황!$A:$G,E$5,0),)</f>
        <v>Cable</v>
      </c>
      <c r="F417" s="19" t="str">
        <f>IFERROR(VLOOKUP($D417,임시동력입.출고현황!$A:$G,F$5,0),)</f>
        <v>CV Cable</v>
      </c>
      <c r="G417" s="19">
        <f>IFERROR(VLOOKUP($D417,임시동력입.출고현황!$A:$G,G$5,0),)</f>
        <v>0</v>
      </c>
      <c r="H417" s="19" t="str">
        <f>IFERROR(VLOOKUP($D417,임시동력입.출고현황!$A:$G,H$5,0),)</f>
        <v>3C x 1.5mm2</v>
      </c>
      <c r="I417" s="10" t="str">
        <f>IFERROR(VLOOKUP($D417,임시동력입.출고현황!$A:$G,I$5,0),)</f>
        <v>M</v>
      </c>
      <c r="J417" s="10">
        <v>1</v>
      </c>
      <c r="K417" s="95" t="s">
        <v>352</v>
      </c>
      <c r="L417" s="57">
        <v>30</v>
      </c>
      <c r="M417" s="81" t="s">
        <v>439</v>
      </c>
      <c r="N417" s="134"/>
    </row>
    <row r="418" spans="1:14" s="131" customFormat="1" ht="28.2" customHeight="1">
      <c r="A418" s="11">
        <v>413</v>
      </c>
      <c r="B418" s="290">
        <v>413</v>
      </c>
      <c r="C418" s="129">
        <v>45951</v>
      </c>
      <c r="D418" s="10" t="s">
        <v>411</v>
      </c>
      <c r="E418" s="41" t="str">
        <f>IFERROR(VLOOKUP($D418,임시동력입.출고현황!$A:$G,E$5,0),)</f>
        <v>Cable</v>
      </c>
      <c r="F418" s="19" t="str">
        <f>IFERROR(VLOOKUP($D418,임시동력입.출고현황!$A:$G,F$5,0),)</f>
        <v>CV Cable</v>
      </c>
      <c r="G418" s="19">
        <f>IFERROR(VLOOKUP($D418,임시동력입.출고현황!$A:$G,G$5,0),)</f>
        <v>0</v>
      </c>
      <c r="H418" s="19" t="str">
        <f>IFERROR(VLOOKUP($D418,임시동력입.출고현황!$A:$G,H$5,0),)</f>
        <v>3C x 3mm2</v>
      </c>
      <c r="I418" s="10" t="str">
        <f>IFERROR(VLOOKUP($D418,임시동력입.출고현황!$A:$G,I$5,0),)</f>
        <v>M</v>
      </c>
      <c r="J418" s="10">
        <v>1</v>
      </c>
      <c r="K418" s="95" t="s">
        <v>352</v>
      </c>
      <c r="L418" s="57">
        <v>200</v>
      </c>
      <c r="M418" s="81" t="s">
        <v>439</v>
      </c>
      <c r="N418" s="134"/>
    </row>
    <row r="419" spans="1:14" s="131" customFormat="1" ht="28.2" customHeight="1">
      <c r="A419" s="11">
        <v>414</v>
      </c>
      <c r="B419" s="290">
        <v>414</v>
      </c>
      <c r="C419" s="129">
        <v>45951</v>
      </c>
      <c r="D419" s="10" t="s">
        <v>334</v>
      </c>
      <c r="E419" s="41" t="str">
        <f>IFERROR(VLOOKUP($D419,임시동력입.출고현황!$A:$G,E$5,0),)</f>
        <v>Cable</v>
      </c>
      <c r="F419" s="19" t="str">
        <f>IFERROR(VLOOKUP($D419,임시동력입.출고현황!$A:$G,F$5,0),)</f>
        <v>CV Cable</v>
      </c>
      <c r="G419" s="19">
        <f>IFERROR(VLOOKUP($D419,임시동력입.출고현황!$A:$G,G$5,0),)</f>
        <v>0</v>
      </c>
      <c r="H419" s="19" t="str">
        <f>IFERROR(VLOOKUP($D419,임시동력입.출고현황!$A:$G,H$5,0),)</f>
        <v>3C x 4mm2</v>
      </c>
      <c r="I419" s="10" t="str">
        <f>IFERROR(VLOOKUP($D419,임시동력입.출고현황!$A:$G,I$5,0),)</f>
        <v>M</v>
      </c>
      <c r="J419" s="10">
        <v>1</v>
      </c>
      <c r="K419" s="95" t="s">
        <v>352</v>
      </c>
      <c r="L419" s="57">
        <v>100</v>
      </c>
      <c r="M419" s="81" t="s">
        <v>439</v>
      </c>
      <c r="N419" s="134"/>
    </row>
    <row r="420" spans="1:14" s="131" customFormat="1" ht="28.2" customHeight="1">
      <c r="A420" s="11">
        <v>415</v>
      </c>
      <c r="B420" s="290">
        <v>415</v>
      </c>
      <c r="C420" s="129">
        <v>45951</v>
      </c>
      <c r="D420" s="10" t="s">
        <v>329</v>
      </c>
      <c r="E420" s="41" t="str">
        <f>IFERROR(VLOOKUP($D420,임시동력입.출고현황!$A:$G,E$5,0),)</f>
        <v>Cable</v>
      </c>
      <c r="F420" s="19" t="str">
        <f>IFERROR(VLOOKUP($D420,임시동력입.출고현황!$A:$G,F$5,0),)</f>
        <v>CV Cable</v>
      </c>
      <c r="G420" s="19">
        <f>IFERROR(VLOOKUP($D420,임시동력입.출고현황!$A:$G,G$5,0),)</f>
        <v>0</v>
      </c>
      <c r="H420" s="19" t="str">
        <f>IFERROR(VLOOKUP($D420,임시동력입.출고현황!$A:$G,H$5,0),)</f>
        <v>4C x 16mm2</v>
      </c>
      <c r="I420" s="10" t="str">
        <f>IFERROR(VLOOKUP($D420,임시동력입.출고현황!$A:$G,I$5,0),)</f>
        <v>M</v>
      </c>
      <c r="J420" s="10">
        <v>1</v>
      </c>
      <c r="K420" s="95" t="s">
        <v>352</v>
      </c>
      <c r="L420" s="57">
        <v>75</v>
      </c>
      <c r="M420" s="81" t="s">
        <v>439</v>
      </c>
      <c r="N420" s="134"/>
    </row>
    <row r="421" spans="1:14" s="131" customFormat="1" ht="28.2" customHeight="1">
      <c r="A421" s="11">
        <v>416</v>
      </c>
      <c r="B421" s="290">
        <v>416</v>
      </c>
      <c r="C421" s="129">
        <v>45952</v>
      </c>
      <c r="D421" s="10" t="s">
        <v>336</v>
      </c>
      <c r="E421" s="41" t="str">
        <f>IFERROR(VLOOKUP($D421,임시동력입.출고현황!$A:$G,E$5,0),)</f>
        <v>Cable</v>
      </c>
      <c r="F421" s="19" t="str">
        <f>IFERROR(VLOOKUP($D421,임시동력입.출고현황!$A:$G,F$5,0),)</f>
        <v>CV Cable</v>
      </c>
      <c r="G421" s="19">
        <f>IFERROR(VLOOKUP($D421,임시동력입.출고현황!$A:$G,G$5,0),)</f>
        <v>0</v>
      </c>
      <c r="H421" s="19" t="str">
        <f>IFERROR(VLOOKUP($D421,임시동력입.출고현황!$A:$G,H$5,0),)</f>
        <v>3C x 1.5mm2</v>
      </c>
      <c r="I421" s="10" t="str">
        <f>IFERROR(VLOOKUP($D421,임시동력입.출고현황!$A:$G,I$5,0),)</f>
        <v>M</v>
      </c>
      <c r="J421" s="10">
        <v>3</v>
      </c>
      <c r="K421" s="95" t="s">
        <v>237</v>
      </c>
      <c r="L421" s="57">
        <v>100</v>
      </c>
      <c r="M421" s="81" t="s">
        <v>439</v>
      </c>
      <c r="N421" s="134"/>
    </row>
    <row r="422" spans="1:14" s="131" customFormat="1" ht="28.2" customHeight="1">
      <c r="A422" s="11">
        <v>417</v>
      </c>
      <c r="B422" s="290">
        <v>417</v>
      </c>
      <c r="C422" s="129">
        <v>45952</v>
      </c>
      <c r="D422" s="10" t="s">
        <v>323</v>
      </c>
      <c r="E422" s="41" t="str">
        <f>IFERROR(VLOOKUP($D422,임시동력입.출고현황!$A:$G,E$5,0),)</f>
        <v>Cable</v>
      </c>
      <c r="F422" s="19" t="str">
        <f>IFERROR(VLOOKUP($D422,임시동력입.출고현황!$A:$G,F$5,0),)</f>
        <v>AL Cable</v>
      </c>
      <c r="G422" s="19">
        <f>IFERROR(VLOOKUP($D422,임시동력입.출고현황!$A:$G,G$5,0),)</f>
        <v>0</v>
      </c>
      <c r="H422" s="19" t="str">
        <f>IFERROR(VLOOKUP($D422,임시동력입.출고현황!$A:$G,H$5,0),)</f>
        <v>4C x 35mm2 [ALU]</v>
      </c>
      <c r="I422" s="10" t="str">
        <f>IFERROR(VLOOKUP($D422,임시동력입.출고현황!$A:$G,I$5,0),)</f>
        <v>M</v>
      </c>
      <c r="J422" s="10">
        <v>2</v>
      </c>
      <c r="K422" s="95" t="s">
        <v>360</v>
      </c>
      <c r="L422" s="57">
        <v>100</v>
      </c>
      <c r="M422" s="81" t="s">
        <v>439</v>
      </c>
      <c r="N422" s="134"/>
    </row>
    <row r="423" spans="1:14" s="131" customFormat="1" ht="28.2" customHeight="1">
      <c r="A423" s="11">
        <v>418</v>
      </c>
      <c r="B423" s="290">
        <v>418</v>
      </c>
      <c r="C423" s="129">
        <v>45952</v>
      </c>
      <c r="D423" s="10" t="s">
        <v>335</v>
      </c>
      <c r="E423" s="41" t="str">
        <f>IFERROR(VLOOKUP($D423,임시동력입.출고현황!$A:$G,E$5,0),)</f>
        <v>Cable</v>
      </c>
      <c r="F423" s="19" t="str">
        <f>IFERROR(VLOOKUP($D423,임시동력입.출고현황!$A:$G,F$5,0),)</f>
        <v>CV Cable</v>
      </c>
      <c r="G423" s="19">
        <f>IFERROR(VLOOKUP($D423,임시동력입.출고현황!$A:$G,G$5,0),)</f>
        <v>0</v>
      </c>
      <c r="H423" s="19" t="str">
        <f>IFERROR(VLOOKUP($D423,임시동력입.출고현황!$A:$G,H$5,0),)</f>
        <v>3C x 2.5mm2</v>
      </c>
      <c r="I423" s="10" t="str">
        <f>IFERROR(VLOOKUP($D423,임시동력입.출고현황!$A:$G,I$5,0),)</f>
        <v>M</v>
      </c>
      <c r="J423" s="10">
        <v>1</v>
      </c>
      <c r="K423" s="95" t="s">
        <v>352</v>
      </c>
      <c r="L423" s="57">
        <v>100</v>
      </c>
      <c r="M423" s="81" t="s">
        <v>439</v>
      </c>
      <c r="N423" s="134"/>
    </row>
    <row r="424" spans="1:14" s="131" customFormat="1" ht="28.2" customHeight="1">
      <c r="A424" s="11">
        <v>419</v>
      </c>
      <c r="B424" s="290">
        <v>419</v>
      </c>
      <c r="C424" s="129">
        <v>45952</v>
      </c>
      <c r="D424" s="10" t="s">
        <v>311</v>
      </c>
      <c r="E424" s="41" t="str">
        <f>IFERROR(VLOOKUP($D424,임시동력입.출고현황!$A:$G,E$5,0),)</f>
        <v>Panel</v>
      </c>
      <c r="F424" s="19" t="str">
        <f>IFERROR(VLOOKUP($D424,임시동력입.출고현황!$A:$G,F$5,0),)</f>
        <v>Electrical Panel</v>
      </c>
      <c r="G424" s="19">
        <f>IFERROR(VLOOKUP($D424,임시동력입.출고현황!$A:$G,G$5,0),)</f>
        <v>0</v>
      </c>
      <c r="H424" s="19" t="str">
        <f>IFERROR(VLOOKUP($D424,임시동력입.출고현황!$A:$G,H$5,0),)</f>
        <v>50A</v>
      </c>
      <c r="I424" s="10" t="str">
        <f>IFERROR(VLOOKUP($D424,임시동력입.출고현황!$A:$G,I$5,0),)</f>
        <v>EA</v>
      </c>
      <c r="J424" s="10">
        <v>1</v>
      </c>
      <c r="K424" s="95" t="s">
        <v>363</v>
      </c>
      <c r="L424" s="57">
        <v>1</v>
      </c>
      <c r="M424" s="81" t="s">
        <v>439</v>
      </c>
      <c r="N424" s="134"/>
    </row>
    <row r="425" spans="1:14" s="131" customFormat="1" ht="28.2" customHeight="1">
      <c r="A425" s="11">
        <v>420</v>
      </c>
      <c r="B425" s="290">
        <v>420</v>
      </c>
      <c r="C425" s="129">
        <v>45953</v>
      </c>
      <c r="D425" s="10" t="s">
        <v>348</v>
      </c>
      <c r="E425" s="41" t="str">
        <f>IFERROR(VLOOKUP($D425,임시동력입.출고현황!$A:$G,E$5,0),)</f>
        <v>LTG</v>
      </c>
      <c r="F425" s="19" t="str">
        <f>IFERROR(VLOOKUP($D425,임시동력입.출고현황!$A:$G,F$5,0),)</f>
        <v>Lighting Fixture</v>
      </c>
      <c r="G425" s="19">
        <f>IFERROR(VLOOKUP($D425,임시동력입.출고현황!$A:$G,G$5,0),)</f>
        <v>0</v>
      </c>
      <c r="H425" s="19" t="str">
        <f>IFERROR(VLOOKUP($D425,임시동력입.출고현황!$A:$G,H$5,0),)</f>
        <v>100W</v>
      </c>
      <c r="I425" s="10" t="str">
        <f>IFERROR(VLOOKUP($D425,임시동력입.출고현황!$A:$G,I$5,0),)</f>
        <v>EA</v>
      </c>
      <c r="J425" s="10">
        <v>1</v>
      </c>
      <c r="K425" s="95" t="s">
        <v>352</v>
      </c>
      <c r="L425" s="57">
        <v>5</v>
      </c>
      <c r="M425" s="81" t="s">
        <v>439</v>
      </c>
      <c r="N425" s="134"/>
    </row>
    <row r="426" spans="1:14" s="131" customFormat="1" ht="28.2" customHeight="1">
      <c r="A426" s="11">
        <v>421</v>
      </c>
      <c r="B426" s="290">
        <v>421</v>
      </c>
      <c r="C426" s="129">
        <v>45953</v>
      </c>
      <c r="D426" s="10" t="s">
        <v>335</v>
      </c>
      <c r="E426" s="41" t="str">
        <f>IFERROR(VLOOKUP($D426,임시동력입.출고현황!$A:$G,E$5,0),)</f>
        <v>Cable</v>
      </c>
      <c r="F426" s="19" t="str">
        <f>IFERROR(VLOOKUP($D426,임시동력입.출고현황!$A:$G,F$5,0),)</f>
        <v>CV Cable</v>
      </c>
      <c r="G426" s="19">
        <f>IFERROR(VLOOKUP($D426,임시동력입.출고현황!$A:$G,G$5,0),)</f>
        <v>0</v>
      </c>
      <c r="H426" s="19" t="str">
        <f>IFERROR(VLOOKUP($D426,임시동력입.출고현황!$A:$G,H$5,0),)</f>
        <v>3C x 2.5mm2</v>
      </c>
      <c r="I426" s="10" t="str">
        <f>IFERROR(VLOOKUP($D426,임시동력입.출고현황!$A:$G,I$5,0),)</f>
        <v>M</v>
      </c>
      <c r="J426" s="10">
        <v>4</v>
      </c>
      <c r="K426" s="95" t="s">
        <v>359</v>
      </c>
      <c r="L426" s="57">
        <v>100</v>
      </c>
      <c r="M426" s="81" t="s">
        <v>439</v>
      </c>
      <c r="N426" s="134"/>
    </row>
    <row r="427" spans="1:14" s="131" customFormat="1" ht="28.2" customHeight="1">
      <c r="A427" s="11">
        <v>422</v>
      </c>
      <c r="B427" s="290">
        <v>422</v>
      </c>
      <c r="C427" s="129">
        <v>45953</v>
      </c>
      <c r="D427" s="10" t="s">
        <v>411</v>
      </c>
      <c r="E427" s="41" t="str">
        <f>IFERROR(VLOOKUP($D427,임시동력입.출고현황!$A:$G,E$5,0),)</f>
        <v>Cable</v>
      </c>
      <c r="F427" s="19" t="str">
        <f>IFERROR(VLOOKUP($D427,임시동력입.출고현황!$A:$G,F$5,0),)</f>
        <v>CV Cable</v>
      </c>
      <c r="G427" s="19">
        <f>IFERROR(VLOOKUP($D427,임시동력입.출고현황!$A:$G,G$5,0),)</f>
        <v>0</v>
      </c>
      <c r="H427" s="19" t="str">
        <f>IFERROR(VLOOKUP($D427,임시동력입.출고현황!$A:$G,H$5,0),)</f>
        <v>3C x 3mm2</v>
      </c>
      <c r="I427" s="10" t="str">
        <f>IFERROR(VLOOKUP($D427,임시동력입.출고현황!$A:$G,I$5,0),)</f>
        <v>M</v>
      </c>
      <c r="J427" s="10">
        <v>1</v>
      </c>
      <c r="K427" s="95" t="s">
        <v>363</v>
      </c>
      <c r="L427" s="57">
        <v>150</v>
      </c>
      <c r="M427" s="81" t="s">
        <v>439</v>
      </c>
      <c r="N427" s="134"/>
    </row>
    <row r="428" spans="1:14" s="131" customFormat="1" ht="28.2" customHeight="1">
      <c r="A428" s="11">
        <v>423</v>
      </c>
      <c r="B428" s="290">
        <v>423</v>
      </c>
      <c r="C428" s="129">
        <v>45954</v>
      </c>
      <c r="D428" s="10" t="s">
        <v>335</v>
      </c>
      <c r="E428" s="41" t="str">
        <f>IFERROR(VLOOKUP($D428,임시동력입.출고현황!$A:$G,E$5,0),)</f>
        <v>Cable</v>
      </c>
      <c r="F428" s="19" t="str">
        <f>IFERROR(VLOOKUP($D428,임시동력입.출고현황!$A:$G,F$5,0),)</f>
        <v>CV Cable</v>
      </c>
      <c r="G428" s="19">
        <f>IFERROR(VLOOKUP($D428,임시동력입.출고현황!$A:$G,G$5,0),)</f>
        <v>0</v>
      </c>
      <c r="H428" s="19" t="str">
        <f>IFERROR(VLOOKUP($D428,임시동력입.출고현황!$A:$G,H$5,0),)</f>
        <v>3C x 2.5mm2</v>
      </c>
      <c r="I428" s="10" t="str">
        <f>IFERROR(VLOOKUP($D428,임시동력입.출고현황!$A:$G,I$5,0),)</f>
        <v>M</v>
      </c>
      <c r="J428" s="10">
        <v>1</v>
      </c>
      <c r="K428" s="95" t="s">
        <v>352</v>
      </c>
      <c r="L428" s="57">
        <v>100</v>
      </c>
      <c r="M428" s="81" t="s">
        <v>561</v>
      </c>
      <c r="N428" s="134"/>
    </row>
    <row r="429" spans="1:14" s="131" customFormat="1" ht="28.2" customHeight="1">
      <c r="A429" s="11">
        <v>424</v>
      </c>
      <c r="B429" s="290">
        <v>424</v>
      </c>
      <c r="C429" s="129">
        <v>45954</v>
      </c>
      <c r="D429" s="10" t="s">
        <v>411</v>
      </c>
      <c r="E429" s="41" t="str">
        <f>IFERROR(VLOOKUP($D429,임시동력입.출고현황!$A:$G,E$5,0),)</f>
        <v>Cable</v>
      </c>
      <c r="F429" s="19" t="str">
        <f>IFERROR(VLOOKUP($D429,임시동력입.출고현황!$A:$G,F$5,0),)</f>
        <v>CV Cable</v>
      </c>
      <c r="G429" s="19">
        <f>IFERROR(VLOOKUP($D429,임시동력입.출고현황!$A:$G,G$5,0),)</f>
        <v>0</v>
      </c>
      <c r="H429" s="19" t="str">
        <f>IFERROR(VLOOKUP($D429,임시동력입.출고현황!$A:$G,H$5,0),)</f>
        <v>3C x 3mm2</v>
      </c>
      <c r="I429" s="10" t="str">
        <f>IFERROR(VLOOKUP($D429,임시동력입.출고현황!$A:$G,I$5,0),)</f>
        <v>M</v>
      </c>
      <c r="J429" s="10">
        <v>1</v>
      </c>
      <c r="K429" s="95" t="s">
        <v>363</v>
      </c>
      <c r="L429" s="57">
        <v>150</v>
      </c>
      <c r="M429" s="81" t="s">
        <v>561</v>
      </c>
      <c r="N429" s="134"/>
    </row>
    <row r="430" spans="1:14" s="131" customFormat="1" ht="28.2" customHeight="1">
      <c r="A430" s="11">
        <v>425</v>
      </c>
      <c r="B430" s="290">
        <v>425</v>
      </c>
      <c r="C430" s="129">
        <v>45955</v>
      </c>
      <c r="D430" s="10" t="s">
        <v>341</v>
      </c>
      <c r="E430" s="41" t="str">
        <f>IFERROR(VLOOKUP($D430,임시동력입.출고현황!$A:$G,E$5,0),)</f>
        <v>LTG</v>
      </c>
      <c r="F430" s="19" t="str">
        <f>IFERROR(VLOOKUP($D430,임시동력입.출고현황!$A:$G,F$5,0),)</f>
        <v>Lighting Fixture</v>
      </c>
      <c r="G430" s="19">
        <f>IFERROR(VLOOKUP($D430,임시동력입.출고현황!$A:$G,G$5,0),)</f>
        <v>0</v>
      </c>
      <c r="H430" s="19" t="str">
        <f>IFERROR(VLOOKUP($D430,임시동력입.출고현황!$A:$G,H$5,0),)</f>
        <v>400W</v>
      </c>
      <c r="I430" s="10" t="str">
        <f>IFERROR(VLOOKUP($D430,임시동력입.출고현황!$A:$G,I$5,0),)</f>
        <v>EA</v>
      </c>
      <c r="J430" s="10">
        <v>4</v>
      </c>
      <c r="K430" s="95" t="s">
        <v>359</v>
      </c>
      <c r="L430" s="57">
        <v>11</v>
      </c>
      <c r="M430" s="81" t="s">
        <v>561</v>
      </c>
      <c r="N430" s="134"/>
    </row>
    <row r="431" spans="1:14" s="131" customFormat="1" ht="28.2" customHeight="1">
      <c r="A431" s="11">
        <v>426</v>
      </c>
      <c r="B431" s="290">
        <v>426</v>
      </c>
      <c r="C431" s="129">
        <v>45955</v>
      </c>
      <c r="D431" s="10" t="s">
        <v>336</v>
      </c>
      <c r="E431" s="41" t="str">
        <f>IFERROR(VLOOKUP($D431,임시동력입.출고현황!$A:$G,E$5,0),)</f>
        <v>Cable</v>
      </c>
      <c r="F431" s="19" t="str">
        <f>IFERROR(VLOOKUP($D431,임시동력입.출고현황!$A:$G,F$5,0),)</f>
        <v>CV Cable</v>
      </c>
      <c r="G431" s="19">
        <f>IFERROR(VLOOKUP($D431,임시동력입.출고현황!$A:$G,G$5,0),)</f>
        <v>0</v>
      </c>
      <c r="H431" s="19" t="str">
        <f>IFERROR(VLOOKUP($D431,임시동력입.출고현황!$A:$G,H$5,0),)</f>
        <v>3C x 1.5mm2</v>
      </c>
      <c r="I431" s="10" t="str">
        <f>IFERROR(VLOOKUP($D431,임시동력입.출고현황!$A:$G,I$5,0),)</f>
        <v>M</v>
      </c>
      <c r="J431" s="10">
        <v>3</v>
      </c>
      <c r="K431" s="95" t="s">
        <v>237</v>
      </c>
      <c r="L431" s="57">
        <v>130</v>
      </c>
      <c r="M431" s="81" t="s">
        <v>561</v>
      </c>
      <c r="N431" s="134"/>
    </row>
    <row r="432" spans="1:14" s="131" customFormat="1" ht="28.2" customHeight="1">
      <c r="A432" s="11">
        <v>427</v>
      </c>
      <c r="B432" s="290">
        <v>427</v>
      </c>
      <c r="C432" s="129">
        <v>45955</v>
      </c>
      <c r="D432" s="10" t="s">
        <v>331</v>
      </c>
      <c r="E432" s="41" t="str">
        <f>IFERROR(VLOOKUP($D432,임시동력입.출고현황!$A:$G,E$5,0),)</f>
        <v>Cable</v>
      </c>
      <c r="F432" s="19" t="str">
        <f>IFERROR(VLOOKUP($D432,임시동력입.출고현황!$A:$G,F$5,0),)</f>
        <v>CV Cable</v>
      </c>
      <c r="G432" s="19">
        <f>IFERROR(VLOOKUP($D432,임시동력입.출고현황!$A:$G,G$5,0),)</f>
        <v>0</v>
      </c>
      <c r="H432" s="19" t="str">
        <f>IFERROR(VLOOKUP($D432,임시동력입.출고현황!$A:$G,H$5,0),)</f>
        <v>4C x 6mm2</v>
      </c>
      <c r="I432" s="10" t="str">
        <f>IFERROR(VLOOKUP($D432,임시동력입.출고현황!$A:$G,I$5,0),)</f>
        <v>M</v>
      </c>
      <c r="J432" s="10">
        <v>3</v>
      </c>
      <c r="K432" s="95" t="s">
        <v>237</v>
      </c>
      <c r="L432" s="57">
        <v>50</v>
      </c>
      <c r="M432" s="81" t="s">
        <v>561</v>
      </c>
      <c r="N432" s="134"/>
    </row>
    <row r="433" spans="1:14" s="131" customFormat="1" ht="28.2" customHeight="1">
      <c r="A433" s="11">
        <v>428</v>
      </c>
      <c r="B433" s="290">
        <v>428</v>
      </c>
      <c r="C433" s="129">
        <v>45956</v>
      </c>
      <c r="D433" s="10" t="s">
        <v>311</v>
      </c>
      <c r="E433" s="41" t="str">
        <f>IFERROR(VLOOKUP($D433,임시동력입.출고현황!$A:$G,E$5,0),)</f>
        <v>Panel</v>
      </c>
      <c r="F433" s="19" t="str">
        <f>IFERROR(VLOOKUP($D433,임시동력입.출고현황!$A:$G,F$5,0),)</f>
        <v>Electrical Panel</v>
      </c>
      <c r="G433" s="19">
        <f>IFERROR(VLOOKUP($D433,임시동력입.출고현황!$A:$G,G$5,0),)</f>
        <v>0</v>
      </c>
      <c r="H433" s="19" t="str">
        <f>IFERROR(VLOOKUP($D433,임시동력입.출고현황!$A:$G,H$5,0),)</f>
        <v>50A</v>
      </c>
      <c r="I433" s="10" t="str">
        <f>IFERROR(VLOOKUP($D433,임시동력입.출고현황!$A:$G,I$5,0),)</f>
        <v>EA</v>
      </c>
      <c r="J433" s="10">
        <v>3</v>
      </c>
      <c r="K433" s="95" t="s">
        <v>237</v>
      </c>
      <c r="L433" s="57">
        <v>1</v>
      </c>
      <c r="M433" s="81" t="s">
        <v>561</v>
      </c>
      <c r="N433" s="134"/>
    </row>
    <row r="434" spans="1:14" s="131" customFormat="1" ht="28.2" customHeight="1">
      <c r="A434" s="11">
        <v>429</v>
      </c>
      <c r="B434" s="290">
        <v>429</v>
      </c>
      <c r="C434" s="129">
        <v>45956</v>
      </c>
      <c r="D434" s="10" t="s">
        <v>341</v>
      </c>
      <c r="E434" s="41" t="str">
        <f>IFERROR(VLOOKUP($D434,임시동력입.출고현황!$A:$G,E$5,0),)</f>
        <v>LTG</v>
      </c>
      <c r="F434" s="19" t="str">
        <f>IFERROR(VLOOKUP($D434,임시동력입.출고현황!$A:$G,F$5,0),)</f>
        <v>Lighting Fixture</v>
      </c>
      <c r="G434" s="19">
        <f>IFERROR(VLOOKUP($D434,임시동력입.출고현황!$A:$G,G$5,0),)</f>
        <v>0</v>
      </c>
      <c r="H434" s="19" t="str">
        <f>IFERROR(VLOOKUP($D434,임시동력입.출고현황!$A:$G,H$5,0),)</f>
        <v>400W</v>
      </c>
      <c r="I434" s="10" t="str">
        <f>IFERROR(VLOOKUP($D434,임시동력입.출고현황!$A:$G,I$5,0),)</f>
        <v>EA</v>
      </c>
      <c r="J434" s="10">
        <v>3</v>
      </c>
      <c r="K434" s="95" t="s">
        <v>237</v>
      </c>
      <c r="L434" s="57">
        <v>22</v>
      </c>
      <c r="M434" s="81" t="s">
        <v>561</v>
      </c>
      <c r="N434" s="134"/>
    </row>
    <row r="435" spans="1:14" s="131" customFormat="1" ht="28.2" customHeight="1">
      <c r="A435" s="11">
        <v>430</v>
      </c>
      <c r="B435" s="290">
        <v>430</v>
      </c>
      <c r="C435" s="129">
        <v>45956</v>
      </c>
      <c r="D435" s="10" t="s">
        <v>334</v>
      </c>
      <c r="E435" s="41" t="str">
        <f>IFERROR(VLOOKUP($D435,임시동력입.출고현황!$A:$G,E$5,0),)</f>
        <v>Cable</v>
      </c>
      <c r="F435" s="19" t="str">
        <f>IFERROR(VLOOKUP($D435,임시동력입.출고현황!$A:$G,F$5,0),)</f>
        <v>CV Cable</v>
      </c>
      <c r="G435" s="19">
        <f>IFERROR(VLOOKUP($D435,임시동력입.출고현황!$A:$G,G$5,0),)</f>
        <v>0</v>
      </c>
      <c r="H435" s="19" t="str">
        <f>IFERROR(VLOOKUP($D435,임시동력입.출고현황!$A:$G,H$5,0),)</f>
        <v>3C x 4mm2</v>
      </c>
      <c r="I435" s="10" t="str">
        <f>IFERROR(VLOOKUP($D435,임시동력입.출고현황!$A:$G,I$5,0),)</f>
        <v>M</v>
      </c>
      <c r="J435" s="10">
        <v>1</v>
      </c>
      <c r="K435" s="95" t="s">
        <v>352</v>
      </c>
      <c r="L435" s="57">
        <v>200</v>
      </c>
      <c r="M435" s="81" t="s">
        <v>561</v>
      </c>
      <c r="N435" s="134"/>
    </row>
    <row r="436" spans="1:14" s="131" customFormat="1" ht="28.2" customHeight="1">
      <c r="A436" s="11">
        <v>431</v>
      </c>
      <c r="B436" s="290">
        <v>431</v>
      </c>
      <c r="C436" s="129">
        <v>45956</v>
      </c>
      <c r="D436" s="10" t="s">
        <v>336</v>
      </c>
      <c r="E436" s="41" t="str">
        <f>IFERROR(VLOOKUP($D436,임시동력입.출고현황!$A:$G,E$5,0),)</f>
        <v>Cable</v>
      </c>
      <c r="F436" s="19" t="str">
        <f>IFERROR(VLOOKUP($D436,임시동력입.출고현황!$A:$G,F$5,0),)</f>
        <v>CV Cable</v>
      </c>
      <c r="G436" s="19">
        <f>IFERROR(VLOOKUP($D436,임시동력입.출고현황!$A:$G,G$5,0),)</f>
        <v>0</v>
      </c>
      <c r="H436" s="19" t="str">
        <f>IFERROR(VLOOKUP($D436,임시동력입.출고현황!$A:$G,H$5,0),)</f>
        <v>3C x 1.5mm2</v>
      </c>
      <c r="I436" s="10" t="str">
        <f>IFERROR(VLOOKUP($D436,임시동력입.출고현황!$A:$G,I$5,0),)</f>
        <v>M</v>
      </c>
      <c r="J436" s="10">
        <v>3</v>
      </c>
      <c r="K436" s="95" t="s">
        <v>237</v>
      </c>
      <c r="L436" s="57">
        <v>26</v>
      </c>
      <c r="M436" s="81" t="s">
        <v>561</v>
      </c>
      <c r="N436" s="134"/>
    </row>
    <row r="437" spans="1:14" s="131" customFormat="1" ht="28.2" customHeight="1">
      <c r="A437" s="11">
        <v>432</v>
      </c>
      <c r="B437" s="290">
        <v>432</v>
      </c>
      <c r="C437" s="129">
        <v>45957</v>
      </c>
      <c r="D437" s="10" t="s">
        <v>341</v>
      </c>
      <c r="E437" s="41" t="str">
        <f>IFERROR(VLOOKUP($D437,임시동력입.출고현황!$A:$G,E$5,0),)</f>
        <v>LTG</v>
      </c>
      <c r="F437" s="19" t="str">
        <f>IFERROR(VLOOKUP($D437,임시동력입.출고현황!$A:$G,F$5,0),)</f>
        <v>Lighting Fixture</v>
      </c>
      <c r="G437" s="19">
        <f>IFERROR(VLOOKUP($D437,임시동력입.출고현황!$A:$G,G$5,0),)</f>
        <v>0</v>
      </c>
      <c r="H437" s="19" t="str">
        <f>IFERROR(VLOOKUP($D437,임시동력입.출고현황!$A:$G,H$5,0),)</f>
        <v>400W</v>
      </c>
      <c r="I437" s="10" t="str">
        <f>IFERROR(VLOOKUP($D437,임시동력입.출고현황!$A:$G,I$5,0),)</f>
        <v>EA</v>
      </c>
      <c r="J437" s="10">
        <v>4</v>
      </c>
      <c r="K437" s="95" t="s">
        <v>237</v>
      </c>
      <c r="L437" s="57">
        <v>14</v>
      </c>
      <c r="M437" s="81" t="s">
        <v>561</v>
      </c>
      <c r="N437" s="134"/>
    </row>
    <row r="438" spans="1:14" s="131" customFormat="1" ht="28.2" customHeight="1">
      <c r="A438" s="11">
        <v>433</v>
      </c>
      <c r="B438" s="290">
        <v>433</v>
      </c>
      <c r="C438" s="129">
        <v>45957</v>
      </c>
      <c r="D438" s="10" t="s">
        <v>334</v>
      </c>
      <c r="E438" s="41" t="str">
        <f>IFERROR(VLOOKUP($D438,임시동력입.출고현황!$A:$G,E$5,0),)</f>
        <v>Cable</v>
      </c>
      <c r="F438" s="19" t="str">
        <f>IFERROR(VLOOKUP($D438,임시동력입.출고현황!$A:$G,F$5,0),)</f>
        <v>CV Cable</v>
      </c>
      <c r="G438" s="19">
        <f>IFERROR(VLOOKUP($D438,임시동력입.출고현황!$A:$G,G$5,0),)</f>
        <v>0</v>
      </c>
      <c r="H438" s="19" t="str">
        <f>IFERROR(VLOOKUP($D438,임시동력입.출고현황!$A:$G,H$5,0),)</f>
        <v>3C x 4mm2</v>
      </c>
      <c r="I438" s="10" t="str">
        <f>IFERROR(VLOOKUP($D438,임시동력입.출고현황!$A:$G,I$5,0),)</f>
        <v>M</v>
      </c>
      <c r="J438" s="10">
        <v>1</v>
      </c>
      <c r="K438" s="95" t="s">
        <v>363</v>
      </c>
      <c r="L438" s="57">
        <v>10</v>
      </c>
      <c r="M438" s="81" t="s">
        <v>561</v>
      </c>
      <c r="N438" s="134"/>
    </row>
    <row r="439" spans="1:14" s="131" customFormat="1" ht="28.2" customHeight="1">
      <c r="A439" s="11">
        <v>434</v>
      </c>
      <c r="B439" s="290">
        <v>434</v>
      </c>
      <c r="C439" s="129">
        <v>45958</v>
      </c>
      <c r="D439" s="10" t="s">
        <v>348</v>
      </c>
      <c r="E439" s="41" t="str">
        <f>IFERROR(VLOOKUP($D439,임시동력입.출고현황!$A:$G,E$5,0),)</f>
        <v>LTG</v>
      </c>
      <c r="F439" s="19" t="str">
        <f>IFERROR(VLOOKUP($D439,임시동력입.출고현황!$A:$G,F$5,0),)</f>
        <v>Lighting Fixture</v>
      </c>
      <c r="G439" s="19">
        <f>IFERROR(VLOOKUP($D439,임시동력입.출고현황!$A:$G,G$5,0),)</f>
        <v>0</v>
      </c>
      <c r="H439" s="19" t="str">
        <f>IFERROR(VLOOKUP($D439,임시동력입.출고현황!$A:$G,H$5,0),)</f>
        <v>100W</v>
      </c>
      <c r="I439" s="10" t="str">
        <f>IFERROR(VLOOKUP($D439,임시동력입.출고현황!$A:$G,I$5,0),)</f>
        <v>EA</v>
      </c>
      <c r="J439" s="10">
        <v>3</v>
      </c>
      <c r="K439" s="95" t="s">
        <v>361</v>
      </c>
      <c r="L439" s="57">
        <v>5</v>
      </c>
      <c r="M439" s="81" t="s">
        <v>439</v>
      </c>
      <c r="N439" s="134"/>
    </row>
    <row r="440" spans="1:14" s="131" customFormat="1" ht="28.2" customHeight="1">
      <c r="A440" s="11">
        <v>435</v>
      </c>
      <c r="B440" s="290">
        <v>435</v>
      </c>
      <c r="C440" s="129">
        <v>45958</v>
      </c>
      <c r="D440" s="10" t="s">
        <v>336</v>
      </c>
      <c r="E440" s="41" t="str">
        <f>IFERROR(VLOOKUP($D440,임시동력입.출고현황!$A:$G,E$5,0),)</f>
        <v>Cable</v>
      </c>
      <c r="F440" s="19" t="str">
        <f>IFERROR(VLOOKUP($D440,임시동력입.출고현황!$A:$G,F$5,0),)</f>
        <v>CV Cable</v>
      </c>
      <c r="G440" s="19">
        <f>IFERROR(VLOOKUP($D440,임시동력입.출고현황!$A:$G,G$5,0),)</f>
        <v>0</v>
      </c>
      <c r="H440" s="19" t="str">
        <f>IFERROR(VLOOKUP($D440,임시동력입.출고현황!$A:$G,H$5,0),)</f>
        <v>3C x 1.5mm2</v>
      </c>
      <c r="I440" s="10" t="str">
        <f>IFERROR(VLOOKUP($D440,임시동력입.출고현황!$A:$G,I$5,0),)</f>
        <v>M</v>
      </c>
      <c r="J440" s="10">
        <v>3</v>
      </c>
      <c r="K440" s="95" t="s">
        <v>551</v>
      </c>
      <c r="L440" s="57">
        <v>100</v>
      </c>
      <c r="M440" s="81" t="s">
        <v>439</v>
      </c>
      <c r="N440" s="134"/>
    </row>
    <row r="441" spans="1:14" s="131" customFormat="1" ht="28.2" customHeight="1">
      <c r="A441" s="11">
        <v>436</v>
      </c>
      <c r="B441" s="290">
        <v>436</v>
      </c>
      <c r="C441" s="129">
        <v>45958</v>
      </c>
      <c r="D441" s="10" t="s">
        <v>322</v>
      </c>
      <c r="E441" s="41" t="str">
        <f>IFERROR(VLOOKUP($D441,임시동력입.출고현황!$A:$G,E$5,0),)</f>
        <v>Cable</v>
      </c>
      <c r="F441" s="19" t="str">
        <f>IFERROR(VLOOKUP($D441,임시동력입.출고현황!$A:$G,F$5,0),)</f>
        <v>AL Cable</v>
      </c>
      <c r="G441" s="19">
        <f>IFERROR(VLOOKUP($D441,임시동력입.출고현황!$A:$G,G$5,0),)</f>
        <v>0</v>
      </c>
      <c r="H441" s="19" t="str">
        <f>IFERROR(VLOOKUP($D441,임시동력입.출고현황!$A:$G,H$5,0),)</f>
        <v>3C x 50+25mm2 [ALU]</v>
      </c>
      <c r="I441" s="10" t="str">
        <f>IFERROR(VLOOKUP($D441,임시동력입.출고현황!$A:$G,I$5,0),)</f>
        <v>M</v>
      </c>
      <c r="J441" s="10">
        <v>3</v>
      </c>
      <c r="K441" s="95" t="s">
        <v>237</v>
      </c>
      <c r="L441" s="57">
        <v>185</v>
      </c>
      <c r="M441" s="81" t="s">
        <v>439</v>
      </c>
      <c r="N441" s="134"/>
    </row>
    <row r="442" spans="1:14" s="131" customFormat="1" ht="28.2" customHeight="1">
      <c r="A442" s="11">
        <v>437</v>
      </c>
      <c r="B442" s="290">
        <v>437</v>
      </c>
      <c r="C442" s="129">
        <v>45959</v>
      </c>
      <c r="D442" s="10" t="s">
        <v>411</v>
      </c>
      <c r="E442" s="41" t="str">
        <f>IFERROR(VLOOKUP($D442,임시동력입.출고현황!$A:$G,E$5,0),)</f>
        <v>Cable</v>
      </c>
      <c r="F442" s="19" t="str">
        <f>IFERROR(VLOOKUP($D442,임시동력입.출고현황!$A:$G,F$5,0),)</f>
        <v>CV Cable</v>
      </c>
      <c r="G442" s="19">
        <f>IFERROR(VLOOKUP($D442,임시동력입.출고현황!$A:$G,G$5,0),)</f>
        <v>0</v>
      </c>
      <c r="H442" s="19" t="str">
        <f>IFERROR(VLOOKUP($D442,임시동력입.출고현황!$A:$G,H$5,0),)</f>
        <v>3C x 3mm2</v>
      </c>
      <c r="I442" s="10" t="str">
        <f>IFERROR(VLOOKUP($D442,임시동력입.출고현황!$A:$G,I$5,0),)</f>
        <v>M</v>
      </c>
      <c r="J442" s="10">
        <v>3</v>
      </c>
      <c r="K442" s="95" t="s">
        <v>551</v>
      </c>
      <c r="L442" s="57">
        <v>54</v>
      </c>
      <c r="M442" s="81" t="s">
        <v>439</v>
      </c>
      <c r="N442" s="134"/>
    </row>
    <row r="443" spans="1:14" s="131" customFormat="1" ht="28.2" customHeight="1">
      <c r="A443" s="11">
        <v>438</v>
      </c>
      <c r="B443" s="290">
        <v>438</v>
      </c>
      <c r="C443" s="129">
        <v>45959</v>
      </c>
      <c r="D443" s="10" t="s">
        <v>331</v>
      </c>
      <c r="E443" s="41" t="str">
        <f>IFERROR(VLOOKUP($D443,임시동력입.출고현황!$A:$G,E$5,0),)</f>
        <v>Cable</v>
      </c>
      <c r="F443" s="19" t="str">
        <f>IFERROR(VLOOKUP($D443,임시동력입.출고현황!$A:$G,F$5,0),)</f>
        <v>CV Cable</v>
      </c>
      <c r="G443" s="19">
        <f>IFERROR(VLOOKUP($D443,임시동력입.출고현황!$A:$G,G$5,0),)</f>
        <v>0</v>
      </c>
      <c r="H443" s="19" t="str">
        <f>IFERROR(VLOOKUP($D443,임시동력입.출고현황!$A:$G,H$5,0),)</f>
        <v>4C x 6mm2</v>
      </c>
      <c r="I443" s="10" t="str">
        <f>IFERROR(VLOOKUP($D443,임시동력입.출고현황!$A:$G,I$5,0),)</f>
        <v>M</v>
      </c>
      <c r="J443" s="10">
        <v>3</v>
      </c>
      <c r="K443" s="95" t="s">
        <v>237</v>
      </c>
      <c r="L443" s="57">
        <v>50</v>
      </c>
      <c r="M443" s="81" t="s">
        <v>439</v>
      </c>
      <c r="N443" s="134"/>
    </row>
    <row r="444" spans="1:14" s="131" customFormat="1" ht="28.2" customHeight="1">
      <c r="A444" s="11">
        <v>439</v>
      </c>
      <c r="B444" s="290">
        <v>439</v>
      </c>
      <c r="C444" s="129">
        <v>45959</v>
      </c>
      <c r="D444" s="10" t="s">
        <v>336</v>
      </c>
      <c r="E444" s="41" t="str">
        <f>IFERROR(VLOOKUP($D444,임시동력입.출고현황!$A:$G,E$5,0),)</f>
        <v>Cable</v>
      </c>
      <c r="F444" s="19" t="str">
        <f>IFERROR(VLOOKUP($D444,임시동력입.출고현황!$A:$G,F$5,0),)</f>
        <v>CV Cable</v>
      </c>
      <c r="G444" s="19">
        <f>IFERROR(VLOOKUP($D444,임시동력입.출고현황!$A:$G,G$5,0),)</f>
        <v>0</v>
      </c>
      <c r="H444" s="19" t="str">
        <f>IFERROR(VLOOKUP($D444,임시동력입.출고현황!$A:$G,H$5,0),)</f>
        <v>3C x 1.5mm2</v>
      </c>
      <c r="I444" s="10" t="str">
        <f>IFERROR(VLOOKUP($D444,임시동력입.출고현황!$A:$G,I$5,0),)</f>
        <v>M</v>
      </c>
      <c r="J444" s="10">
        <v>1</v>
      </c>
      <c r="K444" s="95" t="s">
        <v>352</v>
      </c>
      <c r="L444" s="57">
        <v>100</v>
      </c>
      <c r="M444" s="81" t="s">
        <v>439</v>
      </c>
      <c r="N444" s="134"/>
    </row>
    <row r="445" spans="1:14" s="131" customFormat="1" ht="28.2" customHeight="1">
      <c r="A445" s="11">
        <v>440</v>
      </c>
      <c r="B445" s="290">
        <v>440</v>
      </c>
      <c r="C445" s="129">
        <v>45959</v>
      </c>
      <c r="D445" s="10" t="s">
        <v>307</v>
      </c>
      <c r="E445" s="41" t="str">
        <f>IFERROR(VLOOKUP($D445,임시동력입.출고현황!$A:$G,E$5,0),)</f>
        <v>Panel</v>
      </c>
      <c r="F445" s="19" t="str">
        <f>IFERROR(VLOOKUP($D445,임시동력입.출고현황!$A:$G,F$5,0),)</f>
        <v>Electrical Panel</v>
      </c>
      <c r="G445" s="19">
        <f>IFERROR(VLOOKUP($D445,임시동력입.출고현황!$A:$G,G$5,0),)</f>
        <v>0</v>
      </c>
      <c r="H445" s="19" t="str">
        <f>IFERROR(VLOOKUP($D445,임시동력입.출고현황!$A:$G,H$5,0),)</f>
        <v>160A</v>
      </c>
      <c r="I445" s="10" t="str">
        <f>IFERROR(VLOOKUP($D445,임시동력입.출고현황!$A:$G,I$5,0),)</f>
        <v>EA</v>
      </c>
      <c r="J445" s="10">
        <v>4</v>
      </c>
      <c r="K445" s="95" t="s">
        <v>359</v>
      </c>
      <c r="L445" s="57">
        <v>1</v>
      </c>
      <c r="M445" s="81" t="s">
        <v>439</v>
      </c>
      <c r="N445" s="134"/>
    </row>
    <row r="446" spans="1:14" s="131" customFormat="1" ht="28.2" customHeight="1">
      <c r="A446" s="11">
        <v>441</v>
      </c>
      <c r="B446" s="290">
        <v>441</v>
      </c>
      <c r="C446" s="129">
        <v>45959</v>
      </c>
      <c r="D446" s="10" t="s">
        <v>555</v>
      </c>
      <c r="E446" s="41" t="str">
        <f>IFERROR(VLOOKUP($D446,임시동력입.출고현황!$A:$G,E$5,0),)</f>
        <v>MCB</v>
      </c>
      <c r="F446" s="19" t="str">
        <f>IFERROR(VLOOKUP($D446,임시동력입.출고현황!$A:$G,F$5,0),)</f>
        <v>MCB</v>
      </c>
      <c r="G446" s="19">
        <f>IFERROR(VLOOKUP($D446,임시동력입.출고현황!$A:$G,G$5,0),)</f>
        <v>0</v>
      </c>
      <c r="H446" s="19" t="str">
        <f>IFERROR(VLOOKUP($D446,임시동력입.출고현황!$A:$G,H$5,0),)</f>
        <v>1P - 16A</v>
      </c>
      <c r="I446" s="10" t="str">
        <f>IFERROR(VLOOKUP($D446,임시동력입.출고현황!$A:$G,I$5,0),)</f>
        <v>EA</v>
      </c>
      <c r="J446" s="10">
        <v>4</v>
      </c>
      <c r="K446" s="95" t="s">
        <v>351</v>
      </c>
      <c r="L446" s="57">
        <v>1</v>
      </c>
      <c r="M446" s="81" t="s">
        <v>439</v>
      </c>
      <c r="N446" s="134"/>
    </row>
    <row r="447" spans="1:14" s="131" customFormat="1" ht="28.2" customHeight="1">
      <c r="A447" s="11">
        <v>442</v>
      </c>
      <c r="B447" s="290">
        <v>442</v>
      </c>
      <c r="C447" s="129">
        <v>45960</v>
      </c>
      <c r="D447" s="10" t="s">
        <v>347</v>
      </c>
      <c r="E447" s="41" t="str">
        <f>IFERROR(VLOOKUP($D447,임시동력입.출고현황!$A:$G,E$5,0),)</f>
        <v>LTG</v>
      </c>
      <c r="F447" s="19" t="str">
        <f>IFERROR(VLOOKUP($D447,임시동력입.출고현황!$A:$G,F$5,0),)</f>
        <v>Lighting Fixture</v>
      </c>
      <c r="G447" s="19">
        <f>IFERROR(VLOOKUP($D447,임시동력입.출고현황!$A:$G,G$5,0),)</f>
        <v>0</v>
      </c>
      <c r="H447" s="19" t="str">
        <f>IFERROR(VLOOKUP($D447,임시동력입.출고현황!$A:$G,H$5,0),)</f>
        <v>200W</v>
      </c>
      <c r="I447" s="10" t="str">
        <f>IFERROR(VLOOKUP($D447,임시동력입.출고현황!$A:$G,I$5,0),)</f>
        <v>EA</v>
      </c>
      <c r="J447" s="10">
        <v>2</v>
      </c>
      <c r="K447" s="95" t="s">
        <v>546</v>
      </c>
      <c r="L447" s="57">
        <v>12</v>
      </c>
      <c r="M447" s="81" t="s">
        <v>439</v>
      </c>
      <c r="N447" s="134"/>
    </row>
    <row r="448" spans="1:14" s="131" customFormat="1" ht="28.2" customHeight="1">
      <c r="A448" s="11">
        <v>443</v>
      </c>
      <c r="B448" s="290">
        <v>443</v>
      </c>
      <c r="C448" s="129">
        <v>45960</v>
      </c>
      <c r="D448" s="10" t="s">
        <v>341</v>
      </c>
      <c r="E448" s="41" t="str">
        <f>IFERROR(VLOOKUP($D448,임시동력입.출고현황!$A:$G,E$5,0),)</f>
        <v>LTG</v>
      </c>
      <c r="F448" s="19" t="str">
        <f>IFERROR(VLOOKUP($D448,임시동력입.출고현황!$A:$G,F$5,0),)</f>
        <v>Lighting Fixture</v>
      </c>
      <c r="G448" s="19">
        <f>IFERROR(VLOOKUP($D448,임시동력입.출고현황!$A:$G,G$5,0),)</f>
        <v>0</v>
      </c>
      <c r="H448" s="19" t="str">
        <f>IFERROR(VLOOKUP($D448,임시동력입.출고현황!$A:$G,H$5,0),)</f>
        <v>400W</v>
      </c>
      <c r="I448" s="10" t="str">
        <f>IFERROR(VLOOKUP($D448,임시동력입.출고현황!$A:$G,I$5,0),)</f>
        <v>EA</v>
      </c>
      <c r="J448" s="10">
        <v>3</v>
      </c>
      <c r="K448" s="95" t="s">
        <v>237</v>
      </c>
      <c r="L448" s="57">
        <v>8</v>
      </c>
      <c r="M448" s="81" t="s">
        <v>439</v>
      </c>
      <c r="N448" s="134"/>
    </row>
    <row r="449" spans="1:14" s="131" customFormat="1" ht="28.2" customHeight="1">
      <c r="A449" s="11">
        <v>444</v>
      </c>
      <c r="B449" s="290">
        <v>444</v>
      </c>
      <c r="C449" s="129">
        <v>45960</v>
      </c>
      <c r="D449" s="10" t="s">
        <v>331</v>
      </c>
      <c r="E449" s="41" t="str">
        <f>IFERROR(VLOOKUP($D449,임시동력입.출고현황!$A:$G,E$5,0),)</f>
        <v>Cable</v>
      </c>
      <c r="F449" s="19" t="str">
        <f>IFERROR(VLOOKUP($D449,임시동력입.출고현황!$A:$G,F$5,0),)</f>
        <v>CV Cable</v>
      </c>
      <c r="G449" s="19">
        <f>IFERROR(VLOOKUP($D449,임시동력입.출고현황!$A:$G,G$5,0),)</f>
        <v>0</v>
      </c>
      <c r="H449" s="19" t="str">
        <f>IFERROR(VLOOKUP($D449,임시동력입.출고현황!$A:$G,H$5,0),)</f>
        <v>4C x 6mm2</v>
      </c>
      <c r="I449" s="10" t="str">
        <f>IFERROR(VLOOKUP($D449,임시동력입.출고현황!$A:$G,I$5,0),)</f>
        <v>M</v>
      </c>
      <c r="J449" s="10">
        <v>1</v>
      </c>
      <c r="K449" s="95" t="s">
        <v>352</v>
      </c>
      <c r="L449" s="57">
        <v>35</v>
      </c>
      <c r="M449" s="81" t="s">
        <v>439</v>
      </c>
      <c r="N449" s="134"/>
    </row>
    <row r="450" spans="1:14" s="131" customFormat="1" ht="28.2" customHeight="1">
      <c r="A450" s="11">
        <v>445</v>
      </c>
      <c r="B450" s="290">
        <v>445</v>
      </c>
      <c r="C450" s="129">
        <v>45960</v>
      </c>
      <c r="D450" s="10" t="s">
        <v>336</v>
      </c>
      <c r="E450" s="41" t="str">
        <f>IFERROR(VLOOKUP($D450,임시동력입.출고현황!$A:$G,E$5,0),)</f>
        <v>Cable</v>
      </c>
      <c r="F450" s="19" t="str">
        <f>IFERROR(VLOOKUP($D450,임시동력입.출고현황!$A:$G,F$5,0),)</f>
        <v>CV Cable</v>
      </c>
      <c r="G450" s="19">
        <f>IFERROR(VLOOKUP($D450,임시동력입.출고현황!$A:$G,G$5,0),)</f>
        <v>0</v>
      </c>
      <c r="H450" s="19" t="str">
        <f>IFERROR(VLOOKUP($D450,임시동력입.출고현황!$A:$G,H$5,0),)</f>
        <v>3C x 1.5mm2</v>
      </c>
      <c r="I450" s="10" t="str">
        <f>IFERROR(VLOOKUP($D450,임시동력입.출고현황!$A:$G,I$5,0),)</f>
        <v>M</v>
      </c>
      <c r="J450" s="10">
        <v>1</v>
      </c>
      <c r="K450" s="95" t="s">
        <v>352</v>
      </c>
      <c r="L450" s="57">
        <v>30</v>
      </c>
      <c r="M450" s="81" t="s">
        <v>439</v>
      </c>
      <c r="N450" s="134"/>
    </row>
    <row r="451" spans="1:14" s="131" customFormat="1" ht="28.2" customHeight="1">
      <c r="A451" s="11">
        <v>446</v>
      </c>
      <c r="B451" s="290">
        <v>446</v>
      </c>
      <c r="C451" s="129">
        <v>45963</v>
      </c>
      <c r="D451" s="10" t="s">
        <v>341</v>
      </c>
      <c r="E451" s="41" t="str">
        <f>IFERROR(VLOOKUP($D451,임시동력입.출고현황!$A:$G,E$5,0),)</f>
        <v>LTG</v>
      </c>
      <c r="F451" s="19" t="str">
        <f>IFERROR(VLOOKUP($D451,임시동력입.출고현황!$A:$G,F$5,0),)</f>
        <v>Lighting Fixture</v>
      </c>
      <c r="G451" s="19">
        <f>IFERROR(VLOOKUP($D451,임시동력입.출고현황!$A:$G,G$5,0),)</f>
        <v>0</v>
      </c>
      <c r="H451" s="19" t="str">
        <f>IFERROR(VLOOKUP($D451,임시동력입.출고현황!$A:$G,H$5,0),)</f>
        <v>400W</v>
      </c>
      <c r="I451" s="10" t="str">
        <f>IFERROR(VLOOKUP($D451,임시동력입.출고현황!$A:$G,I$5,0),)</f>
        <v>EA</v>
      </c>
      <c r="J451" s="10">
        <v>1</v>
      </c>
      <c r="K451" s="95" t="s">
        <v>352</v>
      </c>
      <c r="L451" s="57">
        <v>7</v>
      </c>
      <c r="M451" s="81" t="s">
        <v>439</v>
      </c>
      <c r="N451" s="134"/>
    </row>
    <row r="452" spans="1:14" s="131" customFormat="1" ht="28.2" customHeight="1">
      <c r="A452" s="11">
        <v>447</v>
      </c>
      <c r="B452" s="290">
        <v>447</v>
      </c>
      <c r="C452" s="129">
        <v>45963</v>
      </c>
      <c r="D452" s="10" t="s">
        <v>336</v>
      </c>
      <c r="E452" s="41" t="str">
        <f>IFERROR(VLOOKUP($D452,임시동력입.출고현황!$A:$G,E$5,0),)</f>
        <v>Cable</v>
      </c>
      <c r="F452" s="19" t="str">
        <f>IFERROR(VLOOKUP($D452,임시동력입.출고현황!$A:$G,F$5,0),)</f>
        <v>CV Cable</v>
      </c>
      <c r="G452" s="19">
        <f>IFERROR(VLOOKUP($D452,임시동력입.출고현황!$A:$G,G$5,0),)</f>
        <v>0</v>
      </c>
      <c r="H452" s="19" t="str">
        <f>IFERROR(VLOOKUP($D452,임시동력입.출고현황!$A:$G,H$5,0),)</f>
        <v>3C x 1.5mm2</v>
      </c>
      <c r="I452" s="10" t="str">
        <f>IFERROR(VLOOKUP($D452,임시동력입.출고현황!$A:$G,I$5,0),)</f>
        <v>M</v>
      </c>
      <c r="J452" s="10">
        <v>1</v>
      </c>
      <c r="K452" s="95" t="s">
        <v>352</v>
      </c>
      <c r="L452" s="57">
        <v>18</v>
      </c>
      <c r="M452" s="81" t="s">
        <v>439</v>
      </c>
      <c r="N452" s="134"/>
    </row>
    <row r="453" spans="1:14" s="131" customFormat="1" ht="28.2" customHeight="1">
      <c r="A453" s="11">
        <v>448</v>
      </c>
      <c r="B453" s="290">
        <v>448</v>
      </c>
      <c r="C453" s="129">
        <v>45964</v>
      </c>
      <c r="D453" s="10" t="s">
        <v>341</v>
      </c>
      <c r="E453" s="41" t="str">
        <f>IFERROR(VLOOKUP($D453,임시동력입.출고현황!$A:$G,E$5,0),)</f>
        <v>LTG</v>
      </c>
      <c r="F453" s="19" t="str">
        <f>IFERROR(VLOOKUP($D453,임시동력입.출고현황!$A:$G,F$5,0),)</f>
        <v>Lighting Fixture</v>
      </c>
      <c r="G453" s="19">
        <f>IFERROR(VLOOKUP($D453,임시동력입.출고현황!$A:$G,G$5,0),)</f>
        <v>0</v>
      </c>
      <c r="H453" s="19" t="str">
        <f>IFERROR(VLOOKUP($D453,임시동력입.출고현황!$A:$G,H$5,0),)</f>
        <v>400W</v>
      </c>
      <c r="I453" s="10" t="str">
        <f>IFERROR(VLOOKUP($D453,임시동력입.출고현황!$A:$G,I$5,0),)</f>
        <v>EA</v>
      </c>
      <c r="J453" s="10">
        <v>3</v>
      </c>
      <c r="K453" s="95" t="s">
        <v>237</v>
      </c>
      <c r="L453" s="57">
        <v>14</v>
      </c>
      <c r="M453" s="81" t="s">
        <v>439</v>
      </c>
      <c r="N453" s="134"/>
    </row>
    <row r="454" spans="1:14" s="131" customFormat="1" ht="28.2" customHeight="1">
      <c r="A454" s="11">
        <v>449</v>
      </c>
      <c r="B454" s="290">
        <v>449</v>
      </c>
      <c r="C454" s="129">
        <v>45964</v>
      </c>
      <c r="D454" s="10" t="s">
        <v>336</v>
      </c>
      <c r="E454" s="41" t="str">
        <f>IFERROR(VLOOKUP($D454,임시동력입.출고현황!$A:$G,E$5,0),)</f>
        <v>Cable</v>
      </c>
      <c r="F454" s="19" t="str">
        <f>IFERROR(VLOOKUP($D454,임시동력입.출고현황!$A:$G,F$5,0),)</f>
        <v>CV Cable</v>
      </c>
      <c r="G454" s="19">
        <f>IFERROR(VLOOKUP($D454,임시동력입.출고현황!$A:$G,G$5,0),)</f>
        <v>0</v>
      </c>
      <c r="H454" s="19" t="str">
        <f>IFERROR(VLOOKUP($D454,임시동력입.출고현황!$A:$G,H$5,0),)</f>
        <v>3C x 1.5mm2</v>
      </c>
      <c r="I454" s="10" t="str">
        <f>IFERROR(VLOOKUP($D454,임시동력입.출고현황!$A:$G,I$5,0),)</f>
        <v>M</v>
      </c>
      <c r="J454" s="10">
        <v>2</v>
      </c>
      <c r="K454" s="95" t="s">
        <v>360</v>
      </c>
      <c r="L454" s="57">
        <v>30</v>
      </c>
      <c r="M454" s="81" t="s">
        <v>439</v>
      </c>
      <c r="N454" s="134"/>
    </row>
    <row r="455" spans="1:14" s="131" customFormat="1" ht="28.2" customHeight="1">
      <c r="A455" s="11">
        <v>450</v>
      </c>
      <c r="B455" s="290">
        <v>450</v>
      </c>
      <c r="C455" s="129">
        <v>45967</v>
      </c>
      <c r="D455" s="10" t="s">
        <v>334</v>
      </c>
      <c r="E455" s="41" t="str">
        <f>IFERROR(VLOOKUP($D455,임시동력입.출고현황!$A:$G,E$5,0),)</f>
        <v>Cable</v>
      </c>
      <c r="F455" s="19" t="str">
        <f>IFERROR(VLOOKUP($D455,임시동력입.출고현황!$A:$G,F$5,0),)</f>
        <v>CV Cable</v>
      </c>
      <c r="G455" s="19">
        <f>IFERROR(VLOOKUP($D455,임시동력입.출고현황!$A:$G,G$5,0),)</f>
        <v>0</v>
      </c>
      <c r="H455" s="19" t="str">
        <f>IFERROR(VLOOKUP($D455,임시동력입.출고현황!$A:$G,H$5,0),)</f>
        <v>3C x 4mm2</v>
      </c>
      <c r="I455" s="10" t="str">
        <f>IFERROR(VLOOKUP($D455,임시동력입.출고현황!$A:$G,I$5,0),)</f>
        <v>M</v>
      </c>
      <c r="J455" s="10">
        <v>1</v>
      </c>
      <c r="K455" s="95" t="s">
        <v>352</v>
      </c>
      <c r="L455" s="57">
        <v>100</v>
      </c>
      <c r="M455" s="81" t="s">
        <v>439</v>
      </c>
      <c r="N455" s="134"/>
    </row>
    <row r="456" spans="1:14" s="131" customFormat="1" ht="28.2" customHeight="1">
      <c r="A456" s="11">
        <v>451</v>
      </c>
      <c r="B456" s="290">
        <v>451</v>
      </c>
      <c r="C456" s="129">
        <v>45967</v>
      </c>
      <c r="D456" s="10" t="s">
        <v>336</v>
      </c>
      <c r="E456" s="41" t="str">
        <f>IFERROR(VLOOKUP($D456,임시동력입.출고현황!$A:$G,E$5,0),)</f>
        <v>Cable</v>
      </c>
      <c r="F456" s="19" t="str">
        <f>IFERROR(VLOOKUP($D456,임시동력입.출고현황!$A:$G,F$5,0),)</f>
        <v>CV Cable</v>
      </c>
      <c r="G456" s="19">
        <f>IFERROR(VLOOKUP($D456,임시동력입.출고현황!$A:$G,G$5,0),)</f>
        <v>0</v>
      </c>
      <c r="H456" s="19" t="str">
        <f>IFERROR(VLOOKUP($D456,임시동력입.출고현황!$A:$G,H$5,0),)</f>
        <v>3C x 1.5mm2</v>
      </c>
      <c r="I456" s="10" t="str">
        <f>IFERROR(VLOOKUP($D456,임시동력입.출고현황!$A:$G,I$5,0),)</f>
        <v>M</v>
      </c>
      <c r="J456" s="10">
        <v>1</v>
      </c>
      <c r="K456" s="95" t="s">
        <v>363</v>
      </c>
      <c r="L456" s="57">
        <v>100</v>
      </c>
      <c r="M456" s="81" t="s">
        <v>439</v>
      </c>
      <c r="N456" s="134"/>
    </row>
    <row r="457" spans="1:14" s="131" customFormat="1" ht="28.2" customHeight="1">
      <c r="A457" s="11">
        <v>452</v>
      </c>
      <c r="B457" s="290">
        <v>452</v>
      </c>
      <c r="C457" s="129">
        <v>45967</v>
      </c>
      <c r="D457" s="10" t="s">
        <v>559</v>
      </c>
      <c r="E457" s="41" t="str">
        <f>IFERROR(VLOOKUP($D457,임시동력입.출고현황!$A:$G,E$5,0),)</f>
        <v>Panel</v>
      </c>
      <c r="F457" s="19" t="str">
        <f>IFERROR(VLOOKUP($D457,임시동력입.출고현황!$A:$G,F$5,0),)</f>
        <v>Electrical Panel</v>
      </c>
      <c r="G457" s="19">
        <f>IFERROR(VLOOKUP($D457,임시동력입.출고현황!$A:$G,G$5,0),)</f>
        <v>0</v>
      </c>
      <c r="H457" s="19" t="str">
        <f>IFERROR(VLOOKUP($D457,임시동력입.출고현황!$A:$G,H$5,0),)</f>
        <v>63A</v>
      </c>
      <c r="I457" s="10" t="str">
        <f>IFERROR(VLOOKUP($D457,임시동력입.출고현황!$A:$G,I$5,0),)</f>
        <v>EA</v>
      </c>
      <c r="J457" s="10">
        <v>3</v>
      </c>
      <c r="K457" s="95" t="s">
        <v>237</v>
      </c>
      <c r="L457" s="57">
        <v>1</v>
      </c>
      <c r="M457" s="81" t="s">
        <v>439</v>
      </c>
      <c r="N457" s="134"/>
    </row>
    <row r="458" spans="1:14" s="131" customFormat="1" ht="28.2" customHeight="1">
      <c r="A458" s="11">
        <v>453</v>
      </c>
      <c r="B458" s="290">
        <v>453</v>
      </c>
      <c r="C458" s="129">
        <v>45968</v>
      </c>
      <c r="D458" s="10" t="s">
        <v>334</v>
      </c>
      <c r="E458" s="41" t="str">
        <f>IFERROR(VLOOKUP($D458,임시동력입.출고현황!$A:$G,E$5,0),)</f>
        <v>Cable</v>
      </c>
      <c r="F458" s="19" t="str">
        <f>IFERROR(VLOOKUP($D458,임시동력입.출고현황!$A:$G,F$5,0),)</f>
        <v>CV Cable</v>
      </c>
      <c r="G458" s="19">
        <f>IFERROR(VLOOKUP($D458,임시동력입.출고현황!$A:$G,G$5,0),)</f>
        <v>0</v>
      </c>
      <c r="H458" s="19" t="str">
        <f>IFERROR(VLOOKUP($D458,임시동력입.출고현황!$A:$G,H$5,0),)</f>
        <v>3C x 4mm2</v>
      </c>
      <c r="I458" s="10" t="str">
        <f>IFERROR(VLOOKUP($D458,임시동력입.출고현황!$A:$G,I$5,0),)</f>
        <v>M</v>
      </c>
      <c r="J458" s="10">
        <v>3</v>
      </c>
      <c r="K458" s="95" t="s">
        <v>551</v>
      </c>
      <c r="L458" s="57">
        <v>100</v>
      </c>
      <c r="M458" s="81" t="s">
        <v>561</v>
      </c>
      <c r="N458" s="134"/>
    </row>
    <row r="459" spans="1:14" s="131" customFormat="1" ht="28.2" customHeight="1">
      <c r="A459" s="11">
        <v>454</v>
      </c>
      <c r="B459" s="290">
        <v>454</v>
      </c>
      <c r="C459" s="129">
        <v>45968</v>
      </c>
      <c r="D459" s="10" t="s">
        <v>411</v>
      </c>
      <c r="E459" s="41" t="str">
        <f>IFERROR(VLOOKUP($D459,임시동력입.출고현황!$A:$G,E$5,0),)</f>
        <v>Cable</v>
      </c>
      <c r="F459" s="19" t="str">
        <f>IFERROR(VLOOKUP($D459,임시동력입.출고현황!$A:$G,F$5,0),)</f>
        <v>CV Cable</v>
      </c>
      <c r="G459" s="19">
        <f>IFERROR(VLOOKUP($D459,임시동력입.출고현황!$A:$G,G$5,0),)</f>
        <v>0</v>
      </c>
      <c r="H459" s="19" t="str">
        <f>IFERROR(VLOOKUP($D459,임시동력입.출고현황!$A:$G,H$5,0),)</f>
        <v>3C x 3mm2</v>
      </c>
      <c r="I459" s="10" t="str">
        <f>IFERROR(VLOOKUP($D459,임시동력입.출고현황!$A:$G,I$5,0),)</f>
        <v>M</v>
      </c>
      <c r="J459" s="10">
        <v>3</v>
      </c>
      <c r="K459" s="95" t="s">
        <v>237</v>
      </c>
      <c r="L459" s="57">
        <v>300</v>
      </c>
      <c r="M459" s="81" t="s">
        <v>561</v>
      </c>
      <c r="N459" s="134"/>
    </row>
    <row r="460" spans="1:14" s="131" customFormat="1" ht="28.2" customHeight="1">
      <c r="A460" s="11">
        <v>455</v>
      </c>
      <c r="B460" s="290">
        <v>455</v>
      </c>
      <c r="C460" s="129">
        <v>45968</v>
      </c>
      <c r="D460" s="10" t="s">
        <v>336</v>
      </c>
      <c r="E460" s="41" t="str">
        <f>IFERROR(VLOOKUP($D460,임시동력입.출고현황!$A:$G,E$5,0),)</f>
        <v>Cable</v>
      </c>
      <c r="F460" s="19" t="str">
        <f>IFERROR(VLOOKUP($D460,임시동력입.출고현황!$A:$G,F$5,0),)</f>
        <v>CV Cable</v>
      </c>
      <c r="G460" s="19">
        <f>IFERROR(VLOOKUP($D460,임시동력입.출고현황!$A:$G,G$5,0),)</f>
        <v>0</v>
      </c>
      <c r="H460" s="19" t="str">
        <f>IFERROR(VLOOKUP($D460,임시동력입.출고현황!$A:$G,H$5,0),)</f>
        <v>3C x 1.5mm2</v>
      </c>
      <c r="I460" s="10" t="str">
        <f>IFERROR(VLOOKUP($D460,임시동력입.출고현황!$A:$G,I$5,0),)</f>
        <v>M</v>
      </c>
      <c r="J460" s="10">
        <v>3</v>
      </c>
      <c r="K460" s="95" t="s">
        <v>551</v>
      </c>
      <c r="L460" s="57">
        <v>200</v>
      </c>
      <c r="M460" s="81" t="s">
        <v>561</v>
      </c>
      <c r="N460" s="134"/>
    </row>
    <row r="461" spans="1:14" s="131" customFormat="1" ht="28.2" customHeight="1">
      <c r="A461" s="11">
        <v>456</v>
      </c>
      <c r="B461" s="290">
        <v>456</v>
      </c>
      <c r="C461" s="129">
        <v>45968</v>
      </c>
      <c r="D461" s="10" t="s">
        <v>348</v>
      </c>
      <c r="E461" s="41" t="str">
        <f>IFERROR(VLOOKUP($D461,임시동력입.출고현황!$A:$G,E$5,0),)</f>
        <v>LTG</v>
      </c>
      <c r="F461" s="19" t="str">
        <f>IFERROR(VLOOKUP($D461,임시동력입.출고현황!$A:$G,F$5,0),)</f>
        <v>Lighting Fixture</v>
      </c>
      <c r="G461" s="19">
        <f>IFERROR(VLOOKUP($D461,임시동력입.출고현황!$A:$G,G$5,0),)</f>
        <v>0</v>
      </c>
      <c r="H461" s="19" t="str">
        <f>IFERROR(VLOOKUP($D461,임시동력입.출고현황!$A:$G,H$5,0),)</f>
        <v>100W</v>
      </c>
      <c r="I461" s="10" t="str">
        <f>IFERROR(VLOOKUP($D461,임시동력입.출고현황!$A:$G,I$5,0),)</f>
        <v>EA</v>
      </c>
      <c r="J461" s="10">
        <v>3</v>
      </c>
      <c r="K461" s="95" t="s">
        <v>237</v>
      </c>
      <c r="L461" s="57">
        <v>2</v>
      </c>
      <c r="M461" s="81" t="s">
        <v>561</v>
      </c>
      <c r="N461" s="134"/>
    </row>
    <row r="462" spans="1:14" s="131" customFormat="1" ht="28.2" customHeight="1">
      <c r="A462" s="11">
        <v>457</v>
      </c>
      <c r="B462" s="290">
        <v>457</v>
      </c>
      <c r="C462" s="129">
        <v>45969</v>
      </c>
      <c r="D462" s="10" t="s">
        <v>411</v>
      </c>
      <c r="E462" s="41" t="str">
        <f>IFERROR(VLOOKUP($D462,임시동력입.출고현황!$A:$G,E$5,0),)</f>
        <v>Cable</v>
      </c>
      <c r="F462" s="19" t="str">
        <f>IFERROR(VLOOKUP($D462,임시동력입.출고현황!$A:$G,F$5,0),)</f>
        <v>CV Cable</v>
      </c>
      <c r="G462" s="19">
        <f>IFERROR(VLOOKUP($D462,임시동력입.출고현황!$A:$G,G$5,0),)</f>
        <v>0</v>
      </c>
      <c r="H462" s="19" t="str">
        <f>IFERROR(VLOOKUP($D462,임시동력입.출고현황!$A:$G,H$5,0),)</f>
        <v>3C x 3mm2</v>
      </c>
      <c r="I462" s="10" t="str">
        <f>IFERROR(VLOOKUP($D462,임시동력입.출고현황!$A:$G,I$5,0),)</f>
        <v>M</v>
      </c>
      <c r="J462" s="10">
        <v>1</v>
      </c>
      <c r="K462" s="95" t="s">
        <v>352</v>
      </c>
      <c r="L462" s="57">
        <v>300</v>
      </c>
      <c r="M462" s="81" t="s">
        <v>561</v>
      </c>
      <c r="N462" s="134"/>
    </row>
    <row r="463" spans="1:14" s="131" customFormat="1" ht="28.2" customHeight="1">
      <c r="A463" s="11">
        <v>458</v>
      </c>
      <c r="B463" s="290">
        <v>458</v>
      </c>
      <c r="C463" s="129">
        <v>45969</v>
      </c>
      <c r="D463" s="10" t="s">
        <v>568</v>
      </c>
      <c r="E463" s="41" t="str">
        <f>IFERROR(VLOOKUP($D463,임시동력입.출고현황!$A:$G,E$5,0),)</f>
        <v>Cable</v>
      </c>
      <c r="F463" s="19" t="str">
        <f>IFERROR(VLOOKUP($D463,임시동력입.출고현황!$A:$G,F$5,0),)</f>
        <v>CV Cable</v>
      </c>
      <c r="G463" s="19">
        <f>IFERROR(VLOOKUP($D463,임시동력입.출고현황!$A:$G,G$5,0),)</f>
        <v>0</v>
      </c>
      <c r="H463" s="19" t="str">
        <f>IFERROR(VLOOKUP($D463,임시동력입.출고현황!$A:$G,H$5,0),)</f>
        <v>4C x 4mm2</v>
      </c>
      <c r="I463" s="10" t="str">
        <f>IFERROR(VLOOKUP($D463,임시동력입.출고현황!$A:$G,I$5,0),)</f>
        <v>M</v>
      </c>
      <c r="J463" s="10">
        <v>4</v>
      </c>
      <c r="K463" s="95" t="s">
        <v>351</v>
      </c>
      <c r="L463" s="57">
        <v>500</v>
      </c>
      <c r="M463" s="81" t="s">
        <v>561</v>
      </c>
      <c r="N463" s="134"/>
    </row>
    <row r="464" spans="1:14" s="131" customFormat="1" ht="28.2" customHeight="1">
      <c r="A464" s="11">
        <v>459</v>
      </c>
      <c r="B464" s="290">
        <v>459</v>
      </c>
      <c r="C464" s="129">
        <v>45969</v>
      </c>
      <c r="D464" s="10" t="s">
        <v>336</v>
      </c>
      <c r="E464" s="41" t="str">
        <f>IFERROR(VLOOKUP($D464,임시동력입.출고현황!$A:$G,E$5,0),)</f>
        <v>Cable</v>
      </c>
      <c r="F464" s="19" t="str">
        <f>IFERROR(VLOOKUP($D464,임시동력입.출고현황!$A:$G,F$5,0),)</f>
        <v>CV Cable</v>
      </c>
      <c r="G464" s="19">
        <f>IFERROR(VLOOKUP($D464,임시동력입.출고현황!$A:$G,G$5,0),)</f>
        <v>0</v>
      </c>
      <c r="H464" s="19" t="str">
        <f>IFERROR(VLOOKUP($D464,임시동력입.출고현황!$A:$G,H$5,0),)</f>
        <v>3C x 1.5mm2</v>
      </c>
      <c r="I464" s="10" t="str">
        <f>IFERROR(VLOOKUP($D464,임시동력입.출고현황!$A:$G,I$5,0),)</f>
        <v>M</v>
      </c>
      <c r="J464" s="10">
        <v>4</v>
      </c>
      <c r="K464" s="95" t="s">
        <v>359</v>
      </c>
      <c r="L464" s="57">
        <v>300</v>
      </c>
      <c r="M464" s="81" t="s">
        <v>561</v>
      </c>
      <c r="N464" s="134"/>
    </row>
    <row r="465" spans="1:14" s="131" customFormat="1" ht="28.2" customHeight="1">
      <c r="A465" s="11">
        <v>460</v>
      </c>
      <c r="B465" s="290">
        <v>460</v>
      </c>
      <c r="C465" s="129">
        <v>45970</v>
      </c>
      <c r="D465" s="10" t="s">
        <v>331</v>
      </c>
      <c r="E465" s="41" t="str">
        <f>IFERROR(VLOOKUP($D465,임시동력입.출고현황!$A:$G,E$5,0),)</f>
        <v>Cable</v>
      </c>
      <c r="F465" s="19" t="str">
        <f>IFERROR(VLOOKUP($D465,임시동력입.출고현황!$A:$G,F$5,0),)</f>
        <v>CV Cable</v>
      </c>
      <c r="G465" s="19">
        <f>IFERROR(VLOOKUP($D465,임시동력입.출고현황!$A:$G,G$5,0),)</f>
        <v>0</v>
      </c>
      <c r="H465" s="19" t="str">
        <f>IFERROR(VLOOKUP($D465,임시동력입.출고현황!$A:$G,H$5,0),)</f>
        <v>4C x 6mm2</v>
      </c>
      <c r="I465" s="10" t="str">
        <f>IFERROR(VLOOKUP($D465,임시동력입.출고현황!$A:$G,I$5,0),)</f>
        <v>M</v>
      </c>
      <c r="J465" s="10">
        <v>4</v>
      </c>
      <c r="K465" s="95" t="s">
        <v>351</v>
      </c>
      <c r="L465" s="57">
        <v>200</v>
      </c>
      <c r="M465" s="81" t="s">
        <v>561</v>
      </c>
      <c r="N465" s="134"/>
    </row>
    <row r="466" spans="1:14" s="131" customFormat="1" ht="28.2" customHeight="1">
      <c r="A466" s="11">
        <v>461</v>
      </c>
      <c r="B466" s="290">
        <v>461</v>
      </c>
      <c r="C466" s="129">
        <v>45971</v>
      </c>
      <c r="D466" s="10" t="s">
        <v>319</v>
      </c>
      <c r="E466" s="41" t="str">
        <f>IFERROR(VLOOKUP($D466,임시동력입.출고현황!$A:$G,E$5,0),)</f>
        <v>Cable</v>
      </c>
      <c r="F466" s="19" t="str">
        <f>IFERROR(VLOOKUP($D466,임시동력입.출고현황!$A:$G,F$5,0),)</f>
        <v>AL Cable</v>
      </c>
      <c r="G466" s="19">
        <f>IFERROR(VLOOKUP($D466,임시동력입.출고현황!$A:$G,G$5,0),)</f>
        <v>0</v>
      </c>
      <c r="H466" s="19" t="str">
        <f>IFERROR(VLOOKUP($D466,임시동력입.출고현황!$A:$G,H$5,0),)</f>
        <v>3C x 120+70mm2 [ALU]</v>
      </c>
      <c r="I466" s="10" t="str">
        <f>IFERROR(VLOOKUP($D466,임시동력입.출고현황!$A:$G,I$5,0),)</f>
        <v>M</v>
      </c>
      <c r="J466" s="10">
        <v>2</v>
      </c>
      <c r="K466" s="95" t="s">
        <v>546</v>
      </c>
      <c r="L466" s="57">
        <v>210</v>
      </c>
      <c r="M466" s="81" t="s">
        <v>439</v>
      </c>
      <c r="N466" s="134"/>
    </row>
    <row r="467" spans="1:14" s="131" customFormat="1" ht="28.2" customHeight="1">
      <c r="A467" s="11">
        <v>462</v>
      </c>
      <c r="B467" s="290">
        <v>462</v>
      </c>
      <c r="C467" s="129">
        <v>45971</v>
      </c>
      <c r="D467" s="10" t="s">
        <v>321</v>
      </c>
      <c r="E467" s="41" t="str">
        <f>IFERROR(VLOOKUP($D467,임시동력입.출고현황!$A:$G,E$5,0),)</f>
        <v>Cable</v>
      </c>
      <c r="F467" s="19" t="str">
        <f>IFERROR(VLOOKUP($D467,임시동력입.출고현황!$A:$G,F$5,0),)</f>
        <v>AL Cable</v>
      </c>
      <c r="G467" s="19">
        <f>IFERROR(VLOOKUP($D467,임시동력입.출고현황!$A:$G,G$5,0),)</f>
        <v>0</v>
      </c>
      <c r="H467" s="19" t="str">
        <f>IFERROR(VLOOKUP($D467,임시동력입.출고현황!$A:$G,H$5,0),)</f>
        <v>3C x 70+35mm2 [ALU]</v>
      </c>
      <c r="I467" s="10" t="str">
        <f>IFERROR(VLOOKUP($D467,임시동력입.출고현황!$A:$G,I$5,0),)</f>
        <v>M</v>
      </c>
      <c r="J467" s="10">
        <v>3</v>
      </c>
      <c r="K467" s="95" t="s">
        <v>237</v>
      </c>
      <c r="L467" s="57">
        <v>202</v>
      </c>
      <c r="M467" s="81" t="s">
        <v>439</v>
      </c>
      <c r="N467" s="134"/>
    </row>
    <row r="468" spans="1:14" s="131" customFormat="1" ht="28.2" customHeight="1">
      <c r="A468" s="11">
        <v>463</v>
      </c>
      <c r="B468" s="290">
        <v>463</v>
      </c>
      <c r="C468" s="129">
        <v>45971</v>
      </c>
      <c r="D468" s="10" t="s">
        <v>344</v>
      </c>
      <c r="E468" s="41" t="str">
        <f>IFERROR(VLOOKUP($D468,임시동력입.출고현황!$A:$G,E$5,0),)</f>
        <v>Cable</v>
      </c>
      <c r="F468" s="19" t="str">
        <f>IFERROR(VLOOKUP($D468,임시동력입.출고현황!$A:$G,F$5,0),)</f>
        <v>Grounding Cable</v>
      </c>
      <c r="G468" s="19">
        <f>IFERROR(VLOOKUP($D468,임시동력입.출고현황!$A:$G,G$5,0),)</f>
        <v>0</v>
      </c>
      <c r="H468" s="19" t="str">
        <f>IFERROR(VLOOKUP($D468,임시동력입.출고현황!$A:$G,H$5,0),)</f>
        <v>1C x 25mm2</v>
      </c>
      <c r="I468" s="10" t="str">
        <f>IFERROR(VLOOKUP($D468,임시동력입.출고현황!$A:$G,I$5,0),)</f>
        <v>M</v>
      </c>
      <c r="J468" s="10">
        <v>1</v>
      </c>
      <c r="K468" s="95" t="s">
        <v>363</v>
      </c>
      <c r="L468" s="57">
        <v>210</v>
      </c>
      <c r="M468" s="81" t="s">
        <v>439</v>
      </c>
      <c r="N468" s="134"/>
    </row>
    <row r="469" spans="1:14" s="131" customFormat="1" ht="28.2" customHeight="1">
      <c r="A469" s="11">
        <v>464</v>
      </c>
      <c r="B469" s="290">
        <v>464</v>
      </c>
      <c r="C469" s="129">
        <v>45972</v>
      </c>
      <c r="D469" s="10" t="s">
        <v>335</v>
      </c>
      <c r="E469" s="41" t="str">
        <f>IFERROR(VLOOKUP($D469,임시동력입.출고현황!$A:$G,E$5,0),)</f>
        <v>Cable</v>
      </c>
      <c r="F469" s="19" t="str">
        <f>IFERROR(VLOOKUP($D469,임시동력입.출고현황!$A:$G,F$5,0),)</f>
        <v>CV Cable</v>
      </c>
      <c r="G469" s="19">
        <f>IFERROR(VLOOKUP($D469,임시동력입.출고현황!$A:$G,G$5,0),)</f>
        <v>0</v>
      </c>
      <c r="H469" s="19" t="str">
        <f>IFERROR(VLOOKUP($D469,임시동력입.출고현황!$A:$G,H$5,0),)</f>
        <v>3C x 2.5mm2</v>
      </c>
      <c r="I469" s="10" t="str">
        <f>IFERROR(VLOOKUP($D469,임시동력입.출고현황!$A:$G,I$5,0),)</f>
        <v>M</v>
      </c>
      <c r="J469" s="10">
        <v>4</v>
      </c>
      <c r="K469" s="95" t="s">
        <v>359</v>
      </c>
      <c r="L469" s="57">
        <v>500</v>
      </c>
      <c r="M469" s="81" t="s">
        <v>439</v>
      </c>
      <c r="N469" s="134"/>
    </row>
    <row r="470" spans="1:14" s="131" customFormat="1" ht="28.2" customHeight="1">
      <c r="A470" s="11">
        <v>465</v>
      </c>
      <c r="B470" s="290">
        <v>465</v>
      </c>
      <c r="C470" s="129">
        <v>45973</v>
      </c>
      <c r="D470" s="10" t="s">
        <v>335</v>
      </c>
      <c r="E470" s="41" t="str">
        <f>IFERROR(VLOOKUP($D470,임시동력입.출고현황!$A:$G,E$5,0),)</f>
        <v>Cable</v>
      </c>
      <c r="F470" s="19" t="str">
        <f>IFERROR(VLOOKUP($D470,임시동력입.출고현황!$A:$G,F$5,0),)</f>
        <v>CV Cable</v>
      </c>
      <c r="G470" s="19">
        <f>IFERROR(VLOOKUP($D470,임시동력입.출고현황!$A:$G,G$5,0),)</f>
        <v>0</v>
      </c>
      <c r="H470" s="19" t="str">
        <f>IFERROR(VLOOKUP($D470,임시동력입.출고현황!$A:$G,H$5,0),)</f>
        <v>3C x 2.5mm2</v>
      </c>
      <c r="I470" s="10" t="str">
        <f>IFERROR(VLOOKUP($D470,임시동력입.출고현황!$A:$G,I$5,0),)</f>
        <v>M</v>
      </c>
      <c r="J470" s="10">
        <v>3</v>
      </c>
      <c r="K470" s="95" t="s">
        <v>237</v>
      </c>
      <c r="L470" s="57">
        <v>500</v>
      </c>
      <c r="M470" s="81" t="s">
        <v>439</v>
      </c>
      <c r="N470" s="134"/>
    </row>
    <row r="471" spans="1:14" s="131" customFormat="1" ht="28.2" customHeight="1">
      <c r="A471" s="11">
        <v>466</v>
      </c>
      <c r="B471" s="290">
        <v>466</v>
      </c>
      <c r="C471" s="129">
        <v>45974</v>
      </c>
      <c r="D471" s="10" t="s">
        <v>335</v>
      </c>
      <c r="E471" s="41" t="str">
        <f>IFERROR(VLOOKUP($D471,임시동력입.출고현황!$A:$G,E$5,0),)</f>
        <v>Cable</v>
      </c>
      <c r="F471" s="19" t="str">
        <f>IFERROR(VLOOKUP($D471,임시동력입.출고현황!$A:$G,F$5,0),)</f>
        <v>CV Cable</v>
      </c>
      <c r="G471" s="19">
        <f>IFERROR(VLOOKUP($D471,임시동력입.출고현황!$A:$G,G$5,0),)</f>
        <v>0</v>
      </c>
      <c r="H471" s="19" t="str">
        <f>IFERROR(VLOOKUP($D471,임시동력입.출고현황!$A:$G,H$5,0),)</f>
        <v>3C x 2.5mm2</v>
      </c>
      <c r="I471" s="10" t="str">
        <f>IFERROR(VLOOKUP($D471,임시동력입.출고현황!$A:$G,I$5,0),)</f>
        <v>M</v>
      </c>
      <c r="J471" s="10">
        <v>2</v>
      </c>
      <c r="K471" s="95" t="s">
        <v>360</v>
      </c>
      <c r="L471" s="57">
        <v>496</v>
      </c>
      <c r="M471" s="130" t="s">
        <v>439</v>
      </c>
      <c r="N471" s="134"/>
    </row>
    <row r="472" spans="1:14" s="131" customFormat="1" ht="28.2" customHeight="1">
      <c r="A472" s="11">
        <v>467</v>
      </c>
      <c r="B472" s="290">
        <v>467</v>
      </c>
      <c r="C472" s="129">
        <v>45978</v>
      </c>
      <c r="D472" s="10" t="s">
        <v>333</v>
      </c>
      <c r="E472" s="41" t="str">
        <f>IFERROR(VLOOKUP($D472,임시동력입.출고현황!$A:$G,E$5,0),)</f>
        <v>Cable</v>
      </c>
      <c r="F472" s="19" t="str">
        <f>IFERROR(VLOOKUP($D472,임시동력입.출고현황!$A:$G,F$5,0),)</f>
        <v>CV Cable</v>
      </c>
      <c r="G472" s="19">
        <f>IFERROR(VLOOKUP($D472,임시동력입.출고현황!$A:$G,G$5,0),)</f>
        <v>0</v>
      </c>
      <c r="H472" s="19" t="str">
        <f>IFERROR(VLOOKUP($D472,임시동력입.출고현황!$A:$G,H$5,0),)</f>
        <v>3C x 6mm2</v>
      </c>
      <c r="I472" s="10" t="str">
        <f>IFERROR(VLOOKUP($D472,임시동력입.출고현황!$A:$G,I$5,0),)</f>
        <v>M</v>
      </c>
      <c r="J472" s="10">
        <v>1</v>
      </c>
      <c r="K472" s="95" t="s">
        <v>363</v>
      </c>
      <c r="L472" s="57">
        <v>90</v>
      </c>
      <c r="M472" s="130" t="s">
        <v>439</v>
      </c>
      <c r="N472" s="134"/>
    </row>
    <row r="473" spans="1:14" s="131" customFormat="1" ht="28.2" customHeight="1">
      <c r="A473" s="11">
        <v>468</v>
      </c>
      <c r="B473" s="290">
        <v>468</v>
      </c>
      <c r="C473" s="129">
        <v>45978</v>
      </c>
      <c r="D473" s="10" t="s">
        <v>559</v>
      </c>
      <c r="E473" s="41" t="str">
        <f>IFERROR(VLOOKUP($D473,임시동력입.출고현황!$A:$G,E$5,0),)</f>
        <v>Panel</v>
      </c>
      <c r="F473" s="19" t="str">
        <f>IFERROR(VLOOKUP($D473,임시동력입.출고현황!$A:$G,F$5,0),)</f>
        <v>Electrical Panel</v>
      </c>
      <c r="G473" s="19">
        <f>IFERROR(VLOOKUP($D473,임시동력입.출고현황!$A:$G,G$5,0),)</f>
        <v>0</v>
      </c>
      <c r="H473" s="19" t="str">
        <f>IFERROR(VLOOKUP($D473,임시동력입.출고현황!$A:$G,H$5,0),)</f>
        <v>63A</v>
      </c>
      <c r="I473" s="10" t="str">
        <f>IFERROR(VLOOKUP($D473,임시동력입.출고현황!$A:$G,I$5,0),)</f>
        <v>EA</v>
      </c>
      <c r="J473" s="10">
        <v>1</v>
      </c>
      <c r="K473" s="95" t="s">
        <v>352</v>
      </c>
      <c r="L473" s="57">
        <v>1</v>
      </c>
      <c r="M473" s="130" t="s">
        <v>439</v>
      </c>
      <c r="N473" s="134"/>
    </row>
    <row r="474" spans="1:14" s="131" customFormat="1" ht="28.2" customHeight="1">
      <c r="A474" s="11">
        <v>469</v>
      </c>
      <c r="B474" s="290">
        <v>469</v>
      </c>
      <c r="C474" s="129">
        <v>45979</v>
      </c>
      <c r="D474" s="10" t="s">
        <v>320</v>
      </c>
      <c r="E474" s="41" t="str">
        <f>IFERROR(VLOOKUP($D474,임시동력입.출고현황!$A:$G,E$5,0),)</f>
        <v>Cable</v>
      </c>
      <c r="F474" s="19" t="str">
        <f>IFERROR(VLOOKUP($D474,임시동력입.출고현황!$A:$G,F$5,0),)</f>
        <v>AL Cable</v>
      </c>
      <c r="G474" s="19">
        <f>IFERROR(VLOOKUP($D474,임시동력입.출고현황!$A:$G,G$5,0),)</f>
        <v>0</v>
      </c>
      <c r="H474" s="19" t="str">
        <f>IFERROR(VLOOKUP($D474,임시동력입.출고현황!$A:$G,H$5,0),)</f>
        <v>3C x 95+50mm2 [ALU]</v>
      </c>
      <c r="I474" s="10" t="str">
        <f>IFERROR(VLOOKUP($D474,임시동력입.출고현황!$A:$G,I$5,0),)</f>
        <v>M</v>
      </c>
      <c r="J474" s="10">
        <v>1</v>
      </c>
      <c r="K474" s="95" t="s">
        <v>352</v>
      </c>
      <c r="L474" s="57">
        <v>130</v>
      </c>
      <c r="M474" s="130" t="s">
        <v>439</v>
      </c>
      <c r="N474" s="134"/>
    </row>
    <row r="475" spans="1:14" s="131" customFormat="1" ht="28.2" customHeight="1">
      <c r="A475" s="11">
        <v>470</v>
      </c>
      <c r="B475" s="290">
        <v>470</v>
      </c>
      <c r="C475" s="129">
        <v>45984</v>
      </c>
      <c r="D475" s="10" t="s">
        <v>322</v>
      </c>
      <c r="E475" s="41" t="str">
        <f>IFERROR(VLOOKUP($D475,임시동력입.출고현황!$A:$G,E$5,0),)</f>
        <v>Cable</v>
      </c>
      <c r="F475" s="19" t="str">
        <f>IFERROR(VLOOKUP($D475,임시동력입.출고현황!$A:$G,F$5,0),)</f>
        <v>AL Cable</v>
      </c>
      <c r="G475" s="19">
        <f>IFERROR(VLOOKUP($D475,임시동력입.출고현황!$A:$G,G$5,0),)</f>
        <v>0</v>
      </c>
      <c r="H475" s="19" t="str">
        <f>IFERROR(VLOOKUP($D475,임시동력입.출고현황!$A:$G,H$5,0),)</f>
        <v>3C x 50+25mm2 [ALU]</v>
      </c>
      <c r="I475" s="10" t="str">
        <f>IFERROR(VLOOKUP($D475,임시동력입.출고현황!$A:$G,I$5,0),)</f>
        <v>M</v>
      </c>
      <c r="J475" s="10">
        <v>1</v>
      </c>
      <c r="K475" s="95" t="s">
        <v>363</v>
      </c>
      <c r="L475" s="57">
        <v>125</v>
      </c>
      <c r="M475" s="81" t="s">
        <v>561</v>
      </c>
      <c r="N475" s="134"/>
    </row>
    <row r="476" spans="1:14" s="131" customFormat="1" ht="28.2" customHeight="1">
      <c r="A476" s="11">
        <v>471</v>
      </c>
      <c r="B476" s="290">
        <v>471</v>
      </c>
      <c r="C476" s="129">
        <v>45984</v>
      </c>
      <c r="D476" s="10" t="s">
        <v>323</v>
      </c>
      <c r="E476" s="41" t="str">
        <f>IFERROR(VLOOKUP($D476,임시동력입.출고현황!$A:$G,E$5,0),)</f>
        <v>Cable</v>
      </c>
      <c r="F476" s="19" t="str">
        <f>IFERROR(VLOOKUP($D476,임시동력입.출고현황!$A:$G,F$5,0),)</f>
        <v>AL Cable</v>
      </c>
      <c r="G476" s="19">
        <f>IFERROR(VLOOKUP($D476,임시동력입.출고현황!$A:$G,G$5,0),)</f>
        <v>0</v>
      </c>
      <c r="H476" s="19" t="str">
        <f>IFERROR(VLOOKUP($D476,임시동력입.출고현황!$A:$G,H$5,0),)</f>
        <v>4C x 35mm2 [ALU]</v>
      </c>
      <c r="I476" s="10" t="str">
        <f>IFERROR(VLOOKUP($D476,임시동력입.출고현황!$A:$G,I$5,0),)</f>
        <v>M</v>
      </c>
      <c r="J476" s="10">
        <v>1</v>
      </c>
      <c r="K476" s="95" t="s">
        <v>352</v>
      </c>
      <c r="L476" s="57">
        <v>90</v>
      </c>
      <c r="M476" s="81" t="s">
        <v>561</v>
      </c>
      <c r="N476" s="134"/>
    </row>
    <row r="477" spans="1:14" s="131" customFormat="1" ht="28.2" customHeight="1">
      <c r="A477" s="11">
        <v>472</v>
      </c>
      <c r="B477" s="290">
        <v>472</v>
      </c>
      <c r="C477" s="129">
        <v>45984</v>
      </c>
      <c r="D477" s="10" t="s">
        <v>334</v>
      </c>
      <c r="E477" s="41" t="str">
        <f>IFERROR(VLOOKUP($D477,임시동력입.출고현황!$A:$G,E$5,0),)</f>
        <v>Cable</v>
      </c>
      <c r="F477" s="19" t="str">
        <f>IFERROR(VLOOKUP($D477,임시동력입.출고현황!$A:$G,F$5,0),)</f>
        <v>CV Cable</v>
      </c>
      <c r="G477" s="19">
        <f>IFERROR(VLOOKUP($D477,임시동력입.출고현황!$A:$G,G$5,0),)</f>
        <v>0</v>
      </c>
      <c r="H477" s="19" t="str">
        <f>IFERROR(VLOOKUP($D477,임시동력입.출고현황!$A:$G,H$5,0),)</f>
        <v>3C x 4mm2</v>
      </c>
      <c r="I477" s="10" t="str">
        <f>IFERROR(VLOOKUP($D477,임시동력입.출고현황!$A:$G,I$5,0),)</f>
        <v>M</v>
      </c>
      <c r="J477" s="10">
        <v>4</v>
      </c>
      <c r="K477" s="95" t="s">
        <v>351</v>
      </c>
      <c r="L477" s="57">
        <v>5</v>
      </c>
      <c r="M477" s="81" t="s">
        <v>561</v>
      </c>
      <c r="N477" s="134"/>
    </row>
    <row r="478" spans="1:14" s="131" customFormat="1" ht="28.2" customHeight="1">
      <c r="A478" s="11">
        <v>473</v>
      </c>
      <c r="B478" s="290">
        <v>473</v>
      </c>
      <c r="C478" s="129">
        <v>45984</v>
      </c>
      <c r="D478" s="10" t="s">
        <v>331</v>
      </c>
      <c r="E478" s="41" t="str">
        <f>IFERROR(VLOOKUP($D478,임시동력입.출고현황!$A:$G,E$5,0),)</f>
        <v>Cable</v>
      </c>
      <c r="F478" s="19" t="str">
        <f>IFERROR(VLOOKUP($D478,임시동력입.출고현황!$A:$G,F$5,0),)</f>
        <v>CV Cable</v>
      </c>
      <c r="G478" s="19">
        <f>IFERROR(VLOOKUP($D478,임시동력입.출고현황!$A:$G,G$5,0),)</f>
        <v>0</v>
      </c>
      <c r="H478" s="19" t="str">
        <f>IFERROR(VLOOKUP($D478,임시동력입.출고현황!$A:$G,H$5,0),)</f>
        <v>4C x 6mm2</v>
      </c>
      <c r="I478" s="10" t="str">
        <f>IFERROR(VLOOKUP($D478,임시동력입.출고현황!$A:$G,I$5,0),)</f>
        <v>M</v>
      </c>
      <c r="J478" s="10">
        <v>4</v>
      </c>
      <c r="K478" s="95" t="s">
        <v>359</v>
      </c>
      <c r="L478" s="57">
        <v>40</v>
      </c>
      <c r="M478" s="81" t="s">
        <v>561</v>
      </c>
      <c r="N478" s="134"/>
    </row>
    <row r="479" spans="1:14" s="131" customFormat="1" ht="28.2" customHeight="1">
      <c r="A479" s="11">
        <v>474</v>
      </c>
      <c r="B479" s="290">
        <v>474</v>
      </c>
      <c r="C479" s="129">
        <v>45984</v>
      </c>
      <c r="D479" s="10" t="s">
        <v>347</v>
      </c>
      <c r="E479" s="41" t="str">
        <f>IFERROR(VLOOKUP($D479,임시동력입.출고현황!$A:$G,E$5,0),)</f>
        <v>LTG</v>
      </c>
      <c r="F479" s="19" t="str">
        <f>IFERROR(VLOOKUP($D479,임시동력입.출고현황!$A:$G,F$5,0),)</f>
        <v>Lighting Fixture</v>
      </c>
      <c r="G479" s="19">
        <f>IFERROR(VLOOKUP($D479,임시동력입.출고현황!$A:$G,G$5,0),)</f>
        <v>0</v>
      </c>
      <c r="H479" s="19" t="str">
        <f>IFERROR(VLOOKUP($D479,임시동력입.출고현황!$A:$G,H$5,0),)</f>
        <v>200W</v>
      </c>
      <c r="I479" s="10" t="str">
        <f>IFERROR(VLOOKUP($D479,임시동력입.출고현황!$A:$G,I$5,0),)</f>
        <v>EA</v>
      </c>
      <c r="J479" s="10">
        <v>2</v>
      </c>
      <c r="K479" s="95" t="s">
        <v>546</v>
      </c>
      <c r="L479" s="57">
        <v>2</v>
      </c>
      <c r="M479" s="81" t="s">
        <v>561</v>
      </c>
      <c r="N479" s="134"/>
    </row>
    <row r="480" spans="1:14" s="131" customFormat="1" ht="28.2" customHeight="1">
      <c r="A480" s="11">
        <v>475</v>
      </c>
      <c r="B480" s="290">
        <v>475</v>
      </c>
      <c r="C480" s="129">
        <v>45986</v>
      </c>
      <c r="D480" s="10" t="s">
        <v>348</v>
      </c>
      <c r="E480" s="41" t="str">
        <f>IFERROR(VLOOKUP($D480,임시동력입.출고현황!$A:$G,E$5,0),)</f>
        <v>LTG</v>
      </c>
      <c r="F480" s="19" t="str">
        <f>IFERROR(VLOOKUP($D480,임시동력입.출고현황!$A:$G,F$5,0),)</f>
        <v>Lighting Fixture</v>
      </c>
      <c r="G480" s="19">
        <f>IFERROR(VLOOKUP($D480,임시동력입.출고현황!$A:$G,G$5,0),)</f>
        <v>0</v>
      </c>
      <c r="H480" s="19" t="str">
        <f>IFERROR(VLOOKUP($D480,임시동력입.출고현황!$A:$G,H$5,0),)</f>
        <v>100W</v>
      </c>
      <c r="I480" s="10" t="str">
        <f>IFERROR(VLOOKUP($D480,임시동력입.출고현황!$A:$G,I$5,0),)</f>
        <v>EA</v>
      </c>
      <c r="J480" s="10">
        <v>1</v>
      </c>
      <c r="K480" s="95" t="s">
        <v>352</v>
      </c>
      <c r="L480" s="57">
        <v>10</v>
      </c>
      <c r="M480" s="81" t="s">
        <v>439</v>
      </c>
      <c r="N480" s="134"/>
    </row>
    <row r="481" spans="1:14" s="131" customFormat="1" ht="28.2" customHeight="1">
      <c r="A481" s="11">
        <v>476</v>
      </c>
      <c r="B481" s="290">
        <v>476</v>
      </c>
      <c r="C481" s="129">
        <v>45987</v>
      </c>
      <c r="D481" s="10" t="s">
        <v>331</v>
      </c>
      <c r="E481" s="41" t="str">
        <f>IFERROR(VLOOKUP($D481,임시동력입.출고현황!$A:$G,E$5,0),)</f>
        <v>Cable</v>
      </c>
      <c r="F481" s="19" t="str">
        <f>IFERROR(VLOOKUP($D481,임시동력입.출고현황!$A:$G,F$5,0),)</f>
        <v>CV Cable</v>
      </c>
      <c r="G481" s="19">
        <f>IFERROR(VLOOKUP($D481,임시동력입.출고현황!$A:$G,G$5,0),)</f>
        <v>0</v>
      </c>
      <c r="H481" s="19" t="str">
        <f>IFERROR(VLOOKUP($D481,임시동력입.출고현황!$A:$G,H$5,0),)</f>
        <v>4C x 6mm2</v>
      </c>
      <c r="I481" s="10" t="str">
        <f>IFERROR(VLOOKUP($D481,임시동력입.출고현황!$A:$G,I$5,0),)</f>
        <v>M</v>
      </c>
      <c r="J481" s="10">
        <v>4</v>
      </c>
      <c r="K481" s="95" t="s">
        <v>351</v>
      </c>
      <c r="L481" s="57">
        <v>50</v>
      </c>
      <c r="M481" s="81" t="s">
        <v>439</v>
      </c>
      <c r="N481" s="134"/>
    </row>
    <row r="482" spans="1:14" s="131" customFormat="1" ht="28.2" customHeight="1">
      <c r="A482" s="11">
        <v>477</v>
      </c>
      <c r="B482" s="290">
        <v>477</v>
      </c>
      <c r="C482" s="129">
        <v>45987</v>
      </c>
      <c r="D482" s="10" t="s">
        <v>348</v>
      </c>
      <c r="E482" s="41" t="str">
        <f>IFERROR(VLOOKUP($D482,임시동력입.출고현황!$A:$G,E$5,0),)</f>
        <v>LTG</v>
      </c>
      <c r="F482" s="19" t="str">
        <f>IFERROR(VLOOKUP($D482,임시동력입.출고현황!$A:$G,F$5,0),)</f>
        <v>Lighting Fixture</v>
      </c>
      <c r="G482" s="19">
        <f>IFERROR(VLOOKUP($D482,임시동력입.출고현황!$A:$G,G$5,0),)</f>
        <v>0</v>
      </c>
      <c r="H482" s="19" t="str">
        <f>IFERROR(VLOOKUP($D482,임시동력입.출고현황!$A:$G,H$5,0),)</f>
        <v>100W</v>
      </c>
      <c r="I482" s="10" t="str">
        <f>IFERROR(VLOOKUP($D482,임시동력입.출고현황!$A:$G,I$5,0),)</f>
        <v>EA</v>
      </c>
      <c r="J482" s="10">
        <v>1</v>
      </c>
      <c r="K482" s="95" t="s">
        <v>363</v>
      </c>
      <c r="L482" s="57">
        <v>10</v>
      </c>
      <c r="M482" s="81" t="s">
        <v>439</v>
      </c>
      <c r="N482" s="134"/>
    </row>
    <row r="483" spans="1:14" s="131" customFormat="1" ht="28.2" customHeight="1">
      <c r="A483" s="11">
        <v>478</v>
      </c>
      <c r="B483" s="290">
        <v>478</v>
      </c>
      <c r="C483" s="129">
        <v>45987</v>
      </c>
      <c r="D483" s="10" t="s">
        <v>330</v>
      </c>
      <c r="E483" s="41" t="str">
        <f>IFERROR(VLOOKUP($D483,임시동력입.출고현황!$A:$G,E$5,0),)</f>
        <v>Cable</v>
      </c>
      <c r="F483" s="19" t="str">
        <f>IFERROR(VLOOKUP($D483,임시동력입.출고현황!$A:$G,F$5,0),)</f>
        <v>CV Cable</v>
      </c>
      <c r="G483" s="19">
        <f>IFERROR(VLOOKUP($D483,임시동력입.출고현황!$A:$G,G$5,0),)</f>
        <v>0</v>
      </c>
      <c r="H483" s="19" t="str">
        <f>IFERROR(VLOOKUP($D483,임시동력입.출고현황!$A:$G,H$5,0),)</f>
        <v>4C x 10mm2</v>
      </c>
      <c r="I483" s="10" t="str">
        <f>IFERROR(VLOOKUP($D483,임시동력입.출고현황!$A:$G,I$5,0),)</f>
        <v>M</v>
      </c>
      <c r="J483" s="10" t="s">
        <v>557</v>
      </c>
      <c r="K483" s="95" t="s">
        <v>607</v>
      </c>
      <c r="L483" s="57">
        <v>63</v>
      </c>
      <c r="M483" s="81" t="s">
        <v>439</v>
      </c>
      <c r="N483" s="134"/>
    </row>
    <row r="484" spans="1:14" s="131" customFormat="1" ht="28.2" customHeight="1">
      <c r="A484" s="11">
        <v>479</v>
      </c>
      <c r="B484" s="290">
        <v>479</v>
      </c>
      <c r="C484" s="129">
        <v>45991</v>
      </c>
      <c r="D484" s="10" t="s">
        <v>559</v>
      </c>
      <c r="E484" s="41" t="str">
        <f>IFERROR(VLOOKUP($D484,임시동력입.출고현황!$A:$G,E$5,0),)</f>
        <v>Panel</v>
      </c>
      <c r="F484" s="19" t="str">
        <f>IFERROR(VLOOKUP($D484,임시동력입.출고현황!$A:$G,F$5,0),)</f>
        <v>Electrical Panel</v>
      </c>
      <c r="G484" s="19">
        <f>IFERROR(VLOOKUP($D484,임시동력입.출고현황!$A:$G,G$5,0),)</f>
        <v>0</v>
      </c>
      <c r="H484" s="19" t="str">
        <f>IFERROR(VLOOKUP($D484,임시동력입.출고현황!$A:$G,H$5,0),)</f>
        <v>63A</v>
      </c>
      <c r="I484" s="10" t="str">
        <f>IFERROR(VLOOKUP($D484,임시동력입.출고현황!$A:$G,I$5,0),)</f>
        <v>EA</v>
      </c>
      <c r="J484" s="10">
        <v>1</v>
      </c>
      <c r="K484" s="95" t="s">
        <v>352</v>
      </c>
      <c r="L484" s="57">
        <v>1</v>
      </c>
      <c r="M484" s="81" t="s">
        <v>439</v>
      </c>
      <c r="N484" s="134"/>
    </row>
    <row r="485" spans="1:14" s="131" customFormat="1" ht="28.2" customHeight="1">
      <c r="A485" s="11">
        <v>480</v>
      </c>
      <c r="B485" s="290">
        <v>480</v>
      </c>
      <c r="C485" s="129">
        <v>45991</v>
      </c>
      <c r="D485" s="10" t="s">
        <v>330</v>
      </c>
      <c r="E485" s="41" t="str">
        <f>IFERROR(VLOOKUP($D485,임시동력입.출고현황!$A:$G,E$5,0),)</f>
        <v>Cable</v>
      </c>
      <c r="F485" s="19" t="str">
        <f>IFERROR(VLOOKUP($D485,임시동력입.출고현황!$A:$G,F$5,0),)</f>
        <v>CV Cable</v>
      </c>
      <c r="G485" s="19">
        <f>IFERROR(VLOOKUP($D485,임시동력입.출고현황!$A:$G,G$5,0),)</f>
        <v>0</v>
      </c>
      <c r="H485" s="19" t="str">
        <f>IFERROR(VLOOKUP($D485,임시동력입.출고현황!$A:$G,H$5,0),)</f>
        <v>4C x 10mm2</v>
      </c>
      <c r="I485" s="10" t="str">
        <f>IFERROR(VLOOKUP($D485,임시동력입.출고현황!$A:$G,I$5,0),)</f>
        <v>M</v>
      </c>
      <c r="J485" s="10">
        <v>1</v>
      </c>
      <c r="K485" s="95" t="s">
        <v>352</v>
      </c>
      <c r="L485" s="57">
        <v>20</v>
      </c>
      <c r="M485" s="81" t="s">
        <v>439</v>
      </c>
      <c r="N485" s="134"/>
    </row>
    <row r="486" spans="1:14" s="131" customFormat="1" ht="28.2" customHeight="1">
      <c r="A486" s="11">
        <v>481</v>
      </c>
      <c r="B486" s="290">
        <v>481</v>
      </c>
      <c r="C486" s="129">
        <v>45991</v>
      </c>
      <c r="D486" s="10" t="s">
        <v>348</v>
      </c>
      <c r="E486" s="41" t="str">
        <f>IFERROR(VLOOKUP($D486,임시동력입.출고현황!$A:$G,E$5,0),)</f>
        <v>LTG</v>
      </c>
      <c r="F486" s="19" t="str">
        <f>IFERROR(VLOOKUP($D486,임시동력입.출고현황!$A:$G,F$5,0),)</f>
        <v>Lighting Fixture</v>
      </c>
      <c r="G486" s="19">
        <f>IFERROR(VLOOKUP($D486,임시동력입.출고현황!$A:$G,G$5,0),)</f>
        <v>0</v>
      </c>
      <c r="H486" s="19" t="str">
        <f>IFERROR(VLOOKUP($D486,임시동력입.출고현황!$A:$G,H$5,0),)</f>
        <v>100W</v>
      </c>
      <c r="I486" s="10" t="str">
        <f>IFERROR(VLOOKUP($D486,임시동력입.출고현황!$A:$G,I$5,0),)</f>
        <v>EA</v>
      </c>
      <c r="J486" s="10">
        <v>1</v>
      </c>
      <c r="K486" s="95" t="s">
        <v>363</v>
      </c>
      <c r="L486" s="57">
        <v>2</v>
      </c>
      <c r="M486" s="81" t="s">
        <v>439</v>
      </c>
      <c r="N486" s="134"/>
    </row>
    <row r="487" spans="1:14" s="131" customFormat="1" ht="28.2" customHeight="1">
      <c r="A487" s="11">
        <v>482</v>
      </c>
      <c r="B487" s="290">
        <v>482</v>
      </c>
      <c r="C487" s="129">
        <v>45991</v>
      </c>
      <c r="D487" s="10" t="s">
        <v>306</v>
      </c>
      <c r="E487" s="41" t="str">
        <f>IFERROR(VLOOKUP($D487,임시동력입.출고현황!$A:$G,E$5,0),)</f>
        <v>Panel</v>
      </c>
      <c r="F487" s="19" t="str">
        <f>IFERROR(VLOOKUP($D487,임시동력입.출고현황!$A:$G,F$5,0),)</f>
        <v>Electrical Panel</v>
      </c>
      <c r="G487" s="19">
        <f>IFERROR(VLOOKUP($D487,임시동력입.출고현황!$A:$G,G$5,0),)</f>
        <v>0</v>
      </c>
      <c r="H487" s="19" t="str">
        <f>IFERROR(VLOOKUP($D487,임시동력입.출고현황!$A:$G,H$5,0),)</f>
        <v>250A</v>
      </c>
      <c r="I487" s="10" t="str">
        <f>IFERROR(VLOOKUP($D487,임시동력입.출고현황!$A:$G,I$5,0),)</f>
        <v>EA</v>
      </c>
      <c r="J487" s="10">
        <v>1</v>
      </c>
      <c r="K487" s="95" t="s">
        <v>352</v>
      </c>
      <c r="L487" s="57">
        <v>1</v>
      </c>
      <c r="M487" s="81" t="s">
        <v>439</v>
      </c>
      <c r="N487" s="134"/>
    </row>
    <row r="488" spans="1:14" s="131" customFormat="1" ht="28.2" customHeight="1">
      <c r="A488" s="11">
        <v>483</v>
      </c>
      <c r="B488" s="290">
        <v>483</v>
      </c>
      <c r="C488" s="129">
        <v>45991</v>
      </c>
      <c r="D488" s="10" t="s">
        <v>307</v>
      </c>
      <c r="E488" s="41" t="str">
        <f>IFERROR(VLOOKUP($D488,임시동력입.출고현황!$A:$G,E$5,0),)</f>
        <v>Panel</v>
      </c>
      <c r="F488" s="19" t="str">
        <f>IFERROR(VLOOKUP($D488,임시동력입.출고현황!$A:$G,F$5,0),)</f>
        <v>Electrical Panel</v>
      </c>
      <c r="G488" s="19">
        <f>IFERROR(VLOOKUP($D488,임시동력입.출고현황!$A:$G,G$5,0),)</f>
        <v>0</v>
      </c>
      <c r="H488" s="19" t="str">
        <f>IFERROR(VLOOKUP($D488,임시동력입.출고현황!$A:$G,H$5,0),)</f>
        <v>160A</v>
      </c>
      <c r="I488" s="10" t="str">
        <f>IFERROR(VLOOKUP($D488,임시동력입.출고현황!$A:$G,I$5,0),)</f>
        <v>EA</v>
      </c>
      <c r="J488" s="10">
        <v>4</v>
      </c>
      <c r="K488" s="95" t="s">
        <v>351</v>
      </c>
      <c r="L488" s="57">
        <v>1</v>
      </c>
      <c r="M488" s="81" t="s">
        <v>439</v>
      </c>
      <c r="N488" s="134"/>
    </row>
    <row r="489" spans="1:14" s="131" customFormat="1" ht="28.2" customHeight="1">
      <c r="A489" s="11">
        <v>484</v>
      </c>
      <c r="B489" s="290">
        <v>484</v>
      </c>
      <c r="C489" s="129">
        <v>45992</v>
      </c>
      <c r="D489" s="10" t="s">
        <v>322</v>
      </c>
      <c r="E489" s="41" t="str">
        <f>IFERROR(VLOOKUP($D489,임시동력입.출고현황!$A:$G,E$5,0),)</f>
        <v>Cable</v>
      </c>
      <c r="F489" s="19" t="str">
        <f>IFERROR(VLOOKUP($D489,임시동력입.출고현황!$A:$G,F$5,0),)</f>
        <v>AL Cable</v>
      </c>
      <c r="G489" s="19">
        <f>IFERROR(VLOOKUP($D489,임시동력입.출고현황!$A:$G,G$5,0),)</f>
        <v>0</v>
      </c>
      <c r="H489" s="19" t="str">
        <f>IFERROR(VLOOKUP($D489,임시동력입.출고현황!$A:$G,H$5,0),)</f>
        <v>3C x 50+25mm2 [ALU]</v>
      </c>
      <c r="I489" s="10" t="str">
        <f>IFERROR(VLOOKUP($D489,임시동력입.출고현황!$A:$G,I$5,0),)</f>
        <v>M</v>
      </c>
      <c r="J489" s="10">
        <v>4</v>
      </c>
      <c r="K489" s="95" t="s">
        <v>359</v>
      </c>
      <c r="L489" s="57">
        <v>70</v>
      </c>
      <c r="M489" s="81" t="s">
        <v>439</v>
      </c>
      <c r="N489" s="134"/>
    </row>
    <row r="490" spans="1:14" s="131" customFormat="1" ht="28.2" customHeight="1">
      <c r="A490" s="11">
        <v>485</v>
      </c>
      <c r="B490" s="290">
        <v>485</v>
      </c>
      <c r="C490" s="129">
        <v>45993</v>
      </c>
      <c r="D490" s="10" t="s">
        <v>330</v>
      </c>
      <c r="E490" s="41" t="str">
        <f>IFERROR(VLOOKUP($D490,임시동력입.출고현황!$A:$G,E$5,0),)</f>
        <v>Cable</v>
      </c>
      <c r="F490" s="19" t="str">
        <f>IFERROR(VLOOKUP($D490,임시동력입.출고현황!$A:$G,F$5,0),)</f>
        <v>CV Cable</v>
      </c>
      <c r="G490" s="19">
        <f>IFERROR(VLOOKUP($D490,임시동력입.출고현황!$A:$G,G$5,0),)</f>
        <v>0</v>
      </c>
      <c r="H490" s="19" t="str">
        <f>IFERROR(VLOOKUP($D490,임시동력입.출고현황!$A:$G,H$5,0),)</f>
        <v>4C x 10mm2</v>
      </c>
      <c r="I490" s="10" t="str">
        <f>IFERROR(VLOOKUP($D490,임시동력입.출고현황!$A:$G,I$5,0),)</f>
        <v>M</v>
      </c>
      <c r="J490" s="10">
        <v>1</v>
      </c>
      <c r="K490" s="95" t="s">
        <v>363</v>
      </c>
      <c r="L490" s="57">
        <v>13</v>
      </c>
      <c r="M490" s="81" t="s">
        <v>439</v>
      </c>
      <c r="N490" s="134"/>
    </row>
    <row r="491" spans="1:14" s="131" customFormat="1" ht="28.2" customHeight="1">
      <c r="A491" s="11">
        <v>486</v>
      </c>
      <c r="B491" s="290">
        <v>486</v>
      </c>
      <c r="C491" s="129">
        <v>45993</v>
      </c>
      <c r="D491" s="10" t="s">
        <v>318</v>
      </c>
      <c r="E491" s="41" t="str">
        <f>IFERROR(VLOOKUP($D491,임시동력입.출고현황!$A:$G,E$5,0),)</f>
        <v>Cable</v>
      </c>
      <c r="F491" s="19" t="str">
        <f>IFERROR(VLOOKUP($D491,임시동력입.출고현황!$A:$G,F$5,0),)</f>
        <v>AL Cable</v>
      </c>
      <c r="G491" s="19">
        <f>IFERROR(VLOOKUP($D491,임시동력입.출고현황!$A:$G,G$5,0),)</f>
        <v>0</v>
      </c>
      <c r="H491" s="19" t="str">
        <f>IFERROR(VLOOKUP($D491,임시동력입.출고현황!$A:$G,H$5,0),)</f>
        <v>3C x 150+70mm2 [ALU]</v>
      </c>
      <c r="I491" s="10" t="str">
        <f>IFERROR(VLOOKUP($D491,임시동력입.출고현황!$A:$G,I$5,0),)</f>
        <v>M</v>
      </c>
      <c r="J491" s="10">
        <v>2</v>
      </c>
      <c r="K491" s="95" t="s">
        <v>546</v>
      </c>
      <c r="L491" s="57">
        <v>60</v>
      </c>
      <c r="M491" s="81" t="s">
        <v>439</v>
      </c>
      <c r="N491" s="134"/>
    </row>
    <row r="492" spans="1:14" s="131" customFormat="1" ht="28.2" customHeight="1">
      <c r="A492" s="11">
        <v>487</v>
      </c>
      <c r="B492" s="290">
        <v>487</v>
      </c>
      <c r="C492" s="129">
        <v>45993</v>
      </c>
      <c r="D492" s="10" t="s">
        <v>347</v>
      </c>
      <c r="E492" s="41" t="str">
        <f>IFERROR(VLOOKUP($D492,임시동력입.출고현황!$A:$G,E$5,0),)</f>
        <v>LTG</v>
      </c>
      <c r="F492" s="19" t="str">
        <f>IFERROR(VLOOKUP($D492,임시동력입.출고현황!$A:$G,F$5,0),)</f>
        <v>Lighting Fixture</v>
      </c>
      <c r="G492" s="19">
        <f>IFERROR(VLOOKUP($D492,임시동력입.출고현황!$A:$G,G$5,0),)</f>
        <v>0</v>
      </c>
      <c r="H492" s="19" t="str">
        <f>IFERROR(VLOOKUP($D492,임시동력입.출고현황!$A:$G,H$5,0),)</f>
        <v>200W</v>
      </c>
      <c r="I492" s="10" t="str">
        <f>IFERROR(VLOOKUP($D492,임시동력입.출고현황!$A:$G,I$5,0),)</f>
        <v>EA</v>
      </c>
      <c r="J492" s="10">
        <v>1</v>
      </c>
      <c r="K492" s="95" t="s">
        <v>352</v>
      </c>
      <c r="L492" s="57">
        <v>3</v>
      </c>
      <c r="M492" s="81" t="s">
        <v>439</v>
      </c>
      <c r="N492" s="134"/>
    </row>
    <row r="493" spans="1:14" s="131" customFormat="1" ht="28.2" customHeight="1">
      <c r="A493" s="11">
        <v>488</v>
      </c>
      <c r="B493" s="290">
        <v>488</v>
      </c>
      <c r="C493" s="129">
        <v>45993</v>
      </c>
      <c r="D493" s="10" t="s">
        <v>348</v>
      </c>
      <c r="E493" s="41" t="str">
        <f>IFERROR(VLOOKUP($D493,임시동력입.출고현황!$A:$G,E$5,0),)</f>
        <v>LTG</v>
      </c>
      <c r="F493" s="19" t="str">
        <f>IFERROR(VLOOKUP($D493,임시동력입.출고현황!$A:$G,F$5,0),)</f>
        <v>Lighting Fixture</v>
      </c>
      <c r="G493" s="19">
        <f>IFERROR(VLOOKUP($D493,임시동력입.출고현황!$A:$G,G$5,0),)</f>
        <v>0</v>
      </c>
      <c r="H493" s="19" t="str">
        <f>IFERROR(VLOOKUP($D493,임시동력입.출고현황!$A:$G,H$5,0),)</f>
        <v>100W</v>
      </c>
      <c r="I493" s="10" t="str">
        <f>IFERROR(VLOOKUP($D493,임시동력입.출고현황!$A:$G,I$5,0),)</f>
        <v>EA</v>
      </c>
      <c r="J493" s="10">
        <v>4</v>
      </c>
      <c r="K493" s="95" t="s">
        <v>351</v>
      </c>
      <c r="L493" s="57">
        <v>3</v>
      </c>
      <c r="M493" s="81" t="s">
        <v>439</v>
      </c>
      <c r="N493" s="134"/>
    </row>
    <row r="494" spans="1:14" s="131" customFormat="1" ht="28.2" customHeight="1">
      <c r="A494" s="11">
        <v>489</v>
      </c>
      <c r="B494" s="290">
        <v>489</v>
      </c>
      <c r="C494" s="129">
        <v>45993</v>
      </c>
      <c r="D494" s="10" t="s">
        <v>306</v>
      </c>
      <c r="E494" s="41" t="str">
        <f>IFERROR(VLOOKUP($D494,임시동력입.출고현황!$A:$G,E$5,0),)</f>
        <v>Panel</v>
      </c>
      <c r="F494" s="19" t="str">
        <f>IFERROR(VLOOKUP($D494,임시동력입.출고현황!$A:$G,F$5,0),)</f>
        <v>Electrical Panel</v>
      </c>
      <c r="G494" s="19">
        <f>IFERROR(VLOOKUP($D494,임시동력입.출고현황!$A:$G,G$5,0),)</f>
        <v>0</v>
      </c>
      <c r="H494" s="19" t="str">
        <f>IFERROR(VLOOKUP($D494,임시동력입.출고현황!$A:$G,H$5,0),)</f>
        <v>250A</v>
      </c>
      <c r="I494" s="10" t="str">
        <f>IFERROR(VLOOKUP($D494,임시동력입.출고현황!$A:$G,I$5,0),)</f>
        <v>EA</v>
      </c>
      <c r="J494" s="10">
        <v>1</v>
      </c>
      <c r="K494" s="95" t="s">
        <v>363</v>
      </c>
      <c r="L494" s="57">
        <v>1</v>
      </c>
      <c r="M494" s="81" t="s">
        <v>439</v>
      </c>
      <c r="N494" s="134"/>
    </row>
    <row r="495" spans="1:14" s="131" customFormat="1" ht="28.2" customHeight="1">
      <c r="A495" s="11">
        <v>490</v>
      </c>
      <c r="B495" s="290">
        <v>490</v>
      </c>
      <c r="C495" s="129">
        <v>45994</v>
      </c>
      <c r="D495" s="10" t="s">
        <v>349</v>
      </c>
      <c r="E495" s="41" t="str">
        <f>IFERROR(VLOOKUP($D495,임시동력입.출고현황!$A:$G,E$5,0),)</f>
        <v>LTG</v>
      </c>
      <c r="F495" s="19" t="str">
        <f>IFERROR(VLOOKUP($D495,임시동력입.출고현황!$A:$G,F$5,0),)</f>
        <v>Lighting Fixture</v>
      </c>
      <c r="G495" s="19">
        <f>IFERROR(VLOOKUP($D495,임시동력입.출고현황!$A:$G,G$5,0),)</f>
        <v>0</v>
      </c>
      <c r="H495" s="19" t="str">
        <f>IFERROR(VLOOKUP($D495,임시동력입.출고현황!$A:$G,H$5,0),)</f>
        <v>50W</v>
      </c>
      <c r="I495" s="10" t="str">
        <f>IFERROR(VLOOKUP($D495,임시동력입.출고현황!$A:$G,I$5,0),)</f>
        <v>EA</v>
      </c>
      <c r="J495" s="10">
        <v>4</v>
      </c>
      <c r="K495" s="95" t="s">
        <v>359</v>
      </c>
      <c r="L495" s="57">
        <v>4</v>
      </c>
      <c r="M495" s="81" t="s">
        <v>439</v>
      </c>
      <c r="N495" s="134"/>
    </row>
    <row r="496" spans="1:14" s="131" customFormat="1" ht="28.2" customHeight="1">
      <c r="A496" s="11">
        <v>491</v>
      </c>
      <c r="B496" s="290">
        <v>491</v>
      </c>
      <c r="C496" s="129">
        <v>45994</v>
      </c>
      <c r="D496" s="10" t="s">
        <v>347</v>
      </c>
      <c r="E496" s="41" t="str">
        <f>IFERROR(VLOOKUP($D496,임시동력입.출고현황!$A:$G,E$5,0),)</f>
        <v>LTG</v>
      </c>
      <c r="F496" s="19" t="str">
        <f>IFERROR(VLOOKUP($D496,임시동력입.출고현황!$A:$G,F$5,0),)</f>
        <v>Lighting Fixture</v>
      </c>
      <c r="G496" s="19">
        <f>IFERROR(VLOOKUP($D496,임시동력입.출고현황!$A:$G,G$5,0),)</f>
        <v>0</v>
      </c>
      <c r="H496" s="19" t="str">
        <f>IFERROR(VLOOKUP($D496,임시동력입.출고현황!$A:$G,H$5,0),)</f>
        <v>200W</v>
      </c>
      <c r="I496" s="10" t="str">
        <f>IFERROR(VLOOKUP($D496,임시동력입.출고현황!$A:$G,I$5,0),)</f>
        <v>EA</v>
      </c>
      <c r="J496" s="10">
        <v>3</v>
      </c>
      <c r="K496" s="95" t="s">
        <v>237</v>
      </c>
      <c r="L496" s="57">
        <v>20</v>
      </c>
      <c r="M496" s="81" t="s">
        <v>439</v>
      </c>
      <c r="N496" s="134"/>
    </row>
    <row r="497" spans="1:14" s="131" customFormat="1" ht="28.2" customHeight="1">
      <c r="A497" s="11">
        <v>492</v>
      </c>
      <c r="B497" s="290">
        <v>492</v>
      </c>
      <c r="C497" s="129">
        <v>45994</v>
      </c>
      <c r="D497" s="10" t="s">
        <v>568</v>
      </c>
      <c r="E497" s="41" t="str">
        <f>IFERROR(VLOOKUP($D497,임시동력입.출고현황!$A:$G,E$5,0),)</f>
        <v>Cable</v>
      </c>
      <c r="F497" s="19" t="str">
        <f>IFERROR(VLOOKUP($D497,임시동력입.출고현황!$A:$G,F$5,0),)</f>
        <v>CV Cable</v>
      </c>
      <c r="G497" s="19">
        <f>IFERROR(VLOOKUP($D497,임시동력입.출고현황!$A:$G,G$5,0),)</f>
        <v>0</v>
      </c>
      <c r="H497" s="19" t="str">
        <f>IFERROR(VLOOKUP($D497,임시동력입.출고현황!$A:$G,H$5,0),)</f>
        <v>4C x 4mm2</v>
      </c>
      <c r="I497" s="10" t="str">
        <f>IFERROR(VLOOKUP($D497,임시동력입.출고현황!$A:$G,I$5,0),)</f>
        <v>M</v>
      </c>
      <c r="J497" s="10">
        <v>2</v>
      </c>
      <c r="K497" s="95" t="s">
        <v>360</v>
      </c>
      <c r="L497" s="57">
        <v>12</v>
      </c>
      <c r="M497" s="81" t="s">
        <v>439</v>
      </c>
      <c r="N497" s="134"/>
    </row>
    <row r="498" spans="1:14" s="131" customFormat="1" ht="28.2" customHeight="1">
      <c r="A498" s="11">
        <v>493</v>
      </c>
      <c r="B498" s="290">
        <v>493</v>
      </c>
      <c r="C498" s="129">
        <v>45994</v>
      </c>
      <c r="D498" s="10" t="s">
        <v>336</v>
      </c>
      <c r="E498" s="41" t="str">
        <f>IFERROR(VLOOKUP($D498,임시동력입.출고현황!$A:$G,E$5,0),)</f>
        <v>Cable</v>
      </c>
      <c r="F498" s="19" t="str">
        <f>IFERROR(VLOOKUP($D498,임시동력입.출고현황!$A:$G,F$5,0),)</f>
        <v>CV Cable</v>
      </c>
      <c r="G498" s="19">
        <f>IFERROR(VLOOKUP($D498,임시동력입.출고현황!$A:$G,G$5,0),)</f>
        <v>0</v>
      </c>
      <c r="H498" s="19" t="str">
        <f>IFERROR(VLOOKUP($D498,임시동력입.출고현황!$A:$G,H$5,0),)</f>
        <v>3C x 1.5mm2</v>
      </c>
      <c r="I498" s="10" t="str">
        <f>IFERROR(VLOOKUP($D498,임시동력입.출고현황!$A:$G,I$5,0),)</f>
        <v>M</v>
      </c>
      <c r="J498" s="10">
        <v>1</v>
      </c>
      <c r="K498" s="95" t="s">
        <v>363</v>
      </c>
      <c r="L498" s="57">
        <v>20</v>
      </c>
      <c r="M498" s="81" t="s">
        <v>439</v>
      </c>
      <c r="N498" s="134"/>
    </row>
    <row r="499" spans="1:14" s="131" customFormat="1" ht="28.2" customHeight="1">
      <c r="A499" s="11">
        <v>494</v>
      </c>
      <c r="B499" s="290">
        <v>494</v>
      </c>
      <c r="C499" s="129">
        <v>45995</v>
      </c>
      <c r="D499" s="10" t="s">
        <v>349</v>
      </c>
      <c r="E499" s="41" t="str">
        <f>IFERROR(VLOOKUP($D499,임시동력입.출고현황!$A:$G,E$5,0),)</f>
        <v>LTG</v>
      </c>
      <c r="F499" s="19" t="str">
        <f>IFERROR(VLOOKUP($D499,임시동력입.출고현황!$A:$G,F$5,0),)</f>
        <v>Lighting Fixture</v>
      </c>
      <c r="G499" s="19">
        <f>IFERROR(VLOOKUP($D499,임시동력입.출고현황!$A:$G,G$5,0),)</f>
        <v>0</v>
      </c>
      <c r="H499" s="19" t="str">
        <f>IFERROR(VLOOKUP($D499,임시동력입.출고현황!$A:$G,H$5,0),)</f>
        <v>50W</v>
      </c>
      <c r="I499" s="10" t="str">
        <f>IFERROR(VLOOKUP($D499,임시동력입.출고현황!$A:$G,I$5,0),)</f>
        <v>EA</v>
      </c>
      <c r="J499" s="10">
        <v>4</v>
      </c>
      <c r="K499" s="95" t="s">
        <v>351</v>
      </c>
      <c r="L499" s="57">
        <v>25</v>
      </c>
      <c r="M499" s="81" t="s">
        <v>439</v>
      </c>
      <c r="N499" s="134"/>
    </row>
    <row r="500" spans="1:14" s="131" customFormat="1" ht="28.2" customHeight="1">
      <c r="A500" s="11">
        <v>495</v>
      </c>
      <c r="B500" s="290">
        <v>495</v>
      </c>
      <c r="C500" s="129">
        <v>45995</v>
      </c>
      <c r="D500" s="10" t="s">
        <v>348</v>
      </c>
      <c r="E500" s="41" t="str">
        <f>IFERROR(VLOOKUP($D500,임시동력입.출고현황!$A:$G,E$5,0),)</f>
        <v>LTG</v>
      </c>
      <c r="F500" s="19" t="str">
        <f>IFERROR(VLOOKUP($D500,임시동력입.출고현황!$A:$G,F$5,0),)</f>
        <v>Lighting Fixture</v>
      </c>
      <c r="G500" s="19">
        <f>IFERROR(VLOOKUP($D500,임시동력입.출고현황!$A:$G,G$5,0),)</f>
        <v>0</v>
      </c>
      <c r="H500" s="19" t="str">
        <f>IFERROR(VLOOKUP($D500,임시동력입.출고현황!$A:$G,H$5,0),)</f>
        <v>100W</v>
      </c>
      <c r="I500" s="10" t="str">
        <f>IFERROR(VLOOKUP($D500,임시동력입.출고현황!$A:$G,I$5,0),)</f>
        <v>EA</v>
      </c>
      <c r="J500" s="10">
        <v>4</v>
      </c>
      <c r="K500" s="95" t="s">
        <v>359</v>
      </c>
      <c r="L500" s="57">
        <v>10</v>
      </c>
      <c r="M500" s="81" t="s">
        <v>439</v>
      </c>
      <c r="N500" s="134"/>
    </row>
    <row r="501" spans="1:14" s="131" customFormat="1" ht="28.2" customHeight="1">
      <c r="A501" s="11">
        <v>496</v>
      </c>
      <c r="B501" s="290">
        <v>496</v>
      </c>
      <c r="C501" s="129">
        <v>45996</v>
      </c>
      <c r="D501" s="10" t="s">
        <v>348</v>
      </c>
      <c r="E501" s="41" t="str">
        <f>IFERROR(VLOOKUP($D501,임시동력입.출고현황!$A:$G,E$5,0),)</f>
        <v>LTG</v>
      </c>
      <c r="F501" s="19" t="str">
        <f>IFERROR(VLOOKUP($D501,임시동력입.출고현황!$A:$G,F$5,0),)</f>
        <v>Lighting Fixture</v>
      </c>
      <c r="G501" s="19">
        <f>IFERROR(VLOOKUP($D501,임시동력입.출고현황!$A:$G,G$5,0),)</f>
        <v>0</v>
      </c>
      <c r="H501" s="19" t="str">
        <f>IFERROR(VLOOKUP($D501,임시동력입.출고현황!$A:$G,H$5,0),)</f>
        <v>100W</v>
      </c>
      <c r="I501" s="10" t="str">
        <f>IFERROR(VLOOKUP($D501,임시동력입.출고현황!$A:$G,I$5,0),)</f>
        <v>EA</v>
      </c>
      <c r="J501" s="10">
        <v>1</v>
      </c>
      <c r="K501" s="95" t="s">
        <v>352</v>
      </c>
      <c r="L501" s="57">
        <v>2</v>
      </c>
      <c r="M501" s="81" t="s">
        <v>561</v>
      </c>
      <c r="N501" s="134"/>
    </row>
    <row r="502" spans="1:14" s="131" customFormat="1" ht="28.2" customHeight="1">
      <c r="A502" s="11">
        <v>497</v>
      </c>
      <c r="B502" s="290">
        <v>497</v>
      </c>
      <c r="C502" s="129">
        <v>45999</v>
      </c>
      <c r="D502" s="10" t="s">
        <v>482</v>
      </c>
      <c r="E502" s="41" t="str">
        <f>IFERROR(VLOOKUP($D502,임시동력입.출고현황!$A:$G,E$5,0),)</f>
        <v>MCB</v>
      </c>
      <c r="F502" s="19" t="str">
        <f>IFERROR(VLOOKUP($D502,임시동력입.출고현황!$A:$G,F$5,0),)</f>
        <v>RCBO</v>
      </c>
      <c r="G502" s="19">
        <f>IFERROR(VLOOKUP($D502,임시동력입.출고현황!$A:$G,G$5,0),)</f>
        <v>0</v>
      </c>
      <c r="H502" s="19" t="str">
        <f>IFERROR(VLOOKUP($D502,임시동력입.출고현황!$A:$G,H$5,0),)</f>
        <v>1P + N -32A - 30 mA</v>
      </c>
      <c r="I502" s="10" t="str">
        <f>IFERROR(VLOOKUP($D502,임시동력입.출고현황!$A:$G,I$5,0),)</f>
        <v>EA</v>
      </c>
      <c r="J502" s="10" t="s">
        <v>557</v>
      </c>
      <c r="K502" s="95"/>
      <c r="L502" s="57">
        <v>10</v>
      </c>
      <c r="M502" s="81" t="s">
        <v>439</v>
      </c>
      <c r="N502" s="134"/>
    </row>
    <row r="503" spans="1:14" s="131" customFormat="1" ht="28.2" customHeight="1">
      <c r="A503" s="11">
        <v>498</v>
      </c>
      <c r="B503" s="290">
        <v>498</v>
      </c>
      <c r="C503" s="129">
        <v>46000</v>
      </c>
      <c r="D503" s="10" t="s">
        <v>347</v>
      </c>
      <c r="E503" s="41" t="str">
        <f>IFERROR(VLOOKUP($D503,임시동력입.출고현황!$A:$G,E$5,0),)</f>
        <v>LTG</v>
      </c>
      <c r="F503" s="19" t="str">
        <f>IFERROR(VLOOKUP($D503,임시동력입.출고현황!$A:$G,F$5,0),)</f>
        <v>Lighting Fixture</v>
      </c>
      <c r="G503" s="19">
        <f>IFERROR(VLOOKUP($D503,임시동력입.출고현황!$A:$G,G$5,0),)</f>
        <v>0</v>
      </c>
      <c r="H503" s="19" t="str">
        <f>IFERROR(VLOOKUP($D503,임시동력입.출고현황!$A:$G,H$5,0),)</f>
        <v>200W</v>
      </c>
      <c r="I503" s="10" t="str">
        <f>IFERROR(VLOOKUP($D503,임시동력입.출고현황!$A:$G,I$5,0),)</f>
        <v>EA</v>
      </c>
      <c r="J503" s="10">
        <v>2</v>
      </c>
      <c r="K503" s="95" t="s">
        <v>360</v>
      </c>
      <c r="L503" s="57">
        <v>1</v>
      </c>
      <c r="M503" s="81" t="s">
        <v>439</v>
      </c>
      <c r="N503" s="134"/>
    </row>
    <row r="504" spans="1:14" s="131" customFormat="1" ht="28.2" customHeight="1">
      <c r="A504" s="11">
        <v>499</v>
      </c>
      <c r="B504" s="290">
        <v>499</v>
      </c>
      <c r="C504" s="129">
        <v>46001</v>
      </c>
      <c r="D504" s="10" t="s">
        <v>347</v>
      </c>
      <c r="E504" s="41" t="str">
        <f>IFERROR(VLOOKUP($D504,임시동력입.출고현황!$A:$G,E$5,0),)</f>
        <v>LTG</v>
      </c>
      <c r="F504" s="19" t="str">
        <f>IFERROR(VLOOKUP($D504,임시동력입.출고현황!$A:$G,F$5,0),)</f>
        <v>Lighting Fixture</v>
      </c>
      <c r="G504" s="19">
        <f>IFERROR(VLOOKUP($D504,임시동력입.출고현황!$A:$G,G$5,0),)</f>
        <v>0</v>
      </c>
      <c r="H504" s="19" t="str">
        <f>IFERROR(VLOOKUP($D504,임시동력입.출고현황!$A:$G,H$5,0),)</f>
        <v>200W</v>
      </c>
      <c r="I504" s="10" t="str">
        <f>IFERROR(VLOOKUP($D504,임시동력입.출고현황!$A:$G,I$5,0),)</f>
        <v>EA</v>
      </c>
      <c r="J504" s="10">
        <v>2</v>
      </c>
      <c r="K504" s="95" t="s">
        <v>360</v>
      </c>
      <c r="L504" s="57">
        <v>4</v>
      </c>
      <c r="M504" s="81" t="s">
        <v>439</v>
      </c>
      <c r="N504" s="134"/>
    </row>
    <row r="505" spans="1:14" s="131" customFormat="1" ht="28.2" customHeight="1">
      <c r="A505" s="11">
        <v>500</v>
      </c>
      <c r="B505" s="290">
        <v>500</v>
      </c>
      <c r="C505" s="259">
        <v>46001</v>
      </c>
      <c r="D505" s="249" t="s">
        <v>616</v>
      </c>
      <c r="E505" s="41" t="str">
        <f>IFERROR(VLOOKUP($D505,임시동력입.출고현황!$A:$G,E$5,0),)</f>
        <v>Panel</v>
      </c>
      <c r="F505" s="19" t="str">
        <f>IFERROR(VLOOKUP($D505,임시동력입.출고현황!$A:$G,F$5,0),)</f>
        <v>MTS Panel</v>
      </c>
      <c r="G505" s="19">
        <f>IFERROR(VLOOKUP($D505,임시동력입.출고현황!$A:$G,G$5,0),)</f>
        <v>0</v>
      </c>
      <c r="H505" s="19" t="str">
        <f>IFERROR(VLOOKUP($D505,임시동력입.출고현황!$A:$G,H$5,0),)</f>
        <v>250A</v>
      </c>
      <c r="I505" s="10" t="str">
        <f>IFERROR(VLOOKUP($D505,임시동력입.출고현황!$A:$G,I$5,0),)</f>
        <v>EA</v>
      </c>
      <c r="J505" s="249">
        <v>1</v>
      </c>
      <c r="K505" s="250" t="s">
        <v>352</v>
      </c>
      <c r="L505" s="261">
        <v>1</v>
      </c>
      <c r="M505" s="81" t="s">
        <v>439</v>
      </c>
      <c r="N505" s="262"/>
    </row>
    <row r="506" spans="1:14" s="131" customFormat="1" ht="28.2" customHeight="1">
      <c r="A506" s="11">
        <v>501</v>
      </c>
      <c r="B506" s="290">
        <v>501</v>
      </c>
      <c r="C506" s="259">
        <v>46002</v>
      </c>
      <c r="D506" s="249" t="s">
        <v>616</v>
      </c>
      <c r="E506" s="41" t="str">
        <f>IFERROR(VLOOKUP($D506,임시동력입.출고현황!$A:$G,E$5,0),)</f>
        <v>Panel</v>
      </c>
      <c r="F506" s="19" t="str">
        <f>IFERROR(VLOOKUP($D506,임시동력입.출고현황!$A:$G,F$5,0),)</f>
        <v>MTS Panel</v>
      </c>
      <c r="G506" s="19">
        <f>IFERROR(VLOOKUP($D506,임시동력입.출고현황!$A:$G,G$5,0),)</f>
        <v>0</v>
      </c>
      <c r="H506" s="19" t="str">
        <f>IFERROR(VLOOKUP($D506,임시동력입.출고현황!$A:$G,H$5,0),)</f>
        <v>250A</v>
      </c>
      <c r="I506" s="10" t="str">
        <f>IFERROR(VLOOKUP($D506,임시동력입.출고현황!$A:$G,I$5,0),)</f>
        <v>EA</v>
      </c>
      <c r="J506" s="249">
        <v>3</v>
      </c>
      <c r="K506" s="250" t="s">
        <v>237</v>
      </c>
      <c r="L506" s="261">
        <v>1</v>
      </c>
      <c r="M506" s="81" t="s">
        <v>439</v>
      </c>
      <c r="N506" s="262"/>
    </row>
    <row r="507" spans="1:14" s="131" customFormat="1" ht="28.2" customHeight="1">
      <c r="A507" s="11">
        <v>502</v>
      </c>
      <c r="B507" s="290">
        <v>502</v>
      </c>
      <c r="C507" s="259">
        <v>46003</v>
      </c>
      <c r="D507" s="249" t="s">
        <v>349</v>
      </c>
      <c r="E507" s="41" t="str">
        <f>IFERROR(VLOOKUP($D507,임시동력입.출고현황!$A:$G,E$5,0),)</f>
        <v>LTG</v>
      </c>
      <c r="F507" s="19" t="str">
        <f>IFERROR(VLOOKUP($D507,임시동력입.출고현황!$A:$G,F$5,0),)</f>
        <v>Lighting Fixture</v>
      </c>
      <c r="G507" s="19">
        <f>IFERROR(VLOOKUP($D507,임시동력입.출고현황!$A:$G,G$5,0),)</f>
        <v>0</v>
      </c>
      <c r="H507" s="19" t="str">
        <f>IFERROR(VLOOKUP($D507,임시동력입.출고현황!$A:$G,H$5,0),)</f>
        <v>50W</v>
      </c>
      <c r="I507" s="10" t="str">
        <f>IFERROR(VLOOKUP($D507,임시동력입.출고현황!$A:$G,I$5,0),)</f>
        <v>EA</v>
      </c>
      <c r="J507" s="249">
        <v>1</v>
      </c>
      <c r="K507" s="250" t="s">
        <v>363</v>
      </c>
      <c r="L507" s="261">
        <v>2</v>
      </c>
      <c r="M507" s="81" t="s">
        <v>439</v>
      </c>
      <c r="N507" s="262"/>
    </row>
    <row r="508" spans="1:14" s="131" customFormat="1" ht="28.2" customHeight="1">
      <c r="A508" s="11">
        <v>503</v>
      </c>
      <c r="B508" s="290">
        <v>503</v>
      </c>
      <c r="C508" s="259">
        <v>46005</v>
      </c>
      <c r="D508" s="249" t="s">
        <v>346</v>
      </c>
      <c r="E508" s="41" t="str">
        <f>IFERROR(VLOOKUP($D508,임시동력입.출고현황!$A:$G,E$5,0),)</f>
        <v>Cable</v>
      </c>
      <c r="F508" s="19" t="str">
        <f>IFERROR(VLOOKUP($D508,임시동력입.출고현황!$A:$G,F$5,0),)</f>
        <v>Grounding Cable</v>
      </c>
      <c r="G508" s="19">
        <f>IFERROR(VLOOKUP($D508,임시동력입.출고현황!$A:$G,G$5,0),)</f>
        <v>0</v>
      </c>
      <c r="H508" s="19" t="str">
        <f>IFERROR(VLOOKUP($D508,임시동력입.출고현황!$A:$G,H$5,0),)</f>
        <v>1C x 10mm2</v>
      </c>
      <c r="I508" s="10" t="str">
        <f>IFERROR(VLOOKUP($D508,임시동력입.출고현황!$A:$G,I$5,0),)</f>
        <v>M</v>
      </c>
      <c r="J508" s="249">
        <v>4</v>
      </c>
      <c r="K508" s="250" t="s">
        <v>359</v>
      </c>
      <c r="L508" s="261">
        <v>10</v>
      </c>
      <c r="M508" s="81" t="s">
        <v>439</v>
      </c>
      <c r="N508" s="262"/>
    </row>
    <row r="509" spans="1:14" s="131" customFormat="1" ht="28.2" customHeight="1">
      <c r="A509" s="11">
        <v>504</v>
      </c>
      <c r="B509" s="290">
        <v>504</v>
      </c>
      <c r="C509" s="259">
        <v>46006</v>
      </c>
      <c r="D509" s="249" t="s">
        <v>331</v>
      </c>
      <c r="E509" s="41" t="str">
        <f>IFERROR(VLOOKUP($D509,임시동력입.출고현황!$A:$G,E$5,0),)</f>
        <v>Cable</v>
      </c>
      <c r="F509" s="19" t="str">
        <f>IFERROR(VLOOKUP($D509,임시동력입.출고현황!$A:$G,F$5,0),)</f>
        <v>CV Cable</v>
      </c>
      <c r="G509" s="19">
        <f>IFERROR(VLOOKUP($D509,임시동력입.출고현황!$A:$G,G$5,0),)</f>
        <v>0</v>
      </c>
      <c r="H509" s="19" t="str">
        <f>IFERROR(VLOOKUP($D509,임시동력입.출고현황!$A:$G,H$5,0),)</f>
        <v>4C x 6mm2</v>
      </c>
      <c r="I509" s="10" t="str">
        <f>IFERROR(VLOOKUP($D509,임시동력입.출고현황!$A:$G,I$5,0),)</f>
        <v>M</v>
      </c>
      <c r="J509" s="249">
        <v>3</v>
      </c>
      <c r="K509" s="250" t="s">
        <v>237</v>
      </c>
      <c r="L509" s="261">
        <v>50</v>
      </c>
      <c r="M509" s="81" t="s">
        <v>439</v>
      </c>
      <c r="N509" s="262"/>
    </row>
    <row r="510" spans="1:14" s="131" customFormat="1" ht="28.2" customHeight="1">
      <c r="A510" s="11">
        <v>505</v>
      </c>
      <c r="B510" s="290">
        <v>505</v>
      </c>
      <c r="C510" s="259">
        <v>46007</v>
      </c>
      <c r="D510" s="249" t="s">
        <v>349</v>
      </c>
      <c r="E510" s="41" t="str">
        <f>IFERROR(VLOOKUP($D510,임시동력입.출고현황!$A:$G,E$5,0),)</f>
        <v>LTG</v>
      </c>
      <c r="F510" s="19" t="str">
        <f>IFERROR(VLOOKUP($D510,임시동력입.출고현황!$A:$G,F$5,0),)</f>
        <v>Lighting Fixture</v>
      </c>
      <c r="G510" s="19">
        <f>IFERROR(VLOOKUP($D510,임시동력입.출고현황!$A:$G,G$5,0),)</f>
        <v>0</v>
      </c>
      <c r="H510" s="19" t="str">
        <f>IFERROR(VLOOKUP($D510,임시동력입.출고현황!$A:$G,H$5,0),)</f>
        <v>50W</v>
      </c>
      <c r="I510" s="10" t="str">
        <f>IFERROR(VLOOKUP($D510,임시동력입.출고현황!$A:$G,I$5,0),)</f>
        <v>EA</v>
      </c>
      <c r="J510" s="249">
        <v>2</v>
      </c>
      <c r="K510" s="250" t="s">
        <v>360</v>
      </c>
      <c r="L510" s="261">
        <v>8</v>
      </c>
      <c r="M510" s="81" t="s">
        <v>439</v>
      </c>
      <c r="N510" s="262"/>
    </row>
    <row r="511" spans="1:14" s="131" customFormat="1" ht="28.2" customHeight="1">
      <c r="A511" s="11">
        <v>506</v>
      </c>
      <c r="B511" s="290">
        <v>506</v>
      </c>
      <c r="C511" s="259">
        <v>46007</v>
      </c>
      <c r="D511" s="249" t="s">
        <v>348</v>
      </c>
      <c r="E511" s="41" t="str">
        <f>IFERROR(VLOOKUP($D511,임시동력입.출고현황!$A:$G,E$5,0),)</f>
        <v>LTG</v>
      </c>
      <c r="F511" s="19" t="str">
        <f>IFERROR(VLOOKUP($D511,임시동력입.출고현황!$A:$G,F$5,0),)</f>
        <v>Lighting Fixture</v>
      </c>
      <c r="G511" s="19">
        <f>IFERROR(VLOOKUP($D511,임시동력입.출고현황!$A:$G,G$5,0),)</f>
        <v>0</v>
      </c>
      <c r="H511" s="19" t="str">
        <f>IFERROR(VLOOKUP($D511,임시동력입.출고현황!$A:$G,H$5,0),)</f>
        <v>100W</v>
      </c>
      <c r="I511" s="10" t="str">
        <f>IFERROR(VLOOKUP($D511,임시동력입.출고현황!$A:$G,I$5,0),)</f>
        <v>EA</v>
      </c>
      <c r="J511" s="249">
        <v>1</v>
      </c>
      <c r="K511" s="250" t="s">
        <v>363</v>
      </c>
      <c r="L511" s="261">
        <v>12</v>
      </c>
      <c r="M511" s="81" t="s">
        <v>439</v>
      </c>
      <c r="N511" s="262"/>
    </row>
    <row r="512" spans="1:14" s="131" customFormat="1" ht="28.2" customHeight="1">
      <c r="A512" s="11">
        <v>507</v>
      </c>
      <c r="B512" s="290">
        <v>507</v>
      </c>
      <c r="C512" s="259">
        <v>46008</v>
      </c>
      <c r="D512" s="249" t="s">
        <v>482</v>
      </c>
      <c r="E512" s="41" t="str">
        <f>IFERROR(VLOOKUP($D512,임시동력입.출고현황!$A:$G,E$5,0),)</f>
        <v>MCB</v>
      </c>
      <c r="F512" s="19" t="str">
        <f>IFERROR(VLOOKUP($D512,임시동력입.출고현황!$A:$G,F$5,0),)</f>
        <v>RCBO</v>
      </c>
      <c r="G512" s="19">
        <f>IFERROR(VLOOKUP($D512,임시동력입.출고현황!$A:$G,G$5,0),)</f>
        <v>0</v>
      </c>
      <c r="H512" s="19" t="str">
        <f>IFERROR(VLOOKUP($D512,임시동력입.출고현황!$A:$G,H$5,0),)</f>
        <v>1P + N -32A - 30 mA</v>
      </c>
      <c r="I512" s="10" t="str">
        <f>IFERROR(VLOOKUP($D512,임시동력입.출고현황!$A:$G,I$5,0),)</f>
        <v>EA</v>
      </c>
      <c r="J512" s="249">
        <v>1</v>
      </c>
      <c r="K512" s="250" t="s">
        <v>352</v>
      </c>
      <c r="L512" s="261">
        <v>1</v>
      </c>
      <c r="M512" s="81" t="s">
        <v>439</v>
      </c>
      <c r="N512" s="262"/>
    </row>
    <row r="513" spans="1:14" s="131" customFormat="1" ht="28.2" customHeight="1">
      <c r="A513" s="11">
        <v>508</v>
      </c>
      <c r="B513" s="290">
        <v>508</v>
      </c>
      <c r="C513" s="259">
        <v>46008</v>
      </c>
      <c r="D513" s="249" t="s">
        <v>348</v>
      </c>
      <c r="E513" s="41" t="str">
        <f>IFERROR(VLOOKUP($D513,임시동력입.출고현황!$A:$G,E$5,0),)</f>
        <v>LTG</v>
      </c>
      <c r="F513" s="19" t="str">
        <f>IFERROR(VLOOKUP($D513,임시동력입.출고현황!$A:$G,F$5,0),)</f>
        <v>Lighting Fixture</v>
      </c>
      <c r="G513" s="19">
        <f>IFERROR(VLOOKUP($D513,임시동력입.출고현황!$A:$G,G$5,0),)</f>
        <v>0</v>
      </c>
      <c r="H513" s="19" t="str">
        <f>IFERROR(VLOOKUP($D513,임시동력입.출고현황!$A:$G,H$5,0),)</f>
        <v>100W</v>
      </c>
      <c r="I513" s="10" t="str">
        <f>IFERROR(VLOOKUP($D513,임시동력입.출고현황!$A:$G,I$5,0),)</f>
        <v>EA</v>
      </c>
      <c r="J513" s="249">
        <v>4</v>
      </c>
      <c r="K513" s="250" t="s">
        <v>351</v>
      </c>
      <c r="L513" s="261">
        <v>6</v>
      </c>
      <c r="M513" s="81" t="s">
        <v>439</v>
      </c>
      <c r="N513" s="262"/>
    </row>
    <row r="514" spans="1:14" s="131" customFormat="1" ht="28.2" customHeight="1">
      <c r="A514" s="11">
        <v>509</v>
      </c>
      <c r="B514" s="290">
        <v>509</v>
      </c>
      <c r="C514" s="259">
        <v>46008</v>
      </c>
      <c r="D514" s="249" t="s">
        <v>347</v>
      </c>
      <c r="E514" s="41" t="str">
        <f>IFERROR(VLOOKUP($D514,임시동력입.출고현황!$A:$G,E$5,0),)</f>
        <v>LTG</v>
      </c>
      <c r="F514" s="19" t="str">
        <f>IFERROR(VLOOKUP($D514,임시동력입.출고현황!$A:$G,F$5,0),)</f>
        <v>Lighting Fixture</v>
      </c>
      <c r="G514" s="19">
        <f>IFERROR(VLOOKUP($D514,임시동력입.출고현황!$A:$G,G$5,0),)</f>
        <v>0</v>
      </c>
      <c r="H514" s="19" t="str">
        <f>IFERROR(VLOOKUP($D514,임시동력입.출고현황!$A:$G,H$5,0),)</f>
        <v>200W</v>
      </c>
      <c r="I514" s="10" t="str">
        <f>IFERROR(VLOOKUP($D514,임시동력입.출고현황!$A:$G,I$5,0),)</f>
        <v>EA</v>
      </c>
      <c r="J514" s="249">
        <v>4</v>
      </c>
      <c r="K514" s="250" t="s">
        <v>359</v>
      </c>
      <c r="L514" s="261">
        <v>3</v>
      </c>
      <c r="M514" s="81" t="s">
        <v>439</v>
      </c>
      <c r="N514" s="262"/>
    </row>
    <row r="515" spans="1:14" s="131" customFormat="1" ht="28.2" customHeight="1">
      <c r="A515" s="11">
        <v>510</v>
      </c>
      <c r="B515" s="290">
        <v>510</v>
      </c>
      <c r="C515" s="259">
        <v>46008</v>
      </c>
      <c r="D515" s="249" t="s">
        <v>568</v>
      </c>
      <c r="E515" s="41" t="str">
        <f>IFERROR(VLOOKUP($D515,임시동력입.출고현황!$A:$G,E$5,0),)</f>
        <v>Cable</v>
      </c>
      <c r="F515" s="19" t="str">
        <f>IFERROR(VLOOKUP($D515,임시동력입.출고현황!$A:$G,F$5,0),)</f>
        <v>CV Cable</v>
      </c>
      <c r="G515" s="19">
        <f>IFERROR(VLOOKUP($D515,임시동력입.출고현황!$A:$G,G$5,0),)</f>
        <v>0</v>
      </c>
      <c r="H515" s="19" t="str">
        <f>IFERROR(VLOOKUP($D515,임시동력입.출고현황!$A:$G,H$5,0),)</f>
        <v>4C x 4mm2</v>
      </c>
      <c r="I515" s="10" t="str">
        <f>IFERROR(VLOOKUP($D515,임시동력입.출고현황!$A:$G,I$5,0),)</f>
        <v>M</v>
      </c>
      <c r="J515" s="249">
        <v>1</v>
      </c>
      <c r="K515" s="250" t="s">
        <v>363</v>
      </c>
      <c r="L515" s="261">
        <v>10</v>
      </c>
      <c r="M515" s="81" t="s">
        <v>439</v>
      </c>
      <c r="N515" s="262"/>
    </row>
    <row r="516" spans="1:14" s="131" customFormat="1" ht="28.2" customHeight="1">
      <c r="A516" s="11">
        <v>511</v>
      </c>
      <c r="B516" s="290">
        <v>511</v>
      </c>
      <c r="C516" s="259">
        <v>45999</v>
      </c>
      <c r="D516" s="249" t="s">
        <v>348</v>
      </c>
      <c r="E516" s="41" t="str">
        <f>IFERROR(VLOOKUP($D516,임시동력입.출고현황!$A:$G,E$5,0),)</f>
        <v>LTG</v>
      </c>
      <c r="F516" s="19" t="str">
        <f>IFERROR(VLOOKUP($D516,임시동력입.출고현황!$A:$G,F$5,0),)</f>
        <v>Lighting Fixture</v>
      </c>
      <c r="G516" s="19">
        <f>IFERROR(VLOOKUP($D516,임시동력입.출고현황!$A:$G,G$5,0),)</f>
        <v>0</v>
      </c>
      <c r="H516" s="19" t="str">
        <f>IFERROR(VLOOKUP($D516,임시동력입.출고현황!$A:$G,H$5,0),)</f>
        <v>100W</v>
      </c>
      <c r="I516" s="10" t="str">
        <f>IFERROR(VLOOKUP($D516,임시동력입.출고현황!$A:$G,I$5,0),)</f>
        <v>EA</v>
      </c>
      <c r="J516" s="249">
        <v>2</v>
      </c>
      <c r="K516" s="250" t="s">
        <v>546</v>
      </c>
      <c r="L516" s="261">
        <v>20</v>
      </c>
      <c r="M516" s="81" t="s">
        <v>439</v>
      </c>
      <c r="N516" s="262"/>
    </row>
    <row r="517" spans="1:14" s="131" customFormat="1" ht="28.2" customHeight="1">
      <c r="A517" s="11">
        <v>512</v>
      </c>
      <c r="B517" s="290">
        <v>512</v>
      </c>
      <c r="C517" s="129">
        <v>46011</v>
      </c>
      <c r="D517" s="10" t="s">
        <v>348</v>
      </c>
      <c r="E517" s="41" t="str">
        <f>IFERROR(VLOOKUP($D517,임시동력입.출고현황!$A:$G,E$5,0),)</f>
        <v>LTG</v>
      </c>
      <c r="F517" s="19" t="str">
        <f>IFERROR(VLOOKUP($D517,임시동력입.출고현황!$A:$G,F$5,0),)</f>
        <v>Lighting Fixture</v>
      </c>
      <c r="G517" s="19">
        <f>IFERROR(VLOOKUP($D517,임시동력입.출고현황!$A:$G,G$5,0),)</f>
        <v>0</v>
      </c>
      <c r="H517" s="19" t="str">
        <f>IFERROR(VLOOKUP($D517,임시동력입.출고현황!$A:$G,H$5,0),)</f>
        <v>100W</v>
      </c>
      <c r="I517" s="10" t="str">
        <f>IFERROR(VLOOKUP($D517,임시동력입.출고현황!$A:$G,I$5,0),)</f>
        <v>EA</v>
      </c>
      <c r="J517" s="10">
        <v>1</v>
      </c>
      <c r="K517" s="95" t="s">
        <v>352</v>
      </c>
      <c r="L517" s="57">
        <v>10</v>
      </c>
      <c r="M517" s="81" t="s">
        <v>439</v>
      </c>
      <c r="N517" s="134"/>
    </row>
    <row r="518" spans="1:14" s="131" customFormat="1" ht="28.2" customHeight="1">
      <c r="A518" s="11">
        <v>513</v>
      </c>
      <c r="B518" s="290">
        <v>513</v>
      </c>
      <c r="C518" s="129">
        <v>46011</v>
      </c>
      <c r="D518" s="10" t="s">
        <v>347</v>
      </c>
      <c r="E518" s="41" t="str">
        <f>IFERROR(VLOOKUP($D518,임시동력입.출고현황!$A:$G,E$5,0),)</f>
        <v>LTG</v>
      </c>
      <c r="F518" s="19" t="str">
        <f>IFERROR(VLOOKUP($D518,임시동력입.출고현황!$A:$G,F$5,0),)</f>
        <v>Lighting Fixture</v>
      </c>
      <c r="G518" s="19">
        <f>IFERROR(VLOOKUP($D518,임시동력입.출고현황!$A:$G,G$5,0),)</f>
        <v>0</v>
      </c>
      <c r="H518" s="19" t="str">
        <f>IFERROR(VLOOKUP($D518,임시동력입.출고현황!$A:$G,H$5,0),)</f>
        <v>200W</v>
      </c>
      <c r="I518" s="10" t="str">
        <f>IFERROR(VLOOKUP($D518,임시동력입.출고현황!$A:$G,I$5,0),)</f>
        <v>EA</v>
      </c>
      <c r="J518" s="10">
        <v>3</v>
      </c>
      <c r="K518" s="95" t="s">
        <v>237</v>
      </c>
      <c r="L518" s="57">
        <v>20</v>
      </c>
      <c r="M518" s="81" t="s">
        <v>439</v>
      </c>
      <c r="N518" s="134"/>
    </row>
    <row r="519" spans="1:14" s="131" customFormat="1" ht="28.2" customHeight="1">
      <c r="A519" s="11">
        <v>514</v>
      </c>
      <c r="B519" s="290">
        <v>514</v>
      </c>
      <c r="C519" s="129">
        <v>46012</v>
      </c>
      <c r="D519" s="10" t="s">
        <v>347</v>
      </c>
      <c r="E519" s="41" t="str">
        <f>IFERROR(VLOOKUP($D519,임시동력입.출고현황!$A:$G,E$5,0),)</f>
        <v>LTG</v>
      </c>
      <c r="F519" s="19" t="str">
        <f>IFERROR(VLOOKUP($D519,임시동력입.출고현황!$A:$G,F$5,0),)</f>
        <v>Lighting Fixture</v>
      </c>
      <c r="G519" s="19">
        <f>IFERROR(VLOOKUP($D519,임시동력입.출고현황!$A:$G,G$5,0),)</f>
        <v>0</v>
      </c>
      <c r="H519" s="19" t="str">
        <f>IFERROR(VLOOKUP($D519,임시동력입.출고현황!$A:$G,H$5,0),)</f>
        <v>200W</v>
      </c>
      <c r="I519" s="10" t="str">
        <f>IFERROR(VLOOKUP($D519,임시동력입.출고현황!$A:$G,I$5,0),)</f>
        <v>EA</v>
      </c>
      <c r="J519" s="10">
        <v>1</v>
      </c>
      <c r="K519" s="95" t="s">
        <v>363</v>
      </c>
      <c r="L519" s="57">
        <v>9</v>
      </c>
      <c r="M519" s="81" t="s">
        <v>439</v>
      </c>
      <c r="N519" s="134"/>
    </row>
    <row r="520" spans="1:14" s="131" customFormat="1" ht="28.2" customHeight="1">
      <c r="A520" s="11">
        <v>515</v>
      </c>
      <c r="B520" s="290">
        <v>515</v>
      </c>
      <c r="C520" s="129">
        <v>46013</v>
      </c>
      <c r="D520" s="10" t="s">
        <v>348</v>
      </c>
      <c r="E520" s="41" t="str">
        <f>IFERROR(VLOOKUP($D520,임시동력입.출고현황!$A:$G,E$5,0),)</f>
        <v>LTG</v>
      </c>
      <c r="F520" s="19" t="str">
        <f>IFERROR(VLOOKUP($D520,임시동력입.출고현황!$A:$G,F$5,0),)</f>
        <v>Lighting Fixture</v>
      </c>
      <c r="G520" s="19">
        <f>IFERROR(VLOOKUP($D520,임시동력입.출고현황!$A:$G,G$5,0),)</f>
        <v>0</v>
      </c>
      <c r="H520" s="19" t="str">
        <f>IFERROR(VLOOKUP($D520,임시동력입.출고현황!$A:$G,H$5,0),)</f>
        <v>100W</v>
      </c>
      <c r="I520" s="10" t="str">
        <f>IFERROR(VLOOKUP($D520,임시동력입.출고현황!$A:$G,I$5,0),)</f>
        <v>EA</v>
      </c>
      <c r="J520" s="10">
        <v>4</v>
      </c>
      <c r="K520" s="95" t="s">
        <v>359</v>
      </c>
      <c r="L520" s="57">
        <v>14</v>
      </c>
      <c r="M520" s="81" t="s">
        <v>439</v>
      </c>
      <c r="N520" s="134"/>
    </row>
    <row r="521" spans="1:14" s="131" customFormat="1" ht="28.2" customHeight="1">
      <c r="A521" s="11">
        <v>516</v>
      </c>
      <c r="B521" s="290">
        <v>516</v>
      </c>
      <c r="C521" s="129">
        <v>46013</v>
      </c>
      <c r="D521" s="10" t="s">
        <v>331</v>
      </c>
      <c r="E521" s="41" t="str">
        <f>IFERROR(VLOOKUP($D521,임시동력입.출고현황!$A:$G,E$5,0),)</f>
        <v>Cable</v>
      </c>
      <c r="F521" s="19" t="str">
        <f>IFERROR(VLOOKUP($D521,임시동력입.출고현황!$A:$G,F$5,0),)</f>
        <v>CV Cable</v>
      </c>
      <c r="G521" s="19">
        <f>IFERROR(VLOOKUP($D521,임시동력입.출고현황!$A:$G,G$5,0),)</f>
        <v>0</v>
      </c>
      <c r="H521" s="19" t="str">
        <f>IFERROR(VLOOKUP($D521,임시동력입.출고현황!$A:$G,H$5,0),)</f>
        <v>4C x 6mm2</v>
      </c>
      <c r="I521" s="10" t="str">
        <f>IFERROR(VLOOKUP($D521,임시동력입.출고현황!$A:$G,I$5,0),)</f>
        <v>M</v>
      </c>
      <c r="J521" s="10">
        <v>3</v>
      </c>
      <c r="K521" s="95" t="s">
        <v>237</v>
      </c>
      <c r="L521" s="57">
        <v>50</v>
      </c>
      <c r="M521" s="81" t="s">
        <v>439</v>
      </c>
      <c r="N521" s="134"/>
    </row>
    <row r="522" spans="1:14" s="131" customFormat="1" ht="28.2" customHeight="1">
      <c r="A522" s="11">
        <v>517</v>
      </c>
      <c r="B522" s="290">
        <v>517</v>
      </c>
      <c r="C522" s="129">
        <v>46013</v>
      </c>
      <c r="D522" s="10" t="s">
        <v>480</v>
      </c>
      <c r="E522" s="41" t="str">
        <f>IFERROR(VLOOKUP($D522,임시동력입.출고현황!$A:$G,E$5,0),)</f>
        <v>MCB</v>
      </c>
      <c r="F522" s="19" t="str">
        <f>IFERROR(VLOOKUP($D522,임시동력입.출고현황!$A:$G,F$5,0),)</f>
        <v>RCBO</v>
      </c>
      <c r="G522" s="19">
        <f>IFERROR(VLOOKUP($D522,임시동력입.출고현황!$A:$G,G$5,0),)</f>
        <v>0</v>
      </c>
      <c r="H522" s="19" t="str">
        <f>IFERROR(VLOOKUP($D522,임시동력입.출고현황!$A:$G,H$5,0),)</f>
        <v>1P + N -16A - 30 mA</v>
      </c>
      <c r="I522" s="10" t="str">
        <f>IFERROR(VLOOKUP($D522,임시동력입.출고현황!$A:$G,I$5,0),)</f>
        <v>EA</v>
      </c>
      <c r="J522" s="10">
        <v>2</v>
      </c>
      <c r="K522" s="95" t="s">
        <v>360</v>
      </c>
      <c r="L522" s="57">
        <v>1</v>
      </c>
      <c r="M522" s="81" t="s">
        <v>439</v>
      </c>
      <c r="N522" s="134"/>
    </row>
    <row r="523" spans="1:14" s="131" customFormat="1" ht="28.2" customHeight="1">
      <c r="A523" s="11">
        <v>518</v>
      </c>
      <c r="B523" s="290">
        <v>518</v>
      </c>
      <c r="C523" s="129">
        <v>46014</v>
      </c>
      <c r="D523" s="10" t="s">
        <v>484</v>
      </c>
      <c r="E523" s="41" t="str">
        <f>IFERROR(VLOOKUP($D523,임시동력입.출고현황!$A:$G,E$5,0),)</f>
        <v>MCB</v>
      </c>
      <c r="F523" s="19" t="str">
        <f>IFERROR(VLOOKUP($D523,임시동력입.출고현황!$A:$G,F$5,0),)</f>
        <v>RCCB</v>
      </c>
      <c r="G523" s="19">
        <f>IFERROR(VLOOKUP($D523,임시동력입.출고현황!$A:$G,G$5,0),)</f>
        <v>0</v>
      </c>
      <c r="H523" s="19" t="str">
        <f>IFERROR(VLOOKUP($D523,임시동력입.출고현황!$A:$G,H$5,0),)</f>
        <v>4P - 63A - 30 mA</v>
      </c>
      <c r="I523" s="10" t="str">
        <f>IFERROR(VLOOKUP($D523,임시동력입.출고현황!$A:$G,I$5,0),)</f>
        <v>EA</v>
      </c>
      <c r="J523" s="10">
        <v>1</v>
      </c>
      <c r="K523" s="95" t="s">
        <v>363</v>
      </c>
      <c r="L523" s="57">
        <v>1</v>
      </c>
      <c r="M523" s="81" t="s">
        <v>439</v>
      </c>
      <c r="N523" s="134"/>
    </row>
    <row r="524" spans="1:14" s="131" customFormat="1" ht="28.2" customHeight="1">
      <c r="A524" s="11">
        <v>519</v>
      </c>
      <c r="B524" s="290">
        <v>519</v>
      </c>
      <c r="C524" s="129">
        <v>46014</v>
      </c>
      <c r="D524" s="10" t="s">
        <v>335</v>
      </c>
      <c r="E524" s="41" t="str">
        <f>IFERROR(VLOOKUP($D524,임시동력입.출고현황!$A:$G,E$5,0),)</f>
        <v>Cable</v>
      </c>
      <c r="F524" s="19" t="str">
        <f>IFERROR(VLOOKUP($D524,임시동력입.출고현황!$A:$G,F$5,0),)</f>
        <v>CV Cable</v>
      </c>
      <c r="G524" s="19">
        <f>IFERROR(VLOOKUP($D524,임시동력입.출고현황!$A:$G,G$5,0),)</f>
        <v>0</v>
      </c>
      <c r="H524" s="19" t="str">
        <f>IFERROR(VLOOKUP($D524,임시동력입.출고현황!$A:$G,H$5,0),)</f>
        <v>3C x 2.5mm2</v>
      </c>
      <c r="I524" s="10" t="str">
        <f>IFERROR(VLOOKUP($D524,임시동력입.출고현황!$A:$G,I$5,0),)</f>
        <v>M</v>
      </c>
      <c r="J524" s="10">
        <v>2</v>
      </c>
      <c r="K524" s="95" t="s">
        <v>546</v>
      </c>
      <c r="L524" s="57">
        <v>200</v>
      </c>
      <c r="M524" s="81" t="s">
        <v>439</v>
      </c>
      <c r="N524" s="134"/>
    </row>
    <row r="525" spans="1:14" s="131" customFormat="1" ht="28.2" customHeight="1">
      <c r="A525" s="11">
        <v>520</v>
      </c>
      <c r="B525" s="290">
        <v>520</v>
      </c>
      <c r="C525" s="129">
        <v>46015</v>
      </c>
      <c r="D525" s="10" t="s">
        <v>559</v>
      </c>
      <c r="E525" s="41" t="str">
        <f>IFERROR(VLOOKUP($D525,임시동력입.출고현황!$A:$G,E$5,0),)</f>
        <v>Panel</v>
      </c>
      <c r="F525" s="19" t="str">
        <f>IFERROR(VLOOKUP($D525,임시동력입.출고현황!$A:$G,F$5,0),)</f>
        <v>Electrical Panel</v>
      </c>
      <c r="G525" s="19">
        <f>IFERROR(VLOOKUP($D525,임시동력입.출고현황!$A:$G,G$5,0),)</f>
        <v>0</v>
      </c>
      <c r="H525" s="19" t="str">
        <f>IFERROR(VLOOKUP($D525,임시동력입.출고현황!$A:$G,H$5,0),)</f>
        <v>63A</v>
      </c>
      <c r="I525" s="10" t="str">
        <f>IFERROR(VLOOKUP($D525,임시동력입.출고현황!$A:$G,I$5,0),)</f>
        <v>EA</v>
      </c>
      <c r="J525" s="10">
        <v>3</v>
      </c>
      <c r="K525" s="95" t="s">
        <v>237</v>
      </c>
      <c r="L525" s="57">
        <v>1</v>
      </c>
      <c r="M525" s="81" t="s">
        <v>439</v>
      </c>
      <c r="N525" s="134"/>
    </row>
    <row r="526" spans="1:14" s="131" customFormat="1" ht="28.2" customHeight="1">
      <c r="A526" s="11">
        <v>521</v>
      </c>
      <c r="B526" s="290">
        <v>521</v>
      </c>
      <c r="C526" s="129">
        <v>46015</v>
      </c>
      <c r="D526" s="10" t="s">
        <v>348</v>
      </c>
      <c r="E526" s="41" t="str">
        <f>IFERROR(VLOOKUP($D526,임시동력입.출고현황!$A:$G,E$5,0),)</f>
        <v>LTG</v>
      </c>
      <c r="F526" s="19" t="str">
        <f>IFERROR(VLOOKUP($D526,임시동력입.출고현황!$A:$G,F$5,0),)</f>
        <v>Lighting Fixture</v>
      </c>
      <c r="G526" s="19">
        <f>IFERROR(VLOOKUP($D526,임시동력입.출고현황!$A:$G,G$5,0),)</f>
        <v>0</v>
      </c>
      <c r="H526" s="19" t="str">
        <f>IFERROR(VLOOKUP($D526,임시동력입.출고현황!$A:$G,H$5,0),)</f>
        <v>100W</v>
      </c>
      <c r="I526" s="10" t="str">
        <f>IFERROR(VLOOKUP($D526,임시동력입.출고현황!$A:$G,I$5,0),)</f>
        <v>EA</v>
      </c>
      <c r="J526" s="10">
        <v>4</v>
      </c>
      <c r="K526" s="95" t="s">
        <v>359</v>
      </c>
      <c r="L526" s="57">
        <v>15</v>
      </c>
      <c r="M526" s="81" t="s">
        <v>439</v>
      </c>
      <c r="N526" s="134"/>
    </row>
    <row r="527" spans="1:14" s="131" customFormat="1" ht="28.2" customHeight="1">
      <c r="A527" s="11">
        <v>522</v>
      </c>
      <c r="B527" s="290">
        <v>522</v>
      </c>
      <c r="C527" s="129">
        <v>46015</v>
      </c>
      <c r="D527" s="10" t="s">
        <v>477</v>
      </c>
      <c r="E527" s="41" t="str">
        <f>IFERROR(VLOOKUP($D527,임시동력입.출고현황!$A:$G,E$5,0),)</f>
        <v>MCB</v>
      </c>
      <c r="F527" s="19" t="str">
        <f>IFERROR(VLOOKUP($D527,임시동력입.출고현황!$A:$G,F$5,0),)</f>
        <v>MCB</v>
      </c>
      <c r="G527" s="19">
        <f>IFERROR(VLOOKUP($D527,임시동력입.출고현황!$A:$G,G$5,0),)</f>
        <v>0</v>
      </c>
      <c r="H527" s="19" t="str">
        <f>IFERROR(VLOOKUP($D527,임시동력입.출고현황!$A:$G,H$5,0),)</f>
        <v>1P - 32A</v>
      </c>
      <c r="I527" s="10" t="str">
        <f>IFERROR(VLOOKUP($D527,임시동력입.출고현황!$A:$G,I$5,0),)</f>
        <v>EA</v>
      </c>
      <c r="J527" s="10">
        <v>1</v>
      </c>
      <c r="K527" s="95" t="s">
        <v>352</v>
      </c>
      <c r="L527" s="57">
        <v>1</v>
      </c>
      <c r="M527" s="81" t="s">
        <v>439</v>
      </c>
      <c r="N527" s="134"/>
    </row>
    <row r="528" spans="1:14" s="131" customFormat="1" ht="28.2" customHeight="1">
      <c r="A528" s="11">
        <v>523</v>
      </c>
      <c r="B528" s="290">
        <v>523</v>
      </c>
      <c r="C528" s="129">
        <v>46016</v>
      </c>
      <c r="D528" s="10" t="s">
        <v>349</v>
      </c>
      <c r="E528" s="41" t="str">
        <f>IFERROR(VLOOKUP($D528,임시동력입.출고현황!$A:$G,E$5,0),)</f>
        <v>LTG</v>
      </c>
      <c r="F528" s="19" t="str">
        <f>IFERROR(VLOOKUP($D528,임시동력입.출고현황!$A:$G,F$5,0),)</f>
        <v>Lighting Fixture</v>
      </c>
      <c r="G528" s="19">
        <f>IFERROR(VLOOKUP($D528,임시동력입.출고현황!$A:$G,G$5,0),)</f>
        <v>0</v>
      </c>
      <c r="H528" s="19" t="str">
        <f>IFERROR(VLOOKUP($D528,임시동력입.출고현황!$A:$G,H$5,0),)</f>
        <v>50W</v>
      </c>
      <c r="I528" s="10" t="str">
        <f>IFERROR(VLOOKUP($D528,임시동력입.출고현황!$A:$G,I$5,0),)</f>
        <v>EA</v>
      </c>
      <c r="J528" s="10">
        <v>3</v>
      </c>
      <c r="K528" s="95" t="s">
        <v>237</v>
      </c>
      <c r="L528" s="57">
        <v>2</v>
      </c>
      <c r="M528" s="81" t="s">
        <v>439</v>
      </c>
      <c r="N528" s="134"/>
    </row>
    <row r="529" spans="1:14" s="131" customFormat="1" ht="28.2" customHeight="1">
      <c r="A529" s="11">
        <v>524</v>
      </c>
      <c r="B529" s="290">
        <v>524</v>
      </c>
      <c r="C529" s="129">
        <v>46016</v>
      </c>
      <c r="D529" s="10" t="s">
        <v>347</v>
      </c>
      <c r="E529" s="41" t="str">
        <f>IFERROR(VLOOKUP($D529,임시동력입.출고현황!$A:$G,E$5,0),)</f>
        <v>LTG</v>
      </c>
      <c r="F529" s="19" t="str">
        <f>IFERROR(VLOOKUP($D529,임시동력입.출고현황!$A:$G,F$5,0),)</f>
        <v>Lighting Fixture</v>
      </c>
      <c r="G529" s="19">
        <f>IFERROR(VLOOKUP($D529,임시동력입.출고현황!$A:$G,G$5,0),)</f>
        <v>0</v>
      </c>
      <c r="H529" s="19" t="str">
        <f>IFERROR(VLOOKUP($D529,임시동력입.출고현황!$A:$G,H$5,0),)</f>
        <v>200W</v>
      </c>
      <c r="I529" s="10" t="str">
        <f>IFERROR(VLOOKUP($D529,임시동력입.출고현황!$A:$G,I$5,0),)</f>
        <v>EA</v>
      </c>
      <c r="J529" s="10">
        <v>2</v>
      </c>
      <c r="K529" s="95" t="s">
        <v>360</v>
      </c>
      <c r="L529" s="57">
        <v>3</v>
      </c>
      <c r="M529" s="81" t="s">
        <v>439</v>
      </c>
      <c r="N529" s="134"/>
    </row>
    <row r="530" spans="1:14" s="131" customFormat="1" ht="28.2" customHeight="1">
      <c r="A530" s="11">
        <v>525</v>
      </c>
      <c r="B530" s="290">
        <v>525</v>
      </c>
      <c r="C530" s="129">
        <v>46016</v>
      </c>
      <c r="D530" s="10" t="s">
        <v>514</v>
      </c>
      <c r="E530" s="41" t="str">
        <f>IFERROR(VLOOKUP($D530,임시동력입.출고현황!$A:$G,E$5,0),)</f>
        <v>power plug</v>
      </c>
      <c r="F530" s="19" t="str">
        <f>IFERROR(VLOOKUP($D530,임시동력입.출고현황!$A:$G,F$5,0),)</f>
        <v>Industrial Socket</v>
      </c>
      <c r="G530" s="19">
        <f>IFERROR(VLOOKUP($D530,임시동력입.출고현황!$A:$G,G$5,0),)</f>
        <v>0</v>
      </c>
      <c r="H530" s="19" t="str">
        <f>IFERROR(VLOOKUP($D530,임시동력입.출고현황!$A:$G,H$5,0),)</f>
        <v>5P - 63A</v>
      </c>
      <c r="I530" s="10" t="str">
        <f>IFERROR(VLOOKUP($D530,임시동력입.출고현황!$A:$G,I$5,0),)</f>
        <v>EA</v>
      </c>
      <c r="J530" s="10">
        <v>1</v>
      </c>
      <c r="K530" s="95" t="s">
        <v>363</v>
      </c>
      <c r="L530" s="57">
        <v>4</v>
      </c>
      <c r="M530" s="81" t="s">
        <v>439</v>
      </c>
      <c r="N530" s="134"/>
    </row>
    <row r="531" spans="1:14" s="131" customFormat="1" ht="28.2" customHeight="1">
      <c r="A531" s="11">
        <v>526</v>
      </c>
      <c r="B531" s="290">
        <v>526</v>
      </c>
      <c r="C531" s="129">
        <v>46016</v>
      </c>
      <c r="D531" s="10" t="s">
        <v>513</v>
      </c>
      <c r="E531" s="41" t="str">
        <f>IFERROR(VLOOKUP($D531,임시동력입.출고현황!$A:$G,E$5,0),)</f>
        <v>power plug</v>
      </c>
      <c r="F531" s="19" t="str">
        <f>IFERROR(VLOOKUP($D531,임시동력입.출고현황!$A:$G,F$5,0),)</f>
        <v>Industrial Socket</v>
      </c>
      <c r="G531" s="19">
        <f>IFERROR(VLOOKUP($D531,임시동력입.출고현황!$A:$G,G$5,0),)</f>
        <v>0</v>
      </c>
      <c r="H531" s="19" t="str">
        <f>IFERROR(VLOOKUP($D531,임시동력입.출고현황!$A:$G,H$5,0),)</f>
        <v>5P - 32A</v>
      </c>
      <c r="I531" s="10" t="str">
        <f>IFERROR(VLOOKUP($D531,임시동력입.출고현황!$A:$G,I$5,0),)</f>
        <v>EA</v>
      </c>
      <c r="J531" s="10">
        <v>2</v>
      </c>
      <c r="K531" s="95" t="s">
        <v>546</v>
      </c>
      <c r="L531" s="57">
        <v>2</v>
      </c>
      <c r="M531" s="81" t="s">
        <v>439</v>
      </c>
      <c r="N531" s="134"/>
    </row>
    <row r="532" spans="1:14" s="131" customFormat="1" ht="28.2" customHeight="1">
      <c r="A532" s="11">
        <v>527</v>
      </c>
      <c r="B532" s="290">
        <v>527</v>
      </c>
      <c r="C532" s="129">
        <v>46017</v>
      </c>
      <c r="D532" s="10" t="s">
        <v>514</v>
      </c>
      <c r="E532" s="41" t="str">
        <f>IFERROR(VLOOKUP($D532,임시동력입.출고현황!$A:$G,E$5,0),)</f>
        <v>power plug</v>
      </c>
      <c r="F532" s="19" t="str">
        <f>IFERROR(VLOOKUP($D532,임시동력입.출고현황!$A:$G,F$5,0),)</f>
        <v>Industrial Socket</v>
      </c>
      <c r="G532" s="19">
        <f>IFERROR(VLOOKUP($D532,임시동력입.출고현황!$A:$G,G$5,0),)</f>
        <v>0</v>
      </c>
      <c r="H532" s="19" t="str">
        <f>IFERROR(VLOOKUP($D532,임시동력입.출고현황!$A:$G,H$5,0),)</f>
        <v>5P - 63A</v>
      </c>
      <c r="I532" s="10" t="str">
        <f>IFERROR(VLOOKUP($D532,임시동력입.출고현황!$A:$G,I$5,0),)</f>
        <v>EA</v>
      </c>
      <c r="J532" s="10">
        <v>3</v>
      </c>
      <c r="K532" s="95" t="s">
        <v>237</v>
      </c>
      <c r="L532" s="57">
        <v>1</v>
      </c>
      <c r="M532" s="81" t="s">
        <v>439</v>
      </c>
      <c r="N532" s="134"/>
    </row>
    <row r="533" spans="1:14" s="131" customFormat="1" ht="28.2" customHeight="1">
      <c r="A533" s="11">
        <v>528</v>
      </c>
      <c r="B533" s="290">
        <v>528</v>
      </c>
      <c r="C533" s="129">
        <v>46018</v>
      </c>
      <c r="D533" s="10" t="s">
        <v>307</v>
      </c>
      <c r="E533" s="41" t="str">
        <f>IFERROR(VLOOKUP($D533,임시동력입.출고현황!$A:$G,E$5,0),)</f>
        <v>Panel</v>
      </c>
      <c r="F533" s="19" t="str">
        <f>IFERROR(VLOOKUP($D533,임시동력입.출고현황!$A:$G,F$5,0),)</f>
        <v>Electrical Panel</v>
      </c>
      <c r="G533" s="19">
        <f>IFERROR(VLOOKUP($D533,임시동력입.출고현황!$A:$G,G$5,0),)</f>
        <v>0</v>
      </c>
      <c r="H533" s="19" t="str">
        <f>IFERROR(VLOOKUP($D533,임시동력입.출고현황!$A:$G,H$5,0),)</f>
        <v>160A</v>
      </c>
      <c r="I533" s="10" t="str">
        <f>IFERROR(VLOOKUP($D533,임시동력입.출고현황!$A:$G,I$5,0),)</f>
        <v>EA</v>
      </c>
      <c r="J533" s="10" t="s">
        <v>557</v>
      </c>
      <c r="K533" s="95" t="s">
        <v>623</v>
      </c>
      <c r="L533" s="57">
        <v>2</v>
      </c>
      <c r="M533" s="81" t="s">
        <v>439</v>
      </c>
      <c r="N533" s="134"/>
    </row>
    <row r="534" spans="1:14" s="131" customFormat="1" ht="28.2" customHeight="1">
      <c r="A534" s="11">
        <v>529</v>
      </c>
      <c r="B534" s="290">
        <v>529</v>
      </c>
      <c r="C534" s="129">
        <v>46018</v>
      </c>
      <c r="D534" s="10" t="s">
        <v>323</v>
      </c>
      <c r="E534" s="41" t="str">
        <f>IFERROR(VLOOKUP($D534,임시동력입.출고현황!$A:$G,E$5,0),)</f>
        <v>Cable</v>
      </c>
      <c r="F534" s="19" t="str">
        <f>IFERROR(VLOOKUP($D534,임시동력입.출고현황!$A:$G,F$5,0),)</f>
        <v>AL Cable</v>
      </c>
      <c r="G534" s="19">
        <f>IFERROR(VLOOKUP($D534,임시동력입.출고현황!$A:$G,G$5,0),)</f>
        <v>0</v>
      </c>
      <c r="H534" s="19" t="str">
        <f>IFERROR(VLOOKUP($D534,임시동력입.출고현황!$A:$G,H$5,0),)</f>
        <v>4C x 35mm2 [ALU]</v>
      </c>
      <c r="I534" s="10" t="str">
        <f>IFERROR(VLOOKUP($D534,임시동력입.출고현황!$A:$G,I$5,0),)</f>
        <v>M</v>
      </c>
      <c r="J534" s="10">
        <v>2</v>
      </c>
      <c r="K534" s="95" t="s">
        <v>360</v>
      </c>
      <c r="L534" s="57">
        <v>145</v>
      </c>
      <c r="M534" s="81" t="s">
        <v>439</v>
      </c>
      <c r="N534" s="134"/>
    </row>
    <row r="535" spans="1:14" s="131" customFormat="1" ht="28.2" customHeight="1">
      <c r="A535" s="11">
        <v>530</v>
      </c>
      <c r="B535" s="290">
        <v>530</v>
      </c>
      <c r="C535" s="129">
        <v>46018</v>
      </c>
      <c r="D535" s="10" t="s">
        <v>284</v>
      </c>
      <c r="E535" s="41" t="str">
        <f>IFERROR(VLOOKUP($D535,임시동력입.출고현황!$A:$G,E$5,0),)</f>
        <v>D/G</v>
      </c>
      <c r="F535" s="19" t="str">
        <f>IFERROR(VLOOKUP($D535,임시동력입.출고현황!$A:$G,F$5,0),)</f>
        <v>Generator</v>
      </c>
      <c r="G535" s="19">
        <f>IFERROR(VLOOKUP($D535,임시동력입.출고현황!$A:$G,G$5,0),)</f>
        <v>0</v>
      </c>
      <c r="H535" s="19" t="str">
        <f>IFERROR(VLOOKUP($D535,임시동력입.출고현황!$A:$G,H$5,0),)</f>
        <v>50KVA</v>
      </c>
      <c r="I535" s="10" t="str">
        <f>IFERROR(VLOOKUP($D535,임시동력입.출고현황!$A:$G,I$5,0),)</f>
        <v>대</v>
      </c>
      <c r="J535" s="10" t="s">
        <v>557</v>
      </c>
      <c r="K535" s="95" t="s">
        <v>623</v>
      </c>
      <c r="L535" s="57">
        <v>1</v>
      </c>
      <c r="M535" s="81" t="s">
        <v>439</v>
      </c>
      <c r="N535" s="134" t="s">
        <v>637</v>
      </c>
    </row>
    <row r="536" spans="1:14" s="131" customFormat="1" ht="28.2" customHeight="1">
      <c r="A536" s="11">
        <v>531</v>
      </c>
      <c r="B536" s="290">
        <v>531</v>
      </c>
      <c r="C536" s="129">
        <v>46019</v>
      </c>
      <c r="D536" s="10" t="s">
        <v>559</v>
      </c>
      <c r="E536" s="41" t="str">
        <f>IFERROR(VLOOKUP($D536,임시동력입.출고현황!$A:$G,E$5,0),)</f>
        <v>Panel</v>
      </c>
      <c r="F536" s="19" t="str">
        <f>IFERROR(VLOOKUP($D536,임시동력입.출고현황!$A:$G,F$5,0),)</f>
        <v>Electrical Panel</v>
      </c>
      <c r="G536" s="19">
        <f>IFERROR(VLOOKUP($D536,임시동력입.출고현황!$A:$G,G$5,0),)</f>
        <v>0</v>
      </c>
      <c r="H536" s="19" t="str">
        <f>IFERROR(VLOOKUP($D536,임시동력입.출고현황!$A:$G,H$5,0),)</f>
        <v>63A</v>
      </c>
      <c r="I536" s="10" t="str">
        <f>IFERROR(VLOOKUP($D536,임시동력입.출고현황!$A:$G,I$5,0),)</f>
        <v>EA</v>
      </c>
      <c r="J536" s="10" t="s">
        <v>557</v>
      </c>
      <c r="K536" s="95" t="s">
        <v>623</v>
      </c>
      <c r="L536" s="57">
        <v>1</v>
      </c>
      <c r="M536" s="81" t="s">
        <v>439</v>
      </c>
      <c r="N536" s="134"/>
    </row>
    <row r="537" spans="1:14" s="131" customFormat="1" ht="28.2" customHeight="1">
      <c r="A537" s="11">
        <v>532</v>
      </c>
      <c r="B537" s="290">
        <v>532</v>
      </c>
      <c r="C537" s="129">
        <v>46019</v>
      </c>
      <c r="D537" s="10" t="s">
        <v>331</v>
      </c>
      <c r="E537" s="41" t="str">
        <f>IFERROR(VLOOKUP($D537,임시동력입.출고현황!$A:$G,E$5,0),)</f>
        <v>Cable</v>
      </c>
      <c r="F537" s="19" t="str">
        <f>IFERROR(VLOOKUP($D537,임시동력입.출고현황!$A:$G,F$5,0),)</f>
        <v>CV Cable</v>
      </c>
      <c r="G537" s="19">
        <f>IFERROR(VLOOKUP($D537,임시동력입.출고현황!$A:$G,G$5,0),)</f>
        <v>0</v>
      </c>
      <c r="H537" s="19" t="str">
        <f>IFERROR(VLOOKUP($D537,임시동력입.출고현황!$A:$G,H$5,0),)</f>
        <v>4C x 6mm2</v>
      </c>
      <c r="I537" s="10" t="str">
        <f>IFERROR(VLOOKUP($D537,임시동력입.출고현황!$A:$G,I$5,0),)</f>
        <v>M</v>
      </c>
      <c r="J537" s="10">
        <v>2</v>
      </c>
      <c r="K537" s="95" t="s">
        <v>360</v>
      </c>
      <c r="L537" s="57">
        <v>200</v>
      </c>
      <c r="M537" s="81" t="s">
        <v>439</v>
      </c>
      <c r="N537" s="134"/>
    </row>
    <row r="538" spans="1:14" s="131" customFormat="1" ht="28.2" customHeight="1">
      <c r="A538" s="11">
        <v>533</v>
      </c>
      <c r="B538" s="290">
        <v>533</v>
      </c>
      <c r="C538" s="129">
        <v>46020</v>
      </c>
      <c r="D538" s="10" t="s">
        <v>335</v>
      </c>
      <c r="E538" s="41" t="str">
        <f>IFERROR(VLOOKUP($D538,임시동력입.출고현황!$A:$G,E$5,0),)</f>
        <v>Cable</v>
      </c>
      <c r="F538" s="19" t="str">
        <f>IFERROR(VLOOKUP($D538,임시동력입.출고현황!$A:$G,F$5,0),)</f>
        <v>CV Cable</v>
      </c>
      <c r="G538" s="19">
        <f>IFERROR(VLOOKUP($D538,임시동력입.출고현황!$A:$G,G$5,0),)</f>
        <v>0</v>
      </c>
      <c r="H538" s="19" t="str">
        <f>IFERROR(VLOOKUP($D538,임시동력입.출고현황!$A:$G,H$5,0),)</f>
        <v>3C x 2.5mm2</v>
      </c>
      <c r="I538" s="10" t="str">
        <f>IFERROR(VLOOKUP($D538,임시동력입.출고현황!$A:$G,I$5,0),)</f>
        <v>M</v>
      </c>
      <c r="J538" s="10">
        <v>1</v>
      </c>
      <c r="K538" s="95" t="s">
        <v>363</v>
      </c>
      <c r="L538" s="57">
        <v>300</v>
      </c>
      <c r="M538" s="81" t="s">
        <v>439</v>
      </c>
      <c r="N538" s="134"/>
    </row>
    <row r="539" spans="1:14" s="131" customFormat="1" ht="28.2" customHeight="1">
      <c r="A539" s="11">
        <v>534</v>
      </c>
      <c r="B539" s="290">
        <v>534</v>
      </c>
      <c r="C539" s="129">
        <v>46021</v>
      </c>
      <c r="D539" s="10" t="s">
        <v>411</v>
      </c>
      <c r="E539" s="41" t="str">
        <f>IFERROR(VLOOKUP($D539,임시동력입.출고현황!$A:$G,E$5,0),)</f>
        <v>Cable</v>
      </c>
      <c r="F539" s="19" t="str">
        <f>IFERROR(VLOOKUP($D539,임시동력입.출고현황!$A:$G,F$5,0),)</f>
        <v>CV Cable</v>
      </c>
      <c r="G539" s="19">
        <f>IFERROR(VLOOKUP($D539,임시동력입.출고현황!$A:$G,G$5,0),)</f>
        <v>0</v>
      </c>
      <c r="H539" s="19" t="str">
        <f>IFERROR(VLOOKUP($D539,임시동력입.출고현황!$A:$G,H$5,0),)</f>
        <v>3C x 3mm2</v>
      </c>
      <c r="I539" s="10" t="str">
        <f>IFERROR(VLOOKUP($D539,임시동력입.출고현황!$A:$G,I$5,0),)</f>
        <v>M</v>
      </c>
      <c r="J539" s="10">
        <v>2</v>
      </c>
      <c r="K539" s="95" t="s">
        <v>546</v>
      </c>
      <c r="L539" s="57">
        <v>100</v>
      </c>
      <c r="M539" s="81" t="s">
        <v>439</v>
      </c>
      <c r="N539" s="134"/>
    </row>
    <row r="540" spans="1:14" s="131" customFormat="1" ht="28.2" customHeight="1">
      <c r="A540" s="11">
        <v>535</v>
      </c>
      <c r="B540" s="290">
        <v>535</v>
      </c>
      <c r="C540" s="129">
        <v>46021</v>
      </c>
      <c r="D540" s="10" t="s">
        <v>514</v>
      </c>
      <c r="E540" s="41" t="str">
        <f>IFERROR(VLOOKUP($D540,임시동력입.출고현황!$A:$G,E$5,0),)</f>
        <v>power plug</v>
      </c>
      <c r="F540" s="19" t="str">
        <f>IFERROR(VLOOKUP($D540,임시동력입.출고현황!$A:$G,F$5,0),)</f>
        <v>Industrial Socket</v>
      </c>
      <c r="G540" s="19">
        <f>IFERROR(VLOOKUP($D540,임시동력입.출고현황!$A:$G,G$5,0),)</f>
        <v>0</v>
      </c>
      <c r="H540" s="19" t="str">
        <f>IFERROR(VLOOKUP($D540,임시동력입.출고현황!$A:$G,H$5,0),)</f>
        <v>5P - 63A</v>
      </c>
      <c r="I540" s="10" t="str">
        <f>IFERROR(VLOOKUP($D540,임시동력입.출고현황!$A:$G,I$5,0),)</f>
        <v>EA</v>
      </c>
      <c r="J540" s="10">
        <v>3</v>
      </c>
      <c r="K540" s="95" t="s">
        <v>237</v>
      </c>
      <c r="L540" s="57">
        <v>8</v>
      </c>
      <c r="M540" s="81" t="s">
        <v>439</v>
      </c>
      <c r="N540" s="134"/>
    </row>
    <row r="541" spans="1:14" s="131" customFormat="1" ht="28.2" customHeight="1">
      <c r="A541" s="11">
        <v>536</v>
      </c>
      <c r="B541" s="290">
        <v>536</v>
      </c>
      <c r="C541" s="129">
        <v>46021</v>
      </c>
      <c r="D541" s="10" t="s">
        <v>334</v>
      </c>
      <c r="E541" s="41" t="str">
        <f>IFERROR(VLOOKUP($D541,임시동력입.출고현황!$A:$G,E$5,0),)</f>
        <v>Cable</v>
      </c>
      <c r="F541" s="19" t="str">
        <f>IFERROR(VLOOKUP($D541,임시동력입.출고현황!$A:$G,F$5,0),)</f>
        <v>CV Cable</v>
      </c>
      <c r="G541" s="19">
        <f>IFERROR(VLOOKUP($D541,임시동력입.출고현황!$A:$G,G$5,0),)</f>
        <v>0</v>
      </c>
      <c r="H541" s="19" t="str">
        <f>IFERROR(VLOOKUP($D541,임시동력입.출고현황!$A:$G,H$5,0),)</f>
        <v>3C x 4mm2</v>
      </c>
      <c r="I541" s="10" t="str">
        <f>IFERROR(VLOOKUP($D541,임시동력입.출고현황!$A:$G,I$5,0),)</f>
        <v>M</v>
      </c>
      <c r="J541" s="10">
        <v>4</v>
      </c>
      <c r="K541" s="95" t="s">
        <v>359</v>
      </c>
      <c r="L541" s="57">
        <v>100</v>
      </c>
      <c r="M541" s="81" t="s">
        <v>439</v>
      </c>
      <c r="N541" s="134"/>
    </row>
    <row r="542" spans="1:14" s="131" customFormat="1" ht="28.2" customHeight="1">
      <c r="A542" s="11">
        <v>537</v>
      </c>
      <c r="B542" s="290">
        <v>537</v>
      </c>
      <c r="C542" s="129">
        <v>46021</v>
      </c>
      <c r="D542" s="10" t="s">
        <v>348</v>
      </c>
      <c r="E542" s="41" t="str">
        <f>IFERROR(VLOOKUP($D542,임시동력입.출고현황!$A:$G,E$5,0),)</f>
        <v>LTG</v>
      </c>
      <c r="F542" s="19" t="str">
        <f>IFERROR(VLOOKUP($D542,임시동력입.출고현황!$A:$G,F$5,0),)</f>
        <v>Lighting Fixture</v>
      </c>
      <c r="G542" s="19">
        <f>IFERROR(VLOOKUP($D542,임시동력입.출고현황!$A:$G,G$5,0),)</f>
        <v>0</v>
      </c>
      <c r="H542" s="19" t="str">
        <f>IFERROR(VLOOKUP($D542,임시동력입.출고현황!$A:$G,H$5,0),)</f>
        <v>100W</v>
      </c>
      <c r="I542" s="10" t="str">
        <f>IFERROR(VLOOKUP($D542,임시동력입.출고현황!$A:$G,I$5,0),)</f>
        <v>EA</v>
      </c>
      <c r="J542" s="10">
        <v>1</v>
      </c>
      <c r="K542" s="95" t="s">
        <v>352</v>
      </c>
      <c r="L542" s="57">
        <v>1</v>
      </c>
      <c r="M542" s="81" t="s">
        <v>439</v>
      </c>
      <c r="N542" s="134"/>
    </row>
    <row r="543" spans="1:14" s="131" customFormat="1" ht="28.2" customHeight="1">
      <c r="A543" s="11">
        <v>538</v>
      </c>
      <c r="B543" s="290">
        <v>538</v>
      </c>
      <c r="C543" s="129">
        <v>46023</v>
      </c>
      <c r="D543" s="10" t="s">
        <v>348</v>
      </c>
      <c r="E543" s="41" t="str">
        <f>IFERROR(VLOOKUP($D543,임시동력입.출고현황!$A:$G,E$5,0),)</f>
        <v>LTG</v>
      </c>
      <c r="F543" s="19" t="str">
        <f>IFERROR(VLOOKUP($D543,임시동력입.출고현황!$A:$G,F$5,0),)</f>
        <v>Lighting Fixture</v>
      </c>
      <c r="G543" s="19">
        <f>IFERROR(VLOOKUP($D543,임시동력입.출고현황!$A:$G,G$5,0),)</f>
        <v>0</v>
      </c>
      <c r="H543" s="19" t="str">
        <f>IFERROR(VLOOKUP($D543,임시동력입.출고현황!$A:$G,H$5,0),)</f>
        <v>100W</v>
      </c>
      <c r="I543" s="10" t="str">
        <f>IFERROR(VLOOKUP($D543,임시동력입.출고현황!$A:$G,I$5,0),)</f>
        <v>EA</v>
      </c>
      <c r="J543" s="10" t="s">
        <v>557</v>
      </c>
      <c r="K543" s="95"/>
      <c r="L543" s="57">
        <v>3</v>
      </c>
      <c r="M543" s="81" t="s">
        <v>439</v>
      </c>
      <c r="N543" s="134" t="s">
        <v>645</v>
      </c>
    </row>
    <row r="544" spans="1:14" s="131" customFormat="1" ht="28.2" customHeight="1">
      <c r="A544" s="11">
        <v>539</v>
      </c>
      <c r="B544" s="290">
        <v>539</v>
      </c>
      <c r="C544" s="129">
        <v>46023</v>
      </c>
      <c r="D544" s="10" t="s">
        <v>331</v>
      </c>
      <c r="E544" s="41" t="str">
        <f>IFERROR(VLOOKUP($D544,임시동력입.출고현황!$A:$G,E$5,0),)</f>
        <v>Cable</v>
      </c>
      <c r="F544" s="19" t="str">
        <f>IFERROR(VLOOKUP($D544,임시동력입.출고현황!$A:$G,F$5,0),)</f>
        <v>CV Cable</v>
      </c>
      <c r="G544" s="19">
        <f>IFERROR(VLOOKUP($D544,임시동력입.출고현황!$A:$G,G$5,0),)</f>
        <v>0</v>
      </c>
      <c r="H544" s="19" t="str">
        <f>IFERROR(VLOOKUP($D544,임시동력입.출고현황!$A:$G,H$5,0),)</f>
        <v>4C x 6mm2</v>
      </c>
      <c r="I544" s="10" t="str">
        <f>IFERROR(VLOOKUP($D544,임시동력입.출고현황!$A:$G,I$5,0),)</f>
        <v>M</v>
      </c>
      <c r="J544" s="10">
        <v>3</v>
      </c>
      <c r="K544" s="95" t="s">
        <v>237</v>
      </c>
      <c r="L544" s="57">
        <v>100</v>
      </c>
      <c r="M544" s="81" t="s">
        <v>439</v>
      </c>
      <c r="N544" s="134"/>
    </row>
    <row r="545" spans="1:14" s="131" customFormat="1" ht="28.2" customHeight="1">
      <c r="A545" s="11">
        <v>540</v>
      </c>
      <c r="B545" s="290">
        <v>540</v>
      </c>
      <c r="C545" s="129">
        <v>46024</v>
      </c>
      <c r="D545" s="10" t="s">
        <v>335</v>
      </c>
      <c r="E545" s="41" t="str">
        <f>IFERROR(VLOOKUP($D545,임시동력입.출고현황!$A:$G,E$5,0),)</f>
        <v>Cable</v>
      </c>
      <c r="F545" s="19" t="str">
        <f>IFERROR(VLOOKUP($D545,임시동력입.출고현황!$A:$G,F$5,0),)</f>
        <v>CV Cable</v>
      </c>
      <c r="G545" s="19">
        <f>IFERROR(VLOOKUP($D545,임시동력입.출고현황!$A:$G,G$5,0),)</f>
        <v>0</v>
      </c>
      <c r="H545" s="19" t="str">
        <f>IFERROR(VLOOKUP($D545,임시동력입.출고현황!$A:$G,H$5,0),)</f>
        <v>3C x 2.5mm2</v>
      </c>
      <c r="I545" s="10" t="str">
        <f>IFERROR(VLOOKUP($D545,임시동력입.출고현황!$A:$G,I$5,0),)</f>
        <v>M</v>
      </c>
      <c r="J545" s="10">
        <v>2</v>
      </c>
      <c r="K545" s="95" t="s">
        <v>360</v>
      </c>
      <c r="L545" s="57">
        <v>200</v>
      </c>
      <c r="M545" s="81" t="s">
        <v>439</v>
      </c>
      <c r="N545" s="134"/>
    </row>
    <row r="546" spans="1:14" s="131" customFormat="1" ht="28.2" customHeight="1">
      <c r="A546" s="11">
        <v>541</v>
      </c>
      <c r="B546" s="290">
        <v>541</v>
      </c>
      <c r="C546" s="129">
        <v>46025</v>
      </c>
      <c r="D546" s="10" t="s">
        <v>348</v>
      </c>
      <c r="E546" s="41" t="str">
        <f>IFERROR(VLOOKUP($D546,임시동력입.출고현황!$A:$G,E$5,0),)</f>
        <v>LTG</v>
      </c>
      <c r="F546" s="19" t="str">
        <f>IFERROR(VLOOKUP($D546,임시동력입.출고현황!$A:$G,F$5,0),)</f>
        <v>Lighting Fixture</v>
      </c>
      <c r="G546" s="19">
        <f>IFERROR(VLOOKUP($D546,임시동력입.출고현황!$A:$G,G$5,0),)</f>
        <v>0</v>
      </c>
      <c r="H546" s="19" t="str">
        <f>IFERROR(VLOOKUP($D546,임시동력입.출고현황!$A:$G,H$5,0),)</f>
        <v>100W</v>
      </c>
      <c r="I546" s="10" t="str">
        <f>IFERROR(VLOOKUP($D546,임시동력입.출고현황!$A:$G,I$5,0),)</f>
        <v>EA</v>
      </c>
      <c r="J546" s="10">
        <v>2</v>
      </c>
      <c r="K546" s="95" t="s">
        <v>546</v>
      </c>
      <c r="L546" s="57">
        <v>4</v>
      </c>
      <c r="M546" s="81" t="s">
        <v>439</v>
      </c>
      <c r="N546" s="134"/>
    </row>
    <row r="547" spans="1:14" s="131" customFormat="1" ht="28.2" customHeight="1">
      <c r="A547" s="11">
        <v>542</v>
      </c>
      <c r="B547" s="290">
        <v>542</v>
      </c>
      <c r="C547" s="129">
        <v>46027</v>
      </c>
      <c r="D547" s="10" t="s">
        <v>348</v>
      </c>
      <c r="E547" s="41" t="str">
        <f>IFERROR(VLOOKUP($D547,임시동력입.출고현황!$A:$G,E$5,0),)</f>
        <v>LTG</v>
      </c>
      <c r="F547" s="19" t="str">
        <f>IFERROR(VLOOKUP($D547,임시동력입.출고현황!$A:$G,F$5,0),)</f>
        <v>Lighting Fixture</v>
      </c>
      <c r="G547" s="19">
        <f>IFERROR(VLOOKUP($D547,임시동력입.출고현황!$A:$G,G$5,0),)</f>
        <v>0</v>
      </c>
      <c r="H547" s="19" t="str">
        <f>IFERROR(VLOOKUP($D547,임시동력입.출고현황!$A:$G,H$5,0),)</f>
        <v>100W</v>
      </c>
      <c r="I547" s="10" t="str">
        <f>IFERROR(VLOOKUP($D547,임시동력입.출고현황!$A:$G,I$5,0),)</f>
        <v>EA</v>
      </c>
      <c r="J547" s="10" t="s">
        <v>557</v>
      </c>
      <c r="K547" s="95"/>
      <c r="L547" s="57">
        <v>5</v>
      </c>
      <c r="M547" s="81" t="s">
        <v>439</v>
      </c>
      <c r="N547" s="134" t="s">
        <v>644</v>
      </c>
    </row>
    <row r="548" spans="1:14" s="131" customFormat="1" ht="28.2" customHeight="1">
      <c r="A548" s="11">
        <v>543</v>
      </c>
      <c r="B548" s="290">
        <v>543</v>
      </c>
      <c r="C548" s="129">
        <v>46028</v>
      </c>
      <c r="D548" s="10" t="s">
        <v>335</v>
      </c>
      <c r="E548" s="41" t="str">
        <f>IFERROR(VLOOKUP($D548,임시동력입.출고현황!$A:$G,E$5,0),)</f>
        <v>Cable</v>
      </c>
      <c r="F548" s="19" t="str">
        <f>IFERROR(VLOOKUP($D548,임시동력입.출고현황!$A:$G,F$5,0),)</f>
        <v>CV Cable</v>
      </c>
      <c r="G548" s="19">
        <f>IFERROR(VLOOKUP($D548,임시동력입.출고현황!$A:$G,G$5,0),)</f>
        <v>0</v>
      </c>
      <c r="H548" s="19" t="str">
        <f>IFERROR(VLOOKUP($D548,임시동력입.출고현황!$A:$G,H$5,0),)</f>
        <v>3C x 2.5mm2</v>
      </c>
      <c r="I548" s="10" t="str">
        <f>IFERROR(VLOOKUP($D548,임시동력입.출고현황!$A:$G,I$5,0),)</f>
        <v>M</v>
      </c>
      <c r="J548" s="10">
        <v>1</v>
      </c>
      <c r="K548" s="95" t="s">
        <v>363</v>
      </c>
      <c r="L548" s="57">
        <v>300</v>
      </c>
      <c r="M548" s="81" t="s">
        <v>439</v>
      </c>
      <c r="N548" s="134"/>
    </row>
    <row r="549" spans="1:14" s="131" customFormat="1" ht="28.2" customHeight="1">
      <c r="A549" s="11">
        <v>544</v>
      </c>
      <c r="B549" s="290">
        <v>544</v>
      </c>
      <c r="C549" s="129">
        <v>46028</v>
      </c>
      <c r="D549" s="10" t="s">
        <v>334</v>
      </c>
      <c r="E549" s="41" t="str">
        <f>IFERROR(VLOOKUP($D549,임시동력입.출고현황!$A:$G,E$5,0),)</f>
        <v>Cable</v>
      </c>
      <c r="F549" s="19" t="str">
        <f>IFERROR(VLOOKUP($D549,임시동력입.출고현황!$A:$G,F$5,0),)</f>
        <v>CV Cable</v>
      </c>
      <c r="G549" s="19">
        <f>IFERROR(VLOOKUP($D549,임시동력입.출고현황!$A:$G,G$5,0),)</f>
        <v>0</v>
      </c>
      <c r="H549" s="19" t="str">
        <f>IFERROR(VLOOKUP($D549,임시동력입.출고현황!$A:$G,H$5,0),)</f>
        <v>3C x 4mm2</v>
      </c>
      <c r="I549" s="10" t="str">
        <f>IFERROR(VLOOKUP($D549,임시동력입.출고현황!$A:$G,I$5,0),)</f>
        <v>M</v>
      </c>
      <c r="J549" s="10">
        <v>2</v>
      </c>
      <c r="K549" s="95" t="s">
        <v>546</v>
      </c>
      <c r="L549" s="57">
        <v>100</v>
      </c>
      <c r="M549" s="81" t="s">
        <v>439</v>
      </c>
      <c r="N549" s="134"/>
    </row>
    <row r="550" spans="1:14" s="131" customFormat="1" ht="28.2" customHeight="1">
      <c r="A550" s="11">
        <v>545</v>
      </c>
      <c r="B550" s="290">
        <v>545</v>
      </c>
      <c r="C550" s="129">
        <v>46029</v>
      </c>
      <c r="D550" s="10" t="s">
        <v>559</v>
      </c>
      <c r="E550" s="41" t="str">
        <f>IFERROR(VLOOKUP($D550,임시동력입.출고현황!$A:$G,E$5,0),)</f>
        <v>Panel</v>
      </c>
      <c r="F550" s="19" t="str">
        <f>IFERROR(VLOOKUP($D550,임시동력입.출고현황!$A:$G,F$5,0),)</f>
        <v>Electrical Panel</v>
      </c>
      <c r="G550" s="19">
        <f>IFERROR(VLOOKUP($D550,임시동력입.출고현황!$A:$G,G$5,0),)</f>
        <v>0</v>
      </c>
      <c r="H550" s="19" t="str">
        <f>IFERROR(VLOOKUP($D550,임시동력입.출고현황!$A:$G,H$5,0),)</f>
        <v>63A</v>
      </c>
      <c r="I550" s="10" t="str">
        <f>IFERROR(VLOOKUP($D550,임시동력입.출고현황!$A:$G,I$5,0),)</f>
        <v>EA</v>
      </c>
      <c r="J550" s="10">
        <v>3</v>
      </c>
      <c r="K550" s="95" t="s">
        <v>361</v>
      </c>
      <c r="L550" s="57">
        <v>1</v>
      </c>
      <c r="M550" s="81" t="s">
        <v>439</v>
      </c>
      <c r="N550" s="134"/>
    </row>
    <row r="551" spans="1:14" s="131" customFormat="1" ht="28.2" customHeight="1">
      <c r="A551" s="11">
        <v>546</v>
      </c>
      <c r="B551" s="290">
        <v>546</v>
      </c>
      <c r="C551" s="259">
        <v>46029</v>
      </c>
      <c r="D551" s="249" t="s">
        <v>348</v>
      </c>
      <c r="E551" s="41" t="str">
        <f>IFERROR(VLOOKUP($D551,임시동력입.출고현황!$A:$G,E$5,0),)</f>
        <v>LTG</v>
      </c>
      <c r="F551" s="19" t="str">
        <f>IFERROR(VLOOKUP($D551,임시동력입.출고현황!$A:$G,F$5,0),)</f>
        <v>Lighting Fixture</v>
      </c>
      <c r="G551" s="19">
        <f>IFERROR(VLOOKUP($D551,임시동력입.출고현황!$A:$G,G$5,0),)</f>
        <v>0</v>
      </c>
      <c r="H551" s="19" t="str">
        <f>IFERROR(VLOOKUP($D551,임시동력입.출고현황!$A:$G,H$5,0),)</f>
        <v>100W</v>
      </c>
      <c r="I551" s="10" t="str">
        <f>IFERROR(VLOOKUP($D551,임시동력입.출고현황!$A:$G,I$5,0),)</f>
        <v>EA</v>
      </c>
      <c r="J551" s="249">
        <v>3</v>
      </c>
      <c r="K551" s="250" t="s">
        <v>237</v>
      </c>
      <c r="L551" s="261">
        <v>14</v>
      </c>
      <c r="M551" s="81" t="s">
        <v>439</v>
      </c>
      <c r="N551" s="262"/>
    </row>
    <row r="552" spans="1:14" s="131" customFormat="1" ht="28.2" customHeight="1">
      <c r="A552" s="11">
        <v>547</v>
      </c>
      <c r="B552" s="290">
        <v>547</v>
      </c>
      <c r="C552" s="259">
        <v>46030</v>
      </c>
      <c r="D552" s="249" t="s">
        <v>484</v>
      </c>
      <c r="E552" s="41" t="str">
        <f>IFERROR(VLOOKUP($D552,임시동력입.출고현황!$A:$G,E$5,0),)</f>
        <v>MCB</v>
      </c>
      <c r="F552" s="19" t="str">
        <f>IFERROR(VLOOKUP($D552,임시동력입.출고현황!$A:$G,F$5,0),)</f>
        <v>RCCB</v>
      </c>
      <c r="G552" s="19">
        <f>IFERROR(VLOOKUP($D552,임시동력입.출고현황!$A:$G,G$5,0),)</f>
        <v>0</v>
      </c>
      <c r="H552" s="19" t="str">
        <f>IFERROR(VLOOKUP($D552,임시동력입.출고현황!$A:$G,H$5,0),)</f>
        <v>4P - 63A - 30 mA</v>
      </c>
      <c r="I552" s="10" t="str">
        <f>IFERROR(VLOOKUP($D552,임시동력입.출고현황!$A:$G,I$5,0),)</f>
        <v>EA</v>
      </c>
      <c r="J552" s="249">
        <v>2</v>
      </c>
      <c r="K552" s="250" t="s">
        <v>360</v>
      </c>
      <c r="L552" s="261">
        <v>1</v>
      </c>
      <c r="M552" s="81" t="s">
        <v>439</v>
      </c>
      <c r="N552" s="262"/>
    </row>
    <row r="553" spans="1:14" s="131" customFormat="1" ht="28.2" customHeight="1">
      <c r="A553" s="11">
        <v>548</v>
      </c>
      <c r="B553" s="290">
        <v>548</v>
      </c>
      <c r="C553" s="259">
        <v>46031</v>
      </c>
      <c r="D553" s="249" t="s">
        <v>347</v>
      </c>
      <c r="E553" s="41" t="str">
        <f>IFERROR(VLOOKUP($D553,임시동력입.출고현황!$A:$G,E$5,0),)</f>
        <v>LTG</v>
      </c>
      <c r="F553" s="19" t="str">
        <f>IFERROR(VLOOKUP($D553,임시동력입.출고현황!$A:$G,F$5,0),)</f>
        <v>Lighting Fixture</v>
      </c>
      <c r="G553" s="19">
        <f>IFERROR(VLOOKUP($D553,임시동력입.출고현황!$A:$G,G$5,0),)</f>
        <v>0</v>
      </c>
      <c r="H553" s="19" t="str">
        <f>IFERROR(VLOOKUP($D553,임시동력입.출고현황!$A:$G,H$5,0),)</f>
        <v>200W</v>
      </c>
      <c r="I553" s="10" t="str">
        <f>IFERROR(VLOOKUP($D553,임시동력입.출고현황!$A:$G,I$5,0),)</f>
        <v>EA</v>
      </c>
      <c r="J553" s="249">
        <v>2</v>
      </c>
      <c r="K553" s="250" t="s">
        <v>546</v>
      </c>
      <c r="L553" s="261">
        <v>7</v>
      </c>
      <c r="M553" s="81" t="s">
        <v>439</v>
      </c>
      <c r="N553" s="262"/>
    </row>
    <row r="554" spans="1:14" s="131" customFormat="1" ht="28.2" customHeight="1">
      <c r="A554" s="11">
        <v>549</v>
      </c>
      <c r="B554" s="290">
        <v>549</v>
      </c>
      <c r="C554" s="259">
        <v>46032</v>
      </c>
      <c r="D554" s="249" t="s">
        <v>307</v>
      </c>
      <c r="E554" s="41" t="str">
        <f>IFERROR(VLOOKUP($D554,임시동력입.출고현황!$A:$G,E$5,0),)</f>
        <v>Panel</v>
      </c>
      <c r="F554" s="19" t="str">
        <f>IFERROR(VLOOKUP($D554,임시동력입.출고현황!$A:$G,F$5,0),)</f>
        <v>Electrical Panel</v>
      </c>
      <c r="G554" s="19">
        <f>IFERROR(VLOOKUP($D554,임시동력입.출고현황!$A:$G,G$5,0),)</f>
        <v>0</v>
      </c>
      <c r="H554" s="19" t="str">
        <f>IFERROR(VLOOKUP($D554,임시동력입.출고현황!$A:$G,H$5,0),)</f>
        <v>160A</v>
      </c>
      <c r="I554" s="10" t="str">
        <f>IFERROR(VLOOKUP($D554,임시동력입.출고현황!$A:$G,I$5,0),)</f>
        <v>EA</v>
      </c>
      <c r="J554" s="249">
        <v>3</v>
      </c>
      <c r="K554" s="250" t="s">
        <v>361</v>
      </c>
      <c r="L554" s="261">
        <v>1</v>
      </c>
      <c r="M554" s="81" t="s">
        <v>439</v>
      </c>
      <c r="N554" s="262"/>
    </row>
    <row r="555" spans="1:14" s="131" customFormat="1" ht="28.2" customHeight="1">
      <c r="A555" s="11">
        <v>550</v>
      </c>
      <c r="B555" s="290">
        <v>550</v>
      </c>
      <c r="C555" s="259">
        <v>46032</v>
      </c>
      <c r="D555" s="249" t="s">
        <v>331</v>
      </c>
      <c r="E555" s="41" t="str">
        <f>IFERROR(VLOOKUP($D555,임시동력입.출고현황!$A:$G,E$5,0),)</f>
        <v>Cable</v>
      </c>
      <c r="F555" s="19" t="str">
        <f>IFERROR(VLOOKUP($D555,임시동력입.출고현황!$A:$G,F$5,0),)</f>
        <v>CV Cable</v>
      </c>
      <c r="G555" s="19">
        <f>IFERROR(VLOOKUP($D555,임시동력입.출고현황!$A:$G,G$5,0),)</f>
        <v>0</v>
      </c>
      <c r="H555" s="19" t="str">
        <f>IFERROR(VLOOKUP($D555,임시동력입.출고현황!$A:$G,H$5,0),)</f>
        <v>4C x 6mm2</v>
      </c>
      <c r="I555" s="10" t="str">
        <f>IFERROR(VLOOKUP($D555,임시동력입.출고현황!$A:$G,I$5,0),)</f>
        <v>M</v>
      </c>
      <c r="J555" s="249">
        <v>4</v>
      </c>
      <c r="K555" s="250" t="s">
        <v>359</v>
      </c>
      <c r="L555" s="261">
        <v>100</v>
      </c>
      <c r="M555" s="81" t="s">
        <v>439</v>
      </c>
      <c r="N555" s="262"/>
    </row>
    <row r="556" spans="1:14" s="131" customFormat="1" ht="28.2" customHeight="1">
      <c r="A556" s="11">
        <v>551</v>
      </c>
      <c r="B556" s="290">
        <v>551</v>
      </c>
      <c r="C556" s="259">
        <v>46032</v>
      </c>
      <c r="D556" s="249" t="s">
        <v>335</v>
      </c>
      <c r="E556" s="41" t="str">
        <f>IFERROR(VLOOKUP($D556,임시동력입.출고현황!$A:$G,E$5,0),)</f>
        <v>Cable</v>
      </c>
      <c r="F556" s="19" t="str">
        <f>IFERROR(VLOOKUP($D556,임시동력입.출고현황!$A:$G,F$5,0),)</f>
        <v>CV Cable</v>
      </c>
      <c r="G556" s="19">
        <f>IFERROR(VLOOKUP($D556,임시동력입.출고현황!$A:$G,G$5,0),)</f>
        <v>0</v>
      </c>
      <c r="H556" s="19" t="str">
        <f>IFERROR(VLOOKUP($D556,임시동력입.출고현황!$A:$G,H$5,0),)</f>
        <v>3C x 2.5mm2</v>
      </c>
      <c r="I556" s="10" t="str">
        <f>IFERROR(VLOOKUP($D556,임시동력입.출고현황!$A:$G,I$5,0),)</f>
        <v>M</v>
      </c>
      <c r="J556" s="249">
        <v>1</v>
      </c>
      <c r="K556" s="250" t="s">
        <v>352</v>
      </c>
      <c r="L556" s="261">
        <v>104</v>
      </c>
      <c r="M556" s="81" t="s">
        <v>439</v>
      </c>
      <c r="N556" s="262"/>
    </row>
    <row r="557" spans="1:14" s="131" customFormat="1" ht="28.2" customHeight="1">
      <c r="A557" s="11">
        <v>552</v>
      </c>
      <c r="B557" s="290">
        <v>552</v>
      </c>
      <c r="C557" s="259">
        <v>46033</v>
      </c>
      <c r="D557" s="249" t="s">
        <v>335</v>
      </c>
      <c r="E557" s="41" t="str">
        <f>IFERROR(VLOOKUP($D557,임시동력입.출고현황!$A:$G,E$5,0),)</f>
        <v>Cable</v>
      </c>
      <c r="F557" s="19" t="str">
        <f>IFERROR(VLOOKUP($D557,임시동력입.출고현황!$A:$G,F$5,0),)</f>
        <v>CV Cable</v>
      </c>
      <c r="G557" s="19">
        <f>IFERROR(VLOOKUP($D557,임시동력입.출고현황!$A:$G,G$5,0),)</f>
        <v>0</v>
      </c>
      <c r="H557" s="19" t="str">
        <f>IFERROR(VLOOKUP($D557,임시동력입.출고현황!$A:$G,H$5,0),)</f>
        <v>3C x 2.5mm2</v>
      </c>
      <c r="I557" s="10" t="str">
        <f>IFERROR(VLOOKUP($D557,임시동력입.출고현황!$A:$G,I$5,0),)</f>
        <v>M</v>
      </c>
      <c r="J557" s="249">
        <v>3</v>
      </c>
      <c r="K557" s="250" t="s">
        <v>237</v>
      </c>
      <c r="L557" s="261">
        <v>100</v>
      </c>
      <c r="M557" s="81" t="s">
        <v>439</v>
      </c>
      <c r="N557" s="262"/>
    </row>
    <row r="558" spans="1:14" s="131" customFormat="1" ht="28.2" customHeight="1">
      <c r="A558" s="11">
        <v>553</v>
      </c>
      <c r="B558" s="290">
        <v>553</v>
      </c>
      <c r="C558" s="259">
        <v>46033</v>
      </c>
      <c r="D558" s="249" t="s">
        <v>348</v>
      </c>
      <c r="E558" s="41" t="str">
        <f>IFERROR(VLOOKUP($D558,임시동력입.출고현황!$A:$G,E$5,0),)</f>
        <v>LTG</v>
      </c>
      <c r="F558" s="19" t="str">
        <f>IFERROR(VLOOKUP($D558,임시동력입.출고현황!$A:$G,F$5,0),)</f>
        <v>Lighting Fixture</v>
      </c>
      <c r="G558" s="19">
        <f>IFERROR(VLOOKUP($D558,임시동력입.출고현황!$A:$G,G$5,0),)</f>
        <v>0</v>
      </c>
      <c r="H558" s="19" t="str">
        <f>IFERROR(VLOOKUP($D558,임시동력입.출고현황!$A:$G,H$5,0),)</f>
        <v>100W</v>
      </c>
      <c r="I558" s="10" t="str">
        <f>IFERROR(VLOOKUP($D558,임시동력입.출고현황!$A:$G,I$5,0),)</f>
        <v>EA</v>
      </c>
      <c r="J558" s="249">
        <v>2</v>
      </c>
      <c r="K558" s="250" t="s">
        <v>360</v>
      </c>
      <c r="L558" s="261">
        <v>13</v>
      </c>
      <c r="M558" s="81" t="s">
        <v>439</v>
      </c>
      <c r="N558" s="262"/>
    </row>
    <row r="559" spans="1:14" s="131" customFormat="1" ht="28.2" customHeight="1">
      <c r="A559" s="11">
        <v>554</v>
      </c>
      <c r="B559" s="290">
        <v>554</v>
      </c>
      <c r="C559" s="259">
        <v>46034</v>
      </c>
      <c r="D559" s="249" t="s">
        <v>335</v>
      </c>
      <c r="E559" s="41" t="str">
        <f>IFERROR(VLOOKUP($D559,임시동력입.출고현황!$A:$G,E$5,0),)</f>
        <v>Cable</v>
      </c>
      <c r="F559" s="19" t="str">
        <f>IFERROR(VLOOKUP($D559,임시동력입.출고현황!$A:$G,F$5,0),)</f>
        <v>CV Cable</v>
      </c>
      <c r="G559" s="19">
        <f>IFERROR(VLOOKUP($D559,임시동력입.출고현황!$A:$G,G$5,0),)</f>
        <v>0</v>
      </c>
      <c r="H559" s="19" t="str">
        <f>IFERROR(VLOOKUP($D559,임시동력입.출고현황!$A:$G,H$5,0),)</f>
        <v>3C x 2.5mm2</v>
      </c>
      <c r="I559" s="10" t="str">
        <f>IFERROR(VLOOKUP($D559,임시동력입.출고현황!$A:$G,I$5,0),)</f>
        <v>M</v>
      </c>
      <c r="J559" s="249" t="s">
        <v>557</v>
      </c>
      <c r="K559" s="250"/>
      <c r="L559" s="261">
        <v>400</v>
      </c>
      <c r="M559" s="81" t="s">
        <v>439</v>
      </c>
      <c r="N559" s="262"/>
    </row>
    <row r="560" spans="1:14" s="131" customFormat="1" ht="28.2" customHeight="1">
      <c r="A560" s="11">
        <v>555</v>
      </c>
      <c r="B560" s="290">
        <v>555</v>
      </c>
      <c r="C560" s="259">
        <v>46034</v>
      </c>
      <c r="D560" s="249" t="s">
        <v>331</v>
      </c>
      <c r="E560" s="41" t="str">
        <f>IFERROR(VLOOKUP($D560,임시동력입.출고현황!$A:$G,E$5,0),)</f>
        <v>Cable</v>
      </c>
      <c r="F560" s="19" t="str">
        <f>IFERROR(VLOOKUP($D560,임시동력입.출고현황!$A:$G,F$5,0),)</f>
        <v>CV Cable</v>
      </c>
      <c r="G560" s="19">
        <f>IFERROR(VLOOKUP($D560,임시동력입.출고현황!$A:$G,G$5,0),)</f>
        <v>0</v>
      </c>
      <c r="H560" s="19" t="str">
        <f>IFERROR(VLOOKUP($D560,임시동력입.출고현황!$A:$G,H$5,0),)</f>
        <v>4C x 6mm2</v>
      </c>
      <c r="I560" s="10" t="str">
        <f>IFERROR(VLOOKUP($D560,임시동력입.출고현황!$A:$G,I$5,0),)</f>
        <v>M</v>
      </c>
      <c r="J560" s="249">
        <v>1</v>
      </c>
      <c r="K560" s="250" t="s">
        <v>363</v>
      </c>
      <c r="L560" s="261">
        <v>50</v>
      </c>
      <c r="M560" s="81" t="s">
        <v>439</v>
      </c>
      <c r="N560" s="262"/>
    </row>
    <row r="561" spans="1:14" s="131" customFormat="1" ht="28.2" customHeight="1">
      <c r="A561" s="11">
        <v>556</v>
      </c>
      <c r="B561" s="290">
        <v>556</v>
      </c>
      <c r="C561" s="259">
        <v>46035</v>
      </c>
      <c r="D561" s="249" t="s">
        <v>322</v>
      </c>
      <c r="E561" s="41" t="str">
        <f>IFERROR(VLOOKUP($D561,임시동력입.출고현황!$A:$G,E$5,0),)</f>
        <v>Cable</v>
      </c>
      <c r="F561" s="19" t="str">
        <f>IFERROR(VLOOKUP($D561,임시동력입.출고현황!$A:$G,F$5,0),)</f>
        <v>AL Cable</v>
      </c>
      <c r="G561" s="19">
        <f>IFERROR(VLOOKUP($D561,임시동력입.출고현황!$A:$G,G$5,0),)</f>
        <v>0</v>
      </c>
      <c r="H561" s="19" t="str">
        <f>IFERROR(VLOOKUP($D561,임시동력입.출고현황!$A:$G,H$5,0),)</f>
        <v>3C x 50+25mm2 [ALU]</v>
      </c>
      <c r="I561" s="10" t="str">
        <f>IFERROR(VLOOKUP($D561,임시동력입.출고현황!$A:$G,I$5,0),)</f>
        <v>M</v>
      </c>
      <c r="J561" s="249">
        <v>1</v>
      </c>
      <c r="K561" s="250" t="s">
        <v>363</v>
      </c>
      <c r="L561" s="261">
        <v>90</v>
      </c>
      <c r="M561" s="81" t="s">
        <v>439</v>
      </c>
      <c r="N561" s="262"/>
    </row>
    <row r="562" spans="1:14" s="131" customFormat="1" ht="28.2" customHeight="1">
      <c r="A562" s="11">
        <v>557</v>
      </c>
      <c r="B562" s="290">
        <v>557</v>
      </c>
      <c r="C562" s="259">
        <v>46037</v>
      </c>
      <c r="D562" s="249" t="s">
        <v>347</v>
      </c>
      <c r="E562" s="41" t="str">
        <f>IFERROR(VLOOKUP($D562,임시동력입.출고현황!$A:$G,E$5,0),)</f>
        <v>LTG</v>
      </c>
      <c r="F562" s="19" t="str">
        <f>IFERROR(VLOOKUP($D562,임시동력입.출고현황!$A:$G,F$5,0),)</f>
        <v>Lighting Fixture</v>
      </c>
      <c r="G562" s="19">
        <f>IFERROR(VLOOKUP($D562,임시동력입.출고현황!$A:$G,G$5,0),)</f>
        <v>0</v>
      </c>
      <c r="H562" s="19" t="str">
        <f>IFERROR(VLOOKUP($D562,임시동력입.출고현황!$A:$G,H$5,0),)</f>
        <v>200W</v>
      </c>
      <c r="I562" s="10" t="str">
        <f>IFERROR(VLOOKUP($D562,임시동력입.출고현황!$A:$G,I$5,0),)</f>
        <v>EA</v>
      </c>
      <c r="J562" s="249">
        <v>1</v>
      </c>
      <c r="K562" s="250" t="s">
        <v>352</v>
      </c>
      <c r="L562" s="261">
        <v>2</v>
      </c>
      <c r="M562" s="81" t="s">
        <v>439</v>
      </c>
      <c r="N562" s="262"/>
    </row>
    <row r="563" spans="1:14" s="131" customFormat="1" ht="28.2" customHeight="1">
      <c r="A563" s="11">
        <v>558</v>
      </c>
      <c r="B563" s="290">
        <v>558</v>
      </c>
      <c r="C563" s="259">
        <v>46038</v>
      </c>
      <c r="D563" s="249" t="s">
        <v>347</v>
      </c>
      <c r="E563" s="41" t="str">
        <f>IFERROR(VLOOKUP($D563,임시동력입.출고현황!$A:$G,E$5,0),)</f>
        <v>LTG</v>
      </c>
      <c r="F563" s="19" t="str">
        <f>IFERROR(VLOOKUP($D563,임시동력입.출고현황!$A:$G,F$5,0),)</f>
        <v>Lighting Fixture</v>
      </c>
      <c r="G563" s="19">
        <f>IFERROR(VLOOKUP($D563,임시동력입.출고현황!$A:$G,G$5,0),)</f>
        <v>0</v>
      </c>
      <c r="H563" s="19" t="str">
        <f>IFERROR(VLOOKUP($D563,임시동력입.출고현황!$A:$G,H$5,0),)</f>
        <v>200W</v>
      </c>
      <c r="I563" s="10" t="str">
        <f>IFERROR(VLOOKUP($D563,임시동력입.출고현황!$A:$G,I$5,0),)</f>
        <v>EA</v>
      </c>
      <c r="J563" s="249">
        <v>1</v>
      </c>
      <c r="K563" s="250" t="s">
        <v>363</v>
      </c>
      <c r="L563" s="261">
        <v>9</v>
      </c>
      <c r="M563" s="81" t="s">
        <v>439</v>
      </c>
      <c r="N563" s="262"/>
    </row>
    <row r="564" spans="1:14" s="131" customFormat="1" ht="28.2" customHeight="1">
      <c r="A564" s="11">
        <v>559</v>
      </c>
      <c r="B564" s="290">
        <v>559</v>
      </c>
      <c r="C564" s="259">
        <v>46040</v>
      </c>
      <c r="D564" s="249" t="s">
        <v>347</v>
      </c>
      <c r="E564" s="41" t="str">
        <f>IFERROR(VLOOKUP($D564,임시동력입.출고현황!$A:$G,E$5,0),)</f>
        <v>LTG</v>
      </c>
      <c r="F564" s="19" t="str">
        <f>IFERROR(VLOOKUP($D564,임시동력입.출고현황!$A:$G,F$5,0),)</f>
        <v>Lighting Fixture</v>
      </c>
      <c r="G564" s="19">
        <f>IFERROR(VLOOKUP($D564,임시동력입.출고현황!$A:$G,G$5,0),)</f>
        <v>0</v>
      </c>
      <c r="H564" s="19" t="str">
        <f>IFERROR(VLOOKUP($D564,임시동력입.출고현황!$A:$G,H$5,0),)</f>
        <v>200W</v>
      </c>
      <c r="I564" s="10" t="str">
        <f>IFERROR(VLOOKUP($D564,임시동력입.출고현황!$A:$G,I$5,0),)</f>
        <v>EA</v>
      </c>
      <c r="J564" s="249">
        <v>1</v>
      </c>
      <c r="K564" s="250" t="s">
        <v>547</v>
      </c>
      <c r="L564" s="261">
        <v>14</v>
      </c>
      <c r="M564" s="81" t="s">
        <v>439</v>
      </c>
      <c r="N564" s="262"/>
    </row>
    <row r="565" spans="1:14" s="131" customFormat="1" ht="28.2" customHeight="1">
      <c r="A565" s="11">
        <v>560</v>
      </c>
      <c r="B565" s="290">
        <v>560</v>
      </c>
      <c r="C565" s="259">
        <v>46040</v>
      </c>
      <c r="D565" s="249" t="s">
        <v>341</v>
      </c>
      <c r="E565" s="41" t="str">
        <f>IFERROR(VLOOKUP($D565,임시동력입.출고현황!$A:$G,E$5,0),)</f>
        <v>LTG</v>
      </c>
      <c r="F565" s="19" t="str">
        <f>IFERROR(VLOOKUP($D565,임시동력입.출고현황!$A:$G,F$5,0),)</f>
        <v>Lighting Fixture</v>
      </c>
      <c r="G565" s="19">
        <f>IFERROR(VLOOKUP($D565,임시동력입.출고현황!$A:$G,G$5,0),)</f>
        <v>0</v>
      </c>
      <c r="H565" s="19" t="str">
        <f>IFERROR(VLOOKUP($D565,임시동력입.출고현황!$A:$G,H$5,0),)</f>
        <v>400W</v>
      </c>
      <c r="I565" s="10" t="str">
        <f>IFERROR(VLOOKUP($D565,임시동력입.출고현황!$A:$G,I$5,0),)</f>
        <v>EA</v>
      </c>
      <c r="J565" s="249">
        <v>3</v>
      </c>
      <c r="K565" s="250" t="s">
        <v>237</v>
      </c>
      <c r="L565" s="261">
        <v>12</v>
      </c>
      <c r="M565" s="81" t="s">
        <v>439</v>
      </c>
      <c r="N565" s="262"/>
    </row>
    <row r="566" spans="1:14" s="131" customFormat="1" ht="28.2" customHeight="1">
      <c r="A566" s="11">
        <v>561</v>
      </c>
      <c r="B566" s="290">
        <v>561</v>
      </c>
      <c r="C566" s="259">
        <v>46041</v>
      </c>
      <c r="D566" s="249" t="s">
        <v>347</v>
      </c>
      <c r="E566" s="41" t="str">
        <f>IFERROR(VLOOKUP($D566,임시동력입.출고현황!$A:$G,E$5,0),)</f>
        <v>LTG</v>
      </c>
      <c r="F566" s="19" t="str">
        <f>IFERROR(VLOOKUP($D566,임시동력입.출고현황!$A:$G,F$5,0),)</f>
        <v>Lighting Fixture</v>
      </c>
      <c r="G566" s="19">
        <f>IFERROR(VLOOKUP($D566,임시동력입.출고현황!$A:$G,G$5,0),)</f>
        <v>0</v>
      </c>
      <c r="H566" s="19" t="str">
        <f>IFERROR(VLOOKUP($D566,임시동력입.출고현황!$A:$G,H$5,0),)</f>
        <v>200W</v>
      </c>
      <c r="I566" s="10" t="str">
        <f>IFERROR(VLOOKUP($D566,임시동력입.출고현황!$A:$G,I$5,0),)</f>
        <v>EA</v>
      </c>
      <c r="J566" s="249">
        <v>1</v>
      </c>
      <c r="K566" s="250" t="s">
        <v>547</v>
      </c>
      <c r="L566" s="261">
        <v>6</v>
      </c>
      <c r="M566" s="81" t="s">
        <v>439</v>
      </c>
      <c r="N566" s="262"/>
    </row>
    <row r="567" spans="1:14" s="131" customFormat="1" ht="28.2" customHeight="1">
      <c r="A567" s="11">
        <v>562</v>
      </c>
      <c r="B567" s="290">
        <v>562</v>
      </c>
      <c r="C567" s="259">
        <v>46041</v>
      </c>
      <c r="D567" s="249" t="s">
        <v>347</v>
      </c>
      <c r="E567" s="41" t="str">
        <f>IFERROR(VLOOKUP($D567,임시동력입.출고현황!$A:$G,E$5,0),)</f>
        <v>LTG</v>
      </c>
      <c r="F567" s="19" t="str">
        <f>IFERROR(VLOOKUP($D567,임시동력입.출고현황!$A:$G,F$5,0),)</f>
        <v>Lighting Fixture</v>
      </c>
      <c r="G567" s="19">
        <f>IFERROR(VLOOKUP($D567,임시동력입.출고현황!$A:$G,G$5,0),)</f>
        <v>0</v>
      </c>
      <c r="H567" s="19" t="str">
        <f>IFERROR(VLOOKUP($D567,임시동력입.출고현황!$A:$G,H$5,0),)</f>
        <v>200W</v>
      </c>
      <c r="I567" s="10" t="str">
        <f>IFERROR(VLOOKUP($D567,임시동력입.출고현황!$A:$G,I$5,0),)</f>
        <v>EA</v>
      </c>
      <c r="J567" s="249">
        <v>1</v>
      </c>
      <c r="K567" s="250" t="s">
        <v>352</v>
      </c>
      <c r="L567" s="261">
        <v>10</v>
      </c>
      <c r="M567" s="81" t="s">
        <v>439</v>
      </c>
      <c r="N567" s="262" t="s">
        <v>630</v>
      </c>
    </row>
    <row r="568" spans="1:14" s="131" customFormat="1" ht="28.2" customHeight="1">
      <c r="A568" s="11">
        <v>563</v>
      </c>
      <c r="B568" s="290">
        <v>563</v>
      </c>
      <c r="C568" s="259">
        <v>46042</v>
      </c>
      <c r="D568" s="249" t="s">
        <v>348</v>
      </c>
      <c r="E568" s="41" t="str">
        <f>IFERROR(VLOOKUP($D568,임시동력입.출고현황!$A:$G,E$5,0),)</f>
        <v>LTG</v>
      </c>
      <c r="F568" s="19" t="str">
        <f>IFERROR(VLOOKUP($D568,임시동력입.출고현황!$A:$G,F$5,0),)</f>
        <v>Lighting Fixture</v>
      </c>
      <c r="G568" s="19">
        <f>IFERROR(VLOOKUP($D568,임시동력입.출고현황!$A:$G,G$5,0),)</f>
        <v>0</v>
      </c>
      <c r="H568" s="19" t="str">
        <f>IFERROR(VLOOKUP($D568,임시동력입.출고현황!$A:$G,H$5,0),)</f>
        <v>100W</v>
      </c>
      <c r="I568" s="10" t="str">
        <f>IFERROR(VLOOKUP($D568,임시동력입.출고현황!$A:$G,I$5,0),)</f>
        <v>EA</v>
      </c>
      <c r="J568" s="249">
        <v>1</v>
      </c>
      <c r="K568" s="250" t="s">
        <v>363</v>
      </c>
      <c r="L568" s="261">
        <v>20</v>
      </c>
      <c r="M568" s="81" t="s">
        <v>439</v>
      </c>
      <c r="N568" s="262"/>
    </row>
    <row r="569" spans="1:14" s="131" customFormat="1" ht="28.2" customHeight="1">
      <c r="A569" s="11">
        <v>564</v>
      </c>
      <c r="B569" s="290">
        <v>564</v>
      </c>
      <c r="C569" s="259">
        <v>46042</v>
      </c>
      <c r="D569" s="249" t="s">
        <v>347</v>
      </c>
      <c r="E569" s="41" t="str">
        <f>IFERROR(VLOOKUP($D569,임시동력입.출고현황!$A:$G,E$5,0),)</f>
        <v>LTG</v>
      </c>
      <c r="F569" s="19" t="str">
        <f>IFERROR(VLOOKUP($D569,임시동력입.출고현황!$A:$G,F$5,0),)</f>
        <v>Lighting Fixture</v>
      </c>
      <c r="G569" s="19">
        <f>IFERROR(VLOOKUP($D569,임시동력입.출고현황!$A:$G,G$5,0),)</f>
        <v>0</v>
      </c>
      <c r="H569" s="19" t="str">
        <f>IFERROR(VLOOKUP($D569,임시동력입.출고현황!$A:$G,H$5,0),)</f>
        <v>200W</v>
      </c>
      <c r="I569" s="10" t="str">
        <f>IFERROR(VLOOKUP($D569,임시동력입.출고현황!$A:$G,I$5,0),)</f>
        <v>EA</v>
      </c>
      <c r="J569" s="249">
        <v>1</v>
      </c>
      <c r="K569" s="250" t="s">
        <v>352</v>
      </c>
      <c r="L569" s="261">
        <v>6</v>
      </c>
      <c r="M569" s="81" t="s">
        <v>439</v>
      </c>
      <c r="N569" s="262"/>
    </row>
    <row r="570" spans="1:14" s="131" customFormat="1" ht="28.2" customHeight="1">
      <c r="A570" s="11">
        <v>565</v>
      </c>
      <c r="B570" s="290">
        <v>565</v>
      </c>
      <c r="C570" s="259">
        <v>46042</v>
      </c>
      <c r="D570" s="249" t="s">
        <v>341</v>
      </c>
      <c r="E570" s="41" t="str">
        <f>IFERROR(VLOOKUP($D570,임시동력입.출고현황!$A:$G,E$5,0),)</f>
        <v>LTG</v>
      </c>
      <c r="F570" s="19" t="str">
        <f>IFERROR(VLOOKUP($D570,임시동력입.출고현황!$A:$G,F$5,0),)</f>
        <v>Lighting Fixture</v>
      </c>
      <c r="G570" s="19">
        <f>IFERROR(VLOOKUP($D570,임시동력입.출고현황!$A:$G,G$5,0),)</f>
        <v>0</v>
      </c>
      <c r="H570" s="19" t="str">
        <f>IFERROR(VLOOKUP($D570,임시동력입.출고현황!$A:$G,H$5,0),)</f>
        <v>400W</v>
      </c>
      <c r="I570" s="10" t="str">
        <f>IFERROR(VLOOKUP($D570,임시동력입.출고현황!$A:$G,I$5,0),)</f>
        <v>EA</v>
      </c>
      <c r="J570" s="249">
        <v>1</v>
      </c>
      <c r="K570" s="250" t="s">
        <v>352</v>
      </c>
      <c r="L570" s="261">
        <v>10</v>
      </c>
      <c r="M570" s="81" t="s">
        <v>439</v>
      </c>
      <c r="N570" s="262"/>
    </row>
    <row r="571" spans="1:14" s="131" customFormat="1" ht="28.2" customHeight="1">
      <c r="A571" s="11">
        <v>566</v>
      </c>
      <c r="B571" s="290">
        <v>566</v>
      </c>
      <c r="C571" s="259">
        <v>46042</v>
      </c>
      <c r="D571" s="249" t="s">
        <v>347</v>
      </c>
      <c r="E571" s="41" t="str">
        <f>IFERROR(VLOOKUP($D571,임시동력입.출고현황!$A:$G,E$5,0),)</f>
        <v>LTG</v>
      </c>
      <c r="F571" s="19" t="str">
        <f>IFERROR(VLOOKUP($D571,임시동력입.출고현황!$A:$G,F$5,0),)</f>
        <v>Lighting Fixture</v>
      </c>
      <c r="G571" s="19">
        <f>IFERROR(VLOOKUP($D571,임시동력입.출고현황!$A:$G,G$5,0),)</f>
        <v>0</v>
      </c>
      <c r="H571" s="19" t="str">
        <f>IFERROR(VLOOKUP($D571,임시동력입.출고현황!$A:$G,H$5,0),)</f>
        <v>200W</v>
      </c>
      <c r="I571" s="10" t="str">
        <f>IFERROR(VLOOKUP($D571,임시동력입.출고현황!$A:$G,I$5,0),)</f>
        <v>EA</v>
      </c>
      <c r="J571" s="249">
        <v>1</v>
      </c>
      <c r="K571" s="250" t="s">
        <v>352</v>
      </c>
      <c r="L571" s="261">
        <v>10</v>
      </c>
      <c r="M571" s="81" t="s">
        <v>439</v>
      </c>
      <c r="N571" s="262" t="s">
        <v>630</v>
      </c>
    </row>
    <row r="572" spans="1:14" s="131" customFormat="1" ht="28.2" customHeight="1">
      <c r="A572" s="11">
        <v>567</v>
      </c>
      <c r="B572" s="290">
        <v>567</v>
      </c>
      <c r="C572" s="259">
        <v>46042</v>
      </c>
      <c r="D572" s="249" t="s">
        <v>335</v>
      </c>
      <c r="E572" s="41" t="str">
        <f>IFERROR(VLOOKUP($D572,임시동력입.출고현황!$A:$G,E$5,0),)</f>
        <v>Cable</v>
      </c>
      <c r="F572" s="19" t="str">
        <f>IFERROR(VLOOKUP($D572,임시동력입.출고현황!$A:$G,F$5,0),)</f>
        <v>CV Cable</v>
      </c>
      <c r="G572" s="19">
        <f>IFERROR(VLOOKUP($D572,임시동력입.출고현황!$A:$G,G$5,0),)</f>
        <v>0</v>
      </c>
      <c r="H572" s="19" t="str">
        <f>IFERROR(VLOOKUP($D572,임시동력입.출고현황!$A:$G,H$5,0),)</f>
        <v>3C x 2.5mm2</v>
      </c>
      <c r="I572" s="10" t="str">
        <f>IFERROR(VLOOKUP($D572,임시동력입.출고현황!$A:$G,I$5,0),)</f>
        <v>M</v>
      </c>
      <c r="J572" s="249" t="s">
        <v>631</v>
      </c>
      <c r="K572" s="250"/>
      <c r="L572" s="261">
        <v>200</v>
      </c>
      <c r="M572" s="81" t="s">
        <v>439</v>
      </c>
      <c r="N572" s="262"/>
    </row>
    <row r="573" spans="1:14" s="131" customFormat="1" ht="28.2" customHeight="1">
      <c r="A573" s="11">
        <v>568</v>
      </c>
      <c r="B573" s="290">
        <v>568</v>
      </c>
      <c r="C573" s="259">
        <v>46043</v>
      </c>
      <c r="D573" s="249" t="s">
        <v>347</v>
      </c>
      <c r="E573" s="41" t="str">
        <f>IFERROR(VLOOKUP($D573,임시동력입.출고현황!$A:$G,E$5,0),)</f>
        <v>LTG</v>
      </c>
      <c r="F573" s="19" t="str">
        <f>IFERROR(VLOOKUP($D573,임시동력입.출고현황!$A:$G,F$5,0),)</f>
        <v>Lighting Fixture</v>
      </c>
      <c r="G573" s="19">
        <f>IFERROR(VLOOKUP($D573,임시동력입.출고현황!$A:$G,G$5,0),)</f>
        <v>0</v>
      </c>
      <c r="H573" s="19" t="str">
        <f>IFERROR(VLOOKUP($D573,임시동력입.출고현황!$A:$G,H$5,0),)</f>
        <v>200W</v>
      </c>
      <c r="I573" s="10" t="str">
        <f>IFERROR(VLOOKUP($D573,임시동력입.출고현황!$A:$G,I$5,0),)</f>
        <v>EA</v>
      </c>
      <c r="J573" s="249">
        <v>1</v>
      </c>
      <c r="K573" s="250" t="s">
        <v>352</v>
      </c>
      <c r="L573" s="261">
        <v>4</v>
      </c>
      <c r="M573" s="81" t="s">
        <v>439</v>
      </c>
      <c r="N573" s="262"/>
    </row>
    <row r="574" spans="1:14" s="131" customFormat="1" ht="28.2" customHeight="1">
      <c r="A574" s="11">
        <v>569</v>
      </c>
      <c r="B574" s="290">
        <v>569</v>
      </c>
      <c r="C574" s="259">
        <v>46043</v>
      </c>
      <c r="D574" s="249" t="s">
        <v>335</v>
      </c>
      <c r="E574" s="41" t="str">
        <f>IFERROR(VLOOKUP($D574,임시동력입.출고현황!$A:$G,E$5,0),)</f>
        <v>Cable</v>
      </c>
      <c r="F574" s="19" t="str">
        <f>IFERROR(VLOOKUP($D574,임시동력입.출고현황!$A:$G,F$5,0),)</f>
        <v>CV Cable</v>
      </c>
      <c r="G574" s="19">
        <f>IFERROR(VLOOKUP($D574,임시동력입.출고현황!$A:$G,G$5,0),)</f>
        <v>0</v>
      </c>
      <c r="H574" s="19" t="str">
        <f>IFERROR(VLOOKUP($D574,임시동력입.출고현황!$A:$G,H$5,0),)</f>
        <v>3C x 2.5mm2</v>
      </c>
      <c r="I574" s="10" t="str">
        <f>IFERROR(VLOOKUP($D574,임시동력입.출고현황!$A:$G,I$5,0),)</f>
        <v>M</v>
      </c>
      <c r="J574" s="249">
        <v>1</v>
      </c>
      <c r="K574" s="250" t="s">
        <v>352</v>
      </c>
      <c r="L574" s="261">
        <v>70</v>
      </c>
      <c r="M574" s="81" t="s">
        <v>439</v>
      </c>
      <c r="N574" s="262"/>
    </row>
    <row r="575" spans="1:14" s="131" customFormat="1" ht="28.2" customHeight="1">
      <c r="A575" s="11">
        <v>570</v>
      </c>
      <c r="B575" s="290">
        <v>570</v>
      </c>
      <c r="C575" s="259">
        <v>46043</v>
      </c>
      <c r="D575" s="249" t="s">
        <v>349</v>
      </c>
      <c r="E575" s="41" t="str">
        <f>IFERROR(VLOOKUP($D575,임시동력입.출고현황!$A:$G,E$5,0),)</f>
        <v>LTG</v>
      </c>
      <c r="F575" s="19" t="str">
        <f>IFERROR(VLOOKUP($D575,임시동력입.출고현황!$A:$G,F$5,0),)</f>
        <v>Lighting Fixture</v>
      </c>
      <c r="G575" s="19">
        <f>IFERROR(VLOOKUP($D575,임시동력입.출고현황!$A:$G,G$5,0),)</f>
        <v>0</v>
      </c>
      <c r="H575" s="19" t="str">
        <f>IFERROR(VLOOKUP($D575,임시동력입.출고현황!$A:$G,H$5,0),)</f>
        <v>50W</v>
      </c>
      <c r="I575" s="10" t="str">
        <f>IFERROR(VLOOKUP($D575,임시동력입.출고현황!$A:$G,I$5,0),)</f>
        <v>EA</v>
      </c>
      <c r="J575" s="249">
        <v>1</v>
      </c>
      <c r="K575" s="250" t="s">
        <v>352</v>
      </c>
      <c r="L575" s="261">
        <v>7</v>
      </c>
      <c r="M575" s="81" t="s">
        <v>439</v>
      </c>
      <c r="N575" s="262"/>
    </row>
    <row r="576" spans="1:14" s="131" customFormat="1" ht="28.2" customHeight="1">
      <c r="A576" s="11">
        <v>571</v>
      </c>
      <c r="B576" s="290">
        <v>571</v>
      </c>
      <c r="C576" s="259">
        <v>46044</v>
      </c>
      <c r="D576" s="249" t="s">
        <v>349</v>
      </c>
      <c r="E576" s="41" t="str">
        <f>IFERROR(VLOOKUP($D576,임시동력입.출고현황!$A:$G,E$5,0),)</f>
        <v>LTG</v>
      </c>
      <c r="F576" s="19" t="str">
        <f>IFERROR(VLOOKUP($D576,임시동력입.출고현황!$A:$G,F$5,0),)</f>
        <v>Lighting Fixture</v>
      </c>
      <c r="G576" s="19">
        <f>IFERROR(VLOOKUP($D576,임시동력입.출고현황!$A:$G,G$5,0),)</f>
        <v>0</v>
      </c>
      <c r="H576" s="19" t="str">
        <f>IFERROR(VLOOKUP($D576,임시동력입.출고현황!$A:$G,H$5,0),)</f>
        <v>50W</v>
      </c>
      <c r="I576" s="10" t="str">
        <f>IFERROR(VLOOKUP($D576,임시동력입.출고현황!$A:$G,I$5,0),)</f>
        <v>EA</v>
      </c>
      <c r="J576" s="249">
        <v>1</v>
      </c>
      <c r="K576" s="250" t="s">
        <v>363</v>
      </c>
      <c r="L576" s="261">
        <v>12</v>
      </c>
      <c r="M576" s="81" t="s">
        <v>439</v>
      </c>
      <c r="N576" s="262"/>
    </row>
    <row r="577" spans="1:14" s="131" customFormat="1" ht="28.2" customHeight="1">
      <c r="A577" s="11">
        <v>572</v>
      </c>
      <c r="B577" s="290">
        <v>572</v>
      </c>
      <c r="C577" s="259">
        <v>46044</v>
      </c>
      <c r="D577" s="249" t="s">
        <v>334</v>
      </c>
      <c r="E577" s="41" t="str">
        <f>IFERROR(VLOOKUP($D577,임시동력입.출고현황!$A:$G,E$5,0),)</f>
        <v>Cable</v>
      </c>
      <c r="F577" s="19" t="str">
        <f>IFERROR(VLOOKUP($D577,임시동력입.출고현황!$A:$G,F$5,0),)</f>
        <v>CV Cable</v>
      </c>
      <c r="G577" s="19">
        <f>IFERROR(VLOOKUP($D577,임시동력입.출고현황!$A:$G,G$5,0),)</f>
        <v>0</v>
      </c>
      <c r="H577" s="19" t="str">
        <f>IFERROR(VLOOKUP($D577,임시동력입.출고현황!$A:$G,H$5,0),)</f>
        <v>3C x 4mm2</v>
      </c>
      <c r="I577" s="10" t="str">
        <f>IFERROR(VLOOKUP($D577,임시동력입.출고현황!$A:$G,I$5,0),)</f>
        <v>M</v>
      </c>
      <c r="J577" s="249">
        <v>1</v>
      </c>
      <c r="K577" s="250" t="s">
        <v>363</v>
      </c>
      <c r="L577" s="261">
        <v>100</v>
      </c>
      <c r="M577" s="81" t="s">
        <v>439</v>
      </c>
      <c r="N577" s="262"/>
    </row>
    <row r="578" spans="1:14" s="131" customFormat="1" ht="28.2" customHeight="1">
      <c r="A578" s="11">
        <v>573</v>
      </c>
      <c r="B578" s="290">
        <v>573</v>
      </c>
      <c r="C578" s="259">
        <v>46044</v>
      </c>
      <c r="D578" s="249" t="s">
        <v>411</v>
      </c>
      <c r="E578" s="41" t="str">
        <f>IFERROR(VLOOKUP($D578,임시동력입.출고현황!$A:$G,E$5,0),)</f>
        <v>Cable</v>
      </c>
      <c r="F578" s="19" t="str">
        <f>IFERROR(VLOOKUP($D578,임시동력입.출고현황!$A:$G,F$5,0),)</f>
        <v>CV Cable</v>
      </c>
      <c r="G578" s="19">
        <f>IFERROR(VLOOKUP($D578,임시동력입.출고현황!$A:$G,G$5,0),)</f>
        <v>0</v>
      </c>
      <c r="H578" s="19" t="str">
        <f>IFERROR(VLOOKUP($D578,임시동력입.출고현황!$A:$G,H$5,0),)</f>
        <v>3C x 3mm2</v>
      </c>
      <c r="I578" s="10" t="str">
        <f>IFERROR(VLOOKUP($D578,임시동력입.출고현황!$A:$G,I$5,0),)</f>
        <v>M</v>
      </c>
      <c r="J578" s="249">
        <v>1</v>
      </c>
      <c r="K578" s="250" t="s">
        <v>363</v>
      </c>
      <c r="L578" s="261">
        <v>200</v>
      </c>
      <c r="M578" s="81" t="s">
        <v>439</v>
      </c>
      <c r="N578" s="262"/>
    </row>
    <row r="579" spans="1:14" s="131" customFormat="1" ht="28.2" customHeight="1">
      <c r="A579" s="11">
        <v>574</v>
      </c>
      <c r="B579" s="290">
        <v>574</v>
      </c>
      <c r="C579" s="259">
        <v>46044</v>
      </c>
      <c r="D579" s="249" t="s">
        <v>559</v>
      </c>
      <c r="E579" s="41" t="str">
        <f>IFERROR(VLOOKUP($D579,임시동력입.출고현황!$A:$G,E$5,0),)</f>
        <v>Panel</v>
      </c>
      <c r="F579" s="19" t="str">
        <f>IFERROR(VLOOKUP($D579,임시동력입.출고현황!$A:$G,F$5,0),)</f>
        <v>Electrical Panel</v>
      </c>
      <c r="G579" s="19">
        <f>IFERROR(VLOOKUP($D579,임시동력입.출고현황!$A:$G,G$5,0),)</f>
        <v>0</v>
      </c>
      <c r="H579" s="19" t="str">
        <f>IFERROR(VLOOKUP($D579,임시동력입.출고현황!$A:$G,H$5,0),)</f>
        <v>63A</v>
      </c>
      <c r="I579" s="10" t="str">
        <f>IFERROR(VLOOKUP($D579,임시동력입.출고현황!$A:$G,I$5,0),)</f>
        <v>EA</v>
      </c>
      <c r="J579" s="249">
        <v>1</v>
      </c>
      <c r="K579" s="250" t="s">
        <v>363</v>
      </c>
      <c r="L579" s="261">
        <v>1</v>
      </c>
      <c r="M579" s="81" t="s">
        <v>439</v>
      </c>
      <c r="N579" s="262"/>
    </row>
    <row r="580" spans="1:14" s="131" customFormat="1" ht="28.2" customHeight="1">
      <c r="A580" s="11">
        <v>575</v>
      </c>
      <c r="B580" s="290">
        <v>575</v>
      </c>
      <c r="C580" s="259">
        <v>46045</v>
      </c>
      <c r="D580" s="249" t="s">
        <v>341</v>
      </c>
      <c r="E580" s="41" t="str">
        <f>IFERROR(VLOOKUP($D580,임시동력입.출고현황!$A:$G,E$5,0),)</f>
        <v>LTG</v>
      </c>
      <c r="F580" s="19" t="str">
        <f>IFERROR(VLOOKUP($D580,임시동력입.출고현황!$A:$G,F$5,0),)</f>
        <v>Lighting Fixture</v>
      </c>
      <c r="G580" s="19">
        <f>IFERROR(VLOOKUP($D580,임시동력입.출고현황!$A:$G,G$5,0),)</f>
        <v>0</v>
      </c>
      <c r="H580" s="19" t="str">
        <f>IFERROR(VLOOKUP($D580,임시동력입.출고현황!$A:$G,H$5,0),)</f>
        <v>400W</v>
      </c>
      <c r="I580" s="10" t="str">
        <f>IFERROR(VLOOKUP($D580,임시동력입.출고현황!$A:$G,I$5,0),)</f>
        <v>EA</v>
      </c>
      <c r="J580" s="249">
        <v>1</v>
      </c>
      <c r="K580" s="250" t="s">
        <v>352</v>
      </c>
      <c r="L580" s="261">
        <v>6</v>
      </c>
      <c r="M580" s="81" t="s">
        <v>439</v>
      </c>
      <c r="N580" s="262"/>
    </row>
    <row r="581" spans="1:14" s="131" customFormat="1" ht="28.2" customHeight="1">
      <c r="A581" s="11">
        <v>576</v>
      </c>
      <c r="B581" s="290">
        <v>576</v>
      </c>
      <c r="C581" s="259">
        <v>46045</v>
      </c>
      <c r="D581" s="249" t="s">
        <v>331</v>
      </c>
      <c r="E581" s="41" t="str">
        <f>IFERROR(VLOOKUP($D581,임시동력입.출고현황!$A:$G,E$5,0),)</f>
        <v>Cable</v>
      </c>
      <c r="F581" s="19" t="str">
        <f>IFERROR(VLOOKUP($D581,임시동력입.출고현황!$A:$G,F$5,0),)</f>
        <v>CV Cable</v>
      </c>
      <c r="G581" s="19">
        <f>IFERROR(VLOOKUP($D581,임시동력입.출고현황!$A:$G,G$5,0),)</f>
        <v>0</v>
      </c>
      <c r="H581" s="19" t="str">
        <f>IFERROR(VLOOKUP($D581,임시동력입.출고현황!$A:$G,H$5,0),)</f>
        <v>4C x 6mm2</v>
      </c>
      <c r="I581" s="10" t="str">
        <f>IFERROR(VLOOKUP($D581,임시동력입.출고현황!$A:$G,I$5,0),)</f>
        <v>M</v>
      </c>
      <c r="J581" s="249">
        <v>4</v>
      </c>
      <c r="K581" s="250" t="s">
        <v>359</v>
      </c>
      <c r="L581" s="261">
        <v>100</v>
      </c>
      <c r="M581" s="81" t="s">
        <v>439</v>
      </c>
      <c r="N581" s="262"/>
    </row>
    <row r="582" spans="1:14" s="131" customFormat="1" ht="28.2" customHeight="1">
      <c r="A582" s="11">
        <v>577</v>
      </c>
      <c r="B582" s="290">
        <v>577</v>
      </c>
      <c r="C582" s="259">
        <v>46045</v>
      </c>
      <c r="D582" s="249" t="s">
        <v>411</v>
      </c>
      <c r="E582" s="41" t="str">
        <f>IFERROR(VLOOKUP($D582,임시동력입.출고현황!$A:$G,E$5,0),)</f>
        <v>Cable</v>
      </c>
      <c r="F582" s="19" t="str">
        <f>IFERROR(VLOOKUP($D582,임시동력입.출고현황!$A:$G,F$5,0),)</f>
        <v>CV Cable</v>
      </c>
      <c r="G582" s="19">
        <f>IFERROR(VLOOKUP($D582,임시동력입.출고현황!$A:$G,G$5,0),)</f>
        <v>0</v>
      </c>
      <c r="H582" s="19" t="str">
        <f>IFERROR(VLOOKUP($D582,임시동력입.출고현황!$A:$G,H$5,0),)</f>
        <v>3C x 3mm2</v>
      </c>
      <c r="I582" s="10" t="str">
        <f>IFERROR(VLOOKUP($D582,임시동력입.출고현황!$A:$G,I$5,0),)</f>
        <v>M</v>
      </c>
      <c r="J582" s="249">
        <v>3</v>
      </c>
      <c r="K582" s="250"/>
      <c r="L582" s="261">
        <v>200</v>
      </c>
      <c r="M582" s="81" t="s">
        <v>439</v>
      </c>
      <c r="N582" s="262"/>
    </row>
    <row r="583" spans="1:14" s="131" customFormat="1" ht="28.2" customHeight="1">
      <c r="A583" s="11">
        <v>578</v>
      </c>
      <c r="B583" s="290">
        <v>578</v>
      </c>
      <c r="C583" s="259">
        <v>46046</v>
      </c>
      <c r="D583" s="249" t="s">
        <v>341</v>
      </c>
      <c r="E583" s="41" t="str">
        <f>IFERROR(VLOOKUP($D583,임시동력입.출고현황!$A:$G,E$5,0),)</f>
        <v>LTG</v>
      </c>
      <c r="F583" s="19" t="str">
        <f>IFERROR(VLOOKUP($D583,임시동력입.출고현황!$A:$G,F$5,0),)</f>
        <v>Lighting Fixture</v>
      </c>
      <c r="G583" s="19">
        <f>IFERROR(VLOOKUP($D583,임시동력입.출고현황!$A:$G,G$5,0),)</f>
        <v>0</v>
      </c>
      <c r="H583" s="19" t="str">
        <f>IFERROR(VLOOKUP($D583,임시동력입.출고현황!$A:$G,H$5,0),)</f>
        <v>400W</v>
      </c>
      <c r="I583" s="10" t="str">
        <f>IFERROR(VLOOKUP($D583,임시동력입.출고현황!$A:$G,I$5,0),)</f>
        <v>EA</v>
      </c>
      <c r="J583" s="249">
        <v>4</v>
      </c>
      <c r="K583" s="250" t="s">
        <v>359</v>
      </c>
      <c r="L583" s="261">
        <v>14</v>
      </c>
      <c r="M583" s="81" t="s">
        <v>439</v>
      </c>
      <c r="N583" s="262"/>
    </row>
    <row r="584" spans="1:14" s="131" customFormat="1" ht="28.2" customHeight="1">
      <c r="A584" s="11">
        <v>579</v>
      </c>
      <c r="B584" s="290">
        <v>579</v>
      </c>
      <c r="C584" s="259">
        <v>46047</v>
      </c>
      <c r="D584" s="249" t="s">
        <v>341</v>
      </c>
      <c r="E584" s="41" t="str">
        <f>IFERROR(VLOOKUP($D584,임시동력입.출고현황!$A:$G,E$5,0),)</f>
        <v>LTG</v>
      </c>
      <c r="F584" s="19" t="str">
        <f>IFERROR(VLOOKUP($D584,임시동력입.출고현황!$A:$G,F$5,0),)</f>
        <v>Lighting Fixture</v>
      </c>
      <c r="G584" s="19">
        <f>IFERROR(VLOOKUP($D584,임시동력입.출고현황!$A:$G,G$5,0),)</f>
        <v>0</v>
      </c>
      <c r="H584" s="19" t="str">
        <f>IFERROR(VLOOKUP($D584,임시동력입.출고현황!$A:$G,H$5,0),)</f>
        <v>400W</v>
      </c>
      <c r="I584" s="10" t="str">
        <f>IFERROR(VLOOKUP($D584,임시동력입.출고현황!$A:$G,I$5,0),)</f>
        <v>EA</v>
      </c>
      <c r="J584" s="249">
        <v>1</v>
      </c>
      <c r="K584" s="250" t="s">
        <v>363</v>
      </c>
      <c r="L584" s="261">
        <v>4</v>
      </c>
      <c r="M584" s="81" t="s">
        <v>439</v>
      </c>
      <c r="N584" s="262"/>
    </row>
    <row r="585" spans="1:14" s="131" customFormat="1" ht="28.2" customHeight="1">
      <c r="A585" s="11">
        <v>580</v>
      </c>
      <c r="B585" s="290">
        <v>580</v>
      </c>
      <c r="C585" s="259">
        <v>46048</v>
      </c>
      <c r="D585" s="249" t="s">
        <v>559</v>
      </c>
      <c r="E585" s="41" t="str">
        <f>IFERROR(VLOOKUP($D585,임시동력입.출고현황!$A:$G,E$5,0),)</f>
        <v>Panel</v>
      </c>
      <c r="F585" s="19" t="str">
        <f>IFERROR(VLOOKUP($D585,임시동력입.출고현황!$A:$G,F$5,0),)</f>
        <v>Electrical Panel</v>
      </c>
      <c r="G585" s="19">
        <f>IFERROR(VLOOKUP($D585,임시동력입.출고현황!$A:$G,G$5,0),)</f>
        <v>0</v>
      </c>
      <c r="H585" s="19" t="str">
        <f>IFERROR(VLOOKUP($D585,임시동력입.출고현황!$A:$G,H$5,0),)</f>
        <v>63A</v>
      </c>
      <c r="I585" s="10" t="str">
        <f>IFERROR(VLOOKUP($D585,임시동력입.출고현황!$A:$G,I$5,0),)</f>
        <v>EA</v>
      </c>
      <c r="J585" s="249">
        <v>1</v>
      </c>
      <c r="K585" s="250" t="s">
        <v>363</v>
      </c>
      <c r="L585" s="261">
        <v>1</v>
      </c>
      <c r="M585" s="81" t="s">
        <v>439</v>
      </c>
      <c r="N585" s="262"/>
    </row>
    <row r="586" spans="1:14" s="131" customFormat="1" ht="28.2" customHeight="1">
      <c r="A586" s="11">
        <v>581</v>
      </c>
      <c r="B586" s="290">
        <v>581</v>
      </c>
      <c r="C586" s="259">
        <v>46048</v>
      </c>
      <c r="D586" s="249" t="s">
        <v>479</v>
      </c>
      <c r="E586" s="41" t="str">
        <f>IFERROR(VLOOKUP($D586,임시동력입.출고현황!$A:$G,E$5,0),)</f>
        <v>MCB</v>
      </c>
      <c r="F586" s="19" t="str">
        <f>IFERROR(VLOOKUP($D586,임시동력입.출고현황!$A:$G,F$5,0),)</f>
        <v>MCB</v>
      </c>
      <c r="G586" s="19">
        <f>IFERROR(VLOOKUP($D586,임시동력입.출고현황!$A:$G,G$5,0),)</f>
        <v>0</v>
      </c>
      <c r="H586" s="19" t="str">
        <f>IFERROR(VLOOKUP($D586,임시동력입.출고현황!$A:$G,H$5,0),)</f>
        <v>3P - 63A</v>
      </c>
      <c r="I586" s="10" t="str">
        <f>IFERROR(VLOOKUP($D586,임시동력입.출고현황!$A:$G,I$5,0),)</f>
        <v>EA</v>
      </c>
      <c r="J586" s="249">
        <v>3</v>
      </c>
      <c r="K586" s="250" t="s">
        <v>550</v>
      </c>
      <c r="L586" s="261">
        <v>2</v>
      </c>
      <c r="M586" s="81" t="s">
        <v>439</v>
      </c>
      <c r="N586" s="262"/>
    </row>
    <row r="587" spans="1:14" s="131" customFormat="1" ht="28.2" customHeight="1">
      <c r="A587" s="11">
        <v>582</v>
      </c>
      <c r="B587" s="290">
        <v>582</v>
      </c>
      <c r="C587" s="259">
        <v>46048</v>
      </c>
      <c r="D587" s="263" t="s">
        <v>481</v>
      </c>
      <c r="E587" s="41" t="str">
        <f>IFERROR(VLOOKUP($D587,임시동력입.출고현황!$A:$G,E$5,0),)</f>
        <v>MCB</v>
      </c>
      <c r="F587" s="19" t="str">
        <f>IFERROR(VLOOKUP($D587,임시동력입.출고현황!$A:$G,F$5,0),)</f>
        <v>RCBO</v>
      </c>
      <c r="G587" s="19">
        <f>IFERROR(VLOOKUP($D587,임시동력입.출고현황!$A:$G,G$5,0),)</f>
        <v>0</v>
      </c>
      <c r="H587" s="19" t="str">
        <f>IFERROR(VLOOKUP($D587,임시동력입.출고현황!$A:$G,H$5,0),)</f>
        <v>1P + N -25A - 30 mA</v>
      </c>
      <c r="I587" s="10" t="str">
        <f>IFERROR(VLOOKUP($D587,임시동력입.출고현황!$A:$G,I$5,0),)</f>
        <v>EA</v>
      </c>
      <c r="J587" s="249">
        <v>3</v>
      </c>
      <c r="K587" s="250" t="s">
        <v>550</v>
      </c>
      <c r="L587" s="261">
        <v>1</v>
      </c>
      <c r="M587" s="81" t="s">
        <v>439</v>
      </c>
      <c r="N587" s="262"/>
    </row>
    <row r="588" spans="1:14" s="131" customFormat="1" ht="28.2" customHeight="1">
      <c r="A588" s="11">
        <v>583</v>
      </c>
      <c r="B588" s="290">
        <v>583</v>
      </c>
      <c r="C588" s="259">
        <v>46049</v>
      </c>
      <c r="D588" s="249" t="s">
        <v>348</v>
      </c>
      <c r="E588" s="41" t="str">
        <f>IFERROR(VLOOKUP($D588,임시동력입.출고현황!$A:$G,E$5,0),)</f>
        <v>LTG</v>
      </c>
      <c r="F588" s="19" t="str">
        <f>IFERROR(VLOOKUP($D588,임시동력입.출고현황!$A:$G,F$5,0),)</f>
        <v>Lighting Fixture</v>
      </c>
      <c r="G588" s="19">
        <f>IFERROR(VLOOKUP($D588,임시동력입.출고현황!$A:$G,G$5,0),)</f>
        <v>0</v>
      </c>
      <c r="H588" s="19" t="str">
        <f>IFERROR(VLOOKUP($D588,임시동력입.출고현황!$A:$G,H$5,0),)</f>
        <v>100W</v>
      </c>
      <c r="I588" s="10" t="str">
        <f>IFERROR(VLOOKUP($D588,임시동력입.출고현황!$A:$G,I$5,0),)</f>
        <v>EA</v>
      </c>
      <c r="J588" s="249">
        <v>1</v>
      </c>
      <c r="K588" s="250" t="s">
        <v>352</v>
      </c>
      <c r="L588" s="261">
        <v>15</v>
      </c>
      <c r="M588" s="81" t="s">
        <v>439</v>
      </c>
      <c r="N588" s="262"/>
    </row>
    <row r="589" spans="1:14" s="131" customFormat="1" ht="28.2" customHeight="1">
      <c r="A589" s="11">
        <v>584</v>
      </c>
      <c r="B589" s="290">
        <v>584</v>
      </c>
      <c r="C589" s="259">
        <v>46050</v>
      </c>
      <c r="D589" s="249" t="s">
        <v>411</v>
      </c>
      <c r="E589" s="41" t="str">
        <f>IFERROR(VLOOKUP($D589,임시동력입.출고현황!$A:$G,E$5,0),)</f>
        <v>Cable</v>
      </c>
      <c r="F589" s="19" t="str">
        <f>IFERROR(VLOOKUP($D589,임시동력입.출고현황!$A:$G,F$5,0),)</f>
        <v>CV Cable</v>
      </c>
      <c r="G589" s="19">
        <f>IFERROR(VLOOKUP($D589,임시동력입.출고현황!$A:$G,G$5,0),)</f>
        <v>0</v>
      </c>
      <c r="H589" s="19" t="str">
        <f>IFERROR(VLOOKUP($D589,임시동력입.출고현황!$A:$G,H$5,0),)</f>
        <v>3C x 3mm2</v>
      </c>
      <c r="I589" s="10" t="str">
        <f>IFERROR(VLOOKUP($D589,임시동력입.출고현황!$A:$G,I$5,0),)</f>
        <v>M</v>
      </c>
      <c r="J589" s="249">
        <v>3</v>
      </c>
      <c r="K589" s="250" t="s">
        <v>237</v>
      </c>
      <c r="L589" s="261">
        <v>100</v>
      </c>
      <c r="M589" s="81" t="s">
        <v>439</v>
      </c>
      <c r="N589" s="262"/>
    </row>
    <row r="590" spans="1:14" s="131" customFormat="1" ht="28.2" customHeight="1">
      <c r="A590" s="11">
        <v>585</v>
      </c>
      <c r="B590" s="290">
        <v>585</v>
      </c>
      <c r="C590" s="259">
        <v>46050</v>
      </c>
      <c r="D590" s="249" t="s">
        <v>341</v>
      </c>
      <c r="E590" s="41" t="str">
        <f>IFERROR(VLOOKUP($D590,임시동력입.출고현황!$A:$G,E$5,0),)</f>
        <v>LTG</v>
      </c>
      <c r="F590" s="19" t="str">
        <f>IFERROR(VLOOKUP($D590,임시동력입.출고현황!$A:$G,F$5,0),)</f>
        <v>Lighting Fixture</v>
      </c>
      <c r="G590" s="19">
        <f>IFERROR(VLOOKUP($D590,임시동력입.출고현황!$A:$G,G$5,0),)</f>
        <v>0</v>
      </c>
      <c r="H590" s="19" t="str">
        <f>IFERROR(VLOOKUP($D590,임시동력입.출고현황!$A:$G,H$5,0),)</f>
        <v>400W</v>
      </c>
      <c r="I590" s="10" t="str">
        <f>IFERROR(VLOOKUP($D590,임시동력입.출고현황!$A:$G,I$5,0),)</f>
        <v>EA</v>
      </c>
      <c r="J590" s="249">
        <v>4</v>
      </c>
      <c r="K590" s="250" t="s">
        <v>359</v>
      </c>
      <c r="L590" s="261">
        <v>6</v>
      </c>
      <c r="M590" s="81" t="s">
        <v>439</v>
      </c>
      <c r="N590" s="262"/>
    </row>
    <row r="591" spans="1:14" s="306" customFormat="1" ht="28.2" customHeight="1">
      <c r="A591" s="11">
        <v>586</v>
      </c>
      <c r="B591" s="290">
        <v>586</v>
      </c>
      <c r="C591" s="129">
        <v>46050</v>
      </c>
      <c r="D591" s="10" t="s">
        <v>349</v>
      </c>
      <c r="E591" s="41" t="str">
        <f>IFERROR(VLOOKUP($D591,임시동력입.출고현황!$A:$G,E$5,0),)</f>
        <v>LTG</v>
      </c>
      <c r="F591" s="19" t="str">
        <f>IFERROR(VLOOKUP($D591,임시동력입.출고현황!$A:$G,F$5,0),)</f>
        <v>Lighting Fixture</v>
      </c>
      <c r="G591" s="19">
        <f>IFERROR(VLOOKUP($D591,임시동력입.출고현황!$A:$G,G$5,0),)</f>
        <v>0</v>
      </c>
      <c r="H591" s="19" t="str">
        <f>IFERROR(VLOOKUP($D591,임시동력입.출고현황!$A:$G,H$5,0),)</f>
        <v>50W</v>
      </c>
      <c r="I591" s="10" t="str">
        <f>IFERROR(VLOOKUP($D591,임시동력입.출고현황!$A:$G,I$5,0),)</f>
        <v>EA</v>
      </c>
      <c r="J591" s="10">
        <v>1</v>
      </c>
      <c r="K591" s="95" t="s">
        <v>363</v>
      </c>
      <c r="L591" s="57">
        <v>1</v>
      </c>
      <c r="M591" s="81" t="s">
        <v>439</v>
      </c>
      <c r="N591" s="134"/>
    </row>
    <row r="592" spans="1:14" s="306" customFormat="1" ht="28.2" customHeight="1">
      <c r="A592" s="11">
        <v>587</v>
      </c>
      <c r="B592" s="290">
        <v>587</v>
      </c>
      <c r="C592" s="129">
        <v>46050</v>
      </c>
      <c r="D592" s="10" t="s">
        <v>348</v>
      </c>
      <c r="E592" s="41" t="str">
        <f>IFERROR(VLOOKUP($D592,임시동력입.출고현황!$A:$G,E$5,0),)</f>
        <v>LTG</v>
      </c>
      <c r="F592" s="19" t="str">
        <f>IFERROR(VLOOKUP($D592,임시동력입.출고현황!$A:$G,F$5,0),)</f>
        <v>Lighting Fixture</v>
      </c>
      <c r="G592" s="19">
        <f>IFERROR(VLOOKUP($D592,임시동력입.출고현황!$A:$G,G$5,0),)</f>
        <v>0</v>
      </c>
      <c r="H592" s="19" t="str">
        <f>IFERROR(VLOOKUP($D592,임시동력입.출고현황!$A:$G,H$5,0),)</f>
        <v>100W</v>
      </c>
      <c r="I592" s="10" t="str">
        <f>IFERROR(VLOOKUP($D592,임시동력입.출고현황!$A:$G,I$5,0),)</f>
        <v>EA</v>
      </c>
      <c r="J592" s="10">
        <v>1</v>
      </c>
      <c r="K592" s="95" t="s">
        <v>352</v>
      </c>
      <c r="L592" s="57">
        <v>1</v>
      </c>
      <c r="M592" s="81" t="s">
        <v>439</v>
      </c>
      <c r="N592" s="134"/>
    </row>
    <row r="593" spans="1:14" s="306" customFormat="1" ht="28.2" customHeight="1">
      <c r="A593" s="11">
        <v>588</v>
      </c>
      <c r="B593" s="290">
        <v>588</v>
      </c>
      <c r="C593" s="129">
        <v>46053</v>
      </c>
      <c r="D593" s="10" t="s">
        <v>327</v>
      </c>
      <c r="E593" s="41" t="str">
        <f>IFERROR(VLOOKUP($D593,임시동력입.출고현황!$A:$G,E$5,0),)</f>
        <v>Cable</v>
      </c>
      <c r="F593" s="19" t="str">
        <f>IFERROR(VLOOKUP($D593,임시동력입.출고현황!$A:$G,F$5,0),)</f>
        <v>CV Cable</v>
      </c>
      <c r="G593" s="19">
        <f>IFERROR(VLOOKUP($D593,임시동력입.출고현황!$A:$G,G$5,0),)</f>
        <v>0</v>
      </c>
      <c r="H593" s="19" t="str">
        <f>IFERROR(VLOOKUP($D593,임시동력입.출고현황!$A:$G,H$5,0),)</f>
        <v>4C x 35mm2</v>
      </c>
      <c r="I593" s="10" t="str">
        <f>IFERROR(VLOOKUP($D593,임시동력입.출고현황!$A:$G,I$5,0),)</f>
        <v>M</v>
      </c>
      <c r="J593" s="10">
        <v>3</v>
      </c>
      <c r="K593" s="95" t="s">
        <v>237</v>
      </c>
      <c r="L593" s="57">
        <v>50</v>
      </c>
      <c r="M593" s="81" t="s">
        <v>439</v>
      </c>
      <c r="N593" s="134"/>
    </row>
    <row r="594" spans="1:14" s="306" customFormat="1" ht="28.2" customHeight="1">
      <c r="A594" s="11">
        <v>589</v>
      </c>
      <c r="B594" s="290">
        <v>589</v>
      </c>
      <c r="C594" s="129">
        <v>46054</v>
      </c>
      <c r="D594" s="10" t="s">
        <v>307</v>
      </c>
      <c r="E594" s="41" t="str">
        <f>IFERROR(VLOOKUP($D594,임시동력입.출고현황!$A:$G,E$5,0),)</f>
        <v>Panel</v>
      </c>
      <c r="F594" s="19" t="str">
        <f>IFERROR(VLOOKUP($D594,임시동력입.출고현황!$A:$G,F$5,0),)</f>
        <v>Electrical Panel</v>
      </c>
      <c r="G594" s="19">
        <f>IFERROR(VLOOKUP($D594,임시동력입.출고현황!$A:$G,G$5,0),)</f>
        <v>0</v>
      </c>
      <c r="H594" s="19" t="str">
        <f>IFERROR(VLOOKUP($D594,임시동력입.출고현황!$A:$G,H$5,0),)</f>
        <v>160A</v>
      </c>
      <c r="I594" s="10" t="str">
        <f>IFERROR(VLOOKUP($D594,임시동력입.출고현황!$A:$G,I$5,0),)</f>
        <v>EA</v>
      </c>
      <c r="J594" s="10">
        <v>1</v>
      </c>
      <c r="K594" s="95" t="s">
        <v>352</v>
      </c>
      <c r="L594" s="57">
        <v>1</v>
      </c>
      <c r="M594" s="81" t="s">
        <v>439</v>
      </c>
      <c r="N594" s="134"/>
    </row>
    <row r="595" spans="1:14" s="306" customFormat="1" ht="28.2" customHeight="1">
      <c r="A595" s="11">
        <v>590</v>
      </c>
      <c r="B595" s="290">
        <v>590</v>
      </c>
      <c r="C595" s="129">
        <v>46054</v>
      </c>
      <c r="D595" s="10" t="s">
        <v>411</v>
      </c>
      <c r="E595" s="41" t="str">
        <f>IFERROR(VLOOKUP($D595,임시동력입.출고현황!$A:$G,E$5,0),)</f>
        <v>Cable</v>
      </c>
      <c r="F595" s="19" t="str">
        <f>IFERROR(VLOOKUP($D595,임시동력입.출고현황!$A:$G,F$5,0),)</f>
        <v>CV Cable</v>
      </c>
      <c r="G595" s="19">
        <f>IFERROR(VLOOKUP($D595,임시동력입.출고현황!$A:$G,G$5,0),)</f>
        <v>0</v>
      </c>
      <c r="H595" s="19" t="str">
        <f>IFERROR(VLOOKUP($D595,임시동력입.출고현황!$A:$G,H$5,0),)</f>
        <v>3C x 3mm2</v>
      </c>
      <c r="I595" s="10" t="str">
        <f>IFERROR(VLOOKUP($D595,임시동력입.출고현황!$A:$G,I$5,0),)</f>
        <v>M</v>
      </c>
      <c r="J595" s="10">
        <v>3</v>
      </c>
      <c r="K595" s="95" t="s">
        <v>237</v>
      </c>
      <c r="L595" s="57">
        <v>100</v>
      </c>
      <c r="M595" s="81" t="s">
        <v>439</v>
      </c>
      <c r="N595" s="134"/>
    </row>
    <row r="596" spans="1:14" s="306" customFormat="1" ht="28.2" customHeight="1">
      <c r="A596" s="11">
        <v>591</v>
      </c>
      <c r="B596" s="290">
        <v>591</v>
      </c>
      <c r="C596" s="129">
        <v>46055</v>
      </c>
      <c r="D596" s="10" t="s">
        <v>348</v>
      </c>
      <c r="E596" s="41" t="str">
        <f>IFERROR(VLOOKUP($D596,임시동력입.출고현황!$A:$G,E$5,0),)</f>
        <v>LTG</v>
      </c>
      <c r="F596" s="19" t="str">
        <f>IFERROR(VLOOKUP($D596,임시동력입.출고현황!$A:$G,F$5,0),)</f>
        <v>Lighting Fixture</v>
      </c>
      <c r="G596" s="19">
        <f>IFERROR(VLOOKUP($D596,임시동력입.출고현황!$A:$G,G$5,0),)</f>
        <v>0</v>
      </c>
      <c r="H596" s="19" t="str">
        <f>IFERROR(VLOOKUP($D596,임시동력입.출고현황!$A:$G,H$5,0),)</f>
        <v>100W</v>
      </c>
      <c r="I596" s="10" t="str">
        <f>IFERROR(VLOOKUP($D596,임시동력입.출고현황!$A:$G,I$5,0),)</f>
        <v>EA</v>
      </c>
      <c r="J596" s="10">
        <v>1</v>
      </c>
      <c r="K596" s="95" t="s">
        <v>352</v>
      </c>
      <c r="L596" s="57">
        <v>13</v>
      </c>
      <c r="M596" s="81" t="s">
        <v>439</v>
      </c>
      <c r="N596" s="134"/>
    </row>
    <row r="597" spans="1:14" s="306" customFormat="1" ht="28.2" customHeight="1">
      <c r="A597" s="11">
        <v>592</v>
      </c>
      <c r="B597" s="290">
        <v>592</v>
      </c>
      <c r="C597" s="129">
        <v>46056</v>
      </c>
      <c r="D597" s="10" t="s">
        <v>348</v>
      </c>
      <c r="E597" s="41" t="str">
        <f>IFERROR(VLOOKUP($D597,임시동력입.출고현황!$A:$G,E$5,0),)</f>
        <v>LTG</v>
      </c>
      <c r="F597" s="19" t="str">
        <f>IFERROR(VLOOKUP($D597,임시동력입.출고현황!$A:$G,F$5,0),)</f>
        <v>Lighting Fixture</v>
      </c>
      <c r="G597" s="19">
        <f>IFERROR(VLOOKUP($D597,임시동력입.출고현황!$A:$G,G$5,0),)</f>
        <v>0</v>
      </c>
      <c r="H597" s="19" t="str">
        <f>IFERROR(VLOOKUP($D597,임시동력입.출고현황!$A:$G,H$5,0),)</f>
        <v>100W</v>
      </c>
      <c r="I597" s="10" t="str">
        <f>IFERROR(VLOOKUP($D597,임시동력입.출고현황!$A:$G,I$5,0),)</f>
        <v>EA</v>
      </c>
      <c r="J597" s="10">
        <v>2</v>
      </c>
      <c r="K597" s="95" t="s">
        <v>360</v>
      </c>
      <c r="L597" s="57">
        <v>12</v>
      </c>
      <c r="M597" s="81" t="s">
        <v>439</v>
      </c>
      <c r="N597" s="134"/>
    </row>
    <row r="598" spans="1:14" s="306" customFormat="1" ht="28.2" customHeight="1">
      <c r="A598" s="11">
        <v>593</v>
      </c>
      <c r="B598" s="290">
        <v>593</v>
      </c>
      <c r="C598" s="129">
        <v>46056</v>
      </c>
      <c r="D598" s="10" t="s">
        <v>341</v>
      </c>
      <c r="E598" s="41" t="str">
        <f>IFERROR(VLOOKUP($D598,임시동력입.출고현황!$A:$G,E$5,0),)</f>
        <v>LTG</v>
      </c>
      <c r="F598" s="19" t="str">
        <f>IFERROR(VLOOKUP($D598,임시동력입.출고현황!$A:$G,F$5,0),)</f>
        <v>Lighting Fixture</v>
      </c>
      <c r="G598" s="19">
        <f>IFERROR(VLOOKUP($D598,임시동력입.출고현황!$A:$G,G$5,0),)</f>
        <v>0</v>
      </c>
      <c r="H598" s="19" t="str">
        <f>IFERROR(VLOOKUP($D598,임시동력입.출고현황!$A:$G,H$5,0),)</f>
        <v>400W</v>
      </c>
      <c r="I598" s="10" t="str">
        <f>IFERROR(VLOOKUP($D598,임시동력입.출고현황!$A:$G,I$5,0),)</f>
        <v>EA</v>
      </c>
      <c r="J598" s="10">
        <v>3</v>
      </c>
      <c r="K598" s="95" t="s">
        <v>237</v>
      </c>
      <c r="L598" s="57">
        <v>10</v>
      </c>
      <c r="M598" s="81" t="s">
        <v>439</v>
      </c>
      <c r="N598" s="134"/>
    </row>
    <row r="599" spans="1:14" s="306" customFormat="1" ht="28.2" customHeight="1">
      <c r="A599" s="11">
        <v>594</v>
      </c>
      <c r="B599" s="290">
        <v>594</v>
      </c>
      <c r="C599" s="129">
        <v>46056</v>
      </c>
      <c r="D599" s="10" t="s">
        <v>347</v>
      </c>
      <c r="E599" s="41" t="str">
        <f>IFERROR(VLOOKUP($D599,임시동력입.출고현황!$A:$G,E$5,0),)</f>
        <v>LTG</v>
      </c>
      <c r="F599" s="19" t="str">
        <f>IFERROR(VLOOKUP($D599,임시동력입.출고현황!$A:$G,F$5,0),)</f>
        <v>Lighting Fixture</v>
      </c>
      <c r="G599" s="19">
        <f>IFERROR(VLOOKUP($D599,임시동력입.출고현황!$A:$G,G$5,0),)</f>
        <v>0</v>
      </c>
      <c r="H599" s="19" t="str">
        <f>IFERROR(VLOOKUP($D599,임시동력입.출고현황!$A:$G,H$5,0),)</f>
        <v>200W</v>
      </c>
      <c r="I599" s="10" t="str">
        <f>IFERROR(VLOOKUP($D599,임시동력입.출고현황!$A:$G,I$5,0),)</f>
        <v>EA</v>
      </c>
      <c r="J599" s="10">
        <v>4</v>
      </c>
      <c r="K599" s="95" t="s">
        <v>359</v>
      </c>
      <c r="L599" s="57">
        <v>4</v>
      </c>
      <c r="M599" s="81" t="s">
        <v>439</v>
      </c>
      <c r="N599" s="134"/>
    </row>
    <row r="600" spans="1:14" s="306" customFormat="1" ht="28.2" customHeight="1">
      <c r="A600" s="11">
        <v>595</v>
      </c>
      <c r="B600" s="290">
        <v>595</v>
      </c>
      <c r="C600" s="129">
        <v>46056</v>
      </c>
      <c r="D600" s="10" t="s">
        <v>479</v>
      </c>
      <c r="E600" s="41" t="str">
        <f>IFERROR(VLOOKUP($D600,임시동력입.출고현황!$A:$G,E$5,0),)</f>
        <v>MCB</v>
      </c>
      <c r="F600" s="19" t="str">
        <f>IFERROR(VLOOKUP($D600,임시동력입.출고현황!$A:$G,F$5,0),)</f>
        <v>MCB</v>
      </c>
      <c r="G600" s="19">
        <f>IFERROR(VLOOKUP($D600,임시동력입.출고현황!$A:$G,G$5,0),)</f>
        <v>0</v>
      </c>
      <c r="H600" s="19" t="str">
        <f>IFERROR(VLOOKUP($D600,임시동력입.출고현황!$A:$G,H$5,0),)</f>
        <v>3P - 63A</v>
      </c>
      <c r="I600" s="10" t="str">
        <f>IFERROR(VLOOKUP($D600,임시동력입.출고현황!$A:$G,I$5,0),)</f>
        <v>EA</v>
      </c>
      <c r="J600" s="10">
        <v>1</v>
      </c>
      <c r="K600" s="95" t="s">
        <v>363</v>
      </c>
      <c r="L600" s="57">
        <v>1</v>
      </c>
      <c r="M600" s="81" t="s">
        <v>439</v>
      </c>
      <c r="N600" s="134"/>
    </row>
    <row r="601" spans="1:14" s="306" customFormat="1" ht="28.2" customHeight="1">
      <c r="A601" s="11">
        <v>596</v>
      </c>
      <c r="B601" s="290">
        <v>596</v>
      </c>
      <c r="C601" s="129">
        <v>46057</v>
      </c>
      <c r="D601" s="10" t="s">
        <v>411</v>
      </c>
      <c r="E601" s="41" t="str">
        <f>IFERROR(VLOOKUP($D601,임시동력입.출고현황!$A:$G,E$5,0),)</f>
        <v>Cable</v>
      </c>
      <c r="F601" s="19" t="str">
        <f>IFERROR(VLOOKUP($D601,임시동력입.출고현황!$A:$G,F$5,0),)</f>
        <v>CV Cable</v>
      </c>
      <c r="G601" s="19">
        <f>IFERROR(VLOOKUP($D601,임시동력입.출고현황!$A:$G,G$5,0),)</f>
        <v>0</v>
      </c>
      <c r="H601" s="19" t="str">
        <f>IFERROR(VLOOKUP($D601,임시동력입.출고현황!$A:$G,H$5,0),)</f>
        <v>3C x 3mm2</v>
      </c>
      <c r="I601" s="10" t="str">
        <f>IFERROR(VLOOKUP($D601,임시동력입.출고현황!$A:$G,I$5,0),)</f>
        <v>M</v>
      </c>
      <c r="J601" s="10">
        <v>1</v>
      </c>
      <c r="K601" s="95" t="s">
        <v>363</v>
      </c>
      <c r="L601" s="57">
        <v>100</v>
      </c>
      <c r="M601" s="81" t="s">
        <v>439</v>
      </c>
      <c r="N601" s="134"/>
    </row>
    <row r="602" spans="1:14" s="306" customFormat="1" ht="28.2" customHeight="1">
      <c r="A602" s="11">
        <v>597</v>
      </c>
      <c r="B602" s="290">
        <v>597</v>
      </c>
      <c r="C602" s="129">
        <v>46057</v>
      </c>
      <c r="D602" s="10" t="s">
        <v>335</v>
      </c>
      <c r="E602" s="41" t="str">
        <f>IFERROR(VLOOKUP($D602,임시동력입.출고현황!$A:$G,E$5,0),)</f>
        <v>Cable</v>
      </c>
      <c r="F602" s="19" t="str">
        <f>IFERROR(VLOOKUP($D602,임시동력입.출고현황!$A:$G,F$5,0),)</f>
        <v>CV Cable</v>
      </c>
      <c r="G602" s="19">
        <f>IFERROR(VLOOKUP($D602,임시동력입.출고현황!$A:$G,G$5,0),)</f>
        <v>0</v>
      </c>
      <c r="H602" s="19" t="str">
        <f>IFERROR(VLOOKUP($D602,임시동력입.출고현황!$A:$G,H$5,0),)</f>
        <v>3C x 2.5mm2</v>
      </c>
      <c r="I602" s="10" t="str">
        <f>IFERROR(VLOOKUP($D602,임시동력입.출고현황!$A:$G,I$5,0),)</f>
        <v>M</v>
      </c>
      <c r="J602" s="10">
        <v>3</v>
      </c>
      <c r="K602" s="95" t="s">
        <v>550</v>
      </c>
      <c r="L602" s="57">
        <v>100</v>
      </c>
      <c r="M602" s="81" t="s">
        <v>439</v>
      </c>
      <c r="N602" s="134"/>
    </row>
    <row r="603" spans="1:14" s="306" customFormat="1" ht="28.2" customHeight="1">
      <c r="A603" s="11">
        <v>598</v>
      </c>
      <c r="B603" s="290">
        <v>598</v>
      </c>
      <c r="C603" s="129">
        <v>46057</v>
      </c>
      <c r="D603" s="10" t="s">
        <v>320</v>
      </c>
      <c r="E603" s="41" t="str">
        <f>IFERROR(VLOOKUP($D603,임시동력입.출고현황!$A:$G,E$5,0),)</f>
        <v>Cable</v>
      </c>
      <c r="F603" s="19" t="str">
        <f>IFERROR(VLOOKUP($D603,임시동력입.출고현황!$A:$G,F$5,0),)</f>
        <v>AL Cable</v>
      </c>
      <c r="G603" s="19">
        <f>IFERROR(VLOOKUP($D603,임시동력입.출고현황!$A:$G,G$5,0),)</f>
        <v>0</v>
      </c>
      <c r="H603" s="19" t="str">
        <f>IFERROR(VLOOKUP($D603,임시동력입.출고현황!$A:$G,H$5,0),)</f>
        <v>3C x 95+50mm2 [ALU]</v>
      </c>
      <c r="I603" s="10" t="str">
        <f>IFERROR(VLOOKUP($D603,임시동력입.출고현황!$A:$G,I$5,0),)</f>
        <v>M</v>
      </c>
      <c r="J603" s="10"/>
      <c r="K603" s="95" t="s">
        <v>643</v>
      </c>
      <c r="L603" s="57">
        <v>470</v>
      </c>
      <c r="M603" s="81" t="s">
        <v>439</v>
      </c>
      <c r="N603" s="134"/>
    </row>
    <row r="604" spans="1:14" s="306" customFormat="1" ht="28.2" customHeight="1">
      <c r="A604" s="11">
        <v>599</v>
      </c>
      <c r="B604" s="290">
        <v>599</v>
      </c>
      <c r="C604" s="129">
        <v>46057</v>
      </c>
      <c r="D604" s="10" t="s">
        <v>565</v>
      </c>
      <c r="E604" s="41" t="str">
        <f>IFERROR(VLOOKUP($D604,임시동력입.출고현황!$A:$G,E$5,0),)</f>
        <v>Cable</v>
      </c>
      <c r="F604" s="19" t="str">
        <f>IFERROR(VLOOKUP($D604,임시동력입.출고현황!$A:$G,F$5,0),)</f>
        <v>AL Cable</v>
      </c>
      <c r="G604" s="19">
        <f>IFERROR(VLOOKUP($D604,임시동력입.출고현황!$A:$G,G$5,0),)</f>
        <v>0</v>
      </c>
      <c r="H604" s="19" t="str">
        <f>IFERROR(VLOOKUP($D604,임시동력입.출고현황!$A:$G,H$5,0),)</f>
        <v>3C x 185+95mm2 [ALU]</v>
      </c>
      <c r="I604" s="10" t="str">
        <f>IFERROR(VLOOKUP($D604,임시동력입.출고현황!$A:$G,I$5,0),)</f>
        <v>M</v>
      </c>
      <c r="J604" s="10"/>
      <c r="K604" s="95" t="s">
        <v>643</v>
      </c>
      <c r="L604" s="57">
        <v>262</v>
      </c>
      <c r="M604" s="81" t="s">
        <v>439</v>
      </c>
      <c r="N604" s="134"/>
    </row>
    <row r="605" spans="1:14" s="306" customFormat="1" ht="28.2" customHeight="1">
      <c r="A605" s="11">
        <v>600</v>
      </c>
      <c r="B605" s="290">
        <v>600</v>
      </c>
      <c r="C605" s="129">
        <v>46058</v>
      </c>
      <c r="D605" s="10" t="s">
        <v>347</v>
      </c>
      <c r="E605" s="41" t="str">
        <f>IFERROR(VLOOKUP($D605,임시동력입.출고현황!$A:$G,E$5,0),)</f>
        <v>LTG</v>
      </c>
      <c r="F605" s="19" t="str">
        <f>IFERROR(VLOOKUP($D605,임시동력입.출고현황!$A:$G,F$5,0),)</f>
        <v>Lighting Fixture</v>
      </c>
      <c r="G605" s="19">
        <f>IFERROR(VLOOKUP($D605,임시동력입.출고현황!$A:$G,G$5,0),)</f>
        <v>0</v>
      </c>
      <c r="H605" s="19" t="str">
        <f>IFERROR(VLOOKUP($D605,임시동력입.출고현황!$A:$G,H$5,0),)</f>
        <v>200W</v>
      </c>
      <c r="I605" s="10" t="str">
        <f>IFERROR(VLOOKUP($D605,임시동력입.출고현황!$A:$G,I$5,0),)</f>
        <v>EA</v>
      </c>
      <c r="J605" s="10">
        <v>4</v>
      </c>
      <c r="K605" s="95" t="s">
        <v>359</v>
      </c>
      <c r="L605" s="57">
        <v>8</v>
      </c>
      <c r="M605" s="81" t="s">
        <v>439</v>
      </c>
      <c r="N605" s="134"/>
    </row>
    <row r="606" spans="1:14" s="306" customFormat="1" ht="28.2" customHeight="1">
      <c r="A606" s="11">
        <v>601</v>
      </c>
      <c r="B606" s="290">
        <v>601</v>
      </c>
      <c r="C606" s="129">
        <v>46058</v>
      </c>
      <c r="D606" s="10" t="s">
        <v>335</v>
      </c>
      <c r="E606" s="41" t="str">
        <f>IFERROR(VLOOKUP($D606,임시동력입.출고현황!$A:$G,E$5,0),)</f>
        <v>Cable</v>
      </c>
      <c r="F606" s="19" t="str">
        <f>IFERROR(VLOOKUP($D606,임시동력입.출고현황!$A:$G,F$5,0),)</f>
        <v>CV Cable</v>
      </c>
      <c r="G606" s="19">
        <f>IFERROR(VLOOKUP($D606,임시동력입.출고현황!$A:$G,G$5,0),)</f>
        <v>0</v>
      </c>
      <c r="H606" s="19" t="str">
        <f>IFERROR(VLOOKUP($D606,임시동력입.출고현황!$A:$G,H$5,0),)</f>
        <v>3C x 2.5mm2</v>
      </c>
      <c r="I606" s="10" t="str">
        <f>IFERROR(VLOOKUP($D606,임시동력입.출고현황!$A:$G,I$5,0),)</f>
        <v>M</v>
      </c>
      <c r="J606" s="10">
        <v>1</v>
      </c>
      <c r="K606" s="95" t="s">
        <v>363</v>
      </c>
      <c r="L606" s="57">
        <v>200</v>
      </c>
      <c r="M606" s="81" t="s">
        <v>439</v>
      </c>
      <c r="N606" s="134"/>
    </row>
    <row r="607" spans="1:14" s="306" customFormat="1" ht="28.2" customHeight="1">
      <c r="A607" s="11">
        <v>602</v>
      </c>
      <c r="B607" s="290">
        <v>602</v>
      </c>
      <c r="C607" s="129">
        <v>46058</v>
      </c>
      <c r="D607" s="10" t="s">
        <v>341</v>
      </c>
      <c r="E607" s="41" t="str">
        <f>IFERROR(VLOOKUP($D607,임시동력입.출고현황!$A:$G,E$5,0),)</f>
        <v>LTG</v>
      </c>
      <c r="F607" s="19" t="str">
        <f>IFERROR(VLOOKUP($D607,임시동력입.출고현황!$A:$G,F$5,0),)</f>
        <v>Lighting Fixture</v>
      </c>
      <c r="G607" s="19">
        <f>IFERROR(VLOOKUP($D607,임시동력입.출고현황!$A:$G,G$5,0),)</f>
        <v>0</v>
      </c>
      <c r="H607" s="19" t="str">
        <f>IFERROR(VLOOKUP($D607,임시동력입.출고현황!$A:$G,H$5,0),)</f>
        <v>400W</v>
      </c>
      <c r="I607" s="10" t="str">
        <f>IFERROR(VLOOKUP($D607,임시동력입.출고현황!$A:$G,I$5,0),)</f>
        <v>EA</v>
      </c>
      <c r="J607" s="10">
        <v>1</v>
      </c>
      <c r="K607" s="95" t="s">
        <v>363</v>
      </c>
      <c r="L607" s="57">
        <v>2</v>
      </c>
      <c r="M607" s="81" t="s">
        <v>439</v>
      </c>
      <c r="N607" s="134"/>
    </row>
    <row r="608" spans="1:14" s="306" customFormat="1" ht="28.2" customHeight="1">
      <c r="A608" s="11">
        <v>603</v>
      </c>
      <c r="B608" s="290">
        <v>603</v>
      </c>
      <c r="C608" s="129">
        <v>46060</v>
      </c>
      <c r="D608" s="10" t="s">
        <v>322</v>
      </c>
      <c r="E608" s="41" t="str">
        <f>IFERROR(VLOOKUP($D608,임시동력입.출고현황!$A:$G,E$5,0),)</f>
        <v>Cable</v>
      </c>
      <c r="F608" s="19" t="str">
        <f>IFERROR(VLOOKUP($D608,임시동력입.출고현황!$A:$G,F$5,0),)</f>
        <v>AL Cable</v>
      </c>
      <c r="G608" s="19">
        <f>IFERROR(VLOOKUP($D608,임시동력입.출고현황!$A:$G,G$5,0),)</f>
        <v>0</v>
      </c>
      <c r="H608" s="19" t="str">
        <f>IFERROR(VLOOKUP($D608,임시동력입.출고현황!$A:$G,H$5,0),)</f>
        <v>3C x 50+25mm2 [ALU]</v>
      </c>
      <c r="I608" s="10" t="str">
        <f>IFERROR(VLOOKUP($D608,임시동력입.출고현황!$A:$G,I$5,0),)</f>
        <v>M</v>
      </c>
      <c r="J608" s="10">
        <v>3</v>
      </c>
      <c r="K608" s="95" t="s">
        <v>550</v>
      </c>
      <c r="L608" s="57">
        <v>50</v>
      </c>
      <c r="M608" s="81" t="s">
        <v>439</v>
      </c>
      <c r="N608" s="134"/>
    </row>
    <row r="609" spans="1:14" s="306" customFormat="1" ht="28.2" customHeight="1">
      <c r="A609" s="11">
        <v>604</v>
      </c>
      <c r="B609" s="290">
        <v>604</v>
      </c>
      <c r="C609" s="129">
        <v>46060</v>
      </c>
      <c r="D609" s="10" t="s">
        <v>307</v>
      </c>
      <c r="E609" s="41" t="str">
        <f>IFERROR(VLOOKUP($D609,임시동력입.출고현황!$A:$G,E$5,0),)</f>
        <v>Panel</v>
      </c>
      <c r="F609" s="19" t="str">
        <f>IFERROR(VLOOKUP($D609,임시동력입.출고현황!$A:$G,F$5,0),)</f>
        <v>Electrical Panel</v>
      </c>
      <c r="G609" s="19">
        <f>IFERROR(VLOOKUP($D609,임시동력입.출고현황!$A:$G,G$5,0),)</f>
        <v>0</v>
      </c>
      <c r="H609" s="19" t="str">
        <f>IFERROR(VLOOKUP($D609,임시동력입.출고현황!$A:$G,H$5,0),)</f>
        <v>160A</v>
      </c>
      <c r="I609" s="10" t="str">
        <f>IFERROR(VLOOKUP($D609,임시동력입.출고현황!$A:$G,I$5,0),)</f>
        <v>EA</v>
      </c>
      <c r="J609" s="10">
        <v>3</v>
      </c>
      <c r="K609" s="95" t="s">
        <v>550</v>
      </c>
      <c r="L609" s="57">
        <v>1</v>
      </c>
      <c r="M609" s="81" t="s">
        <v>439</v>
      </c>
      <c r="N609" s="134"/>
    </row>
    <row r="610" spans="1:14" s="306" customFormat="1" ht="28.2" customHeight="1">
      <c r="A610" s="11">
        <v>605</v>
      </c>
      <c r="B610" s="290">
        <v>605</v>
      </c>
      <c r="C610" s="129">
        <v>46061</v>
      </c>
      <c r="D610" s="10" t="s">
        <v>300</v>
      </c>
      <c r="E610" s="41" t="str">
        <f>IFERROR(VLOOKUP($D610,임시동력입.출고현황!$A:$G,E$5,0),)</f>
        <v>D/G</v>
      </c>
      <c r="F610" s="19" t="str">
        <f>IFERROR(VLOOKUP($D610,임시동력입.출고현황!$A:$G,F$5,0),)</f>
        <v>Generator</v>
      </c>
      <c r="G610" s="19">
        <f>IFERROR(VLOOKUP($D610,임시동력입.출고현황!$A:$G,G$5,0),)</f>
        <v>0</v>
      </c>
      <c r="H610" s="19" t="str">
        <f>IFERROR(VLOOKUP($D610,임시동력입.출고현황!$A:$G,H$5,0),)</f>
        <v>400KVA</v>
      </c>
      <c r="I610" s="10" t="str">
        <f>IFERROR(VLOOKUP($D610,임시동력입.출고현황!$A:$G,I$5,0),)</f>
        <v>대</v>
      </c>
      <c r="J610" s="10"/>
      <c r="K610" s="95" t="s">
        <v>264</v>
      </c>
      <c r="L610" s="57">
        <v>1</v>
      </c>
      <c r="M610" s="81" t="s">
        <v>439</v>
      </c>
      <c r="N610" s="134"/>
    </row>
    <row r="611" spans="1:14" s="306" customFormat="1" ht="28.2" customHeight="1">
      <c r="A611" s="11">
        <v>606</v>
      </c>
      <c r="B611" s="290">
        <v>606</v>
      </c>
      <c r="C611" s="129">
        <v>46061</v>
      </c>
      <c r="D611" s="10" t="s">
        <v>331</v>
      </c>
      <c r="E611" s="41" t="str">
        <f>IFERROR(VLOOKUP($D611,임시동력입.출고현황!$A:$G,E$5,0),)</f>
        <v>Cable</v>
      </c>
      <c r="F611" s="19" t="str">
        <f>IFERROR(VLOOKUP($D611,임시동력입.출고현황!$A:$G,F$5,0),)</f>
        <v>CV Cable</v>
      </c>
      <c r="G611" s="19">
        <f>IFERROR(VLOOKUP($D611,임시동력입.출고현황!$A:$G,G$5,0),)</f>
        <v>0</v>
      </c>
      <c r="H611" s="19" t="str">
        <f>IFERROR(VLOOKUP($D611,임시동력입.출고현황!$A:$G,H$5,0),)</f>
        <v>4C x 6mm2</v>
      </c>
      <c r="I611" s="10" t="str">
        <f>IFERROR(VLOOKUP($D611,임시동력입.출고현황!$A:$G,I$5,0),)</f>
        <v>M</v>
      </c>
      <c r="J611" s="10">
        <v>2</v>
      </c>
      <c r="K611" s="95" t="s">
        <v>360</v>
      </c>
      <c r="L611" s="57">
        <v>50</v>
      </c>
      <c r="M611" s="81" t="s">
        <v>439</v>
      </c>
      <c r="N611" s="134"/>
    </row>
    <row r="612" spans="1:14" s="306" customFormat="1" ht="28.2" customHeight="1">
      <c r="A612" s="11">
        <v>607</v>
      </c>
      <c r="B612" s="290">
        <v>607</v>
      </c>
      <c r="C612" s="129">
        <v>46061</v>
      </c>
      <c r="D612" s="10" t="s">
        <v>330</v>
      </c>
      <c r="E612" s="41" t="str">
        <f>IFERROR(VLOOKUP($D612,임시동력입.출고현황!$A:$G,E$5,0),)</f>
        <v>Cable</v>
      </c>
      <c r="F612" s="19" t="str">
        <f>IFERROR(VLOOKUP($D612,임시동력입.출고현황!$A:$G,F$5,0),)</f>
        <v>CV Cable</v>
      </c>
      <c r="G612" s="19">
        <f>IFERROR(VLOOKUP($D612,임시동력입.출고현황!$A:$G,G$5,0),)</f>
        <v>0</v>
      </c>
      <c r="H612" s="19" t="str">
        <f>IFERROR(VLOOKUP($D612,임시동력입.출고현황!$A:$G,H$5,0),)</f>
        <v>4C x 10mm2</v>
      </c>
      <c r="I612" s="10" t="str">
        <f>IFERROR(VLOOKUP($D612,임시동력입.출고현황!$A:$G,I$5,0),)</f>
        <v>M</v>
      </c>
      <c r="J612" s="10">
        <v>2</v>
      </c>
      <c r="K612" s="95" t="s">
        <v>360</v>
      </c>
      <c r="L612" s="57">
        <v>10</v>
      </c>
      <c r="M612" s="81" t="s">
        <v>561</v>
      </c>
      <c r="N612" s="134"/>
    </row>
    <row r="613" spans="1:14" s="306" customFormat="1" ht="28.2" customHeight="1">
      <c r="A613" s="11">
        <v>608</v>
      </c>
      <c r="B613" s="290">
        <v>608</v>
      </c>
      <c r="C613" s="129">
        <v>46061</v>
      </c>
      <c r="D613" s="10" t="s">
        <v>559</v>
      </c>
      <c r="E613" s="41" t="str">
        <f>IFERROR(VLOOKUP($D613,임시동력입.출고현황!$A:$G,E$5,0),)</f>
        <v>Panel</v>
      </c>
      <c r="F613" s="19" t="str">
        <f>IFERROR(VLOOKUP($D613,임시동력입.출고현황!$A:$G,F$5,0),)</f>
        <v>Electrical Panel</v>
      </c>
      <c r="G613" s="19">
        <f>IFERROR(VLOOKUP($D613,임시동력입.출고현황!$A:$G,G$5,0),)</f>
        <v>0</v>
      </c>
      <c r="H613" s="19" t="str">
        <f>IFERROR(VLOOKUP($D613,임시동력입.출고현황!$A:$G,H$5,0),)</f>
        <v>63A</v>
      </c>
      <c r="I613" s="10" t="str">
        <f>IFERROR(VLOOKUP($D613,임시동력입.출고현황!$A:$G,I$5,0),)</f>
        <v>EA</v>
      </c>
      <c r="J613" s="10">
        <v>4</v>
      </c>
      <c r="K613" s="95" t="s">
        <v>359</v>
      </c>
      <c r="L613" s="57">
        <v>1</v>
      </c>
      <c r="M613" s="81" t="s">
        <v>561</v>
      </c>
      <c r="N613" s="134"/>
    </row>
    <row r="614" spans="1:14" s="306" customFormat="1" ht="28.2" customHeight="1">
      <c r="A614" s="11">
        <v>609</v>
      </c>
      <c r="B614" s="290">
        <v>609</v>
      </c>
      <c r="C614" s="129">
        <v>46062</v>
      </c>
      <c r="D614" s="29" t="s">
        <v>348</v>
      </c>
      <c r="E614" s="41" t="str">
        <f>IFERROR(VLOOKUP($D614,임시동력입.출고현황!$A:$G,E$5,0),)</f>
        <v>LTG</v>
      </c>
      <c r="F614" s="19" t="str">
        <f>IFERROR(VLOOKUP($D614,임시동력입.출고현황!$A:$G,F$5,0),)</f>
        <v>Lighting Fixture</v>
      </c>
      <c r="G614" s="19">
        <f>IFERROR(VLOOKUP($D614,임시동력입.출고현황!$A:$G,G$5,0),)</f>
        <v>0</v>
      </c>
      <c r="H614" s="19" t="str">
        <f>IFERROR(VLOOKUP($D614,임시동력입.출고현황!$A:$G,H$5,0),)</f>
        <v>100W</v>
      </c>
      <c r="I614" s="10" t="str">
        <f>IFERROR(VLOOKUP($D614,임시동력입.출고현황!$A:$G,I$5,0),)</f>
        <v>EA</v>
      </c>
      <c r="J614" s="10">
        <v>3</v>
      </c>
      <c r="K614" s="95" t="s">
        <v>237</v>
      </c>
      <c r="L614" s="57">
        <v>7</v>
      </c>
      <c r="M614" s="81" t="s">
        <v>561</v>
      </c>
      <c r="N614" s="134"/>
    </row>
    <row r="615" spans="1:14" s="306" customFormat="1" ht="28.2" customHeight="1">
      <c r="A615" s="11">
        <v>610</v>
      </c>
      <c r="B615" s="290">
        <v>610</v>
      </c>
      <c r="C615" s="129">
        <v>46062</v>
      </c>
      <c r="D615" s="10" t="s">
        <v>310</v>
      </c>
      <c r="E615" s="41" t="str">
        <f>IFERROR(VLOOKUP($D615,임시동력입.출고현황!$A:$G,E$5,0),)</f>
        <v>Panel</v>
      </c>
      <c r="F615" s="19" t="str">
        <f>IFERROR(VLOOKUP($D615,임시동력입.출고현황!$A:$G,F$5,0),)</f>
        <v>Electrical Panel</v>
      </c>
      <c r="G615" s="19">
        <f>IFERROR(VLOOKUP($D615,임시동력입.출고현황!$A:$G,G$5,0),)</f>
        <v>0</v>
      </c>
      <c r="H615" s="19" t="str">
        <f>IFERROR(VLOOKUP($D615,임시동력입.출고현황!$A:$G,H$5,0),)</f>
        <v>100A</v>
      </c>
      <c r="I615" s="10" t="str">
        <f>IFERROR(VLOOKUP($D615,임시동력입.출고현황!$A:$G,I$5,0),)</f>
        <v>EA</v>
      </c>
      <c r="J615" s="10">
        <v>2</v>
      </c>
      <c r="K615" s="95" t="s">
        <v>360</v>
      </c>
      <c r="L615" s="57">
        <v>2</v>
      </c>
      <c r="M615" s="81" t="s">
        <v>561</v>
      </c>
      <c r="N615" s="134"/>
    </row>
    <row r="616" spans="1:14" s="306" customFormat="1" ht="28.2" customHeight="1">
      <c r="A616" s="11">
        <v>611</v>
      </c>
      <c r="B616" s="290">
        <v>611</v>
      </c>
      <c r="C616" s="129">
        <v>46063</v>
      </c>
      <c r="D616" s="10" t="s">
        <v>348</v>
      </c>
      <c r="E616" s="41" t="str">
        <f>IFERROR(VLOOKUP($D616,임시동력입.출고현황!$A:$G,E$5,0),)</f>
        <v>LTG</v>
      </c>
      <c r="F616" s="19" t="str">
        <f>IFERROR(VLOOKUP($D616,임시동력입.출고현황!$A:$G,F$5,0),)</f>
        <v>Lighting Fixture</v>
      </c>
      <c r="G616" s="19">
        <f>IFERROR(VLOOKUP($D616,임시동력입.출고현황!$A:$G,G$5,0),)</f>
        <v>0</v>
      </c>
      <c r="H616" s="19" t="str">
        <f>IFERROR(VLOOKUP($D616,임시동력입.출고현황!$A:$G,H$5,0),)</f>
        <v>100W</v>
      </c>
      <c r="I616" s="10" t="str">
        <f>IFERROR(VLOOKUP($D616,임시동력입.출고현황!$A:$G,I$5,0),)</f>
        <v>EA</v>
      </c>
      <c r="J616" s="10">
        <v>1</v>
      </c>
      <c r="K616" s="95" t="s">
        <v>352</v>
      </c>
      <c r="L616" s="57">
        <v>3</v>
      </c>
      <c r="M616" s="81" t="s">
        <v>561</v>
      </c>
      <c r="N616" s="134"/>
    </row>
    <row r="617" spans="1:14" s="306" customFormat="1" ht="28.2" customHeight="1">
      <c r="A617" s="11">
        <v>612</v>
      </c>
      <c r="B617" s="290">
        <v>612</v>
      </c>
      <c r="C617" s="129">
        <v>46063</v>
      </c>
      <c r="D617" s="10" t="s">
        <v>334</v>
      </c>
      <c r="E617" s="41" t="str">
        <f>IFERROR(VLOOKUP($D617,임시동력입.출고현황!$A:$G,E$5,0),)</f>
        <v>Cable</v>
      </c>
      <c r="F617" s="19" t="str">
        <f>IFERROR(VLOOKUP($D617,임시동력입.출고현황!$A:$G,F$5,0),)</f>
        <v>CV Cable</v>
      </c>
      <c r="G617" s="19">
        <f>IFERROR(VLOOKUP($D617,임시동력입.출고현황!$A:$G,G$5,0),)</f>
        <v>0</v>
      </c>
      <c r="H617" s="19" t="str">
        <f>IFERROR(VLOOKUP($D617,임시동력입.출고현황!$A:$G,H$5,0),)</f>
        <v>3C x 4mm2</v>
      </c>
      <c r="I617" s="10" t="str">
        <f>IFERROR(VLOOKUP($D617,임시동력입.출고현황!$A:$G,I$5,0),)</f>
        <v>M</v>
      </c>
      <c r="J617" s="10">
        <v>2</v>
      </c>
      <c r="K617" s="95" t="s">
        <v>360</v>
      </c>
      <c r="L617" s="57">
        <v>15</v>
      </c>
      <c r="M617" s="81" t="s">
        <v>561</v>
      </c>
      <c r="N617" s="134"/>
    </row>
    <row r="618" spans="1:14" s="306" customFormat="1" ht="28.2" customHeight="1">
      <c r="A618" s="11">
        <v>613</v>
      </c>
      <c r="B618" s="290">
        <v>613</v>
      </c>
      <c r="C618" s="129">
        <v>46063</v>
      </c>
      <c r="D618" s="10" t="s">
        <v>341</v>
      </c>
      <c r="E618" s="41" t="str">
        <f>IFERROR(VLOOKUP($D618,임시동력입.출고현황!$A:$G,E$5,0),)</f>
        <v>LTG</v>
      </c>
      <c r="F618" s="19" t="str">
        <f>IFERROR(VLOOKUP($D618,임시동력입.출고현황!$A:$G,F$5,0),)</f>
        <v>Lighting Fixture</v>
      </c>
      <c r="G618" s="19">
        <f>IFERROR(VLOOKUP($D618,임시동력입.출고현황!$A:$G,G$5,0),)</f>
        <v>0</v>
      </c>
      <c r="H618" s="19" t="str">
        <f>IFERROR(VLOOKUP($D618,임시동력입.출고현황!$A:$G,H$5,0),)</f>
        <v>400W</v>
      </c>
      <c r="I618" s="10" t="str">
        <f>IFERROR(VLOOKUP($D618,임시동력입.출고현황!$A:$G,I$5,0),)</f>
        <v>EA</v>
      </c>
      <c r="J618" s="10">
        <v>4</v>
      </c>
      <c r="K618" s="95" t="s">
        <v>359</v>
      </c>
      <c r="L618" s="57">
        <v>8</v>
      </c>
      <c r="M618" s="81" t="s">
        <v>561</v>
      </c>
      <c r="N618" s="134"/>
    </row>
    <row r="619" spans="1:14" s="306" customFormat="1" ht="28.2" customHeight="1">
      <c r="A619" s="11">
        <v>614</v>
      </c>
      <c r="B619" s="290">
        <v>614</v>
      </c>
      <c r="C619" s="129">
        <v>46064</v>
      </c>
      <c r="D619" s="10" t="s">
        <v>341</v>
      </c>
      <c r="E619" s="41" t="str">
        <f>IFERROR(VLOOKUP($D619,임시동력입.출고현황!$A:$G,E$5,0),)</f>
        <v>LTG</v>
      </c>
      <c r="F619" s="19" t="str">
        <f>IFERROR(VLOOKUP($D619,임시동력입.출고현황!$A:$G,F$5,0),)</f>
        <v>Lighting Fixture</v>
      </c>
      <c r="G619" s="19">
        <f>IFERROR(VLOOKUP($D619,임시동력입.출고현황!$A:$G,G$5,0),)</f>
        <v>0</v>
      </c>
      <c r="H619" s="19" t="str">
        <f>IFERROR(VLOOKUP($D619,임시동력입.출고현황!$A:$G,H$5,0),)</f>
        <v>400W</v>
      </c>
      <c r="I619" s="10" t="str">
        <f>IFERROR(VLOOKUP($D619,임시동력입.출고현황!$A:$G,I$5,0),)</f>
        <v>EA</v>
      </c>
      <c r="J619" s="10">
        <v>3</v>
      </c>
      <c r="K619" s="95" t="s">
        <v>361</v>
      </c>
      <c r="L619" s="57">
        <v>12</v>
      </c>
      <c r="M619" s="81" t="s">
        <v>561</v>
      </c>
      <c r="N619" s="134"/>
    </row>
    <row r="620" spans="1:14" s="306" customFormat="1" ht="28.2" customHeight="1">
      <c r="A620" s="11">
        <v>615</v>
      </c>
      <c r="B620" s="290">
        <v>615</v>
      </c>
      <c r="C620" s="129">
        <v>46064</v>
      </c>
      <c r="D620" s="10" t="s">
        <v>303</v>
      </c>
      <c r="E620" s="41" t="str">
        <f>IFERROR(VLOOKUP($D620,임시동력입.출고현황!$A:$G,E$5,0),)</f>
        <v>Panel</v>
      </c>
      <c r="F620" s="19" t="str">
        <f>IFERROR(VLOOKUP($D620,임시동력입.출고현황!$A:$G,F$5,0),)</f>
        <v>Electrical Panel</v>
      </c>
      <c r="G620" s="19">
        <f>IFERROR(VLOOKUP($D620,임시동력입.출고현황!$A:$G,G$5,0),)</f>
        <v>0</v>
      </c>
      <c r="H620" s="19" t="str">
        <f>IFERROR(VLOOKUP($D620,임시동력입.출고현황!$A:$G,H$5,0),)</f>
        <v>630A</v>
      </c>
      <c r="I620" s="10" t="str">
        <f>IFERROR(VLOOKUP($D620,임시동력입.출고현황!$A:$G,I$5,0),)</f>
        <v>EA</v>
      </c>
      <c r="J620" s="10">
        <v>3</v>
      </c>
      <c r="K620" s="95" t="s">
        <v>237</v>
      </c>
      <c r="L620" s="57">
        <v>1</v>
      </c>
      <c r="M620" s="81" t="s">
        <v>561</v>
      </c>
      <c r="N620" s="134"/>
    </row>
    <row r="621" spans="1:14" s="306" customFormat="1" ht="28.2" customHeight="1">
      <c r="A621" s="11">
        <v>616</v>
      </c>
      <c r="B621" s="290">
        <v>616</v>
      </c>
      <c r="C621" s="129">
        <v>46064</v>
      </c>
      <c r="D621" s="10" t="s">
        <v>482</v>
      </c>
      <c r="E621" s="41" t="str">
        <f>IFERROR(VLOOKUP($D621,임시동력입.출고현황!$A:$G,E$5,0),)</f>
        <v>MCB</v>
      </c>
      <c r="F621" s="19" t="str">
        <f>IFERROR(VLOOKUP($D621,임시동력입.출고현황!$A:$G,F$5,0),)</f>
        <v>RCBO</v>
      </c>
      <c r="G621" s="19">
        <f>IFERROR(VLOOKUP($D621,임시동력입.출고현황!$A:$G,G$5,0),)</f>
        <v>0</v>
      </c>
      <c r="H621" s="19" t="str">
        <f>IFERROR(VLOOKUP($D621,임시동력입.출고현황!$A:$G,H$5,0),)</f>
        <v>1P + N -32A - 30 mA</v>
      </c>
      <c r="I621" s="10" t="str">
        <f>IFERROR(VLOOKUP($D621,임시동력입.출고현황!$A:$G,I$5,0),)</f>
        <v>EA</v>
      </c>
      <c r="J621" s="10">
        <v>1</v>
      </c>
      <c r="K621" s="95" t="s">
        <v>352</v>
      </c>
      <c r="L621" s="57">
        <v>1</v>
      </c>
      <c r="M621" s="81" t="s">
        <v>439</v>
      </c>
      <c r="N621" s="134"/>
    </row>
    <row r="622" spans="1:14" s="306" customFormat="1" ht="28.2" customHeight="1">
      <c r="A622" s="11">
        <v>617</v>
      </c>
      <c r="B622" s="290">
        <v>617</v>
      </c>
      <c r="C622" s="129">
        <v>46064</v>
      </c>
      <c r="D622" s="10" t="s">
        <v>333</v>
      </c>
      <c r="E622" s="41" t="str">
        <f>IFERROR(VLOOKUP($D622,임시동력입.출고현황!$A:$G,E$5,0),)</f>
        <v>Cable</v>
      </c>
      <c r="F622" s="19" t="str">
        <f>IFERROR(VLOOKUP($D622,임시동력입.출고현황!$A:$G,F$5,0),)</f>
        <v>CV Cable</v>
      </c>
      <c r="G622" s="19">
        <f>IFERROR(VLOOKUP($D622,임시동력입.출고현황!$A:$G,G$5,0),)</f>
        <v>0</v>
      </c>
      <c r="H622" s="19" t="str">
        <f>IFERROR(VLOOKUP($D622,임시동력입.출고현황!$A:$G,H$5,0),)</f>
        <v>3C x 6mm2</v>
      </c>
      <c r="I622" s="10" t="str">
        <f>IFERROR(VLOOKUP($D622,임시동력입.출고현황!$A:$G,I$5,0),)</f>
        <v>M</v>
      </c>
      <c r="J622" s="10">
        <v>1</v>
      </c>
      <c r="K622" s="95" t="s">
        <v>363</v>
      </c>
      <c r="L622" s="57">
        <v>140</v>
      </c>
      <c r="M622" s="81" t="s">
        <v>439</v>
      </c>
      <c r="N622" s="134"/>
    </row>
    <row r="623" spans="1:14" s="306" customFormat="1" ht="28.2" customHeight="1">
      <c r="A623" s="11">
        <v>618</v>
      </c>
      <c r="B623" s="290">
        <v>618</v>
      </c>
      <c r="C623" s="129">
        <v>46064</v>
      </c>
      <c r="D623" s="10" t="s">
        <v>568</v>
      </c>
      <c r="E623" s="41" t="str">
        <f>IFERROR(VLOOKUP($D623,임시동력입.출고현황!$A:$G,E$5,0),)</f>
        <v>Cable</v>
      </c>
      <c r="F623" s="19" t="str">
        <f>IFERROR(VLOOKUP($D623,임시동력입.출고현황!$A:$G,F$5,0),)</f>
        <v>CV Cable</v>
      </c>
      <c r="G623" s="19">
        <f>IFERROR(VLOOKUP($D623,임시동력입.출고현황!$A:$G,G$5,0),)</f>
        <v>0</v>
      </c>
      <c r="H623" s="19" t="str">
        <f>IFERROR(VLOOKUP($D623,임시동력입.출고현황!$A:$G,H$5,0),)</f>
        <v>4C x 4mm2</v>
      </c>
      <c r="I623" s="10" t="str">
        <f>IFERROR(VLOOKUP($D623,임시동력입.출고현황!$A:$G,I$5,0),)</f>
        <v>M</v>
      </c>
      <c r="J623" s="10">
        <v>1</v>
      </c>
      <c r="K623" s="95" t="s">
        <v>363</v>
      </c>
      <c r="L623" s="57">
        <v>12</v>
      </c>
      <c r="M623" s="81" t="s">
        <v>439</v>
      </c>
      <c r="N623" s="134"/>
    </row>
    <row r="624" spans="1:14" s="306" customFormat="1" ht="28.2" customHeight="1">
      <c r="A624" s="11">
        <v>619</v>
      </c>
      <c r="B624" s="290">
        <v>619</v>
      </c>
      <c r="C624" s="129">
        <v>46064</v>
      </c>
      <c r="D624" s="10" t="s">
        <v>317</v>
      </c>
      <c r="E624" s="41" t="str">
        <f>IFERROR(VLOOKUP($D624,임시동력입.출고현황!$A:$G,E$5,0),)</f>
        <v>Cable</v>
      </c>
      <c r="F624" s="19" t="str">
        <f>IFERROR(VLOOKUP($D624,임시동력입.출고현황!$A:$G,F$5,0),)</f>
        <v>AL Cable</v>
      </c>
      <c r="G624" s="19">
        <f>IFERROR(VLOOKUP($D624,임시동력입.출고현황!$A:$G,G$5,0),)</f>
        <v>0</v>
      </c>
      <c r="H624" s="19" t="str">
        <f>IFERROR(VLOOKUP($D624,임시동력입.출고현황!$A:$G,H$5,0),)</f>
        <v>3C x 240+120mm2 [ALU]</v>
      </c>
      <c r="I624" s="10" t="str">
        <f>IFERROR(VLOOKUP($D624,임시동력입.출고현황!$A:$G,I$5,0),)</f>
        <v>M</v>
      </c>
      <c r="J624" s="10">
        <v>2</v>
      </c>
      <c r="K624" s="95" t="s">
        <v>360</v>
      </c>
      <c r="L624" s="57">
        <v>12</v>
      </c>
      <c r="M624" s="81" t="s">
        <v>439</v>
      </c>
      <c r="N624" s="134"/>
    </row>
    <row r="625" spans="1:14" s="131" customFormat="1" ht="28.2" customHeight="1">
      <c r="A625" s="11">
        <v>620</v>
      </c>
      <c r="B625" s="290">
        <v>620</v>
      </c>
      <c r="C625" s="129">
        <v>46064</v>
      </c>
      <c r="D625" s="10" t="s">
        <v>341</v>
      </c>
      <c r="E625" s="41" t="str">
        <f>IFERROR(VLOOKUP($D625,임시동력입.출고현황!$A:$G,E$5,0),)</f>
        <v>LTG</v>
      </c>
      <c r="F625" s="19" t="str">
        <f>IFERROR(VLOOKUP($D625,임시동력입.출고현황!$A:$G,F$5,0),)</f>
        <v>Lighting Fixture</v>
      </c>
      <c r="G625" s="19">
        <f>IFERROR(VLOOKUP($D625,임시동력입.출고현황!$A:$G,G$5,0),)</f>
        <v>0</v>
      </c>
      <c r="H625" s="19" t="str">
        <f>IFERROR(VLOOKUP($D625,임시동력입.출고현황!$A:$G,H$5,0),)</f>
        <v>400W</v>
      </c>
      <c r="I625" s="10" t="str">
        <f>IFERROR(VLOOKUP($D625,임시동력입.출고현황!$A:$G,I$5,0),)</f>
        <v>EA</v>
      </c>
      <c r="J625" s="10">
        <v>3</v>
      </c>
      <c r="K625" s="95" t="s">
        <v>361</v>
      </c>
      <c r="L625" s="57">
        <v>7</v>
      </c>
      <c r="M625" s="81" t="s">
        <v>439</v>
      </c>
      <c r="N625" s="134"/>
    </row>
    <row r="626" spans="1:14" s="131" customFormat="1" ht="28.2" customHeight="1">
      <c r="A626" s="11">
        <v>621</v>
      </c>
      <c r="B626" s="290">
        <v>621</v>
      </c>
      <c r="C626" s="129">
        <v>46065</v>
      </c>
      <c r="D626" s="10" t="s">
        <v>341</v>
      </c>
      <c r="E626" s="41" t="str">
        <f>IFERROR(VLOOKUP($D626,임시동력입.출고현황!$A:$G,E$5,0),)</f>
        <v>LTG</v>
      </c>
      <c r="F626" s="19" t="str">
        <f>IFERROR(VLOOKUP($D626,임시동력입.출고현황!$A:$G,F$5,0),)</f>
        <v>Lighting Fixture</v>
      </c>
      <c r="G626" s="19">
        <f>IFERROR(VLOOKUP($D626,임시동력입.출고현황!$A:$G,G$5,0),)</f>
        <v>0</v>
      </c>
      <c r="H626" s="19" t="str">
        <f>IFERROR(VLOOKUP($D626,임시동력입.출고현황!$A:$G,H$5,0),)</f>
        <v>400W</v>
      </c>
      <c r="I626" s="10" t="str">
        <f>IFERROR(VLOOKUP($D626,임시동력입.출고현황!$A:$G,I$5,0),)</f>
        <v>EA</v>
      </c>
      <c r="J626" s="10">
        <v>2</v>
      </c>
      <c r="K626" s="95" t="s">
        <v>656</v>
      </c>
      <c r="L626" s="57">
        <v>10</v>
      </c>
      <c r="M626" s="81" t="s">
        <v>439</v>
      </c>
      <c r="N626" s="134"/>
    </row>
    <row r="627" spans="1:14" s="131" customFormat="1" ht="28.2" customHeight="1">
      <c r="A627" s="11">
        <v>622</v>
      </c>
      <c r="B627" s="290">
        <v>622</v>
      </c>
      <c r="C627" s="129">
        <v>46065</v>
      </c>
      <c r="D627" s="10" t="s">
        <v>335</v>
      </c>
      <c r="E627" s="41" t="str">
        <f>IFERROR(VLOOKUP($D627,임시동력입.출고현황!$A:$G,E$5,0),)</f>
        <v>Cable</v>
      </c>
      <c r="F627" s="19" t="str">
        <f>IFERROR(VLOOKUP($D627,임시동력입.출고현황!$A:$G,F$5,0),)</f>
        <v>CV Cable</v>
      </c>
      <c r="G627" s="19">
        <f>IFERROR(VLOOKUP($D627,임시동력입.출고현황!$A:$G,G$5,0),)</f>
        <v>0</v>
      </c>
      <c r="H627" s="19" t="str">
        <f>IFERROR(VLOOKUP($D627,임시동력입.출고현황!$A:$G,H$5,0),)</f>
        <v>3C x 2.5mm2</v>
      </c>
      <c r="I627" s="10" t="str">
        <f>IFERROR(VLOOKUP($D627,임시동력입.출고현황!$A:$G,I$5,0),)</f>
        <v>M</v>
      </c>
      <c r="J627" s="10">
        <v>2</v>
      </c>
      <c r="K627" s="95" t="s">
        <v>360</v>
      </c>
      <c r="L627" s="57">
        <v>100</v>
      </c>
      <c r="M627" s="81" t="s">
        <v>439</v>
      </c>
      <c r="N627" s="134"/>
    </row>
    <row r="628" spans="1:14" s="131" customFormat="1" ht="28.2" customHeight="1">
      <c r="A628" s="11">
        <v>623</v>
      </c>
      <c r="B628" s="290">
        <v>623</v>
      </c>
      <c r="C628" s="129">
        <v>46065</v>
      </c>
      <c r="D628" s="10" t="s">
        <v>486</v>
      </c>
      <c r="E628" s="41" t="str">
        <f>IFERROR(VLOOKUP($D628,임시동력입.출고현황!$A:$G,E$5,0),)</f>
        <v>MCB</v>
      </c>
      <c r="F628" s="19" t="str">
        <f>IFERROR(VLOOKUP($D628,임시동력입.출고현황!$A:$G,F$5,0),)</f>
        <v>MCCB</v>
      </c>
      <c r="G628" s="19">
        <f>IFERROR(VLOOKUP($D628,임시동력입.출고현황!$A:$G,G$5,0),)</f>
        <v>0</v>
      </c>
      <c r="H628" s="19" t="str">
        <f>IFERROR(VLOOKUP($D628,임시동력입.출고현황!$A:$G,H$5,0),)</f>
        <v>160 A ( adj. magnetic)</v>
      </c>
      <c r="I628" s="10" t="str">
        <f>IFERROR(VLOOKUP($D628,임시동력입.출고현황!$A:$G,I$5,0),)</f>
        <v>EA</v>
      </c>
      <c r="J628" s="10" t="s">
        <v>652</v>
      </c>
      <c r="K628" s="95" t="s">
        <v>654</v>
      </c>
      <c r="L628" s="57">
        <v>2</v>
      </c>
      <c r="M628" s="81" t="s">
        <v>561</v>
      </c>
      <c r="N628" s="134"/>
    </row>
    <row r="629" spans="1:14" s="131" customFormat="1" ht="28.2" customHeight="1">
      <c r="A629" s="11">
        <v>624</v>
      </c>
      <c r="B629" s="290">
        <v>624</v>
      </c>
      <c r="C629" s="129">
        <v>46065</v>
      </c>
      <c r="D629" s="10" t="s">
        <v>487</v>
      </c>
      <c r="E629" s="41" t="str">
        <f>IFERROR(VLOOKUP($D629,임시동력입.출고현황!$A:$G,E$5,0),)</f>
        <v>MCB</v>
      </c>
      <c r="F629" s="19" t="str">
        <f>IFERROR(VLOOKUP($D629,임시동력입.출고현황!$A:$G,F$5,0),)</f>
        <v>MCCB</v>
      </c>
      <c r="G629" s="19">
        <f>IFERROR(VLOOKUP($D629,임시동력입.출고현황!$A:$G,G$5,0),)</f>
        <v>0</v>
      </c>
      <c r="H629" s="19" t="str">
        <f>IFERROR(VLOOKUP($D629,임시동력입.출고현황!$A:$G,H$5,0),)</f>
        <v>250 A ( adj. magnetic)</v>
      </c>
      <c r="I629" s="10" t="str">
        <f>IFERROR(VLOOKUP($D629,임시동력입.출고현황!$A:$G,I$5,0),)</f>
        <v>EA</v>
      </c>
      <c r="J629" s="10" t="s">
        <v>653</v>
      </c>
      <c r="K629" s="95" t="s">
        <v>654</v>
      </c>
      <c r="L629" s="57">
        <v>2</v>
      </c>
      <c r="M629" s="81" t="s">
        <v>561</v>
      </c>
      <c r="N629" s="134"/>
    </row>
    <row r="630" spans="1:14" s="131" customFormat="1" ht="28.2" customHeight="1">
      <c r="A630" s="11">
        <v>625</v>
      </c>
      <c r="B630" s="290">
        <v>625</v>
      </c>
      <c r="C630" s="129">
        <v>46065</v>
      </c>
      <c r="D630" s="10" t="s">
        <v>341</v>
      </c>
      <c r="E630" s="41" t="str">
        <f>IFERROR(VLOOKUP($D630,임시동력입.출고현황!$A:$G,E$5,0),)</f>
        <v>LTG</v>
      </c>
      <c r="F630" s="19" t="str">
        <f>IFERROR(VLOOKUP($D630,임시동력입.출고현황!$A:$G,F$5,0),)</f>
        <v>Lighting Fixture</v>
      </c>
      <c r="G630" s="19">
        <f>IFERROR(VLOOKUP($D630,임시동력입.출고현황!$A:$G,G$5,0),)</f>
        <v>0</v>
      </c>
      <c r="H630" s="19" t="str">
        <f>IFERROR(VLOOKUP($D630,임시동력입.출고현황!$A:$G,H$5,0),)</f>
        <v>400W</v>
      </c>
      <c r="I630" s="10" t="str">
        <f>IFERROR(VLOOKUP($D630,임시동력입.출고현황!$A:$G,I$5,0),)</f>
        <v>EA</v>
      </c>
      <c r="J630" s="10">
        <v>2</v>
      </c>
      <c r="K630" s="95" t="s">
        <v>360</v>
      </c>
      <c r="L630" s="57">
        <v>5</v>
      </c>
      <c r="M630" s="81" t="s">
        <v>561</v>
      </c>
      <c r="N630" s="134"/>
    </row>
    <row r="631" spans="1:14" s="131" customFormat="1" ht="28.2" customHeight="1">
      <c r="A631" s="11">
        <v>626</v>
      </c>
      <c r="B631" s="290">
        <v>626</v>
      </c>
      <c r="C631" s="129">
        <v>46066</v>
      </c>
      <c r="D631" s="29" t="s">
        <v>348</v>
      </c>
      <c r="E631" s="41" t="str">
        <f>IFERROR(VLOOKUP($D631,임시동력입.출고현황!$A:$G,E$5,0),)</f>
        <v>LTG</v>
      </c>
      <c r="F631" s="19" t="str">
        <f>IFERROR(VLOOKUP($D631,임시동력입.출고현황!$A:$G,F$5,0),)</f>
        <v>Lighting Fixture</v>
      </c>
      <c r="G631" s="19">
        <f>IFERROR(VLOOKUP($D631,임시동력입.출고현황!$A:$G,G$5,0),)</f>
        <v>0</v>
      </c>
      <c r="H631" s="19" t="str">
        <f>IFERROR(VLOOKUP($D631,임시동력입.출고현황!$A:$G,H$5,0),)</f>
        <v>100W</v>
      </c>
      <c r="I631" s="10" t="str">
        <f>IFERROR(VLOOKUP($D631,임시동력입.출고현황!$A:$G,I$5,0),)</f>
        <v>EA</v>
      </c>
      <c r="J631" s="10">
        <v>4</v>
      </c>
      <c r="K631" s="95" t="s">
        <v>359</v>
      </c>
      <c r="L631" s="57">
        <v>1</v>
      </c>
      <c r="M631" s="81" t="s">
        <v>561</v>
      </c>
      <c r="N631" s="134"/>
    </row>
    <row r="632" spans="1:14" s="131" customFormat="1" ht="28.2" customHeight="1">
      <c r="A632" s="11">
        <v>627</v>
      </c>
      <c r="B632" s="290">
        <v>627</v>
      </c>
      <c r="C632" s="129">
        <v>46068</v>
      </c>
      <c r="D632" s="10" t="s">
        <v>341</v>
      </c>
      <c r="E632" s="41" t="str">
        <f>IFERROR(VLOOKUP($D632,임시동력입.출고현황!$A:$G,E$5,0),)</f>
        <v>LTG</v>
      </c>
      <c r="F632" s="19" t="str">
        <f>IFERROR(VLOOKUP($D632,임시동력입.출고현황!$A:$G,F$5,0),)</f>
        <v>Lighting Fixture</v>
      </c>
      <c r="G632" s="19">
        <f>IFERROR(VLOOKUP($D632,임시동력입.출고현황!$A:$G,G$5,0),)</f>
        <v>0</v>
      </c>
      <c r="H632" s="19" t="str">
        <f>IFERROR(VLOOKUP($D632,임시동력입.출고현황!$A:$G,H$5,0),)</f>
        <v>400W</v>
      </c>
      <c r="I632" s="10" t="str">
        <f>IFERROR(VLOOKUP($D632,임시동력입.출고현황!$A:$G,I$5,0),)</f>
        <v>EA</v>
      </c>
      <c r="J632" s="10">
        <v>1</v>
      </c>
      <c r="K632" s="95" t="s">
        <v>363</v>
      </c>
      <c r="L632" s="57">
        <v>7</v>
      </c>
      <c r="M632" s="81" t="s">
        <v>655</v>
      </c>
      <c r="N632" s="134"/>
    </row>
    <row r="633" spans="1:14" s="131" customFormat="1" ht="28.2" customHeight="1">
      <c r="A633" s="11">
        <v>628</v>
      </c>
      <c r="B633" s="290">
        <v>628</v>
      </c>
      <c r="C633" s="129">
        <v>46068</v>
      </c>
      <c r="D633" s="10" t="s">
        <v>347</v>
      </c>
      <c r="E633" s="41" t="str">
        <f>IFERROR(VLOOKUP($D633,임시동력입.출고현황!$A:$G,E$5,0),)</f>
        <v>LTG</v>
      </c>
      <c r="F633" s="19" t="str">
        <f>IFERROR(VLOOKUP($D633,임시동력입.출고현황!$A:$G,F$5,0),)</f>
        <v>Lighting Fixture</v>
      </c>
      <c r="G633" s="19">
        <f>IFERROR(VLOOKUP($D633,임시동력입.출고현황!$A:$G,G$5,0),)</f>
        <v>0</v>
      </c>
      <c r="H633" s="19" t="str">
        <f>IFERROR(VLOOKUP($D633,임시동력입.출고현황!$A:$G,H$5,0),)</f>
        <v>200W</v>
      </c>
      <c r="I633" s="10" t="str">
        <f>IFERROR(VLOOKUP($D633,임시동력입.출고현황!$A:$G,I$5,0),)</f>
        <v>EA</v>
      </c>
      <c r="J633" s="10">
        <v>1</v>
      </c>
      <c r="K633" s="95" t="s">
        <v>363</v>
      </c>
      <c r="L633" s="57">
        <v>8</v>
      </c>
      <c r="M633" s="81" t="s">
        <v>655</v>
      </c>
      <c r="N633" s="134"/>
    </row>
    <row r="634" spans="1:14" s="131" customFormat="1" ht="28.2" customHeight="1">
      <c r="A634" s="11">
        <v>629</v>
      </c>
      <c r="B634" s="290">
        <v>629</v>
      </c>
      <c r="C634" s="129">
        <v>46068</v>
      </c>
      <c r="D634" s="10" t="s">
        <v>348</v>
      </c>
      <c r="E634" s="41" t="str">
        <f>IFERROR(VLOOKUP($D634,임시동력입.출고현황!$A:$G,E$5,0),)</f>
        <v>LTG</v>
      </c>
      <c r="F634" s="19" t="str">
        <f>IFERROR(VLOOKUP($D634,임시동력입.출고현황!$A:$G,F$5,0),)</f>
        <v>Lighting Fixture</v>
      </c>
      <c r="G634" s="19">
        <f>IFERROR(VLOOKUP($D634,임시동력입.출고현황!$A:$G,G$5,0),)</f>
        <v>0</v>
      </c>
      <c r="H634" s="19" t="str">
        <f>IFERROR(VLOOKUP($D634,임시동력입.출고현황!$A:$G,H$5,0),)</f>
        <v>100W</v>
      </c>
      <c r="I634" s="10" t="str">
        <f>IFERROR(VLOOKUP($D634,임시동력입.출고현황!$A:$G,I$5,0),)</f>
        <v>EA</v>
      </c>
      <c r="J634" s="10">
        <v>1</v>
      </c>
      <c r="K634" s="95" t="s">
        <v>545</v>
      </c>
      <c r="L634" s="57">
        <v>26</v>
      </c>
      <c r="M634" s="81" t="s">
        <v>655</v>
      </c>
      <c r="N634" s="134"/>
    </row>
    <row r="635" spans="1:14" s="131" customFormat="1" ht="28.2" customHeight="1">
      <c r="A635" s="11">
        <v>630</v>
      </c>
      <c r="B635" s="290">
        <v>630</v>
      </c>
      <c r="C635" s="129">
        <v>46068</v>
      </c>
      <c r="D635" s="10" t="s">
        <v>349</v>
      </c>
      <c r="E635" s="41" t="str">
        <f>IFERROR(VLOOKUP($D635,임시동력입.출고현황!$A:$G,E$5,0),)</f>
        <v>LTG</v>
      </c>
      <c r="F635" s="19" t="str">
        <f>IFERROR(VLOOKUP($D635,임시동력입.출고현황!$A:$G,F$5,0),)</f>
        <v>Lighting Fixture</v>
      </c>
      <c r="G635" s="19">
        <f>IFERROR(VLOOKUP($D635,임시동력입.출고현황!$A:$G,G$5,0),)</f>
        <v>0</v>
      </c>
      <c r="H635" s="19" t="str">
        <f>IFERROR(VLOOKUP($D635,임시동력입.출고현황!$A:$G,H$5,0),)</f>
        <v>50W</v>
      </c>
      <c r="I635" s="10" t="str">
        <f>IFERROR(VLOOKUP($D635,임시동력입.출고현황!$A:$G,I$5,0),)</f>
        <v>EA</v>
      </c>
      <c r="J635" s="10">
        <v>1</v>
      </c>
      <c r="K635" s="95" t="s">
        <v>545</v>
      </c>
      <c r="L635" s="57">
        <v>9</v>
      </c>
      <c r="M635" s="81" t="s">
        <v>655</v>
      </c>
      <c r="N635" s="134"/>
    </row>
    <row r="636" spans="1:14" s="131" customFormat="1" ht="28.2" customHeight="1">
      <c r="A636" s="11">
        <v>631</v>
      </c>
      <c r="B636" s="290">
        <v>631</v>
      </c>
      <c r="C636" s="129">
        <v>46069</v>
      </c>
      <c r="D636" s="10" t="s">
        <v>341</v>
      </c>
      <c r="E636" s="41" t="str">
        <f>IFERROR(VLOOKUP($D636,임시동력입.출고현황!$A:$G,E$5,0),)</f>
        <v>LTG</v>
      </c>
      <c r="F636" s="19" t="str">
        <f>IFERROR(VLOOKUP($D636,임시동력입.출고현황!$A:$G,F$5,0),)</f>
        <v>Lighting Fixture</v>
      </c>
      <c r="G636" s="19">
        <f>IFERROR(VLOOKUP($D636,임시동력입.출고현황!$A:$G,G$5,0),)</f>
        <v>0</v>
      </c>
      <c r="H636" s="19" t="str">
        <f>IFERROR(VLOOKUP($D636,임시동력입.출고현황!$A:$G,H$5,0),)</f>
        <v>400W</v>
      </c>
      <c r="I636" s="10" t="str">
        <f>IFERROR(VLOOKUP($D636,임시동력입.출고현황!$A:$G,I$5,0),)</f>
        <v>EA</v>
      </c>
      <c r="J636" s="10">
        <v>3</v>
      </c>
      <c r="K636" s="95" t="s">
        <v>361</v>
      </c>
      <c r="L636" s="57">
        <v>10</v>
      </c>
      <c r="M636" s="81" t="s">
        <v>655</v>
      </c>
      <c r="N636" s="134"/>
    </row>
    <row r="637" spans="1:14" s="131" customFormat="1" ht="28.2" customHeight="1">
      <c r="A637" s="11">
        <v>632</v>
      </c>
      <c r="B637" s="290">
        <v>632</v>
      </c>
      <c r="C637" s="129">
        <v>46069</v>
      </c>
      <c r="D637" s="10" t="s">
        <v>335</v>
      </c>
      <c r="E637" s="41" t="str">
        <f>IFERROR(VLOOKUP($D637,임시동력입.출고현황!$A:$G,E$5,0),)</f>
        <v>Cable</v>
      </c>
      <c r="F637" s="19" t="str">
        <f>IFERROR(VLOOKUP($D637,임시동력입.출고현황!$A:$G,F$5,0),)</f>
        <v>CV Cable</v>
      </c>
      <c r="G637" s="19">
        <f>IFERROR(VLOOKUP($D637,임시동력입.출고현황!$A:$G,G$5,0),)</f>
        <v>0</v>
      </c>
      <c r="H637" s="19" t="str">
        <f>IFERROR(VLOOKUP($D637,임시동력입.출고현황!$A:$G,H$5,0),)</f>
        <v>3C x 2.5mm2</v>
      </c>
      <c r="I637" s="10" t="str">
        <f>IFERROR(VLOOKUP($D637,임시동력입.출고현황!$A:$G,I$5,0),)</f>
        <v>M</v>
      </c>
      <c r="J637" s="10">
        <v>3</v>
      </c>
      <c r="K637" s="95" t="s">
        <v>237</v>
      </c>
      <c r="L637" s="57">
        <v>200</v>
      </c>
      <c r="M637" s="81" t="s">
        <v>655</v>
      </c>
      <c r="N637" s="134"/>
    </row>
    <row r="638" spans="1:14" s="131" customFormat="1" ht="28.2" customHeight="1">
      <c r="A638" s="11">
        <v>633</v>
      </c>
      <c r="B638" s="290">
        <v>633</v>
      </c>
      <c r="C638" s="129">
        <v>46069</v>
      </c>
      <c r="D638" s="10" t="s">
        <v>335</v>
      </c>
      <c r="E638" s="41" t="str">
        <f>IFERROR(VLOOKUP($D638,임시동력입.출고현황!$A:$G,E$5,0),)</f>
        <v>Cable</v>
      </c>
      <c r="F638" s="19" t="str">
        <f>IFERROR(VLOOKUP($D638,임시동력입.출고현황!$A:$G,F$5,0),)</f>
        <v>CV Cable</v>
      </c>
      <c r="G638" s="19">
        <f>IFERROR(VLOOKUP($D638,임시동력입.출고현황!$A:$G,G$5,0),)</f>
        <v>0</v>
      </c>
      <c r="H638" s="19" t="str">
        <f>IFERROR(VLOOKUP($D638,임시동력입.출고현황!$A:$G,H$5,0),)</f>
        <v>3C x 2.5mm2</v>
      </c>
      <c r="I638" s="10" t="str">
        <f>IFERROR(VLOOKUP($D638,임시동력입.출고현황!$A:$G,I$5,0),)</f>
        <v>M</v>
      </c>
      <c r="J638" s="10">
        <v>2</v>
      </c>
      <c r="K638" s="95" t="s">
        <v>360</v>
      </c>
      <c r="L638" s="57">
        <v>200</v>
      </c>
      <c r="M638" s="81" t="s">
        <v>655</v>
      </c>
      <c r="N638" s="134"/>
    </row>
    <row r="639" spans="1:14" s="131" customFormat="1" ht="28.2" customHeight="1">
      <c r="A639" s="11">
        <v>634</v>
      </c>
      <c r="B639" s="290">
        <v>634</v>
      </c>
      <c r="C639" s="129">
        <v>46069</v>
      </c>
      <c r="D639" s="10" t="s">
        <v>331</v>
      </c>
      <c r="E639" s="41" t="str">
        <f>IFERROR(VLOOKUP($D639,임시동력입.출고현황!$A:$G,E$5,0),)</f>
        <v>Cable</v>
      </c>
      <c r="F639" s="19" t="str">
        <f>IFERROR(VLOOKUP($D639,임시동력입.출고현황!$A:$G,F$5,0),)</f>
        <v>CV Cable</v>
      </c>
      <c r="G639" s="19">
        <f>IFERROR(VLOOKUP($D639,임시동력입.출고현황!$A:$G,G$5,0),)</f>
        <v>0</v>
      </c>
      <c r="H639" s="19" t="str">
        <f>IFERROR(VLOOKUP($D639,임시동력입.출고현황!$A:$G,H$5,0),)</f>
        <v>4C x 6mm2</v>
      </c>
      <c r="I639" s="10" t="str">
        <f>IFERROR(VLOOKUP($D639,임시동력입.출고현황!$A:$G,I$5,0),)</f>
        <v>M</v>
      </c>
      <c r="J639" s="10">
        <v>4</v>
      </c>
      <c r="K639" s="95" t="s">
        <v>359</v>
      </c>
      <c r="L639" s="57">
        <v>50</v>
      </c>
      <c r="M639" s="81" t="s">
        <v>655</v>
      </c>
      <c r="N639" s="134"/>
    </row>
    <row r="640" spans="1:14" s="131" customFormat="1" ht="28.2" customHeight="1">
      <c r="A640" s="11">
        <v>635</v>
      </c>
      <c r="B640" s="290">
        <v>635</v>
      </c>
      <c r="C640" s="129">
        <v>46069</v>
      </c>
      <c r="D640" s="10" t="s">
        <v>568</v>
      </c>
      <c r="E640" s="41" t="str">
        <f>IFERROR(VLOOKUP($D640,임시동력입.출고현황!$A:$G,E$5,0),)</f>
        <v>Cable</v>
      </c>
      <c r="F640" s="19" t="str">
        <f>IFERROR(VLOOKUP($D640,임시동력입.출고현황!$A:$G,F$5,0),)</f>
        <v>CV Cable</v>
      </c>
      <c r="G640" s="19">
        <f>IFERROR(VLOOKUP($D640,임시동력입.출고현황!$A:$G,G$5,0),)</f>
        <v>0</v>
      </c>
      <c r="H640" s="19" t="str">
        <f>IFERROR(VLOOKUP($D640,임시동력입.출고현황!$A:$G,H$5,0),)</f>
        <v>4C x 4mm2</v>
      </c>
      <c r="I640" s="10" t="str">
        <f>IFERROR(VLOOKUP($D640,임시동력입.출고현황!$A:$G,I$5,0),)</f>
        <v>M</v>
      </c>
      <c r="J640" s="10">
        <v>2</v>
      </c>
      <c r="K640" s="95" t="s">
        <v>360</v>
      </c>
      <c r="L640" s="57">
        <v>15</v>
      </c>
      <c r="M640" s="81" t="s">
        <v>655</v>
      </c>
      <c r="N640" s="134"/>
    </row>
    <row r="641" spans="1:14" s="131" customFormat="1" ht="28.2" customHeight="1">
      <c r="A641" s="11">
        <v>636</v>
      </c>
      <c r="B641" s="290">
        <v>636</v>
      </c>
      <c r="C641" s="129">
        <v>46069</v>
      </c>
      <c r="D641" s="10" t="s">
        <v>335</v>
      </c>
      <c r="E641" s="41" t="str">
        <f>IFERROR(VLOOKUP($D641,임시동력입.출고현황!$A:$G,E$5,0),)</f>
        <v>Cable</v>
      </c>
      <c r="F641" s="19" t="str">
        <f>IFERROR(VLOOKUP($D641,임시동력입.출고현황!$A:$G,F$5,0),)</f>
        <v>CV Cable</v>
      </c>
      <c r="G641" s="19">
        <f>IFERROR(VLOOKUP($D641,임시동력입.출고현황!$A:$G,G$5,0),)</f>
        <v>0</v>
      </c>
      <c r="H641" s="19" t="str">
        <f>IFERROR(VLOOKUP($D641,임시동력입.출고현황!$A:$G,H$5,0),)</f>
        <v>3C x 2.5mm2</v>
      </c>
      <c r="I641" s="10" t="str">
        <f>IFERROR(VLOOKUP($D641,임시동력입.출고현황!$A:$G,I$5,0),)</f>
        <v>M</v>
      </c>
      <c r="J641" s="10">
        <v>1</v>
      </c>
      <c r="K641" s="95" t="s">
        <v>352</v>
      </c>
      <c r="L641" s="57">
        <v>100</v>
      </c>
      <c r="M641" s="81" t="s">
        <v>655</v>
      </c>
      <c r="N641" s="134"/>
    </row>
    <row r="642" spans="1:14" s="131" customFormat="1" ht="28.2" customHeight="1">
      <c r="A642" s="11">
        <v>637</v>
      </c>
      <c r="B642" s="290">
        <v>637</v>
      </c>
      <c r="C642" s="129">
        <v>46069</v>
      </c>
      <c r="D642" s="10" t="s">
        <v>335</v>
      </c>
      <c r="E642" s="41" t="str">
        <f>IFERROR(VLOOKUP($D642,임시동력입.출고현황!$A:$G,E$5,0),)</f>
        <v>Cable</v>
      </c>
      <c r="F642" s="19" t="str">
        <f>IFERROR(VLOOKUP($D642,임시동력입.출고현황!$A:$G,F$5,0),)</f>
        <v>CV Cable</v>
      </c>
      <c r="G642" s="19">
        <f>IFERROR(VLOOKUP($D642,임시동력입.출고현황!$A:$G,G$5,0),)</f>
        <v>0</v>
      </c>
      <c r="H642" s="19" t="str">
        <f>IFERROR(VLOOKUP($D642,임시동력입.출고현황!$A:$G,H$5,0),)</f>
        <v>3C x 2.5mm2</v>
      </c>
      <c r="I642" s="10" t="str">
        <f>IFERROR(VLOOKUP($D642,임시동력입.출고현황!$A:$G,I$5,0),)</f>
        <v>M</v>
      </c>
      <c r="J642" s="10">
        <v>2</v>
      </c>
      <c r="K642" s="95" t="s">
        <v>360</v>
      </c>
      <c r="L642" s="57">
        <v>100</v>
      </c>
      <c r="M642" s="81" t="s">
        <v>655</v>
      </c>
      <c r="N642" s="134"/>
    </row>
    <row r="643" spans="1:14" s="131" customFormat="1" ht="28.2" customHeight="1">
      <c r="A643" s="11">
        <v>638</v>
      </c>
      <c r="B643" s="290">
        <v>638</v>
      </c>
      <c r="C643" s="129">
        <v>46069</v>
      </c>
      <c r="D643" s="10" t="s">
        <v>341</v>
      </c>
      <c r="E643" s="41" t="str">
        <f>IFERROR(VLOOKUP($D643,임시동력입.출고현황!$A:$G,E$5,0),)</f>
        <v>LTG</v>
      </c>
      <c r="F643" s="19" t="str">
        <f>IFERROR(VLOOKUP($D643,임시동력입.출고현황!$A:$G,F$5,0),)</f>
        <v>Lighting Fixture</v>
      </c>
      <c r="G643" s="19">
        <f>IFERROR(VLOOKUP($D643,임시동력입.출고현황!$A:$G,G$5,0),)</f>
        <v>0</v>
      </c>
      <c r="H643" s="19" t="str">
        <f>IFERROR(VLOOKUP($D643,임시동력입.출고현황!$A:$G,H$5,0),)</f>
        <v>400W</v>
      </c>
      <c r="I643" s="10" t="str">
        <f>IFERROR(VLOOKUP($D643,임시동력입.출고현황!$A:$G,I$5,0),)</f>
        <v>EA</v>
      </c>
      <c r="J643" s="10">
        <v>4</v>
      </c>
      <c r="K643" s="95" t="s">
        <v>359</v>
      </c>
      <c r="L643" s="57">
        <v>4</v>
      </c>
      <c r="M643" s="81" t="s">
        <v>655</v>
      </c>
      <c r="N643" s="134"/>
    </row>
    <row r="644" spans="1:14" s="131" customFormat="1" ht="28.2" customHeight="1">
      <c r="A644" s="11">
        <v>639</v>
      </c>
      <c r="B644" s="290">
        <v>639</v>
      </c>
      <c r="C644" s="129">
        <v>46069</v>
      </c>
      <c r="D644" s="10" t="s">
        <v>347</v>
      </c>
      <c r="E644" s="41" t="str">
        <f>IFERROR(VLOOKUP($D644,임시동력입.출고현황!$A:$G,E$5,0),)</f>
        <v>LTG</v>
      </c>
      <c r="F644" s="19" t="str">
        <f>IFERROR(VLOOKUP($D644,임시동력입.출고현황!$A:$G,F$5,0),)</f>
        <v>Lighting Fixture</v>
      </c>
      <c r="G644" s="19">
        <f>IFERROR(VLOOKUP($D644,임시동력입.출고현황!$A:$G,G$5,0),)</f>
        <v>0</v>
      </c>
      <c r="H644" s="19" t="str">
        <f>IFERROR(VLOOKUP($D644,임시동력입.출고현황!$A:$G,H$5,0),)</f>
        <v>200W</v>
      </c>
      <c r="I644" s="10" t="str">
        <f>IFERROR(VLOOKUP($D644,임시동력입.출고현황!$A:$G,I$5,0),)</f>
        <v>EA</v>
      </c>
      <c r="J644" s="10">
        <v>3</v>
      </c>
      <c r="K644" s="95" t="s">
        <v>361</v>
      </c>
      <c r="L644" s="57">
        <v>9</v>
      </c>
      <c r="M644" s="81" t="s">
        <v>655</v>
      </c>
      <c r="N644" s="134"/>
    </row>
    <row r="645" spans="1:14" s="131" customFormat="1" ht="28.2" customHeight="1">
      <c r="A645" s="11">
        <v>640</v>
      </c>
      <c r="B645" s="290">
        <v>640</v>
      </c>
      <c r="C645" s="129">
        <v>46069</v>
      </c>
      <c r="D645" s="10" t="s">
        <v>335</v>
      </c>
      <c r="E645" s="41" t="str">
        <f>IFERROR(VLOOKUP($D645,임시동력입.출고현황!$A:$G,E$5,0),)</f>
        <v>Cable</v>
      </c>
      <c r="F645" s="19" t="str">
        <f>IFERROR(VLOOKUP($D645,임시동력입.출고현황!$A:$G,F$5,0),)</f>
        <v>CV Cable</v>
      </c>
      <c r="G645" s="19">
        <f>IFERROR(VLOOKUP($D645,임시동력입.출고현황!$A:$G,G$5,0),)</f>
        <v>0</v>
      </c>
      <c r="H645" s="19" t="str">
        <f>IFERROR(VLOOKUP($D645,임시동력입.출고현황!$A:$G,H$5,0),)</f>
        <v>3C x 2.5mm2</v>
      </c>
      <c r="I645" s="10" t="str">
        <f>IFERROR(VLOOKUP($D645,임시동력입.출고현황!$A:$G,I$5,0),)</f>
        <v>M</v>
      </c>
      <c r="J645" s="10">
        <v>3</v>
      </c>
      <c r="K645" s="95" t="s">
        <v>237</v>
      </c>
      <c r="L645" s="57">
        <v>200</v>
      </c>
      <c r="M645" s="81" t="s">
        <v>655</v>
      </c>
      <c r="N645" s="134"/>
    </row>
    <row r="646" spans="1:14" s="131" customFormat="1" ht="28.2" customHeight="1">
      <c r="A646" s="11">
        <v>641</v>
      </c>
      <c r="B646" s="290">
        <v>641</v>
      </c>
      <c r="C646" s="129">
        <v>46070</v>
      </c>
      <c r="D646" s="10" t="s">
        <v>341</v>
      </c>
      <c r="E646" s="41" t="str">
        <f>IFERROR(VLOOKUP($D646,임시동력입.출고현황!$A:$G,E$5,0),)</f>
        <v>LTG</v>
      </c>
      <c r="F646" s="19" t="str">
        <f>IFERROR(VLOOKUP($D646,임시동력입.출고현황!$A:$G,F$5,0),)</f>
        <v>Lighting Fixture</v>
      </c>
      <c r="G646" s="19">
        <f>IFERROR(VLOOKUP($D646,임시동력입.출고현황!$A:$G,G$5,0),)</f>
        <v>0</v>
      </c>
      <c r="H646" s="19" t="str">
        <f>IFERROR(VLOOKUP($D646,임시동력입.출고현황!$A:$G,H$5,0),)</f>
        <v>400W</v>
      </c>
      <c r="I646" s="10" t="str">
        <f>IFERROR(VLOOKUP($D646,임시동력입.출고현황!$A:$G,I$5,0),)</f>
        <v>EA</v>
      </c>
      <c r="J646" s="10">
        <v>2</v>
      </c>
      <c r="K646" s="95" t="s">
        <v>360</v>
      </c>
      <c r="L646" s="57">
        <v>4</v>
      </c>
      <c r="M646" s="81" t="s">
        <v>655</v>
      </c>
      <c r="N646" s="134"/>
    </row>
    <row r="647" spans="1:14" s="131" customFormat="1" ht="28.2" customHeight="1">
      <c r="A647" s="11">
        <v>642</v>
      </c>
      <c r="B647" s="290">
        <v>642</v>
      </c>
      <c r="C647" s="129">
        <v>46070</v>
      </c>
      <c r="D647" s="10" t="s">
        <v>347</v>
      </c>
      <c r="E647" s="41" t="str">
        <f>IFERROR(VLOOKUP($D647,임시동력입.출고현황!$A:$G,E$5,0),)</f>
        <v>LTG</v>
      </c>
      <c r="F647" s="19" t="str">
        <f>IFERROR(VLOOKUP($D647,임시동력입.출고현황!$A:$G,F$5,0),)</f>
        <v>Lighting Fixture</v>
      </c>
      <c r="G647" s="19">
        <f>IFERROR(VLOOKUP($D647,임시동력입.출고현황!$A:$G,G$5,0),)</f>
        <v>0</v>
      </c>
      <c r="H647" s="19" t="str">
        <f>IFERROR(VLOOKUP($D647,임시동력입.출고현황!$A:$G,H$5,0),)</f>
        <v>200W</v>
      </c>
      <c r="I647" s="10" t="str">
        <f>IFERROR(VLOOKUP($D647,임시동력입.출고현황!$A:$G,I$5,0),)</f>
        <v>EA</v>
      </c>
      <c r="J647" s="10" t="s">
        <v>557</v>
      </c>
      <c r="K647" s="95" t="s">
        <v>553</v>
      </c>
      <c r="L647" s="57">
        <v>5</v>
      </c>
      <c r="M647" s="81" t="s">
        <v>655</v>
      </c>
      <c r="N647" s="134"/>
    </row>
    <row r="648" spans="1:14" s="131" customFormat="1" ht="28.2" customHeight="1">
      <c r="A648" s="11">
        <v>643</v>
      </c>
      <c r="B648" s="290">
        <v>643</v>
      </c>
      <c r="C648" s="129">
        <v>46070</v>
      </c>
      <c r="D648" s="10" t="s">
        <v>559</v>
      </c>
      <c r="E648" s="41" t="str">
        <f>IFERROR(VLOOKUP($D648,임시동력입.출고현황!$A:$G,E$5,0),)</f>
        <v>Panel</v>
      </c>
      <c r="F648" s="19" t="str">
        <f>IFERROR(VLOOKUP($D648,임시동력입.출고현황!$A:$G,F$5,0),)</f>
        <v>Electrical Panel</v>
      </c>
      <c r="G648" s="19">
        <f>IFERROR(VLOOKUP($D648,임시동력입.출고현황!$A:$G,G$5,0),)</f>
        <v>0</v>
      </c>
      <c r="H648" s="19" t="str">
        <f>IFERROR(VLOOKUP($D648,임시동력입.출고현황!$A:$G,H$5,0),)</f>
        <v>63A</v>
      </c>
      <c r="I648" s="10" t="str">
        <f>IFERROR(VLOOKUP($D648,임시동력입.출고현황!$A:$G,I$5,0),)</f>
        <v>EA</v>
      </c>
      <c r="J648" s="10">
        <v>2</v>
      </c>
      <c r="K648" s="95" t="s">
        <v>360</v>
      </c>
      <c r="L648" s="57">
        <v>1</v>
      </c>
      <c r="M648" s="81" t="s">
        <v>655</v>
      </c>
      <c r="N648" s="134"/>
    </row>
    <row r="649" spans="1:14" s="131" customFormat="1" ht="28.2" customHeight="1">
      <c r="A649" s="11">
        <v>644</v>
      </c>
      <c r="B649" s="290">
        <v>644</v>
      </c>
      <c r="C649" s="129">
        <v>46070</v>
      </c>
      <c r="D649" s="10" t="s">
        <v>559</v>
      </c>
      <c r="E649" s="41" t="str">
        <f>IFERROR(VLOOKUP($D649,임시동력입.출고현황!$A:$G,E$5,0),)</f>
        <v>Panel</v>
      </c>
      <c r="F649" s="19" t="str">
        <f>IFERROR(VLOOKUP($D649,임시동력입.출고현황!$A:$G,F$5,0),)</f>
        <v>Electrical Panel</v>
      </c>
      <c r="G649" s="19">
        <f>IFERROR(VLOOKUP($D649,임시동력입.출고현황!$A:$G,G$5,0),)</f>
        <v>0</v>
      </c>
      <c r="H649" s="19" t="str">
        <f>IFERROR(VLOOKUP($D649,임시동력입.출고현황!$A:$G,H$5,0),)</f>
        <v>63A</v>
      </c>
      <c r="I649" s="10" t="str">
        <f>IFERROR(VLOOKUP($D649,임시동력입.출고현황!$A:$G,I$5,0),)</f>
        <v>EA</v>
      </c>
      <c r="J649" s="10">
        <v>1</v>
      </c>
      <c r="K649" s="95" t="s">
        <v>545</v>
      </c>
      <c r="L649" s="57">
        <v>1</v>
      </c>
      <c r="M649" s="81" t="s">
        <v>655</v>
      </c>
      <c r="N649" s="134"/>
    </row>
    <row r="650" spans="1:14" s="131" customFormat="1" ht="28.2" customHeight="1">
      <c r="A650" s="11">
        <v>645</v>
      </c>
      <c r="B650" s="290">
        <v>645</v>
      </c>
      <c r="C650" s="129">
        <v>46070</v>
      </c>
      <c r="D650" s="10" t="s">
        <v>335</v>
      </c>
      <c r="E650" s="41" t="str">
        <f>IFERROR(VLOOKUP($D650,임시동력입.출고현황!$A:$G,E$5,0),)</f>
        <v>Cable</v>
      </c>
      <c r="F650" s="19" t="str">
        <f>IFERROR(VLOOKUP($D650,임시동력입.출고현황!$A:$G,F$5,0),)</f>
        <v>CV Cable</v>
      </c>
      <c r="G650" s="19">
        <f>IFERROR(VLOOKUP($D650,임시동력입.출고현황!$A:$G,G$5,0),)</f>
        <v>0</v>
      </c>
      <c r="H650" s="19" t="str">
        <f>IFERROR(VLOOKUP($D650,임시동력입.출고현황!$A:$G,H$5,0),)</f>
        <v>3C x 2.5mm2</v>
      </c>
      <c r="I650" s="10" t="str">
        <f>IFERROR(VLOOKUP($D650,임시동력입.출고현황!$A:$G,I$5,0),)</f>
        <v>M</v>
      </c>
      <c r="J650" s="10" t="s">
        <v>557</v>
      </c>
      <c r="K650" s="95" t="s">
        <v>553</v>
      </c>
      <c r="L650" s="57">
        <v>200</v>
      </c>
      <c r="M650" s="81" t="s">
        <v>655</v>
      </c>
      <c r="N650" s="134"/>
    </row>
    <row r="651" spans="1:14" s="131" customFormat="1" ht="28.2" customHeight="1">
      <c r="A651" s="11">
        <v>646</v>
      </c>
      <c r="B651" s="290">
        <v>646</v>
      </c>
      <c r="C651" s="129">
        <v>46070</v>
      </c>
      <c r="D651" s="10" t="s">
        <v>348</v>
      </c>
      <c r="E651" s="41" t="str">
        <f>IFERROR(VLOOKUP($D651,임시동력입.출고현황!$A:$G,E$5,0),)</f>
        <v>LTG</v>
      </c>
      <c r="F651" s="19" t="str">
        <f>IFERROR(VLOOKUP($D651,임시동력입.출고현황!$A:$G,F$5,0),)</f>
        <v>Lighting Fixture</v>
      </c>
      <c r="G651" s="19">
        <f>IFERROR(VLOOKUP($D651,임시동력입.출고현황!$A:$G,G$5,0),)</f>
        <v>0</v>
      </c>
      <c r="H651" s="19" t="str">
        <f>IFERROR(VLOOKUP($D651,임시동력입.출고현황!$A:$G,H$5,0),)</f>
        <v>100W</v>
      </c>
      <c r="I651" s="10" t="str">
        <f>IFERROR(VLOOKUP($D651,임시동력입.출고현황!$A:$G,I$5,0),)</f>
        <v>EA</v>
      </c>
      <c r="J651" s="10">
        <v>2</v>
      </c>
      <c r="K651" s="95" t="s">
        <v>360</v>
      </c>
      <c r="L651" s="57">
        <v>10</v>
      </c>
      <c r="M651" s="81" t="s">
        <v>655</v>
      </c>
      <c r="N651" s="134"/>
    </row>
    <row r="652" spans="1:14" s="131" customFormat="1" ht="28.2" customHeight="1">
      <c r="A652" s="11">
        <v>647</v>
      </c>
      <c r="B652" s="290">
        <v>647</v>
      </c>
      <c r="C652" s="129">
        <v>46070</v>
      </c>
      <c r="D652" s="10" t="s">
        <v>348</v>
      </c>
      <c r="E652" s="41" t="str">
        <f>IFERROR(VLOOKUP($D652,임시동력입.출고현황!$A:$G,E$5,0),)</f>
        <v>LTG</v>
      </c>
      <c r="F652" s="19" t="str">
        <f>IFERROR(VLOOKUP($D652,임시동력입.출고현황!$A:$G,F$5,0),)</f>
        <v>Lighting Fixture</v>
      </c>
      <c r="G652" s="19">
        <f>IFERROR(VLOOKUP($D652,임시동력입.출고현황!$A:$G,G$5,0),)</f>
        <v>0</v>
      </c>
      <c r="H652" s="19" t="str">
        <f>IFERROR(VLOOKUP($D652,임시동력입.출고현황!$A:$G,H$5,0),)</f>
        <v>100W</v>
      </c>
      <c r="I652" s="10" t="str">
        <f>IFERROR(VLOOKUP($D652,임시동력입.출고현황!$A:$G,I$5,0),)</f>
        <v>EA</v>
      </c>
      <c r="J652" s="10" t="s">
        <v>557</v>
      </c>
      <c r="K652" s="95" t="s">
        <v>553</v>
      </c>
      <c r="L652" s="57">
        <v>10</v>
      </c>
      <c r="M652" s="81" t="s">
        <v>655</v>
      </c>
      <c r="N652" s="134"/>
    </row>
    <row r="653" spans="1:14" s="131" customFormat="1" ht="28.2" customHeight="1">
      <c r="A653" s="11">
        <v>648</v>
      </c>
      <c r="B653" s="290">
        <v>648</v>
      </c>
      <c r="C653" s="129">
        <v>46070</v>
      </c>
      <c r="D653" s="10" t="s">
        <v>347</v>
      </c>
      <c r="E653" s="41" t="str">
        <f>IFERROR(VLOOKUP($D653,임시동력입.출고현황!$A:$G,E$5,0),)</f>
        <v>LTG</v>
      </c>
      <c r="F653" s="19" t="str">
        <f>IFERROR(VLOOKUP($D653,임시동력입.출고현황!$A:$G,F$5,0),)</f>
        <v>Lighting Fixture</v>
      </c>
      <c r="G653" s="19">
        <f>IFERROR(VLOOKUP($D653,임시동력입.출고현황!$A:$G,G$5,0),)</f>
        <v>0</v>
      </c>
      <c r="H653" s="19" t="str">
        <f>IFERROR(VLOOKUP($D653,임시동력입.출고현황!$A:$G,H$5,0),)</f>
        <v>200W</v>
      </c>
      <c r="I653" s="10" t="str">
        <f>IFERROR(VLOOKUP($D653,임시동력입.출고현황!$A:$G,I$5,0),)</f>
        <v>EA</v>
      </c>
      <c r="J653" s="10" t="s">
        <v>557</v>
      </c>
      <c r="K653" s="95" t="s">
        <v>553</v>
      </c>
      <c r="L653" s="57">
        <v>5</v>
      </c>
      <c r="M653" s="81" t="s">
        <v>655</v>
      </c>
      <c r="N653" s="134"/>
    </row>
    <row r="654" spans="1:14" s="131" customFormat="1" ht="28.2" customHeight="1">
      <c r="A654" s="11">
        <v>649</v>
      </c>
      <c r="B654" s="290">
        <v>649</v>
      </c>
      <c r="C654" s="129">
        <v>46070</v>
      </c>
      <c r="D654" s="10" t="s">
        <v>341</v>
      </c>
      <c r="E654" s="41" t="str">
        <f>IFERROR(VLOOKUP($D654,임시동력입.출고현황!$A:$G,E$5,0),)</f>
        <v>LTG</v>
      </c>
      <c r="F654" s="19" t="str">
        <f>IFERROR(VLOOKUP($D654,임시동력입.출고현황!$A:$G,F$5,0),)</f>
        <v>Lighting Fixture</v>
      </c>
      <c r="G654" s="19">
        <f>IFERROR(VLOOKUP($D654,임시동력입.출고현황!$A:$G,G$5,0),)</f>
        <v>0</v>
      </c>
      <c r="H654" s="19" t="str">
        <f>IFERROR(VLOOKUP($D654,임시동력입.출고현황!$A:$G,H$5,0),)</f>
        <v>400W</v>
      </c>
      <c r="I654" s="10" t="str">
        <f>IFERROR(VLOOKUP($D654,임시동력입.출고현황!$A:$G,I$5,0),)</f>
        <v>EA</v>
      </c>
      <c r="J654" s="10">
        <v>4</v>
      </c>
      <c r="K654" s="95" t="s">
        <v>359</v>
      </c>
      <c r="L654" s="57">
        <v>7</v>
      </c>
      <c r="M654" s="81" t="s">
        <v>655</v>
      </c>
      <c r="N654" s="134"/>
    </row>
    <row r="655" spans="1:14" s="131" customFormat="1" ht="28.2" customHeight="1">
      <c r="A655" s="11">
        <v>650</v>
      </c>
      <c r="B655" s="290">
        <v>650</v>
      </c>
      <c r="C655" s="129">
        <v>46071</v>
      </c>
      <c r="D655" s="10" t="s">
        <v>348</v>
      </c>
      <c r="E655" s="41" t="str">
        <f>IFERROR(VLOOKUP($D655,임시동력입.출고현황!$A:$G,E$5,0),)</f>
        <v>LTG</v>
      </c>
      <c r="F655" s="19" t="str">
        <f>IFERROR(VLOOKUP($D655,임시동력입.출고현황!$A:$G,F$5,0),)</f>
        <v>Lighting Fixture</v>
      </c>
      <c r="G655" s="19">
        <f>IFERROR(VLOOKUP($D655,임시동력입.출고현황!$A:$G,G$5,0),)</f>
        <v>0</v>
      </c>
      <c r="H655" s="19" t="str">
        <f>IFERROR(VLOOKUP($D655,임시동력입.출고현황!$A:$G,H$5,0),)</f>
        <v>100W</v>
      </c>
      <c r="I655" s="10" t="str">
        <f>IFERROR(VLOOKUP($D655,임시동력입.출고현황!$A:$G,I$5,0),)</f>
        <v>EA</v>
      </c>
      <c r="J655" s="10">
        <v>1</v>
      </c>
      <c r="K655" s="95" t="s">
        <v>352</v>
      </c>
      <c r="L655" s="57">
        <v>20</v>
      </c>
      <c r="M655" s="81" t="s">
        <v>655</v>
      </c>
      <c r="N655" s="134"/>
    </row>
    <row r="656" spans="1:14" s="131" customFormat="1" ht="28.2" customHeight="1">
      <c r="A656" s="11">
        <v>651</v>
      </c>
      <c r="B656" s="290">
        <v>651</v>
      </c>
      <c r="C656" s="129">
        <v>46071</v>
      </c>
      <c r="D656" s="10" t="s">
        <v>335</v>
      </c>
      <c r="E656" s="41" t="str">
        <f>IFERROR(VLOOKUP($D656,임시동력입.출고현황!$A:$G,E$5,0),)</f>
        <v>Cable</v>
      </c>
      <c r="F656" s="19" t="str">
        <f>IFERROR(VLOOKUP($D656,임시동력입.출고현황!$A:$G,F$5,0),)</f>
        <v>CV Cable</v>
      </c>
      <c r="G656" s="19">
        <f>IFERROR(VLOOKUP($D656,임시동력입.출고현황!$A:$G,G$5,0),)</f>
        <v>0</v>
      </c>
      <c r="H656" s="19" t="str">
        <f>IFERROR(VLOOKUP($D656,임시동력입.출고현황!$A:$G,H$5,0),)</f>
        <v>3C x 2.5mm2</v>
      </c>
      <c r="I656" s="10" t="str">
        <f>IFERROR(VLOOKUP($D656,임시동력입.출고현황!$A:$G,I$5,0),)</f>
        <v>M</v>
      </c>
      <c r="J656" s="10">
        <v>1</v>
      </c>
      <c r="K656" s="95" t="s">
        <v>352</v>
      </c>
      <c r="L656" s="57">
        <v>300</v>
      </c>
      <c r="M656" s="81" t="s">
        <v>655</v>
      </c>
      <c r="N656" s="134"/>
    </row>
    <row r="657" spans="1:14" s="131" customFormat="1" ht="28.2" customHeight="1">
      <c r="A657" s="11">
        <v>652</v>
      </c>
      <c r="B657" s="290">
        <v>652</v>
      </c>
      <c r="C657" s="129">
        <v>46071</v>
      </c>
      <c r="D657" s="10" t="s">
        <v>341</v>
      </c>
      <c r="E657" s="41" t="str">
        <f>IFERROR(VLOOKUP($D657,임시동력입.출고현황!$A:$G,E$5,0),)</f>
        <v>LTG</v>
      </c>
      <c r="F657" s="19" t="str">
        <f>IFERROR(VLOOKUP($D657,임시동력입.출고현황!$A:$G,F$5,0),)</f>
        <v>Lighting Fixture</v>
      </c>
      <c r="G657" s="19">
        <f>IFERROR(VLOOKUP($D657,임시동력입.출고현황!$A:$G,G$5,0),)</f>
        <v>0</v>
      </c>
      <c r="H657" s="19" t="str">
        <f>IFERROR(VLOOKUP($D657,임시동력입.출고현황!$A:$G,H$5,0),)</f>
        <v>400W</v>
      </c>
      <c r="I657" s="10" t="str">
        <f>IFERROR(VLOOKUP($D657,임시동력입.출고현황!$A:$G,I$5,0),)</f>
        <v>EA</v>
      </c>
      <c r="J657" s="10">
        <v>3</v>
      </c>
      <c r="K657" s="95" t="s">
        <v>361</v>
      </c>
      <c r="L657" s="57">
        <v>4</v>
      </c>
      <c r="M657" s="81"/>
      <c r="N657" s="134"/>
    </row>
    <row r="658" spans="1:14" s="131" customFormat="1" ht="28.2" customHeight="1">
      <c r="A658" s="11">
        <v>653</v>
      </c>
      <c r="B658" s="290">
        <v>653</v>
      </c>
      <c r="C658" s="129">
        <v>46071</v>
      </c>
      <c r="D658" s="10" t="s">
        <v>347</v>
      </c>
      <c r="E658" s="41" t="str">
        <f>IFERROR(VLOOKUP($D658,임시동력입.출고현황!$A:$G,E$5,0),)</f>
        <v>LTG</v>
      </c>
      <c r="F658" s="19" t="str">
        <f>IFERROR(VLOOKUP($D658,임시동력입.출고현황!$A:$G,F$5,0),)</f>
        <v>Lighting Fixture</v>
      </c>
      <c r="G658" s="19">
        <f>IFERROR(VLOOKUP($D658,임시동력입.출고현황!$A:$G,G$5,0),)</f>
        <v>0</v>
      </c>
      <c r="H658" s="19" t="str">
        <f>IFERROR(VLOOKUP($D658,임시동력입.출고현황!$A:$G,H$5,0),)</f>
        <v>200W</v>
      </c>
      <c r="I658" s="10" t="str">
        <f>IFERROR(VLOOKUP($D658,임시동력입.출고현황!$A:$G,I$5,0),)</f>
        <v>EA</v>
      </c>
      <c r="J658" s="10">
        <v>3</v>
      </c>
      <c r="K658" s="95" t="s">
        <v>237</v>
      </c>
      <c r="L658" s="57">
        <v>5</v>
      </c>
      <c r="M658" s="81"/>
      <c r="N658" s="134"/>
    </row>
    <row r="659" spans="1:14" s="131" customFormat="1" ht="28.2" customHeight="1">
      <c r="A659" s="11">
        <v>654</v>
      </c>
      <c r="B659" s="290">
        <v>654</v>
      </c>
      <c r="C659" s="129">
        <v>46072</v>
      </c>
      <c r="D659" s="10" t="s">
        <v>482</v>
      </c>
      <c r="E659" s="41" t="str">
        <f>IFERROR(VLOOKUP($D659,임시동력입.출고현황!$A:$G,E$5,0),)</f>
        <v>MCB</v>
      </c>
      <c r="F659" s="19" t="str">
        <f>IFERROR(VLOOKUP($D659,임시동력입.출고현황!$A:$G,F$5,0),)</f>
        <v>RCBO</v>
      </c>
      <c r="G659" s="19">
        <f>IFERROR(VLOOKUP($D659,임시동력입.출고현황!$A:$G,G$5,0),)</f>
        <v>0</v>
      </c>
      <c r="H659" s="19" t="str">
        <f>IFERROR(VLOOKUP($D659,임시동력입.출고현황!$A:$G,H$5,0),)</f>
        <v>1P + N -32A - 30 mA</v>
      </c>
      <c r="I659" s="10" t="str">
        <f>IFERROR(VLOOKUP($D659,임시동력입.출고현황!$A:$G,I$5,0),)</f>
        <v>EA</v>
      </c>
      <c r="J659" s="10">
        <v>2</v>
      </c>
      <c r="K659" s="95" t="s">
        <v>360</v>
      </c>
      <c r="L659" s="57">
        <v>3</v>
      </c>
      <c r="M659" s="81"/>
      <c r="N659" s="134"/>
    </row>
    <row r="660" spans="1:14" s="131" customFormat="1" ht="28.2" customHeight="1">
      <c r="A660" s="11">
        <v>655</v>
      </c>
      <c r="B660" s="290">
        <v>655</v>
      </c>
      <c r="C660" s="129">
        <v>46072</v>
      </c>
      <c r="D660" s="10" t="s">
        <v>341</v>
      </c>
      <c r="E660" s="41" t="str">
        <f>IFERROR(VLOOKUP($D660,임시동력입.출고현황!$A:$G,E$5,0),)</f>
        <v>LTG</v>
      </c>
      <c r="F660" s="19" t="str">
        <f>IFERROR(VLOOKUP($D660,임시동력입.출고현황!$A:$G,F$5,0),)</f>
        <v>Lighting Fixture</v>
      </c>
      <c r="G660" s="19">
        <f>IFERROR(VLOOKUP($D660,임시동력입.출고현황!$A:$G,G$5,0),)</f>
        <v>0</v>
      </c>
      <c r="H660" s="19" t="str">
        <f>IFERROR(VLOOKUP($D660,임시동력입.출고현황!$A:$G,H$5,0),)</f>
        <v>400W</v>
      </c>
      <c r="I660" s="10" t="str">
        <f>IFERROR(VLOOKUP($D660,임시동력입.출고현황!$A:$G,I$5,0),)</f>
        <v>EA</v>
      </c>
      <c r="J660" s="10">
        <v>1</v>
      </c>
      <c r="K660" s="95" t="s">
        <v>545</v>
      </c>
      <c r="L660" s="57">
        <v>4</v>
      </c>
      <c r="M660" s="81"/>
      <c r="N660" s="134"/>
    </row>
    <row r="661" spans="1:14" s="131" customFormat="1" ht="28.2" customHeight="1">
      <c r="A661" s="11">
        <v>656</v>
      </c>
      <c r="B661" s="290">
        <v>656</v>
      </c>
      <c r="C661" s="129">
        <v>46072</v>
      </c>
      <c r="D661" s="10" t="s">
        <v>347</v>
      </c>
      <c r="E661" s="41" t="str">
        <f>IFERROR(VLOOKUP($D661,임시동력입.출고현황!$A:$G,E$5,0),)</f>
        <v>LTG</v>
      </c>
      <c r="F661" s="19" t="str">
        <f>IFERROR(VLOOKUP($D661,임시동력입.출고현황!$A:$G,F$5,0),)</f>
        <v>Lighting Fixture</v>
      </c>
      <c r="G661" s="19">
        <f>IFERROR(VLOOKUP($D661,임시동력입.출고현황!$A:$G,G$5,0),)</f>
        <v>0</v>
      </c>
      <c r="H661" s="19" t="str">
        <f>IFERROR(VLOOKUP($D661,임시동력입.출고현황!$A:$G,H$5,0),)</f>
        <v>200W</v>
      </c>
      <c r="I661" s="10" t="str">
        <f>IFERROR(VLOOKUP($D661,임시동력입.출고현황!$A:$G,I$5,0),)</f>
        <v>EA</v>
      </c>
      <c r="J661" s="10">
        <v>1</v>
      </c>
      <c r="K661" s="95" t="s">
        <v>545</v>
      </c>
      <c r="L661" s="57">
        <v>2</v>
      </c>
      <c r="M661" s="81"/>
      <c r="N661" s="134"/>
    </row>
    <row r="662" spans="1:14" s="131" customFormat="1" ht="28.2" customHeight="1">
      <c r="A662" s="11">
        <v>657</v>
      </c>
      <c r="B662" s="290">
        <v>657</v>
      </c>
      <c r="C662" s="129">
        <v>46072</v>
      </c>
      <c r="D662" s="10" t="s">
        <v>335</v>
      </c>
      <c r="E662" s="41" t="str">
        <f>IFERROR(VLOOKUP($D662,임시동력입.출고현황!$A:$G,E$5,0),)</f>
        <v>Cable</v>
      </c>
      <c r="F662" s="19" t="str">
        <f>IFERROR(VLOOKUP($D662,임시동력입.출고현황!$A:$G,F$5,0),)</f>
        <v>CV Cable</v>
      </c>
      <c r="G662" s="19">
        <f>IFERROR(VLOOKUP($D662,임시동력입.출고현황!$A:$G,G$5,0),)</f>
        <v>0</v>
      </c>
      <c r="H662" s="19" t="str">
        <f>IFERROR(VLOOKUP($D662,임시동력입.출고현황!$A:$G,H$5,0),)</f>
        <v>3C x 2.5mm2</v>
      </c>
      <c r="I662" s="10" t="str">
        <f>IFERROR(VLOOKUP($D662,임시동력입.출고현황!$A:$G,I$5,0),)</f>
        <v>M</v>
      </c>
      <c r="J662" s="10">
        <v>3</v>
      </c>
      <c r="K662" s="95" t="s">
        <v>361</v>
      </c>
      <c r="L662" s="57">
        <v>100</v>
      </c>
      <c r="M662" s="81"/>
      <c r="N662" s="134"/>
    </row>
    <row r="663" spans="1:14" s="131" customFormat="1" ht="28.2" customHeight="1">
      <c r="A663" s="11">
        <v>658</v>
      </c>
      <c r="B663" s="290">
        <v>658</v>
      </c>
      <c r="C663" s="129">
        <v>46073</v>
      </c>
      <c r="D663" s="10" t="s">
        <v>347</v>
      </c>
      <c r="E663" s="41" t="str">
        <f>IFERROR(VLOOKUP($D663,임시동력입.출고현황!$A:$G,E$5,0),)</f>
        <v>LTG</v>
      </c>
      <c r="F663" s="19" t="str">
        <f>IFERROR(VLOOKUP($D663,임시동력입.출고현황!$A:$G,F$5,0),)</f>
        <v>Lighting Fixture</v>
      </c>
      <c r="G663" s="19">
        <f>IFERROR(VLOOKUP($D663,임시동력입.출고현황!$A:$G,G$5,0),)</f>
        <v>0</v>
      </c>
      <c r="H663" s="19" t="str">
        <f>IFERROR(VLOOKUP($D663,임시동력입.출고현황!$A:$G,H$5,0),)</f>
        <v>200W</v>
      </c>
      <c r="I663" s="10" t="str">
        <f>IFERROR(VLOOKUP($D663,임시동력입.출고현황!$A:$G,I$5,0),)</f>
        <v>EA</v>
      </c>
      <c r="J663" s="10">
        <v>3</v>
      </c>
      <c r="K663" s="95" t="s">
        <v>237</v>
      </c>
      <c r="L663" s="57">
        <v>5</v>
      </c>
      <c r="M663" s="81"/>
      <c r="N663" s="134"/>
    </row>
    <row r="664" spans="1:14" s="131" customFormat="1" ht="28.2" customHeight="1">
      <c r="A664" s="11">
        <v>659</v>
      </c>
      <c r="B664" s="290">
        <v>659</v>
      </c>
      <c r="C664" s="129">
        <v>46074</v>
      </c>
      <c r="D664" s="10" t="s">
        <v>559</v>
      </c>
      <c r="E664" s="41" t="str">
        <f>IFERROR(VLOOKUP($D664,임시동력입.출고현황!$A:$G,E$5,0),)</f>
        <v>Panel</v>
      </c>
      <c r="F664" s="19" t="str">
        <f>IFERROR(VLOOKUP($D664,임시동력입.출고현황!$A:$G,F$5,0),)</f>
        <v>Electrical Panel</v>
      </c>
      <c r="G664" s="19">
        <f>IFERROR(VLOOKUP($D664,임시동력입.출고현황!$A:$G,G$5,0),)</f>
        <v>0</v>
      </c>
      <c r="H664" s="19" t="str">
        <f>IFERROR(VLOOKUP($D664,임시동력입.출고현황!$A:$G,H$5,0),)</f>
        <v>63A</v>
      </c>
      <c r="I664" s="10" t="str">
        <f>IFERROR(VLOOKUP($D664,임시동력입.출고현황!$A:$G,I$5,0),)</f>
        <v>EA</v>
      </c>
      <c r="J664" s="10">
        <v>1</v>
      </c>
      <c r="K664" s="95" t="s">
        <v>547</v>
      </c>
      <c r="L664" s="57">
        <v>1</v>
      </c>
      <c r="M664" s="81"/>
      <c r="N664" s="134"/>
    </row>
    <row r="665" spans="1:14" s="131" customFormat="1" ht="28.2" customHeight="1">
      <c r="A665" s="11">
        <v>660</v>
      </c>
      <c r="B665" s="290">
        <v>660</v>
      </c>
      <c r="C665" s="129">
        <v>46074</v>
      </c>
      <c r="D665" s="10" t="s">
        <v>411</v>
      </c>
      <c r="E665" s="41" t="str">
        <f>IFERROR(VLOOKUP($D665,임시동력입.출고현황!$A:$G,E$5,0),)</f>
        <v>Cable</v>
      </c>
      <c r="F665" s="19" t="str">
        <f>IFERROR(VLOOKUP($D665,임시동력입.출고현황!$A:$G,F$5,0),)</f>
        <v>CV Cable</v>
      </c>
      <c r="G665" s="19">
        <f>IFERROR(VLOOKUP($D665,임시동력입.출고현황!$A:$G,G$5,0),)</f>
        <v>0</v>
      </c>
      <c r="H665" s="19" t="str">
        <f>IFERROR(VLOOKUP($D665,임시동력입.출고현황!$A:$G,H$5,0),)</f>
        <v>3C x 3mm2</v>
      </c>
      <c r="I665" s="10" t="str">
        <f>IFERROR(VLOOKUP($D665,임시동력입.출고현황!$A:$G,I$5,0),)</f>
        <v>M</v>
      </c>
      <c r="J665" s="10">
        <v>2</v>
      </c>
      <c r="K665" s="95" t="s">
        <v>360</v>
      </c>
      <c r="L665" s="57">
        <v>100</v>
      </c>
      <c r="M665" s="81"/>
      <c r="N665" s="134"/>
    </row>
    <row r="666" spans="1:14" s="131" customFormat="1" ht="28.2" customHeight="1">
      <c r="A666" s="11">
        <v>661</v>
      </c>
      <c r="B666" s="290">
        <v>661</v>
      </c>
      <c r="C666" s="259">
        <v>46074</v>
      </c>
      <c r="D666" s="249" t="s">
        <v>335</v>
      </c>
      <c r="E666" s="251" t="str">
        <f>IFERROR(VLOOKUP($D666,임시동력입.출고현황!$A:$G,E$5,0),)</f>
        <v>Cable</v>
      </c>
      <c r="F666" s="260" t="str">
        <f>IFERROR(VLOOKUP($D666,임시동력입.출고현황!$A:$G,F$5,0),)</f>
        <v>CV Cable</v>
      </c>
      <c r="G666" s="260">
        <f>IFERROR(VLOOKUP($D666,임시동력입.출고현황!$A:$G,G$5,0),)</f>
        <v>0</v>
      </c>
      <c r="H666" s="260" t="str">
        <f>IFERROR(VLOOKUP($D666,임시동력입.출고현황!$A:$G,H$5,0),)</f>
        <v>3C x 2.5mm2</v>
      </c>
      <c r="I666" s="249" t="str">
        <f>IFERROR(VLOOKUP($D666,임시동력입.출고현황!$A:$G,I$5,0),)</f>
        <v>M</v>
      </c>
      <c r="J666" s="249">
        <v>3</v>
      </c>
      <c r="K666" s="250" t="s">
        <v>361</v>
      </c>
      <c r="L666" s="261">
        <v>100</v>
      </c>
      <c r="M666" s="334"/>
      <c r="N666" s="262"/>
    </row>
    <row r="667" spans="1:14" s="131" customFormat="1" ht="28.2" customHeight="1">
      <c r="A667" s="11">
        <v>662</v>
      </c>
      <c r="B667" s="290">
        <v>662</v>
      </c>
      <c r="C667" s="259">
        <v>46075</v>
      </c>
      <c r="D667" s="249" t="s">
        <v>347</v>
      </c>
      <c r="E667" s="251" t="str">
        <f>IFERROR(VLOOKUP($D667,임시동력입.출고현황!$A:$G,E$5,0),)</f>
        <v>LTG</v>
      </c>
      <c r="F667" s="260" t="str">
        <f>IFERROR(VLOOKUP($D667,임시동력입.출고현황!$A:$G,F$5,0),)</f>
        <v>Lighting Fixture</v>
      </c>
      <c r="G667" s="260">
        <f>IFERROR(VLOOKUP($D667,임시동력입.출고현황!$A:$G,G$5,0),)</f>
        <v>0</v>
      </c>
      <c r="H667" s="260" t="str">
        <f>IFERROR(VLOOKUP($D667,임시동력입.출고현황!$A:$G,H$5,0),)</f>
        <v>200W</v>
      </c>
      <c r="I667" s="249" t="str">
        <f>IFERROR(VLOOKUP($D667,임시동력입.출고현황!$A:$G,I$5,0),)</f>
        <v>EA</v>
      </c>
      <c r="J667" s="249">
        <v>2</v>
      </c>
      <c r="K667" s="250" t="s">
        <v>656</v>
      </c>
      <c r="L667" s="261">
        <v>6</v>
      </c>
      <c r="M667" s="334"/>
      <c r="N667" s="262"/>
    </row>
    <row r="668" spans="1:14" s="131" customFormat="1" ht="28.2" customHeight="1">
      <c r="A668" s="11">
        <v>663</v>
      </c>
      <c r="B668" s="290">
        <v>663</v>
      </c>
      <c r="C668" s="259">
        <v>46075</v>
      </c>
      <c r="D668" s="249" t="s">
        <v>348</v>
      </c>
      <c r="E668" s="251" t="str">
        <f>IFERROR(VLOOKUP($D668,임시동력입.출고현황!$A:$G,E$5,0),)</f>
        <v>LTG</v>
      </c>
      <c r="F668" s="260" t="str">
        <f>IFERROR(VLOOKUP($D668,임시동력입.출고현황!$A:$G,F$5,0),)</f>
        <v>Lighting Fixture</v>
      </c>
      <c r="G668" s="260">
        <f>IFERROR(VLOOKUP($D668,임시동력입.출고현황!$A:$G,G$5,0),)</f>
        <v>0</v>
      </c>
      <c r="H668" s="260" t="str">
        <f>IFERROR(VLOOKUP($D668,임시동력입.출고현황!$A:$G,H$5,0),)</f>
        <v>100W</v>
      </c>
      <c r="I668" s="249" t="str">
        <f>IFERROR(VLOOKUP($D668,임시동력입.출고현황!$A:$G,I$5,0),)</f>
        <v>EA</v>
      </c>
      <c r="J668" s="249">
        <v>2</v>
      </c>
      <c r="K668" s="250" t="s">
        <v>360</v>
      </c>
      <c r="L668" s="261">
        <v>8</v>
      </c>
      <c r="M668" s="334"/>
      <c r="N668" s="262"/>
    </row>
    <row r="669" spans="1:14" s="131" customFormat="1" ht="28.2" customHeight="1">
      <c r="A669" s="11">
        <v>664</v>
      </c>
      <c r="B669" s="290">
        <v>664</v>
      </c>
      <c r="C669" s="259">
        <v>46075</v>
      </c>
      <c r="D669" s="249" t="s">
        <v>411</v>
      </c>
      <c r="E669" s="251" t="str">
        <f>IFERROR(VLOOKUP($D669,임시동력입.출고현황!$A:$G,E$5,0),)</f>
        <v>Cable</v>
      </c>
      <c r="F669" s="260" t="str">
        <f>IFERROR(VLOOKUP($D669,임시동력입.출고현황!$A:$G,F$5,0),)</f>
        <v>CV Cable</v>
      </c>
      <c r="G669" s="260">
        <f>IFERROR(VLOOKUP($D669,임시동력입.출고현황!$A:$G,G$5,0),)</f>
        <v>0</v>
      </c>
      <c r="H669" s="260" t="str">
        <f>IFERROR(VLOOKUP($D669,임시동력입.출고현황!$A:$G,H$5,0),)</f>
        <v>3C x 3mm2</v>
      </c>
      <c r="I669" s="249" t="str">
        <f>IFERROR(VLOOKUP($D669,임시동력입.출고현황!$A:$G,I$5,0),)</f>
        <v>M</v>
      </c>
      <c r="J669" s="249">
        <v>4</v>
      </c>
      <c r="K669" s="250" t="s">
        <v>690</v>
      </c>
      <c r="L669" s="261">
        <v>100</v>
      </c>
      <c r="M669" s="334"/>
      <c r="N669" s="262"/>
    </row>
    <row r="670" spans="1:14" s="131" customFormat="1" ht="28.2" customHeight="1">
      <c r="A670" s="11">
        <v>665</v>
      </c>
      <c r="B670" s="290">
        <v>665</v>
      </c>
      <c r="C670" s="259">
        <v>46075</v>
      </c>
      <c r="D670" s="249" t="s">
        <v>335</v>
      </c>
      <c r="E670" s="251" t="str">
        <f>IFERROR(VLOOKUP($D670,임시동력입.출고현황!$A:$G,E$5,0),)</f>
        <v>Cable</v>
      </c>
      <c r="F670" s="260" t="str">
        <f>IFERROR(VLOOKUP($D670,임시동력입.출고현황!$A:$G,F$5,0),)</f>
        <v>CV Cable</v>
      </c>
      <c r="G670" s="260">
        <f>IFERROR(VLOOKUP($D670,임시동력입.출고현황!$A:$G,G$5,0),)</f>
        <v>0</v>
      </c>
      <c r="H670" s="260" t="str">
        <f>IFERROR(VLOOKUP($D670,임시동력입.출고현황!$A:$G,H$5,0),)</f>
        <v>3C x 2.5mm2</v>
      </c>
      <c r="I670" s="249" t="str">
        <f>IFERROR(VLOOKUP($D670,임시동력입.출고현황!$A:$G,I$5,0),)</f>
        <v>M</v>
      </c>
      <c r="J670" s="249">
        <v>4</v>
      </c>
      <c r="K670" s="250" t="s">
        <v>690</v>
      </c>
      <c r="L670" s="261">
        <v>50</v>
      </c>
      <c r="M670" s="334"/>
      <c r="N670" s="262"/>
    </row>
    <row r="671" spans="1:14" ht="28.2" customHeight="1">
      <c r="A671" s="11">
        <v>666</v>
      </c>
      <c r="B671" s="290">
        <v>666</v>
      </c>
      <c r="C671" s="259">
        <v>46075</v>
      </c>
      <c r="D671" s="249" t="s">
        <v>341</v>
      </c>
      <c r="E671" s="251" t="str">
        <f>IFERROR(VLOOKUP($D671,임시동력입.출고현황!$A:$G,E$5,0),)</f>
        <v>LTG</v>
      </c>
      <c r="F671" s="260" t="str">
        <f>IFERROR(VLOOKUP($D671,임시동력입.출고현황!$A:$G,F$5,0),)</f>
        <v>Lighting Fixture</v>
      </c>
      <c r="G671" s="260">
        <f>IFERROR(VLOOKUP($D671,임시동력입.출고현황!$A:$G,G$5,0),)</f>
        <v>0</v>
      </c>
      <c r="H671" s="260" t="str">
        <f>IFERROR(VLOOKUP($D671,임시동력입.출고현황!$A:$G,H$5,0),)</f>
        <v>400W</v>
      </c>
      <c r="I671" s="249" t="str">
        <f>IFERROR(VLOOKUP($D671,임시동력입.출고현황!$A:$G,I$5,0),)</f>
        <v>EA</v>
      </c>
      <c r="J671" s="249">
        <v>4</v>
      </c>
      <c r="K671" s="250" t="s">
        <v>690</v>
      </c>
      <c r="L671" s="261">
        <v>6</v>
      </c>
      <c r="M671" s="334"/>
      <c r="N671" s="262"/>
    </row>
    <row r="672" spans="1:14" ht="28.2" customHeight="1">
      <c r="A672" s="11">
        <v>667</v>
      </c>
      <c r="B672" s="290">
        <v>667</v>
      </c>
      <c r="C672" s="259">
        <v>46076</v>
      </c>
      <c r="D672" s="249" t="s">
        <v>347</v>
      </c>
      <c r="E672" s="251" t="str">
        <f>IFERROR(VLOOKUP($D672,임시동력입.출고현황!$A:$G,E$5,0),)</f>
        <v>LTG</v>
      </c>
      <c r="F672" s="260" t="str">
        <f>IFERROR(VLOOKUP($D672,임시동력입.출고현황!$A:$G,F$5,0),)</f>
        <v>Lighting Fixture</v>
      </c>
      <c r="G672" s="260">
        <f>IFERROR(VLOOKUP($D672,임시동력입.출고현황!$A:$G,G$5,0),)</f>
        <v>0</v>
      </c>
      <c r="H672" s="260" t="str">
        <f>IFERROR(VLOOKUP($D672,임시동력입.출고현황!$A:$G,H$5,0),)</f>
        <v>200W</v>
      </c>
      <c r="I672" s="249" t="str">
        <f>IFERROR(VLOOKUP($D672,임시동력입.출고현황!$A:$G,I$5,0),)</f>
        <v>EA</v>
      </c>
      <c r="J672" s="249">
        <v>4</v>
      </c>
      <c r="K672" s="250" t="s">
        <v>690</v>
      </c>
      <c r="L672" s="261">
        <v>2</v>
      </c>
      <c r="M672" s="334"/>
      <c r="N672" s="262"/>
    </row>
    <row r="673" spans="1:14" ht="28.2" customHeight="1">
      <c r="A673" s="11">
        <v>668</v>
      </c>
      <c r="B673" s="290">
        <v>668</v>
      </c>
      <c r="C673" s="259">
        <v>46076</v>
      </c>
      <c r="D673" s="249" t="s">
        <v>411</v>
      </c>
      <c r="E673" s="251" t="str">
        <f>IFERROR(VLOOKUP($D673,임시동력입.출고현황!$A:$G,E$5,0),)</f>
        <v>Cable</v>
      </c>
      <c r="F673" s="260" t="str">
        <f>IFERROR(VLOOKUP($D673,임시동력입.출고현황!$A:$G,F$5,0),)</f>
        <v>CV Cable</v>
      </c>
      <c r="G673" s="260">
        <f>IFERROR(VLOOKUP($D673,임시동력입.출고현황!$A:$G,G$5,0),)</f>
        <v>0</v>
      </c>
      <c r="H673" s="260" t="str">
        <f>IFERROR(VLOOKUP($D673,임시동력입.출고현황!$A:$G,H$5,0),)</f>
        <v>3C x 3mm2</v>
      </c>
      <c r="I673" s="249" t="str">
        <f>IFERROR(VLOOKUP($D673,임시동력입.출고현황!$A:$G,I$5,0),)</f>
        <v>M</v>
      </c>
      <c r="J673" s="249">
        <v>3</v>
      </c>
      <c r="K673" s="250" t="s">
        <v>551</v>
      </c>
      <c r="L673" s="261">
        <v>200</v>
      </c>
      <c r="M673" s="334"/>
      <c r="N673" s="262"/>
    </row>
    <row r="674" spans="1:14" ht="28.2" customHeight="1">
      <c r="A674" s="11">
        <v>669</v>
      </c>
      <c r="B674" s="290">
        <v>669</v>
      </c>
      <c r="C674" s="259">
        <v>46076</v>
      </c>
      <c r="D674" s="249" t="s">
        <v>335</v>
      </c>
      <c r="E674" s="251" t="str">
        <f>IFERROR(VLOOKUP($D674,임시동력입.출고현황!$A:$G,E$5,0),)</f>
        <v>Cable</v>
      </c>
      <c r="F674" s="260" t="str">
        <f>IFERROR(VLOOKUP($D674,임시동력입.출고현황!$A:$G,F$5,0),)</f>
        <v>CV Cable</v>
      </c>
      <c r="G674" s="260">
        <f>IFERROR(VLOOKUP($D674,임시동력입.출고현황!$A:$G,G$5,0),)</f>
        <v>0</v>
      </c>
      <c r="H674" s="260" t="str">
        <f>IFERROR(VLOOKUP($D674,임시동력입.출고현황!$A:$G,H$5,0),)</f>
        <v>3C x 2.5mm2</v>
      </c>
      <c r="I674" s="249" t="str">
        <f>IFERROR(VLOOKUP($D674,임시동력입.출고현황!$A:$G,I$5,0),)</f>
        <v>M</v>
      </c>
      <c r="J674" s="249">
        <v>3</v>
      </c>
      <c r="K674" s="250" t="s">
        <v>551</v>
      </c>
      <c r="L674" s="261">
        <v>100</v>
      </c>
      <c r="M674" s="334"/>
      <c r="N674" s="262"/>
    </row>
    <row r="675" spans="1:14" ht="28.2" customHeight="1">
      <c r="A675" s="11">
        <v>670</v>
      </c>
      <c r="B675" s="290">
        <v>670</v>
      </c>
      <c r="C675" s="259">
        <v>46076</v>
      </c>
      <c r="D675" s="249" t="s">
        <v>559</v>
      </c>
      <c r="E675" s="251" t="str">
        <f>IFERROR(VLOOKUP($D675,임시동력입.출고현황!$A:$G,E$5,0),)</f>
        <v>Panel</v>
      </c>
      <c r="F675" s="260" t="str">
        <f>IFERROR(VLOOKUP($D675,임시동력입.출고현황!$A:$G,F$5,0),)</f>
        <v>Electrical Panel</v>
      </c>
      <c r="G675" s="260">
        <f>IFERROR(VLOOKUP($D675,임시동력입.출고현황!$A:$G,G$5,0),)</f>
        <v>0</v>
      </c>
      <c r="H675" s="260" t="str">
        <f>IFERROR(VLOOKUP($D675,임시동력입.출고현황!$A:$G,H$5,0),)</f>
        <v>63A</v>
      </c>
      <c r="I675" s="249" t="str">
        <f>IFERROR(VLOOKUP($D675,임시동력입.출고현황!$A:$G,I$5,0),)</f>
        <v>EA</v>
      </c>
      <c r="J675" s="249" t="s">
        <v>607</v>
      </c>
      <c r="K675" s="250" t="s">
        <v>264</v>
      </c>
      <c r="L675" s="261">
        <v>2</v>
      </c>
      <c r="M675" s="334"/>
      <c r="N675" s="262"/>
    </row>
    <row r="676" spans="1:14" ht="28.2" customHeight="1">
      <c r="A676" s="11">
        <v>671</v>
      </c>
      <c r="B676" s="290">
        <v>671</v>
      </c>
      <c r="C676" s="259">
        <v>46076</v>
      </c>
      <c r="D676" s="249" t="s">
        <v>347</v>
      </c>
      <c r="E676" s="251" t="str">
        <f>IFERROR(VLOOKUP($D676,임시동력입.출고현황!$A:$G,E$5,0),)</f>
        <v>LTG</v>
      </c>
      <c r="F676" s="260" t="str">
        <f>IFERROR(VLOOKUP($D676,임시동력입.출고현황!$A:$G,F$5,0),)</f>
        <v>Lighting Fixture</v>
      </c>
      <c r="G676" s="260">
        <f>IFERROR(VLOOKUP($D676,임시동력입.출고현황!$A:$G,G$5,0),)</f>
        <v>0</v>
      </c>
      <c r="H676" s="260" t="str">
        <f>IFERROR(VLOOKUP($D676,임시동력입.출고현황!$A:$G,H$5,0),)</f>
        <v>200W</v>
      </c>
      <c r="I676" s="249" t="str">
        <f>IFERROR(VLOOKUP($D676,임시동력입.출고현황!$A:$G,I$5,0),)</f>
        <v>EA</v>
      </c>
      <c r="J676" s="249">
        <v>2</v>
      </c>
      <c r="K676" s="250" t="s">
        <v>360</v>
      </c>
      <c r="L676" s="261">
        <v>16</v>
      </c>
      <c r="M676" s="334"/>
      <c r="N676" s="262"/>
    </row>
    <row r="677" spans="1:14" ht="28.2" customHeight="1">
      <c r="A677" s="11">
        <v>672</v>
      </c>
      <c r="B677" s="290">
        <v>672</v>
      </c>
      <c r="C677" s="259">
        <v>46076</v>
      </c>
      <c r="D677" s="249" t="s">
        <v>330</v>
      </c>
      <c r="E677" s="251" t="str">
        <f>IFERROR(VLOOKUP($D677,임시동력입.출고현황!$A:$G,E$5,0),)</f>
        <v>Cable</v>
      </c>
      <c r="F677" s="260" t="str">
        <f>IFERROR(VLOOKUP($D677,임시동력입.출고현황!$A:$G,F$5,0),)</f>
        <v>CV Cable</v>
      </c>
      <c r="G677" s="260">
        <f>IFERROR(VLOOKUP($D677,임시동력입.출고현황!$A:$G,G$5,0),)</f>
        <v>0</v>
      </c>
      <c r="H677" s="260" t="str">
        <f>IFERROR(VLOOKUP($D677,임시동력입.출고현황!$A:$G,H$5,0),)</f>
        <v>4C x 10mm2</v>
      </c>
      <c r="I677" s="249" t="str">
        <f>IFERROR(VLOOKUP($D677,임시동력입.출고현황!$A:$G,I$5,0),)</f>
        <v>M</v>
      </c>
      <c r="J677" s="249">
        <v>1</v>
      </c>
      <c r="K677" s="250" t="s">
        <v>352</v>
      </c>
      <c r="L677" s="261">
        <v>130</v>
      </c>
      <c r="M677" s="334"/>
      <c r="N677" s="262"/>
    </row>
    <row r="678" spans="1:14" ht="28.2" customHeight="1">
      <c r="A678" s="11">
        <v>673</v>
      </c>
      <c r="B678" s="290">
        <v>673</v>
      </c>
      <c r="C678" s="259">
        <v>46076</v>
      </c>
      <c r="D678" s="249" t="s">
        <v>479</v>
      </c>
      <c r="E678" s="251" t="str">
        <f>IFERROR(VLOOKUP($D678,임시동력입.출고현황!$A:$G,E$5,0),)</f>
        <v>MCB</v>
      </c>
      <c r="F678" s="260" t="str">
        <f>IFERROR(VLOOKUP($D678,임시동력입.출고현황!$A:$G,F$5,0),)</f>
        <v>MCB</v>
      </c>
      <c r="G678" s="260">
        <f>IFERROR(VLOOKUP($D678,임시동력입.출고현황!$A:$G,G$5,0),)</f>
        <v>0</v>
      </c>
      <c r="H678" s="260" t="str">
        <f>IFERROR(VLOOKUP($D678,임시동력입.출고현황!$A:$G,H$5,0),)</f>
        <v>3P - 63A</v>
      </c>
      <c r="I678" s="249" t="str">
        <f>IFERROR(VLOOKUP($D678,임시동력입.출고현황!$A:$G,I$5,0),)</f>
        <v>EA</v>
      </c>
      <c r="J678" s="249">
        <v>2</v>
      </c>
      <c r="K678" s="250" t="s">
        <v>360</v>
      </c>
      <c r="L678" s="261">
        <v>1</v>
      </c>
      <c r="M678" s="334"/>
      <c r="N678" s="262"/>
    </row>
    <row r="679" spans="1:14" ht="28.2" customHeight="1">
      <c r="A679" s="11">
        <v>674</v>
      </c>
      <c r="B679" s="290">
        <v>674</v>
      </c>
      <c r="C679" s="259">
        <v>46077</v>
      </c>
      <c r="D679" s="249" t="s">
        <v>411</v>
      </c>
      <c r="E679" s="251" t="str">
        <f>IFERROR(VLOOKUP($D679,임시동력입.출고현황!$A:$G,E$5,0),)</f>
        <v>Cable</v>
      </c>
      <c r="F679" s="260" t="str">
        <f>IFERROR(VLOOKUP($D679,임시동력입.출고현황!$A:$G,F$5,0),)</f>
        <v>CV Cable</v>
      </c>
      <c r="G679" s="260">
        <f>IFERROR(VLOOKUP($D679,임시동력입.출고현황!$A:$G,G$5,0),)</f>
        <v>0</v>
      </c>
      <c r="H679" s="260" t="str">
        <f>IFERROR(VLOOKUP($D679,임시동력입.출고현황!$A:$G,H$5,0),)</f>
        <v>3C x 3mm2</v>
      </c>
      <c r="I679" s="249" t="str">
        <f>IFERROR(VLOOKUP($D679,임시동력입.출고현황!$A:$G,I$5,0),)</f>
        <v>M</v>
      </c>
      <c r="J679" s="249">
        <v>4</v>
      </c>
      <c r="K679" s="250" t="s">
        <v>359</v>
      </c>
      <c r="L679" s="261">
        <v>100</v>
      </c>
      <c r="M679" s="334"/>
      <c r="N679" s="262"/>
    </row>
    <row r="680" spans="1:14" ht="28.2" customHeight="1">
      <c r="A680" s="11">
        <v>675</v>
      </c>
      <c r="B680" s="290">
        <v>675</v>
      </c>
      <c r="C680" s="259">
        <v>46077</v>
      </c>
      <c r="D680" s="249" t="s">
        <v>335</v>
      </c>
      <c r="E680" s="251" t="str">
        <f>IFERROR(VLOOKUP($D680,임시동력입.출고현황!$A:$G,E$5,0),)</f>
        <v>Cable</v>
      </c>
      <c r="F680" s="260" t="str">
        <f>IFERROR(VLOOKUP($D680,임시동력입.출고현황!$A:$G,F$5,0),)</f>
        <v>CV Cable</v>
      </c>
      <c r="G680" s="260">
        <f>IFERROR(VLOOKUP($D680,임시동력입.출고현황!$A:$G,G$5,0),)</f>
        <v>0</v>
      </c>
      <c r="H680" s="260" t="str">
        <f>IFERROR(VLOOKUP($D680,임시동력입.출고현황!$A:$G,H$5,0),)</f>
        <v>3C x 2.5mm2</v>
      </c>
      <c r="I680" s="249" t="str">
        <f>IFERROR(VLOOKUP($D680,임시동력입.출고현황!$A:$G,I$5,0),)</f>
        <v>M</v>
      </c>
      <c r="J680" s="249">
        <v>3</v>
      </c>
      <c r="K680" s="250" t="s">
        <v>361</v>
      </c>
      <c r="L680" s="261">
        <v>100</v>
      </c>
      <c r="M680" s="334"/>
      <c r="N680" s="262"/>
    </row>
    <row r="681" spans="1:14" ht="28.2" customHeight="1">
      <c r="A681" s="11">
        <v>676</v>
      </c>
      <c r="B681" s="290">
        <v>676</v>
      </c>
      <c r="C681" s="259">
        <v>46077</v>
      </c>
      <c r="D681" s="249" t="s">
        <v>330</v>
      </c>
      <c r="E681" s="251" t="str">
        <f>IFERROR(VLOOKUP($D681,임시동력입.출고현황!$A:$G,E$5,0),)</f>
        <v>Cable</v>
      </c>
      <c r="F681" s="260" t="str">
        <f>IFERROR(VLOOKUP($D681,임시동력입.출고현황!$A:$G,F$5,0),)</f>
        <v>CV Cable</v>
      </c>
      <c r="G681" s="260">
        <f>IFERROR(VLOOKUP($D681,임시동력입.출고현황!$A:$G,G$5,0),)</f>
        <v>0</v>
      </c>
      <c r="H681" s="260" t="str">
        <f>IFERROR(VLOOKUP($D681,임시동력입.출고현황!$A:$G,H$5,0),)</f>
        <v>4C x 10mm2</v>
      </c>
      <c r="I681" s="249" t="str">
        <f>IFERROR(VLOOKUP($D681,임시동력입.출고현황!$A:$G,I$5,0),)</f>
        <v>M</v>
      </c>
      <c r="J681" s="249">
        <v>3</v>
      </c>
      <c r="K681" s="250" t="s">
        <v>237</v>
      </c>
      <c r="L681" s="261">
        <v>70</v>
      </c>
      <c r="M681" s="334"/>
      <c r="N681" s="262"/>
    </row>
    <row r="682" spans="1:14" ht="28.2" customHeight="1">
      <c r="A682" s="11">
        <v>677</v>
      </c>
      <c r="B682" s="290">
        <v>677</v>
      </c>
      <c r="C682" s="259">
        <v>46077</v>
      </c>
      <c r="D682" s="249" t="s">
        <v>347</v>
      </c>
      <c r="E682" s="251" t="str">
        <f>IFERROR(VLOOKUP($D682,임시동력입.출고현황!$A:$G,E$5,0),)</f>
        <v>LTG</v>
      </c>
      <c r="F682" s="260" t="str">
        <f>IFERROR(VLOOKUP($D682,임시동력입.출고현황!$A:$G,F$5,0),)</f>
        <v>Lighting Fixture</v>
      </c>
      <c r="G682" s="260">
        <f>IFERROR(VLOOKUP($D682,임시동력입.출고현황!$A:$G,G$5,0),)</f>
        <v>0</v>
      </c>
      <c r="H682" s="260" t="str">
        <f>IFERROR(VLOOKUP($D682,임시동력입.출고현황!$A:$G,H$5,0),)</f>
        <v>200W</v>
      </c>
      <c r="I682" s="249" t="str">
        <f>IFERROR(VLOOKUP($D682,임시동력입.출고현황!$A:$G,I$5,0),)</f>
        <v>EA</v>
      </c>
      <c r="J682" s="249">
        <v>1</v>
      </c>
      <c r="K682" s="250" t="s">
        <v>545</v>
      </c>
      <c r="L682" s="261">
        <v>5</v>
      </c>
      <c r="M682" s="334"/>
      <c r="N682" s="262"/>
    </row>
    <row r="683" spans="1:14" ht="28.2" customHeight="1">
      <c r="A683" s="11">
        <v>678</v>
      </c>
      <c r="B683" s="290">
        <v>678</v>
      </c>
      <c r="C683" s="259">
        <v>46078</v>
      </c>
      <c r="D683" s="249" t="s">
        <v>341</v>
      </c>
      <c r="E683" s="251" t="str">
        <f>IFERROR(VLOOKUP($D683,임시동력입.출고현황!$A:$G,E$5,0),)</f>
        <v>LTG</v>
      </c>
      <c r="F683" s="260" t="str">
        <f>IFERROR(VLOOKUP($D683,임시동력입.출고현황!$A:$G,F$5,0),)</f>
        <v>Lighting Fixture</v>
      </c>
      <c r="G683" s="260">
        <f>IFERROR(VLOOKUP($D683,임시동력입.출고현황!$A:$G,G$5,0),)</f>
        <v>0</v>
      </c>
      <c r="H683" s="260" t="str">
        <f>IFERROR(VLOOKUP($D683,임시동력입.출고현황!$A:$G,H$5,0),)</f>
        <v>400W</v>
      </c>
      <c r="I683" s="249" t="str">
        <f>IFERROR(VLOOKUP($D683,임시동력입.출고현황!$A:$G,I$5,0),)</f>
        <v>EA</v>
      </c>
      <c r="J683" s="249">
        <v>1</v>
      </c>
      <c r="K683" s="250" t="s">
        <v>545</v>
      </c>
      <c r="L683" s="261">
        <v>8</v>
      </c>
      <c r="M683" s="334"/>
      <c r="N683" s="262"/>
    </row>
    <row r="684" spans="1:14" ht="28.2" customHeight="1">
      <c r="A684" s="11">
        <v>679</v>
      </c>
      <c r="B684" s="290">
        <v>679</v>
      </c>
      <c r="C684" s="259">
        <v>46078</v>
      </c>
      <c r="D684" s="249" t="s">
        <v>477</v>
      </c>
      <c r="E684" s="251" t="str">
        <f>IFERROR(VLOOKUP($D684,임시동력입.출고현황!$A:$G,E$5,0),)</f>
        <v>MCB</v>
      </c>
      <c r="F684" s="260" t="str">
        <f>IFERROR(VLOOKUP($D684,임시동력입.출고현황!$A:$G,F$5,0),)</f>
        <v>MCB</v>
      </c>
      <c r="G684" s="260">
        <f>IFERROR(VLOOKUP($D684,임시동력입.출고현황!$A:$G,G$5,0),)</f>
        <v>0</v>
      </c>
      <c r="H684" s="260" t="str">
        <f>IFERROR(VLOOKUP($D684,임시동력입.출고현황!$A:$G,H$5,0),)</f>
        <v>1P - 32A</v>
      </c>
      <c r="I684" s="249" t="str">
        <f>IFERROR(VLOOKUP($D684,임시동력입.출고현황!$A:$G,I$5,0),)</f>
        <v>EA</v>
      </c>
      <c r="J684" s="249">
        <v>3</v>
      </c>
      <c r="K684" s="250" t="s">
        <v>361</v>
      </c>
      <c r="L684" s="261">
        <v>1</v>
      </c>
      <c r="M684" s="334"/>
      <c r="N684" s="262"/>
    </row>
    <row r="685" spans="1:14" ht="28.2" customHeight="1">
      <c r="A685" s="11">
        <v>680</v>
      </c>
      <c r="B685" s="290">
        <v>680</v>
      </c>
      <c r="C685" s="259">
        <v>46078</v>
      </c>
      <c r="D685" s="249" t="s">
        <v>559</v>
      </c>
      <c r="E685" s="251" t="str">
        <f>IFERROR(VLOOKUP($D685,임시동력입.출고현황!$A:$G,E$5,0),)</f>
        <v>Panel</v>
      </c>
      <c r="F685" s="260" t="str">
        <f>IFERROR(VLOOKUP($D685,임시동력입.출고현황!$A:$G,F$5,0),)</f>
        <v>Electrical Panel</v>
      </c>
      <c r="G685" s="260">
        <f>IFERROR(VLOOKUP($D685,임시동력입.출고현황!$A:$G,G$5,0),)</f>
        <v>0</v>
      </c>
      <c r="H685" s="260" t="str">
        <f>IFERROR(VLOOKUP($D685,임시동력입.출고현황!$A:$G,H$5,0),)</f>
        <v>63A</v>
      </c>
      <c r="I685" s="249" t="str">
        <f>IFERROR(VLOOKUP($D685,임시동력입.출고현황!$A:$G,I$5,0),)</f>
        <v>EA</v>
      </c>
      <c r="J685" s="249">
        <v>3</v>
      </c>
      <c r="K685" s="250" t="s">
        <v>551</v>
      </c>
      <c r="L685" s="261">
        <v>1</v>
      </c>
      <c r="M685" s="334"/>
      <c r="N685" s="262"/>
    </row>
    <row r="686" spans="1:14" ht="28.2" customHeight="1">
      <c r="A686" s="11">
        <v>681</v>
      </c>
      <c r="B686" s="290">
        <v>681</v>
      </c>
      <c r="C686" s="259">
        <v>46078</v>
      </c>
      <c r="D686" s="249" t="s">
        <v>335</v>
      </c>
      <c r="E686" s="251" t="str">
        <f>IFERROR(VLOOKUP($D686,임시동력입.출고현황!$A:$G,E$5,0),)</f>
        <v>Cable</v>
      </c>
      <c r="F686" s="260" t="str">
        <f>IFERROR(VLOOKUP($D686,임시동력입.출고현황!$A:$G,F$5,0),)</f>
        <v>CV Cable</v>
      </c>
      <c r="G686" s="260">
        <f>IFERROR(VLOOKUP($D686,임시동력입.출고현황!$A:$G,G$5,0),)</f>
        <v>0</v>
      </c>
      <c r="H686" s="260" t="str">
        <f>IFERROR(VLOOKUP($D686,임시동력입.출고현황!$A:$G,H$5,0),)</f>
        <v>3C x 2.5mm2</v>
      </c>
      <c r="I686" s="249" t="str">
        <f>IFERROR(VLOOKUP($D686,임시동력입.출고현황!$A:$G,I$5,0),)</f>
        <v>M</v>
      </c>
      <c r="J686" s="249">
        <v>4</v>
      </c>
      <c r="K686" s="250" t="s">
        <v>690</v>
      </c>
      <c r="L686" s="261">
        <v>100</v>
      </c>
      <c r="M686" s="334"/>
      <c r="N686" s="262"/>
    </row>
    <row r="687" spans="1:14" ht="28.2" customHeight="1">
      <c r="A687" s="11">
        <v>682</v>
      </c>
      <c r="B687" s="290">
        <v>682</v>
      </c>
      <c r="C687" s="259">
        <v>46078</v>
      </c>
      <c r="D687" s="249" t="s">
        <v>347</v>
      </c>
      <c r="E687" s="251" t="str">
        <f>IFERROR(VLOOKUP($D687,임시동력입.출고현황!$A:$G,E$5,0),)</f>
        <v>LTG</v>
      </c>
      <c r="F687" s="260" t="str">
        <f>IFERROR(VLOOKUP($D687,임시동력입.출고현황!$A:$G,F$5,0),)</f>
        <v>Lighting Fixture</v>
      </c>
      <c r="G687" s="260">
        <f>IFERROR(VLOOKUP($D687,임시동력입.출고현황!$A:$G,G$5,0),)</f>
        <v>0</v>
      </c>
      <c r="H687" s="260" t="str">
        <f>IFERROR(VLOOKUP($D687,임시동력입.출고현황!$A:$G,H$5,0),)</f>
        <v>200W</v>
      </c>
      <c r="I687" s="249" t="str">
        <f>IFERROR(VLOOKUP($D687,임시동력입.출고현황!$A:$G,I$5,0),)</f>
        <v>EA</v>
      </c>
      <c r="J687" s="249">
        <v>4</v>
      </c>
      <c r="K687" s="250" t="s">
        <v>690</v>
      </c>
      <c r="L687" s="261">
        <v>1</v>
      </c>
      <c r="M687" s="334"/>
      <c r="N687" s="262"/>
    </row>
    <row r="688" spans="1:14" ht="28.2" customHeight="1">
      <c r="A688" s="11">
        <v>683</v>
      </c>
      <c r="B688" s="290">
        <v>683</v>
      </c>
      <c r="C688" s="259">
        <v>46079</v>
      </c>
      <c r="D688" s="249" t="s">
        <v>347</v>
      </c>
      <c r="E688" s="251" t="str">
        <f>IFERROR(VLOOKUP($D688,임시동력입.출고현황!$A:$G,E$5,0),)</f>
        <v>LTG</v>
      </c>
      <c r="F688" s="260" t="str">
        <f>IFERROR(VLOOKUP($D688,임시동력입.출고현황!$A:$G,F$5,0),)</f>
        <v>Lighting Fixture</v>
      </c>
      <c r="G688" s="260">
        <f>IFERROR(VLOOKUP($D688,임시동력입.출고현황!$A:$G,G$5,0),)</f>
        <v>0</v>
      </c>
      <c r="H688" s="260" t="str">
        <f>IFERROR(VLOOKUP($D688,임시동력입.출고현황!$A:$G,H$5,0),)</f>
        <v>200W</v>
      </c>
      <c r="I688" s="249" t="str">
        <f>IFERROR(VLOOKUP($D688,임시동력입.출고현황!$A:$G,I$5,0),)</f>
        <v>EA</v>
      </c>
      <c r="J688" s="249">
        <v>4</v>
      </c>
      <c r="K688" s="250" t="s">
        <v>359</v>
      </c>
      <c r="L688" s="261">
        <v>20</v>
      </c>
      <c r="M688" s="334"/>
      <c r="N688" s="262"/>
    </row>
    <row r="689" spans="1:14" ht="28.2" customHeight="1">
      <c r="A689" s="11">
        <v>684</v>
      </c>
      <c r="B689" s="290">
        <v>684</v>
      </c>
      <c r="C689" s="259">
        <v>46079</v>
      </c>
      <c r="D689" s="249" t="s">
        <v>333</v>
      </c>
      <c r="E689" s="251" t="str">
        <f>IFERROR(VLOOKUP($D689,임시동력입.출고현황!$A:$G,E$5,0),)</f>
        <v>Cable</v>
      </c>
      <c r="F689" s="260" t="str">
        <f>IFERROR(VLOOKUP($D689,임시동력입.출고현황!$A:$G,F$5,0),)</f>
        <v>CV Cable</v>
      </c>
      <c r="G689" s="260">
        <f>IFERROR(VLOOKUP($D689,임시동력입.출고현황!$A:$G,G$5,0),)</f>
        <v>0</v>
      </c>
      <c r="H689" s="260" t="str">
        <f>IFERROR(VLOOKUP($D689,임시동력입.출고현황!$A:$G,H$5,0),)</f>
        <v>3C x 6mm2</v>
      </c>
      <c r="I689" s="249" t="str">
        <f>IFERROR(VLOOKUP($D689,임시동력입.출고현황!$A:$G,I$5,0),)</f>
        <v>M</v>
      </c>
      <c r="J689" s="249">
        <v>3</v>
      </c>
      <c r="K689" s="250" t="s">
        <v>361</v>
      </c>
      <c r="L689" s="261">
        <v>184</v>
      </c>
      <c r="M689" s="334"/>
      <c r="N689" s="262"/>
    </row>
    <row r="690" spans="1:14" ht="28.2" customHeight="1">
      <c r="A690" s="11">
        <v>685</v>
      </c>
      <c r="B690" s="290">
        <v>685</v>
      </c>
      <c r="C690" s="259">
        <v>46079</v>
      </c>
      <c r="D690" s="249" t="s">
        <v>349</v>
      </c>
      <c r="E690" s="251" t="str">
        <f>IFERROR(VLOOKUP($D690,임시동력입.출고현황!$A:$G,E$5,0),)</f>
        <v>LTG</v>
      </c>
      <c r="F690" s="260" t="str">
        <f>IFERROR(VLOOKUP($D690,임시동력입.출고현황!$A:$G,F$5,0),)</f>
        <v>Lighting Fixture</v>
      </c>
      <c r="G690" s="260">
        <f>IFERROR(VLOOKUP($D690,임시동력입.출고현황!$A:$G,G$5,0),)</f>
        <v>0</v>
      </c>
      <c r="H690" s="260" t="str">
        <f>IFERROR(VLOOKUP($D690,임시동력입.출고현황!$A:$G,H$5,0),)</f>
        <v>50W</v>
      </c>
      <c r="I690" s="249" t="str">
        <f>IFERROR(VLOOKUP($D690,임시동력입.출고현황!$A:$G,I$5,0),)</f>
        <v>EA</v>
      </c>
      <c r="J690" s="249">
        <v>3</v>
      </c>
      <c r="K690" s="250" t="s">
        <v>237</v>
      </c>
      <c r="L690" s="261">
        <v>2</v>
      </c>
      <c r="M690" s="334"/>
      <c r="N690" s="262"/>
    </row>
    <row r="691" spans="1:14" ht="28.2" customHeight="1">
      <c r="A691" s="11">
        <v>686</v>
      </c>
      <c r="B691" s="290">
        <v>686</v>
      </c>
      <c r="C691" s="259">
        <v>46079</v>
      </c>
      <c r="D691" s="249" t="s">
        <v>347</v>
      </c>
      <c r="E691" s="251" t="str">
        <f>IFERROR(VLOOKUP($D691,임시동력입.출고현황!$A:$G,E$5,0),)</f>
        <v>LTG</v>
      </c>
      <c r="F691" s="260" t="str">
        <f>IFERROR(VLOOKUP($D691,임시동력입.출고현황!$A:$G,F$5,0),)</f>
        <v>Lighting Fixture</v>
      </c>
      <c r="G691" s="260">
        <f>IFERROR(VLOOKUP($D691,임시동력입.출고현황!$A:$G,G$5,0),)</f>
        <v>0</v>
      </c>
      <c r="H691" s="260" t="str">
        <f>IFERROR(VLOOKUP($D691,임시동력입.출고현황!$A:$G,H$5,0),)</f>
        <v>200W</v>
      </c>
      <c r="I691" s="249" t="str">
        <f>IFERROR(VLOOKUP($D691,임시동력입.출고현황!$A:$G,I$5,0),)</f>
        <v>EA</v>
      </c>
      <c r="J691" s="249">
        <v>1</v>
      </c>
      <c r="K691" s="250" t="s">
        <v>545</v>
      </c>
      <c r="L691" s="261">
        <v>18</v>
      </c>
      <c r="M691" s="334"/>
      <c r="N691" s="262"/>
    </row>
    <row r="692" spans="1:14" ht="28.2" customHeight="1">
      <c r="A692" s="11">
        <v>687</v>
      </c>
      <c r="B692" s="290">
        <v>687</v>
      </c>
      <c r="C692" s="259">
        <v>46079</v>
      </c>
      <c r="D692" s="249" t="s">
        <v>411</v>
      </c>
      <c r="E692" s="251" t="str">
        <f>IFERROR(VLOOKUP($D692,임시동력입.출고현황!$A:$G,E$5,0),)</f>
        <v>Cable</v>
      </c>
      <c r="F692" s="260" t="str">
        <f>IFERROR(VLOOKUP($D692,임시동력입.출고현황!$A:$G,F$5,0),)</f>
        <v>CV Cable</v>
      </c>
      <c r="G692" s="260">
        <f>IFERROR(VLOOKUP($D692,임시동력입.출고현황!$A:$G,G$5,0),)</f>
        <v>0</v>
      </c>
      <c r="H692" s="260" t="str">
        <f>IFERROR(VLOOKUP($D692,임시동력입.출고현황!$A:$G,H$5,0),)</f>
        <v>3C x 3mm2</v>
      </c>
      <c r="I692" s="249" t="str">
        <f>IFERROR(VLOOKUP($D692,임시동력입.출고현황!$A:$G,I$5,0),)</f>
        <v>M</v>
      </c>
      <c r="J692" s="249">
        <v>1</v>
      </c>
      <c r="K692" s="250" t="s">
        <v>545</v>
      </c>
      <c r="L692" s="261">
        <v>500</v>
      </c>
      <c r="M692" s="334"/>
      <c r="N692" s="262"/>
    </row>
    <row r="693" spans="1:14" ht="28.2" customHeight="1">
      <c r="A693" s="11">
        <v>688</v>
      </c>
      <c r="B693" s="290">
        <v>688</v>
      </c>
      <c r="C693" s="259">
        <v>46079</v>
      </c>
      <c r="D693" s="249" t="s">
        <v>335</v>
      </c>
      <c r="E693" s="251" t="str">
        <f>IFERROR(VLOOKUP($D693,임시동력입.출고현황!$A:$G,E$5,0),)</f>
        <v>Cable</v>
      </c>
      <c r="F693" s="260" t="str">
        <f>IFERROR(VLOOKUP($D693,임시동력입.출고현황!$A:$G,F$5,0),)</f>
        <v>CV Cable</v>
      </c>
      <c r="G693" s="260">
        <f>IFERROR(VLOOKUP($D693,임시동력입.출고현황!$A:$G,G$5,0),)</f>
        <v>0</v>
      </c>
      <c r="H693" s="260" t="str">
        <f>IFERROR(VLOOKUP($D693,임시동력입.출고현황!$A:$G,H$5,0),)</f>
        <v>3C x 2.5mm2</v>
      </c>
      <c r="I693" s="249" t="str">
        <f>IFERROR(VLOOKUP($D693,임시동력입.출고현황!$A:$G,I$5,0),)</f>
        <v>M</v>
      </c>
      <c r="J693" s="249">
        <v>3</v>
      </c>
      <c r="K693" s="250" t="s">
        <v>361</v>
      </c>
      <c r="L693" s="261">
        <v>420</v>
      </c>
      <c r="M693" s="334"/>
      <c r="N693" s="262"/>
    </row>
    <row r="694" spans="1:14" ht="28.2" customHeight="1">
      <c r="A694" s="11">
        <v>689</v>
      </c>
      <c r="B694" s="290">
        <v>689</v>
      </c>
      <c r="C694" s="259">
        <v>46080</v>
      </c>
      <c r="D694" s="249" t="s">
        <v>477</v>
      </c>
      <c r="E694" s="251" t="str">
        <f>IFERROR(VLOOKUP($D694,임시동력입.출고현황!$A:$G,E$5,0),)</f>
        <v>MCB</v>
      </c>
      <c r="F694" s="260" t="str">
        <f>IFERROR(VLOOKUP($D694,임시동력입.출고현황!$A:$G,F$5,0),)</f>
        <v>MCB</v>
      </c>
      <c r="G694" s="260">
        <f>IFERROR(VLOOKUP($D694,임시동력입.출고현황!$A:$G,G$5,0),)</f>
        <v>0</v>
      </c>
      <c r="H694" s="260" t="str">
        <f>IFERROR(VLOOKUP($D694,임시동력입.출고현황!$A:$G,H$5,0),)</f>
        <v>1P - 32A</v>
      </c>
      <c r="I694" s="249" t="str">
        <f>IFERROR(VLOOKUP($D694,임시동력입.출고현황!$A:$G,I$5,0),)</f>
        <v>EA</v>
      </c>
      <c r="J694" s="249" t="s">
        <v>607</v>
      </c>
      <c r="K694" s="250" t="s">
        <v>264</v>
      </c>
      <c r="L694" s="261">
        <v>1</v>
      </c>
      <c r="M694" s="334"/>
      <c r="N694" s="262"/>
    </row>
    <row r="695" spans="1:14" ht="28.2" customHeight="1">
      <c r="A695" s="11">
        <v>690</v>
      </c>
      <c r="B695" s="290">
        <v>690</v>
      </c>
      <c r="C695" s="259">
        <v>46081</v>
      </c>
      <c r="D695" s="249" t="s">
        <v>347</v>
      </c>
      <c r="E695" s="251" t="str">
        <f>IFERROR(VLOOKUP($D695,임시동력입.출고현황!$A:$G,E$5,0),)</f>
        <v>LTG</v>
      </c>
      <c r="F695" s="260" t="str">
        <f>IFERROR(VLOOKUP($D695,임시동력입.출고현황!$A:$G,F$5,0),)</f>
        <v>Lighting Fixture</v>
      </c>
      <c r="G695" s="260">
        <f>IFERROR(VLOOKUP($D695,임시동력입.출고현황!$A:$G,G$5,0),)</f>
        <v>0</v>
      </c>
      <c r="H695" s="260" t="str">
        <f>IFERROR(VLOOKUP($D695,임시동력입.출고현황!$A:$G,H$5,0),)</f>
        <v>200W</v>
      </c>
      <c r="I695" s="249" t="str">
        <f>IFERROR(VLOOKUP($D695,임시동력입.출고현황!$A:$G,I$5,0),)</f>
        <v>EA</v>
      </c>
      <c r="J695" s="249">
        <v>3</v>
      </c>
      <c r="K695" s="250" t="s">
        <v>361</v>
      </c>
      <c r="L695" s="261">
        <v>9</v>
      </c>
      <c r="M695" s="334"/>
      <c r="N695" s="262"/>
    </row>
    <row r="696" spans="1:14" ht="28.2" customHeight="1">
      <c r="A696" s="11">
        <v>691</v>
      </c>
      <c r="B696" s="290">
        <v>691</v>
      </c>
      <c r="C696" s="259">
        <v>46081</v>
      </c>
      <c r="D696" s="249" t="s">
        <v>341</v>
      </c>
      <c r="E696" s="251" t="str">
        <f>IFERROR(VLOOKUP($D696,임시동력입.출고현황!$A:$G,E$5,0),)</f>
        <v>LTG</v>
      </c>
      <c r="F696" s="260" t="str">
        <f>IFERROR(VLOOKUP($D696,임시동력입.출고현황!$A:$G,F$5,0),)</f>
        <v>Lighting Fixture</v>
      </c>
      <c r="G696" s="260">
        <f>IFERROR(VLOOKUP($D696,임시동력입.출고현황!$A:$G,G$5,0),)</f>
        <v>0</v>
      </c>
      <c r="H696" s="260" t="str">
        <f>IFERROR(VLOOKUP($D696,임시동력입.출고현황!$A:$G,H$5,0),)</f>
        <v>400W</v>
      </c>
      <c r="I696" s="249" t="str">
        <f>IFERROR(VLOOKUP($D696,임시동력입.출고현황!$A:$G,I$5,0),)</f>
        <v>EA</v>
      </c>
      <c r="J696" s="249">
        <v>3</v>
      </c>
      <c r="K696" s="250" t="s">
        <v>237</v>
      </c>
      <c r="L696" s="261">
        <v>4</v>
      </c>
      <c r="M696" s="334"/>
      <c r="N696" s="262"/>
    </row>
    <row r="697" spans="1:14" ht="28.2" customHeight="1">
      <c r="A697" s="11">
        <v>692</v>
      </c>
      <c r="B697" s="290">
        <v>692</v>
      </c>
      <c r="C697" s="259">
        <v>46081</v>
      </c>
      <c r="D697" s="249" t="s">
        <v>334</v>
      </c>
      <c r="E697" s="251" t="str">
        <f>IFERROR(VLOOKUP($D697,임시동력입.출고현황!$A:$G,E$5,0),)</f>
        <v>Cable</v>
      </c>
      <c r="F697" s="260" t="str">
        <f>IFERROR(VLOOKUP($D697,임시동력입.출고현황!$A:$G,F$5,0),)</f>
        <v>CV Cable</v>
      </c>
      <c r="G697" s="260">
        <f>IFERROR(VLOOKUP($D697,임시동력입.출고현황!$A:$G,G$5,0),)</f>
        <v>0</v>
      </c>
      <c r="H697" s="260" t="str">
        <f>IFERROR(VLOOKUP($D697,임시동력입.출고현황!$A:$G,H$5,0),)</f>
        <v>3C x 4mm2</v>
      </c>
      <c r="I697" s="249" t="str">
        <f>IFERROR(VLOOKUP($D697,임시동력입.출고현황!$A:$G,I$5,0),)</f>
        <v>M</v>
      </c>
      <c r="J697" s="249">
        <v>1</v>
      </c>
      <c r="K697" s="250" t="s">
        <v>547</v>
      </c>
      <c r="L697" s="261">
        <v>68</v>
      </c>
      <c r="M697" s="334"/>
      <c r="N697" s="262"/>
    </row>
    <row r="698" spans="1:14" ht="28.2" customHeight="1">
      <c r="A698" s="11">
        <v>693</v>
      </c>
      <c r="B698" s="290">
        <v>693</v>
      </c>
      <c r="C698" s="259">
        <v>46082</v>
      </c>
      <c r="D698" s="249" t="s">
        <v>349</v>
      </c>
      <c r="E698" s="251" t="str">
        <f>IFERROR(VLOOKUP($D698,임시동력입.출고현황!$A:$G,E$5,0),)</f>
        <v>LTG</v>
      </c>
      <c r="F698" s="260" t="str">
        <f>IFERROR(VLOOKUP($D698,임시동력입.출고현황!$A:$G,F$5,0),)</f>
        <v>Lighting Fixture</v>
      </c>
      <c r="G698" s="260">
        <f>IFERROR(VLOOKUP($D698,임시동력입.출고현황!$A:$G,G$5,0),)</f>
        <v>0</v>
      </c>
      <c r="H698" s="260" t="str">
        <f>IFERROR(VLOOKUP($D698,임시동력입.출고현황!$A:$G,H$5,0),)</f>
        <v>50W</v>
      </c>
      <c r="I698" s="249" t="str">
        <f>IFERROR(VLOOKUP($D698,임시동력입.출고현황!$A:$G,I$5,0),)</f>
        <v>EA</v>
      </c>
      <c r="J698" s="249">
        <v>2</v>
      </c>
      <c r="K698" s="250" t="s">
        <v>360</v>
      </c>
      <c r="L698" s="261">
        <v>3</v>
      </c>
      <c r="M698" s="334"/>
      <c r="N698" s="262"/>
    </row>
    <row r="699" spans="1:14" ht="28.2" customHeight="1">
      <c r="A699" s="11">
        <v>694</v>
      </c>
      <c r="B699" s="290">
        <v>694</v>
      </c>
      <c r="C699" s="259">
        <v>46082</v>
      </c>
      <c r="D699" s="249" t="s">
        <v>348</v>
      </c>
      <c r="E699" s="251" t="str">
        <f>IFERROR(VLOOKUP($D699,임시동력입.출고현황!$A:$G,E$5,0),)</f>
        <v>LTG</v>
      </c>
      <c r="F699" s="260" t="str">
        <f>IFERROR(VLOOKUP($D699,임시동력입.출고현황!$A:$G,F$5,0),)</f>
        <v>Lighting Fixture</v>
      </c>
      <c r="G699" s="260">
        <f>IFERROR(VLOOKUP($D699,임시동력입.출고현황!$A:$G,G$5,0),)</f>
        <v>0</v>
      </c>
      <c r="H699" s="260" t="str">
        <f>IFERROR(VLOOKUP($D699,임시동력입.출고현황!$A:$G,H$5,0),)</f>
        <v>100W</v>
      </c>
      <c r="I699" s="249" t="str">
        <f>IFERROR(VLOOKUP($D699,임시동력입.출고현황!$A:$G,I$5,0),)</f>
        <v>EA</v>
      </c>
      <c r="J699" s="249">
        <v>3</v>
      </c>
      <c r="K699" s="250" t="s">
        <v>361</v>
      </c>
      <c r="L699" s="261">
        <v>5</v>
      </c>
      <c r="M699" s="334"/>
      <c r="N699" s="262"/>
    </row>
    <row r="700" spans="1:14" ht="28.2" customHeight="1">
      <c r="A700" s="11">
        <v>695</v>
      </c>
      <c r="B700" s="290">
        <v>695</v>
      </c>
      <c r="C700" s="259">
        <v>46083</v>
      </c>
      <c r="D700" s="249" t="s">
        <v>484</v>
      </c>
      <c r="E700" s="251" t="str">
        <f>IFERROR(VLOOKUP($D700,임시동력입.출고현황!$A:$G,E$5,0),)</f>
        <v>MCB</v>
      </c>
      <c r="F700" s="260" t="str">
        <f>IFERROR(VLOOKUP($D700,임시동력입.출고현황!$A:$G,F$5,0),)</f>
        <v>RCCB</v>
      </c>
      <c r="G700" s="260">
        <f>IFERROR(VLOOKUP($D700,임시동력입.출고현황!$A:$G,G$5,0),)</f>
        <v>0</v>
      </c>
      <c r="H700" s="260" t="str">
        <f>IFERROR(VLOOKUP($D700,임시동력입.출고현황!$A:$G,H$5,0),)</f>
        <v>4P - 63A - 30 mA</v>
      </c>
      <c r="I700" s="249" t="str">
        <f>IFERROR(VLOOKUP($D700,임시동력입.출고현황!$A:$G,I$5,0),)</f>
        <v>EA</v>
      </c>
      <c r="J700" s="249">
        <v>2</v>
      </c>
      <c r="K700" s="250" t="s">
        <v>656</v>
      </c>
      <c r="L700" s="261">
        <v>1</v>
      </c>
      <c r="M700" s="334"/>
      <c r="N700" s="262"/>
    </row>
    <row r="701" spans="1:14" ht="28.2" customHeight="1">
      <c r="A701" s="11">
        <v>696</v>
      </c>
      <c r="B701" s="290">
        <v>696</v>
      </c>
      <c r="C701" s="259">
        <v>46084</v>
      </c>
      <c r="D701" s="249" t="s">
        <v>307</v>
      </c>
      <c r="E701" s="251" t="str">
        <f>IFERROR(VLOOKUP($D701,임시동력입.출고현황!$A:$G,E$5,0),)</f>
        <v>Panel</v>
      </c>
      <c r="F701" s="260" t="str">
        <f>IFERROR(VLOOKUP($D701,임시동력입.출고현황!$A:$G,F$5,0),)</f>
        <v>Electrical Panel</v>
      </c>
      <c r="G701" s="260">
        <f>IFERROR(VLOOKUP($D701,임시동력입.출고현황!$A:$G,G$5,0),)</f>
        <v>0</v>
      </c>
      <c r="H701" s="260" t="str">
        <f>IFERROR(VLOOKUP($D701,임시동력입.출고현황!$A:$G,H$5,0),)</f>
        <v>160A</v>
      </c>
      <c r="I701" s="249" t="str">
        <f>IFERROR(VLOOKUP($D701,임시동력입.출고현황!$A:$G,I$5,0),)</f>
        <v>EA</v>
      </c>
      <c r="J701" s="249">
        <v>4</v>
      </c>
      <c r="K701" s="250" t="s">
        <v>359</v>
      </c>
      <c r="L701" s="261">
        <v>1</v>
      </c>
      <c r="M701" s="334"/>
      <c r="N701" s="262"/>
    </row>
    <row r="702" spans="1:14" ht="28.2" customHeight="1">
      <c r="A702" s="11">
        <v>697</v>
      </c>
      <c r="B702" s="290">
        <v>697</v>
      </c>
      <c r="C702" s="259">
        <v>46084</v>
      </c>
      <c r="D702" s="249" t="s">
        <v>329</v>
      </c>
      <c r="E702" s="251" t="str">
        <f>IFERROR(VLOOKUP($D702,임시동력입.출고현황!$A:$G,E$5,0),)</f>
        <v>Cable</v>
      </c>
      <c r="F702" s="260" t="str">
        <f>IFERROR(VLOOKUP($D702,임시동력입.출고현황!$A:$G,F$5,0),)</f>
        <v>CV Cable</v>
      </c>
      <c r="G702" s="260">
        <f>IFERROR(VLOOKUP($D702,임시동력입.출고현황!$A:$G,G$5,0),)</f>
        <v>0</v>
      </c>
      <c r="H702" s="260" t="str">
        <f>IFERROR(VLOOKUP($D702,임시동력입.출고현황!$A:$G,H$5,0),)</f>
        <v>4C x 16mm2</v>
      </c>
      <c r="I702" s="249" t="str">
        <f>IFERROR(VLOOKUP($D702,임시동력입.출고현황!$A:$G,I$5,0),)</f>
        <v>M</v>
      </c>
      <c r="J702" s="249">
        <v>4</v>
      </c>
      <c r="K702" s="250" t="s">
        <v>359</v>
      </c>
      <c r="L702" s="261">
        <v>171</v>
      </c>
      <c r="M702" s="334"/>
      <c r="N702" s="262"/>
    </row>
    <row r="703" spans="1:14" ht="28.2" customHeight="1">
      <c r="A703" s="11">
        <v>698</v>
      </c>
      <c r="B703" s="290">
        <v>698</v>
      </c>
      <c r="C703" s="259">
        <v>46084</v>
      </c>
      <c r="D703" s="249" t="s">
        <v>333</v>
      </c>
      <c r="E703" s="251" t="str">
        <f>IFERROR(VLOOKUP($D703,임시동력입.출고현황!$A:$G,E$5,0),)</f>
        <v>Cable</v>
      </c>
      <c r="F703" s="260" t="str">
        <f>IFERROR(VLOOKUP($D703,임시동력입.출고현황!$A:$G,F$5,0),)</f>
        <v>CV Cable</v>
      </c>
      <c r="G703" s="260">
        <f>IFERROR(VLOOKUP($D703,임시동력입.출고현황!$A:$G,G$5,0),)</f>
        <v>0</v>
      </c>
      <c r="H703" s="260" t="str">
        <f>IFERROR(VLOOKUP($D703,임시동력입.출고현황!$A:$G,H$5,0),)</f>
        <v>3C x 6mm2</v>
      </c>
      <c r="I703" s="249" t="str">
        <f>IFERROR(VLOOKUP($D703,임시동력입.출고현황!$A:$G,I$5,0),)</f>
        <v>M</v>
      </c>
      <c r="J703" s="249">
        <v>2</v>
      </c>
      <c r="K703" s="250" t="s">
        <v>360</v>
      </c>
      <c r="L703" s="261">
        <v>167</v>
      </c>
      <c r="M703" s="334"/>
      <c r="N703" s="262"/>
    </row>
    <row r="704" spans="1:14" ht="28.2" customHeight="1">
      <c r="A704" s="11">
        <v>699</v>
      </c>
      <c r="B704" s="290">
        <v>699</v>
      </c>
      <c r="C704" s="259">
        <v>46084</v>
      </c>
      <c r="D704" s="249" t="s">
        <v>411</v>
      </c>
      <c r="E704" s="251" t="str">
        <f>IFERROR(VLOOKUP($D704,임시동력입.출고현황!$A:$G,E$5,0),)</f>
        <v>Cable</v>
      </c>
      <c r="F704" s="260" t="str">
        <f>IFERROR(VLOOKUP($D704,임시동력입.출고현황!$A:$G,F$5,0),)</f>
        <v>CV Cable</v>
      </c>
      <c r="G704" s="260">
        <f>IFERROR(VLOOKUP($D704,임시동력입.출고현황!$A:$G,G$5,0),)</f>
        <v>0</v>
      </c>
      <c r="H704" s="260" t="str">
        <f>IFERROR(VLOOKUP($D704,임시동력입.출고현황!$A:$G,H$5,0),)</f>
        <v>3C x 3mm2</v>
      </c>
      <c r="I704" s="249" t="str">
        <f>IFERROR(VLOOKUP($D704,임시동력입.출고현황!$A:$G,I$5,0),)</f>
        <v>M</v>
      </c>
      <c r="J704" s="249">
        <v>3</v>
      </c>
      <c r="K704" s="250" t="s">
        <v>361</v>
      </c>
      <c r="L704" s="261">
        <v>289</v>
      </c>
      <c r="M704" s="334"/>
      <c r="N704" s="262"/>
    </row>
    <row r="705" spans="1:14" ht="28.2" customHeight="1">
      <c r="A705" s="11">
        <v>700</v>
      </c>
      <c r="B705" s="290">
        <v>700</v>
      </c>
      <c r="C705" s="259">
        <v>46085</v>
      </c>
      <c r="D705" s="249" t="s">
        <v>335</v>
      </c>
      <c r="E705" s="251" t="str">
        <f>IFERROR(VLOOKUP($D705,임시동력입.출고현황!$A:$G,E$5,0),)</f>
        <v>Cable</v>
      </c>
      <c r="F705" s="260" t="str">
        <f>IFERROR(VLOOKUP($D705,임시동력입.출고현황!$A:$G,F$5,0),)</f>
        <v>CV Cable</v>
      </c>
      <c r="G705" s="260">
        <f>IFERROR(VLOOKUP($D705,임시동력입.출고현황!$A:$G,G$5,0),)</f>
        <v>0</v>
      </c>
      <c r="H705" s="260" t="str">
        <f>IFERROR(VLOOKUP($D705,임시동력입.출고현황!$A:$G,H$5,0),)</f>
        <v>3C x 2.5mm2</v>
      </c>
      <c r="I705" s="249" t="str">
        <f>IFERROR(VLOOKUP($D705,임시동력입.출고현황!$A:$G,I$5,0),)</f>
        <v>M</v>
      </c>
      <c r="J705" s="249">
        <v>2</v>
      </c>
      <c r="K705" s="250" t="s">
        <v>656</v>
      </c>
      <c r="L705" s="261">
        <v>273</v>
      </c>
      <c r="M705" s="334"/>
      <c r="N705" s="262"/>
    </row>
    <row r="706" spans="1:14" ht="28.2" customHeight="1">
      <c r="A706" s="11">
        <v>701</v>
      </c>
      <c r="B706" s="290">
        <v>701</v>
      </c>
      <c r="C706" s="259">
        <v>46088</v>
      </c>
      <c r="D706" s="249" t="s">
        <v>411</v>
      </c>
      <c r="E706" s="251" t="str">
        <f>IFERROR(VLOOKUP($D706,임시동력입.출고현황!$A:$G,E$5,0),)</f>
        <v>Cable</v>
      </c>
      <c r="F706" s="260" t="str">
        <f>IFERROR(VLOOKUP($D706,임시동력입.출고현황!$A:$G,F$5,0),)</f>
        <v>CV Cable</v>
      </c>
      <c r="G706" s="260">
        <f>IFERROR(VLOOKUP($D706,임시동력입.출고현황!$A:$G,G$5,0),)</f>
        <v>0</v>
      </c>
      <c r="H706" s="260" t="str">
        <f>IFERROR(VLOOKUP($D706,임시동력입.출고현황!$A:$G,H$5,0),)</f>
        <v>3C x 3mm2</v>
      </c>
      <c r="I706" s="249" t="str">
        <f>IFERROR(VLOOKUP($D706,임시동력입.출고현황!$A:$G,I$5,0),)</f>
        <v>M</v>
      </c>
      <c r="J706" s="249"/>
      <c r="K706" s="250"/>
      <c r="L706" s="261">
        <v>200</v>
      </c>
      <c r="M706" s="334"/>
      <c r="N706" s="262"/>
    </row>
    <row r="707" spans="1:14" ht="28.2" customHeight="1">
      <c r="A707" s="11">
        <v>702</v>
      </c>
      <c r="B707" s="290">
        <v>702</v>
      </c>
      <c r="C707" s="259">
        <v>46089</v>
      </c>
      <c r="D707" s="249" t="s">
        <v>559</v>
      </c>
      <c r="E707" s="251" t="str">
        <f>IFERROR(VLOOKUP($D707,임시동력입.출고현황!$A:$G,E$5,0),)</f>
        <v>Panel</v>
      </c>
      <c r="F707" s="260" t="str">
        <f>IFERROR(VLOOKUP($D707,임시동력입.출고현황!$A:$G,F$5,0),)</f>
        <v>Electrical Panel</v>
      </c>
      <c r="G707" s="260">
        <f>IFERROR(VLOOKUP($D707,임시동력입.출고현황!$A:$G,G$5,0),)</f>
        <v>0</v>
      </c>
      <c r="H707" s="260" t="str">
        <f>IFERROR(VLOOKUP($D707,임시동력입.출고현황!$A:$G,H$5,0),)</f>
        <v>63A</v>
      </c>
      <c r="I707" s="249" t="str">
        <f>IFERROR(VLOOKUP($D707,임시동력입.출고현황!$A:$G,I$5,0),)</f>
        <v>EA</v>
      </c>
      <c r="J707" s="249">
        <v>1</v>
      </c>
      <c r="K707" s="250" t="s">
        <v>363</v>
      </c>
      <c r="L707" s="261">
        <v>1</v>
      </c>
      <c r="M707" s="334"/>
      <c r="N707" s="262"/>
    </row>
    <row r="708" spans="1:14" ht="28.2" customHeight="1">
      <c r="A708" s="11">
        <v>703</v>
      </c>
      <c r="B708" s="290">
        <v>703</v>
      </c>
      <c r="C708" s="259">
        <v>46089</v>
      </c>
      <c r="D708" s="249" t="s">
        <v>303</v>
      </c>
      <c r="E708" s="251" t="str">
        <f>IFERROR(VLOOKUP($D708,임시동력입.출고현황!$A:$G,E$5,0),)</f>
        <v>Panel</v>
      </c>
      <c r="F708" s="260" t="str">
        <f>IFERROR(VLOOKUP($D708,임시동력입.출고현황!$A:$G,F$5,0),)</f>
        <v>Electrical Panel</v>
      </c>
      <c r="G708" s="260">
        <f>IFERROR(VLOOKUP($D708,임시동력입.출고현황!$A:$G,G$5,0),)</f>
        <v>0</v>
      </c>
      <c r="H708" s="260" t="str">
        <f>IFERROR(VLOOKUP($D708,임시동력입.출고현황!$A:$G,H$5,0),)</f>
        <v>630A</v>
      </c>
      <c r="I708" s="249" t="str">
        <f>IFERROR(VLOOKUP($D708,임시동력입.출고현황!$A:$G,I$5,0),)</f>
        <v>EA</v>
      </c>
      <c r="J708" s="249">
        <v>1</v>
      </c>
      <c r="K708" s="250" t="s">
        <v>352</v>
      </c>
      <c r="L708" s="261">
        <v>1</v>
      </c>
      <c r="M708" s="334"/>
      <c r="N708" s="262"/>
    </row>
    <row r="709" spans="1:14" ht="28.2" customHeight="1">
      <c r="A709" s="11">
        <v>704</v>
      </c>
      <c r="B709" s="290">
        <v>704</v>
      </c>
      <c r="C709" s="259">
        <v>46090</v>
      </c>
      <c r="D709" s="249" t="s">
        <v>307</v>
      </c>
      <c r="E709" s="251" t="str">
        <f>IFERROR(VLOOKUP($D709,임시동력입.출고현황!$A:$G,E$5,0),)</f>
        <v>Panel</v>
      </c>
      <c r="F709" s="260" t="str">
        <f>IFERROR(VLOOKUP($D709,임시동력입.출고현황!$A:$G,F$5,0),)</f>
        <v>Electrical Panel</v>
      </c>
      <c r="G709" s="260">
        <f>IFERROR(VLOOKUP($D709,임시동력입.출고현황!$A:$G,G$5,0),)</f>
        <v>0</v>
      </c>
      <c r="H709" s="260" t="str">
        <f>IFERROR(VLOOKUP($D709,임시동력입.출고현황!$A:$G,H$5,0),)</f>
        <v>160A</v>
      </c>
      <c r="I709" s="249" t="str">
        <f>IFERROR(VLOOKUP($D709,임시동력입.출고현황!$A:$G,I$5,0),)</f>
        <v>EA</v>
      </c>
      <c r="J709" s="249">
        <v>2</v>
      </c>
      <c r="K709" s="250" t="s">
        <v>360</v>
      </c>
      <c r="L709" s="261">
        <v>1</v>
      </c>
      <c r="M709" s="334"/>
      <c r="N709" s="262"/>
    </row>
    <row r="710" spans="1:14" ht="28.2" customHeight="1">
      <c r="A710" s="11">
        <v>705</v>
      </c>
      <c r="B710" s="290">
        <v>705</v>
      </c>
      <c r="C710" s="259">
        <v>46090</v>
      </c>
      <c r="D710" s="249" t="s">
        <v>329</v>
      </c>
      <c r="E710" s="251" t="str">
        <f>IFERROR(VLOOKUP($D710,임시동력입.출고현황!$A:$G,E$5,0),)</f>
        <v>Cable</v>
      </c>
      <c r="F710" s="260" t="str">
        <f>IFERROR(VLOOKUP($D710,임시동력입.출고현황!$A:$G,F$5,0),)</f>
        <v>CV Cable</v>
      </c>
      <c r="G710" s="260">
        <f>IFERROR(VLOOKUP($D710,임시동력입.출고현황!$A:$G,G$5,0),)</f>
        <v>0</v>
      </c>
      <c r="H710" s="260" t="str">
        <f>IFERROR(VLOOKUP($D710,임시동력입.출고현황!$A:$G,H$5,0),)</f>
        <v>4C x 16mm2</v>
      </c>
      <c r="I710" s="249" t="str">
        <f>IFERROR(VLOOKUP($D710,임시동력입.출고현황!$A:$G,I$5,0),)</f>
        <v>M</v>
      </c>
      <c r="J710" s="249">
        <v>2</v>
      </c>
      <c r="K710" s="250" t="s">
        <v>360</v>
      </c>
      <c r="L710" s="261">
        <v>70</v>
      </c>
      <c r="M710" s="334"/>
      <c r="N710" s="262"/>
    </row>
    <row r="711" spans="1:14" ht="28.2" customHeight="1">
      <c r="A711" s="11">
        <v>706</v>
      </c>
      <c r="B711" s="290">
        <v>706</v>
      </c>
      <c r="C711" s="259">
        <v>46090</v>
      </c>
      <c r="D711" s="249" t="s">
        <v>335</v>
      </c>
      <c r="E711" s="251" t="str">
        <f>IFERROR(VLOOKUP($D711,임시동력입.출고현황!$A:$G,E$5,0),)</f>
        <v>Cable</v>
      </c>
      <c r="F711" s="260" t="str">
        <f>IFERROR(VLOOKUP($D711,임시동력입.출고현황!$A:$G,F$5,0),)</f>
        <v>CV Cable</v>
      </c>
      <c r="G711" s="260">
        <f>IFERROR(VLOOKUP($D711,임시동력입.출고현황!$A:$G,G$5,0),)</f>
        <v>0</v>
      </c>
      <c r="H711" s="260" t="str">
        <f>IFERROR(VLOOKUP($D711,임시동력입.출고현황!$A:$G,H$5,0),)</f>
        <v>3C x 2.5mm2</v>
      </c>
      <c r="I711" s="249" t="str">
        <f>IFERROR(VLOOKUP($D711,임시동력입.출고현황!$A:$G,I$5,0),)</f>
        <v>M</v>
      </c>
      <c r="J711" s="249">
        <v>2</v>
      </c>
      <c r="K711" s="250" t="s">
        <v>360</v>
      </c>
      <c r="L711" s="261">
        <v>57</v>
      </c>
      <c r="M711" s="334"/>
      <c r="N711" s="262"/>
    </row>
    <row r="712" spans="1:14" ht="28.2" customHeight="1">
      <c r="A712" s="11">
        <v>707</v>
      </c>
      <c r="B712" s="290">
        <v>707</v>
      </c>
      <c r="C712" s="259">
        <v>46090</v>
      </c>
      <c r="D712" s="249" t="s">
        <v>555</v>
      </c>
      <c r="E712" s="251" t="str">
        <f>IFERROR(VLOOKUP($D712,임시동력입.출고현황!$A:$G,E$5,0),)</f>
        <v>MCB</v>
      </c>
      <c r="F712" s="260" t="str">
        <f>IFERROR(VLOOKUP($D712,임시동력입.출고현황!$A:$G,F$5,0),)</f>
        <v>MCB</v>
      </c>
      <c r="G712" s="260">
        <f>IFERROR(VLOOKUP($D712,임시동력입.출고현황!$A:$G,G$5,0),)</f>
        <v>0</v>
      </c>
      <c r="H712" s="260" t="str">
        <f>IFERROR(VLOOKUP($D712,임시동력입.출고현황!$A:$G,H$5,0),)</f>
        <v>1P - 16A</v>
      </c>
      <c r="I712" s="249" t="str">
        <f>IFERROR(VLOOKUP($D712,임시동력입.출고현황!$A:$G,I$5,0),)</f>
        <v>EA</v>
      </c>
      <c r="J712" s="249" t="s">
        <v>557</v>
      </c>
      <c r="K712" s="250"/>
      <c r="L712" s="261">
        <v>4</v>
      </c>
      <c r="M712" s="334"/>
      <c r="N712" s="262"/>
    </row>
    <row r="713" spans="1:14" ht="28.2" customHeight="1">
      <c r="A713" s="11">
        <v>708</v>
      </c>
      <c r="B713" s="290">
        <v>708</v>
      </c>
      <c r="C713" s="259">
        <v>46090</v>
      </c>
      <c r="D713" s="249" t="s">
        <v>411</v>
      </c>
      <c r="E713" s="251" t="str">
        <f>IFERROR(VLOOKUP($D713,임시동력입.출고현황!$A:$G,E$5,0),)</f>
        <v>Cable</v>
      </c>
      <c r="F713" s="260" t="str">
        <f>IFERROR(VLOOKUP($D713,임시동력입.출고현황!$A:$G,F$5,0),)</f>
        <v>CV Cable</v>
      </c>
      <c r="G713" s="260">
        <f>IFERROR(VLOOKUP($D713,임시동력입.출고현황!$A:$G,G$5,0),)</f>
        <v>0</v>
      </c>
      <c r="H713" s="260" t="str">
        <f>IFERROR(VLOOKUP($D713,임시동력입.출고현황!$A:$G,H$5,0),)</f>
        <v>3C x 3mm2</v>
      </c>
      <c r="I713" s="249" t="str">
        <f>IFERROR(VLOOKUP($D713,임시동력입.출고현황!$A:$G,I$5,0),)</f>
        <v>M</v>
      </c>
      <c r="J713" s="249" t="s">
        <v>557</v>
      </c>
      <c r="K713" s="250" t="s">
        <v>264</v>
      </c>
      <c r="L713" s="261">
        <v>100</v>
      </c>
      <c r="M713" s="334"/>
      <c r="N713" s="262"/>
    </row>
    <row r="714" spans="1:14" ht="28.2" customHeight="1">
      <c r="A714" s="11">
        <v>709</v>
      </c>
      <c r="B714" s="290">
        <v>709</v>
      </c>
      <c r="C714" s="259">
        <v>46091</v>
      </c>
      <c r="D714" s="249" t="s">
        <v>303</v>
      </c>
      <c r="E714" s="251" t="str">
        <f>IFERROR(VLOOKUP($D714,임시동력입.출고현황!$A:$G,E$5,0),)</f>
        <v>Panel</v>
      </c>
      <c r="F714" s="260" t="str">
        <f>IFERROR(VLOOKUP($D714,임시동력입.출고현황!$A:$G,F$5,0),)</f>
        <v>Electrical Panel</v>
      </c>
      <c r="G714" s="260">
        <f>IFERROR(VLOOKUP($D714,임시동력입.출고현황!$A:$G,G$5,0),)</f>
        <v>0</v>
      </c>
      <c r="H714" s="260" t="str">
        <f>IFERROR(VLOOKUP($D714,임시동력입.출고현황!$A:$G,H$5,0),)</f>
        <v>630A</v>
      </c>
      <c r="I714" s="249" t="str">
        <f>IFERROR(VLOOKUP($D714,임시동력입.출고현황!$A:$G,I$5,0),)</f>
        <v>EA</v>
      </c>
      <c r="J714" s="249">
        <v>2</v>
      </c>
      <c r="K714" s="250" t="s">
        <v>360</v>
      </c>
      <c r="L714" s="261">
        <v>1</v>
      </c>
      <c r="M714" s="334"/>
      <c r="N714" s="262"/>
    </row>
    <row r="715" spans="1:14" ht="28.2" customHeight="1">
      <c r="A715" s="11">
        <v>710</v>
      </c>
      <c r="B715" s="290">
        <v>710</v>
      </c>
      <c r="C715" s="259">
        <v>46091</v>
      </c>
      <c r="D715" s="249" t="s">
        <v>317</v>
      </c>
      <c r="E715" s="251" t="str">
        <f>IFERROR(VLOOKUP($D715,임시동력입.출고현황!$A:$G,E$5,0),)</f>
        <v>Cable</v>
      </c>
      <c r="F715" s="260" t="str">
        <f>IFERROR(VLOOKUP($D715,임시동력입.출고현황!$A:$G,F$5,0),)</f>
        <v>AL Cable</v>
      </c>
      <c r="G715" s="260">
        <f>IFERROR(VLOOKUP($D715,임시동력입.출고현황!$A:$G,G$5,0),)</f>
        <v>0</v>
      </c>
      <c r="H715" s="260" t="str">
        <f>IFERROR(VLOOKUP($D715,임시동력입.출고현황!$A:$G,H$5,0),)</f>
        <v>3C x 240+120mm2 [ALU]</v>
      </c>
      <c r="I715" s="249" t="str">
        <f>IFERROR(VLOOKUP($D715,임시동력입.출고현황!$A:$G,I$5,0),)</f>
        <v>M</v>
      </c>
      <c r="J715" s="249">
        <v>2</v>
      </c>
      <c r="K715" s="250" t="s">
        <v>360</v>
      </c>
      <c r="L715" s="261">
        <v>12</v>
      </c>
      <c r="M715" s="334"/>
      <c r="N715" s="262"/>
    </row>
    <row r="716" spans="1:14" ht="28.2" customHeight="1">
      <c r="A716" s="11">
        <v>711</v>
      </c>
      <c r="B716" s="290">
        <v>711</v>
      </c>
      <c r="C716" s="259">
        <v>46091</v>
      </c>
      <c r="D716" s="249" t="s">
        <v>342</v>
      </c>
      <c r="E716" s="251" t="str">
        <f>IFERROR(VLOOKUP($D716,임시동력입.출고현황!$A:$G,E$5,0),)</f>
        <v>Cable</v>
      </c>
      <c r="F716" s="260" t="str">
        <f>IFERROR(VLOOKUP($D716,임시동력입.출고현황!$A:$G,F$5,0),)</f>
        <v>Grounding Cable</v>
      </c>
      <c r="G716" s="260">
        <f>IFERROR(VLOOKUP($D716,임시동력입.출고현황!$A:$G,G$5,0),)</f>
        <v>0</v>
      </c>
      <c r="H716" s="260" t="str">
        <f>IFERROR(VLOOKUP($D716,임시동력입.출고현황!$A:$G,H$5,0),)</f>
        <v>1C x 70mm2</v>
      </c>
      <c r="I716" s="249" t="str">
        <f>IFERROR(VLOOKUP($D716,임시동력입.출고현황!$A:$G,I$5,0),)</f>
        <v>M</v>
      </c>
      <c r="J716" s="249">
        <v>2</v>
      </c>
      <c r="K716" s="250" t="s">
        <v>360</v>
      </c>
      <c r="L716" s="261">
        <v>10</v>
      </c>
      <c r="M716" s="334"/>
      <c r="N716" s="262"/>
    </row>
    <row r="717" spans="1:14" ht="28.2" customHeight="1">
      <c r="A717" s="11">
        <v>712</v>
      </c>
      <c r="B717" s="290">
        <v>712</v>
      </c>
      <c r="C717" s="259">
        <v>46092</v>
      </c>
      <c r="D717" s="249" t="s">
        <v>559</v>
      </c>
      <c r="E717" s="251" t="str">
        <f>IFERROR(VLOOKUP($D717,임시동력입.출고현황!$A:$G,E$5,0),)</f>
        <v>Panel</v>
      </c>
      <c r="F717" s="260" t="str">
        <f>IFERROR(VLOOKUP($D717,임시동력입.출고현황!$A:$G,F$5,0),)</f>
        <v>Electrical Panel</v>
      </c>
      <c r="G717" s="260">
        <f>IFERROR(VLOOKUP($D717,임시동력입.출고현황!$A:$G,G$5,0),)</f>
        <v>0</v>
      </c>
      <c r="H717" s="260" t="str">
        <f>IFERROR(VLOOKUP($D717,임시동력입.출고현황!$A:$G,H$5,0),)</f>
        <v>63A</v>
      </c>
      <c r="I717" s="249" t="str">
        <f>IFERROR(VLOOKUP($D717,임시동력입.출고현황!$A:$G,I$5,0),)</f>
        <v>EA</v>
      </c>
      <c r="J717" s="249">
        <v>3</v>
      </c>
      <c r="K717" s="250" t="s">
        <v>361</v>
      </c>
      <c r="L717" s="261">
        <v>2</v>
      </c>
      <c r="M717" s="334"/>
      <c r="N717" s="262"/>
    </row>
    <row r="718" spans="1:14" ht="28.2" customHeight="1">
      <c r="A718" s="11">
        <v>713</v>
      </c>
      <c r="B718" s="290">
        <v>713</v>
      </c>
      <c r="C718" s="259">
        <v>46092</v>
      </c>
      <c r="D718" s="249" t="s">
        <v>348</v>
      </c>
      <c r="E718" s="251" t="str">
        <f>IFERROR(VLOOKUP($D718,임시동력입.출고현황!$A:$G,E$5,0),)</f>
        <v>LTG</v>
      </c>
      <c r="F718" s="260" t="str">
        <f>IFERROR(VLOOKUP($D718,임시동력입.출고현황!$A:$G,F$5,0),)</f>
        <v>Lighting Fixture</v>
      </c>
      <c r="G718" s="260">
        <f>IFERROR(VLOOKUP($D718,임시동력입.출고현황!$A:$G,G$5,0),)</f>
        <v>0</v>
      </c>
      <c r="H718" s="260" t="str">
        <f>IFERROR(VLOOKUP($D718,임시동력입.출고현황!$A:$G,H$5,0),)</f>
        <v>100W</v>
      </c>
      <c r="I718" s="249" t="str">
        <f>IFERROR(VLOOKUP($D718,임시동력입.출고현황!$A:$G,I$5,0),)</f>
        <v>EA</v>
      </c>
      <c r="J718" s="249">
        <v>3</v>
      </c>
      <c r="K718" s="250" t="s">
        <v>237</v>
      </c>
      <c r="L718" s="261">
        <v>3</v>
      </c>
      <c r="M718" s="334"/>
      <c r="N718" s="262"/>
    </row>
    <row r="719" spans="1:14" ht="28.2" customHeight="1">
      <c r="A719" s="11">
        <v>714</v>
      </c>
      <c r="B719" s="290">
        <v>714</v>
      </c>
      <c r="C719" s="259">
        <v>46093</v>
      </c>
      <c r="D719" s="249" t="s">
        <v>348</v>
      </c>
      <c r="E719" s="251" t="str">
        <f>IFERROR(VLOOKUP($D719,임시동력입.출고현황!$A:$G,E$5,0),)</f>
        <v>LTG</v>
      </c>
      <c r="F719" s="260" t="str">
        <f>IFERROR(VLOOKUP($D719,임시동력입.출고현황!$A:$G,F$5,0),)</f>
        <v>Lighting Fixture</v>
      </c>
      <c r="G719" s="260">
        <f>IFERROR(VLOOKUP($D719,임시동력입.출고현황!$A:$G,G$5,0),)</f>
        <v>0</v>
      </c>
      <c r="H719" s="260" t="str">
        <f>IFERROR(VLOOKUP($D719,임시동력입.출고현황!$A:$G,H$5,0),)</f>
        <v>100W</v>
      </c>
      <c r="I719" s="249" t="str">
        <f>IFERROR(VLOOKUP($D719,임시동력입.출고현황!$A:$G,I$5,0),)</f>
        <v>EA</v>
      </c>
      <c r="J719" s="249">
        <v>1</v>
      </c>
      <c r="K719" s="250" t="s">
        <v>547</v>
      </c>
      <c r="L719" s="261">
        <v>3</v>
      </c>
      <c r="M719" s="334"/>
      <c r="N719" s="262"/>
    </row>
    <row r="720" spans="1:14" ht="28.2" customHeight="1">
      <c r="A720" s="11">
        <v>715</v>
      </c>
      <c r="B720" s="290">
        <v>715</v>
      </c>
      <c r="C720" s="259">
        <v>46093</v>
      </c>
      <c r="D720" s="249" t="s">
        <v>411</v>
      </c>
      <c r="E720" s="251" t="str">
        <f>IFERROR(VLOOKUP($D720,임시동력입.출고현황!$A:$G,E$5,0),)</f>
        <v>Cable</v>
      </c>
      <c r="F720" s="260" t="str">
        <f>IFERROR(VLOOKUP($D720,임시동력입.출고현황!$A:$G,F$5,0),)</f>
        <v>CV Cable</v>
      </c>
      <c r="G720" s="260">
        <f>IFERROR(VLOOKUP($D720,임시동력입.출고현황!$A:$G,G$5,0),)</f>
        <v>0</v>
      </c>
      <c r="H720" s="260" t="str">
        <f>IFERROR(VLOOKUP($D720,임시동력입.출고현황!$A:$G,H$5,0),)</f>
        <v>3C x 3mm2</v>
      </c>
      <c r="I720" s="249" t="str">
        <f>IFERROR(VLOOKUP($D720,임시동력입.출고현황!$A:$G,I$5,0),)</f>
        <v>M</v>
      </c>
      <c r="J720" s="249">
        <v>2</v>
      </c>
      <c r="K720" s="250" t="s">
        <v>360</v>
      </c>
      <c r="L720" s="261">
        <v>12</v>
      </c>
      <c r="M720" s="334"/>
      <c r="N720" s="262"/>
    </row>
    <row r="721" spans="1:14" ht="28.2" customHeight="1">
      <c r="A721" s="11">
        <v>716</v>
      </c>
      <c r="B721" s="290">
        <v>716</v>
      </c>
      <c r="C721" s="259">
        <v>46094</v>
      </c>
      <c r="D721" s="249" t="s">
        <v>411</v>
      </c>
      <c r="E721" s="251" t="str">
        <f>IFERROR(VLOOKUP($D721,임시동력입.출고현황!$A:$G,E$5,0),)</f>
        <v>Cable</v>
      </c>
      <c r="F721" s="260" t="str">
        <f>IFERROR(VLOOKUP($D721,임시동력입.출고현황!$A:$G,F$5,0),)</f>
        <v>CV Cable</v>
      </c>
      <c r="G721" s="260">
        <f>IFERROR(VLOOKUP($D721,임시동력입.출고현황!$A:$G,G$5,0),)</f>
        <v>0</v>
      </c>
      <c r="H721" s="260" t="str">
        <f>IFERROR(VLOOKUP($D721,임시동력입.출고현황!$A:$G,H$5,0),)</f>
        <v>3C x 3mm2</v>
      </c>
      <c r="I721" s="249" t="str">
        <f>IFERROR(VLOOKUP($D721,임시동력입.출고현황!$A:$G,I$5,0),)</f>
        <v>M</v>
      </c>
      <c r="J721" s="249">
        <v>3</v>
      </c>
      <c r="K721" s="250" t="s">
        <v>361</v>
      </c>
      <c r="L721" s="261">
        <v>11</v>
      </c>
      <c r="M721" s="334"/>
      <c r="N721" s="262"/>
    </row>
    <row r="722" spans="1:14" ht="28.2" customHeight="1">
      <c r="A722" s="11">
        <v>717</v>
      </c>
      <c r="B722" s="290">
        <v>717</v>
      </c>
      <c r="C722" s="259">
        <v>46096</v>
      </c>
      <c r="D722" s="249" t="s">
        <v>348</v>
      </c>
      <c r="E722" s="251" t="str">
        <f>IFERROR(VLOOKUP($D722,임시동력입.출고현황!$A:$G,E$5,0),)</f>
        <v>LTG</v>
      </c>
      <c r="F722" s="260" t="str">
        <f>IFERROR(VLOOKUP($D722,임시동력입.출고현황!$A:$G,F$5,0),)</f>
        <v>Lighting Fixture</v>
      </c>
      <c r="G722" s="260">
        <f>IFERROR(VLOOKUP($D722,임시동력입.출고현황!$A:$G,G$5,0),)</f>
        <v>0</v>
      </c>
      <c r="H722" s="260" t="str">
        <f>IFERROR(VLOOKUP($D722,임시동력입.출고현황!$A:$G,H$5,0),)</f>
        <v>100W</v>
      </c>
      <c r="I722" s="249" t="str">
        <f>IFERROR(VLOOKUP($D722,임시동력입.출고현황!$A:$G,I$5,0),)</f>
        <v>EA</v>
      </c>
      <c r="J722" s="249">
        <v>2</v>
      </c>
      <c r="K722" s="250" t="s">
        <v>656</v>
      </c>
      <c r="L722" s="261">
        <v>5</v>
      </c>
      <c r="M722" s="334"/>
      <c r="N722" s="262"/>
    </row>
    <row r="723" spans="1:14" ht="28.2" customHeight="1">
      <c r="A723" s="11">
        <v>718</v>
      </c>
      <c r="B723" s="290">
        <v>718</v>
      </c>
      <c r="C723" s="259">
        <v>46096</v>
      </c>
      <c r="D723" s="249" t="s">
        <v>411</v>
      </c>
      <c r="E723" s="251" t="str">
        <f>IFERROR(VLOOKUP($D723,임시동력입.출고현황!$A:$G,E$5,0),)</f>
        <v>Cable</v>
      </c>
      <c r="F723" s="260" t="str">
        <f>IFERROR(VLOOKUP($D723,임시동력입.출고현황!$A:$G,F$5,0),)</f>
        <v>CV Cable</v>
      </c>
      <c r="G723" s="260">
        <f>IFERROR(VLOOKUP($D723,임시동력입.출고현황!$A:$G,G$5,0),)</f>
        <v>0</v>
      </c>
      <c r="H723" s="260" t="str">
        <f>IFERROR(VLOOKUP($D723,임시동력입.출고현황!$A:$G,H$5,0),)</f>
        <v>3C x 3mm2</v>
      </c>
      <c r="I723" s="249" t="str">
        <f>IFERROR(VLOOKUP($D723,임시동력입.출고현황!$A:$G,I$5,0),)</f>
        <v>M</v>
      </c>
      <c r="J723" s="249">
        <v>4</v>
      </c>
      <c r="K723" s="250" t="s">
        <v>359</v>
      </c>
      <c r="L723" s="261">
        <v>100</v>
      </c>
      <c r="M723" s="334"/>
      <c r="N723" s="262"/>
    </row>
    <row r="724" spans="1:14" ht="28.2" customHeight="1">
      <c r="A724" s="11">
        <v>719</v>
      </c>
      <c r="B724" s="290">
        <v>719</v>
      </c>
      <c r="C724" s="259">
        <v>46096</v>
      </c>
      <c r="D724" s="249" t="s">
        <v>411</v>
      </c>
      <c r="E724" s="251" t="str">
        <f>IFERROR(VLOOKUP($D724,임시동력입.출고현황!$A:$G,E$5,0),)</f>
        <v>Cable</v>
      </c>
      <c r="F724" s="260" t="str">
        <f>IFERROR(VLOOKUP($D724,임시동력입.출고현황!$A:$G,F$5,0),)</f>
        <v>CV Cable</v>
      </c>
      <c r="G724" s="260">
        <f>IFERROR(VLOOKUP($D724,임시동력입.출고현황!$A:$G,G$5,0),)</f>
        <v>0</v>
      </c>
      <c r="H724" s="260" t="str">
        <f>IFERROR(VLOOKUP($D724,임시동력입.출고현황!$A:$G,H$5,0),)</f>
        <v>3C x 3mm2</v>
      </c>
      <c r="I724" s="249" t="str">
        <f>IFERROR(VLOOKUP($D724,임시동력입.출고현황!$A:$G,I$5,0),)</f>
        <v>M</v>
      </c>
      <c r="J724" s="249">
        <v>4</v>
      </c>
      <c r="K724" s="250" t="s">
        <v>359</v>
      </c>
      <c r="L724" s="261">
        <v>100</v>
      </c>
      <c r="M724" s="334"/>
      <c r="N724" s="262"/>
    </row>
    <row r="725" spans="1:14" ht="28.2" customHeight="1">
      <c r="A725" s="11">
        <v>720</v>
      </c>
      <c r="B725" s="290">
        <v>720</v>
      </c>
      <c r="C725" s="259">
        <v>46096</v>
      </c>
      <c r="D725" s="249" t="s">
        <v>411</v>
      </c>
      <c r="E725" s="251" t="str">
        <f>IFERROR(VLOOKUP($D725,임시동력입.출고현황!$A:$G,E$5,0),)</f>
        <v>Cable</v>
      </c>
      <c r="F725" s="260" t="str">
        <f>IFERROR(VLOOKUP($D725,임시동력입.출고현황!$A:$G,F$5,0),)</f>
        <v>CV Cable</v>
      </c>
      <c r="G725" s="260">
        <f>IFERROR(VLOOKUP($D725,임시동력입.출고현황!$A:$G,G$5,0),)</f>
        <v>0</v>
      </c>
      <c r="H725" s="260" t="str">
        <f>IFERROR(VLOOKUP($D725,임시동력입.출고현황!$A:$G,H$5,0),)</f>
        <v>3C x 3mm2</v>
      </c>
      <c r="I725" s="249" t="str">
        <f>IFERROR(VLOOKUP($D725,임시동력입.출고현황!$A:$G,I$5,0),)</f>
        <v>M</v>
      </c>
      <c r="J725" s="249">
        <v>2</v>
      </c>
      <c r="K725" s="250" t="s">
        <v>360</v>
      </c>
      <c r="L725" s="261">
        <v>100</v>
      </c>
      <c r="M725" s="334"/>
      <c r="N725" s="262"/>
    </row>
    <row r="726" spans="1:14" ht="28.2" customHeight="1">
      <c r="A726" s="11">
        <v>721</v>
      </c>
      <c r="B726" s="290">
        <v>721</v>
      </c>
      <c r="C726" s="259">
        <v>46096</v>
      </c>
      <c r="D726" s="249" t="s">
        <v>335</v>
      </c>
      <c r="E726" s="251" t="str">
        <f>IFERROR(VLOOKUP($D726,임시동력입.출고현황!$A:$G,E$5,0),)</f>
        <v>Cable</v>
      </c>
      <c r="F726" s="260" t="str">
        <f>IFERROR(VLOOKUP($D726,임시동력입.출고현황!$A:$G,F$5,0),)</f>
        <v>CV Cable</v>
      </c>
      <c r="G726" s="260">
        <f>IFERROR(VLOOKUP($D726,임시동력입.출고현황!$A:$G,G$5,0),)</f>
        <v>0</v>
      </c>
      <c r="H726" s="260" t="str">
        <f>IFERROR(VLOOKUP($D726,임시동력입.출고현황!$A:$G,H$5,0),)</f>
        <v>3C x 2.5mm2</v>
      </c>
      <c r="I726" s="249" t="str">
        <f>IFERROR(VLOOKUP($D726,임시동력입.출고현황!$A:$G,I$5,0),)</f>
        <v>M</v>
      </c>
      <c r="J726" s="249">
        <v>3</v>
      </c>
      <c r="K726" s="250" t="s">
        <v>361</v>
      </c>
      <c r="L726" s="261">
        <v>100</v>
      </c>
      <c r="M726" s="334"/>
      <c r="N726" s="262"/>
    </row>
    <row r="727" spans="1:14" ht="28.2" customHeight="1">
      <c r="A727" s="11">
        <v>722</v>
      </c>
      <c r="B727" s="290">
        <v>722</v>
      </c>
      <c r="C727" s="259">
        <v>46096</v>
      </c>
      <c r="D727" s="249" t="s">
        <v>335</v>
      </c>
      <c r="E727" s="251" t="str">
        <f>IFERROR(VLOOKUP($D727,임시동력입.출고현황!$A:$G,E$5,0),)</f>
        <v>Cable</v>
      </c>
      <c r="F727" s="260" t="str">
        <f>IFERROR(VLOOKUP($D727,임시동력입.출고현황!$A:$G,F$5,0),)</f>
        <v>CV Cable</v>
      </c>
      <c r="G727" s="260">
        <f>IFERROR(VLOOKUP($D727,임시동력입.출고현황!$A:$G,G$5,0),)</f>
        <v>0</v>
      </c>
      <c r="H727" s="260" t="str">
        <f>IFERROR(VLOOKUP($D727,임시동력입.출고현황!$A:$G,H$5,0),)</f>
        <v>3C x 2.5mm2</v>
      </c>
      <c r="I727" s="249" t="str">
        <f>IFERROR(VLOOKUP($D727,임시동력입.출고현황!$A:$G,I$5,0),)</f>
        <v>M</v>
      </c>
      <c r="J727" s="249">
        <v>1</v>
      </c>
      <c r="K727" s="250" t="s">
        <v>352</v>
      </c>
      <c r="L727" s="261">
        <v>100</v>
      </c>
      <c r="M727" s="334"/>
      <c r="N727" s="262"/>
    </row>
    <row r="728" spans="1:14" ht="28.2" customHeight="1">
      <c r="A728" s="11">
        <v>723</v>
      </c>
      <c r="B728" s="290">
        <v>723</v>
      </c>
      <c r="C728" s="259">
        <v>46097</v>
      </c>
      <c r="D728" s="249" t="s">
        <v>348</v>
      </c>
      <c r="E728" s="251" t="str">
        <f>IFERROR(VLOOKUP($D728,임시동력입.출고현황!$A:$G,E$5,0),)</f>
        <v>LTG</v>
      </c>
      <c r="F728" s="260" t="str">
        <f>IFERROR(VLOOKUP($D728,임시동력입.출고현황!$A:$G,F$5,0),)</f>
        <v>Lighting Fixture</v>
      </c>
      <c r="G728" s="260">
        <f>IFERROR(VLOOKUP($D728,임시동력입.출고현황!$A:$G,G$5,0),)</f>
        <v>0</v>
      </c>
      <c r="H728" s="260" t="str">
        <f>IFERROR(VLOOKUP($D728,임시동력입.출고현황!$A:$G,H$5,0),)</f>
        <v>100W</v>
      </c>
      <c r="I728" s="249" t="str">
        <f>IFERROR(VLOOKUP($D728,임시동력입.출고현황!$A:$G,I$5,0),)</f>
        <v>EA</v>
      </c>
      <c r="J728" s="249">
        <v>2</v>
      </c>
      <c r="K728" s="250" t="s">
        <v>360</v>
      </c>
      <c r="L728" s="261">
        <v>5</v>
      </c>
      <c r="M728" s="334"/>
      <c r="N728" s="262"/>
    </row>
    <row r="729" spans="1:14" ht="28.2" customHeight="1">
      <c r="A729" s="11">
        <v>724</v>
      </c>
      <c r="B729" s="290">
        <v>724</v>
      </c>
      <c r="C729" s="259">
        <v>46097</v>
      </c>
      <c r="D729" s="249" t="s">
        <v>335</v>
      </c>
      <c r="E729" s="251" t="str">
        <f>IFERROR(VLOOKUP($D729,임시동력입.출고현황!$A:$G,E$5,0),)</f>
        <v>Cable</v>
      </c>
      <c r="F729" s="260" t="str">
        <f>IFERROR(VLOOKUP($D729,임시동력입.출고현황!$A:$G,F$5,0),)</f>
        <v>CV Cable</v>
      </c>
      <c r="G729" s="260">
        <f>IFERROR(VLOOKUP($D729,임시동력입.출고현황!$A:$G,G$5,0),)</f>
        <v>0</v>
      </c>
      <c r="H729" s="260" t="str">
        <f>IFERROR(VLOOKUP($D729,임시동력입.출고현황!$A:$G,H$5,0),)</f>
        <v>3C x 2.5mm2</v>
      </c>
      <c r="I729" s="249" t="str">
        <f>IFERROR(VLOOKUP($D729,임시동력입.출고현황!$A:$G,I$5,0),)</f>
        <v>M</v>
      </c>
      <c r="J729" s="249">
        <v>2</v>
      </c>
      <c r="K729" s="250" t="s">
        <v>360</v>
      </c>
      <c r="L729" s="261">
        <v>200</v>
      </c>
      <c r="M729" s="334"/>
      <c r="N729" s="262"/>
    </row>
    <row r="730" spans="1:14" ht="28.2" customHeight="1">
      <c r="A730" s="11">
        <v>725</v>
      </c>
      <c r="B730" s="290">
        <v>725</v>
      </c>
      <c r="C730" s="259">
        <v>46097</v>
      </c>
      <c r="D730" s="249" t="s">
        <v>559</v>
      </c>
      <c r="E730" s="251" t="str">
        <f>IFERROR(VLOOKUP($D730,임시동력입.출고현황!$A:$G,E$5,0),)</f>
        <v>Panel</v>
      </c>
      <c r="F730" s="260" t="str">
        <f>IFERROR(VLOOKUP($D730,임시동력입.출고현황!$A:$G,F$5,0),)</f>
        <v>Electrical Panel</v>
      </c>
      <c r="G730" s="260">
        <f>IFERROR(VLOOKUP($D730,임시동력입.출고현황!$A:$G,G$5,0),)</f>
        <v>0</v>
      </c>
      <c r="H730" s="260" t="str">
        <f>IFERROR(VLOOKUP($D730,임시동력입.출고현황!$A:$G,H$5,0),)</f>
        <v>63A</v>
      </c>
      <c r="I730" s="249" t="str">
        <f>IFERROR(VLOOKUP($D730,임시동력입.출고현황!$A:$G,I$5,0),)</f>
        <v>EA</v>
      </c>
      <c r="J730" s="249">
        <v>2</v>
      </c>
      <c r="K730" s="250" t="s">
        <v>360</v>
      </c>
      <c r="L730" s="261">
        <v>0</v>
      </c>
      <c r="M730" s="334"/>
      <c r="N730" s="262" t="s">
        <v>697</v>
      </c>
    </row>
    <row r="731" spans="1:14" ht="28.2" customHeight="1">
      <c r="A731" s="11">
        <v>726</v>
      </c>
      <c r="B731" s="290">
        <v>726</v>
      </c>
      <c r="C731" s="259">
        <v>46099</v>
      </c>
      <c r="D731" s="249" t="s">
        <v>305</v>
      </c>
      <c r="E731" s="251" t="str">
        <f>IFERROR(VLOOKUP($D731,임시동력입.출고현황!$A:$G,E$5,0),)</f>
        <v>Panel</v>
      </c>
      <c r="F731" s="260" t="str">
        <f>IFERROR(VLOOKUP($D731,임시동력입.출고현황!$A:$G,F$5,0),)</f>
        <v>Electrical Panel</v>
      </c>
      <c r="G731" s="260">
        <f>IFERROR(VLOOKUP($D731,임시동력입.출고현황!$A:$G,G$5,0),)</f>
        <v>0</v>
      </c>
      <c r="H731" s="260" t="str">
        <f>IFERROR(VLOOKUP($D731,임시동력입.출고현황!$A:$G,H$5,0),)</f>
        <v>300A</v>
      </c>
      <c r="I731" s="249" t="str">
        <f>IFERROR(VLOOKUP($D731,임시동력입.출고현황!$A:$G,I$5,0),)</f>
        <v>EA</v>
      </c>
      <c r="J731" s="249">
        <v>2</v>
      </c>
      <c r="K731" s="250" t="s">
        <v>360</v>
      </c>
      <c r="L731" s="261">
        <v>1</v>
      </c>
      <c r="M731" s="334"/>
      <c r="N731" s="262"/>
    </row>
    <row r="732" spans="1:14" ht="28.2" customHeight="1">
      <c r="A732" s="11">
        <v>727</v>
      </c>
      <c r="B732" s="290">
        <v>727</v>
      </c>
      <c r="C732" s="259">
        <v>46099</v>
      </c>
      <c r="D732" s="249" t="s">
        <v>565</v>
      </c>
      <c r="E732" s="251" t="str">
        <f>IFERROR(VLOOKUP($D732,임시동력입.출고현황!$A:$G,E$5,0),)</f>
        <v>Cable</v>
      </c>
      <c r="F732" s="260" t="str">
        <f>IFERROR(VLOOKUP($D732,임시동력입.출고현황!$A:$G,F$5,0),)</f>
        <v>AL Cable</v>
      </c>
      <c r="G732" s="260">
        <f>IFERROR(VLOOKUP($D732,임시동력입.출고현황!$A:$G,G$5,0),)</f>
        <v>0</v>
      </c>
      <c r="H732" s="260" t="str">
        <f>IFERROR(VLOOKUP($D732,임시동력입.출고현황!$A:$G,H$5,0),)</f>
        <v>3C x 185+95mm2 [ALU]</v>
      </c>
      <c r="I732" s="249" t="str">
        <f>IFERROR(VLOOKUP($D732,임시동력입.출고현황!$A:$G,I$5,0),)</f>
        <v>M</v>
      </c>
      <c r="J732" s="249">
        <v>2</v>
      </c>
      <c r="K732" s="250" t="s">
        <v>360</v>
      </c>
      <c r="L732" s="261">
        <v>70</v>
      </c>
      <c r="M732" s="334"/>
      <c r="N732" s="262"/>
    </row>
    <row r="733" spans="1:14" ht="28.2" customHeight="1">
      <c r="A733" s="11">
        <v>728</v>
      </c>
      <c r="B733" s="290">
        <v>728</v>
      </c>
      <c r="C733" s="259">
        <v>46099</v>
      </c>
      <c r="D733" s="249" t="s">
        <v>331</v>
      </c>
      <c r="E733" s="251" t="str">
        <f>IFERROR(VLOOKUP($D733,임시동력입.출고현황!$A:$G,E$5,0),)</f>
        <v>Cable</v>
      </c>
      <c r="F733" s="260" t="str">
        <f>IFERROR(VLOOKUP($D733,임시동력입.출고현황!$A:$G,F$5,0),)</f>
        <v>CV Cable</v>
      </c>
      <c r="G733" s="260">
        <f>IFERROR(VLOOKUP($D733,임시동력입.출고현황!$A:$G,G$5,0),)</f>
        <v>0</v>
      </c>
      <c r="H733" s="260" t="str">
        <f>IFERROR(VLOOKUP($D733,임시동력입.출고현황!$A:$G,H$5,0),)</f>
        <v>4C x 6mm2</v>
      </c>
      <c r="I733" s="249" t="str">
        <f>IFERROR(VLOOKUP($D733,임시동력입.출고현황!$A:$G,I$5,0),)</f>
        <v>M</v>
      </c>
      <c r="J733" s="249" t="s">
        <v>557</v>
      </c>
      <c r="K733" s="250"/>
      <c r="L733" s="261">
        <v>50</v>
      </c>
      <c r="M733" s="334"/>
      <c r="N733" s="262"/>
    </row>
    <row r="734" spans="1:14" ht="28.2" customHeight="1">
      <c r="A734" s="11">
        <v>729</v>
      </c>
      <c r="B734" s="290">
        <v>729</v>
      </c>
      <c r="C734" s="129">
        <v>46100</v>
      </c>
      <c r="D734" s="10" t="s">
        <v>555</v>
      </c>
      <c r="E734" s="41" t="str">
        <f>IFERROR(VLOOKUP($D734,임시동력입.출고현황!$A:$G,E$5,0),)</f>
        <v>MCB</v>
      </c>
      <c r="F734" s="19" t="str">
        <f>IFERROR(VLOOKUP($D734,임시동력입.출고현황!$A:$G,F$5,0),)</f>
        <v>MCB</v>
      </c>
      <c r="G734" s="19">
        <f>IFERROR(VLOOKUP($D734,임시동력입.출고현황!$A:$G,G$5,0),)</f>
        <v>0</v>
      </c>
      <c r="H734" s="19" t="str">
        <f>IFERROR(VLOOKUP($D734,임시동력입.출고현황!$A:$G,H$5,0),)</f>
        <v>1P - 16A</v>
      </c>
      <c r="I734" s="10" t="str">
        <f>IFERROR(VLOOKUP($D734,임시동력입.출고현황!$A:$G,I$5,0),)</f>
        <v>EA</v>
      </c>
      <c r="J734" s="10" t="s">
        <v>557</v>
      </c>
      <c r="K734" s="95"/>
      <c r="L734" s="57">
        <v>3</v>
      </c>
      <c r="M734" s="81" t="s">
        <v>696</v>
      </c>
      <c r="N734" s="134"/>
    </row>
    <row r="735" spans="1:14" ht="28.2" customHeight="1">
      <c r="A735" s="11">
        <v>730</v>
      </c>
      <c r="B735" s="290">
        <v>730</v>
      </c>
      <c r="C735" s="129">
        <v>46105</v>
      </c>
      <c r="D735" s="10" t="s">
        <v>342</v>
      </c>
      <c r="E735" s="41" t="str">
        <f>IFERROR(VLOOKUP($D735,임시동력입.출고현황!$A:$G,E$5,0),)</f>
        <v>Cable</v>
      </c>
      <c r="F735" s="19" t="str">
        <f>IFERROR(VLOOKUP($D735,임시동력입.출고현황!$A:$G,F$5,0),)</f>
        <v>Grounding Cable</v>
      </c>
      <c r="G735" s="19">
        <f>IFERROR(VLOOKUP($D735,임시동력입.출고현황!$A:$G,G$5,0),)</f>
        <v>0</v>
      </c>
      <c r="H735" s="19" t="str">
        <f>IFERROR(VLOOKUP($D735,임시동력입.출고현황!$A:$G,H$5,0),)</f>
        <v>1C x 70mm2</v>
      </c>
      <c r="I735" s="10" t="str">
        <f>IFERROR(VLOOKUP($D735,임시동력입.출고현황!$A:$G,I$5,0),)</f>
        <v>M</v>
      </c>
      <c r="J735" s="10" t="s">
        <v>557</v>
      </c>
      <c r="K735" s="95"/>
      <c r="L735" s="57">
        <v>5</v>
      </c>
      <c r="M735" s="81" t="s">
        <v>695</v>
      </c>
      <c r="N735" s="134"/>
    </row>
    <row r="736" spans="1:14" ht="28.2" customHeight="1">
      <c r="A736" s="11">
        <v>731</v>
      </c>
      <c r="B736" s="290">
        <v>731</v>
      </c>
      <c r="C736" s="129">
        <v>46105</v>
      </c>
      <c r="D736" s="10" t="s">
        <v>320</v>
      </c>
      <c r="E736" s="41" t="str">
        <f>IFERROR(VLOOKUP($D736,임시동력입.출고현황!$A:$G,E$5,0),)</f>
        <v>Cable</v>
      </c>
      <c r="F736" s="19" t="str">
        <f>IFERROR(VLOOKUP($D736,임시동력입.출고현황!$A:$G,F$5,0),)</f>
        <v>AL Cable</v>
      </c>
      <c r="G736" s="19">
        <f>IFERROR(VLOOKUP($D736,임시동력입.출고현황!$A:$G,G$5,0),)</f>
        <v>0</v>
      </c>
      <c r="H736" s="19" t="str">
        <f>IFERROR(VLOOKUP($D736,임시동력입.출고현황!$A:$G,H$5,0),)</f>
        <v>3C x 95+50mm2 [ALU]</v>
      </c>
      <c r="I736" s="10" t="str">
        <f>IFERROR(VLOOKUP($D736,임시동력입.출고현황!$A:$G,I$5,0),)</f>
        <v>M</v>
      </c>
      <c r="J736" s="10">
        <v>1</v>
      </c>
      <c r="K736" s="95" t="s">
        <v>352</v>
      </c>
      <c r="L736" s="57">
        <v>50</v>
      </c>
      <c r="M736" s="81" t="s">
        <v>694</v>
      </c>
      <c r="N736" s="134"/>
    </row>
    <row r="737" spans="1:14" ht="28.2" customHeight="1">
      <c r="A737" s="11">
        <v>732</v>
      </c>
      <c r="B737" s="290">
        <v>732</v>
      </c>
      <c r="C737" s="129">
        <v>46105</v>
      </c>
      <c r="D737" s="10" t="s">
        <v>349</v>
      </c>
      <c r="E737" s="41" t="str">
        <f>IFERROR(VLOOKUP($D737,임시동력입.출고현황!$A:$G,E$5,0),)</f>
        <v>LTG</v>
      </c>
      <c r="F737" s="19" t="str">
        <f>IFERROR(VLOOKUP($D737,임시동력입.출고현황!$A:$G,F$5,0),)</f>
        <v>Lighting Fixture</v>
      </c>
      <c r="G737" s="19">
        <f>IFERROR(VLOOKUP($D737,임시동력입.출고현황!$A:$G,G$5,0),)</f>
        <v>0</v>
      </c>
      <c r="H737" s="19" t="str">
        <f>IFERROR(VLOOKUP($D737,임시동력입.출고현황!$A:$G,H$5,0),)</f>
        <v>50W</v>
      </c>
      <c r="I737" s="10" t="str">
        <f>IFERROR(VLOOKUP($D737,임시동력입.출고현황!$A:$G,I$5,0),)</f>
        <v>EA</v>
      </c>
      <c r="J737" s="10" t="s">
        <v>557</v>
      </c>
      <c r="K737" s="95"/>
      <c r="L737" s="57">
        <v>3</v>
      </c>
      <c r="M737" s="81" t="s">
        <v>694</v>
      </c>
      <c r="N737" s="134"/>
    </row>
    <row r="738" spans="1:14" ht="28.2" customHeight="1">
      <c r="A738" s="11">
        <v>733</v>
      </c>
      <c r="B738" s="290">
        <v>733</v>
      </c>
      <c r="C738" s="129">
        <v>46105</v>
      </c>
      <c r="D738" s="10" t="s">
        <v>341</v>
      </c>
      <c r="E738" s="41" t="str">
        <f>IFERROR(VLOOKUP($D738,임시동력입.출고현황!$A:$G,E$5,0),)</f>
        <v>LTG</v>
      </c>
      <c r="F738" s="19" t="str">
        <f>IFERROR(VLOOKUP($D738,임시동력입.출고현황!$A:$G,F$5,0),)</f>
        <v>Lighting Fixture</v>
      </c>
      <c r="G738" s="19">
        <f>IFERROR(VLOOKUP($D738,임시동력입.출고현황!$A:$G,G$5,0),)</f>
        <v>0</v>
      </c>
      <c r="H738" s="19" t="str">
        <f>IFERROR(VLOOKUP($D738,임시동력입.출고현황!$A:$G,H$5,0),)</f>
        <v>400W</v>
      </c>
      <c r="I738" s="10" t="str">
        <f>IFERROR(VLOOKUP($D738,임시동력입.출고현황!$A:$G,I$5,0),)</f>
        <v>EA</v>
      </c>
      <c r="J738" s="10">
        <v>1</v>
      </c>
      <c r="K738" s="95" t="s">
        <v>352</v>
      </c>
      <c r="L738" s="57">
        <v>1</v>
      </c>
      <c r="M738" s="81" t="s">
        <v>694</v>
      </c>
      <c r="N738" s="134"/>
    </row>
    <row r="739" spans="1:14" ht="28.2" customHeight="1">
      <c r="A739" s="11">
        <v>734</v>
      </c>
      <c r="B739" s="290">
        <v>734</v>
      </c>
      <c r="C739" s="129">
        <v>46107</v>
      </c>
      <c r="D739" s="10" t="s">
        <v>347</v>
      </c>
      <c r="E739" s="41" t="str">
        <f>IFERROR(VLOOKUP($D739,임시동력입.출고현황!$A:$G,E$5,0),)</f>
        <v>LTG</v>
      </c>
      <c r="F739" s="19" t="str">
        <f>IFERROR(VLOOKUP($D739,임시동력입.출고현황!$A:$G,F$5,0),)</f>
        <v>Lighting Fixture</v>
      </c>
      <c r="G739" s="19">
        <f>IFERROR(VLOOKUP($D739,임시동력입.출고현황!$A:$G,G$5,0),)</f>
        <v>0</v>
      </c>
      <c r="H739" s="19" t="str">
        <f>IFERROR(VLOOKUP($D739,임시동력입.출고현황!$A:$G,H$5,0),)</f>
        <v>200W</v>
      </c>
      <c r="I739" s="10" t="str">
        <f>IFERROR(VLOOKUP($D739,임시동력입.출고현황!$A:$G,I$5,0),)</f>
        <v>EA</v>
      </c>
      <c r="J739" s="10" t="s">
        <v>607</v>
      </c>
      <c r="K739" s="95" t="s">
        <v>264</v>
      </c>
      <c r="L739" s="57">
        <v>4</v>
      </c>
      <c r="M739" s="81" t="s">
        <v>694</v>
      </c>
      <c r="N739" s="134"/>
    </row>
    <row r="740" spans="1:14" ht="28.2" customHeight="1">
      <c r="A740" s="11">
        <v>735</v>
      </c>
      <c r="B740" s="290">
        <v>735</v>
      </c>
      <c r="C740" s="129">
        <v>46107</v>
      </c>
      <c r="D740" s="10" t="s">
        <v>345</v>
      </c>
      <c r="E740" s="41" t="str">
        <f>IFERROR(VLOOKUP($D740,임시동력입.출고현황!$A:$G,E$5,0),)</f>
        <v>Cable</v>
      </c>
      <c r="F740" s="19" t="str">
        <f>IFERROR(VLOOKUP($D740,임시동력입.출고현황!$A:$G,F$5,0),)</f>
        <v>Grounding Cable</v>
      </c>
      <c r="G740" s="19">
        <f>IFERROR(VLOOKUP($D740,임시동력입.출고현황!$A:$G,G$5,0),)</f>
        <v>0</v>
      </c>
      <c r="H740" s="19" t="str">
        <f>IFERROR(VLOOKUP($D740,임시동력입.출고현황!$A:$G,H$5,0),)</f>
        <v>1C x 16mm2</v>
      </c>
      <c r="I740" s="10" t="str">
        <f>IFERROR(VLOOKUP($D740,임시동력입.출고현황!$A:$G,I$5,0),)</f>
        <v>M</v>
      </c>
      <c r="J740" s="10">
        <v>1</v>
      </c>
      <c r="K740" s="95" t="s">
        <v>352</v>
      </c>
      <c r="L740" s="57">
        <v>10</v>
      </c>
      <c r="M740" s="81" t="s">
        <v>694</v>
      </c>
      <c r="N740" s="134"/>
    </row>
    <row r="741" spans="1:14" ht="28.2" customHeight="1">
      <c r="A741" s="11">
        <v>736</v>
      </c>
      <c r="B741" s="290">
        <v>736</v>
      </c>
      <c r="C741" s="129">
        <v>46107</v>
      </c>
      <c r="D741" s="10" t="s">
        <v>335</v>
      </c>
      <c r="E741" s="41" t="str">
        <f>IFERROR(VLOOKUP($D741,임시동력입.출고현황!$A:$G,E$5,0),)</f>
        <v>Cable</v>
      </c>
      <c r="F741" s="19" t="str">
        <f>IFERROR(VLOOKUP($D741,임시동력입.출고현황!$A:$G,F$5,0),)</f>
        <v>CV Cable</v>
      </c>
      <c r="G741" s="19">
        <f>IFERROR(VLOOKUP($D741,임시동력입.출고현황!$A:$G,G$5,0),)</f>
        <v>0</v>
      </c>
      <c r="H741" s="19" t="str">
        <f>IFERROR(VLOOKUP($D741,임시동력입.출고현황!$A:$G,H$5,0),)</f>
        <v>3C x 2.5mm2</v>
      </c>
      <c r="I741" s="10" t="str">
        <f>IFERROR(VLOOKUP($D741,임시동력입.출고현황!$A:$G,I$5,0),)</f>
        <v>M</v>
      </c>
      <c r="J741" s="10">
        <v>1</v>
      </c>
      <c r="K741" s="95" t="s">
        <v>352</v>
      </c>
      <c r="L741" s="57">
        <v>10</v>
      </c>
      <c r="M741" s="81" t="s">
        <v>694</v>
      </c>
      <c r="N741" s="134"/>
    </row>
    <row r="742" spans="1:14" ht="28.2" customHeight="1">
      <c r="A742" s="11">
        <v>737</v>
      </c>
      <c r="B742" s="290">
        <v>737</v>
      </c>
      <c r="C742" s="129">
        <v>46108</v>
      </c>
      <c r="D742" s="10" t="s">
        <v>342</v>
      </c>
      <c r="E742" s="41" t="str">
        <f>IFERROR(VLOOKUP($D742,임시동력입.출고현황!$A:$G,E$5,0),)</f>
        <v>Cable</v>
      </c>
      <c r="F742" s="19" t="str">
        <f>IFERROR(VLOOKUP($D742,임시동력입.출고현황!$A:$G,F$5,0),)</f>
        <v>Grounding Cable</v>
      </c>
      <c r="G742" s="19">
        <f>IFERROR(VLOOKUP($D742,임시동력입.출고현황!$A:$G,G$5,0),)</f>
        <v>0</v>
      </c>
      <c r="H742" s="19" t="str">
        <f>IFERROR(VLOOKUP($D742,임시동력입.출고현황!$A:$G,H$5,0),)</f>
        <v>1C x 70mm2</v>
      </c>
      <c r="I742" s="10" t="str">
        <f>IFERROR(VLOOKUP($D742,임시동력입.출고현황!$A:$G,I$5,0),)</f>
        <v>M</v>
      </c>
      <c r="J742" s="10">
        <v>1</v>
      </c>
      <c r="K742" s="95" t="s">
        <v>363</v>
      </c>
      <c r="L742" s="57">
        <v>10</v>
      </c>
      <c r="M742" s="81" t="s">
        <v>694</v>
      </c>
      <c r="N742" s="134"/>
    </row>
    <row r="743" spans="1:14" ht="28.2" customHeight="1">
      <c r="A743" s="11">
        <v>738</v>
      </c>
      <c r="B743" s="290">
        <v>738</v>
      </c>
      <c r="C743" s="129">
        <v>46108</v>
      </c>
      <c r="D743" s="10" t="s">
        <v>348</v>
      </c>
      <c r="E743" s="41" t="str">
        <f>IFERROR(VLOOKUP($D743,임시동력입.출고현황!$A:$G,E$5,0),)</f>
        <v>LTG</v>
      </c>
      <c r="F743" s="19" t="str">
        <f>IFERROR(VLOOKUP($D743,임시동력입.출고현황!$A:$G,F$5,0),)</f>
        <v>Lighting Fixture</v>
      </c>
      <c r="G743" s="19">
        <f>IFERROR(VLOOKUP($D743,임시동력입.출고현황!$A:$G,G$5,0),)</f>
        <v>0</v>
      </c>
      <c r="H743" s="19" t="str">
        <f>IFERROR(VLOOKUP($D743,임시동력입.출고현황!$A:$G,H$5,0),)</f>
        <v>100W</v>
      </c>
      <c r="I743" s="10" t="str">
        <f>IFERROR(VLOOKUP($D743,임시동력입.출고현황!$A:$G,I$5,0),)</f>
        <v>EA</v>
      </c>
      <c r="J743" s="10">
        <v>1</v>
      </c>
      <c r="K743" s="95" t="s">
        <v>363</v>
      </c>
      <c r="L743" s="57">
        <v>3</v>
      </c>
      <c r="M743" s="81" t="s">
        <v>694</v>
      </c>
      <c r="N743" s="134"/>
    </row>
    <row r="744" spans="1:14" ht="28.2" customHeight="1">
      <c r="A744" s="11">
        <v>739</v>
      </c>
      <c r="B744" s="290">
        <v>739</v>
      </c>
      <c r="C744" s="129">
        <v>46108</v>
      </c>
      <c r="D744" s="10" t="s">
        <v>347</v>
      </c>
      <c r="E744" s="41" t="str">
        <f>IFERROR(VLOOKUP($D744,임시동력입.출고현황!$A:$G,E$5,0),)</f>
        <v>LTG</v>
      </c>
      <c r="F744" s="19" t="str">
        <f>IFERROR(VLOOKUP($D744,임시동력입.출고현황!$A:$G,F$5,0),)</f>
        <v>Lighting Fixture</v>
      </c>
      <c r="G744" s="19">
        <f>IFERROR(VLOOKUP($D744,임시동력입.출고현황!$A:$G,G$5,0),)</f>
        <v>0</v>
      </c>
      <c r="H744" s="19" t="str">
        <f>IFERROR(VLOOKUP($D744,임시동력입.출고현황!$A:$G,H$5,0),)</f>
        <v>200W</v>
      </c>
      <c r="I744" s="10" t="str">
        <f>IFERROR(VLOOKUP($D744,임시동력입.출고현황!$A:$G,I$5,0),)</f>
        <v>EA</v>
      </c>
      <c r="J744" s="10">
        <v>1</v>
      </c>
      <c r="K744" s="95" t="s">
        <v>363</v>
      </c>
      <c r="L744" s="57">
        <v>1</v>
      </c>
      <c r="M744" s="81" t="s">
        <v>694</v>
      </c>
      <c r="N744" s="134"/>
    </row>
    <row r="745" spans="1:14" ht="28.2" customHeight="1">
      <c r="A745" s="11">
        <v>740</v>
      </c>
      <c r="B745" s="290">
        <v>740</v>
      </c>
      <c r="C745" s="129">
        <v>46108</v>
      </c>
      <c r="D745" s="10" t="s">
        <v>565</v>
      </c>
      <c r="E745" s="41" t="str">
        <f>IFERROR(VLOOKUP($D745,임시동력입.출고현황!$A:$G,E$5,0),)</f>
        <v>Cable</v>
      </c>
      <c r="F745" s="19" t="str">
        <f>IFERROR(VLOOKUP($D745,임시동력입.출고현황!$A:$G,F$5,0),)</f>
        <v>AL Cable</v>
      </c>
      <c r="G745" s="19">
        <f>IFERROR(VLOOKUP($D745,임시동력입.출고현황!$A:$G,G$5,0),)</f>
        <v>0</v>
      </c>
      <c r="H745" s="19" t="str">
        <f>IFERROR(VLOOKUP($D745,임시동력입.출고현황!$A:$G,H$5,0),)</f>
        <v>3C x 185+95mm2 [ALU]</v>
      </c>
      <c r="I745" s="10" t="str">
        <f>IFERROR(VLOOKUP($D745,임시동력입.출고현황!$A:$G,I$5,0),)</f>
        <v>M</v>
      </c>
      <c r="J745" s="10">
        <v>3</v>
      </c>
      <c r="K745" s="95" t="s">
        <v>237</v>
      </c>
      <c r="L745" s="57">
        <v>45</v>
      </c>
      <c r="M745" s="81" t="s">
        <v>696</v>
      </c>
      <c r="N745" s="134"/>
    </row>
    <row r="746" spans="1:14" ht="28.2" customHeight="1">
      <c r="A746" s="11">
        <v>741</v>
      </c>
      <c r="B746" s="290">
        <v>741</v>
      </c>
      <c r="C746" s="129">
        <v>46108</v>
      </c>
      <c r="D746" s="10" t="s">
        <v>304</v>
      </c>
      <c r="E746" s="41" t="str">
        <f>IFERROR(VLOOKUP($D746,임시동력입.출고현황!$A:$G,E$5,0),)</f>
        <v>Panel</v>
      </c>
      <c r="F746" s="19" t="str">
        <f>IFERROR(VLOOKUP($D746,임시동력입.출고현황!$A:$G,F$5,0),)</f>
        <v>Electrical Panel</v>
      </c>
      <c r="G746" s="19">
        <f>IFERROR(VLOOKUP($D746,임시동력입.출고현황!$A:$G,G$5,0),)</f>
        <v>0</v>
      </c>
      <c r="H746" s="19" t="str">
        <f>IFERROR(VLOOKUP($D746,임시동력입.출고현황!$A:$G,H$5,0),)</f>
        <v>400A</v>
      </c>
      <c r="I746" s="10" t="str">
        <f>IFERROR(VLOOKUP($D746,임시동력입.출고현황!$A:$G,I$5,0),)</f>
        <v>EA</v>
      </c>
      <c r="J746" s="10">
        <v>3</v>
      </c>
      <c r="K746" s="95" t="s">
        <v>237</v>
      </c>
      <c r="L746" s="57">
        <v>1</v>
      </c>
      <c r="M746" s="81" t="s">
        <v>696</v>
      </c>
      <c r="N746" s="134"/>
    </row>
    <row r="747" spans="1:14" ht="28.2" customHeight="1">
      <c r="A747" s="11">
        <v>742</v>
      </c>
      <c r="B747" s="290">
        <v>742</v>
      </c>
      <c r="C747" s="129">
        <v>46108</v>
      </c>
      <c r="D747" s="10" t="s">
        <v>330</v>
      </c>
      <c r="E747" s="41" t="str">
        <f>IFERROR(VLOOKUP($D747,임시동력입.출고현황!$A:$G,E$5,0),)</f>
        <v>Cable</v>
      </c>
      <c r="F747" s="19" t="str">
        <f>IFERROR(VLOOKUP($D747,임시동력입.출고현황!$A:$G,F$5,0),)</f>
        <v>CV Cable</v>
      </c>
      <c r="G747" s="19">
        <f>IFERROR(VLOOKUP($D747,임시동력입.출고현황!$A:$G,G$5,0),)</f>
        <v>0</v>
      </c>
      <c r="H747" s="19" t="str">
        <f>IFERROR(VLOOKUP($D747,임시동력입.출고현황!$A:$G,H$5,0),)</f>
        <v>4C x 10mm2</v>
      </c>
      <c r="I747" s="10" t="str">
        <f>IFERROR(VLOOKUP($D747,임시동력입.출고현황!$A:$G,I$5,0),)</f>
        <v>M</v>
      </c>
      <c r="J747" s="10">
        <v>1</v>
      </c>
      <c r="K747" s="95" t="s">
        <v>363</v>
      </c>
      <c r="L747" s="57">
        <v>130</v>
      </c>
      <c r="M747" s="81" t="s">
        <v>696</v>
      </c>
      <c r="N747" s="134"/>
    </row>
    <row r="748" spans="1:14" ht="28.2" customHeight="1">
      <c r="A748" s="11">
        <v>743</v>
      </c>
      <c r="B748" s="290">
        <v>743</v>
      </c>
      <c r="C748" s="129">
        <v>46109</v>
      </c>
      <c r="D748" s="10" t="s">
        <v>349</v>
      </c>
      <c r="E748" s="41" t="str">
        <f>IFERROR(VLOOKUP($D748,임시동력입.출고현황!$A:$G,E$5,0),)</f>
        <v>LTG</v>
      </c>
      <c r="F748" s="19" t="str">
        <f>IFERROR(VLOOKUP($D748,임시동력입.출고현황!$A:$G,F$5,0),)</f>
        <v>Lighting Fixture</v>
      </c>
      <c r="G748" s="19">
        <f>IFERROR(VLOOKUP($D748,임시동력입.출고현황!$A:$G,G$5,0),)</f>
        <v>0</v>
      </c>
      <c r="H748" s="19" t="str">
        <f>IFERROR(VLOOKUP($D748,임시동력입.출고현황!$A:$G,H$5,0),)</f>
        <v>50W</v>
      </c>
      <c r="I748" s="10" t="str">
        <f>IFERROR(VLOOKUP($D748,임시동력입.출고현황!$A:$G,I$5,0),)</f>
        <v>EA</v>
      </c>
      <c r="J748" s="10">
        <v>1</v>
      </c>
      <c r="K748" s="95" t="s">
        <v>363</v>
      </c>
      <c r="L748" s="57">
        <v>9</v>
      </c>
      <c r="M748" s="81" t="s">
        <v>694</v>
      </c>
      <c r="N748" s="134"/>
    </row>
    <row r="749" spans="1:14" ht="28.2" customHeight="1">
      <c r="A749" s="11">
        <v>744</v>
      </c>
      <c r="B749" s="290">
        <v>744</v>
      </c>
      <c r="C749" s="129">
        <v>46109</v>
      </c>
      <c r="D749" s="10" t="s">
        <v>341</v>
      </c>
      <c r="E749" s="41" t="str">
        <f>IFERROR(VLOOKUP($D749,임시동력입.출고현황!$A:$G,E$5,0),)</f>
        <v>LTG</v>
      </c>
      <c r="F749" s="19" t="str">
        <f>IFERROR(VLOOKUP($D749,임시동력입.출고현황!$A:$G,F$5,0),)</f>
        <v>Lighting Fixture</v>
      </c>
      <c r="G749" s="19">
        <f>IFERROR(VLOOKUP($D749,임시동력입.출고현황!$A:$G,G$5,0),)</f>
        <v>0</v>
      </c>
      <c r="H749" s="19" t="str">
        <f>IFERROR(VLOOKUP($D749,임시동력입.출고현황!$A:$G,H$5,0),)</f>
        <v>400W</v>
      </c>
      <c r="I749" s="10" t="str">
        <f>IFERROR(VLOOKUP($D749,임시동력입.출고현황!$A:$G,I$5,0),)</f>
        <v>EA</v>
      </c>
      <c r="J749" s="10">
        <v>1</v>
      </c>
      <c r="K749" s="95" t="s">
        <v>547</v>
      </c>
      <c r="L749" s="57">
        <v>3</v>
      </c>
      <c r="M749" s="81" t="s">
        <v>694</v>
      </c>
      <c r="N749" s="134"/>
    </row>
    <row r="750" spans="1:14" ht="28.2" customHeight="1">
      <c r="A750" s="11">
        <v>745</v>
      </c>
      <c r="B750" s="290">
        <v>745</v>
      </c>
      <c r="C750" s="129">
        <v>46109</v>
      </c>
      <c r="D750" s="10" t="s">
        <v>568</v>
      </c>
      <c r="E750" s="41" t="str">
        <f>IFERROR(VLOOKUP($D750,임시동력입.출고현황!$A:$G,E$5,0),)</f>
        <v>Cable</v>
      </c>
      <c r="F750" s="19" t="str">
        <f>IFERROR(VLOOKUP($D750,임시동력입.출고현황!$A:$G,F$5,0),)</f>
        <v>CV Cable</v>
      </c>
      <c r="G750" s="19">
        <f>IFERROR(VLOOKUP($D750,임시동력입.출고현황!$A:$G,G$5,0),)</f>
        <v>0</v>
      </c>
      <c r="H750" s="19" t="str">
        <f>IFERROR(VLOOKUP($D750,임시동력입.출고현황!$A:$G,H$5,0),)</f>
        <v>4C x 4mm2</v>
      </c>
      <c r="I750" s="10" t="str">
        <f>IFERROR(VLOOKUP($D750,임시동력입.출고현황!$A:$G,I$5,0),)</f>
        <v>M</v>
      </c>
      <c r="J750" s="10">
        <v>1</v>
      </c>
      <c r="K750" s="95" t="s">
        <v>547</v>
      </c>
      <c r="L750" s="57">
        <v>3</v>
      </c>
      <c r="M750" s="81" t="s">
        <v>694</v>
      </c>
      <c r="N750" s="134"/>
    </row>
    <row r="751" spans="1:14" ht="28.2" customHeight="1">
      <c r="A751" s="11">
        <v>746</v>
      </c>
      <c r="B751" s="290">
        <v>746</v>
      </c>
      <c r="C751" s="129">
        <v>46109</v>
      </c>
      <c r="D751" s="10" t="s">
        <v>331</v>
      </c>
      <c r="E751" s="41" t="str">
        <f>IFERROR(VLOOKUP($D751,임시동력입.출고현황!$A:$G,E$5,0),)</f>
        <v>Cable</v>
      </c>
      <c r="F751" s="19" t="str">
        <f>IFERROR(VLOOKUP($D751,임시동력입.출고현황!$A:$G,F$5,0),)</f>
        <v>CV Cable</v>
      </c>
      <c r="G751" s="19">
        <f>IFERROR(VLOOKUP($D751,임시동력입.출고현황!$A:$G,G$5,0),)</f>
        <v>0</v>
      </c>
      <c r="H751" s="19" t="str">
        <f>IFERROR(VLOOKUP($D751,임시동력입.출고현황!$A:$G,H$5,0),)</f>
        <v>4C x 6mm2</v>
      </c>
      <c r="I751" s="10" t="str">
        <f>IFERROR(VLOOKUP($D751,임시동력입.출고현황!$A:$G,I$5,0),)</f>
        <v>M</v>
      </c>
      <c r="J751" s="10">
        <v>2</v>
      </c>
      <c r="K751" s="95" t="s">
        <v>546</v>
      </c>
      <c r="L751" s="57">
        <v>50</v>
      </c>
      <c r="M751" s="81" t="s">
        <v>696</v>
      </c>
      <c r="N751" s="134"/>
    </row>
    <row r="752" spans="1:14" ht="28.2" customHeight="1">
      <c r="A752" s="11">
        <v>747</v>
      </c>
      <c r="B752" s="290">
        <v>747</v>
      </c>
      <c r="C752" s="129">
        <v>46109</v>
      </c>
      <c r="D752" s="10" t="s">
        <v>331</v>
      </c>
      <c r="E752" s="41" t="str">
        <f>IFERROR(VLOOKUP($D752,임시동력입.출고현황!$A:$G,E$5,0),)</f>
        <v>Cable</v>
      </c>
      <c r="F752" s="19" t="str">
        <f>IFERROR(VLOOKUP($D752,임시동력입.출고현황!$A:$G,F$5,0),)</f>
        <v>CV Cable</v>
      </c>
      <c r="G752" s="19">
        <f>IFERROR(VLOOKUP($D752,임시동력입.출고현황!$A:$G,G$5,0),)</f>
        <v>0</v>
      </c>
      <c r="H752" s="19" t="str">
        <f>IFERROR(VLOOKUP($D752,임시동력입.출고현황!$A:$G,H$5,0),)</f>
        <v>4C x 6mm2</v>
      </c>
      <c r="I752" s="10" t="str">
        <f>IFERROR(VLOOKUP($D752,임시동력입.출고현황!$A:$G,I$5,0),)</f>
        <v>M</v>
      </c>
      <c r="J752" s="10">
        <v>3</v>
      </c>
      <c r="K752" s="95" t="s">
        <v>237</v>
      </c>
      <c r="L752" s="57">
        <v>50</v>
      </c>
      <c r="M752" s="81" t="s">
        <v>696</v>
      </c>
      <c r="N752" s="134"/>
    </row>
    <row r="753" spans="1:14" ht="28.2" customHeight="1">
      <c r="A753" s="11">
        <v>748</v>
      </c>
      <c r="B753" s="290">
        <v>748</v>
      </c>
      <c r="C753" s="129">
        <v>46109</v>
      </c>
      <c r="D753" s="10" t="s">
        <v>481</v>
      </c>
      <c r="E753" s="41" t="str">
        <f>IFERROR(VLOOKUP($D753,임시동력입.출고현황!$A:$G,E$5,0),)</f>
        <v>MCB</v>
      </c>
      <c r="F753" s="19" t="str">
        <f>IFERROR(VLOOKUP($D753,임시동력입.출고현황!$A:$G,F$5,0),)</f>
        <v>RCBO</v>
      </c>
      <c r="G753" s="19">
        <f>IFERROR(VLOOKUP($D753,임시동력입.출고현황!$A:$G,G$5,0),)</f>
        <v>0</v>
      </c>
      <c r="H753" s="19" t="str">
        <f>IFERROR(VLOOKUP($D753,임시동력입.출고현황!$A:$G,H$5,0),)</f>
        <v>1P + N -25A - 30 mA</v>
      </c>
      <c r="I753" s="10" t="str">
        <f>IFERROR(VLOOKUP($D753,임시동력입.출고현황!$A:$G,I$5,0),)</f>
        <v>EA</v>
      </c>
      <c r="J753" s="10" t="s">
        <v>607</v>
      </c>
      <c r="K753" s="95"/>
      <c r="L753" s="57">
        <v>3</v>
      </c>
      <c r="M753" s="81" t="s">
        <v>981</v>
      </c>
      <c r="N753" s="134"/>
    </row>
    <row r="754" spans="1:14" ht="28.2" customHeight="1">
      <c r="A754" s="11">
        <v>749</v>
      </c>
      <c r="B754" s="290">
        <v>749</v>
      </c>
      <c r="C754" s="129">
        <v>46109</v>
      </c>
      <c r="D754" s="10" t="s">
        <v>331</v>
      </c>
      <c r="E754" s="41" t="str">
        <f>IFERROR(VLOOKUP($D754,임시동력입.출고현황!$A:$G,E$5,0),)</f>
        <v>Cable</v>
      </c>
      <c r="F754" s="19" t="str">
        <f>IFERROR(VLOOKUP($D754,임시동력입.출고현황!$A:$G,F$5,0),)</f>
        <v>CV Cable</v>
      </c>
      <c r="G754" s="19">
        <f>IFERROR(VLOOKUP($D754,임시동력입.출고현황!$A:$G,G$5,0),)</f>
        <v>0</v>
      </c>
      <c r="H754" s="19" t="str">
        <f>IFERROR(VLOOKUP($D754,임시동력입.출고현황!$A:$G,H$5,0),)</f>
        <v>4C x 6mm2</v>
      </c>
      <c r="I754" s="10" t="str">
        <f>IFERROR(VLOOKUP($D754,임시동력입.출고현황!$A:$G,I$5,0),)</f>
        <v>M</v>
      </c>
      <c r="J754" s="10" t="s">
        <v>607</v>
      </c>
      <c r="K754" s="95"/>
      <c r="L754" s="57">
        <v>10</v>
      </c>
      <c r="M754" s="81" t="s">
        <v>981</v>
      </c>
      <c r="N754" s="134"/>
    </row>
    <row r="755" spans="1:14" ht="28.2" customHeight="1">
      <c r="A755" s="11">
        <v>750</v>
      </c>
      <c r="B755" s="290">
        <v>750</v>
      </c>
      <c r="C755" s="129">
        <v>46109</v>
      </c>
      <c r="D755" s="10" t="s">
        <v>411</v>
      </c>
      <c r="E755" s="41" t="str">
        <f>IFERROR(VLOOKUP($D755,임시동력입.출고현황!$A:$G,E$5,0),)</f>
        <v>Cable</v>
      </c>
      <c r="F755" s="19" t="str">
        <f>IFERROR(VLOOKUP($D755,임시동력입.출고현황!$A:$G,F$5,0),)</f>
        <v>CV Cable</v>
      </c>
      <c r="G755" s="19">
        <f>IFERROR(VLOOKUP($D755,임시동력입.출고현황!$A:$G,G$5,0),)</f>
        <v>0</v>
      </c>
      <c r="H755" s="19" t="str">
        <f>IFERROR(VLOOKUP($D755,임시동력입.출고현황!$A:$G,H$5,0),)</f>
        <v>3C x 3mm2</v>
      </c>
      <c r="I755" s="10" t="str">
        <f>IFERROR(VLOOKUP($D755,임시동력입.출고현황!$A:$G,I$5,0),)</f>
        <v>M</v>
      </c>
      <c r="J755" s="10">
        <v>1</v>
      </c>
      <c r="K755" s="95" t="s">
        <v>545</v>
      </c>
      <c r="L755" s="57">
        <v>75</v>
      </c>
      <c r="M755" s="81" t="s">
        <v>696</v>
      </c>
      <c r="N755" s="134"/>
    </row>
    <row r="756" spans="1:14" ht="28.2" customHeight="1">
      <c r="A756" s="11">
        <v>751</v>
      </c>
      <c r="B756" s="290">
        <v>751</v>
      </c>
      <c r="C756" s="129">
        <v>46110</v>
      </c>
      <c r="D756" s="10" t="s">
        <v>476</v>
      </c>
      <c r="E756" s="41" t="str">
        <f>IFERROR(VLOOKUP($D756,임시동력입.출고현황!$A:$G,E$5,0),)</f>
        <v>MCB</v>
      </c>
      <c r="F756" s="19" t="str">
        <f>IFERROR(VLOOKUP($D756,임시동력입.출고현황!$A:$G,F$5,0),)</f>
        <v>MCB</v>
      </c>
      <c r="G756" s="19">
        <f>IFERROR(VLOOKUP($D756,임시동력입.출고현황!$A:$G,G$5,0),)</f>
        <v>0</v>
      </c>
      <c r="H756" s="19" t="str">
        <f>IFERROR(VLOOKUP($D756,임시동력입.출고현황!$A:$G,H$5,0),)</f>
        <v>1P - 25A</v>
      </c>
      <c r="I756" s="10" t="str">
        <f>IFERROR(VLOOKUP($D756,임시동력입.출고현황!$A:$G,I$5,0),)</f>
        <v>EA</v>
      </c>
      <c r="J756" s="10" t="s">
        <v>607</v>
      </c>
      <c r="K756" s="95"/>
      <c r="L756" s="57">
        <v>3</v>
      </c>
      <c r="M756" s="81" t="s">
        <v>981</v>
      </c>
      <c r="N756" s="134"/>
    </row>
    <row r="757" spans="1:14" ht="28.2" customHeight="1">
      <c r="A757" s="11">
        <v>752</v>
      </c>
      <c r="B757" s="290">
        <v>752</v>
      </c>
      <c r="C757" s="129">
        <v>46111</v>
      </c>
      <c r="D757" s="10" t="s">
        <v>329</v>
      </c>
      <c r="E757" s="41" t="str">
        <f>IFERROR(VLOOKUP($D757,임시동력입.출고현황!$A:$G,E$5,0),)</f>
        <v>Cable</v>
      </c>
      <c r="F757" s="19" t="str">
        <f>IFERROR(VLOOKUP($D757,임시동력입.출고현황!$A:$G,F$5,0),)</f>
        <v>CV Cable</v>
      </c>
      <c r="G757" s="19">
        <f>IFERROR(VLOOKUP($D757,임시동력입.출고현황!$A:$G,G$5,0),)</f>
        <v>0</v>
      </c>
      <c r="H757" s="19" t="str">
        <f>IFERROR(VLOOKUP($D757,임시동력입.출고현황!$A:$G,H$5,0),)</f>
        <v>4C x 16mm2</v>
      </c>
      <c r="I757" s="10" t="str">
        <f>IFERROR(VLOOKUP($D757,임시동력입.출고현황!$A:$G,I$5,0),)</f>
        <v>M</v>
      </c>
      <c r="J757" s="10">
        <v>4</v>
      </c>
      <c r="K757" s="95" t="s">
        <v>351</v>
      </c>
      <c r="L757" s="57">
        <v>110</v>
      </c>
      <c r="M757" s="81" t="s">
        <v>694</v>
      </c>
      <c r="N757" s="134"/>
    </row>
    <row r="758" spans="1:14" ht="28.2" customHeight="1">
      <c r="A758" s="11">
        <v>753</v>
      </c>
      <c r="B758" s="290">
        <v>753</v>
      </c>
      <c r="C758" s="129">
        <v>46111</v>
      </c>
      <c r="D758" s="10" t="s">
        <v>320</v>
      </c>
      <c r="E758" s="41" t="str">
        <f>IFERROR(VLOOKUP($D758,임시동력입.출고현황!$A:$G,E$5,0),)</f>
        <v>Cable</v>
      </c>
      <c r="F758" s="19" t="str">
        <f>IFERROR(VLOOKUP($D758,임시동력입.출고현황!$A:$G,F$5,0),)</f>
        <v>AL Cable</v>
      </c>
      <c r="G758" s="19">
        <f>IFERROR(VLOOKUP($D758,임시동력입.출고현황!$A:$G,G$5,0),)</f>
        <v>0</v>
      </c>
      <c r="H758" s="19" t="str">
        <f>IFERROR(VLOOKUP($D758,임시동력입.출고현황!$A:$G,H$5,0),)</f>
        <v>3C x 95+50mm2 [ALU]</v>
      </c>
      <c r="I758" s="10" t="str">
        <f>IFERROR(VLOOKUP($D758,임시동력입.출고현황!$A:$G,I$5,0),)</f>
        <v>M</v>
      </c>
      <c r="J758" s="10">
        <v>4</v>
      </c>
      <c r="K758" s="95" t="s">
        <v>351</v>
      </c>
      <c r="L758" s="57">
        <v>50</v>
      </c>
      <c r="M758" s="81" t="s">
        <v>694</v>
      </c>
      <c r="N758" s="134"/>
    </row>
    <row r="759" spans="1:14" ht="28.2" customHeight="1">
      <c r="A759" s="11">
        <v>754</v>
      </c>
      <c r="B759" s="290">
        <v>754</v>
      </c>
      <c r="C759" s="129">
        <v>46111</v>
      </c>
      <c r="D759" s="10" t="s">
        <v>306</v>
      </c>
      <c r="E759" s="41" t="str">
        <f>IFERROR(VLOOKUP($D759,임시동력입.출고현황!$A:$G,E$5,0),)</f>
        <v>Panel</v>
      </c>
      <c r="F759" s="19" t="str">
        <f>IFERROR(VLOOKUP($D759,임시동력입.출고현황!$A:$G,F$5,0),)</f>
        <v>Electrical Panel</v>
      </c>
      <c r="G759" s="19">
        <f>IFERROR(VLOOKUP($D759,임시동력입.출고현황!$A:$G,G$5,0),)</f>
        <v>0</v>
      </c>
      <c r="H759" s="19" t="str">
        <f>IFERROR(VLOOKUP($D759,임시동력입.출고현황!$A:$G,H$5,0),)</f>
        <v>250A</v>
      </c>
      <c r="I759" s="10" t="str">
        <f>IFERROR(VLOOKUP($D759,임시동력입.출고현황!$A:$G,I$5,0),)</f>
        <v>EA</v>
      </c>
      <c r="J759" s="10">
        <v>4</v>
      </c>
      <c r="K759" s="95" t="s">
        <v>351</v>
      </c>
      <c r="L759" s="57">
        <v>1</v>
      </c>
      <c r="M759" s="81" t="s">
        <v>694</v>
      </c>
      <c r="N759" s="134"/>
    </row>
    <row r="760" spans="1:14" ht="28.2" customHeight="1">
      <c r="A760" s="11">
        <v>755</v>
      </c>
      <c r="B760" s="290">
        <v>755</v>
      </c>
      <c r="C760" s="129">
        <v>46111</v>
      </c>
      <c r="D760" s="10" t="s">
        <v>307</v>
      </c>
      <c r="E760" s="41" t="str">
        <f>IFERROR(VLOOKUP($D760,임시동력입.출고현황!$A:$G,E$5,0),)</f>
        <v>Panel</v>
      </c>
      <c r="F760" s="19" t="str">
        <f>IFERROR(VLOOKUP($D760,임시동력입.출고현황!$A:$G,F$5,0),)</f>
        <v>Electrical Panel</v>
      </c>
      <c r="G760" s="19">
        <f>IFERROR(VLOOKUP($D760,임시동력입.출고현황!$A:$G,G$5,0),)</f>
        <v>0</v>
      </c>
      <c r="H760" s="19" t="str">
        <f>IFERROR(VLOOKUP($D760,임시동력입.출고현황!$A:$G,H$5,0),)</f>
        <v>160A</v>
      </c>
      <c r="I760" s="10" t="str">
        <f>IFERROR(VLOOKUP($D760,임시동력입.출고현황!$A:$G,I$5,0),)</f>
        <v>EA</v>
      </c>
      <c r="J760" s="10">
        <v>2</v>
      </c>
      <c r="K760" s="95" t="s">
        <v>546</v>
      </c>
      <c r="L760" s="57">
        <v>1</v>
      </c>
      <c r="M760" s="81" t="s">
        <v>694</v>
      </c>
      <c r="N760" s="134"/>
    </row>
    <row r="761" spans="1:14" ht="28.2" customHeight="1">
      <c r="A761" s="11">
        <v>756</v>
      </c>
      <c r="B761" s="290">
        <v>756</v>
      </c>
      <c r="C761" s="129">
        <v>46111</v>
      </c>
      <c r="D761" s="10" t="s">
        <v>322</v>
      </c>
      <c r="E761" s="41" t="str">
        <f>IFERROR(VLOOKUP($D761,임시동력입.출고현황!$A:$G,E$5,0),)</f>
        <v>Cable</v>
      </c>
      <c r="F761" s="19" t="str">
        <f>IFERROR(VLOOKUP($D761,임시동력입.출고현황!$A:$G,F$5,0),)</f>
        <v>AL Cable</v>
      </c>
      <c r="G761" s="19">
        <f>IFERROR(VLOOKUP($D761,임시동력입.출고현황!$A:$G,G$5,0),)</f>
        <v>0</v>
      </c>
      <c r="H761" s="19" t="str">
        <f>IFERROR(VLOOKUP($D761,임시동력입.출고현황!$A:$G,H$5,0),)</f>
        <v>3C x 50+25mm2 [ALU]</v>
      </c>
      <c r="I761" s="10" t="str">
        <f>IFERROR(VLOOKUP($D761,임시동력입.출고현황!$A:$G,I$5,0),)</f>
        <v>M</v>
      </c>
      <c r="J761" s="10">
        <v>2</v>
      </c>
      <c r="K761" s="95" t="s">
        <v>546</v>
      </c>
      <c r="L761" s="57">
        <v>50</v>
      </c>
      <c r="M761" s="81" t="s">
        <v>694</v>
      </c>
      <c r="N761" s="134"/>
    </row>
    <row r="762" spans="1:14" ht="28.2" customHeight="1">
      <c r="A762" s="11">
        <v>757</v>
      </c>
      <c r="B762" s="290">
        <v>757</v>
      </c>
      <c r="C762" s="129">
        <v>46111</v>
      </c>
      <c r="D762" s="10" t="s">
        <v>347</v>
      </c>
      <c r="E762" s="41" t="str">
        <f>IFERROR(VLOOKUP($D762,임시동력입.출고현황!$A:$G,E$5,0),)</f>
        <v>LTG</v>
      </c>
      <c r="F762" s="19" t="str">
        <f>IFERROR(VLOOKUP($D762,임시동력입.출고현황!$A:$G,F$5,0),)</f>
        <v>Lighting Fixture</v>
      </c>
      <c r="G762" s="19">
        <f>IFERROR(VLOOKUP($D762,임시동력입.출고현황!$A:$G,G$5,0),)</f>
        <v>0</v>
      </c>
      <c r="H762" s="19" t="str">
        <f>IFERROR(VLOOKUP($D762,임시동력입.출고현황!$A:$G,H$5,0),)</f>
        <v>200W</v>
      </c>
      <c r="I762" s="10" t="str">
        <f>IFERROR(VLOOKUP($D762,임시동력입.출고현황!$A:$G,I$5,0),)</f>
        <v>EA</v>
      </c>
      <c r="J762" s="10">
        <v>2</v>
      </c>
      <c r="K762" s="95" t="s">
        <v>546</v>
      </c>
      <c r="L762" s="57">
        <v>2</v>
      </c>
      <c r="M762" s="81" t="s">
        <v>696</v>
      </c>
      <c r="N762" s="134"/>
    </row>
    <row r="763" spans="1:14" ht="28.2" customHeight="1">
      <c r="A763" s="11">
        <v>758</v>
      </c>
      <c r="B763" s="290">
        <v>758</v>
      </c>
      <c r="C763" s="129">
        <v>46111</v>
      </c>
      <c r="D763" s="10" t="s">
        <v>487</v>
      </c>
      <c r="E763" s="41" t="str">
        <f>IFERROR(VLOOKUP($D763,임시동력입.출고현황!$A:$G,E$5,0),)</f>
        <v>MCB</v>
      </c>
      <c r="F763" s="19" t="str">
        <f>IFERROR(VLOOKUP($D763,임시동력입.출고현황!$A:$G,F$5,0),)</f>
        <v>MCCB</v>
      </c>
      <c r="G763" s="19">
        <f>IFERROR(VLOOKUP($D763,임시동력입.출고현황!$A:$G,G$5,0),)</f>
        <v>0</v>
      </c>
      <c r="H763" s="19" t="str">
        <f>IFERROR(VLOOKUP($D763,임시동력입.출고현황!$A:$G,H$5,0),)</f>
        <v>250 A ( adj. magnetic)</v>
      </c>
      <c r="I763" s="10" t="str">
        <f>IFERROR(VLOOKUP($D763,임시동력입.출고현황!$A:$G,I$5,0),)</f>
        <v>EA</v>
      </c>
      <c r="J763" s="10"/>
      <c r="K763" s="95" t="s">
        <v>982</v>
      </c>
      <c r="L763" s="57">
        <v>1</v>
      </c>
      <c r="M763" s="81" t="s">
        <v>694</v>
      </c>
      <c r="N763" s="134"/>
    </row>
    <row r="764" spans="1:14" ht="28.2" customHeight="1">
      <c r="A764" s="11">
        <v>759</v>
      </c>
      <c r="B764" s="290">
        <v>759</v>
      </c>
      <c r="C764" s="129">
        <v>46112</v>
      </c>
      <c r="D764" s="10" t="s">
        <v>331</v>
      </c>
      <c r="E764" s="41" t="str">
        <f>IFERROR(VLOOKUP($D764,임시동력입.출고현황!$A:$G,E$5,0),)</f>
        <v>Cable</v>
      </c>
      <c r="F764" s="19" t="str">
        <f>IFERROR(VLOOKUP($D764,임시동력입.출고현황!$A:$G,F$5,0),)</f>
        <v>CV Cable</v>
      </c>
      <c r="G764" s="19">
        <f>IFERROR(VLOOKUP($D764,임시동력입.출고현황!$A:$G,G$5,0),)</f>
        <v>0</v>
      </c>
      <c r="H764" s="19" t="str">
        <f>IFERROR(VLOOKUP($D764,임시동력입.출고현황!$A:$G,H$5,0),)</f>
        <v>4C x 6mm2</v>
      </c>
      <c r="I764" s="10" t="str">
        <f>IFERROR(VLOOKUP($D764,임시동력입.출고현황!$A:$G,I$5,0),)</f>
        <v>M</v>
      </c>
      <c r="J764" s="10" t="s">
        <v>653</v>
      </c>
      <c r="K764" s="95" t="s">
        <v>983</v>
      </c>
      <c r="L764" s="57">
        <v>50</v>
      </c>
      <c r="M764" s="81" t="s">
        <v>694</v>
      </c>
      <c r="N764" s="134"/>
    </row>
    <row r="765" spans="1:14" ht="28.2" customHeight="1">
      <c r="A765" s="11">
        <v>760</v>
      </c>
      <c r="B765" s="290">
        <v>760</v>
      </c>
      <c r="C765" s="259">
        <v>46114</v>
      </c>
      <c r="D765" s="249" t="s">
        <v>559</v>
      </c>
      <c r="E765" s="251" t="str">
        <f>IFERROR(VLOOKUP($D765,임시동력입.출고현황!$A:$G,E$5,0),)</f>
        <v>Panel</v>
      </c>
      <c r="F765" s="260" t="str">
        <f>IFERROR(VLOOKUP($D765,임시동력입.출고현황!$A:$G,F$5,0),)</f>
        <v>Electrical Panel</v>
      </c>
      <c r="G765" s="260">
        <f>IFERROR(VLOOKUP($D765,임시동력입.출고현황!$A:$G,G$5,0),)</f>
        <v>0</v>
      </c>
      <c r="H765" s="260" t="str">
        <f>IFERROR(VLOOKUP($D765,임시동력입.출고현황!$A:$G,H$5,0),)</f>
        <v>63A</v>
      </c>
      <c r="I765" s="249" t="str">
        <f>IFERROR(VLOOKUP($D765,임시동력입.출고현황!$A:$G,I$5,0),)</f>
        <v>EA</v>
      </c>
      <c r="J765" s="249">
        <v>4</v>
      </c>
      <c r="K765" s="250" t="s">
        <v>359</v>
      </c>
      <c r="L765" s="261">
        <v>1</v>
      </c>
      <c r="M765" s="334" t="s">
        <v>696</v>
      </c>
      <c r="N765" s="262"/>
    </row>
    <row r="766" spans="1:14" ht="28.2" customHeight="1">
      <c r="A766" s="11">
        <v>761</v>
      </c>
      <c r="B766" s="290">
        <v>761</v>
      </c>
      <c r="C766" s="259">
        <v>46114</v>
      </c>
      <c r="D766" s="249" t="s">
        <v>307</v>
      </c>
      <c r="E766" s="251" t="str">
        <f>IFERROR(VLOOKUP($D766,임시동력입.출고현황!$A:$G,E$5,0),)</f>
        <v>Panel</v>
      </c>
      <c r="F766" s="260" t="str">
        <f>IFERROR(VLOOKUP($D766,임시동력입.출고현황!$A:$G,F$5,0),)</f>
        <v>Electrical Panel</v>
      </c>
      <c r="G766" s="260">
        <f>IFERROR(VLOOKUP($D766,임시동력입.출고현황!$A:$G,G$5,0),)</f>
        <v>0</v>
      </c>
      <c r="H766" s="260" t="str">
        <f>IFERROR(VLOOKUP($D766,임시동력입.출고현황!$A:$G,H$5,0),)</f>
        <v>160A</v>
      </c>
      <c r="I766" s="249" t="str">
        <f>IFERROR(VLOOKUP($D766,임시동력입.출고현황!$A:$G,I$5,0),)</f>
        <v>EA</v>
      </c>
      <c r="J766" s="249">
        <v>4</v>
      </c>
      <c r="K766" s="250" t="s">
        <v>359</v>
      </c>
      <c r="L766" s="261">
        <v>2</v>
      </c>
      <c r="M766" s="334" t="s">
        <v>696</v>
      </c>
      <c r="N766" s="262"/>
    </row>
    <row r="767" spans="1:14" ht="28.2" customHeight="1">
      <c r="A767" s="11">
        <v>762</v>
      </c>
      <c r="B767" s="290">
        <v>762</v>
      </c>
      <c r="C767" s="259">
        <v>46114</v>
      </c>
      <c r="D767" s="249" t="s">
        <v>322</v>
      </c>
      <c r="E767" s="251" t="str">
        <f>IFERROR(VLOOKUP($D767,임시동력입.출고현황!$A:$G,E$5,0),)</f>
        <v>Cable</v>
      </c>
      <c r="F767" s="260" t="str">
        <f>IFERROR(VLOOKUP($D767,임시동력입.출고현황!$A:$G,F$5,0),)</f>
        <v>AL Cable</v>
      </c>
      <c r="G767" s="260">
        <f>IFERROR(VLOOKUP($D767,임시동력입.출고현황!$A:$G,G$5,0),)</f>
        <v>0</v>
      </c>
      <c r="H767" s="260" t="str">
        <f>IFERROR(VLOOKUP($D767,임시동력입.출고현황!$A:$G,H$5,0),)</f>
        <v>3C x 50+25mm2 [ALU]</v>
      </c>
      <c r="I767" s="249" t="str">
        <f>IFERROR(VLOOKUP($D767,임시동력입.출고현황!$A:$G,I$5,0),)</f>
        <v>M</v>
      </c>
      <c r="J767" s="249">
        <v>4</v>
      </c>
      <c r="K767" s="250" t="s">
        <v>359</v>
      </c>
      <c r="L767" s="258">
        <v>120</v>
      </c>
      <c r="M767" s="334" t="s">
        <v>696</v>
      </c>
      <c r="N767" s="262"/>
    </row>
    <row r="768" spans="1:14" ht="28.2" customHeight="1">
      <c r="A768" s="11">
        <v>763</v>
      </c>
      <c r="B768" s="290">
        <v>763</v>
      </c>
      <c r="C768" s="259">
        <v>46115</v>
      </c>
      <c r="D768" s="249" t="s">
        <v>307</v>
      </c>
      <c r="E768" s="251" t="str">
        <f>IFERROR(VLOOKUP($D768,임시동력입.출고현황!$A:$G,E$5,0),)</f>
        <v>Panel</v>
      </c>
      <c r="F768" s="260" t="str">
        <f>IFERROR(VLOOKUP($D768,임시동력입.출고현황!$A:$G,F$5,0),)</f>
        <v>Electrical Panel</v>
      </c>
      <c r="G768" s="260">
        <f>IFERROR(VLOOKUP($D768,임시동력입.출고현황!$A:$G,G$5,0),)</f>
        <v>0</v>
      </c>
      <c r="H768" s="260" t="str">
        <f>IFERROR(VLOOKUP($D768,임시동력입.출고현황!$A:$G,H$5,0),)</f>
        <v>160A</v>
      </c>
      <c r="I768" s="249" t="str">
        <f>IFERROR(VLOOKUP($D768,임시동력입.출고현황!$A:$G,I$5,0),)</f>
        <v>EA</v>
      </c>
      <c r="J768" s="249">
        <v>1</v>
      </c>
      <c r="K768" s="250" t="s">
        <v>363</v>
      </c>
      <c r="L768" s="261">
        <v>1</v>
      </c>
      <c r="M768" s="334" t="s">
        <v>696</v>
      </c>
      <c r="N768" s="262"/>
    </row>
    <row r="769" spans="1:21" ht="28.2" customHeight="1">
      <c r="A769" s="11">
        <v>764</v>
      </c>
      <c r="B769" s="290">
        <v>764</v>
      </c>
      <c r="C769" s="259">
        <v>46115</v>
      </c>
      <c r="D769" s="249" t="s">
        <v>307</v>
      </c>
      <c r="E769" s="251" t="str">
        <f>IFERROR(VLOOKUP($D769,임시동력입.출고현황!$A:$G,E$5,0),)</f>
        <v>Panel</v>
      </c>
      <c r="F769" s="260" t="str">
        <f>IFERROR(VLOOKUP($D769,임시동력입.출고현황!$A:$G,F$5,0),)</f>
        <v>Electrical Panel</v>
      </c>
      <c r="G769" s="260">
        <f>IFERROR(VLOOKUP($D769,임시동력입.출고현황!$A:$G,G$5,0),)</f>
        <v>0</v>
      </c>
      <c r="H769" s="260" t="str">
        <f>IFERROR(VLOOKUP($D769,임시동력입.출고현황!$A:$G,H$5,0),)</f>
        <v>160A</v>
      </c>
      <c r="I769" s="249" t="str">
        <f>IFERROR(VLOOKUP($D769,임시동력입.출고현황!$A:$G,I$5,0),)</f>
        <v>EA</v>
      </c>
      <c r="J769" s="249">
        <v>4</v>
      </c>
      <c r="K769" s="250" t="s">
        <v>359</v>
      </c>
      <c r="L769" s="261">
        <v>1</v>
      </c>
      <c r="M769" s="334" t="s">
        <v>696</v>
      </c>
      <c r="N769" s="262"/>
    </row>
    <row r="770" spans="1:21" ht="28.2" customHeight="1">
      <c r="A770" s="11">
        <v>765</v>
      </c>
      <c r="B770" s="290">
        <v>765</v>
      </c>
      <c r="C770" s="259">
        <v>46115</v>
      </c>
      <c r="D770" s="249" t="s">
        <v>486</v>
      </c>
      <c r="E770" s="251" t="str">
        <f>IFERROR(VLOOKUP($D770,임시동력입.출고현황!$A:$G,E$5,0),)</f>
        <v>MCB</v>
      </c>
      <c r="F770" s="260" t="str">
        <f>IFERROR(VLOOKUP($D770,임시동력입.출고현황!$A:$G,F$5,0),)</f>
        <v>MCCB</v>
      </c>
      <c r="G770" s="260">
        <f>IFERROR(VLOOKUP($D770,임시동력입.출고현황!$A:$G,G$5,0),)</f>
        <v>0</v>
      </c>
      <c r="H770" s="260" t="str">
        <f>IFERROR(VLOOKUP($D770,임시동력입.출고현황!$A:$G,H$5,0),)</f>
        <v>160 A ( adj. magnetic)</v>
      </c>
      <c r="I770" s="249" t="str">
        <f>IFERROR(VLOOKUP($D770,임시동력입.출고현황!$A:$G,I$5,0),)</f>
        <v>EA</v>
      </c>
      <c r="J770" s="249"/>
      <c r="K770" s="250"/>
      <c r="L770" s="261">
        <v>1</v>
      </c>
      <c r="M770" s="334" t="s">
        <v>696</v>
      </c>
      <c r="N770" s="262"/>
    </row>
    <row r="771" spans="1:21" ht="28.2" customHeight="1">
      <c r="A771" s="11">
        <v>766</v>
      </c>
      <c r="B771" s="290">
        <v>766</v>
      </c>
      <c r="C771" s="259">
        <v>46115</v>
      </c>
      <c r="D771" s="249" t="s">
        <v>329</v>
      </c>
      <c r="E771" s="251" t="str">
        <f>IFERROR(VLOOKUP($D771,임시동력입.출고현황!$A:$G,E$5,0),)</f>
        <v>Cable</v>
      </c>
      <c r="F771" s="260" t="str">
        <f>IFERROR(VLOOKUP($D771,임시동력입.출고현황!$A:$G,F$5,0),)</f>
        <v>CV Cable</v>
      </c>
      <c r="G771" s="260">
        <f>IFERROR(VLOOKUP($D771,임시동력입.출고현황!$A:$G,G$5,0),)</f>
        <v>0</v>
      </c>
      <c r="H771" s="260" t="str">
        <f>IFERROR(VLOOKUP($D771,임시동력입.출고현황!$A:$G,H$5,0),)</f>
        <v>4C x 16mm2</v>
      </c>
      <c r="I771" s="249" t="str">
        <f>IFERROR(VLOOKUP($D771,임시동력입.출고현황!$A:$G,I$5,0),)</f>
        <v>M</v>
      </c>
      <c r="J771" s="249" t="s">
        <v>653</v>
      </c>
      <c r="K771" s="250" t="s">
        <v>983</v>
      </c>
      <c r="L771" s="261">
        <v>60</v>
      </c>
      <c r="M771" s="334" t="s">
        <v>696</v>
      </c>
      <c r="N771" s="262"/>
    </row>
    <row r="772" spans="1:21" ht="28.2" customHeight="1">
      <c r="A772" s="11">
        <v>767</v>
      </c>
      <c r="B772" s="290">
        <v>767</v>
      </c>
      <c r="C772" s="259">
        <v>46115</v>
      </c>
      <c r="D772" s="249" t="s">
        <v>280</v>
      </c>
      <c r="E772" s="251" t="str">
        <f>IFERROR(VLOOKUP($D772,임시동력입.출고현황!$A:$G,E$5,0),)</f>
        <v>D/G</v>
      </c>
      <c r="F772" s="260" t="str">
        <f>IFERROR(VLOOKUP($D772,임시동력입.출고현황!$A:$G,F$5,0),)</f>
        <v>Generator</v>
      </c>
      <c r="G772" s="260">
        <f>IFERROR(VLOOKUP($D772,임시동력입.출고현황!$A:$G,G$5,0),)</f>
        <v>0</v>
      </c>
      <c r="H772" s="260" t="str">
        <f>IFERROR(VLOOKUP($D772,임시동력입.출고현황!$A:$G,H$5,0),)</f>
        <v>300KVA</v>
      </c>
      <c r="I772" s="249" t="str">
        <f>IFERROR(VLOOKUP($D772,임시동력입.출고현황!$A:$G,I$5,0),)</f>
        <v>대</v>
      </c>
      <c r="J772" s="249" t="s">
        <v>607</v>
      </c>
      <c r="K772" s="250"/>
      <c r="L772" s="261">
        <v>1</v>
      </c>
      <c r="M772" s="334" t="s">
        <v>990</v>
      </c>
      <c r="N772" s="262"/>
    </row>
    <row r="773" spans="1:21" ht="28.2" customHeight="1">
      <c r="A773" s="11">
        <v>768</v>
      </c>
      <c r="B773" s="290">
        <v>768</v>
      </c>
      <c r="C773" s="259">
        <v>46116</v>
      </c>
      <c r="D773" s="249" t="s">
        <v>335</v>
      </c>
      <c r="E773" s="251" t="str">
        <f>IFERROR(VLOOKUP($D773,임시동력입.출고현황!$A:$G,E$5,0),)</f>
        <v>Cable</v>
      </c>
      <c r="F773" s="260" t="str">
        <f>IFERROR(VLOOKUP($D773,임시동력입.출고현황!$A:$G,F$5,0),)</f>
        <v>CV Cable</v>
      </c>
      <c r="G773" s="260">
        <f>IFERROR(VLOOKUP($D773,임시동력입.출고현황!$A:$G,G$5,0),)</f>
        <v>0</v>
      </c>
      <c r="H773" s="260" t="str">
        <f>IFERROR(VLOOKUP($D773,임시동력입.출고현황!$A:$G,H$5,0),)</f>
        <v>3C x 2.5mm2</v>
      </c>
      <c r="I773" s="249" t="str">
        <f>IFERROR(VLOOKUP($D773,임시동력입.출고현황!$A:$G,I$5,0),)</f>
        <v>M</v>
      </c>
      <c r="J773" s="249" t="s">
        <v>653</v>
      </c>
      <c r="K773" s="250" t="s">
        <v>983</v>
      </c>
      <c r="L773" s="261">
        <v>50</v>
      </c>
      <c r="M773" s="334" t="s">
        <v>696</v>
      </c>
      <c r="N773" s="262"/>
    </row>
    <row r="774" spans="1:21" ht="28.2" customHeight="1">
      <c r="A774" s="11">
        <v>769</v>
      </c>
      <c r="B774" s="290">
        <v>769</v>
      </c>
      <c r="C774" s="259">
        <v>46117</v>
      </c>
      <c r="D774" s="249" t="s">
        <v>484</v>
      </c>
      <c r="E774" s="251" t="str">
        <f>IFERROR(VLOOKUP($D774,임시동력입.출고현황!$A:$G,E$5,0),)</f>
        <v>MCB</v>
      </c>
      <c r="F774" s="260" t="str">
        <f>IFERROR(VLOOKUP($D774,임시동력입.출고현황!$A:$G,F$5,0),)</f>
        <v>RCCB</v>
      </c>
      <c r="G774" s="260">
        <f>IFERROR(VLOOKUP($D774,임시동력입.출고현황!$A:$G,G$5,0),)</f>
        <v>0</v>
      </c>
      <c r="H774" s="260" t="str">
        <f>IFERROR(VLOOKUP($D774,임시동력입.출고현황!$A:$G,H$5,0),)</f>
        <v>4P - 63A - 30 mA</v>
      </c>
      <c r="I774" s="249" t="str">
        <f>IFERROR(VLOOKUP($D774,임시동력입.출고현황!$A:$G,I$5,0),)</f>
        <v>EA</v>
      </c>
      <c r="J774" s="249">
        <v>2</v>
      </c>
      <c r="K774" s="250" t="s">
        <v>360</v>
      </c>
      <c r="L774" s="261">
        <v>1</v>
      </c>
      <c r="M774" s="334" t="s">
        <v>696</v>
      </c>
      <c r="N774" s="262"/>
    </row>
    <row r="775" spans="1:21" ht="28.2" customHeight="1">
      <c r="A775" s="11">
        <v>770</v>
      </c>
      <c r="B775" s="290">
        <v>770</v>
      </c>
      <c r="C775" s="259">
        <v>46117</v>
      </c>
      <c r="D775" s="249" t="s">
        <v>482</v>
      </c>
      <c r="E775" s="251" t="str">
        <f>IFERROR(VLOOKUP($D775,임시동력입.출고현황!$A:$G,E$5,0),)</f>
        <v>MCB</v>
      </c>
      <c r="F775" s="260" t="str">
        <f>IFERROR(VLOOKUP($D775,임시동력입.출고현황!$A:$G,F$5,0),)</f>
        <v>RCBO</v>
      </c>
      <c r="G775" s="260">
        <f>IFERROR(VLOOKUP($D775,임시동력입.출고현황!$A:$G,G$5,0),)</f>
        <v>0</v>
      </c>
      <c r="H775" s="260" t="str">
        <f>IFERROR(VLOOKUP($D775,임시동력입.출고현황!$A:$G,H$5,0),)</f>
        <v>1P + N -32A - 30 mA</v>
      </c>
      <c r="I775" s="249" t="str">
        <f>IFERROR(VLOOKUP($D775,임시동력입.출고현황!$A:$G,I$5,0),)</f>
        <v>EA</v>
      </c>
      <c r="J775" s="249">
        <v>2</v>
      </c>
      <c r="K775" s="250" t="s">
        <v>360</v>
      </c>
      <c r="L775" s="261">
        <v>1</v>
      </c>
      <c r="M775" s="334" t="s">
        <v>696</v>
      </c>
      <c r="N775" s="262"/>
    </row>
    <row r="776" spans="1:21" ht="28.2" customHeight="1">
      <c r="A776" s="11">
        <v>771</v>
      </c>
      <c r="B776" s="290">
        <v>771</v>
      </c>
      <c r="C776" s="259">
        <v>46117</v>
      </c>
      <c r="D776" s="249" t="s">
        <v>486</v>
      </c>
      <c r="E776" s="251" t="str">
        <f>IFERROR(VLOOKUP($D776,임시동력입.출고현황!$A:$G,E$5,0),)</f>
        <v>MCB</v>
      </c>
      <c r="F776" s="260" t="str">
        <f>IFERROR(VLOOKUP($D776,임시동력입.출고현황!$A:$G,F$5,0),)</f>
        <v>MCCB</v>
      </c>
      <c r="G776" s="260">
        <f>IFERROR(VLOOKUP($D776,임시동력입.출고현황!$A:$G,G$5,0),)</f>
        <v>0</v>
      </c>
      <c r="H776" s="260" t="str">
        <f>IFERROR(VLOOKUP($D776,임시동력입.출고현황!$A:$G,H$5,0),)</f>
        <v>160 A ( adj. magnetic)</v>
      </c>
      <c r="I776" s="249" t="str">
        <f>IFERROR(VLOOKUP($D776,임시동력입.출고현황!$A:$G,I$5,0),)</f>
        <v>EA</v>
      </c>
      <c r="J776" s="249">
        <v>4</v>
      </c>
      <c r="K776" s="250" t="s">
        <v>986</v>
      </c>
      <c r="L776" s="261">
        <v>1</v>
      </c>
      <c r="M776" s="334" t="s">
        <v>696</v>
      </c>
      <c r="N776" s="262"/>
    </row>
    <row r="777" spans="1:21" ht="28.2" customHeight="1">
      <c r="A777" s="11">
        <v>772</v>
      </c>
      <c r="B777" s="290">
        <v>772</v>
      </c>
      <c r="C777" s="259">
        <v>46117</v>
      </c>
      <c r="D777" s="249" t="s">
        <v>558</v>
      </c>
      <c r="E777" s="251" t="str">
        <f>IFERROR(VLOOKUP($D777,임시동력입.출고현황!$A:$G,E$5,0),)</f>
        <v>Other</v>
      </c>
      <c r="F777" s="260" t="str">
        <f>IFERROR(VLOOKUP($D777,임시동력입.출고현황!$A:$G,F$5,0),)</f>
        <v>Indication Lamp</v>
      </c>
      <c r="G777" s="260">
        <f>IFERROR(VLOOKUP($D777,임시동력입.출고현황!$A:$G,G$5,0),)</f>
        <v>0</v>
      </c>
      <c r="H777" s="260" t="str">
        <f>IFERROR(VLOOKUP($D777,임시동력입.출고현황!$A:$G,H$5,0),)</f>
        <v>Red</v>
      </c>
      <c r="I777" s="249" t="str">
        <f>IFERROR(VLOOKUP($D777,임시동력입.출고현황!$A:$G,I$5,0),)</f>
        <v>EA</v>
      </c>
      <c r="J777" s="249" t="s">
        <v>557</v>
      </c>
      <c r="K777" s="250" t="s">
        <v>987</v>
      </c>
      <c r="L777" s="261">
        <v>2</v>
      </c>
      <c r="M777" s="334" t="s">
        <v>696</v>
      </c>
      <c r="N777" s="262"/>
    </row>
    <row r="778" spans="1:21" ht="28.2" customHeight="1">
      <c r="A778" s="11">
        <v>773</v>
      </c>
      <c r="B778" s="290">
        <v>773</v>
      </c>
      <c r="C778" s="259">
        <v>46117</v>
      </c>
      <c r="D778" s="249" t="s">
        <v>478</v>
      </c>
      <c r="E778" s="251" t="str">
        <f>IFERROR(VLOOKUP($D778,임시동력입.출고현황!$A:$G,E$5,0),)</f>
        <v>MCB</v>
      </c>
      <c r="F778" s="260" t="str">
        <f>IFERROR(VLOOKUP($D778,임시동력입.출고현황!$A:$G,F$5,0),)</f>
        <v>MCB</v>
      </c>
      <c r="G778" s="260">
        <f>IFERROR(VLOOKUP($D778,임시동력입.출고현황!$A:$G,G$5,0),)</f>
        <v>0</v>
      </c>
      <c r="H778" s="260" t="str">
        <f>IFERROR(VLOOKUP($D778,임시동력입.출고현황!$A:$G,H$5,0),)</f>
        <v>3P - 32A</v>
      </c>
      <c r="I778" s="249" t="str">
        <f>IFERROR(VLOOKUP($D778,임시동력입.출고현황!$A:$G,I$5,0),)</f>
        <v>EA</v>
      </c>
      <c r="J778" s="249" t="s">
        <v>607</v>
      </c>
      <c r="K778" s="250"/>
      <c r="L778" s="261">
        <v>4</v>
      </c>
      <c r="M778" s="334" t="s">
        <v>696</v>
      </c>
      <c r="N778" s="262"/>
    </row>
    <row r="779" spans="1:21" ht="28.2" customHeight="1">
      <c r="A779" s="11">
        <v>774</v>
      </c>
      <c r="B779" s="290">
        <v>774</v>
      </c>
      <c r="C779" s="259">
        <v>46117</v>
      </c>
      <c r="D779" s="249" t="s">
        <v>568</v>
      </c>
      <c r="E779" s="251" t="str">
        <f>IFERROR(VLOOKUP($D779,임시동력입.출고현황!$A:$G,E$5,0),)</f>
        <v>Cable</v>
      </c>
      <c r="F779" s="260" t="str">
        <f>IFERROR(VLOOKUP($D779,임시동력입.출고현황!$A:$G,F$5,0),)</f>
        <v>CV Cable</v>
      </c>
      <c r="G779" s="260">
        <f>IFERROR(VLOOKUP($D779,임시동력입.출고현황!$A:$G,G$5,0),)</f>
        <v>0</v>
      </c>
      <c r="H779" s="260" t="str">
        <f>IFERROR(VLOOKUP($D779,임시동력입.출고현황!$A:$G,H$5,0),)</f>
        <v>4C x 4mm2</v>
      </c>
      <c r="I779" s="249" t="str">
        <f>IFERROR(VLOOKUP($D779,임시동력입.출고현황!$A:$G,I$5,0),)</f>
        <v>M</v>
      </c>
      <c r="J779" s="249" t="s">
        <v>607</v>
      </c>
      <c r="K779" s="250"/>
      <c r="L779" s="261">
        <v>12</v>
      </c>
      <c r="M779" s="334" t="s">
        <v>696</v>
      </c>
      <c r="N779" s="262"/>
      <c r="U779" s="373"/>
    </row>
    <row r="780" spans="1:21" ht="28.2" customHeight="1">
      <c r="A780" s="11">
        <v>775</v>
      </c>
      <c r="B780" s="290">
        <v>775</v>
      </c>
      <c r="C780" s="259">
        <v>46117</v>
      </c>
      <c r="D780" s="249" t="s">
        <v>511</v>
      </c>
      <c r="E780" s="251" t="str">
        <f>IFERROR(VLOOKUP($D780,임시동력입.출고현황!$A:$G,E$5,0),)</f>
        <v>power plug</v>
      </c>
      <c r="F780" s="260" t="str">
        <f>IFERROR(VLOOKUP($D780,임시동력입.출고현황!$A:$G,F$5,0),)</f>
        <v>Industrial Socket</v>
      </c>
      <c r="G780" s="260">
        <f>IFERROR(VLOOKUP($D780,임시동력입.출고현황!$A:$G,G$5,0),)</f>
        <v>0</v>
      </c>
      <c r="H780" s="260" t="str">
        <f>IFERROR(VLOOKUP($D780,임시동력입.출고현황!$A:$G,H$5,0),)</f>
        <v xml:space="preserve">3P - 16A </v>
      </c>
      <c r="I780" s="249" t="str">
        <f>IFERROR(VLOOKUP($D780,임시동력입.출고현황!$A:$G,I$5,0),)</f>
        <v>EA</v>
      </c>
      <c r="J780" s="249" t="s">
        <v>557</v>
      </c>
      <c r="K780" s="250" t="s">
        <v>987</v>
      </c>
      <c r="L780" s="261">
        <v>50</v>
      </c>
      <c r="M780" s="334" t="s">
        <v>696</v>
      </c>
      <c r="N780" s="262"/>
      <c r="U780" s="373"/>
    </row>
    <row r="781" spans="1:21" ht="28.2" customHeight="1">
      <c r="A781" s="11">
        <v>776</v>
      </c>
      <c r="B781" s="290">
        <v>776</v>
      </c>
      <c r="C781" s="259">
        <v>46117</v>
      </c>
      <c r="D781" s="249" t="s">
        <v>512</v>
      </c>
      <c r="E781" s="251" t="str">
        <f>IFERROR(VLOOKUP($D781,임시동력입.출고현황!$A:$G,E$5,0),)</f>
        <v>power plug</v>
      </c>
      <c r="F781" s="260" t="str">
        <f>IFERROR(VLOOKUP($D781,임시동력입.출고현황!$A:$G,F$5,0),)</f>
        <v>Industrial Socket</v>
      </c>
      <c r="G781" s="260">
        <f>IFERROR(VLOOKUP($D781,임시동력입.출고현황!$A:$G,G$5,0),)</f>
        <v>0</v>
      </c>
      <c r="H781" s="260" t="str">
        <f>IFERROR(VLOOKUP($D781,임시동력입.출고현황!$A:$G,H$5,0),)</f>
        <v>3P - 32A</v>
      </c>
      <c r="I781" s="249" t="str">
        <f>IFERROR(VLOOKUP($D781,임시동력입.출고현황!$A:$G,I$5,0),)</f>
        <v>EA</v>
      </c>
      <c r="J781" s="249" t="s">
        <v>557</v>
      </c>
      <c r="K781" s="250" t="s">
        <v>987</v>
      </c>
      <c r="L781" s="261">
        <v>9</v>
      </c>
      <c r="M781" s="334" t="s">
        <v>696</v>
      </c>
      <c r="N781" s="262"/>
      <c r="U781" s="373"/>
    </row>
    <row r="782" spans="1:21" ht="28.2" customHeight="1">
      <c r="A782" s="11">
        <v>777</v>
      </c>
      <c r="B782" s="290">
        <v>777</v>
      </c>
      <c r="C782" s="259">
        <v>46117</v>
      </c>
      <c r="D782" s="249" t="s">
        <v>513</v>
      </c>
      <c r="E782" s="251" t="str">
        <f>IFERROR(VLOOKUP($D782,임시동력입.출고현황!$A:$G,E$5,0),)</f>
        <v>power plug</v>
      </c>
      <c r="F782" s="260" t="str">
        <f>IFERROR(VLOOKUP($D782,임시동력입.출고현황!$A:$G,F$5,0),)</f>
        <v>Industrial Socket</v>
      </c>
      <c r="G782" s="260">
        <f>IFERROR(VLOOKUP($D782,임시동력입.출고현황!$A:$G,G$5,0),)</f>
        <v>0</v>
      </c>
      <c r="H782" s="260" t="str">
        <f>IFERROR(VLOOKUP($D782,임시동력입.출고현황!$A:$G,H$5,0),)</f>
        <v>5P - 32A</v>
      </c>
      <c r="I782" s="249" t="str">
        <f>IFERROR(VLOOKUP($D782,임시동력입.출고현황!$A:$G,I$5,0),)</f>
        <v>EA</v>
      </c>
      <c r="J782" s="249" t="s">
        <v>557</v>
      </c>
      <c r="K782" s="250" t="s">
        <v>987</v>
      </c>
      <c r="L782" s="261">
        <v>27</v>
      </c>
      <c r="M782" s="334" t="s">
        <v>696</v>
      </c>
      <c r="N782" s="262"/>
      <c r="U782" s="373"/>
    </row>
    <row r="783" spans="1:21" ht="28.2" customHeight="1">
      <c r="A783" s="11">
        <v>778</v>
      </c>
      <c r="B783" s="290">
        <v>778</v>
      </c>
      <c r="C783" s="259">
        <v>46118</v>
      </c>
      <c r="D783" s="263" t="s">
        <v>411</v>
      </c>
      <c r="E783" s="251" t="str">
        <f>IFERROR(VLOOKUP($D783,임시동력입.출고현황!$A:$G,E$5,0),)</f>
        <v>Cable</v>
      </c>
      <c r="F783" s="260" t="str">
        <f>IFERROR(VLOOKUP($D783,임시동력입.출고현황!$A:$G,F$5,0),)</f>
        <v>CV Cable</v>
      </c>
      <c r="G783" s="260">
        <f>IFERROR(VLOOKUP($D783,임시동력입.출고현황!$A:$G,G$5,0),)</f>
        <v>0</v>
      </c>
      <c r="H783" s="260" t="str">
        <f>IFERROR(VLOOKUP($D783,임시동력입.출고현황!$A:$G,H$5,0),)</f>
        <v>3C x 3mm2</v>
      </c>
      <c r="I783" s="249" t="str">
        <f>IFERROR(VLOOKUP($D783,임시동력입.출고현황!$A:$G,I$5,0),)</f>
        <v>M</v>
      </c>
      <c r="J783" s="249" t="s">
        <v>557</v>
      </c>
      <c r="K783" s="250" t="s">
        <v>988</v>
      </c>
      <c r="L783" s="261">
        <v>8</v>
      </c>
      <c r="M783" s="334" t="s">
        <v>696</v>
      </c>
      <c r="N783" s="262"/>
      <c r="U783" s="373"/>
    </row>
    <row r="784" spans="1:21" ht="28.2" customHeight="1">
      <c r="A784" s="11">
        <v>779</v>
      </c>
      <c r="B784" s="290">
        <v>779</v>
      </c>
      <c r="C784" s="259">
        <v>46118</v>
      </c>
      <c r="D784" s="249" t="s">
        <v>568</v>
      </c>
      <c r="E784" s="251" t="str">
        <f>IFERROR(VLOOKUP($D784,임시동력입.출고현황!$A:$G,E$5,0),)</f>
        <v>Cable</v>
      </c>
      <c r="F784" s="260" t="str">
        <f>IFERROR(VLOOKUP($D784,임시동력입.출고현황!$A:$G,F$5,0),)</f>
        <v>CV Cable</v>
      </c>
      <c r="G784" s="260">
        <f>IFERROR(VLOOKUP($D784,임시동력입.출고현황!$A:$G,G$5,0),)</f>
        <v>0</v>
      </c>
      <c r="H784" s="260" t="str">
        <f>IFERROR(VLOOKUP($D784,임시동력입.출고현황!$A:$G,H$5,0),)</f>
        <v>4C x 4mm2</v>
      </c>
      <c r="I784" s="249" t="str">
        <f>IFERROR(VLOOKUP($D784,임시동력입.출고현황!$A:$G,I$5,0),)</f>
        <v>M</v>
      </c>
      <c r="J784" s="249" t="s">
        <v>557</v>
      </c>
      <c r="K784" s="250" t="s">
        <v>988</v>
      </c>
      <c r="L784" s="261">
        <v>3</v>
      </c>
      <c r="M784" s="334" t="s">
        <v>696</v>
      </c>
      <c r="N784" s="262"/>
      <c r="U784" s="373"/>
    </row>
    <row r="785" spans="1:21" ht="28.2" customHeight="1">
      <c r="A785" s="11">
        <v>780</v>
      </c>
      <c r="B785" s="290">
        <v>780</v>
      </c>
      <c r="C785" s="259">
        <v>46118</v>
      </c>
      <c r="D785" s="249" t="s">
        <v>331</v>
      </c>
      <c r="E785" s="251" t="str">
        <f>IFERROR(VLOOKUP($D785,임시동력입.출고현황!$A:$G,E$5,0),)</f>
        <v>Cable</v>
      </c>
      <c r="F785" s="260" t="str">
        <f>IFERROR(VLOOKUP($D785,임시동력입.출고현황!$A:$G,F$5,0),)</f>
        <v>CV Cable</v>
      </c>
      <c r="G785" s="260">
        <f>IFERROR(VLOOKUP($D785,임시동력입.출고현황!$A:$G,G$5,0),)</f>
        <v>0</v>
      </c>
      <c r="H785" s="260" t="str">
        <f>IFERROR(VLOOKUP($D785,임시동력입.출고현황!$A:$G,H$5,0),)</f>
        <v>4C x 6mm2</v>
      </c>
      <c r="I785" s="249" t="str">
        <f>IFERROR(VLOOKUP($D785,임시동력입.출고현황!$A:$G,I$5,0),)</f>
        <v>M</v>
      </c>
      <c r="J785" s="249">
        <v>4</v>
      </c>
      <c r="K785" s="250" t="s">
        <v>359</v>
      </c>
      <c r="L785" s="261">
        <v>50</v>
      </c>
      <c r="M785" s="334" t="s">
        <v>696</v>
      </c>
      <c r="N785" s="262"/>
      <c r="U785" s="373"/>
    </row>
    <row r="786" spans="1:21" ht="28.2" customHeight="1">
      <c r="A786" s="11">
        <v>781</v>
      </c>
      <c r="B786" s="290">
        <v>781</v>
      </c>
      <c r="C786" s="259">
        <v>46118</v>
      </c>
      <c r="D786" s="249" t="s">
        <v>335</v>
      </c>
      <c r="E786" s="251" t="str">
        <f>IFERROR(VLOOKUP($D786,임시동력입.출고현황!$A:$G,E$5,0),)</f>
        <v>Cable</v>
      </c>
      <c r="F786" s="260" t="str">
        <f>IFERROR(VLOOKUP($D786,임시동력입.출고현황!$A:$G,F$5,0),)</f>
        <v>CV Cable</v>
      </c>
      <c r="G786" s="260">
        <f>IFERROR(VLOOKUP($D786,임시동력입.출고현황!$A:$G,G$5,0),)</f>
        <v>0</v>
      </c>
      <c r="H786" s="260" t="str">
        <f>IFERROR(VLOOKUP($D786,임시동력입.출고현황!$A:$G,H$5,0),)</f>
        <v>3C x 2.5mm2</v>
      </c>
      <c r="I786" s="249" t="str">
        <f>IFERROR(VLOOKUP($D786,임시동력입.출고현황!$A:$G,I$5,0),)</f>
        <v>M</v>
      </c>
      <c r="J786" s="249">
        <v>4</v>
      </c>
      <c r="K786" s="250" t="s">
        <v>359</v>
      </c>
      <c r="L786" s="261">
        <v>50</v>
      </c>
      <c r="M786" s="334" t="s">
        <v>696</v>
      </c>
      <c r="N786" s="262"/>
      <c r="U786" s="373"/>
    </row>
    <row r="787" spans="1:21" ht="28.2" customHeight="1">
      <c r="A787" s="11">
        <v>782</v>
      </c>
      <c r="B787" s="290">
        <v>782</v>
      </c>
      <c r="C787" s="259">
        <v>46118</v>
      </c>
      <c r="D787" s="249" t="s">
        <v>341</v>
      </c>
      <c r="E787" s="251" t="str">
        <f>IFERROR(VLOOKUP($D787,임시동력입.출고현황!$A:$G,E$5,0),)</f>
        <v>LTG</v>
      </c>
      <c r="F787" s="260" t="str">
        <f>IFERROR(VLOOKUP($D787,임시동력입.출고현황!$A:$G,F$5,0),)</f>
        <v>Lighting Fixture</v>
      </c>
      <c r="G787" s="260">
        <f>IFERROR(VLOOKUP($D787,임시동력입.출고현황!$A:$G,G$5,0),)</f>
        <v>0</v>
      </c>
      <c r="H787" s="260" t="str">
        <f>IFERROR(VLOOKUP($D787,임시동력입.출고현황!$A:$G,H$5,0),)</f>
        <v>400W</v>
      </c>
      <c r="I787" s="249" t="str">
        <f>IFERROR(VLOOKUP($D787,임시동력입.출고현황!$A:$G,I$5,0),)</f>
        <v>EA</v>
      </c>
      <c r="J787" s="249">
        <v>1</v>
      </c>
      <c r="K787" s="250" t="s">
        <v>352</v>
      </c>
      <c r="L787" s="261">
        <v>6</v>
      </c>
      <c r="M787" s="334" t="s">
        <v>696</v>
      </c>
      <c r="N787" s="262"/>
      <c r="U787" s="373"/>
    </row>
    <row r="788" spans="1:21" ht="28.2" customHeight="1">
      <c r="A788" s="11">
        <v>783</v>
      </c>
      <c r="B788" s="290">
        <v>783</v>
      </c>
      <c r="C788" s="259">
        <v>46118</v>
      </c>
      <c r="D788" s="249" t="s">
        <v>487</v>
      </c>
      <c r="E788" s="251" t="str">
        <f>IFERROR(VLOOKUP($D788,임시동력입.출고현황!$A:$G,E$5,0),)</f>
        <v>MCB</v>
      </c>
      <c r="F788" s="260" t="str">
        <f>IFERROR(VLOOKUP($D788,임시동력입.출고현황!$A:$G,F$5,0),)</f>
        <v>MCCB</v>
      </c>
      <c r="G788" s="260">
        <f>IFERROR(VLOOKUP($D788,임시동력입.출고현황!$A:$G,G$5,0),)</f>
        <v>0</v>
      </c>
      <c r="H788" s="260" t="str">
        <f>IFERROR(VLOOKUP($D788,임시동력입.출고현황!$A:$G,H$5,0),)</f>
        <v>250 A ( adj. magnetic)</v>
      </c>
      <c r="I788" s="249" t="str">
        <f>IFERROR(VLOOKUP($D788,임시동력입.출고현황!$A:$G,I$5,0),)</f>
        <v>EA</v>
      </c>
      <c r="J788" s="249">
        <v>4</v>
      </c>
      <c r="K788" s="250" t="s">
        <v>359</v>
      </c>
      <c r="L788" s="261">
        <v>1</v>
      </c>
      <c r="M788" s="334" t="s">
        <v>696</v>
      </c>
      <c r="N788" s="262"/>
      <c r="U788" s="373"/>
    </row>
    <row r="789" spans="1:21" ht="28.2" customHeight="1">
      <c r="A789" s="11">
        <v>784</v>
      </c>
      <c r="B789" s="290">
        <v>784</v>
      </c>
      <c r="C789" s="259">
        <v>46119</v>
      </c>
      <c r="D789" s="249" t="s">
        <v>330</v>
      </c>
      <c r="E789" s="251" t="str">
        <f>IFERROR(VLOOKUP($D789,임시동력입.출고현황!$A:$G,E$5,0),)</f>
        <v>Cable</v>
      </c>
      <c r="F789" s="260" t="str">
        <f>IFERROR(VLOOKUP($D789,임시동력입.출고현황!$A:$G,F$5,0),)</f>
        <v>CV Cable</v>
      </c>
      <c r="G789" s="260">
        <f>IFERROR(VLOOKUP($D789,임시동력입.출고현황!$A:$G,G$5,0),)</f>
        <v>0</v>
      </c>
      <c r="H789" s="260" t="str">
        <f>IFERROR(VLOOKUP($D789,임시동력입.출고현황!$A:$G,H$5,0),)</f>
        <v>4C x 10mm2</v>
      </c>
      <c r="I789" s="249" t="str">
        <f>IFERROR(VLOOKUP($D789,임시동력입.출고현황!$A:$G,I$5,0),)</f>
        <v>M</v>
      </c>
      <c r="J789" s="249"/>
      <c r="K789" s="250"/>
      <c r="L789" s="261">
        <v>15</v>
      </c>
      <c r="M789" s="334" t="s">
        <v>696</v>
      </c>
      <c r="N789" s="262"/>
      <c r="U789" s="373"/>
    </row>
    <row r="790" spans="1:21" ht="28.2" customHeight="1">
      <c r="A790" s="11">
        <v>785</v>
      </c>
      <c r="B790" s="290">
        <v>785</v>
      </c>
      <c r="C790" s="259">
        <v>46119</v>
      </c>
      <c r="D790" s="249" t="s">
        <v>335</v>
      </c>
      <c r="E790" s="251" t="str">
        <f>IFERROR(VLOOKUP($D790,임시동력입.출고현황!$A:$G,E$5,0),)</f>
        <v>Cable</v>
      </c>
      <c r="F790" s="260" t="str">
        <f>IFERROR(VLOOKUP($D790,임시동력입.출고현황!$A:$G,F$5,0),)</f>
        <v>CV Cable</v>
      </c>
      <c r="G790" s="260">
        <f>IFERROR(VLOOKUP($D790,임시동력입.출고현황!$A:$G,G$5,0),)</f>
        <v>0</v>
      </c>
      <c r="H790" s="260" t="str">
        <f>IFERROR(VLOOKUP($D790,임시동력입.출고현황!$A:$G,H$5,0),)</f>
        <v>3C x 2.5mm2</v>
      </c>
      <c r="I790" s="249" t="str">
        <f>IFERROR(VLOOKUP($D790,임시동력입.출고현황!$A:$G,I$5,0),)</f>
        <v>M</v>
      </c>
      <c r="J790" s="249"/>
      <c r="K790" s="250"/>
      <c r="L790" s="261">
        <v>10</v>
      </c>
      <c r="M790" s="334" t="s">
        <v>696</v>
      </c>
      <c r="N790" s="262"/>
      <c r="U790" s="373"/>
    </row>
    <row r="791" spans="1:21" ht="28.2" customHeight="1">
      <c r="A791" s="11">
        <v>786</v>
      </c>
      <c r="B791" s="290">
        <v>786</v>
      </c>
      <c r="C791" s="259">
        <v>46119</v>
      </c>
      <c r="D791" s="249" t="s">
        <v>559</v>
      </c>
      <c r="E791" s="251" t="str">
        <f>IFERROR(VLOOKUP($D791,임시동력입.출고현황!$A:$G,E$5,0),)</f>
        <v>Panel</v>
      </c>
      <c r="F791" s="260" t="str">
        <f>IFERROR(VLOOKUP($D791,임시동력입.출고현황!$A:$G,F$5,0),)</f>
        <v>Electrical Panel</v>
      </c>
      <c r="G791" s="260">
        <f>IFERROR(VLOOKUP($D791,임시동력입.출고현황!$A:$G,G$5,0),)</f>
        <v>0</v>
      </c>
      <c r="H791" s="260" t="str">
        <f>IFERROR(VLOOKUP($D791,임시동력입.출고현황!$A:$G,H$5,0),)</f>
        <v>63A</v>
      </c>
      <c r="I791" s="249" t="str">
        <f>IFERROR(VLOOKUP($D791,임시동력입.출고현황!$A:$G,I$5,0),)</f>
        <v>EA</v>
      </c>
      <c r="J791" s="249"/>
      <c r="K791" s="387" t="s">
        <v>352</v>
      </c>
      <c r="L791" s="261">
        <v>1</v>
      </c>
      <c r="M791" s="334" t="s">
        <v>696</v>
      </c>
      <c r="N791" s="262"/>
      <c r="U791" s="373"/>
    </row>
    <row r="792" spans="1:21" ht="28.2" customHeight="1">
      <c r="A792" s="11">
        <v>787</v>
      </c>
      <c r="B792" s="290">
        <v>787</v>
      </c>
      <c r="C792" s="259">
        <v>46119</v>
      </c>
      <c r="D792" s="249" t="s">
        <v>559</v>
      </c>
      <c r="E792" s="251" t="str">
        <f>IFERROR(VLOOKUP($D792,임시동력입.출고현황!$A:$G,E$5,0),)</f>
        <v>Panel</v>
      </c>
      <c r="F792" s="260" t="str">
        <f>IFERROR(VLOOKUP($D792,임시동력입.출고현황!$A:$G,F$5,0),)</f>
        <v>Electrical Panel</v>
      </c>
      <c r="G792" s="260">
        <f>IFERROR(VLOOKUP($D792,임시동력입.출고현황!$A:$G,G$5,0),)</f>
        <v>0</v>
      </c>
      <c r="H792" s="260" t="str">
        <f>IFERROR(VLOOKUP($D792,임시동력입.출고현황!$A:$G,H$5,0),)</f>
        <v>63A</v>
      </c>
      <c r="I792" s="249" t="str">
        <f>IFERROR(VLOOKUP($D792,임시동력입.출고현황!$A:$G,I$5,0),)</f>
        <v>EA</v>
      </c>
      <c r="J792" s="249"/>
      <c r="K792" s="387" t="s">
        <v>360</v>
      </c>
      <c r="L792" s="261">
        <v>1</v>
      </c>
      <c r="M792" s="334" t="s">
        <v>696</v>
      </c>
      <c r="N792" s="262"/>
      <c r="U792" s="373"/>
    </row>
    <row r="793" spans="1:21" ht="28.2" customHeight="1">
      <c r="A793" s="11">
        <v>788</v>
      </c>
      <c r="B793" s="290">
        <v>788</v>
      </c>
      <c r="C793" s="259">
        <v>46119</v>
      </c>
      <c r="D793" s="249" t="s">
        <v>479</v>
      </c>
      <c r="E793" s="251" t="str">
        <f>IFERROR(VLOOKUP($D793,임시동력입.출고현황!$A:$G,E$5,0),)</f>
        <v>MCB</v>
      </c>
      <c r="F793" s="260" t="str">
        <f>IFERROR(VLOOKUP($D793,임시동력입.출고현황!$A:$G,F$5,0),)</f>
        <v>MCB</v>
      </c>
      <c r="G793" s="260">
        <f>IFERROR(VLOOKUP($D793,임시동력입.출고현황!$A:$G,G$5,0),)</f>
        <v>0</v>
      </c>
      <c r="H793" s="260" t="str">
        <f>IFERROR(VLOOKUP($D793,임시동력입.출고현황!$A:$G,H$5,0),)</f>
        <v>3P - 63A</v>
      </c>
      <c r="I793" s="249" t="str">
        <f>IFERROR(VLOOKUP($D793,임시동력입.출고현황!$A:$G,I$5,0),)</f>
        <v>EA</v>
      </c>
      <c r="J793" s="249"/>
      <c r="K793" s="387" t="s">
        <v>352</v>
      </c>
      <c r="L793" s="261">
        <v>1</v>
      </c>
      <c r="M793" s="334" t="s">
        <v>696</v>
      </c>
      <c r="N793" s="262"/>
      <c r="U793" s="373"/>
    </row>
    <row r="794" spans="1:21" ht="28.2" customHeight="1">
      <c r="A794" s="11">
        <v>789</v>
      </c>
      <c r="B794" s="290">
        <v>789</v>
      </c>
      <c r="C794" s="259">
        <v>46119</v>
      </c>
      <c r="D794" s="249" t="s">
        <v>479</v>
      </c>
      <c r="E794" s="251" t="str">
        <f>IFERROR(VLOOKUP($D794,임시동력입.출고현황!$A:$G,E$5,0),)</f>
        <v>MCB</v>
      </c>
      <c r="F794" s="260" t="str">
        <f>IFERROR(VLOOKUP($D794,임시동력입.출고현황!$A:$G,F$5,0),)</f>
        <v>MCB</v>
      </c>
      <c r="G794" s="260">
        <f>IFERROR(VLOOKUP($D794,임시동력입.출고현황!$A:$G,G$5,0),)</f>
        <v>0</v>
      </c>
      <c r="H794" s="260" t="str">
        <f>IFERROR(VLOOKUP($D794,임시동력입.출고현황!$A:$G,H$5,0),)</f>
        <v>3P - 63A</v>
      </c>
      <c r="I794" s="249" t="str">
        <f>IFERROR(VLOOKUP($D794,임시동력입.출고현황!$A:$G,I$5,0),)</f>
        <v>EA</v>
      </c>
      <c r="J794" s="249"/>
      <c r="K794" s="250" t="s">
        <v>360</v>
      </c>
      <c r="L794" s="261">
        <v>1</v>
      </c>
      <c r="M794" s="334" t="s">
        <v>696</v>
      </c>
      <c r="N794" s="262"/>
      <c r="U794" s="373"/>
    </row>
    <row r="795" spans="1:21" ht="28.2" customHeight="1">
      <c r="A795" s="11">
        <v>790</v>
      </c>
      <c r="B795" s="290">
        <v>790</v>
      </c>
      <c r="C795" s="259">
        <v>46119</v>
      </c>
      <c r="D795" s="249" t="s">
        <v>568</v>
      </c>
      <c r="E795" s="251" t="str">
        <f>IFERROR(VLOOKUP($D795,임시동력입.출고현황!$A:$G,E$5,0),)</f>
        <v>Cable</v>
      </c>
      <c r="F795" s="260" t="str">
        <f>IFERROR(VLOOKUP($D795,임시동력입.출고현황!$A:$G,F$5,0),)</f>
        <v>CV Cable</v>
      </c>
      <c r="G795" s="260">
        <f>IFERROR(VLOOKUP($D795,임시동력입.출고현황!$A:$G,G$5,0),)</f>
        <v>0</v>
      </c>
      <c r="H795" s="260" t="str">
        <f>IFERROR(VLOOKUP($D795,임시동력입.출고현황!$A:$G,H$5,0),)</f>
        <v>4C x 4mm2</v>
      </c>
      <c r="I795" s="249" t="str">
        <f>IFERROR(VLOOKUP($D795,임시동력입.출고현황!$A:$G,I$5,0),)</f>
        <v>M</v>
      </c>
      <c r="J795" s="249"/>
      <c r="K795" s="250"/>
      <c r="L795" s="261">
        <v>8</v>
      </c>
      <c r="M795" s="334" t="s">
        <v>696</v>
      </c>
      <c r="N795" s="262"/>
      <c r="U795" s="373"/>
    </row>
    <row r="796" spans="1:21" ht="28.2" customHeight="1">
      <c r="A796" s="11">
        <v>791</v>
      </c>
      <c r="B796" s="290">
        <v>791</v>
      </c>
      <c r="C796" s="259">
        <v>46119</v>
      </c>
      <c r="D796" s="249" t="s">
        <v>479</v>
      </c>
      <c r="E796" s="251" t="str">
        <f>IFERROR(VLOOKUP($D796,임시동력입.출고현황!$A:$G,E$5,0),)</f>
        <v>MCB</v>
      </c>
      <c r="F796" s="260" t="str">
        <f>IFERROR(VLOOKUP($D796,임시동력입.출고현황!$A:$G,F$5,0),)</f>
        <v>MCB</v>
      </c>
      <c r="G796" s="260">
        <f>IFERROR(VLOOKUP($D796,임시동력입.출고현황!$A:$G,G$5,0),)</f>
        <v>0</v>
      </c>
      <c r="H796" s="260" t="str">
        <f>IFERROR(VLOOKUP($D796,임시동력입.출고현황!$A:$G,H$5,0),)</f>
        <v>3P - 63A</v>
      </c>
      <c r="I796" s="249" t="str">
        <f>IFERROR(VLOOKUP($D796,임시동력입.출고현황!$A:$G,I$5,0),)</f>
        <v>EA</v>
      </c>
      <c r="J796" s="249">
        <v>3</v>
      </c>
      <c r="K796" s="250" t="s">
        <v>237</v>
      </c>
      <c r="L796" s="261">
        <v>1</v>
      </c>
      <c r="M796" s="334" t="s">
        <v>696</v>
      </c>
      <c r="N796" s="262"/>
      <c r="U796" s="373"/>
    </row>
    <row r="797" spans="1:21" ht="28.2" customHeight="1">
      <c r="A797" s="11">
        <v>792</v>
      </c>
      <c r="B797" s="290">
        <v>792</v>
      </c>
      <c r="C797" s="259">
        <v>46119</v>
      </c>
      <c r="D797" s="249" t="s">
        <v>479</v>
      </c>
      <c r="E797" s="251" t="str">
        <f>IFERROR(VLOOKUP($D797,임시동력입.출고현황!$A:$G,E$5,0),)</f>
        <v>MCB</v>
      </c>
      <c r="F797" s="260" t="str">
        <f>IFERROR(VLOOKUP($D797,임시동력입.출고현황!$A:$G,F$5,0),)</f>
        <v>MCB</v>
      </c>
      <c r="G797" s="260">
        <f>IFERROR(VLOOKUP($D797,임시동력입.출고현황!$A:$G,G$5,0),)</f>
        <v>0</v>
      </c>
      <c r="H797" s="260" t="str">
        <f>IFERROR(VLOOKUP($D797,임시동력입.출고현황!$A:$G,H$5,0),)</f>
        <v>3P - 63A</v>
      </c>
      <c r="I797" s="249" t="str">
        <f>IFERROR(VLOOKUP($D797,임시동력입.출고현황!$A:$G,I$5,0),)</f>
        <v>EA</v>
      </c>
      <c r="J797" s="249">
        <v>3</v>
      </c>
      <c r="K797" s="250" t="s">
        <v>237</v>
      </c>
      <c r="L797" s="261">
        <v>1</v>
      </c>
      <c r="M797" s="334" t="s">
        <v>696</v>
      </c>
      <c r="N797" s="262"/>
      <c r="U797" s="373"/>
    </row>
    <row r="798" spans="1:21" ht="28.2" customHeight="1">
      <c r="A798" s="11">
        <v>793</v>
      </c>
      <c r="B798" s="290">
        <v>793</v>
      </c>
      <c r="C798" s="259">
        <v>46119</v>
      </c>
      <c r="D798" s="249" t="s">
        <v>559</v>
      </c>
      <c r="E798" s="251" t="str">
        <f>IFERROR(VLOOKUP($D798,임시동력입.출고현황!$A:$G,E$5,0),)</f>
        <v>Panel</v>
      </c>
      <c r="F798" s="260" t="str">
        <f>IFERROR(VLOOKUP($D798,임시동력입.출고현황!$A:$G,F$5,0),)</f>
        <v>Electrical Panel</v>
      </c>
      <c r="G798" s="260">
        <f>IFERROR(VLOOKUP($D798,임시동력입.출고현황!$A:$G,G$5,0),)</f>
        <v>0</v>
      </c>
      <c r="H798" s="260" t="str">
        <f>IFERROR(VLOOKUP($D798,임시동력입.출고현황!$A:$G,H$5,0),)</f>
        <v>63A</v>
      </c>
      <c r="I798" s="249" t="str">
        <f>IFERROR(VLOOKUP($D798,임시동력입.출고현황!$A:$G,I$5,0),)</f>
        <v>EA</v>
      </c>
      <c r="J798" s="249">
        <v>3</v>
      </c>
      <c r="K798" s="250" t="s">
        <v>551</v>
      </c>
      <c r="L798" s="261">
        <v>1</v>
      </c>
      <c r="M798" s="334" t="s">
        <v>696</v>
      </c>
      <c r="N798" s="262"/>
      <c r="U798" s="373"/>
    </row>
    <row r="799" spans="1:21" ht="28.2" customHeight="1">
      <c r="A799" s="11">
        <v>794</v>
      </c>
      <c r="B799" s="290">
        <v>794</v>
      </c>
      <c r="C799" s="259">
        <v>46119</v>
      </c>
      <c r="D799" s="249" t="s">
        <v>559</v>
      </c>
      <c r="E799" s="251" t="str">
        <f>IFERROR(VLOOKUP($D799,임시동력입.출고현황!$A:$G,E$5,0),)</f>
        <v>Panel</v>
      </c>
      <c r="F799" s="260" t="str">
        <f>IFERROR(VLOOKUP($D799,임시동력입.출고현황!$A:$G,F$5,0),)</f>
        <v>Electrical Panel</v>
      </c>
      <c r="G799" s="260">
        <f>IFERROR(VLOOKUP($D799,임시동력입.출고현황!$A:$G,G$5,0),)</f>
        <v>0</v>
      </c>
      <c r="H799" s="260" t="str">
        <f>IFERROR(VLOOKUP($D799,임시동력입.출고현황!$A:$G,H$5,0),)</f>
        <v>63A</v>
      </c>
      <c r="I799" s="249" t="str">
        <f>IFERROR(VLOOKUP($D799,임시동력입.출고현황!$A:$G,I$5,0),)</f>
        <v>EA</v>
      </c>
      <c r="J799" s="249">
        <v>4</v>
      </c>
      <c r="K799" s="250" t="s">
        <v>359</v>
      </c>
      <c r="L799" s="261">
        <v>1</v>
      </c>
      <c r="M799" s="334" t="s">
        <v>696</v>
      </c>
      <c r="N799" s="262"/>
      <c r="U799" s="373"/>
    </row>
    <row r="800" spans="1:21" ht="28.2" customHeight="1">
      <c r="A800" s="11">
        <v>795</v>
      </c>
      <c r="B800" s="290">
        <v>795</v>
      </c>
      <c r="C800" s="259">
        <v>46119</v>
      </c>
      <c r="D800" s="249" t="s">
        <v>411</v>
      </c>
      <c r="E800" s="251" t="str">
        <f>IFERROR(VLOOKUP($D800,임시동력입.출고현황!$A:$G,E$5,0),)</f>
        <v>Cable</v>
      </c>
      <c r="F800" s="260" t="str">
        <f>IFERROR(VLOOKUP($D800,임시동력입.출고현황!$A:$G,F$5,0),)</f>
        <v>CV Cable</v>
      </c>
      <c r="G800" s="260">
        <f>IFERROR(VLOOKUP($D800,임시동력입.출고현황!$A:$G,G$5,0),)</f>
        <v>0</v>
      </c>
      <c r="H800" s="260" t="str">
        <f>IFERROR(VLOOKUP($D800,임시동력입.출고현황!$A:$G,H$5,0),)</f>
        <v>3C x 3mm2</v>
      </c>
      <c r="I800" s="249" t="str">
        <f>IFERROR(VLOOKUP($D800,임시동력입.출고현황!$A:$G,I$5,0),)</f>
        <v>M</v>
      </c>
      <c r="J800" s="249" t="s">
        <v>557</v>
      </c>
      <c r="K800" s="250"/>
      <c r="L800" s="261">
        <v>85</v>
      </c>
      <c r="M800" s="334" t="s">
        <v>696</v>
      </c>
      <c r="N800" s="262"/>
      <c r="U800" s="373"/>
    </row>
    <row r="801" spans="1:21" ht="28.2" customHeight="1">
      <c r="A801" s="11">
        <v>796</v>
      </c>
      <c r="B801" s="290">
        <v>796</v>
      </c>
      <c r="C801" s="259">
        <v>46119</v>
      </c>
      <c r="D801" s="249" t="s">
        <v>349</v>
      </c>
      <c r="E801" s="251" t="str">
        <f>IFERROR(VLOOKUP($D801,임시동력입.출고현황!$A:$G,E$5,0),)</f>
        <v>LTG</v>
      </c>
      <c r="F801" s="260" t="str">
        <f>IFERROR(VLOOKUP($D801,임시동력입.출고현황!$A:$G,F$5,0),)</f>
        <v>Lighting Fixture</v>
      </c>
      <c r="G801" s="260">
        <f>IFERROR(VLOOKUP($D801,임시동력입.출고현황!$A:$G,G$5,0),)</f>
        <v>0</v>
      </c>
      <c r="H801" s="260" t="str">
        <f>IFERROR(VLOOKUP($D801,임시동력입.출고현황!$A:$G,H$5,0),)</f>
        <v>50W</v>
      </c>
      <c r="I801" s="249" t="str">
        <f>IFERROR(VLOOKUP($D801,임시동력입.출고현황!$A:$G,I$5,0),)</f>
        <v>EA</v>
      </c>
      <c r="J801" s="249" t="s">
        <v>557</v>
      </c>
      <c r="K801" s="250"/>
      <c r="L801" s="261">
        <v>5</v>
      </c>
      <c r="M801" s="334" t="s">
        <v>696</v>
      </c>
      <c r="N801" s="262"/>
      <c r="U801" s="373"/>
    </row>
    <row r="802" spans="1:21" ht="28.2" customHeight="1">
      <c r="A802" s="11">
        <v>797</v>
      </c>
      <c r="B802" s="290">
        <v>797</v>
      </c>
      <c r="C802" s="259">
        <v>46119</v>
      </c>
      <c r="D802" s="249" t="s">
        <v>411</v>
      </c>
      <c r="E802" s="251" t="str">
        <f>IFERROR(VLOOKUP($D802,임시동력입.출고현황!$A:$G,E$5,0),)</f>
        <v>Cable</v>
      </c>
      <c r="F802" s="260" t="str">
        <f>IFERROR(VLOOKUP($D802,임시동력입.출고현황!$A:$G,F$5,0),)</f>
        <v>CV Cable</v>
      </c>
      <c r="G802" s="260">
        <f>IFERROR(VLOOKUP($D802,임시동력입.출고현황!$A:$G,G$5,0),)</f>
        <v>0</v>
      </c>
      <c r="H802" s="260" t="str">
        <f>IFERROR(VLOOKUP($D802,임시동력입.출고현황!$A:$G,H$5,0),)</f>
        <v>3C x 3mm2</v>
      </c>
      <c r="I802" s="249" t="str">
        <f>IFERROR(VLOOKUP($D802,임시동력입.출고현황!$A:$G,I$5,0),)</f>
        <v>M</v>
      </c>
      <c r="J802" s="249">
        <v>1</v>
      </c>
      <c r="K802" s="250" t="s">
        <v>545</v>
      </c>
      <c r="L802" s="261">
        <v>100</v>
      </c>
      <c r="M802" s="334" t="s">
        <v>696</v>
      </c>
      <c r="N802" s="262"/>
      <c r="U802" s="373"/>
    </row>
    <row r="803" spans="1:21" ht="28.2" customHeight="1">
      <c r="A803" s="11">
        <v>798</v>
      </c>
      <c r="B803" s="290">
        <v>798</v>
      </c>
      <c r="C803" s="259">
        <v>46119</v>
      </c>
      <c r="D803" s="249" t="s">
        <v>331</v>
      </c>
      <c r="E803" s="251" t="str">
        <f>IFERROR(VLOOKUP($D803,임시동력입.출고현황!$A:$G,E$5,0),)</f>
        <v>Cable</v>
      </c>
      <c r="F803" s="260" t="str">
        <f>IFERROR(VLOOKUP($D803,임시동력입.출고현황!$A:$G,F$5,0),)</f>
        <v>CV Cable</v>
      </c>
      <c r="G803" s="260">
        <f>IFERROR(VLOOKUP($D803,임시동력입.출고현황!$A:$G,G$5,0),)</f>
        <v>0</v>
      </c>
      <c r="H803" s="260" t="str">
        <f>IFERROR(VLOOKUP($D803,임시동력입.출고현황!$A:$G,H$5,0),)</f>
        <v>4C x 6mm2</v>
      </c>
      <c r="I803" s="249" t="str">
        <f>IFERROR(VLOOKUP($D803,임시동력입.출고현황!$A:$G,I$5,0),)</f>
        <v>M</v>
      </c>
      <c r="J803" s="249">
        <v>1</v>
      </c>
      <c r="K803" s="250" t="s">
        <v>352</v>
      </c>
      <c r="L803" s="261">
        <v>50</v>
      </c>
      <c r="M803" s="334" t="s">
        <v>696</v>
      </c>
      <c r="N803" s="262"/>
      <c r="U803" s="373"/>
    </row>
    <row r="804" spans="1:21" ht="28.2" customHeight="1">
      <c r="A804" s="11">
        <v>799</v>
      </c>
      <c r="B804" s="290">
        <v>799</v>
      </c>
      <c r="C804" s="259">
        <v>46119</v>
      </c>
      <c r="D804" s="249" t="s">
        <v>348</v>
      </c>
      <c r="E804" s="251" t="str">
        <f>IFERROR(VLOOKUP($D804,임시동력입.출고현황!$A:$G,E$5,0),)</f>
        <v>LTG</v>
      </c>
      <c r="F804" s="260" t="str">
        <f>IFERROR(VLOOKUP($D804,임시동력입.출고현황!$A:$G,F$5,0),)</f>
        <v>Lighting Fixture</v>
      </c>
      <c r="G804" s="260">
        <f>IFERROR(VLOOKUP($D804,임시동력입.출고현황!$A:$G,G$5,0),)</f>
        <v>0</v>
      </c>
      <c r="H804" s="260" t="str">
        <f>IFERROR(VLOOKUP($D804,임시동력입.출고현황!$A:$G,H$5,0),)</f>
        <v>100W</v>
      </c>
      <c r="I804" s="249" t="str">
        <f>IFERROR(VLOOKUP($D804,임시동력입.출고현황!$A:$G,I$5,0),)</f>
        <v>EA</v>
      </c>
      <c r="J804" s="249">
        <v>1</v>
      </c>
      <c r="K804" s="250" t="s">
        <v>352</v>
      </c>
      <c r="L804" s="261">
        <v>1</v>
      </c>
      <c r="M804" s="334" t="s">
        <v>696</v>
      </c>
      <c r="N804" s="262"/>
    </row>
    <row r="805" spans="1:21" ht="28.2" customHeight="1">
      <c r="A805" s="11">
        <v>800</v>
      </c>
      <c r="B805" s="290">
        <v>800</v>
      </c>
      <c r="C805" s="259">
        <v>46119</v>
      </c>
      <c r="D805" s="249" t="s">
        <v>330</v>
      </c>
      <c r="E805" s="251" t="str">
        <f>IFERROR(VLOOKUP($D805,임시동력입.출고현황!$A:$G,E$5,0),)</f>
        <v>Cable</v>
      </c>
      <c r="F805" s="260" t="str">
        <f>IFERROR(VLOOKUP($D805,임시동력입.출고현황!$A:$G,F$5,0),)</f>
        <v>CV Cable</v>
      </c>
      <c r="G805" s="260">
        <f>IFERROR(VLOOKUP($D805,임시동력입.출고현황!$A:$G,G$5,0),)</f>
        <v>0</v>
      </c>
      <c r="H805" s="260" t="str">
        <f>IFERROR(VLOOKUP($D805,임시동력입.출고현황!$A:$G,H$5,0),)</f>
        <v>4C x 10mm2</v>
      </c>
      <c r="I805" s="249" t="str">
        <f>IFERROR(VLOOKUP($D805,임시동력입.출고현황!$A:$G,I$5,0),)</f>
        <v>M</v>
      </c>
      <c r="J805" s="249">
        <v>1</v>
      </c>
      <c r="K805" s="250" t="s">
        <v>352</v>
      </c>
      <c r="L805" s="261">
        <v>12</v>
      </c>
      <c r="M805" s="334" t="s">
        <v>696</v>
      </c>
      <c r="N805" s="262"/>
    </row>
    <row r="806" spans="1:21" ht="28.2" customHeight="1">
      <c r="A806" s="11">
        <v>801</v>
      </c>
      <c r="B806" s="290">
        <v>801</v>
      </c>
      <c r="C806" s="129">
        <v>46120</v>
      </c>
      <c r="D806" s="10" t="s">
        <v>331</v>
      </c>
      <c r="E806" s="41" t="s">
        <v>560</v>
      </c>
      <c r="F806" s="19" t="s">
        <v>299</v>
      </c>
      <c r="G806" s="19">
        <v>0</v>
      </c>
      <c r="H806" s="19" t="s">
        <v>222</v>
      </c>
      <c r="I806" s="10" t="s">
        <v>2</v>
      </c>
      <c r="J806" s="10"/>
      <c r="K806" s="95"/>
      <c r="L806" s="57">
        <v>50</v>
      </c>
      <c r="M806" s="81" t="s">
        <v>694</v>
      </c>
      <c r="N806" s="134"/>
    </row>
    <row r="807" spans="1:21" ht="28.2" customHeight="1">
      <c r="A807" s="11">
        <v>802</v>
      </c>
      <c r="B807" s="290">
        <v>802</v>
      </c>
      <c r="C807" s="129">
        <v>46120</v>
      </c>
      <c r="D807" s="10" t="s">
        <v>330</v>
      </c>
      <c r="E807" s="41" t="s">
        <v>560</v>
      </c>
      <c r="F807" s="19" t="s">
        <v>299</v>
      </c>
      <c r="G807" s="19">
        <v>0</v>
      </c>
      <c r="H807" s="19" t="s">
        <v>1038</v>
      </c>
      <c r="I807" s="10" t="s">
        <v>2</v>
      </c>
      <c r="J807" s="10"/>
      <c r="K807" s="95"/>
      <c r="L807" s="57">
        <v>12</v>
      </c>
      <c r="M807" s="81" t="s">
        <v>694</v>
      </c>
      <c r="N807" s="134"/>
    </row>
    <row r="808" spans="1:21" ht="28.2" customHeight="1">
      <c r="A808" s="11">
        <v>803</v>
      </c>
      <c r="B808" s="290">
        <v>803</v>
      </c>
      <c r="C808" s="129">
        <v>46120</v>
      </c>
      <c r="D808" s="10" t="s">
        <v>349</v>
      </c>
      <c r="E808" s="41" t="s">
        <v>1039</v>
      </c>
      <c r="F808" s="19" t="s">
        <v>1040</v>
      </c>
      <c r="G808" s="19">
        <v>0</v>
      </c>
      <c r="H808" s="19" t="s">
        <v>1041</v>
      </c>
      <c r="I808" s="10" t="s">
        <v>0</v>
      </c>
      <c r="J808" s="10"/>
      <c r="K808" s="95"/>
      <c r="L808" s="57">
        <v>10</v>
      </c>
      <c r="M808" s="81" t="s">
        <v>694</v>
      </c>
      <c r="N808" s="134"/>
    </row>
    <row r="809" spans="1:21" ht="28.2" customHeight="1">
      <c r="A809" s="11">
        <v>804</v>
      </c>
      <c r="B809" s="290">
        <v>804</v>
      </c>
      <c r="C809" s="129">
        <v>46120</v>
      </c>
      <c r="D809" s="10" t="s">
        <v>348</v>
      </c>
      <c r="E809" s="41" t="s">
        <v>1039</v>
      </c>
      <c r="F809" s="19" t="s">
        <v>1040</v>
      </c>
      <c r="G809" s="19">
        <v>0</v>
      </c>
      <c r="H809" s="19" t="s">
        <v>1042</v>
      </c>
      <c r="I809" s="10" t="s">
        <v>0</v>
      </c>
      <c r="J809" s="10"/>
      <c r="K809" s="95"/>
      <c r="L809" s="57">
        <v>1</v>
      </c>
      <c r="M809" s="81" t="s">
        <v>694</v>
      </c>
      <c r="N809" s="134"/>
    </row>
    <row r="810" spans="1:21" ht="28.2" customHeight="1">
      <c r="A810" s="11">
        <v>805</v>
      </c>
      <c r="B810" s="290">
        <v>805</v>
      </c>
      <c r="C810" s="129">
        <v>46120</v>
      </c>
      <c r="D810" s="10" t="s">
        <v>512</v>
      </c>
      <c r="E810" s="41" t="s">
        <v>1043</v>
      </c>
      <c r="F810" s="19" t="s">
        <v>1044</v>
      </c>
      <c r="G810" s="19">
        <v>0</v>
      </c>
      <c r="H810" s="19" t="s">
        <v>489</v>
      </c>
      <c r="I810" s="10" t="s">
        <v>0</v>
      </c>
      <c r="J810" s="10">
        <v>1</v>
      </c>
      <c r="K810" s="95" t="s">
        <v>352</v>
      </c>
      <c r="L810" s="57">
        <v>1</v>
      </c>
      <c r="M810" s="81" t="s">
        <v>694</v>
      </c>
      <c r="N810" s="134"/>
    </row>
    <row r="811" spans="1:21" ht="28.2" customHeight="1">
      <c r="A811" s="11">
        <v>806</v>
      </c>
      <c r="B811" s="290">
        <v>806</v>
      </c>
      <c r="C811" s="129">
        <v>46120</v>
      </c>
      <c r="D811" s="10" t="s">
        <v>514</v>
      </c>
      <c r="E811" s="41" t="s">
        <v>1043</v>
      </c>
      <c r="F811" s="19" t="s">
        <v>1044</v>
      </c>
      <c r="G811" s="19">
        <v>0</v>
      </c>
      <c r="H811" s="19" t="s">
        <v>1045</v>
      </c>
      <c r="I811" s="10" t="s">
        <v>0</v>
      </c>
      <c r="J811" s="10"/>
      <c r="K811" s="95"/>
      <c r="L811" s="57">
        <v>1</v>
      </c>
      <c r="M811" s="81" t="s">
        <v>694</v>
      </c>
      <c r="N811" s="134"/>
    </row>
    <row r="812" spans="1:21" ht="28.2" customHeight="1">
      <c r="A812" s="11">
        <v>807</v>
      </c>
      <c r="B812" s="290">
        <v>807</v>
      </c>
      <c r="C812" s="129">
        <v>46121</v>
      </c>
      <c r="D812" s="10" t="s">
        <v>334</v>
      </c>
      <c r="E812" s="41" t="s">
        <v>560</v>
      </c>
      <c r="F812" s="19" t="s">
        <v>299</v>
      </c>
      <c r="G812" s="19">
        <v>0</v>
      </c>
      <c r="H812" s="19" t="s">
        <v>225</v>
      </c>
      <c r="I812" s="10" t="s">
        <v>2</v>
      </c>
      <c r="J812" s="10">
        <v>2</v>
      </c>
      <c r="K812" s="95" t="s">
        <v>360</v>
      </c>
      <c r="L812" s="57">
        <v>30</v>
      </c>
      <c r="M812" s="81" t="s">
        <v>696</v>
      </c>
      <c r="N812" s="134"/>
    </row>
    <row r="813" spans="1:21" ht="28.2" customHeight="1">
      <c r="A813" s="11">
        <v>808</v>
      </c>
      <c r="B813" s="290">
        <v>808</v>
      </c>
      <c r="C813" s="129">
        <v>46121</v>
      </c>
      <c r="D813" s="10" t="s">
        <v>333</v>
      </c>
      <c r="E813" s="41" t="s">
        <v>560</v>
      </c>
      <c r="F813" s="19" t="s">
        <v>299</v>
      </c>
      <c r="G813" s="19">
        <v>0</v>
      </c>
      <c r="H813" s="19" t="s">
        <v>224</v>
      </c>
      <c r="I813" s="10" t="s">
        <v>2</v>
      </c>
      <c r="J813" s="10">
        <v>2</v>
      </c>
      <c r="K813" s="95" t="s">
        <v>360</v>
      </c>
      <c r="L813" s="57">
        <v>30</v>
      </c>
      <c r="M813" s="81" t="s">
        <v>694</v>
      </c>
      <c r="N813" s="134"/>
    </row>
    <row r="814" spans="1:21" ht="28.2" customHeight="1">
      <c r="A814" s="11">
        <v>809</v>
      </c>
      <c r="B814" s="290">
        <v>809</v>
      </c>
      <c r="C814" s="129">
        <v>46121</v>
      </c>
      <c r="D814" s="10" t="s">
        <v>477</v>
      </c>
      <c r="E814" s="41" t="s">
        <v>1046</v>
      </c>
      <c r="F814" s="19" t="s">
        <v>1046</v>
      </c>
      <c r="G814" s="19">
        <v>0</v>
      </c>
      <c r="H814" s="19" t="s">
        <v>1047</v>
      </c>
      <c r="I814" s="10" t="s">
        <v>0</v>
      </c>
      <c r="J814" s="10">
        <v>2</v>
      </c>
      <c r="K814" s="95" t="s">
        <v>360</v>
      </c>
      <c r="L814" s="57">
        <v>1</v>
      </c>
      <c r="M814" s="81" t="s">
        <v>694</v>
      </c>
      <c r="N814" s="134"/>
    </row>
    <row r="815" spans="1:21" ht="28.2" customHeight="1">
      <c r="A815" s="11">
        <v>810</v>
      </c>
      <c r="B815" s="290">
        <v>810</v>
      </c>
      <c r="C815" s="129">
        <v>46122</v>
      </c>
      <c r="D815" s="10" t="s">
        <v>330</v>
      </c>
      <c r="E815" s="41" t="s">
        <v>560</v>
      </c>
      <c r="F815" s="19" t="s">
        <v>299</v>
      </c>
      <c r="G815" s="19">
        <v>0</v>
      </c>
      <c r="H815" s="19" t="s">
        <v>1038</v>
      </c>
      <c r="I815" s="10" t="s">
        <v>2</v>
      </c>
      <c r="J815" s="10" t="s">
        <v>607</v>
      </c>
      <c r="K815" s="95" t="s">
        <v>999</v>
      </c>
      <c r="L815" s="57">
        <v>125</v>
      </c>
      <c r="M815" s="81" t="s">
        <v>694</v>
      </c>
      <c r="N815" s="134"/>
    </row>
    <row r="816" spans="1:21" ht="28.2" customHeight="1">
      <c r="A816" s="11">
        <v>811</v>
      </c>
      <c r="B816" s="290">
        <v>811</v>
      </c>
      <c r="C816" s="129">
        <v>46122</v>
      </c>
      <c r="D816" s="10" t="s">
        <v>333</v>
      </c>
      <c r="E816" s="41" t="s">
        <v>560</v>
      </c>
      <c r="F816" s="19" t="s">
        <v>299</v>
      </c>
      <c r="G816" s="19">
        <v>0</v>
      </c>
      <c r="H816" s="19" t="s">
        <v>224</v>
      </c>
      <c r="I816" s="10" t="s">
        <v>2</v>
      </c>
      <c r="J816" s="10" t="s">
        <v>607</v>
      </c>
      <c r="K816" s="95" t="s">
        <v>999</v>
      </c>
      <c r="L816" s="57">
        <v>30</v>
      </c>
      <c r="M816" s="81" t="s">
        <v>694</v>
      </c>
      <c r="N816" s="134"/>
    </row>
    <row r="817" spans="1:14" ht="28.2" customHeight="1">
      <c r="A817" s="11">
        <v>812</v>
      </c>
      <c r="B817" s="290">
        <v>812</v>
      </c>
      <c r="C817" s="129">
        <v>46122</v>
      </c>
      <c r="D817" s="10" t="s">
        <v>477</v>
      </c>
      <c r="E817" s="41" t="s">
        <v>1046</v>
      </c>
      <c r="F817" s="19" t="s">
        <v>1046</v>
      </c>
      <c r="G817" s="19">
        <v>0</v>
      </c>
      <c r="H817" s="19" t="s">
        <v>1047</v>
      </c>
      <c r="I817" s="10" t="s">
        <v>0</v>
      </c>
      <c r="J817" s="10" t="s">
        <v>607</v>
      </c>
      <c r="K817" s="95" t="s">
        <v>999</v>
      </c>
      <c r="L817" s="57">
        <v>3</v>
      </c>
      <c r="M817" s="81" t="s">
        <v>694</v>
      </c>
      <c r="N817" s="134"/>
    </row>
    <row r="818" spans="1:14" ht="28.2" customHeight="1">
      <c r="A818" s="11">
        <v>813</v>
      </c>
      <c r="B818" s="290">
        <v>813</v>
      </c>
      <c r="C818" s="129">
        <v>46122</v>
      </c>
      <c r="D818" s="10" t="s">
        <v>558</v>
      </c>
      <c r="E818" s="41" t="s">
        <v>1048</v>
      </c>
      <c r="F818" s="19" t="s">
        <v>1049</v>
      </c>
      <c r="G818" s="19">
        <v>0</v>
      </c>
      <c r="H818" s="19" t="s">
        <v>518</v>
      </c>
      <c r="I818" s="10" t="s">
        <v>0</v>
      </c>
      <c r="J818" s="10" t="s">
        <v>607</v>
      </c>
      <c r="K818" s="95" t="s">
        <v>999</v>
      </c>
      <c r="L818" s="57">
        <v>1</v>
      </c>
      <c r="M818" s="81" t="s">
        <v>694</v>
      </c>
      <c r="N818" s="134"/>
    </row>
    <row r="819" spans="1:14" ht="28.2" customHeight="1">
      <c r="A819" s="11">
        <v>814</v>
      </c>
      <c r="B819" s="290">
        <v>814</v>
      </c>
      <c r="C819" s="129">
        <v>46123</v>
      </c>
      <c r="D819" s="10" t="s">
        <v>335</v>
      </c>
      <c r="E819" s="41" t="s">
        <v>560</v>
      </c>
      <c r="F819" s="19" t="s">
        <v>299</v>
      </c>
      <c r="G819" s="19">
        <v>0</v>
      </c>
      <c r="H819" s="19" t="s">
        <v>226</v>
      </c>
      <c r="I819" s="10" t="s">
        <v>2</v>
      </c>
      <c r="J819" s="10"/>
      <c r="K819" s="95"/>
      <c r="L819" s="57">
        <v>200</v>
      </c>
      <c r="M819" s="81" t="s">
        <v>694</v>
      </c>
      <c r="N819" s="134"/>
    </row>
    <row r="820" spans="1:14" ht="28.2" customHeight="1">
      <c r="A820" s="11">
        <v>815</v>
      </c>
      <c r="B820" s="290">
        <v>815</v>
      </c>
      <c r="C820" s="129">
        <v>46123</v>
      </c>
      <c r="D820" s="10" t="s">
        <v>349</v>
      </c>
      <c r="E820" s="41" t="s">
        <v>1039</v>
      </c>
      <c r="F820" s="19" t="s">
        <v>1040</v>
      </c>
      <c r="G820" s="19">
        <v>0</v>
      </c>
      <c r="H820" s="19" t="s">
        <v>1041</v>
      </c>
      <c r="I820" s="10" t="s">
        <v>0</v>
      </c>
      <c r="J820" s="10"/>
      <c r="K820" s="95"/>
      <c r="L820" s="57">
        <v>5</v>
      </c>
      <c r="M820" s="81" t="s">
        <v>694</v>
      </c>
      <c r="N820" s="134"/>
    </row>
    <row r="821" spans="1:14" ht="28.2" customHeight="1">
      <c r="A821" s="11">
        <v>816</v>
      </c>
      <c r="B821" s="290">
        <v>816</v>
      </c>
      <c r="C821" s="129">
        <v>46123</v>
      </c>
      <c r="D821" s="10" t="s">
        <v>348</v>
      </c>
      <c r="E821" s="41" t="s">
        <v>1039</v>
      </c>
      <c r="F821" s="19" t="s">
        <v>1040</v>
      </c>
      <c r="G821" s="19">
        <v>0</v>
      </c>
      <c r="H821" s="19" t="s">
        <v>1042</v>
      </c>
      <c r="I821" s="10" t="s">
        <v>0</v>
      </c>
      <c r="J821" s="10"/>
      <c r="K821" s="95"/>
      <c r="L821" s="57">
        <v>7</v>
      </c>
      <c r="M821" s="81" t="s">
        <v>694</v>
      </c>
      <c r="N821" s="134"/>
    </row>
    <row r="822" spans="1:14" ht="28.2" customHeight="1">
      <c r="A822" s="11">
        <v>817</v>
      </c>
      <c r="B822" s="290">
        <v>817</v>
      </c>
      <c r="C822" s="129">
        <v>46123</v>
      </c>
      <c r="D822" s="10" t="s">
        <v>558</v>
      </c>
      <c r="E822" s="41" t="s">
        <v>1048</v>
      </c>
      <c r="F822" s="19" t="s">
        <v>1049</v>
      </c>
      <c r="G822" s="19">
        <v>0</v>
      </c>
      <c r="H822" s="19" t="s">
        <v>518</v>
      </c>
      <c r="I822" s="10" t="s">
        <v>0</v>
      </c>
      <c r="J822" s="10">
        <v>2</v>
      </c>
      <c r="K822" s="95" t="s">
        <v>546</v>
      </c>
      <c r="L822" s="57">
        <v>1</v>
      </c>
      <c r="M822" s="81" t="s">
        <v>694</v>
      </c>
      <c r="N822" s="134"/>
    </row>
    <row r="823" spans="1:14" ht="28.2" customHeight="1">
      <c r="A823" s="11">
        <v>818</v>
      </c>
      <c r="B823" s="290">
        <v>818</v>
      </c>
      <c r="C823" s="129">
        <v>46124</v>
      </c>
      <c r="D823" s="10" t="s">
        <v>411</v>
      </c>
      <c r="E823" s="41" t="s">
        <v>560</v>
      </c>
      <c r="F823" s="19" t="s">
        <v>299</v>
      </c>
      <c r="G823" s="19">
        <v>0</v>
      </c>
      <c r="H823" s="19" t="s">
        <v>1050</v>
      </c>
      <c r="I823" s="10" t="s">
        <v>2</v>
      </c>
      <c r="J823" s="10"/>
      <c r="K823" s="95"/>
      <c r="L823" s="57">
        <v>10</v>
      </c>
      <c r="M823" s="81" t="s">
        <v>694</v>
      </c>
      <c r="N823" s="134"/>
    </row>
    <row r="824" spans="1:14" ht="28.2" customHeight="1">
      <c r="A824" s="11">
        <v>819</v>
      </c>
      <c r="B824" s="290">
        <v>819</v>
      </c>
      <c r="C824" s="129">
        <v>46124</v>
      </c>
      <c r="D824" s="10" t="s">
        <v>568</v>
      </c>
      <c r="E824" s="41" t="s">
        <v>560</v>
      </c>
      <c r="F824" s="19" t="s">
        <v>299</v>
      </c>
      <c r="G824" s="19">
        <v>0</v>
      </c>
      <c r="H824" s="19" t="s">
        <v>564</v>
      </c>
      <c r="I824" s="10" t="s">
        <v>2</v>
      </c>
      <c r="J824" s="10"/>
      <c r="K824" s="95"/>
      <c r="L824" s="57">
        <v>100</v>
      </c>
      <c r="M824" s="81" t="s">
        <v>694</v>
      </c>
      <c r="N824" s="134"/>
    </row>
    <row r="825" spans="1:14" ht="28.2" customHeight="1">
      <c r="A825" s="11">
        <v>820</v>
      </c>
      <c r="B825" s="290">
        <v>820</v>
      </c>
      <c r="C825" s="129">
        <v>46124</v>
      </c>
      <c r="D825" s="10" t="s">
        <v>343</v>
      </c>
      <c r="E825" s="41" t="s">
        <v>560</v>
      </c>
      <c r="F825" s="19" t="s">
        <v>286</v>
      </c>
      <c r="G825" s="19">
        <v>0</v>
      </c>
      <c r="H825" s="19" t="s">
        <v>1051</v>
      </c>
      <c r="I825" s="10" t="s">
        <v>2</v>
      </c>
      <c r="J825" s="10"/>
      <c r="K825" s="95"/>
      <c r="L825" s="57">
        <v>35</v>
      </c>
      <c r="M825" s="81" t="s">
        <v>694</v>
      </c>
      <c r="N825" s="134"/>
    </row>
    <row r="826" spans="1:14" ht="28.2" customHeight="1">
      <c r="A826" s="11">
        <v>821</v>
      </c>
      <c r="B826" s="290">
        <v>821</v>
      </c>
      <c r="C826" s="129">
        <v>46125</v>
      </c>
      <c r="D826" s="10" t="s">
        <v>484</v>
      </c>
      <c r="E826" s="41" t="s">
        <v>1046</v>
      </c>
      <c r="F826" s="19" t="s">
        <v>1052</v>
      </c>
      <c r="G826" s="19">
        <v>0</v>
      </c>
      <c r="H826" s="19" t="s">
        <v>495</v>
      </c>
      <c r="I826" s="10" t="s">
        <v>0</v>
      </c>
      <c r="J826" s="10"/>
      <c r="K826" s="95" t="s">
        <v>982</v>
      </c>
      <c r="L826" s="57">
        <v>1</v>
      </c>
      <c r="M826" s="81" t="s">
        <v>694</v>
      </c>
      <c r="N826" s="134"/>
    </row>
    <row r="827" spans="1:14" ht="28.2" customHeight="1">
      <c r="A827" s="11">
        <v>822</v>
      </c>
      <c r="B827" s="290">
        <v>822</v>
      </c>
      <c r="C827" s="129">
        <v>46125</v>
      </c>
      <c r="D827" s="10" t="s">
        <v>322</v>
      </c>
      <c r="E827" s="41" t="s">
        <v>560</v>
      </c>
      <c r="F827" s="19" t="s">
        <v>298</v>
      </c>
      <c r="G827" s="19">
        <v>0</v>
      </c>
      <c r="H827" s="19" t="s">
        <v>215</v>
      </c>
      <c r="I827" s="10" t="s">
        <v>2</v>
      </c>
      <c r="J827" s="10" t="s">
        <v>557</v>
      </c>
      <c r="K827" s="95" t="s">
        <v>553</v>
      </c>
      <c r="L827" s="57">
        <v>50</v>
      </c>
      <c r="M827" s="81" t="s">
        <v>694</v>
      </c>
      <c r="N827" s="134"/>
    </row>
    <row r="828" spans="1:14" ht="28.2" customHeight="1">
      <c r="A828" s="11">
        <v>823</v>
      </c>
      <c r="B828" s="290">
        <v>823</v>
      </c>
      <c r="C828" s="129">
        <v>46125</v>
      </c>
      <c r="D828" s="10" t="s">
        <v>568</v>
      </c>
      <c r="E828" s="41" t="s">
        <v>560</v>
      </c>
      <c r="F828" s="19" t="s">
        <v>299</v>
      </c>
      <c r="G828" s="19">
        <v>0</v>
      </c>
      <c r="H828" s="19" t="s">
        <v>564</v>
      </c>
      <c r="I828" s="10" t="s">
        <v>2</v>
      </c>
      <c r="J828" s="10"/>
      <c r="K828" s="95"/>
      <c r="L828" s="57">
        <v>12</v>
      </c>
      <c r="M828" s="81" t="s">
        <v>694</v>
      </c>
      <c r="N828" s="134"/>
    </row>
    <row r="829" spans="1:14" ht="28.2" customHeight="1">
      <c r="A829" s="11">
        <v>824</v>
      </c>
      <c r="B829" s="290">
        <v>824</v>
      </c>
      <c r="C829" s="129">
        <v>46126</v>
      </c>
      <c r="D829" s="10" t="s">
        <v>343</v>
      </c>
      <c r="E829" s="41" t="s">
        <v>560</v>
      </c>
      <c r="F829" s="19" t="s">
        <v>286</v>
      </c>
      <c r="G829" s="19">
        <v>0</v>
      </c>
      <c r="H829" s="19" t="s">
        <v>1051</v>
      </c>
      <c r="I829" s="10" t="s">
        <v>2</v>
      </c>
      <c r="J829" s="10" t="s">
        <v>607</v>
      </c>
      <c r="K829" s="95"/>
      <c r="L829" s="57">
        <v>58</v>
      </c>
      <c r="M829" s="81" t="s">
        <v>694</v>
      </c>
      <c r="N829" s="134"/>
    </row>
    <row r="830" spans="1:14" ht="28.2" customHeight="1">
      <c r="A830" s="11">
        <v>825</v>
      </c>
      <c r="B830" s="290">
        <v>825</v>
      </c>
      <c r="C830" s="129">
        <v>46126</v>
      </c>
      <c r="D830" s="10" t="s">
        <v>558</v>
      </c>
      <c r="E830" s="41" t="s">
        <v>1048</v>
      </c>
      <c r="F830" s="19" t="s">
        <v>1049</v>
      </c>
      <c r="G830" s="19">
        <v>0</v>
      </c>
      <c r="H830" s="19" t="s">
        <v>518</v>
      </c>
      <c r="I830" s="10" t="s">
        <v>0</v>
      </c>
      <c r="J830" s="10"/>
      <c r="K830" s="95"/>
      <c r="L830" s="57">
        <v>3</v>
      </c>
      <c r="M830" s="81" t="s">
        <v>694</v>
      </c>
      <c r="N830" s="134"/>
    </row>
    <row r="831" spans="1:14" ht="28.2" customHeight="1">
      <c r="A831" s="11">
        <v>826</v>
      </c>
      <c r="B831" s="290">
        <v>826</v>
      </c>
      <c r="C831" s="129">
        <v>46127</v>
      </c>
      <c r="D831" s="10" t="s">
        <v>335</v>
      </c>
      <c r="E831" s="41" t="str">
        <f>IFERROR(VLOOKUP($D831,임시동력입.출고현황!$A:$G,E$5,0),)</f>
        <v>Cable</v>
      </c>
      <c r="F831" s="19" t="str">
        <f>IFERROR(VLOOKUP($D831,임시동력입.출고현황!$A:$G,F$5,0),)</f>
        <v>CV Cable</v>
      </c>
      <c r="G831" s="19">
        <f>IFERROR(VLOOKUP($D831,임시동력입.출고현황!$A:$G,G$5,0),)</f>
        <v>0</v>
      </c>
      <c r="H831" s="19" t="str">
        <f>IFERROR(VLOOKUP($D831,임시동력입.출고현황!$A:$G,H$5,0),)</f>
        <v>3C x 2.5mm2</v>
      </c>
      <c r="I831" s="10" t="str">
        <f>IFERROR(VLOOKUP($D831,임시동력입.출고현황!$A:$G,I$5,0),)</f>
        <v>M</v>
      </c>
      <c r="J831" s="10"/>
      <c r="K831" s="95" t="s">
        <v>988</v>
      </c>
      <c r="L831" s="57">
        <v>10</v>
      </c>
      <c r="M831" s="81" t="s">
        <v>694</v>
      </c>
      <c r="N831" s="134"/>
    </row>
    <row r="832" spans="1:14" ht="28.2" customHeight="1">
      <c r="A832" s="11">
        <v>827</v>
      </c>
      <c r="B832" s="290">
        <v>827</v>
      </c>
      <c r="C832" s="129">
        <v>46128</v>
      </c>
      <c r="D832" s="10" t="s">
        <v>478</v>
      </c>
      <c r="E832" s="41" t="str">
        <f>IFERROR(VLOOKUP($D832,임시동력입.출고현황!$A:$G,E$5,0),)</f>
        <v>MCB</v>
      </c>
      <c r="F832" s="19" t="str">
        <f>IFERROR(VLOOKUP($D832,임시동력입.출고현황!$A:$G,F$5,0),)</f>
        <v>MCB</v>
      </c>
      <c r="G832" s="19">
        <f>IFERROR(VLOOKUP($D832,임시동력입.출고현황!$A:$G,G$5,0),)</f>
        <v>0</v>
      </c>
      <c r="H832" s="19" t="str">
        <f>IFERROR(VLOOKUP($D832,임시동력입.출고현황!$A:$G,H$5,0),)</f>
        <v>3P - 32A</v>
      </c>
      <c r="I832" s="10" t="str">
        <f>IFERROR(VLOOKUP($D832,임시동력입.출고현황!$A:$G,I$5,0),)</f>
        <v>EA</v>
      </c>
      <c r="J832" s="10"/>
      <c r="K832" s="95" t="s">
        <v>1001</v>
      </c>
      <c r="L832" s="57">
        <v>1</v>
      </c>
      <c r="M832" s="81" t="s">
        <v>696</v>
      </c>
      <c r="N832" s="134"/>
    </row>
    <row r="833" spans="1:14" ht="28.2" customHeight="1">
      <c r="A833" s="11">
        <v>828</v>
      </c>
      <c r="B833" s="290">
        <v>828</v>
      </c>
      <c r="C833" s="129">
        <v>46129</v>
      </c>
      <c r="D833" s="10" t="s">
        <v>330</v>
      </c>
      <c r="E833" s="41" t="str">
        <f>IFERROR(VLOOKUP($D833,임시동력입.출고현황!$A:$G,E$5,0),)</f>
        <v>Cable</v>
      </c>
      <c r="F833" s="19" t="str">
        <f>IFERROR(VLOOKUP($D833,임시동력입.출고현황!$A:$G,F$5,0),)</f>
        <v>CV Cable</v>
      </c>
      <c r="G833" s="19">
        <f>IFERROR(VLOOKUP($D833,임시동력입.출고현황!$A:$G,G$5,0),)</f>
        <v>0</v>
      </c>
      <c r="H833" s="19" t="str">
        <f>IFERROR(VLOOKUP($D833,임시동력입.출고현황!$A:$G,H$5,0),)</f>
        <v>4C x 10mm2</v>
      </c>
      <c r="I833" s="10" t="str">
        <f>IFERROR(VLOOKUP($D833,임시동력입.출고현황!$A:$G,I$5,0),)</f>
        <v>M</v>
      </c>
      <c r="J833" s="10"/>
      <c r="K833" s="95"/>
      <c r="L833" s="57">
        <v>160</v>
      </c>
      <c r="M833" s="81" t="s">
        <v>696</v>
      </c>
      <c r="N833" s="134"/>
    </row>
    <row r="834" spans="1:14" ht="28.2" customHeight="1">
      <c r="A834" s="11">
        <v>829</v>
      </c>
      <c r="B834" s="290">
        <v>829</v>
      </c>
      <c r="C834" s="129">
        <v>46129</v>
      </c>
      <c r="D834" s="10" t="s">
        <v>478</v>
      </c>
      <c r="E834" s="41" t="str">
        <f>IFERROR(VLOOKUP($D834,임시동력입.출고현황!$A:$G,E$5,0),)</f>
        <v>MCB</v>
      </c>
      <c r="F834" s="19" t="str">
        <f>IFERROR(VLOOKUP($D834,임시동력입.출고현황!$A:$G,F$5,0),)</f>
        <v>MCB</v>
      </c>
      <c r="G834" s="19">
        <f>IFERROR(VLOOKUP($D834,임시동력입.출고현황!$A:$G,G$5,0),)</f>
        <v>0</v>
      </c>
      <c r="H834" s="19" t="str">
        <f>IFERROR(VLOOKUP($D834,임시동력입.출고현황!$A:$G,H$5,0),)</f>
        <v>3P - 32A</v>
      </c>
      <c r="I834" s="10" t="str">
        <f>IFERROR(VLOOKUP($D834,임시동력입.출고현황!$A:$G,I$5,0),)</f>
        <v>EA</v>
      </c>
      <c r="J834" s="10"/>
      <c r="K834" s="95" t="s">
        <v>1001</v>
      </c>
      <c r="L834" s="57">
        <v>1</v>
      </c>
      <c r="M834" s="81" t="s">
        <v>696</v>
      </c>
      <c r="N834" s="134"/>
    </row>
    <row r="835" spans="1:14" ht="28.2" customHeight="1">
      <c r="A835" s="11">
        <v>830</v>
      </c>
      <c r="B835" s="290">
        <v>830</v>
      </c>
      <c r="C835" s="129">
        <v>46130</v>
      </c>
      <c r="D835" s="10" t="s">
        <v>555</v>
      </c>
      <c r="E835" s="41" t="str">
        <f>IFERROR(VLOOKUP($D835,임시동력입.출고현황!$A:$G,E$5,0),)</f>
        <v>MCB</v>
      </c>
      <c r="F835" s="19" t="str">
        <f>IFERROR(VLOOKUP($D835,임시동력입.출고현황!$A:$G,F$5,0),)</f>
        <v>MCB</v>
      </c>
      <c r="G835" s="19">
        <f>IFERROR(VLOOKUP($D835,임시동력입.출고현황!$A:$G,G$5,0),)</f>
        <v>0</v>
      </c>
      <c r="H835" s="19" t="str">
        <f>IFERROR(VLOOKUP($D835,임시동력입.출고현황!$A:$G,H$5,0),)</f>
        <v>1P - 16A</v>
      </c>
      <c r="I835" s="10" t="str">
        <f>IFERROR(VLOOKUP($D835,임시동력입.출고현황!$A:$G,I$5,0),)</f>
        <v>EA</v>
      </c>
      <c r="J835" s="10"/>
      <c r="K835" s="95"/>
      <c r="L835" s="57">
        <v>1</v>
      </c>
      <c r="M835" s="81" t="s">
        <v>696</v>
      </c>
      <c r="N835" s="134"/>
    </row>
    <row r="836" spans="1:14" ht="28.2" customHeight="1">
      <c r="A836" s="11">
        <v>831</v>
      </c>
      <c r="B836" s="290">
        <v>831</v>
      </c>
      <c r="C836" s="129">
        <v>46130</v>
      </c>
      <c r="D836" s="10" t="s">
        <v>322</v>
      </c>
      <c r="E836" s="41" t="str">
        <f>IFERROR(VLOOKUP($D836,임시동력입.출고현황!$A:$G,E$5,0),)</f>
        <v>Cable</v>
      </c>
      <c r="F836" s="19" t="str">
        <f>IFERROR(VLOOKUP($D836,임시동력입.출고현황!$A:$G,F$5,0),)</f>
        <v>AL Cable</v>
      </c>
      <c r="G836" s="19">
        <f>IFERROR(VLOOKUP($D836,임시동력입.출고현황!$A:$G,G$5,0),)</f>
        <v>0</v>
      </c>
      <c r="H836" s="19" t="str">
        <f>IFERROR(VLOOKUP($D836,임시동력입.출고현황!$A:$G,H$5,0),)</f>
        <v>3C x 50+25mm2 [ALU]</v>
      </c>
      <c r="I836" s="10" t="str">
        <f>IFERROR(VLOOKUP($D836,임시동력입.출고현황!$A:$G,I$5,0),)</f>
        <v>M</v>
      </c>
      <c r="J836" s="10">
        <v>1</v>
      </c>
      <c r="K836" s="95" t="s">
        <v>363</v>
      </c>
      <c r="L836" s="57">
        <v>125</v>
      </c>
      <c r="M836" s="81" t="s">
        <v>696</v>
      </c>
      <c r="N836" s="134"/>
    </row>
    <row r="837" spans="1:14" ht="28.2" customHeight="1">
      <c r="A837" s="11">
        <v>832</v>
      </c>
      <c r="B837" s="290">
        <v>832</v>
      </c>
      <c r="C837" s="129">
        <v>46131</v>
      </c>
      <c r="D837" s="10" t="s">
        <v>482</v>
      </c>
      <c r="E837" s="41" t="str">
        <f>IFERROR(VLOOKUP($D837,임시동력입.출고현황!$A:$G,E$5,0),)</f>
        <v>MCB</v>
      </c>
      <c r="F837" s="19" t="str">
        <f>IFERROR(VLOOKUP($D837,임시동력입.출고현황!$A:$G,F$5,0),)</f>
        <v>RCBO</v>
      </c>
      <c r="G837" s="19">
        <f>IFERROR(VLOOKUP($D837,임시동력입.출고현황!$A:$G,G$5,0),)</f>
        <v>0</v>
      </c>
      <c r="H837" s="19" t="str">
        <f>IFERROR(VLOOKUP($D837,임시동력입.출고현황!$A:$G,H$5,0),)</f>
        <v>1P + N -32A - 30 mA</v>
      </c>
      <c r="I837" s="10" t="str">
        <f>IFERROR(VLOOKUP($D837,임시동력입.출고현황!$A:$G,I$5,0),)</f>
        <v>EA</v>
      </c>
      <c r="J837" s="10"/>
      <c r="K837" s="95" t="s">
        <v>1001</v>
      </c>
      <c r="L837" s="57">
        <v>1</v>
      </c>
      <c r="M837" s="81" t="s">
        <v>696</v>
      </c>
      <c r="N837" s="134"/>
    </row>
    <row r="838" spans="1:14" ht="28.2" customHeight="1">
      <c r="A838" s="11">
        <v>833</v>
      </c>
      <c r="B838" s="290">
        <v>833</v>
      </c>
      <c r="C838" s="129">
        <v>46131</v>
      </c>
      <c r="D838" s="10" t="s">
        <v>555</v>
      </c>
      <c r="E838" s="41" t="str">
        <f>IFERROR(VLOOKUP($D838,임시동력입.출고현황!$A:$G,E$5,0),)</f>
        <v>MCB</v>
      </c>
      <c r="F838" s="19" t="str">
        <f>IFERROR(VLOOKUP($D838,임시동력입.출고현황!$A:$G,F$5,0),)</f>
        <v>MCB</v>
      </c>
      <c r="G838" s="19">
        <f>IFERROR(VLOOKUP($D838,임시동력입.출고현황!$A:$G,G$5,0),)</f>
        <v>0</v>
      </c>
      <c r="H838" s="19" t="str">
        <f>IFERROR(VLOOKUP($D838,임시동력입.출고현황!$A:$G,H$5,0),)</f>
        <v>1P - 16A</v>
      </c>
      <c r="I838" s="10" t="str">
        <f>IFERROR(VLOOKUP($D838,임시동력입.출고현황!$A:$G,I$5,0),)</f>
        <v>EA</v>
      </c>
      <c r="J838" s="10"/>
      <c r="K838" s="95" t="s">
        <v>1001</v>
      </c>
      <c r="L838" s="57">
        <v>2</v>
      </c>
      <c r="M838" s="81" t="s">
        <v>696</v>
      </c>
      <c r="N838" s="134"/>
    </row>
    <row r="839" spans="1:14" ht="28.2" customHeight="1">
      <c r="A839" s="11">
        <v>834</v>
      </c>
      <c r="B839" s="290">
        <v>834</v>
      </c>
      <c r="C839" s="129">
        <v>46132</v>
      </c>
      <c r="D839" s="10" t="s">
        <v>310</v>
      </c>
      <c r="E839" s="41" t="str">
        <f>IFERROR(VLOOKUP($D839,임시동력입.출고현황!$A:$G,E$5,0),)</f>
        <v>Panel</v>
      </c>
      <c r="F839" s="19" t="str">
        <f>IFERROR(VLOOKUP($D839,임시동력입.출고현황!$A:$G,F$5,0),)</f>
        <v>Electrical Panel</v>
      </c>
      <c r="G839" s="19">
        <f>IFERROR(VLOOKUP($D839,임시동력입.출고현황!$A:$G,G$5,0),)</f>
        <v>0</v>
      </c>
      <c r="H839" s="19" t="str">
        <f>IFERROR(VLOOKUP($D839,임시동력입.출고현황!$A:$G,H$5,0),)</f>
        <v>100A</v>
      </c>
      <c r="I839" s="10" t="str">
        <f>IFERROR(VLOOKUP($D839,임시동력입.출고현황!$A:$G,I$5,0),)</f>
        <v>EA</v>
      </c>
      <c r="J839" s="10">
        <v>2</v>
      </c>
      <c r="K839" s="95" t="s">
        <v>360</v>
      </c>
      <c r="L839" s="57">
        <v>1</v>
      </c>
      <c r="M839" s="81" t="s">
        <v>696</v>
      </c>
      <c r="N839" s="134"/>
    </row>
    <row r="840" spans="1:14" ht="28.2" customHeight="1">
      <c r="A840" s="11">
        <v>835</v>
      </c>
      <c r="B840" s="290">
        <v>835</v>
      </c>
      <c r="C840" s="129">
        <v>46132</v>
      </c>
      <c r="D840" s="10" t="s">
        <v>310</v>
      </c>
      <c r="E840" s="41" t="str">
        <f>IFERROR(VLOOKUP($D840,임시동력입.출고현황!$A:$G,E$5,0),)</f>
        <v>Panel</v>
      </c>
      <c r="F840" s="19" t="str">
        <f>IFERROR(VLOOKUP($D840,임시동력입.출고현황!$A:$G,F$5,0),)</f>
        <v>Electrical Panel</v>
      </c>
      <c r="G840" s="19">
        <f>IFERROR(VLOOKUP($D840,임시동력입.출고현황!$A:$G,G$5,0),)</f>
        <v>0</v>
      </c>
      <c r="H840" s="19" t="str">
        <f>IFERROR(VLOOKUP($D840,임시동력입.출고현황!$A:$G,H$5,0),)</f>
        <v>100A</v>
      </c>
      <c r="I840" s="10" t="str">
        <f>IFERROR(VLOOKUP($D840,임시동력입.출고현황!$A:$G,I$5,0),)</f>
        <v>EA</v>
      </c>
      <c r="J840" s="10">
        <v>2</v>
      </c>
      <c r="K840" s="95" t="s">
        <v>546</v>
      </c>
      <c r="L840" s="57">
        <v>1</v>
      </c>
      <c r="M840" s="81" t="s">
        <v>696</v>
      </c>
      <c r="N840" s="134"/>
    </row>
    <row r="841" spans="1:14" ht="28.2" customHeight="1">
      <c r="A841" s="11">
        <v>836</v>
      </c>
      <c r="B841" s="290">
        <v>836</v>
      </c>
      <c r="C841" s="129">
        <v>46132</v>
      </c>
      <c r="D841" s="10" t="s">
        <v>310</v>
      </c>
      <c r="E841" s="41" t="str">
        <f>IFERROR(VLOOKUP($D841,임시동력입.출고현황!$A:$G,E$5,0),)</f>
        <v>Panel</v>
      </c>
      <c r="F841" s="19" t="str">
        <f>IFERROR(VLOOKUP($D841,임시동력입.출고현황!$A:$G,F$5,0),)</f>
        <v>Electrical Panel</v>
      </c>
      <c r="G841" s="19">
        <f>IFERROR(VLOOKUP($D841,임시동력입.출고현황!$A:$G,G$5,0),)</f>
        <v>0</v>
      </c>
      <c r="H841" s="19" t="str">
        <f>IFERROR(VLOOKUP($D841,임시동력입.출고현황!$A:$G,H$5,0),)</f>
        <v>100A</v>
      </c>
      <c r="I841" s="10" t="str">
        <f>IFERROR(VLOOKUP($D841,임시동력입.출고현황!$A:$G,I$5,0),)</f>
        <v>EA</v>
      </c>
      <c r="J841" s="10">
        <v>1</v>
      </c>
      <c r="K841" s="95" t="s">
        <v>352</v>
      </c>
      <c r="L841" s="57">
        <v>1</v>
      </c>
      <c r="M841" s="81" t="s">
        <v>696</v>
      </c>
      <c r="N841" s="134"/>
    </row>
    <row r="842" spans="1:14" ht="28.2" customHeight="1">
      <c r="A842" s="11">
        <v>837</v>
      </c>
      <c r="B842" s="290">
        <v>837</v>
      </c>
      <c r="C842" s="129">
        <v>46132</v>
      </c>
      <c r="D842" s="10" t="s">
        <v>310</v>
      </c>
      <c r="E842" s="41" t="str">
        <f>IFERROR(VLOOKUP($D842,임시동력입.출고현황!$A:$G,E$5,0),)</f>
        <v>Panel</v>
      </c>
      <c r="F842" s="19" t="str">
        <f>IFERROR(VLOOKUP($D842,임시동력입.출고현황!$A:$G,F$5,0),)</f>
        <v>Electrical Panel</v>
      </c>
      <c r="G842" s="19">
        <f>IFERROR(VLOOKUP($D842,임시동력입.출고현황!$A:$G,G$5,0),)</f>
        <v>0</v>
      </c>
      <c r="H842" s="19" t="str">
        <f>IFERROR(VLOOKUP($D842,임시동력입.출고현황!$A:$G,H$5,0),)</f>
        <v>100A</v>
      </c>
      <c r="I842" s="10" t="str">
        <f>IFERROR(VLOOKUP($D842,임시동력입.출고현황!$A:$G,I$5,0),)</f>
        <v>EA</v>
      </c>
      <c r="J842" s="10">
        <v>1</v>
      </c>
      <c r="K842" s="95" t="s">
        <v>363</v>
      </c>
      <c r="L842" s="57">
        <v>1</v>
      </c>
      <c r="M842" s="81" t="s">
        <v>696</v>
      </c>
      <c r="N842" s="134"/>
    </row>
    <row r="843" spans="1:14" ht="28.2" customHeight="1">
      <c r="A843" s="11">
        <v>838</v>
      </c>
      <c r="B843" s="290">
        <v>838</v>
      </c>
      <c r="C843" s="129">
        <v>46132</v>
      </c>
      <c r="D843" s="10" t="s">
        <v>310</v>
      </c>
      <c r="E843" s="41" t="str">
        <f>IFERROR(VLOOKUP($D843,임시동력입.출고현황!$A:$G,E$5,0),)</f>
        <v>Panel</v>
      </c>
      <c r="F843" s="19" t="str">
        <f>IFERROR(VLOOKUP($D843,임시동력입.출고현황!$A:$G,F$5,0),)</f>
        <v>Electrical Panel</v>
      </c>
      <c r="G843" s="19">
        <f>IFERROR(VLOOKUP($D843,임시동력입.출고현황!$A:$G,G$5,0),)</f>
        <v>0</v>
      </c>
      <c r="H843" s="19" t="str">
        <f>IFERROR(VLOOKUP($D843,임시동력입.출고현황!$A:$G,H$5,0),)</f>
        <v>100A</v>
      </c>
      <c r="I843" s="10" t="str">
        <f>IFERROR(VLOOKUP($D843,임시동력입.출고현황!$A:$G,I$5,0),)</f>
        <v>EA</v>
      </c>
      <c r="J843" s="10">
        <v>3</v>
      </c>
      <c r="K843" s="95" t="s">
        <v>237</v>
      </c>
      <c r="L843" s="57">
        <v>1</v>
      </c>
      <c r="M843" s="81" t="s">
        <v>696</v>
      </c>
      <c r="N843" s="134"/>
    </row>
    <row r="844" spans="1:14" ht="28.2" customHeight="1">
      <c r="A844" s="11">
        <v>839</v>
      </c>
      <c r="B844" s="290">
        <v>839</v>
      </c>
      <c r="C844" s="129">
        <v>46133</v>
      </c>
      <c r="D844" s="10" t="s">
        <v>345</v>
      </c>
      <c r="E844" s="41" t="str">
        <f>IFERROR(VLOOKUP($D844,임시동력입.출고현황!$A:$G,E$5,0),)</f>
        <v>Cable</v>
      </c>
      <c r="F844" s="19" t="str">
        <f>IFERROR(VLOOKUP($D844,임시동력입.출고현황!$A:$G,F$5,0),)</f>
        <v>Grounding Cable</v>
      </c>
      <c r="G844" s="19">
        <f>IFERROR(VLOOKUP($D844,임시동력입.출고현황!$A:$G,G$5,0),)</f>
        <v>0</v>
      </c>
      <c r="H844" s="19" t="str">
        <f>IFERROR(VLOOKUP($D844,임시동력입.출고현황!$A:$G,H$5,0),)</f>
        <v>1C x 16mm2</v>
      </c>
      <c r="I844" s="10" t="str">
        <f>IFERROR(VLOOKUP($D844,임시동력입.출고현황!$A:$G,I$5,0),)</f>
        <v>M</v>
      </c>
      <c r="J844" s="10">
        <v>3</v>
      </c>
      <c r="K844" s="95" t="s">
        <v>237</v>
      </c>
      <c r="L844" s="57">
        <v>20</v>
      </c>
      <c r="M844" s="81" t="s">
        <v>696</v>
      </c>
      <c r="N844" s="134"/>
    </row>
    <row r="845" spans="1:14" ht="28.2" customHeight="1">
      <c r="A845" s="11">
        <v>840</v>
      </c>
      <c r="B845" s="290">
        <v>840</v>
      </c>
      <c r="C845" s="129">
        <v>46134</v>
      </c>
      <c r="D845" s="10" t="s">
        <v>310</v>
      </c>
      <c r="E845" s="41" t="str">
        <f>IFERROR(VLOOKUP($D845,임시동력입.출고현황!$A:$G,E$5,0),)</f>
        <v>Panel</v>
      </c>
      <c r="F845" s="19" t="str">
        <f>IFERROR(VLOOKUP($D845,임시동력입.출고현황!$A:$G,F$5,0),)</f>
        <v>Electrical Panel</v>
      </c>
      <c r="G845" s="19">
        <f>IFERROR(VLOOKUP($D845,임시동력입.출고현황!$A:$G,G$5,0),)</f>
        <v>0</v>
      </c>
      <c r="H845" s="19" t="str">
        <f>IFERROR(VLOOKUP($D845,임시동력입.출고현황!$A:$G,H$5,0),)</f>
        <v>100A</v>
      </c>
      <c r="I845" s="10" t="str">
        <f>IFERROR(VLOOKUP($D845,임시동력입.출고현황!$A:$G,I$5,0),)</f>
        <v>EA</v>
      </c>
      <c r="J845" s="10">
        <v>4</v>
      </c>
      <c r="K845" s="95" t="s">
        <v>359</v>
      </c>
      <c r="L845" s="57">
        <v>2</v>
      </c>
      <c r="M845" s="81" t="s">
        <v>696</v>
      </c>
      <c r="N845" s="134"/>
    </row>
    <row r="846" spans="1:14" ht="28.2" customHeight="1">
      <c r="A846" s="11">
        <v>841</v>
      </c>
      <c r="B846" s="290">
        <v>841</v>
      </c>
      <c r="C846" s="129">
        <v>46136</v>
      </c>
      <c r="D846" s="10" t="s">
        <v>335</v>
      </c>
      <c r="E846" s="41" t="str">
        <f>IFERROR(VLOOKUP($D846,임시동력입.출고현황!$A:$G,E$5,0),)</f>
        <v>Cable</v>
      </c>
      <c r="F846" s="19" t="str">
        <f>IFERROR(VLOOKUP($D846,임시동력입.출고현황!$A:$G,F$5,0),)</f>
        <v>CV Cable</v>
      </c>
      <c r="G846" s="19">
        <f>IFERROR(VLOOKUP($D846,임시동력입.출고현황!$A:$G,G$5,0),)</f>
        <v>0</v>
      </c>
      <c r="H846" s="19" t="str">
        <f>IFERROR(VLOOKUP($D846,임시동력입.출고현황!$A:$G,H$5,0),)</f>
        <v>3C x 2.5mm2</v>
      </c>
      <c r="I846" s="10" t="str">
        <f>IFERROR(VLOOKUP($D846,임시동력입.출고현황!$A:$G,I$5,0),)</f>
        <v>M</v>
      </c>
      <c r="J846" s="10">
        <v>1</v>
      </c>
      <c r="K846" s="95" t="s">
        <v>352</v>
      </c>
      <c r="L846" s="57">
        <v>100</v>
      </c>
      <c r="M846" s="81" t="s">
        <v>694</v>
      </c>
      <c r="N846" s="134"/>
    </row>
    <row r="847" spans="1:14" ht="28.2" customHeight="1">
      <c r="A847" s="11">
        <v>842</v>
      </c>
      <c r="B847" s="290">
        <v>842</v>
      </c>
      <c r="C847" s="129">
        <v>46138</v>
      </c>
      <c r="D847" s="10" t="s">
        <v>514</v>
      </c>
      <c r="E847" s="41" t="str">
        <f>IFERROR(VLOOKUP($D847,임시동력입.출고현황!$A:$G,E$5,0),)</f>
        <v>power plug</v>
      </c>
      <c r="F847" s="19" t="str">
        <f>IFERROR(VLOOKUP($D847,임시동력입.출고현황!$A:$G,F$5,0),)</f>
        <v>Industrial Socket</v>
      </c>
      <c r="G847" s="19">
        <f>IFERROR(VLOOKUP($D847,임시동력입.출고현황!$A:$G,G$5,0),)</f>
        <v>0</v>
      </c>
      <c r="H847" s="19" t="str">
        <f>IFERROR(VLOOKUP($D847,임시동력입.출고현황!$A:$G,H$5,0),)</f>
        <v>5P - 63A</v>
      </c>
      <c r="I847" s="10" t="str">
        <f>IFERROR(VLOOKUP($D847,임시동력입.출고현황!$A:$G,I$5,0),)</f>
        <v>EA</v>
      </c>
      <c r="J847" s="10"/>
      <c r="K847" s="95" t="s">
        <v>1001</v>
      </c>
      <c r="L847" s="57">
        <v>2</v>
      </c>
      <c r="M847" s="81" t="s">
        <v>694</v>
      </c>
      <c r="N847" s="134"/>
    </row>
    <row r="848" spans="1:14" ht="28.2" customHeight="1">
      <c r="A848" s="11">
        <v>843</v>
      </c>
      <c r="B848" s="290">
        <v>843</v>
      </c>
      <c r="C848" s="129">
        <v>46139</v>
      </c>
      <c r="D848" s="10" t="s">
        <v>347</v>
      </c>
      <c r="E848" s="41" t="str">
        <f>IFERROR(VLOOKUP($D848,임시동력입.출고현황!$A:$G,E$5,0),)</f>
        <v>LTG</v>
      </c>
      <c r="F848" s="19" t="str">
        <f>IFERROR(VLOOKUP($D848,임시동력입.출고현황!$A:$G,F$5,0),)</f>
        <v>Lighting Fixture</v>
      </c>
      <c r="G848" s="19">
        <f>IFERROR(VLOOKUP($D848,임시동력입.출고현황!$A:$G,G$5,0),)</f>
        <v>0</v>
      </c>
      <c r="H848" s="19" t="str">
        <f>IFERROR(VLOOKUP($D848,임시동력입.출고현황!$A:$G,H$5,0),)</f>
        <v>200W</v>
      </c>
      <c r="I848" s="10" t="str">
        <f>IFERROR(VLOOKUP($D848,임시동력입.출고현황!$A:$G,I$5,0),)</f>
        <v>EA</v>
      </c>
      <c r="J848" s="10">
        <v>1</v>
      </c>
      <c r="K848" s="95" t="s">
        <v>352</v>
      </c>
      <c r="L848" s="57">
        <v>1</v>
      </c>
      <c r="M848" s="81" t="s">
        <v>694</v>
      </c>
      <c r="N848" s="134"/>
    </row>
    <row r="849" spans="1:14" ht="28.2" customHeight="1">
      <c r="A849" s="11">
        <v>844</v>
      </c>
      <c r="B849" s="290">
        <v>844</v>
      </c>
      <c r="C849" s="129">
        <v>46139</v>
      </c>
      <c r="D849" s="10" t="s">
        <v>345</v>
      </c>
      <c r="E849" s="41" t="str">
        <f>IFERROR(VLOOKUP($D849,임시동력입.출고현황!$A:$G,E$5,0),)</f>
        <v>Cable</v>
      </c>
      <c r="F849" s="19" t="str">
        <f>IFERROR(VLOOKUP($D849,임시동력입.출고현황!$A:$G,F$5,0),)</f>
        <v>Grounding Cable</v>
      </c>
      <c r="G849" s="19">
        <f>IFERROR(VLOOKUP($D849,임시동력입.출고현황!$A:$G,G$5,0),)</f>
        <v>0</v>
      </c>
      <c r="H849" s="19" t="str">
        <f>IFERROR(VLOOKUP($D849,임시동력입.출고현황!$A:$G,H$5,0),)</f>
        <v>1C x 16mm2</v>
      </c>
      <c r="I849" s="10" t="str">
        <f>IFERROR(VLOOKUP($D849,임시동력입.출고현황!$A:$G,I$5,0),)</f>
        <v>M</v>
      </c>
      <c r="J849" s="10">
        <v>1</v>
      </c>
      <c r="K849" s="95" t="s">
        <v>363</v>
      </c>
      <c r="L849" s="57">
        <v>15</v>
      </c>
      <c r="M849" s="81" t="s">
        <v>694</v>
      </c>
      <c r="N849" s="134"/>
    </row>
    <row r="850" spans="1:14" ht="28.2" customHeight="1">
      <c r="A850" s="11">
        <v>845</v>
      </c>
      <c r="B850" s="290">
        <v>845</v>
      </c>
      <c r="C850" s="129">
        <v>46140</v>
      </c>
      <c r="D850" s="10" t="s">
        <v>345</v>
      </c>
      <c r="E850" s="41" t="str">
        <f>IFERROR(VLOOKUP($D850,임시동력입.출고현황!$A:$G,E$5,0),)</f>
        <v>Cable</v>
      </c>
      <c r="F850" s="19" t="str">
        <f>IFERROR(VLOOKUP($D850,임시동력입.출고현황!$A:$G,F$5,0),)</f>
        <v>Grounding Cable</v>
      </c>
      <c r="G850" s="19">
        <f>IFERROR(VLOOKUP($D850,임시동력입.출고현황!$A:$G,G$5,0),)</f>
        <v>0</v>
      </c>
      <c r="H850" s="19" t="str">
        <f>IFERROR(VLOOKUP($D850,임시동력입.출고현황!$A:$G,H$5,0),)</f>
        <v>1C x 16mm2</v>
      </c>
      <c r="I850" s="10" t="str">
        <f>IFERROR(VLOOKUP($D850,임시동력입.출고현황!$A:$G,I$5,0),)</f>
        <v>M</v>
      </c>
      <c r="J850" s="10">
        <v>3</v>
      </c>
      <c r="K850" s="95" t="s">
        <v>237</v>
      </c>
      <c r="L850" s="57">
        <v>26</v>
      </c>
      <c r="M850" s="81" t="s">
        <v>696</v>
      </c>
      <c r="N850" s="134"/>
    </row>
    <row r="851" spans="1:14" ht="28.2" customHeight="1">
      <c r="A851" s="11">
        <v>846</v>
      </c>
      <c r="B851" s="290">
        <v>846</v>
      </c>
      <c r="C851" s="129">
        <v>46140</v>
      </c>
      <c r="D851" s="10" t="s">
        <v>341</v>
      </c>
      <c r="E851" s="41" t="str">
        <f>IFERROR(VLOOKUP($D851,임시동력입.출고현황!$A:$G,E$5,0),)</f>
        <v>LTG</v>
      </c>
      <c r="F851" s="19" t="str">
        <f>IFERROR(VLOOKUP($D851,임시동력입.출고현황!$A:$G,F$5,0),)</f>
        <v>Lighting Fixture</v>
      </c>
      <c r="G851" s="19">
        <f>IFERROR(VLOOKUP($D851,임시동력입.출고현황!$A:$G,G$5,0),)</f>
        <v>0</v>
      </c>
      <c r="H851" s="19" t="str">
        <f>IFERROR(VLOOKUP($D851,임시동력입.출고현황!$A:$G,H$5,0),)</f>
        <v>400W</v>
      </c>
      <c r="I851" s="10" t="str">
        <f>IFERROR(VLOOKUP($D851,임시동력입.출고현황!$A:$G,I$5,0),)</f>
        <v>EA</v>
      </c>
      <c r="J851" s="10">
        <v>2</v>
      </c>
      <c r="K851" s="95" t="s">
        <v>546</v>
      </c>
      <c r="L851" s="57">
        <v>2</v>
      </c>
      <c r="M851" s="81" t="s">
        <v>696</v>
      </c>
      <c r="N851" s="134"/>
    </row>
    <row r="852" spans="1:14" ht="28.2" customHeight="1">
      <c r="A852" s="11">
        <v>847</v>
      </c>
      <c r="B852" s="290">
        <v>847</v>
      </c>
      <c r="C852" s="129">
        <v>46140</v>
      </c>
      <c r="D852" s="10" t="s">
        <v>348</v>
      </c>
      <c r="E852" s="41" t="str">
        <f>IFERROR(VLOOKUP($D852,임시동력입.출고현황!$A:$G,E$5,0),)</f>
        <v>LTG</v>
      </c>
      <c r="F852" s="19" t="str">
        <f>IFERROR(VLOOKUP($D852,임시동력입.출고현황!$A:$G,F$5,0),)</f>
        <v>Lighting Fixture</v>
      </c>
      <c r="G852" s="19">
        <f>IFERROR(VLOOKUP($D852,임시동력입.출고현황!$A:$G,G$5,0),)</f>
        <v>0</v>
      </c>
      <c r="H852" s="19" t="str">
        <f>IFERROR(VLOOKUP($D852,임시동력입.출고현황!$A:$G,H$5,0),)</f>
        <v>100W</v>
      </c>
      <c r="I852" s="10" t="str">
        <f>IFERROR(VLOOKUP($D852,임시동력입.출고현황!$A:$G,I$5,0),)</f>
        <v>EA</v>
      </c>
      <c r="J852" s="10" t="s">
        <v>631</v>
      </c>
      <c r="K852" s="95"/>
      <c r="L852" s="57">
        <v>16</v>
      </c>
      <c r="M852" s="81" t="s">
        <v>696</v>
      </c>
      <c r="N852" s="134"/>
    </row>
    <row r="853" spans="1:14" ht="28.2" customHeight="1">
      <c r="A853" s="11">
        <v>848</v>
      </c>
      <c r="B853" s="290">
        <v>848</v>
      </c>
      <c r="C853" s="129">
        <v>46141</v>
      </c>
      <c r="D853" s="10" t="s">
        <v>348</v>
      </c>
      <c r="E853" s="41" t="str">
        <f>IFERROR(VLOOKUP($D853,임시동력입.출고현황!$A:$G,E$5,0),)</f>
        <v>LTG</v>
      </c>
      <c r="F853" s="19" t="str">
        <f>IFERROR(VLOOKUP($D853,임시동력입.출고현황!$A:$G,F$5,0),)</f>
        <v>Lighting Fixture</v>
      </c>
      <c r="G853" s="19">
        <f>IFERROR(VLOOKUP($D853,임시동력입.출고현황!$A:$G,G$5,0),)</f>
        <v>0</v>
      </c>
      <c r="H853" s="19" t="str">
        <f>IFERROR(VLOOKUP($D853,임시동력입.출고현황!$A:$G,H$5,0),)</f>
        <v>100W</v>
      </c>
      <c r="I853" s="10" t="str">
        <f>IFERROR(VLOOKUP($D853,임시동력입.출고현황!$A:$G,I$5,0),)</f>
        <v>EA</v>
      </c>
      <c r="J853" s="10" t="s">
        <v>557</v>
      </c>
      <c r="K853" s="95"/>
      <c r="L853" s="57">
        <v>1</v>
      </c>
      <c r="M853" s="81" t="s">
        <v>696</v>
      </c>
      <c r="N853" s="134"/>
    </row>
    <row r="854" spans="1:14" ht="28.2" customHeight="1">
      <c r="A854" s="11">
        <v>849</v>
      </c>
      <c r="B854" s="290">
        <v>849</v>
      </c>
      <c r="C854" s="129">
        <v>46141</v>
      </c>
      <c r="D854" s="10" t="s">
        <v>341</v>
      </c>
      <c r="E854" s="41" t="str">
        <f>IFERROR(VLOOKUP($D854,임시동력입.출고현황!$A:$G,E$5,0),)</f>
        <v>LTG</v>
      </c>
      <c r="F854" s="19" t="str">
        <f>IFERROR(VLOOKUP($D854,임시동력입.출고현황!$A:$G,F$5,0),)</f>
        <v>Lighting Fixture</v>
      </c>
      <c r="G854" s="19">
        <f>IFERROR(VLOOKUP($D854,임시동력입.출고현황!$A:$G,G$5,0),)</f>
        <v>0</v>
      </c>
      <c r="H854" s="19" t="str">
        <f>IFERROR(VLOOKUP($D854,임시동력입.출고현황!$A:$G,H$5,0),)</f>
        <v>400W</v>
      </c>
      <c r="I854" s="10" t="str">
        <f>IFERROR(VLOOKUP($D854,임시동력입.출고현황!$A:$G,I$5,0),)</f>
        <v>EA</v>
      </c>
      <c r="J854" s="10" t="s">
        <v>557</v>
      </c>
      <c r="K854" s="95"/>
      <c r="L854" s="57">
        <v>10</v>
      </c>
      <c r="M854" s="81" t="s">
        <v>696</v>
      </c>
      <c r="N854" s="134"/>
    </row>
    <row r="855" spans="1:14" ht="28.2" customHeight="1">
      <c r="A855" s="11">
        <v>850</v>
      </c>
      <c r="B855" s="290">
        <v>850</v>
      </c>
      <c r="C855" s="129">
        <v>46141</v>
      </c>
      <c r="D855" s="10" t="s">
        <v>335</v>
      </c>
      <c r="E855" s="41" t="str">
        <f>IFERROR(VLOOKUP($D855,임시동력입.출고현황!$A:$G,E$5,0),)</f>
        <v>Cable</v>
      </c>
      <c r="F855" s="19" t="str">
        <f>IFERROR(VLOOKUP($D855,임시동력입.출고현황!$A:$G,F$5,0),)</f>
        <v>CV Cable</v>
      </c>
      <c r="G855" s="19">
        <f>IFERROR(VLOOKUP($D855,임시동력입.출고현황!$A:$G,G$5,0),)</f>
        <v>0</v>
      </c>
      <c r="H855" s="19" t="str">
        <f>IFERROR(VLOOKUP($D855,임시동력입.출고현황!$A:$G,H$5,0),)</f>
        <v>3C x 2.5mm2</v>
      </c>
      <c r="I855" s="10" t="str">
        <f>IFERROR(VLOOKUP($D855,임시동력입.출고현황!$A:$G,I$5,0),)</f>
        <v>M</v>
      </c>
      <c r="J855" s="10" t="s">
        <v>557</v>
      </c>
      <c r="K855" s="95" t="s">
        <v>988</v>
      </c>
      <c r="L855" s="57">
        <v>20</v>
      </c>
      <c r="M855" s="81" t="s">
        <v>696</v>
      </c>
      <c r="N855" s="134"/>
    </row>
    <row r="856" spans="1:14" ht="28.2" customHeight="1">
      <c r="A856" s="11">
        <v>851</v>
      </c>
      <c r="B856" s="290">
        <v>851</v>
      </c>
      <c r="C856" s="129">
        <v>46142</v>
      </c>
      <c r="D856" s="10" t="s">
        <v>348</v>
      </c>
      <c r="E856" s="41" t="str">
        <f>IFERROR(VLOOKUP($D856,임시동력입.출고현황!$A:$G,E$5,0),)</f>
        <v>LTG</v>
      </c>
      <c r="F856" s="19" t="str">
        <f>IFERROR(VLOOKUP($D856,임시동력입.출고현황!$A:$G,F$5,0),)</f>
        <v>Lighting Fixture</v>
      </c>
      <c r="G856" s="19">
        <f>IFERROR(VLOOKUP($D856,임시동력입.출고현황!$A:$G,G$5,0),)</f>
        <v>0</v>
      </c>
      <c r="H856" s="19" t="str">
        <f>IFERROR(VLOOKUP($D856,임시동력입.출고현황!$A:$G,H$5,0),)</f>
        <v>100W</v>
      </c>
      <c r="I856" s="10" t="str">
        <f>IFERROR(VLOOKUP($D856,임시동력입.출고현황!$A:$G,I$5,0),)</f>
        <v>EA</v>
      </c>
      <c r="J856" s="10" t="s">
        <v>557</v>
      </c>
      <c r="K856" s="95"/>
      <c r="L856" s="57">
        <v>5</v>
      </c>
      <c r="M856" s="81" t="s">
        <v>696</v>
      </c>
      <c r="N856" s="134"/>
    </row>
    <row r="857" spans="1:14" ht="28.2" customHeight="1">
      <c r="A857" s="11">
        <v>852</v>
      </c>
      <c r="B857" s="290">
        <v>852</v>
      </c>
      <c r="C857" s="129">
        <v>46143</v>
      </c>
      <c r="D857" s="10" t="s">
        <v>559</v>
      </c>
      <c r="E857" s="41" t="str">
        <f>IFERROR(VLOOKUP($D857,임시동력입.출고현황!$A:$G,E$5,0),)</f>
        <v>Panel</v>
      </c>
      <c r="F857" s="19" t="str">
        <f>IFERROR(VLOOKUP($D857,임시동력입.출고현황!$A:$G,F$5,0),)</f>
        <v>Electrical Panel</v>
      </c>
      <c r="G857" s="19">
        <f>IFERROR(VLOOKUP($D857,임시동력입.출고현황!$A:$G,G$5,0),)</f>
        <v>0</v>
      </c>
      <c r="H857" s="19" t="str">
        <f>IFERROR(VLOOKUP($D857,임시동력입.출고현황!$A:$G,H$5,0),)</f>
        <v>63A</v>
      </c>
      <c r="I857" s="10" t="str">
        <f>IFERROR(VLOOKUP($D857,임시동력입.출고현황!$A:$G,I$5,0),)</f>
        <v>EA</v>
      </c>
      <c r="J857" s="10">
        <v>3</v>
      </c>
      <c r="K857" s="95" t="s">
        <v>237</v>
      </c>
      <c r="L857" s="57">
        <v>1</v>
      </c>
      <c r="M857" s="81" t="s">
        <v>696</v>
      </c>
      <c r="N857" s="134"/>
    </row>
    <row r="858" spans="1:14" ht="28.2" customHeight="1">
      <c r="A858" s="11">
        <v>853</v>
      </c>
      <c r="B858" s="290">
        <v>853</v>
      </c>
      <c r="C858" s="129">
        <v>46143</v>
      </c>
      <c r="D858" s="10" t="s">
        <v>330</v>
      </c>
      <c r="E858" s="41" t="str">
        <f>IFERROR(VLOOKUP($D858,임시동력입.출고현황!$A:$G,E$5,0),)</f>
        <v>Cable</v>
      </c>
      <c r="F858" s="19" t="str">
        <f>IFERROR(VLOOKUP($D858,임시동력입.출고현황!$A:$G,F$5,0),)</f>
        <v>CV Cable</v>
      </c>
      <c r="G858" s="19">
        <f>IFERROR(VLOOKUP($D858,임시동력입.출고현황!$A:$G,G$5,0),)</f>
        <v>0</v>
      </c>
      <c r="H858" s="19" t="str">
        <f>IFERROR(VLOOKUP($D858,임시동력입.출고현황!$A:$G,H$5,0),)</f>
        <v>4C x 10mm2</v>
      </c>
      <c r="I858" s="10" t="str">
        <f>IFERROR(VLOOKUP($D858,임시동력입.출고현황!$A:$G,I$5,0),)</f>
        <v>M</v>
      </c>
      <c r="J858" s="10">
        <v>3</v>
      </c>
      <c r="K858" s="95" t="s">
        <v>237</v>
      </c>
      <c r="L858" s="57">
        <v>10</v>
      </c>
      <c r="M858" s="81" t="s">
        <v>696</v>
      </c>
      <c r="N858" s="134"/>
    </row>
    <row r="859" spans="1:14" ht="28.2" customHeight="1">
      <c r="A859" s="11">
        <v>854</v>
      </c>
      <c r="B859" s="290">
        <v>854</v>
      </c>
      <c r="C859" s="129">
        <v>46143</v>
      </c>
      <c r="D859" s="10" t="s">
        <v>331</v>
      </c>
      <c r="E859" s="41" t="str">
        <f>IFERROR(VLOOKUP($D859,임시동력입.출고현황!$A:$G,E$5,0),)</f>
        <v>Cable</v>
      </c>
      <c r="F859" s="19" t="str">
        <f>IFERROR(VLOOKUP($D859,임시동력입.출고현황!$A:$G,F$5,0),)</f>
        <v>CV Cable</v>
      </c>
      <c r="G859" s="19">
        <f>IFERROR(VLOOKUP($D859,임시동력입.출고현황!$A:$G,G$5,0),)</f>
        <v>0</v>
      </c>
      <c r="H859" s="19" t="str">
        <f>IFERROR(VLOOKUP($D859,임시동력입.출고현황!$A:$G,H$5,0),)</f>
        <v>4C x 6mm2</v>
      </c>
      <c r="I859" s="10" t="str">
        <f>IFERROR(VLOOKUP($D859,임시동력입.출고현황!$A:$G,I$5,0),)</f>
        <v>M</v>
      </c>
      <c r="J859" s="10">
        <v>3</v>
      </c>
      <c r="K859" s="95" t="s">
        <v>237</v>
      </c>
      <c r="L859" s="57">
        <v>150</v>
      </c>
      <c r="M859" s="81" t="s">
        <v>696</v>
      </c>
      <c r="N859" s="134"/>
    </row>
    <row r="860" spans="1:14" ht="28.2" customHeight="1">
      <c r="A860" s="11">
        <v>855</v>
      </c>
      <c r="B860" s="290">
        <v>855</v>
      </c>
      <c r="C860" s="129">
        <v>46144</v>
      </c>
      <c r="D860" s="10" t="s">
        <v>329</v>
      </c>
      <c r="E860" s="41" t="str">
        <f>IFERROR(VLOOKUP($D860,임시동력입.출고현황!$A:$G,E$5,0),)</f>
        <v>Cable</v>
      </c>
      <c r="F860" s="19" t="str">
        <f>IFERROR(VLOOKUP($D860,임시동력입.출고현황!$A:$G,F$5,0),)</f>
        <v>CV Cable</v>
      </c>
      <c r="G860" s="19">
        <f>IFERROR(VLOOKUP($D860,임시동력입.출고현황!$A:$G,G$5,0),)</f>
        <v>0</v>
      </c>
      <c r="H860" s="19" t="str">
        <f>IFERROR(VLOOKUP($D860,임시동력입.출고현황!$A:$G,H$5,0),)</f>
        <v>4C x 16mm2</v>
      </c>
      <c r="I860" s="10" t="str">
        <f>IFERROR(VLOOKUP($D860,임시동력입.출고현황!$A:$G,I$5,0),)</f>
        <v>M</v>
      </c>
      <c r="J860" s="10">
        <v>3</v>
      </c>
      <c r="K860" s="95" t="s">
        <v>237</v>
      </c>
      <c r="L860" s="57">
        <v>60</v>
      </c>
      <c r="M860" s="81" t="s">
        <v>696</v>
      </c>
      <c r="N860" s="134"/>
    </row>
    <row r="861" spans="1:14" ht="28.2" customHeight="1">
      <c r="A861" s="11">
        <v>856</v>
      </c>
      <c r="B861" s="290">
        <v>856</v>
      </c>
      <c r="C861" s="129">
        <v>46144</v>
      </c>
      <c r="D861" s="10" t="s">
        <v>310</v>
      </c>
      <c r="E861" s="41" t="str">
        <f>IFERROR(VLOOKUP($D861,임시동력입.출고현황!$A:$G,E$5,0),)</f>
        <v>Panel</v>
      </c>
      <c r="F861" s="19" t="str">
        <f>IFERROR(VLOOKUP($D861,임시동력입.출고현황!$A:$G,F$5,0),)</f>
        <v>Electrical Panel</v>
      </c>
      <c r="G861" s="19">
        <f>IFERROR(VLOOKUP($D861,임시동력입.출고현황!$A:$G,G$5,0),)</f>
        <v>0</v>
      </c>
      <c r="H861" s="19" t="str">
        <f>IFERROR(VLOOKUP($D861,임시동력입.출고현황!$A:$G,H$5,0),)</f>
        <v>100A</v>
      </c>
      <c r="I861" s="10" t="str">
        <f>IFERROR(VLOOKUP($D861,임시동력입.출고현황!$A:$G,I$5,0),)</f>
        <v>EA</v>
      </c>
      <c r="J861" s="10">
        <v>2</v>
      </c>
      <c r="K861" s="95" t="s">
        <v>360</v>
      </c>
      <c r="L861" s="57">
        <v>2</v>
      </c>
      <c r="M861" s="81" t="s">
        <v>696</v>
      </c>
      <c r="N861" s="134"/>
    </row>
    <row r="862" spans="1:14" ht="28.2" customHeight="1">
      <c r="A862" s="11">
        <v>857</v>
      </c>
      <c r="B862" s="290">
        <v>857</v>
      </c>
      <c r="C862" s="129">
        <v>46144</v>
      </c>
      <c r="D862" s="10" t="s">
        <v>327</v>
      </c>
      <c r="E862" s="41" t="str">
        <f>IFERROR(VLOOKUP($D862,임시동력입.출고현황!$A:$G,E$5,0),)</f>
        <v>Cable</v>
      </c>
      <c r="F862" s="19" t="str">
        <f>IFERROR(VLOOKUP($D862,임시동력입.출고현황!$A:$G,F$5,0),)</f>
        <v>CV Cable</v>
      </c>
      <c r="G862" s="19">
        <f>IFERROR(VLOOKUP($D862,임시동력입.출고현황!$A:$G,G$5,0),)</f>
        <v>0</v>
      </c>
      <c r="H862" s="19" t="str">
        <f>IFERROR(VLOOKUP($D862,임시동력입.출고현황!$A:$G,H$5,0),)</f>
        <v>4C x 35mm2</v>
      </c>
      <c r="I862" s="10" t="str">
        <f>IFERROR(VLOOKUP($D862,임시동력입.출고현황!$A:$G,I$5,0),)</f>
        <v>M</v>
      </c>
      <c r="J862" s="10">
        <v>2</v>
      </c>
      <c r="K862" s="95" t="s">
        <v>360</v>
      </c>
      <c r="L862" s="57">
        <v>70</v>
      </c>
      <c r="M862" s="81" t="s">
        <v>696</v>
      </c>
      <c r="N862" s="134"/>
    </row>
    <row r="863" spans="1:14" ht="28.2" customHeight="1">
      <c r="A863" s="11">
        <v>858</v>
      </c>
      <c r="B863" s="290">
        <v>858</v>
      </c>
      <c r="C863" s="129">
        <v>46144</v>
      </c>
      <c r="D863" s="10" t="s">
        <v>335</v>
      </c>
      <c r="E863" s="41" t="str">
        <f>IFERROR(VLOOKUP($D863,임시동력입.출고현황!$A:$G,E$5,0),)</f>
        <v>Cable</v>
      </c>
      <c r="F863" s="19" t="str">
        <f>IFERROR(VLOOKUP($D863,임시동력입.출고현황!$A:$G,F$5,0),)</f>
        <v>CV Cable</v>
      </c>
      <c r="G863" s="19">
        <f>IFERROR(VLOOKUP($D863,임시동력입.출고현황!$A:$G,G$5,0),)</f>
        <v>0</v>
      </c>
      <c r="H863" s="19" t="str">
        <f>IFERROR(VLOOKUP($D863,임시동력입.출고현황!$A:$G,H$5,0),)</f>
        <v>3C x 2.5mm2</v>
      </c>
      <c r="I863" s="10" t="str">
        <f>IFERROR(VLOOKUP($D863,임시동력입.출고현황!$A:$G,I$5,0),)</f>
        <v>M</v>
      </c>
      <c r="J863" s="10" t="s">
        <v>557</v>
      </c>
      <c r="K863" s="95"/>
      <c r="L863" s="57">
        <v>100</v>
      </c>
      <c r="M863" s="81" t="s">
        <v>696</v>
      </c>
      <c r="N863" s="134"/>
    </row>
    <row r="864" spans="1:14" ht="28.2" customHeight="1">
      <c r="A864" s="11">
        <v>859</v>
      </c>
      <c r="B864" s="290">
        <v>859</v>
      </c>
      <c r="C864" s="129">
        <v>46145</v>
      </c>
      <c r="D864" s="10" t="s">
        <v>329</v>
      </c>
      <c r="E864" s="41" t="str">
        <f>IFERROR(VLOOKUP($D864,임시동력입.출고현황!$A:$G,E$5,0),)</f>
        <v>Cable</v>
      </c>
      <c r="F864" s="19" t="str">
        <f>IFERROR(VLOOKUP($D864,임시동력입.출고현황!$A:$G,F$5,0),)</f>
        <v>CV Cable</v>
      </c>
      <c r="G864" s="19">
        <f>IFERROR(VLOOKUP($D864,임시동력입.출고현황!$A:$G,G$5,0),)</f>
        <v>0</v>
      </c>
      <c r="H864" s="19" t="str">
        <f>IFERROR(VLOOKUP($D864,임시동력입.출고현황!$A:$G,H$5,0),)</f>
        <v>4C x 16mm2</v>
      </c>
      <c r="I864" s="10" t="str">
        <f>IFERROR(VLOOKUP($D864,임시동력입.출고현황!$A:$G,I$5,0),)</f>
        <v>M</v>
      </c>
      <c r="J864" s="10">
        <v>1</v>
      </c>
      <c r="K864" s="95" t="s">
        <v>545</v>
      </c>
      <c r="L864" s="57">
        <v>70</v>
      </c>
      <c r="M864" s="81" t="s">
        <v>696</v>
      </c>
      <c r="N864" s="134"/>
    </row>
    <row r="865" spans="1:14" ht="28.2" customHeight="1">
      <c r="A865" s="11">
        <v>860</v>
      </c>
      <c r="B865" s="290">
        <v>860</v>
      </c>
      <c r="C865" s="129">
        <v>46145</v>
      </c>
      <c r="D865" s="10" t="s">
        <v>331</v>
      </c>
      <c r="E865" s="41" t="str">
        <f>IFERROR(VLOOKUP($D865,임시동력입.출고현황!$A:$G,E$5,0),)</f>
        <v>Cable</v>
      </c>
      <c r="F865" s="19" t="str">
        <f>IFERROR(VLOOKUP($D865,임시동력입.출고현황!$A:$G,F$5,0),)</f>
        <v>CV Cable</v>
      </c>
      <c r="G865" s="19">
        <f>IFERROR(VLOOKUP($D865,임시동력입.출고현황!$A:$G,G$5,0),)</f>
        <v>0</v>
      </c>
      <c r="H865" s="19" t="str">
        <f>IFERROR(VLOOKUP($D865,임시동력입.출고현황!$A:$G,H$5,0),)</f>
        <v>4C x 6mm2</v>
      </c>
      <c r="I865" s="10" t="str">
        <f>IFERROR(VLOOKUP($D865,임시동력입.출고현황!$A:$G,I$5,0),)</f>
        <v>M</v>
      </c>
      <c r="J865" s="10">
        <v>1</v>
      </c>
      <c r="K865" s="95" t="s">
        <v>545</v>
      </c>
      <c r="L865" s="57">
        <v>100</v>
      </c>
      <c r="M865" s="81" t="s">
        <v>696</v>
      </c>
      <c r="N865" s="134"/>
    </row>
    <row r="866" spans="1:14" ht="28.2" customHeight="1">
      <c r="A866" s="11">
        <v>861</v>
      </c>
      <c r="B866" s="290">
        <v>861</v>
      </c>
      <c r="C866" s="129">
        <v>46145</v>
      </c>
      <c r="D866" s="10" t="s">
        <v>348</v>
      </c>
      <c r="E866" s="41" t="str">
        <f>IFERROR(VLOOKUP($D866,임시동력입.출고현황!$A:$G,E$5,0),)</f>
        <v>LTG</v>
      </c>
      <c r="F866" s="19" t="str">
        <f>IFERROR(VLOOKUP($D866,임시동력입.출고현황!$A:$G,F$5,0),)</f>
        <v>Lighting Fixture</v>
      </c>
      <c r="G866" s="19">
        <f>IFERROR(VLOOKUP($D866,임시동력입.출고현황!$A:$G,G$5,0),)</f>
        <v>0</v>
      </c>
      <c r="H866" s="19" t="str">
        <f>IFERROR(VLOOKUP($D866,임시동력입.출고현황!$A:$G,H$5,0),)</f>
        <v>100W</v>
      </c>
      <c r="I866" s="10" t="str">
        <f>IFERROR(VLOOKUP($D866,임시동력입.출고현황!$A:$G,I$5,0),)</f>
        <v>EA</v>
      </c>
      <c r="J866" s="10">
        <v>1</v>
      </c>
      <c r="K866" s="95" t="s">
        <v>545</v>
      </c>
      <c r="L866" s="57">
        <v>1</v>
      </c>
      <c r="M866" s="81" t="s">
        <v>696</v>
      </c>
      <c r="N866" s="134"/>
    </row>
    <row r="867" spans="1:14" ht="28.2" customHeight="1">
      <c r="A867" s="11">
        <v>862</v>
      </c>
      <c r="B867" s="290">
        <v>862</v>
      </c>
      <c r="C867" s="129">
        <v>46146</v>
      </c>
      <c r="D867" s="10" t="s">
        <v>281</v>
      </c>
      <c r="E867" s="41" t="str">
        <f>IFERROR(VLOOKUP($D867,임시동력입.출고현황!$A:$G,E$5,0),)</f>
        <v>D/G</v>
      </c>
      <c r="F867" s="19" t="str">
        <f>IFERROR(VLOOKUP($D867,임시동력입.출고현황!$A:$G,F$5,0),)</f>
        <v>Generator</v>
      </c>
      <c r="G867" s="19">
        <f>IFERROR(VLOOKUP($D867,임시동력입.출고현황!$A:$G,G$5,0),)</f>
        <v>0</v>
      </c>
      <c r="H867" s="19" t="str">
        <f>IFERROR(VLOOKUP($D867,임시동력입.출고현황!$A:$G,H$5,0),)</f>
        <v>150KVA</v>
      </c>
      <c r="I867" s="10" t="str">
        <f>IFERROR(VLOOKUP($D867,임시동력입.출고현황!$A:$G,I$5,0),)</f>
        <v>대</v>
      </c>
      <c r="J867" s="10">
        <v>3</v>
      </c>
      <c r="K867" s="95" t="s">
        <v>237</v>
      </c>
      <c r="L867" s="57">
        <v>1</v>
      </c>
      <c r="M867" s="81" t="s">
        <v>427</v>
      </c>
      <c r="N867" s="134"/>
    </row>
    <row r="868" spans="1:14" ht="28.2" customHeight="1">
      <c r="A868" s="11">
        <v>863</v>
      </c>
      <c r="B868" s="290">
        <v>863</v>
      </c>
      <c r="C868" s="129">
        <v>46147</v>
      </c>
      <c r="D868" s="10" t="s">
        <v>330</v>
      </c>
      <c r="E868" s="41" t="str">
        <f>IFERROR(VLOOKUP($D868,임시동력입.출고현황!$A:$G,E$5,0),)</f>
        <v>Cable</v>
      </c>
      <c r="F868" s="19" t="str">
        <f>IFERROR(VLOOKUP($D868,임시동력입.출고현황!$A:$G,F$5,0),)</f>
        <v>CV Cable</v>
      </c>
      <c r="G868" s="19">
        <f>IFERROR(VLOOKUP($D868,임시동력입.출고현황!$A:$G,G$5,0),)</f>
        <v>0</v>
      </c>
      <c r="H868" s="19" t="str">
        <f>IFERROR(VLOOKUP($D868,임시동력입.출고현황!$A:$G,H$5,0),)</f>
        <v>4C x 10mm2</v>
      </c>
      <c r="I868" s="10" t="str">
        <f>IFERROR(VLOOKUP($D868,임시동력입.출고현황!$A:$G,I$5,0),)</f>
        <v>M</v>
      </c>
      <c r="J868" s="10">
        <v>1</v>
      </c>
      <c r="K868" s="95" t="s">
        <v>363</v>
      </c>
      <c r="L868" s="57">
        <v>30</v>
      </c>
      <c r="M868" s="81" t="s">
        <v>696</v>
      </c>
      <c r="N868" s="134"/>
    </row>
    <row r="869" spans="1:14" ht="28.2" customHeight="1">
      <c r="A869" s="11">
        <v>864</v>
      </c>
      <c r="B869" s="290">
        <v>864</v>
      </c>
      <c r="C869" s="129">
        <v>46147</v>
      </c>
      <c r="D869" s="10" t="s">
        <v>310</v>
      </c>
      <c r="E869" s="41" t="str">
        <f>IFERROR(VLOOKUP($D869,임시동력입.출고현황!$A:$G,E$5,0),)</f>
        <v>Panel</v>
      </c>
      <c r="F869" s="19" t="str">
        <f>IFERROR(VLOOKUP($D869,임시동력입.출고현황!$A:$G,F$5,0),)</f>
        <v>Electrical Panel</v>
      </c>
      <c r="G869" s="19">
        <f>IFERROR(VLOOKUP($D869,임시동력입.출고현황!$A:$G,G$5,0),)</f>
        <v>0</v>
      </c>
      <c r="H869" s="19" t="str">
        <f>IFERROR(VLOOKUP($D869,임시동력입.출고현황!$A:$G,H$5,0),)</f>
        <v>100A</v>
      </c>
      <c r="I869" s="10" t="str">
        <f>IFERROR(VLOOKUP($D869,임시동력입.출고현황!$A:$G,I$5,0),)</f>
        <v>EA</v>
      </c>
      <c r="J869" s="10">
        <v>1</v>
      </c>
      <c r="K869" s="95" t="s">
        <v>363</v>
      </c>
      <c r="L869" s="57">
        <v>1</v>
      </c>
      <c r="M869" s="81" t="s">
        <v>696</v>
      </c>
      <c r="N869" s="134"/>
    </row>
    <row r="870" spans="1:14" ht="28.2" customHeight="1">
      <c r="A870" s="11">
        <v>865</v>
      </c>
      <c r="B870" s="290">
        <v>865</v>
      </c>
      <c r="C870" s="129">
        <v>46147</v>
      </c>
      <c r="D870" s="10" t="s">
        <v>331</v>
      </c>
      <c r="E870" s="41" t="str">
        <f>IFERROR(VLOOKUP($D870,임시동력입.출고현황!$A:$G,E$5,0),)</f>
        <v>Cable</v>
      </c>
      <c r="F870" s="19" t="str">
        <f>IFERROR(VLOOKUP($D870,임시동력입.출고현황!$A:$G,F$5,0),)</f>
        <v>CV Cable</v>
      </c>
      <c r="G870" s="19">
        <f>IFERROR(VLOOKUP($D870,임시동력입.출고현황!$A:$G,G$5,0),)</f>
        <v>0</v>
      </c>
      <c r="H870" s="19" t="str">
        <f>IFERROR(VLOOKUP($D870,임시동력입.출고현황!$A:$G,H$5,0),)</f>
        <v>4C x 6mm2</v>
      </c>
      <c r="I870" s="10" t="str">
        <f>IFERROR(VLOOKUP($D870,임시동력입.출고현황!$A:$G,I$5,0),)</f>
        <v>M</v>
      </c>
      <c r="J870" s="10">
        <v>1</v>
      </c>
      <c r="K870" s="95" t="s">
        <v>363</v>
      </c>
      <c r="L870" s="57">
        <v>100</v>
      </c>
      <c r="M870" s="81" t="s">
        <v>696</v>
      </c>
      <c r="N870" s="134"/>
    </row>
    <row r="871" spans="1:14" ht="28.2" customHeight="1">
      <c r="A871" s="11">
        <v>866</v>
      </c>
      <c r="B871" s="290">
        <v>866</v>
      </c>
      <c r="C871" s="129">
        <v>46148</v>
      </c>
      <c r="D871" s="10" t="s">
        <v>331</v>
      </c>
      <c r="E871" s="41" t="str">
        <f>IFERROR(VLOOKUP($D871,임시동력입.출고현황!$A:$G,E$5,0),)</f>
        <v>Cable</v>
      </c>
      <c r="F871" s="19" t="str">
        <f>IFERROR(VLOOKUP($D871,임시동력입.출고현황!$A:$G,F$5,0),)</f>
        <v>CV Cable</v>
      </c>
      <c r="G871" s="19">
        <f>IFERROR(VLOOKUP($D871,임시동력입.출고현황!$A:$G,G$5,0),)</f>
        <v>0</v>
      </c>
      <c r="H871" s="19" t="str">
        <f>IFERROR(VLOOKUP($D871,임시동력입.출고현황!$A:$G,H$5,0),)</f>
        <v>4C x 6mm2</v>
      </c>
      <c r="I871" s="10" t="str">
        <f>IFERROR(VLOOKUP($D871,임시동력입.출고현황!$A:$G,I$5,0),)</f>
        <v>M</v>
      </c>
      <c r="J871" s="10">
        <v>1</v>
      </c>
      <c r="K871" s="95" t="s">
        <v>352</v>
      </c>
      <c r="L871" s="57">
        <v>100</v>
      </c>
      <c r="M871" s="81" t="s">
        <v>696</v>
      </c>
      <c r="N871" s="134"/>
    </row>
    <row r="872" spans="1:14" ht="28.2" customHeight="1">
      <c r="A872" s="11">
        <v>867</v>
      </c>
      <c r="B872" s="290">
        <v>867</v>
      </c>
      <c r="C872" s="129">
        <v>46148</v>
      </c>
      <c r="D872" s="10" t="s">
        <v>555</v>
      </c>
      <c r="E872" s="41" t="str">
        <f>IFERROR(VLOOKUP($D872,임시동력입.출고현황!$A:$G,E$5,0),)</f>
        <v>MCB</v>
      </c>
      <c r="F872" s="19" t="str">
        <f>IFERROR(VLOOKUP($D872,임시동력입.출고현황!$A:$G,F$5,0),)</f>
        <v>MCB</v>
      </c>
      <c r="G872" s="19">
        <f>IFERROR(VLOOKUP($D872,임시동력입.출고현황!$A:$G,G$5,0),)</f>
        <v>0</v>
      </c>
      <c r="H872" s="19" t="str">
        <f>IFERROR(VLOOKUP($D872,임시동력입.출고현황!$A:$G,H$5,0),)</f>
        <v>1P - 16A</v>
      </c>
      <c r="I872" s="10" t="str">
        <f>IFERROR(VLOOKUP($D872,임시동력입.출고현황!$A:$G,I$5,0),)</f>
        <v>EA</v>
      </c>
      <c r="J872" s="10">
        <v>3</v>
      </c>
      <c r="K872" s="95" t="s">
        <v>237</v>
      </c>
      <c r="L872" s="57">
        <v>2</v>
      </c>
      <c r="M872" s="81" t="s">
        <v>696</v>
      </c>
      <c r="N872" s="134"/>
    </row>
    <row r="873" spans="1:14" ht="28.2" customHeight="1">
      <c r="A873" s="11">
        <v>868</v>
      </c>
      <c r="B873" s="290">
        <v>868</v>
      </c>
      <c r="C873" s="415">
        <v>46148</v>
      </c>
      <c r="D873" s="416" t="s">
        <v>283</v>
      </c>
      <c r="E873" s="417" t="str">
        <f>IFERROR(VLOOKUP($D873,임시동력입.출고현황!$A:$G,E$5,0),)</f>
        <v>D/G</v>
      </c>
      <c r="F873" s="418" t="str">
        <f>IFERROR(VLOOKUP($D873,임시동력입.출고현황!$A:$G,F$5,0),)</f>
        <v>Generator</v>
      </c>
      <c r="G873" s="418">
        <f>IFERROR(VLOOKUP($D873,임시동력입.출고현황!$A:$G,G$5,0),)</f>
        <v>0</v>
      </c>
      <c r="H873" s="418" t="str">
        <f>IFERROR(VLOOKUP($D873,임시동력입.출고현황!$A:$G,H$5,0),)</f>
        <v>80KVA</v>
      </c>
      <c r="I873" s="416" t="str">
        <f>IFERROR(VLOOKUP($D873,임시동력입.출고현황!$A:$G,I$5,0),)</f>
        <v>대</v>
      </c>
      <c r="J873" s="416" t="s">
        <v>557</v>
      </c>
      <c r="K873" s="419" t="s">
        <v>1063</v>
      </c>
      <c r="L873" s="420">
        <v>1</v>
      </c>
      <c r="M873" s="421" t="s">
        <v>427</v>
      </c>
      <c r="N873" s="422"/>
    </row>
    <row r="874" spans="1:14" ht="28.2" customHeight="1">
      <c r="A874" s="11">
        <v>869</v>
      </c>
      <c r="B874" s="290">
        <v>869</v>
      </c>
      <c r="C874" s="129">
        <v>46149</v>
      </c>
      <c r="D874" s="10" t="s">
        <v>306</v>
      </c>
      <c r="E874" s="41" t="str">
        <f>IFERROR(VLOOKUP($D874,임시동력입.출고현황!$A:$G,E$5,0),)</f>
        <v>Panel</v>
      </c>
      <c r="F874" s="19" t="str">
        <f>IFERROR(VLOOKUP($D874,임시동력입.출고현황!$A:$G,F$5,0),)</f>
        <v>Electrical Panel</v>
      </c>
      <c r="G874" s="19">
        <f>IFERROR(VLOOKUP($D874,임시동력입.출고현황!$A:$G,G$5,0),)</f>
        <v>0</v>
      </c>
      <c r="H874" s="19" t="str">
        <f>IFERROR(VLOOKUP($D874,임시동력입.출고현황!$A:$G,H$5,0),)</f>
        <v>250A</v>
      </c>
      <c r="I874" s="10" t="str">
        <f>IFERROR(VLOOKUP($D874,임시동력입.출고현황!$A:$G,I$5,0),)</f>
        <v>EA</v>
      </c>
      <c r="J874" s="10">
        <v>2</v>
      </c>
      <c r="K874" s="95" t="s">
        <v>656</v>
      </c>
      <c r="L874" s="57">
        <v>1</v>
      </c>
      <c r="M874" s="81" t="s">
        <v>1064</v>
      </c>
      <c r="N874" s="134"/>
    </row>
    <row r="875" spans="1:14" ht="28.2" customHeight="1">
      <c r="A875" s="11">
        <v>870</v>
      </c>
      <c r="B875" s="290">
        <v>870</v>
      </c>
      <c r="C875" s="129">
        <v>46149</v>
      </c>
      <c r="D875" s="10" t="s">
        <v>330</v>
      </c>
      <c r="E875" s="41" t="str">
        <f>IFERROR(VLOOKUP($D875,임시동력입.출고현황!$A:$G,E$5,0),)</f>
        <v>Cable</v>
      </c>
      <c r="F875" s="19" t="str">
        <f>IFERROR(VLOOKUP($D875,임시동력입.출고현황!$A:$G,F$5,0),)</f>
        <v>CV Cable</v>
      </c>
      <c r="G875" s="19">
        <f>IFERROR(VLOOKUP($D875,임시동력입.출고현황!$A:$G,G$5,0),)</f>
        <v>0</v>
      </c>
      <c r="H875" s="19" t="str">
        <f>IFERROR(VLOOKUP($D875,임시동력입.출고현황!$A:$G,H$5,0),)</f>
        <v>4C x 10mm2</v>
      </c>
      <c r="I875" s="10" t="str">
        <f>IFERROR(VLOOKUP($D875,임시동력입.출고현황!$A:$G,I$5,0),)</f>
        <v>M</v>
      </c>
      <c r="J875" s="10">
        <v>1</v>
      </c>
      <c r="K875" s="95" t="s">
        <v>363</v>
      </c>
      <c r="L875" s="57">
        <v>10</v>
      </c>
      <c r="M875" s="81" t="s">
        <v>1064</v>
      </c>
      <c r="N875" s="134"/>
    </row>
    <row r="876" spans="1:14" ht="28.2" customHeight="1">
      <c r="A876" s="11">
        <v>871</v>
      </c>
      <c r="B876" s="290">
        <v>871</v>
      </c>
      <c r="C876" s="129">
        <v>46149</v>
      </c>
      <c r="D876" s="10" t="s">
        <v>345</v>
      </c>
      <c r="E876" s="41" t="str">
        <f>IFERROR(VLOOKUP($D876,임시동력입.출고현황!$A:$G,E$5,0),)</f>
        <v>Cable</v>
      </c>
      <c r="F876" s="19" t="str">
        <f>IFERROR(VLOOKUP($D876,임시동력입.출고현황!$A:$G,F$5,0),)</f>
        <v>Grounding Cable</v>
      </c>
      <c r="G876" s="19">
        <f>IFERROR(VLOOKUP($D876,임시동력입.출고현황!$A:$G,G$5,0),)</f>
        <v>0</v>
      </c>
      <c r="H876" s="19" t="str">
        <f>IFERROR(VLOOKUP($D876,임시동력입.출고현황!$A:$G,H$5,0),)</f>
        <v>1C x 16mm2</v>
      </c>
      <c r="I876" s="10" t="str">
        <f>IFERROR(VLOOKUP($D876,임시동력입.출고현황!$A:$G,I$5,0),)</f>
        <v>M</v>
      </c>
      <c r="J876" s="10">
        <v>2</v>
      </c>
      <c r="K876" s="95" t="s">
        <v>656</v>
      </c>
      <c r="L876" s="57">
        <v>12</v>
      </c>
      <c r="M876" s="81" t="s">
        <v>1064</v>
      </c>
      <c r="N876" s="134"/>
    </row>
    <row r="877" spans="1:14" ht="28.2" customHeight="1">
      <c r="A877" s="11">
        <v>872</v>
      </c>
      <c r="B877" s="290">
        <v>872</v>
      </c>
      <c r="C877" s="129">
        <v>46149</v>
      </c>
      <c r="D877" s="10" t="s">
        <v>343</v>
      </c>
      <c r="E877" s="41" t="str">
        <f>IFERROR(VLOOKUP($D877,임시동력입.출고현황!$A:$G,E$5,0),)</f>
        <v>Cable</v>
      </c>
      <c r="F877" s="19" t="str">
        <f>IFERROR(VLOOKUP($D877,임시동력입.출고현황!$A:$G,F$5,0),)</f>
        <v>Grounding Cable</v>
      </c>
      <c r="G877" s="19">
        <f>IFERROR(VLOOKUP($D877,임시동력입.출고현황!$A:$G,G$5,0),)</f>
        <v>0</v>
      </c>
      <c r="H877" s="19" t="str">
        <f>IFERROR(VLOOKUP($D877,임시동력입.출고현황!$A:$G,H$5,0),)</f>
        <v>1C x 35mm2</v>
      </c>
      <c r="I877" s="10" t="str">
        <f>IFERROR(VLOOKUP($D877,임시동력입.출고현황!$A:$G,I$5,0),)</f>
        <v>M</v>
      </c>
      <c r="J877" s="10">
        <v>2</v>
      </c>
      <c r="K877" s="95" t="s">
        <v>656</v>
      </c>
      <c r="L877" s="57">
        <v>35</v>
      </c>
      <c r="M877" s="81" t="s">
        <v>1064</v>
      </c>
      <c r="N877" s="134"/>
    </row>
    <row r="878" spans="1:14" ht="28.2" customHeight="1">
      <c r="A878" s="11">
        <v>873</v>
      </c>
      <c r="B878" s="290">
        <v>873</v>
      </c>
      <c r="C878" s="129">
        <v>46149</v>
      </c>
      <c r="D878" s="10" t="s">
        <v>566</v>
      </c>
      <c r="E878" s="41" t="str">
        <f>IFERROR(VLOOKUP($D878,임시동력입.출고현황!$A:$G,E$5,0),)</f>
        <v>Cable</v>
      </c>
      <c r="F878" s="19" t="str">
        <f>IFERROR(VLOOKUP($D878,임시동력입.출고현황!$A:$G,F$5,0),)</f>
        <v>CV Cable</v>
      </c>
      <c r="G878" s="19">
        <f>IFERROR(VLOOKUP($D878,임시동력입.출고현황!$A:$G,G$5,0),)</f>
        <v>0</v>
      </c>
      <c r="H878" s="19" t="str">
        <f>IFERROR(VLOOKUP($D878,임시동력입.출고현황!$A:$G,H$5,0),)</f>
        <v>3C X 95+50mm2</v>
      </c>
      <c r="I878" s="10" t="str">
        <f>IFERROR(VLOOKUP($D878,임시동력입.출고현황!$A:$G,I$5,0),)</f>
        <v>M</v>
      </c>
      <c r="J878" s="10">
        <v>2</v>
      </c>
      <c r="K878" s="95" t="s">
        <v>656</v>
      </c>
      <c r="L878" s="57">
        <v>45</v>
      </c>
      <c r="M878" s="81" t="s">
        <v>1064</v>
      </c>
      <c r="N878" s="134"/>
    </row>
    <row r="879" spans="1:14" ht="28.2" customHeight="1">
      <c r="A879" s="11">
        <v>874</v>
      </c>
      <c r="B879" s="290">
        <v>874</v>
      </c>
      <c r="C879" s="129">
        <v>46150</v>
      </c>
      <c r="D879" s="10" t="s">
        <v>342</v>
      </c>
      <c r="E879" s="41" t="str">
        <f>IFERROR(VLOOKUP($D879,임시동력입.출고현황!$A:$G,E$5,0),)</f>
        <v>Cable</v>
      </c>
      <c r="F879" s="19" t="str">
        <f>IFERROR(VLOOKUP($D879,임시동력입.출고현황!$A:$G,F$5,0),)</f>
        <v>Grounding Cable</v>
      </c>
      <c r="G879" s="19">
        <f>IFERROR(VLOOKUP($D879,임시동력입.출고현황!$A:$G,G$5,0),)</f>
        <v>0</v>
      </c>
      <c r="H879" s="19" t="str">
        <f>IFERROR(VLOOKUP($D879,임시동력입.출고현황!$A:$G,H$5,0),)</f>
        <v>1C x 70mm2</v>
      </c>
      <c r="I879" s="10" t="str">
        <f>IFERROR(VLOOKUP($D879,임시동력입.출고현황!$A:$G,I$5,0),)</f>
        <v>M</v>
      </c>
      <c r="J879" s="10">
        <v>2</v>
      </c>
      <c r="K879" s="95" t="s">
        <v>656</v>
      </c>
      <c r="L879" s="57">
        <v>8</v>
      </c>
      <c r="M879" s="81" t="s">
        <v>1064</v>
      </c>
      <c r="N879" s="134"/>
    </row>
    <row r="880" spans="1:14" ht="28.2" customHeight="1">
      <c r="A880" s="11">
        <v>875</v>
      </c>
      <c r="B880" s="290">
        <v>875</v>
      </c>
      <c r="C880" s="129">
        <v>46150</v>
      </c>
      <c r="D880" s="10" t="s">
        <v>310</v>
      </c>
      <c r="E880" s="41" t="str">
        <f>IFERROR(VLOOKUP($D880,임시동력입.출고현황!$A:$G,E$5,0),)</f>
        <v>Panel</v>
      </c>
      <c r="F880" s="19" t="str">
        <f>IFERROR(VLOOKUP($D880,임시동력입.출고현황!$A:$G,F$5,0),)</f>
        <v>Electrical Panel</v>
      </c>
      <c r="G880" s="19">
        <f>IFERROR(VLOOKUP($D880,임시동력입.출고현황!$A:$G,G$5,0),)</f>
        <v>0</v>
      </c>
      <c r="H880" s="19" t="str">
        <f>IFERROR(VLOOKUP($D880,임시동력입.출고현황!$A:$G,H$5,0),)</f>
        <v>100A</v>
      </c>
      <c r="I880" s="10" t="str">
        <f>IFERROR(VLOOKUP($D880,임시동력입.출고현황!$A:$G,I$5,0),)</f>
        <v>EA</v>
      </c>
      <c r="J880" s="10">
        <v>2</v>
      </c>
      <c r="K880" s="95" t="s">
        <v>656</v>
      </c>
      <c r="L880" s="57">
        <v>2</v>
      </c>
      <c r="M880" s="81" t="s">
        <v>1064</v>
      </c>
      <c r="N880" s="134"/>
    </row>
    <row r="881" spans="1:14" ht="28.2" customHeight="1">
      <c r="A881" s="11">
        <v>876</v>
      </c>
      <c r="B881" s="290">
        <v>876</v>
      </c>
      <c r="C881" s="129">
        <v>46150</v>
      </c>
      <c r="D881" s="10" t="s">
        <v>331</v>
      </c>
      <c r="E881" s="41" t="str">
        <f>IFERROR(VLOOKUP($D881,임시동력입.출고현황!$A:$G,E$5,0),)</f>
        <v>Cable</v>
      </c>
      <c r="F881" s="19" t="str">
        <f>IFERROR(VLOOKUP($D881,임시동력입.출고현황!$A:$G,F$5,0),)</f>
        <v>CV Cable</v>
      </c>
      <c r="G881" s="19">
        <f>IFERROR(VLOOKUP($D881,임시동력입.출고현황!$A:$G,G$5,0),)</f>
        <v>0</v>
      </c>
      <c r="H881" s="19" t="str">
        <f>IFERROR(VLOOKUP($D881,임시동력입.출고현황!$A:$G,H$5,0),)</f>
        <v>4C x 6mm2</v>
      </c>
      <c r="I881" s="10" t="str">
        <f>IFERROR(VLOOKUP($D881,임시동력입.출고현황!$A:$G,I$5,0),)</f>
        <v>M</v>
      </c>
      <c r="J881" s="10">
        <v>2</v>
      </c>
      <c r="K881" s="95" t="s">
        <v>656</v>
      </c>
      <c r="L881" s="57">
        <v>100</v>
      </c>
      <c r="M881" s="81" t="s">
        <v>1064</v>
      </c>
      <c r="N881" s="134"/>
    </row>
    <row r="882" spans="1:14" ht="28.2" customHeight="1">
      <c r="A882" s="11">
        <v>877</v>
      </c>
      <c r="B882" s="290">
        <v>877</v>
      </c>
      <c r="C882" s="129">
        <v>46151</v>
      </c>
      <c r="D882" s="10" t="s">
        <v>559</v>
      </c>
      <c r="E882" s="41" t="str">
        <f>IFERROR(VLOOKUP($D882,임시동력입.출고현황!$A:$G,E$5,0),)</f>
        <v>Panel</v>
      </c>
      <c r="F882" s="19" t="str">
        <f>IFERROR(VLOOKUP($D882,임시동력입.출고현황!$A:$G,F$5,0),)</f>
        <v>Electrical Panel</v>
      </c>
      <c r="G882" s="19">
        <f>IFERROR(VLOOKUP($D882,임시동력입.출고현황!$A:$G,G$5,0),)</f>
        <v>0</v>
      </c>
      <c r="H882" s="19" t="str">
        <f>IFERROR(VLOOKUP($D882,임시동력입.출고현황!$A:$G,H$5,0),)</f>
        <v>63A</v>
      </c>
      <c r="I882" s="10" t="str">
        <f>IFERROR(VLOOKUP($D882,임시동력입.출고현황!$A:$G,I$5,0),)</f>
        <v>EA</v>
      </c>
      <c r="J882" s="10">
        <v>2</v>
      </c>
      <c r="K882" s="95" t="s">
        <v>656</v>
      </c>
      <c r="L882" s="57">
        <v>1</v>
      </c>
      <c r="M882" s="81" t="s">
        <v>1064</v>
      </c>
      <c r="N882" s="134"/>
    </row>
    <row r="883" spans="1:14" ht="28.2" customHeight="1">
      <c r="A883" s="11">
        <v>878</v>
      </c>
      <c r="B883" s="290">
        <v>878</v>
      </c>
      <c r="C883" s="129">
        <v>46152</v>
      </c>
      <c r="D883" s="10" t="s">
        <v>348</v>
      </c>
      <c r="E883" s="41" t="str">
        <f>IFERROR(VLOOKUP($D883,임시동력입.출고현황!$A:$G,E$5,0),)</f>
        <v>LTG</v>
      </c>
      <c r="F883" s="19" t="str">
        <f>IFERROR(VLOOKUP($D883,임시동력입.출고현황!$A:$G,F$5,0),)</f>
        <v>Lighting Fixture</v>
      </c>
      <c r="G883" s="19">
        <f>IFERROR(VLOOKUP($D883,임시동력입.출고현황!$A:$G,G$5,0),)</f>
        <v>0</v>
      </c>
      <c r="H883" s="19" t="str">
        <f>IFERROR(VLOOKUP($D883,임시동력입.출고현황!$A:$G,H$5,0),)</f>
        <v>100W</v>
      </c>
      <c r="I883" s="10" t="str">
        <f>IFERROR(VLOOKUP($D883,임시동력입.출고현황!$A:$G,I$5,0),)</f>
        <v>EA</v>
      </c>
      <c r="J883" s="10">
        <v>2</v>
      </c>
      <c r="K883" s="95" t="s">
        <v>656</v>
      </c>
      <c r="L883" s="57">
        <v>2</v>
      </c>
      <c r="M883" s="81" t="s">
        <v>1064</v>
      </c>
      <c r="N883" s="134"/>
    </row>
    <row r="884" spans="1:14" ht="28.2" customHeight="1">
      <c r="A884" s="11">
        <v>879</v>
      </c>
      <c r="B884" s="290">
        <v>879</v>
      </c>
      <c r="C884" s="129">
        <v>46152</v>
      </c>
      <c r="D884" s="10" t="s">
        <v>349</v>
      </c>
      <c r="E884" s="41" t="str">
        <f>IFERROR(VLOOKUP($D884,임시동력입.출고현황!$A:$G,E$5,0),)</f>
        <v>LTG</v>
      </c>
      <c r="F884" s="19" t="str">
        <f>IFERROR(VLOOKUP($D884,임시동력입.출고현황!$A:$G,F$5,0),)</f>
        <v>Lighting Fixture</v>
      </c>
      <c r="G884" s="19">
        <f>IFERROR(VLOOKUP($D884,임시동력입.출고현황!$A:$G,G$5,0),)</f>
        <v>0</v>
      </c>
      <c r="H884" s="19" t="str">
        <f>IFERROR(VLOOKUP($D884,임시동력입.출고현황!$A:$G,H$5,0),)</f>
        <v>50W</v>
      </c>
      <c r="I884" s="10" t="str">
        <f>IFERROR(VLOOKUP($D884,임시동력입.출고현황!$A:$G,I$5,0),)</f>
        <v>EA</v>
      </c>
      <c r="J884" s="10">
        <v>1</v>
      </c>
      <c r="K884" s="95" t="s">
        <v>363</v>
      </c>
      <c r="L884" s="57">
        <v>20</v>
      </c>
      <c r="M884" s="81" t="s">
        <v>696</v>
      </c>
      <c r="N884" s="134"/>
    </row>
    <row r="885" spans="1:14" ht="28.2" customHeight="1">
      <c r="A885" s="11">
        <v>880</v>
      </c>
      <c r="B885" s="290">
        <v>880</v>
      </c>
      <c r="C885" s="129">
        <v>46153</v>
      </c>
      <c r="D885" s="10" t="s">
        <v>558</v>
      </c>
      <c r="E885" s="41" t="str">
        <f>IFERROR(VLOOKUP($D885,임시동력입.출고현황!$A:$G,E$5,0),)</f>
        <v>Other</v>
      </c>
      <c r="F885" s="19" t="str">
        <f>IFERROR(VLOOKUP($D885,임시동력입.출고현황!$A:$G,F$5,0),)</f>
        <v>Indication Lamp</v>
      </c>
      <c r="G885" s="19">
        <f>IFERROR(VLOOKUP($D885,임시동력입.출고현황!$A:$G,G$5,0),)</f>
        <v>0</v>
      </c>
      <c r="H885" s="19" t="str">
        <f>IFERROR(VLOOKUP($D885,임시동력입.출고현황!$A:$G,H$5,0),)</f>
        <v>Red</v>
      </c>
      <c r="I885" s="10" t="str">
        <f>IFERROR(VLOOKUP($D885,임시동력입.출고현황!$A:$G,I$5,0),)</f>
        <v>EA</v>
      </c>
      <c r="J885" s="10"/>
      <c r="K885" s="95" t="s">
        <v>1065</v>
      </c>
      <c r="L885" s="57">
        <v>2</v>
      </c>
      <c r="M885" s="81" t="s">
        <v>696</v>
      </c>
      <c r="N885" s="134"/>
    </row>
    <row r="886" spans="1:14" ht="28.2" customHeight="1">
      <c r="A886" s="11">
        <v>881</v>
      </c>
      <c r="B886" s="290">
        <v>881</v>
      </c>
      <c r="C886" s="129">
        <v>46153</v>
      </c>
      <c r="D886" s="10" t="s">
        <v>524</v>
      </c>
      <c r="E886" s="41" t="str">
        <f>IFERROR(VLOOKUP($D886,임시동력입.출고현황!$A:$G,E$5,0),)</f>
        <v>Other</v>
      </c>
      <c r="F886" s="19" t="str">
        <f>IFERROR(VLOOKUP($D886,임시동력입.출고현황!$A:$G,F$5,0),)</f>
        <v>Indication Lamp</v>
      </c>
      <c r="G886" s="19">
        <f>IFERROR(VLOOKUP($D886,임시동력입.출고현황!$A:$G,G$5,0),)</f>
        <v>0</v>
      </c>
      <c r="H886" s="19" t="str">
        <f>IFERROR(VLOOKUP($D886,임시동력입.출고현황!$A:$G,H$5,0),)</f>
        <v>Yellow</v>
      </c>
      <c r="I886" s="10" t="str">
        <f>IFERROR(VLOOKUP($D886,임시동력입.출고현황!$A:$G,I$5,0),)</f>
        <v>EA</v>
      </c>
      <c r="J886" s="10"/>
      <c r="K886" s="95" t="s">
        <v>982</v>
      </c>
      <c r="L886" s="57">
        <v>2</v>
      </c>
      <c r="M886" s="81" t="s">
        <v>696</v>
      </c>
      <c r="N886" s="134"/>
    </row>
    <row r="887" spans="1:14" ht="28.2" customHeight="1">
      <c r="A887" s="11">
        <v>882</v>
      </c>
      <c r="B887" s="290">
        <v>882</v>
      </c>
      <c r="C887" s="129">
        <v>46153</v>
      </c>
      <c r="D887" s="10" t="s">
        <v>525</v>
      </c>
      <c r="E887" s="41" t="str">
        <f>IFERROR(VLOOKUP($D887,임시동력입.출고현황!$A:$G,E$5,0),)</f>
        <v>Other</v>
      </c>
      <c r="F887" s="19" t="str">
        <f>IFERROR(VLOOKUP($D887,임시동력입.출고현황!$A:$G,F$5,0),)</f>
        <v>Indication Lamp</v>
      </c>
      <c r="G887" s="19">
        <f>IFERROR(VLOOKUP($D887,임시동력입.출고현황!$A:$G,G$5,0),)</f>
        <v>0</v>
      </c>
      <c r="H887" s="19" t="str">
        <f>IFERROR(VLOOKUP($D887,임시동력입.출고현황!$A:$G,H$5,0),)</f>
        <v>Blue</v>
      </c>
      <c r="I887" s="10" t="str">
        <f>IFERROR(VLOOKUP($D887,임시동력입.출고현황!$A:$G,I$5,0),)</f>
        <v>EA</v>
      </c>
      <c r="J887" s="10"/>
      <c r="K887" s="95" t="s">
        <v>982</v>
      </c>
      <c r="L887" s="57">
        <v>2</v>
      </c>
      <c r="M887" s="81" t="s">
        <v>696</v>
      </c>
      <c r="N887" s="134"/>
    </row>
    <row r="888" spans="1:14" ht="28.2" customHeight="1">
      <c r="A888" s="11">
        <v>883</v>
      </c>
      <c r="B888" s="290">
        <v>883</v>
      </c>
      <c r="C888" s="129">
        <v>46153</v>
      </c>
      <c r="D888" s="10" t="s">
        <v>341</v>
      </c>
      <c r="E888" s="41" t="str">
        <f>IFERROR(VLOOKUP($D888,임시동력입.출고현황!$A:$G,E$5,0),)</f>
        <v>LTG</v>
      </c>
      <c r="F888" s="19" t="str">
        <f>IFERROR(VLOOKUP($D888,임시동력입.출고현황!$A:$G,F$5,0),)</f>
        <v>Lighting Fixture</v>
      </c>
      <c r="G888" s="19">
        <f>IFERROR(VLOOKUP($D888,임시동력입.출고현황!$A:$G,G$5,0),)</f>
        <v>0</v>
      </c>
      <c r="H888" s="19" t="str">
        <f>IFERROR(VLOOKUP($D888,임시동력입.출고현황!$A:$G,H$5,0),)</f>
        <v>400W</v>
      </c>
      <c r="I888" s="10" t="str">
        <f>IFERROR(VLOOKUP($D888,임시동력입.출고현황!$A:$G,I$5,0),)</f>
        <v>EA</v>
      </c>
      <c r="J888" s="10">
        <v>1</v>
      </c>
      <c r="K888" s="95" t="s">
        <v>363</v>
      </c>
      <c r="L888" s="57">
        <v>10</v>
      </c>
      <c r="M888" s="81" t="s">
        <v>696</v>
      </c>
      <c r="N888" s="134"/>
    </row>
    <row r="889" spans="1:14" ht="28.2" customHeight="1">
      <c r="A889" s="11">
        <v>884</v>
      </c>
      <c r="B889" s="290">
        <v>884</v>
      </c>
      <c r="C889" s="129">
        <v>46153</v>
      </c>
      <c r="D889" s="10" t="s">
        <v>307</v>
      </c>
      <c r="E889" s="41" t="str">
        <f>IFERROR(VLOOKUP($D889,임시동력입.출고현황!$A:$G,E$5,0),)</f>
        <v>Panel</v>
      </c>
      <c r="F889" s="19" t="str">
        <f>IFERROR(VLOOKUP($D889,임시동력입.출고현황!$A:$G,F$5,0),)</f>
        <v>Electrical Panel</v>
      </c>
      <c r="G889" s="19">
        <f>IFERROR(VLOOKUP($D889,임시동력입.출고현황!$A:$G,G$5,0),)</f>
        <v>0</v>
      </c>
      <c r="H889" s="19" t="str">
        <f>IFERROR(VLOOKUP($D889,임시동력입.출고현황!$A:$G,H$5,0),)</f>
        <v>160A</v>
      </c>
      <c r="I889" s="10" t="str">
        <f>IFERROR(VLOOKUP($D889,임시동력입.출고현황!$A:$G,I$5,0),)</f>
        <v>EA</v>
      </c>
      <c r="J889" s="10" t="s">
        <v>557</v>
      </c>
      <c r="K889" s="95" t="s">
        <v>1063</v>
      </c>
      <c r="L889" s="57">
        <v>1</v>
      </c>
      <c r="M889" s="81" t="s">
        <v>696</v>
      </c>
      <c r="N889" s="134"/>
    </row>
    <row r="890" spans="1:14" ht="28.2" customHeight="1">
      <c r="A890" s="11">
        <v>885</v>
      </c>
      <c r="B890" s="290">
        <v>885</v>
      </c>
      <c r="C890" s="129">
        <v>46153</v>
      </c>
      <c r="D890" s="10" t="s">
        <v>322</v>
      </c>
      <c r="E890" s="41" t="str">
        <f>IFERROR(VLOOKUP($D890,임시동력입.출고현황!$A:$G,E$5,0),)</f>
        <v>Cable</v>
      </c>
      <c r="F890" s="19" t="str">
        <f>IFERROR(VLOOKUP($D890,임시동력입.출고현황!$A:$G,F$5,0),)</f>
        <v>AL Cable</v>
      </c>
      <c r="G890" s="19">
        <f>IFERROR(VLOOKUP($D890,임시동력입.출고현황!$A:$G,G$5,0),)</f>
        <v>0</v>
      </c>
      <c r="H890" s="19" t="str">
        <f>IFERROR(VLOOKUP($D890,임시동력입.출고현황!$A:$G,H$5,0),)</f>
        <v>3C x 50+25mm2 [ALU]</v>
      </c>
      <c r="I890" s="10" t="str">
        <f>IFERROR(VLOOKUP($D890,임시동력입.출고현황!$A:$G,I$5,0),)</f>
        <v>M</v>
      </c>
      <c r="J890" s="10" t="s">
        <v>557</v>
      </c>
      <c r="K890" s="95" t="s">
        <v>1063</v>
      </c>
      <c r="L890" s="57">
        <v>65</v>
      </c>
      <c r="M890" s="81" t="s">
        <v>696</v>
      </c>
      <c r="N890" s="134"/>
    </row>
    <row r="891" spans="1:14" ht="28.2" customHeight="1">
      <c r="A891" s="11">
        <v>886</v>
      </c>
      <c r="B891" s="290">
        <v>886</v>
      </c>
      <c r="C891" s="129">
        <v>46154</v>
      </c>
      <c r="D891" s="10" t="s">
        <v>310</v>
      </c>
      <c r="E891" s="41" t="str">
        <f>IFERROR(VLOOKUP($D891,임시동력입.출고현황!$A:$G,E$5,0),)</f>
        <v>Panel</v>
      </c>
      <c r="F891" s="19" t="str">
        <f>IFERROR(VLOOKUP($D891,임시동력입.출고현황!$A:$G,F$5,0),)</f>
        <v>Electrical Panel</v>
      </c>
      <c r="G891" s="19">
        <f>IFERROR(VLOOKUP($D891,임시동력입.출고현황!$A:$G,G$5,0),)</f>
        <v>0</v>
      </c>
      <c r="H891" s="19" t="str">
        <f>IFERROR(VLOOKUP($D891,임시동력입.출고현황!$A:$G,H$5,0),)</f>
        <v>100A</v>
      </c>
      <c r="I891" s="10" t="str">
        <f>IFERROR(VLOOKUP($D891,임시동력입.출고현황!$A:$G,I$5,0),)</f>
        <v>EA</v>
      </c>
      <c r="J891" s="10">
        <v>4</v>
      </c>
      <c r="K891" s="95" t="s">
        <v>359</v>
      </c>
      <c r="L891" s="57">
        <v>1</v>
      </c>
      <c r="M891" s="81" t="s">
        <v>696</v>
      </c>
      <c r="N891" s="134"/>
    </row>
    <row r="892" spans="1:14" ht="28.2" customHeight="1">
      <c r="A892" s="11">
        <v>887</v>
      </c>
      <c r="B892" s="290">
        <v>887</v>
      </c>
      <c r="C892" s="129">
        <v>46154</v>
      </c>
      <c r="D892" s="10" t="s">
        <v>310</v>
      </c>
      <c r="E892" s="41" t="str">
        <f>IFERROR(VLOOKUP($D892,임시동력입.출고현황!$A:$G,E$5,0),)</f>
        <v>Panel</v>
      </c>
      <c r="F892" s="19" t="str">
        <f>IFERROR(VLOOKUP($D892,임시동력입.출고현황!$A:$G,F$5,0),)</f>
        <v>Electrical Panel</v>
      </c>
      <c r="G892" s="19">
        <f>IFERROR(VLOOKUP($D892,임시동력입.출고현황!$A:$G,G$5,0),)</f>
        <v>0</v>
      </c>
      <c r="H892" s="19" t="str">
        <f>IFERROR(VLOOKUP($D892,임시동력입.출고현황!$A:$G,H$5,0),)</f>
        <v>100A</v>
      </c>
      <c r="I892" s="10" t="str">
        <f>IFERROR(VLOOKUP($D892,임시동력입.출고현황!$A:$G,I$5,0),)</f>
        <v>EA</v>
      </c>
      <c r="J892" s="10">
        <v>1</v>
      </c>
      <c r="K892" s="95" t="s">
        <v>363</v>
      </c>
      <c r="L892" s="57">
        <v>1</v>
      </c>
      <c r="M892" s="81" t="s">
        <v>696</v>
      </c>
      <c r="N892" s="134"/>
    </row>
    <row r="893" spans="1:14" ht="28.2" customHeight="1">
      <c r="A893" s="11">
        <v>888</v>
      </c>
      <c r="B893" s="423">
        <v>888</v>
      </c>
      <c r="C893" s="286">
        <v>46154</v>
      </c>
      <c r="D893" s="285" t="s">
        <v>322</v>
      </c>
      <c r="E893" s="307" t="str">
        <f>IFERROR(VLOOKUP($D893,임시동력입.출고현황!$A:$G,E$5,0),)</f>
        <v>Cable</v>
      </c>
      <c r="F893" s="287" t="str">
        <f>IFERROR(VLOOKUP($D893,임시동력입.출고현황!$A:$G,F$5,0),)</f>
        <v>AL Cable</v>
      </c>
      <c r="G893" s="287">
        <f>IFERROR(VLOOKUP($D893,임시동력입.출고현황!$A:$G,G$5,0),)</f>
        <v>0</v>
      </c>
      <c r="H893" s="287" t="str">
        <f>IFERROR(VLOOKUP($D893,임시동력입.출고현황!$A:$G,H$5,0),)</f>
        <v>3C x 50+25mm2 [ALU]</v>
      </c>
      <c r="I893" s="285" t="str">
        <f>IFERROR(VLOOKUP($D893,임시동력입.출고현황!$A:$G,I$5,0),)</f>
        <v>M</v>
      </c>
      <c r="J893" s="285">
        <v>1</v>
      </c>
      <c r="K893" s="308" t="s">
        <v>352</v>
      </c>
      <c r="L893" s="309">
        <v>100</v>
      </c>
      <c r="M893" s="310" t="s">
        <v>696</v>
      </c>
      <c r="N893" s="311"/>
    </row>
    <row r="894" spans="1:14" ht="28.2" customHeight="1">
      <c r="A894" s="11">
        <v>889</v>
      </c>
      <c r="B894" s="423">
        <v>889</v>
      </c>
      <c r="C894" s="286">
        <v>46155</v>
      </c>
      <c r="D894" s="285" t="s">
        <v>480</v>
      </c>
      <c r="E894" s="307" t="str">
        <f>IFERROR(VLOOKUP($D894,임시동력입.출고현황!$A:$G,E$5,0),)</f>
        <v>MCB</v>
      </c>
      <c r="F894" s="287" t="str">
        <f>IFERROR(VLOOKUP($D894,임시동력입.출고현황!$A:$G,F$5,0),)</f>
        <v>RCBO</v>
      </c>
      <c r="G894" s="287">
        <f>IFERROR(VLOOKUP($D894,임시동력입.출고현황!$A:$G,G$5,0),)</f>
        <v>0</v>
      </c>
      <c r="H894" s="287" t="str">
        <f>IFERROR(VLOOKUP($D894,임시동력입.출고현황!$A:$G,H$5,0),)</f>
        <v>1P + N -16A - 30 mA</v>
      </c>
      <c r="I894" s="285" t="str">
        <f>IFERROR(VLOOKUP($D894,임시동력입.출고현황!$A:$G,I$5,0),)</f>
        <v>EA</v>
      </c>
      <c r="J894" s="285">
        <v>1</v>
      </c>
      <c r="K894" s="308" t="s">
        <v>352</v>
      </c>
      <c r="L894" s="309">
        <v>1</v>
      </c>
      <c r="M894" s="310" t="s">
        <v>552</v>
      </c>
      <c r="N894" s="311"/>
    </row>
    <row r="895" spans="1:14" ht="28.2" customHeight="1">
      <c r="A895" s="11">
        <v>890</v>
      </c>
      <c r="B895" s="423">
        <v>890</v>
      </c>
      <c r="C895" s="286">
        <v>46155</v>
      </c>
      <c r="D895" s="285" t="s">
        <v>484</v>
      </c>
      <c r="E895" s="307" t="str">
        <f>IFERROR(VLOOKUP($D895,임시동력입.출고현황!$A:$G,E$5,0),)</f>
        <v>MCB</v>
      </c>
      <c r="F895" s="287" t="str">
        <f>IFERROR(VLOOKUP($D895,임시동력입.출고현황!$A:$G,F$5,0),)</f>
        <v>RCCB</v>
      </c>
      <c r="G895" s="287">
        <f>IFERROR(VLOOKUP($D895,임시동력입.출고현황!$A:$G,G$5,0),)</f>
        <v>0</v>
      </c>
      <c r="H895" s="287" t="str">
        <f>IFERROR(VLOOKUP($D895,임시동력입.출고현황!$A:$G,H$5,0),)</f>
        <v>4P - 63A - 30 mA</v>
      </c>
      <c r="I895" s="285" t="str">
        <f>IFERROR(VLOOKUP($D895,임시동력입.출고현황!$A:$G,I$5,0),)</f>
        <v>EA</v>
      </c>
      <c r="J895" s="285">
        <v>1</v>
      </c>
      <c r="K895" s="308" t="s">
        <v>352</v>
      </c>
      <c r="L895" s="309">
        <v>1</v>
      </c>
      <c r="M895" s="310" t="s">
        <v>552</v>
      </c>
      <c r="N895" s="311"/>
    </row>
    <row r="896" spans="1:14" ht="28.2" customHeight="1">
      <c r="A896" s="11">
        <v>891</v>
      </c>
      <c r="B896" s="423">
        <v>891</v>
      </c>
      <c r="C896" s="286">
        <v>46156</v>
      </c>
      <c r="D896" s="285" t="s">
        <v>480</v>
      </c>
      <c r="E896" s="307" t="str">
        <f>IFERROR(VLOOKUP($D896,임시동력입.출고현황!$A:$G,E$5,0),)</f>
        <v>MCB</v>
      </c>
      <c r="F896" s="287" t="str">
        <f>IFERROR(VLOOKUP($D896,임시동력입.출고현황!$A:$G,F$5,0),)</f>
        <v>RCBO</v>
      </c>
      <c r="G896" s="287">
        <f>IFERROR(VLOOKUP($D896,임시동력입.출고현황!$A:$G,G$5,0),)</f>
        <v>0</v>
      </c>
      <c r="H896" s="287" t="str">
        <f>IFERROR(VLOOKUP($D896,임시동력입.출고현황!$A:$G,H$5,0),)</f>
        <v>1P + N -16A - 30 mA</v>
      </c>
      <c r="I896" s="285" t="str">
        <f>IFERROR(VLOOKUP($D896,임시동력입.출고현황!$A:$G,I$5,0),)</f>
        <v>EA</v>
      </c>
      <c r="J896" s="285">
        <v>1</v>
      </c>
      <c r="K896" s="308" t="s">
        <v>352</v>
      </c>
      <c r="L896" s="309">
        <v>1</v>
      </c>
      <c r="M896" s="310" t="s">
        <v>696</v>
      </c>
      <c r="N896" s="311"/>
    </row>
    <row r="897" spans="1:14" ht="28.2" customHeight="1">
      <c r="A897" s="11">
        <v>892</v>
      </c>
      <c r="B897" s="423">
        <v>892</v>
      </c>
      <c r="C897" s="286">
        <v>46156</v>
      </c>
      <c r="D897" s="285" t="s">
        <v>484</v>
      </c>
      <c r="E897" s="307" t="str">
        <f>IFERROR(VLOOKUP($D897,임시동력입.출고현황!$A:$G,E$5,0),)</f>
        <v>MCB</v>
      </c>
      <c r="F897" s="287" t="str">
        <f>IFERROR(VLOOKUP($D897,임시동력입.출고현황!$A:$G,F$5,0),)</f>
        <v>RCCB</v>
      </c>
      <c r="G897" s="287">
        <f>IFERROR(VLOOKUP($D897,임시동력입.출고현황!$A:$G,G$5,0),)</f>
        <v>0</v>
      </c>
      <c r="H897" s="287" t="str">
        <f>IFERROR(VLOOKUP($D897,임시동력입.출고현황!$A:$G,H$5,0),)</f>
        <v>4P - 63A - 30 mA</v>
      </c>
      <c r="I897" s="285" t="str">
        <f>IFERROR(VLOOKUP($D897,임시동력입.출고현황!$A:$G,I$5,0),)</f>
        <v>EA</v>
      </c>
      <c r="J897" s="285">
        <v>1</v>
      </c>
      <c r="K897" s="308" t="s">
        <v>547</v>
      </c>
      <c r="L897" s="309">
        <v>1</v>
      </c>
      <c r="M897" s="310" t="s">
        <v>696</v>
      </c>
      <c r="N897" s="311"/>
    </row>
    <row r="898" spans="1:14" ht="28.2" customHeight="1">
      <c r="A898" s="11">
        <v>893</v>
      </c>
      <c r="B898" s="423">
        <v>893</v>
      </c>
      <c r="C898" s="286">
        <v>46156</v>
      </c>
      <c r="D898" s="285" t="s">
        <v>329</v>
      </c>
      <c r="E898" s="307" t="str">
        <f>IFERROR(VLOOKUP($D898,임시동력입.출고현황!$A:$G,E$5,0),)</f>
        <v>Cable</v>
      </c>
      <c r="F898" s="287" t="str">
        <f>IFERROR(VLOOKUP($D898,임시동력입.출고현황!$A:$G,F$5,0),)</f>
        <v>CV Cable</v>
      </c>
      <c r="G898" s="287">
        <f>IFERROR(VLOOKUP($D898,임시동력입.출고현황!$A:$G,G$5,0),)</f>
        <v>0</v>
      </c>
      <c r="H898" s="287" t="str">
        <f>IFERROR(VLOOKUP($D898,임시동력입.출고현황!$A:$G,H$5,0),)</f>
        <v>4C x 16mm2</v>
      </c>
      <c r="I898" s="285" t="str">
        <f>IFERROR(VLOOKUP($D898,임시동력입.출고현황!$A:$G,I$5,0),)</f>
        <v>M</v>
      </c>
      <c r="J898" s="285">
        <v>1</v>
      </c>
      <c r="K898" s="308" t="s">
        <v>352</v>
      </c>
      <c r="L898" s="309">
        <v>100</v>
      </c>
      <c r="M898" s="310" t="s">
        <v>1064</v>
      </c>
      <c r="N898" s="311"/>
    </row>
    <row r="899" spans="1:14" ht="28.2" customHeight="1">
      <c r="A899" s="11">
        <v>894</v>
      </c>
      <c r="B899" s="423">
        <v>894</v>
      </c>
      <c r="C899" s="286">
        <v>46156</v>
      </c>
      <c r="D899" s="285" t="s">
        <v>329</v>
      </c>
      <c r="E899" s="307" t="str">
        <f>IFERROR(VLOOKUP($D899,임시동력입.출고현황!$A:$G,E$5,0),)</f>
        <v>Cable</v>
      </c>
      <c r="F899" s="287" t="str">
        <f>IFERROR(VLOOKUP($D899,임시동력입.출고현황!$A:$G,F$5,0),)</f>
        <v>CV Cable</v>
      </c>
      <c r="G899" s="287">
        <f>IFERROR(VLOOKUP($D899,임시동력입.출고현황!$A:$G,G$5,0),)</f>
        <v>0</v>
      </c>
      <c r="H899" s="287" t="str">
        <f>IFERROR(VLOOKUP($D899,임시동력입.출고현황!$A:$G,H$5,0),)</f>
        <v>4C x 16mm2</v>
      </c>
      <c r="I899" s="285" t="str">
        <f>IFERROR(VLOOKUP($D899,임시동력입.출고현황!$A:$G,I$5,0),)</f>
        <v>M</v>
      </c>
      <c r="J899" s="285">
        <v>2</v>
      </c>
      <c r="K899" s="308" t="s">
        <v>360</v>
      </c>
      <c r="L899" s="309">
        <v>50</v>
      </c>
      <c r="M899" s="310" t="s">
        <v>1064</v>
      </c>
      <c r="N899" s="311"/>
    </row>
    <row r="900" spans="1:14" ht="28.2" customHeight="1">
      <c r="A900" s="11">
        <v>895</v>
      </c>
      <c r="B900" s="423">
        <v>895</v>
      </c>
      <c r="C900" s="286">
        <v>46156</v>
      </c>
      <c r="D900" s="285" t="s">
        <v>335</v>
      </c>
      <c r="E900" s="307" t="str">
        <f>IFERROR(VLOOKUP($D900,임시동력입.출고현황!$A:$G,E$5,0),)</f>
        <v>Cable</v>
      </c>
      <c r="F900" s="287" t="str">
        <f>IFERROR(VLOOKUP($D900,임시동력입.출고현황!$A:$G,F$5,0),)</f>
        <v>CV Cable</v>
      </c>
      <c r="G900" s="287">
        <f>IFERROR(VLOOKUP($D900,임시동력입.출고현황!$A:$G,G$5,0),)</f>
        <v>0</v>
      </c>
      <c r="H900" s="287" t="str">
        <f>IFERROR(VLOOKUP($D900,임시동력입.출고현황!$A:$G,H$5,0),)</f>
        <v>3C x 2.5mm2</v>
      </c>
      <c r="I900" s="285" t="str">
        <f>IFERROR(VLOOKUP($D900,임시동력입.출고현황!$A:$G,I$5,0),)</f>
        <v>M</v>
      </c>
      <c r="J900" s="285">
        <v>2</v>
      </c>
      <c r="K900" s="308" t="s">
        <v>360</v>
      </c>
      <c r="L900" s="309">
        <v>50</v>
      </c>
      <c r="M900" s="310" t="s">
        <v>696</v>
      </c>
      <c r="N900" s="311"/>
    </row>
    <row r="901" spans="1:14" ht="28.2" customHeight="1">
      <c r="A901" s="11">
        <v>896</v>
      </c>
      <c r="B901" s="423">
        <v>896</v>
      </c>
      <c r="C901" s="286">
        <v>46157</v>
      </c>
      <c r="D901" s="285" t="s">
        <v>477</v>
      </c>
      <c r="E901" s="307" t="str">
        <f>IFERROR(VLOOKUP($D901,임시동력입.출고현황!$A:$G,E$5,0),)</f>
        <v>MCB</v>
      </c>
      <c r="F901" s="287" t="str">
        <f>IFERROR(VLOOKUP($D901,임시동력입.출고현황!$A:$G,F$5,0),)</f>
        <v>MCB</v>
      </c>
      <c r="G901" s="287">
        <f>IFERROR(VLOOKUP($D901,임시동력입.출고현황!$A:$G,G$5,0),)</f>
        <v>0</v>
      </c>
      <c r="H901" s="287" t="str">
        <f>IFERROR(VLOOKUP($D901,임시동력입.출고현황!$A:$G,H$5,0),)</f>
        <v>1P - 32A</v>
      </c>
      <c r="I901" s="285" t="str">
        <f>IFERROR(VLOOKUP($D901,임시동력입.출고현황!$A:$G,I$5,0),)</f>
        <v>EA</v>
      </c>
      <c r="J901" s="285" t="s">
        <v>557</v>
      </c>
      <c r="K901" s="308" t="s">
        <v>987</v>
      </c>
      <c r="L901" s="309">
        <v>1</v>
      </c>
      <c r="M901" s="310" t="s">
        <v>696</v>
      </c>
      <c r="N901" s="311"/>
    </row>
    <row r="902" spans="1:14" ht="28.2" customHeight="1">
      <c r="A902" s="11">
        <v>897</v>
      </c>
      <c r="B902" s="423">
        <v>897</v>
      </c>
      <c r="C902" s="286">
        <v>46157</v>
      </c>
      <c r="D902" s="285" t="s">
        <v>484</v>
      </c>
      <c r="E902" s="307" t="str">
        <f>IFERROR(VLOOKUP($D902,임시동력입.출고현황!$A:$G,E$5,0),)</f>
        <v>MCB</v>
      </c>
      <c r="F902" s="287" t="str">
        <f>IFERROR(VLOOKUP($D902,임시동력입.출고현황!$A:$G,F$5,0),)</f>
        <v>RCCB</v>
      </c>
      <c r="G902" s="287">
        <f>IFERROR(VLOOKUP($D902,임시동력입.출고현황!$A:$G,G$5,0),)</f>
        <v>0</v>
      </c>
      <c r="H902" s="287" t="str">
        <f>IFERROR(VLOOKUP($D902,임시동력입.출고현황!$A:$G,H$5,0),)</f>
        <v>4P - 63A - 30 mA</v>
      </c>
      <c r="I902" s="285" t="str">
        <f>IFERROR(VLOOKUP($D902,임시동력입.출고현황!$A:$G,I$5,0),)</f>
        <v>EA</v>
      </c>
      <c r="J902" s="285" t="s">
        <v>557</v>
      </c>
      <c r="K902" s="308" t="s">
        <v>987</v>
      </c>
      <c r="L902" s="309">
        <v>1</v>
      </c>
      <c r="M902" s="310" t="s">
        <v>696</v>
      </c>
      <c r="N902" s="311"/>
    </row>
    <row r="903" spans="1:14" ht="28.2" customHeight="1">
      <c r="A903" s="11">
        <v>898</v>
      </c>
      <c r="B903" s="423">
        <v>898</v>
      </c>
      <c r="C903" s="286">
        <v>46158</v>
      </c>
      <c r="D903" s="285" t="s">
        <v>341</v>
      </c>
      <c r="E903" s="307" t="str">
        <f>IFERROR(VLOOKUP($D903,임시동력입.출고현황!$A:$G,E$5,0),)</f>
        <v>LTG</v>
      </c>
      <c r="F903" s="287" t="str">
        <f>IFERROR(VLOOKUP($D903,임시동력입.출고현황!$A:$G,F$5,0),)</f>
        <v>Lighting Fixture</v>
      </c>
      <c r="G903" s="287">
        <f>IFERROR(VLOOKUP($D903,임시동력입.출고현황!$A:$G,G$5,0),)</f>
        <v>0</v>
      </c>
      <c r="H903" s="287" t="str">
        <f>IFERROR(VLOOKUP($D903,임시동력입.출고현황!$A:$G,H$5,0),)</f>
        <v>400W</v>
      </c>
      <c r="I903" s="285" t="str">
        <f>IFERROR(VLOOKUP($D903,임시동력입.출고현황!$A:$G,I$5,0),)</f>
        <v>EA</v>
      </c>
      <c r="J903" s="285">
        <v>2</v>
      </c>
      <c r="K903" s="308" t="s">
        <v>360</v>
      </c>
      <c r="L903" s="309">
        <v>17</v>
      </c>
      <c r="M903" s="310" t="s">
        <v>696</v>
      </c>
      <c r="N903" s="311"/>
    </row>
    <row r="904" spans="1:14" ht="28.2" customHeight="1">
      <c r="A904" s="11">
        <v>899</v>
      </c>
      <c r="B904" s="423">
        <v>899</v>
      </c>
      <c r="C904" s="286">
        <v>46158</v>
      </c>
      <c r="D904" s="285" t="s">
        <v>348</v>
      </c>
      <c r="E904" s="307" t="str">
        <f>IFERROR(VLOOKUP($D904,임시동력입.출고현황!$A:$G,E$5,0),)</f>
        <v>LTG</v>
      </c>
      <c r="F904" s="287" t="str">
        <f>IFERROR(VLOOKUP($D904,임시동력입.출고현황!$A:$G,F$5,0),)</f>
        <v>Lighting Fixture</v>
      </c>
      <c r="G904" s="287">
        <f>IFERROR(VLOOKUP($D904,임시동력입.출고현황!$A:$G,G$5,0),)</f>
        <v>0</v>
      </c>
      <c r="H904" s="287" t="str">
        <f>IFERROR(VLOOKUP($D904,임시동력입.출고현황!$A:$G,H$5,0),)</f>
        <v>100W</v>
      </c>
      <c r="I904" s="285" t="str">
        <f>IFERROR(VLOOKUP($D904,임시동력입.출고현황!$A:$G,I$5,0),)</f>
        <v>EA</v>
      </c>
      <c r="J904" s="285">
        <v>2</v>
      </c>
      <c r="K904" s="308" t="s">
        <v>360</v>
      </c>
      <c r="L904" s="309">
        <v>4</v>
      </c>
      <c r="M904" s="310" t="s">
        <v>696</v>
      </c>
      <c r="N904" s="311"/>
    </row>
    <row r="905" spans="1:14" ht="28.2" customHeight="1">
      <c r="A905" s="11">
        <v>900</v>
      </c>
      <c r="B905" s="423">
        <v>900</v>
      </c>
      <c r="C905" s="286">
        <v>46158</v>
      </c>
      <c r="D905" s="285" t="s">
        <v>349</v>
      </c>
      <c r="E905" s="307" t="str">
        <f>IFERROR(VLOOKUP($D905,임시동력입.출고현황!$A:$G,E$5,0),)</f>
        <v>LTG</v>
      </c>
      <c r="F905" s="287" t="str">
        <f>IFERROR(VLOOKUP($D905,임시동력입.출고현황!$A:$G,F$5,0),)</f>
        <v>Lighting Fixture</v>
      </c>
      <c r="G905" s="287">
        <f>IFERROR(VLOOKUP($D905,임시동력입.출고현황!$A:$G,G$5,0),)</f>
        <v>0</v>
      </c>
      <c r="H905" s="287" t="str">
        <f>IFERROR(VLOOKUP($D905,임시동력입.출고현황!$A:$G,H$5,0),)</f>
        <v>50W</v>
      </c>
      <c r="I905" s="285" t="str">
        <f>IFERROR(VLOOKUP($D905,임시동력입.출고현황!$A:$G,I$5,0),)</f>
        <v>EA</v>
      </c>
      <c r="J905" s="285">
        <v>2</v>
      </c>
      <c r="K905" s="308" t="s">
        <v>360</v>
      </c>
      <c r="L905" s="309">
        <v>3</v>
      </c>
      <c r="M905" s="310" t="s">
        <v>696</v>
      </c>
      <c r="N905" s="311"/>
    </row>
    <row r="906" spans="1:14" ht="28.2" customHeight="1">
      <c r="A906" s="11">
        <v>901</v>
      </c>
      <c r="B906" s="423">
        <v>901</v>
      </c>
      <c r="C906" s="286">
        <v>46159</v>
      </c>
      <c r="D906" s="285" t="s">
        <v>480</v>
      </c>
      <c r="E906" s="307" t="str">
        <f>IFERROR(VLOOKUP($D906,임시동력입.출고현황!$A:$G,E$5,0),)</f>
        <v>MCB</v>
      </c>
      <c r="F906" s="287" t="str">
        <f>IFERROR(VLOOKUP($D906,임시동력입.출고현황!$A:$G,F$5,0),)</f>
        <v>RCBO</v>
      </c>
      <c r="G906" s="287">
        <f>IFERROR(VLOOKUP($D906,임시동력입.출고현황!$A:$G,G$5,0),)</f>
        <v>0</v>
      </c>
      <c r="H906" s="287" t="str">
        <f>IFERROR(VLOOKUP($D906,임시동력입.출고현황!$A:$G,H$5,0),)</f>
        <v>1P + N -16A - 30 mA</v>
      </c>
      <c r="I906" s="285" t="str">
        <f>IFERROR(VLOOKUP($D906,임시동력입.출고현황!$A:$G,I$5,0),)</f>
        <v>EA</v>
      </c>
      <c r="J906" s="285" t="s">
        <v>557</v>
      </c>
      <c r="K906" s="308" t="s">
        <v>987</v>
      </c>
      <c r="L906" s="309">
        <v>1</v>
      </c>
      <c r="M906" s="310" t="s">
        <v>696</v>
      </c>
      <c r="N906" s="311"/>
    </row>
    <row r="907" spans="1:14" ht="28.2" customHeight="1">
      <c r="A907" s="11">
        <v>902</v>
      </c>
      <c r="B907" s="423">
        <v>902</v>
      </c>
      <c r="C907" s="286">
        <v>46160</v>
      </c>
      <c r="D907" s="285" t="s">
        <v>341</v>
      </c>
      <c r="E907" s="307" t="str">
        <f>IFERROR(VLOOKUP($D907,임시동력입.출고현황!$A:$G,E$5,0),)</f>
        <v>LTG</v>
      </c>
      <c r="F907" s="287" t="str">
        <f>IFERROR(VLOOKUP($D907,임시동력입.출고현황!$A:$G,F$5,0),)</f>
        <v>Lighting Fixture</v>
      </c>
      <c r="G907" s="287">
        <f>IFERROR(VLOOKUP($D907,임시동력입.출고현황!$A:$G,G$5,0),)</f>
        <v>0</v>
      </c>
      <c r="H907" s="287" t="str">
        <f>IFERROR(VLOOKUP($D907,임시동력입.출고현황!$A:$G,H$5,0),)</f>
        <v>400W</v>
      </c>
      <c r="I907" s="285" t="str">
        <f>IFERROR(VLOOKUP($D907,임시동력입.출고현황!$A:$G,I$5,0),)</f>
        <v>EA</v>
      </c>
      <c r="J907" s="285">
        <v>2</v>
      </c>
      <c r="K907" s="308" t="s">
        <v>360</v>
      </c>
      <c r="L907" s="309">
        <v>10</v>
      </c>
      <c r="M907" s="310" t="s">
        <v>1066</v>
      </c>
      <c r="N907" s="311"/>
    </row>
    <row r="908" spans="1:14" ht="28.2" customHeight="1">
      <c r="A908" s="11">
        <v>903</v>
      </c>
      <c r="B908" s="423">
        <v>903</v>
      </c>
      <c r="C908" s="286">
        <v>46160</v>
      </c>
      <c r="D908" s="285" t="s">
        <v>341</v>
      </c>
      <c r="E908" s="307" t="str">
        <f>IFERROR(VLOOKUP($D908,임시동력입.출고현황!$A:$G,E$5,0),)</f>
        <v>LTG</v>
      </c>
      <c r="F908" s="287" t="str">
        <f>IFERROR(VLOOKUP($D908,임시동력입.출고현황!$A:$G,F$5,0),)</f>
        <v>Lighting Fixture</v>
      </c>
      <c r="G908" s="287">
        <f>IFERROR(VLOOKUP($D908,임시동력입.출고현황!$A:$G,G$5,0),)</f>
        <v>0</v>
      </c>
      <c r="H908" s="287" t="str">
        <f>IFERROR(VLOOKUP($D908,임시동력입.출고현황!$A:$G,H$5,0),)</f>
        <v>400W</v>
      </c>
      <c r="I908" s="285" t="str">
        <f>IFERROR(VLOOKUP($D908,임시동력입.출고현황!$A:$G,I$5,0),)</f>
        <v>EA</v>
      </c>
      <c r="J908" s="285">
        <v>1</v>
      </c>
      <c r="K908" s="308" t="s">
        <v>363</v>
      </c>
      <c r="L908" s="309">
        <v>13</v>
      </c>
      <c r="M908" s="310" t="s">
        <v>696</v>
      </c>
      <c r="N908" s="311"/>
    </row>
    <row r="909" spans="1:14" ht="28.2" customHeight="1">
      <c r="A909" s="11">
        <v>904</v>
      </c>
      <c r="B909" s="423">
        <v>904</v>
      </c>
      <c r="C909" s="286">
        <v>46161</v>
      </c>
      <c r="D909" s="285" t="s">
        <v>476</v>
      </c>
      <c r="E909" s="307" t="str">
        <f>IFERROR(VLOOKUP($D909,임시동력입.출고현황!$A:$G,E$5,0),)</f>
        <v>MCB</v>
      </c>
      <c r="F909" s="287" t="str">
        <f>IFERROR(VLOOKUP($D909,임시동력입.출고현황!$A:$G,F$5,0),)</f>
        <v>MCB</v>
      </c>
      <c r="G909" s="287">
        <f>IFERROR(VLOOKUP($D909,임시동력입.출고현황!$A:$G,G$5,0),)</f>
        <v>0</v>
      </c>
      <c r="H909" s="287" t="str">
        <f>IFERROR(VLOOKUP($D909,임시동력입.출고현황!$A:$G,H$5,0),)</f>
        <v>1P - 25A</v>
      </c>
      <c r="I909" s="285" t="str">
        <f>IFERROR(VLOOKUP($D909,임시동력입.출고현황!$A:$G,I$5,0),)</f>
        <v>EA</v>
      </c>
      <c r="J909" s="285" t="s">
        <v>557</v>
      </c>
      <c r="K909" s="308" t="s">
        <v>987</v>
      </c>
      <c r="L909" s="309">
        <v>1</v>
      </c>
      <c r="M909" s="310" t="s">
        <v>696</v>
      </c>
      <c r="N909" s="311"/>
    </row>
    <row r="910" spans="1:14" ht="28.2" customHeight="1">
      <c r="A910" s="11">
        <v>905</v>
      </c>
      <c r="B910" s="423">
        <v>905</v>
      </c>
      <c r="C910" s="286">
        <v>46161</v>
      </c>
      <c r="D910" s="285" t="s">
        <v>347</v>
      </c>
      <c r="E910" s="307" t="str">
        <f>IFERROR(VLOOKUP($D910,임시동력입.출고현황!$A:$G,E$5,0),)</f>
        <v>LTG</v>
      </c>
      <c r="F910" s="287" t="str">
        <f>IFERROR(VLOOKUP($D910,임시동력입.출고현황!$A:$G,F$5,0),)</f>
        <v>Lighting Fixture</v>
      </c>
      <c r="G910" s="287">
        <f>IFERROR(VLOOKUP($D910,임시동력입.출고현황!$A:$G,G$5,0),)</f>
        <v>0</v>
      </c>
      <c r="H910" s="287" t="str">
        <f>IFERROR(VLOOKUP($D910,임시동력입.출고현황!$A:$G,H$5,0),)</f>
        <v>200W</v>
      </c>
      <c r="I910" s="285" t="str">
        <f>IFERROR(VLOOKUP($D910,임시동력입.출고현황!$A:$G,I$5,0),)</f>
        <v>EA</v>
      </c>
      <c r="J910" s="285">
        <v>2</v>
      </c>
      <c r="K910" s="308" t="s">
        <v>360</v>
      </c>
      <c r="L910" s="309">
        <v>10</v>
      </c>
      <c r="M910" s="310" t="s">
        <v>696</v>
      </c>
      <c r="N910" s="311"/>
    </row>
    <row r="911" spans="1:14" ht="28.2" customHeight="1">
      <c r="A911" s="11">
        <v>906</v>
      </c>
      <c r="B911" s="423">
        <v>906</v>
      </c>
      <c r="C911" s="286">
        <v>46161</v>
      </c>
      <c r="D911" s="285" t="s">
        <v>341</v>
      </c>
      <c r="E911" s="307" t="str">
        <f>IFERROR(VLOOKUP($D911,임시동력입.출고현황!$A:$G,E$5,0),)</f>
        <v>LTG</v>
      </c>
      <c r="F911" s="287" t="str">
        <f>IFERROR(VLOOKUP($D911,임시동력입.출고현황!$A:$G,F$5,0),)</f>
        <v>Lighting Fixture</v>
      </c>
      <c r="G911" s="287">
        <f>IFERROR(VLOOKUP($D911,임시동력입.출고현황!$A:$G,G$5,0),)</f>
        <v>0</v>
      </c>
      <c r="H911" s="287" t="str">
        <f>IFERROR(VLOOKUP($D911,임시동력입.출고현황!$A:$G,H$5,0),)</f>
        <v>400W</v>
      </c>
      <c r="I911" s="285" t="str">
        <f>IFERROR(VLOOKUP($D911,임시동력입.출고현황!$A:$G,I$5,0),)</f>
        <v>EA</v>
      </c>
      <c r="J911" s="285">
        <v>2</v>
      </c>
      <c r="K911" s="308" t="s">
        <v>360</v>
      </c>
      <c r="L911" s="309">
        <v>10</v>
      </c>
      <c r="M911" s="310" t="s">
        <v>696</v>
      </c>
      <c r="N911" s="311"/>
    </row>
    <row r="912" spans="1:14" ht="28.2" customHeight="1">
      <c r="A912" s="11">
        <v>907</v>
      </c>
      <c r="B912" s="423">
        <v>907</v>
      </c>
      <c r="C912" s="286">
        <v>46161</v>
      </c>
      <c r="D912" s="285" t="s">
        <v>329</v>
      </c>
      <c r="E912" s="307" t="str">
        <f>IFERROR(VLOOKUP($D912,임시동력입.출고현황!$A:$G,E$5,0),)</f>
        <v>Cable</v>
      </c>
      <c r="F912" s="287" t="str">
        <f>IFERROR(VLOOKUP($D912,임시동력입.출고현황!$A:$G,F$5,0),)</f>
        <v>CV Cable</v>
      </c>
      <c r="G912" s="287">
        <f>IFERROR(VLOOKUP($D912,임시동력입.출고현황!$A:$G,G$5,0),)</f>
        <v>0</v>
      </c>
      <c r="H912" s="287" t="str">
        <f>IFERROR(VLOOKUP($D912,임시동력입.출고현황!$A:$G,H$5,0),)</f>
        <v>4C x 16mm2</v>
      </c>
      <c r="I912" s="285" t="str">
        <f>IFERROR(VLOOKUP($D912,임시동력입.출고현황!$A:$G,I$5,0),)</f>
        <v>M</v>
      </c>
      <c r="J912" s="285">
        <v>1</v>
      </c>
      <c r="K912" s="308" t="s">
        <v>363</v>
      </c>
      <c r="L912" s="309">
        <v>100</v>
      </c>
      <c r="M912" s="310" t="s">
        <v>696</v>
      </c>
      <c r="N912" s="311"/>
    </row>
    <row r="913" spans="1:14" ht="28.2" customHeight="1">
      <c r="A913" s="11">
        <v>908</v>
      </c>
      <c r="B913" s="423">
        <v>908</v>
      </c>
      <c r="C913" s="286">
        <v>46161</v>
      </c>
      <c r="D913" s="285" t="s">
        <v>310</v>
      </c>
      <c r="E913" s="307" t="str">
        <f>IFERROR(VLOOKUP($D913,임시동력입.출고현황!$A:$G,E$5,0),)</f>
        <v>Panel</v>
      </c>
      <c r="F913" s="287" t="str">
        <f>IFERROR(VLOOKUP($D913,임시동력입.출고현황!$A:$G,F$5,0),)</f>
        <v>Electrical Panel</v>
      </c>
      <c r="G913" s="287">
        <f>IFERROR(VLOOKUP($D913,임시동력입.출고현황!$A:$G,G$5,0),)</f>
        <v>0</v>
      </c>
      <c r="H913" s="287" t="str">
        <f>IFERROR(VLOOKUP($D913,임시동력입.출고현황!$A:$G,H$5,0),)</f>
        <v>100A</v>
      </c>
      <c r="I913" s="285" t="str">
        <f>IFERROR(VLOOKUP($D913,임시동력입.출고현황!$A:$G,I$5,0),)</f>
        <v>EA</v>
      </c>
      <c r="J913" s="285">
        <v>1</v>
      </c>
      <c r="K913" s="308" t="s">
        <v>363</v>
      </c>
      <c r="L913" s="309">
        <v>1</v>
      </c>
      <c r="M913" s="310" t="s">
        <v>696</v>
      </c>
      <c r="N913" s="311"/>
    </row>
    <row r="914" spans="1:14" ht="28.2" customHeight="1">
      <c r="A914" s="11">
        <v>909</v>
      </c>
      <c r="B914" s="423">
        <v>909</v>
      </c>
      <c r="C914" s="286">
        <v>46162</v>
      </c>
      <c r="D914" s="285" t="s">
        <v>334</v>
      </c>
      <c r="E914" s="307" t="str">
        <f>IFERROR(VLOOKUP($D914,임시동력입.출고현황!$A:$G,E$5,0),)</f>
        <v>Cable</v>
      </c>
      <c r="F914" s="287" t="str">
        <f>IFERROR(VLOOKUP($D914,임시동력입.출고현황!$A:$G,F$5,0),)</f>
        <v>CV Cable</v>
      </c>
      <c r="G914" s="287">
        <f>IFERROR(VLOOKUP($D914,임시동력입.출고현황!$A:$G,G$5,0),)</f>
        <v>0</v>
      </c>
      <c r="H914" s="287" t="str">
        <f>IFERROR(VLOOKUP($D914,임시동력입.출고현황!$A:$G,H$5,0),)</f>
        <v>3C x 4mm2</v>
      </c>
      <c r="I914" s="285" t="str">
        <f>IFERROR(VLOOKUP($D914,임시동력입.출고현황!$A:$G,I$5,0),)</f>
        <v>M</v>
      </c>
      <c r="J914" s="285">
        <v>4</v>
      </c>
      <c r="K914" s="308" t="s">
        <v>690</v>
      </c>
      <c r="L914" s="309">
        <v>100</v>
      </c>
      <c r="M914" s="310" t="s">
        <v>696</v>
      </c>
      <c r="N914" s="311"/>
    </row>
    <row r="915" spans="1:14" ht="28.2" customHeight="1">
      <c r="A915" s="11">
        <v>910</v>
      </c>
      <c r="B915" s="423">
        <v>910</v>
      </c>
      <c r="C915" s="286">
        <v>46162</v>
      </c>
      <c r="D915" s="285" t="s">
        <v>310</v>
      </c>
      <c r="E915" s="307" t="str">
        <f>IFERROR(VLOOKUP($D915,임시동력입.출고현황!$A:$G,E$5,0),)</f>
        <v>Panel</v>
      </c>
      <c r="F915" s="287" t="str">
        <f>IFERROR(VLOOKUP($D915,임시동력입.출고현황!$A:$G,F$5,0),)</f>
        <v>Electrical Panel</v>
      </c>
      <c r="G915" s="287">
        <f>IFERROR(VLOOKUP($D915,임시동력입.출고현황!$A:$G,G$5,0),)</f>
        <v>0</v>
      </c>
      <c r="H915" s="287" t="str">
        <f>IFERROR(VLOOKUP($D915,임시동력입.출고현황!$A:$G,H$5,0),)</f>
        <v>100A</v>
      </c>
      <c r="I915" s="285" t="str">
        <f>IFERROR(VLOOKUP($D915,임시동력입.출고현황!$A:$G,I$5,0),)</f>
        <v>EA</v>
      </c>
      <c r="J915" s="285">
        <v>4</v>
      </c>
      <c r="K915" s="308" t="s">
        <v>690</v>
      </c>
      <c r="L915" s="309">
        <v>1</v>
      </c>
      <c r="M915" s="310" t="s">
        <v>696</v>
      </c>
      <c r="N915" s="311"/>
    </row>
    <row r="916" spans="1:14" ht="28.2" customHeight="1">
      <c r="A916" s="11">
        <v>911</v>
      </c>
      <c r="B916" s="423">
        <v>911</v>
      </c>
      <c r="C916" s="286">
        <v>46162</v>
      </c>
      <c r="D916" s="285" t="s">
        <v>479</v>
      </c>
      <c r="E916" s="307" t="str">
        <f>IFERROR(VLOOKUP($D916,임시동력입.출고현황!$A:$G,E$5,0),)</f>
        <v>MCB</v>
      </c>
      <c r="F916" s="287" t="str">
        <f>IFERROR(VLOOKUP($D916,임시동력입.출고현황!$A:$G,F$5,0),)</f>
        <v>MCB</v>
      </c>
      <c r="G916" s="287">
        <f>IFERROR(VLOOKUP($D916,임시동력입.출고현황!$A:$G,G$5,0),)</f>
        <v>0</v>
      </c>
      <c r="H916" s="287" t="str">
        <f>IFERROR(VLOOKUP($D916,임시동력입.출고현황!$A:$G,H$5,0),)</f>
        <v>3P - 63A</v>
      </c>
      <c r="I916" s="285" t="str">
        <f>IFERROR(VLOOKUP($D916,임시동력입.출고현황!$A:$G,I$5,0),)</f>
        <v>EA</v>
      </c>
      <c r="J916" s="285" t="s">
        <v>557</v>
      </c>
      <c r="K916" s="308" t="s">
        <v>987</v>
      </c>
      <c r="L916" s="309">
        <v>1</v>
      </c>
      <c r="M916" s="310" t="s">
        <v>696</v>
      </c>
      <c r="N916" s="311"/>
    </row>
    <row r="917" spans="1:14" ht="28.2" customHeight="1">
      <c r="A917" s="11">
        <v>912</v>
      </c>
      <c r="B917" s="423">
        <v>912</v>
      </c>
      <c r="C917" s="286">
        <v>46162</v>
      </c>
      <c r="D917" s="285" t="s">
        <v>514</v>
      </c>
      <c r="E917" s="307" t="str">
        <f>IFERROR(VLOOKUP($D917,임시동력입.출고현황!$A:$G,E$5,0),)</f>
        <v>power plug</v>
      </c>
      <c r="F917" s="287" t="str">
        <f>IFERROR(VLOOKUP($D917,임시동력입.출고현황!$A:$G,F$5,0),)</f>
        <v>Industrial Socket</v>
      </c>
      <c r="G917" s="287">
        <f>IFERROR(VLOOKUP($D917,임시동력입.출고현황!$A:$G,G$5,0),)</f>
        <v>0</v>
      </c>
      <c r="H917" s="287" t="str">
        <f>IFERROR(VLOOKUP($D917,임시동력입.출고현황!$A:$G,H$5,0),)</f>
        <v>5P - 63A</v>
      </c>
      <c r="I917" s="285" t="str">
        <f>IFERROR(VLOOKUP($D917,임시동력입.출고현황!$A:$G,I$5,0),)</f>
        <v>EA</v>
      </c>
      <c r="J917" s="285" t="s">
        <v>557</v>
      </c>
      <c r="K917" s="308" t="s">
        <v>987</v>
      </c>
      <c r="L917" s="309">
        <v>1</v>
      </c>
      <c r="M917" s="310" t="s">
        <v>696</v>
      </c>
      <c r="N917" s="311"/>
    </row>
    <row r="918" spans="1:14" ht="28.2" customHeight="1">
      <c r="A918" s="11"/>
      <c r="B918" s="290"/>
      <c r="C918" s="129"/>
      <c r="D918" s="10"/>
      <c r="E918" s="41">
        <f>IFERROR(VLOOKUP($D918,임시동력입.출고현황!$A:$G,E$5,0),)</f>
        <v>0</v>
      </c>
      <c r="F918" s="19">
        <f>IFERROR(VLOOKUP($D918,임시동력입.출고현황!$A:$G,F$5,0),)</f>
        <v>0</v>
      </c>
      <c r="G918" s="19">
        <f>IFERROR(VLOOKUP($D918,임시동력입.출고현황!$A:$G,G$5,0),)</f>
        <v>0</v>
      </c>
      <c r="H918" s="19">
        <f>IFERROR(VLOOKUP($D918,임시동력입.출고현황!$A:$G,H$5,0),)</f>
        <v>0</v>
      </c>
      <c r="I918" s="10">
        <f>IFERROR(VLOOKUP($D918,임시동력입.출고현황!$A:$G,I$5,0),)</f>
        <v>0</v>
      </c>
      <c r="J918" s="10"/>
      <c r="K918" s="95"/>
      <c r="L918" s="57"/>
      <c r="M918" s="81"/>
      <c r="N918" s="134"/>
    </row>
    <row r="919" spans="1:14" ht="28.2" customHeight="1">
      <c r="A919" s="11"/>
      <c r="B919" s="290"/>
      <c r="C919" s="129"/>
      <c r="D919" s="10"/>
      <c r="E919" s="41">
        <f>IFERROR(VLOOKUP($D919,임시동력입.출고현황!$A:$G,E$5,0),)</f>
        <v>0</v>
      </c>
      <c r="F919" s="19">
        <f>IFERROR(VLOOKUP($D919,임시동력입.출고현황!$A:$G,F$5,0),)</f>
        <v>0</v>
      </c>
      <c r="G919" s="19">
        <f>IFERROR(VLOOKUP($D919,임시동력입.출고현황!$A:$G,G$5,0),)</f>
        <v>0</v>
      </c>
      <c r="H919" s="19">
        <f>IFERROR(VLOOKUP($D919,임시동력입.출고현황!$A:$G,H$5,0),)</f>
        <v>0</v>
      </c>
      <c r="I919" s="10">
        <f>IFERROR(VLOOKUP($D919,임시동력입.출고현황!$A:$G,I$5,0),)</f>
        <v>0</v>
      </c>
      <c r="J919" s="10"/>
      <c r="K919" s="95"/>
      <c r="L919" s="57"/>
      <c r="M919" s="81"/>
      <c r="N919" s="134"/>
    </row>
    <row r="920" spans="1:14" ht="28.2" customHeight="1">
      <c r="A920" s="11"/>
      <c r="B920" s="290"/>
      <c r="C920" s="129"/>
      <c r="D920" s="10"/>
      <c r="E920" s="41">
        <f>IFERROR(VLOOKUP($D920,임시동력입.출고현황!$A:$G,E$5,0),)</f>
        <v>0</v>
      </c>
      <c r="F920" s="19">
        <f>IFERROR(VLOOKUP($D920,임시동력입.출고현황!$A:$G,F$5,0),)</f>
        <v>0</v>
      </c>
      <c r="G920" s="19">
        <f>IFERROR(VLOOKUP($D920,임시동력입.출고현황!$A:$G,G$5,0),)</f>
        <v>0</v>
      </c>
      <c r="H920" s="19">
        <f>IFERROR(VLOOKUP($D920,임시동력입.출고현황!$A:$G,H$5,0),)</f>
        <v>0</v>
      </c>
      <c r="I920" s="10">
        <f>IFERROR(VLOOKUP($D920,임시동력입.출고현황!$A:$G,I$5,0),)</f>
        <v>0</v>
      </c>
      <c r="J920" s="10"/>
      <c r="K920" s="95"/>
      <c r="L920" s="57"/>
      <c r="M920" s="81"/>
      <c r="N920" s="134"/>
    </row>
    <row r="921" spans="1:14" ht="28.2" customHeight="1">
      <c r="A921" s="11"/>
      <c r="B921" s="290"/>
      <c r="C921" s="129"/>
      <c r="D921" s="10"/>
      <c r="E921" s="41">
        <f>IFERROR(VLOOKUP($D921,임시동력입.출고현황!$A:$G,E$5,0),)</f>
        <v>0</v>
      </c>
      <c r="F921" s="19">
        <f>IFERROR(VLOOKUP($D921,임시동력입.출고현황!$A:$G,F$5,0),)</f>
        <v>0</v>
      </c>
      <c r="G921" s="19">
        <f>IFERROR(VLOOKUP($D921,임시동력입.출고현황!$A:$G,G$5,0),)</f>
        <v>0</v>
      </c>
      <c r="H921" s="19">
        <f>IFERROR(VLOOKUP($D921,임시동력입.출고현황!$A:$G,H$5,0),)</f>
        <v>0</v>
      </c>
      <c r="I921" s="10">
        <f>IFERROR(VLOOKUP($D921,임시동력입.출고현황!$A:$G,I$5,0),)</f>
        <v>0</v>
      </c>
      <c r="J921" s="10"/>
      <c r="K921" s="95"/>
      <c r="L921" s="57"/>
      <c r="M921" s="81"/>
      <c r="N921" s="134"/>
    </row>
    <row r="922" spans="1:14" ht="28.2" customHeight="1">
      <c r="A922" s="11"/>
      <c r="B922" s="290"/>
      <c r="C922" s="129"/>
      <c r="D922" s="10"/>
      <c r="E922" s="41">
        <f>IFERROR(VLOOKUP($D922,임시동력입.출고현황!$A:$G,E$5,0),)</f>
        <v>0</v>
      </c>
      <c r="F922" s="19">
        <f>IFERROR(VLOOKUP($D922,임시동력입.출고현황!$A:$G,F$5,0),)</f>
        <v>0</v>
      </c>
      <c r="G922" s="19">
        <f>IFERROR(VLOOKUP($D922,임시동력입.출고현황!$A:$G,G$5,0),)</f>
        <v>0</v>
      </c>
      <c r="H922" s="19">
        <f>IFERROR(VLOOKUP($D922,임시동력입.출고현황!$A:$G,H$5,0),)</f>
        <v>0</v>
      </c>
      <c r="I922" s="10">
        <f>IFERROR(VLOOKUP($D922,임시동력입.출고현황!$A:$G,I$5,0),)</f>
        <v>0</v>
      </c>
      <c r="J922" s="10"/>
      <c r="K922" s="95"/>
      <c r="L922" s="57"/>
      <c r="M922" s="81"/>
      <c r="N922" s="134"/>
    </row>
    <row r="923" spans="1:14" ht="28.2" customHeight="1">
      <c r="A923" s="11"/>
      <c r="B923" s="290"/>
      <c r="C923" s="129"/>
      <c r="D923" s="10"/>
      <c r="E923" s="41">
        <f>IFERROR(VLOOKUP($D923,임시동력입.출고현황!$A:$G,E$5,0),)</f>
        <v>0</v>
      </c>
      <c r="F923" s="19">
        <f>IFERROR(VLOOKUP($D923,임시동력입.출고현황!$A:$G,F$5,0),)</f>
        <v>0</v>
      </c>
      <c r="G923" s="19">
        <f>IFERROR(VLOOKUP($D923,임시동력입.출고현황!$A:$G,G$5,0),)</f>
        <v>0</v>
      </c>
      <c r="H923" s="19">
        <f>IFERROR(VLOOKUP($D923,임시동력입.출고현황!$A:$G,H$5,0),)</f>
        <v>0</v>
      </c>
      <c r="I923" s="10">
        <f>IFERROR(VLOOKUP($D923,임시동력입.출고현황!$A:$G,I$5,0),)</f>
        <v>0</v>
      </c>
      <c r="J923" s="10"/>
      <c r="K923" s="95"/>
      <c r="L923" s="57"/>
      <c r="M923" s="81"/>
      <c r="N923" s="134"/>
    </row>
    <row r="924" spans="1:14" ht="28.2" customHeight="1">
      <c r="A924" s="11"/>
      <c r="B924" s="290"/>
      <c r="C924" s="129"/>
      <c r="D924" s="10"/>
      <c r="E924" s="41">
        <f>IFERROR(VLOOKUP($D924,임시동력입.출고현황!$A:$G,E$5,0),)</f>
        <v>0</v>
      </c>
      <c r="F924" s="19">
        <f>IFERROR(VLOOKUP($D924,임시동력입.출고현황!$A:$G,F$5,0),)</f>
        <v>0</v>
      </c>
      <c r="G924" s="19">
        <f>IFERROR(VLOOKUP($D924,임시동력입.출고현황!$A:$G,G$5,0),)</f>
        <v>0</v>
      </c>
      <c r="H924" s="19">
        <f>IFERROR(VLOOKUP($D924,임시동력입.출고현황!$A:$G,H$5,0),)</f>
        <v>0</v>
      </c>
      <c r="I924" s="10">
        <f>IFERROR(VLOOKUP($D924,임시동력입.출고현황!$A:$G,I$5,0),)</f>
        <v>0</v>
      </c>
      <c r="J924" s="10"/>
      <c r="K924" s="95"/>
      <c r="L924" s="57"/>
      <c r="M924" s="81"/>
      <c r="N924" s="134"/>
    </row>
    <row r="925" spans="1:14" ht="28.2" customHeight="1">
      <c r="A925" s="11"/>
      <c r="B925" s="290"/>
      <c r="C925" s="129"/>
      <c r="D925" s="10"/>
      <c r="E925" s="41">
        <f>IFERROR(VLOOKUP($D925,임시동력입.출고현황!$A:$G,E$5,0),)</f>
        <v>0</v>
      </c>
      <c r="F925" s="19">
        <f>IFERROR(VLOOKUP($D925,임시동력입.출고현황!$A:$G,F$5,0),)</f>
        <v>0</v>
      </c>
      <c r="G925" s="19">
        <f>IFERROR(VLOOKUP($D925,임시동력입.출고현황!$A:$G,G$5,0),)</f>
        <v>0</v>
      </c>
      <c r="H925" s="19">
        <f>IFERROR(VLOOKUP($D925,임시동력입.출고현황!$A:$G,H$5,0),)</f>
        <v>0</v>
      </c>
      <c r="I925" s="10">
        <f>IFERROR(VLOOKUP($D925,임시동력입.출고현황!$A:$G,I$5,0),)</f>
        <v>0</v>
      </c>
      <c r="J925" s="10"/>
      <c r="K925" s="95"/>
      <c r="L925" s="57"/>
      <c r="M925" s="81"/>
      <c r="N925" s="134"/>
    </row>
    <row r="926" spans="1:14" ht="28.2" customHeight="1">
      <c r="A926" s="11"/>
      <c r="B926" s="290"/>
      <c r="C926" s="129"/>
      <c r="D926" s="10"/>
      <c r="E926" s="41">
        <f>IFERROR(VLOOKUP($D926,임시동력입.출고현황!$A:$G,E$5,0),)</f>
        <v>0</v>
      </c>
      <c r="F926" s="19">
        <f>IFERROR(VLOOKUP($D926,임시동력입.출고현황!$A:$G,F$5,0),)</f>
        <v>0</v>
      </c>
      <c r="G926" s="19">
        <f>IFERROR(VLOOKUP($D926,임시동력입.출고현황!$A:$G,G$5,0),)</f>
        <v>0</v>
      </c>
      <c r="H926" s="19">
        <f>IFERROR(VLOOKUP($D926,임시동력입.출고현황!$A:$G,H$5,0),)</f>
        <v>0</v>
      </c>
      <c r="I926" s="10">
        <f>IFERROR(VLOOKUP($D926,임시동력입.출고현황!$A:$G,I$5,0),)</f>
        <v>0</v>
      </c>
      <c r="J926" s="10"/>
      <c r="K926" s="95"/>
      <c r="L926" s="57"/>
      <c r="M926" s="81"/>
      <c r="N926" s="134"/>
    </row>
    <row r="927" spans="1:14" ht="28.2" customHeight="1">
      <c r="A927" s="11"/>
      <c r="B927" s="290"/>
      <c r="C927" s="129"/>
      <c r="D927" s="10"/>
      <c r="E927" s="41">
        <f>IFERROR(VLOOKUP($D927,임시동력입.출고현황!$A:$G,E$5,0),)</f>
        <v>0</v>
      </c>
      <c r="F927" s="19">
        <f>IFERROR(VLOOKUP($D927,임시동력입.출고현황!$A:$G,F$5,0),)</f>
        <v>0</v>
      </c>
      <c r="G927" s="19">
        <f>IFERROR(VLOOKUP($D927,임시동력입.출고현황!$A:$G,G$5,0),)</f>
        <v>0</v>
      </c>
      <c r="H927" s="19">
        <f>IFERROR(VLOOKUP($D927,임시동력입.출고현황!$A:$G,H$5,0),)</f>
        <v>0</v>
      </c>
      <c r="I927" s="10">
        <f>IFERROR(VLOOKUP($D927,임시동력입.출고현황!$A:$G,I$5,0),)</f>
        <v>0</v>
      </c>
      <c r="J927" s="10"/>
      <c r="K927" s="95"/>
      <c r="L927" s="57"/>
      <c r="M927" s="81"/>
      <c r="N927" s="134"/>
    </row>
    <row r="928" spans="1:14" ht="28.2" customHeight="1">
      <c r="A928" s="11"/>
      <c r="B928" s="290"/>
      <c r="C928" s="129"/>
      <c r="D928" s="10"/>
      <c r="E928" s="41">
        <f>IFERROR(VLOOKUP($D928,임시동력입.출고현황!$A:$G,E$5,0),)</f>
        <v>0</v>
      </c>
      <c r="F928" s="19">
        <f>IFERROR(VLOOKUP($D928,임시동력입.출고현황!$A:$G,F$5,0),)</f>
        <v>0</v>
      </c>
      <c r="G928" s="19">
        <f>IFERROR(VLOOKUP($D928,임시동력입.출고현황!$A:$G,G$5,0),)</f>
        <v>0</v>
      </c>
      <c r="H928" s="19">
        <f>IFERROR(VLOOKUP($D928,임시동력입.출고현황!$A:$G,H$5,0),)</f>
        <v>0</v>
      </c>
      <c r="I928" s="10">
        <f>IFERROR(VLOOKUP($D928,임시동력입.출고현황!$A:$G,I$5,0),)</f>
        <v>0</v>
      </c>
      <c r="J928" s="10"/>
      <c r="K928" s="95"/>
      <c r="L928" s="57"/>
      <c r="M928" s="81"/>
      <c r="N928" s="134"/>
    </row>
    <row r="929" spans="1:14" ht="28.2" customHeight="1">
      <c r="A929" s="11"/>
      <c r="B929" s="290"/>
      <c r="C929" s="129"/>
      <c r="D929" s="10"/>
      <c r="E929" s="41">
        <f>IFERROR(VLOOKUP($D929,임시동력입.출고현황!$A:$G,E$5,0),)</f>
        <v>0</v>
      </c>
      <c r="F929" s="19">
        <f>IFERROR(VLOOKUP($D929,임시동력입.출고현황!$A:$G,F$5,0),)</f>
        <v>0</v>
      </c>
      <c r="G929" s="19">
        <f>IFERROR(VLOOKUP($D929,임시동력입.출고현황!$A:$G,G$5,0),)</f>
        <v>0</v>
      </c>
      <c r="H929" s="19">
        <f>IFERROR(VLOOKUP($D929,임시동력입.출고현황!$A:$G,H$5,0),)</f>
        <v>0</v>
      </c>
      <c r="I929" s="10">
        <f>IFERROR(VLOOKUP($D929,임시동력입.출고현황!$A:$G,I$5,0),)</f>
        <v>0</v>
      </c>
      <c r="J929" s="10"/>
      <c r="K929" s="95"/>
      <c r="L929" s="57"/>
      <c r="M929" s="81"/>
      <c r="N929" s="134"/>
    </row>
    <row r="930" spans="1:14" ht="28.2" customHeight="1">
      <c r="A930" s="11"/>
      <c r="B930" s="290"/>
      <c r="C930" s="129"/>
      <c r="D930" s="10"/>
      <c r="E930" s="41">
        <f>IFERROR(VLOOKUP($D930,임시동력입.출고현황!$A:$G,E$5,0),)</f>
        <v>0</v>
      </c>
      <c r="F930" s="19">
        <f>IFERROR(VLOOKUP($D930,임시동력입.출고현황!$A:$G,F$5,0),)</f>
        <v>0</v>
      </c>
      <c r="G930" s="19">
        <f>IFERROR(VLOOKUP($D930,임시동력입.출고현황!$A:$G,G$5,0),)</f>
        <v>0</v>
      </c>
      <c r="H930" s="19">
        <f>IFERROR(VLOOKUP($D930,임시동력입.출고현황!$A:$G,H$5,0),)</f>
        <v>0</v>
      </c>
      <c r="I930" s="10">
        <f>IFERROR(VLOOKUP($D930,임시동력입.출고현황!$A:$G,I$5,0),)</f>
        <v>0</v>
      </c>
      <c r="J930" s="10"/>
      <c r="K930" s="95"/>
      <c r="L930" s="57"/>
      <c r="M930" s="81"/>
      <c r="N930" s="134"/>
    </row>
    <row r="931" spans="1:14" ht="28.2" customHeight="1">
      <c r="A931" s="11"/>
      <c r="B931" s="290"/>
      <c r="C931" s="129"/>
      <c r="D931" s="10"/>
      <c r="E931" s="41">
        <f>IFERROR(VLOOKUP($D931,임시동력입.출고현황!$A:$G,E$5,0),)</f>
        <v>0</v>
      </c>
      <c r="F931" s="19">
        <f>IFERROR(VLOOKUP($D931,임시동력입.출고현황!$A:$G,F$5,0),)</f>
        <v>0</v>
      </c>
      <c r="G931" s="19">
        <f>IFERROR(VLOOKUP($D931,임시동력입.출고현황!$A:$G,G$5,0),)</f>
        <v>0</v>
      </c>
      <c r="H931" s="19">
        <f>IFERROR(VLOOKUP($D931,임시동력입.출고현황!$A:$G,H$5,0),)</f>
        <v>0</v>
      </c>
      <c r="I931" s="10">
        <f>IFERROR(VLOOKUP($D931,임시동력입.출고현황!$A:$G,I$5,0),)</f>
        <v>0</v>
      </c>
      <c r="J931" s="10"/>
      <c r="K931" s="95"/>
      <c r="L931" s="57"/>
      <c r="M931" s="81"/>
      <c r="N931" s="134"/>
    </row>
    <row r="932" spans="1:14" ht="28.2" customHeight="1">
      <c r="A932" s="11">
        <v>913</v>
      </c>
      <c r="B932" s="290">
        <v>913</v>
      </c>
      <c r="C932" s="129"/>
      <c r="D932" s="10"/>
      <c r="E932" s="41">
        <f>IFERROR(VLOOKUP($D932,임시동력입.출고현황!$A:$G,E$5,0),)</f>
        <v>0</v>
      </c>
      <c r="F932" s="19">
        <f>IFERROR(VLOOKUP($D932,임시동력입.출고현황!$A:$G,F$5,0),)</f>
        <v>0</v>
      </c>
      <c r="G932" s="19">
        <f>IFERROR(VLOOKUP($D932,임시동력입.출고현황!$A:$G,G$5,0),)</f>
        <v>0</v>
      </c>
      <c r="H932" s="19">
        <f>IFERROR(VLOOKUP($D932,임시동력입.출고현황!$A:$G,H$5,0),)</f>
        <v>0</v>
      </c>
      <c r="I932" s="10">
        <f>IFERROR(VLOOKUP($D932,임시동력입.출고현황!$A:$G,I$5,0),)</f>
        <v>0</v>
      </c>
      <c r="J932" s="10"/>
      <c r="K932" s="95"/>
      <c r="L932" s="57"/>
      <c r="M932" s="81"/>
      <c r="N932" s="134"/>
    </row>
    <row r="933" spans="1:14">
      <c r="A933" s="11"/>
      <c r="E933" s="39"/>
      <c r="F933" s="39">
        <v>3</v>
      </c>
      <c r="G933" s="39">
        <v>4</v>
      </c>
      <c r="H933" s="39">
        <v>4</v>
      </c>
      <c r="I933" s="39">
        <v>5</v>
      </c>
      <c r="J933" s="39"/>
      <c r="K933" s="39"/>
    </row>
  </sheetData>
  <autoFilter ref="A4:Q933" xr:uid="{894F705A-C091-4F9E-B709-D12F31B2236E}"/>
  <mergeCells count="13">
    <mergeCell ref="N3:N4"/>
    <mergeCell ref="H3:H4"/>
    <mergeCell ref="I3:I4"/>
    <mergeCell ref="J3:J4"/>
    <mergeCell ref="K3:K4"/>
    <mergeCell ref="L3:L4"/>
    <mergeCell ref="M3:M4"/>
    <mergeCell ref="G3:G4"/>
    <mergeCell ref="B3:B4"/>
    <mergeCell ref="C3:C4"/>
    <mergeCell ref="D3:D4"/>
    <mergeCell ref="E3:E4"/>
    <mergeCell ref="F3:F4"/>
  </mergeCells>
  <phoneticPr fontId="2" type="noConversion"/>
  <pageMargins left="0.39370078740157483" right="0.39370078740157483" top="0.45" bottom="0.54" header="0.31496062992125984" footer="0.31496062992125984"/>
  <pageSetup paperSize="9" scale="82" fitToHeight="0" orientation="landscape" r:id="rId1"/>
  <headerFooter>
    <oddFooter>&amp;C&amp;10&amp;P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B88F-A662-43D7-A23B-1EDE8B2EB3DD}">
  <sheetPr>
    <pageSetUpPr fitToPage="1"/>
  </sheetPr>
  <dimension ref="A1:X49"/>
  <sheetViews>
    <sheetView zoomScale="85" zoomScaleNormal="85" workbookViewId="0">
      <pane xSplit="10" ySplit="5" topLeftCell="K24" activePane="bottomRight" state="frozen"/>
      <selection pane="topRight" activeCell="K1" sqref="K1"/>
      <selection pane="bottomLeft" activeCell="A6" sqref="A6"/>
      <selection pane="bottomRight" activeCell="O20" sqref="O20"/>
    </sheetView>
  </sheetViews>
  <sheetFormatPr defaultColWidth="9" defaultRowHeight="13.8"/>
  <cols>
    <col min="1" max="1" width="8.21875" style="8" customWidth="1"/>
    <col min="2" max="2" width="7.21875" style="59" customWidth="1"/>
    <col min="3" max="3" width="28.6640625" style="59" customWidth="1"/>
    <col min="4" max="5" width="7.77734375" style="59" customWidth="1"/>
    <col min="6" max="12" width="7.6640625" style="60" customWidth="1"/>
    <col min="13" max="16" width="7.5546875" style="60" customWidth="1"/>
    <col min="17" max="17" width="7.6640625" style="60" customWidth="1"/>
    <col min="18" max="18" width="13.6640625" style="59" customWidth="1"/>
    <col min="19" max="20" width="5.88671875" style="61" customWidth="1"/>
    <col min="21" max="21" width="5.88671875" style="59" customWidth="1"/>
    <col min="22" max="23" width="5.88671875" style="66" customWidth="1"/>
    <col min="24" max="24" width="9" style="8"/>
    <col min="25" max="16384" width="9" style="59"/>
  </cols>
  <sheetData>
    <row r="1" spans="1:24" ht="27" customHeight="1">
      <c r="R1" s="17"/>
    </row>
    <row r="2" spans="1:24" ht="27" customHeight="1">
      <c r="B2" s="62" t="s">
        <v>250</v>
      </c>
    </row>
    <row r="3" spans="1:24" s="61" customFormat="1" ht="18" customHeight="1" thickBot="1">
      <c r="A3" s="8"/>
      <c r="B3" s="424" t="s">
        <v>4</v>
      </c>
      <c r="C3" s="424" t="s">
        <v>186</v>
      </c>
      <c r="D3" s="424" t="s">
        <v>187</v>
      </c>
      <c r="E3" s="424" t="s">
        <v>188</v>
      </c>
      <c r="F3" s="68" t="s">
        <v>189</v>
      </c>
      <c r="G3" s="68"/>
      <c r="H3" s="68"/>
      <c r="I3" s="68"/>
      <c r="J3" s="68"/>
      <c r="K3" s="115"/>
      <c r="L3" s="113" t="s">
        <v>190</v>
      </c>
      <c r="M3" s="68"/>
      <c r="N3" s="68"/>
      <c r="O3" s="68"/>
      <c r="P3" s="68"/>
      <c r="Q3" s="80"/>
      <c r="R3" s="424" t="s">
        <v>191</v>
      </c>
      <c r="U3" s="59"/>
      <c r="V3" s="66"/>
      <c r="W3" s="66"/>
      <c r="X3" s="8"/>
    </row>
    <row r="4" spans="1:24" s="61" customFormat="1" ht="18" customHeight="1">
      <c r="A4" s="8"/>
      <c r="B4" s="424"/>
      <c r="C4" s="424"/>
      <c r="D4" s="424"/>
      <c r="E4" s="424"/>
      <c r="F4" s="449" t="s">
        <v>48</v>
      </c>
      <c r="G4" s="449" t="s">
        <v>50</v>
      </c>
      <c r="H4" s="449" t="s">
        <v>49</v>
      </c>
      <c r="I4" s="449" t="s">
        <v>396</v>
      </c>
      <c r="J4" s="449" t="s">
        <v>192</v>
      </c>
      <c r="K4" s="451" t="s">
        <v>52</v>
      </c>
      <c r="L4" s="453" t="s">
        <v>193</v>
      </c>
      <c r="M4" s="68" t="s">
        <v>192</v>
      </c>
      <c r="N4" s="68"/>
      <c r="O4" s="68"/>
      <c r="P4" s="454" t="s">
        <v>251</v>
      </c>
      <c r="Q4" s="455" t="s">
        <v>195</v>
      </c>
      <c r="R4" s="444"/>
      <c r="U4" s="59"/>
      <c r="V4" s="66"/>
      <c r="W4" s="66"/>
      <c r="X4" s="8"/>
    </row>
    <row r="5" spans="1:24" s="61" customFormat="1" ht="18" customHeight="1">
      <c r="A5" s="8"/>
      <c r="B5" s="424"/>
      <c r="C5" s="424"/>
      <c r="D5" s="424"/>
      <c r="E5" s="424"/>
      <c r="F5" s="450"/>
      <c r="G5" s="450"/>
      <c r="H5" s="450"/>
      <c r="I5" s="450"/>
      <c r="J5" s="450"/>
      <c r="K5" s="452"/>
      <c r="L5" s="453"/>
      <c r="M5" s="67" t="s">
        <v>194</v>
      </c>
      <c r="N5" s="67" t="s">
        <v>51</v>
      </c>
      <c r="O5" s="67" t="s">
        <v>40</v>
      </c>
      <c r="P5" s="454"/>
      <c r="Q5" s="456"/>
      <c r="R5" s="444"/>
      <c r="U5" s="59"/>
      <c r="V5" s="66"/>
      <c r="W5" s="66"/>
      <c r="X5" s="8"/>
    </row>
    <row r="6" spans="1:24" s="61" customFormat="1" ht="18" customHeight="1">
      <c r="A6" s="8"/>
      <c r="B6" s="69" t="s">
        <v>252</v>
      </c>
      <c r="C6" s="70" t="s">
        <v>253</v>
      </c>
      <c r="D6" s="63"/>
      <c r="E6" s="63"/>
      <c r="F6" s="71"/>
      <c r="G6" s="71"/>
      <c r="H6" s="71"/>
      <c r="I6" s="71"/>
      <c r="J6" s="71"/>
      <c r="K6" s="116"/>
      <c r="L6" s="114">
        <f t="shared" ref="L6:L44" si="0">J6</f>
        <v>0</v>
      </c>
      <c r="M6" s="71"/>
      <c r="N6" s="71"/>
      <c r="O6" s="71"/>
      <c r="P6" s="72"/>
      <c r="Q6" s="73"/>
      <c r="R6" s="74"/>
      <c r="U6" s="59"/>
      <c r="V6" s="66"/>
      <c r="W6" s="66"/>
      <c r="X6" s="8"/>
    </row>
    <row r="7" spans="1:24" s="61" customFormat="1" ht="18" customHeight="1">
      <c r="A7" s="8" t="s">
        <v>180</v>
      </c>
      <c r="B7" s="63">
        <v>1</v>
      </c>
      <c r="C7" s="75" t="str">
        <f>VLOOKUP($A7,본공사입.출고현황!$B:$X,C$49,0)</f>
        <v>Ground Cable</v>
      </c>
      <c r="D7" s="76" t="str">
        <f>VLOOKUP($A7,본공사입.출고현황!$B:$X,D$49,0)</f>
        <v>78SQ</v>
      </c>
      <c r="E7" s="41" t="str">
        <f>VLOOKUP($A7,본공사입.출고현황!$B:$X,E$49,0)</f>
        <v>M</v>
      </c>
      <c r="F7" s="282">
        <f>SUMIF(본공사입.출고현황!$B:$B,$A7,본공사입.출고현황!I:I)</f>
        <v>17500</v>
      </c>
      <c r="G7" s="282">
        <f>SUMIF(본공사입.출고현황!$B:$B,$A7,본공사입.출고현황!J:J)</f>
        <v>17200</v>
      </c>
      <c r="H7" s="282">
        <f>F7-G7</f>
        <v>300</v>
      </c>
      <c r="I7" s="282">
        <f>SUMIF(본공사입.출고현황!$B:$B,$A7,본공사입.출고현황!L:L)</f>
        <v>300</v>
      </c>
      <c r="J7" s="282">
        <f>SUMIF(본공사입.출고현황!$B:$B,$A7,본공사입.출고현황!M:M)</f>
        <v>17200</v>
      </c>
      <c r="K7" s="283">
        <f>G7-J7</f>
        <v>0</v>
      </c>
      <c r="L7" s="297">
        <f t="shared" si="0"/>
        <v>17200</v>
      </c>
      <c r="M7" s="295">
        <f>SUMIF(본공사입.출고현황!$B:$B,$A7,본공사입.출고현황!P:P)</f>
        <v>14194.1</v>
      </c>
      <c r="N7" s="295">
        <f>SUMIF(본공사입.출고현황!$B:$B,$A7,본공사입.출고현황!Q:Q)</f>
        <v>0</v>
      </c>
      <c r="O7" s="295">
        <f>SUMIF(본공사입.출고현황!$B:$B,$A7,본공사입.출고현황!R:R)</f>
        <v>872.40000000000009</v>
      </c>
      <c r="P7" s="298">
        <f t="shared" ref="P7:P17" si="1">SUM(M7:O7)</f>
        <v>15066.5</v>
      </c>
      <c r="Q7" s="299">
        <f t="shared" ref="Q7:Q17" si="2">L7-P7</f>
        <v>2133.5</v>
      </c>
      <c r="R7" s="74"/>
      <c r="U7" s="59"/>
      <c r="V7" s="66"/>
      <c r="W7" s="66"/>
      <c r="X7" s="8"/>
    </row>
    <row r="8" spans="1:24" s="61" customFormat="1" ht="18" customHeight="1">
      <c r="A8" s="8" t="s">
        <v>70</v>
      </c>
      <c r="B8" s="63">
        <v>2</v>
      </c>
      <c r="C8" s="75" t="str">
        <f>VLOOKUP($A8,본공사입.출고현황!$B:$X,C$49,0)</f>
        <v>Ground Cable</v>
      </c>
      <c r="D8" s="76" t="str">
        <f>VLOOKUP($A8,본공사입.출고현황!$B:$X,D$49,0)</f>
        <v>70SQ</v>
      </c>
      <c r="E8" s="41" t="str">
        <f>VLOOKUP($A8,본공사입.출고현황!$B:$X,E$49,0)</f>
        <v>M</v>
      </c>
      <c r="F8" s="282">
        <f>SUMIF(본공사입.출고현황!$B:$B,$A8,본공사입.출고현황!I:I)</f>
        <v>3120</v>
      </c>
      <c r="G8" s="282">
        <f>SUMIF(본공사입.출고현황!$B:$B,$A8,본공사입.출고현황!J:J)</f>
        <v>3120</v>
      </c>
      <c r="H8" s="282">
        <f t="shared" ref="H8:H15" si="3">F8-G8</f>
        <v>0</v>
      </c>
      <c r="I8" s="282">
        <f>SUMIF(본공사입.출고현황!$B:$B,$A8,본공사입.출고현황!L:L)</f>
        <v>0</v>
      </c>
      <c r="J8" s="282">
        <f>SUMIF(본공사입.출고현황!$B:$B,$A8,본공사입.출고현황!M:M)</f>
        <v>3120</v>
      </c>
      <c r="K8" s="283">
        <f t="shared" ref="K8:K46" si="4">G8-J8</f>
        <v>0</v>
      </c>
      <c r="L8" s="297">
        <f t="shared" si="0"/>
        <v>3120</v>
      </c>
      <c r="M8" s="295">
        <f>SUMIF(본공사입.출고현황!$B:$B,$A8,본공사입.출고현황!P:P)</f>
        <v>258</v>
      </c>
      <c r="N8" s="295">
        <f>SUMIF(본공사입.출고현황!$B:$B,$A8,본공사입.출고현황!Q:Q)</f>
        <v>0</v>
      </c>
      <c r="O8" s="295">
        <f>SUMIF(본공사입.출고현황!$B:$B,$A8,본공사입.출고현황!R:R)</f>
        <v>0</v>
      </c>
      <c r="P8" s="298">
        <f t="shared" si="1"/>
        <v>258</v>
      </c>
      <c r="Q8" s="299">
        <f t="shared" si="2"/>
        <v>2862</v>
      </c>
      <c r="R8" s="74"/>
      <c r="U8" s="59"/>
      <c r="V8" s="66"/>
      <c r="W8" s="66"/>
      <c r="X8" s="8"/>
    </row>
    <row r="9" spans="1:24" s="61" customFormat="1" ht="18" customHeight="1">
      <c r="A9" s="8" t="s">
        <v>81</v>
      </c>
      <c r="B9" s="63">
        <v>3</v>
      </c>
      <c r="C9" s="75" t="str">
        <f>VLOOKUP($A9,본공사입.출고현황!$B:$X,C$49,0)</f>
        <v>Cadweld Powder</v>
      </c>
      <c r="D9" s="76" t="str">
        <f>VLOOKUP($A9,본공사입.출고현황!$B:$X,D$49,0)</f>
        <v>#90</v>
      </c>
      <c r="E9" s="41" t="str">
        <f>VLOOKUP($A9,본공사입.출고현황!$B:$X,E$49,0)</f>
        <v>EA</v>
      </c>
      <c r="F9" s="282">
        <f>SUMIF(본공사입.출고현황!$B:$B,$A9,본공사입.출고현황!I:I)</f>
        <v>100</v>
      </c>
      <c r="G9" s="282">
        <f>SUMIF(본공사입.출고현황!$B:$B,$A9,본공사입.출고현황!J:J)</f>
        <v>100</v>
      </c>
      <c r="H9" s="282">
        <f t="shared" si="3"/>
        <v>0</v>
      </c>
      <c r="I9" s="282">
        <f>SUMIF(본공사입.출고현황!$B:$B,$A9,본공사입.출고현황!L:L)</f>
        <v>0</v>
      </c>
      <c r="J9" s="282">
        <f>SUMIF(본공사입.출고현황!$B:$B,$A9,본공사입.출고현황!M:M)</f>
        <v>100</v>
      </c>
      <c r="K9" s="283">
        <f t="shared" si="4"/>
        <v>0</v>
      </c>
      <c r="L9" s="297">
        <f t="shared" si="0"/>
        <v>100</v>
      </c>
      <c r="M9" s="295">
        <f>SUMIF(본공사입.출고현황!$B:$B,$A9,본공사입.출고현황!P:P)</f>
        <v>5</v>
      </c>
      <c r="N9" s="295">
        <f>SUMIF(본공사입.출고현황!$B:$B,$A9,본공사입.출고현황!Q:Q)</f>
        <v>0</v>
      </c>
      <c r="O9" s="295">
        <f>SUMIF(본공사입.출고현황!$B:$B,$A9,본공사입.출고현황!R:R)</f>
        <v>2</v>
      </c>
      <c r="P9" s="298">
        <f t="shared" si="1"/>
        <v>7</v>
      </c>
      <c r="Q9" s="299">
        <f t="shared" si="2"/>
        <v>93</v>
      </c>
      <c r="R9" s="74"/>
      <c r="U9" s="59"/>
      <c r="V9" s="66"/>
      <c r="W9" s="66"/>
      <c r="X9" s="8"/>
    </row>
    <row r="10" spans="1:24" s="61" customFormat="1" ht="18" customHeight="1">
      <c r="A10" s="8" t="s">
        <v>86</v>
      </c>
      <c r="B10" s="63">
        <v>4</v>
      </c>
      <c r="C10" s="75" t="str">
        <f>VLOOKUP($A10,본공사입.출고현황!$B:$X,C$49,0)</f>
        <v>Cadweld Powder</v>
      </c>
      <c r="D10" s="76" t="str">
        <f>VLOOKUP($A10,본공사입.출고현황!$B:$X,D$49,0)</f>
        <v>#115</v>
      </c>
      <c r="E10" s="41" t="str">
        <f>VLOOKUP($A10,본공사입.출고현황!$B:$X,E$49,0)</f>
        <v>EA</v>
      </c>
      <c r="F10" s="282">
        <f>SUMIF(본공사입.출고현황!$B:$B,$A10,본공사입.출고현황!I:I)</f>
        <v>540</v>
      </c>
      <c r="G10" s="282">
        <f>SUMIF(본공사입.출고현황!$B:$B,$A10,본공사입.출고현황!J:J)</f>
        <v>540</v>
      </c>
      <c r="H10" s="282">
        <f t="shared" si="3"/>
        <v>0</v>
      </c>
      <c r="I10" s="282">
        <f>SUMIF(본공사입.출고현황!$B:$B,$A10,본공사입.출고현황!L:L)</f>
        <v>0</v>
      </c>
      <c r="J10" s="282">
        <f>SUMIF(본공사입.출고현황!$B:$B,$A10,본공사입.출고현황!M:M)</f>
        <v>540</v>
      </c>
      <c r="K10" s="283">
        <f t="shared" si="4"/>
        <v>0</v>
      </c>
      <c r="L10" s="297">
        <f t="shared" si="0"/>
        <v>540</v>
      </c>
      <c r="M10" s="295">
        <f>SUMIF(본공사입.출고현황!$B:$B,$A10,본공사입.출고현황!P:P)</f>
        <v>207</v>
      </c>
      <c r="N10" s="295">
        <f>SUMIF(본공사입.출고현황!$B:$B,$A10,본공사입.출고현황!Q:Q)</f>
        <v>0</v>
      </c>
      <c r="O10" s="295">
        <f>SUMIF(본공사입.출고현황!$B:$B,$A10,본공사입.출고현황!R:R)</f>
        <v>16</v>
      </c>
      <c r="P10" s="298">
        <f t="shared" si="1"/>
        <v>223</v>
      </c>
      <c r="Q10" s="299">
        <f t="shared" si="2"/>
        <v>317</v>
      </c>
      <c r="R10" s="74"/>
      <c r="U10" s="59"/>
      <c r="V10" s="66"/>
      <c r="W10" s="66"/>
      <c r="X10" s="8"/>
    </row>
    <row r="11" spans="1:24" s="61" customFormat="1" ht="18" customHeight="1">
      <c r="A11" s="8" t="s">
        <v>90</v>
      </c>
      <c r="B11" s="63">
        <v>5</v>
      </c>
      <c r="C11" s="75" t="str">
        <f>VLOOKUP($A11,본공사입.출고현황!$B:$X,C$49,0)</f>
        <v>Cadweld Powder</v>
      </c>
      <c r="D11" s="76" t="str">
        <f>VLOOKUP($A11,본공사입.출고현황!$B:$X,D$49,0)</f>
        <v>#150</v>
      </c>
      <c r="E11" s="41" t="str">
        <f>VLOOKUP($A11,본공사입.출고현황!$B:$X,E$49,0)</f>
        <v>EA</v>
      </c>
      <c r="F11" s="282">
        <f>SUMIF(본공사입.출고현황!$B:$B,$A11,본공사입.출고현황!I:I)</f>
        <v>100</v>
      </c>
      <c r="G11" s="282">
        <f>SUMIF(본공사입.출고현황!$B:$B,$A11,본공사입.출고현황!J:J)</f>
        <v>100</v>
      </c>
      <c r="H11" s="282">
        <f t="shared" si="3"/>
        <v>0</v>
      </c>
      <c r="I11" s="282">
        <f>SUMIF(본공사입.출고현황!$B:$B,$A11,본공사입.출고현황!L:L)</f>
        <v>0</v>
      </c>
      <c r="J11" s="282">
        <f>SUMIF(본공사입.출고현황!$B:$B,$A11,본공사입.출고현황!M:M)</f>
        <v>100</v>
      </c>
      <c r="K11" s="283">
        <f t="shared" si="4"/>
        <v>0</v>
      </c>
      <c r="L11" s="297">
        <f t="shared" si="0"/>
        <v>100</v>
      </c>
      <c r="M11" s="295">
        <f>SUMIF(본공사입.출고현황!$B:$B,$A11,본공사입.출고현황!P:P)</f>
        <v>0</v>
      </c>
      <c r="N11" s="295">
        <f>SUMIF(본공사입.출고현황!$B:$B,$A11,본공사입.출고현황!Q:Q)</f>
        <v>0</v>
      </c>
      <c r="O11" s="295">
        <f>SUMIF(본공사입.출고현황!$B:$B,$A11,본공사입.출고현황!R:R)</f>
        <v>0</v>
      </c>
      <c r="P11" s="298">
        <f t="shared" si="1"/>
        <v>0</v>
      </c>
      <c r="Q11" s="299">
        <f t="shared" si="2"/>
        <v>100</v>
      </c>
      <c r="R11" s="74"/>
      <c r="U11" s="59"/>
      <c r="V11" s="66"/>
      <c r="W11" s="66"/>
      <c r="X11" s="8"/>
    </row>
    <row r="12" spans="1:24" s="61" customFormat="1" ht="18" customHeight="1">
      <c r="A12" s="8" t="s">
        <v>94</v>
      </c>
      <c r="B12" s="63">
        <v>6</v>
      </c>
      <c r="C12" s="75" t="str">
        <f>VLOOKUP($A12,본공사입.출고현황!$B:$X,C$49,0)</f>
        <v>Cadweld Powder</v>
      </c>
      <c r="D12" s="76" t="str">
        <f>VLOOKUP($A12,본공사입.출고현황!$B:$X,D$49,0)</f>
        <v>#200</v>
      </c>
      <c r="E12" s="41" t="str">
        <f>VLOOKUP($A12,본공사입.출고현황!$B:$X,E$49,0)</f>
        <v>EA</v>
      </c>
      <c r="F12" s="282">
        <f>SUMIF(본공사입.출고현황!$B:$B,$A12,본공사입.출고현황!I:I)</f>
        <v>1332</v>
      </c>
      <c r="G12" s="282">
        <f>SUMIF(본공사입.출고현황!$B:$B,$A12,본공사입.출고현황!J:J)</f>
        <v>1332</v>
      </c>
      <c r="H12" s="282">
        <f t="shared" si="3"/>
        <v>0</v>
      </c>
      <c r="I12" s="282">
        <f>SUMIF(본공사입.출고현황!$B:$B,$A12,본공사입.출고현황!L:L)</f>
        <v>0</v>
      </c>
      <c r="J12" s="282">
        <f>SUMIF(본공사입.출고현황!$B:$B,$A12,본공사입.출고현황!M:M)</f>
        <v>1332</v>
      </c>
      <c r="K12" s="283">
        <f t="shared" si="4"/>
        <v>0</v>
      </c>
      <c r="L12" s="297">
        <f t="shared" si="0"/>
        <v>1332</v>
      </c>
      <c r="M12" s="295">
        <f>SUMIF(본공사입.출고현황!$B:$B,$A12,본공사입.출고현황!P:P)</f>
        <v>742</v>
      </c>
      <c r="N12" s="295">
        <f>SUMIF(본공사입.출고현황!$B:$B,$A12,본공사입.출고현황!Q:Q)</f>
        <v>0</v>
      </c>
      <c r="O12" s="295">
        <f>SUMIF(본공사입.출고현황!$B:$B,$A12,본공사입.출고현황!R:R)</f>
        <v>223</v>
      </c>
      <c r="P12" s="298">
        <f t="shared" si="1"/>
        <v>965</v>
      </c>
      <c r="Q12" s="299">
        <f t="shared" si="2"/>
        <v>367</v>
      </c>
      <c r="R12" s="74"/>
      <c r="U12" s="59"/>
      <c r="V12" s="66"/>
      <c r="W12" s="66"/>
      <c r="X12" s="8"/>
    </row>
    <row r="13" spans="1:24" s="61" customFormat="1" ht="18" customHeight="1">
      <c r="A13" s="8" t="s">
        <v>98</v>
      </c>
      <c r="B13" s="63">
        <v>7</v>
      </c>
      <c r="C13" s="75" t="str">
        <f>VLOOKUP($A13,본공사입.출고현황!$B:$X,C$49,0)</f>
        <v>Cadweld Mold</v>
      </c>
      <c r="D13" s="76" t="str">
        <f>VLOOKUP($A13,본공사입.출고현황!$B:$X,D$49,0)</f>
        <v>Cross (+)</v>
      </c>
      <c r="E13" s="41" t="str">
        <f>VLOOKUP($A13,본공사입.출고현황!$B:$X,E$49,0)</f>
        <v>EA</v>
      </c>
      <c r="F13" s="282">
        <f>SUMIF(본공사입.출고현황!$B:$B,$A13,본공사입.출고현황!I:I)</f>
        <v>30</v>
      </c>
      <c r="G13" s="282">
        <f>SUMIF(본공사입.출고현황!$B:$B,$A13,본공사입.출고현황!J:J)</f>
        <v>30</v>
      </c>
      <c r="H13" s="282">
        <f t="shared" si="3"/>
        <v>0</v>
      </c>
      <c r="I13" s="282">
        <f>SUMIF(본공사입.출고현황!$B:$B,$A13,본공사입.출고현황!L:L)</f>
        <v>0</v>
      </c>
      <c r="J13" s="282">
        <f>SUMIF(본공사입.출고현황!$B:$B,$A13,본공사입.출고현황!M:M)</f>
        <v>30</v>
      </c>
      <c r="K13" s="283">
        <f t="shared" si="4"/>
        <v>0</v>
      </c>
      <c r="L13" s="297">
        <f t="shared" si="0"/>
        <v>30</v>
      </c>
      <c r="M13" s="295">
        <f>SUMIF(본공사입.출고현황!$B:$B,$A13,본공사입.출고현황!P:P)</f>
        <v>13</v>
      </c>
      <c r="N13" s="295">
        <f>SUMIF(본공사입.출고현황!$B:$B,$A13,본공사입.출고현황!Q:Q)</f>
        <v>0</v>
      </c>
      <c r="O13" s="295">
        <f>SUMIF(본공사입.출고현황!$B:$B,$A13,본공사입.출고현황!R:R)</f>
        <v>0</v>
      </c>
      <c r="P13" s="298">
        <f t="shared" si="1"/>
        <v>13</v>
      </c>
      <c r="Q13" s="299">
        <f t="shared" si="2"/>
        <v>17</v>
      </c>
      <c r="R13" s="74"/>
      <c r="U13" s="59"/>
      <c r="V13" s="66"/>
      <c r="W13" s="66"/>
      <c r="X13" s="8"/>
    </row>
    <row r="14" spans="1:24" s="61" customFormat="1" ht="18" customHeight="1">
      <c r="A14" s="8" t="s">
        <v>104</v>
      </c>
      <c r="B14" s="63">
        <v>8</v>
      </c>
      <c r="C14" s="75" t="str">
        <f>VLOOKUP($A14,본공사입.출고현황!$B:$X,C$49,0)</f>
        <v>Cadweld Mold</v>
      </c>
      <c r="D14" s="76" t="str">
        <f>VLOOKUP($A14,본공사입.출고현황!$B:$X,D$49,0)</f>
        <v>Parallel (=)</v>
      </c>
      <c r="E14" s="41" t="str">
        <f>VLOOKUP($A14,본공사입.출고현황!$B:$X,E$49,0)</f>
        <v>EA</v>
      </c>
      <c r="F14" s="282">
        <f>SUMIF(본공사입.출고현황!$B:$B,$A14,본공사입.출고현황!I:I)</f>
        <v>12</v>
      </c>
      <c r="G14" s="282">
        <f>SUMIF(본공사입.출고현황!$B:$B,$A14,본공사입.출고현황!J:J)</f>
        <v>12</v>
      </c>
      <c r="H14" s="282">
        <f t="shared" si="3"/>
        <v>0</v>
      </c>
      <c r="I14" s="282">
        <f>SUMIF(본공사입.출고현황!$B:$B,$A14,본공사입.출고현황!L:L)</f>
        <v>0</v>
      </c>
      <c r="J14" s="282">
        <f>SUMIF(본공사입.출고현황!$B:$B,$A14,본공사입.출고현황!M:M)</f>
        <v>12</v>
      </c>
      <c r="K14" s="283">
        <f t="shared" si="4"/>
        <v>0</v>
      </c>
      <c r="L14" s="297">
        <f t="shared" si="0"/>
        <v>12</v>
      </c>
      <c r="M14" s="295">
        <f>SUMIF(본공사입.출고현황!$B:$B,$A14,본공사입.출고현황!P:P)</f>
        <v>3</v>
      </c>
      <c r="N14" s="295">
        <f>SUMIF(본공사입.출고현황!$B:$B,$A14,본공사입.출고현황!Q:Q)</f>
        <v>0</v>
      </c>
      <c r="O14" s="295">
        <f>SUMIF(본공사입.출고현황!$B:$B,$A14,본공사입.출고현황!R:R)</f>
        <v>0</v>
      </c>
      <c r="P14" s="298">
        <f t="shared" si="1"/>
        <v>3</v>
      </c>
      <c r="Q14" s="299">
        <f t="shared" si="2"/>
        <v>9</v>
      </c>
      <c r="R14" s="74"/>
      <c r="U14" s="59"/>
      <c r="V14" s="66"/>
      <c r="W14" s="66"/>
      <c r="X14" s="8"/>
    </row>
    <row r="15" spans="1:24" s="61" customFormat="1" ht="18" customHeight="1">
      <c r="A15" s="8" t="s">
        <v>106</v>
      </c>
      <c r="B15" s="63">
        <v>9</v>
      </c>
      <c r="C15" s="75" t="str">
        <f>VLOOKUP($A15,본공사입.출고현황!$B:$X,C$49,0)</f>
        <v>Cadweld Mold</v>
      </c>
      <c r="D15" s="76" t="str">
        <f>VLOOKUP($A15,본공사입.출고현황!$B:$X,D$49,0)</f>
        <v>Cross (T)</v>
      </c>
      <c r="E15" s="41" t="str">
        <f>VLOOKUP($A15,본공사입.출고현황!$B:$X,E$49,0)</f>
        <v>EA</v>
      </c>
      <c r="F15" s="282">
        <f>SUMIF(본공사입.출고현황!$B:$B,$A15,본공사입.출고현황!I:I)</f>
        <v>5</v>
      </c>
      <c r="G15" s="282">
        <f>SUMIF(본공사입.출고현황!$B:$B,$A15,본공사입.출고현황!J:J)</f>
        <v>5</v>
      </c>
      <c r="H15" s="282">
        <f t="shared" si="3"/>
        <v>0</v>
      </c>
      <c r="I15" s="282">
        <f>SUMIF(본공사입.출고현황!$B:$B,$A15,본공사입.출고현황!L:L)</f>
        <v>0</v>
      </c>
      <c r="J15" s="282">
        <f>SUMIF(본공사입.출고현황!$B:$B,$A15,본공사입.출고현황!M:M)</f>
        <v>5</v>
      </c>
      <c r="K15" s="283">
        <f t="shared" si="4"/>
        <v>0</v>
      </c>
      <c r="L15" s="297">
        <f t="shared" si="0"/>
        <v>5</v>
      </c>
      <c r="M15" s="295">
        <f>SUMIF(본공사입.출고현황!$B:$B,$A15,본공사입.출고현황!P:P)</f>
        <v>1</v>
      </c>
      <c r="N15" s="295">
        <f>SUMIF(본공사입.출고현황!$B:$B,$A15,본공사입.출고현황!Q:Q)</f>
        <v>0</v>
      </c>
      <c r="O15" s="295">
        <f>SUMIF(본공사입.출고현황!$B:$B,$A15,본공사입.출고현황!R:R)</f>
        <v>0</v>
      </c>
      <c r="P15" s="298">
        <f t="shared" si="1"/>
        <v>1</v>
      </c>
      <c r="Q15" s="299">
        <f t="shared" si="2"/>
        <v>4</v>
      </c>
      <c r="R15" s="74"/>
      <c r="U15" s="59"/>
      <c r="V15" s="66"/>
      <c r="W15" s="66"/>
      <c r="X15" s="8"/>
    </row>
    <row r="16" spans="1:24" s="61" customFormat="1" ht="18" customHeight="1">
      <c r="A16" s="8" t="s">
        <v>110</v>
      </c>
      <c r="B16" s="63">
        <v>10</v>
      </c>
      <c r="C16" s="75" t="str">
        <f>VLOOKUP($A16,본공사입.출고현황!$B:$X,C$49,0)</f>
        <v xml:space="preserve">Nicoband </v>
      </c>
      <c r="D16" s="76" t="str">
        <f>VLOOKUP($A16,본공사입.출고현황!$B:$X,D$49,0)</f>
        <v>10m x 15cm</v>
      </c>
      <c r="E16" s="41" t="str">
        <f>VLOOKUP($A16,본공사입.출고현황!$B:$X,E$49,0)</f>
        <v>EA</v>
      </c>
      <c r="F16" s="282">
        <f>SUMIF(본공사입.출고현황!$B:$B,$A16,본공사입.출고현황!I:I)</f>
        <v>770</v>
      </c>
      <c r="G16" s="282">
        <f>SUMIF(본공사입.출고현황!$B:$B,$A16,본공사입.출고현황!J:J)</f>
        <v>20</v>
      </c>
      <c r="H16" s="282">
        <f t="shared" ref="H16" si="5">F16-G16</f>
        <v>750</v>
      </c>
      <c r="I16" s="282">
        <f>SUMIF(본공사입.출고현황!$B:$B,$A16,본공사입.출고현황!L:L)</f>
        <v>0</v>
      </c>
      <c r="J16" s="282">
        <f>SUMIF(본공사입.출고현황!$B:$B,$A16,본공사입.출고현황!M:M)</f>
        <v>20</v>
      </c>
      <c r="K16" s="283">
        <f t="shared" si="4"/>
        <v>0</v>
      </c>
      <c r="L16" s="297">
        <f t="shared" ref="L16" si="6">J16</f>
        <v>20</v>
      </c>
      <c r="M16" s="295">
        <f>SUMIF(본공사입.출고현황!$B:$B,$A16,본공사입.출고현황!P:P)</f>
        <v>11</v>
      </c>
      <c r="N16" s="295">
        <f>SUMIF(본공사입.출고현황!$B:$B,$A16,본공사입.출고현황!Q:Q)</f>
        <v>0</v>
      </c>
      <c r="O16" s="295">
        <f>SUMIF(본공사입.출고현황!$B:$B,$A16,본공사입.출고현황!R:R)</f>
        <v>0</v>
      </c>
      <c r="P16" s="298">
        <f t="shared" ref="P16" si="7">SUM(M16:O16)</f>
        <v>11</v>
      </c>
      <c r="Q16" s="299">
        <f t="shared" ref="Q16" si="8">L16-P16</f>
        <v>9</v>
      </c>
      <c r="R16" s="74"/>
      <c r="U16" s="59"/>
      <c r="V16" s="66"/>
      <c r="W16" s="66"/>
      <c r="X16" s="8"/>
    </row>
    <row r="17" spans="1:24" s="61" customFormat="1" ht="18" customHeight="1">
      <c r="A17" s="29" t="s">
        <v>111</v>
      </c>
      <c r="B17" s="63">
        <v>11</v>
      </c>
      <c r="C17" s="110" t="str">
        <f>VLOOKUP($A17,본공사입.출고현황!$B:$X,C$49,0)</f>
        <v>Flexible Conduit</v>
      </c>
      <c r="D17" s="111" t="str">
        <f>VLOOKUP($A17,본공사입.출고현황!$B:$X,D$49,0)</f>
        <v>2", 50mm</v>
      </c>
      <c r="E17" s="41" t="str">
        <f>VLOOKUP($A17,본공사입.출고현황!$B:$X,E$49,0)</f>
        <v>M</v>
      </c>
      <c r="F17" s="282">
        <f>SUMIF(본공사입.출고현황!$B:$B,$A17,본공사입.출고현황!I:I)</f>
        <v>2200</v>
      </c>
      <c r="G17" s="282">
        <f>SUMIF(본공사입.출고현황!$B:$B,$A17,본공사입.출고현황!J:J)</f>
        <v>2200</v>
      </c>
      <c r="H17" s="282">
        <f t="shared" ref="H17" si="9">F17-G17</f>
        <v>0</v>
      </c>
      <c r="I17" s="282">
        <f>SUMIF(본공사입.출고현황!$B:$B,$A17,본공사입.출고현황!L:L)</f>
        <v>0</v>
      </c>
      <c r="J17" s="282">
        <f>SUMIF(본공사입.출고현황!$B:$B,$A17,본공사입.출고현황!M:M)</f>
        <v>2200</v>
      </c>
      <c r="K17" s="283">
        <f t="shared" si="4"/>
        <v>0</v>
      </c>
      <c r="L17" s="297">
        <f t="shared" ref="L17" si="10">J17</f>
        <v>2200</v>
      </c>
      <c r="M17" s="295">
        <f>SUMIF(본공사입.출고현황!$B:$B,$A17,본공사입.출고현황!P:P)</f>
        <v>859</v>
      </c>
      <c r="N17" s="295">
        <f>SUMIF(본공사입.출고현황!$B:$B,$A17,본공사입.출고현황!Q:Q)</f>
        <v>0</v>
      </c>
      <c r="O17" s="295">
        <f>SUMIF(본공사입.출고현황!$B:$B,$A17,본공사입.출고현황!R:R)</f>
        <v>121</v>
      </c>
      <c r="P17" s="298">
        <f t="shared" si="1"/>
        <v>980</v>
      </c>
      <c r="Q17" s="299">
        <f t="shared" si="2"/>
        <v>1220</v>
      </c>
      <c r="R17" s="74"/>
      <c r="U17" s="59"/>
      <c r="V17" s="66"/>
      <c r="W17" s="66"/>
      <c r="X17" s="8"/>
    </row>
    <row r="18" spans="1:24" s="61" customFormat="1" ht="18" customHeight="1">
      <c r="A18" s="217" t="s">
        <v>115</v>
      </c>
      <c r="B18" s="63">
        <v>12</v>
      </c>
      <c r="C18" s="110" t="str">
        <f>VLOOKUP($A18,본공사입.출고현황!$B:$X,C$49,0)</f>
        <v>PVC Flexible Pipe ф 20</v>
      </c>
      <c r="D18" s="111" t="str">
        <f>VLOOKUP($A18,본공사입.출고현황!$B:$X,D$49,0)</f>
        <v>ф20</v>
      </c>
      <c r="E18" s="41" t="str">
        <f>VLOOKUP($A18,본공사입.출고현황!$B:$X,E$49,0)</f>
        <v>M</v>
      </c>
      <c r="F18" s="282">
        <f>SUMIF(본공사입.출고현황!$B:$B,$A18,본공사입.출고현황!I:I)</f>
        <v>140</v>
      </c>
      <c r="G18" s="282">
        <f>SUMIF(본공사입.출고현황!$B:$B,$A18,본공사입.출고현황!J:J)</f>
        <v>140</v>
      </c>
      <c r="H18" s="282">
        <f t="shared" ref="H18" si="11">F18-G18</f>
        <v>0</v>
      </c>
      <c r="I18" s="282">
        <f>SUMIF(본공사입.출고현황!$B:$B,$A18,본공사입.출고현황!L:L)</f>
        <v>0</v>
      </c>
      <c r="J18" s="282">
        <f>SUMIF(본공사입.출고현황!$B:$B,$A18,본공사입.출고현황!M:M)</f>
        <v>140</v>
      </c>
      <c r="K18" s="283">
        <f t="shared" si="4"/>
        <v>0</v>
      </c>
      <c r="L18" s="297">
        <f t="shared" ref="L18" si="12">J18</f>
        <v>140</v>
      </c>
      <c r="M18" s="295">
        <f>SUMIF(본공사입.출고현황!$B:$B,$A18,본공사입.출고현황!P:P)</f>
        <v>0</v>
      </c>
      <c r="N18" s="295">
        <f>SUMIF(본공사입.출고현황!$B:$B,$A18,본공사입.출고현황!Q:Q)</f>
        <v>0</v>
      </c>
      <c r="O18" s="295">
        <f>SUMIF(본공사입.출고현황!$B:$B,$A18,본공사입.출고현황!R:R)</f>
        <v>0</v>
      </c>
      <c r="P18" s="298">
        <f t="shared" ref="P18" si="13">SUM(M18:O18)</f>
        <v>0</v>
      </c>
      <c r="Q18" s="299">
        <f t="shared" ref="Q18" si="14">L18-P18</f>
        <v>140</v>
      </c>
      <c r="R18" s="74"/>
      <c r="U18" s="59"/>
      <c r="V18" s="66"/>
      <c r="W18" s="66"/>
      <c r="X18" s="8"/>
    </row>
    <row r="19" spans="1:24" s="61" customFormat="1" ht="18" customHeight="1">
      <c r="A19" s="8"/>
      <c r="B19" s="69" t="s">
        <v>66</v>
      </c>
      <c r="C19" s="70" t="s">
        <v>1</v>
      </c>
      <c r="D19" s="77"/>
      <c r="E19" s="63"/>
      <c r="F19" s="282"/>
      <c r="G19" s="282"/>
      <c r="H19" s="282"/>
      <c r="I19" s="282"/>
      <c r="J19" s="282"/>
      <c r="K19" s="283">
        <f t="shared" si="4"/>
        <v>0</v>
      </c>
      <c r="L19" s="284"/>
      <c r="M19" s="295"/>
      <c r="N19" s="295"/>
      <c r="O19" s="295"/>
      <c r="P19" s="298"/>
      <c r="Q19" s="299"/>
      <c r="R19" s="74"/>
      <c r="U19" s="59"/>
      <c r="V19" s="66"/>
      <c r="W19" s="66"/>
      <c r="X19" s="8"/>
    </row>
    <row r="20" spans="1:24" s="61" customFormat="1" ht="18" customHeight="1">
      <c r="A20" s="29" t="s">
        <v>462</v>
      </c>
      <c r="B20" s="63">
        <v>1</v>
      </c>
      <c r="C20" s="75" t="str">
        <f>VLOOKUP($A20,본공사입.출고현황!$B:$X,C$49,0)</f>
        <v>Conduit (Galvanized)</v>
      </c>
      <c r="D20" s="76" t="str">
        <f>VLOOKUP($A20,본공사입.출고현황!$B:$X,D$49,0)</f>
        <v>6.5"</v>
      </c>
      <c r="E20" s="41" t="str">
        <f>VLOOKUP($A20,본공사입.출고현황!$B:$X,E$49,0)</f>
        <v>M</v>
      </c>
      <c r="F20" s="282">
        <f>SUMIF(본공사입.출고현황!$B:$B,$A20,본공사입.출고현황!I:I)</f>
        <v>172</v>
      </c>
      <c r="G20" s="282">
        <f>SUMIF(본공사입.출고현황!$B:$B,$A20,본공사입.출고현황!J:J)</f>
        <v>0</v>
      </c>
      <c r="H20" s="282">
        <f t="shared" ref="H20" si="15">F20-G20</f>
        <v>172</v>
      </c>
      <c r="I20" s="282">
        <f>SUMIF(본공사입.출고현황!$B:$B,$A20,본공사입.출고현황!L:L)</f>
        <v>0</v>
      </c>
      <c r="J20" s="282">
        <f>SUMIF(본공사입.출고현황!$B:$B,$A20,본공사입.출고현황!M:M)</f>
        <v>0</v>
      </c>
      <c r="K20" s="283">
        <f t="shared" si="4"/>
        <v>0</v>
      </c>
      <c r="L20" s="284">
        <f t="shared" ref="L20" si="16">J20</f>
        <v>0</v>
      </c>
      <c r="M20" s="295">
        <f>SUMIF(본공사입.출고현황!$B:$B,$A20,본공사입.출고현황!P:P)</f>
        <v>0</v>
      </c>
      <c r="N20" s="295">
        <f>SUMIF(본공사입.출고현황!$B:$B,$A20,본공사입.출고현황!Q:Q)</f>
        <v>0</v>
      </c>
      <c r="O20" s="295">
        <f>SUMIF(본공사입.출고현황!$B:$B,$A20,본공사입.출고현황!R:R)</f>
        <v>0</v>
      </c>
      <c r="P20" s="298">
        <f t="shared" ref="P20:P37" si="17">SUM(M20:O20)</f>
        <v>0</v>
      </c>
      <c r="Q20" s="299">
        <f t="shared" ref="Q20:Q37" si="18">L20-P20</f>
        <v>0</v>
      </c>
      <c r="R20" s="74"/>
      <c r="U20" s="59"/>
      <c r="V20" s="66"/>
      <c r="W20" s="66"/>
      <c r="X20" s="8"/>
    </row>
    <row r="21" spans="1:24" s="61" customFormat="1" ht="18" customHeight="1">
      <c r="A21" s="8" t="s">
        <v>137</v>
      </c>
      <c r="B21" s="63">
        <v>2</v>
      </c>
      <c r="C21" s="110" t="str">
        <f>VLOOKUP($A21,본공사입.출고현황!$B:$X,C$49,0)</f>
        <v>Conduit (Galvanized)</v>
      </c>
      <c r="D21" s="111" t="str">
        <f>VLOOKUP($A21,본공사입.출고현황!$B:$X,D$49,0)</f>
        <v>5.5"</v>
      </c>
      <c r="E21" s="41" t="str">
        <f>VLOOKUP($A21,본공사입.출고현황!$B:$X,E$49,0)</f>
        <v>M</v>
      </c>
      <c r="F21" s="282">
        <f>SUMIF(본공사입.출고현황!$B:$B,$A21,본공사입.출고현황!I:I)</f>
        <v>530</v>
      </c>
      <c r="G21" s="282">
        <f>SUMIF(본공사입.출고현황!$B:$B,$A21,본공사입.출고현황!J:J)</f>
        <v>530</v>
      </c>
      <c r="H21" s="282">
        <f t="shared" ref="H21" si="19">F21-G21</f>
        <v>0</v>
      </c>
      <c r="I21" s="282">
        <f>SUMIF(본공사입.출고현황!$B:$B,$A21,본공사입.출고현황!L:L)</f>
        <v>0</v>
      </c>
      <c r="J21" s="282">
        <f>SUMIF(본공사입.출고현황!$B:$B,$A21,본공사입.출고현황!M:M)</f>
        <v>530</v>
      </c>
      <c r="K21" s="283">
        <f t="shared" si="4"/>
        <v>0</v>
      </c>
      <c r="L21" s="284">
        <f t="shared" ref="L21" si="20">J21</f>
        <v>530</v>
      </c>
      <c r="M21" s="295">
        <f>SUMIF(본공사입.출고현황!$B:$B,$A21,본공사입.출고현황!P:P)</f>
        <v>0</v>
      </c>
      <c r="N21" s="295">
        <f>SUMIF(본공사입.출고현황!$B:$B,$A21,본공사입.출고현황!Q:Q)</f>
        <v>189</v>
      </c>
      <c r="O21" s="295">
        <f>SUMIF(본공사입.출고현황!$B:$B,$A21,본공사입.출고현황!R:R)</f>
        <v>0</v>
      </c>
      <c r="P21" s="298">
        <f t="shared" si="17"/>
        <v>189</v>
      </c>
      <c r="Q21" s="299">
        <f t="shared" si="18"/>
        <v>341</v>
      </c>
      <c r="R21" s="74"/>
      <c r="U21" s="59"/>
      <c r="V21" s="66"/>
      <c r="W21" s="66"/>
      <c r="X21" s="8"/>
    </row>
    <row r="22" spans="1:24" s="61" customFormat="1" ht="18" customHeight="1">
      <c r="A22" s="8" t="s">
        <v>254</v>
      </c>
      <c r="B22" s="63">
        <v>3</v>
      </c>
      <c r="C22" s="110" t="str">
        <f>VLOOKUP($A22,본공사입.출고현황!$B:$X,C$49,0)</f>
        <v>Conduit (Galvanized)</v>
      </c>
      <c r="D22" s="111" t="str">
        <f>VLOOKUP($A22,본공사입.출고현황!$B:$X,D$49,0)</f>
        <v>4.5"</v>
      </c>
      <c r="E22" s="41" t="str">
        <f>VLOOKUP($A22,본공사입.출고현황!$B:$X,E$49,0)</f>
        <v>M</v>
      </c>
      <c r="F22" s="282">
        <f>SUMIF(본공사입.출고현황!$B:$B,$A22,본공사입.출고현황!I:I)</f>
        <v>2551</v>
      </c>
      <c r="G22" s="282">
        <f>SUMIF(본공사입.출고현황!$B:$B,$A22,본공사입.출고현황!J:J)</f>
        <v>2437</v>
      </c>
      <c r="H22" s="282">
        <f t="shared" ref="H22:H44" si="21">F22-G22</f>
        <v>114</v>
      </c>
      <c r="I22" s="282">
        <f>SUMIF(본공사입.출고현황!$B:$B,$A22,본공사입.출고현황!L:L)</f>
        <v>0</v>
      </c>
      <c r="J22" s="282">
        <f>SUMIF(본공사입.출고현황!$B:$B,$A22,본공사입.출고현황!M:M)</f>
        <v>2437</v>
      </c>
      <c r="K22" s="283">
        <f t="shared" si="4"/>
        <v>0</v>
      </c>
      <c r="L22" s="284">
        <f t="shared" si="0"/>
        <v>2437</v>
      </c>
      <c r="M22" s="295">
        <f>SUMIF(본공사입.출고현황!$B:$B,$A22,본공사입.출고현황!P:P)</f>
        <v>1438</v>
      </c>
      <c r="N22" s="295">
        <f>SUMIF(본공사입.출고현황!$B:$B,$A22,본공사입.출고현황!Q:Q)</f>
        <v>597</v>
      </c>
      <c r="O22" s="295">
        <f>SUMIF(본공사입.출고현황!$B:$B,$A22,본공사입.출고현황!R:R)</f>
        <v>270</v>
      </c>
      <c r="P22" s="298">
        <f t="shared" si="17"/>
        <v>2305</v>
      </c>
      <c r="Q22" s="299">
        <f t="shared" si="18"/>
        <v>132</v>
      </c>
      <c r="R22" s="74"/>
      <c r="U22" s="59"/>
      <c r="V22" s="66"/>
      <c r="W22" s="66"/>
      <c r="X22" s="8"/>
    </row>
    <row r="23" spans="1:24" s="61" customFormat="1" ht="18" customHeight="1">
      <c r="A23" s="8" t="s">
        <v>128</v>
      </c>
      <c r="B23" s="63">
        <v>4</v>
      </c>
      <c r="C23" s="293" t="str">
        <f>VLOOKUP($A23,본공사입.출고현황!$B:$X,C$49,0)</f>
        <v>Conduit (Galvanized)</v>
      </c>
      <c r="D23" s="294" t="str">
        <f>VLOOKUP($A23,본공사입.출고현황!$B:$X,D$49,0)</f>
        <v>3"</v>
      </c>
      <c r="E23" s="251" t="str">
        <f>VLOOKUP($A23,본공사입.출고현황!$B:$X,E$49,0)</f>
        <v>M</v>
      </c>
      <c r="F23" s="295">
        <f>SUMIF(본공사입.출고현황!$B:$B,$A23,본공사입.출고현황!I:I)</f>
        <v>5390</v>
      </c>
      <c r="G23" s="295">
        <f>SUMIF(본공사입.출고현황!$B:$B,$A23,본공사입.출고현황!J:J)</f>
        <v>5390</v>
      </c>
      <c r="H23" s="295">
        <f t="shared" si="21"/>
        <v>0</v>
      </c>
      <c r="I23" s="295">
        <f>SUMIF(본공사입.출고현황!$B:$B,$A23,본공사입.출고현황!L:L)</f>
        <v>0</v>
      </c>
      <c r="J23" s="295">
        <f>SUMIF(본공사입.출고현황!$B:$B,$A23,본공사입.출고현황!M:M)</f>
        <v>5390</v>
      </c>
      <c r="K23" s="296">
        <f t="shared" si="4"/>
        <v>0</v>
      </c>
      <c r="L23" s="297">
        <f t="shared" si="0"/>
        <v>5390</v>
      </c>
      <c r="M23" s="295">
        <f>SUMIF(본공사입.출고현황!$B:$B,$A23,본공사입.출고현황!P:P)</f>
        <v>1452</v>
      </c>
      <c r="N23" s="295">
        <f>SUMIF(본공사입.출고현황!$B:$B,$A23,본공사입.출고현황!Q:Q)</f>
        <v>460</v>
      </c>
      <c r="O23" s="295">
        <f>SUMIF(본공사입.출고현황!$B:$B,$A23,본공사입.출고현황!R:R)</f>
        <v>238</v>
      </c>
      <c r="P23" s="298">
        <f t="shared" si="17"/>
        <v>2150</v>
      </c>
      <c r="Q23" s="299">
        <f t="shared" si="18"/>
        <v>3240</v>
      </c>
      <c r="R23" s="300"/>
      <c r="T23" s="78"/>
      <c r="U23" s="59"/>
      <c r="V23" s="66"/>
      <c r="W23" s="66"/>
      <c r="X23" s="8"/>
    </row>
    <row r="24" spans="1:24" s="61" customFormat="1" ht="18" customHeight="1">
      <c r="A24" s="8" t="s">
        <v>135</v>
      </c>
      <c r="B24" s="63">
        <v>5</v>
      </c>
      <c r="C24" s="293" t="str">
        <f>VLOOKUP($A24,본공사입.출고현황!$B:$X,C$49,0)</f>
        <v>Conduit</v>
      </c>
      <c r="D24" s="294" t="str">
        <f>VLOOKUP($A24,본공사입.출고현황!$B:$X,D$49,0)</f>
        <v>6"</v>
      </c>
      <c r="E24" s="251" t="str">
        <f>VLOOKUP($A24,본공사입.출고현황!$B:$X,E$49,0)</f>
        <v>M</v>
      </c>
      <c r="F24" s="295">
        <f>SUMIF(본공사입.출고현황!$B:$B,$A24,본공사입.출고현황!I:I)</f>
        <v>1400.32</v>
      </c>
      <c r="G24" s="295">
        <f>SUMIF(본공사입.출고현황!$B:$B,$A24,본공사입.출고현황!J:J)</f>
        <v>1400.32</v>
      </c>
      <c r="H24" s="295">
        <f t="shared" si="21"/>
        <v>0</v>
      </c>
      <c r="I24" s="295">
        <f>SUMIF(본공사입.출고현황!$B:$B,$A24,본공사입.출고현황!L:L)</f>
        <v>0</v>
      </c>
      <c r="J24" s="295">
        <f>SUMIF(본공사입.출고현황!$B:$B,$A24,본공사입.출고현황!M:M)</f>
        <v>1400.32</v>
      </c>
      <c r="K24" s="296">
        <f t="shared" si="4"/>
        <v>0</v>
      </c>
      <c r="L24" s="297">
        <f t="shared" si="0"/>
        <v>1400.32</v>
      </c>
      <c r="M24" s="295">
        <f>SUMIF(본공사입.출고현황!$B:$B,$A24,본공사입.출고현황!P:P)</f>
        <v>1176</v>
      </c>
      <c r="N24" s="295">
        <f>SUMIF(본공사입.출고현황!$B:$B,$A24,본공사입.출고현황!Q:Q)</f>
        <v>0</v>
      </c>
      <c r="O24" s="295">
        <f>SUMIF(본공사입.출고현황!$B:$B,$A24,본공사입.출고현황!R:R)</f>
        <v>116.32</v>
      </c>
      <c r="P24" s="298">
        <f t="shared" si="17"/>
        <v>1292.32</v>
      </c>
      <c r="Q24" s="299">
        <f t="shared" si="18"/>
        <v>108</v>
      </c>
      <c r="R24" s="300"/>
      <c r="U24" s="59"/>
      <c r="V24" s="66"/>
      <c r="W24" s="66"/>
      <c r="X24" s="8"/>
    </row>
    <row r="25" spans="1:24" s="61" customFormat="1" ht="18" customHeight="1">
      <c r="A25" s="8" t="s">
        <v>140</v>
      </c>
      <c r="B25" s="63">
        <v>6</v>
      </c>
      <c r="C25" s="293" t="str">
        <f>VLOOKUP($A25,본공사입.출고현황!$B:$X,C$49,0)</f>
        <v>Conduit</v>
      </c>
      <c r="D25" s="294" t="str">
        <f>VLOOKUP($A25,본공사입.출고현황!$B:$X,D$49,0)</f>
        <v>4"</v>
      </c>
      <c r="E25" s="251" t="str">
        <f>VLOOKUP($A25,본공사입.출고현황!$B:$X,E$49,0)</f>
        <v>M</v>
      </c>
      <c r="F25" s="295">
        <f>SUMIF(본공사입.출고현황!$B:$B,$A25,본공사입.출고현황!I:I)</f>
        <v>6040</v>
      </c>
      <c r="G25" s="295">
        <f>SUMIF(본공사입.출고현황!$B:$B,$A25,본공사입.출고현황!J:J)</f>
        <v>5956</v>
      </c>
      <c r="H25" s="295">
        <f t="shared" si="21"/>
        <v>84</v>
      </c>
      <c r="I25" s="295">
        <f>SUMIF(본공사입.출고현황!$B:$B,$A25,본공사입.출고현황!L:L)</f>
        <v>66</v>
      </c>
      <c r="J25" s="295">
        <f>SUMIF(본공사입.출고현황!$B:$B,$A25,본공사입.출고현황!M:M)</f>
        <v>5956</v>
      </c>
      <c r="K25" s="296">
        <f t="shared" si="4"/>
        <v>0</v>
      </c>
      <c r="L25" s="297">
        <f t="shared" si="0"/>
        <v>5956</v>
      </c>
      <c r="M25" s="295">
        <f>SUMIF(본공사입.출고현황!$B:$B,$A25,본공사입.출고현황!P:P)</f>
        <v>5156.4880000000003</v>
      </c>
      <c r="N25" s="295">
        <f>SUMIF(본공사입.출고현황!$B:$B,$A25,본공사입.출고현황!Q:Q)</f>
        <v>113</v>
      </c>
      <c r="O25" s="295">
        <f>SUMIF(본공사입.출고현황!$B:$B,$A25,본공사입.출고현황!R:R)</f>
        <v>555.51199999999994</v>
      </c>
      <c r="P25" s="298">
        <f t="shared" si="17"/>
        <v>5825</v>
      </c>
      <c r="Q25" s="299">
        <f t="shared" si="18"/>
        <v>131</v>
      </c>
      <c r="R25" s="300"/>
      <c r="U25" s="59"/>
      <c r="V25" s="66"/>
      <c r="W25" s="66"/>
      <c r="X25" s="8"/>
    </row>
    <row r="26" spans="1:24" s="61" customFormat="1" ht="18" customHeight="1">
      <c r="A26" s="8" t="s">
        <v>1017</v>
      </c>
      <c r="B26" s="63">
        <v>7</v>
      </c>
      <c r="C26" s="293" t="str">
        <f>VLOOKUP($A26,본공사입.출고현황!$B:$X,C$49,0)</f>
        <v>Conduit (Galvanized)</v>
      </c>
      <c r="D26" s="294" t="str">
        <f>VLOOKUP($A26,본공사입.출고현황!$B:$X,D$49,0)</f>
        <v>2"</v>
      </c>
      <c r="E26" s="251" t="str">
        <f>VLOOKUP($A26,본공사입.출고현황!$B:$X,E$49,0)</f>
        <v>M</v>
      </c>
      <c r="F26" s="295">
        <f>SUMIF(본공사입.출고현황!$B:$B,$A26,본공사입.출고현황!I:I)</f>
        <v>18</v>
      </c>
      <c r="G26" s="295">
        <f>SUMIF(본공사입.출고현황!$B:$B,$A26,본공사입.출고현황!J:J)</f>
        <v>18</v>
      </c>
      <c r="H26" s="295">
        <f t="shared" ref="H26" si="22">F26-G26</f>
        <v>0</v>
      </c>
      <c r="I26" s="295">
        <f>SUMIF(본공사입.출고현황!$B:$B,$A26,본공사입.출고현황!L:L)</f>
        <v>0</v>
      </c>
      <c r="J26" s="295">
        <f>SUMIF(본공사입.출고현황!$B:$B,$A26,본공사입.출고현황!M:M)</f>
        <v>18</v>
      </c>
      <c r="K26" s="296">
        <f t="shared" si="4"/>
        <v>0</v>
      </c>
      <c r="L26" s="297">
        <f t="shared" ref="L26" si="23">J26</f>
        <v>18</v>
      </c>
      <c r="M26" s="295">
        <f>SUMIF(본공사입.출고현황!$B:$B,$A26,본공사입.출고현황!P:P)</f>
        <v>18</v>
      </c>
      <c r="N26" s="295">
        <f>SUMIF(본공사입.출고현황!$B:$B,$A26,본공사입.출고현황!Q:Q)</f>
        <v>0</v>
      </c>
      <c r="O26" s="295">
        <f>SUMIF(본공사입.출고현황!$B:$B,$A26,본공사입.출고현황!R:R)</f>
        <v>0</v>
      </c>
      <c r="P26" s="298">
        <f t="shared" ref="P26" si="24">SUM(M26:O26)</f>
        <v>18</v>
      </c>
      <c r="Q26" s="299">
        <f t="shared" ref="Q26" si="25">L26-P26</f>
        <v>0</v>
      </c>
      <c r="R26" s="74"/>
      <c r="U26" s="59"/>
      <c r="V26" s="66"/>
      <c r="W26" s="66"/>
      <c r="X26" s="8"/>
    </row>
    <row r="27" spans="1:24" s="61" customFormat="1" ht="18" customHeight="1">
      <c r="A27" s="217" t="s">
        <v>470</v>
      </c>
      <c r="B27" s="63">
        <v>8</v>
      </c>
      <c r="C27" s="293" t="str">
        <f>VLOOKUP($A27,본공사입.출고현황!$B:$X,C$49,0)</f>
        <v>Coupling (Galvanized)</v>
      </c>
      <c r="D27" s="294" t="str">
        <f>VLOOKUP($A27,본공사입.출고현황!$B:$X,D$49,0)</f>
        <v>5.5"</v>
      </c>
      <c r="E27" s="251" t="str">
        <f>VLOOKUP($A27,본공사입.출고현황!$B:$X,E$49,0)</f>
        <v>EA</v>
      </c>
      <c r="F27" s="295">
        <f>SUMIF(본공사입.출고현황!$B:$B,$A27,본공사입.출고현황!I:I)</f>
        <v>120</v>
      </c>
      <c r="G27" s="295">
        <f>SUMIF(본공사입.출고현황!$B:$B,$A27,본공사입.출고현황!J:J)</f>
        <v>60</v>
      </c>
      <c r="H27" s="295">
        <f>F27-G27</f>
        <v>60</v>
      </c>
      <c r="I27" s="295">
        <f>SUMIF(본공사입.출고현황!$B:$B,$A27,본공사입.출고현황!L:L)</f>
        <v>0</v>
      </c>
      <c r="J27" s="295">
        <f>SUMIF(본공사입.출고현황!$B:$B,$A27,본공사입.출고현황!M:M)</f>
        <v>60</v>
      </c>
      <c r="K27" s="296">
        <f t="shared" si="4"/>
        <v>0</v>
      </c>
      <c r="L27" s="297">
        <f>J27</f>
        <v>60</v>
      </c>
      <c r="M27" s="295">
        <f>SUMIF(본공사입.출고현황!$B:$B,$A27,본공사입.출고현황!P:P)</f>
        <v>0</v>
      </c>
      <c r="N27" s="295">
        <f>SUMIF(본공사입.출고현황!$B:$B,$A27,본공사입.출고현황!Q:Q)</f>
        <v>14</v>
      </c>
      <c r="O27" s="295">
        <f>SUMIF(본공사입.출고현황!$B:$B,$A27,본공사입.출고현황!R:R)</f>
        <v>0</v>
      </c>
      <c r="P27" s="298">
        <f t="shared" si="17"/>
        <v>14</v>
      </c>
      <c r="Q27" s="299">
        <f t="shared" si="18"/>
        <v>46</v>
      </c>
      <c r="R27" s="300"/>
      <c r="U27" s="59"/>
      <c r="V27" s="66"/>
      <c r="W27" s="66"/>
      <c r="X27" s="8"/>
    </row>
    <row r="28" spans="1:24" s="61" customFormat="1" ht="18" customHeight="1">
      <c r="A28" s="8" t="s">
        <v>157</v>
      </c>
      <c r="B28" s="63">
        <v>9</v>
      </c>
      <c r="C28" s="293" t="str">
        <f>VLOOKUP($A28,본공사입.출고현황!$B:$X,C$49,0)</f>
        <v>Coupling (Galvanized)</v>
      </c>
      <c r="D28" s="294" t="str">
        <f>VLOOKUP($A28,본공사입.출고현황!$B:$X,D$49,0)</f>
        <v>4.5"</v>
      </c>
      <c r="E28" s="251" t="str">
        <f>VLOOKUP($A28,본공사입.출고현황!$B:$X,E$49,0)</f>
        <v>EA</v>
      </c>
      <c r="F28" s="295">
        <f>SUMIF(본공사입.출고현황!$B:$B,$A28,본공사입.출고현황!I:I)</f>
        <v>280</v>
      </c>
      <c r="G28" s="295">
        <f>SUMIF(본공사입.출고현황!$B:$B,$A28,본공사입.출고현황!J:J)</f>
        <v>280</v>
      </c>
      <c r="H28" s="295">
        <f>F28-G28</f>
        <v>0</v>
      </c>
      <c r="I28" s="295">
        <f>SUMIF(본공사입.출고현황!$B:$B,$A28,본공사입.출고현황!L:L)</f>
        <v>0</v>
      </c>
      <c r="J28" s="295">
        <f>SUMIF(본공사입.출고현황!$B:$B,$A28,본공사입.출고현황!M:M)</f>
        <v>280</v>
      </c>
      <c r="K28" s="296">
        <f t="shared" si="4"/>
        <v>0</v>
      </c>
      <c r="L28" s="297">
        <f>J28</f>
        <v>280</v>
      </c>
      <c r="M28" s="295">
        <f>SUMIF(본공사입.출고현황!$B:$B,$A28,본공사입.출고현황!P:P)</f>
        <v>175</v>
      </c>
      <c r="N28" s="295">
        <f>SUMIF(본공사입.출고현황!$B:$B,$A28,본공사입.출고현황!Q:Q)</f>
        <v>0</v>
      </c>
      <c r="O28" s="295">
        <f>SUMIF(본공사입.출고현황!$B:$B,$A28,본공사입.출고현황!R:R)</f>
        <v>0</v>
      </c>
      <c r="P28" s="298">
        <f t="shared" si="17"/>
        <v>175</v>
      </c>
      <c r="Q28" s="299">
        <f t="shared" si="18"/>
        <v>105</v>
      </c>
      <c r="R28" s="300"/>
      <c r="U28" s="59"/>
      <c r="V28" s="66"/>
      <c r="W28" s="66"/>
      <c r="X28" s="8"/>
    </row>
    <row r="29" spans="1:24" s="61" customFormat="1" ht="18" customHeight="1">
      <c r="A29" s="8" t="s">
        <v>160</v>
      </c>
      <c r="B29" s="63">
        <v>10</v>
      </c>
      <c r="C29" s="293" t="str">
        <f>VLOOKUP($A29,본공사입.출고현황!$B:$X,C$49,0)</f>
        <v>Coupling (Galvanized)</v>
      </c>
      <c r="D29" s="294" t="str">
        <f>VLOOKUP($A29,본공사입.출고현황!$B:$X,D$49,0)</f>
        <v>3"</v>
      </c>
      <c r="E29" s="251" t="str">
        <f>VLOOKUP($A29,본공사입.출고현황!$B:$X,E$49,0)</f>
        <v>EA</v>
      </c>
      <c r="F29" s="295">
        <f>SUMIF(본공사입.출고현황!$B:$B,$A29,본공사입.출고현황!I:I)</f>
        <v>440</v>
      </c>
      <c r="G29" s="295">
        <f>SUMIF(본공사입.출고현황!$B:$B,$A29,본공사입.출고현황!J:J)</f>
        <v>440</v>
      </c>
      <c r="H29" s="295">
        <f>F29-G29</f>
        <v>0</v>
      </c>
      <c r="I29" s="295">
        <f>SUMIF(본공사입.출고현황!$B:$B,$A29,본공사입.출고현황!L:L)</f>
        <v>0</v>
      </c>
      <c r="J29" s="295">
        <f>SUMIF(본공사입.출고현황!$B:$B,$A29,본공사입.출고현황!M:M)</f>
        <v>440</v>
      </c>
      <c r="K29" s="296">
        <f t="shared" si="4"/>
        <v>0</v>
      </c>
      <c r="L29" s="297">
        <f>J29</f>
        <v>440</v>
      </c>
      <c r="M29" s="295">
        <f>SUMIF(본공사입.출고현황!$B:$B,$A29,본공사입.출고현황!P:P)</f>
        <v>368</v>
      </c>
      <c r="N29" s="295">
        <f>SUMIF(본공사입.출고현황!$B:$B,$A29,본공사입.출고현황!Q:Q)</f>
        <v>0</v>
      </c>
      <c r="O29" s="295">
        <f>SUMIF(본공사입.출고현황!$B:$B,$A29,본공사입.출고현황!R:R)</f>
        <v>0</v>
      </c>
      <c r="P29" s="298">
        <f t="shared" si="17"/>
        <v>368</v>
      </c>
      <c r="Q29" s="299">
        <f t="shared" si="18"/>
        <v>72</v>
      </c>
      <c r="R29" s="300"/>
      <c r="U29" s="59"/>
      <c r="V29" s="66"/>
      <c r="W29" s="66"/>
      <c r="X29" s="8"/>
    </row>
    <row r="30" spans="1:24" s="61" customFormat="1" ht="18" customHeight="1">
      <c r="A30" s="8" t="s">
        <v>144</v>
      </c>
      <c r="B30" s="63">
        <v>11</v>
      </c>
      <c r="C30" s="293" t="str">
        <f>VLOOKUP($A30,본공사입.출고현황!$B:$X,C$49,0)</f>
        <v>Coupling</v>
      </c>
      <c r="D30" s="294" t="str">
        <f>VLOOKUP($A30,본공사입.출고현황!$B:$X,D$49,0)</f>
        <v>6"</v>
      </c>
      <c r="E30" s="251" t="s">
        <v>147</v>
      </c>
      <c r="F30" s="295">
        <f>SUMIF(본공사입.출고현황!$B:$B,$A30,본공사입.출고현황!I:I)</f>
        <v>44</v>
      </c>
      <c r="G30" s="295">
        <f>SUMIF(본공사입.출고현황!$B:$B,$A30,본공사입.출고현황!J:J)</f>
        <v>44</v>
      </c>
      <c r="H30" s="295">
        <f t="shared" si="21"/>
        <v>0</v>
      </c>
      <c r="I30" s="295">
        <f>SUMIF(본공사입.출고현황!$B:$B,$A30,본공사입.출고현황!L:L)</f>
        <v>0</v>
      </c>
      <c r="J30" s="295">
        <f>SUMIF(본공사입.출고현황!$B:$B,$A30,본공사입.출고현황!M:M)</f>
        <v>44</v>
      </c>
      <c r="K30" s="296">
        <f t="shared" si="4"/>
        <v>0</v>
      </c>
      <c r="L30" s="297">
        <f t="shared" si="0"/>
        <v>44</v>
      </c>
      <c r="M30" s="295">
        <f>SUMIF(본공사입.출고현황!$B:$B,$A30,본공사입.출고현황!P:P)</f>
        <v>1.3</v>
      </c>
      <c r="N30" s="295">
        <f>SUMIF(본공사입.출고현황!$B:$B,$A30,본공사입.출고현황!Q:Q)</f>
        <v>0</v>
      </c>
      <c r="O30" s="295">
        <f>SUMIF(본공사입.출고현황!$B:$B,$A30,본공사입.출고현황!R:R)</f>
        <v>0</v>
      </c>
      <c r="P30" s="298">
        <f t="shared" si="17"/>
        <v>1.3</v>
      </c>
      <c r="Q30" s="299">
        <f t="shared" si="18"/>
        <v>42.7</v>
      </c>
      <c r="R30" s="301">
        <f>Q30/0.15</f>
        <v>284.66666666666669</v>
      </c>
      <c r="U30" s="59"/>
      <c r="V30" s="66"/>
      <c r="W30" s="66"/>
      <c r="X30" s="8"/>
    </row>
    <row r="31" spans="1:24" s="61" customFormat="1" ht="18" customHeight="1">
      <c r="A31" s="8" t="s">
        <v>149</v>
      </c>
      <c r="B31" s="63">
        <v>12</v>
      </c>
      <c r="C31" s="293" t="str">
        <f>VLOOKUP($A31,본공사입.출고현황!$B:$X,C$49,0)</f>
        <v>Coupling</v>
      </c>
      <c r="D31" s="294" t="str">
        <f>VLOOKUP($A31,본공사입.출고현황!$B:$X,D$49,0)</f>
        <v>6"</v>
      </c>
      <c r="E31" s="251" t="str">
        <f>VLOOKUP($A31,본공사입.출고현황!$B:$X,E$49,0)</f>
        <v>EA</v>
      </c>
      <c r="F31" s="295">
        <f>SUMIF(본공사입.출고현황!$B:$B,$A31,본공사입.출고현황!I:I)</f>
        <v>200</v>
      </c>
      <c r="G31" s="295">
        <f>SUMIF(본공사입.출고현황!$B:$B,$A31,본공사입.출고현황!J:J)</f>
        <v>200</v>
      </c>
      <c r="H31" s="295">
        <f t="shared" si="21"/>
        <v>0</v>
      </c>
      <c r="I31" s="295">
        <f>SUMIF(본공사입.출고현황!$B:$B,$A31,본공사입.출고현황!L:L)</f>
        <v>0</v>
      </c>
      <c r="J31" s="295">
        <f>SUMIF(본공사입.출고현황!$B:$B,$A31,본공사입.출고현황!M:M)</f>
        <v>200</v>
      </c>
      <c r="K31" s="296">
        <f t="shared" si="4"/>
        <v>0</v>
      </c>
      <c r="L31" s="297">
        <f t="shared" si="0"/>
        <v>200</v>
      </c>
      <c r="M31" s="295">
        <f>SUMIF(본공사입.출고현황!$B:$B,$A31,본공사입.출고현황!P:P)</f>
        <v>188</v>
      </c>
      <c r="N31" s="295">
        <f>SUMIF(본공사입.출고현황!$B:$B,$A31,본공사입.출고현황!Q:Q)</f>
        <v>0</v>
      </c>
      <c r="O31" s="295">
        <f>SUMIF(본공사입.출고현황!$B:$B,$A31,본공사입.출고현황!R:R)</f>
        <v>0</v>
      </c>
      <c r="P31" s="298">
        <f t="shared" si="17"/>
        <v>188</v>
      </c>
      <c r="Q31" s="299">
        <f t="shared" si="18"/>
        <v>12</v>
      </c>
      <c r="R31" s="300"/>
      <c r="U31" s="59"/>
      <c r="V31" s="66"/>
      <c r="W31" s="66"/>
      <c r="X31" s="8"/>
    </row>
    <row r="32" spans="1:24" s="61" customFormat="1" ht="18" customHeight="1">
      <c r="A32" s="8" t="s">
        <v>151</v>
      </c>
      <c r="B32" s="63">
        <v>13</v>
      </c>
      <c r="C32" s="293" t="str">
        <f>VLOOKUP($A32,본공사입.출고현황!$B:$X,C$49,0)</f>
        <v>Coupling (Galvanized)</v>
      </c>
      <c r="D32" s="294" t="str">
        <f>VLOOKUP($A32,본공사입.출고현황!$B:$X,D$49,0)</f>
        <v>5.5"</v>
      </c>
      <c r="E32" s="251" t="str">
        <f>VLOOKUP($A32,본공사입.출고현황!$B:$X,E$49,0)</f>
        <v>EA</v>
      </c>
      <c r="F32" s="295">
        <f>SUMIF(본공사입.출고현황!$B:$B,$A32,본공사입.출고현황!I:I)</f>
        <v>120</v>
      </c>
      <c r="G32" s="295">
        <f>SUMIF(본공사입.출고현황!$B:$B,$A32,본공사입.출고현황!J:J)</f>
        <v>60</v>
      </c>
      <c r="H32" s="295">
        <f t="shared" ref="H32" si="26">F32-G32</f>
        <v>60</v>
      </c>
      <c r="I32" s="295">
        <f>SUMIF(본공사입.출고현황!$B:$B,$A32,본공사입.출고현황!L:L)</f>
        <v>0</v>
      </c>
      <c r="J32" s="295">
        <f>SUMIF(본공사입.출고현황!$B:$B,$A32,본공사입.출고현황!M:M)</f>
        <v>60</v>
      </c>
      <c r="K32" s="296">
        <f t="shared" si="4"/>
        <v>0</v>
      </c>
      <c r="L32" s="297">
        <f t="shared" ref="L32" si="27">J32</f>
        <v>60</v>
      </c>
      <c r="M32" s="295">
        <f>SUMIF(본공사입.출고현황!$B:$B,$A32,본공사입.출고현황!P:P)</f>
        <v>0</v>
      </c>
      <c r="N32" s="295">
        <f>SUMIF(본공사입.출고현황!$B:$B,$A32,본공사입.출고현황!Q:Q)</f>
        <v>14</v>
      </c>
      <c r="O32" s="295">
        <f>SUMIF(본공사입.출고현황!$B:$B,$A32,본공사입.출고현황!R:R)</f>
        <v>0</v>
      </c>
      <c r="P32" s="298">
        <f t="shared" ref="P32" si="28">SUM(M32:O32)</f>
        <v>14</v>
      </c>
      <c r="Q32" s="299">
        <f t="shared" ref="Q32" si="29">L32-P32</f>
        <v>46</v>
      </c>
      <c r="R32" s="300" t="s">
        <v>392</v>
      </c>
      <c r="U32" s="59"/>
      <c r="V32" s="66"/>
      <c r="W32" s="66"/>
      <c r="X32" s="8"/>
    </row>
    <row r="33" spans="1:24" s="61" customFormat="1" ht="18" customHeight="1">
      <c r="A33" s="8" t="s">
        <v>153</v>
      </c>
      <c r="B33" s="63">
        <v>14</v>
      </c>
      <c r="C33" s="293" t="str">
        <f>VLOOKUP($A33,본공사입.출고현황!$B:$X,C$49,0)</f>
        <v>Coupling</v>
      </c>
      <c r="D33" s="294" t="str">
        <f>VLOOKUP($A33,본공사입.출고현황!$B:$X,D$49,0)</f>
        <v>4"</v>
      </c>
      <c r="E33" s="251" t="s">
        <v>147</v>
      </c>
      <c r="F33" s="295">
        <f>SUMIF(본공사입.출고현황!$B:$B,$A33,본공사입.출고현황!I:I)</f>
        <v>104</v>
      </c>
      <c r="G33" s="295">
        <f>SUMIF(본공사입.출고현황!$B:$B,$A33,본공사입.출고현황!J:J)</f>
        <v>104</v>
      </c>
      <c r="H33" s="295">
        <f t="shared" si="21"/>
        <v>0</v>
      </c>
      <c r="I33" s="295">
        <f>SUMIF(본공사입.출고현황!$B:$B,$A33,본공사입.출고현황!L:L)</f>
        <v>0</v>
      </c>
      <c r="J33" s="295">
        <f>SUMIF(본공사입.출고현황!$B:$B,$A33,본공사입.출고현황!M:M)</f>
        <v>104</v>
      </c>
      <c r="K33" s="296">
        <f t="shared" si="4"/>
        <v>0</v>
      </c>
      <c r="L33" s="297">
        <f t="shared" si="0"/>
        <v>104</v>
      </c>
      <c r="M33" s="295">
        <f>SUMIF(본공사입.출고현황!$B:$B,$A33,본공사입.출고현황!P:P)</f>
        <v>48</v>
      </c>
      <c r="N33" s="295">
        <f>SUMIF(본공사입.출고현황!$B:$B,$A33,본공사입.출고현황!Q:Q)</f>
        <v>1.5</v>
      </c>
      <c r="O33" s="295">
        <f>SUMIF(본공사입.출고현황!$B:$B,$A33,본공사입.출고현황!R:R)</f>
        <v>0</v>
      </c>
      <c r="P33" s="298">
        <f t="shared" si="17"/>
        <v>49.5</v>
      </c>
      <c r="Q33" s="299">
        <f t="shared" si="18"/>
        <v>54.5</v>
      </c>
      <c r="R33" s="301">
        <f>Q33/0.15</f>
        <v>363.33333333333337</v>
      </c>
      <c r="U33" s="59"/>
      <c r="V33" s="66"/>
      <c r="W33" s="66"/>
      <c r="X33" s="8"/>
    </row>
    <row r="34" spans="1:24" s="61" customFormat="1" ht="18" customHeight="1">
      <c r="A34" s="8" t="s">
        <v>156</v>
      </c>
      <c r="B34" s="63">
        <v>15</v>
      </c>
      <c r="C34" s="293" t="str">
        <f>VLOOKUP($A34,본공사입.출고현황!$B:$X,C$49,0)</f>
        <v>Coupling</v>
      </c>
      <c r="D34" s="294" t="str">
        <f>VLOOKUP($A34,본공사입.출고현황!$B:$X,D$49,0)</f>
        <v>4"</v>
      </c>
      <c r="E34" s="251" t="str">
        <f>VLOOKUP($A34,본공사입.출고현황!$B:$X,E$49,0)</f>
        <v>EA</v>
      </c>
      <c r="F34" s="295">
        <f>SUMIF(본공사입.출고현황!$B:$B,$A34,본공사입.출고현황!I:I)</f>
        <v>456</v>
      </c>
      <c r="G34" s="295">
        <f>SUMIF(본공사입.출고현황!$B:$B,$A34,본공사입.출고현황!J:J)</f>
        <v>456</v>
      </c>
      <c r="H34" s="295">
        <f t="shared" si="21"/>
        <v>0</v>
      </c>
      <c r="I34" s="295">
        <f>SUMIF(본공사입.출고현황!$B:$B,$A34,본공사입.출고현황!L:L)</f>
        <v>0</v>
      </c>
      <c r="J34" s="295">
        <f>SUMIF(본공사입.출고현황!$B:$B,$A34,본공사입.출고현황!M:M)</f>
        <v>456</v>
      </c>
      <c r="K34" s="296">
        <f t="shared" si="4"/>
        <v>0</v>
      </c>
      <c r="L34" s="297">
        <f t="shared" si="0"/>
        <v>456</v>
      </c>
      <c r="M34" s="295">
        <f>SUMIF(본공사입.출고현황!$B:$B,$A34,본공사입.출고현황!P:P)</f>
        <v>423</v>
      </c>
      <c r="N34" s="295">
        <f>SUMIF(본공사입.출고현황!$B:$B,$A34,본공사입.출고현황!Q:Q)</f>
        <v>33</v>
      </c>
      <c r="O34" s="295">
        <f>SUMIF(본공사입.출고현황!$B:$B,$A34,본공사입.출고현황!R:R)</f>
        <v>0</v>
      </c>
      <c r="P34" s="298">
        <f t="shared" si="17"/>
        <v>456</v>
      </c>
      <c r="Q34" s="299">
        <f t="shared" si="18"/>
        <v>0</v>
      </c>
      <c r="R34" s="300"/>
      <c r="U34" s="59"/>
      <c r="V34" s="66"/>
      <c r="W34" s="66"/>
      <c r="X34" s="8"/>
    </row>
    <row r="35" spans="1:24" s="61" customFormat="1" ht="18" customHeight="1">
      <c r="A35" s="8" t="s">
        <v>1009</v>
      </c>
      <c r="B35" s="63">
        <v>16</v>
      </c>
      <c r="C35" s="293" t="str">
        <f>VLOOKUP($A35,본공사입.출고현황!$B:$X,C$49,0)</f>
        <v>Coupling (Galvanized)</v>
      </c>
      <c r="D35" s="294" t="str">
        <f>VLOOKUP($A35,본공사입.출고현황!$B:$X,D$49,0)</f>
        <v>2"</v>
      </c>
      <c r="E35" s="251" t="str">
        <f>VLOOKUP($A35,본공사입.출고현황!$B:$X,E$49,0)</f>
        <v>EA</v>
      </c>
      <c r="F35" s="295">
        <f>SUMIF(본공사입.출고현황!$B:$B,$A35,본공사입.출고현황!I:I)</f>
        <v>9</v>
      </c>
      <c r="G35" s="295">
        <f>SUMIF(본공사입.출고현황!$B:$B,$A35,본공사입.출고현황!J:J)</f>
        <v>9</v>
      </c>
      <c r="H35" s="295">
        <f t="shared" ref="H35" si="30">F35-G35</f>
        <v>0</v>
      </c>
      <c r="I35" s="295">
        <f>SUMIF(본공사입.출고현황!$B:$B,$A35,본공사입.출고현황!L:L)</f>
        <v>0</v>
      </c>
      <c r="J35" s="295">
        <f>SUMIF(본공사입.출고현황!$B:$B,$A35,본공사입.출고현황!M:M)</f>
        <v>9</v>
      </c>
      <c r="K35" s="296">
        <f t="shared" si="4"/>
        <v>0</v>
      </c>
      <c r="L35" s="297">
        <f t="shared" ref="L35" si="31">J35</f>
        <v>9</v>
      </c>
      <c r="M35" s="295">
        <f>SUMIF(본공사입.출고현황!$B:$B,$A35,본공사입.출고현황!P:P)</f>
        <v>9</v>
      </c>
      <c r="N35" s="295">
        <f>SUMIF(본공사입.출고현황!$B:$B,$A35,본공사입.출고현황!Q:Q)</f>
        <v>0</v>
      </c>
      <c r="O35" s="295">
        <f>SUMIF(본공사입.출고현황!$B:$B,$A35,본공사입.출고현황!R:R)</f>
        <v>0</v>
      </c>
      <c r="P35" s="298">
        <f t="shared" ref="P35" si="32">SUM(M35:O35)</f>
        <v>9</v>
      </c>
      <c r="Q35" s="299">
        <f t="shared" ref="Q35" si="33">L35-P35</f>
        <v>0</v>
      </c>
      <c r="R35" s="74"/>
      <c r="U35" s="59"/>
      <c r="V35" s="66"/>
      <c r="W35" s="66"/>
      <c r="X35" s="8"/>
    </row>
    <row r="36" spans="1:24" s="61" customFormat="1" ht="18" customHeight="1">
      <c r="A36" s="8" t="s">
        <v>162</v>
      </c>
      <c r="B36" s="63">
        <v>17</v>
      </c>
      <c r="C36" s="293" t="str">
        <f>VLOOKUP($A36,본공사입.출고현황!$B:$X,C$49,0)</f>
        <v>Angle</v>
      </c>
      <c r="D36" s="294" t="str">
        <f>VLOOKUP($A36,본공사입.출고현황!$B:$X,D$49,0)</f>
        <v>50*50*5</v>
      </c>
      <c r="E36" s="251" t="str">
        <f>VLOOKUP($A36,본공사입.출고현황!$B:$X,E$49,0)</f>
        <v>M</v>
      </c>
      <c r="F36" s="295">
        <f>SUMIF(본공사입.출고현황!$B:$B,$A36,본공사입.출고현황!I:I)</f>
        <v>3584</v>
      </c>
      <c r="G36" s="295">
        <f>SUMIF(본공사입.출고현황!$B:$B,$A36,본공사입.출고현황!J:J)</f>
        <v>3584</v>
      </c>
      <c r="H36" s="295">
        <f t="shared" si="21"/>
        <v>0</v>
      </c>
      <c r="I36" s="295">
        <f>SUMIF(본공사입.출고현황!$B:$B,$A36,본공사입.출고현황!L:L)</f>
        <v>0</v>
      </c>
      <c r="J36" s="295">
        <f>SUMIF(본공사입.출고현황!$B:$B,$A36,본공사입.출고현황!M:M)</f>
        <v>3584</v>
      </c>
      <c r="K36" s="296">
        <f t="shared" si="4"/>
        <v>0</v>
      </c>
      <c r="L36" s="297">
        <f t="shared" si="0"/>
        <v>3584</v>
      </c>
      <c r="M36" s="295">
        <f>SUMIF(본공사입.출고현황!$B:$B,$A36,본공사입.출고현황!P:P)</f>
        <v>2726</v>
      </c>
      <c r="N36" s="295">
        <f>SUMIF(본공사입.출고현황!$B:$B,$A36,본공사입.출고현황!Q:Q)</f>
        <v>459.1</v>
      </c>
      <c r="O36" s="295">
        <f>SUMIF(본공사입.출고현황!$B:$B,$A36,본공사입.출고현황!R:R)</f>
        <v>326.89999999999998</v>
      </c>
      <c r="P36" s="298">
        <f t="shared" si="17"/>
        <v>3512</v>
      </c>
      <c r="Q36" s="299">
        <f t="shared" si="18"/>
        <v>72</v>
      </c>
      <c r="R36" s="300"/>
      <c r="U36" s="59"/>
      <c r="V36" s="66"/>
      <c r="W36" s="66"/>
      <c r="X36" s="8"/>
    </row>
    <row r="37" spans="1:24" s="61" customFormat="1" ht="18" customHeight="1">
      <c r="A37" s="8" t="s">
        <v>165</v>
      </c>
      <c r="B37" s="63">
        <v>18</v>
      </c>
      <c r="C37" s="293" t="str">
        <f>VLOOKUP($A37,본공사입.출고현황!$B:$X,C$49,0)</f>
        <v>Angle</v>
      </c>
      <c r="D37" s="294" t="str">
        <f>VLOOKUP($A37,본공사입.출고현황!$B:$X,D$49,0)</f>
        <v>70*70*7</v>
      </c>
      <c r="E37" s="251" t="str">
        <f>VLOOKUP($A37,본공사입.출고현황!$B:$X,E$49,0)</f>
        <v>M</v>
      </c>
      <c r="F37" s="295">
        <f>SUMIF(본공사입.출고현황!$B:$B,$A37,본공사입.출고현황!I:I)</f>
        <v>732</v>
      </c>
      <c r="G37" s="295">
        <f>SUMIF(본공사입.출고현황!$B:$B,$A37,본공사입.출고현황!J:J)</f>
        <v>732</v>
      </c>
      <c r="H37" s="295">
        <f t="shared" si="21"/>
        <v>0</v>
      </c>
      <c r="I37" s="295">
        <f>SUMIF(본공사입.출고현황!$B:$B,$A37,본공사입.출고현황!L:L)</f>
        <v>0</v>
      </c>
      <c r="J37" s="295">
        <f>SUMIF(본공사입.출고현황!$B:$B,$A37,본공사입.출고현황!M:M)</f>
        <v>732</v>
      </c>
      <c r="K37" s="296">
        <f t="shared" si="4"/>
        <v>0</v>
      </c>
      <c r="L37" s="297">
        <f t="shared" si="0"/>
        <v>732</v>
      </c>
      <c r="M37" s="295">
        <f>SUMIF(본공사입.출고현황!$B:$B,$A37,본공사입.출고현황!P:P)</f>
        <v>414.4</v>
      </c>
      <c r="N37" s="295">
        <f>SUMIF(본공사입.출고현황!$B:$B,$A37,본공사입.출고현황!Q:Q)</f>
        <v>0</v>
      </c>
      <c r="O37" s="295">
        <f>SUMIF(본공사입.출고현황!$B:$B,$A37,본공사입.출고현황!R:R)</f>
        <v>29.6</v>
      </c>
      <c r="P37" s="298">
        <f t="shared" si="17"/>
        <v>444</v>
      </c>
      <c r="Q37" s="299">
        <f t="shared" si="18"/>
        <v>288</v>
      </c>
      <c r="R37" s="300"/>
      <c r="U37" s="59"/>
      <c r="V37" s="66"/>
      <c r="W37" s="66"/>
      <c r="X37" s="8"/>
    </row>
    <row r="38" spans="1:24" s="61" customFormat="1" ht="18" customHeight="1">
      <c r="A38" s="8" t="s">
        <v>397</v>
      </c>
      <c r="B38" s="63">
        <v>19</v>
      </c>
      <c r="C38" s="293" t="s">
        <v>613</v>
      </c>
      <c r="D38" s="294" t="s">
        <v>389</v>
      </c>
      <c r="E38" s="251" t="s">
        <v>612</v>
      </c>
      <c r="F38" s="295">
        <f>SUMIF(본공사입.출고현황!$B:$B,$A38,본공사입.출고현황!I:I)</f>
        <v>23</v>
      </c>
      <c r="G38" s="295">
        <f>SUMIF(본공사입.출고현황!$B:$B,$A38,본공사입.출고현황!J:J)</f>
        <v>6</v>
      </c>
      <c r="H38" s="295">
        <f t="shared" ref="H38:H41" si="34">F38-G38</f>
        <v>17</v>
      </c>
      <c r="I38" s="295">
        <f>SUMIF(본공사입.출고현황!$B:$B,$A38,본공사입.출고현황!L:L)</f>
        <v>1</v>
      </c>
      <c r="J38" s="295">
        <f>SUMIF(본공사입.출고현황!$B:$B,$A38,본공사입.출고현황!M:M)</f>
        <v>6</v>
      </c>
      <c r="K38" s="296">
        <f t="shared" si="4"/>
        <v>0</v>
      </c>
      <c r="L38" s="297">
        <f t="shared" ref="L38:L41" si="35">J38</f>
        <v>6</v>
      </c>
      <c r="M38" s="295">
        <f>SUMIF(본공사입.출고현황!$B:$B,$A38,본공사입.출고현황!P:P)</f>
        <v>5</v>
      </c>
      <c r="N38" s="295">
        <f>SUMIF(본공사입.출고현황!$B:$B,$A38,본공사입.출고현황!Q:Q)</f>
        <v>0</v>
      </c>
      <c r="O38" s="295">
        <f>SUMIF(본공사입.출고현황!$B:$B,$A38,본공사입.출고현황!R:R)</f>
        <v>0</v>
      </c>
      <c r="P38" s="298">
        <f t="shared" ref="P38:P41" si="36">SUM(M38:O38)</f>
        <v>5</v>
      </c>
      <c r="Q38" s="299">
        <f t="shared" ref="Q38:Q41" si="37">L38-P38</f>
        <v>1</v>
      </c>
      <c r="R38" s="300"/>
      <c r="U38" s="59"/>
      <c r="V38" s="66"/>
      <c r="W38" s="66"/>
      <c r="X38" s="8"/>
    </row>
    <row r="39" spans="1:24" s="61" customFormat="1" ht="18" customHeight="1">
      <c r="A39" s="8" t="s">
        <v>399</v>
      </c>
      <c r="B39" s="63">
        <v>20</v>
      </c>
      <c r="C39" s="293" t="s">
        <v>390</v>
      </c>
      <c r="D39" s="294" t="s">
        <v>391</v>
      </c>
      <c r="E39" s="251" t="s">
        <v>612</v>
      </c>
      <c r="F39" s="295">
        <f>SUMIF(본공사입.출고현황!$B:$B,$A39,본공사입.출고현황!I:I)</f>
        <v>23</v>
      </c>
      <c r="G39" s="295">
        <f>SUMIF(본공사입.출고현황!$B:$B,$A39,본공사입.출고현황!J:J)</f>
        <v>6</v>
      </c>
      <c r="H39" s="295">
        <f t="shared" si="34"/>
        <v>17</v>
      </c>
      <c r="I39" s="295">
        <f>SUMIF(본공사입.출고현황!$B:$B,$A39,본공사입.출고현황!L:L)</f>
        <v>1</v>
      </c>
      <c r="J39" s="295">
        <f>SUMIF(본공사입.출고현황!$B:$B,$A39,본공사입.출고현황!M:M)</f>
        <v>6</v>
      </c>
      <c r="K39" s="296">
        <f t="shared" si="4"/>
        <v>0</v>
      </c>
      <c r="L39" s="297">
        <f t="shared" si="35"/>
        <v>6</v>
      </c>
      <c r="M39" s="295">
        <f>SUMIF(본공사입.출고현황!$B:$B,$A39,본공사입.출고현황!P:P)</f>
        <v>5</v>
      </c>
      <c r="N39" s="295">
        <f>SUMIF(본공사입.출고현황!$B:$B,$A39,본공사입.출고현황!Q:Q)</f>
        <v>0</v>
      </c>
      <c r="O39" s="295">
        <f>SUMIF(본공사입.출고현황!$B:$B,$A39,본공사입.출고현황!R:R)</f>
        <v>0</v>
      </c>
      <c r="P39" s="298">
        <f t="shared" si="36"/>
        <v>5</v>
      </c>
      <c r="Q39" s="299">
        <f t="shared" si="37"/>
        <v>1</v>
      </c>
      <c r="R39" s="300"/>
      <c r="U39" s="59"/>
      <c r="V39" s="66"/>
      <c r="W39" s="66"/>
      <c r="X39" s="8"/>
    </row>
    <row r="40" spans="1:24" s="61" customFormat="1" ht="18" customHeight="1">
      <c r="A40" s="8" t="s">
        <v>175</v>
      </c>
      <c r="B40" s="63">
        <v>21</v>
      </c>
      <c r="C40" s="293" t="s">
        <v>176</v>
      </c>
      <c r="D40" s="294" t="s">
        <v>173</v>
      </c>
      <c r="E40" s="251" t="s">
        <v>612</v>
      </c>
      <c r="F40" s="295">
        <f>SUMIF(본공사입.출고현황!$B:$B,$A40,본공사입.출고현황!I:I)</f>
        <v>21</v>
      </c>
      <c r="G40" s="295">
        <f>SUMIF(본공사입.출고현황!$B:$B,$A40,본공사입.출고현황!J:J)</f>
        <v>0</v>
      </c>
      <c r="H40" s="295">
        <f t="shared" si="34"/>
        <v>21</v>
      </c>
      <c r="I40" s="295">
        <f>SUMIF(본공사입.출고현황!$B:$B,$A40,본공사입.출고현황!L:L)</f>
        <v>1</v>
      </c>
      <c r="J40" s="295">
        <f>SUMIF(본공사입.출고현황!$B:$B,$A40,본공사입.출고현황!M:M)</f>
        <v>0</v>
      </c>
      <c r="K40" s="296">
        <f t="shared" si="4"/>
        <v>0</v>
      </c>
      <c r="L40" s="297">
        <f t="shared" si="35"/>
        <v>0</v>
      </c>
      <c r="M40" s="295">
        <f>SUMIF(본공사입.출고현황!$B:$B,$A40,본공사입.출고현황!P:P)</f>
        <v>0</v>
      </c>
      <c r="N40" s="295">
        <f>SUMIF(본공사입.출고현황!$B:$B,$A40,본공사입.출고현황!Q:Q)</f>
        <v>0</v>
      </c>
      <c r="O40" s="295">
        <f>SUMIF(본공사입.출고현황!$B:$B,$A40,본공사입.출고현황!R:R)</f>
        <v>0</v>
      </c>
      <c r="P40" s="298">
        <f t="shared" si="36"/>
        <v>0</v>
      </c>
      <c r="Q40" s="299">
        <f t="shared" si="37"/>
        <v>0</v>
      </c>
      <c r="R40" s="300"/>
      <c r="U40" s="59"/>
      <c r="V40" s="66"/>
      <c r="W40" s="66"/>
      <c r="X40" s="8"/>
    </row>
    <row r="41" spans="1:24" s="61" customFormat="1" ht="18" customHeight="1">
      <c r="A41" s="8" t="s">
        <v>177</v>
      </c>
      <c r="B41" s="63">
        <v>22</v>
      </c>
      <c r="C41" s="293" t="s">
        <v>178</v>
      </c>
      <c r="D41" s="294" t="s">
        <v>173</v>
      </c>
      <c r="E41" s="251" t="s">
        <v>612</v>
      </c>
      <c r="F41" s="295">
        <f>SUMIF(본공사입.출고현황!$B:$B,$A41,본공사입.출고현황!I:I)</f>
        <v>21</v>
      </c>
      <c r="G41" s="295">
        <f>SUMIF(본공사입.출고현황!$B:$B,$A41,본공사입.출고현황!J:J)</f>
        <v>2</v>
      </c>
      <c r="H41" s="295">
        <f t="shared" si="34"/>
        <v>19</v>
      </c>
      <c r="I41" s="295">
        <f>SUMIF(본공사입.출고현황!$B:$B,$A41,본공사입.출고현황!L:L)</f>
        <v>1</v>
      </c>
      <c r="J41" s="295">
        <f>SUMIF(본공사입.출고현황!$B:$B,$A41,본공사입.출고현황!M:M)</f>
        <v>2</v>
      </c>
      <c r="K41" s="296">
        <f t="shared" si="4"/>
        <v>0</v>
      </c>
      <c r="L41" s="297">
        <f t="shared" si="35"/>
        <v>2</v>
      </c>
      <c r="M41" s="295">
        <f>SUMIF(본공사입.출고현황!$B:$B,$A41,본공사입.출고현황!P:P)</f>
        <v>1</v>
      </c>
      <c r="N41" s="295">
        <f>SUMIF(본공사입.출고현황!$B:$B,$A41,본공사입.출고현황!Q:Q)</f>
        <v>0</v>
      </c>
      <c r="O41" s="295">
        <f>SUMIF(본공사입.출고현황!$B:$B,$A41,본공사입.출고현황!R:R)</f>
        <v>0</v>
      </c>
      <c r="P41" s="298">
        <f t="shared" si="36"/>
        <v>1</v>
      </c>
      <c r="Q41" s="299">
        <f t="shared" si="37"/>
        <v>1</v>
      </c>
      <c r="R41" s="300"/>
      <c r="U41" s="59"/>
      <c r="V41" s="66"/>
      <c r="W41" s="66"/>
      <c r="X41" s="8"/>
    </row>
    <row r="42" spans="1:24" s="61" customFormat="1" ht="18" customHeight="1">
      <c r="A42" s="8"/>
      <c r="B42" s="302" t="s">
        <v>123</v>
      </c>
      <c r="C42" s="303" t="s">
        <v>255</v>
      </c>
      <c r="D42" s="304"/>
      <c r="E42" s="248"/>
      <c r="F42" s="295"/>
      <c r="G42" s="295"/>
      <c r="H42" s="295"/>
      <c r="I42" s="295"/>
      <c r="J42" s="295"/>
      <c r="K42" s="296">
        <f t="shared" si="4"/>
        <v>0</v>
      </c>
      <c r="L42" s="297"/>
      <c r="M42" s="295"/>
      <c r="N42" s="295"/>
      <c r="O42" s="295"/>
      <c r="P42" s="298"/>
      <c r="Q42" s="299"/>
      <c r="R42" s="300"/>
      <c r="U42" s="59"/>
      <c r="V42" s="66"/>
      <c r="W42" s="66"/>
      <c r="X42" s="8"/>
    </row>
    <row r="43" spans="1:24" s="61" customFormat="1" ht="18" customHeight="1">
      <c r="A43" s="8" t="s">
        <v>238</v>
      </c>
      <c r="B43" s="248">
        <v>1</v>
      </c>
      <c r="C43" s="293" t="str">
        <f>VLOOKUP($A43,본공사입.출고현황!$B:$X,C$49,0)</f>
        <v>Steel round bar(rebar)</v>
      </c>
      <c r="D43" s="294" t="str">
        <f>VLOOKUP($A43,본공사입.출고현황!$B:$X,D$49,0)</f>
        <v>ф10</v>
      </c>
      <c r="E43" s="251" t="str">
        <f>VLOOKUP($A43,본공사입.출고현황!$B:$X,E$49,0)</f>
        <v>M</v>
      </c>
      <c r="F43" s="295">
        <f>SUMIF(본공사입.출고현황!$B:$B,$A43,본공사입.출고현황!I:I)</f>
        <v>156805.25</v>
      </c>
      <c r="G43" s="295">
        <f>SUMIF(본공사입.출고현황!$B:$B,$A43,본공사입.출고현황!J:J)</f>
        <v>111445.25000000001</v>
      </c>
      <c r="H43" s="295">
        <f t="shared" si="21"/>
        <v>45359.999999999985</v>
      </c>
      <c r="I43" s="295">
        <f>SUMIF(본공사입.출고현황!$B:$B,$A43,본공사입.출고현황!L:L)</f>
        <v>0</v>
      </c>
      <c r="J43" s="295">
        <f>SUMIF(본공사입.출고현황!$B:$B,$A43,본공사입.출고현황!M:M)</f>
        <v>111445.25000000001</v>
      </c>
      <c r="K43" s="296">
        <f t="shared" si="4"/>
        <v>0</v>
      </c>
      <c r="L43" s="297">
        <f t="shared" si="0"/>
        <v>111445.25000000001</v>
      </c>
      <c r="M43" s="295">
        <f>SUMIF(본공사입.출고현황!$B:$B,$A43,본공사입.출고현황!P:P)</f>
        <v>100172.6</v>
      </c>
      <c r="N43" s="295">
        <f>SUMIF(본공사입.출고현황!$B:$B,$A43,본공사입.출고현황!Q:Q)</f>
        <v>800</v>
      </c>
      <c r="O43" s="295">
        <f>SUMIF(본공사입.출고현황!$B:$B,$A43,본공사입.출고현황!R:R)</f>
        <v>1816.8330000000001</v>
      </c>
      <c r="P43" s="298">
        <f>SUM(M43:O43)</f>
        <v>102789.433</v>
      </c>
      <c r="Q43" s="299">
        <f>L43-P43</f>
        <v>8655.81700000001</v>
      </c>
      <c r="R43" s="300"/>
      <c r="U43" s="59"/>
      <c r="V43" s="66"/>
      <c r="W43" s="66"/>
      <c r="X43" s="8"/>
    </row>
    <row r="44" spans="1:24" s="20" customFormat="1" ht="18" customHeight="1">
      <c r="A44" s="29" t="s">
        <v>61</v>
      </c>
      <c r="B44" s="248">
        <v>2</v>
      </c>
      <c r="C44" s="293" t="str">
        <f>VLOOKUP($A44,본공사입.출고현황!$B:$X,C$49,0)</f>
        <v>Angle</v>
      </c>
      <c r="D44" s="294" t="str">
        <f>VLOOKUP($A44,본공사입.출고현황!$B:$X,D$49,0)</f>
        <v>100x100x10 (12m)</v>
      </c>
      <c r="E44" s="251" t="str">
        <f>VLOOKUP($A44,본공사입.출고현황!$B:$X,E$49,0)</f>
        <v>M</v>
      </c>
      <c r="F44" s="338">
        <f>SUMIF(본공사입.출고현황!$B:$B,$A44,본공사입.출고현황!I:I)</f>
        <v>3132</v>
      </c>
      <c r="G44" s="338">
        <f>SUMIF(본공사입.출고현황!$B:$B,$A44,본공사입.출고현황!J:J)</f>
        <v>1200</v>
      </c>
      <c r="H44" s="338">
        <f t="shared" si="21"/>
        <v>1932</v>
      </c>
      <c r="I44" s="338">
        <f>SUMIF(본공사입.출고현황!$B:$B,$A44,본공사입.출고현황!L:L)</f>
        <v>0</v>
      </c>
      <c r="J44" s="338">
        <f>SUMIF(본공사입.출고현황!$B:$B,$A44,본공사입.출고현황!M:M)</f>
        <v>1200</v>
      </c>
      <c r="K44" s="340">
        <f t="shared" si="4"/>
        <v>0</v>
      </c>
      <c r="L44" s="341">
        <f t="shared" si="0"/>
        <v>1200</v>
      </c>
      <c r="M44" s="338">
        <f>SUMIF(본공사입.출고현황!$B:$B,$A44,본공사입.출고현황!P:P)</f>
        <v>927</v>
      </c>
      <c r="N44" s="338">
        <f>SUMIF(본공사입.출고현황!$B:$B,$A44,본공사입.출고현황!Q:Q)</f>
        <v>3.5</v>
      </c>
      <c r="O44" s="338">
        <f>SUMIF(본공사입.출고현황!$B:$B,$A44,본공사입.출고현황!R:R)</f>
        <v>19.5</v>
      </c>
      <c r="P44" s="339">
        <f>SUM(M44:O44)</f>
        <v>950</v>
      </c>
      <c r="Q44" s="320">
        <f>L44-P44</f>
        <v>250</v>
      </c>
      <c r="R44" s="300"/>
      <c r="U44" s="1"/>
      <c r="V44" s="79"/>
      <c r="W44" s="66"/>
      <c r="X44" s="29"/>
    </row>
    <row r="45" spans="1:24" s="20" customFormat="1" ht="18" customHeight="1">
      <c r="A45" s="198" t="s">
        <v>669</v>
      </c>
      <c r="B45" s="248">
        <v>3</v>
      </c>
      <c r="C45" s="293" t="str">
        <f>VLOOKUP($A45,본공사입.출고현황!$B:$X,C$49,0)</f>
        <v>Plate</v>
      </c>
      <c r="D45" s="294" t="str">
        <f>VLOOKUP($A45,본공사입.출고현황!$B:$X,D$49,0)</f>
        <v xml:space="preserve">1000x6000x8 </v>
      </c>
      <c r="E45" s="251" t="str">
        <f>VLOOKUP($A45,본공사입.출고현황!$B:$X,E$49,0)</f>
        <v>PCS</v>
      </c>
      <c r="F45" s="338">
        <f>SUMIF(본공사입.출고현황!$B:$B,$A45,본공사입.출고현황!I:I)</f>
        <v>10</v>
      </c>
      <c r="G45" s="338">
        <f>SUMIF(본공사입.출고현황!$B:$B,$A45,본공사입.출고현황!J:J)</f>
        <v>1</v>
      </c>
      <c r="H45" s="338">
        <f t="shared" ref="H45:H46" si="38">F45-G45</f>
        <v>9</v>
      </c>
      <c r="I45" s="338">
        <f>SUMIF(본공사입.출고현황!$B:$B,$A45,본공사입.출고현황!L:L)</f>
        <v>0</v>
      </c>
      <c r="J45" s="338">
        <f>SUMIF(본공사입.출고현황!$B:$B,$A45,본공사입.출고현황!M:M)</f>
        <v>1</v>
      </c>
      <c r="K45" s="340">
        <f t="shared" si="4"/>
        <v>0</v>
      </c>
      <c r="L45" s="341">
        <f t="shared" ref="L45:L46" si="39">J45</f>
        <v>1</v>
      </c>
      <c r="M45" s="338">
        <f>SUMIF(본공사입.출고현황!$B:$B,$A45,본공사입.출고현황!P:P)</f>
        <v>0.8</v>
      </c>
      <c r="N45" s="338">
        <f>SUMIF(본공사입.출고현황!$B:$B,$A45,본공사입.출고현황!Q:Q)</f>
        <v>0</v>
      </c>
      <c r="O45" s="338">
        <f>SUMIF(본공사입.출고현황!$B:$B,$A45,본공사입.출고현황!R:R)</f>
        <v>0</v>
      </c>
      <c r="P45" s="339">
        <f t="shared" ref="P45:P46" si="40">SUM(M45:O45)</f>
        <v>0.8</v>
      </c>
      <c r="Q45" s="299">
        <f t="shared" ref="Q45:Q46" si="41">L45-P45</f>
        <v>0.19999999999999996</v>
      </c>
      <c r="R45" s="300"/>
      <c r="U45" s="1"/>
      <c r="V45" s="79"/>
      <c r="W45" s="66"/>
      <c r="X45" s="29"/>
    </row>
    <row r="46" spans="1:24" s="20" customFormat="1" ht="18" customHeight="1" thickBot="1">
      <c r="A46" s="198" t="s">
        <v>664</v>
      </c>
      <c r="B46" s="248">
        <v>4</v>
      </c>
      <c r="C46" s="293" t="str">
        <f>VLOOKUP($A46,본공사입.출고현황!$B:$X,C$49,0)</f>
        <v>Plate</v>
      </c>
      <c r="D46" s="294" t="str">
        <f>VLOOKUP($A46,본공사입.출고현황!$B:$X,D$49,0)</f>
        <v xml:space="preserve">1500x6000x10  </v>
      </c>
      <c r="E46" s="251" t="str">
        <f>VLOOKUP($A46,본공사입.출고현황!$B:$X,E$49,0)</f>
        <v>PCS</v>
      </c>
      <c r="F46" s="338">
        <f>SUMIF(본공사입.출고현황!$B:$B,$A46,본공사입.출고현황!I:I)</f>
        <v>1</v>
      </c>
      <c r="G46" s="338">
        <f>SUMIF(본공사입.출고현황!$B:$B,$A46,본공사입.출고현황!J:J)</f>
        <v>1</v>
      </c>
      <c r="H46" s="338">
        <f t="shared" si="38"/>
        <v>0</v>
      </c>
      <c r="I46" s="338">
        <f>SUMIF(본공사입.출고현황!$B:$B,$A46,본공사입.출고현황!L:L)</f>
        <v>0</v>
      </c>
      <c r="J46" s="338">
        <f>SUMIF(본공사입.출고현황!$B:$B,$A46,본공사입.출고현황!M:M)</f>
        <v>1</v>
      </c>
      <c r="K46" s="340">
        <f t="shared" si="4"/>
        <v>0</v>
      </c>
      <c r="L46" s="341">
        <f t="shared" si="39"/>
        <v>1</v>
      </c>
      <c r="M46" s="338">
        <f>SUMIF(본공사입.출고현황!$B:$B,$A46,본공사입.출고현황!P:P)</f>
        <v>0</v>
      </c>
      <c r="N46" s="338">
        <f>SUMIF(본공사입.출고현황!$B:$B,$A46,본공사입.출고현황!Q:Q)</f>
        <v>0</v>
      </c>
      <c r="O46" s="338">
        <f>SUMIF(본공사입.출고현황!$B:$B,$A46,본공사입.출고현황!R:R)</f>
        <v>0</v>
      </c>
      <c r="P46" s="339">
        <f t="shared" si="40"/>
        <v>0</v>
      </c>
      <c r="Q46" s="319">
        <f t="shared" si="41"/>
        <v>1</v>
      </c>
      <c r="R46" s="300"/>
      <c r="U46" s="1"/>
      <c r="V46" s="79"/>
      <c r="W46" s="66"/>
      <c r="X46" s="29"/>
    </row>
    <row r="49" spans="3:18" ht="78" customHeight="1">
      <c r="C49" s="8">
        <v>21</v>
      </c>
      <c r="D49" s="8">
        <v>22</v>
      </c>
      <c r="E49" s="8">
        <v>23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8"/>
    </row>
  </sheetData>
  <mergeCells count="14">
    <mergeCell ref="B3:B5"/>
    <mergeCell ref="C3:C5"/>
    <mergeCell ref="D3:D5"/>
    <mergeCell ref="E3:E5"/>
    <mergeCell ref="R3:R5"/>
    <mergeCell ref="F4:F5"/>
    <mergeCell ref="H4:H5"/>
    <mergeCell ref="J4:J5"/>
    <mergeCell ref="K4:K5"/>
    <mergeCell ref="L4:L5"/>
    <mergeCell ref="P4:P5"/>
    <mergeCell ref="Q4:Q5"/>
    <mergeCell ref="G4:G5"/>
    <mergeCell ref="I4:I5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6" fitToHeight="0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673D-F509-46E0-8E11-FA8BE69D63A1}">
  <sheetPr>
    <pageSetUpPr fitToPage="1"/>
  </sheetPr>
  <dimension ref="A1:X9"/>
  <sheetViews>
    <sheetView zoomScale="70" zoomScaleNormal="70" workbookViewId="0">
      <selection activeCell="R15" sqref="R15"/>
    </sheetView>
  </sheetViews>
  <sheetFormatPr defaultColWidth="9" defaultRowHeight="13.8"/>
  <cols>
    <col min="1" max="1" width="8.21875" style="8" customWidth="1"/>
    <col min="2" max="2" width="7.21875" style="59" customWidth="1"/>
    <col min="3" max="3" width="28.6640625" style="59" customWidth="1"/>
    <col min="4" max="4" width="20" style="59" customWidth="1"/>
    <col min="5" max="5" width="18.6640625" style="59" customWidth="1"/>
    <col min="6" max="12" width="7.6640625" style="60" customWidth="1"/>
    <col min="13" max="16" width="7.5546875" style="60" customWidth="1"/>
    <col min="17" max="17" width="7.6640625" style="60" customWidth="1"/>
    <col min="18" max="18" width="13.6640625" style="59" customWidth="1"/>
    <col min="19" max="20" width="5.88671875" style="61" customWidth="1"/>
    <col min="21" max="21" width="5.88671875" style="59" customWidth="1"/>
    <col min="22" max="23" width="5.88671875" style="66" customWidth="1"/>
    <col min="24" max="24" width="9" style="8"/>
    <col min="25" max="16384" width="9" style="59"/>
  </cols>
  <sheetData>
    <row r="1" spans="1:24" s="61" customFormat="1" ht="25.2" customHeight="1">
      <c r="A1" s="8"/>
      <c r="B1" s="437" t="s">
        <v>43</v>
      </c>
      <c r="C1" s="430" t="s">
        <v>1053</v>
      </c>
      <c r="D1" s="430" t="s">
        <v>45</v>
      </c>
      <c r="E1" s="430" t="s">
        <v>1054</v>
      </c>
      <c r="F1" s="430" t="s">
        <v>47</v>
      </c>
      <c r="G1" s="439" t="s">
        <v>429</v>
      </c>
      <c r="H1" s="440"/>
      <c r="I1" s="440"/>
      <c r="J1" s="440"/>
      <c r="K1" s="440"/>
      <c r="L1" s="440"/>
      <c r="M1" s="424" t="s">
        <v>430</v>
      </c>
      <c r="N1" s="424"/>
      <c r="O1" s="424"/>
      <c r="P1" s="424"/>
      <c r="Q1" s="424"/>
      <c r="R1" s="430" t="s">
        <v>10</v>
      </c>
      <c r="U1" s="59"/>
      <c r="V1" s="66"/>
      <c r="W1" s="66"/>
      <c r="X1" s="8"/>
    </row>
    <row r="2" spans="1:24" s="61" customFormat="1" ht="25.2" customHeight="1">
      <c r="A2" s="8"/>
      <c r="B2" s="457"/>
      <c r="C2" s="431"/>
      <c r="D2" s="431"/>
      <c r="E2" s="431"/>
      <c r="F2" s="431"/>
      <c r="G2" s="458" t="s">
        <v>1055</v>
      </c>
      <c r="H2" s="458" t="s">
        <v>1056</v>
      </c>
      <c r="I2" s="458" t="s">
        <v>1057</v>
      </c>
      <c r="J2" s="458" t="s">
        <v>396</v>
      </c>
      <c r="K2" s="458" t="s">
        <v>1058</v>
      </c>
      <c r="L2" s="458" t="s">
        <v>195</v>
      </c>
      <c r="M2" s="424" t="s">
        <v>1059</v>
      </c>
      <c r="N2" s="424" t="s">
        <v>192</v>
      </c>
      <c r="O2" s="424"/>
      <c r="P2" s="424"/>
      <c r="Q2" s="424"/>
      <c r="R2" s="431"/>
      <c r="U2" s="59"/>
      <c r="V2" s="66"/>
      <c r="W2" s="66"/>
      <c r="X2" s="8"/>
    </row>
    <row r="3" spans="1:24" s="61" customFormat="1" ht="25.2" customHeight="1">
      <c r="A3" s="8"/>
      <c r="B3" s="438"/>
      <c r="C3" s="432"/>
      <c r="D3" s="432"/>
      <c r="E3" s="432"/>
      <c r="F3" s="432"/>
      <c r="G3" s="458"/>
      <c r="H3" s="458"/>
      <c r="I3" s="458"/>
      <c r="J3" s="458"/>
      <c r="K3" s="458"/>
      <c r="L3" s="458"/>
      <c r="M3" s="424"/>
      <c r="N3" s="45" t="s">
        <v>1060</v>
      </c>
      <c r="O3" s="45" t="s">
        <v>51</v>
      </c>
      <c r="P3" s="45" t="s">
        <v>1061</v>
      </c>
      <c r="Q3" s="45" t="s">
        <v>52</v>
      </c>
      <c r="R3" s="432"/>
      <c r="U3" s="59"/>
      <c r="V3" s="66"/>
      <c r="W3" s="66"/>
      <c r="X3" s="8"/>
    </row>
    <row r="4" spans="1:24" s="61" customFormat="1" ht="25.2" customHeight="1">
      <c r="A4" s="8" t="s">
        <v>824</v>
      </c>
      <c r="B4" s="9">
        <v>1</v>
      </c>
      <c r="C4" s="397" t="str">
        <f>VLOOKUP(A4,케이블트레이입.출고현황!A:D,4,0)</f>
        <v>Console KS3-750</v>
      </c>
      <c r="D4" s="397" t="str">
        <f>VLOOKUP(A4,케이블트레이입.출고현황!A:E,5,0)</f>
        <v>3-KS3-750-M-TA4</v>
      </c>
      <c r="E4" s="397" t="str">
        <f>VLOOKUP(A4,케이블트레이입.출고현황!A:F,6,0)</f>
        <v>754x45x146; T=3.0</v>
      </c>
      <c r="F4" s="401" t="str">
        <f>VLOOKUP(Tray!A4,케이블트레이입.출고현황!A:G,7,0)</f>
        <v>pcs</v>
      </c>
      <c r="G4" s="400">
        <f>SUMIFS(케이블트레이입.출고현황!H:H,케이블트레이입.출고현황!A:A,Tray!A4)</f>
        <v>1865</v>
      </c>
      <c r="H4" s="400">
        <f>SUMIFS(케이블트레이입.출고현황!I:I,케이블트레이입.출고현황!A:A,Tray!A4)</f>
        <v>1865</v>
      </c>
      <c r="I4" s="400">
        <f>SUMIFS(케이블트레이입.출고현황!J:J,케이블트레이입.출고현황!A:A,Tray!A4)</f>
        <v>0</v>
      </c>
      <c r="J4" s="400">
        <f>SUMIFS(케이블트레이입.출고현황!K:K,케이블트레이입.출고현황!A:A,Tray!A4)</f>
        <v>0</v>
      </c>
      <c r="K4" s="400">
        <f>SUMIFS(케이블트레이입.출고현황!L:L,케이블트레이입.출고현황!A:A,Tray!A4)</f>
        <v>423</v>
      </c>
      <c r="L4" s="402">
        <f>SUMIFS(케이블트레이입.출고현황!M:M,케이블트레이입.출고현황!A:A,Tray!A4)</f>
        <v>1442</v>
      </c>
      <c r="M4" s="403">
        <v>423</v>
      </c>
      <c r="N4" s="403">
        <f>SUMIFS(케이블트레이입.출고현황!O:O,케이블트레이입.출고현황!A:A,Tray!A4)</f>
        <v>144</v>
      </c>
      <c r="O4" s="403">
        <f>SUMIFS(케이블트레이입.출고현황!P:P,케이블트레이입.출고현황!A:A,Tray!A4)</f>
        <v>0</v>
      </c>
      <c r="P4" s="403">
        <f>SUMIFS(케이블트레이입.출고현황!Q:Q,케이블트레이입.출고현황!A:A,Tray!A4)</f>
        <v>0</v>
      </c>
      <c r="Q4" s="403">
        <f>SUMIFS(케이블트레이입.출고현황!R:R,케이블트레이입.출고현황!A:A,Tray!A4)</f>
        <v>279</v>
      </c>
      <c r="R4" s="397"/>
      <c r="U4" s="59"/>
      <c r="V4" s="66"/>
      <c r="W4" s="66"/>
      <c r="X4" s="8"/>
    </row>
    <row r="5" spans="1:24" s="61" customFormat="1" ht="25.2" customHeight="1">
      <c r="A5" s="8" t="s">
        <v>871</v>
      </c>
      <c r="B5" s="9">
        <v>2</v>
      </c>
      <c r="C5" s="397" t="str">
        <f>VLOOKUP(A5,케이블트레이입.출고현황!A:D,4,0)</f>
        <v>Rack ST</v>
      </c>
      <c r="D5" s="397" t="str">
        <f>VLOOKUP(A5,케이블트레이입.출고현황!A:E,5,0)</f>
        <v>3-ST-260-4-M-TA4</v>
      </c>
      <c r="E5" s="397" t="str">
        <f>VLOOKUP(A5,케이블트레이입.출고현황!A:F,6,0)</f>
        <v>2600x63x37x20; T=4.0</v>
      </c>
      <c r="F5" s="401" t="str">
        <f>VLOOKUP(Tray!A5,케이블트레이입.출고현황!A:G,7,0)</f>
        <v>pcs</v>
      </c>
      <c r="G5" s="400">
        <f>SUMIFS(케이블트레이입.출고현황!H:H,케이블트레이입.출고현황!A:A,Tray!A5)</f>
        <v>244</v>
      </c>
      <c r="H5" s="400">
        <f t="shared" ref="H5:H9" si="0">G5</f>
        <v>244</v>
      </c>
      <c r="I5" s="400">
        <f>SUMIFS(케이블트레이입.출고현황!J:J,케이블트레이입.출고현황!A:A,Tray!A5)</f>
        <v>0</v>
      </c>
      <c r="J5" s="400">
        <f>SUMIFS(케이블트레이입.출고현황!K:K,케이블트레이입.출고현황!A:A,Tray!A5)</f>
        <v>0</v>
      </c>
      <c r="K5" s="400">
        <f>SUMIFS(케이블트레이입.출고현황!L:L,케이블트레이입.출고현황!A:A,Tray!A5)</f>
        <v>119</v>
      </c>
      <c r="L5" s="402">
        <f>SUMIFS(케이블트레이입.출고현황!M:M,케이블트레이입.출고현황!A:A,Tray!A5)</f>
        <v>125</v>
      </c>
      <c r="M5" s="403">
        <v>119</v>
      </c>
      <c r="N5" s="403">
        <f>SUMIFS(케이블트레이입.출고현황!O:O,케이블트레이입.출고현황!A:A,Tray!A5)</f>
        <v>18</v>
      </c>
      <c r="O5" s="403">
        <f>SUMIFS(케이블트레이입.출고현황!P:P,케이블트레이입.출고현황!A:A,Tray!A5)</f>
        <v>0</v>
      </c>
      <c r="P5" s="403">
        <f>SUMIFS(케이블트레이입.출고현황!Q:Q,케이블트레이입.출고현황!A:A,Tray!A5)</f>
        <v>0</v>
      </c>
      <c r="Q5" s="403">
        <f>SUMIFS(케이블트레이입.출고현황!R:R,케이블트레이입.출고현황!A:A,Tray!A5)</f>
        <v>101</v>
      </c>
      <c r="R5" s="397"/>
      <c r="U5" s="59"/>
      <c r="V5" s="66"/>
      <c r="W5" s="66"/>
      <c r="X5" s="8"/>
    </row>
    <row r="6" spans="1:24" s="61" customFormat="1" ht="25.2" customHeight="1">
      <c r="A6" s="8" t="s">
        <v>919</v>
      </c>
      <c r="B6" s="9">
        <v>3</v>
      </c>
      <c r="C6" s="397" t="str">
        <f>VLOOKUP(A6,케이블트레이입.출고현황!A:D,4,0)</f>
        <v>Simple gusset KP for racks ST</v>
      </c>
      <c r="D6" s="397" t="str">
        <f>VLOOKUP(A6,케이블트레이입.출고현황!A:E,5,0)</f>
        <v>3-KP-4-M-TA4</v>
      </c>
      <c r="E6" s="397" t="str">
        <f>VLOOKUP(A6,케이블트레이입.출고현황!A:F,6,0)</f>
        <v>170x72x110; T=4.0</v>
      </c>
      <c r="F6" s="401" t="str">
        <f>VLOOKUP(Tray!A6,케이블트레이입.출고현황!A:G,7,0)</f>
        <v>pcs</v>
      </c>
      <c r="G6" s="400">
        <f>SUMIFS(케이블트레이입.출고현황!H:H,케이블트레이입.출고현황!A:A,Tray!A6)</f>
        <v>74</v>
      </c>
      <c r="H6" s="400">
        <f t="shared" si="0"/>
        <v>74</v>
      </c>
      <c r="I6" s="400">
        <f>SUMIFS(케이블트레이입.출고현황!J:J,케이블트레이입.출고현황!A:A,Tray!A6)</f>
        <v>0</v>
      </c>
      <c r="J6" s="400">
        <f>SUMIFS(케이블트레이입.출고현황!K:K,케이블트레이입.출고현황!A:A,Tray!A6)</f>
        <v>0</v>
      </c>
      <c r="K6" s="400">
        <f>SUMIFS(케이블트레이입.출고현황!L:L,케이블트레이입.출고현황!A:A,Tray!A6)</f>
        <v>56</v>
      </c>
      <c r="L6" s="402">
        <f>SUMIFS(케이블트레이입.출고현황!M:M,케이블트레이입.출고현황!A:A,Tray!A6)</f>
        <v>18</v>
      </c>
      <c r="M6" s="403">
        <v>56</v>
      </c>
      <c r="N6" s="403">
        <f>SUMIFS(케이블트레이입.출고현황!O:O,케이블트레이입.출고현황!A:A,Tray!A6)</f>
        <v>0</v>
      </c>
      <c r="O6" s="403">
        <f>SUMIFS(케이블트레이입.출고현황!P:P,케이블트레이입.출고현황!A:A,Tray!A6)</f>
        <v>0</v>
      </c>
      <c r="P6" s="403">
        <f>SUMIFS(케이블트레이입.출고현황!Q:Q,케이블트레이입.출고현황!A:A,Tray!A6)</f>
        <v>0</v>
      </c>
      <c r="Q6" s="403">
        <f>SUMIFS(케이블트레이입.출고현황!R:R,케이블트레이입.출고현황!A:A,Tray!A6)</f>
        <v>56</v>
      </c>
      <c r="R6" s="397"/>
      <c r="U6" s="59"/>
      <c r="V6" s="66"/>
      <c r="W6" s="66"/>
      <c r="X6" s="8"/>
    </row>
    <row r="7" spans="1:24" s="61" customFormat="1" ht="25.2" customHeight="1">
      <c r="A7" s="8" t="s">
        <v>931</v>
      </c>
      <c r="B7" s="9">
        <v>4</v>
      </c>
      <c r="C7" s="397" t="str">
        <f>VLOOKUP(A7,케이블트레이입.출고현황!A:D,4,0)</f>
        <v>Side gusset KB for racks ST</v>
      </c>
      <c r="D7" s="397" t="str">
        <f>VLOOKUP(A7,케이블트레이입.출고현황!A:E,5,0)</f>
        <v>3-KB-4-M-TA4</v>
      </c>
      <c r="E7" s="397" t="str">
        <f>VLOOKUP(A7,케이블트레이입.출고현황!A:F,6,0)</f>
        <v>150x72x70; T=4.0</v>
      </c>
      <c r="F7" s="401" t="str">
        <f>VLOOKUP(Tray!A7,케이블트레이입.출고현황!A:G,7,0)</f>
        <v>pcs</v>
      </c>
      <c r="G7" s="400">
        <f>SUMIFS(케이블트레이입.출고현황!H:H,케이블트레이입.출고현황!A:A,Tray!A7)</f>
        <v>4700</v>
      </c>
      <c r="H7" s="400">
        <f t="shared" si="0"/>
        <v>4700</v>
      </c>
      <c r="I7" s="400">
        <f>SUMIFS(케이블트레이입.출고현황!J:J,케이블트레이입.출고현황!A:A,Tray!A7)</f>
        <v>0</v>
      </c>
      <c r="J7" s="400">
        <f>SUMIFS(케이블트레이입.출고현황!K:K,케이블트레이입.출고현황!A:A,Tray!A7)</f>
        <v>0</v>
      </c>
      <c r="K7" s="400">
        <f>SUMIFS(케이블트레이입.출고현황!L:L,케이블트레이입.출고현황!A:A,Tray!A7)</f>
        <v>1046</v>
      </c>
      <c r="L7" s="402">
        <f>SUMIFS(케이블트레이입.출고현황!M:M,케이블트레이입.출고현황!A:A,Tray!A7)</f>
        <v>3654</v>
      </c>
      <c r="M7" s="403">
        <v>1046</v>
      </c>
      <c r="N7" s="403">
        <f>SUMIFS(케이블트레이입.출고현황!O:O,케이블트레이입.출고현황!A:A,Tray!A7)</f>
        <v>90</v>
      </c>
      <c r="O7" s="403">
        <f>SUMIFS(케이블트레이입.출고현황!P:P,케이블트레이입.출고현황!A:A,Tray!A7)</f>
        <v>0</v>
      </c>
      <c r="P7" s="403">
        <f>SUMIFS(케이블트레이입.출고현황!Q:Q,케이블트레이입.출고현황!A:A,Tray!A7)</f>
        <v>0</v>
      </c>
      <c r="Q7" s="403">
        <f>SUMIFS(케이블트레이입.출고현황!R:R,케이블트레이입.출고현황!A:A,Tray!A7)</f>
        <v>956</v>
      </c>
      <c r="R7" s="397"/>
      <c r="U7" s="59"/>
      <c r="V7" s="66"/>
      <c r="W7" s="66"/>
      <c r="X7" s="8"/>
    </row>
    <row r="8" spans="1:24" s="61" customFormat="1" ht="25.2" customHeight="1">
      <c r="A8" s="8" t="s">
        <v>935</v>
      </c>
      <c r="B8" s="9">
        <v>5</v>
      </c>
      <c r="C8" s="397" t="str">
        <f>VLOOKUP(A8,케이블트레이입.출고현황!A:D,4,0)</f>
        <v>Double gusset KD for racks STD</v>
      </c>
      <c r="D8" s="397" t="str">
        <f>VLOOKUP(A8,케이블트레이입.출고현황!A:E,5,0)</f>
        <v>3-KD-4-M-TA4</v>
      </c>
      <c r="E8" s="397" t="str">
        <f>VLOOKUP(A8,케이블트레이입.출고현황!A:F,6,0)</f>
        <v>109x72x72x110; T=4.0</v>
      </c>
      <c r="F8" s="401" t="str">
        <f>VLOOKUP(Tray!A8,케이블트레이입.출고현황!A:G,7,0)</f>
        <v>pcs</v>
      </c>
      <c r="G8" s="400">
        <f>SUMIFS(케이블트레이입.출고현황!H:H,케이블트레이입.출고현황!A:A,Tray!A8)</f>
        <v>153</v>
      </c>
      <c r="H8" s="400">
        <f t="shared" si="0"/>
        <v>153</v>
      </c>
      <c r="I8" s="400">
        <f>SUMIFS(케이블트레이입.출고현황!J:J,케이블트레이입.출고현황!A:A,Tray!A8)</f>
        <v>0</v>
      </c>
      <c r="J8" s="400">
        <f>SUMIFS(케이블트레이입.출고현황!K:K,케이블트레이입.출고현황!A:A,Tray!A8)</f>
        <v>0</v>
      </c>
      <c r="K8" s="400">
        <f>SUMIFS(케이블트레이입.출고현황!L:L,케이블트레이입.출고현황!A:A,Tray!A8)</f>
        <v>141</v>
      </c>
      <c r="L8" s="402">
        <f>SUMIFS(케이블트레이입.출고현황!M:M,케이블트레이입.출고현황!A:A,Tray!A8)</f>
        <v>12</v>
      </c>
      <c r="M8" s="400">
        <v>141</v>
      </c>
      <c r="N8" s="403">
        <f>SUMIFS(케이블트레이입.출고현황!O:O,케이블트레이입.출고현황!A:A,Tray!A8)</f>
        <v>0</v>
      </c>
      <c r="O8" s="403">
        <f>SUMIFS(케이블트레이입.출고현황!P:P,케이블트레이입.출고현황!A:A,Tray!A8)</f>
        <v>0</v>
      </c>
      <c r="P8" s="400">
        <f>SUMIFS(케이블트레이입.출고현황!Q:Q,케이블트레이입.출고현황!A:A,Tray!A8)</f>
        <v>0</v>
      </c>
      <c r="Q8" s="400">
        <f>SUMIFS(케이블트레이입.출고현황!R:R,케이블트레이입.출고현황!A:A,Tray!A8)</f>
        <v>141</v>
      </c>
      <c r="R8" s="397"/>
      <c r="U8" s="59"/>
      <c r="V8" s="66"/>
      <c r="W8" s="66"/>
      <c r="X8" s="8"/>
    </row>
    <row r="9" spans="1:24" s="61" customFormat="1" ht="25.2" customHeight="1">
      <c r="A9" s="8" t="s">
        <v>950</v>
      </c>
      <c r="B9" s="9">
        <v>6</v>
      </c>
      <c r="C9" s="397" t="str">
        <f>VLOOKUP(A9,케이블트레이입.출고현황!A:D,4,0)</f>
        <v>Transition clamp SP 150 for gussets</v>
      </c>
      <c r="D9" s="397" t="str">
        <f>VLOOKUP(A9,케이블트레이입.출고현황!A:E,5,0)</f>
        <v>3-SP-150-M-TA4</v>
      </c>
      <c r="E9" s="397" t="str">
        <f>VLOOKUP(A9,케이블트레이입.출고현황!A:F,6,0)</f>
        <v>150x142x59; T=4.0</v>
      </c>
      <c r="F9" s="401" t="str">
        <f>VLOOKUP(Tray!A9,케이블트레이입.출고현황!A:G,7,0)</f>
        <v>pcs</v>
      </c>
      <c r="G9" s="400">
        <f>SUMIFS(케이블트레이입.출고현황!H:H,케이블트레이입.출고현황!A:A,Tray!A9)</f>
        <v>4926</v>
      </c>
      <c r="H9" s="403">
        <f t="shared" si="0"/>
        <v>4926</v>
      </c>
      <c r="I9" s="400">
        <f>SUMIFS(케이블트레이입.출고현황!J:J,케이블트레이입.출고현황!A:A,Tray!A9)</f>
        <v>0</v>
      </c>
      <c r="J9" s="400">
        <f>SUMIFS(케이블트레이입.출고현황!K:K,케이블트레이입.출고현황!A:A,Tray!A9)</f>
        <v>0</v>
      </c>
      <c r="K9" s="400">
        <f>SUMIFS(케이블트레이입.출고현황!L:L,케이블트레이입.출고현황!A:A,Tray!A9)</f>
        <v>1102</v>
      </c>
      <c r="L9" s="402">
        <f>SUMIFS(케이블트레이입.출고현황!M:M,케이블트레이입.출고현황!A:A,Tray!A9)</f>
        <v>3824</v>
      </c>
      <c r="M9" s="400">
        <v>1102</v>
      </c>
      <c r="N9" s="403">
        <f>SUMIFS(케이블트레이입.출고현황!O:O,케이블트레이입.출고현황!A:A,Tray!A9)</f>
        <v>90</v>
      </c>
      <c r="O9" s="403">
        <f>SUMIFS(케이블트레이입.출고현황!P:P,케이블트레이입.출고현황!A:A,Tray!A9)</f>
        <v>0</v>
      </c>
      <c r="P9" s="400">
        <f>SUMIFS(케이블트레이입.출고현황!Q:Q,케이블트레이입.출고현황!A:A,Tray!A9)</f>
        <v>0</v>
      </c>
      <c r="Q9" s="400">
        <f>SUMIFS(케이블트레이입.출고현황!R:R,케이블트레이입.출고현황!A:A,Tray!A9)</f>
        <v>1012</v>
      </c>
      <c r="R9" s="397"/>
      <c r="U9" s="59"/>
      <c r="V9" s="66"/>
      <c r="W9" s="66"/>
      <c r="X9" s="8"/>
    </row>
  </sheetData>
  <mergeCells count="16">
    <mergeCell ref="M1:Q1"/>
    <mergeCell ref="R1:R3"/>
    <mergeCell ref="B1:B3"/>
    <mergeCell ref="C1:C3"/>
    <mergeCell ref="D1:D3"/>
    <mergeCell ref="E1:E3"/>
    <mergeCell ref="F1:F3"/>
    <mergeCell ref="G1:L1"/>
    <mergeCell ref="G2:G3"/>
    <mergeCell ref="H2:H3"/>
    <mergeCell ref="I2:I3"/>
    <mergeCell ref="J2:J3"/>
    <mergeCell ref="K2:K3"/>
    <mergeCell ref="L2:L3"/>
    <mergeCell ref="M2:M3"/>
    <mergeCell ref="N2:Q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31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18</vt:i4>
      </vt:variant>
    </vt:vector>
  </HeadingPairs>
  <TitlesOfParts>
    <vt:vector size="29" baseType="lpstr">
      <vt:lpstr>본공사입.출고현황</vt:lpstr>
      <vt:lpstr>POR Control Log-income</vt:lpstr>
      <vt:lpstr>POR Control Log-out</vt:lpstr>
      <vt:lpstr>케이블트레이입.출고현황</vt:lpstr>
      <vt:lpstr>Cable Tray-income  </vt:lpstr>
      <vt:lpstr>Cable Tray-Log-out</vt:lpstr>
      <vt:lpstr>임시동력입.출고현황</vt:lpstr>
      <vt:lpstr>T-Power-income</vt:lpstr>
      <vt:lpstr>T-Power-out</vt:lpstr>
      <vt:lpstr>Summary Table</vt:lpstr>
      <vt:lpstr>Tray</vt:lpstr>
      <vt:lpstr>'Cable Tray-income  '!Print_Area</vt:lpstr>
      <vt:lpstr>'Cable Tray-Log-out'!Print_Area</vt:lpstr>
      <vt:lpstr>'POR Control Log-income'!Print_Area</vt:lpstr>
      <vt:lpstr>'POR Control Log-out'!Print_Area</vt:lpstr>
      <vt:lpstr>'Summary Table'!Print_Area</vt:lpstr>
      <vt:lpstr>'T-Power-income'!Print_Area</vt:lpstr>
      <vt:lpstr>'T-Power-out'!Print_Area</vt:lpstr>
      <vt:lpstr>본공사입.출고현황!Print_Area</vt:lpstr>
      <vt:lpstr>임시동력입.출고현황!Print_Area</vt:lpstr>
      <vt:lpstr>케이블트레이입.출고현황!Print_Area</vt:lpstr>
      <vt:lpstr>'Cable Tray-income  '!Print_Titles</vt:lpstr>
      <vt:lpstr>'Cable Tray-Log-out'!Print_Titles</vt:lpstr>
      <vt:lpstr>'POR Control Log-income'!Print_Titles</vt:lpstr>
      <vt:lpstr>'POR Control Log-out'!Print_Titles</vt:lpstr>
      <vt:lpstr>'T-Power-income'!Print_Titles</vt:lpstr>
      <vt:lpstr>'T-Power-out'!Print_Titles</vt:lpstr>
      <vt:lpstr>본공사입.출고현황!Print_Titles</vt:lpstr>
      <vt:lpstr>임시동력입.출고현황!Print_Titles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 MNGR</dc:creator>
  <cp:lastModifiedBy>mahmoud ragap</cp:lastModifiedBy>
  <cp:lastPrinted>2026-02-10T08:31:24Z</cp:lastPrinted>
  <dcterms:created xsi:type="dcterms:W3CDTF">2017-05-09T04:53:46Z</dcterms:created>
  <dcterms:modified xsi:type="dcterms:W3CDTF">2026-06-01T07:41:56Z</dcterms:modified>
</cp:coreProperties>
</file>